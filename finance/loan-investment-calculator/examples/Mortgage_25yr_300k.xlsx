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oan" sheetId="1" state="visible" r:id="rId3"/>
    <sheet name="TVM Fun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<sst xmlns="http://schemas.openxmlformats.org/spreadsheetml/2006/main" count="95" uniqueCount="91">
  <si>
    <t xml:space="preserve">Loan Amortization Model</t>
  </si>
  <si>
    <t xml:space="preserve">Yellow cells with blue numbers are inputs. Every other number is a live formula. Rows were created for the contractual term; shortening the term works, lengthening it needs a new export.</t>
  </si>
  <si>
    <t xml:space="preserve">Inputs</t>
  </si>
  <si>
    <t xml:space="preserve">Lump-sum extra payments</t>
  </si>
  <si>
    <t xml:space="preserve">Summary (live)</t>
  </si>
  <si>
    <t xml:space="preserve">Loan amount</t>
  </si>
  <si>
    <t xml:space="preserve">Payment #</t>
  </si>
  <si>
    <t xml:space="preserve">Amount</t>
  </si>
  <si>
    <t xml:space="preserve">Payments actually made</t>
  </si>
  <si>
    <t xml:space="preserve">Annual rate (nominal APR)</t>
  </si>
  <si>
    <t xml:space="preserve">Payoff date</t>
  </si>
  <si>
    <t xml:space="preserve">Term (years)</t>
  </si>
  <si>
    <t xml:space="preserve">Original payoff date (no extras)</t>
  </si>
  <si>
    <t xml:space="preserve">Payments per year  p</t>
  </si>
  <si>
    <t xml:space="preserve">Total interest</t>
  </si>
  <si>
    <t xml:space="preserve">Compounding per year  m</t>
  </si>
  <si>
    <t xml:space="preserve">Total extra principal</t>
  </si>
  <si>
    <t xml:space="preserve">First payment date</t>
  </si>
  <si>
    <t xml:space="preserve">Total of all payments</t>
  </si>
  <si>
    <t xml:space="preserve">Loan type (1, 2 or 3)</t>
  </si>
  <si>
    <t xml:space="preserve">Final payment (incl. balloon)</t>
  </si>
  <si>
    <t xml:space="preserve">Balloon (type 1 only)</t>
  </si>
  <si>
    <t xml:space="preserve">Interest without extras</t>
  </si>
  <si>
    <t xml:space="preserve">Extra per payment</t>
  </si>
  <si>
    <t xml:space="preserve">Interest saved by extras</t>
  </si>
  <si>
    <t xml:space="preserve">Extra from payment #</t>
  </si>
  <si>
    <t xml:space="preserve">Payments saved</t>
  </si>
  <si>
    <t xml:space="preserve">Years saved</t>
  </si>
  <si>
    <t xml:space="preserve">Calculated terms</t>
  </si>
  <si>
    <t xml:space="preserve">Periodic rate  i</t>
  </si>
  <si>
    <t xml:space="preserve">Audit: live Excel vs Python engine</t>
  </si>
  <si>
    <t xml:space="preserve">Number of payments  N</t>
  </si>
  <si>
    <t xml:space="preserve">Item</t>
  </si>
  <si>
    <t xml:space="preserve">Excel (live)</t>
  </si>
  <si>
    <t xml:space="preserve">Python</t>
  </si>
  <si>
    <t xml:space="preserve">Difference</t>
  </si>
  <si>
    <t xml:space="preserve">Regular payment</t>
  </si>
  <si>
    <t xml:space="preserve">Principal / payment (type 2)</t>
  </si>
  <si>
    <t xml:space="preserve">Effective annual rate</t>
  </si>
  <si>
    <t xml:space="preserve">Payments made</t>
  </si>
  <si>
    <t xml:space="preserve">Loan type: 1 = fixed payment (annuity, =PMT), 2 = equal principal, 3 = interest-only with the whole principal as a balloon. Periodic rate i = (1 + APR/m)^(m/p) - 1, which is simply APR/p when m = p (the usual case). Rules: interest = ROUND(balance x i, 2). Scheduled payment = MIN(regular payment, balance + interest); the last contractual payment pays off the whole balance (this is where a balloon is paid). Extra payments go to principal, capped at the remaining balance; the regular payment is not recalculated, so the loan ends earlier. Dates: monthly-type frequencies use EDATE from the first payment date (31 Jan -&gt; 28/29 Feb -&gt; 31 Mar); bi-weekly/weekly add 14/7 days.</t>
  </si>
  <si>
    <t xml:space="preserve">Interest saved</t>
  </si>
  <si>
    <t xml:space="preserve">Python values are frozen at export time; differences stay 0.00 until you change an input.</t>
  </si>
  <si>
    <t xml:space="preserve">Baseline = same loan without any extra payments (for 'interest saved')</t>
  </si>
  <si>
    <t xml:space="preserve">Date</t>
  </si>
  <si>
    <t xml:space="preserve">Beginning balance</t>
  </si>
  <si>
    <t xml:space="preserve">Interest</t>
  </si>
  <si>
    <t xml:space="preserve">Scheduled payment</t>
  </si>
  <si>
    <t xml:space="preserve">Scheduled principal</t>
  </si>
  <si>
    <t xml:space="preserve">Extra principal</t>
  </si>
  <si>
    <t xml:space="preserve">Total payment</t>
  </si>
  <si>
    <t xml:space="preserve">Ending balance</t>
  </si>
  <si>
    <t xml:space="preserve">Cumulative interest</t>
  </si>
  <si>
    <t xml:space="preserve">Cumulative principal</t>
  </si>
  <si>
    <t xml:space="preserve">Baseline: beginning</t>
  </si>
  <si>
    <t xml:space="preserve">Baseline: interest</t>
  </si>
  <si>
    <t xml:space="preserve">Baseline: payment</t>
  </si>
  <si>
    <t xml:space="preserve">Baseline: principal</t>
  </si>
  <si>
    <t xml:space="preserve">Baseline: ending</t>
  </si>
  <si>
    <t xml:space="preserve">Excel TVM Functions - worked examples</t>
  </si>
  <si>
    <t xml:space="preserve">Excel signs: money you receive is +, money you pay is -. Rates and periods must use the same unit.</t>
  </si>
  <si>
    <t xml:space="preserve">Function</t>
  </si>
  <si>
    <t xml:space="preserve">Result</t>
  </si>
  <si>
    <t xml:space="preserve">What it shows</t>
  </si>
  <si>
    <t xml:space="preserve">Loan (uses the Loan sheet inputs)</t>
  </si>
  <si>
    <t xml:space="preserve">Periodic rate i</t>
  </si>
  <si>
    <t xml:space="preserve">From the Loan sheet</t>
  </si>
  <si>
    <t xml:space="preserve">PMT(i, N, -P, balloon)</t>
  </si>
  <si>
    <t xml:space="preserve">Unrounded level payment</t>
  </si>
  <si>
    <t xml:space="preserve">IPMT(i, 1, N, -P, balloon)</t>
  </si>
  <si>
    <t xml:space="preserve">Interest in payment 1</t>
  </si>
  <si>
    <t xml:space="preserve">PPMT(i, 1, N, -P, balloon)</t>
  </si>
  <si>
    <t xml:space="preserve">Principal in payment 1</t>
  </si>
  <si>
    <t xml:space="preserve">CUMIPMT(i, N, P, 1, p, 0)</t>
  </si>
  <si>
    <t xml:space="preserve">Interest paid in year 1 (unrounded)</t>
  </si>
  <si>
    <t xml:space="preserve">NPER(i, -(PMT + extra), P)</t>
  </si>
  <si>
    <t xml:space="preserve">Payments needed with the recurring extra (approx.)</t>
  </si>
  <si>
    <t xml:space="preserve">RATE(N, -PMT, P)</t>
  </si>
  <si>
    <t xml:space="preserve">Rate implied by the rounded payment, x p</t>
  </si>
  <si>
    <t xml:space="preserve">Rates</t>
  </si>
  <si>
    <t xml:space="preserve">EFFECT(6%, 12)</t>
  </si>
  <si>
    <t xml:space="preserve">6% APR compounded monthly = 6.168% EAR</t>
  </si>
  <si>
    <t xml:space="preserve">NOMINAL(6.168%, 12)</t>
  </si>
  <si>
    <t xml:space="preserve">Back to 6.000% APR</t>
  </si>
  <si>
    <t xml:space="preserve">Project: -100,000 at t=0, then 25k, 35k, 40k, 35k, 30k; rate 10%</t>
  </si>
  <si>
    <t xml:space="preserve">Correct NPV = CF0 + NPV(10%, CF1..CF5)</t>
  </si>
  <si>
    <t xml:space="preserve">Excel NPV discounts its FIRST value by one period, so CF0 stays outside</t>
  </si>
  <si>
    <t xml:space="preserve">Common mistake: NPV(10%, CF0..CF5)</t>
  </si>
  <si>
    <t xml:space="preserve">Discounts everything one period too much (= correct NPV / 1.10)</t>
  </si>
  <si>
    <t xml:space="preserve">IRR({CF0..CF5})</t>
  </si>
  <si>
    <t xml:space="preserve">IRR treats the first value as t = 0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</si>
</sst>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;[RED]\-#,##0.00"/>
    <numFmt numFmtId="166" formatCode="0"/>
    <numFmt numFmtId="167" formatCode="0.000%"/>
    <numFmt numFmtId="168" formatCode="yyyy\-mm\-dd"/>
    <numFmt numFmtId="169" formatCode="0.00"/>
    <numFmt numFmtId="170" formatCode="0.0000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i val="true"/>
      <sz val="9"/>
      <color rgb="FFFFFFFF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sz val="10"/>
      <name val="Cambria"/>
      <family val="0"/>
      <charset val="1"/>
    </font>
    <font>
      <b val="true"/>
      <sz val="10"/>
      <color rgb="FF0000FF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i val="true"/>
      <sz val="9"/>
      <color rgb="FF555555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4155"/>
      </patternFill>
    </fill>
    <fill>
      <patternFill patternType="solid">
        <fgColor rgb="FFFFF2CC"/>
        <bgColor rgb="FFEEF2FF"/>
      </patternFill>
    </fill>
    <fill>
      <patternFill patternType="solid">
        <fgColor rgb="FF334155"/>
        <bgColor rgb="FF1F3864"/>
      </patternFill>
    </fill>
    <fill>
      <patternFill patternType="solid">
        <fgColor rgb="FFEEF2FF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EF2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1" topLeftCell="C32" activePane="bottomRight" state="frozen"/>
      <selection pane="topLeft" activeCell="A1" activeCellId="0" sqref="A1"/>
      <selection pane="topRight" activeCell="C1" activeCellId="0" sqref="C1"/>
      <selection pane="bottomLeft" activeCell="A32" activeCellId="0" sqref="A3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6" min="5" style="0" width="15"/>
    <col collapsed="false" customWidth="true" hidden="false" outlineLevel="0" max="7" min="7" style="0" width="14"/>
    <col collapsed="false" customWidth="true" hidden="false" outlineLevel="0" max="8" min="8" style="0" width="30"/>
    <col collapsed="false" customWidth="true" hidden="false" outlineLevel="0" max="11" min="9" style="0" width="16"/>
    <col collapsed="false" customWidth="true" hidden="false" outlineLevel="0" max="12" min="12" style="0" width="3"/>
    <col collapsed="false" customWidth="true" hidden="false" outlineLevel="0" max="13" min="13" style="0" width="16"/>
    <col collapsed="false" customWidth="true" hidden="false" outlineLevel="0" max="14" min="14" style="0" width="14"/>
    <col collapsed="false" customWidth="true" hidden="false" outlineLevel="0" max="17" min="15" style="0" width="15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5" hidden="false" customHeight="false" outlineLevel="0" collapsed="false">
      <c r="A3" s="3" t="s">
        <v>2</v>
      </c>
      <c r="E3" s="3" t="s">
        <v>3</v>
      </c>
      <c r="H3" s="3" t="s">
        <v>4</v>
      </c>
    </row>
    <row r="4" customFormat="false" ht="30" hidden="false" customHeight="true" outlineLevel="0" collapsed="false">
      <c r="A4" s="4" t="s">
        <v>5</v>
      </c>
      <c r="B4" s="4"/>
      <c r="C4" s="5" t="n">
        <v>300000</v>
      </c>
      <c r="E4" s="6" t="s">
        <v>6</v>
      </c>
      <c r="F4" s="6" t="s">
        <v>7</v>
      </c>
      <c r="H4" s="7" t="s">
        <v>8</v>
      </c>
      <c r="I4" s="8" t="n">
        <f aca="false">COUNTIF($C$32:$C$331,"&gt;0")</f>
        <v>233</v>
      </c>
    </row>
    <row r="5" customFormat="false" ht="15" hidden="false" customHeight="false" outlineLevel="0" collapsed="false">
      <c r="A5" s="4" t="s">
        <v>9</v>
      </c>
      <c r="B5" s="4"/>
      <c r="C5" s="9" t="n">
        <v>0.06</v>
      </c>
      <c r="E5" s="10" t="n">
        <v>60</v>
      </c>
      <c r="F5" s="5" t="n">
        <v>10000</v>
      </c>
      <c r="H5" s="7" t="s">
        <v>10</v>
      </c>
      <c r="I5" s="11" t="n">
        <f aca="false">INDEX($B$32:$B$331,I4)</f>
        <v>53387</v>
      </c>
    </row>
    <row r="6" customFormat="false" ht="15" hidden="false" customHeight="false" outlineLevel="0" collapsed="false">
      <c r="A6" s="4" t="s">
        <v>11</v>
      </c>
      <c r="B6" s="4"/>
      <c r="C6" s="12" t="n">
        <v>25</v>
      </c>
      <c r="E6" s="10"/>
      <c r="F6" s="5"/>
      <c r="H6" s="7" t="s">
        <v>12</v>
      </c>
      <c r="I6" s="11" t="n">
        <f aca="false">INDEX($B$32:$B$331,MIN(C17,ROWS($B$32:$B$331)))</f>
        <v>55427</v>
      </c>
    </row>
    <row r="7" customFormat="false" ht="15" hidden="false" customHeight="false" outlineLevel="0" collapsed="false">
      <c r="A7" s="4" t="s">
        <v>13</v>
      </c>
      <c r="B7" s="4"/>
      <c r="C7" s="10" t="n">
        <v>12</v>
      </c>
      <c r="E7" s="10"/>
      <c r="F7" s="5"/>
      <c r="H7" s="7" t="s">
        <v>14</v>
      </c>
      <c r="I7" s="13" t="n">
        <f aca="false">SUM($D$32:$D$331)</f>
        <v>205217.43</v>
      </c>
    </row>
    <row r="8" customFormat="false" ht="15" hidden="false" customHeight="false" outlineLevel="0" collapsed="false">
      <c r="A8" s="4" t="s">
        <v>15</v>
      </c>
      <c r="B8" s="4"/>
      <c r="C8" s="10" t="n">
        <v>12</v>
      </c>
      <c r="E8" s="10"/>
      <c r="F8" s="5"/>
      <c r="H8" s="7" t="s">
        <v>16</v>
      </c>
      <c r="I8" s="13" t="n">
        <f aca="false">SUM($G$32:$G$331)</f>
        <v>56400</v>
      </c>
    </row>
    <row r="9" customFormat="false" ht="15" hidden="false" customHeight="false" outlineLevel="0" collapsed="false">
      <c r="A9" s="4" t="s">
        <v>17</v>
      </c>
      <c r="B9" s="4"/>
      <c r="C9" s="14" t="n">
        <v>46327</v>
      </c>
      <c r="E9" s="10"/>
      <c r="F9" s="5"/>
      <c r="H9" s="7" t="s">
        <v>18</v>
      </c>
      <c r="I9" s="13" t="n">
        <f aca="false">SUM($H$32:$H$331)</f>
        <v>505217.43</v>
      </c>
    </row>
    <row r="10" customFormat="false" ht="15" hidden="false" customHeight="false" outlineLevel="0" collapsed="false">
      <c r="A10" s="4" t="s">
        <v>19</v>
      </c>
      <c r="B10" s="4"/>
      <c r="C10" s="10" t="n">
        <v>1</v>
      </c>
      <c r="E10" s="10"/>
      <c r="F10" s="5"/>
      <c r="H10" s="7" t="s">
        <v>20</v>
      </c>
      <c r="I10" s="13" t="n">
        <f aca="false">INDEX($H$32:$H$331,I4)</f>
        <v>384.63</v>
      </c>
    </row>
    <row r="11" customFormat="false" ht="15" hidden="false" customHeight="false" outlineLevel="0" collapsed="false">
      <c r="A11" s="4" t="s">
        <v>21</v>
      </c>
      <c r="B11" s="4"/>
      <c r="C11" s="5" t="n">
        <v>0</v>
      </c>
      <c r="E11" s="10"/>
      <c r="F11" s="5"/>
      <c r="H11" s="7" t="s">
        <v>22</v>
      </c>
      <c r="I11" s="13" t="n">
        <f aca="false">SUM($N$32:$N$331)</f>
        <v>279872.8</v>
      </c>
    </row>
    <row r="12" customFormat="false" ht="15" hidden="false" customHeight="false" outlineLevel="0" collapsed="false">
      <c r="A12" s="4" t="s">
        <v>23</v>
      </c>
      <c r="B12" s="4"/>
      <c r="C12" s="5" t="n">
        <v>200</v>
      </c>
      <c r="E12" s="10"/>
      <c r="F12" s="5"/>
      <c r="H12" s="7" t="s">
        <v>24</v>
      </c>
      <c r="I12" s="13" t="n">
        <f aca="false">I11-I7</f>
        <v>74655.37</v>
      </c>
    </row>
    <row r="13" customFormat="false" ht="15" hidden="false" customHeight="false" outlineLevel="0" collapsed="false">
      <c r="A13" s="4" t="s">
        <v>25</v>
      </c>
      <c r="B13" s="4"/>
      <c r="C13" s="10" t="n">
        <v>1</v>
      </c>
      <c r="E13" s="10"/>
      <c r="F13" s="5"/>
      <c r="H13" s="7" t="s">
        <v>26</v>
      </c>
      <c r="I13" s="8" t="n">
        <f aca="false">C17-I4</f>
        <v>67</v>
      </c>
    </row>
    <row r="14" customFormat="false" ht="15" hidden="false" customHeight="false" outlineLevel="0" collapsed="false">
      <c r="E14" s="10"/>
      <c r="F14" s="5"/>
      <c r="H14" s="7" t="s">
        <v>27</v>
      </c>
      <c r="I14" s="15" t="n">
        <f aca="false">I13/C7</f>
        <v>5.58333333333333</v>
      </c>
    </row>
    <row r="15" customFormat="false" ht="15" hidden="false" customHeight="false" outlineLevel="0" collapsed="false">
      <c r="A15" s="3" t="s">
        <v>28</v>
      </c>
    </row>
    <row r="16" customFormat="false" ht="15" hidden="false" customHeight="false" outlineLevel="0" collapsed="false">
      <c r="A16" s="4" t="s">
        <v>29</v>
      </c>
      <c r="B16" s="4"/>
      <c r="C16" s="16" t="n">
        <f aca="false">IF(C8=C7,C5/C7,IF(C8&lt;=0,EXP(C5/C7)-1,(1+C5/C8)^(C8/C7)-1))</f>
        <v>0.005</v>
      </c>
      <c r="H16" s="3" t="s">
        <v>30</v>
      </c>
    </row>
    <row r="17" customFormat="false" ht="30" hidden="false" customHeight="true" outlineLevel="0" collapsed="false">
      <c r="A17" s="4" t="s">
        <v>31</v>
      </c>
      <c r="B17" s="4"/>
      <c r="C17" s="17" t="n">
        <f aca="false">ROUND(C6*C7,0)</f>
        <v>300</v>
      </c>
      <c r="H17" s="6" t="s">
        <v>32</v>
      </c>
      <c r="I17" s="6" t="s">
        <v>33</v>
      </c>
      <c r="J17" s="6" t="s">
        <v>34</v>
      </c>
      <c r="K17" s="6" t="s">
        <v>35</v>
      </c>
    </row>
    <row r="18" customFormat="false" ht="15" hidden="false" customHeight="false" outlineLevel="0" collapsed="false">
      <c r="A18" s="4" t="s">
        <v>36</v>
      </c>
      <c r="B18" s="4"/>
      <c r="C18" s="13" t="n">
        <f aca="false">IF(C10=1,ROUND(IF(C16=0,(C4-C11)/C17,-PMT(C16,C17,C4,-C11)),2),IF(C10=2,ROUND(C4/C17,2)+ROUND(C4*C16,2),ROUND(C4*C16,2)))</f>
        <v>1932.9</v>
      </c>
      <c r="H18" s="7" t="s">
        <v>36</v>
      </c>
      <c r="I18" s="18" t="n">
        <f aca="false">C18</f>
        <v>1932.9</v>
      </c>
      <c r="J18" s="19" t="n">
        <v>1932.9</v>
      </c>
      <c r="K18" s="18" t="n">
        <f aca="false">ROUND(I18-J18,2)</f>
        <v>0</v>
      </c>
    </row>
    <row r="19" customFormat="false" ht="15" hidden="false" customHeight="false" outlineLevel="0" collapsed="false">
      <c r="A19" s="4" t="s">
        <v>37</v>
      </c>
      <c r="B19" s="4"/>
      <c r="C19" s="18" t="n">
        <f aca="false">ROUND(C4/C17,2)</f>
        <v>1000</v>
      </c>
      <c r="H19" s="7" t="s">
        <v>14</v>
      </c>
      <c r="I19" s="18" t="n">
        <f aca="false">I7</f>
        <v>205217.43</v>
      </c>
      <c r="J19" s="19" t="n">
        <v>205217.43</v>
      </c>
      <c r="K19" s="18" t="n">
        <f aca="false">ROUND(I19-J19,2)</f>
        <v>0</v>
      </c>
    </row>
    <row r="20" customFormat="false" ht="15" hidden="false" customHeight="false" outlineLevel="0" collapsed="false">
      <c r="A20" s="4" t="s">
        <v>38</v>
      </c>
      <c r="B20" s="4"/>
      <c r="C20" s="20" t="n">
        <f aca="false">IF(C8&lt;=0,EXP(C5)-1,(1+C5/C8)^C8-1)</f>
        <v>0.0616778118644983</v>
      </c>
      <c r="H20" s="7" t="s">
        <v>18</v>
      </c>
      <c r="I20" s="18" t="n">
        <f aca="false">I9</f>
        <v>505217.43</v>
      </c>
      <c r="J20" s="19" t="n">
        <v>505217.43</v>
      </c>
      <c r="K20" s="18" t="n">
        <f aca="false">ROUND(I20-J20,2)</f>
        <v>0</v>
      </c>
    </row>
    <row r="21" customFormat="false" ht="15" hidden="false" customHeight="false" outlineLevel="0" collapsed="false">
      <c r="H21" s="7" t="s">
        <v>39</v>
      </c>
      <c r="I21" s="18" t="n">
        <f aca="false">I4</f>
        <v>233</v>
      </c>
      <c r="J21" s="19" t="n">
        <v>233</v>
      </c>
      <c r="K21" s="18" t="n">
        <f aca="false">ROUND(I21-J21,2)</f>
        <v>0</v>
      </c>
    </row>
    <row r="22" customFormat="false" ht="15" hidden="false" customHeight="true" outlineLevel="0" collapsed="false">
      <c r="A22" s="21" t="s">
        <v>40</v>
      </c>
      <c r="B22" s="21"/>
      <c r="C22" s="21"/>
      <c r="D22" s="21"/>
      <c r="E22" s="21"/>
      <c r="F22" s="21"/>
      <c r="H22" s="7" t="s">
        <v>41</v>
      </c>
      <c r="I22" s="18" t="n">
        <f aca="false">I12</f>
        <v>74655.37</v>
      </c>
      <c r="J22" s="19" t="n">
        <v>74655.37</v>
      </c>
      <c r="K22" s="18" t="n">
        <f aca="false">ROUND(I22-J22,2)</f>
        <v>0</v>
      </c>
    </row>
    <row r="23" customFormat="false" ht="15" hidden="false" customHeight="false" outlineLevel="0" collapsed="false">
      <c r="A23" s="21"/>
      <c r="B23" s="21"/>
      <c r="C23" s="21"/>
      <c r="D23" s="21"/>
      <c r="E23" s="21"/>
      <c r="F23" s="21"/>
    </row>
    <row r="24" customFormat="false" ht="15" hidden="false" customHeight="false" outlineLevel="0" collapsed="false">
      <c r="A24" s="21"/>
      <c r="B24" s="21"/>
      <c r="C24" s="21"/>
      <c r="D24" s="21"/>
      <c r="E24" s="21"/>
      <c r="F24" s="21"/>
      <c r="H24" s="22" t="s">
        <v>42</v>
      </c>
    </row>
    <row r="25" customFormat="false" ht="15" hidden="false" customHeight="false" outlineLevel="0" collapsed="false">
      <c r="A25" s="21"/>
      <c r="B25" s="21"/>
      <c r="C25" s="21"/>
      <c r="D25" s="21"/>
      <c r="E25" s="21"/>
      <c r="F25" s="21"/>
    </row>
    <row r="26" customFormat="false" ht="15" hidden="false" customHeight="false" outlineLevel="0" collapsed="false">
      <c r="A26" s="21"/>
      <c r="B26" s="21"/>
      <c r="C26" s="21"/>
      <c r="D26" s="21"/>
      <c r="E26" s="21"/>
      <c r="F26" s="21"/>
    </row>
    <row r="27" customFormat="false" ht="15" hidden="false" customHeight="false" outlineLevel="0" collapsed="false">
      <c r="A27" s="21"/>
      <c r="B27" s="21"/>
      <c r="C27" s="21"/>
      <c r="D27" s="21"/>
      <c r="E27" s="21"/>
      <c r="F27" s="21"/>
    </row>
    <row r="28" customFormat="false" ht="15" hidden="false" customHeight="false" outlineLevel="0" collapsed="false">
      <c r="A28" s="21"/>
      <c r="B28" s="21"/>
      <c r="C28" s="21"/>
      <c r="D28" s="21"/>
      <c r="E28" s="21"/>
      <c r="F28" s="21"/>
    </row>
    <row r="30" customFormat="false" ht="15" hidden="false" customHeight="false" outlineLevel="0" collapsed="false">
      <c r="M30" s="22" t="s">
        <v>43</v>
      </c>
    </row>
    <row r="31" customFormat="false" ht="30" hidden="false" customHeight="true" outlineLevel="0" collapsed="false">
      <c r="A31" s="6" t="s">
        <v>6</v>
      </c>
      <c r="B31" s="6" t="s">
        <v>44</v>
      </c>
      <c r="C31" s="6" t="s">
        <v>45</v>
      </c>
      <c r="D31" s="6" t="s">
        <v>46</v>
      </c>
      <c r="E31" s="6" t="s">
        <v>47</v>
      </c>
      <c r="F31" s="6" t="s">
        <v>48</v>
      </c>
      <c r="G31" s="6" t="s">
        <v>49</v>
      </c>
      <c r="H31" s="6" t="s">
        <v>50</v>
      </c>
      <c r="I31" s="6" t="s">
        <v>51</v>
      </c>
      <c r="J31" s="6" t="s">
        <v>52</v>
      </c>
      <c r="K31" s="6" t="s">
        <v>53</v>
      </c>
      <c r="L31" s="23"/>
      <c r="M31" s="6" t="s">
        <v>54</v>
      </c>
      <c r="N31" s="6" t="s">
        <v>55</v>
      </c>
      <c r="O31" s="6" t="s">
        <v>56</v>
      </c>
      <c r="P31" s="6" t="s">
        <v>57</v>
      </c>
      <c r="Q31" s="6" t="s">
        <v>58</v>
      </c>
    </row>
    <row r="32" customFormat="false" ht="15" hidden="false" customHeight="false" outlineLevel="0" collapsed="false">
      <c r="A32" s="24" t="n">
        <f aca="false">1</f>
        <v>1</v>
      </c>
      <c r="B32" s="25" t="n">
        <f aca="false">IF(MOD(12,$C$7)=0,EDATE($C$9,(A32-1)*12/$C$7),$C$9+(A32-1)*ROUND(364/$C$7,0))</f>
        <v>46327</v>
      </c>
      <c r="C32" s="19" t="n">
        <f aca="false">ROUND($C$4,2)</f>
        <v>300000</v>
      </c>
      <c r="D32" s="19" t="n">
        <f aca="false">ROUND(C32*$C$16,2)</f>
        <v>1500</v>
      </c>
      <c r="E32" s="19" t="n">
        <f aca="false">IF(C32&lt;=0,0,ROUND(CHOOSE($C$10,IF(A32=$C$17,C32+D32,MIN($C$18,C32+D32)),IF(A32=$C$17,C32,MIN($C$19,C32))+D32,IF(A32=$C$17,C32,0)+D32),2))</f>
        <v>1932.9</v>
      </c>
      <c r="F32" s="19" t="n">
        <f aca="false">IF(C32&lt;=0,0,MAX(0,ROUND(E32-D32,2)))</f>
        <v>432.9</v>
      </c>
      <c r="G32" s="19" t="n">
        <f aca="false">IF(C32&lt;=0,0,ROUND(MIN(MAX(0,C32-F32),MAX(0,IF(A32&gt;=$C$13,$C$12,0)+SUMIF($E$5:$E$14,A32,$F$5:$F$14))),2))</f>
        <v>200</v>
      </c>
      <c r="H32" s="19" t="n">
        <f aca="false">ROUND(E32+G32,2)</f>
        <v>2132.9</v>
      </c>
      <c r="I32" s="19" t="n">
        <f aca="false">ROUND(C32-F32-G32,2)</f>
        <v>299367.1</v>
      </c>
      <c r="J32" s="19" t="n">
        <f aca="false">ROUND(D32,2)</f>
        <v>1500</v>
      </c>
      <c r="K32" s="19" t="n">
        <f aca="false">ROUND(F32+G32,2)</f>
        <v>632.9</v>
      </c>
      <c r="M32" s="19" t="n">
        <f aca="false">ROUND($C$4,2)</f>
        <v>300000</v>
      </c>
      <c r="N32" s="19" t="n">
        <f aca="false">ROUND(M32*$C$16,2)</f>
        <v>1500</v>
      </c>
      <c r="O32" s="19" t="n">
        <f aca="false">IF(M32&lt;=0,0,ROUND(CHOOSE($C$10,IF(A32=$C$17,M32+N32,MIN($C$18,M32+N32)),IF(A32=$C$17,M32,MIN($C$19,M32))+N32,IF(A32=$C$17,M32,0)+N32),2))</f>
        <v>1932.9</v>
      </c>
      <c r="P32" s="19" t="n">
        <f aca="false">IF(M32&lt;=0,0,MAX(0,ROUND(O32-N32,2)))</f>
        <v>432.9</v>
      </c>
      <c r="Q32" s="19" t="n">
        <f aca="false">ROUND(M32-P32,2)</f>
        <v>299567.1</v>
      </c>
    </row>
    <row r="33" customFormat="false" ht="15" hidden="false" customHeight="false" outlineLevel="0" collapsed="false">
      <c r="A33" s="24" t="n">
        <f aca="false">A32+1</f>
        <v>2</v>
      </c>
      <c r="B33" s="25" t="n">
        <f aca="false">IF(MOD(12,$C$7)=0,EDATE($C$9,(A33-1)*12/$C$7),$C$9+(A33-1)*ROUND(364/$C$7,0))</f>
        <v>46357</v>
      </c>
      <c r="C33" s="19" t="n">
        <f aca="false">I32</f>
        <v>299367.1</v>
      </c>
      <c r="D33" s="19" t="n">
        <f aca="false">ROUND(C33*$C$16,2)</f>
        <v>1496.84</v>
      </c>
      <c r="E33" s="19" t="n">
        <f aca="false">IF(C33&lt;=0,0,ROUND(CHOOSE($C$10,IF(A33=$C$17,C33+D33,MIN($C$18,C33+D33)),IF(A33=$C$17,C33,MIN($C$19,C33))+D33,IF(A33=$C$17,C33,0)+D33),2))</f>
        <v>1932.9</v>
      </c>
      <c r="F33" s="19" t="n">
        <f aca="false">IF(C33&lt;=0,0,MAX(0,ROUND(E33-D33,2)))</f>
        <v>436.06</v>
      </c>
      <c r="G33" s="19" t="n">
        <f aca="false">IF(C33&lt;=0,0,ROUND(MIN(MAX(0,C33-F33),MAX(0,IF(A33&gt;=$C$13,$C$12,0)+SUMIF($E$5:$E$14,A33,$F$5:$F$14))),2))</f>
        <v>200</v>
      </c>
      <c r="H33" s="19" t="n">
        <f aca="false">ROUND(E33+G33,2)</f>
        <v>2132.9</v>
      </c>
      <c r="I33" s="19" t="n">
        <f aca="false">ROUND(C33-F33-G33,2)</f>
        <v>298731.04</v>
      </c>
      <c r="J33" s="19" t="n">
        <f aca="false">ROUND(J32+D33,2)</f>
        <v>2996.84</v>
      </c>
      <c r="K33" s="19" t="n">
        <f aca="false">ROUND(K32+F33+G33,2)</f>
        <v>1268.96</v>
      </c>
      <c r="M33" s="19" t="n">
        <f aca="false">Q32</f>
        <v>299567.1</v>
      </c>
      <c r="N33" s="19" t="n">
        <f aca="false">ROUND(M33*$C$16,2)</f>
        <v>1497.84</v>
      </c>
      <c r="O33" s="19" t="n">
        <f aca="false">IF(M33&lt;=0,0,ROUND(CHOOSE($C$10,IF(A33=$C$17,M33+N33,MIN($C$18,M33+N33)),IF(A33=$C$17,M33,MIN($C$19,M33))+N33,IF(A33=$C$17,M33,0)+N33),2))</f>
        <v>1932.9</v>
      </c>
      <c r="P33" s="19" t="n">
        <f aca="false">IF(M33&lt;=0,0,MAX(0,ROUND(O33-N33,2)))</f>
        <v>435.06</v>
      </c>
      <c r="Q33" s="19" t="n">
        <f aca="false">ROUND(M33-P33,2)</f>
        <v>299132.04</v>
      </c>
    </row>
    <row r="34" customFormat="false" ht="15" hidden="false" customHeight="false" outlineLevel="0" collapsed="false">
      <c r="A34" s="24" t="n">
        <f aca="false">A33+1</f>
        <v>3</v>
      </c>
      <c r="B34" s="25" t="n">
        <f aca="false">IF(MOD(12,$C$7)=0,EDATE($C$9,(A34-1)*12/$C$7),$C$9+(A34-1)*ROUND(364/$C$7,0))</f>
        <v>46388</v>
      </c>
      <c r="C34" s="19" t="n">
        <f aca="false">I33</f>
        <v>298731.04</v>
      </c>
      <c r="D34" s="19" t="n">
        <f aca="false">ROUND(C34*$C$16,2)</f>
        <v>1493.66</v>
      </c>
      <c r="E34" s="19" t="n">
        <f aca="false">IF(C34&lt;=0,0,ROUND(CHOOSE($C$10,IF(A34=$C$17,C34+D34,MIN($C$18,C34+D34)),IF(A34=$C$17,C34,MIN($C$19,C34))+D34,IF(A34=$C$17,C34,0)+D34),2))</f>
        <v>1932.9</v>
      </c>
      <c r="F34" s="19" t="n">
        <f aca="false">IF(C34&lt;=0,0,MAX(0,ROUND(E34-D34,2)))</f>
        <v>439.24</v>
      </c>
      <c r="G34" s="19" t="n">
        <f aca="false">IF(C34&lt;=0,0,ROUND(MIN(MAX(0,C34-F34),MAX(0,IF(A34&gt;=$C$13,$C$12,0)+SUMIF($E$5:$E$14,A34,$F$5:$F$14))),2))</f>
        <v>200</v>
      </c>
      <c r="H34" s="19" t="n">
        <f aca="false">ROUND(E34+G34,2)</f>
        <v>2132.9</v>
      </c>
      <c r="I34" s="19" t="n">
        <f aca="false">ROUND(C34-F34-G34,2)</f>
        <v>298091.8</v>
      </c>
      <c r="J34" s="19" t="n">
        <f aca="false">ROUND(J33+D34,2)</f>
        <v>4490.5</v>
      </c>
      <c r="K34" s="19" t="n">
        <f aca="false">ROUND(K33+F34+G34,2)</f>
        <v>1908.2</v>
      </c>
      <c r="M34" s="19" t="n">
        <f aca="false">Q33</f>
        <v>299132.04</v>
      </c>
      <c r="N34" s="19" t="n">
        <f aca="false">ROUND(M34*$C$16,2)</f>
        <v>1495.66</v>
      </c>
      <c r="O34" s="19" t="n">
        <f aca="false">IF(M34&lt;=0,0,ROUND(CHOOSE($C$10,IF(A34=$C$17,M34+N34,MIN($C$18,M34+N34)),IF(A34=$C$17,M34,MIN($C$19,M34))+N34,IF(A34=$C$17,M34,0)+N34),2))</f>
        <v>1932.9</v>
      </c>
      <c r="P34" s="19" t="n">
        <f aca="false">IF(M34&lt;=0,0,MAX(0,ROUND(O34-N34,2)))</f>
        <v>437.24</v>
      </c>
      <c r="Q34" s="19" t="n">
        <f aca="false">ROUND(M34-P34,2)</f>
        <v>298694.8</v>
      </c>
    </row>
    <row r="35" customFormat="false" ht="15" hidden="false" customHeight="false" outlineLevel="0" collapsed="false">
      <c r="A35" s="24" t="n">
        <f aca="false">A34+1</f>
        <v>4</v>
      </c>
      <c r="B35" s="25" t="n">
        <f aca="false">IF(MOD(12,$C$7)=0,EDATE($C$9,(A35-1)*12/$C$7),$C$9+(A35-1)*ROUND(364/$C$7,0))</f>
        <v>46419</v>
      </c>
      <c r="C35" s="19" t="n">
        <f aca="false">I34</f>
        <v>298091.8</v>
      </c>
      <c r="D35" s="19" t="n">
        <f aca="false">ROUND(C35*$C$16,2)</f>
        <v>1490.46</v>
      </c>
      <c r="E35" s="19" t="n">
        <f aca="false">IF(C35&lt;=0,0,ROUND(CHOOSE($C$10,IF(A35=$C$17,C35+D35,MIN($C$18,C35+D35)),IF(A35=$C$17,C35,MIN($C$19,C35))+D35,IF(A35=$C$17,C35,0)+D35),2))</f>
        <v>1932.9</v>
      </c>
      <c r="F35" s="19" t="n">
        <f aca="false">IF(C35&lt;=0,0,MAX(0,ROUND(E35-D35,2)))</f>
        <v>442.44</v>
      </c>
      <c r="G35" s="19" t="n">
        <f aca="false">IF(C35&lt;=0,0,ROUND(MIN(MAX(0,C35-F35),MAX(0,IF(A35&gt;=$C$13,$C$12,0)+SUMIF($E$5:$E$14,A35,$F$5:$F$14))),2))</f>
        <v>200</v>
      </c>
      <c r="H35" s="19" t="n">
        <f aca="false">ROUND(E35+G35,2)</f>
        <v>2132.9</v>
      </c>
      <c r="I35" s="19" t="n">
        <f aca="false">ROUND(C35-F35-G35,2)</f>
        <v>297449.36</v>
      </c>
      <c r="J35" s="19" t="n">
        <f aca="false">ROUND(J34+D35,2)</f>
        <v>5980.96</v>
      </c>
      <c r="K35" s="19" t="n">
        <f aca="false">ROUND(K34+F35+G35,2)</f>
        <v>2550.64</v>
      </c>
      <c r="M35" s="19" t="n">
        <f aca="false">Q34</f>
        <v>298694.8</v>
      </c>
      <c r="N35" s="19" t="n">
        <f aca="false">ROUND(M35*$C$16,2)</f>
        <v>1493.47</v>
      </c>
      <c r="O35" s="19" t="n">
        <f aca="false">IF(M35&lt;=0,0,ROUND(CHOOSE($C$10,IF(A35=$C$17,M35+N35,MIN($C$18,M35+N35)),IF(A35=$C$17,M35,MIN($C$19,M35))+N35,IF(A35=$C$17,M35,0)+N35),2))</f>
        <v>1932.9</v>
      </c>
      <c r="P35" s="19" t="n">
        <f aca="false">IF(M35&lt;=0,0,MAX(0,ROUND(O35-N35,2)))</f>
        <v>439.43</v>
      </c>
      <c r="Q35" s="19" t="n">
        <f aca="false">ROUND(M35-P35,2)</f>
        <v>298255.37</v>
      </c>
    </row>
    <row r="36" customFormat="false" ht="15" hidden="false" customHeight="false" outlineLevel="0" collapsed="false">
      <c r="A36" s="24" t="n">
        <f aca="false">A35+1</f>
        <v>5</v>
      </c>
      <c r="B36" s="25" t="n">
        <f aca="false">IF(MOD(12,$C$7)=0,EDATE($C$9,(A36-1)*12/$C$7),$C$9+(A36-1)*ROUND(364/$C$7,0))</f>
        <v>46447</v>
      </c>
      <c r="C36" s="19" t="n">
        <f aca="false">I35</f>
        <v>297449.36</v>
      </c>
      <c r="D36" s="19" t="n">
        <f aca="false">ROUND(C36*$C$16,2)</f>
        <v>1487.25</v>
      </c>
      <c r="E36" s="19" t="n">
        <f aca="false">IF(C36&lt;=0,0,ROUND(CHOOSE($C$10,IF(A36=$C$17,C36+D36,MIN($C$18,C36+D36)),IF(A36=$C$17,C36,MIN($C$19,C36))+D36,IF(A36=$C$17,C36,0)+D36),2))</f>
        <v>1932.9</v>
      </c>
      <c r="F36" s="19" t="n">
        <f aca="false">IF(C36&lt;=0,0,MAX(0,ROUND(E36-D36,2)))</f>
        <v>445.65</v>
      </c>
      <c r="G36" s="19" t="n">
        <f aca="false">IF(C36&lt;=0,0,ROUND(MIN(MAX(0,C36-F36),MAX(0,IF(A36&gt;=$C$13,$C$12,0)+SUMIF($E$5:$E$14,A36,$F$5:$F$14))),2))</f>
        <v>200</v>
      </c>
      <c r="H36" s="19" t="n">
        <f aca="false">ROUND(E36+G36,2)</f>
        <v>2132.9</v>
      </c>
      <c r="I36" s="19" t="n">
        <f aca="false">ROUND(C36-F36-G36,2)</f>
        <v>296803.71</v>
      </c>
      <c r="J36" s="19" t="n">
        <f aca="false">ROUND(J35+D36,2)</f>
        <v>7468.21</v>
      </c>
      <c r="K36" s="19" t="n">
        <f aca="false">ROUND(K35+F36+G36,2)</f>
        <v>3196.29</v>
      </c>
      <c r="M36" s="19" t="n">
        <f aca="false">Q35</f>
        <v>298255.37</v>
      </c>
      <c r="N36" s="19" t="n">
        <f aca="false">ROUND(M36*$C$16,2)</f>
        <v>1491.28</v>
      </c>
      <c r="O36" s="19" t="n">
        <f aca="false">IF(M36&lt;=0,0,ROUND(CHOOSE($C$10,IF(A36=$C$17,M36+N36,MIN($C$18,M36+N36)),IF(A36=$C$17,M36,MIN($C$19,M36))+N36,IF(A36=$C$17,M36,0)+N36),2))</f>
        <v>1932.9</v>
      </c>
      <c r="P36" s="19" t="n">
        <f aca="false">IF(M36&lt;=0,0,MAX(0,ROUND(O36-N36,2)))</f>
        <v>441.62</v>
      </c>
      <c r="Q36" s="19" t="n">
        <f aca="false">ROUND(M36-P36,2)</f>
        <v>297813.75</v>
      </c>
    </row>
    <row r="37" customFormat="false" ht="15" hidden="false" customHeight="false" outlineLevel="0" collapsed="false">
      <c r="A37" s="24" t="n">
        <f aca="false">A36+1</f>
        <v>6</v>
      </c>
      <c r="B37" s="25" t="n">
        <f aca="false">IF(MOD(12,$C$7)=0,EDATE($C$9,(A37-1)*12/$C$7),$C$9+(A37-1)*ROUND(364/$C$7,0))</f>
        <v>46478</v>
      </c>
      <c r="C37" s="19" t="n">
        <f aca="false">I36</f>
        <v>296803.71</v>
      </c>
      <c r="D37" s="19" t="n">
        <f aca="false">ROUND(C37*$C$16,2)</f>
        <v>1484.02</v>
      </c>
      <c r="E37" s="19" t="n">
        <f aca="false">IF(C37&lt;=0,0,ROUND(CHOOSE($C$10,IF(A37=$C$17,C37+D37,MIN($C$18,C37+D37)),IF(A37=$C$17,C37,MIN($C$19,C37))+D37,IF(A37=$C$17,C37,0)+D37),2))</f>
        <v>1932.9</v>
      </c>
      <c r="F37" s="19" t="n">
        <f aca="false">IF(C37&lt;=0,0,MAX(0,ROUND(E37-D37,2)))</f>
        <v>448.88</v>
      </c>
      <c r="G37" s="19" t="n">
        <f aca="false">IF(C37&lt;=0,0,ROUND(MIN(MAX(0,C37-F37),MAX(0,IF(A37&gt;=$C$13,$C$12,0)+SUMIF($E$5:$E$14,A37,$F$5:$F$14))),2))</f>
        <v>200</v>
      </c>
      <c r="H37" s="19" t="n">
        <f aca="false">ROUND(E37+G37,2)</f>
        <v>2132.9</v>
      </c>
      <c r="I37" s="19" t="n">
        <f aca="false">ROUND(C37-F37-G37,2)</f>
        <v>296154.83</v>
      </c>
      <c r="J37" s="19" t="n">
        <f aca="false">ROUND(J36+D37,2)</f>
        <v>8952.23</v>
      </c>
      <c r="K37" s="19" t="n">
        <f aca="false">ROUND(K36+F37+G37,2)</f>
        <v>3845.17</v>
      </c>
      <c r="M37" s="19" t="n">
        <f aca="false">Q36</f>
        <v>297813.75</v>
      </c>
      <c r="N37" s="19" t="n">
        <f aca="false">ROUND(M37*$C$16,2)</f>
        <v>1489.07</v>
      </c>
      <c r="O37" s="19" t="n">
        <f aca="false">IF(M37&lt;=0,0,ROUND(CHOOSE($C$10,IF(A37=$C$17,M37+N37,MIN($C$18,M37+N37)),IF(A37=$C$17,M37,MIN($C$19,M37))+N37,IF(A37=$C$17,M37,0)+N37),2))</f>
        <v>1932.9</v>
      </c>
      <c r="P37" s="19" t="n">
        <f aca="false">IF(M37&lt;=0,0,MAX(0,ROUND(O37-N37,2)))</f>
        <v>443.83</v>
      </c>
      <c r="Q37" s="19" t="n">
        <f aca="false">ROUND(M37-P37,2)</f>
        <v>297369.92</v>
      </c>
    </row>
    <row r="38" customFormat="false" ht="15" hidden="false" customHeight="false" outlineLevel="0" collapsed="false">
      <c r="A38" s="24" t="n">
        <f aca="false">A37+1</f>
        <v>7</v>
      </c>
      <c r="B38" s="25" t="n">
        <f aca="false">IF(MOD(12,$C$7)=0,EDATE($C$9,(A38-1)*12/$C$7),$C$9+(A38-1)*ROUND(364/$C$7,0))</f>
        <v>46508</v>
      </c>
      <c r="C38" s="19" t="n">
        <f aca="false">I37</f>
        <v>296154.83</v>
      </c>
      <c r="D38" s="19" t="n">
        <f aca="false">ROUND(C38*$C$16,2)</f>
        <v>1480.77</v>
      </c>
      <c r="E38" s="19" t="n">
        <f aca="false">IF(C38&lt;=0,0,ROUND(CHOOSE($C$10,IF(A38=$C$17,C38+D38,MIN($C$18,C38+D38)),IF(A38=$C$17,C38,MIN($C$19,C38))+D38,IF(A38=$C$17,C38,0)+D38),2))</f>
        <v>1932.9</v>
      </c>
      <c r="F38" s="19" t="n">
        <f aca="false">IF(C38&lt;=0,0,MAX(0,ROUND(E38-D38,2)))</f>
        <v>452.13</v>
      </c>
      <c r="G38" s="19" t="n">
        <f aca="false">IF(C38&lt;=0,0,ROUND(MIN(MAX(0,C38-F38),MAX(0,IF(A38&gt;=$C$13,$C$12,0)+SUMIF($E$5:$E$14,A38,$F$5:$F$14))),2))</f>
        <v>200</v>
      </c>
      <c r="H38" s="19" t="n">
        <f aca="false">ROUND(E38+G38,2)</f>
        <v>2132.9</v>
      </c>
      <c r="I38" s="19" t="n">
        <f aca="false">ROUND(C38-F38-G38,2)</f>
        <v>295502.7</v>
      </c>
      <c r="J38" s="19" t="n">
        <f aca="false">ROUND(J37+D38,2)</f>
        <v>10433</v>
      </c>
      <c r="K38" s="19" t="n">
        <f aca="false">ROUND(K37+F38+G38,2)</f>
        <v>4497.3</v>
      </c>
      <c r="M38" s="19" t="n">
        <f aca="false">Q37</f>
        <v>297369.92</v>
      </c>
      <c r="N38" s="19" t="n">
        <f aca="false">ROUND(M38*$C$16,2)</f>
        <v>1486.85</v>
      </c>
      <c r="O38" s="19" t="n">
        <f aca="false">IF(M38&lt;=0,0,ROUND(CHOOSE($C$10,IF(A38=$C$17,M38+N38,MIN($C$18,M38+N38)),IF(A38=$C$17,M38,MIN($C$19,M38))+N38,IF(A38=$C$17,M38,0)+N38),2))</f>
        <v>1932.9</v>
      </c>
      <c r="P38" s="19" t="n">
        <f aca="false">IF(M38&lt;=0,0,MAX(0,ROUND(O38-N38,2)))</f>
        <v>446.05</v>
      </c>
      <c r="Q38" s="19" t="n">
        <f aca="false">ROUND(M38-P38,2)</f>
        <v>296923.87</v>
      </c>
    </row>
    <row r="39" customFormat="false" ht="15" hidden="false" customHeight="false" outlineLevel="0" collapsed="false">
      <c r="A39" s="24" t="n">
        <f aca="false">A38+1</f>
        <v>8</v>
      </c>
      <c r="B39" s="25" t="n">
        <f aca="false">IF(MOD(12,$C$7)=0,EDATE($C$9,(A39-1)*12/$C$7),$C$9+(A39-1)*ROUND(364/$C$7,0))</f>
        <v>46539</v>
      </c>
      <c r="C39" s="19" t="n">
        <f aca="false">I38</f>
        <v>295502.7</v>
      </c>
      <c r="D39" s="19" t="n">
        <f aca="false">ROUND(C39*$C$16,2)</f>
        <v>1477.51</v>
      </c>
      <c r="E39" s="19" t="n">
        <f aca="false">IF(C39&lt;=0,0,ROUND(CHOOSE($C$10,IF(A39=$C$17,C39+D39,MIN($C$18,C39+D39)),IF(A39=$C$17,C39,MIN($C$19,C39))+D39,IF(A39=$C$17,C39,0)+D39),2))</f>
        <v>1932.9</v>
      </c>
      <c r="F39" s="19" t="n">
        <f aca="false">IF(C39&lt;=0,0,MAX(0,ROUND(E39-D39,2)))</f>
        <v>455.39</v>
      </c>
      <c r="G39" s="19" t="n">
        <f aca="false">IF(C39&lt;=0,0,ROUND(MIN(MAX(0,C39-F39),MAX(0,IF(A39&gt;=$C$13,$C$12,0)+SUMIF($E$5:$E$14,A39,$F$5:$F$14))),2))</f>
        <v>200</v>
      </c>
      <c r="H39" s="19" t="n">
        <f aca="false">ROUND(E39+G39,2)</f>
        <v>2132.9</v>
      </c>
      <c r="I39" s="19" t="n">
        <f aca="false">ROUND(C39-F39-G39,2)</f>
        <v>294847.31</v>
      </c>
      <c r="J39" s="19" t="n">
        <f aca="false">ROUND(J38+D39,2)</f>
        <v>11910.51</v>
      </c>
      <c r="K39" s="19" t="n">
        <f aca="false">ROUND(K38+F39+G39,2)</f>
        <v>5152.69</v>
      </c>
      <c r="M39" s="19" t="n">
        <f aca="false">Q38</f>
        <v>296923.87</v>
      </c>
      <c r="N39" s="19" t="n">
        <f aca="false">ROUND(M39*$C$16,2)</f>
        <v>1484.62</v>
      </c>
      <c r="O39" s="19" t="n">
        <f aca="false">IF(M39&lt;=0,0,ROUND(CHOOSE($C$10,IF(A39=$C$17,M39+N39,MIN($C$18,M39+N39)),IF(A39=$C$17,M39,MIN($C$19,M39))+N39,IF(A39=$C$17,M39,0)+N39),2))</f>
        <v>1932.9</v>
      </c>
      <c r="P39" s="19" t="n">
        <f aca="false">IF(M39&lt;=0,0,MAX(0,ROUND(O39-N39,2)))</f>
        <v>448.28</v>
      </c>
      <c r="Q39" s="19" t="n">
        <f aca="false">ROUND(M39-P39,2)</f>
        <v>296475.59</v>
      </c>
    </row>
    <row r="40" customFormat="false" ht="15" hidden="false" customHeight="false" outlineLevel="0" collapsed="false">
      <c r="A40" s="24" t="n">
        <f aca="false">A39+1</f>
        <v>9</v>
      </c>
      <c r="B40" s="25" t="n">
        <f aca="false">IF(MOD(12,$C$7)=0,EDATE($C$9,(A40-1)*12/$C$7),$C$9+(A40-1)*ROUND(364/$C$7,0))</f>
        <v>46569</v>
      </c>
      <c r="C40" s="19" t="n">
        <f aca="false">I39</f>
        <v>294847.31</v>
      </c>
      <c r="D40" s="19" t="n">
        <f aca="false">ROUND(C40*$C$16,2)</f>
        <v>1474.24</v>
      </c>
      <c r="E40" s="19" t="n">
        <f aca="false">IF(C40&lt;=0,0,ROUND(CHOOSE($C$10,IF(A40=$C$17,C40+D40,MIN($C$18,C40+D40)),IF(A40=$C$17,C40,MIN($C$19,C40))+D40,IF(A40=$C$17,C40,0)+D40),2))</f>
        <v>1932.9</v>
      </c>
      <c r="F40" s="19" t="n">
        <f aca="false">IF(C40&lt;=0,0,MAX(0,ROUND(E40-D40,2)))</f>
        <v>458.66</v>
      </c>
      <c r="G40" s="19" t="n">
        <f aca="false">IF(C40&lt;=0,0,ROUND(MIN(MAX(0,C40-F40),MAX(0,IF(A40&gt;=$C$13,$C$12,0)+SUMIF($E$5:$E$14,A40,$F$5:$F$14))),2))</f>
        <v>200</v>
      </c>
      <c r="H40" s="19" t="n">
        <f aca="false">ROUND(E40+G40,2)</f>
        <v>2132.9</v>
      </c>
      <c r="I40" s="19" t="n">
        <f aca="false">ROUND(C40-F40-G40,2)</f>
        <v>294188.65</v>
      </c>
      <c r="J40" s="19" t="n">
        <f aca="false">ROUND(J39+D40,2)</f>
        <v>13384.75</v>
      </c>
      <c r="K40" s="19" t="n">
        <f aca="false">ROUND(K39+F40+G40,2)</f>
        <v>5811.35</v>
      </c>
      <c r="M40" s="19" t="n">
        <f aca="false">Q39</f>
        <v>296475.59</v>
      </c>
      <c r="N40" s="19" t="n">
        <f aca="false">ROUND(M40*$C$16,2)</f>
        <v>1482.38</v>
      </c>
      <c r="O40" s="19" t="n">
        <f aca="false">IF(M40&lt;=0,0,ROUND(CHOOSE($C$10,IF(A40=$C$17,M40+N40,MIN($C$18,M40+N40)),IF(A40=$C$17,M40,MIN($C$19,M40))+N40,IF(A40=$C$17,M40,0)+N40),2))</f>
        <v>1932.9</v>
      </c>
      <c r="P40" s="19" t="n">
        <f aca="false">IF(M40&lt;=0,0,MAX(0,ROUND(O40-N40,2)))</f>
        <v>450.52</v>
      </c>
      <c r="Q40" s="19" t="n">
        <f aca="false">ROUND(M40-P40,2)</f>
        <v>296025.07</v>
      </c>
    </row>
    <row r="41" customFormat="false" ht="15" hidden="false" customHeight="false" outlineLevel="0" collapsed="false">
      <c r="A41" s="24" t="n">
        <f aca="false">A40+1</f>
        <v>10</v>
      </c>
      <c r="B41" s="25" t="n">
        <f aca="false">IF(MOD(12,$C$7)=0,EDATE($C$9,(A41-1)*12/$C$7),$C$9+(A41-1)*ROUND(364/$C$7,0))</f>
        <v>46600</v>
      </c>
      <c r="C41" s="19" t="n">
        <f aca="false">I40</f>
        <v>294188.65</v>
      </c>
      <c r="D41" s="19" t="n">
        <f aca="false">ROUND(C41*$C$16,2)</f>
        <v>1470.94</v>
      </c>
      <c r="E41" s="19" t="n">
        <f aca="false">IF(C41&lt;=0,0,ROUND(CHOOSE($C$10,IF(A41=$C$17,C41+D41,MIN($C$18,C41+D41)),IF(A41=$C$17,C41,MIN($C$19,C41))+D41,IF(A41=$C$17,C41,0)+D41),2))</f>
        <v>1932.9</v>
      </c>
      <c r="F41" s="19" t="n">
        <f aca="false">IF(C41&lt;=0,0,MAX(0,ROUND(E41-D41,2)))</f>
        <v>461.96</v>
      </c>
      <c r="G41" s="19" t="n">
        <f aca="false">IF(C41&lt;=0,0,ROUND(MIN(MAX(0,C41-F41),MAX(0,IF(A41&gt;=$C$13,$C$12,0)+SUMIF($E$5:$E$14,A41,$F$5:$F$14))),2))</f>
        <v>200</v>
      </c>
      <c r="H41" s="19" t="n">
        <f aca="false">ROUND(E41+G41,2)</f>
        <v>2132.9</v>
      </c>
      <c r="I41" s="19" t="n">
        <f aca="false">ROUND(C41-F41-G41,2)</f>
        <v>293526.69</v>
      </c>
      <c r="J41" s="19" t="n">
        <f aca="false">ROUND(J40+D41,2)</f>
        <v>14855.69</v>
      </c>
      <c r="K41" s="19" t="n">
        <f aca="false">ROUND(K40+F41+G41,2)</f>
        <v>6473.31</v>
      </c>
      <c r="M41" s="19" t="n">
        <f aca="false">Q40</f>
        <v>296025.07</v>
      </c>
      <c r="N41" s="19" t="n">
        <f aca="false">ROUND(M41*$C$16,2)</f>
        <v>1480.13</v>
      </c>
      <c r="O41" s="19" t="n">
        <f aca="false">IF(M41&lt;=0,0,ROUND(CHOOSE($C$10,IF(A41=$C$17,M41+N41,MIN($C$18,M41+N41)),IF(A41=$C$17,M41,MIN($C$19,M41))+N41,IF(A41=$C$17,M41,0)+N41),2))</f>
        <v>1932.9</v>
      </c>
      <c r="P41" s="19" t="n">
        <f aca="false">IF(M41&lt;=0,0,MAX(0,ROUND(O41-N41,2)))</f>
        <v>452.77</v>
      </c>
      <c r="Q41" s="19" t="n">
        <f aca="false">ROUND(M41-P41,2)</f>
        <v>295572.3</v>
      </c>
    </row>
    <row r="42" customFormat="false" ht="15" hidden="false" customHeight="false" outlineLevel="0" collapsed="false">
      <c r="A42" s="24" t="n">
        <f aca="false">A41+1</f>
        <v>11</v>
      </c>
      <c r="B42" s="25" t="n">
        <f aca="false">IF(MOD(12,$C$7)=0,EDATE($C$9,(A42-1)*12/$C$7),$C$9+(A42-1)*ROUND(364/$C$7,0))</f>
        <v>46631</v>
      </c>
      <c r="C42" s="19" t="n">
        <f aca="false">I41</f>
        <v>293526.69</v>
      </c>
      <c r="D42" s="19" t="n">
        <f aca="false">ROUND(C42*$C$16,2)</f>
        <v>1467.63</v>
      </c>
      <c r="E42" s="19" t="n">
        <f aca="false">IF(C42&lt;=0,0,ROUND(CHOOSE($C$10,IF(A42=$C$17,C42+D42,MIN($C$18,C42+D42)),IF(A42=$C$17,C42,MIN($C$19,C42))+D42,IF(A42=$C$17,C42,0)+D42),2))</f>
        <v>1932.9</v>
      </c>
      <c r="F42" s="19" t="n">
        <f aca="false">IF(C42&lt;=0,0,MAX(0,ROUND(E42-D42,2)))</f>
        <v>465.27</v>
      </c>
      <c r="G42" s="19" t="n">
        <f aca="false">IF(C42&lt;=0,0,ROUND(MIN(MAX(0,C42-F42),MAX(0,IF(A42&gt;=$C$13,$C$12,0)+SUMIF($E$5:$E$14,A42,$F$5:$F$14))),2))</f>
        <v>200</v>
      </c>
      <c r="H42" s="19" t="n">
        <f aca="false">ROUND(E42+G42,2)</f>
        <v>2132.9</v>
      </c>
      <c r="I42" s="19" t="n">
        <f aca="false">ROUND(C42-F42-G42,2)</f>
        <v>292861.42</v>
      </c>
      <c r="J42" s="19" t="n">
        <f aca="false">ROUND(J41+D42,2)</f>
        <v>16323.32</v>
      </c>
      <c r="K42" s="19" t="n">
        <f aca="false">ROUND(K41+F42+G42,2)</f>
        <v>7138.58</v>
      </c>
      <c r="M42" s="19" t="n">
        <f aca="false">Q41</f>
        <v>295572.3</v>
      </c>
      <c r="N42" s="19" t="n">
        <f aca="false">ROUND(M42*$C$16,2)</f>
        <v>1477.86</v>
      </c>
      <c r="O42" s="19" t="n">
        <f aca="false">IF(M42&lt;=0,0,ROUND(CHOOSE($C$10,IF(A42=$C$17,M42+N42,MIN($C$18,M42+N42)),IF(A42=$C$17,M42,MIN($C$19,M42))+N42,IF(A42=$C$17,M42,0)+N42),2))</f>
        <v>1932.9</v>
      </c>
      <c r="P42" s="19" t="n">
        <f aca="false">IF(M42&lt;=0,0,MAX(0,ROUND(O42-N42,2)))</f>
        <v>455.04</v>
      </c>
      <c r="Q42" s="19" t="n">
        <f aca="false">ROUND(M42-P42,2)</f>
        <v>295117.26</v>
      </c>
    </row>
    <row r="43" customFormat="false" ht="15" hidden="false" customHeight="false" outlineLevel="0" collapsed="false">
      <c r="A43" s="24" t="n">
        <f aca="false">A42+1</f>
        <v>12</v>
      </c>
      <c r="B43" s="25" t="n">
        <f aca="false">IF(MOD(12,$C$7)=0,EDATE($C$9,(A43-1)*12/$C$7),$C$9+(A43-1)*ROUND(364/$C$7,0))</f>
        <v>46661</v>
      </c>
      <c r="C43" s="19" t="n">
        <f aca="false">I42</f>
        <v>292861.42</v>
      </c>
      <c r="D43" s="19" t="n">
        <f aca="false">ROUND(C43*$C$16,2)</f>
        <v>1464.31</v>
      </c>
      <c r="E43" s="19" t="n">
        <f aca="false">IF(C43&lt;=0,0,ROUND(CHOOSE($C$10,IF(A43=$C$17,C43+D43,MIN($C$18,C43+D43)),IF(A43=$C$17,C43,MIN($C$19,C43))+D43,IF(A43=$C$17,C43,0)+D43),2))</f>
        <v>1932.9</v>
      </c>
      <c r="F43" s="19" t="n">
        <f aca="false">IF(C43&lt;=0,0,MAX(0,ROUND(E43-D43,2)))</f>
        <v>468.59</v>
      </c>
      <c r="G43" s="19" t="n">
        <f aca="false">IF(C43&lt;=0,0,ROUND(MIN(MAX(0,C43-F43),MAX(0,IF(A43&gt;=$C$13,$C$12,0)+SUMIF($E$5:$E$14,A43,$F$5:$F$14))),2))</f>
        <v>200</v>
      </c>
      <c r="H43" s="19" t="n">
        <f aca="false">ROUND(E43+G43,2)</f>
        <v>2132.9</v>
      </c>
      <c r="I43" s="19" t="n">
        <f aca="false">ROUND(C43-F43-G43,2)</f>
        <v>292192.83</v>
      </c>
      <c r="J43" s="19" t="n">
        <f aca="false">ROUND(J42+D43,2)</f>
        <v>17787.63</v>
      </c>
      <c r="K43" s="19" t="n">
        <f aca="false">ROUND(K42+F43+G43,2)</f>
        <v>7807.17</v>
      </c>
      <c r="M43" s="19" t="n">
        <f aca="false">Q42</f>
        <v>295117.26</v>
      </c>
      <c r="N43" s="19" t="n">
        <f aca="false">ROUND(M43*$C$16,2)</f>
        <v>1475.59</v>
      </c>
      <c r="O43" s="19" t="n">
        <f aca="false">IF(M43&lt;=0,0,ROUND(CHOOSE($C$10,IF(A43=$C$17,M43+N43,MIN($C$18,M43+N43)),IF(A43=$C$17,M43,MIN($C$19,M43))+N43,IF(A43=$C$17,M43,0)+N43),2))</f>
        <v>1932.9</v>
      </c>
      <c r="P43" s="19" t="n">
        <f aca="false">IF(M43&lt;=0,0,MAX(0,ROUND(O43-N43,2)))</f>
        <v>457.31</v>
      </c>
      <c r="Q43" s="19" t="n">
        <f aca="false">ROUND(M43-P43,2)</f>
        <v>294659.95</v>
      </c>
    </row>
    <row r="44" customFormat="false" ht="15" hidden="false" customHeight="false" outlineLevel="0" collapsed="false">
      <c r="A44" s="24" t="n">
        <f aca="false">A43+1</f>
        <v>13</v>
      </c>
      <c r="B44" s="25" t="n">
        <f aca="false">IF(MOD(12,$C$7)=0,EDATE($C$9,(A44-1)*12/$C$7),$C$9+(A44-1)*ROUND(364/$C$7,0))</f>
        <v>46692</v>
      </c>
      <c r="C44" s="19" t="n">
        <f aca="false">I43</f>
        <v>292192.83</v>
      </c>
      <c r="D44" s="19" t="n">
        <f aca="false">ROUND(C44*$C$16,2)</f>
        <v>1460.96</v>
      </c>
      <c r="E44" s="19" t="n">
        <f aca="false">IF(C44&lt;=0,0,ROUND(CHOOSE($C$10,IF(A44=$C$17,C44+D44,MIN($C$18,C44+D44)),IF(A44=$C$17,C44,MIN($C$19,C44))+D44,IF(A44=$C$17,C44,0)+D44),2))</f>
        <v>1932.9</v>
      </c>
      <c r="F44" s="19" t="n">
        <f aca="false">IF(C44&lt;=0,0,MAX(0,ROUND(E44-D44,2)))</f>
        <v>471.94</v>
      </c>
      <c r="G44" s="19" t="n">
        <f aca="false">IF(C44&lt;=0,0,ROUND(MIN(MAX(0,C44-F44),MAX(0,IF(A44&gt;=$C$13,$C$12,0)+SUMIF($E$5:$E$14,A44,$F$5:$F$14))),2))</f>
        <v>200</v>
      </c>
      <c r="H44" s="19" t="n">
        <f aca="false">ROUND(E44+G44,2)</f>
        <v>2132.9</v>
      </c>
      <c r="I44" s="19" t="n">
        <f aca="false">ROUND(C44-F44-G44,2)</f>
        <v>291520.89</v>
      </c>
      <c r="J44" s="19" t="n">
        <f aca="false">ROUND(J43+D44,2)</f>
        <v>19248.59</v>
      </c>
      <c r="K44" s="19" t="n">
        <f aca="false">ROUND(K43+F44+G44,2)</f>
        <v>8479.11</v>
      </c>
      <c r="M44" s="19" t="n">
        <f aca="false">Q43</f>
        <v>294659.95</v>
      </c>
      <c r="N44" s="19" t="n">
        <f aca="false">ROUND(M44*$C$16,2)</f>
        <v>1473.3</v>
      </c>
      <c r="O44" s="19" t="n">
        <f aca="false">IF(M44&lt;=0,0,ROUND(CHOOSE($C$10,IF(A44=$C$17,M44+N44,MIN($C$18,M44+N44)),IF(A44=$C$17,M44,MIN($C$19,M44))+N44,IF(A44=$C$17,M44,0)+N44),2))</f>
        <v>1932.9</v>
      </c>
      <c r="P44" s="19" t="n">
        <f aca="false">IF(M44&lt;=0,0,MAX(0,ROUND(O44-N44,2)))</f>
        <v>459.6</v>
      </c>
      <c r="Q44" s="19" t="n">
        <f aca="false">ROUND(M44-P44,2)</f>
        <v>294200.35</v>
      </c>
    </row>
    <row r="45" customFormat="false" ht="15" hidden="false" customHeight="false" outlineLevel="0" collapsed="false">
      <c r="A45" s="24" t="n">
        <f aca="false">A44+1</f>
        <v>14</v>
      </c>
      <c r="B45" s="25" t="n">
        <f aca="false">IF(MOD(12,$C$7)=0,EDATE($C$9,(A45-1)*12/$C$7),$C$9+(A45-1)*ROUND(364/$C$7,0))</f>
        <v>46722</v>
      </c>
      <c r="C45" s="19" t="n">
        <f aca="false">I44</f>
        <v>291520.89</v>
      </c>
      <c r="D45" s="19" t="n">
        <f aca="false">ROUND(C45*$C$16,2)</f>
        <v>1457.6</v>
      </c>
      <c r="E45" s="19" t="n">
        <f aca="false">IF(C45&lt;=0,0,ROUND(CHOOSE($C$10,IF(A45=$C$17,C45+D45,MIN($C$18,C45+D45)),IF(A45=$C$17,C45,MIN($C$19,C45))+D45,IF(A45=$C$17,C45,0)+D45),2))</f>
        <v>1932.9</v>
      </c>
      <c r="F45" s="19" t="n">
        <f aca="false">IF(C45&lt;=0,0,MAX(0,ROUND(E45-D45,2)))</f>
        <v>475.3</v>
      </c>
      <c r="G45" s="19" t="n">
        <f aca="false">IF(C45&lt;=0,0,ROUND(MIN(MAX(0,C45-F45),MAX(0,IF(A45&gt;=$C$13,$C$12,0)+SUMIF($E$5:$E$14,A45,$F$5:$F$14))),2))</f>
        <v>200</v>
      </c>
      <c r="H45" s="19" t="n">
        <f aca="false">ROUND(E45+G45,2)</f>
        <v>2132.9</v>
      </c>
      <c r="I45" s="19" t="n">
        <f aca="false">ROUND(C45-F45-G45,2)</f>
        <v>290845.59</v>
      </c>
      <c r="J45" s="19" t="n">
        <f aca="false">ROUND(J44+D45,2)</f>
        <v>20706.19</v>
      </c>
      <c r="K45" s="19" t="n">
        <f aca="false">ROUND(K44+F45+G45,2)</f>
        <v>9154.41</v>
      </c>
      <c r="M45" s="19" t="n">
        <f aca="false">Q44</f>
        <v>294200.35</v>
      </c>
      <c r="N45" s="19" t="n">
        <f aca="false">ROUND(M45*$C$16,2)</f>
        <v>1471</v>
      </c>
      <c r="O45" s="19" t="n">
        <f aca="false">IF(M45&lt;=0,0,ROUND(CHOOSE($C$10,IF(A45=$C$17,M45+N45,MIN($C$18,M45+N45)),IF(A45=$C$17,M45,MIN($C$19,M45))+N45,IF(A45=$C$17,M45,0)+N45),2))</f>
        <v>1932.9</v>
      </c>
      <c r="P45" s="19" t="n">
        <f aca="false">IF(M45&lt;=0,0,MAX(0,ROUND(O45-N45,2)))</f>
        <v>461.9</v>
      </c>
      <c r="Q45" s="19" t="n">
        <f aca="false">ROUND(M45-P45,2)</f>
        <v>293738.45</v>
      </c>
    </row>
    <row r="46" customFormat="false" ht="15" hidden="false" customHeight="false" outlineLevel="0" collapsed="false">
      <c r="A46" s="24" t="n">
        <f aca="false">A45+1</f>
        <v>15</v>
      </c>
      <c r="B46" s="25" t="n">
        <f aca="false">IF(MOD(12,$C$7)=0,EDATE($C$9,(A46-1)*12/$C$7),$C$9+(A46-1)*ROUND(364/$C$7,0))</f>
        <v>46753</v>
      </c>
      <c r="C46" s="19" t="n">
        <f aca="false">I45</f>
        <v>290845.59</v>
      </c>
      <c r="D46" s="19" t="n">
        <f aca="false">ROUND(C46*$C$16,2)</f>
        <v>1454.23</v>
      </c>
      <c r="E46" s="19" t="n">
        <f aca="false">IF(C46&lt;=0,0,ROUND(CHOOSE($C$10,IF(A46=$C$17,C46+D46,MIN($C$18,C46+D46)),IF(A46=$C$17,C46,MIN($C$19,C46))+D46,IF(A46=$C$17,C46,0)+D46),2))</f>
        <v>1932.9</v>
      </c>
      <c r="F46" s="19" t="n">
        <f aca="false">IF(C46&lt;=0,0,MAX(0,ROUND(E46-D46,2)))</f>
        <v>478.67</v>
      </c>
      <c r="G46" s="19" t="n">
        <f aca="false">IF(C46&lt;=0,0,ROUND(MIN(MAX(0,C46-F46),MAX(0,IF(A46&gt;=$C$13,$C$12,0)+SUMIF($E$5:$E$14,A46,$F$5:$F$14))),2))</f>
        <v>200</v>
      </c>
      <c r="H46" s="19" t="n">
        <f aca="false">ROUND(E46+G46,2)</f>
        <v>2132.9</v>
      </c>
      <c r="I46" s="19" t="n">
        <f aca="false">ROUND(C46-F46-G46,2)</f>
        <v>290166.92</v>
      </c>
      <c r="J46" s="19" t="n">
        <f aca="false">ROUND(J45+D46,2)</f>
        <v>22160.42</v>
      </c>
      <c r="K46" s="19" t="n">
        <f aca="false">ROUND(K45+F46+G46,2)</f>
        <v>9833.08</v>
      </c>
      <c r="M46" s="19" t="n">
        <f aca="false">Q45</f>
        <v>293738.45</v>
      </c>
      <c r="N46" s="19" t="n">
        <f aca="false">ROUND(M46*$C$16,2)</f>
        <v>1468.69</v>
      </c>
      <c r="O46" s="19" t="n">
        <f aca="false">IF(M46&lt;=0,0,ROUND(CHOOSE($C$10,IF(A46=$C$17,M46+N46,MIN($C$18,M46+N46)),IF(A46=$C$17,M46,MIN($C$19,M46))+N46,IF(A46=$C$17,M46,0)+N46),2))</f>
        <v>1932.9</v>
      </c>
      <c r="P46" s="19" t="n">
        <f aca="false">IF(M46&lt;=0,0,MAX(0,ROUND(O46-N46,2)))</f>
        <v>464.21</v>
      </c>
      <c r="Q46" s="19" t="n">
        <f aca="false">ROUND(M46-P46,2)</f>
        <v>293274.24</v>
      </c>
    </row>
    <row r="47" customFormat="false" ht="15" hidden="false" customHeight="false" outlineLevel="0" collapsed="false">
      <c r="A47" s="24" t="n">
        <f aca="false">A46+1</f>
        <v>16</v>
      </c>
      <c r="B47" s="25" t="n">
        <f aca="false">IF(MOD(12,$C$7)=0,EDATE($C$9,(A47-1)*12/$C$7),$C$9+(A47-1)*ROUND(364/$C$7,0))</f>
        <v>46784</v>
      </c>
      <c r="C47" s="19" t="n">
        <f aca="false">I46</f>
        <v>290166.92</v>
      </c>
      <c r="D47" s="19" t="n">
        <f aca="false">ROUND(C47*$C$16,2)</f>
        <v>1450.83</v>
      </c>
      <c r="E47" s="19" t="n">
        <f aca="false">IF(C47&lt;=0,0,ROUND(CHOOSE($C$10,IF(A47=$C$17,C47+D47,MIN($C$18,C47+D47)),IF(A47=$C$17,C47,MIN($C$19,C47))+D47,IF(A47=$C$17,C47,0)+D47),2))</f>
        <v>1932.9</v>
      </c>
      <c r="F47" s="19" t="n">
        <f aca="false">IF(C47&lt;=0,0,MAX(0,ROUND(E47-D47,2)))</f>
        <v>482.07</v>
      </c>
      <c r="G47" s="19" t="n">
        <f aca="false">IF(C47&lt;=0,0,ROUND(MIN(MAX(0,C47-F47),MAX(0,IF(A47&gt;=$C$13,$C$12,0)+SUMIF($E$5:$E$14,A47,$F$5:$F$14))),2))</f>
        <v>200</v>
      </c>
      <c r="H47" s="19" t="n">
        <f aca="false">ROUND(E47+G47,2)</f>
        <v>2132.9</v>
      </c>
      <c r="I47" s="19" t="n">
        <f aca="false">ROUND(C47-F47-G47,2)</f>
        <v>289484.85</v>
      </c>
      <c r="J47" s="19" t="n">
        <f aca="false">ROUND(J46+D47,2)</f>
        <v>23611.25</v>
      </c>
      <c r="K47" s="19" t="n">
        <f aca="false">ROUND(K46+F47+G47,2)</f>
        <v>10515.15</v>
      </c>
      <c r="M47" s="19" t="n">
        <f aca="false">Q46</f>
        <v>293274.24</v>
      </c>
      <c r="N47" s="19" t="n">
        <f aca="false">ROUND(M47*$C$16,2)</f>
        <v>1466.37</v>
      </c>
      <c r="O47" s="19" t="n">
        <f aca="false">IF(M47&lt;=0,0,ROUND(CHOOSE($C$10,IF(A47=$C$17,M47+N47,MIN($C$18,M47+N47)),IF(A47=$C$17,M47,MIN($C$19,M47))+N47,IF(A47=$C$17,M47,0)+N47),2))</f>
        <v>1932.9</v>
      </c>
      <c r="P47" s="19" t="n">
        <f aca="false">IF(M47&lt;=0,0,MAX(0,ROUND(O47-N47,2)))</f>
        <v>466.53</v>
      </c>
      <c r="Q47" s="19" t="n">
        <f aca="false">ROUND(M47-P47,2)</f>
        <v>292807.71</v>
      </c>
    </row>
    <row r="48" customFormat="false" ht="15" hidden="false" customHeight="false" outlineLevel="0" collapsed="false">
      <c r="A48" s="24" t="n">
        <f aca="false">A47+1</f>
        <v>17</v>
      </c>
      <c r="B48" s="25" t="n">
        <f aca="false">IF(MOD(12,$C$7)=0,EDATE($C$9,(A48-1)*12/$C$7),$C$9+(A48-1)*ROUND(364/$C$7,0))</f>
        <v>46813</v>
      </c>
      <c r="C48" s="19" t="n">
        <f aca="false">I47</f>
        <v>289484.85</v>
      </c>
      <c r="D48" s="19" t="n">
        <f aca="false">ROUND(C48*$C$16,2)</f>
        <v>1447.42</v>
      </c>
      <c r="E48" s="19" t="n">
        <f aca="false">IF(C48&lt;=0,0,ROUND(CHOOSE($C$10,IF(A48=$C$17,C48+D48,MIN($C$18,C48+D48)),IF(A48=$C$17,C48,MIN($C$19,C48))+D48,IF(A48=$C$17,C48,0)+D48),2))</f>
        <v>1932.9</v>
      </c>
      <c r="F48" s="19" t="n">
        <f aca="false">IF(C48&lt;=0,0,MAX(0,ROUND(E48-D48,2)))</f>
        <v>485.48</v>
      </c>
      <c r="G48" s="19" t="n">
        <f aca="false">IF(C48&lt;=0,0,ROUND(MIN(MAX(0,C48-F48),MAX(0,IF(A48&gt;=$C$13,$C$12,0)+SUMIF($E$5:$E$14,A48,$F$5:$F$14))),2))</f>
        <v>200</v>
      </c>
      <c r="H48" s="19" t="n">
        <f aca="false">ROUND(E48+G48,2)</f>
        <v>2132.9</v>
      </c>
      <c r="I48" s="19" t="n">
        <f aca="false">ROUND(C48-F48-G48,2)</f>
        <v>288799.37</v>
      </c>
      <c r="J48" s="19" t="n">
        <f aca="false">ROUND(J47+D48,2)</f>
        <v>25058.67</v>
      </c>
      <c r="K48" s="19" t="n">
        <f aca="false">ROUND(K47+F48+G48,2)</f>
        <v>11200.63</v>
      </c>
      <c r="M48" s="19" t="n">
        <f aca="false">Q47</f>
        <v>292807.71</v>
      </c>
      <c r="N48" s="19" t="n">
        <f aca="false">ROUND(M48*$C$16,2)</f>
        <v>1464.04</v>
      </c>
      <c r="O48" s="19" t="n">
        <f aca="false">IF(M48&lt;=0,0,ROUND(CHOOSE($C$10,IF(A48=$C$17,M48+N48,MIN($C$18,M48+N48)),IF(A48=$C$17,M48,MIN($C$19,M48))+N48,IF(A48=$C$17,M48,0)+N48),2))</f>
        <v>1932.9</v>
      </c>
      <c r="P48" s="19" t="n">
        <f aca="false">IF(M48&lt;=0,0,MAX(0,ROUND(O48-N48,2)))</f>
        <v>468.86</v>
      </c>
      <c r="Q48" s="19" t="n">
        <f aca="false">ROUND(M48-P48,2)</f>
        <v>292338.85</v>
      </c>
    </row>
    <row r="49" customFormat="false" ht="15" hidden="false" customHeight="false" outlineLevel="0" collapsed="false">
      <c r="A49" s="24" t="n">
        <f aca="false">A48+1</f>
        <v>18</v>
      </c>
      <c r="B49" s="25" t="n">
        <f aca="false">IF(MOD(12,$C$7)=0,EDATE($C$9,(A49-1)*12/$C$7),$C$9+(A49-1)*ROUND(364/$C$7,0))</f>
        <v>46844</v>
      </c>
      <c r="C49" s="19" t="n">
        <f aca="false">I48</f>
        <v>288799.37</v>
      </c>
      <c r="D49" s="19" t="n">
        <f aca="false">ROUND(C49*$C$16,2)</f>
        <v>1444</v>
      </c>
      <c r="E49" s="19" t="n">
        <f aca="false">IF(C49&lt;=0,0,ROUND(CHOOSE($C$10,IF(A49=$C$17,C49+D49,MIN($C$18,C49+D49)),IF(A49=$C$17,C49,MIN($C$19,C49))+D49,IF(A49=$C$17,C49,0)+D49),2))</f>
        <v>1932.9</v>
      </c>
      <c r="F49" s="19" t="n">
        <f aca="false">IF(C49&lt;=0,0,MAX(0,ROUND(E49-D49,2)))</f>
        <v>488.9</v>
      </c>
      <c r="G49" s="19" t="n">
        <f aca="false">IF(C49&lt;=0,0,ROUND(MIN(MAX(0,C49-F49),MAX(0,IF(A49&gt;=$C$13,$C$12,0)+SUMIF($E$5:$E$14,A49,$F$5:$F$14))),2))</f>
        <v>200</v>
      </c>
      <c r="H49" s="19" t="n">
        <f aca="false">ROUND(E49+G49,2)</f>
        <v>2132.9</v>
      </c>
      <c r="I49" s="19" t="n">
        <f aca="false">ROUND(C49-F49-G49,2)</f>
        <v>288110.47</v>
      </c>
      <c r="J49" s="19" t="n">
        <f aca="false">ROUND(J48+D49,2)</f>
        <v>26502.67</v>
      </c>
      <c r="K49" s="19" t="n">
        <f aca="false">ROUND(K48+F49+G49,2)</f>
        <v>11889.53</v>
      </c>
      <c r="M49" s="19" t="n">
        <f aca="false">Q48</f>
        <v>292338.85</v>
      </c>
      <c r="N49" s="19" t="n">
        <f aca="false">ROUND(M49*$C$16,2)</f>
        <v>1461.69</v>
      </c>
      <c r="O49" s="19" t="n">
        <f aca="false">IF(M49&lt;=0,0,ROUND(CHOOSE($C$10,IF(A49=$C$17,M49+N49,MIN($C$18,M49+N49)),IF(A49=$C$17,M49,MIN($C$19,M49))+N49,IF(A49=$C$17,M49,0)+N49),2))</f>
        <v>1932.9</v>
      </c>
      <c r="P49" s="19" t="n">
        <f aca="false">IF(M49&lt;=0,0,MAX(0,ROUND(O49-N49,2)))</f>
        <v>471.21</v>
      </c>
      <c r="Q49" s="19" t="n">
        <f aca="false">ROUND(M49-P49,2)</f>
        <v>291867.64</v>
      </c>
    </row>
    <row r="50" customFormat="false" ht="15" hidden="false" customHeight="false" outlineLevel="0" collapsed="false">
      <c r="A50" s="24" t="n">
        <f aca="false">A49+1</f>
        <v>19</v>
      </c>
      <c r="B50" s="25" t="n">
        <f aca="false">IF(MOD(12,$C$7)=0,EDATE($C$9,(A50-1)*12/$C$7),$C$9+(A50-1)*ROUND(364/$C$7,0))</f>
        <v>46874</v>
      </c>
      <c r="C50" s="19" t="n">
        <f aca="false">I49</f>
        <v>288110.47</v>
      </c>
      <c r="D50" s="19" t="n">
        <f aca="false">ROUND(C50*$C$16,2)</f>
        <v>1440.55</v>
      </c>
      <c r="E50" s="19" t="n">
        <f aca="false">IF(C50&lt;=0,0,ROUND(CHOOSE($C$10,IF(A50=$C$17,C50+D50,MIN($C$18,C50+D50)),IF(A50=$C$17,C50,MIN($C$19,C50))+D50,IF(A50=$C$17,C50,0)+D50),2))</f>
        <v>1932.9</v>
      </c>
      <c r="F50" s="19" t="n">
        <f aca="false">IF(C50&lt;=0,0,MAX(0,ROUND(E50-D50,2)))</f>
        <v>492.35</v>
      </c>
      <c r="G50" s="19" t="n">
        <f aca="false">IF(C50&lt;=0,0,ROUND(MIN(MAX(0,C50-F50),MAX(0,IF(A50&gt;=$C$13,$C$12,0)+SUMIF($E$5:$E$14,A50,$F$5:$F$14))),2))</f>
        <v>200</v>
      </c>
      <c r="H50" s="19" t="n">
        <f aca="false">ROUND(E50+G50,2)</f>
        <v>2132.9</v>
      </c>
      <c r="I50" s="19" t="n">
        <f aca="false">ROUND(C50-F50-G50,2)</f>
        <v>287418.12</v>
      </c>
      <c r="J50" s="19" t="n">
        <f aca="false">ROUND(J49+D50,2)</f>
        <v>27943.22</v>
      </c>
      <c r="K50" s="19" t="n">
        <f aca="false">ROUND(K49+F50+G50,2)</f>
        <v>12581.88</v>
      </c>
      <c r="M50" s="19" t="n">
        <f aca="false">Q49</f>
        <v>291867.64</v>
      </c>
      <c r="N50" s="19" t="n">
        <f aca="false">ROUND(M50*$C$16,2)</f>
        <v>1459.34</v>
      </c>
      <c r="O50" s="19" t="n">
        <f aca="false">IF(M50&lt;=0,0,ROUND(CHOOSE($C$10,IF(A50=$C$17,M50+N50,MIN($C$18,M50+N50)),IF(A50=$C$17,M50,MIN($C$19,M50))+N50,IF(A50=$C$17,M50,0)+N50),2))</f>
        <v>1932.9</v>
      </c>
      <c r="P50" s="19" t="n">
        <f aca="false">IF(M50&lt;=0,0,MAX(0,ROUND(O50-N50,2)))</f>
        <v>473.56</v>
      </c>
      <c r="Q50" s="19" t="n">
        <f aca="false">ROUND(M50-P50,2)</f>
        <v>291394.08</v>
      </c>
    </row>
    <row r="51" customFormat="false" ht="15" hidden="false" customHeight="false" outlineLevel="0" collapsed="false">
      <c r="A51" s="24" t="n">
        <f aca="false">A50+1</f>
        <v>20</v>
      </c>
      <c r="B51" s="25" t="n">
        <f aca="false">IF(MOD(12,$C$7)=0,EDATE($C$9,(A51-1)*12/$C$7),$C$9+(A51-1)*ROUND(364/$C$7,0))</f>
        <v>46905</v>
      </c>
      <c r="C51" s="19" t="n">
        <f aca="false">I50</f>
        <v>287418.12</v>
      </c>
      <c r="D51" s="19" t="n">
        <f aca="false">ROUND(C51*$C$16,2)</f>
        <v>1437.09</v>
      </c>
      <c r="E51" s="19" t="n">
        <f aca="false">IF(C51&lt;=0,0,ROUND(CHOOSE($C$10,IF(A51=$C$17,C51+D51,MIN($C$18,C51+D51)),IF(A51=$C$17,C51,MIN($C$19,C51))+D51,IF(A51=$C$17,C51,0)+D51),2))</f>
        <v>1932.9</v>
      </c>
      <c r="F51" s="19" t="n">
        <f aca="false">IF(C51&lt;=0,0,MAX(0,ROUND(E51-D51,2)))</f>
        <v>495.81</v>
      </c>
      <c r="G51" s="19" t="n">
        <f aca="false">IF(C51&lt;=0,0,ROUND(MIN(MAX(0,C51-F51),MAX(0,IF(A51&gt;=$C$13,$C$12,0)+SUMIF($E$5:$E$14,A51,$F$5:$F$14))),2))</f>
        <v>200</v>
      </c>
      <c r="H51" s="19" t="n">
        <f aca="false">ROUND(E51+G51,2)</f>
        <v>2132.9</v>
      </c>
      <c r="I51" s="19" t="n">
        <f aca="false">ROUND(C51-F51-G51,2)</f>
        <v>286722.31</v>
      </c>
      <c r="J51" s="19" t="n">
        <f aca="false">ROUND(J50+D51,2)</f>
        <v>29380.31</v>
      </c>
      <c r="K51" s="19" t="n">
        <f aca="false">ROUND(K50+F51+G51,2)</f>
        <v>13277.69</v>
      </c>
      <c r="M51" s="19" t="n">
        <f aca="false">Q50</f>
        <v>291394.08</v>
      </c>
      <c r="N51" s="19" t="n">
        <f aca="false">ROUND(M51*$C$16,2)</f>
        <v>1456.97</v>
      </c>
      <c r="O51" s="19" t="n">
        <f aca="false">IF(M51&lt;=0,0,ROUND(CHOOSE($C$10,IF(A51=$C$17,M51+N51,MIN($C$18,M51+N51)),IF(A51=$C$17,M51,MIN($C$19,M51))+N51,IF(A51=$C$17,M51,0)+N51),2))</f>
        <v>1932.9</v>
      </c>
      <c r="P51" s="19" t="n">
        <f aca="false">IF(M51&lt;=0,0,MAX(0,ROUND(O51-N51,2)))</f>
        <v>475.93</v>
      </c>
      <c r="Q51" s="19" t="n">
        <f aca="false">ROUND(M51-P51,2)</f>
        <v>290918.15</v>
      </c>
    </row>
    <row r="52" customFormat="false" ht="15" hidden="false" customHeight="false" outlineLevel="0" collapsed="false">
      <c r="A52" s="24" t="n">
        <f aca="false">A51+1</f>
        <v>21</v>
      </c>
      <c r="B52" s="25" t="n">
        <f aca="false">IF(MOD(12,$C$7)=0,EDATE($C$9,(A52-1)*12/$C$7),$C$9+(A52-1)*ROUND(364/$C$7,0))</f>
        <v>46935</v>
      </c>
      <c r="C52" s="19" t="n">
        <f aca="false">I51</f>
        <v>286722.31</v>
      </c>
      <c r="D52" s="19" t="n">
        <f aca="false">ROUND(C52*$C$16,2)</f>
        <v>1433.61</v>
      </c>
      <c r="E52" s="19" t="n">
        <f aca="false">IF(C52&lt;=0,0,ROUND(CHOOSE($C$10,IF(A52=$C$17,C52+D52,MIN($C$18,C52+D52)),IF(A52=$C$17,C52,MIN($C$19,C52))+D52,IF(A52=$C$17,C52,0)+D52),2))</f>
        <v>1932.9</v>
      </c>
      <c r="F52" s="19" t="n">
        <f aca="false">IF(C52&lt;=0,0,MAX(0,ROUND(E52-D52,2)))</f>
        <v>499.29</v>
      </c>
      <c r="G52" s="19" t="n">
        <f aca="false">IF(C52&lt;=0,0,ROUND(MIN(MAX(0,C52-F52),MAX(0,IF(A52&gt;=$C$13,$C$12,0)+SUMIF($E$5:$E$14,A52,$F$5:$F$14))),2))</f>
        <v>200</v>
      </c>
      <c r="H52" s="19" t="n">
        <f aca="false">ROUND(E52+G52,2)</f>
        <v>2132.9</v>
      </c>
      <c r="I52" s="19" t="n">
        <f aca="false">ROUND(C52-F52-G52,2)</f>
        <v>286023.02</v>
      </c>
      <c r="J52" s="19" t="n">
        <f aca="false">ROUND(J51+D52,2)</f>
        <v>30813.92</v>
      </c>
      <c r="K52" s="19" t="n">
        <f aca="false">ROUND(K51+F52+G52,2)</f>
        <v>13976.98</v>
      </c>
      <c r="M52" s="19" t="n">
        <f aca="false">Q51</f>
        <v>290918.15</v>
      </c>
      <c r="N52" s="19" t="n">
        <f aca="false">ROUND(M52*$C$16,2)</f>
        <v>1454.59</v>
      </c>
      <c r="O52" s="19" t="n">
        <f aca="false">IF(M52&lt;=0,0,ROUND(CHOOSE($C$10,IF(A52=$C$17,M52+N52,MIN($C$18,M52+N52)),IF(A52=$C$17,M52,MIN($C$19,M52))+N52,IF(A52=$C$17,M52,0)+N52),2))</f>
        <v>1932.9</v>
      </c>
      <c r="P52" s="19" t="n">
        <f aca="false">IF(M52&lt;=0,0,MAX(0,ROUND(O52-N52,2)))</f>
        <v>478.31</v>
      </c>
      <c r="Q52" s="19" t="n">
        <f aca="false">ROUND(M52-P52,2)</f>
        <v>290439.84</v>
      </c>
    </row>
    <row r="53" customFormat="false" ht="15" hidden="false" customHeight="false" outlineLevel="0" collapsed="false">
      <c r="A53" s="24" t="n">
        <f aca="false">A52+1</f>
        <v>22</v>
      </c>
      <c r="B53" s="25" t="n">
        <f aca="false">IF(MOD(12,$C$7)=0,EDATE($C$9,(A53-1)*12/$C$7),$C$9+(A53-1)*ROUND(364/$C$7,0))</f>
        <v>46966</v>
      </c>
      <c r="C53" s="19" t="n">
        <f aca="false">I52</f>
        <v>286023.02</v>
      </c>
      <c r="D53" s="19" t="n">
        <f aca="false">ROUND(C53*$C$16,2)</f>
        <v>1430.12</v>
      </c>
      <c r="E53" s="19" t="n">
        <f aca="false">IF(C53&lt;=0,0,ROUND(CHOOSE($C$10,IF(A53=$C$17,C53+D53,MIN($C$18,C53+D53)),IF(A53=$C$17,C53,MIN($C$19,C53))+D53,IF(A53=$C$17,C53,0)+D53),2))</f>
        <v>1932.9</v>
      </c>
      <c r="F53" s="19" t="n">
        <f aca="false">IF(C53&lt;=0,0,MAX(0,ROUND(E53-D53,2)))</f>
        <v>502.78</v>
      </c>
      <c r="G53" s="19" t="n">
        <f aca="false">IF(C53&lt;=0,0,ROUND(MIN(MAX(0,C53-F53),MAX(0,IF(A53&gt;=$C$13,$C$12,0)+SUMIF($E$5:$E$14,A53,$F$5:$F$14))),2))</f>
        <v>200</v>
      </c>
      <c r="H53" s="19" t="n">
        <f aca="false">ROUND(E53+G53,2)</f>
        <v>2132.9</v>
      </c>
      <c r="I53" s="19" t="n">
        <f aca="false">ROUND(C53-F53-G53,2)</f>
        <v>285320.24</v>
      </c>
      <c r="J53" s="19" t="n">
        <f aca="false">ROUND(J52+D53,2)</f>
        <v>32244.04</v>
      </c>
      <c r="K53" s="19" t="n">
        <f aca="false">ROUND(K52+F53+G53,2)</f>
        <v>14679.76</v>
      </c>
      <c r="M53" s="19" t="n">
        <f aca="false">Q52</f>
        <v>290439.84</v>
      </c>
      <c r="N53" s="19" t="n">
        <f aca="false">ROUND(M53*$C$16,2)</f>
        <v>1452.2</v>
      </c>
      <c r="O53" s="19" t="n">
        <f aca="false">IF(M53&lt;=0,0,ROUND(CHOOSE($C$10,IF(A53=$C$17,M53+N53,MIN($C$18,M53+N53)),IF(A53=$C$17,M53,MIN($C$19,M53))+N53,IF(A53=$C$17,M53,0)+N53),2))</f>
        <v>1932.9</v>
      </c>
      <c r="P53" s="19" t="n">
        <f aca="false">IF(M53&lt;=0,0,MAX(0,ROUND(O53-N53,2)))</f>
        <v>480.7</v>
      </c>
      <c r="Q53" s="19" t="n">
        <f aca="false">ROUND(M53-P53,2)</f>
        <v>289959.14</v>
      </c>
    </row>
    <row r="54" customFormat="false" ht="15" hidden="false" customHeight="false" outlineLevel="0" collapsed="false">
      <c r="A54" s="24" t="n">
        <f aca="false">A53+1</f>
        <v>23</v>
      </c>
      <c r="B54" s="25" t="n">
        <f aca="false">IF(MOD(12,$C$7)=0,EDATE($C$9,(A54-1)*12/$C$7),$C$9+(A54-1)*ROUND(364/$C$7,0))</f>
        <v>46997</v>
      </c>
      <c r="C54" s="19" t="n">
        <f aca="false">I53</f>
        <v>285320.24</v>
      </c>
      <c r="D54" s="19" t="n">
        <f aca="false">ROUND(C54*$C$16,2)</f>
        <v>1426.6</v>
      </c>
      <c r="E54" s="19" t="n">
        <f aca="false">IF(C54&lt;=0,0,ROUND(CHOOSE($C$10,IF(A54=$C$17,C54+D54,MIN($C$18,C54+D54)),IF(A54=$C$17,C54,MIN($C$19,C54))+D54,IF(A54=$C$17,C54,0)+D54),2))</f>
        <v>1932.9</v>
      </c>
      <c r="F54" s="19" t="n">
        <f aca="false">IF(C54&lt;=0,0,MAX(0,ROUND(E54-D54,2)))</f>
        <v>506.3</v>
      </c>
      <c r="G54" s="19" t="n">
        <f aca="false">IF(C54&lt;=0,0,ROUND(MIN(MAX(0,C54-F54),MAX(0,IF(A54&gt;=$C$13,$C$12,0)+SUMIF($E$5:$E$14,A54,$F$5:$F$14))),2))</f>
        <v>200</v>
      </c>
      <c r="H54" s="19" t="n">
        <f aca="false">ROUND(E54+G54,2)</f>
        <v>2132.9</v>
      </c>
      <c r="I54" s="19" t="n">
        <f aca="false">ROUND(C54-F54-G54,2)</f>
        <v>284613.94</v>
      </c>
      <c r="J54" s="19" t="n">
        <f aca="false">ROUND(J53+D54,2)</f>
        <v>33670.64</v>
      </c>
      <c r="K54" s="19" t="n">
        <f aca="false">ROUND(K53+F54+G54,2)</f>
        <v>15386.06</v>
      </c>
      <c r="M54" s="19" t="n">
        <f aca="false">Q53</f>
        <v>289959.14</v>
      </c>
      <c r="N54" s="19" t="n">
        <f aca="false">ROUND(M54*$C$16,2)</f>
        <v>1449.8</v>
      </c>
      <c r="O54" s="19" t="n">
        <f aca="false">IF(M54&lt;=0,0,ROUND(CHOOSE($C$10,IF(A54=$C$17,M54+N54,MIN($C$18,M54+N54)),IF(A54=$C$17,M54,MIN($C$19,M54))+N54,IF(A54=$C$17,M54,0)+N54),2))</f>
        <v>1932.9</v>
      </c>
      <c r="P54" s="19" t="n">
        <f aca="false">IF(M54&lt;=0,0,MAX(0,ROUND(O54-N54,2)))</f>
        <v>483.1</v>
      </c>
      <c r="Q54" s="19" t="n">
        <f aca="false">ROUND(M54-P54,2)</f>
        <v>289476.04</v>
      </c>
    </row>
    <row r="55" customFormat="false" ht="15" hidden="false" customHeight="false" outlineLevel="0" collapsed="false">
      <c r="A55" s="24" t="n">
        <f aca="false">A54+1</f>
        <v>24</v>
      </c>
      <c r="B55" s="25" t="n">
        <f aca="false">IF(MOD(12,$C$7)=0,EDATE($C$9,(A55-1)*12/$C$7),$C$9+(A55-1)*ROUND(364/$C$7,0))</f>
        <v>47027</v>
      </c>
      <c r="C55" s="19" t="n">
        <f aca="false">I54</f>
        <v>284613.94</v>
      </c>
      <c r="D55" s="19" t="n">
        <f aca="false">ROUND(C55*$C$16,2)</f>
        <v>1423.07</v>
      </c>
      <c r="E55" s="19" t="n">
        <f aca="false">IF(C55&lt;=0,0,ROUND(CHOOSE($C$10,IF(A55=$C$17,C55+D55,MIN($C$18,C55+D55)),IF(A55=$C$17,C55,MIN($C$19,C55))+D55,IF(A55=$C$17,C55,0)+D55),2))</f>
        <v>1932.9</v>
      </c>
      <c r="F55" s="19" t="n">
        <f aca="false">IF(C55&lt;=0,0,MAX(0,ROUND(E55-D55,2)))</f>
        <v>509.83</v>
      </c>
      <c r="G55" s="19" t="n">
        <f aca="false">IF(C55&lt;=0,0,ROUND(MIN(MAX(0,C55-F55),MAX(0,IF(A55&gt;=$C$13,$C$12,0)+SUMIF($E$5:$E$14,A55,$F$5:$F$14))),2))</f>
        <v>200</v>
      </c>
      <c r="H55" s="19" t="n">
        <f aca="false">ROUND(E55+G55,2)</f>
        <v>2132.9</v>
      </c>
      <c r="I55" s="19" t="n">
        <f aca="false">ROUND(C55-F55-G55,2)</f>
        <v>283904.11</v>
      </c>
      <c r="J55" s="19" t="n">
        <f aca="false">ROUND(J54+D55,2)</f>
        <v>35093.71</v>
      </c>
      <c r="K55" s="19" t="n">
        <f aca="false">ROUND(K54+F55+G55,2)</f>
        <v>16095.89</v>
      </c>
      <c r="M55" s="19" t="n">
        <f aca="false">Q54</f>
        <v>289476.04</v>
      </c>
      <c r="N55" s="19" t="n">
        <f aca="false">ROUND(M55*$C$16,2)</f>
        <v>1447.38</v>
      </c>
      <c r="O55" s="19" t="n">
        <f aca="false">IF(M55&lt;=0,0,ROUND(CHOOSE($C$10,IF(A55=$C$17,M55+N55,MIN($C$18,M55+N55)),IF(A55=$C$17,M55,MIN($C$19,M55))+N55,IF(A55=$C$17,M55,0)+N55),2))</f>
        <v>1932.9</v>
      </c>
      <c r="P55" s="19" t="n">
        <f aca="false">IF(M55&lt;=0,0,MAX(0,ROUND(O55-N55,2)))</f>
        <v>485.52</v>
      </c>
      <c r="Q55" s="19" t="n">
        <f aca="false">ROUND(M55-P55,2)</f>
        <v>288990.52</v>
      </c>
    </row>
    <row r="56" customFormat="false" ht="15" hidden="false" customHeight="false" outlineLevel="0" collapsed="false">
      <c r="A56" s="24" t="n">
        <f aca="false">A55+1</f>
        <v>25</v>
      </c>
      <c r="B56" s="25" t="n">
        <f aca="false">IF(MOD(12,$C$7)=0,EDATE($C$9,(A56-1)*12/$C$7),$C$9+(A56-1)*ROUND(364/$C$7,0))</f>
        <v>47058</v>
      </c>
      <c r="C56" s="19" t="n">
        <f aca="false">I55</f>
        <v>283904.11</v>
      </c>
      <c r="D56" s="19" t="n">
        <f aca="false">ROUND(C56*$C$16,2)</f>
        <v>1419.52</v>
      </c>
      <c r="E56" s="19" t="n">
        <f aca="false">IF(C56&lt;=0,0,ROUND(CHOOSE($C$10,IF(A56=$C$17,C56+D56,MIN($C$18,C56+D56)),IF(A56=$C$17,C56,MIN($C$19,C56))+D56,IF(A56=$C$17,C56,0)+D56),2))</f>
        <v>1932.9</v>
      </c>
      <c r="F56" s="19" t="n">
        <f aca="false">IF(C56&lt;=0,0,MAX(0,ROUND(E56-D56,2)))</f>
        <v>513.38</v>
      </c>
      <c r="G56" s="19" t="n">
        <f aca="false">IF(C56&lt;=0,0,ROUND(MIN(MAX(0,C56-F56),MAX(0,IF(A56&gt;=$C$13,$C$12,0)+SUMIF($E$5:$E$14,A56,$F$5:$F$14))),2))</f>
        <v>200</v>
      </c>
      <c r="H56" s="19" t="n">
        <f aca="false">ROUND(E56+G56,2)</f>
        <v>2132.9</v>
      </c>
      <c r="I56" s="19" t="n">
        <f aca="false">ROUND(C56-F56-G56,2)</f>
        <v>283190.73</v>
      </c>
      <c r="J56" s="19" t="n">
        <f aca="false">ROUND(J55+D56,2)</f>
        <v>36513.23</v>
      </c>
      <c r="K56" s="19" t="n">
        <f aca="false">ROUND(K55+F56+G56,2)</f>
        <v>16809.27</v>
      </c>
      <c r="M56" s="19" t="n">
        <f aca="false">Q55</f>
        <v>288990.52</v>
      </c>
      <c r="N56" s="19" t="n">
        <f aca="false">ROUND(M56*$C$16,2)</f>
        <v>1444.95</v>
      </c>
      <c r="O56" s="19" t="n">
        <f aca="false">IF(M56&lt;=0,0,ROUND(CHOOSE($C$10,IF(A56=$C$17,M56+N56,MIN($C$18,M56+N56)),IF(A56=$C$17,M56,MIN($C$19,M56))+N56,IF(A56=$C$17,M56,0)+N56),2))</f>
        <v>1932.9</v>
      </c>
      <c r="P56" s="19" t="n">
        <f aca="false">IF(M56&lt;=0,0,MAX(0,ROUND(O56-N56,2)))</f>
        <v>487.95</v>
      </c>
      <c r="Q56" s="19" t="n">
        <f aca="false">ROUND(M56-P56,2)</f>
        <v>288502.57</v>
      </c>
    </row>
    <row r="57" customFormat="false" ht="15" hidden="false" customHeight="false" outlineLevel="0" collapsed="false">
      <c r="A57" s="24" t="n">
        <f aca="false">A56+1</f>
        <v>26</v>
      </c>
      <c r="B57" s="25" t="n">
        <f aca="false">IF(MOD(12,$C$7)=0,EDATE($C$9,(A57-1)*12/$C$7),$C$9+(A57-1)*ROUND(364/$C$7,0))</f>
        <v>47088</v>
      </c>
      <c r="C57" s="19" t="n">
        <f aca="false">I56</f>
        <v>283190.73</v>
      </c>
      <c r="D57" s="19" t="n">
        <f aca="false">ROUND(C57*$C$16,2)</f>
        <v>1415.95</v>
      </c>
      <c r="E57" s="19" t="n">
        <f aca="false">IF(C57&lt;=0,0,ROUND(CHOOSE($C$10,IF(A57=$C$17,C57+D57,MIN($C$18,C57+D57)),IF(A57=$C$17,C57,MIN($C$19,C57))+D57,IF(A57=$C$17,C57,0)+D57),2))</f>
        <v>1932.9</v>
      </c>
      <c r="F57" s="19" t="n">
        <f aca="false">IF(C57&lt;=0,0,MAX(0,ROUND(E57-D57,2)))</f>
        <v>516.95</v>
      </c>
      <c r="G57" s="19" t="n">
        <f aca="false">IF(C57&lt;=0,0,ROUND(MIN(MAX(0,C57-F57),MAX(0,IF(A57&gt;=$C$13,$C$12,0)+SUMIF($E$5:$E$14,A57,$F$5:$F$14))),2))</f>
        <v>200</v>
      </c>
      <c r="H57" s="19" t="n">
        <f aca="false">ROUND(E57+G57,2)</f>
        <v>2132.9</v>
      </c>
      <c r="I57" s="19" t="n">
        <f aca="false">ROUND(C57-F57-G57,2)</f>
        <v>282473.78</v>
      </c>
      <c r="J57" s="19" t="n">
        <f aca="false">ROUND(J56+D57,2)</f>
        <v>37929.18</v>
      </c>
      <c r="K57" s="19" t="n">
        <f aca="false">ROUND(K56+F57+G57,2)</f>
        <v>17526.22</v>
      </c>
      <c r="M57" s="19" t="n">
        <f aca="false">Q56</f>
        <v>288502.57</v>
      </c>
      <c r="N57" s="19" t="n">
        <f aca="false">ROUND(M57*$C$16,2)</f>
        <v>1442.51</v>
      </c>
      <c r="O57" s="19" t="n">
        <f aca="false">IF(M57&lt;=0,0,ROUND(CHOOSE($C$10,IF(A57=$C$17,M57+N57,MIN($C$18,M57+N57)),IF(A57=$C$17,M57,MIN($C$19,M57))+N57,IF(A57=$C$17,M57,0)+N57),2))</f>
        <v>1932.9</v>
      </c>
      <c r="P57" s="19" t="n">
        <f aca="false">IF(M57&lt;=0,0,MAX(0,ROUND(O57-N57,2)))</f>
        <v>490.39</v>
      </c>
      <c r="Q57" s="19" t="n">
        <f aca="false">ROUND(M57-P57,2)</f>
        <v>288012.18</v>
      </c>
    </row>
    <row r="58" customFormat="false" ht="15" hidden="false" customHeight="false" outlineLevel="0" collapsed="false">
      <c r="A58" s="24" t="n">
        <f aca="false">A57+1</f>
        <v>27</v>
      </c>
      <c r="B58" s="25" t="n">
        <f aca="false">IF(MOD(12,$C$7)=0,EDATE($C$9,(A58-1)*12/$C$7),$C$9+(A58-1)*ROUND(364/$C$7,0))</f>
        <v>47119</v>
      </c>
      <c r="C58" s="19" t="n">
        <f aca="false">I57</f>
        <v>282473.78</v>
      </c>
      <c r="D58" s="19" t="n">
        <f aca="false">ROUND(C58*$C$16,2)</f>
        <v>1412.37</v>
      </c>
      <c r="E58" s="19" t="n">
        <f aca="false">IF(C58&lt;=0,0,ROUND(CHOOSE($C$10,IF(A58=$C$17,C58+D58,MIN($C$18,C58+D58)),IF(A58=$C$17,C58,MIN($C$19,C58))+D58,IF(A58=$C$17,C58,0)+D58),2))</f>
        <v>1932.9</v>
      </c>
      <c r="F58" s="19" t="n">
        <f aca="false">IF(C58&lt;=0,0,MAX(0,ROUND(E58-D58,2)))</f>
        <v>520.53</v>
      </c>
      <c r="G58" s="19" t="n">
        <f aca="false">IF(C58&lt;=0,0,ROUND(MIN(MAX(0,C58-F58),MAX(0,IF(A58&gt;=$C$13,$C$12,0)+SUMIF($E$5:$E$14,A58,$F$5:$F$14))),2))</f>
        <v>200</v>
      </c>
      <c r="H58" s="19" t="n">
        <f aca="false">ROUND(E58+G58,2)</f>
        <v>2132.9</v>
      </c>
      <c r="I58" s="19" t="n">
        <f aca="false">ROUND(C58-F58-G58,2)</f>
        <v>281753.25</v>
      </c>
      <c r="J58" s="19" t="n">
        <f aca="false">ROUND(J57+D58,2)</f>
        <v>39341.55</v>
      </c>
      <c r="K58" s="19" t="n">
        <f aca="false">ROUND(K57+F58+G58,2)</f>
        <v>18246.75</v>
      </c>
      <c r="M58" s="19" t="n">
        <f aca="false">Q57</f>
        <v>288012.18</v>
      </c>
      <c r="N58" s="19" t="n">
        <f aca="false">ROUND(M58*$C$16,2)</f>
        <v>1440.06</v>
      </c>
      <c r="O58" s="19" t="n">
        <f aca="false">IF(M58&lt;=0,0,ROUND(CHOOSE($C$10,IF(A58=$C$17,M58+N58,MIN($C$18,M58+N58)),IF(A58=$C$17,M58,MIN($C$19,M58))+N58,IF(A58=$C$17,M58,0)+N58),2))</f>
        <v>1932.9</v>
      </c>
      <c r="P58" s="19" t="n">
        <f aca="false">IF(M58&lt;=0,0,MAX(0,ROUND(O58-N58,2)))</f>
        <v>492.84</v>
      </c>
      <c r="Q58" s="19" t="n">
        <f aca="false">ROUND(M58-P58,2)</f>
        <v>287519.34</v>
      </c>
    </row>
    <row r="59" customFormat="false" ht="15" hidden="false" customHeight="false" outlineLevel="0" collapsed="false">
      <c r="A59" s="24" t="n">
        <f aca="false">A58+1</f>
        <v>28</v>
      </c>
      <c r="B59" s="25" t="n">
        <f aca="false">IF(MOD(12,$C$7)=0,EDATE($C$9,(A59-1)*12/$C$7),$C$9+(A59-1)*ROUND(364/$C$7,0))</f>
        <v>47150</v>
      </c>
      <c r="C59" s="19" t="n">
        <f aca="false">I58</f>
        <v>281753.25</v>
      </c>
      <c r="D59" s="19" t="n">
        <f aca="false">ROUND(C59*$C$16,2)</f>
        <v>1408.77</v>
      </c>
      <c r="E59" s="19" t="n">
        <f aca="false">IF(C59&lt;=0,0,ROUND(CHOOSE($C$10,IF(A59=$C$17,C59+D59,MIN($C$18,C59+D59)),IF(A59=$C$17,C59,MIN($C$19,C59))+D59,IF(A59=$C$17,C59,0)+D59),2))</f>
        <v>1932.9</v>
      </c>
      <c r="F59" s="19" t="n">
        <f aca="false">IF(C59&lt;=0,0,MAX(0,ROUND(E59-D59,2)))</f>
        <v>524.13</v>
      </c>
      <c r="G59" s="19" t="n">
        <f aca="false">IF(C59&lt;=0,0,ROUND(MIN(MAX(0,C59-F59),MAX(0,IF(A59&gt;=$C$13,$C$12,0)+SUMIF($E$5:$E$14,A59,$F$5:$F$14))),2))</f>
        <v>200</v>
      </c>
      <c r="H59" s="19" t="n">
        <f aca="false">ROUND(E59+G59,2)</f>
        <v>2132.9</v>
      </c>
      <c r="I59" s="19" t="n">
        <f aca="false">ROUND(C59-F59-G59,2)</f>
        <v>281029.12</v>
      </c>
      <c r="J59" s="19" t="n">
        <f aca="false">ROUND(J58+D59,2)</f>
        <v>40750.32</v>
      </c>
      <c r="K59" s="19" t="n">
        <f aca="false">ROUND(K58+F59+G59,2)</f>
        <v>18970.88</v>
      </c>
      <c r="M59" s="19" t="n">
        <f aca="false">Q58</f>
        <v>287519.34</v>
      </c>
      <c r="N59" s="19" t="n">
        <f aca="false">ROUND(M59*$C$16,2)</f>
        <v>1437.6</v>
      </c>
      <c r="O59" s="19" t="n">
        <f aca="false">IF(M59&lt;=0,0,ROUND(CHOOSE($C$10,IF(A59=$C$17,M59+N59,MIN($C$18,M59+N59)),IF(A59=$C$17,M59,MIN($C$19,M59))+N59,IF(A59=$C$17,M59,0)+N59),2))</f>
        <v>1932.9</v>
      </c>
      <c r="P59" s="19" t="n">
        <f aca="false">IF(M59&lt;=0,0,MAX(0,ROUND(O59-N59,2)))</f>
        <v>495.3</v>
      </c>
      <c r="Q59" s="19" t="n">
        <f aca="false">ROUND(M59-P59,2)</f>
        <v>287024.04</v>
      </c>
    </row>
    <row r="60" customFormat="false" ht="15" hidden="false" customHeight="false" outlineLevel="0" collapsed="false">
      <c r="A60" s="24" t="n">
        <f aca="false">A59+1</f>
        <v>29</v>
      </c>
      <c r="B60" s="25" t="n">
        <f aca="false">IF(MOD(12,$C$7)=0,EDATE($C$9,(A60-1)*12/$C$7),$C$9+(A60-1)*ROUND(364/$C$7,0))</f>
        <v>47178</v>
      </c>
      <c r="C60" s="19" t="n">
        <f aca="false">I59</f>
        <v>281029.12</v>
      </c>
      <c r="D60" s="19" t="n">
        <f aca="false">ROUND(C60*$C$16,2)</f>
        <v>1405.15</v>
      </c>
      <c r="E60" s="19" t="n">
        <f aca="false">IF(C60&lt;=0,0,ROUND(CHOOSE($C$10,IF(A60=$C$17,C60+D60,MIN($C$18,C60+D60)),IF(A60=$C$17,C60,MIN($C$19,C60))+D60,IF(A60=$C$17,C60,0)+D60),2))</f>
        <v>1932.9</v>
      </c>
      <c r="F60" s="19" t="n">
        <f aca="false">IF(C60&lt;=0,0,MAX(0,ROUND(E60-D60,2)))</f>
        <v>527.75</v>
      </c>
      <c r="G60" s="19" t="n">
        <f aca="false">IF(C60&lt;=0,0,ROUND(MIN(MAX(0,C60-F60),MAX(0,IF(A60&gt;=$C$13,$C$12,0)+SUMIF($E$5:$E$14,A60,$F$5:$F$14))),2))</f>
        <v>200</v>
      </c>
      <c r="H60" s="19" t="n">
        <f aca="false">ROUND(E60+G60,2)</f>
        <v>2132.9</v>
      </c>
      <c r="I60" s="19" t="n">
        <f aca="false">ROUND(C60-F60-G60,2)</f>
        <v>280301.37</v>
      </c>
      <c r="J60" s="19" t="n">
        <f aca="false">ROUND(J59+D60,2)</f>
        <v>42155.47</v>
      </c>
      <c r="K60" s="19" t="n">
        <f aca="false">ROUND(K59+F60+G60,2)</f>
        <v>19698.63</v>
      </c>
      <c r="M60" s="19" t="n">
        <f aca="false">Q59</f>
        <v>287024.04</v>
      </c>
      <c r="N60" s="19" t="n">
        <f aca="false">ROUND(M60*$C$16,2)</f>
        <v>1435.12</v>
      </c>
      <c r="O60" s="19" t="n">
        <f aca="false">IF(M60&lt;=0,0,ROUND(CHOOSE($C$10,IF(A60=$C$17,M60+N60,MIN($C$18,M60+N60)),IF(A60=$C$17,M60,MIN($C$19,M60))+N60,IF(A60=$C$17,M60,0)+N60),2))</f>
        <v>1932.9</v>
      </c>
      <c r="P60" s="19" t="n">
        <f aca="false">IF(M60&lt;=0,0,MAX(0,ROUND(O60-N60,2)))</f>
        <v>497.78</v>
      </c>
      <c r="Q60" s="19" t="n">
        <f aca="false">ROUND(M60-P60,2)</f>
        <v>286526.26</v>
      </c>
    </row>
    <row r="61" customFormat="false" ht="15" hidden="false" customHeight="false" outlineLevel="0" collapsed="false">
      <c r="A61" s="24" t="n">
        <f aca="false">A60+1</f>
        <v>30</v>
      </c>
      <c r="B61" s="25" t="n">
        <f aca="false">IF(MOD(12,$C$7)=0,EDATE($C$9,(A61-1)*12/$C$7),$C$9+(A61-1)*ROUND(364/$C$7,0))</f>
        <v>47209</v>
      </c>
      <c r="C61" s="19" t="n">
        <f aca="false">I60</f>
        <v>280301.37</v>
      </c>
      <c r="D61" s="19" t="n">
        <f aca="false">ROUND(C61*$C$16,2)</f>
        <v>1401.51</v>
      </c>
      <c r="E61" s="19" t="n">
        <f aca="false">IF(C61&lt;=0,0,ROUND(CHOOSE($C$10,IF(A61=$C$17,C61+D61,MIN($C$18,C61+D61)),IF(A61=$C$17,C61,MIN($C$19,C61))+D61,IF(A61=$C$17,C61,0)+D61),2))</f>
        <v>1932.9</v>
      </c>
      <c r="F61" s="19" t="n">
        <f aca="false">IF(C61&lt;=0,0,MAX(0,ROUND(E61-D61,2)))</f>
        <v>531.39</v>
      </c>
      <c r="G61" s="19" t="n">
        <f aca="false">IF(C61&lt;=0,0,ROUND(MIN(MAX(0,C61-F61),MAX(0,IF(A61&gt;=$C$13,$C$12,0)+SUMIF($E$5:$E$14,A61,$F$5:$F$14))),2))</f>
        <v>200</v>
      </c>
      <c r="H61" s="19" t="n">
        <f aca="false">ROUND(E61+G61,2)</f>
        <v>2132.9</v>
      </c>
      <c r="I61" s="19" t="n">
        <f aca="false">ROUND(C61-F61-G61,2)</f>
        <v>279569.98</v>
      </c>
      <c r="J61" s="19" t="n">
        <f aca="false">ROUND(J60+D61,2)</f>
        <v>43556.98</v>
      </c>
      <c r="K61" s="19" t="n">
        <f aca="false">ROUND(K60+F61+G61,2)</f>
        <v>20430.02</v>
      </c>
      <c r="M61" s="19" t="n">
        <f aca="false">Q60</f>
        <v>286526.26</v>
      </c>
      <c r="N61" s="19" t="n">
        <f aca="false">ROUND(M61*$C$16,2)</f>
        <v>1432.63</v>
      </c>
      <c r="O61" s="19" t="n">
        <f aca="false">IF(M61&lt;=0,0,ROUND(CHOOSE($C$10,IF(A61=$C$17,M61+N61,MIN($C$18,M61+N61)),IF(A61=$C$17,M61,MIN($C$19,M61))+N61,IF(A61=$C$17,M61,0)+N61),2))</f>
        <v>1932.9</v>
      </c>
      <c r="P61" s="19" t="n">
        <f aca="false">IF(M61&lt;=0,0,MAX(0,ROUND(O61-N61,2)))</f>
        <v>500.27</v>
      </c>
      <c r="Q61" s="19" t="n">
        <f aca="false">ROUND(M61-P61,2)</f>
        <v>286025.99</v>
      </c>
    </row>
    <row r="62" customFormat="false" ht="15" hidden="false" customHeight="false" outlineLevel="0" collapsed="false">
      <c r="A62" s="24" t="n">
        <f aca="false">A61+1</f>
        <v>31</v>
      </c>
      <c r="B62" s="25" t="n">
        <f aca="false">IF(MOD(12,$C$7)=0,EDATE($C$9,(A62-1)*12/$C$7),$C$9+(A62-1)*ROUND(364/$C$7,0))</f>
        <v>47239</v>
      </c>
      <c r="C62" s="19" t="n">
        <f aca="false">I61</f>
        <v>279569.98</v>
      </c>
      <c r="D62" s="19" t="n">
        <f aca="false">ROUND(C62*$C$16,2)</f>
        <v>1397.85</v>
      </c>
      <c r="E62" s="19" t="n">
        <f aca="false">IF(C62&lt;=0,0,ROUND(CHOOSE($C$10,IF(A62=$C$17,C62+D62,MIN($C$18,C62+D62)),IF(A62=$C$17,C62,MIN($C$19,C62))+D62,IF(A62=$C$17,C62,0)+D62),2))</f>
        <v>1932.9</v>
      </c>
      <c r="F62" s="19" t="n">
        <f aca="false">IF(C62&lt;=0,0,MAX(0,ROUND(E62-D62,2)))</f>
        <v>535.05</v>
      </c>
      <c r="G62" s="19" t="n">
        <f aca="false">IF(C62&lt;=0,0,ROUND(MIN(MAX(0,C62-F62),MAX(0,IF(A62&gt;=$C$13,$C$12,0)+SUMIF($E$5:$E$14,A62,$F$5:$F$14))),2))</f>
        <v>200</v>
      </c>
      <c r="H62" s="19" t="n">
        <f aca="false">ROUND(E62+G62,2)</f>
        <v>2132.9</v>
      </c>
      <c r="I62" s="19" t="n">
        <f aca="false">ROUND(C62-F62-G62,2)</f>
        <v>278834.93</v>
      </c>
      <c r="J62" s="19" t="n">
        <f aca="false">ROUND(J61+D62,2)</f>
        <v>44954.83</v>
      </c>
      <c r="K62" s="19" t="n">
        <f aca="false">ROUND(K61+F62+G62,2)</f>
        <v>21165.07</v>
      </c>
      <c r="M62" s="19" t="n">
        <f aca="false">Q61</f>
        <v>286025.99</v>
      </c>
      <c r="N62" s="19" t="n">
        <f aca="false">ROUND(M62*$C$16,2)</f>
        <v>1430.13</v>
      </c>
      <c r="O62" s="19" t="n">
        <f aca="false">IF(M62&lt;=0,0,ROUND(CHOOSE($C$10,IF(A62=$C$17,M62+N62,MIN($C$18,M62+N62)),IF(A62=$C$17,M62,MIN($C$19,M62))+N62,IF(A62=$C$17,M62,0)+N62),2))</f>
        <v>1932.9</v>
      </c>
      <c r="P62" s="19" t="n">
        <f aca="false">IF(M62&lt;=0,0,MAX(0,ROUND(O62-N62,2)))</f>
        <v>502.77</v>
      </c>
      <c r="Q62" s="19" t="n">
        <f aca="false">ROUND(M62-P62,2)</f>
        <v>285523.22</v>
      </c>
    </row>
    <row r="63" customFormat="false" ht="15" hidden="false" customHeight="false" outlineLevel="0" collapsed="false">
      <c r="A63" s="24" t="n">
        <f aca="false">A62+1</f>
        <v>32</v>
      </c>
      <c r="B63" s="25" t="n">
        <f aca="false">IF(MOD(12,$C$7)=0,EDATE($C$9,(A63-1)*12/$C$7),$C$9+(A63-1)*ROUND(364/$C$7,0))</f>
        <v>47270</v>
      </c>
      <c r="C63" s="19" t="n">
        <f aca="false">I62</f>
        <v>278834.93</v>
      </c>
      <c r="D63" s="19" t="n">
        <f aca="false">ROUND(C63*$C$16,2)</f>
        <v>1394.17</v>
      </c>
      <c r="E63" s="19" t="n">
        <f aca="false">IF(C63&lt;=0,0,ROUND(CHOOSE($C$10,IF(A63=$C$17,C63+D63,MIN($C$18,C63+D63)),IF(A63=$C$17,C63,MIN($C$19,C63))+D63,IF(A63=$C$17,C63,0)+D63),2))</f>
        <v>1932.9</v>
      </c>
      <c r="F63" s="19" t="n">
        <f aca="false">IF(C63&lt;=0,0,MAX(0,ROUND(E63-D63,2)))</f>
        <v>538.73</v>
      </c>
      <c r="G63" s="19" t="n">
        <f aca="false">IF(C63&lt;=0,0,ROUND(MIN(MAX(0,C63-F63),MAX(0,IF(A63&gt;=$C$13,$C$12,0)+SUMIF($E$5:$E$14,A63,$F$5:$F$14))),2))</f>
        <v>200</v>
      </c>
      <c r="H63" s="19" t="n">
        <f aca="false">ROUND(E63+G63,2)</f>
        <v>2132.9</v>
      </c>
      <c r="I63" s="19" t="n">
        <f aca="false">ROUND(C63-F63-G63,2)</f>
        <v>278096.2</v>
      </c>
      <c r="J63" s="19" t="n">
        <f aca="false">ROUND(J62+D63,2)</f>
        <v>46349</v>
      </c>
      <c r="K63" s="19" t="n">
        <f aca="false">ROUND(K62+F63+G63,2)</f>
        <v>21903.8</v>
      </c>
      <c r="M63" s="19" t="n">
        <f aca="false">Q62</f>
        <v>285523.22</v>
      </c>
      <c r="N63" s="19" t="n">
        <f aca="false">ROUND(M63*$C$16,2)</f>
        <v>1427.62</v>
      </c>
      <c r="O63" s="19" t="n">
        <f aca="false">IF(M63&lt;=0,0,ROUND(CHOOSE($C$10,IF(A63=$C$17,M63+N63,MIN($C$18,M63+N63)),IF(A63=$C$17,M63,MIN($C$19,M63))+N63,IF(A63=$C$17,M63,0)+N63),2))</f>
        <v>1932.9</v>
      </c>
      <c r="P63" s="19" t="n">
        <f aca="false">IF(M63&lt;=0,0,MAX(0,ROUND(O63-N63,2)))</f>
        <v>505.28</v>
      </c>
      <c r="Q63" s="19" t="n">
        <f aca="false">ROUND(M63-P63,2)</f>
        <v>285017.94</v>
      </c>
    </row>
    <row r="64" customFormat="false" ht="15" hidden="false" customHeight="false" outlineLevel="0" collapsed="false">
      <c r="A64" s="24" t="n">
        <f aca="false">A63+1</f>
        <v>33</v>
      </c>
      <c r="B64" s="25" t="n">
        <f aca="false">IF(MOD(12,$C$7)=0,EDATE($C$9,(A64-1)*12/$C$7),$C$9+(A64-1)*ROUND(364/$C$7,0))</f>
        <v>47300</v>
      </c>
      <c r="C64" s="19" t="n">
        <f aca="false">I63</f>
        <v>278096.2</v>
      </c>
      <c r="D64" s="19" t="n">
        <f aca="false">ROUND(C64*$C$16,2)</f>
        <v>1390.48</v>
      </c>
      <c r="E64" s="19" t="n">
        <f aca="false">IF(C64&lt;=0,0,ROUND(CHOOSE($C$10,IF(A64=$C$17,C64+D64,MIN($C$18,C64+D64)),IF(A64=$C$17,C64,MIN($C$19,C64))+D64,IF(A64=$C$17,C64,0)+D64),2))</f>
        <v>1932.9</v>
      </c>
      <c r="F64" s="19" t="n">
        <f aca="false">IF(C64&lt;=0,0,MAX(0,ROUND(E64-D64,2)))</f>
        <v>542.42</v>
      </c>
      <c r="G64" s="19" t="n">
        <f aca="false">IF(C64&lt;=0,0,ROUND(MIN(MAX(0,C64-F64),MAX(0,IF(A64&gt;=$C$13,$C$12,0)+SUMIF($E$5:$E$14,A64,$F$5:$F$14))),2))</f>
        <v>200</v>
      </c>
      <c r="H64" s="19" t="n">
        <f aca="false">ROUND(E64+G64,2)</f>
        <v>2132.9</v>
      </c>
      <c r="I64" s="19" t="n">
        <f aca="false">ROUND(C64-F64-G64,2)</f>
        <v>277353.78</v>
      </c>
      <c r="J64" s="19" t="n">
        <f aca="false">ROUND(J63+D64,2)</f>
        <v>47739.48</v>
      </c>
      <c r="K64" s="19" t="n">
        <f aca="false">ROUND(K63+F64+G64,2)</f>
        <v>22646.22</v>
      </c>
      <c r="M64" s="19" t="n">
        <f aca="false">Q63</f>
        <v>285017.94</v>
      </c>
      <c r="N64" s="19" t="n">
        <f aca="false">ROUND(M64*$C$16,2)</f>
        <v>1425.09</v>
      </c>
      <c r="O64" s="19" t="n">
        <f aca="false">IF(M64&lt;=0,0,ROUND(CHOOSE($C$10,IF(A64=$C$17,M64+N64,MIN($C$18,M64+N64)),IF(A64=$C$17,M64,MIN($C$19,M64))+N64,IF(A64=$C$17,M64,0)+N64),2))</f>
        <v>1932.9</v>
      </c>
      <c r="P64" s="19" t="n">
        <f aca="false">IF(M64&lt;=0,0,MAX(0,ROUND(O64-N64,2)))</f>
        <v>507.81</v>
      </c>
      <c r="Q64" s="19" t="n">
        <f aca="false">ROUND(M64-P64,2)</f>
        <v>284510.13</v>
      </c>
    </row>
    <row r="65" customFormat="false" ht="15" hidden="false" customHeight="false" outlineLevel="0" collapsed="false">
      <c r="A65" s="24" t="n">
        <f aca="false">A64+1</f>
        <v>34</v>
      </c>
      <c r="B65" s="25" t="n">
        <f aca="false">IF(MOD(12,$C$7)=0,EDATE($C$9,(A65-1)*12/$C$7),$C$9+(A65-1)*ROUND(364/$C$7,0))</f>
        <v>47331</v>
      </c>
      <c r="C65" s="19" t="n">
        <f aca="false">I64</f>
        <v>277353.78</v>
      </c>
      <c r="D65" s="19" t="n">
        <f aca="false">ROUND(C65*$C$16,2)</f>
        <v>1386.77</v>
      </c>
      <c r="E65" s="19" t="n">
        <f aca="false">IF(C65&lt;=0,0,ROUND(CHOOSE($C$10,IF(A65=$C$17,C65+D65,MIN($C$18,C65+D65)),IF(A65=$C$17,C65,MIN($C$19,C65))+D65,IF(A65=$C$17,C65,0)+D65),2))</f>
        <v>1932.9</v>
      </c>
      <c r="F65" s="19" t="n">
        <f aca="false">IF(C65&lt;=0,0,MAX(0,ROUND(E65-D65,2)))</f>
        <v>546.13</v>
      </c>
      <c r="G65" s="19" t="n">
        <f aca="false">IF(C65&lt;=0,0,ROUND(MIN(MAX(0,C65-F65),MAX(0,IF(A65&gt;=$C$13,$C$12,0)+SUMIF($E$5:$E$14,A65,$F$5:$F$14))),2))</f>
        <v>200</v>
      </c>
      <c r="H65" s="19" t="n">
        <f aca="false">ROUND(E65+G65,2)</f>
        <v>2132.9</v>
      </c>
      <c r="I65" s="19" t="n">
        <f aca="false">ROUND(C65-F65-G65,2)</f>
        <v>276607.65</v>
      </c>
      <c r="J65" s="19" t="n">
        <f aca="false">ROUND(J64+D65,2)</f>
        <v>49126.25</v>
      </c>
      <c r="K65" s="19" t="n">
        <f aca="false">ROUND(K64+F65+G65,2)</f>
        <v>23392.35</v>
      </c>
      <c r="M65" s="19" t="n">
        <f aca="false">Q64</f>
        <v>284510.13</v>
      </c>
      <c r="N65" s="19" t="n">
        <f aca="false">ROUND(M65*$C$16,2)</f>
        <v>1422.55</v>
      </c>
      <c r="O65" s="19" t="n">
        <f aca="false">IF(M65&lt;=0,0,ROUND(CHOOSE($C$10,IF(A65=$C$17,M65+N65,MIN($C$18,M65+N65)),IF(A65=$C$17,M65,MIN($C$19,M65))+N65,IF(A65=$C$17,M65,0)+N65),2))</f>
        <v>1932.9</v>
      </c>
      <c r="P65" s="19" t="n">
        <f aca="false">IF(M65&lt;=0,0,MAX(0,ROUND(O65-N65,2)))</f>
        <v>510.35</v>
      </c>
      <c r="Q65" s="19" t="n">
        <f aca="false">ROUND(M65-P65,2)</f>
        <v>283999.78</v>
      </c>
    </row>
    <row r="66" customFormat="false" ht="15" hidden="false" customHeight="false" outlineLevel="0" collapsed="false">
      <c r="A66" s="24" t="n">
        <f aca="false">A65+1</f>
        <v>35</v>
      </c>
      <c r="B66" s="25" t="n">
        <f aca="false">IF(MOD(12,$C$7)=0,EDATE($C$9,(A66-1)*12/$C$7),$C$9+(A66-1)*ROUND(364/$C$7,0))</f>
        <v>47362</v>
      </c>
      <c r="C66" s="19" t="n">
        <f aca="false">I65</f>
        <v>276607.65</v>
      </c>
      <c r="D66" s="19" t="n">
        <f aca="false">ROUND(C66*$C$16,2)</f>
        <v>1383.04</v>
      </c>
      <c r="E66" s="19" t="n">
        <f aca="false">IF(C66&lt;=0,0,ROUND(CHOOSE($C$10,IF(A66=$C$17,C66+D66,MIN($C$18,C66+D66)),IF(A66=$C$17,C66,MIN($C$19,C66))+D66,IF(A66=$C$17,C66,0)+D66),2))</f>
        <v>1932.9</v>
      </c>
      <c r="F66" s="19" t="n">
        <f aca="false">IF(C66&lt;=0,0,MAX(0,ROUND(E66-D66,2)))</f>
        <v>549.86</v>
      </c>
      <c r="G66" s="19" t="n">
        <f aca="false">IF(C66&lt;=0,0,ROUND(MIN(MAX(0,C66-F66),MAX(0,IF(A66&gt;=$C$13,$C$12,0)+SUMIF($E$5:$E$14,A66,$F$5:$F$14))),2))</f>
        <v>200</v>
      </c>
      <c r="H66" s="19" t="n">
        <f aca="false">ROUND(E66+G66,2)</f>
        <v>2132.9</v>
      </c>
      <c r="I66" s="19" t="n">
        <f aca="false">ROUND(C66-F66-G66,2)</f>
        <v>275857.79</v>
      </c>
      <c r="J66" s="19" t="n">
        <f aca="false">ROUND(J65+D66,2)</f>
        <v>50509.29</v>
      </c>
      <c r="K66" s="19" t="n">
        <f aca="false">ROUND(K65+F66+G66,2)</f>
        <v>24142.21</v>
      </c>
      <c r="M66" s="19" t="n">
        <f aca="false">Q65</f>
        <v>283999.78</v>
      </c>
      <c r="N66" s="19" t="n">
        <f aca="false">ROUND(M66*$C$16,2)</f>
        <v>1420</v>
      </c>
      <c r="O66" s="19" t="n">
        <f aca="false">IF(M66&lt;=0,0,ROUND(CHOOSE($C$10,IF(A66=$C$17,M66+N66,MIN($C$18,M66+N66)),IF(A66=$C$17,M66,MIN($C$19,M66))+N66,IF(A66=$C$17,M66,0)+N66),2))</f>
        <v>1932.9</v>
      </c>
      <c r="P66" s="19" t="n">
        <f aca="false">IF(M66&lt;=0,0,MAX(0,ROUND(O66-N66,2)))</f>
        <v>512.9</v>
      </c>
      <c r="Q66" s="19" t="n">
        <f aca="false">ROUND(M66-P66,2)</f>
        <v>283486.88</v>
      </c>
    </row>
    <row r="67" customFormat="false" ht="15" hidden="false" customHeight="false" outlineLevel="0" collapsed="false">
      <c r="A67" s="24" t="n">
        <f aca="false">A66+1</f>
        <v>36</v>
      </c>
      <c r="B67" s="25" t="n">
        <f aca="false">IF(MOD(12,$C$7)=0,EDATE($C$9,(A67-1)*12/$C$7),$C$9+(A67-1)*ROUND(364/$C$7,0))</f>
        <v>47392</v>
      </c>
      <c r="C67" s="19" t="n">
        <f aca="false">I66</f>
        <v>275857.79</v>
      </c>
      <c r="D67" s="19" t="n">
        <f aca="false">ROUND(C67*$C$16,2)</f>
        <v>1379.29</v>
      </c>
      <c r="E67" s="19" t="n">
        <f aca="false">IF(C67&lt;=0,0,ROUND(CHOOSE($C$10,IF(A67=$C$17,C67+D67,MIN($C$18,C67+D67)),IF(A67=$C$17,C67,MIN($C$19,C67))+D67,IF(A67=$C$17,C67,0)+D67),2))</f>
        <v>1932.9</v>
      </c>
      <c r="F67" s="19" t="n">
        <f aca="false">IF(C67&lt;=0,0,MAX(0,ROUND(E67-D67,2)))</f>
        <v>553.61</v>
      </c>
      <c r="G67" s="19" t="n">
        <f aca="false">IF(C67&lt;=0,0,ROUND(MIN(MAX(0,C67-F67),MAX(0,IF(A67&gt;=$C$13,$C$12,0)+SUMIF($E$5:$E$14,A67,$F$5:$F$14))),2))</f>
        <v>200</v>
      </c>
      <c r="H67" s="19" t="n">
        <f aca="false">ROUND(E67+G67,2)</f>
        <v>2132.9</v>
      </c>
      <c r="I67" s="19" t="n">
        <f aca="false">ROUND(C67-F67-G67,2)</f>
        <v>275104.18</v>
      </c>
      <c r="J67" s="19" t="n">
        <f aca="false">ROUND(J66+D67,2)</f>
        <v>51888.58</v>
      </c>
      <c r="K67" s="19" t="n">
        <f aca="false">ROUND(K66+F67+G67,2)</f>
        <v>24895.82</v>
      </c>
      <c r="M67" s="19" t="n">
        <f aca="false">Q66</f>
        <v>283486.88</v>
      </c>
      <c r="N67" s="19" t="n">
        <f aca="false">ROUND(M67*$C$16,2)</f>
        <v>1417.43</v>
      </c>
      <c r="O67" s="19" t="n">
        <f aca="false">IF(M67&lt;=0,0,ROUND(CHOOSE($C$10,IF(A67=$C$17,M67+N67,MIN($C$18,M67+N67)),IF(A67=$C$17,M67,MIN($C$19,M67))+N67,IF(A67=$C$17,M67,0)+N67),2))</f>
        <v>1932.9</v>
      </c>
      <c r="P67" s="19" t="n">
        <f aca="false">IF(M67&lt;=0,0,MAX(0,ROUND(O67-N67,2)))</f>
        <v>515.47</v>
      </c>
      <c r="Q67" s="19" t="n">
        <f aca="false">ROUND(M67-P67,2)</f>
        <v>282971.41</v>
      </c>
    </row>
    <row r="68" customFormat="false" ht="15" hidden="false" customHeight="false" outlineLevel="0" collapsed="false">
      <c r="A68" s="24" t="n">
        <f aca="false">A67+1</f>
        <v>37</v>
      </c>
      <c r="B68" s="25" t="n">
        <f aca="false">IF(MOD(12,$C$7)=0,EDATE($C$9,(A68-1)*12/$C$7),$C$9+(A68-1)*ROUND(364/$C$7,0))</f>
        <v>47423</v>
      </c>
      <c r="C68" s="19" t="n">
        <f aca="false">I67</f>
        <v>275104.18</v>
      </c>
      <c r="D68" s="19" t="n">
        <f aca="false">ROUND(C68*$C$16,2)</f>
        <v>1375.52</v>
      </c>
      <c r="E68" s="19" t="n">
        <f aca="false">IF(C68&lt;=0,0,ROUND(CHOOSE($C$10,IF(A68=$C$17,C68+D68,MIN($C$18,C68+D68)),IF(A68=$C$17,C68,MIN($C$19,C68))+D68,IF(A68=$C$17,C68,0)+D68),2))</f>
        <v>1932.9</v>
      </c>
      <c r="F68" s="19" t="n">
        <f aca="false">IF(C68&lt;=0,0,MAX(0,ROUND(E68-D68,2)))</f>
        <v>557.38</v>
      </c>
      <c r="G68" s="19" t="n">
        <f aca="false">IF(C68&lt;=0,0,ROUND(MIN(MAX(0,C68-F68),MAX(0,IF(A68&gt;=$C$13,$C$12,0)+SUMIF($E$5:$E$14,A68,$F$5:$F$14))),2))</f>
        <v>200</v>
      </c>
      <c r="H68" s="19" t="n">
        <f aca="false">ROUND(E68+G68,2)</f>
        <v>2132.9</v>
      </c>
      <c r="I68" s="19" t="n">
        <f aca="false">ROUND(C68-F68-G68,2)</f>
        <v>274346.8</v>
      </c>
      <c r="J68" s="19" t="n">
        <f aca="false">ROUND(J67+D68,2)</f>
        <v>53264.1</v>
      </c>
      <c r="K68" s="19" t="n">
        <f aca="false">ROUND(K67+F68+G68,2)</f>
        <v>25653.2</v>
      </c>
      <c r="M68" s="19" t="n">
        <f aca="false">Q67</f>
        <v>282971.41</v>
      </c>
      <c r="N68" s="19" t="n">
        <f aca="false">ROUND(M68*$C$16,2)</f>
        <v>1414.86</v>
      </c>
      <c r="O68" s="19" t="n">
        <f aca="false">IF(M68&lt;=0,0,ROUND(CHOOSE($C$10,IF(A68=$C$17,M68+N68,MIN($C$18,M68+N68)),IF(A68=$C$17,M68,MIN($C$19,M68))+N68,IF(A68=$C$17,M68,0)+N68),2))</f>
        <v>1932.9</v>
      </c>
      <c r="P68" s="19" t="n">
        <f aca="false">IF(M68&lt;=0,0,MAX(0,ROUND(O68-N68,2)))</f>
        <v>518.04</v>
      </c>
      <c r="Q68" s="19" t="n">
        <f aca="false">ROUND(M68-P68,2)</f>
        <v>282453.37</v>
      </c>
    </row>
    <row r="69" customFormat="false" ht="15" hidden="false" customHeight="false" outlineLevel="0" collapsed="false">
      <c r="A69" s="24" t="n">
        <f aca="false">A68+1</f>
        <v>38</v>
      </c>
      <c r="B69" s="25" t="n">
        <f aca="false">IF(MOD(12,$C$7)=0,EDATE($C$9,(A69-1)*12/$C$7),$C$9+(A69-1)*ROUND(364/$C$7,0))</f>
        <v>47453</v>
      </c>
      <c r="C69" s="19" t="n">
        <f aca="false">I68</f>
        <v>274346.8</v>
      </c>
      <c r="D69" s="19" t="n">
        <f aca="false">ROUND(C69*$C$16,2)</f>
        <v>1371.73</v>
      </c>
      <c r="E69" s="19" t="n">
        <f aca="false">IF(C69&lt;=0,0,ROUND(CHOOSE($C$10,IF(A69=$C$17,C69+D69,MIN($C$18,C69+D69)),IF(A69=$C$17,C69,MIN($C$19,C69))+D69,IF(A69=$C$17,C69,0)+D69),2))</f>
        <v>1932.9</v>
      </c>
      <c r="F69" s="19" t="n">
        <f aca="false">IF(C69&lt;=0,0,MAX(0,ROUND(E69-D69,2)))</f>
        <v>561.17</v>
      </c>
      <c r="G69" s="19" t="n">
        <f aca="false">IF(C69&lt;=0,0,ROUND(MIN(MAX(0,C69-F69),MAX(0,IF(A69&gt;=$C$13,$C$12,0)+SUMIF($E$5:$E$14,A69,$F$5:$F$14))),2))</f>
        <v>200</v>
      </c>
      <c r="H69" s="19" t="n">
        <f aca="false">ROUND(E69+G69,2)</f>
        <v>2132.9</v>
      </c>
      <c r="I69" s="19" t="n">
        <f aca="false">ROUND(C69-F69-G69,2)</f>
        <v>273585.63</v>
      </c>
      <c r="J69" s="19" t="n">
        <f aca="false">ROUND(J68+D69,2)</f>
        <v>54635.83</v>
      </c>
      <c r="K69" s="19" t="n">
        <f aca="false">ROUND(K68+F69+G69,2)</f>
        <v>26414.37</v>
      </c>
      <c r="M69" s="19" t="n">
        <f aca="false">Q68</f>
        <v>282453.37</v>
      </c>
      <c r="N69" s="19" t="n">
        <f aca="false">ROUND(M69*$C$16,2)</f>
        <v>1412.27</v>
      </c>
      <c r="O69" s="19" t="n">
        <f aca="false">IF(M69&lt;=0,0,ROUND(CHOOSE($C$10,IF(A69=$C$17,M69+N69,MIN($C$18,M69+N69)),IF(A69=$C$17,M69,MIN($C$19,M69))+N69,IF(A69=$C$17,M69,0)+N69),2))</f>
        <v>1932.9</v>
      </c>
      <c r="P69" s="19" t="n">
        <f aca="false">IF(M69&lt;=0,0,MAX(0,ROUND(O69-N69,2)))</f>
        <v>520.63</v>
      </c>
      <c r="Q69" s="19" t="n">
        <f aca="false">ROUND(M69-P69,2)</f>
        <v>281932.74</v>
      </c>
    </row>
    <row r="70" customFormat="false" ht="15" hidden="false" customHeight="false" outlineLevel="0" collapsed="false">
      <c r="A70" s="24" t="n">
        <f aca="false">A69+1</f>
        <v>39</v>
      </c>
      <c r="B70" s="25" t="n">
        <f aca="false">IF(MOD(12,$C$7)=0,EDATE($C$9,(A70-1)*12/$C$7),$C$9+(A70-1)*ROUND(364/$C$7,0))</f>
        <v>47484</v>
      </c>
      <c r="C70" s="19" t="n">
        <f aca="false">I69</f>
        <v>273585.63</v>
      </c>
      <c r="D70" s="19" t="n">
        <f aca="false">ROUND(C70*$C$16,2)</f>
        <v>1367.93</v>
      </c>
      <c r="E70" s="19" t="n">
        <f aca="false">IF(C70&lt;=0,0,ROUND(CHOOSE($C$10,IF(A70=$C$17,C70+D70,MIN($C$18,C70+D70)),IF(A70=$C$17,C70,MIN($C$19,C70))+D70,IF(A70=$C$17,C70,0)+D70),2))</f>
        <v>1932.9</v>
      </c>
      <c r="F70" s="19" t="n">
        <f aca="false">IF(C70&lt;=0,0,MAX(0,ROUND(E70-D70,2)))</f>
        <v>564.97</v>
      </c>
      <c r="G70" s="19" t="n">
        <f aca="false">IF(C70&lt;=0,0,ROUND(MIN(MAX(0,C70-F70),MAX(0,IF(A70&gt;=$C$13,$C$12,0)+SUMIF($E$5:$E$14,A70,$F$5:$F$14))),2))</f>
        <v>200</v>
      </c>
      <c r="H70" s="19" t="n">
        <f aca="false">ROUND(E70+G70,2)</f>
        <v>2132.9</v>
      </c>
      <c r="I70" s="19" t="n">
        <f aca="false">ROUND(C70-F70-G70,2)</f>
        <v>272820.66</v>
      </c>
      <c r="J70" s="19" t="n">
        <f aca="false">ROUND(J69+D70,2)</f>
        <v>56003.76</v>
      </c>
      <c r="K70" s="19" t="n">
        <f aca="false">ROUND(K69+F70+G70,2)</f>
        <v>27179.34</v>
      </c>
      <c r="M70" s="19" t="n">
        <f aca="false">Q69</f>
        <v>281932.74</v>
      </c>
      <c r="N70" s="19" t="n">
        <f aca="false">ROUND(M70*$C$16,2)</f>
        <v>1409.66</v>
      </c>
      <c r="O70" s="19" t="n">
        <f aca="false">IF(M70&lt;=0,0,ROUND(CHOOSE($C$10,IF(A70=$C$17,M70+N70,MIN($C$18,M70+N70)),IF(A70=$C$17,M70,MIN($C$19,M70))+N70,IF(A70=$C$17,M70,0)+N70),2))</f>
        <v>1932.9</v>
      </c>
      <c r="P70" s="19" t="n">
        <f aca="false">IF(M70&lt;=0,0,MAX(0,ROUND(O70-N70,2)))</f>
        <v>523.24</v>
      </c>
      <c r="Q70" s="19" t="n">
        <f aca="false">ROUND(M70-P70,2)</f>
        <v>281409.5</v>
      </c>
    </row>
    <row r="71" customFormat="false" ht="15" hidden="false" customHeight="false" outlineLevel="0" collapsed="false">
      <c r="A71" s="24" t="n">
        <f aca="false">A70+1</f>
        <v>40</v>
      </c>
      <c r="B71" s="25" t="n">
        <f aca="false">IF(MOD(12,$C$7)=0,EDATE($C$9,(A71-1)*12/$C$7),$C$9+(A71-1)*ROUND(364/$C$7,0))</f>
        <v>47515</v>
      </c>
      <c r="C71" s="19" t="n">
        <f aca="false">I70</f>
        <v>272820.66</v>
      </c>
      <c r="D71" s="19" t="n">
        <f aca="false">ROUND(C71*$C$16,2)</f>
        <v>1364.1</v>
      </c>
      <c r="E71" s="19" t="n">
        <f aca="false">IF(C71&lt;=0,0,ROUND(CHOOSE($C$10,IF(A71=$C$17,C71+D71,MIN($C$18,C71+D71)),IF(A71=$C$17,C71,MIN($C$19,C71))+D71,IF(A71=$C$17,C71,0)+D71),2))</f>
        <v>1932.9</v>
      </c>
      <c r="F71" s="19" t="n">
        <f aca="false">IF(C71&lt;=0,0,MAX(0,ROUND(E71-D71,2)))</f>
        <v>568.8</v>
      </c>
      <c r="G71" s="19" t="n">
        <f aca="false">IF(C71&lt;=0,0,ROUND(MIN(MAX(0,C71-F71),MAX(0,IF(A71&gt;=$C$13,$C$12,0)+SUMIF($E$5:$E$14,A71,$F$5:$F$14))),2))</f>
        <v>200</v>
      </c>
      <c r="H71" s="19" t="n">
        <f aca="false">ROUND(E71+G71,2)</f>
        <v>2132.9</v>
      </c>
      <c r="I71" s="19" t="n">
        <f aca="false">ROUND(C71-F71-G71,2)</f>
        <v>272051.86</v>
      </c>
      <c r="J71" s="19" t="n">
        <f aca="false">ROUND(J70+D71,2)</f>
        <v>57367.86</v>
      </c>
      <c r="K71" s="19" t="n">
        <f aca="false">ROUND(K70+F71+G71,2)</f>
        <v>27948.14</v>
      </c>
      <c r="M71" s="19" t="n">
        <f aca="false">Q70</f>
        <v>281409.5</v>
      </c>
      <c r="N71" s="19" t="n">
        <f aca="false">ROUND(M71*$C$16,2)</f>
        <v>1407.05</v>
      </c>
      <c r="O71" s="19" t="n">
        <f aca="false">IF(M71&lt;=0,0,ROUND(CHOOSE($C$10,IF(A71=$C$17,M71+N71,MIN($C$18,M71+N71)),IF(A71=$C$17,M71,MIN($C$19,M71))+N71,IF(A71=$C$17,M71,0)+N71),2))</f>
        <v>1932.9</v>
      </c>
      <c r="P71" s="19" t="n">
        <f aca="false">IF(M71&lt;=0,0,MAX(0,ROUND(O71-N71,2)))</f>
        <v>525.85</v>
      </c>
      <c r="Q71" s="19" t="n">
        <f aca="false">ROUND(M71-P71,2)</f>
        <v>280883.65</v>
      </c>
    </row>
    <row r="72" customFormat="false" ht="15" hidden="false" customHeight="false" outlineLevel="0" collapsed="false">
      <c r="A72" s="24" t="n">
        <f aca="false">A71+1</f>
        <v>41</v>
      </c>
      <c r="B72" s="25" t="n">
        <f aca="false">IF(MOD(12,$C$7)=0,EDATE($C$9,(A72-1)*12/$C$7),$C$9+(A72-1)*ROUND(364/$C$7,0))</f>
        <v>47543</v>
      </c>
      <c r="C72" s="19" t="n">
        <f aca="false">I71</f>
        <v>272051.86</v>
      </c>
      <c r="D72" s="19" t="n">
        <f aca="false">ROUND(C72*$C$16,2)</f>
        <v>1360.26</v>
      </c>
      <c r="E72" s="19" t="n">
        <f aca="false">IF(C72&lt;=0,0,ROUND(CHOOSE($C$10,IF(A72=$C$17,C72+D72,MIN($C$18,C72+D72)),IF(A72=$C$17,C72,MIN($C$19,C72))+D72,IF(A72=$C$17,C72,0)+D72),2))</f>
        <v>1932.9</v>
      </c>
      <c r="F72" s="19" t="n">
        <f aca="false">IF(C72&lt;=0,0,MAX(0,ROUND(E72-D72,2)))</f>
        <v>572.64</v>
      </c>
      <c r="G72" s="19" t="n">
        <f aca="false">IF(C72&lt;=0,0,ROUND(MIN(MAX(0,C72-F72),MAX(0,IF(A72&gt;=$C$13,$C$12,0)+SUMIF($E$5:$E$14,A72,$F$5:$F$14))),2))</f>
        <v>200</v>
      </c>
      <c r="H72" s="19" t="n">
        <f aca="false">ROUND(E72+G72,2)</f>
        <v>2132.9</v>
      </c>
      <c r="I72" s="19" t="n">
        <f aca="false">ROUND(C72-F72-G72,2)</f>
        <v>271279.22</v>
      </c>
      <c r="J72" s="19" t="n">
        <f aca="false">ROUND(J71+D72,2)</f>
        <v>58728.12</v>
      </c>
      <c r="K72" s="19" t="n">
        <f aca="false">ROUND(K71+F72+G72,2)</f>
        <v>28720.78</v>
      </c>
      <c r="M72" s="19" t="n">
        <f aca="false">Q71</f>
        <v>280883.65</v>
      </c>
      <c r="N72" s="19" t="n">
        <f aca="false">ROUND(M72*$C$16,2)</f>
        <v>1404.42</v>
      </c>
      <c r="O72" s="19" t="n">
        <f aca="false">IF(M72&lt;=0,0,ROUND(CHOOSE($C$10,IF(A72=$C$17,M72+N72,MIN($C$18,M72+N72)),IF(A72=$C$17,M72,MIN($C$19,M72))+N72,IF(A72=$C$17,M72,0)+N72),2))</f>
        <v>1932.9</v>
      </c>
      <c r="P72" s="19" t="n">
        <f aca="false">IF(M72&lt;=0,0,MAX(0,ROUND(O72-N72,2)))</f>
        <v>528.48</v>
      </c>
      <c r="Q72" s="19" t="n">
        <f aca="false">ROUND(M72-P72,2)</f>
        <v>280355.17</v>
      </c>
    </row>
    <row r="73" customFormat="false" ht="15" hidden="false" customHeight="false" outlineLevel="0" collapsed="false">
      <c r="A73" s="24" t="n">
        <f aca="false">A72+1</f>
        <v>42</v>
      </c>
      <c r="B73" s="25" t="n">
        <f aca="false">IF(MOD(12,$C$7)=0,EDATE($C$9,(A73-1)*12/$C$7),$C$9+(A73-1)*ROUND(364/$C$7,0))</f>
        <v>47574</v>
      </c>
      <c r="C73" s="19" t="n">
        <f aca="false">I72</f>
        <v>271279.22</v>
      </c>
      <c r="D73" s="19" t="n">
        <f aca="false">ROUND(C73*$C$16,2)</f>
        <v>1356.4</v>
      </c>
      <c r="E73" s="19" t="n">
        <f aca="false">IF(C73&lt;=0,0,ROUND(CHOOSE($C$10,IF(A73=$C$17,C73+D73,MIN($C$18,C73+D73)),IF(A73=$C$17,C73,MIN($C$19,C73))+D73,IF(A73=$C$17,C73,0)+D73),2))</f>
        <v>1932.9</v>
      </c>
      <c r="F73" s="19" t="n">
        <f aca="false">IF(C73&lt;=0,0,MAX(0,ROUND(E73-D73,2)))</f>
        <v>576.5</v>
      </c>
      <c r="G73" s="19" t="n">
        <f aca="false">IF(C73&lt;=0,0,ROUND(MIN(MAX(0,C73-F73),MAX(0,IF(A73&gt;=$C$13,$C$12,0)+SUMIF($E$5:$E$14,A73,$F$5:$F$14))),2))</f>
        <v>200</v>
      </c>
      <c r="H73" s="19" t="n">
        <f aca="false">ROUND(E73+G73,2)</f>
        <v>2132.9</v>
      </c>
      <c r="I73" s="19" t="n">
        <f aca="false">ROUND(C73-F73-G73,2)</f>
        <v>270502.72</v>
      </c>
      <c r="J73" s="19" t="n">
        <f aca="false">ROUND(J72+D73,2)</f>
        <v>60084.52</v>
      </c>
      <c r="K73" s="19" t="n">
        <f aca="false">ROUND(K72+F73+G73,2)</f>
        <v>29497.28</v>
      </c>
      <c r="M73" s="19" t="n">
        <f aca="false">Q72</f>
        <v>280355.17</v>
      </c>
      <c r="N73" s="19" t="n">
        <f aca="false">ROUND(M73*$C$16,2)</f>
        <v>1401.78</v>
      </c>
      <c r="O73" s="19" t="n">
        <f aca="false">IF(M73&lt;=0,0,ROUND(CHOOSE($C$10,IF(A73=$C$17,M73+N73,MIN($C$18,M73+N73)),IF(A73=$C$17,M73,MIN($C$19,M73))+N73,IF(A73=$C$17,M73,0)+N73),2))</f>
        <v>1932.9</v>
      </c>
      <c r="P73" s="19" t="n">
        <f aca="false">IF(M73&lt;=0,0,MAX(0,ROUND(O73-N73,2)))</f>
        <v>531.12</v>
      </c>
      <c r="Q73" s="19" t="n">
        <f aca="false">ROUND(M73-P73,2)</f>
        <v>279824.05</v>
      </c>
    </row>
    <row r="74" customFormat="false" ht="15" hidden="false" customHeight="false" outlineLevel="0" collapsed="false">
      <c r="A74" s="24" t="n">
        <f aca="false">A73+1</f>
        <v>43</v>
      </c>
      <c r="B74" s="25" t="n">
        <f aca="false">IF(MOD(12,$C$7)=0,EDATE($C$9,(A74-1)*12/$C$7),$C$9+(A74-1)*ROUND(364/$C$7,0))</f>
        <v>47604</v>
      </c>
      <c r="C74" s="19" t="n">
        <f aca="false">I73</f>
        <v>270502.72</v>
      </c>
      <c r="D74" s="19" t="n">
        <f aca="false">ROUND(C74*$C$16,2)</f>
        <v>1352.51</v>
      </c>
      <c r="E74" s="19" t="n">
        <f aca="false">IF(C74&lt;=0,0,ROUND(CHOOSE($C$10,IF(A74=$C$17,C74+D74,MIN($C$18,C74+D74)),IF(A74=$C$17,C74,MIN($C$19,C74))+D74,IF(A74=$C$17,C74,0)+D74),2))</f>
        <v>1932.9</v>
      </c>
      <c r="F74" s="19" t="n">
        <f aca="false">IF(C74&lt;=0,0,MAX(0,ROUND(E74-D74,2)))</f>
        <v>580.39</v>
      </c>
      <c r="G74" s="19" t="n">
        <f aca="false">IF(C74&lt;=0,0,ROUND(MIN(MAX(0,C74-F74),MAX(0,IF(A74&gt;=$C$13,$C$12,0)+SUMIF($E$5:$E$14,A74,$F$5:$F$14))),2))</f>
        <v>200</v>
      </c>
      <c r="H74" s="19" t="n">
        <f aca="false">ROUND(E74+G74,2)</f>
        <v>2132.9</v>
      </c>
      <c r="I74" s="19" t="n">
        <f aca="false">ROUND(C74-F74-G74,2)</f>
        <v>269722.33</v>
      </c>
      <c r="J74" s="19" t="n">
        <f aca="false">ROUND(J73+D74,2)</f>
        <v>61437.03</v>
      </c>
      <c r="K74" s="19" t="n">
        <f aca="false">ROUND(K73+F74+G74,2)</f>
        <v>30277.67</v>
      </c>
      <c r="M74" s="19" t="n">
        <f aca="false">Q73</f>
        <v>279824.05</v>
      </c>
      <c r="N74" s="19" t="n">
        <f aca="false">ROUND(M74*$C$16,2)</f>
        <v>1399.12</v>
      </c>
      <c r="O74" s="19" t="n">
        <f aca="false">IF(M74&lt;=0,0,ROUND(CHOOSE($C$10,IF(A74=$C$17,M74+N74,MIN($C$18,M74+N74)),IF(A74=$C$17,M74,MIN($C$19,M74))+N74,IF(A74=$C$17,M74,0)+N74),2))</f>
        <v>1932.9</v>
      </c>
      <c r="P74" s="19" t="n">
        <f aca="false">IF(M74&lt;=0,0,MAX(0,ROUND(O74-N74,2)))</f>
        <v>533.78</v>
      </c>
      <c r="Q74" s="19" t="n">
        <f aca="false">ROUND(M74-P74,2)</f>
        <v>279290.27</v>
      </c>
    </row>
    <row r="75" customFormat="false" ht="15" hidden="false" customHeight="false" outlineLevel="0" collapsed="false">
      <c r="A75" s="24" t="n">
        <f aca="false">A74+1</f>
        <v>44</v>
      </c>
      <c r="B75" s="25" t="n">
        <f aca="false">IF(MOD(12,$C$7)=0,EDATE($C$9,(A75-1)*12/$C$7),$C$9+(A75-1)*ROUND(364/$C$7,0))</f>
        <v>47635</v>
      </c>
      <c r="C75" s="19" t="n">
        <f aca="false">I74</f>
        <v>269722.33</v>
      </c>
      <c r="D75" s="19" t="n">
        <f aca="false">ROUND(C75*$C$16,2)</f>
        <v>1348.61</v>
      </c>
      <c r="E75" s="19" t="n">
        <f aca="false">IF(C75&lt;=0,0,ROUND(CHOOSE($C$10,IF(A75=$C$17,C75+D75,MIN($C$18,C75+D75)),IF(A75=$C$17,C75,MIN($C$19,C75))+D75,IF(A75=$C$17,C75,0)+D75),2))</f>
        <v>1932.9</v>
      </c>
      <c r="F75" s="19" t="n">
        <f aca="false">IF(C75&lt;=0,0,MAX(0,ROUND(E75-D75,2)))</f>
        <v>584.29</v>
      </c>
      <c r="G75" s="19" t="n">
        <f aca="false">IF(C75&lt;=0,0,ROUND(MIN(MAX(0,C75-F75),MAX(0,IF(A75&gt;=$C$13,$C$12,0)+SUMIF($E$5:$E$14,A75,$F$5:$F$14))),2))</f>
        <v>200</v>
      </c>
      <c r="H75" s="19" t="n">
        <f aca="false">ROUND(E75+G75,2)</f>
        <v>2132.9</v>
      </c>
      <c r="I75" s="19" t="n">
        <f aca="false">ROUND(C75-F75-G75,2)</f>
        <v>268938.04</v>
      </c>
      <c r="J75" s="19" t="n">
        <f aca="false">ROUND(J74+D75,2)</f>
        <v>62785.64</v>
      </c>
      <c r="K75" s="19" t="n">
        <f aca="false">ROUND(K74+F75+G75,2)</f>
        <v>31061.96</v>
      </c>
      <c r="M75" s="19" t="n">
        <f aca="false">Q74</f>
        <v>279290.27</v>
      </c>
      <c r="N75" s="19" t="n">
        <f aca="false">ROUND(M75*$C$16,2)</f>
        <v>1396.45</v>
      </c>
      <c r="O75" s="19" t="n">
        <f aca="false">IF(M75&lt;=0,0,ROUND(CHOOSE($C$10,IF(A75=$C$17,M75+N75,MIN($C$18,M75+N75)),IF(A75=$C$17,M75,MIN($C$19,M75))+N75,IF(A75=$C$17,M75,0)+N75),2))</f>
        <v>1932.9</v>
      </c>
      <c r="P75" s="19" t="n">
        <f aca="false">IF(M75&lt;=0,0,MAX(0,ROUND(O75-N75,2)))</f>
        <v>536.45</v>
      </c>
      <c r="Q75" s="19" t="n">
        <f aca="false">ROUND(M75-P75,2)</f>
        <v>278753.82</v>
      </c>
    </row>
    <row r="76" customFormat="false" ht="15" hidden="false" customHeight="false" outlineLevel="0" collapsed="false">
      <c r="A76" s="24" t="n">
        <f aca="false">A75+1</f>
        <v>45</v>
      </c>
      <c r="B76" s="25" t="n">
        <f aca="false">IF(MOD(12,$C$7)=0,EDATE($C$9,(A76-1)*12/$C$7),$C$9+(A76-1)*ROUND(364/$C$7,0))</f>
        <v>47665</v>
      </c>
      <c r="C76" s="19" t="n">
        <f aca="false">I75</f>
        <v>268938.04</v>
      </c>
      <c r="D76" s="19" t="n">
        <f aca="false">ROUND(C76*$C$16,2)</f>
        <v>1344.69</v>
      </c>
      <c r="E76" s="19" t="n">
        <f aca="false">IF(C76&lt;=0,0,ROUND(CHOOSE($C$10,IF(A76=$C$17,C76+D76,MIN($C$18,C76+D76)),IF(A76=$C$17,C76,MIN($C$19,C76))+D76,IF(A76=$C$17,C76,0)+D76),2))</f>
        <v>1932.9</v>
      </c>
      <c r="F76" s="19" t="n">
        <f aca="false">IF(C76&lt;=0,0,MAX(0,ROUND(E76-D76,2)))</f>
        <v>588.21</v>
      </c>
      <c r="G76" s="19" t="n">
        <f aca="false">IF(C76&lt;=0,0,ROUND(MIN(MAX(0,C76-F76),MAX(0,IF(A76&gt;=$C$13,$C$12,0)+SUMIF($E$5:$E$14,A76,$F$5:$F$14))),2))</f>
        <v>200</v>
      </c>
      <c r="H76" s="19" t="n">
        <f aca="false">ROUND(E76+G76,2)</f>
        <v>2132.9</v>
      </c>
      <c r="I76" s="19" t="n">
        <f aca="false">ROUND(C76-F76-G76,2)</f>
        <v>268149.83</v>
      </c>
      <c r="J76" s="19" t="n">
        <f aca="false">ROUND(J75+D76,2)</f>
        <v>64130.33</v>
      </c>
      <c r="K76" s="19" t="n">
        <f aca="false">ROUND(K75+F76+G76,2)</f>
        <v>31850.17</v>
      </c>
      <c r="M76" s="19" t="n">
        <f aca="false">Q75</f>
        <v>278753.82</v>
      </c>
      <c r="N76" s="19" t="n">
        <f aca="false">ROUND(M76*$C$16,2)</f>
        <v>1393.77</v>
      </c>
      <c r="O76" s="19" t="n">
        <f aca="false">IF(M76&lt;=0,0,ROUND(CHOOSE($C$10,IF(A76=$C$17,M76+N76,MIN($C$18,M76+N76)),IF(A76=$C$17,M76,MIN($C$19,M76))+N76,IF(A76=$C$17,M76,0)+N76),2))</f>
        <v>1932.9</v>
      </c>
      <c r="P76" s="19" t="n">
        <f aca="false">IF(M76&lt;=0,0,MAX(0,ROUND(O76-N76,2)))</f>
        <v>539.13</v>
      </c>
      <c r="Q76" s="19" t="n">
        <f aca="false">ROUND(M76-P76,2)</f>
        <v>278214.69</v>
      </c>
    </row>
    <row r="77" customFormat="false" ht="15" hidden="false" customHeight="false" outlineLevel="0" collapsed="false">
      <c r="A77" s="24" t="n">
        <f aca="false">A76+1</f>
        <v>46</v>
      </c>
      <c r="B77" s="25" t="n">
        <f aca="false">IF(MOD(12,$C$7)=0,EDATE($C$9,(A77-1)*12/$C$7),$C$9+(A77-1)*ROUND(364/$C$7,0))</f>
        <v>47696</v>
      </c>
      <c r="C77" s="19" t="n">
        <f aca="false">I76</f>
        <v>268149.83</v>
      </c>
      <c r="D77" s="19" t="n">
        <f aca="false">ROUND(C77*$C$16,2)</f>
        <v>1340.75</v>
      </c>
      <c r="E77" s="19" t="n">
        <f aca="false">IF(C77&lt;=0,0,ROUND(CHOOSE($C$10,IF(A77=$C$17,C77+D77,MIN($C$18,C77+D77)),IF(A77=$C$17,C77,MIN($C$19,C77))+D77,IF(A77=$C$17,C77,0)+D77),2))</f>
        <v>1932.9</v>
      </c>
      <c r="F77" s="19" t="n">
        <f aca="false">IF(C77&lt;=0,0,MAX(0,ROUND(E77-D77,2)))</f>
        <v>592.15</v>
      </c>
      <c r="G77" s="19" t="n">
        <f aca="false">IF(C77&lt;=0,0,ROUND(MIN(MAX(0,C77-F77),MAX(0,IF(A77&gt;=$C$13,$C$12,0)+SUMIF($E$5:$E$14,A77,$F$5:$F$14))),2))</f>
        <v>200</v>
      </c>
      <c r="H77" s="19" t="n">
        <f aca="false">ROUND(E77+G77,2)</f>
        <v>2132.9</v>
      </c>
      <c r="I77" s="19" t="n">
        <f aca="false">ROUND(C77-F77-G77,2)</f>
        <v>267357.68</v>
      </c>
      <c r="J77" s="19" t="n">
        <f aca="false">ROUND(J76+D77,2)</f>
        <v>65471.08</v>
      </c>
      <c r="K77" s="19" t="n">
        <f aca="false">ROUND(K76+F77+G77,2)</f>
        <v>32642.32</v>
      </c>
      <c r="M77" s="19" t="n">
        <f aca="false">Q76</f>
        <v>278214.69</v>
      </c>
      <c r="N77" s="19" t="n">
        <f aca="false">ROUND(M77*$C$16,2)</f>
        <v>1391.07</v>
      </c>
      <c r="O77" s="19" t="n">
        <f aca="false">IF(M77&lt;=0,0,ROUND(CHOOSE($C$10,IF(A77=$C$17,M77+N77,MIN($C$18,M77+N77)),IF(A77=$C$17,M77,MIN($C$19,M77))+N77,IF(A77=$C$17,M77,0)+N77),2))</f>
        <v>1932.9</v>
      </c>
      <c r="P77" s="19" t="n">
        <f aca="false">IF(M77&lt;=0,0,MAX(0,ROUND(O77-N77,2)))</f>
        <v>541.83</v>
      </c>
      <c r="Q77" s="19" t="n">
        <f aca="false">ROUND(M77-P77,2)</f>
        <v>277672.86</v>
      </c>
    </row>
    <row r="78" customFormat="false" ht="15" hidden="false" customHeight="false" outlineLevel="0" collapsed="false">
      <c r="A78" s="24" t="n">
        <f aca="false">A77+1</f>
        <v>47</v>
      </c>
      <c r="B78" s="25" t="n">
        <f aca="false">IF(MOD(12,$C$7)=0,EDATE($C$9,(A78-1)*12/$C$7),$C$9+(A78-1)*ROUND(364/$C$7,0))</f>
        <v>47727</v>
      </c>
      <c r="C78" s="19" t="n">
        <f aca="false">I77</f>
        <v>267357.68</v>
      </c>
      <c r="D78" s="19" t="n">
        <f aca="false">ROUND(C78*$C$16,2)</f>
        <v>1336.79</v>
      </c>
      <c r="E78" s="19" t="n">
        <f aca="false">IF(C78&lt;=0,0,ROUND(CHOOSE($C$10,IF(A78=$C$17,C78+D78,MIN($C$18,C78+D78)),IF(A78=$C$17,C78,MIN($C$19,C78))+D78,IF(A78=$C$17,C78,0)+D78),2))</f>
        <v>1932.9</v>
      </c>
      <c r="F78" s="19" t="n">
        <f aca="false">IF(C78&lt;=0,0,MAX(0,ROUND(E78-D78,2)))</f>
        <v>596.11</v>
      </c>
      <c r="G78" s="19" t="n">
        <f aca="false">IF(C78&lt;=0,0,ROUND(MIN(MAX(0,C78-F78),MAX(0,IF(A78&gt;=$C$13,$C$12,0)+SUMIF($E$5:$E$14,A78,$F$5:$F$14))),2))</f>
        <v>200</v>
      </c>
      <c r="H78" s="19" t="n">
        <f aca="false">ROUND(E78+G78,2)</f>
        <v>2132.9</v>
      </c>
      <c r="I78" s="19" t="n">
        <f aca="false">ROUND(C78-F78-G78,2)</f>
        <v>266561.57</v>
      </c>
      <c r="J78" s="19" t="n">
        <f aca="false">ROUND(J77+D78,2)</f>
        <v>66807.87</v>
      </c>
      <c r="K78" s="19" t="n">
        <f aca="false">ROUND(K77+F78+G78,2)</f>
        <v>33438.43</v>
      </c>
      <c r="M78" s="19" t="n">
        <f aca="false">Q77</f>
        <v>277672.86</v>
      </c>
      <c r="N78" s="19" t="n">
        <f aca="false">ROUND(M78*$C$16,2)</f>
        <v>1388.36</v>
      </c>
      <c r="O78" s="19" t="n">
        <f aca="false">IF(M78&lt;=0,0,ROUND(CHOOSE($C$10,IF(A78=$C$17,M78+N78,MIN($C$18,M78+N78)),IF(A78=$C$17,M78,MIN($C$19,M78))+N78,IF(A78=$C$17,M78,0)+N78),2))</f>
        <v>1932.9</v>
      </c>
      <c r="P78" s="19" t="n">
        <f aca="false">IF(M78&lt;=0,0,MAX(0,ROUND(O78-N78,2)))</f>
        <v>544.54</v>
      </c>
      <c r="Q78" s="19" t="n">
        <f aca="false">ROUND(M78-P78,2)</f>
        <v>277128.32</v>
      </c>
    </row>
    <row r="79" customFormat="false" ht="15" hidden="false" customHeight="false" outlineLevel="0" collapsed="false">
      <c r="A79" s="24" t="n">
        <f aca="false">A78+1</f>
        <v>48</v>
      </c>
      <c r="B79" s="25" t="n">
        <f aca="false">IF(MOD(12,$C$7)=0,EDATE($C$9,(A79-1)*12/$C$7),$C$9+(A79-1)*ROUND(364/$C$7,0))</f>
        <v>47757</v>
      </c>
      <c r="C79" s="19" t="n">
        <f aca="false">I78</f>
        <v>266561.57</v>
      </c>
      <c r="D79" s="19" t="n">
        <f aca="false">ROUND(C79*$C$16,2)</f>
        <v>1332.81</v>
      </c>
      <c r="E79" s="19" t="n">
        <f aca="false">IF(C79&lt;=0,0,ROUND(CHOOSE($C$10,IF(A79=$C$17,C79+D79,MIN($C$18,C79+D79)),IF(A79=$C$17,C79,MIN($C$19,C79))+D79,IF(A79=$C$17,C79,0)+D79),2))</f>
        <v>1932.9</v>
      </c>
      <c r="F79" s="19" t="n">
        <f aca="false">IF(C79&lt;=0,0,MAX(0,ROUND(E79-D79,2)))</f>
        <v>600.09</v>
      </c>
      <c r="G79" s="19" t="n">
        <f aca="false">IF(C79&lt;=0,0,ROUND(MIN(MAX(0,C79-F79),MAX(0,IF(A79&gt;=$C$13,$C$12,0)+SUMIF($E$5:$E$14,A79,$F$5:$F$14))),2))</f>
        <v>200</v>
      </c>
      <c r="H79" s="19" t="n">
        <f aca="false">ROUND(E79+G79,2)</f>
        <v>2132.9</v>
      </c>
      <c r="I79" s="19" t="n">
        <f aca="false">ROUND(C79-F79-G79,2)</f>
        <v>265761.48</v>
      </c>
      <c r="J79" s="19" t="n">
        <f aca="false">ROUND(J78+D79,2)</f>
        <v>68140.68</v>
      </c>
      <c r="K79" s="19" t="n">
        <f aca="false">ROUND(K78+F79+G79,2)</f>
        <v>34238.52</v>
      </c>
      <c r="M79" s="19" t="n">
        <f aca="false">Q78</f>
        <v>277128.32</v>
      </c>
      <c r="N79" s="19" t="n">
        <f aca="false">ROUND(M79*$C$16,2)</f>
        <v>1385.64</v>
      </c>
      <c r="O79" s="19" t="n">
        <f aca="false">IF(M79&lt;=0,0,ROUND(CHOOSE($C$10,IF(A79=$C$17,M79+N79,MIN($C$18,M79+N79)),IF(A79=$C$17,M79,MIN($C$19,M79))+N79,IF(A79=$C$17,M79,0)+N79),2))</f>
        <v>1932.9</v>
      </c>
      <c r="P79" s="19" t="n">
        <f aca="false">IF(M79&lt;=0,0,MAX(0,ROUND(O79-N79,2)))</f>
        <v>547.26</v>
      </c>
      <c r="Q79" s="19" t="n">
        <f aca="false">ROUND(M79-P79,2)</f>
        <v>276581.06</v>
      </c>
    </row>
    <row r="80" customFormat="false" ht="15" hidden="false" customHeight="false" outlineLevel="0" collapsed="false">
      <c r="A80" s="24" t="n">
        <f aca="false">A79+1</f>
        <v>49</v>
      </c>
      <c r="B80" s="25" t="n">
        <f aca="false">IF(MOD(12,$C$7)=0,EDATE($C$9,(A80-1)*12/$C$7),$C$9+(A80-1)*ROUND(364/$C$7,0))</f>
        <v>47788</v>
      </c>
      <c r="C80" s="19" t="n">
        <f aca="false">I79</f>
        <v>265761.48</v>
      </c>
      <c r="D80" s="19" t="n">
        <f aca="false">ROUND(C80*$C$16,2)</f>
        <v>1328.81</v>
      </c>
      <c r="E80" s="19" t="n">
        <f aca="false">IF(C80&lt;=0,0,ROUND(CHOOSE($C$10,IF(A80=$C$17,C80+D80,MIN($C$18,C80+D80)),IF(A80=$C$17,C80,MIN($C$19,C80))+D80,IF(A80=$C$17,C80,0)+D80),2))</f>
        <v>1932.9</v>
      </c>
      <c r="F80" s="19" t="n">
        <f aca="false">IF(C80&lt;=0,0,MAX(0,ROUND(E80-D80,2)))</f>
        <v>604.09</v>
      </c>
      <c r="G80" s="19" t="n">
        <f aca="false">IF(C80&lt;=0,0,ROUND(MIN(MAX(0,C80-F80),MAX(0,IF(A80&gt;=$C$13,$C$12,0)+SUMIF($E$5:$E$14,A80,$F$5:$F$14))),2))</f>
        <v>200</v>
      </c>
      <c r="H80" s="19" t="n">
        <f aca="false">ROUND(E80+G80,2)</f>
        <v>2132.9</v>
      </c>
      <c r="I80" s="19" t="n">
        <f aca="false">ROUND(C80-F80-G80,2)</f>
        <v>264957.39</v>
      </c>
      <c r="J80" s="19" t="n">
        <f aca="false">ROUND(J79+D80,2)</f>
        <v>69469.49</v>
      </c>
      <c r="K80" s="19" t="n">
        <f aca="false">ROUND(K79+F80+G80,2)</f>
        <v>35042.61</v>
      </c>
      <c r="M80" s="19" t="n">
        <f aca="false">Q79</f>
        <v>276581.06</v>
      </c>
      <c r="N80" s="19" t="n">
        <f aca="false">ROUND(M80*$C$16,2)</f>
        <v>1382.91</v>
      </c>
      <c r="O80" s="19" t="n">
        <f aca="false">IF(M80&lt;=0,0,ROUND(CHOOSE($C$10,IF(A80=$C$17,M80+N80,MIN($C$18,M80+N80)),IF(A80=$C$17,M80,MIN($C$19,M80))+N80,IF(A80=$C$17,M80,0)+N80),2))</f>
        <v>1932.9</v>
      </c>
      <c r="P80" s="19" t="n">
        <f aca="false">IF(M80&lt;=0,0,MAX(0,ROUND(O80-N80,2)))</f>
        <v>549.99</v>
      </c>
      <c r="Q80" s="19" t="n">
        <f aca="false">ROUND(M80-P80,2)</f>
        <v>276031.07</v>
      </c>
    </row>
    <row r="81" customFormat="false" ht="15" hidden="false" customHeight="false" outlineLevel="0" collapsed="false">
      <c r="A81" s="24" t="n">
        <f aca="false">A80+1</f>
        <v>50</v>
      </c>
      <c r="B81" s="25" t="n">
        <f aca="false">IF(MOD(12,$C$7)=0,EDATE($C$9,(A81-1)*12/$C$7),$C$9+(A81-1)*ROUND(364/$C$7,0))</f>
        <v>47818</v>
      </c>
      <c r="C81" s="19" t="n">
        <f aca="false">I80</f>
        <v>264957.39</v>
      </c>
      <c r="D81" s="19" t="n">
        <f aca="false">ROUND(C81*$C$16,2)</f>
        <v>1324.79</v>
      </c>
      <c r="E81" s="19" t="n">
        <f aca="false">IF(C81&lt;=0,0,ROUND(CHOOSE($C$10,IF(A81=$C$17,C81+D81,MIN($C$18,C81+D81)),IF(A81=$C$17,C81,MIN($C$19,C81))+D81,IF(A81=$C$17,C81,0)+D81),2))</f>
        <v>1932.9</v>
      </c>
      <c r="F81" s="19" t="n">
        <f aca="false">IF(C81&lt;=0,0,MAX(0,ROUND(E81-D81,2)))</f>
        <v>608.11</v>
      </c>
      <c r="G81" s="19" t="n">
        <f aca="false">IF(C81&lt;=0,0,ROUND(MIN(MAX(0,C81-F81),MAX(0,IF(A81&gt;=$C$13,$C$12,0)+SUMIF($E$5:$E$14,A81,$F$5:$F$14))),2))</f>
        <v>200</v>
      </c>
      <c r="H81" s="19" t="n">
        <f aca="false">ROUND(E81+G81,2)</f>
        <v>2132.9</v>
      </c>
      <c r="I81" s="19" t="n">
        <f aca="false">ROUND(C81-F81-G81,2)</f>
        <v>264149.28</v>
      </c>
      <c r="J81" s="19" t="n">
        <f aca="false">ROUND(J80+D81,2)</f>
        <v>70794.28</v>
      </c>
      <c r="K81" s="19" t="n">
        <f aca="false">ROUND(K80+F81+G81,2)</f>
        <v>35850.72</v>
      </c>
      <c r="M81" s="19" t="n">
        <f aca="false">Q80</f>
        <v>276031.07</v>
      </c>
      <c r="N81" s="19" t="n">
        <f aca="false">ROUND(M81*$C$16,2)</f>
        <v>1380.16</v>
      </c>
      <c r="O81" s="19" t="n">
        <f aca="false">IF(M81&lt;=0,0,ROUND(CHOOSE($C$10,IF(A81=$C$17,M81+N81,MIN($C$18,M81+N81)),IF(A81=$C$17,M81,MIN($C$19,M81))+N81,IF(A81=$C$17,M81,0)+N81),2))</f>
        <v>1932.9</v>
      </c>
      <c r="P81" s="19" t="n">
        <f aca="false">IF(M81&lt;=0,0,MAX(0,ROUND(O81-N81,2)))</f>
        <v>552.74</v>
      </c>
      <c r="Q81" s="19" t="n">
        <f aca="false">ROUND(M81-P81,2)</f>
        <v>275478.33</v>
      </c>
    </row>
    <row r="82" customFormat="false" ht="15" hidden="false" customHeight="false" outlineLevel="0" collapsed="false">
      <c r="A82" s="24" t="n">
        <f aca="false">A81+1</f>
        <v>51</v>
      </c>
      <c r="B82" s="25" t="n">
        <f aca="false">IF(MOD(12,$C$7)=0,EDATE($C$9,(A82-1)*12/$C$7),$C$9+(A82-1)*ROUND(364/$C$7,0))</f>
        <v>47849</v>
      </c>
      <c r="C82" s="19" t="n">
        <f aca="false">I81</f>
        <v>264149.28</v>
      </c>
      <c r="D82" s="19" t="n">
        <f aca="false">ROUND(C82*$C$16,2)</f>
        <v>1320.75</v>
      </c>
      <c r="E82" s="19" t="n">
        <f aca="false">IF(C82&lt;=0,0,ROUND(CHOOSE($C$10,IF(A82=$C$17,C82+D82,MIN($C$18,C82+D82)),IF(A82=$C$17,C82,MIN($C$19,C82))+D82,IF(A82=$C$17,C82,0)+D82),2))</f>
        <v>1932.9</v>
      </c>
      <c r="F82" s="19" t="n">
        <f aca="false">IF(C82&lt;=0,0,MAX(0,ROUND(E82-D82,2)))</f>
        <v>612.15</v>
      </c>
      <c r="G82" s="19" t="n">
        <f aca="false">IF(C82&lt;=0,0,ROUND(MIN(MAX(0,C82-F82),MAX(0,IF(A82&gt;=$C$13,$C$12,0)+SUMIF($E$5:$E$14,A82,$F$5:$F$14))),2))</f>
        <v>200</v>
      </c>
      <c r="H82" s="19" t="n">
        <f aca="false">ROUND(E82+G82,2)</f>
        <v>2132.9</v>
      </c>
      <c r="I82" s="19" t="n">
        <f aca="false">ROUND(C82-F82-G82,2)</f>
        <v>263337.13</v>
      </c>
      <c r="J82" s="19" t="n">
        <f aca="false">ROUND(J81+D82,2)</f>
        <v>72115.03</v>
      </c>
      <c r="K82" s="19" t="n">
        <f aca="false">ROUND(K81+F82+G82,2)</f>
        <v>36662.87</v>
      </c>
      <c r="M82" s="19" t="n">
        <f aca="false">Q81</f>
        <v>275478.33</v>
      </c>
      <c r="N82" s="19" t="n">
        <f aca="false">ROUND(M82*$C$16,2)</f>
        <v>1377.39</v>
      </c>
      <c r="O82" s="19" t="n">
        <f aca="false">IF(M82&lt;=0,0,ROUND(CHOOSE($C$10,IF(A82=$C$17,M82+N82,MIN($C$18,M82+N82)),IF(A82=$C$17,M82,MIN($C$19,M82))+N82,IF(A82=$C$17,M82,0)+N82),2))</f>
        <v>1932.9</v>
      </c>
      <c r="P82" s="19" t="n">
        <f aca="false">IF(M82&lt;=0,0,MAX(0,ROUND(O82-N82,2)))</f>
        <v>555.51</v>
      </c>
      <c r="Q82" s="19" t="n">
        <f aca="false">ROUND(M82-P82,2)</f>
        <v>274922.82</v>
      </c>
    </row>
    <row r="83" customFormat="false" ht="15" hidden="false" customHeight="false" outlineLevel="0" collapsed="false">
      <c r="A83" s="24" t="n">
        <f aca="false">A82+1</f>
        <v>52</v>
      </c>
      <c r="B83" s="25" t="n">
        <f aca="false">IF(MOD(12,$C$7)=0,EDATE($C$9,(A83-1)*12/$C$7),$C$9+(A83-1)*ROUND(364/$C$7,0))</f>
        <v>47880</v>
      </c>
      <c r="C83" s="19" t="n">
        <f aca="false">I82</f>
        <v>263337.13</v>
      </c>
      <c r="D83" s="19" t="n">
        <f aca="false">ROUND(C83*$C$16,2)</f>
        <v>1316.69</v>
      </c>
      <c r="E83" s="19" t="n">
        <f aca="false">IF(C83&lt;=0,0,ROUND(CHOOSE($C$10,IF(A83=$C$17,C83+D83,MIN($C$18,C83+D83)),IF(A83=$C$17,C83,MIN($C$19,C83))+D83,IF(A83=$C$17,C83,0)+D83),2))</f>
        <v>1932.9</v>
      </c>
      <c r="F83" s="19" t="n">
        <f aca="false">IF(C83&lt;=0,0,MAX(0,ROUND(E83-D83,2)))</f>
        <v>616.21</v>
      </c>
      <c r="G83" s="19" t="n">
        <f aca="false">IF(C83&lt;=0,0,ROUND(MIN(MAX(0,C83-F83),MAX(0,IF(A83&gt;=$C$13,$C$12,0)+SUMIF($E$5:$E$14,A83,$F$5:$F$14))),2))</f>
        <v>200</v>
      </c>
      <c r="H83" s="19" t="n">
        <f aca="false">ROUND(E83+G83,2)</f>
        <v>2132.9</v>
      </c>
      <c r="I83" s="19" t="n">
        <f aca="false">ROUND(C83-F83-G83,2)</f>
        <v>262520.92</v>
      </c>
      <c r="J83" s="19" t="n">
        <f aca="false">ROUND(J82+D83,2)</f>
        <v>73431.72</v>
      </c>
      <c r="K83" s="19" t="n">
        <f aca="false">ROUND(K82+F83+G83,2)</f>
        <v>37479.08</v>
      </c>
      <c r="M83" s="19" t="n">
        <f aca="false">Q82</f>
        <v>274922.82</v>
      </c>
      <c r="N83" s="19" t="n">
        <f aca="false">ROUND(M83*$C$16,2)</f>
        <v>1374.61</v>
      </c>
      <c r="O83" s="19" t="n">
        <f aca="false">IF(M83&lt;=0,0,ROUND(CHOOSE($C$10,IF(A83=$C$17,M83+N83,MIN($C$18,M83+N83)),IF(A83=$C$17,M83,MIN($C$19,M83))+N83,IF(A83=$C$17,M83,0)+N83),2))</f>
        <v>1932.9</v>
      </c>
      <c r="P83" s="19" t="n">
        <f aca="false">IF(M83&lt;=0,0,MAX(0,ROUND(O83-N83,2)))</f>
        <v>558.29</v>
      </c>
      <c r="Q83" s="19" t="n">
        <f aca="false">ROUND(M83-P83,2)</f>
        <v>274364.53</v>
      </c>
    </row>
    <row r="84" customFormat="false" ht="15" hidden="false" customHeight="false" outlineLevel="0" collapsed="false">
      <c r="A84" s="24" t="n">
        <f aca="false">A83+1</f>
        <v>53</v>
      </c>
      <c r="B84" s="25" t="n">
        <f aca="false">IF(MOD(12,$C$7)=0,EDATE($C$9,(A84-1)*12/$C$7),$C$9+(A84-1)*ROUND(364/$C$7,0))</f>
        <v>47908</v>
      </c>
      <c r="C84" s="19" t="n">
        <f aca="false">I83</f>
        <v>262520.92</v>
      </c>
      <c r="D84" s="19" t="n">
        <f aca="false">ROUND(C84*$C$16,2)</f>
        <v>1312.6</v>
      </c>
      <c r="E84" s="19" t="n">
        <f aca="false">IF(C84&lt;=0,0,ROUND(CHOOSE($C$10,IF(A84=$C$17,C84+D84,MIN($C$18,C84+D84)),IF(A84=$C$17,C84,MIN($C$19,C84))+D84,IF(A84=$C$17,C84,0)+D84),2))</f>
        <v>1932.9</v>
      </c>
      <c r="F84" s="19" t="n">
        <f aca="false">IF(C84&lt;=0,0,MAX(0,ROUND(E84-D84,2)))</f>
        <v>620.3</v>
      </c>
      <c r="G84" s="19" t="n">
        <f aca="false">IF(C84&lt;=0,0,ROUND(MIN(MAX(0,C84-F84),MAX(0,IF(A84&gt;=$C$13,$C$12,0)+SUMIF($E$5:$E$14,A84,$F$5:$F$14))),2))</f>
        <v>200</v>
      </c>
      <c r="H84" s="19" t="n">
        <f aca="false">ROUND(E84+G84,2)</f>
        <v>2132.9</v>
      </c>
      <c r="I84" s="19" t="n">
        <f aca="false">ROUND(C84-F84-G84,2)</f>
        <v>261700.62</v>
      </c>
      <c r="J84" s="19" t="n">
        <f aca="false">ROUND(J83+D84,2)</f>
        <v>74744.32</v>
      </c>
      <c r="K84" s="19" t="n">
        <f aca="false">ROUND(K83+F84+G84,2)</f>
        <v>38299.38</v>
      </c>
      <c r="M84" s="19" t="n">
        <f aca="false">Q83</f>
        <v>274364.53</v>
      </c>
      <c r="N84" s="19" t="n">
        <f aca="false">ROUND(M84*$C$16,2)</f>
        <v>1371.82</v>
      </c>
      <c r="O84" s="19" t="n">
        <f aca="false">IF(M84&lt;=0,0,ROUND(CHOOSE($C$10,IF(A84=$C$17,M84+N84,MIN($C$18,M84+N84)),IF(A84=$C$17,M84,MIN($C$19,M84))+N84,IF(A84=$C$17,M84,0)+N84),2))</f>
        <v>1932.9</v>
      </c>
      <c r="P84" s="19" t="n">
        <f aca="false">IF(M84&lt;=0,0,MAX(0,ROUND(O84-N84,2)))</f>
        <v>561.08</v>
      </c>
      <c r="Q84" s="19" t="n">
        <f aca="false">ROUND(M84-P84,2)</f>
        <v>273803.45</v>
      </c>
    </row>
    <row r="85" customFormat="false" ht="15" hidden="false" customHeight="false" outlineLevel="0" collapsed="false">
      <c r="A85" s="24" t="n">
        <f aca="false">A84+1</f>
        <v>54</v>
      </c>
      <c r="B85" s="25" t="n">
        <f aca="false">IF(MOD(12,$C$7)=0,EDATE($C$9,(A85-1)*12/$C$7),$C$9+(A85-1)*ROUND(364/$C$7,0))</f>
        <v>47939</v>
      </c>
      <c r="C85" s="19" t="n">
        <f aca="false">I84</f>
        <v>261700.62</v>
      </c>
      <c r="D85" s="19" t="n">
        <f aca="false">ROUND(C85*$C$16,2)</f>
        <v>1308.5</v>
      </c>
      <c r="E85" s="19" t="n">
        <f aca="false">IF(C85&lt;=0,0,ROUND(CHOOSE($C$10,IF(A85=$C$17,C85+D85,MIN($C$18,C85+D85)),IF(A85=$C$17,C85,MIN($C$19,C85))+D85,IF(A85=$C$17,C85,0)+D85),2))</f>
        <v>1932.9</v>
      </c>
      <c r="F85" s="19" t="n">
        <f aca="false">IF(C85&lt;=0,0,MAX(0,ROUND(E85-D85,2)))</f>
        <v>624.4</v>
      </c>
      <c r="G85" s="19" t="n">
        <f aca="false">IF(C85&lt;=0,0,ROUND(MIN(MAX(0,C85-F85),MAX(0,IF(A85&gt;=$C$13,$C$12,0)+SUMIF($E$5:$E$14,A85,$F$5:$F$14))),2))</f>
        <v>200</v>
      </c>
      <c r="H85" s="19" t="n">
        <f aca="false">ROUND(E85+G85,2)</f>
        <v>2132.9</v>
      </c>
      <c r="I85" s="19" t="n">
        <f aca="false">ROUND(C85-F85-G85,2)</f>
        <v>260876.22</v>
      </c>
      <c r="J85" s="19" t="n">
        <f aca="false">ROUND(J84+D85,2)</f>
        <v>76052.82</v>
      </c>
      <c r="K85" s="19" t="n">
        <f aca="false">ROUND(K84+F85+G85,2)</f>
        <v>39123.78</v>
      </c>
      <c r="M85" s="19" t="n">
        <f aca="false">Q84</f>
        <v>273803.45</v>
      </c>
      <c r="N85" s="19" t="n">
        <f aca="false">ROUND(M85*$C$16,2)</f>
        <v>1369.02</v>
      </c>
      <c r="O85" s="19" t="n">
        <f aca="false">IF(M85&lt;=0,0,ROUND(CHOOSE($C$10,IF(A85=$C$17,M85+N85,MIN($C$18,M85+N85)),IF(A85=$C$17,M85,MIN($C$19,M85))+N85,IF(A85=$C$17,M85,0)+N85),2))</f>
        <v>1932.9</v>
      </c>
      <c r="P85" s="19" t="n">
        <f aca="false">IF(M85&lt;=0,0,MAX(0,ROUND(O85-N85,2)))</f>
        <v>563.88</v>
      </c>
      <c r="Q85" s="19" t="n">
        <f aca="false">ROUND(M85-P85,2)</f>
        <v>273239.57</v>
      </c>
    </row>
    <row r="86" customFormat="false" ht="15" hidden="false" customHeight="false" outlineLevel="0" collapsed="false">
      <c r="A86" s="24" t="n">
        <f aca="false">A85+1</f>
        <v>55</v>
      </c>
      <c r="B86" s="25" t="n">
        <f aca="false">IF(MOD(12,$C$7)=0,EDATE($C$9,(A86-1)*12/$C$7),$C$9+(A86-1)*ROUND(364/$C$7,0))</f>
        <v>47969</v>
      </c>
      <c r="C86" s="19" t="n">
        <f aca="false">I85</f>
        <v>260876.22</v>
      </c>
      <c r="D86" s="19" t="n">
        <f aca="false">ROUND(C86*$C$16,2)</f>
        <v>1304.38</v>
      </c>
      <c r="E86" s="19" t="n">
        <f aca="false">IF(C86&lt;=0,0,ROUND(CHOOSE($C$10,IF(A86=$C$17,C86+D86,MIN($C$18,C86+D86)),IF(A86=$C$17,C86,MIN($C$19,C86))+D86,IF(A86=$C$17,C86,0)+D86),2))</f>
        <v>1932.9</v>
      </c>
      <c r="F86" s="19" t="n">
        <f aca="false">IF(C86&lt;=0,0,MAX(0,ROUND(E86-D86,2)))</f>
        <v>628.52</v>
      </c>
      <c r="G86" s="19" t="n">
        <f aca="false">IF(C86&lt;=0,0,ROUND(MIN(MAX(0,C86-F86),MAX(0,IF(A86&gt;=$C$13,$C$12,0)+SUMIF($E$5:$E$14,A86,$F$5:$F$14))),2))</f>
        <v>200</v>
      </c>
      <c r="H86" s="19" t="n">
        <f aca="false">ROUND(E86+G86,2)</f>
        <v>2132.9</v>
      </c>
      <c r="I86" s="19" t="n">
        <f aca="false">ROUND(C86-F86-G86,2)</f>
        <v>260047.7</v>
      </c>
      <c r="J86" s="19" t="n">
        <f aca="false">ROUND(J85+D86,2)</f>
        <v>77357.2</v>
      </c>
      <c r="K86" s="19" t="n">
        <f aca="false">ROUND(K85+F86+G86,2)</f>
        <v>39952.3</v>
      </c>
      <c r="M86" s="19" t="n">
        <f aca="false">Q85</f>
        <v>273239.57</v>
      </c>
      <c r="N86" s="19" t="n">
        <f aca="false">ROUND(M86*$C$16,2)</f>
        <v>1366.2</v>
      </c>
      <c r="O86" s="19" t="n">
        <f aca="false">IF(M86&lt;=0,0,ROUND(CHOOSE($C$10,IF(A86=$C$17,M86+N86,MIN($C$18,M86+N86)),IF(A86=$C$17,M86,MIN($C$19,M86))+N86,IF(A86=$C$17,M86,0)+N86),2))</f>
        <v>1932.9</v>
      </c>
      <c r="P86" s="19" t="n">
        <f aca="false">IF(M86&lt;=0,0,MAX(0,ROUND(O86-N86,2)))</f>
        <v>566.7</v>
      </c>
      <c r="Q86" s="19" t="n">
        <f aca="false">ROUND(M86-P86,2)</f>
        <v>272672.87</v>
      </c>
    </row>
    <row r="87" customFormat="false" ht="15" hidden="false" customHeight="false" outlineLevel="0" collapsed="false">
      <c r="A87" s="24" t="n">
        <f aca="false">A86+1</f>
        <v>56</v>
      </c>
      <c r="B87" s="25" t="n">
        <f aca="false">IF(MOD(12,$C$7)=0,EDATE($C$9,(A87-1)*12/$C$7),$C$9+(A87-1)*ROUND(364/$C$7,0))</f>
        <v>48000</v>
      </c>
      <c r="C87" s="19" t="n">
        <f aca="false">I86</f>
        <v>260047.7</v>
      </c>
      <c r="D87" s="19" t="n">
        <f aca="false">ROUND(C87*$C$16,2)</f>
        <v>1300.24</v>
      </c>
      <c r="E87" s="19" t="n">
        <f aca="false">IF(C87&lt;=0,0,ROUND(CHOOSE($C$10,IF(A87=$C$17,C87+D87,MIN($C$18,C87+D87)),IF(A87=$C$17,C87,MIN($C$19,C87))+D87,IF(A87=$C$17,C87,0)+D87),2))</f>
        <v>1932.9</v>
      </c>
      <c r="F87" s="19" t="n">
        <f aca="false">IF(C87&lt;=0,0,MAX(0,ROUND(E87-D87,2)))</f>
        <v>632.66</v>
      </c>
      <c r="G87" s="19" t="n">
        <f aca="false">IF(C87&lt;=0,0,ROUND(MIN(MAX(0,C87-F87),MAX(0,IF(A87&gt;=$C$13,$C$12,0)+SUMIF($E$5:$E$14,A87,$F$5:$F$14))),2))</f>
        <v>200</v>
      </c>
      <c r="H87" s="19" t="n">
        <f aca="false">ROUND(E87+G87,2)</f>
        <v>2132.9</v>
      </c>
      <c r="I87" s="19" t="n">
        <f aca="false">ROUND(C87-F87-G87,2)</f>
        <v>259215.04</v>
      </c>
      <c r="J87" s="19" t="n">
        <f aca="false">ROUND(J86+D87,2)</f>
        <v>78657.44</v>
      </c>
      <c r="K87" s="19" t="n">
        <f aca="false">ROUND(K86+F87+G87,2)</f>
        <v>40784.96</v>
      </c>
      <c r="M87" s="19" t="n">
        <f aca="false">Q86</f>
        <v>272672.87</v>
      </c>
      <c r="N87" s="19" t="n">
        <f aca="false">ROUND(M87*$C$16,2)</f>
        <v>1363.36</v>
      </c>
      <c r="O87" s="19" t="n">
        <f aca="false">IF(M87&lt;=0,0,ROUND(CHOOSE($C$10,IF(A87=$C$17,M87+N87,MIN($C$18,M87+N87)),IF(A87=$C$17,M87,MIN($C$19,M87))+N87,IF(A87=$C$17,M87,0)+N87),2))</f>
        <v>1932.9</v>
      </c>
      <c r="P87" s="19" t="n">
        <f aca="false">IF(M87&lt;=0,0,MAX(0,ROUND(O87-N87,2)))</f>
        <v>569.54</v>
      </c>
      <c r="Q87" s="19" t="n">
        <f aca="false">ROUND(M87-P87,2)</f>
        <v>272103.33</v>
      </c>
    </row>
    <row r="88" customFormat="false" ht="15" hidden="false" customHeight="false" outlineLevel="0" collapsed="false">
      <c r="A88" s="24" t="n">
        <f aca="false">A87+1</f>
        <v>57</v>
      </c>
      <c r="B88" s="25" t="n">
        <f aca="false">IF(MOD(12,$C$7)=0,EDATE($C$9,(A88-1)*12/$C$7),$C$9+(A88-1)*ROUND(364/$C$7,0))</f>
        <v>48030</v>
      </c>
      <c r="C88" s="19" t="n">
        <f aca="false">I87</f>
        <v>259215.04</v>
      </c>
      <c r="D88" s="19" t="n">
        <f aca="false">ROUND(C88*$C$16,2)</f>
        <v>1296.08</v>
      </c>
      <c r="E88" s="19" t="n">
        <f aca="false">IF(C88&lt;=0,0,ROUND(CHOOSE($C$10,IF(A88=$C$17,C88+D88,MIN($C$18,C88+D88)),IF(A88=$C$17,C88,MIN($C$19,C88))+D88,IF(A88=$C$17,C88,0)+D88),2))</f>
        <v>1932.9</v>
      </c>
      <c r="F88" s="19" t="n">
        <f aca="false">IF(C88&lt;=0,0,MAX(0,ROUND(E88-D88,2)))</f>
        <v>636.82</v>
      </c>
      <c r="G88" s="19" t="n">
        <f aca="false">IF(C88&lt;=0,0,ROUND(MIN(MAX(0,C88-F88),MAX(0,IF(A88&gt;=$C$13,$C$12,0)+SUMIF($E$5:$E$14,A88,$F$5:$F$14))),2))</f>
        <v>200</v>
      </c>
      <c r="H88" s="19" t="n">
        <f aca="false">ROUND(E88+G88,2)</f>
        <v>2132.9</v>
      </c>
      <c r="I88" s="19" t="n">
        <f aca="false">ROUND(C88-F88-G88,2)</f>
        <v>258378.22</v>
      </c>
      <c r="J88" s="19" t="n">
        <f aca="false">ROUND(J87+D88,2)</f>
        <v>79953.52</v>
      </c>
      <c r="K88" s="19" t="n">
        <f aca="false">ROUND(K87+F88+G88,2)</f>
        <v>41621.78</v>
      </c>
      <c r="M88" s="19" t="n">
        <f aca="false">Q87</f>
        <v>272103.33</v>
      </c>
      <c r="N88" s="19" t="n">
        <f aca="false">ROUND(M88*$C$16,2)</f>
        <v>1360.52</v>
      </c>
      <c r="O88" s="19" t="n">
        <f aca="false">IF(M88&lt;=0,0,ROUND(CHOOSE($C$10,IF(A88=$C$17,M88+N88,MIN($C$18,M88+N88)),IF(A88=$C$17,M88,MIN($C$19,M88))+N88,IF(A88=$C$17,M88,0)+N88),2))</f>
        <v>1932.9</v>
      </c>
      <c r="P88" s="19" t="n">
        <f aca="false">IF(M88&lt;=0,0,MAX(0,ROUND(O88-N88,2)))</f>
        <v>572.38</v>
      </c>
      <c r="Q88" s="19" t="n">
        <f aca="false">ROUND(M88-P88,2)</f>
        <v>271530.95</v>
      </c>
    </row>
    <row r="89" customFormat="false" ht="15" hidden="false" customHeight="false" outlineLevel="0" collapsed="false">
      <c r="A89" s="24" t="n">
        <f aca="false">A88+1</f>
        <v>58</v>
      </c>
      <c r="B89" s="25" t="n">
        <f aca="false">IF(MOD(12,$C$7)=0,EDATE($C$9,(A89-1)*12/$C$7),$C$9+(A89-1)*ROUND(364/$C$7,0))</f>
        <v>48061</v>
      </c>
      <c r="C89" s="19" t="n">
        <f aca="false">I88</f>
        <v>258378.22</v>
      </c>
      <c r="D89" s="19" t="n">
        <f aca="false">ROUND(C89*$C$16,2)</f>
        <v>1291.89</v>
      </c>
      <c r="E89" s="19" t="n">
        <f aca="false">IF(C89&lt;=0,0,ROUND(CHOOSE($C$10,IF(A89=$C$17,C89+D89,MIN($C$18,C89+D89)),IF(A89=$C$17,C89,MIN($C$19,C89))+D89,IF(A89=$C$17,C89,0)+D89),2))</f>
        <v>1932.9</v>
      </c>
      <c r="F89" s="19" t="n">
        <f aca="false">IF(C89&lt;=0,0,MAX(0,ROUND(E89-D89,2)))</f>
        <v>641.01</v>
      </c>
      <c r="G89" s="19" t="n">
        <f aca="false">IF(C89&lt;=0,0,ROUND(MIN(MAX(0,C89-F89),MAX(0,IF(A89&gt;=$C$13,$C$12,0)+SUMIF($E$5:$E$14,A89,$F$5:$F$14))),2))</f>
        <v>200</v>
      </c>
      <c r="H89" s="19" t="n">
        <f aca="false">ROUND(E89+G89,2)</f>
        <v>2132.9</v>
      </c>
      <c r="I89" s="19" t="n">
        <f aca="false">ROUND(C89-F89-G89,2)</f>
        <v>257537.21</v>
      </c>
      <c r="J89" s="19" t="n">
        <f aca="false">ROUND(J88+D89,2)</f>
        <v>81245.41</v>
      </c>
      <c r="K89" s="19" t="n">
        <f aca="false">ROUND(K88+F89+G89,2)</f>
        <v>42462.79</v>
      </c>
      <c r="M89" s="19" t="n">
        <f aca="false">Q88</f>
        <v>271530.95</v>
      </c>
      <c r="N89" s="19" t="n">
        <f aca="false">ROUND(M89*$C$16,2)</f>
        <v>1357.65</v>
      </c>
      <c r="O89" s="19" t="n">
        <f aca="false">IF(M89&lt;=0,0,ROUND(CHOOSE($C$10,IF(A89=$C$17,M89+N89,MIN($C$18,M89+N89)),IF(A89=$C$17,M89,MIN($C$19,M89))+N89,IF(A89=$C$17,M89,0)+N89),2))</f>
        <v>1932.9</v>
      </c>
      <c r="P89" s="19" t="n">
        <f aca="false">IF(M89&lt;=0,0,MAX(0,ROUND(O89-N89,2)))</f>
        <v>575.25</v>
      </c>
      <c r="Q89" s="19" t="n">
        <f aca="false">ROUND(M89-P89,2)</f>
        <v>270955.7</v>
      </c>
    </row>
    <row r="90" customFormat="false" ht="15" hidden="false" customHeight="false" outlineLevel="0" collapsed="false">
      <c r="A90" s="24" t="n">
        <f aca="false">A89+1</f>
        <v>59</v>
      </c>
      <c r="B90" s="25" t="n">
        <f aca="false">IF(MOD(12,$C$7)=0,EDATE($C$9,(A90-1)*12/$C$7),$C$9+(A90-1)*ROUND(364/$C$7,0))</f>
        <v>48092</v>
      </c>
      <c r="C90" s="19" t="n">
        <f aca="false">I89</f>
        <v>257537.21</v>
      </c>
      <c r="D90" s="19" t="n">
        <f aca="false">ROUND(C90*$C$16,2)</f>
        <v>1287.69</v>
      </c>
      <c r="E90" s="19" t="n">
        <f aca="false">IF(C90&lt;=0,0,ROUND(CHOOSE($C$10,IF(A90=$C$17,C90+D90,MIN($C$18,C90+D90)),IF(A90=$C$17,C90,MIN($C$19,C90))+D90,IF(A90=$C$17,C90,0)+D90),2))</f>
        <v>1932.9</v>
      </c>
      <c r="F90" s="19" t="n">
        <f aca="false">IF(C90&lt;=0,0,MAX(0,ROUND(E90-D90,2)))</f>
        <v>645.21</v>
      </c>
      <c r="G90" s="19" t="n">
        <f aca="false">IF(C90&lt;=0,0,ROUND(MIN(MAX(0,C90-F90),MAX(0,IF(A90&gt;=$C$13,$C$12,0)+SUMIF($E$5:$E$14,A90,$F$5:$F$14))),2))</f>
        <v>200</v>
      </c>
      <c r="H90" s="19" t="n">
        <f aca="false">ROUND(E90+G90,2)</f>
        <v>2132.9</v>
      </c>
      <c r="I90" s="19" t="n">
        <f aca="false">ROUND(C90-F90-G90,2)</f>
        <v>256692</v>
      </c>
      <c r="J90" s="19" t="n">
        <f aca="false">ROUND(J89+D90,2)</f>
        <v>82533.1</v>
      </c>
      <c r="K90" s="19" t="n">
        <f aca="false">ROUND(K89+F90+G90,2)</f>
        <v>43308</v>
      </c>
      <c r="M90" s="19" t="n">
        <f aca="false">Q89</f>
        <v>270955.7</v>
      </c>
      <c r="N90" s="19" t="n">
        <f aca="false">ROUND(M90*$C$16,2)</f>
        <v>1354.78</v>
      </c>
      <c r="O90" s="19" t="n">
        <f aca="false">IF(M90&lt;=0,0,ROUND(CHOOSE($C$10,IF(A90=$C$17,M90+N90,MIN($C$18,M90+N90)),IF(A90=$C$17,M90,MIN($C$19,M90))+N90,IF(A90=$C$17,M90,0)+N90),2))</f>
        <v>1932.9</v>
      </c>
      <c r="P90" s="19" t="n">
        <f aca="false">IF(M90&lt;=0,0,MAX(0,ROUND(O90-N90,2)))</f>
        <v>578.12</v>
      </c>
      <c r="Q90" s="19" t="n">
        <f aca="false">ROUND(M90-P90,2)</f>
        <v>270377.58</v>
      </c>
    </row>
    <row r="91" customFormat="false" ht="15" hidden="false" customHeight="false" outlineLevel="0" collapsed="false">
      <c r="A91" s="24" t="n">
        <f aca="false">A90+1</f>
        <v>60</v>
      </c>
      <c r="B91" s="25" t="n">
        <f aca="false">IF(MOD(12,$C$7)=0,EDATE($C$9,(A91-1)*12/$C$7),$C$9+(A91-1)*ROUND(364/$C$7,0))</f>
        <v>48122</v>
      </c>
      <c r="C91" s="19" t="n">
        <f aca="false">I90</f>
        <v>256692</v>
      </c>
      <c r="D91" s="19" t="n">
        <f aca="false">ROUND(C91*$C$16,2)</f>
        <v>1283.46</v>
      </c>
      <c r="E91" s="19" t="n">
        <f aca="false">IF(C91&lt;=0,0,ROUND(CHOOSE($C$10,IF(A91=$C$17,C91+D91,MIN($C$18,C91+D91)),IF(A91=$C$17,C91,MIN($C$19,C91))+D91,IF(A91=$C$17,C91,0)+D91),2))</f>
        <v>1932.9</v>
      </c>
      <c r="F91" s="19" t="n">
        <f aca="false">IF(C91&lt;=0,0,MAX(0,ROUND(E91-D91,2)))</f>
        <v>649.44</v>
      </c>
      <c r="G91" s="19" t="n">
        <f aca="false">IF(C91&lt;=0,0,ROUND(MIN(MAX(0,C91-F91),MAX(0,IF(A91&gt;=$C$13,$C$12,0)+SUMIF($E$5:$E$14,A91,$F$5:$F$14))),2))</f>
        <v>10200</v>
      </c>
      <c r="H91" s="19" t="n">
        <f aca="false">ROUND(E91+G91,2)</f>
        <v>12132.9</v>
      </c>
      <c r="I91" s="19" t="n">
        <f aca="false">ROUND(C91-F91-G91,2)</f>
        <v>245842.56</v>
      </c>
      <c r="J91" s="19" t="n">
        <f aca="false">ROUND(J90+D91,2)</f>
        <v>83816.56</v>
      </c>
      <c r="K91" s="19" t="n">
        <f aca="false">ROUND(K90+F91+G91,2)</f>
        <v>54157.44</v>
      </c>
      <c r="M91" s="19" t="n">
        <f aca="false">Q90</f>
        <v>270377.58</v>
      </c>
      <c r="N91" s="19" t="n">
        <f aca="false">ROUND(M91*$C$16,2)</f>
        <v>1351.89</v>
      </c>
      <c r="O91" s="19" t="n">
        <f aca="false">IF(M91&lt;=0,0,ROUND(CHOOSE($C$10,IF(A91=$C$17,M91+N91,MIN($C$18,M91+N91)),IF(A91=$C$17,M91,MIN($C$19,M91))+N91,IF(A91=$C$17,M91,0)+N91),2))</f>
        <v>1932.9</v>
      </c>
      <c r="P91" s="19" t="n">
        <f aca="false">IF(M91&lt;=0,0,MAX(0,ROUND(O91-N91,2)))</f>
        <v>581.01</v>
      </c>
      <c r="Q91" s="19" t="n">
        <f aca="false">ROUND(M91-P91,2)</f>
        <v>269796.57</v>
      </c>
    </row>
    <row r="92" customFormat="false" ht="15" hidden="false" customHeight="false" outlineLevel="0" collapsed="false">
      <c r="A92" s="24" t="n">
        <f aca="false">A91+1</f>
        <v>61</v>
      </c>
      <c r="B92" s="25" t="n">
        <f aca="false">IF(MOD(12,$C$7)=0,EDATE($C$9,(A92-1)*12/$C$7),$C$9+(A92-1)*ROUND(364/$C$7,0))</f>
        <v>48153</v>
      </c>
      <c r="C92" s="19" t="n">
        <f aca="false">I91</f>
        <v>245842.56</v>
      </c>
      <c r="D92" s="19" t="n">
        <f aca="false">ROUND(C92*$C$16,2)</f>
        <v>1229.21</v>
      </c>
      <c r="E92" s="19" t="n">
        <f aca="false">IF(C92&lt;=0,0,ROUND(CHOOSE($C$10,IF(A92=$C$17,C92+D92,MIN($C$18,C92+D92)),IF(A92=$C$17,C92,MIN($C$19,C92))+D92,IF(A92=$C$17,C92,0)+D92),2))</f>
        <v>1932.9</v>
      </c>
      <c r="F92" s="19" t="n">
        <f aca="false">IF(C92&lt;=0,0,MAX(0,ROUND(E92-D92,2)))</f>
        <v>703.69</v>
      </c>
      <c r="G92" s="19" t="n">
        <f aca="false">IF(C92&lt;=0,0,ROUND(MIN(MAX(0,C92-F92),MAX(0,IF(A92&gt;=$C$13,$C$12,0)+SUMIF($E$5:$E$14,A92,$F$5:$F$14))),2))</f>
        <v>200</v>
      </c>
      <c r="H92" s="19" t="n">
        <f aca="false">ROUND(E92+G92,2)</f>
        <v>2132.9</v>
      </c>
      <c r="I92" s="19" t="n">
        <f aca="false">ROUND(C92-F92-G92,2)</f>
        <v>244938.87</v>
      </c>
      <c r="J92" s="19" t="n">
        <f aca="false">ROUND(J91+D92,2)</f>
        <v>85045.77</v>
      </c>
      <c r="K92" s="19" t="n">
        <f aca="false">ROUND(K91+F92+G92,2)</f>
        <v>55061.13</v>
      </c>
      <c r="M92" s="19" t="n">
        <f aca="false">Q91</f>
        <v>269796.57</v>
      </c>
      <c r="N92" s="19" t="n">
        <f aca="false">ROUND(M92*$C$16,2)</f>
        <v>1348.98</v>
      </c>
      <c r="O92" s="19" t="n">
        <f aca="false">IF(M92&lt;=0,0,ROUND(CHOOSE($C$10,IF(A92=$C$17,M92+N92,MIN($C$18,M92+N92)),IF(A92=$C$17,M92,MIN($C$19,M92))+N92,IF(A92=$C$17,M92,0)+N92),2))</f>
        <v>1932.9</v>
      </c>
      <c r="P92" s="19" t="n">
        <f aca="false">IF(M92&lt;=0,0,MAX(0,ROUND(O92-N92,2)))</f>
        <v>583.92</v>
      </c>
      <c r="Q92" s="19" t="n">
        <f aca="false">ROUND(M92-P92,2)</f>
        <v>269212.65</v>
      </c>
    </row>
    <row r="93" customFormat="false" ht="15" hidden="false" customHeight="false" outlineLevel="0" collapsed="false">
      <c r="A93" s="24" t="n">
        <f aca="false">A92+1</f>
        <v>62</v>
      </c>
      <c r="B93" s="25" t="n">
        <f aca="false">IF(MOD(12,$C$7)=0,EDATE($C$9,(A93-1)*12/$C$7),$C$9+(A93-1)*ROUND(364/$C$7,0))</f>
        <v>48183</v>
      </c>
      <c r="C93" s="19" t="n">
        <f aca="false">I92</f>
        <v>244938.87</v>
      </c>
      <c r="D93" s="19" t="n">
        <f aca="false">ROUND(C93*$C$16,2)</f>
        <v>1224.69</v>
      </c>
      <c r="E93" s="19" t="n">
        <f aca="false">IF(C93&lt;=0,0,ROUND(CHOOSE($C$10,IF(A93=$C$17,C93+D93,MIN($C$18,C93+D93)),IF(A93=$C$17,C93,MIN($C$19,C93))+D93,IF(A93=$C$17,C93,0)+D93),2))</f>
        <v>1932.9</v>
      </c>
      <c r="F93" s="19" t="n">
        <f aca="false">IF(C93&lt;=0,0,MAX(0,ROUND(E93-D93,2)))</f>
        <v>708.21</v>
      </c>
      <c r="G93" s="19" t="n">
        <f aca="false">IF(C93&lt;=0,0,ROUND(MIN(MAX(0,C93-F93),MAX(0,IF(A93&gt;=$C$13,$C$12,0)+SUMIF($E$5:$E$14,A93,$F$5:$F$14))),2))</f>
        <v>200</v>
      </c>
      <c r="H93" s="19" t="n">
        <f aca="false">ROUND(E93+G93,2)</f>
        <v>2132.9</v>
      </c>
      <c r="I93" s="19" t="n">
        <f aca="false">ROUND(C93-F93-G93,2)</f>
        <v>244030.66</v>
      </c>
      <c r="J93" s="19" t="n">
        <f aca="false">ROUND(J92+D93,2)</f>
        <v>86270.46</v>
      </c>
      <c r="K93" s="19" t="n">
        <f aca="false">ROUND(K92+F93+G93,2)</f>
        <v>55969.34</v>
      </c>
      <c r="M93" s="19" t="n">
        <f aca="false">Q92</f>
        <v>269212.65</v>
      </c>
      <c r="N93" s="19" t="n">
        <f aca="false">ROUND(M93*$C$16,2)</f>
        <v>1346.06</v>
      </c>
      <c r="O93" s="19" t="n">
        <f aca="false">IF(M93&lt;=0,0,ROUND(CHOOSE($C$10,IF(A93=$C$17,M93+N93,MIN($C$18,M93+N93)),IF(A93=$C$17,M93,MIN($C$19,M93))+N93,IF(A93=$C$17,M93,0)+N93),2))</f>
        <v>1932.9</v>
      </c>
      <c r="P93" s="19" t="n">
        <f aca="false">IF(M93&lt;=0,0,MAX(0,ROUND(O93-N93,2)))</f>
        <v>586.84</v>
      </c>
      <c r="Q93" s="19" t="n">
        <f aca="false">ROUND(M93-P93,2)</f>
        <v>268625.81</v>
      </c>
    </row>
    <row r="94" customFormat="false" ht="15" hidden="false" customHeight="false" outlineLevel="0" collapsed="false">
      <c r="A94" s="24" t="n">
        <f aca="false">A93+1</f>
        <v>63</v>
      </c>
      <c r="B94" s="25" t="n">
        <f aca="false">IF(MOD(12,$C$7)=0,EDATE($C$9,(A94-1)*12/$C$7),$C$9+(A94-1)*ROUND(364/$C$7,0))</f>
        <v>48214</v>
      </c>
      <c r="C94" s="19" t="n">
        <f aca="false">I93</f>
        <v>244030.66</v>
      </c>
      <c r="D94" s="19" t="n">
        <f aca="false">ROUND(C94*$C$16,2)</f>
        <v>1220.15</v>
      </c>
      <c r="E94" s="19" t="n">
        <f aca="false">IF(C94&lt;=0,0,ROUND(CHOOSE($C$10,IF(A94=$C$17,C94+D94,MIN($C$18,C94+D94)),IF(A94=$C$17,C94,MIN($C$19,C94))+D94,IF(A94=$C$17,C94,0)+D94),2))</f>
        <v>1932.9</v>
      </c>
      <c r="F94" s="19" t="n">
        <f aca="false">IF(C94&lt;=0,0,MAX(0,ROUND(E94-D94,2)))</f>
        <v>712.75</v>
      </c>
      <c r="G94" s="19" t="n">
        <f aca="false">IF(C94&lt;=0,0,ROUND(MIN(MAX(0,C94-F94),MAX(0,IF(A94&gt;=$C$13,$C$12,0)+SUMIF($E$5:$E$14,A94,$F$5:$F$14))),2))</f>
        <v>200</v>
      </c>
      <c r="H94" s="19" t="n">
        <f aca="false">ROUND(E94+G94,2)</f>
        <v>2132.9</v>
      </c>
      <c r="I94" s="19" t="n">
        <f aca="false">ROUND(C94-F94-G94,2)</f>
        <v>243117.91</v>
      </c>
      <c r="J94" s="19" t="n">
        <f aca="false">ROUND(J93+D94,2)</f>
        <v>87490.61</v>
      </c>
      <c r="K94" s="19" t="n">
        <f aca="false">ROUND(K93+F94+G94,2)</f>
        <v>56882.09</v>
      </c>
      <c r="M94" s="19" t="n">
        <f aca="false">Q93</f>
        <v>268625.81</v>
      </c>
      <c r="N94" s="19" t="n">
        <f aca="false">ROUND(M94*$C$16,2)</f>
        <v>1343.13</v>
      </c>
      <c r="O94" s="19" t="n">
        <f aca="false">IF(M94&lt;=0,0,ROUND(CHOOSE($C$10,IF(A94=$C$17,M94+N94,MIN($C$18,M94+N94)),IF(A94=$C$17,M94,MIN($C$19,M94))+N94,IF(A94=$C$17,M94,0)+N94),2))</f>
        <v>1932.9</v>
      </c>
      <c r="P94" s="19" t="n">
        <f aca="false">IF(M94&lt;=0,0,MAX(0,ROUND(O94-N94,2)))</f>
        <v>589.77</v>
      </c>
      <c r="Q94" s="19" t="n">
        <f aca="false">ROUND(M94-P94,2)</f>
        <v>268036.04</v>
      </c>
    </row>
    <row r="95" customFormat="false" ht="15" hidden="false" customHeight="false" outlineLevel="0" collapsed="false">
      <c r="A95" s="24" t="n">
        <f aca="false">A94+1</f>
        <v>64</v>
      </c>
      <c r="B95" s="25" t="n">
        <f aca="false">IF(MOD(12,$C$7)=0,EDATE($C$9,(A95-1)*12/$C$7),$C$9+(A95-1)*ROUND(364/$C$7,0))</f>
        <v>48245</v>
      </c>
      <c r="C95" s="19" t="n">
        <f aca="false">I94</f>
        <v>243117.91</v>
      </c>
      <c r="D95" s="19" t="n">
        <f aca="false">ROUND(C95*$C$16,2)</f>
        <v>1215.59</v>
      </c>
      <c r="E95" s="19" t="n">
        <f aca="false">IF(C95&lt;=0,0,ROUND(CHOOSE($C$10,IF(A95=$C$17,C95+D95,MIN($C$18,C95+D95)),IF(A95=$C$17,C95,MIN($C$19,C95))+D95,IF(A95=$C$17,C95,0)+D95),2))</f>
        <v>1932.9</v>
      </c>
      <c r="F95" s="19" t="n">
        <f aca="false">IF(C95&lt;=0,0,MAX(0,ROUND(E95-D95,2)))</f>
        <v>717.31</v>
      </c>
      <c r="G95" s="19" t="n">
        <f aca="false">IF(C95&lt;=0,0,ROUND(MIN(MAX(0,C95-F95),MAX(0,IF(A95&gt;=$C$13,$C$12,0)+SUMIF($E$5:$E$14,A95,$F$5:$F$14))),2))</f>
        <v>200</v>
      </c>
      <c r="H95" s="19" t="n">
        <f aca="false">ROUND(E95+G95,2)</f>
        <v>2132.9</v>
      </c>
      <c r="I95" s="19" t="n">
        <f aca="false">ROUND(C95-F95-G95,2)</f>
        <v>242200.6</v>
      </c>
      <c r="J95" s="19" t="n">
        <f aca="false">ROUND(J94+D95,2)</f>
        <v>88706.2</v>
      </c>
      <c r="K95" s="19" t="n">
        <f aca="false">ROUND(K94+F95+G95,2)</f>
        <v>57799.4</v>
      </c>
      <c r="M95" s="19" t="n">
        <f aca="false">Q94</f>
        <v>268036.04</v>
      </c>
      <c r="N95" s="19" t="n">
        <f aca="false">ROUND(M95*$C$16,2)</f>
        <v>1340.18</v>
      </c>
      <c r="O95" s="19" t="n">
        <f aca="false">IF(M95&lt;=0,0,ROUND(CHOOSE($C$10,IF(A95=$C$17,M95+N95,MIN($C$18,M95+N95)),IF(A95=$C$17,M95,MIN($C$19,M95))+N95,IF(A95=$C$17,M95,0)+N95),2))</f>
        <v>1932.9</v>
      </c>
      <c r="P95" s="19" t="n">
        <f aca="false">IF(M95&lt;=0,0,MAX(0,ROUND(O95-N95,2)))</f>
        <v>592.72</v>
      </c>
      <c r="Q95" s="19" t="n">
        <f aca="false">ROUND(M95-P95,2)</f>
        <v>267443.32</v>
      </c>
    </row>
    <row r="96" customFormat="false" ht="15" hidden="false" customHeight="false" outlineLevel="0" collapsed="false">
      <c r="A96" s="24" t="n">
        <f aca="false">A95+1</f>
        <v>65</v>
      </c>
      <c r="B96" s="25" t="n">
        <f aca="false">IF(MOD(12,$C$7)=0,EDATE($C$9,(A96-1)*12/$C$7),$C$9+(A96-1)*ROUND(364/$C$7,0))</f>
        <v>48274</v>
      </c>
      <c r="C96" s="19" t="n">
        <f aca="false">I95</f>
        <v>242200.6</v>
      </c>
      <c r="D96" s="19" t="n">
        <f aca="false">ROUND(C96*$C$16,2)</f>
        <v>1211</v>
      </c>
      <c r="E96" s="19" t="n">
        <f aca="false">IF(C96&lt;=0,0,ROUND(CHOOSE($C$10,IF(A96=$C$17,C96+D96,MIN($C$18,C96+D96)),IF(A96=$C$17,C96,MIN($C$19,C96))+D96,IF(A96=$C$17,C96,0)+D96),2))</f>
        <v>1932.9</v>
      </c>
      <c r="F96" s="19" t="n">
        <f aca="false">IF(C96&lt;=0,0,MAX(0,ROUND(E96-D96,2)))</f>
        <v>721.9</v>
      </c>
      <c r="G96" s="19" t="n">
        <f aca="false">IF(C96&lt;=0,0,ROUND(MIN(MAX(0,C96-F96),MAX(0,IF(A96&gt;=$C$13,$C$12,0)+SUMIF($E$5:$E$14,A96,$F$5:$F$14))),2))</f>
        <v>200</v>
      </c>
      <c r="H96" s="19" t="n">
        <f aca="false">ROUND(E96+G96,2)</f>
        <v>2132.9</v>
      </c>
      <c r="I96" s="19" t="n">
        <f aca="false">ROUND(C96-F96-G96,2)</f>
        <v>241278.7</v>
      </c>
      <c r="J96" s="19" t="n">
        <f aca="false">ROUND(J95+D96,2)</f>
        <v>89917.2</v>
      </c>
      <c r="K96" s="19" t="n">
        <f aca="false">ROUND(K95+F96+G96,2)</f>
        <v>58721.3</v>
      </c>
      <c r="M96" s="19" t="n">
        <f aca="false">Q95</f>
        <v>267443.32</v>
      </c>
      <c r="N96" s="19" t="n">
        <f aca="false">ROUND(M96*$C$16,2)</f>
        <v>1337.22</v>
      </c>
      <c r="O96" s="19" t="n">
        <f aca="false">IF(M96&lt;=0,0,ROUND(CHOOSE($C$10,IF(A96=$C$17,M96+N96,MIN($C$18,M96+N96)),IF(A96=$C$17,M96,MIN($C$19,M96))+N96,IF(A96=$C$17,M96,0)+N96),2))</f>
        <v>1932.9</v>
      </c>
      <c r="P96" s="19" t="n">
        <f aca="false">IF(M96&lt;=0,0,MAX(0,ROUND(O96-N96,2)))</f>
        <v>595.68</v>
      </c>
      <c r="Q96" s="19" t="n">
        <f aca="false">ROUND(M96-P96,2)</f>
        <v>266847.64</v>
      </c>
    </row>
    <row r="97" customFormat="false" ht="15" hidden="false" customHeight="false" outlineLevel="0" collapsed="false">
      <c r="A97" s="24" t="n">
        <f aca="false">A96+1</f>
        <v>66</v>
      </c>
      <c r="B97" s="25" t="n">
        <f aca="false">IF(MOD(12,$C$7)=0,EDATE($C$9,(A97-1)*12/$C$7),$C$9+(A97-1)*ROUND(364/$C$7,0))</f>
        <v>48305</v>
      </c>
      <c r="C97" s="19" t="n">
        <f aca="false">I96</f>
        <v>241278.7</v>
      </c>
      <c r="D97" s="19" t="n">
        <f aca="false">ROUND(C97*$C$16,2)</f>
        <v>1206.39</v>
      </c>
      <c r="E97" s="19" t="n">
        <f aca="false">IF(C97&lt;=0,0,ROUND(CHOOSE($C$10,IF(A97=$C$17,C97+D97,MIN($C$18,C97+D97)),IF(A97=$C$17,C97,MIN($C$19,C97))+D97,IF(A97=$C$17,C97,0)+D97),2))</f>
        <v>1932.9</v>
      </c>
      <c r="F97" s="19" t="n">
        <f aca="false">IF(C97&lt;=0,0,MAX(0,ROUND(E97-D97,2)))</f>
        <v>726.51</v>
      </c>
      <c r="G97" s="19" t="n">
        <f aca="false">IF(C97&lt;=0,0,ROUND(MIN(MAX(0,C97-F97),MAX(0,IF(A97&gt;=$C$13,$C$12,0)+SUMIF($E$5:$E$14,A97,$F$5:$F$14))),2))</f>
        <v>200</v>
      </c>
      <c r="H97" s="19" t="n">
        <f aca="false">ROUND(E97+G97,2)</f>
        <v>2132.9</v>
      </c>
      <c r="I97" s="19" t="n">
        <f aca="false">ROUND(C97-F97-G97,2)</f>
        <v>240352.19</v>
      </c>
      <c r="J97" s="19" t="n">
        <f aca="false">ROUND(J96+D97,2)</f>
        <v>91123.59</v>
      </c>
      <c r="K97" s="19" t="n">
        <f aca="false">ROUND(K96+F97+G97,2)</f>
        <v>59647.81</v>
      </c>
      <c r="M97" s="19" t="n">
        <f aca="false">Q96</f>
        <v>266847.64</v>
      </c>
      <c r="N97" s="19" t="n">
        <f aca="false">ROUND(M97*$C$16,2)</f>
        <v>1334.24</v>
      </c>
      <c r="O97" s="19" t="n">
        <f aca="false">IF(M97&lt;=0,0,ROUND(CHOOSE($C$10,IF(A97=$C$17,M97+N97,MIN($C$18,M97+N97)),IF(A97=$C$17,M97,MIN($C$19,M97))+N97,IF(A97=$C$17,M97,0)+N97),2))</f>
        <v>1932.9</v>
      </c>
      <c r="P97" s="19" t="n">
        <f aca="false">IF(M97&lt;=0,0,MAX(0,ROUND(O97-N97,2)))</f>
        <v>598.66</v>
      </c>
      <c r="Q97" s="19" t="n">
        <f aca="false">ROUND(M97-P97,2)</f>
        <v>266248.98</v>
      </c>
    </row>
    <row r="98" customFormat="false" ht="15" hidden="false" customHeight="false" outlineLevel="0" collapsed="false">
      <c r="A98" s="24" t="n">
        <f aca="false">A97+1</f>
        <v>67</v>
      </c>
      <c r="B98" s="25" t="n">
        <f aca="false">IF(MOD(12,$C$7)=0,EDATE($C$9,(A98-1)*12/$C$7),$C$9+(A98-1)*ROUND(364/$C$7,0))</f>
        <v>48335</v>
      </c>
      <c r="C98" s="19" t="n">
        <f aca="false">I97</f>
        <v>240352.19</v>
      </c>
      <c r="D98" s="19" t="n">
        <f aca="false">ROUND(C98*$C$16,2)</f>
        <v>1201.76</v>
      </c>
      <c r="E98" s="19" t="n">
        <f aca="false">IF(C98&lt;=0,0,ROUND(CHOOSE($C$10,IF(A98=$C$17,C98+D98,MIN($C$18,C98+D98)),IF(A98=$C$17,C98,MIN($C$19,C98))+D98,IF(A98=$C$17,C98,0)+D98),2))</f>
        <v>1932.9</v>
      </c>
      <c r="F98" s="19" t="n">
        <f aca="false">IF(C98&lt;=0,0,MAX(0,ROUND(E98-D98,2)))</f>
        <v>731.14</v>
      </c>
      <c r="G98" s="19" t="n">
        <f aca="false">IF(C98&lt;=0,0,ROUND(MIN(MAX(0,C98-F98),MAX(0,IF(A98&gt;=$C$13,$C$12,0)+SUMIF($E$5:$E$14,A98,$F$5:$F$14))),2))</f>
        <v>200</v>
      </c>
      <c r="H98" s="19" t="n">
        <f aca="false">ROUND(E98+G98,2)</f>
        <v>2132.9</v>
      </c>
      <c r="I98" s="19" t="n">
        <f aca="false">ROUND(C98-F98-G98,2)</f>
        <v>239421.05</v>
      </c>
      <c r="J98" s="19" t="n">
        <f aca="false">ROUND(J97+D98,2)</f>
        <v>92325.35</v>
      </c>
      <c r="K98" s="19" t="n">
        <f aca="false">ROUND(K97+F98+G98,2)</f>
        <v>60578.95</v>
      </c>
      <c r="M98" s="19" t="n">
        <f aca="false">Q97</f>
        <v>266248.98</v>
      </c>
      <c r="N98" s="19" t="n">
        <f aca="false">ROUND(M98*$C$16,2)</f>
        <v>1331.24</v>
      </c>
      <c r="O98" s="19" t="n">
        <f aca="false">IF(M98&lt;=0,0,ROUND(CHOOSE($C$10,IF(A98=$C$17,M98+N98,MIN($C$18,M98+N98)),IF(A98=$C$17,M98,MIN($C$19,M98))+N98,IF(A98=$C$17,M98,0)+N98),2))</f>
        <v>1932.9</v>
      </c>
      <c r="P98" s="19" t="n">
        <f aca="false">IF(M98&lt;=0,0,MAX(0,ROUND(O98-N98,2)))</f>
        <v>601.66</v>
      </c>
      <c r="Q98" s="19" t="n">
        <f aca="false">ROUND(M98-P98,2)</f>
        <v>265647.32</v>
      </c>
    </row>
    <row r="99" customFormat="false" ht="15" hidden="false" customHeight="false" outlineLevel="0" collapsed="false">
      <c r="A99" s="24" t="n">
        <f aca="false">A98+1</f>
        <v>68</v>
      </c>
      <c r="B99" s="25" t="n">
        <f aca="false">IF(MOD(12,$C$7)=0,EDATE($C$9,(A99-1)*12/$C$7),$C$9+(A99-1)*ROUND(364/$C$7,0))</f>
        <v>48366</v>
      </c>
      <c r="C99" s="19" t="n">
        <f aca="false">I98</f>
        <v>239421.05</v>
      </c>
      <c r="D99" s="19" t="n">
        <f aca="false">ROUND(C99*$C$16,2)</f>
        <v>1197.11</v>
      </c>
      <c r="E99" s="19" t="n">
        <f aca="false">IF(C99&lt;=0,0,ROUND(CHOOSE($C$10,IF(A99=$C$17,C99+D99,MIN($C$18,C99+D99)),IF(A99=$C$17,C99,MIN($C$19,C99))+D99,IF(A99=$C$17,C99,0)+D99),2))</f>
        <v>1932.9</v>
      </c>
      <c r="F99" s="19" t="n">
        <f aca="false">IF(C99&lt;=0,0,MAX(0,ROUND(E99-D99,2)))</f>
        <v>735.79</v>
      </c>
      <c r="G99" s="19" t="n">
        <f aca="false">IF(C99&lt;=0,0,ROUND(MIN(MAX(0,C99-F99),MAX(0,IF(A99&gt;=$C$13,$C$12,0)+SUMIF($E$5:$E$14,A99,$F$5:$F$14))),2))</f>
        <v>200</v>
      </c>
      <c r="H99" s="19" t="n">
        <f aca="false">ROUND(E99+G99,2)</f>
        <v>2132.9</v>
      </c>
      <c r="I99" s="19" t="n">
        <f aca="false">ROUND(C99-F99-G99,2)</f>
        <v>238485.26</v>
      </c>
      <c r="J99" s="19" t="n">
        <f aca="false">ROUND(J98+D99,2)</f>
        <v>93522.46</v>
      </c>
      <c r="K99" s="19" t="n">
        <f aca="false">ROUND(K98+F99+G99,2)</f>
        <v>61514.74</v>
      </c>
      <c r="M99" s="19" t="n">
        <f aca="false">Q98</f>
        <v>265647.32</v>
      </c>
      <c r="N99" s="19" t="n">
        <f aca="false">ROUND(M99*$C$16,2)</f>
        <v>1328.24</v>
      </c>
      <c r="O99" s="19" t="n">
        <f aca="false">IF(M99&lt;=0,0,ROUND(CHOOSE($C$10,IF(A99=$C$17,M99+N99,MIN($C$18,M99+N99)),IF(A99=$C$17,M99,MIN($C$19,M99))+N99,IF(A99=$C$17,M99,0)+N99),2))</f>
        <v>1932.9</v>
      </c>
      <c r="P99" s="19" t="n">
        <f aca="false">IF(M99&lt;=0,0,MAX(0,ROUND(O99-N99,2)))</f>
        <v>604.66</v>
      </c>
      <c r="Q99" s="19" t="n">
        <f aca="false">ROUND(M99-P99,2)</f>
        <v>265042.66</v>
      </c>
    </row>
    <row r="100" customFormat="false" ht="15" hidden="false" customHeight="false" outlineLevel="0" collapsed="false">
      <c r="A100" s="24" t="n">
        <f aca="false">A99+1</f>
        <v>69</v>
      </c>
      <c r="B100" s="25" t="n">
        <f aca="false">IF(MOD(12,$C$7)=0,EDATE($C$9,(A100-1)*12/$C$7),$C$9+(A100-1)*ROUND(364/$C$7,0))</f>
        <v>48396</v>
      </c>
      <c r="C100" s="19" t="n">
        <f aca="false">I99</f>
        <v>238485.26</v>
      </c>
      <c r="D100" s="19" t="n">
        <f aca="false">ROUND(C100*$C$16,2)</f>
        <v>1192.43</v>
      </c>
      <c r="E100" s="19" t="n">
        <f aca="false">IF(C100&lt;=0,0,ROUND(CHOOSE($C$10,IF(A100=$C$17,C100+D100,MIN($C$18,C100+D100)),IF(A100=$C$17,C100,MIN($C$19,C100))+D100,IF(A100=$C$17,C100,0)+D100),2))</f>
        <v>1932.9</v>
      </c>
      <c r="F100" s="19" t="n">
        <f aca="false">IF(C100&lt;=0,0,MAX(0,ROUND(E100-D100,2)))</f>
        <v>740.47</v>
      </c>
      <c r="G100" s="19" t="n">
        <f aca="false">IF(C100&lt;=0,0,ROUND(MIN(MAX(0,C100-F100),MAX(0,IF(A100&gt;=$C$13,$C$12,0)+SUMIF($E$5:$E$14,A100,$F$5:$F$14))),2))</f>
        <v>200</v>
      </c>
      <c r="H100" s="19" t="n">
        <f aca="false">ROUND(E100+G100,2)</f>
        <v>2132.9</v>
      </c>
      <c r="I100" s="19" t="n">
        <f aca="false">ROUND(C100-F100-G100,2)</f>
        <v>237544.79</v>
      </c>
      <c r="J100" s="19" t="n">
        <f aca="false">ROUND(J99+D100,2)</f>
        <v>94714.89</v>
      </c>
      <c r="K100" s="19" t="n">
        <f aca="false">ROUND(K99+F100+G100,2)</f>
        <v>62455.21</v>
      </c>
      <c r="M100" s="19" t="n">
        <f aca="false">Q99</f>
        <v>265042.66</v>
      </c>
      <c r="N100" s="19" t="n">
        <f aca="false">ROUND(M100*$C$16,2)</f>
        <v>1325.21</v>
      </c>
      <c r="O100" s="19" t="n">
        <f aca="false">IF(M100&lt;=0,0,ROUND(CHOOSE($C$10,IF(A100=$C$17,M100+N100,MIN($C$18,M100+N100)),IF(A100=$C$17,M100,MIN($C$19,M100))+N100,IF(A100=$C$17,M100,0)+N100),2))</f>
        <v>1932.9</v>
      </c>
      <c r="P100" s="19" t="n">
        <f aca="false">IF(M100&lt;=0,0,MAX(0,ROUND(O100-N100,2)))</f>
        <v>607.69</v>
      </c>
      <c r="Q100" s="19" t="n">
        <f aca="false">ROUND(M100-P100,2)</f>
        <v>264434.97</v>
      </c>
    </row>
    <row r="101" customFormat="false" ht="15" hidden="false" customHeight="false" outlineLevel="0" collapsed="false">
      <c r="A101" s="24" t="n">
        <f aca="false">A100+1</f>
        <v>70</v>
      </c>
      <c r="B101" s="25" t="n">
        <f aca="false">IF(MOD(12,$C$7)=0,EDATE($C$9,(A101-1)*12/$C$7),$C$9+(A101-1)*ROUND(364/$C$7,0))</f>
        <v>48427</v>
      </c>
      <c r="C101" s="19" t="n">
        <f aca="false">I100</f>
        <v>237544.79</v>
      </c>
      <c r="D101" s="19" t="n">
        <f aca="false">ROUND(C101*$C$16,2)</f>
        <v>1187.72</v>
      </c>
      <c r="E101" s="19" t="n">
        <f aca="false">IF(C101&lt;=0,0,ROUND(CHOOSE($C$10,IF(A101=$C$17,C101+D101,MIN($C$18,C101+D101)),IF(A101=$C$17,C101,MIN($C$19,C101))+D101,IF(A101=$C$17,C101,0)+D101),2))</f>
        <v>1932.9</v>
      </c>
      <c r="F101" s="19" t="n">
        <f aca="false">IF(C101&lt;=0,0,MAX(0,ROUND(E101-D101,2)))</f>
        <v>745.18</v>
      </c>
      <c r="G101" s="19" t="n">
        <f aca="false">IF(C101&lt;=0,0,ROUND(MIN(MAX(0,C101-F101),MAX(0,IF(A101&gt;=$C$13,$C$12,0)+SUMIF($E$5:$E$14,A101,$F$5:$F$14))),2))</f>
        <v>200</v>
      </c>
      <c r="H101" s="19" t="n">
        <f aca="false">ROUND(E101+G101,2)</f>
        <v>2132.9</v>
      </c>
      <c r="I101" s="19" t="n">
        <f aca="false">ROUND(C101-F101-G101,2)</f>
        <v>236599.61</v>
      </c>
      <c r="J101" s="19" t="n">
        <f aca="false">ROUND(J100+D101,2)</f>
        <v>95902.61</v>
      </c>
      <c r="K101" s="19" t="n">
        <f aca="false">ROUND(K100+F101+G101,2)</f>
        <v>63400.39</v>
      </c>
      <c r="M101" s="19" t="n">
        <f aca="false">Q100</f>
        <v>264434.97</v>
      </c>
      <c r="N101" s="19" t="n">
        <f aca="false">ROUND(M101*$C$16,2)</f>
        <v>1322.17</v>
      </c>
      <c r="O101" s="19" t="n">
        <f aca="false">IF(M101&lt;=0,0,ROUND(CHOOSE($C$10,IF(A101=$C$17,M101+N101,MIN($C$18,M101+N101)),IF(A101=$C$17,M101,MIN($C$19,M101))+N101,IF(A101=$C$17,M101,0)+N101),2))</f>
        <v>1932.9</v>
      </c>
      <c r="P101" s="19" t="n">
        <f aca="false">IF(M101&lt;=0,0,MAX(0,ROUND(O101-N101,2)))</f>
        <v>610.73</v>
      </c>
      <c r="Q101" s="19" t="n">
        <f aca="false">ROUND(M101-P101,2)</f>
        <v>263824.24</v>
      </c>
    </row>
    <row r="102" customFormat="false" ht="15" hidden="false" customHeight="false" outlineLevel="0" collapsed="false">
      <c r="A102" s="24" t="n">
        <f aca="false">A101+1</f>
        <v>71</v>
      </c>
      <c r="B102" s="25" t="n">
        <f aca="false">IF(MOD(12,$C$7)=0,EDATE($C$9,(A102-1)*12/$C$7),$C$9+(A102-1)*ROUND(364/$C$7,0))</f>
        <v>48458</v>
      </c>
      <c r="C102" s="19" t="n">
        <f aca="false">I101</f>
        <v>236599.61</v>
      </c>
      <c r="D102" s="19" t="n">
        <f aca="false">ROUND(C102*$C$16,2)</f>
        <v>1183</v>
      </c>
      <c r="E102" s="19" t="n">
        <f aca="false">IF(C102&lt;=0,0,ROUND(CHOOSE($C$10,IF(A102=$C$17,C102+D102,MIN($C$18,C102+D102)),IF(A102=$C$17,C102,MIN($C$19,C102))+D102,IF(A102=$C$17,C102,0)+D102),2))</f>
        <v>1932.9</v>
      </c>
      <c r="F102" s="19" t="n">
        <f aca="false">IF(C102&lt;=0,0,MAX(0,ROUND(E102-D102,2)))</f>
        <v>749.9</v>
      </c>
      <c r="G102" s="19" t="n">
        <f aca="false">IF(C102&lt;=0,0,ROUND(MIN(MAX(0,C102-F102),MAX(0,IF(A102&gt;=$C$13,$C$12,0)+SUMIF($E$5:$E$14,A102,$F$5:$F$14))),2))</f>
        <v>200</v>
      </c>
      <c r="H102" s="19" t="n">
        <f aca="false">ROUND(E102+G102,2)</f>
        <v>2132.9</v>
      </c>
      <c r="I102" s="19" t="n">
        <f aca="false">ROUND(C102-F102-G102,2)</f>
        <v>235649.71</v>
      </c>
      <c r="J102" s="19" t="n">
        <f aca="false">ROUND(J101+D102,2)</f>
        <v>97085.61</v>
      </c>
      <c r="K102" s="19" t="n">
        <f aca="false">ROUND(K101+F102+G102,2)</f>
        <v>64350.29</v>
      </c>
      <c r="M102" s="19" t="n">
        <f aca="false">Q101</f>
        <v>263824.24</v>
      </c>
      <c r="N102" s="19" t="n">
        <f aca="false">ROUND(M102*$C$16,2)</f>
        <v>1319.12</v>
      </c>
      <c r="O102" s="19" t="n">
        <f aca="false">IF(M102&lt;=0,0,ROUND(CHOOSE($C$10,IF(A102=$C$17,M102+N102,MIN($C$18,M102+N102)),IF(A102=$C$17,M102,MIN($C$19,M102))+N102,IF(A102=$C$17,M102,0)+N102),2))</f>
        <v>1932.9</v>
      </c>
      <c r="P102" s="19" t="n">
        <f aca="false">IF(M102&lt;=0,0,MAX(0,ROUND(O102-N102,2)))</f>
        <v>613.78</v>
      </c>
      <c r="Q102" s="19" t="n">
        <f aca="false">ROUND(M102-P102,2)</f>
        <v>263210.46</v>
      </c>
    </row>
    <row r="103" customFormat="false" ht="15" hidden="false" customHeight="false" outlineLevel="0" collapsed="false">
      <c r="A103" s="24" t="n">
        <f aca="false">A102+1</f>
        <v>72</v>
      </c>
      <c r="B103" s="25" t="n">
        <f aca="false">IF(MOD(12,$C$7)=0,EDATE($C$9,(A103-1)*12/$C$7),$C$9+(A103-1)*ROUND(364/$C$7,0))</f>
        <v>48488</v>
      </c>
      <c r="C103" s="19" t="n">
        <f aca="false">I102</f>
        <v>235649.71</v>
      </c>
      <c r="D103" s="19" t="n">
        <f aca="false">ROUND(C103*$C$16,2)</f>
        <v>1178.25</v>
      </c>
      <c r="E103" s="19" t="n">
        <f aca="false">IF(C103&lt;=0,0,ROUND(CHOOSE($C$10,IF(A103=$C$17,C103+D103,MIN($C$18,C103+D103)),IF(A103=$C$17,C103,MIN($C$19,C103))+D103,IF(A103=$C$17,C103,0)+D103),2))</f>
        <v>1932.9</v>
      </c>
      <c r="F103" s="19" t="n">
        <f aca="false">IF(C103&lt;=0,0,MAX(0,ROUND(E103-D103,2)))</f>
        <v>754.65</v>
      </c>
      <c r="G103" s="19" t="n">
        <f aca="false">IF(C103&lt;=0,0,ROUND(MIN(MAX(0,C103-F103),MAX(0,IF(A103&gt;=$C$13,$C$12,0)+SUMIF($E$5:$E$14,A103,$F$5:$F$14))),2))</f>
        <v>200</v>
      </c>
      <c r="H103" s="19" t="n">
        <f aca="false">ROUND(E103+G103,2)</f>
        <v>2132.9</v>
      </c>
      <c r="I103" s="19" t="n">
        <f aca="false">ROUND(C103-F103-G103,2)</f>
        <v>234695.06</v>
      </c>
      <c r="J103" s="19" t="n">
        <f aca="false">ROUND(J102+D103,2)</f>
        <v>98263.86</v>
      </c>
      <c r="K103" s="19" t="n">
        <f aca="false">ROUND(K102+F103+G103,2)</f>
        <v>65304.94</v>
      </c>
      <c r="M103" s="19" t="n">
        <f aca="false">Q102</f>
        <v>263210.46</v>
      </c>
      <c r="N103" s="19" t="n">
        <f aca="false">ROUND(M103*$C$16,2)</f>
        <v>1316.05</v>
      </c>
      <c r="O103" s="19" t="n">
        <f aca="false">IF(M103&lt;=0,0,ROUND(CHOOSE($C$10,IF(A103=$C$17,M103+N103,MIN($C$18,M103+N103)),IF(A103=$C$17,M103,MIN($C$19,M103))+N103,IF(A103=$C$17,M103,0)+N103),2))</f>
        <v>1932.9</v>
      </c>
      <c r="P103" s="19" t="n">
        <f aca="false">IF(M103&lt;=0,0,MAX(0,ROUND(O103-N103,2)))</f>
        <v>616.85</v>
      </c>
      <c r="Q103" s="19" t="n">
        <f aca="false">ROUND(M103-P103,2)</f>
        <v>262593.61</v>
      </c>
    </row>
    <row r="104" customFormat="false" ht="15" hidden="false" customHeight="false" outlineLevel="0" collapsed="false">
      <c r="A104" s="24" t="n">
        <f aca="false">A103+1</f>
        <v>73</v>
      </c>
      <c r="B104" s="25" t="n">
        <f aca="false">IF(MOD(12,$C$7)=0,EDATE($C$9,(A104-1)*12/$C$7),$C$9+(A104-1)*ROUND(364/$C$7,0))</f>
        <v>48519</v>
      </c>
      <c r="C104" s="19" t="n">
        <f aca="false">I103</f>
        <v>234695.06</v>
      </c>
      <c r="D104" s="19" t="n">
        <f aca="false">ROUND(C104*$C$16,2)</f>
        <v>1173.48</v>
      </c>
      <c r="E104" s="19" t="n">
        <f aca="false">IF(C104&lt;=0,0,ROUND(CHOOSE($C$10,IF(A104=$C$17,C104+D104,MIN($C$18,C104+D104)),IF(A104=$C$17,C104,MIN($C$19,C104))+D104,IF(A104=$C$17,C104,0)+D104),2))</f>
        <v>1932.9</v>
      </c>
      <c r="F104" s="19" t="n">
        <f aca="false">IF(C104&lt;=0,0,MAX(0,ROUND(E104-D104,2)))</f>
        <v>759.42</v>
      </c>
      <c r="G104" s="19" t="n">
        <f aca="false">IF(C104&lt;=0,0,ROUND(MIN(MAX(0,C104-F104),MAX(0,IF(A104&gt;=$C$13,$C$12,0)+SUMIF($E$5:$E$14,A104,$F$5:$F$14))),2))</f>
        <v>200</v>
      </c>
      <c r="H104" s="19" t="n">
        <f aca="false">ROUND(E104+G104,2)</f>
        <v>2132.9</v>
      </c>
      <c r="I104" s="19" t="n">
        <f aca="false">ROUND(C104-F104-G104,2)</f>
        <v>233735.64</v>
      </c>
      <c r="J104" s="19" t="n">
        <f aca="false">ROUND(J103+D104,2)</f>
        <v>99437.34</v>
      </c>
      <c r="K104" s="19" t="n">
        <f aca="false">ROUND(K103+F104+G104,2)</f>
        <v>66264.36</v>
      </c>
      <c r="M104" s="19" t="n">
        <f aca="false">Q103</f>
        <v>262593.61</v>
      </c>
      <c r="N104" s="19" t="n">
        <f aca="false">ROUND(M104*$C$16,2)</f>
        <v>1312.97</v>
      </c>
      <c r="O104" s="19" t="n">
        <f aca="false">IF(M104&lt;=0,0,ROUND(CHOOSE($C$10,IF(A104=$C$17,M104+N104,MIN($C$18,M104+N104)),IF(A104=$C$17,M104,MIN($C$19,M104))+N104,IF(A104=$C$17,M104,0)+N104),2))</f>
        <v>1932.9</v>
      </c>
      <c r="P104" s="19" t="n">
        <f aca="false">IF(M104&lt;=0,0,MAX(0,ROUND(O104-N104,2)))</f>
        <v>619.93</v>
      </c>
      <c r="Q104" s="19" t="n">
        <f aca="false">ROUND(M104-P104,2)</f>
        <v>261973.68</v>
      </c>
    </row>
    <row r="105" customFormat="false" ht="15" hidden="false" customHeight="false" outlineLevel="0" collapsed="false">
      <c r="A105" s="24" t="n">
        <f aca="false">A104+1</f>
        <v>74</v>
      </c>
      <c r="B105" s="25" t="n">
        <f aca="false">IF(MOD(12,$C$7)=0,EDATE($C$9,(A105-1)*12/$C$7),$C$9+(A105-1)*ROUND(364/$C$7,0))</f>
        <v>48549</v>
      </c>
      <c r="C105" s="19" t="n">
        <f aca="false">I104</f>
        <v>233735.64</v>
      </c>
      <c r="D105" s="19" t="n">
        <f aca="false">ROUND(C105*$C$16,2)</f>
        <v>1168.68</v>
      </c>
      <c r="E105" s="19" t="n">
        <f aca="false">IF(C105&lt;=0,0,ROUND(CHOOSE($C$10,IF(A105=$C$17,C105+D105,MIN($C$18,C105+D105)),IF(A105=$C$17,C105,MIN($C$19,C105))+D105,IF(A105=$C$17,C105,0)+D105),2))</f>
        <v>1932.9</v>
      </c>
      <c r="F105" s="19" t="n">
        <f aca="false">IF(C105&lt;=0,0,MAX(0,ROUND(E105-D105,2)))</f>
        <v>764.22</v>
      </c>
      <c r="G105" s="19" t="n">
        <f aca="false">IF(C105&lt;=0,0,ROUND(MIN(MAX(0,C105-F105),MAX(0,IF(A105&gt;=$C$13,$C$12,0)+SUMIF($E$5:$E$14,A105,$F$5:$F$14))),2))</f>
        <v>200</v>
      </c>
      <c r="H105" s="19" t="n">
        <f aca="false">ROUND(E105+G105,2)</f>
        <v>2132.9</v>
      </c>
      <c r="I105" s="19" t="n">
        <f aca="false">ROUND(C105-F105-G105,2)</f>
        <v>232771.42</v>
      </c>
      <c r="J105" s="19" t="n">
        <f aca="false">ROUND(J104+D105,2)</f>
        <v>100606.02</v>
      </c>
      <c r="K105" s="19" t="n">
        <f aca="false">ROUND(K104+F105+G105,2)</f>
        <v>67228.58</v>
      </c>
      <c r="M105" s="19" t="n">
        <f aca="false">Q104</f>
        <v>261973.68</v>
      </c>
      <c r="N105" s="19" t="n">
        <f aca="false">ROUND(M105*$C$16,2)</f>
        <v>1309.87</v>
      </c>
      <c r="O105" s="19" t="n">
        <f aca="false">IF(M105&lt;=0,0,ROUND(CHOOSE($C$10,IF(A105=$C$17,M105+N105,MIN($C$18,M105+N105)),IF(A105=$C$17,M105,MIN($C$19,M105))+N105,IF(A105=$C$17,M105,0)+N105),2))</f>
        <v>1932.9</v>
      </c>
      <c r="P105" s="19" t="n">
        <f aca="false">IF(M105&lt;=0,0,MAX(0,ROUND(O105-N105,2)))</f>
        <v>623.03</v>
      </c>
      <c r="Q105" s="19" t="n">
        <f aca="false">ROUND(M105-P105,2)</f>
        <v>261350.65</v>
      </c>
    </row>
    <row r="106" customFormat="false" ht="15" hidden="false" customHeight="false" outlineLevel="0" collapsed="false">
      <c r="A106" s="24" t="n">
        <f aca="false">A105+1</f>
        <v>75</v>
      </c>
      <c r="B106" s="25" t="n">
        <f aca="false">IF(MOD(12,$C$7)=0,EDATE($C$9,(A106-1)*12/$C$7),$C$9+(A106-1)*ROUND(364/$C$7,0))</f>
        <v>48580</v>
      </c>
      <c r="C106" s="19" t="n">
        <f aca="false">I105</f>
        <v>232771.42</v>
      </c>
      <c r="D106" s="19" t="n">
        <f aca="false">ROUND(C106*$C$16,2)</f>
        <v>1163.86</v>
      </c>
      <c r="E106" s="19" t="n">
        <f aca="false">IF(C106&lt;=0,0,ROUND(CHOOSE($C$10,IF(A106=$C$17,C106+D106,MIN($C$18,C106+D106)),IF(A106=$C$17,C106,MIN($C$19,C106))+D106,IF(A106=$C$17,C106,0)+D106),2))</f>
        <v>1932.9</v>
      </c>
      <c r="F106" s="19" t="n">
        <f aca="false">IF(C106&lt;=0,0,MAX(0,ROUND(E106-D106,2)))</f>
        <v>769.04</v>
      </c>
      <c r="G106" s="19" t="n">
        <f aca="false">IF(C106&lt;=0,0,ROUND(MIN(MAX(0,C106-F106),MAX(0,IF(A106&gt;=$C$13,$C$12,0)+SUMIF($E$5:$E$14,A106,$F$5:$F$14))),2))</f>
        <v>200</v>
      </c>
      <c r="H106" s="19" t="n">
        <f aca="false">ROUND(E106+G106,2)</f>
        <v>2132.9</v>
      </c>
      <c r="I106" s="19" t="n">
        <f aca="false">ROUND(C106-F106-G106,2)</f>
        <v>231802.38</v>
      </c>
      <c r="J106" s="19" t="n">
        <f aca="false">ROUND(J105+D106,2)</f>
        <v>101769.88</v>
      </c>
      <c r="K106" s="19" t="n">
        <f aca="false">ROUND(K105+F106+G106,2)</f>
        <v>68197.62</v>
      </c>
      <c r="M106" s="19" t="n">
        <f aca="false">Q105</f>
        <v>261350.65</v>
      </c>
      <c r="N106" s="19" t="n">
        <f aca="false">ROUND(M106*$C$16,2)</f>
        <v>1306.75</v>
      </c>
      <c r="O106" s="19" t="n">
        <f aca="false">IF(M106&lt;=0,0,ROUND(CHOOSE($C$10,IF(A106=$C$17,M106+N106,MIN($C$18,M106+N106)),IF(A106=$C$17,M106,MIN($C$19,M106))+N106,IF(A106=$C$17,M106,0)+N106),2))</f>
        <v>1932.9</v>
      </c>
      <c r="P106" s="19" t="n">
        <f aca="false">IF(M106&lt;=0,0,MAX(0,ROUND(O106-N106,2)))</f>
        <v>626.15</v>
      </c>
      <c r="Q106" s="19" t="n">
        <f aca="false">ROUND(M106-P106,2)</f>
        <v>260724.5</v>
      </c>
    </row>
    <row r="107" customFormat="false" ht="15" hidden="false" customHeight="false" outlineLevel="0" collapsed="false">
      <c r="A107" s="24" t="n">
        <f aca="false">A106+1</f>
        <v>76</v>
      </c>
      <c r="B107" s="25" t="n">
        <f aca="false">IF(MOD(12,$C$7)=0,EDATE($C$9,(A107-1)*12/$C$7),$C$9+(A107-1)*ROUND(364/$C$7,0))</f>
        <v>48611</v>
      </c>
      <c r="C107" s="19" t="n">
        <f aca="false">I106</f>
        <v>231802.38</v>
      </c>
      <c r="D107" s="19" t="n">
        <f aca="false">ROUND(C107*$C$16,2)</f>
        <v>1159.01</v>
      </c>
      <c r="E107" s="19" t="n">
        <f aca="false">IF(C107&lt;=0,0,ROUND(CHOOSE($C$10,IF(A107=$C$17,C107+D107,MIN($C$18,C107+D107)),IF(A107=$C$17,C107,MIN($C$19,C107))+D107,IF(A107=$C$17,C107,0)+D107),2))</f>
        <v>1932.9</v>
      </c>
      <c r="F107" s="19" t="n">
        <f aca="false">IF(C107&lt;=0,0,MAX(0,ROUND(E107-D107,2)))</f>
        <v>773.89</v>
      </c>
      <c r="G107" s="19" t="n">
        <f aca="false">IF(C107&lt;=0,0,ROUND(MIN(MAX(0,C107-F107),MAX(0,IF(A107&gt;=$C$13,$C$12,0)+SUMIF($E$5:$E$14,A107,$F$5:$F$14))),2))</f>
        <v>200</v>
      </c>
      <c r="H107" s="19" t="n">
        <f aca="false">ROUND(E107+G107,2)</f>
        <v>2132.9</v>
      </c>
      <c r="I107" s="19" t="n">
        <f aca="false">ROUND(C107-F107-G107,2)</f>
        <v>230828.49</v>
      </c>
      <c r="J107" s="19" t="n">
        <f aca="false">ROUND(J106+D107,2)</f>
        <v>102928.89</v>
      </c>
      <c r="K107" s="19" t="n">
        <f aca="false">ROUND(K106+F107+G107,2)</f>
        <v>69171.51</v>
      </c>
      <c r="M107" s="19" t="n">
        <f aca="false">Q106</f>
        <v>260724.5</v>
      </c>
      <c r="N107" s="19" t="n">
        <f aca="false">ROUND(M107*$C$16,2)</f>
        <v>1303.62</v>
      </c>
      <c r="O107" s="19" t="n">
        <f aca="false">IF(M107&lt;=0,0,ROUND(CHOOSE($C$10,IF(A107=$C$17,M107+N107,MIN($C$18,M107+N107)),IF(A107=$C$17,M107,MIN($C$19,M107))+N107,IF(A107=$C$17,M107,0)+N107),2))</f>
        <v>1932.9</v>
      </c>
      <c r="P107" s="19" t="n">
        <f aca="false">IF(M107&lt;=0,0,MAX(0,ROUND(O107-N107,2)))</f>
        <v>629.28</v>
      </c>
      <c r="Q107" s="19" t="n">
        <f aca="false">ROUND(M107-P107,2)</f>
        <v>260095.22</v>
      </c>
    </row>
    <row r="108" customFormat="false" ht="15" hidden="false" customHeight="false" outlineLevel="0" collapsed="false">
      <c r="A108" s="24" t="n">
        <f aca="false">A107+1</f>
        <v>77</v>
      </c>
      <c r="B108" s="25" t="n">
        <f aca="false">IF(MOD(12,$C$7)=0,EDATE($C$9,(A108-1)*12/$C$7),$C$9+(A108-1)*ROUND(364/$C$7,0))</f>
        <v>48639</v>
      </c>
      <c r="C108" s="19" t="n">
        <f aca="false">I107</f>
        <v>230828.49</v>
      </c>
      <c r="D108" s="19" t="n">
        <f aca="false">ROUND(C108*$C$16,2)</f>
        <v>1154.14</v>
      </c>
      <c r="E108" s="19" t="n">
        <f aca="false">IF(C108&lt;=0,0,ROUND(CHOOSE($C$10,IF(A108=$C$17,C108+D108,MIN($C$18,C108+D108)),IF(A108=$C$17,C108,MIN($C$19,C108))+D108,IF(A108=$C$17,C108,0)+D108),2))</f>
        <v>1932.9</v>
      </c>
      <c r="F108" s="19" t="n">
        <f aca="false">IF(C108&lt;=0,0,MAX(0,ROUND(E108-D108,2)))</f>
        <v>778.76</v>
      </c>
      <c r="G108" s="19" t="n">
        <f aca="false">IF(C108&lt;=0,0,ROUND(MIN(MAX(0,C108-F108),MAX(0,IF(A108&gt;=$C$13,$C$12,0)+SUMIF($E$5:$E$14,A108,$F$5:$F$14))),2))</f>
        <v>200</v>
      </c>
      <c r="H108" s="19" t="n">
        <f aca="false">ROUND(E108+G108,2)</f>
        <v>2132.9</v>
      </c>
      <c r="I108" s="19" t="n">
        <f aca="false">ROUND(C108-F108-G108,2)</f>
        <v>229849.73</v>
      </c>
      <c r="J108" s="19" t="n">
        <f aca="false">ROUND(J107+D108,2)</f>
        <v>104083.03</v>
      </c>
      <c r="K108" s="19" t="n">
        <f aca="false">ROUND(K107+F108+G108,2)</f>
        <v>70150.27</v>
      </c>
      <c r="M108" s="19" t="n">
        <f aca="false">Q107</f>
        <v>260095.22</v>
      </c>
      <c r="N108" s="19" t="n">
        <f aca="false">ROUND(M108*$C$16,2)</f>
        <v>1300.48</v>
      </c>
      <c r="O108" s="19" t="n">
        <f aca="false">IF(M108&lt;=0,0,ROUND(CHOOSE($C$10,IF(A108=$C$17,M108+N108,MIN($C$18,M108+N108)),IF(A108=$C$17,M108,MIN($C$19,M108))+N108,IF(A108=$C$17,M108,0)+N108),2))</f>
        <v>1932.9</v>
      </c>
      <c r="P108" s="19" t="n">
        <f aca="false">IF(M108&lt;=0,0,MAX(0,ROUND(O108-N108,2)))</f>
        <v>632.42</v>
      </c>
      <c r="Q108" s="19" t="n">
        <f aca="false">ROUND(M108-P108,2)</f>
        <v>259462.8</v>
      </c>
    </row>
    <row r="109" customFormat="false" ht="15" hidden="false" customHeight="false" outlineLevel="0" collapsed="false">
      <c r="A109" s="24" t="n">
        <f aca="false">A108+1</f>
        <v>78</v>
      </c>
      <c r="B109" s="25" t="n">
        <f aca="false">IF(MOD(12,$C$7)=0,EDATE($C$9,(A109-1)*12/$C$7),$C$9+(A109-1)*ROUND(364/$C$7,0))</f>
        <v>48670</v>
      </c>
      <c r="C109" s="19" t="n">
        <f aca="false">I108</f>
        <v>229849.73</v>
      </c>
      <c r="D109" s="19" t="n">
        <f aca="false">ROUND(C109*$C$16,2)</f>
        <v>1149.25</v>
      </c>
      <c r="E109" s="19" t="n">
        <f aca="false">IF(C109&lt;=0,0,ROUND(CHOOSE($C$10,IF(A109=$C$17,C109+D109,MIN($C$18,C109+D109)),IF(A109=$C$17,C109,MIN($C$19,C109))+D109,IF(A109=$C$17,C109,0)+D109),2))</f>
        <v>1932.9</v>
      </c>
      <c r="F109" s="19" t="n">
        <f aca="false">IF(C109&lt;=0,0,MAX(0,ROUND(E109-D109,2)))</f>
        <v>783.65</v>
      </c>
      <c r="G109" s="19" t="n">
        <f aca="false">IF(C109&lt;=0,0,ROUND(MIN(MAX(0,C109-F109),MAX(0,IF(A109&gt;=$C$13,$C$12,0)+SUMIF($E$5:$E$14,A109,$F$5:$F$14))),2))</f>
        <v>200</v>
      </c>
      <c r="H109" s="19" t="n">
        <f aca="false">ROUND(E109+G109,2)</f>
        <v>2132.9</v>
      </c>
      <c r="I109" s="19" t="n">
        <f aca="false">ROUND(C109-F109-G109,2)</f>
        <v>228866.08</v>
      </c>
      <c r="J109" s="19" t="n">
        <f aca="false">ROUND(J108+D109,2)</f>
        <v>105232.28</v>
      </c>
      <c r="K109" s="19" t="n">
        <f aca="false">ROUND(K108+F109+G109,2)</f>
        <v>71133.92</v>
      </c>
      <c r="M109" s="19" t="n">
        <f aca="false">Q108</f>
        <v>259462.8</v>
      </c>
      <c r="N109" s="19" t="n">
        <f aca="false">ROUND(M109*$C$16,2)</f>
        <v>1297.31</v>
      </c>
      <c r="O109" s="19" t="n">
        <f aca="false">IF(M109&lt;=0,0,ROUND(CHOOSE($C$10,IF(A109=$C$17,M109+N109,MIN($C$18,M109+N109)),IF(A109=$C$17,M109,MIN($C$19,M109))+N109,IF(A109=$C$17,M109,0)+N109),2))</f>
        <v>1932.9</v>
      </c>
      <c r="P109" s="19" t="n">
        <f aca="false">IF(M109&lt;=0,0,MAX(0,ROUND(O109-N109,2)))</f>
        <v>635.59</v>
      </c>
      <c r="Q109" s="19" t="n">
        <f aca="false">ROUND(M109-P109,2)</f>
        <v>258827.21</v>
      </c>
    </row>
    <row r="110" customFormat="false" ht="15" hidden="false" customHeight="false" outlineLevel="0" collapsed="false">
      <c r="A110" s="24" t="n">
        <f aca="false">A109+1</f>
        <v>79</v>
      </c>
      <c r="B110" s="25" t="n">
        <f aca="false">IF(MOD(12,$C$7)=0,EDATE($C$9,(A110-1)*12/$C$7),$C$9+(A110-1)*ROUND(364/$C$7,0))</f>
        <v>48700</v>
      </c>
      <c r="C110" s="19" t="n">
        <f aca="false">I109</f>
        <v>228866.08</v>
      </c>
      <c r="D110" s="19" t="n">
        <f aca="false">ROUND(C110*$C$16,2)</f>
        <v>1144.33</v>
      </c>
      <c r="E110" s="19" t="n">
        <f aca="false">IF(C110&lt;=0,0,ROUND(CHOOSE($C$10,IF(A110=$C$17,C110+D110,MIN($C$18,C110+D110)),IF(A110=$C$17,C110,MIN($C$19,C110))+D110,IF(A110=$C$17,C110,0)+D110),2))</f>
        <v>1932.9</v>
      </c>
      <c r="F110" s="19" t="n">
        <f aca="false">IF(C110&lt;=0,0,MAX(0,ROUND(E110-D110,2)))</f>
        <v>788.57</v>
      </c>
      <c r="G110" s="19" t="n">
        <f aca="false">IF(C110&lt;=0,0,ROUND(MIN(MAX(0,C110-F110),MAX(0,IF(A110&gt;=$C$13,$C$12,0)+SUMIF($E$5:$E$14,A110,$F$5:$F$14))),2))</f>
        <v>200</v>
      </c>
      <c r="H110" s="19" t="n">
        <f aca="false">ROUND(E110+G110,2)</f>
        <v>2132.9</v>
      </c>
      <c r="I110" s="19" t="n">
        <f aca="false">ROUND(C110-F110-G110,2)</f>
        <v>227877.51</v>
      </c>
      <c r="J110" s="19" t="n">
        <f aca="false">ROUND(J109+D110,2)</f>
        <v>106376.61</v>
      </c>
      <c r="K110" s="19" t="n">
        <f aca="false">ROUND(K109+F110+G110,2)</f>
        <v>72122.49</v>
      </c>
      <c r="M110" s="19" t="n">
        <f aca="false">Q109</f>
        <v>258827.21</v>
      </c>
      <c r="N110" s="19" t="n">
        <f aca="false">ROUND(M110*$C$16,2)</f>
        <v>1294.14</v>
      </c>
      <c r="O110" s="19" t="n">
        <f aca="false">IF(M110&lt;=0,0,ROUND(CHOOSE($C$10,IF(A110=$C$17,M110+N110,MIN($C$18,M110+N110)),IF(A110=$C$17,M110,MIN($C$19,M110))+N110,IF(A110=$C$17,M110,0)+N110),2))</f>
        <v>1932.9</v>
      </c>
      <c r="P110" s="19" t="n">
        <f aca="false">IF(M110&lt;=0,0,MAX(0,ROUND(O110-N110,2)))</f>
        <v>638.76</v>
      </c>
      <c r="Q110" s="19" t="n">
        <f aca="false">ROUND(M110-P110,2)</f>
        <v>258188.45</v>
      </c>
    </row>
    <row r="111" customFormat="false" ht="15" hidden="false" customHeight="false" outlineLevel="0" collapsed="false">
      <c r="A111" s="24" t="n">
        <f aca="false">A110+1</f>
        <v>80</v>
      </c>
      <c r="B111" s="25" t="n">
        <f aca="false">IF(MOD(12,$C$7)=0,EDATE($C$9,(A111-1)*12/$C$7),$C$9+(A111-1)*ROUND(364/$C$7,0))</f>
        <v>48731</v>
      </c>
      <c r="C111" s="19" t="n">
        <f aca="false">I110</f>
        <v>227877.51</v>
      </c>
      <c r="D111" s="19" t="n">
        <f aca="false">ROUND(C111*$C$16,2)</f>
        <v>1139.39</v>
      </c>
      <c r="E111" s="19" t="n">
        <f aca="false">IF(C111&lt;=0,0,ROUND(CHOOSE($C$10,IF(A111=$C$17,C111+D111,MIN($C$18,C111+D111)),IF(A111=$C$17,C111,MIN($C$19,C111))+D111,IF(A111=$C$17,C111,0)+D111),2))</f>
        <v>1932.9</v>
      </c>
      <c r="F111" s="19" t="n">
        <f aca="false">IF(C111&lt;=0,0,MAX(0,ROUND(E111-D111,2)))</f>
        <v>793.51</v>
      </c>
      <c r="G111" s="19" t="n">
        <f aca="false">IF(C111&lt;=0,0,ROUND(MIN(MAX(0,C111-F111),MAX(0,IF(A111&gt;=$C$13,$C$12,0)+SUMIF($E$5:$E$14,A111,$F$5:$F$14))),2))</f>
        <v>200</v>
      </c>
      <c r="H111" s="19" t="n">
        <f aca="false">ROUND(E111+G111,2)</f>
        <v>2132.9</v>
      </c>
      <c r="I111" s="19" t="n">
        <f aca="false">ROUND(C111-F111-G111,2)</f>
        <v>226884</v>
      </c>
      <c r="J111" s="19" t="n">
        <f aca="false">ROUND(J110+D111,2)</f>
        <v>107516</v>
      </c>
      <c r="K111" s="19" t="n">
        <f aca="false">ROUND(K110+F111+G111,2)</f>
        <v>73116</v>
      </c>
      <c r="M111" s="19" t="n">
        <f aca="false">Q110</f>
        <v>258188.45</v>
      </c>
      <c r="N111" s="19" t="n">
        <f aca="false">ROUND(M111*$C$16,2)</f>
        <v>1290.94</v>
      </c>
      <c r="O111" s="19" t="n">
        <f aca="false">IF(M111&lt;=0,0,ROUND(CHOOSE($C$10,IF(A111=$C$17,M111+N111,MIN($C$18,M111+N111)),IF(A111=$C$17,M111,MIN($C$19,M111))+N111,IF(A111=$C$17,M111,0)+N111),2))</f>
        <v>1932.9</v>
      </c>
      <c r="P111" s="19" t="n">
        <f aca="false">IF(M111&lt;=0,0,MAX(0,ROUND(O111-N111,2)))</f>
        <v>641.96</v>
      </c>
      <c r="Q111" s="19" t="n">
        <f aca="false">ROUND(M111-P111,2)</f>
        <v>257546.49</v>
      </c>
    </row>
    <row r="112" customFormat="false" ht="15" hidden="false" customHeight="false" outlineLevel="0" collapsed="false">
      <c r="A112" s="24" t="n">
        <f aca="false">A111+1</f>
        <v>81</v>
      </c>
      <c r="B112" s="25" t="n">
        <f aca="false">IF(MOD(12,$C$7)=0,EDATE($C$9,(A112-1)*12/$C$7),$C$9+(A112-1)*ROUND(364/$C$7,0))</f>
        <v>48761</v>
      </c>
      <c r="C112" s="19" t="n">
        <f aca="false">I111</f>
        <v>226884</v>
      </c>
      <c r="D112" s="19" t="n">
        <f aca="false">ROUND(C112*$C$16,2)</f>
        <v>1134.42</v>
      </c>
      <c r="E112" s="19" t="n">
        <f aca="false">IF(C112&lt;=0,0,ROUND(CHOOSE($C$10,IF(A112=$C$17,C112+D112,MIN($C$18,C112+D112)),IF(A112=$C$17,C112,MIN($C$19,C112))+D112,IF(A112=$C$17,C112,0)+D112),2))</f>
        <v>1932.9</v>
      </c>
      <c r="F112" s="19" t="n">
        <f aca="false">IF(C112&lt;=0,0,MAX(0,ROUND(E112-D112,2)))</f>
        <v>798.48</v>
      </c>
      <c r="G112" s="19" t="n">
        <f aca="false">IF(C112&lt;=0,0,ROUND(MIN(MAX(0,C112-F112),MAX(0,IF(A112&gt;=$C$13,$C$12,0)+SUMIF($E$5:$E$14,A112,$F$5:$F$14))),2))</f>
        <v>200</v>
      </c>
      <c r="H112" s="19" t="n">
        <f aca="false">ROUND(E112+G112,2)</f>
        <v>2132.9</v>
      </c>
      <c r="I112" s="19" t="n">
        <f aca="false">ROUND(C112-F112-G112,2)</f>
        <v>225885.52</v>
      </c>
      <c r="J112" s="19" t="n">
        <f aca="false">ROUND(J111+D112,2)</f>
        <v>108650.42</v>
      </c>
      <c r="K112" s="19" t="n">
        <f aca="false">ROUND(K111+F112+G112,2)</f>
        <v>74114.48</v>
      </c>
      <c r="M112" s="19" t="n">
        <f aca="false">Q111</f>
        <v>257546.49</v>
      </c>
      <c r="N112" s="19" t="n">
        <f aca="false">ROUND(M112*$C$16,2)</f>
        <v>1287.73</v>
      </c>
      <c r="O112" s="19" t="n">
        <f aca="false">IF(M112&lt;=0,0,ROUND(CHOOSE($C$10,IF(A112=$C$17,M112+N112,MIN($C$18,M112+N112)),IF(A112=$C$17,M112,MIN($C$19,M112))+N112,IF(A112=$C$17,M112,0)+N112),2))</f>
        <v>1932.9</v>
      </c>
      <c r="P112" s="19" t="n">
        <f aca="false">IF(M112&lt;=0,0,MAX(0,ROUND(O112-N112,2)))</f>
        <v>645.17</v>
      </c>
      <c r="Q112" s="19" t="n">
        <f aca="false">ROUND(M112-P112,2)</f>
        <v>256901.32</v>
      </c>
    </row>
    <row r="113" customFormat="false" ht="15" hidden="false" customHeight="false" outlineLevel="0" collapsed="false">
      <c r="A113" s="24" t="n">
        <f aca="false">A112+1</f>
        <v>82</v>
      </c>
      <c r="B113" s="25" t="n">
        <f aca="false">IF(MOD(12,$C$7)=0,EDATE($C$9,(A113-1)*12/$C$7),$C$9+(A113-1)*ROUND(364/$C$7,0))</f>
        <v>48792</v>
      </c>
      <c r="C113" s="19" t="n">
        <f aca="false">I112</f>
        <v>225885.52</v>
      </c>
      <c r="D113" s="19" t="n">
        <f aca="false">ROUND(C113*$C$16,2)</f>
        <v>1129.43</v>
      </c>
      <c r="E113" s="19" t="n">
        <f aca="false">IF(C113&lt;=0,0,ROUND(CHOOSE($C$10,IF(A113=$C$17,C113+D113,MIN($C$18,C113+D113)),IF(A113=$C$17,C113,MIN($C$19,C113))+D113,IF(A113=$C$17,C113,0)+D113),2))</f>
        <v>1932.9</v>
      </c>
      <c r="F113" s="19" t="n">
        <f aca="false">IF(C113&lt;=0,0,MAX(0,ROUND(E113-D113,2)))</f>
        <v>803.47</v>
      </c>
      <c r="G113" s="19" t="n">
        <f aca="false">IF(C113&lt;=0,0,ROUND(MIN(MAX(0,C113-F113),MAX(0,IF(A113&gt;=$C$13,$C$12,0)+SUMIF($E$5:$E$14,A113,$F$5:$F$14))),2))</f>
        <v>200</v>
      </c>
      <c r="H113" s="19" t="n">
        <f aca="false">ROUND(E113+G113,2)</f>
        <v>2132.9</v>
      </c>
      <c r="I113" s="19" t="n">
        <f aca="false">ROUND(C113-F113-G113,2)</f>
        <v>224882.05</v>
      </c>
      <c r="J113" s="19" t="n">
        <f aca="false">ROUND(J112+D113,2)</f>
        <v>109779.85</v>
      </c>
      <c r="K113" s="19" t="n">
        <f aca="false">ROUND(K112+F113+G113,2)</f>
        <v>75117.95</v>
      </c>
      <c r="M113" s="19" t="n">
        <f aca="false">Q112</f>
        <v>256901.32</v>
      </c>
      <c r="N113" s="19" t="n">
        <f aca="false">ROUND(M113*$C$16,2)</f>
        <v>1284.51</v>
      </c>
      <c r="O113" s="19" t="n">
        <f aca="false">IF(M113&lt;=0,0,ROUND(CHOOSE($C$10,IF(A113=$C$17,M113+N113,MIN($C$18,M113+N113)),IF(A113=$C$17,M113,MIN($C$19,M113))+N113,IF(A113=$C$17,M113,0)+N113),2))</f>
        <v>1932.9</v>
      </c>
      <c r="P113" s="19" t="n">
        <f aca="false">IF(M113&lt;=0,0,MAX(0,ROUND(O113-N113,2)))</f>
        <v>648.39</v>
      </c>
      <c r="Q113" s="19" t="n">
        <f aca="false">ROUND(M113-P113,2)</f>
        <v>256252.93</v>
      </c>
    </row>
    <row r="114" customFormat="false" ht="15" hidden="false" customHeight="false" outlineLevel="0" collapsed="false">
      <c r="A114" s="24" t="n">
        <f aca="false">A113+1</f>
        <v>83</v>
      </c>
      <c r="B114" s="25" t="n">
        <f aca="false">IF(MOD(12,$C$7)=0,EDATE($C$9,(A114-1)*12/$C$7),$C$9+(A114-1)*ROUND(364/$C$7,0))</f>
        <v>48823</v>
      </c>
      <c r="C114" s="19" t="n">
        <f aca="false">I113</f>
        <v>224882.05</v>
      </c>
      <c r="D114" s="19" t="n">
        <f aca="false">ROUND(C114*$C$16,2)</f>
        <v>1124.41</v>
      </c>
      <c r="E114" s="19" t="n">
        <f aca="false">IF(C114&lt;=0,0,ROUND(CHOOSE($C$10,IF(A114=$C$17,C114+D114,MIN($C$18,C114+D114)),IF(A114=$C$17,C114,MIN($C$19,C114))+D114,IF(A114=$C$17,C114,0)+D114),2))</f>
        <v>1932.9</v>
      </c>
      <c r="F114" s="19" t="n">
        <f aca="false">IF(C114&lt;=0,0,MAX(0,ROUND(E114-D114,2)))</f>
        <v>808.49</v>
      </c>
      <c r="G114" s="19" t="n">
        <f aca="false">IF(C114&lt;=0,0,ROUND(MIN(MAX(0,C114-F114),MAX(0,IF(A114&gt;=$C$13,$C$12,0)+SUMIF($E$5:$E$14,A114,$F$5:$F$14))),2))</f>
        <v>200</v>
      </c>
      <c r="H114" s="19" t="n">
        <f aca="false">ROUND(E114+G114,2)</f>
        <v>2132.9</v>
      </c>
      <c r="I114" s="19" t="n">
        <f aca="false">ROUND(C114-F114-G114,2)</f>
        <v>223873.56</v>
      </c>
      <c r="J114" s="19" t="n">
        <f aca="false">ROUND(J113+D114,2)</f>
        <v>110904.26</v>
      </c>
      <c r="K114" s="19" t="n">
        <f aca="false">ROUND(K113+F114+G114,2)</f>
        <v>76126.44</v>
      </c>
      <c r="M114" s="19" t="n">
        <f aca="false">Q113</f>
        <v>256252.93</v>
      </c>
      <c r="N114" s="19" t="n">
        <f aca="false">ROUND(M114*$C$16,2)</f>
        <v>1281.26</v>
      </c>
      <c r="O114" s="19" t="n">
        <f aca="false">IF(M114&lt;=0,0,ROUND(CHOOSE($C$10,IF(A114=$C$17,M114+N114,MIN($C$18,M114+N114)),IF(A114=$C$17,M114,MIN($C$19,M114))+N114,IF(A114=$C$17,M114,0)+N114),2))</f>
        <v>1932.9</v>
      </c>
      <c r="P114" s="19" t="n">
        <f aca="false">IF(M114&lt;=0,0,MAX(0,ROUND(O114-N114,2)))</f>
        <v>651.64</v>
      </c>
      <c r="Q114" s="19" t="n">
        <f aca="false">ROUND(M114-P114,2)</f>
        <v>255601.29</v>
      </c>
    </row>
    <row r="115" customFormat="false" ht="15" hidden="false" customHeight="false" outlineLevel="0" collapsed="false">
      <c r="A115" s="24" t="n">
        <f aca="false">A114+1</f>
        <v>84</v>
      </c>
      <c r="B115" s="25" t="n">
        <f aca="false">IF(MOD(12,$C$7)=0,EDATE($C$9,(A115-1)*12/$C$7),$C$9+(A115-1)*ROUND(364/$C$7,0))</f>
        <v>48853</v>
      </c>
      <c r="C115" s="19" t="n">
        <f aca="false">I114</f>
        <v>223873.56</v>
      </c>
      <c r="D115" s="19" t="n">
        <f aca="false">ROUND(C115*$C$16,2)</f>
        <v>1119.37</v>
      </c>
      <c r="E115" s="19" t="n">
        <f aca="false">IF(C115&lt;=0,0,ROUND(CHOOSE($C$10,IF(A115=$C$17,C115+D115,MIN($C$18,C115+D115)),IF(A115=$C$17,C115,MIN($C$19,C115))+D115,IF(A115=$C$17,C115,0)+D115),2))</f>
        <v>1932.9</v>
      </c>
      <c r="F115" s="19" t="n">
        <f aca="false">IF(C115&lt;=0,0,MAX(0,ROUND(E115-D115,2)))</f>
        <v>813.53</v>
      </c>
      <c r="G115" s="19" t="n">
        <f aca="false">IF(C115&lt;=0,0,ROUND(MIN(MAX(0,C115-F115),MAX(0,IF(A115&gt;=$C$13,$C$12,0)+SUMIF($E$5:$E$14,A115,$F$5:$F$14))),2))</f>
        <v>200</v>
      </c>
      <c r="H115" s="19" t="n">
        <f aca="false">ROUND(E115+G115,2)</f>
        <v>2132.9</v>
      </c>
      <c r="I115" s="19" t="n">
        <f aca="false">ROUND(C115-F115-G115,2)</f>
        <v>222860.03</v>
      </c>
      <c r="J115" s="19" t="n">
        <f aca="false">ROUND(J114+D115,2)</f>
        <v>112023.63</v>
      </c>
      <c r="K115" s="19" t="n">
        <f aca="false">ROUND(K114+F115+G115,2)</f>
        <v>77139.97</v>
      </c>
      <c r="M115" s="19" t="n">
        <f aca="false">Q114</f>
        <v>255601.29</v>
      </c>
      <c r="N115" s="19" t="n">
        <f aca="false">ROUND(M115*$C$16,2)</f>
        <v>1278.01</v>
      </c>
      <c r="O115" s="19" t="n">
        <f aca="false">IF(M115&lt;=0,0,ROUND(CHOOSE($C$10,IF(A115=$C$17,M115+N115,MIN($C$18,M115+N115)),IF(A115=$C$17,M115,MIN($C$19,M115))+N115,IF(A115=$C$17,M115,0)+N115),2))</f>
        <v>1932.9</v>
      </c>
      <c r="P115" s="19" t="n">
        <f aca="false">IF(M115&lt;=0,0,MAX(0,ROUND(O115-N115,2)))</f>
        <v>654.89</v>
      </c>
      <c r="Q115" s="19" t="n">
        <f aca="false">ROUND(M115-P115,2)</f>
        <v>254946.4</v>
      </c>
    </row>
    <row r="116" customFormat="false" ht="15" hidden="false" customHeight="false" outlineLevel="0" collapsed="false">
      <c r="A116" s="24" t="n">
        <f aca="false">A115+1</f>
        <v>85</v>
      </c>
      <c r="B116" s="25" t="n">
        <f aca="false">IF(MOD(12,$C$7)=0,EDATE($C$9,(A116-1)*12/$C$7),$C$9+(A116-1)*ROUND(364/$C$7,0))</f>
        <v>48884</v>
      </c>
      <c r="C116" s="19" t="n">
        <f aca="false">I115</f>
        <v>222860.03</v>
      </c>
      <c r="D116" s="19" t="n">
        <f aca="false">ROUND(C116*$C$16,2)</f>
        <v>1114.3</v>
      </c>
      <c r="E116" s="19" t="n">
        <f aca="false">IF(C116&lt;=0,0,ROUND(CHOOSE($C$10,IF(A116=$C$17,C116+D116,MIN($C$18,C116+D116)),IF(A116=$C$17,C116,MIN($C$19,C116))+D116,IF(A116=$C$17,C116,0)+D116),2))</f>
        <v>1932.9</v>
      </c>
      <c r="F116" s="19" t="n">
        <f aca="false">IF(C116&lt;=0,0,MAX(0,ROUND(E116-D116,2)))</f>
        <v>818.6</v>
      </c>
      <c r="G116" s="19" t="n">
        <f aca="false">IF(C116&lt;=0,0,ROUND(MIN(MAX(0,C116-F116),MAX(0,IF(A116&gt;=$C$13,$C$12,0)+SUMIF($E$5:$E$14,A116,$F$5:$F$14))),2))</f>
        <v>200</v>
      </c>
      <c r="H116" s="19" t="n">
        <f aca="false">ROUND(E116+G116,2)</f>
        <v>2132.9</v>
      </c>
      <c r="I116" s="19" t="n">
        <f aca="false">ROUND(C116-F116-G116,2)</f>
        <v>221841.43</v>
      </c>
      <c r="J116" s="19" t="n">
        <f aca="false">ROUND(J115+D116,2)</f>
        <v>113137.93</v>
      </c>
      <c r="K116" s="19" t="n">
        <f aca="false">ROUND(K115+F116+G116,2)</f>
        <v>78158.57</v>
      </c>
      <c r="M116" s="19" t="n">
        <f aca="false">Q115</f>
        <v>254946.4</v>
      </c>
      <c r="N116" s="19" t="n">
        <f aca="false">ROUND(M116*$C$16,2)</f>
        <v>1274.73</v>
      </c>
      <c r="O116" s="19" t="n">
        <f aca="false">IF(M116&lt;=0,0,ROUND(CHOOSE($C$10,IF(A116=$C$17,M116+N116,MIN($C$18,M116+N116)),IF(A116=$C$17,M116,MIN($C$19,M116))+N116,IF(A116=$C$17,M116,0)+N116),2))</f>
        <v>1932.9</v>
      </c>
      <c r="P116" s="19" t="n">
        <f aca="false">IF(M116&lt;=0,0,MAX(0,ROUND(O116-N116,2)))</f>
        <v>658.17</v>
      </c>
      <c r="Q116" s="19" t="n">
        <f aca="false">ROUND(M116-P116,2)</f>
        <v>254288.23</v>
      </c>
    </row>
    <row r="117" customFormat="false" ht="15" hidden="false" customHeight="false" outlineLevel="0" collapsed="false">
      <c r="A117" s="24" t="n">
        <f aca="false">A116+1</f>
        <v>86</v>
      </c>
      <c r="B117" s="25" t="n">
        <f aca="false">IF(MOD(12,$C$7)=0,EDATE($C$9,(A117-1)*12/$C$7),$C$9+(A117-1)*ROUND(364/$C$7,0))</f>
        <v>48914</v>
      </c>
      <c r="C117" s="19" t="n">
        <f aca="false">I116</f>
        <v>221841.43</v>
      </c>
      <c r="D117" s="19" t="n">
        <f aca="false">ROUND(C117*$C$16,2)</f>
        <v>1109.21</v>
      </c>
      <c r="E117" s="19" t="n">
        <f aca="false">IF(C117&lt;=0,0,ROUND(CHOOSE($C$10,IF(A117=$C$17,C117+D117,MIN($C$18,C117+D117)),IF(A117=$C$17,C117,MIN($C$19,C117))+D117,IF(A117=$C$17,C117,0)+D117),2))</f>
        <v>1932.9</v>
      </c>
      <c r="F117" s="19" t="n">
        <f aca="false">IF(C117&lt;=0,0,MAX(0,ROUND(E117-D117,2)))</f>
        <v>823.69</v>
      </c>
      <c r="G117" s="19" t="n">
        <f aca="false">IF(C117&lt;=0,0,ROUND(MIN(MAX(0,C117-F117),MAX(0,IF(A117&gt;=$C$13,$C$12,0)+SUMIF($E$5:$E$14,A117,$F$5:$F$14))),2))</f>
        <v>200</v>
      </c>
      <c r="H117" s="19" t="n">
        <f aca="false">ROUND(E117+G117,2)</f>
        <v>2132.9</v>
      </c>
      <c r="I117" s="19" t="n">
        <f aca="false">ROUND(C117-F117-G117,2)</f>
        <v>220817.74</v>
      </c>
      <c r="J117" s="19" t="n">
        <f aca="false">ROUND(J116+D117,2)</f>
        <v>114247.14</v>
      </c>
      <c r="K117" s="19" t="n">
        <f aca="false">ROUND(K116+F117+G117,2)</f>
        <v>79182.26</v>
      </c>
      <c r="M117" s="19" t="n">
        <f aca="false">Q116</f>
        <v>254288.23</v>
      </c>
      <c r="N117" s="19" t="n">
        <f aca="false">ROUND(M117*$C$16,2)</f>
        <v>1271.44</v>
      </c>
      <c r="O117" s="19" t="n">
        <f aca="false">IF(M117&lt;=0,0,ROUND(CHOOSE($C$10,IF(A117=$C$17,M117+N117,MIN($C$18,M117+N117)),IF(A117=$C$17,M117,MIN($C$19,M117))+N117,IF(A117=$C$17,M117,0)+N117),2))</f>
        <v>1932.9</v>
      </c>
      <c r="P117" s="19" t="n">
        <f aca="false">IF(M117&lt;=0,0,MAX(0,ROUND(O117-N117,2)))</f>
        <v>661.46</v>
      </c>
      <c r="Q117" s="19" t="n">
        <f aca="false">ROUND(M117-P117,2)</f>
        <v>253626.77</v>
      </c>
    </row>
    <row r="118" customFormat="false" ht="15" hidden="false" customHeight="false" outlineLevel="0" collapsed="false">
      <c r="A118" s="24" t="n">
        <f aca="false">A117+1</f>
        <v>87</v>
      </c>
      <c r="B118" s="25" t="n">
        <f aca="false">IF(MOD(12,$C$7)=0,EDATE($C$9,(A118-1)*12/$C$7),$C$9+(A118-1)*ROUND(364/$C$7,0))</f>
        <v>48945</v>
      </c>
      <c r="C118" s="19" t="n">
        <f aca="false">I117</f>
        <v>220817.74</v>
      </c>
      <c r="D118" s="19" t="n">
        <f aca="false">ROUND(C118*$C$16,2)</f>
        <v>1104.09</v>
      </c>
      <c r="E118" s="19" t="n">
        <f aca="false">IF(C118&lt;=0,0,ROUND(CHOOSE($C$10,IF(A118=$C$17,C118+D118,MIN($C$18,C118+D118)),IF(A118=$C$17,C118,MIN($C$19,C118))+D118,IF(A118=$C$17,C118,0)+D118),2))</f>
        <v>1932.9</v>
      </c>
      <c r="F118" s="19" t="n">
        <f aca="false">IF(C118&lt;=0,0,MAX(0,ROUND(E118-D118,2)))</f>
        <v>828.81</v>
      </c>
      <c r="G118" s="19" t="n">
        <f aca="false">IF(C118&lt;=0,0,ROUND(MIN(MAX(0,C118-F118),MAX(0,IF(A118&gt;=$C$13,$C$12,0)+SUMIF($E$5:$E$14,A118,$F$5:$F$14))),2))</f>
        <v>200</v>
      </c>
      <c r="H118" s="19" t="n">
        <f aca="false">ROUND(E118+G118,2)</f>
        <v>2132.9</v>
      </c>
      <c r="I118" s="19" t="n">
        <f aca="false">ROUND(C118-F118-G118,2)</f>
        <v>219788.93</v>
      </c>
      <c r="J118" s="19" t="n">
        <f aca="false">ROUND(J117+D118,2)</f>
        <v>115351.23</v>
      </c>
      <c r="K118" s="19" t="n">
        <f aca="false">ROUND(K117+F118+G118,2)</f>
        <v>80211.07</v>
      </c>
      <c r="M118" s="19" t="n">
        <f aca="false">Q117</f>
        <v>253626.77</v>
      </c>
      <c r="N118" s="19" t="n">
        <f aca="false">ROUND(M118*$C$16,2)</f>
        <v>1268.13</v>
      </c>
      <c r="O118" s="19" t="n">
        <f aca="false">IF(M118&lt;=0,0,ROUND(CHOOSE($C$10,IF(A118=$C$17,M118+N118,MIN($C$18,M118+N118)),IF(A118=$C$17,M118,MIN($C$19,M118))+N118,IF(A118=$C$17,M118,0)+N118),2))</f>
        <v>1932.9</v>
      </c>
      <c r="P118" s="19" t="n">
        <f aca="false">IF(M118&lt;=0,0,MAX(0,ROUND(O118-N118,2)))</f>
        <v>664.77</v>
      </c>
      <c r="Q118" s="19" t="n">
        <f aca="false">ROUND(M118-P118,2)</f>
        <v>252962</v>
      </c>
    </row>
    <row r="119" customFormat="false" ht="15" hidden="false" customHeight="false" outlineLevel="0" collapsed="false">
      <c r="A119" s="24" t="n">
        <f aca="false">A118+1</f>
        <v>88</v>
      </c>
      <c r="B119" s="25" t="n">
        <f aca="false">IF(MOD(12,$C$7)=0,EDATE($C$9,(A119-1)*12/$C$7),$C$9+(A119-1)*ROUND(364/$C$7,0))</f>
        <v>48976</v>
      </c>
      <c r="C119" s="19" t="n">
        <f aca="false">I118</f>
        <v>219788.93</v>
      </c>
      <c r="D119" s="19" t="n">
        <f aca="false">ROUND(C119*$C$16,2)</f>
        <v>1098.94</v>
      </c>
      <c r="E119" s="19" t="n">
        <f aca="false">IF(C119&lt;=0,0,ROUND(CHOOSE($C$10,IF(A119=$C$17,C119+D119,MIN($C$18,C119+D119)),IF(A119=$C$17,C119,MIN($C$19,C119))+D119,IF(A119=$C$17,C119,0)+D119),2))</f>
        <v>1932.9</v>
      </c>
      <c r="F119" s="19" t="n">
        <f aca="false">IF(C119&lt;=0,0,MAX(0,ROUND(E119-D119,2)))</f>
        <v>833.96</v>
      </c>
      <c r="G119" s="19" t="n">
        <f aca="false">IF(C119&lt;=0,0,ROUND(MIN(MAX(0,C119-F119),MAX(0,IF(A119&gt;=$C$13,$C$12,0)+SUMIF($E$5:$E$14,A119,$F$5:$F$14))),2))</f>
        <v>200</v>
      </c>
      <c r="H119" s="19" t="n">
        <f aca="false">ROUND(E119+G119,2)</f>
        <v>2132.9</v>
      </c>
      <c r="I119" s="19" t="n">
        <f aca="false">ROUND(C119-F119-G119,2)</f>
        <v>218754.97</v>
      </c>
      <c r="J119" s="19" t="n">
        <f aca="false">ROUND(J118+D119,2)</f>
        <v>116450.17</v>
      </c>
      <c r="K119" s="19" t="n">
        <f aca="false">ROUND(K118+F119+G119,2)</f>
        <v>81245.03</v>
      </c>
      <c r="M119" s="19" t="n">
        <f aca="false">Q118</f>
        <v>252962</v>
      </c>
      <c r="N119" s="19" t="n">
        <f aca="false">ROUND(M119*$C$16,2)</f>
        <v>1264.81</v>
      </c>
      <c r="O119" s="19" t="n">
        <f aca="false">IF(M119&lt;=0,0,ROUND(CHOOSE($C$10,IF(A119=$C$17,M119+N119,MIN($C$18,M119+N119)),IF(A119=$C$17,M119,MIN($C$19,M119))+N119,IF(A119=$C$17,M119,0)+N119),2))</f>
        <v>1932.9</v>
      </c>
      <c r="P119" s="19" t="n">
        <f aca="false">IF(M119&lt;=0,0,MAX(0,ROUND(O119-N119,2)))</f>
        <v>668.09</v>
      </c>
      <c r="Q119" s="19" t="n">
        <f aca="false">ROUND(M119-P119,2)</f>
        <v>252293.91</v>
      </c>
    </row>
    <row r="120" customFormat="false" ht="15" hidden="false" customHeight="false" outlineLevel="0" collapsed="false">
      <c r="A120" s="24" t="n">
        <f aca="false">A119+1</f>
        <v>89</v>
      </c>
      <c r="B120" s="25" t="n">
        <f aca="false">IF(MOD(12,$C$7)=0,EDATE($C$9,(A120-1)*12/$C$7),$C$9+(A120-1)*ROUND(364/$C$7,0))</f>
        <v>49004</v>
      </c>
      <c r="C120" s="19" t="n">
        <f aca="false">I119</f>
        <v>218754.97</v>
      </c>
      <c r="D120" s="19" t="n">
        <f aca="false">ROUND(C120*$C$16,2)</f>
        <v>1093.77</v>
      </c>
      <c r="E120" s="19" t="n">
        <f aca="false">IF(C120&lt;=0,0,ROUND(CHOOSE($C$10,IF(A120=$C$17,C120+D120,MIN($C$18,C120+D120)),IF(A120=$C$17,C120,MIN($C$19,C120))+D120,IF(A120=$C$17,C120,0)+D120),2))</f>
        <v>1932.9</v>
      </c>
      <c r="F120" s="19" t="n">
        <f aca="false">IF(C120&lt;=0,0,MAX(0,ROUND(E120-D120,2)))</f>
        <v>839.13</v>
      </c>
      <c r="G120" s="19" t="n">
        <f aca="false">IF(C120&lt;=0,0,ROUND(MIN(MAX(0,C120-F120),MAX(0,IF(A120&gt;=$C$13,$C$12,0)+SUMIF($E$5:$E$14,A120,$F$5:$F$14))),2))</f>
        <v>200</v>
      </c>
      <c r="H120" s="19" t="n">
        <f aca="false">ROUND(E120+G120,2)</f>
        <v>2132.9</v>
      </c>
      <c r="I120" s="19" t="n">
        <f aca="false">ROUND(C120-F120-G120,2)</f>
        <v>217715.84</v>
      </c>
      <c r="J120" s="19" t="n">
        <f aca="false">ROUND(J119+D120,2)</f>
        <v>117543.94</v>
      </c>
      <c r="K120" s="19" t="n">
        <f aca="false">ROUND(K119+F120+G120,2)</f>
        <v>82284.16</v>
      </c>
      <c r="M120" s="19" t="n">
        <f aca="false">Q119</f>
        <v>252293.91</v>
      </c>
      <c r="N120" s="19" t="n">
        <f aca="false">ROUND(M120*$C$16,2)</f>
        <v>1261.47</v>
      </c>
      <c r="O120" s="19" t="n">
        <f aca="false">IF(M120&lt;=0,0,ROUND(CHOOSE($C$10,IF(A120=$C$17,M120+N120,MIN($C$18,M120+N120)),IF(A120=$C$17,M120,MIN($C$19,M120))+N120,IF(A120=$C$17,M120,0)+N120),2))</f>
        <v>1932.9</v>
      </c>
      <c r="P120" s="19" t="n">
        <f aca="false">IF(M120&lt;=0,0,MAX(0,ROUND(O120-N120,2)))</f>
        <v>671.43</v>
      </c>
      <c r="Q120" s="19" t="n">
        <f aca="false">ROUND(M120-P120,2)</f>
        <v>251622.48</v>
      </c>
    </row>
    <row r="121" customFormat="false" ht="15" hidden="false" customHeight="false" outlineLevel="0" collapsed="false">
      <c r="A121" s="24" t="n">
        <f aca="false">A120+1</f>
        <v>90</v>
      </c>
      <c r="B121" s="25" t="n">
        <f aca="false">IF(MOD(12,$C$7)=0,EDATE($C$9,(A121-1)*12/$C$7),$C$9+(A121-1)*ROUND(364/$C$7,0))</f>
        <v>49035</v>
      </c>
      <c r="C121" s="19" t="n">
        <f aca="false">I120</f>
        <v>217715.84</v>
      </c>
      <c r="D121" s="19" t="n">
        <f aca="false">ROUND(C121*$C$16,2)</f>
        <v>1088.58</v>
      </c>
      <c r="E121" s="19" t="n">
        <f aca="false">IF(C121&lt;=0,0,ROUND(CHOOSE($C$10,IF(A121=$C$17,C121+D121,MIN($C$18,C121+D121)),IF(A121=$C$17,C121,MIN($C$19,C121))+D121,IF(A121=$C$17,C121,0)+D121),2))</f>
        <v>1932.9</v>
      </c>
      <c r="F121" s="19" t="n">
        <f aca="false">IF(C121&lt;=0,0,MAX(0,ROUND(E121-D121,2)))</f>
        <v>844.32</v>
      </c>
      <c r="G121" s="19" t="n">
        <f aca="false">IF(C121&lt;=0,0,ROUND(MIN(MAX(0,C121-F121),MAX(0,IF(A121&gt;=$C$13,$C$12,0)+SUMIF($E$5:$E$14,A121,$F$5:$F$14))),2))</f>
        <v>200</v>
      </c>
      <c r="H121" s="19" t="n">
        <f aca="false">ROUND(E121+G121,2)</f>
        <v>2132.9</v>
      </c>
      <c r="I121" s="19" t="n">
        <f aca="false">ROUND(C121-F121-G121,2)</f>
        <v>216671.52</v>
      </c>
      <c r="J121" s="19" t="n">
        <f aca="false">ROUND(J120+D121,2)</f>
        <v>118632.52</v>
      </c>
      <c r="K121" s="19" t="n">
        <f aca="false">ROUND(K120+F121+G121,2)</f>
        <v>83328.48</v>
      </c>
      <c r="M121" s="19" t="n">
        <f aca="false">Q120</f>
        <v>251622.48</v>
      </c>
      <c r="N121" s="19" t="n">
        <f aca="false">ROUND(M121*$C$16,2)</f>
        <v>1258.11</v>
      </c>
      <c r="O121" s="19" t="n">
        <f aca="false">IF(M121&lt;=0,0,ROUND(CHOOSE($C$10,IF(A121=$C$17,M121+N121,MIN($C$18,M121+N121)),IF(A121=$C$17,M121,MIN($C$19,M121))+N121,IF(A121=$C$17,M121,0)+N121),2))</f>
        <v>1932.9</v>
      </c>
      <c r="P121" s="19" t="n">
        <f aca="false">IF(M121&lt;=0,0,MAX(0,ROUND(O121-N121,2)))</f>
        <v>674.79</v>
      </c>
      <c r="Q121" s="19" t="n">
        <f aca="false">ROUND(M121-P121,2)</f>
        <v>250947.69</v>
      </c>
    </row>
    <row r="122" customFormat="false" ht="15" hidden="false" customHeight="false" outlineLevel="0" collapsed="false">
      <c r="A122" s="24" t="n">
        <f aca="false">A121+1</f>
        <v>91</v>
      </c>
      <c r="B122" s="25" t="n">
        <f aca="false">IF(MOD(12,$C$7)=0,EDATE($C$9,(A122-1)*12/$C$7),$C$9+(A122-1)*ROUND(364/$C$7,0))</f>
        <v>49065</v>
      </c>
      <c r="C122" s="19" t="n">
        <f aca="false">I121</f>
        <v>216671.52</v>
      </c>
      <c r="D122" s="19" t="n">
        <f aca="false">ROUND(C122*$C$16,2)</f>
        <v>1083.36</v>
      </c>
      <c r="E122" s="19" t="n">
        <f aca="false">IF(C122&lt;=0,0,ROUND(CHOOSE($C$10,IF(A122=$C$17,C122+D122,MIN($C$18,C122+D122)),IF(A122=$C$17,C122,MIN($C$19,C122))+D122,IF(A122=$C$17,C122,0)+D122),2))</f>
        <v>1932.9</v>
      </c>
      <c r="F122" s="19" t="n">
        <f aca="false">IF(C122&lt;=0,0,MAX(0,ROUND(E122-D122,2)))</f>
        <v>849.54</v>
      </c>
      <c r="G122" s="19" t="n">
        <f aca="false">IF(C122&lt;=0,0,ROUND(MIN(MAX(0,C122-F122),MAX(0,IF(A122&gt;=$C$13,$C$12,0)+SUMIF($E$5:$E$14,A122,$F$5:$F$14))),2))</f>
        <v>200</v>
      </c>
      <c r="H122" s="19" t="n">
        <f aca="false">ROUND(E122+G122,2)</f>
        <v>2132.9</v>
      </c>
      <c r="I122" s="19" t="n">
        <f aca="false">ROUND(C122-F122-G122,2)</f>
        <v>215621.98</v>
      </c>
      <c r="J122" s="19" t="n">
        <f aca="false">ROUND(J121+D122,2)</f>
        <v>119715.88</v>
      </c>
      <c r="K122" s="19" t="n">
        <f aca="false">ROUND(K121+F122+G122,2)</f>
        <v>84378.02</v>
      </c>
      <c r="M122" s="19" t="n">
        <f aca="false">Q121</f>
        <v>250947.69</v>
      </c>
      <c r="N122" s="19" t="n">
        <f aca="false">ROUND(M122*$C$16,2)</f>
        <v>1254.74</v>
      </c>
      <c r="O122" s="19" t="n">
        <f aca="false">IF(M122&lt;=0,0,ROUND(CHOOSE($C$10,IF(A122=$C$17,M122+N122,MIN($C$18,M122+N122)),IF(A122=$C$17,M122,MIN($C$19,M122))+N122,IF(A122=$C$17,M122,0)+N122),2))</f>
        <v>1932.9</v>
      </c>
      <c r="P122" s="19" t="n">
        <f aca="false">IF(M122&lt;=0,0,MAX(0,ROUND(O122-N122,2)))</f>
        <v>678.16</v>
      </c>
      <c r="Q122" s="19" t="n">
        <f aca="false">ROUND(M122-P122,2)</f>
        <v>250269.53</v>
      </c>
    </row>
    <row r="123" customFormat="false" ht="15" hidden="false" customHeight="false" outlineLevel="0" collapsed="false">
      <c r="A123" s="24" t="n">
        <f aca="false">A122+1</f>
        <v>92</v>
      </c>
      <c r="B123" s="25" t="n">
        <f aca="false">IF(MOD(12,$C$7)=0,EDATE($C$9,(A123-1)*12/$C$7),$C$9+(A123-1)*ROUND(364/$C$7,0))</f>
        <v>49096</v>
      </c>
      <c r="C123" s="19" t="n">
        <f aca="false">I122</f>
        <v>215621.98</v>
      </c>
      <c r="D123" s="19" t="n">
        <f aca="false">ROUND(C123*$C$16,2)</f>
        <v>1078.11</v>
      </c>
      <c r="E123" s="19" t="n">
        <f aca="false">IF(C123&lt;=0,0,ROUND(CHOOSE($C$10,IF(A123=$C$17,C123+D123,MIN($C$18,C123+D123)),IF(A123=$C$17,C123,MIN($C$19,C123))+D123,IF(A123=$C$17,C123,0)+D123),2))</f>
        <v>1932.9</v>
      </c>
      <c r="F123" s="19" t="n">
        <f aca="false">IF(C123&lt;=0,0,MAX(0,ROUND(E123-D123,2)))</f>
        <v>854.79</v>
      </c>
      <c r="G123" s="19" t="n">
        <f aca="false">IF(C123&lt;=0,0,ROUND(MIN(MAX(0,C123-F123),MAX(0,IF(A123&gt;=$C$13,$C$12,0)+SUMIF($E$5:$E$14,A123,$F$5:$F$14))),2))</f>
        <v>200</v>
      </c>
      <c r="H123" s="19" t="n">
        <f aca="false">ROUND(E123+G123,2)</f>
        <v>2132.9</v>
      </c>
      <c r="I123" s="19" t="n">
        <f aca="false">ROUND(C123-F123-G123,2)</f>
        <v>214567.19</v>
      </c>
      <c r="J123" s="19" t="n">
        <f aca="false">ROUND(J122+D123,2)</f>
        <v>120793.99</v>
      </c>
      <c r="K123" s="19" t="n">
        <f aca="false">ROUND(K122+F123+G123,2)</f>
        <v>85432.81</v>
      </c>
      <c r="M123" s="19" t="n">
        <f aca="false">Q122</f>
        <v>250269.53</v>
      </c>
      <c r="N123" s="19" t="n">
        <f aca="false">ROUND(M123*$C$16,2)</f>
        <v>1251.35</v>
      </c>
      <c r="O123" s="19" t="n">
        <f aca="false">IF(M123&lt;=0,0,ROUND(CHOOSE($C$10,IF(A123=$C$17,M123+N123,MIN($C$18,M123+N123)),IF(A123=$C$17,M123,MIN($C$19,M123))+N123,IF(A123=$C$17,M123,0)+N123),2))</f>
        <v>1932.9</v>
      </c>
      <c r="P123" s="19" t="n">
        <f aca="false">IF(M123&lt;=0,0,MAX(0,ROUND(O123-N123,2)))</f>
        <v>681.55</v>
      </c>
      <c r="Q123" s="19" t="n">
        <f aca="false">ROUND(M123-P123,2)</f>
        <v>249587.98</v>
      </c>
    </row>
    <row r="124" customFormat="false" ht="15" hidden="false" customHeight="false" outlineLevel="0" collapsed="false">
      <c r="A124" s="24" t="n">
        <f aca="false">A123+1</f>
        <v>93</v>
      </c>
      <c r="B124" s="25" t="n">
        <f aca="false">IF(MOD(12,$C$7)=0,EDATE($C$9,(A124-1)*12/$C$7),$C$9+(A124-1)*ROUND(364/$C$7,0))</f>
        <v>49126</v>
      </c>
      <c r="C124" s="19" t="n">
        <f aca="false">I123</f>
        <v>214567.19</v>
      </c>
      <c r="D124" s="19" t="n">
        <f aca="false">ROUND(C124*$C$16,2)</f>
        <v>1072.84</v>
      </c>
      <c r="E124" s="19" t="n">
        <f aca="false">IF(C124&lt;=0,0,ROUND(CHOOSE($C$10,IF(A124=$C$17,C124+D124,MIN($C$18,C124+D124)),IF(A124=$C$17,C124,MIN($C$19,C124))+D124,IF(A124=$C$17,C124,0)+D124),2))</f>
        <v>1932.9</v>
      </c>
      <c r="F124" s="19" t="n">
        <f aca="false">IF(C124&lt;=0,0,MAX(0,ROUND(E124-D124,2)))</f>
        <v>860.06</v>
      </c>
      <c r="G124" s="19" t="n">
        <f aca="false">IF(C124&lt;=0,0,ROUND(MIN(MAX(0,C124-F124),MAX(0,IF(A124&gt;=$C$13,$C$12,0)+SUMIF($E$5:$E$14,A124,$F$5:$F$14))),2))</f>
        <v>200</v>
      </c>
      <c r="H124" s="19" t="n">
        <f aca="false">ROUND(E124+G124,2)</f>
        <v>2132.9</v>
      </c>
      <c r="I124" s="19" t="n">
        <f aca="false">ROUND(C124-F124-G124,2)</f>
        <v>213507.13</v>
      </c>
      <c r="J124" s="19" t="n">
        <f aca="false">ROUND(J123+D124,2)</f>
        <v>121866.83</v>
      </c>
      <c r="K124" s="19" t="n">
        <f aca="false">ROUND(K123+F124+G124,2)</f>
        <v>86492.87</v>
      </c>
      <c r="M124" s="19" t="n">
        <f aca="false">Q123</f>
        <v>249587.98</v>
      </c>
      <c r="N124" s="19" t="n">
        <f aca="false">ROUND(M124*$C$16,2)</f>
        <v>1247.94</v>
      </c>
      <c r="O124" s="19" t="n">
        <f aca="false">IF(M124&lt;=0,0,ROUND(CHOOSE($C$10,IF(A124=$C$17,M124+N124,MIN($C$18,M124+N124)),IF(A124=$C$17,M124,MIN($C$19,M124))+N124,IF(A124=$C$17,M124,0)+N124),2))</f>
        <v>1932.9</v>
      </c>
      <c r="P124" s="19" t="n">
        <f aca="false">IF(M124&lt;=0,0,MAX(0,ROUND(O124-N124,2)))</f>
        <v>684.96</v>
      </c>
      <c r="Q124" s="19" t="n">
        <f aca="false">ROUND(M124-P124,2)</f>
        <v>248903.02</v>
      </c>
    </row>
    <row r="125" customFormat="false" ht="15" hidden="false" customHeight="false" outlineLevel="0" collapsed="false">
      <c r="A125" s="24" t="n">
        <f aca="false">A124+1</f>
        <v>94</v>
      </c>
      <c r="B125" s="25" t="n">
        <f aca="false">IF(MOD(12,$C$7)=0,EDATE($C$9,(A125-1)*12/$C$7),$C$9+(A125-1)*ROUND(364/$C$7,0))</f>
        <v>49157</v>
      </c>
      <c r="C125" s="19" t="n">
        <f aca="false">I124</f>
        <v>213507.13</v>
      </c>
      <c r="D125" s="19" t="n">
        <f aca="false">ROUND(C125*$C$16,2)</f>
        <v>1067.54</v>
      </c>
      <c r="E125" s="19" t="n">
        <f aca="false">IF(C125&lt;=0,0,ROUND(CHOOSE($C$10,IF(A125=$C$17,C125+D125,MIN($C$18,C125+D125)),IF(A125=$C$17,C125,MIN($C$19,C125))+D125,IF(A125=$C$17,C125,0)+D125),2))</f>
        <v>1932.9</v>
      </c>
      <c r="F125" s="19" t="n">
        <f aca="false">IF(C125&lt;=0,0,MAX(0,ROUND(E125-D125,2)))</f>
        <v>865.36</v>
      </c>
      <c r="G125" s="19" t="n">
        <f aca="false">IF(C125&lt;=0,0,ROUND(MIN(MAX(0,C125-F125),MAX(0,IF(A125&gt;=$C$13,$C$12,0)+SUMIF($E$5:$E$14,A125,$F$5:$F$14))),2))</f>
        <v>200</v>
      </c>
      <c r="H125" s="19" t="n">
        <f aca="false">ROUND(E125+G125,2)</f>
        <v>2132.9</v>
      </c>
      <c r="I125" s="19" t="n">
        <f aca="false">ROUND(C125-F125-G125,2)</f>
        <v>212441.77</v>
      </c>
      <c r="J125" s="19" t="n">
        <f aca="false">ROUND(J124+D125,2)</f>
        <v>122934.37</v>
      </c>
      <c r="K125" s="19" t="n">
        <f aca="false">ROUND(K124+F125+G125,2)</f>
        <v>87558.23</v>
      </c>
      <c r="M125" s="19" t="n">
        <f aca="false">Q124</f>
        <v>248903.02</v>
      </c>
      <c r="N125" s="19" t="n">
        <f aca="false">ROUND(M125*$C$16,2)</f>
        <v>1244.52</v>
      </c>
      <c r="O125" s="19" t="n">
        <f aca="false">IF(M125&lt;=0,0,ROUND(CHOOSE($C$10,IF(A125=$C$17,M125+N125,MIN($C$18,M125+N125)),IF(A125=$C$17,M125,MIN($C$19,M125))+N125,IF(A125=$C$17,M125,0)+N125),2))</f>
        <v>1932.9</v>
      </c>
      <c r="P125" s="19" t="n">
        <f aca="false">IF(M125&lt;=0,0,MAX(0,ROUND(O125-N125,2)))</f>
        <v>688.38</v>
      </c>
      <c r="Q125" s="19" t="n">
        <f aca="false">ROUND(M125-P125,2)</f>
        <v>248214.64</v>
      </c>
    </row>
    <row r="126" customFormat="false" ht="15" hidden="false" customHeight="false" outlineLevel="0" collapsed="false">
      <c r="A126" s="24" t="n">
        <f aca="false">A125+1</f>
        <v>95</v>
      </c>
      <c r="B126" s="25" t="n">
        <f aca="false">IF(MOD(12,$C$7)=0,EDATE($C$9,(A126-1)*12/$C$7),$C$9+(A126-1)*ROUND(364/$C$7,0))</f>
        <v>49188</v>
      </c>
      <c r="C126" s="19" t="n">
        <f aca="false">I125</f>
        <v>212441.77</v>
      </c>
      <c r="D126" s="19" t="n">
        <f aca="false">ROUND(C126*$C$16,2)</f>
        <v>1062.21</v>
      </c>
      <c r="E126" s="19" t="n">
        <f aca="false">IF(C126&lt;=0,0,ROUND(CHOOSE($C$10,IF(A126=$C$17,C126+D126,MIN($C$18,C126+D126)),IF(A126=$C$17,C126,MIN($C$19,C126))+D126,IF(A126=$C$17,C126,0)+D126),2))</f>
        <v>1932.9</v>
      </c>
      <c r="F126" s="19" t="n">
        <f aca="false">IF(C126&lt;=0,0,MAX(0,ROUND(E126-D126,2)))</f>
        <v>870.69</v>
      </c>
      <c r="G126" s="19" t="n">
        <f aca="false">IF(C126&lt;=0,0,ROUND(MIN(MAX(0,C126-F126),MAX(0,IF(A126&gt;=$C$13,$C$12,0)+SUMIF($E$5:$E$14,A126,$F$5:$F$14))),2))</f>
        <v>200</v>
      </c>
      <c r="H126" s="19" t="n">
        <f aca="false">ROUND(E126+G126,2)</f>
        <v>2132.9</v>
      </c>
      <c r="I126" s="19" t="n">
        <f aca="false">ROUND(C126-F126-G126,2)</f>
        <v>211371.08</v>
      </c>
      <c r="J126" s="19" t="n">
        <f aca="false">ROUND(J125+D126,2)</f>
        <v>123996.58</v>
      </c>
      <c r="K126" s="19" t="n">
        <f aca="false">ROUND(K125+F126+G126,2)</f>
        <v>88628.92</v>
      </c>
      <c r="M126" s="19" t="n">
        <f aca="false">Q125</f>
        <v>248214.64</v>
      </c>
      <c r="N126" s="19" t="n">
        <f aca="false">ROUND(M126*$C$16,2)</f>
        <v>1241.07</v>
      </c>
      <c r="O126" s="19" t="n">
        <f aca="false">IF(M126&lt;=0,0,ROUND(CHOOSE($C$10,IF(A126=$C$17,M126+N126,MIN($C$18,M126+N126)),IF(A126=$C$17,M126,MIN($C$19,M126))+N126,IF(A126=$C$17,M126,0)+N126),2))</f>
        <v>1932.9</v>
      </c>
      <c r="P126" s="19" t="n">
        <f aca="false">IF(M126&lt;=0,0,MAX(0,ROUND(O126-N126,2)))</f>
        <v>691.83</v>
      </c>
      <c r="Q126" s="19" t="n">
        <f aca="false">ROUND(M126-P126,2)</f>
        <v>247522.81</v>
      </c>
    </row>
    <row r="127" customFormat="false" ht="15" hidden="false" customHeight="false" outlineLevel="0" collapsed="false">
      <c r="A127" s="24" t="n">
        <f aca="false">A126+1</f>
        <v>96</v>
      </c>
      <c r="B127" s="25" t="n">
        <f aca="false">IF(MOD(12,$C$7)=0,EDATE($C$9,(A127-1)*12/$C$7),$C$9+(A127-1)*ROUND(364/$C$7,0))</f>
        <v>49218</v>
      </c>
      <c r="C127" s="19" t="n">
        <f aca="false">I126</f>
        <v>211371.08</v>
      </c>
      <c r="D127" s="19" t="n">
        <f aca="false">ROUND(C127*$C$16,2)</f>
        <v>1056.86</v>
      </c>
      <c r="E127" s="19" t="n">
        <f aca="false">IF(C127&lt;=0,0,ROUND(CHOOSE($C$10,IF(A127=$C$17,C127+D127,MIN($C$18,C127+D127)),IF(A127=$C$17,C127,MIN($C$19,C127))+D127,IF(A127=$C$17,C127,0)+D127),2))</f>
        <v>1932.9</v>
      </c>
      <c r="F127" s="19" t="n">
        <f aca="false">IF(C127&lt;=0,0,MAX(0,ROUND(E127-D127,2)))</f>
        <v>876.04</v>
      </c>
      <c r="G127" s="19" t="n">
        <f aca="false">IF(C127&lt;=0,0,ROUND(MIN(MAX(0,C127-F127),MAX(0,IF(A127&gt;=$C$13,$C$12,0)+SUMIF($E$5:$E$14,A127,$F$5:$F$14))),2))</f>
        <v>200</v>
      </c>
      <c r="H127" s="19" t="n">
        <f aca="false">ROUND(E127+G127,2)</f>
        <v>2132.9</v>
      </c>
      <c r="I127" s="19" t="n">
        <f aca="false">ROUND(C127-F127-G127,2)</f>
        <v>210295.04</v>
      </c>
      <c r="J127" s="19" t="n">
        <f aca="false">ROUND(J126+D127,2)</f>
        <v>125053.44</v>
      </c>
      <c r="K127" s="19" t="n">
        <f aca="false">ROUND(K126+F127+G127,2)</f>
        <v>89704.96</v>
      </c>
      <c r="M127" s="19" t="n">
        <f aca="false">Q126</f>
        <v>247522.81</v>
      </c>
      <c r="N127" s="19" t="n">
        <f aca="false">ROUND(M127*$C$16,2)</f>
        <v>1237.61</v>
      </c>
      <c r="O127" s="19" t="n">
        <f aca="false">IF(M127&lt;=0,0,ROUND(CHOOSE($C$10,IF(A127=$C$17,M127+N127,MIN($C$18,M127+N127)),IF(A127=$C$17,M127,MIN($C$19,M127))+N127,IF(A127=$C$17,M127,0)+N127),2))</f>
        <v>1932.9</v>
      </c>
      <c r="P127" s="19" t="n">
        <f aca="false">IF(M127&lt;=0,0,MAX(0,ROUND(O127-N127,2)))</f>
        <v>695.29</v>
      </c>
      <c r="Q127" s="19" t="n">
        <f aca="false">ROUND(M127-P127,2)</f>
        <v>246827.52</v>
      </c>
    </row>
    <row r="128" customFormat="false" ht="15" hidden="false" customHeight="false" outlineLevel="0" collapsed="false">
      <c r="A128" s="24" t="n">
        <f aca="false">A127+1</f>
        <v>97</v>
      </c>
      <c r="B128" s="25" t="n">
        <f aca="false">IF(MOD(12,$C$7)=0,EDATE($C$9,(A128-1)*12/$C$7),$C$9+(A128-1)*ROUND(364/$C$7,0))</f>
        <v>49249</v>
      </c>
      <c r="C128" s="19" t="n">
        <f aca="false">I127</f>
        <v>210295.04</v>
      </c>
      <c r="D128" s="19" t="n">
        <f aca="false">ROUND(C128*$C$16,2)</f>
        <v>1051.48</v>
      </c>
      <c r="E128" s="19" t="n">
        <f aca="false">IF(C128&lt;=0,0,ROUND(CHOOSE($C$10,IF(A128=$C$17,C128+D128,MIN($C$18,C128+D128)),IF(A128=$C$17,C128,MIN($C$19,C128))+D128,IF(A128=$C$17,C128,0)+D128),2))</f>
        <v>1932.9</v>
      </c>
      <c r="F128" s="19" t="n">
        <f aca="false">IF(C128&lt;=0,0,MAX(0,ROUND(E128-D128,2)))</f>
        <v>881.42</v>
      </c>
      <c r="G128" s="19" t="n">
        <f aca="false">IF(C128&lt;=0,0,ROUND(MIN(MAX(0,C128-F128),MAX(0,IF(A128&gt;=$C$13,$C$12,0)+SUMIF($E$5:$E$14,A128,$F$5:$F$14))),2))</f>
        <v>200</v>
      </c>
      <c r="H128" s="19" t="n">
        <f aca="false">ROUND(E128+G128,2)</f>
        <v>2132.9</v>
      </c>
      <c r="I128" s="19" t="n">
        <f aca="false">ROUND(C128-F128-G128,2)</f>
        <v>209213.62</v>
      </c>
      <c r="J128" s="19" t="n">
        <f aca="false">ROUND(J127+D128,2)</f>
        <v>126104.92</v>
      </c>
      <c r="K128" s="19" t="n">
        <f aca="false">ROUND(K127+F128+G128,2)</f>
        <v>90786.38</v>
      </c>
      <c r="M128" s="19" t="n">
        <f aca="false">Q127</f>
        <v>246827.52</v>
      </c>
      <c r="N128" s="19" t="n">
        <f aca="false">ROUND(M128*$C$16,2)</f>
        <v>1234.14</v>
      </c>
      <c r="O128" s="19" t="n">
        <f aca="false">IF(M128&lt;=0,0,ROUND(CHOOSE($C$10,IF(A128=$C$17,M128+N128,MIN($C$18,M128+N128)),IF(A128=$C$17,M128,MIN($C$19,M128))+N128,IF(A128=$C$17,M128,0)+N128),2))</f>
        <v>1932.9</v>
      </c>
      <c r="P128" s="19" t="n">
        <f aca="false">IF(M128&lt;=0,0,MAX(0,ROUND(O128-N128,2)))</f>
        <v>698.76</v>
      </c>
      <c r="Q128" s="19" t="n">
        <f aca="false">ROUND(M128-P128,2)</f>
        <v>246128.76</v>
      </c>
    </row>
    <row r="129" customFormat="false" ht="15" hidden="false" customHeight="false" outlineLevel="0" collapsed="false">
      <c r="A129" s="24" t="n">
        <f aca="false">A128+1</f>
        <v>98</v>
      </c>
      <c r="B129" s="25" t="n">
        <f aca="false">IF(MOD(12,$C$7)=0,EDATE($C$9,(A129-1)*12/$C$7),$C$9+(A129-1)*ROUND(364/$C$7,0))</f>
        <v>49279</v>
      </c>
      <c r="C129" s="19" t="n">
        <f aca="false">I128</f>
        <v>209213.62</v>
      </c>
      <c r="D129" s="19" t="n">
        <f aca="false">ROUND(C129*$C$16,2)</f>
        <v>1046.07</v>
      </c>
      <c r="E129" s="19" t="n">
        <f aca="false">IF(C129&lt;=0,0,ROUND(CHOOSE($C$10,IF(A129=$C$17,C129+D129,MIN($C$18,C129+D129)),IF(A129=$C$17,C129,MIN($C$19,C129))+D129,IF(A129=$C$17,C129,0)+D129),2))</f>
        <v>1932.9</v>
      </c>
      <c r="F129" s="19" t="n">
        <f aca="false">IF(C129&lt;=0,0,MAX(0,ROUND(E129-D129,2)))</f>
        <v>886.83</v>
      </c>
      <c r="G129" s="19" t="n">
        <f aca="false">IF(C129&lt;=0,0,ROUND(MIN(MAX(0,C129-F129),MAX(0,IF(A129&gt;=$C$13,$C$12,0)+SUMIF($E$5:$E$14,A129,$F$5:$F$14))),2))</f>
        <v>200</v>
      </c>
      <c r="H129" s="19" t="n">
        <f aca="false">ROUND(E129+G129,2)</f>
        <v>2132.9</v>
      </c>
      <c r="I129" s="19" t="n">
        <f aca="false">ROUND(C129-F129-G129,2)</f>
        <v>208126.79</v>
      </c>
      <c r="J129" s="19" t="n">
        <f aca="false">ROUND(J128+D129,2)</f>
        <v>127150.99</v>
      </c>
      <c r="K129" s="19" t="n">
        <f aca="false">ROUND(K128+F129+G129,2)</f>
        <v>91873.21</v>
      </c>
      <c r="M129" s="19" t="n">
        <f aca="false">Q128</f>
        <v>246128.76</v>
      </c>
      <c r="N129" s="19" t="n">
        <f aca="false">ROUND(M129*$C$16,2)</f>
        <v>1230.64</v>
      </c>
      <c r="O129" s="19" t="n">
        <f aca="false">IF(M129&lt;=0,0,ROUND(CHOOSE($C$10,IF(A129=$C$17,M129+N129,MIN($C$18,M129+N129)),IF(A129=$C$17,M129,MIN($C$19,M129))+N129,IF(A129=$C$17,M129,0)+N129),2))</f>
        <v>1932.9</v>
      </c>
      <c r="P129" s="19" t="n">
        <f aca="false">IF(M129&lt;=0,0,MAX(0,ROUND(O129-N129,2)))</f>
        <v>702.26</v>
      </c>
      <c r="Q129" s="19" t="n">
        <f aca="false">ROUND(M129-P129,2)</f>
        <v>245426.5</v>
      </c>
    </row>
    <row r="130" customFormat="false" ht="15" hidden="false" customHeight="false" outlineLevel="0" collapsed="false">
      <c r="A130" s="24" t="n">
        <f aca="false">A129+1</f>
        <v>99</v>
      </c>
      <c r="B130" s="25" t="n">
        <f aca="false">IF(MOD(12,$C$7)=0,EDATE($C$9,(A130-1)*12/$C$7),$C$9+(A130-1)*ROUND(364/$C$7,0))</f>
        <v>49310</v>
      </c>
      <c r="C130" s="19" t="n">
        <f aca="false">I129</f>
        <v>208126.79</v>
      </c>
      <c r="D130" s="19" t="n">
        <f aca="false">ROUND(C130*$C$16,2)</f>
        <v>1040.63</v>
      </c>
      <c r="E130" s="19" t="n">
        <f aca="false">IF(C130&lt;=0,0,ROUND(CHOOSE($C$10,IF(A130=$C$17,C130+D130,MIN($C$18,C130+D130)),IF(A130=$C$17,C130,MIN($C$19,C130))+D130,IF(A130=$C$17,C130,0)+D130),2))</f>
        <v>1932.9</v>
      </c>
      <c r="F130" s="19" t="n">
        <f aca="false">IF(C130&lt;=0,0,MAX(0,ROUND(E130-D130,2)))</f>
        <v>892.27</v>
      </c>
      <c r="G130" s="19" t="n">
        <f aca="false">IF(C130&lt;=0,0,ROUND(MIN(MAX(0,C130-F130),MAX(0,IF(A130&gt;=$C$13,$C$12,0)+SUMIF($E$5:$E$14,A130,$F$5:$F$14))),2))</f>
        <v>200</v>
      </c>
      <c r="H130" s="19" t="n">
        <f aca="false">ROUND(E130+G130,2)</f>
        <v>2132.9</v>
      </c>
      <c r="I130" s="19" t="n">
        <f aca="false">ROUND(C130-F130-G130,2)</f>
        <v>207034.52</v>
      </c>
      <c r="J130" s="19" t="n">
        <f aca="false">ROUND(J129+D130,2)</f>
        <v>128191.62</v>
      </c>
      <c r="K130" s="19" t="n">
        <f aca="false">ROUND(K129+F130+G130,2)</f>
        <v>92965.48</v>
      </c>
      <c r="M130" s="19" t="n">
        <f aca="false">Q129</f>
        <v>245426.5</v>
      </c>
      <c r="N130" s="19" t="n">
        <f aca="false">ROUND(M130*$C$16,2)</f>
        <v>1227.13</v>
      </c>
      <c r="O130" s="19" t="n">
        <f aca="false">IF(M130&lt;=0,0,ROUND(CHOOSE($C$10,IF(A130=$C$17,M130+N130,MIN($C$18,M130+N130)),IF(A130=$C$17,M130,MIN($C$19,M130))+N130,IF(A130=$C$17,M130,0)+N130),2))</f>
        <v>1932.9</v>
      </c>
      <c r="P130" s="19" t="n">
        <f aca="false">IF(M130&lt;=0,0,MAX(0,ROUND(O130-N130,2)))</f>
        <v>705.77</v>
      </c>
      <c r="Q130" s="19" t="n">
        <f aca="false">ROUND(M130-P130,2)</f>
        <v>244720.73</v>
      </c>
    </row>
    <row r="131" customFormat="false" ht="15" hidden="false" customHeight="false" outlineLevel="0" collapsed="false">
      <c r="A131" s="24" t="n">
        <f aca="false">A130+1</f>
        <v>100</v>
      </c>
      <c r="B131" s="25" t="n">
        <f aca="false">IF(MOD(12,$C$7)=0,EDATE($C$9,(A131-1)*12/$C$7),$C$9+(A131-1)*ROUND(364/$C$7,0))</f>
        <v>49341</v>
      </c>
      <c r="C131" s="19" t="n">
        <f aca="false">I130</f>
        <v>207034.52</v>
      </c>
      <c r="D131" s="19" t="n">
        <f aca="false">ROUND(C131*$C$16,2)</f>
        <v>1035.17</v>
      </c>
      <c r="E131" s="19" t="n">
        <f aca="false">IF(C131&lt;=0,0,ROUND(CHOOSE($C$10,IF(A131=$C$17,C131+D131,MIN($C$18,C131+D131)),IF(A131=$C$17,C131,MIN($C$19,C131))+D131,IF(A131=$C$17,C131,0)+D131),2))</f>
        <v>1932.9</v>
      </c>
      <c r="F131" s="19" t="n">
        <f aca="false">IF(C131&lt;=0,0,MAX(0,ROUND(E131-D131,2)))</f>
        <v>897.73</v>
      </c>
      <c r="G131" s="19" t="n">
        <f aca="false">IF(C131&lt;=0,0,ROUND(MIN(MAX(0,C131-F131),MAX(0,IF(A131&gt;=$C$13,$C$12,0)+SUMIF($E$5:$E$14,A131,$F$5:$F$14))),2))</f>
        <v>200</v>
      </c>
      <c r="H131" s="19" t="n">
        <f aca="false">ROUND(E131+G131,2)</f>
        <v>2132.9</v>
      </c>
      <c r="I131" s="19" t="n">
        <f aca="false">ROUND(C131-F131-G131,2)</f>
        <v>205936.79</v>
      </c>
      <c r="J131" s="19" t="n">
        <f aca="false">ROUND(J130+D131,2)</f>
        <v>129226.79</v>
      </c>
      <c r="K131" s="19" t="n">
        <f aca="false">ROUND(K130+F131+G131,2)</f>
        <v>94063.21</v>
      </c>
      <c r="M131" s="19" t="n">
        <f aca="false">Q130</f>
        <v>244720.73</v>
      </c>
      <c r="N131" s="19" t="n">
        <f aca="false">ROUND(M131*$C$16,2)</f>
        <v>1223.6</v>
      </c>
      <c r="O131" s="19" t="n">
        <f aca="false">IF(M131&lt;=0,0,ROUND(CHOOSE($C$10,IF(A131=$C$17,M131+N131,MIN($C$18,M131+N131)),IF(A131=$C$17,M131,MIN($C$19,M131))+N131,IF(A131=$C$17,M131,0)+N131),2))</f>
        <v>1932.9</v>
      </c>
      <c r="P131" s="19" t="n">
        <f aca="false">IF(M131&lt;=0,0,MAX(0,ROUND(O131-N131,2)))</f>
        <v>709.3</v>
      </c>
      <c r="Q131" s="19" t="n">
        <f aca="false">ROUND(M131-P131,2)</f>
        <v>244011.43</v>
      </c>
    </row>
    <row r="132" customFormat="false" ht="15" hidden="false" customHeight="false" outlineLevel="0" collapsed="false">
      <c r="A132" s="24" t="n">
        <f aca="false">A131+1</f>
        <v>101</v>
      </c>
      <c r="B132" s="25" t="n">
        <f aca="false">IF(MOD(12,$C$7)=0,EDATE($C$9,(A132-1)*12/$C$7),$C$9+(A132-1)*ROUND(364/$C$7,0))</f>
        <v>49369</v>
      </c>
      <c r="C132" s="19" t="n">
        <f aca="false">I131</f>
        <v>205936.79</v>
      </c>
      <c r="D132" s="19" t="n">
        <f aca="false">ROUND(C132*$C$16,2)</f>
        <v>1029.68</v>
      </c>
      <c r="E132" s="19" t="n">
        <f aca="false">IF(C132&lt;=0,0,ROUND(CHOOSE($C$10,IF(A132=$C$17,C132+D132,MIN($C$18,C132+D132)),IF(A132=$C$17,C132,MIN($C$19,C132))+D132,IF(A132=$C$17,C132,0)+D132),2))</f>
        <v>1932.9</v>
      </c>
      <c r="F132" s="19" t="n">
        <f aca="false">IF(C132&lt;=0,0,MAX(0,ROUND(E132-D132,2)))</f>
        <v>903.22</v>
      </c>
      <c r="G132" s="19" t="n">
        <f aca="false">IF(C132&lt;=0,0,ROUND(MIN(MAX(0,C132-F132),MAX(0,IF(A132&gt;=$C$13,$C$12,0)+SUMIF($E$5:$E$14,A132,$F$5:$F$14))),2))</f>
        <v>200</v>
      </c>
      <c r="H132" s="19" t="n">
        <f aca="false">ROUND(E132+G132,2)</f>
        <v>2132.9</v>
      </c>
      <c r="I132" s="19" t="n">
        <f aca="false">ROUND(C132-F132-G132,2)</f>
        <v>204833.57</v>
      </c>
      <c r="J132" s="19" t="n">
        <f aca="false">ROUND(J131+D132,2)</f>
        <v>130256.47</v>
      </c>
      <c r="K132" s="19" t="n">
        <f aca="false">ROUND(K131+F132+G132,2)</f>
        <v>95166.43</v>
      </c>
      <c r="M132" s="19" t="n">
        <f aca="false">Q131</f>
        <v>244011.43</v>
      </c>
      <c r="N132" s="19" t="n">
        <f aca="false">ROUND(M132*$C$16,2)</f>
        <v>1220.06</v>
      </c>
      <c r="O132" s="19" t="n">
        <f aca="false">IF(M132&lt;=0,0,ROUND(CHOOSE($C$10,IF(A132=$C$17,M132+N132,MIN($C$18,M132+N132)),IF(A132=$C$17,M132,MIN($C$19,M132))+N132,IF(A132=$C$17,M132,0)+N132),2))</f>
        <v>1932.9</v>
      </c>
      <c r="P132" s="19" t="n">
        <f aca="false">IF(M132&lt;=0,0,MAX(0,ROUND(O132-N132,2)))</f>
        <v>712.84</v>
      </c>
      <c r="Q132" s="19" t="n">
        <f aca="false">ROUND(M132-P132,2)</f>
        <v>243298.59</v>
      </c>
    </row>
    <row r="133" customFormat="false" ht="15" hidden="false" customHeight="false" outlineLevel="0" collapsed="false">
      <c r="A133" s="24" t="n">
        <f aca="false">A132+1</f>
        <v>102</v>
      </c>
      <c r="B133" s="25" t="n">
        <f aca="false">IF(MOD(12,$C$7)=0,EDATE($C$9,(A133-1)*12/$C$7),$C$9+(A133-1)*ROUND(364/$C$7,0))</f>
        <v>49400</v>
      </c>
      <c r="C133" s="19" t="n">
        <f aca="false">I132</f>
        <v>204833.57</v>
      </c>
      <c r="D133" s="19" t="n">
        <f aca="false">ROUND(C133*$C$16,2)</f>
        <v>1024.17</v>
      </c>
      <c r="E133" s="19" t="n">
        <f aca="false">IF(C133&lt;=0,0,ROUND(CHOOSE($C$10,IF(A133=$C$17,C133+D133,MIN($C$18,C133+D133)),IF(A133=$C$17,C133,MIN($C$19,C133))+D133,IF(A133=$C$17,C133,0)+D133),2))</f>
        <v>1932.9</v>
      </c>
      <c r="F133" s="19" t="n">
        <f aca="false">IF(C133&lt;=0,0,MAX(0,ROUND(E133-D133,2)))</f>
        <v>908.73</v>
      </c>
      <c r="G133" s="19" t="n">
        <f aca="false">IF(C133&lt;=0,0,ROUND(MIN(MAX(0,C133-F133),MAX(0,IF(A133&gt;=$C$13,$C$12,0)+SUMIF($E$5:$E$14,A133,$F$5:$F$14))),2))</f>
        <v>200</v>
      </c>
      <c r="H133" s="19" t="n">
        <f aca="false">ROUND(E133+G133,2)</f>
        <v>2132.9</v>
      </c>
      <c r="I133" s="19" t="n">
        <f aca="false">ROUND(C133-F133-G133,2)</f>
        <v>203724.84</v>
      </c>
      <c r="J133" s="19" t="n">
        <f aca="false">ROUND(J132+D133,2)</f>
        <v>131280.64</v>
      </c>
      <c r="K133" s="19" t="n">
        <f aca="false">ROUND(K132+F133+G133,2)</f>
        <v>96275.16</v>
      </c>
      <c r="M133" s="19" t="n">
        <f aca="false">Q132</f>
        <v>243298.59</v>
      </c>
      <c r="N133" s="19" t="n">
        <f aca="false">ROUND(M133*$C$16,2)</f>
        <v>1216.49</v>
      </c>
      <c r="O133" s="19" t="n">
        <f aca="false">IF(M133&lt;=0,0,ROUND(CHOOSE($C$10,IF(A133=$C$17,M133+N133,MIN($C$18,M133+N133)),IF(A133=$C$17,M133,MIN($C$19,M133))+N133,IF(A133=$C$17,M133,0)+N133),2))</f>
        <v>1932.9</v>
      </c>
      <c r="P133" s="19" t="n">
        <f aca="false">IF(M133&lt;=0,0,MAX(0,ROUND(O133-N133,2)))</f>
        <v>716.41</v>
      </c>
      <c r="Q133" s="19" t="n">
        <f aca="false">ROUND(M133-P133,2)</f>
        <v>242582.18</v>
      </c>
    </row>
    <row r="134" customFormat="false" ht="15" hidden="false" customHeight="false" outlineLevel="0" collapsed="false">
      <c r="A134" s="24" t="n">
        <f aca="false">A133+1</f>
        <v>103</v>
      </c>
      <c r="B134" s="25" t="n">
        <f aca="false">IF(MOD(12,$C$7)=0,EDATE($C$9,(A134-1)*12/$C$7),$C$9+(A134-1)*ROUND(364/$C$7,0))</f>
        <v>49430</v>
      </c>
      <c r="C134" s="19" t="n">
        <f aca="false">I133</f>
        <v>203724.84</v>
      </c>
      <c r="D134" s="19" t="n">
        <f aca="false">ROUND(C134*$C$16,2)</f>
        <v>1018.62</v>
      </c>
      <c r="E134" s="19" t="n">
        <f aca="false">IF(C134&lt;=0,0,ROUND(CHOOSE($C$10,IF(A134=$C$17,C134+D134,MIN($C$18,C134+D134)),IF(A134=$C$17,C134,MIN($C$19,C134))+D134,IF(A134=$C$17,C134,0)+D134),2))</f>
        <v>1932.9</v>
      </c>
      <c r="F134" s="19" t="n">
        <f aca="false">IF(C134&lt;=0,0,MAX(0,ROUND(E134-D134,2)))</f>
        <v>914.28</v>
      </c>
      <c r="G134" s="19" t="n">
        <f aca="false">IF(C134&lt;=0,0,ROUND(MIN(MAX(0,C134-F134),MAX(0,IF(A134&gt;=$C$13,$C$12,0)+SUMIF($E$5:$E$14,A134,$F$5:$F$14))),2))</f>
        <v>200</v>
      </c>
      <c r="H134" s="19" t="n">
        <f aca="false">ROUND(E134+G134,2)</f>
        <v>2132.9</v>
      </c>
      <c r="I134" s="19" t="n">
        <f aca="false">ROUND(C134-F134-G134,2)</f>
        <v>202610.56</v>
      </c>
      <c r="J134" s="19" t="n">
        <f aca="false">ROUND(J133+D134,2)</f>
        <v>132299.26</v>
      </c>
      <c r="K134" s="19" t="n">
        <f aca="false">ROUND(K133+F134+G134,2)</f>
        <v>97389.44</v>
      </c>
      <c r="M134" s="19" t="n">
        <f aca="false">Q133</f>
        <v>242582.18</v>
      </c>
      <c r="N134" s="19" t="n">
        <f aca="false">ROUND(M134*$C$16,2)</f>
        <v>1212.91</v>
      </c>
      <c r="O134" s="19" t="n">
        <f aca="false">IF(M134&lt;=0,0,ROUND(CHOOSE($C$10,IF(A134=$C$17,M134+N134,MIN($C$18,M134+N134)),IF(A134=$C$17,M134,MIN($C$19,M134))+N134,IF(A134=$C$17,M134,0)+N134),2))</f>
        <v>1932.9</v>
      </c>
      <c r="P134" s="19" t="n">
        <f aca="false">IF(M134&lt;=0,0,MAX(0,ROUND(O134-N134,2)))</f>
        <v>719.99</v>
      </c>
      <c r="Q134" s="19" t="n">
        <f aca="false">ROUND(M134-P134,2)</f>
        <v>241862.19</v>
      </c>
    </row>
    <row r="135" customFormat="false" ht="15" hidden="false" customHeight="false" outlineLevel="0" collapsed="false">
      <c r="A135" s="24" t="n">
        <f aca="false">A134+1</f>
        <v>104</v>
      </c>
      <c r="B135" s="25" t="n">
        <f aca="false">IF(MOD(12,$C$7)=0,EDATE($C$9,(A135-1)*12/$C$7),$C$9+(A135-1)*ROUND(364/$C$7,0))</f>
        <v>49461</v>
      </c>
      <c r="C135" s="19" t="n">
        <f aca="false">I134</f>
        <v>202610.56</v>
      </c>
      <c r="D135" s="19" t="n">
        <f aca="false">ROUND(C135*$C$16,2)</f>
        <v>1013.05</v>
      </c>
      <c r="E135" s="19" t="n">
        <f aca="false">IF(C135&lt;=0,0,ROUND(CHOOSE($C$10,IF(A135=$C$17,C135+D135,MIN($C$18,C135+D135)),IF(A135=$C$17,C135,MIN($C$19,C135))+D135,IF(A135=$C$17,C135,0)+D135),2))</f>
        <v>1932.9</v>
      </c>
      <c r="F135" s="19" t="n">
        <f aca="false">IF(C135&lt;=0,0,MAX(0,ROUND(E135-D135,2)))</f>
        <v>919.85</v>
      </c>
      <c r="G135" s="19" t="n">
        <f aca="false">IF(C135&lt;=0,0,ROUND(MIN(MAX(0,C135-F135),MAX(0,IF(A135&gt;=$C$13,$C$12,0)+SUMIF($E$5:$E$14,A135,$F$5:$F$14))),2))</f>
        <v>200</v>
      </c>
      <c r="H135" s="19" t="n">
        <f aca="false">ROUND(E135+G135,2)</f>
        <v>2132.9</v>
      </c>
      <c r="I135" s="19" t="n">
        <f aca="false">ROUND(C135-F135-G135,2)</f>
        <v>201490.71</v>
      </c>
      <c r="J135" s="19" t="n">
        <f aca="false">ROUND(J134+D135,2)</f>
        <v>133312.31</v>
      </c>
      <c r="K135" s="19" t="n">
        <f aca="false">ROUND(K134+F135+G135,2)</f>
        <v>98509.29</v>
      </c>
      <c r="M135" s="19" t="n">
        <f aca="false">Q134</f>
        <v>241862.19</v>
      </c>
      <c r="N135" s="19" t="n">
        <f aca="false">ROUND(M135*$C$16,2)</f>
        <v>1209.31</v>
      </c>
      <c r="O135" s="19" t="n">
        <f aca="false">IF(M135&lt;=0,0,ROUND(CHOOSE($C$10,IF(A135=$C$17,M135+N135,MIN($C$18,M135+N135)),IF(A135=$C$17,M135,MIN($C$19,M135))+N135,IF(A135=$C$17,M135,0)+N135),2))</f>
        <v>1932.9</v>
      </c>
      <c r="P135" s="19" t="n">
        <f aca="false">IF(M135&lt;=0,0,MAX(0,ROUND(O135-N135,2)))</f>
        <v>723.59</v>
      </c>
      <c r="Q135" s="19" t="n">
        <f aca="false">ROUND(M135-P135,2)</f>
        <v>241138.6</v>
      </c>
    </row>
    <row r="136" customFormat="false" ht="15" hidden="false" customHeight="false" outlineLevel="0" collapsed="false">
      <c r="A136" s="24" t="n">
        <f aca="false">A135+1</f>
        <v>105</v>
      </c>
      <c r="B136" s="25" t="n">
        <f aca="false">IF(MOD(12,$C$7)=0,EDATE($C$9,(A136-1)*12/$C$7),$C$9+(A136-1)*ROUND(364/$C$7,0))</f>
        <v>49491</v>
      </c>
      <c r="C136" s="19" t="n">
        <f aca="false">I135</f>
        <v>201490.71</v>
      </c>
      <c r="D136" s="19" t="n">
        <f aca="false">ROUND(C136*$C$16,2)</f>
        <v>1007.45</v>
      </c>
      <c r="E136" s="19" t="n">
        <f aca="false">IF(C136&lt;=0,0,ROUND(CHOOSE($C$10,IF(A136=$C$17,C136+D136,MIN($C$18,C136+D136)),IF(A136=$C$17,C136,MIN($C$19,C136))+D136,IF(A136=$C$17,C136,0)+D136),2))</f>
        <v>1932.9</v>
      </c>
      <c r="F136" s="19" t="n">
        <f aca="false">IF(C136&lt;=0,0,MAX(0,ROUND(E136-D136,2)))</f>
        <v>925.45</v>
      </c>
      <c r="G136" s="19" t="n">
        <f aca="false">IF(C136&lt;=0,0,ROUND(MIN(MAX(0,C136-F136),MAX(0,IF(A136&gt;=$C$13,$C$12,0)+SUMIF($E$5:$E$14,A136,$F$5:$F$14))),2))</f>
        <v>200</v>
      </c>
      <c r="H136" s="19" t="n">
        <f aca="false">ROUND(E136+G136,2)</f>
        <v>2132.9</v>
      </c>
      <c r="I136" s="19" t="n">
        <f aca="false">ROUND(C136-F136-G136,2)</f>
        <v>200365.26</v>
      </c>
      <c r="J136" s="19" t="n">
        <f aca="false">ROUND(J135+D136,2)</f>
        <v>134319.76</v>
      </c>
      <c r="K136" s="19" t="n">
        <f aca="false">ROUND(K135+F136+G136,2)</f>
        <v>99634.74</v>
      </c>
      <c r="M136" s="19" t="n">
        <f aca="false">Q135</f>
        <v>241138.6</v>
      </c>
      <c r="N136" s="19" t="n">
        <f aca="false">ROUND(M136*$C$16,2)</f>
        <v>1205.69</v>
      </c>
      <c r="O136" s="19" t="n">
        <f aca="false">IF(M136&lt;=0,0,ROUND(CHOOSE($C$10,IF(A136=$C$17,M136+N136,MIN($C$18,M136+N136)),IF(A136=$C$17,M136,MIN($C$19,M136))+N136,IF(A136=$C$17,M136,0)+N136),2))</f>
        <v>1932.9</v>
      </c>
      <c r="P136" s="19" t="n">
        <f aca="false">IF(M136&lt;=0,0,MAX(0,ROUND(O136-N136,2)))</f>
        <v>727.21</v>
      </c>
      <c r="Q136" s="19" t="n">
        <f aca="false">ROUND(M136-P136,2)</f>
        <v>240411.39</v>
      </c>
    </row>
    <row r="137" customFormat="false" ht="15" hidden="false" customHeight="false" outlineLevel="0" collapsed="false">
      <c r="A137" s="24" t="n">
        <f aca="false">A136+1</f>
        <v>106</v>
      </c>
      <c r="B137" s="25" t="n">
        <f aca="false">IF(MOD(12,$C$7)=0,EDATE($C$9,(A137-1)*12/$C$7),$C$9+(A137-1)*ROUND(364/$C$7,0))</f>
        <v>49522</v>
      </c>
      <c r="C137" s="19" t="n">
        <f aca="false">I136</f>
        <v>200365.26</v>
      </c>
      <c r="D137" s="19" t="n">
        <f aca="false">ROUND(C137*$C$16,2)</f>
        <v>1001.83</v>
      </c>
      <c r="E137" s="19" t="n">
        <f aca="false">IF(C137&lt;=0,0,ROUND(CHOOSE($C$10,IF(A137=$C$17,C137+D137,MIN($C$18,C137+D137)),IF(A137=$C$17,C137,MIN($C$19,C137))+D137,IF(A137=$C$17,C137,0)+D137),2))</f>
        <v>1932.9</v>
      </c>
      <c r="F137" s="19" t="n">
        <f aca="false">IF(C137&lt;=0,0,MAX(0,ROUND(E137-D137,2)))</f>
        <v>931.07</v>
      </c>
      <c r="G137" s="19" t="n">
        <f aca="false">IF(C137&lt;=0,0,ROUND(MIN(MAX(0,C137-F137),MAX(0,IF(A137&gt;=$C$13,$C$12,0)+SUMIF($E$5:$E$14,A137,$F$5:$F$14))),2))</f>
        <v>200</v>
      </c>
      <c r="H137" s="19" t="n">
        <f aca="false">ROUND(E137+G137,2)</f>
        <v>2132.9</v>
      </c>
      <c r="I137" s="19" t="n">
        <f aca="false">ROUND(C137-F137-G137,2)</f>
        <v>199234.19</v>
      </c>
      <c r="J137" s="19" t="n">
        <f aca="false">ROUND(J136+D137,2)</f>
        <v>135321.59</v>
      </c>
      <c r="K137" s="19" t="n">
        <f aca="false">ROUND(K136+F137+G137,2)</f>
        <v>100765.81</v>
      </c>
      <c r="M137" s="19" t="n">
        <f aca="false">Q136</f>
        <v>240411.39</v>
      </c>
      <c r="N137" s="19" t="n">
        <f aca="false">ROUND(M137*$C$16,2)</f>
        <v>1202.06</v>
      </c>
      <c r="O137" s="19" t="n">
        <f aca="false">IF(M137&lt;=0,0,ROUND(CHOOSE($C$10,IF(A137=$C$17,M137+N137,MIN($C$18,M137+N137)),IF(A137=$C$17,M137,MIN($C$19,M137))+N137,IF(A137=$C$17,M137,0)+N137),2))</f>
        <v>1932.9</v>
      </c>
      <c r="P137" s="19" t="n">
        <f aca="false">IF(M137&lt;=0,0,MAX(0,ROUND(O137-N137,2)))</f>
        <v>730.84</v>
      </c>
      <c r="Q137" s="19" t="n">
        <f aca="false">ROUND(M137-P137,2)</f>
        <v>239680.55</v>
      </c>
    </row>
    <row r="138" customFormat="false" ht="15" hidden="false" customHeight="false" outlineLevel="0" collapsed="false">
      <c r="A138" s="24" t="n">
        <f aca="false">A137+1</f>
        <v>107</v>
      </c>
      <c r="B138" s="25" t="n">
        <f aca="false">IF(MOD(12,$C$7)=0,EDATE($C$9,(A138-1)*12/$C$7),$C$9+(A138-1)*ROUND(364/$C$7,0))</f>
        <v>49553</v>
      </c>
      <c r="C138" s="19" t="n">
        <f aca="false">I137</f>
        <v>199234.19</v>
      </c>
      <c r="D138" s="19" t="n">
        <f aca="false">ROUND(C138*$C$16,2)</f>
        <v>996.17</v>
      </c>
      <c r="E138" s="19" t="n">
        <f aca="false">IF(C138&lt;=0,0,ROUND(CHOOSE($C$10,IF(A138=$C$17,C138+D138,MIN($C$18,C138+D138)),IF(A138=$C$17,C138,MIN($C$19,C138))+D138,IF(A138=$C$17,C138,0)+D138),2))</f>
        <v>1932.9</v>
      </c>
      <c r="F138" s="19" t="n">
        <f aca="false">IF(C138&lt;=0,0,MAX(0,ROUND(E138-D138,2)))</f>
        <v>936.73</v>
      </c>
      <c r="G138" s="19" t="n">
        <f aca="false">IF(C138&lt;=0,0,ROUND(MIN(MAX(0,C138-F138),MAX(0,IF(A138&gt;=$C$13,$C$12,0)+SUMIF($E$5:$E$14,A138,$F$5:$F$14))),2))</f>
        <v>200</v>
      </c>
      <c r="H138" s="19" t="n">
        <f aca="false">ROUND(E138+G138,2)</f>
        <v>2132.9</v>
      </c>
      <c r="I138" s="19" t="n">
        <f aca="false">ROUND(C138-F138-G138,2)</f>
        <v>198097.46</v>
      </c>
      <c r="J138" s="19" t="n">
        <f aca="false">ROUND(J137+D138,2)</f>
        <v>136317.76</v>
      </c>
      <c r="K138" s="19" t="n">
        <f aca="false">ROUND(K137+F138+G138,2)</f>
        <v>101902.54</v>
      </c>
      <c r="M138" s="19" t="n">
        <f aca="false">Q137</f>
        <v>239680.55</v>
      </c>
      <c r="N138" s="19" t="n">
        <f aca="false">ROUND(M138*$C$16,2)</f>
        <v>1198.4</v>
      </c>
      <c r="O138" s="19" t="n">
        <f aca="false">IF(M138&lt;=0,0,ROUND(CHOOSE($C$10,IF(A138=$C$17,M138+N138,MIN($C$18,M138+N138)),IF(A138=$C$17,M138,MIN($C$19,M138))+N138,IF(A138=$C$17,M138,0)+N138),2))</f>
        <v>1932.9</v>
      </c>
      <c r="P138" s="19" t="n">
        <f aca="false">IF(M138&lt;=0,0,MAX(0,ROUND(O138-N138,2)))</f>
        <v>734.5</v>
      </c>
      <c r="Q138" s="19" t="n">
        <f aca="false">ROUND(M138-P138,2)</f>
        <v>238946.05</v>
      </c>
    </row>
    <row r="139" customFormat="false" ht="15" hidden="false" customHeight="false" outlineLevel="0" collapsed="false">
      <c r="A139" s="24" t="n">
        <f aca="false">A138+1</f>
        <v>108</v>
      </c>
      <c r="B139" s="25" t="n">
        <f aca="false">IF(MOD(12,$C$7)=0,EDATE($C$9,(A139-1)*12/$C$7),$C$9+(A139-1)*ROUND(364/$C$7,0))</f>
        <v>49583</v>
      </c>
      <c r="C139" s="19" t="n">
        <f aca="false">I138</f>
        <v>198097.46</v>
      </c>
      <c r="D139" s="19" t="n">
        <f aca="false">ROUND(C139*$C$16,2)</f>
        <v>990.49</v>
      </c>
      <c r="E139" s="19" t="n">
        <f aca="false">IF(C139&lt;=0,0,ROUND(CHOOSE($C$10,IF(A139=$C$17,C139+D139,MIN($C$18,C139+D139)),IF(A139=$C$17,C139,MIN($C$19,C139))+D139,IF(A139=$C$17,C139,0)+D139),2))</f>
        <v>1932.9</v>
      </c>
      <c r="F139" s="19" t="n">
        <f aca="false">IF(C139&lt;=0,0,MAX(0,ROUND(E139-D139,2)))</f>
        <v>942.41</v>
      </c>
      <c r="G139" s="19" t="n">
        <f aca="false">IF(C139&lt;=0,0,ROUND(MIN(MAX(0,C139-F139),MAX(0,IF(A139&gt;=$C$13,$C$12,0)+SUMIF($E$5:$E$14,A139,$F$5:$F$14))),2))</f>
        <v>200</v>
      </c>
      <c r="H139" s="19" t="n">
        <f aca="false">ROUND(E139+G139,2)</f>
        <v>2132.9</v>
      </c>
      <c r="I139" s="19" t="n">
        <f aca="false">ROUND(C139-F139-G139,2)</f>
        <v>196955.05</v>
      </c>
      <c r="J139" s="19" t="n">
        <f aca="false">ROUND(J138+D139,2)</f>
        <v>137308.25</v>
      </c>
      <c r="K139" s="19" t="n">
        <f aca="false">ROUND(K138+F139+G139,2)</f>
        <v>103044.95</v>
      </c>
      <c r="M139" s="19" t="n">
        <f aca="false">Q138</f>
        <v>238946.05</v>
      </c>
      <c r="N139" s="19" t="n">
        <f aca="false">ROUND(M139*$C$16,2)</f>
        <v>1194.73</v>
      </c>
      <c r="O139" s="19" t="n">
        <f aca="false">IF(M139&lt;=0,0,ROUND(CHOOSE($C$10,IF(A139=$C$17,M139+N139,MIN($C$18,M139+N139)),IF(A139=$C$17,M139,MIN($C$19,M139))+N139,IF(A139=$C$17,M139,0)+N139),2))</f>
        <v>1932.9</v>
      </c>
      <c r="P139" s="19" t="n">
        <f aca="false">IF(M139&lt;=0,0,MAX(0,ROUND(O139-N139,2)))</f>
        <v>738.17</v>
      </c>
      <c r="Q139" s="19" t="n">
        <f aca="false">ROUND(M139-P139,2)</f>
        <v>238207.88</v>
      </c>
    </row>
    <row r="140" customFormat="false" ht="15" hidden="false" customHeight="false" outlineLevel="0" collapsed="false">
      <c r="A140" s="24" t="n">
        <f aca="false">A139+1</f>
        <v>109</v>
      </c>
      <c r="B140" s="25" t="n">
        <f aca="false">IF(MOD(12,$C$7)=0,EDATE($C$9,(A140-1)*12/$C$7),$C$9+(A140-1)*ROUND(364/$C$7,0))</f>
        <v>49614</v>
      </c>
      <c r="C140" s="19" t="n">
        <f aca="false">I139</f>
        <v>196955.05</v>
      </c>
      <c r="D140" s="19" t="n">
        <f aca="false">ROUND(C140*$C$16,2)</f>
        <v>984.78</v>
      </c>
      <c r="E140" s="19" t="n">
        <f aca="false">IF(C140&lt;=0,0,ROUND(CHOOSE($C$10,IF(A140=$C$17,C140+D140,MIN($C$18,C140+D140)),IF(A140=$C$17,C140,MIN($C$19,C140))+D140,IF(A140=$C$17,C140,0)+D140),2))</f>
        <v>1932.9</v>
      </c>
      <c r="F140" s="19" t="n">
        <f aca="false">IF(C140&lt;=0,0,MAX(0,ROUND(E140-D140,2)))</f>
        <v>948.12</v>
      </c>
      <c r="G140" s="19" t="n">
        <f aca="false">IF(C140&lt;=0,0,ROUND(MIN(MAX(0,C140-F140),MAX(0,IF(A140&gt;=$C$13,$C$12,0)+SUMIF($E$5:$E$14,A140,$F$5:$F$14))),2))</f>
        <v>200</v>
      </c>
      <c r="H140" s="19" t="n">
        <f aca="false">ROUND(E140+G140,2)</f>
        <v>2132.9</v>
      </c>
      <c r="I140" s="19" t="n">
        <f aca="false">ROUND(C140-F140-G140,2)</f>
        <v>195806.93</v>
      </c>
      <c r="J140" s="19" t="n">
        <f aca="false">ROUND(J139+D140,2)</f>
        <v>138293.03</v>
      </c>
      <c r="K140" s="19" t="n">
        <f aca="false">ROUND(K139+F140+G140,2)</f>
        <v>104193.07</v>
      </c>
      <c r="M140" s="19" t="n">
        <f aca="false">Q139</f>
        <v>238207.88</v>
      </c>
      <c r="N140" s="19" t="n">
        <f aca="false">ROUND(M140*$C$16,2)</f>
        <v>1191.04</v>
      </c>
      <c r="O140" s="19" t="n">
        <f aca="false">IF(M140&lt;=0,0,ROUND(CHOOSE($C$10,IF(A140=$C$17,M140+N140,MIN($C$18,M140+N140)),IF(A140=$C$17,M140,MIN($C$19,M140))+N140,IF(A140=$C$17,M140,0)+N140),2))</f>
        <v>1932.9</v>
      </c>
      <c r="P140" s="19" t="n">
        <f aca="false">IF(M140&lt;=0,0,MAX(0,ROUND(O140-N140,2)))</f>
        <v>741.86</v>
      </c>
      <c r="Q140" s="19" t="n">
        <f aca="false">ROUND(M140-P140,2)</f>
        <v>237466.02</v>
      </c>
    </row>
    <row r="141" customFormat="false" ht="15" hidden="false" customHeight="false" outlineLevel="0" collapsed="false">
      <c r="A141" s="24" t="n">
        <f aca="false">A140+1</f>
        <v>110</v>
      </c>
      <c r="B141" s="25" t="n">
        <f aca="false">IF(MOD(12,$C$7)=0,EDATE($C$9,(A141-1)*12/$C$7),$C$9+(A141-1)*ROUND(364/$C$7,0))</f>
        <v>49644</v>
      </c>
      <c r="C141" s="19" t="n">
        <f aca="false">I140</f>
        <v>195806.93</v>
      </c>
      <c r="D141" s="19" t="n">
        <f aca="false">ROUND(C141*$C$16,2)</f>
        <v>979.03</v>
      </c>
      <c r="E141" s="19" t="n">
        <f aca="false">IF(C141&lt;=0,0,ROUND(CHOOSE($C$10,IF(A141=$C$17,C141+D141,MIN($C$18,C141+D141)),IF(A141=$C$17,C141,MIN($C$19,C141))+D141,IF(A141=$C$17,C141,0)+D141),2))</f>
        <v>1932.9</v>
      </c>
      <c r="F141" s="19" t="n">
        <f aca="false">IF(C141&lt;=0,0,MAX(0,ROUND(E141-D141,2)))</f>
        <v>953.87</v>
      </c>
      <c r="G141" s="19" t="n">
        <f aca="false">IF(C141&lt;=0,0,ROUND(MIN(MAX(0,C141-F141),MAX(0,IF(A141&gt;=$C$13,$C$12,0)+SUMIF($E$5:$E$14,A141,$F$5:$F$14))),2))</f>
        <v>200</v>
      </c>
      <c r="H141" s="19" t="n">
        <f aca="false">ROUND(E141+G141,2)</f>
        <v>2132.9</v>
      </c>
      <c r="I141" s="19" t="n">
        <f aca="false">ROUND(C141-F141-G141,2)</f>
        <v>194653.06</v>
      </c>
      <c r="J141" s="19" t="n">
        <f aca="false">ROUND(J140+D141,2)</f>
        <v>139272.06</v>
      </c>
      <c r="K141" s="19" t="n">
        <f aca="false">ROUND(K140+F141+G141,2)</f>
        <v>105346.94</v>
      </c>
      <c r="M141" s="19" t="n">
        <f aca="false">Q140</f>
        <v>237466.02</v>
      </c>
      <c r="N141" s="19" t="n">
        <f aca="false">ROUND(M141*$C$16,2)</f>
        <v>1187.33</v>
      </c>
      <c r="O141" s="19" t="n">
        <f aca="false">IF(M141&lt;=0,0,ROUND(CHOOSE($C$10,IF(A141=$C$17,M141+N141,MIN($C$18,M141+N141)),IF(A141=$C$17,M141,MIN($C$19,M141))+N141,IF(A141=$C$17,M141,0)+N141),2))</f>
        <v>1932.9</v>
      </c>
      <c r="P141" s="19" t="n">
        <f aca="false">IF(M141&lt;=0,0,MAX(0,ROUND(O141-N141,2)))</f>
        <v>745.57</v>
      </c>
      <c r="Q141" s="19" t="n">
        <f aca="false">ROUND(M141-P141,2)</f>
        <v>236720.45</v>
      </c>
    </row>
    <row r="142" customFormat="false" ht="15" hidden="false" customHeight="false" outlineLevel="0" collapsed="false">
      <c r="A142" s="24" t="n">
        <f aca="false">A141+1</f>
        <v>111</v>
      </c>
      <c r="B142" s="25" t="n">
        <f aca="false">IF(MOD(12,$C$7)=0,EDATE($C$9,(A142-1)*12/$C$7),$C$9+(A142-1)*ROUND(364/$C$7,0))</f>
        <v>49675</v>
      </c>
      <c r="C142" s="19" t="n">
        <f aca="false">I141</f>
        <v>194653.06</v>
      </c>
      <c r="D142" s="19" t="n">
        <f aca="false">ROUND(C142*$C$16,2)</f>
        <v>973.27</v>
      </c>
      <c r="E142" s="19" t="n">
        <f aca="false">IF(C142&lt;=0,0,ROUND(CHOOSE($C$10,IF(A142=$C$17,C142+D142,MIN($C$18,C142+D142)),IF(A142=$C$17,C142,MIN($C$19,C142))+D142,IF(A142=$C$17,C142,0)+D142),2))</f>
        <v>1932.9</v>
      </c>
      <c r="F142" s="19" t="n">
        <f aca="false">IF(C142&lt;=0,0,MAX(0,ROUND(E142-D142,2)))</f>
        <v>959.63</v>
      </c>
      <c r="G142" s="19" t="n">
        <f aca="false">IF(C142&lt;=0,0,ROUND(MIN(MAX(0,C142-F142),MAX(0,IF(A142&gt;=$C$13,$C$12,0)+SUMIF($E$5:$E$14,A142,$F$5:$F$14))),2))</f>
        <v>200</v>
      </c>
      <c r="H142" s="19" t="n">
        <f aca="false">ROUND(E142+G142,2)</f>
        <v>2132.9</v>
      </c>
      <c r="I142" s="19" t="n">
        <f aca="false">ROUND(C142-F142-G142,2)</f>
        <v>193493.43</v>
      </c>
      <c r="J142" s="19" t="n">
        <f aca="false">ROUND(J141+D142,2)</f>
        <v>140245.33</v>
      </c>
      <c r="K142" s="19" t="n">
        <f aca="false">ROUND(K141+F142+G142,2)</f>
        <v>106506.57</v>
      </c>
      <c r="M142" s="19" t="n">
        <f aca="false">Q141</f>
        <v>236720.45</v>
      </c>
      <c r="N142" s="19" t="n">
        <f aca="false">ROUND(M142*$C$16,2)</f>
        <v>1183.6</v>
      </c>
      <c r="O142" s="19" t="n">
        <f aca="false">IF(M142&lt;=0,0,ROUND(CHOOSE($C$10,IF(A142=$C$17,M142+N142,MIN($C$18,M142+N142)),IF(A142=$C$17,M142,MIN($C$19,M142))+N142,IF(A142=$C$17,M142,0)+N142),2))</f>
        <v>1932.9</v>
      </c>
      <c r="P142" s="19" t="n">
        <f aca="false">IF(M142&lt;=0,0,MAX(0,ROUND(O142-N142,2)))</f>
        <v>749.3</v>
      </c>
      <c r="Q142" s="19" t="n">
        <f aca="false">ROUND(M142-P142,2)</f>
        <v>235971.15</v>
      </c>
    </row>
    <row r="143" customFormat="false" ht="15" hidden="false" customHeight="false" outlineLevel="0" collapsed="false">
      <c r="A143" s="24" t="n">
        <f aca="false">A142+1</f>
        <v>112</v>
      </c>
      <c r="B143" s="25" t="n">
        <f aca="false">IF(MOD(12,$C$7)=0,EDATE($C$9,(A143-1)*12/$C$7),$C$9+(A143-1)*ROUND(364/$C$7,0))</f>
        <v>49706</v>
      </c>
      <c r="C143" s="19" t="n">
        <f aca="false">I142</f>
        <v>193493.43</v>
      </c>
      <c r="D143" s="19" t="n">
        <f aca="false">ROUND(C143*$C$16,2)</f>
        <v>967.47</v>
      </c>
      <c r="E143" s="19" t="n">
        <f aca="false">IF(C143&lt;=0,0,ROUND(CHOOSE($C$10,IF(A143=$C$17,C143+D143,MIN($C$18,C143+D143)),IF(A143=$C$17,C143,MIN($C$19,C143))+D143,IF(A143=$C$17,C143,0)+D143),2))</f>
        <v>1932.9</v>
      </c>
      <c r="F143" s="19" t="n">
        <f aca="false">IF(C143&lt;=0,0,MAX(0,ROUND(E143-D143,2)))</f>
        <v>965.43</v>
      </c>
      <c r="G143" s="19" t="n">
        <f aca="false">IF(C143&lt;=0,0,ROUND(MIN(MAX(0,C143-F143),MAX(0,IF(A143&gt;=$C$13,$C$12,0)+SUMIF($E$5:$E$14,A143,$F$5:$F$14))),2))</f>
        <v>200</v>
      </c>
      <c r="H143" s="19" t="n">
        <f aca="false">ROUND(E143+G143,2)</f>
        <v>2132.9</v>
      </c>
      <c r="I143" s="19" t="n">
        <f aca="false">ROUND(C143-F143-G143,2)</f>
        <v>192328</v>
      </c>
      <c r="J143" s="19" t="n">
        <f aca="false">ROUND(J142+D143,2)</f>
        <v>141212.8</v>
      </c>
      <c r="K143" s="19" t="n">
        <f aca="false">ROUND(K142+F143+G143,2)</f>
        <v>107672</v>
      </c>
      <c r="M143" s="19" t="n">
        <f aca="false">Q142</f>
        <v>235971.15</v>
      </c>
      <c r="N143" s="19" t="n">
        <f aca="false">ROUND(M143*$C$16,2)</f>
        <v>1179.86</v>
      </c>
      <c r="O143" s="19" t="n">
        <f aca="false">IF(M143&lt;=0,0,ROUND(CHOOSE($C$10,IF(A143=$C$17,M143+N143,MIN($C$18,M143+N143)),IF(A143=$C$17,M143,MIN($C$19,M143))+N143,IF(A143=$C$17,M143,0)+N143),2))</f>
        <v>1932.9</v>
      </c>
      <c r="P143" s="19" t="n">
        <f aca="false">IF(M143&lt;=0,0,MAX(0,ROUND(O143-N143,2)))</f>
        <v>753.04</v>
      </c>
      <c r="Q143" s="19" t="n">
        <f aca="false">ROUND(M143-P143,2)</f>
        <v>235218.11</v>
      </c>
    </row>
    <row r="144" customFormat="false" ht="15" hidden="false" customHeight="false" outlineLevel="0" collapsed="false">
      <c r="A144" s="24" t="n">
        <f aca="false">A143+1</f>
        <v>113</v>
      </c>
      <c r="B144" s="25" t="n">
        <f aca="false">IF(MOD(12,$C$7)=0,EDATE($C$9,(A144-1)*12/$C$7),$C$9+(A144-1)*ROUND(364/$C$7,0))</f>
        <v>49735</v>
      </c>
      <c r="C144" s="19" t="n">
        <f aca="false">I143</f>
        <v>192328</v>
      </c>
      <c r="D144" s="19" t="n">
        <f aca="false">ROUND(C144*$C$16,2)</f>
        <v>961.64</v>
      </c>
      <c r="E144" s="19" t="n">
        <f aca="false">IF(C144&lt;=0,0,ROUND(CHOOSE($C$10,IF(A144=$C$17,C144+D144,MIN($C$18,C144+D144)),IF(A144=$C$17,C144,MIN($C$19,C144))+D144,IF(A144=$C$17,C144,0)+D144),2))</f>
        <v>1932.9</v>
      </c>
      <c r="F144" s="19" t="n">
        <f aca="false">IF(C144&lt;=0,0,MAX(0,ROUND(E144-D144,2)))</f>
        <v>971.26</v>
      </c>
      <c r="G144" s="19" t="n">
        <f aca="false">IF(C144&lt;=0,0,ROUND(MIN(MAX(0,C144-F144),MAX(0,IF(A144&gt;=$C$13,$C$12,0)+SUMIF($E$5:$E$14,A144,$F$5:$F$14))),2))</f>
        <v>200</v>
      </c>
      <c r="H144" s="19" t="n">
        <f aca="false">ROUND(E144+G144,2)</f>
        <v>2132.9</v>
      </c>
      <c r="I144" s="19" t="n">
        <f aca="false">ROUND(C144-F144-G144,2)</f>
        <v>191156.74</v>
      </c>
      <c r="J144" s="19" t="n">
        <f aca="false">ROUND(J143+D144,2)</f>
        <v>142174.44</v>
      </c>
      <c r="K144" s="19" t="n">
        <f aca="false">ROUND(K143+F144+G144,2)</f>
        <v>108843.26</v>
      </c>
      <c r="M144" s="19" t="n">
        <f aca="false">Q143</f>
        <v>235218.11</v>
      </c>
      <c r="N144" s="19" t="n">
        <f aca="false">ROUND(M144*$C$16,2)</f>
        <v>1176.09</v>
      </c>
      <c r="O144" s="19" t="n">
        <f aca="false">IF(M144&lt;=0,0,ROUND(CHOOSE($C$10,IF(A144=$C$17,M144+N144,MIN($C$18,M144+N144)),IF(A144=$C$17,M144,MIN($C$19,M144))+N144,IF(A144=$C$17,M144,0)+N144),2))</f>
        <v>1932.9</v>
      </c>
      <c r="P144" s="19" t="n">
        <f aca="false">IF(M144&lt;=0,0,MAX(0,ROUND(O144-N144,2)))</f>
        <v>756.81</v>
      </c>
      <c r="Q144" s="19" t="n">
        <f aca="false">ROUND(M144-P144,2)</f>
        <v>234461.3</v>
      </c>
    </row>
    <row r="145" customFormat="false" ht="15" hidden="false" customHeight="false" outlineLevel="0" collapsed="false">
      <c r="A145" s="24" t="n">
        <f aca="false">A144+1</f>
        <v>114</v>
      </c>
      <c r="B145" s="25" t="n">
        <f aca="false">IF(MOD(12,$C$7)=0,EDATE($C$9,(A145-1)*12/$C$7),$C$9+(A145-1)*ROUND(364/$C$7,0))</f>
        <v>49766</v>
      </c>
      <c r="C145" s="19" t="n">
        <f aca="false">I144</f>
        <v>191156.74</v>
      </c>
      <c r="D145" s="19" t="n">
        <f aca="false">ROUND(C145*$C$16,2)</f>
        <v>955.78</v>
      </c>
      <c r="E145" s="19" t="n">
        <f aca="false">IF(C145&lt;=0,0,ROUND(CHOOSE($C$10,IF(A145=$C$17,C145+D145,MIN($C$18,C145+D145)),IF(A145=$C$17,C145,MIN($C$19,C145))+D145,IF(A145=$C$17,C145,0)+D145),2))</f>
        <v>1932.9</v>
      </c>
      <c r="F145" s="19" t="n">
        <f aca="false">IF(C145&lt;=0,0,MAX(0,ROUND(E145-D145,2)))</f>
        <v>977.12</v>
      </c>
      <c r="G145" s="19" t="n">
        <f aca="false">IF(C145&lt;=0,0,ROUND(MIN(MAX(0,C145-F145),MAX(0,IF(A145&gt;=$C$13,$C$12,0)+SUMIF($E$5:$E$14,A145,$F$5:$F$14))),2))</f>
        <v>200</v>
      </c>
      <c r="H145" s="19" t="n">
        <f aca="false">ROUND(E145+G145,2)</f>
        <v>2132.9</v>
      </c>
      <c r="I145" s="19" t="n">
        <f aca="false">ROUND(C145-F145-G145,2)</f>
        <v>189979.62</v>
      </c>
      <c r="J145" s="19" t="n">
        <f aca="false">ROUND(J144+D145,2)</f>
        <v>143130.22</v>
      </c>
      <c r="K145" s="19" t="n">
        <f aca="false">ROUND(K144+F145+G145,2)</f>
        <v>110020.38</v>
      </c>
      <c r="M145" s="19" t="n">
        <f aca="false">Q144</f>
        <v>234461.3</v>
      </c>
      <c r="N145" s="19" t="n">
        <f aca="false">ROUND(M145*$C$16,2)</f>
        <v>1172.31</v>
      </c>
      <c r="O145" s="19" t="n">
        <f aca="false">IF(M145&lt;=0,0,ROUND(CHOOSE($C$10,IF(A145=$C$17,M145+N145,MIN($C$18,M145+N145)),IF(A145=$C$17,M145,MIN($C$19,M145))+N145,IF(A145=$C$17,M145,0)+N145),2))</f>
        <v>1932.9</v>
      </c>
      <c r="P145" s="19" t="n">
        <f aca="false">IF(M145&lt;=0,0,MAX(0,ROUND(O145-N145,2)))</f>
        <v>760.59</v>
      </c>
      <c r="Q145" s="19" t="n">
        <f aca="false">ROUND(M145-P145,2)</f>
        <v>233700.71</v>
      </c>
    </row>
    <row r="146" customFormat="false" ht="15" hidden="false" customHeight="false" outlineLevel="0" collapsed="false">
      <c r="A146" s="24" t="n">
        <f aca="false">A145+1</f>
        <v>115</v>
      </c>
      <c r="B146" s="25" t="n">
        <f aca="false">IF(MOD(12,$C$7)=0,EDATE($C$9,(A146-1)*12/$C$7),$C$9+(A146-1)*ROUND(364/$C$7,0))</f>
        <v>49796</v>
      </c>
      <c r="C146" s="19" t="n">
        <f aca="false">I145</f>
        <v>189979.62</v>
      </c>
      <c r="D146" s="19" t="n">
        <f aca="false">ROUND(C146*$C$16,2)</f>
        <v>949.9</v>
      </c>
      <c r="E146" s="19" t="n">
        <f aca="false">IF(C146&lt;=0,0,ROUND(CHOOSE($C$10,IF(A146=$C$17,C146+D146,MIN($C$18,C146+D146)),IF(A146=$C$17,C146,MIN($C$19,C146))+D146,IF(A146=$C$17,C146,0)+D146),2))</f>
        <v>1932.9</v>
      </c>
      <c r="F146" s="19" t="n">
        <f aca="false">IF(C146&lt;=0,0,MAX(0,ROUND(E146-D146,2)))</f>
        <v>983</v>
      </c>
      <c r="G146" s="19" t="n">
        <f aca="false">IF(C146&lt;=0,0,ROUND(MIN(MAX(0,C146-F146),MAX(0,IF(A146&gt;=$C$13,$C$12,0)+SUMIF($E$5:$E$14,A146,$F$5:$F$14))),2))</f>
        <v>200</v>
      </c>
      <c r="H146" s="19" t="n">
        <f aca="false">ROUND(E146+G146,2)</f>
        <v>2132.9</v>
      </c>
      <c r="I146" s="19" t="n">
        <f aca="false">ROUND(C146-F146-G146,2)</f>
        <v>188796.62</v>
      </c>
      <c r="J146" s="19" t="n">
        <f aca="false">ROUND(J145+D146,2)</f>
        <v>144080.12</v>
      </c>
      <c r="K146" s="19" t="n">
        <f aca="false">ROUND(K145+F146+G146,2)</f>
        <v>111203.38</v>
      </c>
      <c r="M146" s="19" t="n">
        <f aca="false">Q145</f>
        <v>233700.71</v>
      </c>
      <c r="N146" s="19" t="n">
        <f aca="false">ROUND(M146*$C$16,2)</f>
        <v>1168.5</v>
      </c>
      <c r="O146" s="19" t="n">
        <f aca="false">IF(M146&lt;=0,0,ROUND(CHOOSE($C$10,IF(A146=$C$17,M146+N146,MIN($C$18,M146+N146)),IF(A146=$C$17,M146,MIN($C$19,M146))+N146,IF(A146=$C$17,M146,0)+N146),2))</f>
        <v>1932.9</v>
      </c>
      <c r="P146" s="19" t="n">
        <f aca="false">IF(M146&lt;=0,0,MAX(0,ROUND(O146-N146,2)))</f>
        <v>764.4</v>
      </c>
      <c r="Q146" s="19" t="n">
        <f aca="false">ROUND(M146-P146,2)</f>
        <v>232936.31</v>
      </c>
    </row>
    <row r="147" customFormat="false" ht="15" hidden="false" customHeight="false" outlineLevel="0" collapsed="false">
      <c r="A147" s="24" t="n">
        <f aca="false">A146+1</f>
        <v>116</v>
      </c>
      <c r="B147" s="25" t="n">
        <f aca="false">IF(MOD(12,$C$7)=0,EDATE($C$9,(A147-1)*12/$C$7),$C$9+(A147-1)*ROUND(364/$C$7,0))</f>
        <v>49827</v>
      </c>
      <c r="C147" s="19" t="n">
        <f aca="false">I146</f>
        <v>188796.62</v>
      </c>
      <c r="D147" s="19" t="n">
        <f aca="false">ROUND(C147*$C$16,2)</f>
        <v>943.98</v>
      </c>
      <c r="E147" s="19" t="n">
        <f aca="false">IF(C147&lt;=0,0,ROUND(CHOOSE($C$10,IF(A147=$C$17,C147+D147,MIN($C$18,C147+D147)),IF(A147=$C$17,C147,MIN($C$19,C147))+D147,IF(A147=$C$17,C147,0)+D147),2))</f>
        <v>1932.9</v>
      </c>
      <c r="F147" s="19" t="n">
        <f aca="false">IF(C147&lt;=0,0,MAX(0,ROUND(E147-D147,2)))</f>
        <v>988.92</v>
      </c>
      <c r="G147" s="19" t="n">
        <f aca="false">IF(C147&lt;=0,0,ROUND(MIN(MAX(0,C147-F147),MAX(0,IF(A147&gt;=$C$13,$C$12,0)+SUMIF($E$5:$E$14,A147,$F$5:$F$14))),2))</f>
        <v>200</v>
      </c>
      <c r="H147" s="19" t="n">
        <f aca="false">ROUND(E147+G147,2)</f>
        <v>2132.9</v>
      </c>
      <c r="I147" s="19" t="n">
        <f aca="false">ROUND(C147-F147-G147,2)</f>
        <v>187607.7</v>
      </c>
      <c r="J147" s="19" t="n">
        <f aca="false">ROUND(J146+D147,2)</f>
        <v>145024.1</v>
      </c>
      <c r="K147" s="19" t="n">
        <f aca="false">ROUND(K146+F147+G147,2)</f>
        <v>112392.3</v>
      </c>
      <c r="M147" s="19" t="n">
        <f aca="false">Q146</f>
        <v>232936.31</v>
      </c>
      <c r="N147" s="19" t="n">
        <f aca="false">ROUND(M147*$C$16,2)</f>
        <v>1164.68</v>
      </c>
      <c r="O147" s="19" t="n">
        <f aca="false">IF(M147&lt;=0,0,ROUND(CHOOSE($C$10,IF(A147=$C$17,M147+N147,MIN($C$18,M147+N147)),IF(A147=$C$17,M147,MIN($C$19,M147))+N147,IF(A147=$C$17,M147,0)+N147),2))</f>
        <v>1932.9</v>
      </c>
      <c r="P147" s="19" t="n">
        <f aca="false">IF(M147&lt;=0,0,MAX(0,ROUND(O147-N147,2)))</f>
        <v>768.22</v>
      </c>
      <c r="Q147" s="19" t="n">
        <f aca="false">ROUND(M147-P147,2)</f>
        <v>232168.09</v>
      </c>
    </row>
    <row r="148" customFormat="false" ht="15" hidden="false" customHeight="false" outlineLevel="0" collapsed="false">
      <c r="A148" s="24" t="n">
        <f aca="false">A147+1</f>
        <v>117</v>
      </c>
      <c r="B148" s="25" t="n">
        <f aca="false">IF(MOD(12,$C$7)=0,EDATE($C$9,(A148-1)*12/$C$7),$C$9+(A148-1)*ROUND(364/$C$7,0))</f>
        <v>49857</v>
      </c>
      <c r="C148" s="19" t="n">
        <f aca="false">I147</f>
        <v>187607.7</v>
      </c>
      <c r="D148" s="19" t="n">
        <f aca="false">ROUND(C148*$C$16,2)</f>
        <v>938.04</v>
      </c>
      <c r="E148" s="19" t="n">
        <f aca="false">IF(C148&lt;=0,0,ROUND(CHOOSE($C$10,IF(A148=$C$17,C148+D148,MIN($C$18,C148+D148)),IF(A148=$C$17,C148,MIN($C$19,C148))+D148,IF(A148=$C$17,C148,0)+D148),2))</f>
        <v>1932.9</v>
      </c>
      <c r="F148" s="19" t="n">
        <f aca="false">IF(C148&lt;=0,0,MAX(0,ROUND(E148-D148,2)))</f>
        <v>994.86</v>
      </c>
      <c r="G148" s="19" t="n">
        <f aca="false">IF(C148&lt;=0,0,ROUND(MIN(MAX(0,C148-F148),MAX(0,IF(A148&gt;=$C$13,$C$12,0)+SUMIF($E$5:$E$14,A148,$F$5:$F$14))),2))</f>
        <v>200</v>
      </c>
      <c r="H148" s="19" t="n">
        <f aca="false">ROUND(E148+G148,2)</f>
        <v>2132.9</v>
      </c>
      <c r="I148" s="19" t="n">
        <f aca="false">ROUND(C148-F148-G148,2)</f>
        <v>186412.84</v>
      </c>
      <c r="J148" s="19" t="n">
        <f aca="false">ROUND(J147+D148,2)</f>
        <v>145962.14</v>
      </c>
      <c r="K148" s="19" t="n">
        <f aca="false">ROUND(K147+F148+G148,2)</f>
        <v>113587.16</v>
      </c>
      <c r="M148" s="19" t="n">
        <f aca="false">Q147</f>
        <v>232168.09</v>
      </c>
      <c r="N148" s="19" t="n">
        <f aca="false">ROUND(M148*$C$16,2)</f>
        <v>1160.84</v>
      </c>
      <c r="O148" s="19" t="n">
        <f aca="false">IF(M148&lt;=0,0,ROUND(CHOOSE($C$10,IF(A148=$C$17,M148+N148,MIN($C$18,M148+N148)),IF(A148=$C$17,M148,MIN($C$19,M148))+N148,IF(A148=$C$17,M148,0)+N148),2))</f>
        <v>1932.9</v>
      </c>
      <c r="P148" s="19" t="n">
        <f aca="false">IF(M148&lt;=0,0,MAX(0,ROUND(O148-N148,2)))</f>
        <v>772.06</v>
      </c>
      <c r="Q148" s="19" t="n">
        <f aca="false">ROUND(M148-P148,2)</f>
        <v>231396.03</v>
      </c>
    </row>
    <row r="149" customFormat="false" ht="15" hidden="false" customHeight="false" outlineLevel="0" collapsed="false">
      <c r="A149" s="24" t="n">
        <f aca="false">A148+1</f>
        <v>118</v>
      </c>
      <c r="B149" s="25" t="n">
        <f aca="false">IF(MOD(12,$C$7)=0,EDATE($C$9,(A149-1)*12/$C$7),$C$9+(A149-1)*ROUND(364/$C$7,0))</f>
        <v>49888</v>
      </c>
      <c r="C149" s="19" t="n">
        <f aca="false">I148</f>
        <v>186412.84</v>
      </c>
      <c r="D149" s="19" t="n">
        <f aca="false">ROUND(C149*$C$16,2)</f>
        <v>932.06</v>
      </c>
      <c r="E149" s="19" t="n">
        <f aca="false">IF(C149&lt;=0,0,ROUND(CHOOSE($C$10,IF(A149=$C$17,C149+D149,MIN($C$18,C149+D149)),IF(A149=$C$17,C149,MIN($C$19,C149))+D149,IF(A149=$C$17,C149,0)+D149),2))</f>
        <v>1932.9</v>
      </c>
      <c r="F149" s="19" t="n">
        <f aca="false">IF(C149&lt;=0,0,MAX(0,ROUND(E149-D149,2)))</f>
        <v>1000.84</v>
      </c>
      <c r="G149" s="19" t="n">
        <f aca="false">IF(C149&lt;=0,0,ROUND(MIN(MAX(0,C149-F149),MAX(0,IF(A149&gt;=$C$13,$C$12,0)+SUMIF($E$5:$E$14,A149,$F$5:$F$14))),2))</f>
        <v>200</v>
      </c>
      <c r="H149" s="19" t="n">
        <f aca="false">ROUND(E149+G149,2)</f>
        <v>2132.9</v>
      </c>
      <c r="I149" s="19" t="n">
        <f aca="false">ROUND(C149-F149-G149,2)</f>
        <v>185212</v>
      </c>
      <c r="J149" s="19" t="n">
        <f aca="false">ROUND(J148+D149,2)</f>
        <v>146894.2</v>
      </c>
      <c r="K149" s="19" t="n">
        <f aca="false">ROUND(K148+F149+G149,2)</f>
        <v>114788</v>
      </c>
      <c r="M149" s="19" t="n">
        <f aca="false">Q148</f>
        <v>231396.03</v>
      </c>
      <c r="N149" s="19" t="n">
        <f aca="false">ROUND(M149*$C$16,2)</f>
        <v>1156.98</v>
      </c>
      <c r="O149" s="19" t="n">
        <f aca="false">IF(M149&lt;=0,0,ROUND(CHOOSE($C$10,IF(A149=$C$17,M149+N149,MIN($C$18,M149+N149)),IF(A149=$C$17,M149,MIN($C$19,M149))+N149,IF(A149=$C$17,M149,0)+N149),2))</f>
        <v>1932.9</v>
      </c>
      <c r="P149" s="19" t="n">
        <f aca="false">IF(M149&lt;=0,0,MAX(0,ROUND(O149-N149,2)))</f>
        <v>775.92</v>
      </c>
      <c r="Q149" s="19" t="n">
        <f aca="false">ROUND(M149-P149,2)</f>
        <v>230620.11</v>
      </c>
    </row>
    <row r="150" customFormat="false" ht="15" hidden="false" customHeight="false" outlineLevel="0" collapsed="false">
      <c r="A150" s="24" t="n">
        <f aca="false">A149+1</f>
        <v>119</v>
      </c>
      <c r="B150" s="25" t="n">
        <f aca="false">IF(MOD(12,$C$7)=0,EDATE($C$9,(A150-1)*12/$C$7),$C$9+(A150-1)*ROUND(364/$C$7,0))</f>
        <v>49919</v>
      </c>
      <c r="C150" s="19" t="n">
        <f aca="false">I149</f>
        <v>185212</v>
      </c>
      <c r="D150" s="19" t="n">
        <f aca="false">ROUND(C150*$C$16,2)</f>
        <v>926.06</v>
      </c>
      <c r="E150" s="19" t="n">
        <f aca="false">IF(C150&lt;=0,0,ROUND(CHOOSE($C$10,IF(A150=$C$17,C150+D150,MIN($C$18,C150+D150)),IF(A150=$C$17,C150,MIN($C$19,C150))+D150,IF(A150=$C$17,C150,0)+D150),2))</f>
        <v>1932.9</v>
      </c>
      <c r="F150" s="19" t="n">
        <f aca="false">IF(C150&lt;=0,0,MAX(0,ROUND(E150-D150,2)))</f>
        <v>1006.84</v>
      </c>
      <c r="G150" s="19" t="n">
        <f aca="false">IF(C150&lt;=0,0,ROUND(MIN(MAX(0,C150-F150),MAX(0,IF(A150&gt;=$C$13,$C$12,0)+SUMIF($E$5:$E$14,A150,$F$5:$F$14))),2))</f>
        <v>200</v>
      </c>
      <c r="H150" s="19" t="n">
        <f aca="false">ROUND(E150+G150,2)</f>
        <v>2132.9</v>
      </c>
      <c r="I150" s="19" t="n">
        <f aca="false">ROUND(C150-F150-G150,2)</f>
        <v>184005.16</v>
      </c>
      <c r="J150" s="19" t="n">
        <f aca="false">ROUND(J149+D150,2)</f>
        <v>147820.26</v>
      </c>
      <c r="K150" s="19" t="n">
        <f aca="false">ROUND(K149+F150+G150,2)</f>
        <v>115994.84</v>
      </c>
      <c r="M150" s="19" t="n">
        <f aca="false">Q149</f>
        <v>230620.11</v>
      </c>
      <c r="N150" s="19" t="n">
        <f aca="false">ROUND(M150*$C$16,2)</f>
        <v>1153.1</v>
      </c>
      <c r="O150" s="19" t="n">
        <f aca="false">IF(M150&lt;=0,0,ROUND(CHOOSE($C$10,IF(A150=$C$17,M150+N150,MIN($C$18,M150+N150)),IF(A150=$C$17,M150,MIN($C$19,M150))+N150,IF(A150=$C$17,M150,0)+N150),2))</f>
        <v>1932.9</v>
      </c>
      <c r="P150" s="19" t="n">
        <f aca="false">IF(M150&lt;=0,0,MAX(0,ROUND(O150-N150,2)))</f>
        <v>779.8</v>
      </c>
      <c r="Q150" s="19" t="n">
        <f aca="false">ROUND(M150-P150,2)</f>
        <v>229840.31</v>
      </c>
    </row>
    <row r="151" customFormat="false" ht="15" hidden="false" customHeight="false" outlineLevel="0" collapsed="false">
      <c r="A151" s="24" t="n">
        <f aca="false">A150+1</f>
        <v>120</v>
      </c>
      <c r="B151" s="25" t="n">
        <f aca="false">IF(MOD(12,$C$7)=0,EDATE($C$9,(A151-1)*12/$C$7),$C$9+(A151-1)*ROUND(364/$C$7,0))</f>
        <v>49949</v>
      </c>
      <c r="C151" s="19" t="n">
        <f aca="false">I150</f>
        <v>184005.16</v>
      </c>
      <c r="D151" s="19" t="n">
        <f aca="false">ROUND(C151*$C$16,2)</f>
        <v>920.03</v>
      </c>
      <c r="E151" s="19" t="n">
        <f aca="false">IF(C151&lt;=0,0,ROUND(CHOOSE($C$10,IF(A151=$C$17,C151+D151,MIN($C$18,C151+D151)),IF(A151=$C$17,C151,MIN($C$19,C151))+D151,IF(A151=$C$17,C151,0)+D151),2))</f>
        <v>1932.9</v>
      </c>
      <c r="F151" s="19" t="n">
        <f aca="false">IF(C151&lt;=0,0,MAX(0,ROUND(E151-D151,2)))</f>
        <v>1012.87</v>
      </c>
      <c r="G151" s="19" t="n">
        <f aca="false">IF(C151&lt;=0,0,ROUND(MIN(MAX(0,C151-F151),MAX(0,IF(A151&gt;=$C$13,$C$12,0)+SUMIF($E$5:$E$14,A151,$F$5:$F$14))),2))</f>
        <v>200</v>
      </c>
      <c r="H151" s="19" t="n">
        <f aca="false">ROUND(E151+G151,2)</f>
        <v>2132.9</v>
      </c>
      <c r="I151" s="19" t="n">
        <f aca="false">ROUND(C151-F151-G151,2)</f>
        <v>182792.29</v>
      </c>
      <c r="J151" s="19" t="n">
        <f aca="false">ROUND(J150+D151,2)</f>
        <v>148740.29</v>
      </c>
      <c r="K151" s="19" t="n">
        <f aca="false">ROUND(K150+F151+G151,2)</f>
        <v>117207.71</v>
      </c>
      <c r="M151" s="19" t="n">
        <f aca="false">Q150</f>
        <v>229840.31</v>
      </c>
      <c r="N151" s="19" t="n">
        <f aca="false">ROUND(M151*$C$16,2)</f>
        <v>1149.2</v>
      </c>
      <c r="O151" s="19" t="n">
        <f aca="false">IF(M151&lt;=0,0,ROUND(CHOOSE($C$10,IF(A151=$C$17,M151+N151,MIN($C$18,M151+N151)),IF(A151=$C$17,M151,MIN($C$19,M151))+N151,IF(A151=$C$17,M151,0)+N151),2))</f>
        <v>1932.9</v>
      </c>
      <c r="P151" s="19" t="n">
        <f aca="false">IF(M151&lt;=0,0,MAX(0,ROUND(O151-N151,2)))</f>
        <v>783.7</v>
      </c>
      <c r="Q151" s="19" t="n">
        <f aca="false">ROUND(M151-P151,2)</f>
        <v>229056.61</v>
      </c>
    </row>
    <row r="152" customFormat="false" ht="15" hidden="false" customHeight="false" outlineLevel="0" collapsed="false">
      <c r="A152" s="24" t="n">
        <f aca="false">A151+1</f>
        <v>121</v>
      </c>
      <c r="B152" s="25" t="n">
        <f aca="false">IF(MOD(12,$C$7)=0,EDATE($C$9,(A152-1)*12/$C$7),$C$9+(A152-1)*ROUND(364/$C$7,0))</f>
        <v>49980</v>
      </c>
      <c r="C152" s="19" t="n">
        <f aca="false">I151</f>
        <v>182792.29</v>
      </c>
      <c r="D152" s="19" t="n">
        <f aca="false">ROUND(C152*$C$16,2)</f>
        <v>913.96</v>
      </c>
      <c r="E152" s="19" t="n">
        <f aca="false">IF(C152&lt;=0,0,ROUND(CHOOSE($C$10,IF(A152=$C$17,C152+D152,MIN($C$18,C152+D152)),IF(A152=$C$17,C152,MIN($C$19,C152))+D152,IF(A152=$C$17,C152,0)+D152),2))</f>
        <v>1932.9</v>
      </c>
      <c r="F152" s="19" t="n">
        <f aca="false">IF(C152&lt;=0,0,MAX(0,ROUND(E152-D152,2)))</f>
        <v>1018.94</v>
      </c>
      <c r="G152" s="19" t="n">
        <f aca="false">IF(C152&lt;=0,0,ROUND(MIN(MAX(0,C152-F152),MAX(0,IF(A152&gt;=$C$13,$C$12,0)+SUMIF($E$5:$E$14,A152,$F$5:$F$14))),2))</f>
        <v>200</v>
      </c>
      <c r="H152" s="19" t="n">
        <f aca="false">ROUND(E152+G152,2)</f>
        <v>2132.9</v>
      </c>
      <c r="I152" s="19" t="n">
        <f aca="false">ROUND(C152-F152-G152,2)</f>
        <v>181573.35</v>
      </c>
      <c r="J152" s="19" t="n">
        <f aca="false">ROUND(J151+D152,2)</f>
        <v>149654.25</v>
      </c>
      <c r="K152" s="19" t="n">
        <f aca="false">ROUND(K151+F152+G152,2)</f>
        <v>118426.65</v>
      </c>
      <c r="M152" s="19" t="n">
        <f aca="false">Q151</f>
        <v>229056.61</v>
      </c>
      <c r="N152" s="19" t="n">
        <f aca="false">ROUND(M152*$C$16,2)</f>
        <v>1145.28</v>
      </c>
      <c r="O152" s="19" t="n">
        <f aca="false">IF(M152&lt;=0,0,ROUND(CHOOSE($C$10,IF(A152=$C$17,M152+N152,MIN($C$18,M152+N152)),IF(A152=$C$17,M152,MIN($C$19,M152))+N152,IF(A152=$C$17,M152,0)+N152),2))</f>
        <v>1932.9</v>
      </c>
      <c r="P152" s="19" t="n">
        <f aca="false">IF(M152&lt;=0,0,MAX(0,ROUND(O152-N152,2)))</f>
        <v>787.62</v>
      </c>
      <c r="Q152" s="19" t="n">
        <f aca="false">ROUND(M152-P152,2)</f>
        <v>228268.99</v>
      </c>
    </row>
    <row r="153" customFormat="false" ht="15" hidden="false" customHeight="false" outlineLevel="0" collapsed="false">
      <c r="A153" s="24" t="n">
        <f aca="false">A152+1</f>
        <v>122</v>
      </c>
      <c r="B153" s="25" t="n">
        <f aca="false">IF(MOD(12,$C$7)=0,EDATE($C$9,(A153-1)*12/$C$7),$C$9+(A153-1)*ROUND(364/$C$7,0))</f>
        <v>50010</v>
      </c>
      <c r="C153" s="19" t="n">
        <f aca="false">I152</f>
        <v>181573.35</v>
      </c>
      <c r="D153" s="19" t="n">
        <f aca="false">ROUND(C153*$C$16,2)</f>
        <v>907.87</v>
      </c>
      <c r="E153" s="19" t="n">
        <f aca="false">IF(C153&lt;=0,0,ROUND(CHOOSE($C$10,IF(A153=$C$17,C153+D153,MIN($C$18,C153+D153)),IF(A153=$C$17,C153,MIN($C$19,C153))+D153,IF(A153=$C$17,C153,0)+D153),2))</f>
        <v>1932.9</v>
      </c>
      <c r="F153" s="19" t="n">
        <f aca="false">IF(C153&lt;=0,0,MAX(0,ROUND(E153-D153,2)))</f>
        <v>1025.03</v>
      </c>
      <c r="G153" s="19" t="n">
        <f aca="false">IF(C153&lt;=0,0,ROUND(MIN(MAX(0,C153-F153),MAX(0,IF(A153&gt;=$C$13,$C$12,0)+SUMIF($E$5:$E$14,A153,$F$5:$F$14))),2))</f>
        <v>200</v>
      </c>
      <c r="H153" s="19" t="n">
        <f aca="false">ROUND(E153+G153,2)</f>
        <v>2132.9</v>
      </c>
      <c r="I153" s="19" t="n">
        <f aca="false">ROUND(C153-F153-G153,2)</f>
        <v>180348.32</v>
      </c>
      <c r="J153" s="19" t="n">
        <f aca="false">ROUND(J152+D153,2)</f>
        <v>150562.12</v>
      </c>
      <c r="K153" s="19" t="n">
        <f aca="false">ROUND(K152+F153+G153,2)</f>
        <v>119651.68</v>
      </c>
      <c r="M153" s="19" t="n">
        <f aca="false">Q152</f>
        <v>228268.99</v>
      </c>
      <c r="N153" s="19" t="n">
        <f aca="false">ROUND(M153*$C$16,2)</f>
        <v>1141.34</v>
      </c>
      <c r="O153" s="19" t="n">
        <f aca="false">IF(M153&lt;=0,0,ROUND(CHOOSE($C$10,IF(A153=$C$17,M153+N153,MIN($C$18,M153+N153)),IF(A153=$C$17,M153,MIN($C$19,M153))+N153,IF(A153=$C$17,M153,0)+N153),2))</f>
        <v>1932.9</v>
      </c>
      <c r="P153" s="19" t="n">
        <f aca="false">IF(M153&lt;=0,0,MAX(0,ROUND(O153-N153,2)))</f>
        <v>791.56</v>
      </c>
      <c r="Q153" s="19" t="n">
        <f aca="false">ROUND(M153-P153,2)</f>
        <v>227477.43</v>
      </c>
    </row>
    <row r="154" customFormat="false" ht="15" hidden="false" customHeight="false" outlineLevel="0" collapsed="false">
      <c r="A154" s="24" t="n">
        <f aca="false">A153+1</f>
        <v>123</v>
      </c>
      <c r="B154" s="25" t="n">
        <f aca="false">IF(MOD(12,$C$7)=0,EDATE($C$9,(A154-1)*12/$C$7),$C$9+(A154-1)*ROUND(364/$C$7,0))</f>
        <v>50041</v>
      </c>
      <c r="C154" s="19" t="n">
        <f aca="false">I153</f>
        <v>180348.32</v>
      </c>
      <c r="D154" s="19" t="n">
        <f aca="false">ROUND(C154*$C$16,2)</f>
        <v>901.74</v>
      </c>
      <c r="E154" s="19" t="n">
        <f aca="false">IF(C154&lt;=0,0,ROUND(CHOOSE($C$10,IF(A154=$C$17,C154+D154,MIN($C$18,C154+D154)),IF(A154=$C$17,C154,MIN($C$19,C154))+D154,IF(A154=$C$17,C154,0)+D154),2))</f>
        <v>1932.9</v>
      </c>
      <c r="F154" s="19" t="n">
        <f aca="false">IF(C154&lt;=0,0,MAX(0,ROUND(E154-D154,2)))</f>
        <v>1031.16</v>
      </c>
      <c r="G154" s="19" t="n">
        <f aca="false">IF(C154&lt;=0,0,ROUND(MIN(MAX(0,C154-F154),MAX(0,IF(A154&gt;=$C$13,$C$12,0)+SUMIF($E$5:$E$14,A154,$F$5:$F$14))),2))</f>
        <v>200</v>
      </c>
      <c r="H154" s="19" t="n">
        <f aca="false">ROUND(E154+G154,2)</f>
        <v>2132.9</v>
      </c>
      <c r="I154" s="19" t="n">
        <f aca="false">ROUND(C154-F154-G154,2)</f>
        <v>179117.16</v>
      </c>
      <c r="J154" s="19" t="n">
        <f aca="false">ROUND(J153+D154,2)</f>
        <v>151463.86</v>
      </c>
      <c r="K154" s="19" t="n">
        <f aca="false">ROUND(K153+F154+G154,2)</f>
        <v>120882.84</v>
      </c>
      <c r="M154" s="19" t="n">
        <f aca="false">Q153</f>
        <v>227477.43</v>
      </c>
      <c r="N154" s="19" t="n">
        <f aca="false">ROUND(M154*$C$16,2)</f>
        <v>1137.39</v>
      </c>
      <c r="O154" s="19" t="n">
        <f aca="false">IF(M154&lt;=0,0,ROUND(CHOOSE($C$10,IF(A154=$C$17,M154+N154,MIN($C$18,M154+N154)),IF(A154=$C$17,M154,MIN($C$19,M154))+N154,IF(A154=$C$17,M154,0)+N154),2))</f>
        <v>1932.9</v>
      </c>
      <c r="P154" s="19" t="n">
        <f aca="false">IF(M154&lt;=0,0,MAX(0,ROUND(O154-N154,2)))</f>
        <v>795.51</v>
      </c>
      <c r="Q154" s="19" t="n">
        <f aca="false">ROUND(M154-P154,2)</f>
        <v>226681.92</v>
      </c>
    </row>
    <row r="155" customFormat="false" ht="15" hidden="false" customHeight="false" outlineLevel="0" collapsed="false">
      <c r="A155" s="24" t="n">
        <f aca="false">A154+1</f>
        <v>124</v>
      </c>
      <c r="B155" s="25" t="n">
        <f aca="false">IF(MOD(12,$C$7)=0,EDATE($C$9,(A155-1)*12/$C$7),$C$9+(A155-1)*ROUND(364/$C$7,0))</f>
        <v>50072</v>
      </c>
      <c r="C155" s="19" t="n">
        <f aca="false">I154</f>
        <v>179117.16</v>
      </c>
      <c r="D155" s="19" t="n">
        <f aca="false">ROUND(C155*$C$16,2)</f>
        <v>895.59</v>
      </c>
      <c r="E155" s="19" t="n">
        <f aca="false">IF(C155&lt;=0,0,ROUND(CHOOSE($C$10,IF(A155=$C$17,C155+D155,MIN($C$18,C155+D155)),IF(A155=$C$17,C155,MIN($C$19,C155))+D155,IF(A155=$C$17,C155,0)+D155),2))</f>
        <v>1932.9</v>
      </c>
      <c r="F155" s="19" t="n">
        <f aca="false">IF(C155&lt;=0,0,MAX(0,ROUND(E155-D155,2)))</f>
        <v>1037.31</v>
      </c>
      <c r="G155" s="19" t="n">
        <f aca="false">IF(C155&lt;=0,0,ROUND(MIN(MAX(0,C155-F155),MAX(0,IF(A155&gt;=$C$13,$C$12,0)+SUMIF($E$5:$E$14,A155,$F$5:$F$14))),2))</f>
        <v>200</v>
      </c>
      <c r="H155" s="19" t="n">
        <f aca="false">ROUND(E155+G155,2)</f>
        <v>2132.9</v>
      </c>
      <c r="I155" s="19" t="n">
        <f aca="false">ROUND(C155-F155-G155,2)</f>
        <v>177879.85</v>
      </c>
      <c r="J155" s="19" t="n">
        <f aca="false">ROUND(J154+D155,2)</f>
        <v>152359.45</v>
      </c>
      <c r="K155" s="19" t="n">
        <f aca="false">ROUND(K154+F155+G155,2)</f>
        <v>122120.15</v>
      </c>
      <c r="M155" s="19" t="n">
        <f aca="false">Q154</f>
        <v>226681.92</v>
      </c>
      <c r="N155" s="19" t="n">
        <f aca="false">ROUND(M155*$C$16,2)</f>
        <v>1133.41</v>
      </c>
      <c r="O155" s="19" t="n">
        <f aca="false">IF(M155&lt;=0,0,ROUND(CHOOSE($C$10,IF(A155=$C$17,M155+N155,MIN($C$18,M155+N155)),IF(A155=$C$17,M155,MIN($C$19,M155))+N155,IF(A155=$C$17,M155,0)+N155),2))</f>
        <v>1932.9</v>
      </c>
      <c r="P155" s="19" t="n">
        <f aca="false">IF(M155&lt;=0,0,MAX(0,ROUND(O155-N155,2)))</f>
        <v>799.49</v>
      </c>
      <c r="Q155" s="19" t="n">
        <f aca="false">ROUND(M155-P155,2)</f>
        <v>225882.43</v>
      </c>
    </row>
    <row r="156" customFormat="false" ht="15" hidden="false" customHeight="false" outlineLevel="0" collapsed="false">
      <c r="A156" s="24" t="n">
        <f aca="false">A155+1</f>
        <v>125</v>
      </c>
      <c r="B156" s="25" t="n">
        <f aca="false">IF(MOD(12,$C$7)=0,EDATE($C$9,(A156-1)*12/$C$7),$C$9+(A156-1)*ROUND(364/$C$7,0))</f>
        <v>50100</v>
      </c>
      <c r="C156" s="19" t="n">
        <f aca="false">I155</f>
        <v>177879.85</v>
      </c>
      <c r="D156" s="19" t="n">
        <f aca="false">ROUND(C156*$C$16,2)</f>
        <v>889.4</v>
      </c>
      <c r="E156" s="19" t="n">
        <f aca="false">IF(C156&lt;=0,0,ROUND(CHOOSE($C$10,IF(A156=$C$17,C156+D156,MIN($C$18,C156+D156)),IF(A156=$C$17,C156,MIN($C$19,C156))+D156,IF(A156=$C$17,C156,0)+D156),2))</f>
        <v>1932.9</v>
      </c>
      <c r="F156" s="19" t="n">
        <f aca="false">IF(C156&lt;=0,0,MAX(0,ROUND(E156-D156,2)))</f>
        <v>1043.5</v>
      </c>
      <c r="G156" s="19" t="n">
        <f aca="false">IF(C156&lt;=0,0,ROUND(MIN(MAX(0,C156-F156),MAX(0,IF(A156&gt;=$C$13,$C$12,0)+SUMIF($E$5:$E$14,A156,$F$5:$F$14))),2))</f>
        <v>200</v>
      </c>
      <c r="H156" s="19" t="n">
        <f aca="false">ROUND(E156+G156,2)</f>
        <v>2132.9</v>
      </c>
      <c r="I156" s="19" t="n">
        <f aca="false">ROUND(C156-F156-G156,2)</f>
        <v>176636.35</v>
      </c>
      <c r="J156" s="19" t="n">
        <f aca="false">ROUND(J155+D156,2)</f>
        <v>153248.85</v>
      </c>
      <c r="K156" s="19" t="n">
        <f aca="false">ROUND(K155+F156+G156,2)</f>
        <v>123363.65</v>
      </c>
      <c r="M156" s="19" t="n">
        <f aca="false">Q155</f>
        <v>225882.43</v>
      </c>
      <c r="N156" s="19" t="n">
        <f aca="false">ROUND(M156*$C$16,2)</f>
        <v>1129.41</v>
      </c>
      <c r="O156" s="19" t="n">
        <f aca="false">IF(M156&lt;=0,0,ROUND(CHOOSE($C$10,IF(A156=$C$17,M156+N156,MIN($C$18,M156+N156)),IF(A156=$C$17,M156,MIN($C$19,M156))+N156,IF(A156=$C$17,M156,0)+N156),2))</f>
        <v>1932.9</v>
      </c>
      <c r="P156" s="19" t="n">
        <f aca="false">IF(M156&lt;=0,0,MAX(0,ROUND(O156-N156,2)))</f>
        <v>803.49</v>
      </c>
      <c r="Q156" s="19" t="n">
        <f aca="false">ROUND(M156-P156,2)</f>
        <v>225078.94</v>
      </c>
    </row>
    <row r="157" customFormat="false" ht="15" hidden="false" customHeight="false" outlineLevel="0" collapsed="false">
      <c r="A157" s="24" t="n">
        <f aca="false">A156+1</f>
        <v>126</v>
      </c>
      <c r="B157" s="25" t="n">
        <f aca="false">IF(MOD(12,$C$7)=0,EDATE($C$9,(A157-1)*12/$C$7),$C$9+(A157-1)*ROUND(364/$C$7,0))</f>
        <v>50131</v>
      </c>
      <c r="C157" s="19" t="n">
        <f aca="false">I156</f>
        <v>176636.35</v>
      </c>
      <c r="D157" s="19" t="n">
        <f aca="false">ROUND(C157*$C$16,2)</f>
        <v>883.18</v>
      </c>
      <c r="E157" s="19" t="n">
        <f aca="false">IF(C157&lt;=0,0,ROUND(CHOOSE($C$10,IF(A157=$C$17,C157+D157,MIN($C$18,C157+D157)),IF(A157=$C$17,C157,MIN($C$19,C157))+D157,IF(A157=$C$17,C157,0)+D157),2))</f>
        <v>1932.9</v>
      </c>
      <c r="F157" s="19" t="n">
        <f aca="false">IF(C157&lt;=0,0,MAX(0,ROUND(E157-D157,2)))</f>
        <v>1049.72</v>
      </c>
      <c r="G157" s="19" t="n">
        <f aca="false">IF(C157&lt;=0,0,ROUND(MIN(MAX(0,C157-F157),MAX(0,IF(A157&gt;=$C$13,$C$12,0)+SUMIF($E$5:$E$14,A157,$F$5:$F$14))),2))</f>
        <v>200</v>
      </c>
      <c r="H157" s="19" t="n">
        <f aca="false">ROUND(E157+G157,2)</f>
        <v>2132.9</v>
      </c>
      <c r="I157" s="19" t="n">
        <f aca="false">ROUND(C157-F157-G157,2)</f>
        <v>175386.63</v>
      </c>
      <c r="J157" s="19" t="n">
        <f aca="false">ROUND(J156+D157,2)</f>
        <v>154132.03</v>
      </c>
      <c r="K157" s="19" t="n">
        <f aca="false">ROUND(K156+F157+G157,2)</f>
        <v>124613.37</v>
      </c>
      <c r="M157" s="19" t="n">
        <f aca="false">Q156</f>
        <v>225078.94</v>
      </c>
      <c r="N157" s="19" t="n">
        <f aca="false">ROUND(M157*$C$16,2)</f>
        <v>1125.39</v>
      </c>
      <c r="O157" s="19" t="n">
        <f aca="false">IF(M157&lt;=0,0,ROUND(CHOOSE($C$10,IF(A157=$C$17,M157+N157,MIN($C$18,M157+N157)),IF(A157=$C$17,M157,MIN($C$19,M157))+N157,IF(A157=$C$17,M157,0)+N157),2))</f>
        <v>1932.9</v>
      </c>
      <c r="P157" s="19" t="n">
        <f aca="false">IF(M157&lt;=0,0,MAX(0,ROUND(O157-N157,2)))</f>
        <v>807.51</v>
      </c>
      <c r="Q157" s="19" t="n">
        <f aca="false">ROUND(M157-P157,2)</f>
        <v>224271.43</v>
      </c>
    </row>
    <row r="158" customFormat="false" ht="15" hidden="false" customHeight="false" outlineLevel="0" collapsed="false">
      <c r="A158" s="24" t="n">
        <f aca="false">A157+1</f>
        <v>127</v>
      </c>
      <c r="B158" s="25" t="n">
        <f aca="false">IF(MOD(12,$C$7)=0,EDATE($C$9,(A158-1)*12/$C$7),$C$9+(A158-1)*ROUND(364/$C$7,0))</f>
        <v>50161</v>
      </c>
      <c r="C158" s="19" t="n">
        <f aca="false">I157</f>
        <v>175386.63</v>
      </c>
      <c r="D158" s="19" t="n">
        <f aca="false">ROUND(C158*$C$16,2)</f>
        <v>876.93</v>
      </c>
      <c r="E158" s="19" t="n">
        <f aca="false">IF(C158&lt;=0,0,ROUND(CHOOSE($C$10,IF(A158=$C$17,C158+D158,MIN($C$18,C158+D158)),IF(A158=$C$17,C158,MIN($C$19,C158))+D158,IF(A158=$C$17,C158,0)+D158),2))</f>
        <v>1932.9</v>
      </c>
      <c r="F158" s="19" t="n">
        <f aca="false">IF(C158&lt;=0,0,MAX(0,ROUND(E158-D158,2)))</f>
        <v>1055.97</v>
      </c>
      <c r="G158" s="19" t="n">
        <f aca="false">IF(C158&lt;=0,0,ROUND(MIN(MAX(0,C158-F158),MAX(0,IF(A158&gt;=$C$13,$C$12,0)+SUMIF($E$5:$E$14,A158,$F$5:$F$14))),2))</f>
        <v>200</v>
      </c>
      <c r="H158" s="19" t="n">
        <f aca="false">ROUND(E158+G158,2)</f>
        <v>2132.9</v>
      </c>
      <c r="I158" s="19" t="n">
        <f aca="false">ROUND(C158-F158-G158,2)</f>
        <v>174130.66</v>
      </c>
      <c r="J158" s="19" t="n">
        <f aca="false">ROUND(J157+D158,2)</f>
        <v>155008.96</v>
      </c>
      <c r="K158" s="19" t="n">
        <f aca="false">ROUND(K157+F158+G158,2)</f>
        <v>125869.34</v>
      </c>
      <c r="M158" s="19" t="n">
        <f aca="false">Q157</f>
        <v>224271.43</v>
      </c>
      <c r="N158" s="19" t="n">
        <f aca="false">ROUND(M158*$C$16,2)</f>
        <v>1121.36</v>
      </c>
      <c r="O158" s="19" t="n">
        <f aca="false">IF(M158&lt;=0,0,ROUND(CHOOSE($C$10,IF(A158=$C$17,M158+N158,MIN($C$18,M158+N158)),IF(A158=$C$17,M158,MIN($C$19,M158))+N158,IF(A158=$C$17,M158,0)+N158),2))</f>
        <v>1932.9</v>
      </c>
      <c r="P158" s="19" t="n">
        <f aca="false">IF(M158&lt;=0,0,MAX(0,ROUND(O158-N158,2)))</f>
        <v>811.54</v>
      </c>
      <c r="Q158" s="19" t="n">
        <f aca="false">ROUND(M158-P158,2)</f>
        <v>223459.89</v>
      </c>
    </row>
    <row r="159" customFormat="false" ht="15" hidden="false" customHeight="false" outlineLevel="0" collapsed="false">
      <c r="A159" s="24" t="n">
        <f aca="false">A158+1</f>
        <v>128</v>
      </c>
      <c r="B159" s="25" t="n">
        <f aca="false">IF(MOD(12,$C$7)=0,EDATE($C$9,(A159-1)*12/$C$7),$C$9+(A159-1)*ROUND(364/$C$7,0))</f>
        <v>50192</v>
      </c>
      <c r="C159" s="19" t="n">
        <f aca="false">I158</f>
        <v>174130.66</v>
      </c>
      <c r="D159" s="19" t="n">
        <f aca="false">ROUND(C159*$C$16,2)</f>
        <v>870.65</v>
      </c>
      <c r="E159" s="19" t="n">
        <f aca="false">IF(C159&lt;=0,0,ROUND(CHOOSE($C$10,IF(A159=$C$17,C159+D159,MIN($C$18,C159+D159)),IF(A159=$C$17,C159,MIN($C$19,C159))+D159,IF(A159=$C$17,C159,0)+D159),2))</f>
        <v>1932.9</v>
      </c>
      <c r="F159" s="19" t="n">
        <f aca="false">IF(C159&lt;=0,0,MAX(0,ROUND(E159-D159,2)))</f>
        <v>1062.25</v>
      </c>
      <c r="G159" s="19" t="n">
        <f aca="false">IF(C159&lt;=0,0,ROUND(MIN(MAX(0,C159-F159),MAX(0,IF(A159&gt;=$C$13,$C$12,0)+SUMIF($E$5:$E$14,A159,$F$5:$F$14))),2))</f>
        <v>200</v>
      </c>
      <c r="H159" s="19" t="n">
        <f aca="false">ROUND(E159+G159,2)</f>
        <v>2132.9</v>
      </c>
      <c r="I159" s="19" t="n">
        <f aca="false">ROUND(C159-F159-G159,2)</f>
        <v>172868.41</v>
      </c>
      <c r="J159" s="19" t="n">
        <f aca="false">ROUND(J158+D159,2)</f>
        <v>155879.61</v>
      </c>
      <c r="K159" s="19" t="n">
        <f aca="false">ROUND(K158+F159+G159,2)</f>
        <v>127131.59</v>
      </c>
      <c r="M159" s="19" t="n">
        <f aca="false">Q158</f>
        <v>223459.89</v>
      </c>
      <c r="N159" s="19" t="n">
        <f aca="false">ROUND(M159*$C$16,2)</f>
        <v>1117.3</v>
      </c>
      <c r="O159" s="19" t="n">
        <f aca="false">IF(M159&lt;=0,0,ROUND(CHOOSE($C$10,IF(A159=$C$17,M159+N159,MIN($C$18,M159+N159)),IF(A159=$C$17,M159,MIN($C$19,M159))+N159,IF(A159=$C$17,M159,0)+N159),2))</f>
        <v>1932.9</v>
      </c>
      <c r="P159" s="19" t="n">
        <f aca="false">IF(M159&lt;=0,0,MAX(0,ROUND(O159-N159,2)))</f>
        <v>815.6</v>
      </c>
      <c r="Q159" s="19" t="n">
        <f aca="false">ROUND(M159-P159,2)</f>
        <v>222644.29</v>
      </c>
    </row>
    <row r="160" customFormat="false" ht="15" hidden="false" customHeight="false" outlineLevel="0" collapsed="false">
      <c r="A160" s="24" t="n">
        <f aca="false">A159+1</f>
        <v>129</v>
      </c>
      <c r="B160" s="25" t="n">
        <f aca="false">IF(MOD(12,$C$7)=0,EDATE($C$9,(A160-1)*12/$C$7),$C$9+(A160-1)*ROUND(364/$C$7,0))</f>
        <v>50222</v>
      </c>
      <c r="C160" s="19" t="n">
        <f aca="false">I159</f>
        <v>172868.41</v>
      </c>
      <c r="D160" s="19" t="n">
        <f aca="false">ROUND(C160*$C$16,2)</f>
        <v>864.34</v>
      </c>
      <c r="E160" s="19" t="n">
        <f aca="false">IF(C160&lt;=0,0,ROUND(CHOOSE($C$10,IF(A160=$C$17,C160+D160,MIN($C$18,C160+D160)),IF(A160=$C$17,C160,MIN($C$19,C160))+D160,IF(A160=$C$17,C160,0)+D160),2))</f>
        <v>1932.9</v>
      </c>
      <c r="F160" s="19" t="n">
        <f aca="false">IF(C160&lt;=0,0,MAX(0,ROUND(E160-D160,2)))</f>
        <v>1068.56</v>
      </c>
      <c r="G160" s="19" t="n">
        <f aca="false">IF(C160&lt;=0,0,ROUND(MIN(MAX(0,C160-F160),MAX(0,IF(A160&gt;=$C$13,$C$12,0)+SUMIF($E$5:$E$14,A160,$F$5:$F$14))),2))</f>
        <v>200</v>
      </c>
      <c r="H160" s="19" t="n">
        <f aca="false">ROUND(E160+G160,2)</f>
        <v>2132.9</v>
      </c>
      <c r="I160" s="19" t="n">
        <f aca="false">ROUND(C160-F160-G160,2)</f>
        <v>171599.85</v>
      </c>
      <c r="J160" s="19" t="n">
        <f aca="false">ROUND(J159+D160,2)</f>
        <v>156743.95</v>
      </c>
      <c r="K160" s="19" t="n">
        <f aca="false">ROUND(K159+F160+G160,2)</f>
        <v>128400.15</v>
      </c>
      <c r="M160" s="19" t="n">
        <f aca="false">Q159</f>
        <v>222644.29</v>
      </c>
      <c r="N160" s="19" t="n">
        <f aca="false">ROUND(M160*$C$16,2)</f>
        <v>1113.22</v>
      </c>
      <c r="O160" s="19" t="n">
        <f aca="false">IF(M160&lt;=0,0,ROUND(CHOOSE($C$10,IF(A160=$C$17,M160+N160,MIN($C$18,M160+N160)),IF(A160=$C$17,M160,MIN($C$19,M160))+N160,IF(A160=$C$17,M160,0)+N160),2))</f>
        <v>1932.9</v>
      </c>
      <c r="P160" s="19" t="n">
        <f aca="false">IF(M160&lt;=0,0,MAX(0,ROUND(O160-N160,2)))</f>
        <v>819.68</v>
      </c>
      <c r="Q160" s="19" t="n">
        <f aca="false">ROUND(M160-P160,2)</f>
        <v>221824.61</v>
      </c>
    </row>
    <row r="161" customFormat="false" ht="15" hidden="false" customHeight="false" outlineLevel="0" collapsed="false">
      <c r="A161" s="24" t="n">
        <f aca="false">A160+1</f>
        <v>130</v>
      </c>
      <c r="B161" s="25" t="n">
        <f aca="false">IF(MOD(12,$C$7)=0,EDATE($C$9,(A161-1)*12/$C$7),$C$9+(A161-1)*ROUND(364/$C$7,0))</f>
        <v>50253</v>
      </c>
      <c r="C161" s="19" t="n">
        <f aca="false">I160</f>
        <v>171599.85</v>
      </c>
      <c r="D161" s="19" t="n">
        <f aca="false">ROUND(C161*$C$16,2)</f>
        <v>858</v>
      </c>
      <c r="E161" s="19" t="n">
        <f aca="false">IF(C161&lt;=0,0,ROUND(CHOOSE($C$10,IF(A161=$C$17,C161+D161,MIN($C$18,C161+D161)),IF(A161=$C$17,C161,MIN($C$19,C161))+D161,IF(A161=$C$17,C161,0)+D161),2))</f>
        <v>1932.9</v>
      </c>
      <c r="F161" s="19" t="n">
        <f aca="false">IF(C161&lt;=0,0,MAX(0,ROUND(E161-D161,2)))</f>
        <v>1074.9</v>
      </c>
      <c r="G161" s="19" t="n">
        <f aca="false">IF(C161&lt;=0,0,ROUND(MIN(MAX(0,C161-F161),MAX(0,IF(A161&gt;=$C$13,$C$12,0)+SUMIF($E$5:$E$14,A161,$F$5:$F$14))),2))</f>
        <v>200</v>
      </c>
      <c r="H161" s="19" t="n">
        <f aca="false">ROUND(E161+G161,2)</f>
        <v>2132.9</v>
      </c>
      <c r="I161" s="19" t="n">
        <f aca="false">ROUND(C161-F161-G161,2)</f>
        <v>170324.95</v>
      </c>
      <c r="J161" s="19" t="n">
        <f aca="false">ROUND(J160+D161,2)</f>
        <v>157601.95</v>
      </c>
      <c r="K161" s="19" t="n">
        <f aca="false">ROUND(K160+F161+G161,2)</f>
        <v>129675.05</v>
      </c>
      <c r="M161" s="19" t="n">
        <f aca="false">Q160</f>
        <v>221824.61</v>
      </c>
      <c r="N161" s="19" t="n">
        <f aca="false">ROUND(M161*$C$16,2)</f>
        <v>1109.12</v>
      </c>
      <c r="O161" s="19" t="n">
        <f aca="false">IF(M161&lt;=0,0,ROUND(CHOOSE($C$10,IF(A161=$C$17,M161+N161,MIN($C$18,M161+N161)),IF(A161=$C$17,M161,MIN($C$19,M161))+N161,IF(A161=$C$17,M161,0)+N161),2))</f>
        <v>1932.9</v>
      </c>
      <c r="P161" s="19" t="n">
        <f aca="false">IF(M161&lt;=0,0,MAX(0,ROUND(O161-N161,2)))</f>
        <v>823.78</v>
      </c>
      <c r="Q161" s="19" t="n">
        <f aca="false">ROUND(M161-P161,2)</f>
        <v>221000.83</v>
      </c>
    </row>
    <row r="162" customFormat="false" ht="15" hidden="false" customHeight="false" outlineLevel="0" collapsed="false">
      <c r="A162" s="24" t="n">
        <f aca="false">A161+1</f>
        <v>131</v>
      </c>
      <c r="B162" s="25" t="n">
        <f aca="false">IF(MOD(12,$C$7)=0,EDATE($C$9,(A162-1)*12/$C$7),$C$9+(A162-1)*ROUND(364/$C$7,0))</f>
        <v>50284</v>
      </c>
      <c r="C162" s="19" t="n">
        <f aca="false">I161</f>
        <v>170324.95</v>
      </c>
      <c r="D162" s="19" t="n">
        <f aca="false">ROUND(C162*$C$16,2)</f>
        <v>851.62</v>
      </c>
      <c r="E162" s="19" t="n">
        <f aca="false">IF(C162&lt;=0,0,ROUND(CHOOSE($C$10,IF(A162=$C$17,C162+D162,MIN($C$18,C162+D162)),IF(A162=$C$17,C162,MIN($C$19,C162))+D162,IF(A162=$C$17,C162,0)+D162),2))</f>
        <v>1932.9</v>
      </c>
      <c r="F162" s="19" t="n">
        <f aca="false">IF(C162&lt;=0,0,MAX(0,ROUND(E162-D162,2)))</f>
        <v>1081.28</v>
      </c>
      <c r="G162" s="19" t="n">
        <f aca="false">IF(C162&lt;=0,0,ROUND(MIN(MAX(0,C162-F162),MAX(0,IF(A162&gt;=$C$13,$C$12,0)+SUMIF($E$5:$E$14,A162,$F$5:$F$14))),2))</f>
        <v>200</v>
      </c>
      <c r="H162" s="19" t="n">
        <f aca="false">ROUND(E162+G162,2)</f>
        <v>2132.9</v>
      </c>
      <c r="I162" s="19" t="n">
        <f aca="false">ROUND(C162-F162-G162,2)</f>
        <v>169043.67</v>
      </c>
      <c r="J162" s="19" t="n">
        <f aca="false">ROUND(J161+D162,2)</f>
        <v>158453.57</v>
      </c>
      <c r="K162" s="19" t="n">
        <f aca="false">ROUND(K161+F162+G162,2)</f>
        <v>130956.33</v>
      </c>
      <c r="M162" s="19" t="n">
        <f aca="false">Q161</f>
        <v>221000.83</v>
      </c>
      <c r="N162" s="19" t="n">
        <f aca="false">ROUND(M162*$C$16,2)</f>
        <v>1105</v>
      </c>
      <c r="O162" s="19" t="n">
        <f aca="false">IF(M162&lt;=0,0,ROUND(CHOOSE($C$10,IF(A162=$C$17,M162+N162,MIN($C$18,M162+N162)),IF(A162=$C$17,M162,MIN($C$19,M162))+N162,IF(A162=$C$17,M162,0)+N162),2))</f>
        <v>1932.9</v>
      </c>
      <c r="P162" s="19" t="n">
        <f aca="false">IF(M162&lt;=0,0,MAX(0,ROUND(O162-N162,2)))</f>
        <v>827.9</v>
      </c>
      <c r="Q162" s="19" t="n">
        <f aca="false">ROUND(M162-P162,2)</f>
        <v>220172.93</v>
      </c>
    </row>
    <row r="163" customFormat="false" ht="15" hidden="false" customHeight="false" outlineLevel="0" collapsed="false">
      <c r="A163" s="24" t="n">
        <f aca="false">A162+1</f>
        <v>132</v>
      </c>
      <c r="B163" s="25" t="n">
        <f aca="false">IF(MOD(12,$C$7)=0,EDATE($C$9,(A163-1)*12/$C$7),$C$9+(A163-1)*ROUND(364/$C$7,0))</f>
        <v>50314</v>
      </c>
      <c r="C163" s="19" t="n">
        <f aca="false">I162</f>
        <v>169043.67</v>
      </c>
      <c r="D163" s="19" t="n">
        <f aca="false">ROUND(C163*$C$16,2)</f>
        <v>845.22</v>
      </c>
      <c r="E163" s="19" t="n">
        <f aca="false">IF(C163&lt;=0,0,ROUND(CHOOSE($C$10,IF(A163=$C$17,C163+D163,MIN($C$18,C163+D163)),IF(A163=$C$17,C163,MIN($C$19,C163))+D163,IF(A163=$C$17,C163,0)+D163),2))</f>
        <v>1932.9</v>
      </c>
      <c r="F163" s="19" t="n">
        <f aca="false">IF(C163&lt;=0,0,MAX(0,ROUND(E163-D163,2)))</f>
        <v>1087.68</v>
      </c>
      <c r="G163" s="19" t="n">
        <f aca="false">IF(C163&lt;=0,0,ROUND(MIN(MAX(0,C163-F163),MAX(0,IF(A163&gt;=$C$13,$C$12,0)+SUMIF($E$5:$E$14,A163,$F$5:$F$14))),2))</f>
        <v>200</v>
      </c>
      <c r="H163" s="19" t="n">
        <f aca="false">ROUND(E163+G163,2)</f>
        <v>2132.9</v>
      </c>
      <c r="I163" s="19" t="n">
        <f aca="false">ROUND(C163-F163-G163,2)</f>
        <v>167755.99</v>
      </c>
      <c r="J163" s="19" t="n">
        <f aca="false">ROUND(J162+D163,2)</f>
        <v>159298.79</v>
      </c>
      <c r="K163" s="19" t="n">
        <f aca="false">ROUND(K162+F163+G163,2)</f>
        <v>132244.01</v>
      </c>
      <c r="M163" s="19" t="n">
        <f aca="false">Q162</f>
        <v>220172.93</v>
      </c>
      <c r="N163" s="19" t="n">
        <f aca="false">ROUND(M163*$C$16,2)</f>
        <v>1100.86</v>
      </c>
      <c r="O163" s="19" t="n">
        <f aca="false">IF(M163&lt;=0,0,ROUND(CHOOSE($C$10,IF(A163=$C$17,M163+N163,MIN($C$18,M163+N163)),IF(A163=$C$17,M163,MIN($C$19,M163))+N163,IF(A163=$C$17,M163,0)+N163),2))</f>
        <v>1932.9</v>
      </c>
      <c r="P163" s="19" t="n">
        <f aca="false">IF(M163&lt;=0,0,MAX(0,ROUND(O163-N163,2)))</f>
        <v>832.04</v>
      </c>
      <c r="Q163" s="19" t="n">
        <f aca="false">ROUND(M163-P163,2)</f>
        <v>219340.89</v>
      </c>
    </row>
    <row r="164" customFormat="false" ht="15" hidden="false" customHeight="false" outlineLevel="0" collapsed="false">
      <c r="A164" s="24" t="n">
        <f aca="false">A163+1</f>
        <v>133</v>
      </c>
      <c r="B164" s="25" t="n">
        <f aca="false">IF(MOD(12,$C$7)=0,EDATE($C$9,(A164-1)*12/$C$7),$C$9+(A164-1)*ROUND(364/$C$7,0))</f>
        <v>50345</v>
      </c>
      <c r="C164" s="19" t="n">
        <f aca="false">I163</f>
        <v>167755.99</v>
      </c>
      <c r="D164" s="19" t="n">
        <f aca="false">ROUND(C164*$C$16,2)</f>
        <v>838.78</v>
      </c>
      <c r="E164" s="19" t="n">
        <f aca="false">IF(C164&lt;=0,0,ROUND(CHOOSE($C$10,IF(A164=$C$17,C164+D164,MIN($C$18,C164+D164)),IF(A164=$C$17,C164,MIN($C$19,C164))+D164,IF(A164=$C$17,C164,0)+D164),2))</f>
        <v>1932.9</v>
      </c>
      <c r="F164" s="19" t="n">
        <f aca="false">IF(C164&lt;=0,0,MAX(0,ROUND(E164-D164,2)))</f>
        <v>1094.12</v>
      </c>
      <c r="G164" s="19" t="n">
        <f aca="false">IF(C164&lt;=0,0,ROUND(MIN(MAX(0,C164-F164),MAX(0,IF(A164&gt;=$C$13,$C$12,0)+SUMIF($E$5:$E$14,A164,$F$5:$F$14))),2))</f>
        <v>200</v>
      </c>
      <c r="H164" s="19" t="n">
        <f aca="false">ROUND(E164+G164,2)</f>
        <v>2132.9</v>
      </c>
      <c r="I164" s="19" t="n">
        <f aca="false">ROUND(C164-F164-G164,2)</f>
        <v>166461.87</v>
      </c>
      <c r="J164" s="19" t="n">
        <f aca="false">ROUND(J163+D164,2)</f>
        <v>160137.57</v>
      </c>
      <c r="K164" s="19" t="n">
        <f aca="false">ROUND(K163+F164+G164,2)</f>
        <v>133538.13</v>
      </c>
      <c r="M164" s="19" t="n">
        <f aca="false">Q163</f>
        <v>219340.89</v>
      </c>
      <c r="N164" s="19" t="n">
        <f aca="false">ROUND(M164*$C$16,2)</f>
        <v>1096.7</v>
      </c>
      <c r="O164" s="19" t="n">
        <f aca="false">IF(M164&lt;=0,0,ROUND(CHOOSE($C$10,IF(A164=$C$17,M164+N164,MIN($C$18,M164+N164)),IF(A164=$C$17,M164,MIN($C$19,M164))+N164,IF(A164=$C$17,M164,0)+N164),2))</f>
        <v>1932.9</v>
      </c>
      <c r="P164" s="19" t="n">
        <f aca="false">IF(M164&lt;=0,0,MAX(0,ROUND(O164-N164,2)))</f>
        <v>836.2</v>
      </c>
      <c r="Q164" s="19" t="n">
        <f aca="false">ROUND(M164-P164,2)</f>
        <v>218504.69</v>
      </c>
    </row>
    <row r="165" customFormat="false" ht="15" hidden="false" customHeight="false" outlineLevel="0" collapsed="false">
      <c r="A165" s="24" t="n">
        <f aca="false">A164+1</f>
        <v>134</v>
      </c>
      <c r="B165" s="25" t="n">
        <f aca="false">IF(MOD(12,$C$7)=0,EDATE($C$9,(A165-1)*12/$C$7),$C$9+(A165-1)*ROUND(364/$C$7,0))</f>
        <v>50375</v>
      </c>
      <c r="C165" s="19" t="n">
        <f aca="false">I164</f>
        <v>166461.87</v>
      </c>
      <c r="D165" s="19" t="n">
        <f aca="false">ROUND(C165*$C$16,2)</f>
        <v>832.31</v>
      </c>
      <c r="E165" s="19" t="n">
        <f aca="false">IF(C165&lt;=0,0,ROUND(CHOOSE($C$10,IF(A165=$C$17,C165+D165,MIN($C$18,C165+D165)),IF(A165=$C$17,C165,MIN($C$19,C165))+D165,IF(A165=$C$17,C165,0)+D165),2))</f>
        <v>1932.9</v>
      </c>
      <c r="F165" s="19" t="n">
        <f aca="false">IF(C165&lt;=0,0,MAX(0,ROUND(E165-D165,2)))</f>
        <v>1100.59</v>
      </c>
      <c r="G165" s="19" t="n">
        <f aca="false">IF(C165&lt;=0,0,ROUND(MIN(MAX(0,C165-F165),MAX(0,IF(A165&gt;=$C$13,$C$12,0)+SUMIF($E$5:$E$14,A165,$F$5:$F$14))),2))</f>
        <v>200</v>
      </c>
      <c r="H165" s="19" t="n">
        <f aca="false">ROUND(E165+G165,2)</f>
        <v>2132.9</v>
      </c>
      <c r="I165" s="19" t="n">
        <f aca="false">ROUND(C165-F165-G165,2)</f>
        <v>165161.28</v>
      </c>
      <c r="J165" s="19" t="n">
        <f aca="false">ROUND(J164+D165,2)</f>
        <v>160969.88</v>
      </c>
      <c r="K165" s="19" t="n">
        <f aca="false">ROUND(K164+F165+G165,2)</f>
        <v>134838.72</v>
      </c>
      <c r="M165" s="19" t="n">
        <f aca="false">Q164</f>
        <v>218504.69</v>
      </c>
      <c r="N165" s="19" t="n">
        <f aca="false">ROUND(M165*$C$16,2)</f>
        <v>1092.52</v>
      </c>
      <c r="O165" s="19" t="n">
        <f aca="false">IF(M165&lt;=0,0,ROUND(CHOOSE($C$10,IF(A165=$C$17,M165+N165,MIN($C$18,M165+N165)),IF(A165=$C$17,M165,MIN($C$19,M165))+N165,IF(A165=$C$17,M165,0)+N165),2))</f>
        <v>1932.9</v>
      </c>
      <c r="P165" s="19" t="n">
        <f aca="false">IF(M165&lt;=0,0,MAX(0,ROUND(O165-N165,2)))</f>
        <v>840.38</v>
      </c>
      <c r="Q165" s="19" t="n">
        <f aca="false">ROUND(M165-P165,2)</f>
        <v>217664.31</v>
      </c>
    </row>
    <row r="166" customFormat="false" ht="15" hidden="false" customHeight="false" outlineLevel="0" collapsed="false">
      <c r="A166" s="24" t="n">
        <f aca="false">A165+1</f>
        <v>135</v>
      </c>
      <c r="B166" s="25" t="n">
        <f aca="false">IF(MOD(12,$C$7)=0,EDATE($C$9,(A166-1)*12/$C$7),$C$9+(A166-1)*ROUND(364/$C$7,0))</f>
        <v>50406</v>
      </c>
      <c r="C166" s="19" t="n">
        <f aca="false">I165</f>
        <v>165161.28</v>
      </c>
      <c r="D166" s="19" t="n">
        <f aca="false">ROUND(C166*$C$16,2)</f>
        <v>825.81</v>
      </c>
      <c r="E166" s="19" t="n">
        <f aca="false">IF(C166&lt;=0,0,ROUND(CHOOSE($C$10,IF(A166=$C$17,C166+D166,MIN($C$18,C166+D166)),IF(A166=$C$17,C166,MIN($C$19,C166))+D166,IF(A166=$C$17,C166,0)+D166),2))</f>
        <v>1932.9</v>
      </c>
      <c r="F166" s="19" t="n">
        <f aca="false">IF(C166&lt;=0,0,MAX(0,ROUND(E166-D166,2)))</f>
        <v>1107.09</v>
      </c>
      <c r="G166" s="19" t="n">
        <f aca="false">IF(C166&lt;=0,0,ROUND(MIN(MAX(0,C166-F166),MAX(0,IF(A166&gt;=$C$13,$C$12,0)+SUMIF($E$5:$E$14,A166,$F$5:$F$14))),2))</f>
        <v>200</v>
      </c>
      <c r="H166" s="19" t="n">
        <f aca="false">ROUND(E166+G166,2)</f>
        <v>2132.9</v>
      </c>
      <c r="I166" s="19" t="n">
        <f aca="false">ROUND(C166-F166-G166,2)</f>
        <v>163854.19</v>
      </c>
      <c r="J166" s="19" t="n">
        <f aca="false">ROUND(J165+D166,2)</f>
        <v>161795.69</v>
      </c>
      <c r="K166" s="19" t="n">
        <f aca="false">ROUND(K165+F166+G166,2)</f>
        <v>136145.81</v>
      </c>
      <c r="M166" s="19" t="n">
        <f aca="false">Q165</f>
        <v>217664.31</v>
      </c>
      <c r="N166" s="19" t="n">
        <f aca="false">ROUND(M166*$C$16,2)</f>
        <v>1088.32</v>
      </c>
      <c r="O166" s="19" t="n">
        <f aca="false">IF(M166&lt;=0,0,ROUND(CHOOSE($C$10,IF(A166=$C$17,M166+N166,MIN($C$18,M166+N166)),IF(A166=$C$17,M166,MIN($C$19,M166))+N166,IF(A166=$C$17,M166,0)+N166),2))</f>
        <v>1932.9</v>
      </c>
      <c r="P166" s="19" t="n">
        <f aca="false">IF(M166&lt;=0,0,MAX(0,ROUND(O166-N166,2)))</f>
        <v>844.58</v>
      </c>
      <c r="Q166" s="19" t="n">
        <f aca="false">ROUND(M166-P166,2)</f>
        <v>216819.73</v>
      </c>
    </row>
    <row r="167" customFormat="false" ht="15" hidden="false" customHeight="false" outlineLevel="0" collapsed="false">
      <c r="A167" s="24" t="n">
        <f aca="false">A166+1</f>
        <v>136</v>
      </c>
      <c r="B167" s="25" t="n">
        <f aca="false">IF(MOD(12,$C$7)=0,EDATE($C$9,(A167-1)*12/$C$7),$C$9+(A167-1)*ROUND(364/$C$7,0))</f>
        <v>50437</v>
      </c>
      <c r="C167" s="19" t="n">
        <f aca="false">I166</f>
        <v>163854.19</v>
      </c>
      <c r="D167" s="19" t="n">
        <f aca="false">ROUND(C167*$C$16,2)</f>
        <v>819.27</v>
      </c>
      <c r="E167" s="19" t="n">
        <f aca="false">IF(C167&lt;=0,0,ROUND(CHOOSE($C$10,IF(A167=$C$17,C167+D167,MIN($C$18,C167+D167)),IF(A167=$C$17,C167,MIN($C$19,C167))+D167,IF(A167=$C$17,C167,0)+D167),2))</f>
        <v>1932.9</v>
      </c>
      <c r="F167" s="19" t="n">
        <f aca="false">IF(C167&lt;=0,0,MAX(0,ROUND(E167-D167,2)))</f>
        <v>1113.63</v>
      </c>
      <c r="G167" s="19" t="n">
        <f aca="false">IF(C167&lt;=0,0,ROUND(MIN(MAX(0,C167-F167),MAX(0,IF(A167&gt;=$C$13,$C$12,0)+SUMIF($E$5:$E$14,A167,$F$5:$F$14))),2))</f>
        <v>200</v>
      </c>
      <c r="H167" s="19" t="n">
        <f aca="false">ROUND(E167+G167,2)</f>
        <v>2132.9</v>
      </c>
      <c r="I167" s="19" t="n">
        <f aca="false">ROUND(C167-F167-G167,2)</f>
        <v>162540.56</v>
      </c>
      <c r="J167" s="19" t="n">
        <f aca="false">ROUND(J166+D167,2)</f>
        <v>162614.96</v>
      </c>
      <c r="K167" s="19" t="n">
        <f aca="false">ROUND(K166+F167+G167,2)</f>
        <v>137459.44</v>
      </c>
      <c r="M167" s="19" t="n">
        <f aca="false">Q166</f>
        <v>216819.73</v>
      </c>
      <c r="N167" s="19" t="n">
        <f aca="false">ROUND(M167*$C$16,2)</f>
        <v>1084.1</v>
      </c>
      <c r="O167" s="19" t="n">
        <f aca="false">IF(M167&lt;=0,0,ROUND(CHOOSE($C$10,IF(A167=$C$17,M167+N167,MIN($C$18,M167+N167)),IF(A167=$C$17,M167,MIN($C$19,M167))+N167,IF(A167=$C$17,M167,0)+N167),2))</f>
        <v>1932.9</v>
      </c>
      <c r="P167" s="19" t="n">
        <f aca="false">IF(M167&lt;=0,0,MAX(0,ROUND(O167-N167,2)))</f>
        <v>848.8</v>
      </c>
      <c r="Q167" s="19" t="n">
        <f aca="false">ROUND(M167-P167,2)</f>
        <v>215970.93</v>
      </c>
    </row>
    <row r="168" customFormat="false" ht="15" hidden="false" customHeight="false" outlineLevel="0" collapsed="false">
      <c r="A168" s="24" t="n">
        <f aca="false">A167+1</f>
        <v>137</v>
      </c>
      <c r="B168" s="25" t="n">
        <f aca="false">IF(MOD(12,$C$7)=0,EDATE($C$9,(A168-1)*12/$C$7),$C$9+(A168-1)*ROUND(364/$C$7,0))</f>
        <v>50465</v>
      </c>
      <c r="C168" s="19" t="n">
        <f aca="false">I167</f>
        <v>162540.56</v>
      </c>
      <c r="D168" s="19" t="n">
        <f aca="false">ROUND(C168*$C$16,2)</f>
        <v>812.7</v>
      </c>
      <c r="E168" s="19" t="n">
        <f aca="false">IF(C168&lt;=0,0,ROUND(CHOOSE($C$10,IF(A168=$C$17,C168+D168,MIN($C$18,C168+D168)),IF(A168=$C$17,C168,MIN($C$19,C168))+D168,IF(A168=$C$17,C168,0)+D168),2))</f>
        <v>1932.9</v>
      </c>
      <c r="F168" s="19" t="n">
        <f aca="false">IF(C168&lt;=0,0,MAX(0,ROUND(E168-D168,2)))</f>
        <v>1120.2</v>
      </c>
      <c r="G168" s="19" t="n">
        <f aca="false">IF(C168&lt;=0,0,ROUND(MIN(MAX(0,C168-F168),MAX(0,IF(A168&gt;=$C$13,$C$12,0)+SUMIF($E$5:$E$14,A168,$F$5:$F$14))),2))</f>
        <v>200</v>
      </c>
      <c r="H168" s="19" t="n">
        <f aca="false">ROUND(E168+G168,2)</f>
        <v>2132.9</v>
      </c>
      <c r="I168" s="19" t="n">
        <f aca="false">ROUND(C168-F168-G168,2)</f>
        <v>161220.36</v>
      </c>
      <c r="J168" s="19" t="n">
        <f aca="false">ROUND(J167+D168,2)</f>
        <v>163427.66</v>
      </c>
      <c r="K168" s="19" t="n">
        <f aca="false">ROUND(K167+F168+G168,2)</f>
        <v>138779.64</v>
      </c>
      <c r="M168" s="19" t="n">
        <f aca="false">Q167</f>
        <v>215970.93</v>
      </c>
      <c r="N168" s="19" t="n">
        <f aca="false">ROUND(M168*$C$16,2)</f>
        <v>1079.85</v>
      </c>
      <c r="O168" s="19" t="n">
        <f aca="false">IF(M168&lt;=0,0,ROUND(CHOOSE($C$10,IF(A168=$C$17,M168+N168,MIN($C$18,M168+N168)),IF(A168=$C$17,M168,MIN($C$19,M168))+N168,IF(A168=$C$17,M168,0)+N168),2))</f>
        <v>1932.9</v>
      </c>
      <c r="P168" s="19" t="n">
        <f aca="false">IF(M168&lt;=0,0,MAX(0,ROUND(O168-N168,2)))</f>
        <v>853.05</v>
      </c>
      <c r="Q168" s="19" t="n">
        <f aca="false">ROUND(M168-P168,2)</f>
        <v>215117.88</v>
      </c>
    </row>
    <row r="169" customFormat="false" ht="15" hidden="false" customHeight="false" outlineLevel="0" collapsed="false">
      <c r="A169" s="24" t="n">
        <f aca="false">A168+1</f>
        <v>138</v>
      </c>
      <c r="B169" s="25" t="n">
        <f aca="false">IF(MOD(12,$C$7)=0,EDATE($C$9,(A169-1)*12/$C$7),$C$9+(A169-1)*ROUND(364/$C$7,0))</f>
        <v>50496</v>
      </c>
      <c r="C169" s="19" t="n">
        <f aca="false">I168</f>
        <v>161220.36</v>
      </c>
      <c r="D169" s="19" t="n">
        <f aca="false">ROUND(C169*$C$16,2)</f>
        <v>806.1</v>
      </c>
      <c r="E169" s="19" t="n">
        <f aca="false">IF(C169&lt;=0,0,ROUND(CHOOSE($C$10,IF(A169=$C$17,C169+D169,MIN($C$18,C169+D169)),IF(A169=$C$17,C169,MIN($C$19,C169))+D169,IF(A169=$C$17,C169,0)+D169),2))</f>
        <v>1932.9</v>
      </c>
      <c r="F169" s="19" t="n">
        <f aca="false">IF(C169&lt;=0,0,MAX(0,ROUND(E169-D169,2)))</f>
        <v>1126.8</v>
      </c>
      <c r="G169" s="19" t="n">
        <f aca="false">IF(C169&lt;=0,0,ROUND(MIN(MAX(0,C169-F169),MAX(0,IF(A169&gt;=$C$13,$C$12,0)+SUMIF($E$5:$E$14,A169,$F$5:$F$14))),2))</f>
        <v>200</v>
      </c>
      <c r="H169" s="19" t="n">
        <f aca="false">ROUND(E169+G169,2)</f>
        <v>2132.9</v>
      </c>
      <c r="I169" s="19" t="n">
        <f aca="false">ROUND(C169-F169-G169,2)</f>
        <v>159893.56</v>
      </c>
      <c r="J169" s="19" t="n">
        <f aca="false">ROUND(J168+D169,2)</f>
        <v>164233.76</v>
      </c>
      <c r="K169" s="19" t="n">
        <f aca="false">ROUND(K168+F169+G169,2)</f>
        <v>140106.44</v>
      </c>
      <c r="M169" s="19" t="n">
        <f aca="false">Q168</f>
        <v>215117.88</v>
      </c>
      <c r="N169" s="19" t="n">
        <f aca="false">ROUND(M169*$C$16,2)</f>
        <v>1075.59</v>
      </c>
      <c r="O169" s="19" t="n">
        <f aca="false">IF(M169&lt;=0,0,ROUND(CHOOSE($C$10,IF(A169=$C$17,M169+N169,MIN($C$18,M169+N169)),IF(A169=$C$17,M169,MIN($C$19,M169))+N169,IF(A169=$C$17,M169,0)+N169),2))</f>
        <v>1932.9</v>
      </c>
      <c r="P169" s="19" t="n">
        <f aca="false">IF(M169&lt;=0,0,MAX(0,ROUND(O169-N169,2)))</f>
        <v>857.31</v>
      </c>
      <c r="Q169" s="19" t="n">
        <f aca="false">ROUND(M169-P169,2)</f>
        <v>214260.57</v>
      </c>
    </row>
    <row r="170" customFormat="false" ht="15" hidden="false" customHeight="false" outlineLevel="0" collapsed="false">
      <c r="A170" s="24" t="n">
        <f aca="false">A169+1</f>
        <v>139</v>
      </c>
      <c r="B170" s="25" t="n">
        <f aca="false">IF(MOD(12,$C$7)=0,EDATE($C$9,(A170-1)*12/$C$7),$C$9+(A170-1)*ROUND(364/$C$7,0))</f>
        <v>50526</v>
      </c>
      <c r="C170" s="19" t="n">
        <f aca="false">I169</f>
        <v>159893.56</v>
      </c>
      <c r="D170" s="19" t="n">
        <f aca="false">ROUND(C170*$C$16,2)</f>
        <v>799.47</v>
      </c>
      <c r="E170" s="19" t="n">
        <f aca="false">IF(C170&lt;=0,0,ROUND(CHOOSE($C$10,IF(A170=$C$17,C170+D170,MIN($C$18,C170+D170)),IF(A170=$C$17,C170,MIN($C$19,C170))+D170,IF(A170=$C$17,C170,0)+D170),2))</f>
        <v>1932.9</v>
      </c>
      <c r="F170" s="19" t="n">
        <f aca="false">IF(C170&lt;=0,0,MAX(0,ROUND(E170-D170,2)))</f>
        <v>1133.43</v>
      </c>
      <c r="G170" s="19" t="n">
        <f aca="false">IF(C170&lt;=0,0,ROUND(MIN(MAX(0,C170-F170),MAX(0,IF(A170&gt;=$C$13,$C$12,0)+SUMIF($E$5:$E$14,A170,$F$5:$F$14))),2))</f>
        <v>200</v>
      </c>
      <c r="H170" s="19" t="n">
        <f aca="false">ROUND(E170+G170,2)</f>
        <v>2132.9</v>
      </c>
      <c r="I170" s="19" t="n">
        <f aca="false">ROUND(C170-F170-G170,2)</f>
        <v>158560.13</v>
      </c>
      <c r="J170" s="19" t="n">
        <f aca="false">ROUND(J169+D170,2)</f>
        <v>165033.23</v>
      </c>
      <c r="K170" s="19" t="n">
        <f aca="false">ROUND(K169+F170+G170,2)</f>
        <v>141439.87</v>
      </c>
      <c r="M170" s="19" t="n">
        <f aca="false">Q169</f>
        <v>214260.57</v>
      </c>
      <c r="N170" s="19" t="n">
        <f aca="false">ROUND(M170*$C$16,2)</f>
        <v>1071.3</v>
      </c>
      <c r="O170" s="19" t="n">
        <f aca="false">IF(M170&lt;=0,0,ROUND(CHOOSE($C$10,IF(A170=$C$17,M170+N170,MIN($C$18,M170+N170)),IF(A170=$C$17,M170,MIN($C$19,M170))+N170,IF(A170=$C$17,M170,0)+N170),2))</f>
        <v>1932.9</v>
      </c>
      <c r="P170" s="19" t="n">
        <f aca="false">IF(M170&lt;=0,0,MAX(0,ROUND(O170-N170,2)))</f>
        <v>861.6</v>
      </c>
      <c r="Q170" s="19" t="n">
        <f aca="false">ROUND(M170-P170,2)</f>
        <v>213398.97</v>
      </c>
    </row>
    <row r="171" customFormat="false" ht="15" hidden="false" customHeight="false" outlineLevel="0" collapsed="false">
      <c r="A171" s="24" t="n">
        <f aca="false">A170+1</f>
        <v>140</v>
      </c>
      <c r="B171" s="25" t="n">
        <f aca="false">IF(MOD(12,$C$7)=0,EDATE($C$9,(A171-1)*12/$C$7),$C$9+(A171-1)*ROUND(364/$C$7,0))</f>
        <v>50557</v>
      </c>
      <c r="C171" s="19" t="n">
        <f aca="false">I170</f>
        <v>158560.13</v>
      </c>
      <c r="D171" s="19" t="n">
        <f aca="false">ROUND(C171*$C$16,2)</f>
        <v>792.8</v>
      </c>
      <c r="E171" s="19" t="n">
        <f aca="false">IF(C171&lt;=0,0,ROUND(CHOOSE($C$10,IF(A171=$C$17,C171+D171,MIN($C$18,C171+D171)),IF(A171=$C$17,C171,MIN($C$19,C171))+D171,IF(A171=$C$17,C171,0)+D171),2))</f>
        <v>1932.9</v>
      </c>
      <c r="F171" s="19" t="n">
        <f aca="false">IF(C171&lt;=0,0,MAX(0,ROUND(E171-D171,2)))</f>
        <v>1140.1</v>
      </c>
      <c r="G171" s="19" t="n">
        <f aca="false">IF(C171&lt;=0,0,ROUND(MIN(MAX(0,C171-F171),MAX(0,IF(A171&gt;=$C$13,$C$12,0)+SUMIF($E$5:$E$14,A171,$F$5:$F$14))),2))</f>
        <v>200</v>
      </c>
      <c r="H171" s="19" t="n">
        <f aca="false">ROUND(E171+G171,2)</f>
        <v>2132.9</v>
      </c>
      <c r="I171" s="19" t="n">
        <f aca="false">ROUND(C171-F171-G171,2)</f>
        <v>157220.03</v>
      </c>
      <c r="J171" s="19" t="n">
        <f aca="false">ROUND(J170+D171,2)</f>
        <v>165826.03</v>
      </c>
      <c r="K171" s="19" t="n">
        <f aca="false">ROUND(K170+F171+G171,2)</f>
        <v>142779.97</v>
      </c>
      <c r="M171" s="19" t="n">
        <f aca="false">Q170</f>
        <v>213398.97</v>
      </c>
      <c r="N171" s="19" t="n">
        <f aca="false">ROUND(M171*$C$16,2)</f>
        <v>1066.99</v>
      </c>
      <c r="O171" s="19" t="n">
        <f aca="false">IF(M171&lt;=0,0,ROUND(CHOOSE($C$10,IF(A171=$C$17,M171+N171,MIN($C$18,M171+N171)),IF(A171=$C$17,M171,MIN($C$19,M171))+N171,IF(A171=$C$17,M171,0)+N171),2))</f>
        <v>1932.9</v>
      </c>
      <c r="P171" s="19" t="n">
        <f aca="false">IF(M171&lt;=0,0,MAX(0,ROUND(O171-N171,2)))</f>
        <v>865.91</v>
      </c>
      <c r="Q171" s="19" t="n">
        <f aca="false">ROUND(M171-P171,2)</f>
        <v>212533.06</v>
      </c>
    </row>
    <row r="172" customFormat="false" ht="15" hidden="false" customHeight="false" outlineLevel="0" collapsed="false">
      <c r="A172" s="24" t="n">
        <f aca="false">A171+1</f>
        <v>141</v>
      </c>
      <c r="B172" s="25" t="n">
        <f aca="false">IF(MOD(12,$C$7)=0,EDATE($C$9,(A172-1)*12/$C$7),$C$9+(A172-1)*ROUND(364/$C$7,0))</f>
        <v>50587</v>
      </c>
      <c r="C172" s="19" t="n">
        <f aca="false">I171</f>
        <v>157220.03</v>
      </c>
      <c r="D172" s="19" t="n">
        <f aca="false">ROUND(C172*$C$16,2)</f>
        <v>786.1</v>
      </c>
      <c r="E172" s="19" t="n">
        <f aca="false">IF(C172&lt;=0,0,ROUND(CHOOSE($C$10,IF(A172=$C$17,C172+D172,MIN($C$18,C172+D172)),IF(A172=$C$17,C172,MIN($C$19,C172))+D172,IF(A172=$C$17,C172,0)+D172),2))</f>
        <v>1932.9</v>
      </c>
      <c r="F172" s="19" t="n">
        <f aca="false">IF(C172&lt;=0,0,MAX(0,ROUND(E172-D172,2)))</f>
        <v>1146.8</v>
      </c>
      <c r="G172" s="19" t="n">
        <f aca="false">IF(C172&lt;=0,0,ROUND(MIN(MAX(0,C172-F172),MAX(0,IF(A172&gt;=$C$13,$C$12,0)+SUMIF($E$5:$E$14,A172,$F$5:$F$14))),2))</f>
        <v>200</v>
      </c>
      <c r="H172" s="19" t="n">
        <f aca="false">ROUND(E172+G172,2)</f>
        <v>2132.9</v>
      </c>
      <c r="I172" s="19" t="n">
        <f aca="false">ROUND(C172-F172-G172,2)</f>
        <v>155873.23</v>
      </c>
      <c r="J172" s="19" t="n">
        <f aca="false">ROUND(J171+D172,2)</f>
        <v>166612.13</v>
      </c>
      <c r="K172" s="19" t="n">
        <f aca="false">ROUND(K171+F172+G172,2)</f>
        <v>144126.77</v>
      </c>
      <c r="M172" s="19" t="n">
        <f aca="false">Q171</f>
        <v>212533.06</v>
      </c>
      <c r="N172" s="19" t="n">
        <f aca="false">ROUND(M172*$C$16,2)</f>
        <v>1062.67</v>
      </c>
      <c r="O172" s="19" t="n">
        <f aca="false">IF(M172&lt;=0,0,ROUND(CHOOSE($C$10,IF(A172=$C$17,M172+N172,MIN($C$18,M172+N172)),IF(A172=$C$17,M172,MIN($C$19,M172))+N172,IF(A172=$C$17,M172,0)+N172),2))</f>
        <v>1932.9</v>
      </c>
      <c r="P172" s="19" t="n">
        <f aca="false">IF(M172&lt;=0,0,MAX(0,ROUND(O172-N172,2)))</f>
        <v>870.23</v>
      </c>
      <c r="Q172" s="19" t="n">
        <f aca="false">ROUND(M172-P172,2)</f>
        <v>211662.83</v>
      </c>
    </row>
    <row r="173" customFormat="false" ht="15" hidden="false" customHeight="false" outlineLevel="0" collapsed="false">
      <c r="A173" s="24" t="n">
        <f aca="false">A172+1</f>
        <v>142</v>
      </c>
      <c r="B173" s="25" t="n">
        <f aca="false">IF(MOD(12,$C$7)=0,EDATE($C$9,(A173-1)*12/$C$7),$C$9+(A173-1)*ROUND(364/$C$7,0))</f>
        <v>50618</v>
      </c>
      <c r="C173" s="19" t="n">
        <f aca="false">I172</f>
        <v>155873.23</v>
      </c>
      <c r="D173" s="19" t="n">
        <f aca="false">ROUND(C173*$C$16,2)</f>
        <v>779.37</v>
      </c>
      <c r="E173" s="19" t="n">
        <f aca="false">IF(C173&lt;=0,0,ROUND(CHOOSE($C$10,IF(A173=$C$17,C173+D173,MIN($C$18,C173+D173)),IF(A173=$C$17,C173,MIN($C$19,C173))+D173,IF(A173=$C$17,C173,0)+D173),2))</f>
        <v>1932.9</v>
      </c>
      <c r="F173" s="19" t="n">
        <f aca="false">IF(C173&lt;=0,0,MAX(0,ROUND(E173-D173,2)))</f>
        <v>1153.53</v>
      </c>
      <c r="G173" s="19" t="n">
        <f aca="false">IF(C173&lt;=0,0,ROUND(MIN(MAX(0,C173-F173),MAX(0,IF(A173&gt;=$C$13,$C$12,0)+SUMIF($E$5:$E$14,A173,$F$5:$F$14))),2))</f>
        <v>200</v>
      </c>
      <c r="H173" s="19" t="n">
        <f aca="false">ROUND(E173+G173,2)</f>
        <v>2132.9</v>
      </c>
      <c r="I173" s="19" t="n">
        <f aca="false">ROUND(C173-F173-G173,2)</f>
        <v>154519.7</v>
      </c>
      <c r="J173" s="19" t="n">
        <f aca="false">ROUND(J172+D173,2)</f>
        <v>167391.5</v>
      </c>
      <c r="K173" s="19" t="n">
        <f aca="false">ROUND(K172+F173+G173,2)</f>
        <v>145480.3</v>
      </c>
      <c r="M173" s="19" t="n">
        <f aca="false">Q172</f>
        <v>211662.83</v>
      </c>
      <c r="N173" s="19" t="n">
        <f aca="false">ROUND(M173*$C$16,2)</f>
        <v>1058.31</v>
      </c>
      <c r="O173" s="19" t="n">
        <f aca="false">IF(M173&lt;=0,0,ROUND(CHOOSE($C$10,IF(A173=$C$17,M173+N173,MIN($C$18,M173+N173)),IF(A173=$C$17,M173,MIN($C$19,M173))+N173,IF(A173=$C$17,M173,0)+N173),2))</f>
        <v>1932.9</v>
      </c>
      <c r="P173" s="19" t="n">
        <f aca="false">IF(M173&lt;=0,0,MAX(0,ROUND(O173-N173,2)))</f>
        <v>874.59</v>
      </c>
      <c r="Q173" s="19" t="n">
        <f aca="false">ROUND(M173-P173,2)</f>
        <v>210788.24</v>
      </c>
    </row>
    <row r="174" customFormat="false" ht="15" hidden="false" customHeight="false" outlineLevel="0" collapsed="false">
      <c r="A174" s="24" t="n">
        <f aca="false">A173+1</f>
        <v>143</v>
      </c>
      <c r="B174" s="25" t="n">
        <f aca="false">IF(MOD(12,$C$7)=0,EDATE($C$9,(A174-1)*12/$C$7),$C$9+(A174-1)*ROUND(364/$C$7,0))</f>
        <v>50649</v>
      </c>
      <c r="C174" s="19" t="n">
        <f aca="false">I173</f>
        <v>154519.7</v>
      </c>
      <c r="D174" s="19" t="n">
        <f aca="false">ROUND(C174*$C$16,2)</f>
        <v>772.6</v>
      </c>
      <c r="E174" s="19" t="n">
        <f aca="false">IF(C174&lt;=0,0,ROUND(CHOOSE($C$10,IF(A174=$C$17,C174+D174,MIN($C$18,C174+D174)),IF(A174=$C$17,C174,MIN($C$19,C174))+D174,IF(A174=$C$17,C174,0)+D174),2))</f>
        <v>1932.9</v>
      </c>
      <c r="F174" s="19" t="n">
        <f aca="false">IF(C174&lt;=0,0,MAX(0,ROUND(E174-D174,2)))</f>
        <v>1160.3</v>
      </c>
      <c r="G174" s="19" t="n">
        <f aca="false">IF(C174&lt;=0,0,ROUND(MIN(MAX(0,C174-F174),MAX(0,IF(A174&gt;=$C$13,$C$12,0)+SUMIF($E$5:$E$14,A174,$F$5:$F$14))),2))</f>
        <v>200</v>
      </c>
      <c r="H174" s="19" t="n">
        <f aca="false">ROUND(E174+G174,2)</f>
        <v>2132.9</v>
      </c>
      <c r="I174" s="19" t="n">
        <f aca="false">ROUND(C174-F174-G174,2)</f>
        <v>153159.4</v>
      </c>
      <c r="J174" s="19" t="n">
        <f aca="false">ROUND(J173+D174,2)</f>
        <v>168164.1</v>
      </c>
      <c r="K174" s="19" t="n">
        <f aca="false">ROUND(K173+F174+G174,2)</f>
        <v>146840.6</v>
      </c>
      <c r="M174" s="19" t="n">
        <f aca="false">Q173</f>
        <v>210788.24</v>
      </c>
      <c r="N174" s="19" t="n">
        <f aca="false">ROUND(M174*$C$16,2)</f>
        <v>1053.94</v>
      </c>
      <c r="O174" s="19" t="n">
        <f aca="false">IF(M174&lt;=0,0,ROUND(CHOOSE($C$10,IF(A174=$C$17,M174+N174,MIN($C$18,M174+N174)),IF(A174=$C$17,M174,MIN($C$19,M174))+N174,IF(A174=$C$17,M174,0)+N174),2))</f>
        <v>1932.9</v>
      </c>
      <c r="P174" s="19" t="n">
        <f aca="false">IF(M174&lt;=0,0,MAX(0,ROUND(O174-N174,2)))</f>
        <v>878.96</v>
      </c>
      <c r="Q174" s="19" t="n">
        <f aca="false">ROUND(M174-P174,2)</f>
        <v>209909.28</v>
      </c>
    </row>
    <row r="175" customFormat="false" ht="15" hidden="false" customHeight="false" outlineLevel="0" collapsed="false">
      <c r="A175" s="24" t="n">
        <f aca="false">A174+1</f>
        <v>144</v>
      </c>
      <c r="B175" s="25" t="n">
        <f aca="false">IF(MOD(12,$C$7)=0,EDATE($C$9,(A175-1)*12/$C$7),$C$9+(A175-1)*ROUND(364/$C$7,0))</f>
        <v>50679</v>
      </c>
      <c r="C175" s="19" t="n">
        <f aca="false">I174</f>
        <v>153159.4</v>
      </c>
      <c r="D175" s="19" t="n">
        <f aca="false">ROUND(C175*$C$16,2)</f>
        <v>765.8</v>
      </c>
      <c r="E175" s="19" t="n">
        <f aca="false">IF(C175&lt;=0,0,ROUND(CHOOSE($C$10,IF(A175=$C$17,C175+D175,MIN($C$18,C175+D175)),IF(A175=$C$17,C175,MIN($C$19,C175))+D175,IF(A175=$C$17,C175,0)+D175),2))</f>
        <v>1932.9</v>
      </c>
      <c r="F175" s="19" t="n">
        <f aca="false">IF(C175&lt;=0,0,MAX(0,ROUND(E175-D175,2)))</f>
        <v>1167.1</v>
      </c>
      <c r="G175" s="19" t="n">
        <f aca="false">IF(C175&lt;=0,0,ROUND(MIN(MAX(0,C175-F175),MAX(0,IF(A175&gt;=$C$13,$C$12,0)+SUMIF($E$5:$E$14,A175,$F$5:$F$14))),2))</f>
        <v>200</v>
      </c>
      <c r="H175" s="19" t="n">
        <f aca="false">ROUND(E175+G175,2)</f>
        <v>2132.9</v>
      </c>
      <c r="I175" s="19" t="n">
        <f aca="false">ROUND(C175-F175-G175,2)</f>
        <v>151792.3</v>
      </c>
      <c r="J175" s="19" t="n">
        <f aca="false">ROUND(J174+D175,2)</f>
        <v>168929.9</v>
      </c>
      <c r="K175" s="19" t="n">
        <f aca="false">ROUND(K174+F175+G175,2)</f>
        <v>148207.7</v>
      </c>
      <c r="M175" s="19" t="n">
        <f aca="false">Q174</f>
        <v>209909.28</v>
      </c>
      <c r="N175" s="19" t="n">
        <f aca="false">ROUND(M175*$C$16,2)</f>
        <v>1049.55</v>
      </c>
      <c r="O175" s="19" t="n">
        <f aca="false">IF(M175&lt;=0,0,ROUND(CHOOSE($C$10,IF(A175=$C$17,M175+N175,MIN($C$18,M175+N175)),IF(A175=$C$17,M175,MIN($C$19,M175))+N175,IF(A175=$C$17,M175,0)+N175),2))</f>
        <v>1932.9</v>
      </c>
      <c r="P175" s="19" t="n">
        <f aca="false">IF(M175&lt;=0,0,MAX(0,ROUND(O175-N175,2)))</f>
        <v>883.35</v>
      </c>
      <c r="Q175" s="19" t="n">
        <f aca="false">ROUND(M175-P175,2)</f>
        <v>209025.93</v>
      </c>
    </row>
    <row r="176" customFormat="false" ht="15" hidden="false" customHeight="false" outlineLevel="0" collapsed="false">
      <c r="A176" s="24" t="n">
        <f aca="false">A175+1</f>
        <v>145</v>
      </c>
      <c r="B176" s="25" t="n">
        <f aca="false">IF(MOD(12,$C$7)=0,EDATE($C$9,(A176-1)*12/$C$7),$C$9+(A176-1)*ROUND(364/$C$7,0))</f>
        <v>50710</v>
      </c>
      <c r="C176" s="19" t="n">
        <f aca="false">I175</f>
        <v>151792.3</v>
      </c>
      <c r="D176" s="19" t="n">
        <f aca="false">ROUND(C176*$C$16,2)</f>
        <v>758.96</v>
      </c>
      <c r="E176" s="19" t="n">
        <f aca="false">IF(C176&lt;=0,0,ROUND(CHOOSE($C$10,IF(A176=$C$17,C176+D176,MIN($C$18,C176+D176)),IF(A176=$C$17,C176,MIN($C$19,C176))+D176,IF(A176=$C$17,C176,0)+D176),2))</f>
        <v>1932.9</v>
      </c>
      <c r="F176" s="19" t="n">
        <f aca="false">IF(C176&lt;=0,0,MAX(0,ROUND(E176-D176,2)))</f>
        <v>1173.94</v>
      </c>
      <c r="G176" s="19" t="n">
        <f aca="false">IF(C176&lt;=0,0,ROUND(MIN(MAX(0,C176-F176),MAX(0,IF(A176&gt;=$C$13,$C$12,0)+SUMIF($E$5:$E$14,A176,$F$5:$F$14))),2))</f>
        <v>200</v>
      </c>
      <c r="H176" s="19" t="n">
        <f aca="false">ROUND(E176+G176,2)</f>
        <v>2132.9</v>
      </c>
      <c r="I176" s="19" t="n">
        <f aca="false">ROUND(C176-F176-G176,2)</f>
        <v>150418.36</v>
      </c>
      <c r="J176" s="19" t="n">
        <f aca="false">ROUND(J175+D176,2)</f>
        <v>169688.86</v>
      </c>
      <c r="K176" s="19" t="n">
        <f aca="false">ROUND(K175+F176+G176,2)</f>
        <v>149581.64</v>
      </c>
      <c r="M176" s="19" t="n">
        <f aca="false">Q175</f>
        <v>209025.93</v>
      </c>
      <c r="N176" s="19" t="n">
        <f aca="false">ROUND(M176*$C$16,2)</f>
        <v>1045.13</v>
      </c>
      <c r="O176" s="19" t="n">
        <f aca="false">IF(M176&lt;=0,0,ROUND(CHOOSE($C$10,IF(A176=$C$17,M176+N176,MIN($C$18,M176+N176)),IF(A176=$C$17,M176,MIN($C$19,M176))+N176,IF(A176=$C$17,M176,0)+N176),2))</f>
        <v>1932.9</v>
      </c>
      <c r="P176" s="19" t="n">
        <f aca="false">IF(M176&lt;=0,0,MAX(0,ROUND(O176-N176,2)))</f>
        <v>887.77</v>
      </c>
      <c r="Q176" s="19" t="n">
        <f aca="false">ROUND(M176-P176,2)</f>
        <v>208138.16</v>
      </c>
    </row>
    <row r="177" customFormat="false" ht="15" hidden="false" customHeight="false" outlineLevel="0" collapsed="false">
      <c r="A177" s="24" t="n">
        <f aca="false">A176+1</f>
        <v>146</v>
      </c>
      <c r="B177" s="25" t="n">
        <f aca="false">IF(MOD(12,$C$7)=0,EDATE($C$9,(A177-1)*12/$C$7),$C$9+(A177-1)*ROUND(364/$C$7,0))</f>
        <v>50740</v>
      </c>
      <c r="C177" s="19" t="n">
        <f aca="false">I176</f>
        <v>150418.36</v>
      </c>
      <c r="D177" s="19" t="n">
        <f aca="false">ROUND(C177*$C$16,2)</f>
        <v>752.09</v>
      </c>
      <c r="E177" s="19" t="n">
        <f aca="false">IF(C177&lt;=0,0,ROUND(CHOOSE($C$10,IF(A177=$C$17,C177+D177,MIN($C$18,C177+D177)),IF(A177=$C$17,C177,MIN($C$19,C177))+D177,IF(A177=$C$17,C177,0)+D177),2))</f>
        <v>1932.9</v>
      </c>
      <c r="F177" s="19" t="n">
        <f aca="false">IF(C177&lt;=0,0,MAX(0,ROUND(E177-D177,2)))</f>
        <v>1180.81</v>
      </c>
      <c r="G177" s="19" t="n">
        <f aca="false">IF(C177&lt;=0,0,ROUND(MIN(MAX(0,C177-F177),MAX(0,IF(A177&gt;=$C$13,$C$12,0)+SUMIF($E$5:$E$14,A177,$F$5:$F$14))),2))</f>
        <v>200</v>
      </c>
      <c r="H177" s="19" t="n">
        <f aca="false">ROUND(E177+G177,2)</f>
        <v>2132.9</v>
      </c>
      <c r="I177" s="19" t="n">
        <f aca="false">ROUND(C177-F177-G177,2)</f>
        <v>149037.55</v>
      </c>
      <c r="J177" s="19" t="n">
        <f aca="false">ROUND(J176+D177,2)</f>
        <v>170440.95</v>
      </c>
      <c r="K177" s="19" t="n">
        <f aca="false">ROUND(K176+F177+G177,2)</f>
        <v>150962.45</v>
      </c>
      <c r="M177" s="19" t="n">
        <f aca="false">Q176</f>
        <v>208138.16</v>
      </c>
      <c r="N177" s="19" t="n">
        <f aca="false">ROUND(M177*$C$16,2)</f>
        <v>1040.69</v>
      </c>
      <c r="O177" s="19" t="n">
        <f aca="false">IF(M177&lt;=0,0,ROUND(CHOOSE($C$10,IF(A177=$C$17,M177+N177,MIN($C$18,M177+N177)),IF(A177=$C$17,M177,MIN($C$19,M177))+N177,IF(A177=$C$17,M177,0)+N177),2))</f>
        <v>1932.9</v>
      </c>
      <c r="P177" s="19" t="n">
        <f aca="false">IF(M177&lt;=0,0,MAX(0,ROUND(O177-N177,2)))</f>
        <v>892.21</v>
      </c>
      <c r="Q177" s="19" t="n">
        <f aca="false">ROUND(M177-P177,2)</f>
        <v>207245.95</v>
      </c>
    </row>
    <row r="178" customFormat="false" ht="15" hidden="false" customHeight="false" outlineLevel="0" collapsed="false">
      <c r="A178" s="24" t="n">
        <f aca="false">A177+1</f>
        <v>147</v>
      </c>
      <c r="B178" s="25" t="n">
        <f aca="false">IF(MOD(12,$C$7)=0,EDATE($C$9,(A178-1)*12/$C$7),$C$9+(A178-1)*ROUND(364/$C$7,0))</f>
        <v>50771</v>
      </c>
      <c r="C178" s="19" t="n">
        <f aca="false">I177</f>
        <v>149037.55</v>
      </c>
      <c r="D178" s="19" t="n">
        <f aca="false">ROUND(C178*$C$16,2)</f>
        <v>745.19</v>
      </c>
      <c r="E178" s="19" t="n">
        <f aca="false">IF(C178&lt;=0,0,ROUND(CHOOSE($C$10,IF(A178=$C$17,C178+D178,MIN($C$18,C178+D178)),IF(A178=$C$17,C178,MIN($C$19,C178))+D178,IF(A178=$C$17,C178,0)+D178),2))</f>
        <v>1932.9</v>
      </c>
      <c r="F178" s="19" t="n">
        <f aca="false">IF(C178&lt;=0,0,MAX(0,ROUND(E178-D178,2)))</f>
        <v>1187.71</v>
      </c>
      <c r="G178" s="19" t="n">
        <f aca="false">IF(C178&lt;=0,0,ROUND(MIN(MAX(0,C178-F178),MAX(0,IF(A178&gt;=$C$13,$C$12,0)+SUMIF($E$5:$E$14,A178,$F$5:$F$14))),2))</f>
        <v>200</v>
      </c>
      <c r="H178" s="19" t="n">
        <f aca="false">ROUND(E178+G178,2)</f>
        <v>2132.9</v>
      </c>
      <c r="I178" s="19" t="n">
        <f aca="false">ROUND(C178-F178-G178,2)</f>
        <v>147649.84</v>
      </c>
      <c r="J178" s="19" t="n">
        <f aca="false">ROUND(J177+D178,2)</f>
        <v>171186.14</v>
      </c>
      <c r="K178" s="19" t="n">
        <f aca="false">ROUND(K177+F178+G178,2)</f>
        <v>152350.16</v>
      </c>
      <c r="M178" s="19" t="n">
        <f aca="false">Q177</f>
        <v>207245.95</v>
      </c>
      <c r="N178" s="19" t="n">
        <f aca="false">ROUND(M178*$C$16,2)</f>
        <v>1036.23</v>
      </c>
      <c r="O178" s="19" t="n">
        <f aca="false">IF(M178&lt;=0,0,ROUND(CHOOSE($C$10,IF(A178=$C$17,M178+N178,MIN($C$18,M178+N178)),IF(A178=$C$17,M178,MIN($C$19,M178))+N178,IF(A178=$C$17,M178,0)+N178),2))</f>
        <v>1932.9</v>
      </c>
      <c r="P178" s="19" t="n">
        <f aca="false">IF(M178&lt;=0,0,MAX(0,ROUND(O178-N178,2)))</f>
        <v>896.67</v>
      </c>
      <c r="Q178" s="19" t="n">
        <f aca="false">ROUND(M178-P178,2)</f>
        <v>206349.28</v>
      </c>
    </row>
    <row r="179" customFormat="false" ht="15" hidden="false" customHeight="false" outlineLevel="0" collapsed="false">
      <c r="A179" s="24" t="n">
        <f aca="false">A178+1</f>
        <v>148</v>
      </c>
      <c r="B179" s="25" t="n">
        <f aca="false">IF(MOD(12,$C$7)=0,EDATE($C$9,(A179-1)*12/$C$7),$C$9+(A179-1)*ROUND(364/$C$7,0))</f>
        <v>50802</v>
      </c>
      <c r="C179" s="19" t="n">
        <f aca="false">I178</f>
        <v>147649.84</v>
      </c>
      <c r="D179" s="19" t="n">
        <f aca="false">ROUND(C179*$C$16,2)</f>
        <v>738.25</v>
      </c>
      <c r="E179" s="19" t="n">
        <f aca="false">IF(C179&lt;=0,0,ROUND(CHOOSE($C$10,IF(A179=$C$17,C179+D179,MIN($C$18,C179+D179)),IF(A179=$C$17,C179,MIN($C$19,C179))+D179,IF(A179=$C$17,C179,0)+D179),2))</f>
        <v>1932.9</v>
      </c>
      <c r="F179" s="19" t="n">
        <f aca="false">IF(C179&lt;=0,0,MAX(0,ROUND(E179-D179,2)))</f>
        <v>1194.65</v>
      </c>
      <c r="G179" s="19" t="n">
        <f aca="false">IF(C179&lt;=0,0,ROUND(MIN(MAX(0,C179-F179),MAX(0,IF(A179&gt;=$C$13,$C$12,0)+SUMIF($E$5:$E$14,A179,$F$5:$F$14))),2))</f>
        <v>200</v>
      </c>
      <c r="H179" s="19" t="n">
        <f aca="false">ROUND(E179+G179,2)</f>
        <v>2132.9</v>
      </c>
      <c r="I179" s="19" t="n">
        <f aca="false">ROUND(C179-F179-G179,2)</f>
        <v>146255.19</v>
      </c>
      <c r="J179" s="19" t="n">
        <f aca="false">ROUND(J178+D179,2)</f>
        <v>171924.39</v>
      </c>
      <c r="K179" s="19" t="n">
        <f aca="false">ROUND(K178+F179+G179,2)</f>
        <v>153744.81</v>
      </c>
      <c r="M179" s="19" t="n">
        <f aca="false">Q178</f>
        <v>206349.28</v>
      </c>
      <c r="N179" s="19" t="n">
        <f aca="false">ROUND(M179*$C$16,2)</f>
        <v>1031.75</v>
      </c>
      <c r="O179" s="19" t="n">
        <f aca="false">IF(M179&lt;=0,0,ROUND(CHOOSE($C$10,IF(A179=$C$17,M179+N179,MIN($C$18,M179+N179)),IF(A179=$C$17,M179,MIN($C$19,M179))+N179,IF(A179=$C$17,M179,0)+N179),2))</f>
        <v>1932.9</v>
      </c>
      <c r="P179" s="19" t="n">
        <f aca="false">IF(M179&lt;=0,0,MAX(0,ROUND(O179-N179,2)))</f>
        <v>901.15</v>
      </c>
      <c r="Q179" s="19" t="n">
        <f aca="false">ROUND(M179-P179,2)</f>
        <v>205448.13</v>
      </c>
    </row>
    <row r="180" customFormat="false" ht="15" hidden="false" customHeight="false" outlineLevel="0" collapsed="false">
      <c r="A180" s="24" t="n">
        <f aca="false">A179+1</f>
        <v>149</v>
      </c>
      <c r="B180" s="25" t="n">
        <f aca="false">IF(MOD(12,$C$7)=0,EDATE($C$9,(A180-1)*12/$C$7),$C$9+(A180-1)*ROUND(364/$C$7,0))</f>
        <v>50830</v>
      </c>
      <c r="C180" s="19" t="n">
        <f aca="false">I179</f>
        <v>146255.19</v>
      </c>
      <c r="D180" s="19" t="n">
        <f aca="false">ROUND(C180*$C$16,2)</f>
        <v>731.28</v>
      </c>
      <c r="E180" s="19" t="n">
        <f aca="false">IF(C180&lt;=0,0,ROUND(CHOOSE($C$10,IF(A180=$C$17,C180+D180,MIN($C$18,C180+D180)),IF(A180=$C$17,C180,MIN($C$19,C180))+D180,IF(A180=$C$17,C180,0)+D180),2))</f>
        <v>1932.9</v>
      </c>
      <c r="F180" s="19" t="n">
        <f aca="false">IF(C180&lt;=0,0,MAX(0,ROUND(E180-D180,2)))</f>
        <v>1201.62</v>
      </c>
      <c r="G180" s="19" t="n">
        <f aca="false">IF(C180&lt;=0,0,ROUND(MIN(MAX(0,C180-F180),MAX(0,IF(A180&gt;=$C$13,$C$12,0)+SUMIF($E$5:$E$14,A180,$F$5:$F$14))),2))</f>
        <v>200</v>
      </c>
      <c r="H180" s="19" t="n">
        <f aca="false">ROUND(E180+G180,2)</f>
        <v>2132.9</v>
      </c>
      <c r="I180" s="19" t="n">
        <f aca="false">ROUND(C180-F180-G180,2)</f>
        <v>144853.57</v>
      </c>
      <c r="J180" s="19" t="n">
        <f aca="false">ROUND(J179+D180,2)</f>
        <v>172655.67</v>
      </c>
      <c r="K180" s="19" t="n">
        <f aca="false">ROUND(K179+F180+G180,2)</f>
        <v>155146.43</v>
      </c>
      <c r="M180" s="19" t="n">
        <f aca="false">Q179</f>
        <v>205448.13</v>
      </c>
      <c r="N180" s="19" t="n">
        <f aca="false">ROUND(M180*$C$16,2)</f>
        <v>1027.24</v>
      </c>
      <c r="O180" s="19" t="n">
        <f aca="false">IF(M180&lt;=0,0,ROUND(CHOOSE($C$10,IF(A180=$C$17,M180+N180,MIN($C$18,M180+N180)),IF(A180=$C$17,M180,MIN($C$19,M180))+N180,IF(A180=$C$17,M180,0)+N180),2))</f>
        <v>1932.9</v>
      </c>
      <c r="P180" s="19" t="n">
        <f aca="false">IF(M180&lt;=0,0,MAX(0,ROUND(O180-N180,2)))</f>
        <v>905.66</v>
      </c>
      <c r="Q180" s="19" t="n">
        <f aca="false">ROUND(M180-P180,2)</f>
        <v>204542.47</v>
      </c>
    </row>
    <row r="181" customFormat="false" ht="15" hidden="false" customHeight="false" outlineLevel="0" collapsed="false">
      <c r="A181" s="24" t="n">
        <f aca="false">A180+1</f>
        <v>150</v>
      </c>
      <c r="B181" s="25" t="n">
        <f aca="false">IF(MOD(12,$C$7)=0,EDATE($C$9,(A181-1)*12/$C$7),$C$9+(A181-1)*ROUND(364/$C$7,0))</f>
        <v>50861</v>
      </c>
      <c r="C181" s="19" t="n">
        <f aca="false">I180</f>
        <v>144853.57</v>
      </c>
      <c r="D181" s="19" t="n">
        <f aca="false">ROUND(C181*$C$16,2)</f>
        <v>724.27</v>
      </c>
      <c r="E181" s="19" t="n">
        <f aca="false">IF(C181&lt;=0,0,ROUND(CHOOSE($C$10,IF(A181=$C$17,C181+D181,MIN($C$18,C181+D181)),IF(A181=$C$17,C181,MIN($C$19,C181))+D181,IF(A181=$C$17,C181,0)+D181),2))</f>
        <v>1932.9</v>
      </c>
      <c r="F181" s="19" t="n">
        <f aca="false">IF(C181&lt;=0,0,MAX(0,ROUND(E181-D181,2)))</f>
        <v>1208.63</v>
      </c>
      <c r="G181" s="19" t="n">
        <f aca="false">IF(C181&lt;=0,0,ROUND(MIN(MAX(0,C181-F181),MAX(0,IF(A181&gt;=$C$13,$C$12,0)+SUMIF($E$5:$E$14,A181,$F$5:$F$14))),2))</f>
        <v>200</v>
      </c>
      <c r="H181" s="19" t="n">
        <f aca="false">ROUND(E181+G181,2)</f>
        <v>2132.9</v>
      </c>
      <c r="I181" s="19" t="n">
        <f aca="false">ROUND(C181-F181-G181,2)</f>
        <v>143444.94</v>
      </c>
      <c r="J181" s="19" t="n">
        <f aca="false">ROUND(J180+D181,2)</f>
        <v>173379.94</v>
      </c>
      <c r="K181" s="19" t="n">
        <f aca="false">ROUND(K180+F181+G181,2)</f>
        <v>156555.06</v>
      </c>
      <c r="M181" s="19" t="n">
        <f aca="false">Q180</f>
        <v>204542.47</v>
      </c>
      <c r="N181" s="19" t="n">
        <f aca="false">ROUND(M181*$C$16,2)</f>
        <v>1022.71</v>
      </c>
      <c r="O181" s="19" t="n">
        <f aca="false">IF(M181&lt;=0,0,ROUND(CHOOSE($C$10,IF(A181=$C$17,M181+N181,MIN($C$18,M181+N181)),IF(A181=$C$17,M181,MIN($C$19,M181))+N181,IF(A181=$C$17,M181,0)+N181),2))</f>
        <v>1932.9</v>
      </c>
      <c r="P181" s="19" t="n">
        <f aca="false">IF(M181&lt;=0,0,MAX(0,ROUND(O181-N181,2)))</f>
        <v>910.19</v>
      </c>
      <c r="Q181" s="19" t="n">
        <f aca="false">ROUND(M181-P181,2)</f>
        <v>203632.28</v>
      </c>
    </row>
    <row r="182" customFormat="false" ht="15" hidden="false" customHeight="false" outlineLevel="0" collapsed="false">
      <c r="A182" s="24" t="n">
        <f aca="false">A181+1</f>
        <v>151</v>
      </c>
      <c r="B182" s="25" t="n">
        <f aca="false">IF(MOD(12,$C$7)=0,EDATE($C$9,(A182-1)*12/$C$7),$C$9+(A182-1)*ROUND(364/$C$7,0))</f>
        <v>50891</v>
      </c>
      <c r="C182" s="19" t="n">
        <f aca="false">I181</f>
        <v>143444.94</v>
      </c>
      <c r="D182" s="19" t="n">
        <f aca="false">ROUND(C182*$C$16,2)</f>
        <v>717.22</v>
      </c>
      <c r="E182" s="19" t="n">
        <f aca="false">IF(C182&lt;=0,0,ROUND(CHOOSE($C$10,IF(A182=$C$17,C182+D182,MIN($C$18,C182+D182)),IF(A182=$C$17,C182,MIN($C$19,C182))+D182,IF(A182=$C$17,C182,0)+D182),2))</f>
        <v>1932.9</v>
      </c>
      <c r="F182" s="19" t="n">
        <f aca="false">IF(C182&lt;=0,0,MAX(0,ROUND(E182-D182,2)))</f>
        <v>1215.68</v>
      </c>
      <c r="G182" s="19" t="n">
        <f aca="false">IF(C182&lt;=0,0,ROUND(MIN(MAX(0,C182-F182),MAX(0,IF(A182&gt;=$C$13,$C$12,0)+SUMIF($E$5:$E$14,A182,$F$5:$F$14))),2))</f>
        <v>200</v>
      </c>
      <c r="H182" s="19" t="n">
        <f aca="false">ROUND(E182+G182,2)</f>
        <v>2132.9</v>
      </c>
      <c r="I182" s="19" t="n">
        <f aca="false">ROUND(C182-F182-G182,2)</f>
        <v>142029.26</v>
      </c>
      <c r="J182" s="19" t="n">
        <f aca="false">ROUND(J181+D182,2)</f>
        <v>174097.16</v>
      </c>
      <c r="K182" s="19" t="n">
        <f aca="false">ROUND(K181+F182+G182,2)</f>
        <v>157970.74</v>
      </c>
      <c r="M182" s="19" t="n">
        <f aca="false">Q181</f>
        <v>203632.28</v>
      </c>
      <c r="N182" s="19" t="n">
        <f aca="false">ROUND(M182*$C$16,2)</f>
        <v>1018.16</v>
      </c>
      <c r="O182" s="19" t="n">
        <f aca="false">IF(M182&lt;=0,0,ROUND(CHOOSE($C$10,IF(A182=$C$17,M182+N182,MIN($C$18,M182+N182)),IF(A182=$C$17,M182,MIN($C$19,M182))+N182,IF(A182=$C$17,M182,0)+N182),2))</f>
        <v>1932.9</v>
      </c>
      <c r="P182" s="19" t="n">
        <f aca="false">IF(M182&lt;=0,0,MAX(0,ROUND(O182-N182,2)))</f>
        <v>914.74</v>
      </c>
      <c r="Q182" s="19" t="n">
        <f aca="false">ROUND(M182-P182,2)</f>
        <v>202717.54</v>
      </c>
    </row>
    <row r="183" customFormat="false" ht="15" hidden="false" customHeight="false" outlineLevel="0" collapsed="false">
      <c r="A183" s="24" t="n">
        <f aca="false">A182+1</f>
        <v>152</v>
      </c>
      <c r="B183" s="25" t="n">
        <f aca="false">IF(MOD(12,$C$7)=0,EDATE($C$9,(A183-1)*12/$C$7),$C$9+(A183-1)*ROUND(364/$C$7,0))</f>
        <v>50922</v>
      </c>
      <c r="C183" s="19" t="n">
        <f aca="false">I182</f>
        <v>142029.26</v>
      </c>
      <c r="D183" s="19" t="n">
        <f aca="false">ROUND(C183*$C$16,2)</f>
        <v>710.15</v>
      </c>
      <c r="E183" s="19" t="n">
        <f aca="false">IF(C183&lt;=0,0,ROUND(CHOOSE($C$10,IF(A183=$C$17,C183+D183,MIN($C$18,C183+D183)),IF(A183=$C$17,C183,MIN($C$19,C183))+D183,IF(A183=$C$17,C183,0)+D183),2))</f>
        <v>1932.9</v>
      </c>
      <c r="F183" s="19" t="n">
        <f aca="false">IF(C183&lt;=0,0,MAX(0,ROUND(E183-D183,2)))</f>
        <v>1222.75</v>
      </c>
      <c r="G183" s="19" t="n">
        <f aca="false">IF(C183&lt;=0,0,ROUND(MIN(MAX(0,C183-F183),MAX(0,IF(A183&gt;=$C$13,$C$12,0)+SUMIF($E$5:$E$14,A183,$F$5:$F$14))),2))</f>
        <v>200</v>
      </c>
      <c r="H183" s="19" t="n">
        <f aca="false">ROUND(E183+G183,2)</f>
        <v>2132.9</v>
      </c>
      <c r="I183" s="19" t="n">
        <f aca="false">ROUND(C183-F183-G183,2)</f>
        <v>140606.51</v>
      </c>
      <c r="J183" s="19" t="n">
        <f aca="false">ROUND(J182+D183,2)</f>
        <v>174807.31</v>
      </c>
      <c r="K183" s="19" t="n">
        <f aca="false">ROUND(K182+F183+G183,2)</f>
        <v>159393.49</v>
      </c>
      <c r="M183" s="19" t="n">
        <f aca="false">Q182</f>
        <v>202717.54</v>
      </c>
      <c r="N183" s="19" t="n">
        <f aca="false">ROUND(M183*$C$16,2)</f>
        <v>1013.59</v>
      </c>
      <c r="O183" s="19" t="n">
        <f aca="false">IF(M183&lt;=0,0,ROUND(CHOOSE($C$10,IF(A183=$C$17,M183+N183,MIN($C$18,M183+N183)),IF(A183=$C$17,M183,MIN($C$19,M183))+N183,IF(A183=$C$17,M183,0)+N183),2))</f>
        <v>1932.9</v>
      </c>
      <c r="P183" s="19" t="n">
        <f aca="false">IF(M183&lt;=0,0,MAX(0,ROUND(O183-N183,2)))</f>
        <v>919.31</v>
      </c>
      <c r="Q183" s="19" t="n">
        <f aca="false">ROUND(M183-P183,2)</f>
        <v>201798.23</v>
      </c>
    </row>
    <row r="184" customFormat="false" ht="15" hidden="false" customHeight="false" outlineLevel="0" collapsed="false">
      <c r="A184" s="24" t="n">
        <f aca="false">A183+1</f>
        <v>153</v>
      </c>
      <c r="B184" s="25" t="n">
        <f aca="false">IF(MOD(12,$C$7)=0,EDATE($C$9,(A184-1)*12/$C$7),$C$9+(A184-1)*ROUND(364/$C$7,0))</f>
        <v>50952</v>
      </c>
      <c r="C184" s="19" t="n">
        <f aca="false">I183</f>
        <v>140606.51</v>
      </c>
      <c r="D184" s="19" t="n">
        <f aca="false">ROUND(C184*$C$16,2)</f>
        <v>703.03</v>
      </c>
      <c r="E184" s="19" t="n">
        <f aca="false">IF(C184&lt;=0,0,ROUND(CHOOSE($C$10,IF(A184=$C$17,C184+D184,MIN($C$18,C184+D184)),IF(A184=$C$17,C184,MIN($C$19,C184))+D184,IF(A184=$C$17,C184,0)+D184),2))</f>
        <v>1932.9</v>
      </c>
      <c r="F184" s="19" t="n">
        <f aca="false">IF(C184&lt;=0,0,MAX(0,ROUND(E184-D184,2)))</f>
        <v>1229.87</v>
      </c>
      <c r="G184" s="19" t="n">
        <f aca="false">IF(C184&lt;=0,0,ROUND(MIN(MAX(0,C184-F184),MAX(0,IF(A184&gt;=$C$13,$C$12,0)+SUMIF($E$5:$E$14,A184,$F$5:$F$14))),2))</f>
        <v>200</v>
      </c>
      <c r="H184" s="19" t="n">
        <f aca="false">ROUND(E184+G184,2)</f>
        <v>2132.9</v>
      </c>
      <c r="I184" s="19" t="n">
        <f aca="false">ROUND(C184-F184-G184,2)</f>
        <v>139176.64</v>
      </c>
      <c r="J184" s="19" t="n">
        <f aca="false">ROUND(J183+D184,2)</f>
        <v>175510.34</v>
      </c>
      <c r="K184" s="19" t="n">
        <f aca="false">ROUND(K183+F184+G184,2)</f>
        <v>160823.36</v>
      </c>
      <c r="M184" s="19" t="n">
        <f aca="false">Q183</f>
        <v>201798.23</v>
      </c>
      <c r="N184" s="19" t="n">
        <f aca="false">ROUND(M184*$C$16,2)</f>
        <v>1008.99</v>
      </c>
      <c r="O184" s="19" t="n">
        <f aca="false">IF(M184&lt;=0,0,ROUND(CHOOSE($C$10,IF(A184=$C$17,M184+N184,MIN($C$18,M184+N184)),IF(A184=$C$17,M184,MIN($C$19,M184))+N184,IF(A184=$C$17,M184,0)+N184),2))</f>
        <v>1932.9</v>
      </c>
      <c r="P184" s="19" t="n">
        <f aca="false">IF(M184&lt;=0,0,MAX(0,ROUND(O184-N184,2)))</f>
        <v>923.91</v>
      </c>
      <c r="Q184" s="19" t="n">
        <f aca="false">ROUND(M184-P184,2)</f>
        <v>200874.32</v>
      </c>
    </row>
    <row r="185" customFormat="false" ht="15" hidden="false" customHeight="false" outlineLevel="0" collapsed="false">
      <c r="A185" s="24" t="n">
        <f aca="false">A184+1</f>
        <v>154</v>
      </c>
      <c r="B185" s="25" t="n">
        <f aca="false">IF(MOD(12,$C$7)=0,EDATE($C$9,(A185-1)*12/$C$7),$C$9+(A185-1)*ROUND(364/$C$7,0))</f>
        <v>50983</v>
      </c>
      <c r="C185" s="19" t="n">
        <f aca="false">I184</f>
        <v>139176.64</v>
      </c>
      <c r="D185" s="19" t="n">
        <f aca="false">ROUND(C185*$C$16,2)</f>
        <v>695.88</v>
      </c>
      <c r="E185" s="19" t="n">
        <f aca="false">IF(C185&lt;=0,0,ROUND(CHOOSE($C$10,IF(A185=$C$17,C185+D185,MIN($C$18,C185+D185)),IF(A185=$C$17,C185,MIN($C$19,C185))+D185,IF(A185=$C$17,C185,0)+D185),2))</f>
        <v>1932.9</v>
      </c>
      <c r="F185" s="19" t="n">
        <f aca="false">IF(C185&lt;=0,0,MAX(0,ROUND(E185-D185,2)))</f>
        <v>1237.02</v>
      </c>
      <c r="G185" s="19" t="n">
        <f aca="false">IF(C185&lt;=0,0,ROUND(MIN(MAX(0,C185-F185),MAX(0,IF(A185&gt;=$C$13,$C$12,0)+SUMIF($E$5:$E$14,A185,$F$5:$F$14))),2))</f>
        <v>200</v>
      </c>
      <c r="H185" s="19" t="n">
        <f aca="false">ROUND(E185+G185,2)</f>
        <v>2132.9</v>
      </c>
      <c r="I185" s="19" t="n">
        <f aca="false">ROUND(C185-F185-G185,2)</f>
        <v>137739.62</v>
      </c>
      <c r="J185" s="19" t="n">
        <f aca="false">ROUND(J184+D185,2)</f>
        <v>176206.22</v>
      </c>
      <c r="K185" s="19" t="n">
        <f aca="false">ROUND(K184+F185+G185,2)</f>
        <v>162260.38</v>
      </c>
      <c r="M185" s="19" t="n">
        <f aca="false">Q184</f>
        <v>200874.32</v>
      </c>
      <c r="N185" s="19" t="n">
        <f aca="false">ROUND(M185*$C$16,2)</f>
        <v>1004.37</v>
      </c>
      <c r="O185" s="19" t="n">
        <f aca="false">IF(M185&lt;=0,0,ROUND(CHOOSE($C$10,IF(A185=$C$17,M185+N185,MIN($C$18,M185+N185)),IF(A185=$C$17,M185,MIN($C$19,M185))+N185,IF(A185=$C$17,M185,0)+N185),2))</f>
        <v>1932.9</v>
      </c>
      <c r="P185" s="19" t="n">
        <f aca="false">IF(M185&lt;=0,0,MAX(0,ROUND(O185-N185,2)))</f>
        <v>928.53</v>
      </c>
      <c r="Q185" s="19" t="n">
        <f aca="false">ROUND(M185-P185,2)</f>
        <v>199945.79</v>
      </c>
    </row>
    <row r="186" customFormat="false" ht="15" hidden="false" customHeight="false" outlineLevel="0" collapsed="false">
      <c r="A186" s="24" t="n">
        <f aca="false">A185+1</f>
        <v>155</v>
      </c>
      <c r="B186" s="25" t="n">
        <f aca="false">IF(MOD(12,$C$7)=0,EDATE($C$9,(A186-1)*12/$C$7),$C$9+(A186-1)*ROUND(364/$C$7,0))</f>
        <v>51014</v>
      </c>
      <c r="C186" s="19" t="n">
        <f aca="false">I185</f>
        <v>137739.62</v>
      </c>
      <c r="D186" s="19" t="n">
        <f aca="false">ROUND(C186*$C$16,2)</f>
        <v>688.7</v>
      </c>
      <c r="E186" s="19" t="n">
        <f aca="false">IF(C186&lt;=0,0,ROUND(CHOOSE($C$10,IF(A186=$C$17,C186+D186,MIN($C$18,C186+D186)),IF(A186=$C$17,C186,MIN($C$19,C186))+D186,IF(A186=$C$17,C186,0)+D186),2))</f>
        <v>1932.9</v>
      </c>
      <c r="F186" s="19" t="n">
        <f aca="false">IF(C186&lt;=0,0,MAX(0,ROUND(E186-D186,2)))</f>
        <v>1244.2</v>
      </c>
      <c r="G186" s="19" t="n">
        <f aca="false">IF(C186&lt;=0,0,ROUND(MIN(MAX(0,C186-F186),MAX(0,IF(A186&gt;=$C$13,$C$12,0)+SUMIF($E$5:$E$14,A186,$F$5:$F$14))),2))</f>
        <v>200</v>
      </c>
      <c r="H186" s="19" t="n">
        <f aca="false">ROUND(E186+G186,2)</f>
        <v>2132.9</v>
      </c>
      <c r="I186" s="19" t="n">
        <f aca="false">ROUND(C186-F186-G186,2)</f>
        <v>136295.42</v>
      </c>
      <c r="J186" s="19" t="n">
        <f aca="false">ROUND(J185+D186,2)</f>
        <v>176894.92</v>
      </c>
      <c r="K186" s="19" t="n">
        <f aca="false">ROUND(K185+F186+G186,2)</f>
        <v>163704.58</v>
      </c>
      <c r="M186" s="19" t="n">
        <f aca="false">Q185</f>
        <v>199945.79</v>
      </c>
      <c r="N186" s="19" t="n">
        <f aca="false">ROUND(M186*$C$16,2)</f>
        <v>999.73</v>
      </c>
      <c r="O186" s="19" t="n">
        <f aca="false">IF(M186&lt;=0,0,ROUND(CHOOSE($C$10,IF(A186=$C$17,M186+N186,MIN($C$18,M186+N186)),IF(A186=$C$17,M186,MIN($C$19,M186))+N186,IF(A186=$C$17,M186,0)+N186),2))</f>
        <v>1932.9</v>
      </c>
      <c r="P186" s="19" t="n">
        <f aca="false">IF(M186&lt;=0,0,MAX(0,ROUND(O186-N186,2)))</f>
        <v>933.17</v>
      </c>
      <c r="Q186" s="19" t="n">
        <f aca="false">ROUND(M186-P186,2)</f>
        <v>199012.62</v>
      </c>
    </row>
    <row r="187" customFormat="false" ht="15" hidden="false" customHeight="false" outlineLevel="0" collapsed="false">
      <c r="A187" s="24" t="n">
        <f aca="false">A186+1</f>
        <v>156</v>
      </c>
      <c r="B187" s="25" t="n">
        <f aca="false">IF(MOD(12,$C$7)=0,EDATE($C$9,(A187-1)*12/$C$7),$C$9+(A187-1)*ROUND(364/$C$7,0))</f>
        <v>51044</v>
      </c>
      <c r="C187" s="19" t="n">
        <f aca="false">I186</f>
        <v>136295.42</v>
      </c>
      <c r="D187" s="19" t="n">
        <f aca="false">ROUND(C187*$C$16,2)</f>
        <v>681.48</v>
      </c>
      <c r="E187" s="19" t="n">
        <f aca="false">IF(C187&lt;=0,0,ROUND(CHOOSE($C$10,IF(A187=$C$17,C187+D187,MIN($C$18,C187+D187)),IF(A187=$C$17,C187,MIN($C$19,C187))+D187,IF(A187=$C$17,C187,0)+D187),2))</f>
        <v>1932.9</v>
      </c>
      <c r="F187" s="19" t="n">
        <f aca="false">IF(C187&lt;=0,0,MAX(0,ROUND(E187-D187,2)))</f>
        <v>1251.42</v>
      </c>
      <c r="G187" s="19" t="n">
        <f aca="false">IF(C187&lt;=0,0,ROUND(MIN(MAX(0,C187-F187),MAX(0,IF(A187&gt;=$C$13,$C$12,0)+SUMIF($E$5:$E$14,A187,$F$5:$F$14))),2))</f>
        <v>200</v>
      </c>
      <c r="H187" s="19" t="n">
        <f aca="false">ROUND(E187+G187,2)</f>
        <v>2132.9</v>
      </c>
      <c r="I187" s="19" t="n">
        <f aca="false">ROUND(C187-F187-G187,2)</f>
        <v>134844</v>
      </c>
      <c r="J187" s="19" t="n">
        <f aca="false">ROUND(J186+D187,2)</f>
        <v>177576.4</v>
      </c>
      <c r="K187" s="19" t="n">
        <f aca="false">ROUND(K186+F187+G187,2)</f>
        <v>165156</v>
      </c>
      <c r="M187" s="19" t="n">
        <f aca="false">Q186</f>
        <v>199012.62</v>
      </c>
      <c r="N187" s="19" t="n">
        <f aca="false">ROUND(M187*$C$16,2)</f>
        <v>995.06</v>
      </c>
      <c r="O187" s="19" t="n">
        <f aca="false">IF(M187&lt;=0,0,ROUND(CHOOSE($C$10,IF(A187=$C$17,M187+N187,MIN($C$18,M187+N187)),IF(A187=$C$17,M187,MIN($C$19,M187))+N187,IF(A187=$C$17,M187,0)+N187),2))</f>
        <v>1932.9</v>
      </c>
      <c r="P187" s="19" t="n">
        <f aca="false">IF(M187&lt;=0,0,MAX(0,ROUND(O187-N187,2)))</f>
        <v>937.84</v>
      </c>
      <c r="Q187" s="19" t="n">
        <f aca="false">ROUND(M187-P187,2)</f>
        <v>198074.78</v>
      </c>
    </row>
    <row r="188" customFormat="false" ht="15" hidden="false" customHeight="false" outlineLevel="0" collapsed="false">
      <c r="A188" s="24" t="n">
        <f aca="false">A187+1</f>
        <v>157</v>
      </c>
      <c r="B188" s="25" t="n">
        <f aca="false">IF(MOD(12,$C$7)=0,EDATE($C$9,(A188-1)*12/$C$7),$C$9+(A188-1)*ROUND(364/$C$7,0))</f>
        <v>51075</v>
      </c>
      <c r="C188" s="19" t="n">
        <f aca="false">I187</f>
        <v>134844</v>
      </c>
      <c r="D188" s="19" t="n">
        <f aca="false">ROUND(C188*$C$16,2)</f>
        <v>674.22</v>
      </c>
      <c r="E188" s="19" t="n">
        <f aca="false">IF(C188&lt;=0,0,ROUND(CHOOSE($C$10,IF(A188=$C$17,C188+D188,MIN($C$18,C188+D188)),IF(A188=$C$17,C188,MIN($C$19,C188))+D188,IF(A188=$C$17,C188,0)+D188),2))</f>
        <v>1932.9</v>
      </c>
      <c r="F188" s="19" t="n">
        <f aca="false">IF(C188&lt;=0,0,MAX(0,ROUND(E188-D188,2)))</f>
        <v>1258.68</v>
      </c>
      <c r="G188" s="19" t="n">
        <f aca="false">IF(C188&lt;=0,0,ROUND(MIN(MAX(0,C188-F188),MAX(0,IF(A188&gt;=$C$13,$C$12,0)+SUMIF($E$5:$E$14,A188,$F$5:$F$14))),2))</f>
        <v>200</v>
      </c>
      <c r="H188" s="19" t="n">
        <f aca="false">ROUND(E188+G188,2)</f>
        <v>2132.9</v>
      </c>
      <c r="I188" s="19" t="n">
        <f aca="false">ROUND(C188-F188-G188,2)</f>
        <v>133385.32</v>
      </c>
      <c r="J188" s="19" t="n">
        <f aca="false">ROUND(J187+D188,2)</f>
        <v>178250.62</v>
      </c>
      <c r="K188" s="19" t="n">
        <f aca="false">ROUND(K187+F188+G188,2)</f>
        <v>166614.68</v>
      </c>
      <c r="M188" s="19" t="n">
        <f aca="false">Q187</f>
        <v>198074.78</v>
      </c>
      <c r="N188" s="19" t="n">
        <f aca="false">ROUND(M188*$C$16,2)</f>
        <v>990.37</v>
      </c>
      <c r="O188" s="19" t="n">
        <f aca="false">IF(M188&lt;=0,0,ROUND(CHOOSE($C$10,IF(A188=$C$17,M188+N188,MIN($C$18,M188+N188)),IF(A188=$C$17,M188,MIN($C$19,M188))+N188,IF(A188=$C$17,M188,0)+N188),2))</f>
        <v>1932.9</v>
      </c>
      <c r="P188" s="19" t="n">
        <f aca="false">IF(M188&lt;=0,0,MAX(0,ROUND(O188-N188,2)))</f>
        <v>942.53</v>
      </c>
      <c r="Q188" s="19" t="n">
        <f aca="false">ROUND(M188-P188,2)</f>
        <v>197132.25</v>
      </c>
    </row>
    <row r="189" customFormat="false" ht="15" hidden="false" customHeight="false" outlineLevel="0" collapsed="false">
      <c r="A189" s="24" t="n">
        <f aca="false">A188+1</f>
        <v>158</v>
      </c>
      <c r="B189" s="25" t="n">
        <f aca="false">IF(MOD(12,$C$7)=0,EDATE($C$9,(A189-1)*12/$C$7),$C$9+(A189-1)*ROUND(364/$C$7,0))</f>
        <v>51105</v>
      </c>
      <c r="C189" s="19" t="n">
        <f aca="false">I188</f>
        <v>133385.32</v>
      </c>
      <c r="D189" s="19" t="n">
        <f aca="false">ROUND(C189*$C$16,2)</f>
        <v>666.93</v>
      </c>
      <c r="E189" s="19" t="n">
        <f aca="false">IF(C189&lt;=0,0,ROUND(CHOOSE($C$10,IF(A189=$C$17,C189+D189,MIN($C$18,C189+D189)),IF(A189=$C$17,C189,MIN($C$19,C189))+D189,IF(A189=$C$17,C189,0)+D189),2))</f>
        <v>1932.9</v>
      </c>
      <c r="F189" s="19" t="n">
        <f aca="false">IF(C189&lt;=0,0,MAX(0,ROUND(E189-D189,2)))</f>
        <v>1265.97</v>
      </c>
      <c r="G189" s="19" t="n">
        <f aca="false">IF(C189&lt;=0,0,ROUND(MIN(MAX(0,C189-F189),MAX(0,IF(A189&gt;=$C$13,$C$12,0)+SUMIF($E$5:$E$14,A189,$F$5:$F$14))),2))</f>
        <v>200</v>
      </c>
      <c r="H189" s="19" t="n">
        <f aca="false">ROUND(E189+G189,2)</f>
        <v>2132.9</v>
      </c>
      <c r="I189" s="19" t="n">
        <f aca="false">ROUND(C189-F189-G189,2)</f>
        <v>131919.35</v>
      </c>
      <c r="J189" s="19" t="n">
        <f aca="false">ROUND(J188+D189,2)</f>
        <v>178917.55</v>
      </c>
      <c r="K189" s="19" t="n">
        <f aca="false">ROUND(K188+F189+G189,2)</f>
        <v>168080.65</v>
      </c>
      <c r="M189" s="19" t="n">
        <f aca="false">Q188</f>
        <v>197132.25</v>
      </c>
      <c r="N189" s="19" t="n">
        <f aca="false">ROUND(M189*$C$16,2)</f>
        <v>985.66</v>
      </c>
      <c r="O189" s="19" t="n">
        <f aca="false">IF(M189&lt;=0,0,ROUND(CHOOSE($C$10,IF(A189=$C$17,M189+N189,MIN($C$18,M189+N189)),IF(A189=$C$17,M189,MIN($C$19,M189))+N189,IF(A189=$C$17,M189,0)+N189),2))</f>
        <v>1932.9</v>
      </c>
      <c r="P189" s="19" t="n">
        <f aca="false">IF(M189&lt;=0,0,MAX(0,ROUND(O189-N189,2)))</f>
        <v>947.24</v>
      </c>
      <c r="Q189" s="19" t="n">
        <f aca="false">ROUND(M189-P189,2)</f>
        <v>196185.01</v>
      </c>
    </row>
    <row r="190" customFormat="false" ht="15" hidden="false" customHeight="false" outlineLevel="0" collapsed="false">
      <c r="A190" s="24" t="n">
        <f aca="false">A189+1</f>
        <v>159</v>
      </c>
      <c r="B190" s="25" t="n">
        <f aca="false">IF(MOD(12,$C$7)=0,EDATE($C$9,(A190-1)*12/$C$7),$C$9+(A190-1)*ROUND(364/$C$7,0))</f>
        <v>51136</v>
      </c>
      <c r="C190" s="19" t="n">
        <f aca="false">I189</f>
        <v>131919.35</v>
      </c>
      <c r="D190" s="19" t="n">
        <f aca="false">ROUND(C190*$C$16,2)</f>
        <v>659.6</v>
      </c>
      <c r="E190" s="19" t="n">
        <f aca="false">IF(C190&lt;=0,0,ROUND(CHOOSE($C$10,IF(A190=$C$17,C190+D190,MIN($C$18,C190+D190)),IF(A190=$C$17,C190,MIN($C$19,C190))+D190,IF(A190=$C$17,C190,0)+D190),2))</f>
        <v>1932.9</v>
      </c>
      <c r="F190" s="19" t="n">
        <f aca="false">IF(C190&lt;=0,0,MAX(0,ROUND(E190-D190,2)))</f>
        <v>1273.3</v>
      </c>
      <c r="G190" s="19" t="n">
        <f aca="false">IF(C190&lt;=0,0,ROUND(MIN(MAX(0,C190-F190),MAX(0,IF(A190&gt;=$C$13,$C$12,0)+SUMIF($E$5:$E$14,A190,$F$5:$F$14))),2))</f>
        <v>200</v>
      </c>
      <c r="H190" s="19" t="n">
        <f aca="false">ROUND(E190+G190,2)</f>
        <v>2132.9</v>
      </c>
      <c r="I190" s="19" t="n">
        <f aca="false">ROUND(C190-F190-G190,2)</f>
        <v>130446.05</v>
      </c>
      <c r="J190" s="19" t="n">
        <f aca="false">ROUND(J189+D190,2)</f>
        <v>179577.15</v>
      </c>
      <c r="K190" s="19" t="n">
        <f aca="false">ROUND(K189+F190+G190,2)</f>
        <v>169553.95</v>
      </c>
      <c r="M190" s="19" t="n">
        <f aca="false">Q189</f>
        <v>196185.01</v>
      </c>
      <c r="N190" s="19" t="n">
        <f aca="false">ROUND(M190*$C$16,2)</f>
        <v>980.93</v>
      </c>
      <c r="O190" s="19" t="n">
        <f aca="false">IF(M190&lt;=0,0,ROUND(CHOOSE($C$10,IF(A190=$C$17,M190+N190,MIN($C$18,M190+N190)),IF(A190=$C$17,M190,MIN($C$19,M190))+N190,IF(A190=$C$17,M190,0)+N190),2))</f>
        <v>1932.9</v>
      </c>
      <c r="P190" s="19" t="n">
        <f aca="false">IF(M190&lt;=0,0,MAX(0,ROUND(O190-N190,2)))</f>
        <v>951.97</v>
      </c>
      <c r="Q190" s="19" t="n">
        <f aca="false">ROUND(M190-P190,2)</f>
        <v>195233.04</v>
      </c>
    </row>
    <row r="191" customFormat="false" ht="15" hidden="false" customHeight="false" outlineLevel="0" collapsed="false">
      <c r="A191" s="24" t="n">
        <f aca="false">A190+1</f>
        <v>160</v>
      </c>
      <c r="B191" s="25" t="n">
        <f aca="false">IF(MOD(12,$C$7)=0,EDATE($C$9,(A191-1)*12/$C$7),$C$9+(A191-1)*ROUND(364/$C$7,0))</f>
        <v>51167</v>
      </c>
      <c r="C191" s="19" t="n">
        <f aca="false">I190</f>
        <v>130446.05</v>
      </c>
      <c r="D191" s="19" t="n">
        <f aca="false">ROUND(C191*$C$16,2)</f>
        <v>652.23</v>
      </c>
      <c r="E191" s="19" t="n">
        <f aca="false">IF(C191&lt;=0,0,ROUND(CHOOSE($C$10,IF(A191=$C$17,C191+D191,MIN($C$18,C191+D191)),IF(A191=$C$17,C191,MIN($C$19,C191))+D191,IF(A191=$C$17,C191,0)+D191),2))</f>
        <v>1932.9</v>
      </c>
      <c r="F191" s="19" t="n">
        <f aca="false">IF(C191&lt;=0,0,MAX(0,ROUND(E191-D191,2)))</f>
        <v>1280.67</v>
      </c>
      <c r="G191" s="19" t="n">
        <f aca="false">IF(C191&lt;=0,0,ROUND(MIN(MAX(0,C191-F191),MAX(0,IF(A191&gt;=$C$13,$C$12,0)+SUMIF($E$5:$E$14,A191,$F$5:$F$14))),2))</f>
        <v>200</v>
      </c>
      <c r="H191" s="19" t="n">
        <f aca="false">ROUND(E191+G191,2)</f>
        <v>2132.9</v>
      </c>
      <c r="I191" s="19" t="n">
        <f aca="false">ROUND(C191-F191-G191,2)</f>
        <v>128965.38</v>
      </c>
      <c r="J191" s="19" t="n">
        <f aca="false">ROUND(J190+D191,2)</f>
        <v>180229.38</v>
      </c>
      <c r="K191" s="19" t="n">
        <f aca="false">ROUND(K190+F191+G191,2)</f>
        <v>171034.62</v>
      </c>
      <c r="M191" s="19" t="n">
        <f aca="false">Q190</f>
        <v>195233.04</v>
      </c>
      <c r="N191" s="19" t="n">
        <f aca="false">ROUND(M191*$C$16,2)</f>
        <v>976.17</v>
      </c>
      <c r="O191" s="19" t="n">
        <f aca="false">IF(M191&lt;=0,0,ROUND(CHOOSE($C$10,IF(A191=$C$17,M191+N191,MIN($C$18,M191+N191)),IF(A191=$C$17,M191,MIN($C$19,M191))+N191,IF(A191=$C$17,M191,0)+N191),2))</f>
        <v>1932.9</v>
      </c>
      <c r="P191" s="19" t="n">
        <f aca="false">IF(M191&lt;=0,0,MAX(0,ROUND(O191-N191,2)))</f>
        <v>956.73</v>
      </c>
      <c r="Q191" s="19" t="n">
        <f aca="false">ROUND(M191-P191,2)</f>
        <v>194276.31</v>
      </c>
    </row>
    <row r="192" customFormat="false" ht="15" hidden="false" customHeight="false" outlineLevel="0" collapsed="false">
      <c r="A192" s="24" t="n">
        <f aca="false">A191+1</f>
        <v>161</v>
      </c>
      <c r="B192" s="25" t="n">
        <f aca="false">IF(MOD(12,$C$7)=0,EDATE($C$9,(A192-1)*12/$C$7),$C$9+(A192-1)*ROUND(364/$C$7,0))</f>
        <v>51196</v>
      </c>
      <c r="C192" s="19" t="n">
        <f aca="false">I191</f>
        <v>128965.38</v>
      </c>
      <c r="D192" s="19" t="n">
        <f aca="false">ROUND(C192*$C$16,2)</f>
        <v>644.83</v>
      </c>
      <c r="E192" s="19" t="n">
        <f aca="false">IF(C192&lt;=0,0,ROUND(CHOOSE($C$10,IF(A192=$C$17,C192+D192,MIN($C$18,C192+D192)),IF(A192=$C$17,C192,MIN($C$19,C192))+D192,IF(A192=$C$17,C192,0)+D192),2))</f>
        <v>1932.9</v>
      </c>
      <c r="F192" s="19" t="n">
        <f aca="false">IF(C192&lt;=0,0,MAX(0,ROUND(E192-D192,2)))</f>
        <v>1288.07</v>
      </c>
      <c r="G192" s="19" t="n">
        <f aca="false">IF(C192&lt;=0,0,ROUND(MIN(MAX(0,C192-F192),MAX(0,IF(A192&gt;=$C$13,$C$12,0)+SUMIF($E$5:$E$14,A192,$F$5:$F$14))),2))</f>
        <v>200</v>
      </c>
      <c r="H192" s="19" t="n">
        <f aca="false">ROUND(E192+G192,2)</f>
        <v>2132.9</v>
      </c>
      <c r="I192" s="19" t="n">
        <f aca="false">ROUND(C192-F192-G192,2)</f>
        <v>127477.31</v>
      </c>
      <c r="J192" s="19" t="n">
        <f aca="false">ROUND(J191+D192,2)</f>
        <v>180874.21</v>
      </c>
      <c r="K192" s="19" t="n">
        <f aca="false">ROUND(K191+F192+G192,2)</f>
        <v>172522.69</v>
      </c>
      <c r="M192" s="19" t="n">
        <f aca="false">Q191</f>
        <v>194276.31</v>
      </c>
      <c r="N192" s="19" t="n">
        <f aca="false">ROUND(M192*$C$16,2)</f>
        <v>971.38</v>
      </c>
      <c r="O192" s="19" t="n">
        <f aca="false">IF(M192&lt;=0,0,ROUND(CHOOSE($C$10,IF(A192=$C$17,M192+N192,MIN($C$18,M192+N192)),IF(A192=$C$17,M192,MIN($C$19,M192))+N192,IF(A192=$C$17,M192,0)+N192),2))</f>
        <v>1932.9</v>
      </c>
      <c r="P192" s="19" t="n">
        <f aca="false">IF(M192&lt;=0,0,MAX(0,ROUND(O192-N192,2)))</f>
        <v>961.52</v>
      </c>
      <c r="Q192" s="19" t="n">
        <f aca="false">ROUND(M192-P192,2)</f>
        <v>193314.79</v>
      </c>
    </row>
    <row r="193" customFormat="false" ht="15" hidden="false" customHeight="false" outlineLevel="0" collapsed="false">
      <c r="A193" s="24" t="n">
        <f aca="false">A192+1</f>
        <v>162</v>
      </c>
      <c r="B193" s="25" t="n">
        <f aca="false">IF(MOD(12,$C$7)=0,EDATE($C$9,(A193-1)*12/$C$7),$C$9+(A193-1)*ROUND(364/$C$7,0))</f>
        <v>51227</v>
      </c>
      <c r="C193" s="19" t="n">
        <f aca="false">I192</f>
        <v>127477.31</v>
      </c>
      <c r="D193" s="19" t="n">
        <f aca="false">ROUND(C193*$C$16,2)</f>
        <v>637.39</v>
      </c>
      <c r="E193" s="19" t="n">
        <f aca="false">IF(C193&lt;=0,0,ROUND(CHOOSE($C$10,IF(A193=$C$17,C193+D193,MIN($C$18,C193+D193)),IF(A193=$C$17,C193,MIN($C$19,C193))+D193,IF(A193=$C$17,C193,0)+D193),2))</f>
        <v>1932.9</v>
      </c>
      <c r="F193" s="19" t="n">
        <f aca="false">IF(C193&lt;=0,0,MAX(0,ROUND(E193-D193,2)))</f>
        <v>1295.51</v>
      </c>
      <c r="G193" s="19" t="n">
        <f aca="false">IF(C193&lt;=0,0,ROUND(MIN(MAX(0,C193-F193),MAX(0,IF(A193&gt;=$C$13,$C$12,0)+SUMIF($E$5:$E$14,A193,$F$5:$F$14))),2))</f>
        <v>200</v>
      </c>
      <c r="H193" s="19" t="n">
        <f aca="false">ROUND(E193+G193,2)</f>
        <v>2132.9</v>
      </c>
      <c r="I193" s="19" t="n">
        <f aca="false">ROUND(C193-F193-G193,2)</f>
        <v>125981.8</v>
      </c>
      <c r="J193" s="19" t="n">
        <f aca="false">ROUND(J192+D193,2)</f>
        <v>181511.6</v>
      </c>
      <c r="K193" s="19" t="n">
        <f aca="false">ROUND(K192+F193+G193,2)</f>
        <v>174018.2</v>
      </c>
      <c r="M193" s="19" t="n">
        <f aca="false">Q192</f>
        <v>193314.79</v>
      </c>
      <c r="N193" s="19" t="n">
        <f aca="false">ROUND(M193*$C$16,2)</f>
        <v>966.57</v>
      </c>
      <c r="O193" s="19" t="n">
        <f aca="false">IF(M193&lt;=0,0,ROUND(CHOOSE($C$10,IF(A193=$C$17,M193+N193,MIN($C$18,M193+N193)),IF(A193=$C$17,M193,MIN($C$19,M193))+N193,IF(A193=$C$17,M193,0)+N193),2))</f>
        <v>1932.9</v>
      </c>
      <c r="P193" s="19" t="n">
        <f aca="false">IF(M193&lt;=0,0,MAX(0,ROUND(O193-N193,2)))</f>
        <v>966.33</v>
      </c>
      <c r="Q193" s="19" t="n">
        <f aca="false">ROUND(M193-P193,2)</f>
        <v>192348.46</v>
      </c>
    </row>
    <row r="194" customFormat="false" ht="15" hidden="false" customHeight="false" outlineLevel="0" collapsed="false">
      <c r="A194" s="24" t="n">
        <f aca="false">A193+1</f>
        <v>163</v>
      </c>
      <c r="B194" s="25" t="n">
        <f aca="false">IF(MOD(12,$C$7)=0,EDATE($C$9,(A194-1)*12/$C$7),$C$9+(A194-1)*ROUND(364/$C$7,0))</f>
        <v>51257</v>
      </c>
      <c r="C194" s="19" t="n">
        <f aca="false">I193</f>
        <v>125981.8</v>
      </c>
      <c r="D194" s="19" t="n">
        <f aca="false">ROUND(C194*$C$16,2)</f>
        <v>629.91</v>
      </c>
      <c r="E194" s="19" t="n">
        <f aca="false">IF(C194&lt;=0,0,ROUND(CHOOSE($C$10,IF(A194=$C$17,C194+D194,MIN($C$18,C194+D194)),IF(A194=$C$17,C194,MIN($C$19,C194))+D194,IF(A194=$C$17,C194,0)+D194),2))</f>
        <v>1932.9</v>
      </c>
      <c r="F194" s="19" t="n">
        <f aca="false">IF(C194&lt;=0,0,MAX(0,ROUND(E194-D194,2)))</f>
        <v>1302.99</v>
      </c>
      <c r="G194" s="19" t="n">
        <f aca="false">IF(C194&lt;=0,0,ROUND(MIN(MAX(0,C194-F194),MAX(0,IF(A194&gt;=$C$13,$C$12,0)+SUMIF($E$5:$E$14,A194,$F$5:$F$14))),2))</f>
        <v>200</v>
      </c>
      <c r="H194" s="19" t="n">
        <f aca="false">ROUND(E194+G194,2)</f>
        <v>2132.9</v>
      </c>
      <c r="I194" s="19" t="n">
        <f aca="false">ROUND(C194-F194-G194,2)</f>
        <v>124478.81</v>
      </c>
      <c r="J194" s="19" t="n">
        <f aca="false">ROUND(J193+D194,2)</f>
        <v>182141.51</v>
      </c>
      <c r="K194" s="19" t="n">
        <f aca="false">ROUND(K193+F194+G194,2)</f>
        <v>175521.19</v>
      </c>
      <c r="M194" s="19" t="n">
        <f aca="false">Q193</f>
        <v>192348.46</v>
      </c>
      <c r="N194" s="19" t="n">
        <f aca="false">ROUND(M194*$C$16,2)</f>
        <v>961.74</v>
      </c>
      <c r="O194" s="19" t="n">
        <f aca="false">IF(M194&lt;=0,0,ROUND(CHOOSE($C$10,IF(A194=$C$17,M194+N194,MIN($C$18,M194+N194)),IF(A194=$C$17,M194,MIN($C$19,M194))+N194,IF(A194=$C$17,M194,0)+N194),2))</f>
        <v>1932.9</v>
      </c>
      <c r="P194" s="19" t="n">
        <f aca="false">IF(M194&lt;=0,0,MAX(0,ROUND(O194-N194,2)))</f>
        <v>971.16</v>
      </c>
      <c r="Q194" s="19" t="n">
        <f aca="false">ROUND(M194-P194,2)</f>
        <v>191377.3</v>
      </c>
    </row>
    <row r="195" customFormat="false" ht="15" hidden="false" customHeight="false" outlineLevel="0" collapsed="false">
      <c r="A195" s="24" t="n">
        <f aca="false">A194+1</f>
        <v>164</v>
      </c>
      <c r="B195" s="25" t="n">
        <f aca="false">IF(MOD(12,$C$7)=0,EDATE($C$9,(A195-1)*12/$C$7),$C$9+(A195-1)*ROUND(364/$C$7,0))</f>
        <v>51288</v>
      </c>
      <c r="C195" s="19" t="n">
        <f aca="false">I194</f>
        <v>124478.81</v>
      </c>
      <c r="D195" s="19" t="n">
        <f aca="false">ROUND(C195*$C$16,2)</f>
        <v>622.39</v>
      </c>
      <c r="E195" s="19" t="n">
        <f aca="false">IF(C195&lt;=0,0,ROUND(CHOOSE($C$10,IF(A195=$C$17,C195+D195,MIN($C$18,C195+D195)),IF(A195=$C$17,C195,MIN($C$19,C195))+D195,IF(A195=$C$17,C195,0)+D195),2))</f>
        <v>1932.9</v>
      </c>
      <c r="F195" s="19" t="n">
        <f aca="false">IF(C195&lt;=0,0,MAX(0,ROUND(E195-D195,2)))</f>
        <v>1310.51</v>
      </c>
      <c r="G195" s="19" t="n">
        <f aca="false">IF(C195&lt;=0,0,ROUND(MIN(MAX(0,C195-F195),MAX(0,IF(A195&gt;=$C$13,$C$12,0)+SUMIF($E$5:$E$14,A195,$F$5:$F$14))),2))</f>
        <v>200</v>
      </c>
      <c r="H195" s="19" t="n">
        <f aca="false">ROUND(E195+G195,2)</f>
        <v>2132.9</v>
      </c>
      <c r="I195" s="19" t="n">
        <f aca="false">ROUND(C195-F195-G195,2)</f>
        <v>122968.3</v>
      </c>
      <c r="J195" s="19" t="n">
        <f aca="false">ROUND(J194+D195,2)</f>
        <v>182763.9</v>
      </c>
      <c r="K195" s="19" t="n">
        <f aca="false">ROUND(K194+F195+G195,2)</f>
        <v>177031.7</v>
      </c>
      <c r="M195" s="19" t="n">
        <f aca="false">Q194</f>
        <v>191377.3</v>
      </c>
      <c r="N195" s="19" t="n">
        <f aca="false">ROUND(M195*$C$16,2)</f>
        <v>956.89</v>
      </c>
      <c r="O195" s="19" t="n">
        <f aca="false">IF(M195&lt;=0,0,ROUND(CHOOSE($C$10,IF(A195=$C$17,M195+N195,MIN($C$18,M195+N195)),IF(A195=$C$17,M195,MIN($C$19,M195))+N195,IF(A195=$C$17,M195,0)+N195),2))</f>
        <v>1932.9</v>
      </c>
      <c r="P195" s="19" t="n">
        <f aca="false">IF(M195&lt;=0,0,MAX(0,ROUND(O195-N195,2)))</f>
        <v>976.01</v>
      </c>
      <c r="Q195" s="19" t="n">
        <f aca="false">ROUND(M195-P195,2)</f>
        <v>190401.29</v>
      </c>
    </row>
    <row r="196" customFormat="false" ht="15" hidden="false" customHeight="false" outlineLevel="0" collapsed="false">
      <c r="A196" s="24" t="n">
        <f aca="false">A195+1</f>
        <v>165</v>
      </c>
      <c r="B196" s="25" t="n">
        <f aca="false">IF(MOD(12,$C$7)=0,EDATE($C$9,(A196-1)*12/$C$7),$C$9+(A196-1)*ROUND(364/$C$7,0))</f>
        <v>51318</v>
      </c>
      <c r="C196" s="19" t="n">
        <f aca="false">I195</f>
        <v>122968.3</v>
      </c>
      <c r="D196" s="19" t="n">
        <f aca="false">ROUND(C196*$C$16,2)</f>
        <v>614.84</v>
      </c>
      <c r="E196" s="19" t="n">
        <f aca="false">IF(C196&lt;=0,0,ROUND(CHOOSE($C$10,IF(A196=$C$17,C196+D196,MIN($C$18,C196+D196)),IF(A196=$C$17,C196,MIN($C$19,C196))+D196,IF(A196=$C$17,C196,0)+D196),2))</f>
        <v>1932.9</v>
      </c>
      <c r="F196" s="19" t="n">
        <f aca="false">IF(C196&lt;=0,0,MAX(0,ROUND(E196-D196,2)))</f>
        <v>1318.06</v>
      </c>
      <c r="G196" s="19" t="n">
        <f aca="false">IF(C196&lt;=0,0,ROUND(MIN(MAX(0,C196-F196),MAX(0,IF(A196&gt;=$C$13,$C$12,0)+SUMIF($E$5:$E$14,A196,$F$5:$F$14))),2))</f>
        <v>200</v>
      </c>
      <c r="H196" s="19" t="n">
        <f aca="false">ROUND(E196+G196,2)</f>
        <v>2132.9</v>
      </c>
      <c r="I196" s="19" t="n">
        <f aca="false">ROUND(C196-F196-G196,2)</f>
        <v>121450.24</v>
      </c>
      <c r="J196" s="19" t="n">
        <f aca="false">ROUND(J195+D196,2)</f>
        <v>183378.74</v>
      </c>
      <c r="K196" s="19" t="n">
        <f aca="false">ROUND(K195+F196+G196,2)</f>
        <v>178549.76</v>
      </c>
      <c r="M196" s="19" t="n">
        <f aca="false">Q195</f>
        <v>190401.29</v>
      </c>
      <c r="N196" s="19" t="n">
        <f aca="false">ROUND(M196*$C$16,2)</f>
        <v>952.01</v>
      </c>
      <c r="O196" s="19" t="n">
        <f aca="false">IF(M196&lt;=0,0,ROUND(CHOOSE($C$10,IF(A196=$C$17,M196+N196,MIN($C$18,M196+N196)),IF(A196=$C$17,M196,MIN($C$19,M196))+N196,IF(A196=$C$17,M196,0)+N196),2))</f>
        <v>1932.9</v>
      </c>
      <c r="P196" s="19" t="n">
        <f aca="false">IF(M196&lt;=0,0,MAX(0,ROUND(O196-N196,2)))</f>
        <v>980.89</v>
      </c>
      <c r="Q196" s="19" t="n">
        <f aca="false">ROUND(M196-P196,2)</f>
        <v>189420.4</v>
      </c>
    </row>
    <row r="197" customFormat="false" ht="15" hidden="false" customHeight="false" outlineLevel="0" collapsed="false">
      <c r="A197" s="24" t="n">
        <f aca="false">A196+1</f>
        <v>166</v>
      </c>
      <c r="B197" s="25" t="n">
        <f aca="false">IF(MOD(12,$C$7)=0,EDATE($C$9,(A197-1)*12/$C$7),$C$9+(A197-1)*ROUND(364/$C$7,0))</f>
        <v>51349</v>
      </c>
      <c r="C197" s="19" t="n">
        <f aca="false">I196</f>
        <v>121450.24</v>
      </c>
      <c r="D197" s="19" t="n">
        <f aca="false">ROUND(C197*$C$16,2)</f>
        <v>607.25</v>
      </c>
      <c r="E197" s="19" t="n">
        <f aca="false">IF(C197&lt;=0,0,ROUND(CHOOSE($C$10,IF(A197=$C$17,C197+D197,MIN($C$18,C197+D197)),IF(A197=$C$17,C197,MIN($C$19,C197))+D197,IF(A197=$C$17,C197,0)+D197),2))</f>
        <v>1932.9</v>
      </c>
      <c r="F197" s="19" t="n">
        <f aca="false">IF(C197&lt;=0,0,MAX(0,ROUND(E197-D197,2)))</f>
        <v>1325.65</v>
      </c>
      <c r="G197" s="19" t="n">
        <f aca="false">IF(C197&lt;=0,0,ROUND(MIN(MAX(0,C197-F197),MAX(0,IF(A197&gt;=$C$13,$C$12,0)+SUMIF($E$5:$E$14,A197,$F$5:$F$14))),2))</f>
        <v>200</v>
      </c>
      <c r="H197" s="19" t="n">
        <f aca="false">ROUND(E197+G197,2)</f>
        <v>2132.9</v>
      </c>
      <c r="I197" s="19" t="n">
        <f aca="false">ROUND(C197-F197-G197,2)</f>
        <v>119924.59</v>
      </c>
      <c r="J197" s="19" t="n">
        <f aca="false">ROUND(J196+D197,2)</f>
        <v>183985.99</v>
      </c>
      <c r="K197" s="19" t="n">
        <f aca="false">ROUND(K196+F197+G197,2)</f>
        <v>180075.41</v>
      </c>
      <c r="M197" s="19" t="n">
        <f aca="false">Q196</f>
        <v>189420.4</v>
      </c>
      <c r="N197" s="19" t="n">
        <f aca="false">ROUND(M197*$C$16,2)</f>
        <v>947.1</v>
      </c>
      <c r="O197" s="19" t="n">
        <f aca="false">IF(M197&lt;=0,0,ROUND(CHOOSE($C$10,IF(A197=$C$17,M197+N197,MIN($C$18,M197+N197)),IF(A197=$C$17,M197,MIN($C$19,M197))+N197,IF(A197=$C$17,M197,0)+N197),2))</f>
        <v>1932.9</v>
      </c>
      <c r="P197" s="19" t="n">
        <f aca="false">IF(M197&lt;=0,0,MAX(0,ROUND(O197-N197,2)))</f>
        <v>985.8</v>
      </c>
      <c r="Q197" s="19" t="n">
        <f aca="false">ROUND(M197-P197,2)</f>
        <v>188434.6</v>
      </c>
    </row>
    <row r="198" customFormat="false" ht="15" hidden="false" customHeight="false" outlineLevel="0" collapsed="false">
      <c r="A198" s="24" t="n">
        <f aca="false">A197+1</f>
        <v>167</v>
      </c>
      <c r="B198" s="25" t="n">
        <f aca="false">IF(MOD(12,$C$7)=0,EDATE($C$9,(A198-1)*12/$C$7),$C$9+(A198-1)*ROUND(364/$C$7,0))</f>
        <v>51380</v>
      </c>
      <c r="C198" s="19" t="n">
        <f aca="false">I197</f>
        <v>119924.59</v>
      </c>
      <c r="D198" s="19" t="n">
        <f aca="false">ROUND(C198*$C$16,2)</f>
        <v>599.62</v>
      </c>
      <c r="E198" s="19" t="n">
        <f aca="false">IF(C198&lt;=0,0,ROUND(CHOOSE($C$10,IF(A198=$C$17,C198+D198,MIN($C$18,C198+D198)),IF(A198=$C$17,C198,MIN($C$19,C198))+D198,IF(A198=$C$17,C198,0)+D198),2))</f>
        <v>1932.9</v>
      </c>
      <c r="F198" s="19" t="n">
        <f aca="false">IF(C198&lt;=0,0,MAX(0,ROUND(E198-D198,2)))</f>
        <v>1333.28</v>
      </c>
      <c r="G198" s="19" t="n">
        <f aca="false">IF(C198&lt;=0,0,ROUND(MIN(MAX(0,C198-F198),MAX(0,IF(A198&gt;=$C$13,$C$12,0)+SUMIF($E$5:$E$14,A198,$F$5:$F$14))),2))</f>
        <v>200</v>
      </c>
      <c r="H198" s="19" t="n">
        <f aca="false">ROUND(E198+G198,2)</f>
        <v>2132.9</v>
      </c>
      <c r="I198" s="19" t="n">
        <f aca="false">ROUND(C198-F198-G198,2)</f>
        <v>118391.31</v>
      </c>
      <c r="J198" s="19" t="n">
        <f aca="false">ROUND(J197+D198,2)</f>
        <v>184585.61</v>
      </c>
      <c r="K198" s="19" t="n">
        <f aca="false">ROUND(K197+F198+G198,2)</f>
        <v>181608.69</v>
      </c>
      <c r="M198" s="19" t="n">
        <f aca="false">Q197</f>
        <v>188434.6</v>
      </c>
      <c r="N198" s="19" t="n">
        <f aca="false">ROUND(M198*$C$16,2)</f>
        <v>942.17</v>
      </c>
      <c r="O198" s="19" t="n">
        <f aca="false">IF(M198&lt;=0,0,ROUND(CHOOSE($C$10,IF(A198=$C$17,M198+N198,MIN($C$18,M198+N198)),IF(A198=$C$17,M198,MIN($C$19,M198))+N198,IF(A198=$C$17,M198,0)+N198),2))</f>
        <v>1932.9</v>
      </c>
      <c r="P198" s="19" t="n">
        <f aca="false">IF(M198&lt;=0,0,MAX(0,ROUND(O198-N198,2)))</f>
        <v>990.73</v>
      </c>
      <c r="Q198" s="19" t="n">
        <f aca="false">ROUND(M198-P198,2)</f>
        <v>187443.87</v>
      </c>
    </row>
    <row r="199" customFormat="false" ht="15" hidden="false" customHeight="false" outlineLevel="0" collapsed="false">
      <c r="A199" s="24" t="n">
        <f aca="false">A198+1</f>
        <v>168</v>
      </c>
      <c r="B199" s="25" t="n">
        <f aca="false">IF(MOD(12,$C$7)=0,EDATE($C$9,(A199-1)*12/$C$7),$C$9+(A199-1)*ROUND(364/$C$7,0))</f>
        <v>51410</v>
      </c>
      <c r="C199" s="19" t="n">
        <f aca="false">I198</f>
        <v>118391.31</v>
      </c>
      <c r="D199" s="19" t="n">
        <f aca="false">ROUND(C199*$C$16,2)</f>
        <v>591.96</v>
      </c>
      <c r="E199" s="19" t="n">
        <f aca="false">IF(C199&lt;=0,0,ROUND(CHOOSE($C$10,IF(A199=$C$17,C199+D199,MIN($C$18,C199+D199)),IF(A199=$C$17,C199,MIN($C$19,C199))+D199,IF(A199=$C$17,C199,0)+D199),2))</f>
        <v>1932.9</v>
      </c>
      <c r="F199" s="19" t="n">
        <f aca="false">IF(C199&lt;=0,0,MAX(0,ROUND(E199-D199,2)))</f>
        <v>1340.94</v>
      </c>
      <c r="G199" s="19" t="n">
        <f aca="false">IF(C199&lt;=0,0,ROUND(MIN(MAX(0,C199-F199),MAX(0,IF(A199&gt;=$C$13,$C$12,0)+SUMIF($E$5:$E$14,A199,$F$5:$F$14))),2))</f>
        <v>200</v>
      </c>
      <c r="H199" s="19" t="n">
        <f aca="false">ROUND(E199+G199,2)</f>
        <v>2132.9</v>
      </c>
      <c r="I199" s="19" t="n">
        <f aca="false">ROUND(C199-F199-G199,2)</f>
        <v>116850.37</v>
      </c>
      <c r="J199" s="19" t="n">
        <f aca="false">ROUND(J198+D199,2)</f>
        <v>185177.57</v>
      </c>
      <c r="K199" s="19" t="n">
        <f aca="false">ROUND(K198+F199+G199,2)</f>
        <v>183149.63</v>
      </c>
      <c r="M199" s="19" t="n">
        <f aca="false">Q198</f>
        <v>187443.87</v>
      </c>
      <c r="N199" s="19" t="n">
        <f aca="false">ROUND(M199*$C$16,2)</f>
        <v>937.22</v>
      </c>
      <c r="O199" s="19" t="n">
        <f aca="false">IF(M199&lt;=0,0,ROUND(CHOOSE($C$10,IF(A199=$C$17,M199+N199,MIN($C$18,M199+N199)),IF(A199=$C$17,M199,MIN($C$19,M199))+N199,IF(A199=$C$17,M199,0)+N199),2))</f>
        <v>1932.9</v>
      </c>
      <c r="P199" s="19" t="n">
        <f aca="false">IF(M199&lt;=0,0,MAX(0,ROUND(O199-N199,2)))</f>
        <v>995.68</v>
      </c>
      <c r="Q199" s="19" t="n">
        <f aca="false">ROUND(M199-P199,2)</f>
        <v>186448.19</v>
      </c>
    </row>
    <row r="200" customFormat="false" ht="15" hidden="false" customHeight="false" outlineLevel="0" collapsed="false">
      <c r="A200" s="24" t="n">
        <f aca="false">A199+1</f>
        <v>169</v>
      </c>
      <c r="B200" s="25" t="n">
        <f aca="false">IF(MOD(12,$C$7)=0,EDATE($C$9,(A200-1)*12/$C$7),$C$9+(A200-1)*ROUND(364/$C$7,0))</f>
        <v>51441</v>
      </c>
      <c r="C200" s="19" t="n">
        <f aca="false">I199</f>
        <v>116850.37</v>
      </c>
      <c r="D200" s="19" t="n">
        <f aca="false">ROUND(C200*$C$16,2)</f>
        <v>584.25</v>
      </c>
      <c r="E200" s="19" t="n">
        <f aca="false">IF(C200&lt;=0,0,ROUND(CHOOSE($C$10,IF(A200=$C$17,C200+D200,MIN($C$18,C200+D200)),IF(A200=$C$17,C200,MIN($C$19,C200))+D200,IF(A200=$C$17,C200,0)+D200),2))</f>
        <v>1932.9</v>
      </c>
      <c r="F200" s="19" t="n">
        <f aca="false">IF(C200&lt;=0,0,MAX(0,ROUND(E200-D200,2)))</f>
        <v>1348.65</v>
      </c>
      <c r="G200" s="19" t="n">
        <f aca="false">IF(C200&lt;=0,0,ROUND(MIN(MAX(0,C200-F200),MAX(0,IF(A200&gt;=$C$13,$C$12,0)+SUMIF($E$5:$E$14,A200,$F$5:$F$14))),2))</f>
        <v>200</v>
      </c>
      <c r="H200" s="19" t="n">
        <f aca="false">ROUND(E200+G200,2)</f>
        <v>2132.9</v>
      </c>
      <c r="I200" s="19" t="n">
        <f aca="false">ROUND(C200-F200-G200,2)</f>
        <v>115301.72</v>
      </c>
      <c r="J200" s="19" t="n">
        <f aca="false">ROUND(J199+D200,2)</f>
        <v>185761.82</v>
      </c>
      <c r="K200" s="19" t="n">
        <f aca="false">ROUND(K199+F200+G200,2)</f>
        <v>184698.28</v>
      </c>
      <c r="M200" s="19" t="n">
        <f aca="false">Q199</f>
        <v>186448.19</v>
      </c>
      <c r="N200" s="19" t="n">
        <f aca="false">ROUND(M200*$C$16,2)</f>
        <v>932.24</v>
      </c>
      <c r="O200" s="19" t="n">
        <f aca="false">IF(M200&lt;=0,0,ROUND(CHOOSE($C$10,IF(A200=$C$17,M200+N200,MIN($C$18,M200+N200)),IF(A200=$C$17,M200,MIN($C$19,M200))+N200,IF(A200=$C$17,M200,0)+N200),2))</f>
        <v>1932.9</v>
      </c>
      <c r="P200" s="19" t="n">
        <f aca="false">IF(M200&lt;=0,0,MAX(0,ROUND(O200-N200,2)))</f>
        <v>1000.66</v>
      </c>
      <c r="Q200" s="19" t="n">
        <f aca="false">ROUND(M200-P200,2)</f>
        <v>185447.53</v>
      </c>
    </row>
    <row r="201" customFormat="false" ht="15" hidden="false" customHeight="false" outlineLevel="0" collapsed="false">
      <c r="A201" s="24" t="n">
        <f aca="false">A200+1</f>
        <v>170</v>
      </c>
      <c r="B201" s="25" t="n">
        <f aca="false">IF(MOD(12,$C$7)=0,EDATE($C$9,(A201-1)*12/$C$7),$C$9+(A201-1)*ROUND(364/$C$7,0))</f>
        <v>51471</v>
      </c>
      <c r="C201" s="19" t="n">
        <f aca="false">I200</f>
        <v>115301.72</v>
      </c>
      <c r="D201" s="19" t="n">
        <f aca="false">ROUND(C201*$C$16,2)</f>
        <v>576.51</v>
      </c>
      <c r="E201" s="19" t="n">
        <f aca="false">IF(C201&lt;=0,0,ROUND(CHOOSE($C$10,IF(A201=$C$17,C201+D201,MIN($C$18,C201+D201)),IF(A201=$C$17,C201,MIN($C$19,C201))+D201,IF(A201=$C$17,C201,0)+D201),2))</f>
        <v>1932.9</v>
      </c>
      <c r="F201" s="19" t="n">
        <f aca="false">IF(C201&lt;=0,0,MAX(0,ROUND(E201-D201,2)))</f>
        <v>1356.39</v>
      </c>
      <c r="G201" s="19" t="n">
        <f aca="false">IF(C201&lt;=0,0,ROUND(MIN(MAX(0,C201-F201),MAX(0,IF(A201&gt;=$C$13,$C$12,0)+SUMIF($E$5:$E$14,A201,$F$5:$F$14))),2))</f>
        <v>200</v>
      </c>
      <c r="H201" s="19" t="n">
        <f aca="false">ROUND(E201+G201,2)</f>
        <v>2132.9</v>
      </c>
      <c r="I201" s="19" t="n">
        <f aca="false">ROUND(C201-F201-G201,2)</f>
        <v>113745.33</v>
      </c>
      <c r="J201" s="19" t="n">
        <f aca="false">ROUND(J200+D201,2)</f>
        <v>186338.33</v>
      </c>
      <c r="K201" s="19" t="n">
        <f aca="false">ROUND(K200+F201+G201,2)</f>
        <v>186254.67</v>
      </c>
      <c r="M201" s="19" t="n">
        <f aca="false">Q200</f>
        <v>185447.53</v>
      </c>
      <c r="N201" s="19" t="n">
        <f aca="false">ROUND(M201*$C$16,2)</f>
        <v>927.24</v>
      </c>
      <c r="O201" s="19" t="n">
        <f aca="false">IF(M201&lt;=0,0,ROUND(CHOOSE($C$10,IF(A201=$C$17,M201+N201,MIN($C$18,M201+N201)),IF(A201=$C$17,M201,MIN($C$19,M201))+N201,IF(A201=$C$17,M201,0)+N201),2))</f>
        <v>1932.9</v>
      </c>
      <c r="P201" s="19" t="n">
        <f aca="false">IF(M201&lt;=0,0,MAX(0,ROUND(O201-N201,2)))</f>
        <v>1005.66</v>
      </c>
      <c r="Q201" s="19" t="n">
        <f aca="false">ROUND(M201-P201,2)</f>
        <v>184441.87</v>
      </c>
    </row>
    <row r="202" customFormat="false" ht="15" hidden="false" customHeight="false" outlineLevel="0" collapsed="false">
      <c r="A202" s="24" t="n">
        <f aca="false">A201+1</f>
        <v>171</v>
      </c>
      <c r="B202" s="25" t="n">
        <f aca="false">IF(MOD(12,$C$7)=0,EDATE($C$9,(A202-1)*12/$C$7),$C$9+(A202-1)*ROUND(364/$C$7,0))</f>
        <v>51502</v>
      </c>
      <c r="C202" s="19" t="n">
        <f aca="false">I201</f>
        <v>113745.33</v>
      </c>
      <c r="D202" s="19" t="n">
        <f aca="false">ROUND(C202*$C$16,2)</f>
        <v>568.73</v>
      </c>
      <c r="E202" s="19" t="n">
        <f aca="false">IF(C202&lt;=0,0,ROUND(CHOOSE($C$10,IF(A202=$C$17,C202+D202,MIN($C$18,C202+D202)),IF(A202=$C$17,C202,MIN($C$19,C202))+D202,IF(A202=$C$17,C202,0)+D202),2))</f>
        <v>1932.9</v>
      </c>
      <c r="F202" s="19" t="n">
        <f aca="false">IF(C202&lt;=0,0,MAX(0,ROUND(E202-D202,2)))</f>
        <v>1364.17</v>
      </c>
      <c r="G202" s="19" t="n">
        <f aca="false">IF(C202&lt;=0,0,ROUND(MIN(MAX(0,C202-F202),MAX(0,IF(A202&gt;=$C$13,$C$12,0)+SUMIF($E$5:$E$14,A202,$F$5:$F$14))),2))</f>
        <v>200</v>
      </c>
      <c r="H202" s="19" t="n">
        <f aca="false">ROUND(E202+G202,2)</f>
        <v>2132.9</v>
      </c>
      <c r="I202" s="19" t="n">
        <f aca="false">ROUND(C202-F202-G202,2)</f>
        <v>112181.16</v>
      </c>
      <c r="J202" s="19" t="n">
        <f aca="false">ROUND(J201+D202,2)</f>
        <v>186907.06</v>
      </c>
      <c r="K202" s="19" t="n">
        <f aca="false">ROUND(K201+F202+G202,2)</f>
        <v>187818.84</v>
      </c>
      <c r="M202" s="19" t="n">
        <f aca="false">Q201</f>
        <v>184441.87</v>
      </c>
      <c r="N202" s="19" t="n">
        <f aca="false">ROUND(M202*$C$16,2)</f>
        <v>922.21</v>
      </c>
      <c r="O202" s="19" t="n">
        <f aca="false">IF(M202&lt;=0,0,ROUND(CHOOSE($C$10,IF(A202=$C$17,M202+N202,MIN($C$18,M202+N202)),IF(A202=$C$17,M202,MIN($C$19,M202))+N202,IF(A202=$C$17,M202,0)+N202),2))</f>
        <v>1932.9</v>
      </c>
      <c r="P202" s="19" t="n">
        <f aca="false">IF(M202&lt;=0,0,MAX(0,ROUND(O202-N202,2)))</f>
        <v>1010.69</v>
      </c>
      <c r="Q202" s="19" t="n">
        <f aca="false">ROUND(M202-P202,2)</f>
        <v>183431.18</v>
      </c>
    </row>
    <row r="203" customFormat="false" ht="15" hidden="false" customHeight="false" outlineLevel="0" collapsed="false">
      <c r="A203" s="24" t="n">
        <f aca="false">A202+1</f>
        <v>172</v>
      </c>
      <c r="B203" s="25" t="n">
        <f aca="false">IF(MOD(12,$C$7)=0,EDATE($C$9,(A203-1)*12/$C$7),$C$9+(A203-1)*ROUND(364/$C$7,0))</f>
        <v>51533</v>
      </c>
      <c r="C203" s="19" t="n">
        <f aca="false">I202</f>
        <v>112181.16</v>
      </c>
      <c r="D203" s="19" t="n">
        <f aca="false">ROUND(C203*$C$16,2)</f>
        <v>560.91</v>
      </c>
      <c r="E203" s="19" t="n">
        <f aca="false">IF(C203&lt;=0,0,ROUND(CHOOSE($C$10,IF(A203=$C$17,C203+D203,MIN($C$18,C203+D203)),IF(A203=$C$17,C203,MIN($C$19,C203))+D203,IF(A203=$C$17,C203,0)+D203),2))</f>
        <v>1932.9</v>
      </c>
      <c r="F203" s="19" t="n">
        <f aca="false">IF(C203&lt;=0,0,MAX(0,ROUND(E203-D203,2)))</f>
        <v>1371.99</v>
      </c>
      <c r="G203" s="19" t="n">
        <f aca="false">IF(C203&lt;=0,0,ROUND(MIN(MAX(0,C203-F203),MAX(0,IF(A203&gt;=$C$13,$C$12,0)+SUMIF($E$5:$E$14,A203,$F$5:$F$14))),2))</f>
        <v>200</v>
      </c>
      <c r="H203" s="19" t="n">
        <f aca="false">ROUND(E203+G203,2)</f>
        <v>2132.9</v>
      </c>
      <c r="I203" s="19" t="n">
        <f aca="false">ROUND(C203-F203-G203,2)</f>
        <v>110609.17</v>
      </c>
      <c r="J203" s="19" t="n">
        <f aca="false">ROUND(J202+D203,2)</f>
        <v>187467.97</v>
      </c>
      <c r="K203" s="19" t="n">
        <f aca="false">ROUND(K202+F203+G203,2)</f>
        <v>189390.83</v>
      </c>
      <c r="M203" s="19" t="n">
        <f aca="false">Q202</f>
        <v>183431.18</v>
      </c>
      <c r="N203" s="19" t="n">
        <f aca="false">ROUND(M203*$C$16,2)</f>
        <v>917.16</v>
      </c>
      <c r="O203" s="19" t="n">
        <f aca="false">IF(M203&lt;=0,0,ROUND(CHOOSE($C$10,IF(A203=$C$17,M203+N203,MIN($C$18,M203+N203)),IF(A203=$C$17,M203,MIN($C$19,M203))+N203,IF(A203=$C$17,M203,0)+N203),2))</f>
        <v>1932.9</v>
      </c>
      <c r="P203" s="19" t="n">
        <f aca="false">IF(M203&lt;=0,0,MAX(0,ROUND(O203-N203,2)))</f>
        <v>1015.74</v>
      </c>
      <c r="Q203" s="19" t="n">
        <f aca="false">ROUND(M203-P203,2)</f>
        <v>182415.44</v>
      </c>
    </row>
    <row r="204" customFormat="false" ht="15" hidden="false" customHeight="false" outlineLevel="0" collapsed="false">
      <c r="A204" s="24" t="n">
        <f aca="false">A203+1</f>
        <v>173</v>
      </c>
      <c r="B204" s="25" t="n">
        <f aca="false">IF(MOD(12,$C$7)=0,EDATE($C$9,(A204-1)*12/$C$7),$C$9+(A204-1)*ROUND(364/$C$7,0))</f>
        <v>51561</v>
      </c>
      <c r="C204" s="19" t="n">
        <f aca="false">I203</f>
        <v>110609.17</v>
      </c>
      <c r="D204" s="19" t="n">
        <f aca="false">ROUND(C204*$C$16,2)</f>
        <v>553.05</v>
      </c>
      <c r="E204" s="19" t="n">
        <f aca="false">IF(C204&lt;=0,0,ROUND(CHOOSE($C$10,IF(A204=$C$17,C204+D204,MIN($C$18,C204+D204)),IF(A204=$C$17,C204,MIN($C$19,C204))+D204,IF(A204=$C$17,C204,0)+D204),2))</f>
        <v>1932.9</v>
      </c>
      <c r="F204" s="19" t="n">
        <f aca="false">IF(C204&lt;=0,0,MAX(0,ROUND(E204-D204,2)))</f>
        <v>1379.85</v>
      </c>
      <c r="G204" s="19" t="n">
        <f aca="false">IF(C204&lt;=0,0,ROUND(MIN(MAX(0,C204-F204),MAX(0,IF(A204&gt;=$C$13,$C$12,0)+SUMIF($E$5:$E$14,A204,$F$5:$F$14))),2))</f>
        <v>200</v>
      </c>
      <c r="H204" s="19" t="n">
        <f aca="false">ROUND(E204+G204,2)</f>
        <v>2132.9</v>
      </c>
      <c r="I204" s="19" t="n">
        <f aca="false">ROUND(C204-F204-G204,2)</f>
        <v>109029.32</v>
      </c>
      <c r="J204" s="19" t="n">
        <f aca="false">ROUND(J203+D204,2)</f>
        <v>188021.02</v>
      </c>
      <c r="K204" s="19" t="n">
        <f aca="false">ROUND(K203+F204+G204,2)</f>
        <v>190970.68</v>
      </c>
      <c r="M204" s="19" t="n">
        <f aca="false">Q203</f>
        <v>182415.44</v>
      </c>
      <c r="N204" s="19" t="n">
        <f aca="false">ROUND(M204*$C$16,2)</f>
        <v>912.08</v>
      </c>
      <c r="O204" s="19" t="n">
        <f aca="false">IF(M204&lt;=0,0,ROUND(CHOOSE($C$10,IF(A204=$C$17,M204+N204,MIN($C$18,M204+N204)),IF(A204=$C$17,M204,MIN($C$19,M204))+N204,IF(A204=$C$17,M204,0)+N204),2))</f>
        <v>1932.9</v>
      </c>
      <c r="P204" s="19" t="n">
        <f aca="false">IF(M204&lt;=0,0,MAX(0,ROUND(O204-N204,2)))</f>
        <v>1020.82</v>
      </c>
      <c r="Q204" s="19" t="n">
        <f aca="false">ROUND(M204-P204,2)</f>
        <v>181394.62</v>
      </c>
    </row>
    <row r="205" customFormat="false" ht="15" hidden="false" customHeight="false" outlineLevel="0" collapsed="false">
      <c r="A205" s="24" t="n">
        <f aca="false">A204+1</f>
        <v>174</v>
      </c>
      <c r="B205" s="25" t="n">
        <f aca="false">IF(MOD(12,$C$7)=0,EDATE($C$9,(A205-1)*12/$C$7),$C$9+(A205-1)*ROUND(364/$C$7,0))</f>
        <v>51592</v>
      </c>
      <c r="C205" s="19" t="n">
        <f aca="false">I204</f>
        <v>109029.32</v>
      </c>
      <c r="D205" s="19" t="n">
        <f aca="false">ROUND(C205*$C$16,2)</f>
        <v>545.15</v>
      </c>
      <c r="E205" s="19" t="n">
        <f aca="false">IF(C205&lt;=0,0,ROUND(CHOOSE($C$10,IF(A205=$C$17,C205+D205,MIN($C$18,C205+D205)),IF(A205=$C$17,C205,MIN($C$19,C205))+D205,IF(A205=$C$17,C205,0)+D205),2))</f>
        <v>1932.9</v>
      </c>
      <c r="F205" s="19" t="n">
        <f aca="false">IF(C205&lt;=0,0,MAX(0,ROUND(E205-D205,2)))</f>
        <v>1387.75</v>
      </c>
      <c r="G205" s="19" t="n">
        <f aca="false">IF(C205&lt;=0,0,ROUND(MIN(MAX(0,C205-F205),MAX(0,IF(A205&gt;=$C$13,$C$12,0)+SUMIF($E$5:$E$14,A205,$F$5:$F$14))),2))</f>
        <v>200</v>
      </c>
      <c r="H205" s="19" t="n">
        <f aca="false">ROUND(E205+G205,2)</f>
        <v>2132.9</v>
      </c>
      <c r="I205" s="19" t="n">
        <f aca="false">ROUND(C205-F205-G205,2)</f>
        <v>107441.57</v>
      </c>
      <c r="J205" s="19" t="n">
        <f aca="false">ROUND(J204+D205,2)</f>
        <v>188566.17</v>
      </c>
      <c r="K205" s="19" t="n">
        <f aca="false">ROUND(K204+F205+G205,2)</f>
        <v>192558.43</v>
      </c>
      <c r="M205" s="19" t="n">
        <f aca="false">Q204</f>
        <v>181394.62</v>
      </c>
      <c r="N205" s="19" t="n">
        <f aca="false">ROUND(M205*$C$16,2)</f>
        <v>906.97</v>
      </c>
      <c r="O205" s="19" t="n">
        <f aca="false">IF(M205&lt;=0,0,ROUND(CHOOSE($C$10,IF(A205=$C$17,M205+N205,MIN($C$18,M205+N205)),IF(A205=$C$17,M205,MIN($C$19,M205))+N205,IF(A205=$C$17,M205,0)+N205),2))</f>
        <v>1932.9</v>
      </c>
      <c r="P205" s="19" t="n">
        <f aca="false">IF(M205&lt;=0,0,MAX(0,ROUND(O205-N205,2)))</f>
        <v>1025.93</v>
      </c>
      <c r="Q205" s="19" t="n">
        <f aca="false">ROUND(M205-P205,2)</f>
        <v>180368.69</v>
      </c>
    </row>
    <row r="206" customFormat="false" ht="15" hidden="false" customHeight="false" outlineLevel="0" collapsed="false">
      <c r="A206" s="24" t="n">
        <f aca="false">A205+1</f>
        <v>175</v>
      </c>
      <c r="B206" s="25" t="n">
        <f aca="false">IF(MOD(12,$C$7)=0,EDATE($C$9,(A206-1)*12/$C$7),$C$9+(A206-1)*ROUND(364/$C$7,0))</f>
        <v>51622</v>
      </c>
      <c r="C206" s="19" t="n">
        <f aca="false">I205</f>
        <v>107441.57</v>
      </c>
      <c r="D206" s="19" t="n">
        <f aca="false">ROUND(C206*$C$16,2)</f>
        <v>537.21</v>
      </c>
      <c r="E206" s="19" t="n">
        <f aca="false">IF(C206&lt;=0,0,ROUND(CHOOSE($C$10,IF(A206=$C$17,C206+D206,MIN($C$18,C206+D206)),IF(A206=$C$17,C206,MIN($C$19,C206))+D206,IF(A206=$C$17,C206,0)+D206),2))</f>
        <v>1932.9</v>
      </c>
      <c r="F206" s="19" t="n">
        <f aca="false">IF(C206&lt;=0,0,MAX(0,ROUND(E206-D206,2)))</f>
        <v>1395.69</v>
      </c>
      <c r="G206" s="19" t="n">
        <f aca="false">IF(C206&lt;=0,0,ROUND(MIN(MAX(0,C206-F206),MAX(0,IF(A206&gt;=$C$13,$C$12,0)+SUMIF($E$5:$E$14,A206,$F$5:$F$14))),2))</f>
        <v>200</v>
      </c>
      <c r="H206" s="19" t="n">
        <f aca="false">ROUND(E206+G206,2)</f>
        <v>2132.9</v>
      </c>
      <c r="I206" s="19" t="n">
        <f aca="false">ROUND(C206-F206-G206,2)</f>
        <v>105845.88</v>
      </c>
      <c r="J206" s="19" t="n">
        <f aca="false">ROUND(J205+D206,2)</f>
        <v>189103.38</v>
      </c>
      <c r="K206" s="19" t="n">
        <f aca="false">ROUND(K205+F206+G206,2)</f>
        <v>194154.12</v>
      </c>
      <c r="M206" s="19" t="n">
        <f aca="false">Q205</f>
        <v>180368.69</v>
      </c>
      <c r="N206" s="19" t="n">
        <f aca="false">ROUND(M206*$C$16,2)</f>
        <v>901.84</v>
      </c>
      <c r="O206" s="19" t="n">
        <f aca="false">IF(M206&lt;=0,0,ROUND(CHOOSE($C$10,IF(A206=$C$17,M206+N206,MIN($C$18,M206+N206)),IF(A206=$C$17,M206,MIN($C$19,M206))+N206,IF(A206=$C$17,M206,0)+N206),2))</f>
        <v>1932.9</v>
      </c>
      <c r="P206" s="19" t="n">
        <f aca="false">IF(M206&lt;=0,0,MAX(0,ROUND(O206-N206,2)))</f>
        <v>1031.06</v>
      </c>
      <c r="Q206" s="19" t="n">
        <f aca="false">ROUND(M206-P206,2)</f>
        <v>179337.63</v>
      </c>
    </row>
    <row r="207" customFormat="false" ht="15" hidden="false" customHeight="false" outlineLevel="0" collapsed="false">
      <c r="A207" s="24" t="n">
        <f aca="false">A206+1</f>
        <v>176</v>
      </c>
      <c r="B207" s="25" t="n">
        <f aca="false">IF(MOD(12,$C$7)=0,EDATE($C$9,(A207-1)*12/$C$7),$C$9+(A207-1)*ROUND(364/$C$7,0))</f>
        <v>51653</v>
      </c>
      <c r="C207" s="19" t="n">
        <f aca="false">I206</f>
        <v>105845.88</v>
      </c>
      <c r="D207" s="19" t="n">
        <f aca="false">ROUND(C207*$C$16,2)</f>
        <v>529.23</v>
      </c>
      <c r="E207" s="19" t="n">
        <f aca="false">IF(C207&lt;=0,0,ROUND(CHOOSE($C$10,IF(A207=$C$17,C207+D207,MIN($C$18,C207+D207)),IF(A207=$C$17,C207,MIN($C$19,C207))+D207,IF(A207=$C$17,C207,0)+D207),2))</f>
        <v>1932.9</v>
      </c>
      <c r="F207" s="19" t="n">
        <f aca="false">IF(C207&lt;=0,0,MAX(0,ROUND(E207-D207,2)))</f>
        <v>1403.67</v>
      </c>
      <c r="G207" s="19" t="n">
        <f aca="false">IF(C207&lt;=0,0,ROUND(MIN(MAX(0,C207-F207),MAX(0,IF(A207&gt;=$C$13,$C$12,0)+SUMIF($E$5:$E$14,A207,$F$5:$F$14))),2))</f>
        <v>200</v>
      </c>
      <c r="H207" s="19" t="n">
        <f aca="false">ROUND(E207+G207,2)</f>
        <v>2132.9</v>
      </c>
      <c r="I207" s="19" t="n">
        <f aca="false">ROUND(C207-F207-G207,2)</f>
        <v>104242.21</v>
      </c>
      <c r="J207" s="19" t="n">
        <f aca="false">ROUND(J206+D207,2)</f>
        <v>189632.61</v>
      </c>
      <c r="K207" s="19" t="n">
        <f aca="false">ROUND(K206+F207+G207,2)</f>
        <v>195757.79</v>
      </c>
      <c r="M207" s="19" t="n">
        <f aca="false">Q206</f>
        <v>179337.63</v>
      </c>
      <c r="N207" s="19" t="n">
        <f aca="false">ROUND(M207*$C$16,2)</f>
        <v>896.69</v>
      </c>
      <c r="O207" s="19" t="n">
        <f aca="false">IF(M207&lt;=0,0,ROUND(CHOOSE($C$10,IF(A207=$C$17,M207+N207,MIN($C$18,M207+N207)),IF(A207=$C$17,M207,MIN($C$19,M207))+N207,IF(A207=$C$17,M207,0)+N207),2))</f>
        <v>1932.9</v>
      </c>
      <c r="P207" s="19" t="n">
        <f aca="false">IF(M207&lt;=0,0,MAX(0,ROUND(O207-N207,2)))</f>
        <v>1036.21</v>
      </c>
      <c r="Q207" s="19" t="n">
        <f aca="false">ROUND(M207-P207,2)</f>
        <v>178301.42</v>
      </c>
    </row>
    <row r="208" customFormat="false" ht="15" hidden="false" customHeight="false" outlineLevel="0" collapsed="false">
      <c r="A208" s="24" t="n">
        <f aca="false">A207+1</f>
        <v>177</v>
      </c>
      <c r="B208" s="25" t="n">
        <f aca="false">IF(MOD(12,$C$7)=0,EDATE($C$9,(A208-1)*12/$C$7),$C$9+(A208-1)*ROUND(364/$C$7,0))</f>
        <v>51683</v>
      </c>
      <c r="C208" s="19" t="n">
        <f aca="false">I207</f>
        <v>104242.21</v>
      </c>
      <c r="D208" s="19" t="n">
        <f aca="false">ROUND(C208*$C$16,2)</f>
        <v>521.21</v>
      </c>
      <c r="E208" s="19" t="n">
        <f aca="false">IF(C208&lt;=0,0,ROUND(CHOOSE($C$10,IF(A208=$C$17,C208+D208,MIN($C$18,C208+D208)),IF(A208=$C$17,C208,MIN($C$19,C208))+D208,IF(A208=$C$17,C208,0)+D208),2))</f>
        <v>1932.9</v>
      </c>
      <c r="F208" s="19" t="n">
        <f aca="false">IF(C208&lt;=0,0,MAX(0,ROUND(E208-D208,2)))</f>
        <v>1411.69</v>
      </c>
      <c r="G208" s="19" t="n">
        <f aca="false">IF(C208&lt;=0,0,ROUND(MIN(MAX(0,C208-F208),MAX(0,IF(A208&gt;=$C$13,$C$12,0)+SUMIF($E$5:$E$14,A208,$F$5:$F$14))),2))</f>
        <v>200</v>
      </c>
      <c r="H208" s="19" t="n">
        <f aca="false">ROUND(E208+G208,2)</f>
        <v>2132.9</v>
      </c>
      <c r="I208" s="19" t="n">
        <f aca="false">ROUND(C208-F208-G208,2)</f>
        <v>102630.52</v>
      </c>
      <c r="J208" s="19" t="n">
        <f aca="false">ROUND(J207+D208,2)</f>
        <v>190153.82</v>
      </c>
      <c r="K208" s="19" t="n">
        <f aca="false">ROUND(K207+F208+G208,2)</f>
        <v>197369.48</v>
      </c>
      <c r="M208" s="19" t="n">
        <f aca="false">Q207</f>
        <v>178301.42</v>
      </c>
      <c r="N208" s="19" t="n">
        <f aca="false">ROUND(M208*$C$16,2)</f>
        <v>891.51</v>
      </c>
      <c r="O208" s="19" t="n">
        <f aca="false">IF(M208&lt;=0,0,ROUND(CHOOSE($C$10,IF(A208=$C$17,M208+N208,MIN($C$18,M208+N208)),IF(A208=$C$17,M208,MIN($C$19,M208))+N208,IF(A208=$C$17,M208,0)+N208),2))</f>
        <v>1932.9</v>
      </c>
      <c r="P208" s="19" t="n">
        <f aca="false">IF(M208&lt;=0,0,MAX(0,ROUND(O208-N208,2)))</f>
        <v>1041.39</v>
      </c>
      <c r="Q208" s="19" t="n">
        <f aca="false">ROUND(M208-P208,2)</f>
        <v>177260.03</v>
      </c>
    </row>
    <row r="209" customFormat="false" ht="15" hidden="false" customHeight="false" outlineLevel="0" collapsed="false">
      <c r="A209" s="24" t="n">
        <f aca="false">A208+1</f>
        <v>178</v>
      </c>
      <c r="B209" s="25" t="n">
        <f aca="false">IF(MOD(12,$C$7)=0,EDATE($C$9,(A209-1)*12/$C$7),$C$9+(A209-1)*ROUND(364/$C$7,0))</f>
        <v>51714</v>
      </c>
      <c r="C209" s="19" t="n">
        <f aca="false">I208</f>
        <v>102630.52</v>
      </c>
      <c r="D209" s="19" t="n">
        <f aca="false">ROUND(C209*$C$16,2)</f>
        <v>513.15</v>
      </c>
      <c r="E209" s="19" t="n">
        <f aca="false">IF(C209&lt;=0,0,ROUND(CHOOSE($C$10,IF(A209=$C$17,C209+D209,MIN($C$18,C209+D209)),IF(A209=$C$17,C209,MIN($C$19,C209))+D209,IF(A209=$C$17,C209,0)+D209),2))</f>
        <v>1932.9</v>
      </c>
      <c r="F209" s="19" t="n">
        <f aca="false">IF(C209&lt;=0,0,MAX(0,ROUND(E209-D209,2)))</f>
        <v>1419.75</v>
      </c>
      <c r="G209" s="19" t="n">
        <f aca="false">IF(C209&lt;=0,0,ROUND(MIN(MAX(0,C209-F209),MAX(0,IF(A209&gt;=$C$13,$C$12,0)+SUMIF($E$5:$E$14,A209,$F$5:$F$14))),2))</f>
        <v>200</v>
      </c>
      <c r="H209" s="19" t="n">
        <f aca="false">ROUND(E209+G209,2)</f>
        <v>2132.9</v>
      </c>
      <c r="I209" s="19" t="n">
        <f aca="false">ROUND(C209-F209-G209,2)</f>
        <v>101010.77</v>
      </c>
      <c r="J209" s="19" t="n">
        <f aca="false">ROUND(J208+D209,2)</f>
        <v>190666.97</v>
      </c>
      <c r="K209" s="19" t="n">
        <f aca="false">ROUND(K208+F209+G209,2)</f>
        <v>198989.23</v>
      </c>
      <c r="M209" s="19" t="n">
        <f aca="false">Q208</f>
        <v>177260.03</v>
      </c>
      <c r="N209" s="19" t="n">
        <f aca="false">ROUND(M209*$C$16,2)</f>
        <v>886.3</v>
      </c>
      <c r="O209" s="19" t="n">
        <f aca="false">IF(M209&lt;=0,0,ROUND(CHOOSE($C$10,IF(A209=$C$17,M209+N209,MIN($C$18,M209+N209)),IF(A209=$C$17,M209,MIN($C$19,M209))+N209,IF(A209=$C$17,M209,0)+N209),2))</f>
        <v>1932.9</v>
      </c>
      <c r="P209" s="19" t="n">
        <f aca="false">IF(M209&lt;=0,0,MAX(0,ROUND(O209-N209,2)))</f>
        <v>1046.6</v>
      </c>
      <c r="Q209" s="19" t="n">
        <f aca="false">ROUND(M209-P209,2)</f>
        <v>176213.43</v>
      </c>
    </row>
    <row r="210" customFormat="false" ht="15" hidden="false" customHeight="false" outlineLevel="0" collapsed="false">
      <c r="A210" s="24" t="n">
        <f aca="false">A209+1</f>
        <v>179</v>
      </c>
      <c r="B210" s="25" t="n">
        <f aca="false">IF(MOD(12,$C$7)=0,EDATE($C$9,(A210-1)*12/$C$7),$C$9+(A210-1)*ROUND(364/$C$7,0))</f>
        <v>51745</v>
      </c>
      <c r="C210" s="19" t="n">
        <f aca="false">I209</f>
        <v>101010.77</v>
      </c>
      <c r="D210" s="19" t="n">
        <f aca="false">ROUND(C210*$C$16,2)</f>
        <v>505.05</v>
      </c>
      <c r="E210" s="19" t="n">
        <f aca="false">IF(C210&lt;=0,0,ROUND(CHOOSE($C$10,IF(A210=$C$17,C210+D210,MIN($C$18,C210+D210)),IF(A210=$C$17,C210,MIN($C$19,C210))+D210,IF(A210=$C$17,C210,0)+D210),2))</f>
        <v>1932.9</v>
      </c>
      <c r="F210" s="19" t="n">
        <f aca="false">IF(C210&lt;=0,0,MAX(0,ROUND(E210-D210,2)))</f>
        <v>1427.85</v>
      </c>
      <c r="G210" s="19" t="n">
        <f aca="false">IF(C210&lt;=0,0,ROUND(MIN(MAX(0,C210-F210),MAX(0,IF(A210&gt;=$C$13,$C$12,0)+SUMIF($E$5:$E$14,A210,$F$5:$F$14))),2))</f>
        <v>200</v>
      </c>
      <c r="H210" s="19" t="n">
        <f aca="false">ROUND(E210+G210,2)</f>
        <v>2132.9</v>
      </c>
      <c r="I210" s="19" t="n">
        <f aca="false">ROUND(C210-F210-G210,2)</f>
        <v>99382.92</v>
      </c>
      <c r="J210" s="19" t="n">
        <f aca="false">ROUND(J209+D210,2)</f>
        <v>191172.02</v>
      </c>
      <c r="K210" s="19" t="n">
        <f aca="false">ROUND(K209+F210+G210,2)</f>
        <v>200617.08</v>
      </c>
      <c r="M210" s="19" t="n">
        <f aca="false">Q209</f>
        <v>176213.43</v>
      </c>
      <c r="N210" s="19" t="n">
        <f aca="false">ROUND(M210*$C$16,2)</f>
        <v>881.07</v>
      </c>
      <c r="O210" s="19" t="n">
        <f aca="false">IF(M210&lt;=0,0,ROUND(CHOOSE($C$10,IF(A210=$C$17,M210+N210,MIN($C$18,M210+N210)),IF(A210=$C$17,M210,MIN($C$19,M210))+N210,IF(A210=$C$17,M210,0)+N210),2))</f>
        <v>1932.9</v>
      </c>
      <c r="P210" s="19" t="n">
        <f aca="false">IF(M210&lt;=0,0,MAX(0,ROUND(O210-N210,2)))</f>
        <v>1051.83</v>
      </c>
      <c r="Q210" s="19" t="n">
        <f aca="false">ROUND(M210-P210,2)</f>
        <v>175161.6</v>
      </c>
    </row>
    <row r="211" customFormat="false" ht="15" hidden="false" customHeight="false" outlineLevel="0" collapsed="false">
      <c r="A211" s="24" t="n">
        <f aca="false">A210+1</f>
        <v>180</v>
      </c>
      <c r="B211" s="25" t="n">
        <f aca="false">IF(MOD(12,$C$7)=0,EDATE($C$9,(A211-1)*12/$C$7),$C$9+(A211-1)*ROUND(364/$C$7,0))</f>
        <v>51775</v>
      </c>
      <c r="C211" s="19" t="n">
        <f aca="false">I210</f>
        <v>99382.92</v>
      </c>
      <c r="D211" s="19" t="n">
        <f aca="false">ROUND(C211*$C$16,2)</f>
        <v>496.91</v>
      </c>
      <c r="E211" s="19" t="n">
        <f aca="false">IF(C211&lt;=0,0,ROUND(CHOOSE($C$10,IF(A211=$C$17,C211+D211,MIN($C$18,C211+D211)),IF(A211=$C$17,C211,MIN($C$19,C211))+D211,IF(A211=$C$17,C211,0)+D211),2))</f>
        <v>1932.9</v>
      </c>
      <c r="F211" s="19" t="n">
        <f aca="false">IF(C211&lt;=0,0,MAX(0,ROUND(E211-D211,2)))</f>
        <v>1435.99</v>
      </c>
      <c r="G211" s="19" t="n">
        <f aca="false">IF(C211&lt;=0,0,ROUND(MIN(MAX(0,C211-F211),MAX(0,IF(A211&gt;=$C$13,$C$12,0)+SUMIF($E$5:$E$14,A211,$F$5:$F$14))),2))</f>
        <v>200</v>
      </c>
      <c r="H211" s="19" t="n">
        <f aca="false">ROUND(E211+G211,2)</f>
        <v>2132.9</v>
      </c>
      <c r="I211" s="19" t="n">
        <f aca="false">ROUND(C211-F211-G211,2)</f>
        <v>97746.93</v>
      </c>
      <c r="J211" s="19" t="n">
        <f aca="false">ROUND(J210+D211,2)</f>
        <v>191668.93</v>
      </c>
      <c r="K211" s="19" t="n">
        <f aca="false">ROUND(K210+F211+G211,2)</f>
        <v>202253.07</v>
      </c>
      <c r="M211" s="19" t="n">
        <f aca="false">Q210</f>
        <v>175161.6</v>
      </c>
      <c r="N211" s="19" t="n">
        <f aca="false">ROUND(M211*$C$16,2)</f>
        <v>875.81</v>
      </c>
      <c r="O211" s="19" t="n">
        <f aca="false">IF(M211&lt;=0,0,ROUND(CHOOSE($C$10,IF(A211=$C$17,M211+N211,MIN($C$18,M211+N211)),IF(A211=$C$17,M211,MIN($C$19,M211))+N211,IF(A211=$C$17,M211,0)+N211),2))</f>
        <v>1932.9</v>
      </c>
      <c r="P211" s="19" t="n">
        <f aca="false">IF(M211&lt;=0,0,MAX(0,ROUND(O211-N211,2)))</f>
        <v>1057.09</v>
      </c>
      <c r="Q211" s="19" t="n">
        <f aca="false">ROUND(M211-P211,2)</f>
        <v>174104.51</v>
      </c>
    </row>
    <row r="212" customFormat="false" ht="15" hidden="false" customHeight="false" outlineLevel="0" collapsed="false">
      <c r="A212" s="24" t="n">
        <f aca="false">A211+1</f>
        <v>181</v>
      </c>
      <c r="B212" s="25" t="n">
        <f aca="false">IF(MOD(12,$C$7)=0,EDATE($C$9,(A212-1)*12/$C$7),$C$9+(A212-1)*ROUND(364/$C$7,0))</f>
        <v>51806</v>
      </c>
      <c r="C212" s="19" t="n">
        <f aca="false">I211</f>
        <v>97746.93</v>
      </c>
      <c r="D212" s="19" t="n">
        <f aca="false">ROUND(C212*$C$16,2)</f>
        <v>488.73</v>
      </c>
      <c r="E212" s="19" t="n">
        <f aca="false">IF(C212&lt;=0,0,ROUND(CHOOSE($C$10,IF(A212=$C$17,C212+D212,MIN($C$18,C212+D212)),IF(A212=$C$17,C212,MIN($C$19,C212))+D212,IF(A212=$C$17,C212,0)+D212),2))</f>
        <v>1932.9</v>
      </c>
      <c r="F212" s="19" t="n">
        <f aca="false">IF(C212&lt;=0,0,MAX(0,ROUND(E212-D212,2)))</f>
        <v>1444.17</v>
      </c>
      <c r="G212" s="19" t="n">
        <f aca="false">IF(C212&lt;=0,0,ROUND(MIN(MAX(0,C212-F212),MAX(0,IF(A212&gt;=$C$13,$C$12,0)+SUMIF($E$5:$E$14,A212,$F$5:$F$14))),2))</f>
        <v>200</v>
      </c>
      <c r="H212" s="19" t="n">
        <f aca="false">ROUND(E212+G212,2)</f>
        <v>2132.9</v>
      </c>
      <c r="I212" s="19" t="n">
        <f aca="false">ROUND(C212-F212-G212,2)</f>
        <v>96102.76</v>
      </c>
      <c r="J212" s="19" t="n">
        <f aca="false">ROUND(J211+D212,2)</f>
        <v>192157.66</v>
      </c>
      <c r="K212" s="19" t="n">
        <f aca="false">ROUND(K211+F212+G212,2)</f>
        <v>203897.24</v>
      </c>
      <c r="M212" s="19" t="n">
        <f aca="false">Q211</f>
        <v>174104.51</v>
      </c>
      <c r="N212" s="19" t="n">
        <f aca="false">ROUND(M212*$C$16,2)</f>
        <v>870.52</v>
      </c>
      <c r="O212" s="19" t="n">
        <f aca="false">IF(M212&lt;=0,0,ROUND(CHOOSE($C$10,IF(A212=$C$17,M212+N212,MIN($C$18,M212+N212)),IF(A212=$C$17,M212,MIN($C$19,M212))+N212,IF(A212=$C$17,M212,0)+N212),2))</f>
        <v>1932.9</v>
      </c>
      <c r="P212" s="19" t="n">
        <f aca="false">IF(M212&lt;=0,0,MAX(0,ROUND(O212-N212,2)))</f>
        <v>1062.38</v>
      </c>
      <c r="Q212" s="19" t="n">
        <f aca="false">ROUND(M212-P212,2)</f>
        <v>173042.13</v>
      </c>
    </row>
    <row r="213" customFormat="false" ht="15" hidden="false" customHeight="false" outlineLevel="0" collapsed="false">
      <c r="A213" s="24" t="n">
        <f aca="false">A212+1</f>
        <v>182</v>
      </c>
      <c r="B213" s="25" t="n">
        <f aca="false">IF(MOD(12,$C$7)=0,EDATE($C$9,(A213-1)*12/$C$7),$C$9+(A213-1)*ROUND(364/$C$7,0))</f>
        <v>51836</v>
      </c>
      <c r="C213" s="19" t="n">
        <f aca="false">I212</f>
        <v>96102.76</v>
      </c>
      <c r="D213" s="19" t="n">
        <f aca="false">ROUND(C213*$C$16,2)</f>
        <v>480.51</v>
      </c>
      <c r="E213" s="19" t="n">
        <f aca="false">IF(C213&lt;=0,0,ROUND(CHOOSE($C$10,IF(A213=$C$17,C213+D213,MIN($C$18,C213+D213)),IF(A213=$C$17,C213,MIN($C$19,C213))+D213,IF(A213=$C$17,C213,0)+D213),2))</f>
        <v>1932.9</v>
      </c>
      <c r="F213" s="19" t="n">
        <f aca="false">IF(C213&lt;=0,0,MAX(0,ROUND(E213-D213,2)))</f>
        <v>1452.39</v>
      </c>
      <c r="G213" s="19" t="n">
        <f aca="false">IF(C213&lt;=0,0,ROUND(MIN(MAX(0,C213-F213),MAX(0,IF(A213&gt;=$C$13,$C$12,0)+SUMIF($E$5:$E$14,A213,$F$5:$F$14))),2))</f>
        <v>200</v>
      </c>
      <c r="H213" s="19" t="n">
        <f aca="false">ROUND(E213+G213,2)</f>
        <v>2132.9</v>
      </c>
      <c r="I213" s="19" t="n">
        <f aca="false">ROUND(C213-F213-G213,2)</f>
        <v>94450.37</v>
      </c>
      <c r="J213" s="19" t="n">
        <f aca="false">ROUND(J212+D213,2)</f>
        <v>192638.17</v>
      </c>
      <c r="K213" s="19" t="n">
        <f aca="false">ROUND(K212+F213+G213,2)</f>
        <v>205549.63</v>
      </c>
      <c r="M213" s="19" t="n">
        <f aca="false">Q212</f>
        <v>173042.13</v>
      </c>
      <c r="N213" s="19" t="n">
        <f aca="false">ROUND(M213*$C$16,2)</f>
        <v>865.21</v>
      </c>
      <c r="O213" s="19" t="n">
        <f aca="false">IF(M213&lt;=0,0,ROUND(CHOOSE($C$10,IF(A213=$C$17,M213+N213,MIN($C$18,M213+N213)),IF(A213=$C$17,M213,MIN($C$19,M213))+N213,IF(A213=$C$17,M213,0)+N213),2))</f>
        <v>1932.9</v>
      </c>
      <c r="P213" s="19" t="n">
        <f aca="false">IF(M213&lt;=0,0,MAX(0,ROUND(O213-N213,2)))</f>
        <v>1067.69</v>
      </c>
      <c r="Q213" s="19" t="n">
        <f aca="false">ROUND(M213-P213,2)</f>
        <v>171974.44</v>
      </c>
    </row>
    <row r="214" customFormat="false" ht="15" hidden="false" customHeight="false" outlineLevel="0" collapsed="false">
      <c r="A214" s="24" t="n">
        <f aca="false">A213+1</f>
        <v>183</v>
      </c>
      <c r="B214" s="25" t="n">
        <f aca="false">IF(MOD(12,$C$7)=0,EDATE($C$9,(A214-1)*12/$C$7),$C$9+(A214-1)*ROUND(364/$C$7,0))</f>
        <v>51867</v>
      </c>
      <c r="C214" s="19" t="n">
        <f aca="false">I213</f>
        <v>94450.37</v>
      </c>
      <c r="D214" s="19" t="n">
        <f aca="false">ROUND(C214*$C$16,2)</f>
        <v>472.25</v>
      </c>
      <c r="E214" s="19" t="n">
        <f aca="false">IF(C214&lt;=0,0,ROUND(CHOOSE($C$10,IF(A214=$C$17,C214+D214,MIN($C$18,C214+D214)),IF(A214=$C$17,C214,MIN($C$19,C214))+D214,IF(A214=$C$17,C214,0)+D214),2))</f>
        <v>1932.9</v>
      </c>
      <c r="F214" s="19" t="n">
        <f aca="false">IF(C214&lt;=0,0,MAX(0,ROUND(E214-D214,2)))</f>
        <v>1460.65</v>
      </c>
      <c r="G214" s="19" t="n">
        <f aca="false">IF(C214&lt;=0,0,ROUND(MIN(MAX(0,C214-F214),MAX(0,IF(A214&gt;=$C$13,$C$12,0)+SUMIF($E$5:$E$14,A214,$F$5:$F$14))),2))</f>
        <v>200</v>
      </c>
      <c r="H214" s="19" t="n">
        <f aca="false">ROUND(E214+G214,2)</f>
        <v>2132.9</v>
      </c>
      <c r="I214" s="19" t="n">
        <f aca="false">ROUND(C214-F214-G214,2)</f>
        <v>92789.72</v>
      </c>
      <c r="J214" s="19" t="n">
        <f aca="false">ROUND(J213+D214,2)</f>
        <v>193110.42</v>
      </c>
      <c r="K214" s="19" t="n">
        <f aca="false">ROUND(K213+F214+G214,2)</f>
        <v>207210.28</v>
      </c>
      <c r="M214" s="19" t="n">
        <f aca="false">Q213</f>
        <v>171974.44</v>
      </c>
      <c r="N214" s="19" t="n">
        <f aca="false">ROUND(M214*$C$16,2)</f>
        <v>859.87</v>
      </c>
      <c r="O214" s="19" t="n">
        <f aca="false">IF(M214&lt;=0,0,ROUND(CHOOSE($C$10,IF(A214=$C$17,M214+N214,MIN($C$18,M214+N214)),IF(A214=$C$17,M214,MIN($C$19,M214))+N214,IF(A214=$C$17,M214,0)+N214),2))</f>
        <v>1932.9</v>
      </c>
      <c r="P214" s="19" t="n">
        <f aca="false">IF(M214&lt;=0,0,MAX(0,ROUND(O214-N214,2)))</f>
        <v>1073.03</v>
      </c>
      <c r="Q214" s="19" t="n">
        <f aca="false">ROUND(M214-P214,2)</f>
        <v>170901.41</v>
      </c>
    </row>
    <row r="215" customFormat="false" ht="15" hidden="false" customHeight="false" outlineLevel="0" collapsed="false">
      <c r="A215" s="24" t="n">
        <f aca="false">A214+1</f>
        <v>184</v>
      </c>
      <c r="B215" s="25" t="n">
        <f aca="false">IF(MOD(12,$C$7)=0,EDATE($C$9,(A215-1)*12/$C$7),$C$9+(A215-1)*ROUND(364/$C$7,0))</f>
        <v>51898</v>
      </c>
      <c r="C215" s="19" t="n">
        <f aca="false">I214</f>
        <v>92789.72</v>
      </c>
      <c r="D215" s="19" t="n">
        <f aca="false">ROUND(C215*$C$16,2)</f>
        <v>463.95</v>
      </c>
      <c r="E215" s="19" t="n">
        <f aca="false">IF(C215&lt;=0,0,ROUND(CHOOSE($C$10,IF(A215=$C$17,C215+D215,MIN($C$18,C215+D215)),IF(A215=$C$17,C215,MIN($C$19,C215))+D215,IF(A215=$C$17,C215,0)+D215),2))</f>
        <v>1932.9</v>
      </c>
      <c r="F215" s="19" t="n">
        <f aca="false">IF(C215&lt;=0,0,MAX(0,ROUND(E215-D215,2)))</f>
        <v>1468.95</v>
      </c>
      <c r="G215" s="19" t="n">
        <f aca="false">IF(C215&lt;=0,0,ROUND(MIN(MAX(0,C215-F215),MAX(0,IF(A215&gt;=$C$13,$C$12,0)+SUMIF($E$5:$E$14,A215,$F$5:$F$14))),2))</f>
        <v>200</v>
      </c>
      <c r="H215" s="19" t="n">
        <f aca="false">ROUND(E215+G215,2)</f>
        <v>2132.9</v>
      </c>
      <c r="I215" s="19" t="n">
        <f aca="false">ROUND(C215-F215-G215,2)</f>
        <v>91120.77</v>
      </c>
      <c r="J215" s="19" t="n">
        <f aca="false">ROUND(J214+D215,2)</f>
        <v>193574.37</v>
      </c>
      <c r="K215" s="19" t="n">
        <f aca="false">ROUND(K214+F215+G215,2)</f>
        <v>208879.23</v>
      </c>
      <c r="M215" s="19" t="n">
        <f aca="false">Q214</f>
        <v>170901.41</v>
      </c>
      <c r="N215" s="19" t="n">
        <f aca="false">ROUND(M215*$C$16,2)</f>
        <v>854.51</v>
      </c>
      <c r="O215" s="19" t="n">
        <f aca="false">IF(M215&lt;=0,0,ROUND(CHOOSE($C$10,IF(A215=$C$17,M215+N215,MIN($C$18,M215+N215)),IF(A215=$C$17,M215,MIN($C$19,M215))+N215,IF(A215=$C$17,M215,0)+N215),2))</f>
        <v>1932.9</v>
      </c>
      <c r="P215" s="19" t="n">
        <f aca="false">IF(M215&lt;=0,0,MAX(0,ROUND(O215-N215,2)))</f>
        <v>1078.39</v>
      </c>
      <c r="Q215" s="19" t="n">
        <f aca="false">ROUND(M215-P215,2)</f>
        <v>169823.02</v>
      </c>
    </row>
    <row r="216" customFormat="false" ht="15" hidden="false" customHeight="false" outlineLevel="0" collapsed="false">
      <c r="A216" s="24" t="n">
        <f aca="false">A215+1</f>
        <v>185</v>
      </c>
      <c r="B216" s="25" t="n">
        <f aca="false">IF(MOD(12,$C$7)=0,EDATE($C$9,(A216-1)*12/$C$7),$C$9+(A216-1)*ROUND(364/$C$7,0))</f>
        <v>51926</v>
      </c>
      <c r="C216" s="19" t="n">
        <f aca="false">I215</f>
        <v>91120.77</v>
      </c>
      <c r="D216" s="19" t="n">
        <f aca="false">ROUND(C216*$C$16,2)</f>
        <v>455.6</v>
      </c>
      <c r="E216" s="19" t="n">
        <f aca="false">IF(C216&lt;=0,0,ROUND(CHOOSE($C$10,IF(A216=$C$17,C216+D216,MIN($C$18,C216+D216)),IF(A216=$C$17,C216,MIN($C$19,C216))+D216,IF(A216=$C$17,C216,0)+D216),2))</f>
        <v>1932.9</v>
      </c>
      <c r="F216" s="19" t="n">
        <f aca="false">IF(C216&lt;=0,0,MAX(0,ROUND(E216-D216,2)))</f>
        <v>1477.3</v>
      </c>
      <c r="G216" s="19" t="n">
        <f aca="false">IF(C216&lt;=0,0,ROUND(MIN(MAX(0,C216-F216),MAX(0,IF(A216&gt;=$C$13,$C$12,0)+SUMIF($E$5:$E$14,A216,$F$5:$F$14))),2))</f>
        <v>200</v>
      </c>
      <c r="H216" s="19" t="n">
        <f aca="false">ROUND(E216+G216,2)</f>
        <v>2132.9</v>
      </c>
      <c r="I216" s="19" t="n">
        <f aca="false">ROUND(C216-F216-G216,2)</f>
        <v>89443.47</v>
      </c>
      <c r="J216" s="19" t="n">
        <f aca="false">ROUND(J215+D216,2)</f>
        <v>194029.97</v>
      </c>
      <c r="K216" s="19" t="n">
        <f aca="false">ROUND(K215+F216+G216,2)</f>
        <v>210556.53</v>
      </c>
      <c r="M216" s="19" t="n">
        <f aca="false">Q215</f>
        <v>169823.02</v>
      </c>
      <c r="N216" s="19" t="n">
        <f aca="false">ROUND(M216*$C$16,2)</f>
        <v>849.12</v>
      </c>
      <c r="O216" s="19" t="n">
        <f aca="false">IF(M216&lt;=0,0,ROUND(CHOOSE($C$10,IF(A216=$C$17,M216+N216,MIN($C$18,M216+N216)),IF(A216=$C$17,M216,MIN($C$19,M216))+N216,IF(A216=$C$17,M216,0)+N216),2))</f>
        <v>1932.9</v>
      </c>
      <c r="P216" s="19" t="n">
        <f aca="false">IF(M216&lt;=0,0,MAX(0,ROUND(O216-N216,2)))</f>
        <v>1083.78</v>
      </c>
      <c r="Q216" s="19" t="n">
        <f aca="false">ROUND(M216-P216,2)</f>
        <v>168739.24</v>
      </c>
    </row>
    <row r="217" customFormat="false" ht="15" hidden="false" customHeight="false" outlineLevel="0" collapsed="false">
      <c r="A217" s="24" t="n">
        <f aca="false">A216+1</f>
        <v>186</v>
      </c>
      <c r="B217" s="25" t="n">
        <f aca="false">IF(MOD(12,$C$7)=0,EDATE($C$9,(A217-1)*12/$C$7),$C$9+(A217-1)*ROUND(364/$C$7,0))</f>
        <v>51957</v>
      </c>
      <c r="C217" s="19" t="n">
        <f aca="false">I216</f>
        <v>89443.47</v>
      </c>
      <c r="D217" s="19" t="n">
        <f aca="false">ROUND(C217*$C$16,2)</f>
        <v>447.22</v>
      </c>
      <c r="E217" s="19" t="n">
        <f aca="false">IF(C217&lt;=0,0,ROUND(CHOOSE($C$10,IF(A217=$C$17,C217+D217,MIN($C$18,C217+D217)),IF(A217=$C$17,C217,MIN($C$19,C217))+D217,IF(A217=$C$17,C217,0)+D217),2))</f>
        <v>1932.9</v>
      </c>
      <c r="F217" s="19" t="n">
        <f aca="false">IF(C217&lt;=0,0,MAX(0,ROUND(E217-D217,2)))</f>
        <v>1485.68</v>
      </c>
      <c r="G217" s="19" t="n">
        <f aca="false">IF(C217&lt;=0,0,ROUND(MIN(MAX(0,C217-F217),MAX(0,IF(A217&gt;=$C$13,$C$12,0)+SUMIF($E$5:$E$14,A217,$F$5:$F$14))),2))</f>
        <v>200</v>
      </c>
      <c r="H217" s="19" t="n">
        <f aca="false">ROUND(E217+G217,2)</f>
        <v>2132.9</v>
      </c>
      <c r="I217" s="19" t="n">
        <f aca="false">ROUND(C217-F217-G217,2)</f>
        <v>87757.79</v>
      </c>
      <c r="J217" s="19" t="n">
        <f aca="false">ROUND(J216+D217,2)</f>
        <v>194477.19</v>
      </c>
      <c r="K217" s="19" t="n">
        <f aca="false">ROUND(K216+F217+G217,2)</f>
        <v>212242.21</v>
      </c>
      <c r="M217" s="19" t="n">
        <f aca="false">Q216</f>
        <v>168739.24</v>
      </c>
      <c r="N217" s="19" t="n">
        <f aca="false">ROUND(M217*$C$16,2)</f>
        <v>843.7</v>
      </c>
      <c r="O217" s="19" t="n">
        <f aca="false">IF(M217&lt;=0,0,ROUND(CHOOSE($C$10,IF(A217=$C$17,M217+N217,MIN($C$18,M217+N217)),IF(A217=$C$17,M217,MIN($C$19,M217))+N217,IF(A217=$C$17,M217,0)+N217),2))</f>
        <v>1932.9</v>
      </c>
      <c r="P217" s="19" t="n">
        <f aca="false">IF(M217&lt;=0,0,MAX(0,ROUND(O217-N217,2)))</f>
        <v>1089.2</v>
      </c>
      <c r="Q217" s="19" t="n">
        <f aca="false">ROUND(M217-P217,2)</f>
        <v>167650.04</v>
      </c>
    </row>
    <row r="218" customFormat="false" ht="15" hidden="false" customHeight="false" outlineLevel="0" collapsed="false">
      <c r="A218" s="24" t="n">
        <f aca="false">A217+1</f>
        <v>187</v>
      </c>
      <c r="B218" s="25" t="n">
        <f aca="false">IF(MOD(12,$C$7)=0,EDATE($C$9,(A218-1)*12/$C$7),$C$9+(A218-1)*ROUND(364/$C$7,0))</f>
        <v>51987</v>
      </c>
      <c r="C218" s="19" t="n">
        <f aca="false">I217</f>
        <v>87757.79</v>
      </c>
      <c r="D218" s="19" t="n">
        <f aca="false">ROUND(C218*$C$16,2)</f>
        <v>438.79</v>
      </c>
      <c r="E218" s="19" t="n">
        <f aca="false">IF(C218&lt;=0,0,ROUND(CHOOSE($C$10,IF(A218=$C$17,C218+D218,MIN($C$18,C218+D218)),IF(A218=$C$17,C218,MIN($C$19,C218))+D218,IF(A218=$C$17,C218,0)+D218),2))</f>
        <v>1932.9</v>
      </c>
      <c r="F218" s="19" t="n">
        <f aca="false">IF(C218&lt;=0,0,MAX(0,ROUND(E218-D218,2)))</f>
        <v>1494.11</v>
      </c>
      <c r="G218" s="19" t="n">
        <f aca="false">IF(C218&lt;=0,0,ROUND(MIN(MAX(0,C218-F218),MAX(0,IF(A218&gt;=$C$13,$C$12,0)+SUMIF($E$5:$E$14,A218,$F$5:$F$14))),2))</f>
        <v>200</v>
      </c>
      <c r="H218" s="19" t="n">
        <f aca="false">ROUND(E218+G218,2)</f>
        <v>2132.9</v>
      </c>
      <c r="I218" s="19" t="n">
        <f aca="false">ROUND(C218-F218-G218,2)</f>
        <v>86063.68</v>
      </c>
      <c r="J218" s="19" t="n">
        <f aca="false">ROUND(J217+D218,2)</f>
        <v>194915.98</v>
      </c>
      <c r="K218" s="19" t="n">
        <f aca="false">ROUND(K217+F218+G218,2)</f>
        <v>213936.32</v>
      </c>
      <c r="M218" s="19" t="n">
        <f aca="false">Q217</f>
        <v>167650.04</v>
      </c>
      <c r="N218" s="19" t="n">
        <f aca="false">ROUND(M218*$C$16,2)</f>
        <v>838.25</v>
      </c>
      <c r="O218" s="19" t="n">
        <f aca="false">IF(M218&lt;=0,0,ROUND(CHOOSE($C$10,IF(A218=$C$17,M218+N218,MIN($C$18,M218+N218)),IF(A218=$C$17,M218,MIN($C$19,M218))+N218,IF(A218=$C$17,M218,0)+N218),2))</f>
        <v>1932.9</v>
      </c>
      <c r="P218" s="19" t="n">
        <f aca="false">IF(M218&lt;=0,0,MAX(0,ROUND(O218-N218,2)))</f>
        <v>1094.65</v>
      </c>
      <c r="Q218" s="19" t="n">
        <f aca="false">ROUND(M218-P218,2)</f>
        <v>166555.39</v>
      </c>
    </row>
    <row r="219" customFormat="false" ht="15" hidden="false" customHeight="false" outlineLevel="0" collapsed="false">
      <c r="A219" s="24" t="n">
        <f aca="false">A218+1</f>
        <v>188</v>
      </c>
      <c r="B219" s="25" t="n">
        <f aca="false">IF(MOD(12,$C$7)=0,EDATE($C$9,(A219-1)*12/$C$7),$C$9+(A219-1)*ROUND(364/$C$7,0))</f>
        <v>52018</v>
      </c>
      <c r="C219" s="19" t="n">
        <f aca="false">I218</f>
        <v>86063.68</v>
      </c>
      <c r="D219" s="19" t="n">
        <f aca="false">ROUND(C219*$C$16,2)</f>
        <v>430.32</v>
      </c>
      <c r="E219" s="19" t="n">
        <f aca="false">IF(C219&lt;=0,0,ROUND(CHOOSE($C$10,IF(A219=$C$17,C219+D219,MIN($C$18,C219+D219)),IF(A219=$C$17,C219,MIN($C$19,C219))+D219,IF(A219=$C$17,C219,0)+D219),2))</f>
        <v>1932.9</v>
      </c>
      <c r="F219" s="19" t="n">
        <f aca="false">IF(C219&lt;=0,0,MAX(0,ROUND(E219-D219,2)))</f>
        <v>1502.58</v>
      </c>
      <c r="G219" s="19" t="n">
        <f aca="false">IF(C219&lt;=0,0,ROUND(MIN(MAX(0,C219-F219),MAX(0,IF(A219&gt;=$C$13,$C$12,0)+SUMIF($E$5:$E$14,A219,$F$5:$F$14))),2))</f>
        <v>200</v>
      </c>
      <c r="H219" s="19" t="n">
        <f aca="false">ROUND(E219+G219,2)</f>
        <v>2132.9</v>
      </c>
      <c r="I219" s="19" t="n">
        <f aca="false">ROUND(C219-F219-G219,2)</f>
        <v>84361.1</v>
      </c>
      <c r="J219" s="19" t="n">
        <f aca="false">ROUND(J218+D219,2)</f>
        <v>195346.3</v>
      </c>
      <c r="K219" s="19" t="n">
        <f aca="false">ROUND(K218+F219+G219,2)</f>
        <v>215638.9</v>
      </c>
      <c r="M219" s="19" t="n">
        <f aca="false">Q218</f>
        <v>166555.39</v>
      </c>
      <c r="N219" s="19" t="n">
        <f aca="false">ROUND(M219*$C$16,2)</f>
        <v>832.78</v>
      </c>
      <c r="O219" s="19" t="n">
        <f aca="false">IF(M219&lt;=0,0,ROUND(CHOOSE($C$10,IF(A219=$C$17,M219+N219,MIN($C$18,M219+N219)),IF(A219=$C$17,M219,MIN($C$19,M219))+N219,IF(A219=$C$17,M219,0)+N219),2))</f>
        <v>1932.9</v>
      </c>
      <c r="P219" s="19" t="n">
        <f aca="false">IF(M219&lt;=0,0,MAX(0,ROUND(O219-N219,2)))</f>
        <v>1100.12</v>
      </c>
      <c r="Q219" s="19" t="n">
        <f aca="false">ROUND(M219-P219,2)</f>
        <v>165455.27</v>
      </c>
    </row>
    <row r="220" customFormat="false" ht="15" hidden="false" customHeight="false" outlineLevel="0" collapsed="false">
      <c r="A220" s="24" t="n">
        <f aca="false">A219+1</f>
        <v>189</v>
      </c>
      <c r="B220" s="25" t="n">
        <f aca="false">IF(MOD(12,$C$7)=0,EDATE($C$9,(A220-1)*12/$C$7),$C$9+(A220-1)*ROUND(364/$C$7,0))</f>
        <v>52048</v>
      </c>
      <c r="C220" s="19" t="n">
        <f aca="false">I219</f>
        <v>84361.1</v>
      </c>
      <c r="D220" s="19" t="n">
        <f aca="false">ROUND(C220*$C$16,2)</f>
        <v>421.81</v>
      </c>
      <c r="E220" s="19" t="n">
        <f aca="false">IF(C220&lt;=0,0,ROUND(CHOOSE($C$10,IF(A220=$C$17,C220+D220,MIN($C$18,C220+D220)),IF(A220=$C$17,C220,MIN($C$19,C220))+D220,IF(A220=$C$17,C220,0)+D220),2))</f>
        <v>1932.9</v>
      </c>
      <c r="F220" s="19" t="n">
        <f aca="false">IF(C220&lt;=0,0,MAX(0,ROUND(E220-D220,2)))</f>
        <v>1511.09</v>
      </c>
      <c r="G220" s="19" t="n">
        <f aca="false">IF(C220&lt;=0,0,ROUND(MIN(MAX(0,C220-F220),MAX(0,IF(A220&gt;=$C$13,$C$12,0)+SUMIF($E$5:$E$14,A220,$F$5:$F$14))),2))</f>
        <v>200</v>
      </c>
      <c r="H220" s="19" t="n">
        <f aca="false">ROUND(E220+G220,2)</f>
        <v>2132.9</v>
      </c>
      <c r="I220" s="19" t="n">
        <f aca="false">ROUND(C220-F220-G220,2)</f>
        <v>82650.01</v>
      </c>
      <c r="J220" s="19" t="n">
        <f aca="false">ROUND(J219+D220,2)</f>
        <v>195768.11</v>
      </c>
      <c r="K220" s="19" t="n">
        <f aca="false">ROUND(K219+F220+G220,2)</f>
        <v>217349.99</v>
      </c>
      <c r="M220" s="19" t="n">
        <f aca="false">Q219</f>
        <v>165455.27</v>
      </c>
      <c r="N220" s="19" t="n">
        <f aca="false">ROUND(M220*$C$16,2)</f>
        <v>827.28</v>
      </c>
      <c r="O220" s="19" t="n">
        <f aca="false">IF(M220&lt;=0,0,ROUND(CHOOSE($C$10,IF(A220=$C$17,M220+N220,MIN($C$18,M220+N220)),IF(A220=$C$17,M220,MIN($C$19,M220))+N220,IF(A220=$C$17,M220,0)+N220),2))</f>
        <v>1932.9</v>
      </c>
      <c r="P220" s="19" t="n">
        <f aca="false">IF(M220&lt;=0,0,MAX(0,ROUND(O220-N220,2)))</f>
        <v>1105.62</v>
      </c>
      <c r="Q220" s="19" t="n">
        <f aca="false">ROUND(M220-P220,2)</f>
        <v>164349.65</v>
      </c>
    </row>
    <row r="221" customFormat="false" ht="15" hidden="false" customHeight="false" outlineLevel="0" collapsed="false">
      <c r="A221" s="24" t="n">
        <f aca="false">A220+1</f>
        <v>190</v>
      </c>
      <c r="B221" s="25" t="n">
        <f aca="false">IF(MOD(12,$C$7)=0,EDATE($C$9,(A221-1)*12/$C$7),$C$9+(A221-1)*ROUND(364/$C$7,0))</f>
        <v>52079</v>
      </c>
      <c r="C221" s="19" t="n">
        <f aca="false">I220</f>
        <v>82650.01</v>
      </c>
      <c r="D221" s="19" t="n">
        <f aca="false">ROUND(C221*$C$16,2)</f>
        <v>413.25</v>
      </c>
      <c r="E221" s="19" t="n">
        <f aca="false">IF(C221&lt;=0,0,ROUND(CHOOSE($C$10,IF(A221=$C$17,C221+D221,MIN($C$18,C221+D221)),IF(A221=$C$17,C221,MIN($C$19,C221))+D221,IF(A221=$C$17,C221,0)+D221),2))</f>
        <v>1932.9</v>
      </c>
      <c r="F221" s="19" t="n">
        <f aca="false">IF(C221&lt;=0,0,MAX(0,ROUND(E221-D221,2)))</f>
        <v>1519.65</v>
      </c>
      <c r="G221" s="19" t="n">
        <f aca="false">IF(C221&lt;=0,0,ROUND(MIN(MAX(0,C221-F221),MAX(0,IF(A221&gt;=$C$13,$C$12,0)+SUMIF($E$5:$E$14,A221,$F$5:$F$14))),2))</f>
        <v>200</v>
      </c>
      <c r="H221" s="19" t="n">
        <f aca="false">ROUND(E221+G221,2)</f>
        <v>2132.9</v>
      </c>
      <c r="I221" s="19" t="n">
        <f aca="false">ROUND(C221-F221-G221,2)</f>
        <v>80930.36</v>
      </c>
      <c r="J221" s="19" t="n">
        <f aca="false">ROUND(J220+D221,2)</f>
        <v>196181.36</v>
      </c>
      <c r="K221" s="19" t="n">
        <f aca="false">ROUND(K220+F221+G221,2)</f>
        <v>219069.64</v>
      </c>
      <c r="M221" s="19" t="n">
        <f aca="false">Q220</f>
        <v>164349.65</v>
      </c>
      <c r="N221" s="19" t="n">
        <f aca="false">ROUND(M221*$C$16,2)</f>
        <v>821.75</v>
      </c>
      <c r="O221" s="19" t="n">
        <f aca="false">IF(M221&lt;=0,0,ROUND(CHOOSE($C$10,IF(A221=$C$17,M221+N221,MIN($C$18,M221+N221)),IF(A221=$C$17,M221,MIN($C$19,M221))+N221,IF(A221=$C$17,M221,0)+N221),2))</f>
        <v>1932.9</v>
      </c>
      <c r="P221" s="19" t="n">
        <f aca="false">IF(M221&lt;=0,0,MAX(0,ROUND(O221-N221,2)))</f>
        <v>1111.15</v>
      </c>
      <c r="Q221" s="19" t="n">
        <f aca="false">ROUND(M221-P221,2)</f>
        <v>163238.5</v>
      </c>
    </row>
    <row r="222" customFormat="false" ht="15" hidden="false" customHeight="false" outlineLevel="0" collapsed="false">
      <c r="A222" s="24" t="n">
        <f aca="false">A221+1</f>
        <v>191</v>
      </c>
      <c r="B222" s="25" t="n">
        <f aca="false">IF(MOD(12,$C$7)=0,EDATE($C$9,(A222-1)*12/$C$7),$C$9+(A222-1)*ROUND(364/$C$7,0))</f>
        <v>52110</v>
      </c>
      <c r="C222" s="19" t="n">
        <f aca="false">I221</f>
        <v>80930.36</v>
      </c>
      <c r="D222" s="19" t="n">
        <f aca="false">ROUND(C222*$C$16,2)</f>
        <v>404.65</v>
      </c>
      <c r="E222" s="19" t="n">
        <f aca="false">IF(C222&lt;=0,0,ROUND(CHOOSE($C$10,IF(A222=$C$17,C222+D222,MIN($C$18,C222+D222)),IF(A222=$C$17,C222,MIN($C$19,C222))+D222,IF(A222=$C$17,C222,0)+D222),2))</f>
        <v>1932.9</v>
      </c>
      <c r="F222" s="19" t="n">
        <f aca="false">IF(C222&lt;=0,0,MAX(0,ROUND(E222-D222,2)))</f>
        <v>1528.25</v>
      </c>
      <c r="G222" s="19" t="n">
        <f aca="false">IF(C222&lt;=0,0,ROUND(MIN(MAX(0,C222-F222),MAX(0,IF(A222&gt;=$C$13,$C$12,0)+SUMIF($E$5:$E$14,A222,$F$5:$F$14))),2))</f>
        <v>200</v>
      </c>
      <c r="H222" s="19" t="n">
        <f aca="false">ROUND(E222+G222,2)</f>
        <v>2132.9</v>
      </c>
      <c r="I222" s="19" t="n">
        <f aca="false">ROUND(C222-F222-G222,2)</f>
        <v>79202.11</v>
      </c>
      <c r="J222" s="19" t="n">
        <f aca="false">ROUND(J221+D222,2)</f>
        <v>196586.01</v>
      </c>
      <c r="K222" s="19" t="n">
        <f aca="false">ROUND(K221+F222+G222,2)</f>
        <v>220797.89</v>
      </c>
      <c r="M222" s="19" t="n">
        <f aca="false">Q221</f>
        <v>163238.5</v>
      </c>
      <c r="N222" s="19" t="n">
        <f aca="false">ROUND(M222*$C$16,2)</f>
        <v>816.19</v>
      </c>
      <c r="O222" s="19" t="n">
        <f aca="false">IF(M222&lt;=0,0,ROUND(CHOOSE($C$10,IF(A222=$C$17,M222+N222,MIN($C$18,M222+N222)),IF(A222=$C$17,M222,MIN($C$19,M222))+N222,IF(A222=$C$17,M222,0)+N222),2))</f>
        <v>1932.9</v>
      </c>
      <c r="P222" s="19" t="n">
        <f aca="false">IF(M222&lt;=0,0,MAX(0,ROUND(O222-N222,2)))</f>
        <v>1116.71</v>
      </c>
      <c r="Q222" s="19" t="n">
        <f aca="false">ROUND(M222-P222,2)</f>
        <v>162121.79</v>
      </c>
    </row>
    <row r="223" customFormat="false" ht="15" hidden="false" customHeight="false" outlineLevel="0" collapsed="false">
      <c r="A223" s="24" t="n">
        <f aca="false">A222+1</f>
        <v>192</v>
      </c>
      <c r="B223" s="25" t="n">
        <f aca="false">IF(MOD(12,$C$7)=0,EDATE($C$9,(A223-1)*12/$C$7),$C$9+(A223-1)*ROUND(364/$C$7,0))</f>
        <v>52140</v>
      </c>
      <c r="C223" s="19" t="n">
        <f aca="false">I222</f>
        <v>79202.11</v>
      </c>
      <c r="D223" s="19" t="n">
        <f aca="false">ROUND(C223*$C$16,2)</f>
        <v>396.01</v>
      </c>
      <c r="E223" s="19" t="n">
        <f aca="false">IF(C223&lt;=0,0,ROUND(CHOOSE($C$10,IF(A223=$C$17,C223+D223,MIN($C$18,C223+D223)),IF(A223=$C$17,C223,MIN($C$19,C223))+D223,IF(A223=$C$17,C223,0)+D223),2))</f>
        <v>1932.9</v>
      </c>
      <c r="F223" s="19" t="n">
        <f aca="false">IF(C223&lt;=0,0,MAX(0,ROUND(E223-D223,2)))</f>
        <v>1536.89</v>
      </c>
      <c r="G223" s="19" t="n">
        <f aca="false">IF(C223&lt;=0,0,ROUND(MIN(MAX(0,C223-F223),MAX(0,IF(A223&gt;=$C$13,$C$12,0)+SUMIF($E$5:$E$14,A223,$F$5:$F$14))),2))</f>
        <v>200</v>
      </c>
      <c r="H223" s="19" t="n">
        <f aca="false">ROUND(E223+G223,2)</f>
        <v>2132.9</v>
      </c>
      <c r="I223" s="19" t="n">
        <f aca="false">ROUND(C223-F223-G223,2)</f>
        <v>77465.22</v>
      </c>
      <c r="J223" s="19" t="n">
        <f aca="false">ROUND(J222+D223,2)</f>
        <v>196982.02</v>
      </c>
      <c r="K223" s="19" t="n">
        <f aca="false">ROUND(K222+F223+G223,2)</f>
        <v>222534.78</v>
      </c>
      <c r="M223" s="19" t="n">
        <f aca="false">Q222</f>
        <v>162121.79</v>
      </c>
      <c r="N223" s="19" t="n">
        <f aca="false">ROUND(M223*$C$16,2)</f>
        <v>810.61</v>
      </c>
      <c r="O223" s="19" t="n">
        <f aca="false">IF(M223&lt;=0,0,ROUND(CHOOSE($C$10,IF(A223=$C$17,M223+N223,MIN($C$18,M223+N223)),IF(A223=$C$17,M223,MIN($C$19,M223))+N223,IF(A223=$C$17,M223,0)+N223),2))</f>
        <v>1932.9</v>
      </c>
      <c r="P223" s="19" t="n">
        <f aca="false">IF(M223&lt;=0,0,MAX(0,ROUND(O223-N223,2)))</f>
        <v>1122.29</v>
      </c>
      <c r="Q223" s="19" t="n">
        <f aca="false">ROUND(M223-P223,2)</f>
        <v>160999.5</v>
      </c>
    </row>
    <row r="224" customFormat="false" ht="15" hidden="false" customHeight="false" outlineLevel="0" collapsed="false">
      <c r="A224" s="24" t="n">
        <f aca="false">A223+1</f>
        <v>193</v>
      </c>
      <c r="B224" s="25" t="n">
        <f aca="false">IF(MOD(12,$C$7)=0,EDATE($C$9,(A224-1)*12/$C$7),$C$9+(A224-1)*ROUND(364/$C$7,0))</f>
        <v>52171</v>
      </c>
      <c r="C224" s="19" t="n">
        <f aca="false">I223</f>
        <v>77465.22</v>
      </c>
      <c r="D224" s="19" t="n">
        <f aca="false">ROUND(C224*$C$16,2)</f>
        <v>387.33</v>
      </c>
      <c r="E224" s="19" t="n">
        <f aca="false">IF(C224&lt;=0,0,ROUND(CHOOSE($C$10,IF(A224=$C$17,C224+D224,MIN($C$18,C224+D224)),IF(A224=$C$17,C224,MIN($C$19,C224))+D224,IF(A224=$C$17,C224,0)+D224),2))</f>
        <v>1932.9</v>
      </c>
      <c r="F224" s="19" t="n">
        <f aca="false">IF(C224&lt;=0,0,MAX(0,ROUND(E224-D224,2)))</f>
        <v>1545.57</v>
      </c>
      <c r="G224" s="19" t="n">
        <f aca="false">IF(C224&lt;=0,0,ROUND(MIN(MAX(0,C224-F224),MAX(0,IF(A224&gt;=$C$13,$C$12,0)+SUMIF($E$5:$E$14,A224,$F$5:$F$14))),2))</f>
        <v>200</v>
      </c>
      <c r="H224" s="19" t="n">
        <f aca="false">ROUND(E224+G224,2)</f>
        <v>2132.9</v>
      </c>
      <c r="I224" s="19" t="n">
        <f aca="false">ROUND(C224-F224-G224,2)</f>
        <v>75719.65</v>
      </c>
      <c r="J224" s="19" t="n">
        <f aca="false">ROUND(J223+D224,2)</f>
        <v>197369.35</v>
      </c>
      <c r="K224" s="19" t="n">
        <f aca="false">ROUND(K223+F224+G224,2)</f>
        <v>224280.35</v>
      </c>
      <c r="M224" s="19" t="n">
        <f aca="false">Q223</f>
        <v>160999.5</v>
      </c>
      <c r="N224" s="19" t="n">
        <f aca="false">ROUND(M224*$C$16,2)</f>
        <v>805</v>
      </c>
      <c r="O224" s="19" t="n">
        <f aca="false">IF(M224&lt;=0,0,ROUND(CHOOSE($C$10,IF(A224=$C$17,M224+N224,MIN($C$18,M224+N224)),IF(A224=$C$17,M224,MIN($C$19,M224))+N224,IF(A224=$C$17,M224,0)+N224),2))</f>
        <v>1932.9</v>
      </c>
      <c r="P224" s="19" t="n">
        <f aca="false">IF(M224&lt;=0,0,MAX(0,ROUND(O224-N224,2)))</f>
        <v>1127.9</v>
      </c>
      <c r="Q224" s="19" t="n">
        <f aca="false">ROUND(M224-P224,2)</f>
        <v>159871.6</v>
      </c>
    </row>
    <row r="225" customFormat="false" ht="15" hidden="false" customHeight="false" outlineLevel="0" collapsed="false">
      <c r="A225" s="24" t="n">
        <f aca="false">A224+1</f>
        <v>194</v>
      </c>
      <c r="B225" s="25" t="n">
        <f aca="false">IF(MOD(12,$C$7)=0,EDATE($C$9,(A225-1)*12/$C$7),$C$9+(A225-1)*ROUND(364/$C$7,0))</f>
        <v>52201</v>
      </c>
      <c r="C225" s="19" t="n">
        <f aca="false">I224</f>
        <v>75719.65</v>
      </c>
      <c r="D225" s="19" t="n">
        <f aca="false">ROUND(C225*$C$16,2)</f>
        <v>378.6</v>
      </c>
      <c r="E225" s="19" t="n">
        <f aca="false">IF(C225&lt;=0,0,ROUND(CHOOSE($C$10,IF(A225=$C$17,C225+D225,MIN($C$18,C225+D225)),IF(A225=$C$17,C225,MIN($C$19,C225))+D225,IF(A225=$C$17,C225,0)+D225),2))</f>
        <v>1932.9</v>
      </c>
      <c r="F225" s="19" t="n">
        <f aca="false">IF(C225&lt;=0,0,MAX(0,ROUND(E225-D225,2)))</f>
        <v>1554.3</v>
      </c>
      <c r="G225" s="19" t="n">
        <f aca="false">IF(C225&lt;=0,0,ROUND(MIN(MAX(0,C225-F225),MAX(0,IF(A225&gt;=$C$13,$C$12,0)+SUMIF($E$5:$E$14,A225,$F$5:$F$14))),2))</f>
        <v>200</v>
      </c>
      <c r="H225" s="19" t="n">
        <f aca="false">ROUND(E225+G225,2)</f>
        <v>2132.9</v>
      </c>
      <c r="I225" s="19" t="n">
        <f aca="false">ROUND(C225-F225-G225,2)</f>
        <v>73965.35</v>
      </c>
      <c r="J225" s="19" t="n">
        <f aca="false">ROUND(J224+D225,2)</f>
        <v>197747.95</v>
      </c>
      <c r="K225" s="19" t="n">
        <f aca="false">ROUND(K224+F225+G225,2)</f>
        <v>226034.65</v>
      </c>
      <c r="M225" s="19" t="n">
        <f aca="false">Q224</f>
        <v>159871.6</v>
      </c>
      <c r="N225" s="19" t="n">
        <f aca="false">ROUND(M225*$C$16,2)</f>
        <v>799.36</v>
      </c>
      <c r="O225" s="19" t="n">
        <f aca="false">IF(M225&lt;=0,0,ROUND(CHOOSE($C$10,IF(A225=$C$17,M225+N225,MIN($C$18,M225+N225)),IF(A225=$C$17,M225,MIN($C$19,M225))+N225,IF(A225=$C$17,M225,0)+N225),2))</f>
        <v>1932.9</v>
      </c>
      <c r="P225" s="19" t="n">
        <f aca="false">IF(M225&lt;=0,0,MAX(0,ROUND(O225-N225,2)))</f>
        <v>1133.54</v>
      </c>
      <c r="Q225" s="19" t="n">
        <f aca="false">ROUND(M225-P225,2)</f>
        <v>158738.06</v>
      </c>
    </row>
    <row r="226" customFormat="false" ht="15" hidden="false" customHeight="false" outlineLevel="0" collapsed="false">
      <c r="A226" s="24" t="n">
        <f aca="false">A225+1</f>
        <v>195</v>
      </c>
      <c r="B226" s="25" t="n">
        <f aca="false">IF(MOD(12,$C$7)=0,EDATE($C$9,(A226-1)*12/$C$7),$C$9+(A226-1)*ROUND(364/$C$7,0))</f>
        <v>52232</v>
      </c>
      <c r="C226" s="19" t="n">
        <f aca="false">I225</f>
        <v>73965.35</v>
      </c>
      <c r="D226" s="19" t="n">
        <f aca="false">ROUND(C226*$C$16,2)</f>
        <v>369.83</v>
      </c>
      <c r="E226" s="19" t="n">
        <f aca="false">IF(C226&lt;=0,0,ROUND(CHOOSE($C$10,IF(A226=$C$17,C226+D226,MIN($C$18,C226+D226)),IF(A226=$C$17,C226,MIN($C$19,C226))+D226,IF(A226=$C$17,C226,0)+D226),2))</f>
        <v>1932.9</v>
      </c>
      <c r="F226" s="19" t="n">
        <f aca="false">IF(C226&lt;=0,0,MAX(0,ROUND(E226-D226,2)))</f>
        <v>1563.07</v>
      </c>
      <c r="G226" s="19" t="n">
        <f aca="false">IF(C226&lt;=0,0,ROUND(MIN(MAX(0,C226-F226),MAX(0,IF(A226&gt;=$C$13,$C$12,0)+SUMIF($E$5:$E$14,A226,$F$5:$F$14))),2))</f>
        <v>200</v>
      </c>
      <c r="H226" s="19" t="n">
        <f aca="false">ROUND(E226+G226,2)</f>
        <v>2132.9</v>
      </c>
      <c r="I226" s="19" t="n">
        <f aca="false">ROUND(C226-F226-G226,2)</f>
        <v>72202.28</v>
      </c>
      <c r="J226" s="19" t="n">
        <f aca="false">ROUND(J225+D226,2)</f>
        <v>198117.78</v>
      </c>
      <c r="K226" s="19" t="n">
        <f aca="false">ROUND(K225+F226+G226,2)</f>
        <v>227797.72</v>
      </c>
      <c r="M226" s="19" t="n">
        <f aca="false">Q225</f>
        <v>158738.06</v>
      </c>
      <c r="N226" s="19" t="n">
        <f aca="false">ROUND(M226*$C$16,2)</f>
        <v>793.69</v>
      </c>
      <c r="O226" s="19" t="n">
        <f aca="false">IF(M226&lt;=0,0,ROUND(CHOOSE($C$10,IF(A226=$C$17,M226+N226,MIN($C$18,M226+N226)),IF(A226=$C$17,M226,MIN($C$19,M226))+N226,IF(A226=$C$17,M226,0)+N226),2))</f>
        <v>1932.9</v>
      </c>
      <c r="P226" s="19" t="n">
        <f aca="false">IF(M226&lt;=0,0,MAX(0,ROUND(O226-N226,2)))</f>
        <v>1139.21</v>
      </c>
      <c r="Q226" s="19" t="n">
        <f aca="false">ROUND(M226-P226,2)</f>
        <v>157598.85</v>
      </c>
    </row>
    <row r="227" customFormat="false" ht="15" hidden="false" customHeight="false" outlineLevel="0" collapsed="false">
      <c r="A227" s="24" t="n">
        <f aca="false">A226+1</f>
        <v>196</v>
      </c>
      <c r="B227" s="25" t="n">
        <f aca="false">IF(MOD(12,$C$7)=0,EDATE($C$9,(A227-1)*12/$C$7),$C$9+(A227-1)*ROUND(364/$C$7,0))</f>
        <v>52263</v>
      </c>
      <c r="C227" s="19" t="n">
        <f aca="false">I226</f>
        <v>72202.28</v>
      </c>
      <c r="D227" s="19" t="n">
        <f aca="false">ROUND(C227*$C$16,2)</f>
        <v>361.01</v>
      </c>
      <c r="E227" s="19" t="n">
        <f aca="false">IF(C227&lt;=0,0,ROUND(CHOOSE($C$10,IF(A227=$C$17,C227+D227,MIN($C$18,C227+D227)),IF(A227=$C$17,C227,MIN($C$19,C227))+D227,IF(A227=$C$17,C227,0)+D227),2))</f>
        <v>1932.9</v>
      </c>
      <c r="F227" s="19" t="n">
        <f aca="false">IF(C227&lt;=0,0,MAX(0,ROUND(E227-D227,2)))</f>
        <v>1571.89</v>
      </c>
      <c r="G227" s="19" t="n">
        <f aca="false">IF(C227&lt;=0,0,ROUND(MIN(MAX(0,C227-F227),MAX(0,IF(A227&gt;=$C$13,$C$12,0)+SUMIF($E$5:$E$14,A227,$F$5:$F$14))),2))</f>
        <v>200</v>
      </c>
      <c r="H227" s="19" t="n">
        <f aca="false">ROUND(E227+G227,2)</f>
        <v>2132.9</v>
      </c>
      <c r="I227" s="19" t="n">
        <f aca="false">ROUND(C227-F227-G227,2)</f>
        <v>70430.39</v>
      </c>
      <c r="J227" s="19" t="n">
        <f aca="false">ROUND(J226+D227,2)</f>
        <v>198478.79</v>
      </c>
      <c r="K227" s="19" t="n">
        <f aca="false">ROUND(K226+F227+G227,2)</f>
        <v>229569.61</v>
      </c>
      <c r="M227" s="19" t="n">
        <f aca="false">Q226</f>
        <v>157598.85</v>
      </c>
      <c r="N227" s="19" t="n">
        <f aca="false">ROUND(M227*$C$16,2)</f>
        <v>787.99</v>
      </c>
      <c r="O227" s="19" t="n">
        <f aca="false">IF(M227&lt;=0,0,ROUND(CHOOSE($C$10,IF(A227=$C$17,M227+N227,MIN($C$18,M227+N227)),IF(A227=$C$17,M227,MIN($C$19,M227))+N227,IF(A227=$C$17,M227,0)+N227),2))</f>
        <v>1932.9</v>
      </c>
      <c r="P227" s="19" t="n">
        <f aca="false">IF(M227&lt;=0,0,MAX(0,ROUND(O227-N227,2)))</f>
        <v>1144.91</v>
      </c>
      <c r="Q227" s="19" t="n">
        <f aca="false">ROUND(M227-P227,2)</f>
        <v>156453.94</v>
      </c>
    </row>
    <row r="228" customFormat="false" ht="15" hidden="false" customHeight="false" outlineLevel="0" collapsed="false">
      <c r="A228" s="24" t="n">
        <f aca="false">A227+1</f>
        <v>197</v>
      </c>
      <c r="B228" s="25" t="n">
        <f aca="false">IF(MOD(12,$C$7)=0,EDATE($C$9,(A228-1)*12/$C$7),$C$9+(A228-1)*ROUND(364/$C$7,0))</f>
        <v>52291</v>
      </c>
      <c r="C228" s="19" t="n">
        <f aca="false">I227</f>
        <v>70430.39</v>
      </c>
      <c r="D228" s="19" t="n">
        <f aca="false">ROUND(C228*$C$16,2)</f>
        <v>352.15</v>
      </c>
      <c r="E228" s="19" t="n">
        <f aca="false">IF(C228&lt;=0,0,ROUND(CHOOSE($C$10,IF(A228=$C$17,C228+D228,MIN($C$18,C228+D228)),IF(A228=$C$17,C228,MIN($C$19,C228))+D228,IF(A228=$C$17,C228,0)+D228),2))</f>
        <v>1932.9</v>
      </c>
      <c r="F228" s="19" t="n">
        <f aca="false">IF(C228&lt;=0,0,MAX(0,ROUND(E228-D228,2)))</f>
        <v>1580.75</v>
      </c>
      <c r="G228" s="19" t="n">
        <f aca="false">IF(C228&lt;=0,0,ROUND(MIN(MAX(0,C228-F228),MAX(0,IF(A228&gt;=$C$13,$C$12,0)+SUMIF($E$5:$E$14,A228,$F$5:$F$14))),2))</f>
        <v>200</v>
      </c>
      <c r="H228" s="19" t="n">
        <f aca="false">ROUND(E228+G228,2)</f>
        <v>2132.9</v>
      </c>
      <c r="I228" s="19" t="n">
        <f aca="false">ROUND(C228-F228-G228,2)</f>
        <v>68649.64</v>
      </c>
      <c r="J228" s="19" t="n">
        <f aca="false">ROUND(J227+D228,2)</f>
        <v>198830.94</v>
      </c>
      <c r="K228" s="19" t="n">
        <f aca="false">ROUND(K227+F228+G228,2)</f>
        <v>231350.36</v>
      </c>
      <c r="M228" s="19" t="n">
        <f aca="false">Q227</f>
        <v>156453.94</v>
      </c>
      <c r="N228" s="19" t="n">
        <f aca="false">ROUND(M228*$C$16,2)</f>
        <v>782.27</v>
      </c>
      <c r="O228" s="19" t="n">
        <f aca="false">IF(M228&lt;=0,0,ROUND(CHOOSE($C$10,IF(A228=$C$17,M228+N228,MIN($C$18,M228+N228)),IF(A228=$C$17,M228,MIN($C$19,M228))+N228,IF(A228=$C$17,M228,0)+N228),2))</f>
        <v>1932.9</v>
      </c>
      <c r="P228" s="19" t="n">
        <f aca="false">IF(M228&lt;=0,0,MAX(0,ROUND(O228-N228,2)))</f>
        <v>1150.63</v>
      </c>
      <c r="Q228" s="19" t="n">
        <f aca="false">ROUND(M228-P228,2)</f>
        <v>155303.31</v>
      </c>
    </row>
    <row r="229" customFormat="false" ht="15" hidden="false" customHeight="false" outlineLevel="0" collapsed="false">
      <c r="A229" s="24" t="n">
        <f aca="false">A228+1</f>
        <v>198</v>
      </c>
      <c r="B229" s="25" t="n">
        <f aca="false">IF(MOD(12,$C$7)=0,EDATE($C$9,(A229-1)*12/$C$7),$C$9+(A229-1)*ROUND(364/$C$7,0))</f>
        <v>52322</v>
      </c>
      <c r="C229" s="19" t="n">
        <f aca="false">I228</f>
        <v>68649.64</v>
      </c>
      <c r="D229" s="19" t="n">
        <f aca="false">ROUND(C229*$C$16,2)</f>
        <v>343.25</v>
      </c>
      <c r="E229" s="19" t="n">
        <f aca="false">IF(C229&lt;=0,0,ROUND(CHOOSE($C$10,IF(A229=$C$17,C229+D229,MIN($C$18,C229+D229)),IF(A229=$C$17,C229,MIN($C$19,C229))+D229,IF(A229=$C$17,C229,0)+D229),2))</f>
        <v>1932.9</v>
      </c>
      <c r="F229" s="19" t="n">
        <f aca="false">IF(C229&lt;=0,0,MAX(0,ROUND(E229-D229,2)))</f>
        <v>1589.65</v>
      </c>
      <c r="G229" s="19" t="n">
        <f aca="false">IF(C229&lt;=0,0,ROUND(MIN(MAX(0,C229-F229),MAX(0,IF(A229&gt;=$C$13,$C$12,0)+SUMIF($E$5:$E$14,A229,$F$5:$F$14))),2))</f>
        <v>200</v>
      </c>
      <c r="H229" s="19" t="n">
        <f aca="false">ROUND(E229+G229,2)</f>
        <v>2132.9</v>
      </c>
      <c r="I229" s="19" t="n">
        <f aca="false">ROUND(C229-F229-G229,2)</f>
        <v>66859.99</v>
      </c>
      <c r="J229" s="19" t="n">
        <f aca="false">ROUND(J228+D229,2)</f>
        <v>199174.19</v>
      </c>
      <c r="K229" s="19" t="n">
        <f aca="false">ROUND(K228+F229+G229,2)</f>
        <v>233140.01</v>
      </c>
      <c r="M229" s="19" t="n">
        <f aca="false">Q228</f>
        <v>155303.31</v>
      </c>
      <c r="N229" s="19" t="n">
        <f aca="false">ROUND(M229*$C$16,2)</f>
        <v>776.52</v>
      </c>
      <c r="O229" s="19" t="n">
        <f aca="false">IF(M229&lt;=0,0,ROUND(CHOOSE($C$10,IF(A229=$C$17,M229+N229,MIN($C$18,M229+N229)),IF(A229=$C$17,M229,MIN($C$19,M229))+N229,IF(A229=$C$17,M229,0)+N229),2))</f>
        <v>1932.9</v>
      </c>
      <c r="P229" s="19" t="n">
        <f aca="false">IF(M229&lt;=0,0,MAX(0,ROUND(O229-N229,2)))</f>
        <v>1156.38</v>
      </c>
      <c r="Q229" s="19" t="n">
        <f aca="false">ROUND(M229-P229,2)</f>
        <v>154146.93</v>
      </c>
    </row>
    <row r="230" customFormat="false" ht="15" hidden="false" customHeight="false" outlineLevel="0" collapsed="false">
      <c r="A230" s="24" t="n">
        <f aca="false">A229+1</f>
        <v>199</v>
      </c>
      <c r="B230" s="25" t="n">
        <f aca="false">IF(MOD(12,$C$7)=0,EDATE($C$9,(A230-1)*12/$C$7),$C$9+(A230-1)*ROUND(364/$C$7,0))</f>
        <v>52352</v>
      </c>
      <c r="C230" s="19" t="n">
        <f aca="false">I229</f>
        <v>66859.99</v>
      </c>
      <c r="D230" s="19" t="n">
        <f aca="false">ROUND(C230*$C$16,2)</f>
        <v>334.3</v>
      </c>
      <c r="E230" s="19" t="n">
        <f aca="false">IF(C230&lt;=0,0,ROUND(CHOOSE($C$10,IF(A230=$C$17,C230+D230,MIN($C$18,C230+D230)),IF(A230=$C$17,C230,MIN($C$19,C230))+D230,IF(A230=$C$17,C230,0)+D230),2))</f>
        <v>1932.9</v>
      </c>
      <c r="F230" s="19" t="n">
        <f aca="false">IF(C230&lt;=0,0,MAX(0,ROUND(E230-D230,2)))</f>
        <v>1598.6</v>
      </c>
      <c r="G230" s="19" t="n">
        <f aca="false">IF(C230&lt;=0,0,ROUND(MIN(MAX(0,C230-F230),MAX(0,IF(A230&gt;=$C$13,$C$12,0)+SUMIF($E$5:$E$14,A230,$F$5:$F$14))),2))</f>
        <v>200</v>
      </c>
      <c r="H230" s="19" t="n">
        <f aca="false">ROUND(E230+G230,2)</f>
        <v>2132.9</v>
      </c>
      <c r="I230" s="19" t="n">
        <f aca="false">ROUND(C230-F230-G230,2)</f>
        <v>65061.39</v>
      </c>
      <c r="J230" s="19" t="n">
        <f aca="false">ROUND(J229+D230,2)</f>
        <v>199508.49</v>
      </c>
      <c r="K230" s="19" t="n">
        <f aca="false">ROUND(K229+F230+G230,2)</f>
        <v>234938.61</v>
      </c>
      <c r="M230" s="19" t="n">
        <f aca="false">Q229</f>
        <v>154146.93</v>
      </c>
      <c r="N230" s="19" t="n">
        <f aca="false">ROUND(M230*$C$16,2)</f>
        <v>770.73</v>
      </c>
      <c r="O230" s="19" t="n">
        <f aca="false">IF(M230&lt;=0,0,ROUND(CHOOSE($C$10,IF(A230=$C$17,M230+N230,MIN($C$18,M230+N230)),IF(A230=$C$17,M230,MIN($C$19,M230))+N230,IF(A230=$C$17,M230,0)+N230),2))</f>
        <v>1932.9</v>
      </c>
      <c r="P230" s="19" t="n">
        <f aca="false">IF(M230&lt;=0,0,MAX(0,ROUND(O230-N230,2)))</f>
        <v>1162.17</v>
      </c>
      <c r="Q230" s="19" t="n">
        <f aca="false">ROUND(M230-P230,2)</f>
        <v>152984.76</v>
      </c>
    </row>
    <row r="231" customFormat="false" ht="15" hidden="false" customHeight="false" outlineLevel="0" collapsed="false">
      <c r="A231" s="24" t="n">
        <f aca="false">A230+1</f>
        <v>200</v>
      </c>
      <c r="B231" s="25" t="n">
        <f aca="false">IF(MOD(12,$C$7)=0,EDATE($C$9,(A231-1)*12/$C$7),$C$9+(A231-1)*ROUND(364/$C$7,0))</f>
        <v>52383</v>
      </c>
      <c r="C231" s="19" t="n">
        <f aca="false">I230</f>
        <v>65061.39</v>
      </c>
      <c r="D231" s="19" t="n">
        <f aca="false">ROUND(C231*$C$16,2)</f>
        <v>325.31</v>
      </c>
      <c r="E231" s="19" t="n">
        <f aca="false">IF(C231&lt;=0,0,ROUND(CHOOSE($C$10,IF(A231=$C$17,C231+D231,MIN($C$18,C231+D231)),IF(A231=$C$17,C231,MIN($C$19,C231))+D231,IF(A231=$C$17,C231,0)+D231),2))</f>
        <v>1932.9</v>
      </c>
      <c r="F231" s="19" t="n">
        <f aca="false">IF(C231&lt;=0,0,MAX(0,ROUND(E231-D231,2)))</f>
        <v>1607.59</v>
      </c>
      <c r="G231" s="19" t="n">
        <f aca="false">IF(C231&lt;=0,0,ROUND(MIN(MAX(0,C231-F231),MAX(0,IF(A231&gt;=$C$13,$C$12,0)+SUMIF($E$5:$E$14,A231,$F$5:$F$14))),2))</f>
        <v>200</v>
      </c>
      <c r="H231" s="19" t="n">
        <f aca="false">ROUND(E231+G231,2)</f>
        <v>2132.9</v>
      </c>
      <c r="I231" s="19" t="n">
        <f aca="false">ROUND(C231-F231-G231,2)</f>
        <v>63253.8</v>
      </c>
      <c r="J231" s="19" t="n">
        <f aca="false">ROUND(J230+D231,2)</f>
        <v>199833.8</v>
      </c>
      <c r="K231" s="19" t="n">
        <f aca="false">ROUND(K230+F231+G231,2)</f>
        <v>236746.2</v>
      </c>
      <c r="M231" s="19" t="n">
        <f aca="false">Q230</f>
        <v>152984.76</v>
      </c>
      <c r="N231" s="19" t="n">
        <f aca="false">ROUND(M231*$C$16,2)</f>
        <v>764.92</v>
      </c>
      <c r="O231" s="19" t="n">
        <f aca="false">IF(M231&lt;=0,0,ROUND(CHOOSE($C$10,IF(A231=$C$17,M231+N231,MIN($C$18,M231+N231)),IF(A231=$C$17,M231,MIN($C$19,M231))+N231,IF(A231=$C$17,M231,0)+N231),2))</f>
        <v>1932.9</v>
      </c>
      <c r="P231" s="19" t="n">
        <f aca="false">IF(M231&lt;=0,0,MAX(0,ROUND(O231-N231,2)))</f>
        <v>1167.98</v>
      </c>
      <c r="Q231" s="19" t="n">
        <f aca="false">ROUND(M231-P231,2)</f>
        <v>151816.78</v>
      </c>
    </row>
    <row r="232" customFormat="false" ht="15" hidden="false" customHeight="false" outlineLevel="0" collapsed="false">
      <c r="A232" s="24" t="n">
        <f aca="false">A231+1</f>
        <v>201</v>
      </c>
      <c r="B232" s="25" t="n">
        <f aca="false">IF(MOD(12,$C$7)=0,EDATE($C$9,(A232-1)*12/$C$7),$C$9+(A232-1)*ROUND(364/$C$7,0))</f>
        <v>52413</v>
      </c>
      <c r="C232" s="19" t="n">
        <f aca="false">I231</f>
        <v>63253.8</v>
      </c>
      <c r="D232" s="19" t="n">
        <f aca="false">ROUND(C232*$C$16,2)</f>
        <v>316.27</v>
      </c>
      <c r="E232" s="19" t="n">
        <f aca="false">IF(C232&lt;=0,0,ROUND(CHOOSE($C$10,IF(A232=$C$17,C232+D232,MIN($C$18,C232+D232)),IF(A232=$C$17,C232,MIN($C$19,C232))+D232,IF(A232=$C$17,C232,0)+D232),2))</f>
        <v>1932.9</v>
      </c>
      <c r="F232" s="19" t="n">
        <f aca="false">IF(C232&lt;=0,0,MAX(0,ROUND(E232-D232,2)))</f>
        <v>1616.63</v>
      </c>
      <c r="G232" s="19" t="n">
        <f aca="false">IF(C232&lt;=0,0,ROUND(MIN(MAX(0,C232-F232),MAX(0,IF(A232&gt;=$C$13,$C$12,0)+SUMIF($E$5:$E$14,A232,$F$5:$F$14))),2))</f>
        <v>200</v>
      </c>
      <c r="H232" s="19" t="n">
        <f aca="false">ROUND(E232+G232,2)</f>
        <v>2132.9</v>
      </c>
      <c r="I232" s="19" t="n">
        <f aca="false">ROUND(C232-F232-G232,2)</f>
        <v>61437.17</v>
      </c>
      <c r="J232" s="19" t="n">
        <f aca="false">ROUND(J231+D232,2)</f>
        <v>200150.07</v>
      </c>
      <c r="K232" s="19" t="n">
        <f aca="false">ROUND(K231+F232+G232,2)</f>
        <v>238562.83</v>
      </c>
      <c r="M232" s="19" t="n">
        <f aca="false">Q231</f>
        <v>151816.78</v>
      </c>
      <c r="N232" s="19" t="n">
        <f aca="false">ROUND(M232*$C$16,2)</f>
        <v>759.08</v>
      </c>
      <c r="O232" s="19" t="n">
        <f aca="false">IF(M232&lt;=0,0,ROUND(CHOOSE($C$10,IF(A232=$C$17,M232+N232,MIN($C$18,M232+N232)),IF(A232=$C$17,M232,MIN($C$19,M232))+N232,IF(A232=$C$17,M232,0)+N232),2))</f>
        <v>1932.9</v>
      </c>
      <c r="P232" s="19" t="n">
        <f aca="false">IF(M232&lt;=0,0,MAX(0,ROUND(O232-N232,2)))</f>
        <v>1173.82</v>
      </c>
      <c r="Q232" s="19" t="n">
        <f aca="false">ROUND(M232-P232,2)</f>
        <v>150642.96</v>
      </c>
    </row>
    <row r="233" customFormat="false" ht="15" hidden="false" customHeight="false" outlineLevel="0" collapsed="false">
      <c r="A233" s="24" t="n">
        <f aca="false">A232+1</f>
        <v>202</v>
      </c>
      <c r="B233" s="25" t="n">
        <f aca="false">IF(MOD(12,$C$7)=0,EDATE($C$9,(A233-1)*12/$C$7),$C$9+(A233-1)*ROUND(364/$C$7,0))</f>
        <v>52444</v>
      </c>
      <c r="C233" s="19" t="n">
        <f aca="false">I232</f>
        <v>61437.17</v>
      </c>
      <c r="D233" s="19" t="n">
        <f aca="false">ROUND(C233*$C$16,2)</f>
        <v>307.19</v>
      </c>
      <c r="E233" s="19" t="n">
        <f aca="false">IF(C233&lt;=0,0,ROUND(CHOOSE($C$10,IF(A233=$C$17,C233+D233,MIN($C$18,C233+D233)),IF(A233=$C$17,C233,MIN($C$19,C233))+D233,IF(A233=$C$17,C233,0)+D233),2))</f>
        <v>1932.9</v>
      </c>
      <c r="F233" s="19" t="n">
        <f aca="false">IF(C233&lt;=0,0,MAX(0,ROUND(E233-D233,2)))</f>
        <v>1625.71</v>
      </c>
      <c r="G233" s="19" t="n">
        <f aca="false">IF(C233&lt;=0,0,ROUND(MIN(MAX(0,C233-F233),MAX(0,IF(A233&gt;=$C$13,$C$12,0)+SUMIF($E$5:$E$14,A233,$F$5:$F$14))),2))</f>
        <v>200</v>
      </c>
      <c r="H233" s="19" t="n">
        <f aca="false">ROUND(E233+G233,2)</f>
        <v>2132.9</v>
      </c>
      <c r="I233" s="19" t="n">
        <f aca="false">ROUND(C233-F233-G233,2)</f>
        <v>59611.46</v>
      </c>
      <c r="J233" s="19" t="n">
        <f aca="false">ROUND(J232+D233,2)</f>
        <v>200457.26</v>
      </c>
      <c r="K233" s="19" t="n">
        <f aca="false">ROUND(K232+F233+G233,2)</f>
        <v>240388.54</v>
      </c>
      <c r="M233" s="19" t="n">
        <f aca="false">Q232</f>
        <v>150642.96</v>
      </c>
      <c r="N233" s="19" t="n">
        <f aca="false">ROUND(M233*$C$16,2)</f>
        <v>753.21</v>
      </c>
      <c r="O233" s="19" t="n">
        <f aca="false">IF(M233&lt;=0,0,ROUND(CHOOSE($C$10,IF(A233=$C$17,M233+N233,MIN($C$18,M233+N233)),IF(A233=$C$17,M233,MIN($C$19,M233))+N233,IF(A233=$C$17,M233,0)+N233),2))</f>
        <v>1932.9</v>
      </c>
      <c r="P233" s="19" t="n">
        <f aca="false">IF(M233&lt;=0,0,MAX(0,ROUND(O233-N233,2)))</f>
        <v>1179.69</v>
      </c>
      <c r="Q233" s="19" t="n">
        <f aca="false">ROUND(M233-P233,2)</f>
        <v>149463.27</v>
      </c>
    </row>
    <row r="234" customFormat="false" ht="15" hidden="false" customHeight="false" outlineLevel="0" collapsed="false">
      <c r="A234" s="24" t="n">
        <f aca="false">A233+1</f>
        <v>203</v>
      </c>
      <c r="B234" s="25" t="n">
        <f aca="false">IF(MOD(12,$C$7)=0,EDATE($C$9,(A234-1)*12/$C$7),$C$9+(A234-1)*ROUND(364/$C$7,0))</f>
        <v>52475</v>
      </c>
      <c r="C234" s="19" t="n">
        <f aca="false">I233</f>
        <v>59611.46</v>
      </c>
      <c r="D234" s="19" t="n">
        <f aca="false">ROUND(C234*$C$16,2)</f>
        <v>298.06</v>
      </c>
      <c r="E234" s="19" t="n">
        <f aca="false">IF(C234&lt;=0,0,ROUND(CHOOSE($C$10,IF(A234=$C$17,C234+D234,MIN($C$18,C234+D234)),IF(A234=$C$17,C234,MIN($C$19,C234))+D234,IF(A234=$C$17,C234,0)+D234),2))</f>
        <v>1932.9</v>
      </c>
      <c r="F234" s="19" t="n">
        <f aca="false">IF(C234&lt;=0,0,MAX(0,ROUND(E234-D234,2)))</f>
        <v>1634.84</v>
      </c>
      <c r="G234" s="19" t="n">
        <f aca="false">IF(C234&lt;=0,0,ROUND(MIN(MAX(0,C234-F234),MAX(0,IF(A234&gt;=$C$13,$C$12,0)+SUMIF($E$5:$E$14,A234,$F$5:$F$14))),2))</f>
        <v>200</v>
      </c>
      <c r="H234" s="19" t="n">
        <f aca="false">ROUND(E234+G234,2)</f>
        <v>2132.9</v>
      </c>
      <c r="I234" s="19" t="n">
        <f aca="false">ROUND(C234-F234-G234,2)</f>
        <v>57776.62</v>
      </c>
      <c r="J234" s="19" t="n">
        <f aca="false">ROUND(J233+D234,2)</f>
        <v>200755.32</v>
      </c>
      <c r="K234" s="19" t="n">
        <f aca="false">ROUND(K233+F234+G234,2)</f>
        <v>242223.38</v>
      </c>
      <c r="M234" s="19" t="n">
        <f aca="false">Q233</f>
        <v>149463.27</v>
      </c>
      <c r="N234" s="19" t="n">
        <f aca="false">ROUND(M234*$C$16,2)</f>
        <v>747.32</v>
      </c>
      <c r="O234" s="19" t="n">
        <f aca="false">IF(M234&lt;=0,0,ROUND(CHOOSE($C$10,IF(A234=$C$17,M234+N234,MIN($C$18,M234+N234)),IF(A234=$C$17,M234,MIN($C$19,M234))+N234,IF(A234=$C$17,M234,0)+N234),2))</f>
        <v>1932.9</v>
      </c>
      <c r="P234" s="19" t="n">
        <f aca="false">IF(M234&lt;=0,0,MAX(0,ROUND(O234-N234,2)))</f>
        <v>1185.58</v>
      </c>
      <c r="Q234" s="19" t="n">
        <f aca="false">ROUND(M234-P234,2)</f>
        <v>148277.69</v>
      </c>
    </row>
    <row r="235" customFormat="false" ht="15" hidden="false" customHeight="false" outlineLevel="0" collapsed="false">
      <c r="A235" s="24" t="n">
        <f aca="false">A234+1</f>
        <v>204</v>
      </c>
      <c r="B235" s="25" t="n">
        <f aca="false">IF(MOD(12,$C$7)=0,EDATE($C$9,(A235-1)*12/$C$7),$C$9+(A235-1)*ROUND(364/$C$7,0))</f>
        <v>52505</v>
      </c>
      <c r="C235" s="19" t="n">
        <f aca="false">I234</f>
        <v>57776.62</v>
      </c>
      <c r="D235" s="19" t="n">
        <f aca="false">ROUND(C235*$C$16,2)</f>
        <v>288.88</v>
      </c>
      <c r="E235" s="19" t="n">
        <f aca="false">IF(C235&lt;=0,0,ROUND(CHOOSE($C$10,IF(A235=$C$17,C235+D235,MIN($C$18,C235+D235)),IF(A235=$C$17,C235,MIN($C$19,C235))+D235,IF(A235=$C$17,C235,0)+D235),2))</f>
        <v>1932.9</v>
      </c>
      <c r="F235" s="19" t="n">
        <f aca="false">IF(C235&lt;=0,0,MAX(0,ROUND(E235-D235,2)))</f>
        <v>1644.02</v>
      </c>
      <c r="G235" s="19" t="n">
        <f aca="false">IF(C235&lt;=0,0,ROUND(MIN(MAX(0,C235-F235),MAX(0,IF(A235&gt;=$C$13,$C$12,0)+SUMIF($E$5:$E$14,A235,$F$5:$F$14))),2))</f>
        <v>200</v>
      </c>
      <c r="H235" s="19" t="n">
        <f aca="false">ROUND(E235+G235,2)</f>
        <v>2132.9</v>
      </c>
      <c r="I235" s="19" t="n">
        <f aca="false">ROUND(C235-F235-G235,2)</f>
        <v>55932.6</v>
      </c>
      <c r="J235" s="19" t="n">
        <f aca="false">ROUND(J234+D235,2)</f>
        <v>201044.2</v>
      </c>
      <c r="K235" s="19" t="n">
        <f aca="false">ROUND(K234+F235+G235,2)</f>
        <v>244067.4</v>
      </c>
      <c r="M235" s="19" t="n">
        <f aca="false">Q234</f>
        <v>148277.69</v>
      </c>
      <c r="N235" s="19" t="n">
        <f aca="false">ROUND(M235*$C$16,2)</f>
        <v>741.39</v>
      </c>
      <c r="O235" s="19" t="n">
        <f aca="false">IF(M235&lt;=0,0,ROUND(CHOOSE($C$10,IF(A235=$C$17,M235+N235,MIN($C$18,M235+N235)),IF(A235=$C$17,M235,MIN($C$19,M235))+N235,IF(A235=$C$17,M235,0)+N235),2))</f>
        <v>1932.9</v>
      </c>
      <c r="P235" s="19" t="n">
        <f aca="false">IF(M235&lt;=0,0,MAX(0,ROUND(O235-N235,2)))</f>
        <v>1191.51</v>
      </c>
      <c r="Q235" s="19" t="n">
        <f aca="false">ROUND(M235-P235,2)</f>
        <v>147086.18</v>
      </c>
    </row>
    <row r="236" customFormat="false" ht="15" hidden="false" customHeight="false" outlineLevel="0" collapsed="false">
      <c r="A236" s="24" t="n">
        <f aca="false">A235+1</f>
        <v>205</v>
      </c>
      <c r="B236" s="25" t="n">
        <f aca="false">IF(MOD(12,$C$7)=0,EDATE($C$9,(A236-1)*12/$C$7),$C$9+(A236-1)*ROUND(364/$C$7,0))</f>
        <v>52536</v>
      </c>
      <c r="C236" s="19" t="n">
        <f aca="false">I235</f>
        <v>55932.6</v>
      </c>
      <c r="D236" s="19" t="n">
        <f aca="false">ROUND(C236*$C$16,2)</f>
        <v>279.66</v>
      </c>
      <c r="E236" s="19" t="n">
        <f aca="false">IF(C236&lt;=0,0,ROUND(CHOOSE($C$10,IF(A236=$C$17,C236+D236,MIN($C$18,C236+D236)),IF(A236=$C$17,C236,MIN($C$19,C236))+D236,IF(A236=$C$17,C236,0)+D236),2))</f>
        <v>1932.9</v>
      </c>
      <c r="F236" s="19" t="n">
        <f aca="false">IF(C236&lt;=0,0,MAX(0,ROUND(E236-D236,2)))</f>
        <v>1653.24</v>
      </c>
      <c r="G236" s="19" t="n">
        <f aca="false">IF(C236&lt;=0,0,ROUND(MIN(MAX(0,C236-F236),MAX(0,IF(A236&gt;=$C$13,$C$12,0)+SUMIF($E$5:$E$14,A236,$F$5:$F$14))),2))</f>
        <v>200</v>
      </c>
      <c r="H236" s="19" t="n">
        <f aca="false">ROUND(E236+G236,2)</f>
        <v>2132.9</v>
      </c>
      <c r="I236" s="19" t="n">
        <f aca="false">ROUND(C236-F236-G236,2)</f>
        <v>54079.36</v>
      </c>
      <c r="J236" s="19" t="n">
        <f aca="false">ROUND(J235+D236,2)</f>
        <v>201323.86</v>
      </c>
      <c r="K236" s="19" t="n">
        <f aca="false">ROUND(K235+F236+G236,2)</f>
        <v>245920.64</v>
      </c>
      <c r="M236" s="19" t="n">
        <f aca="false">Q235</f>
        <v>147086.18</v>
      </c>
      <c r="N236" s="19" t="n">
        <f aca="false">ROUND(M236*$C$16,2)</f>
        <v>735.43</v>
      </c>
      <c r="O236" s="19" t="n">
        <f aca="false">IF(M236&lt;=0,0,ROUND(CHOOSE($C$10,IF(A236=$C$17,M236+N236,MIN($C$18,M236+N236)),IF(A236=$C$17,M236,MIN($C$19,M236))+N236,IF(A236=$C$17,M236,0)+N236),2))</f>
        <v>1932.9</v>
      </c>
      <c r="P236" s="19" t="n">
        <f aca="false">IF(M236&lt;=0,0,MAX(0,ROUND(O236-N236,2)))</f>
        <v>1197.47</v>
      </c>
      <c r="Q236" s="19" t="n">
        <f aca="false">ROUND(M236-P236,2)</f>
        <v>145888.71</v>
      </c>
    </row>
    <row r="237" customFormat="false" ht="15" hidden="false" customHeight="false" outlineLevel="0" collapsed="false">
      <c r="A237" s="24" t="n">
        <f aca="false">A236+1</f>
        <v>206</v>
      </c>
      <c r="B237" s="25" t="n">
        <f aca="false">IF(MOD(12,$C$7)=0,EDATE($C$9,(A237-1)*12/$C$7),$C$9+(A237-1)*ROUND(364/$C$7,0))</f>
        <v>52566</v>
      </c>
      <c r="C237" s="19" t="n">
        <f aca="false">I236</f>
        <v>54079.36</v>
      </c>
      <c r="D237" s="19" t="n">
        <f aca="false">ROUND(C237*$C$16,2)</f>
        <v>270.4</v>
      </c>
      <c r="E237" s="19" t="n">
        <f aca="false">IF(C237&lt;=0,0,ROUND(CHOOSE($C$10,IF(A237=$C$17,C237+D237,MIN($C$18,C237+D237)),IF(A237=$C$17,C237,MIN($C$19,C237))+D237,IF(A237=$C$17,C237,0)+D237),2))</f>
        <v>1932.9</v>
      </c>
      <c r="F237" s="19" t="n">
        <f aca="false">IF(C237&lt;=0,0,MAX(0,ROUND(E237-D237,2)))</f>
        <v>1662.5</v>
      </c>
      <c r="G237" s="19" t="n">
        <f aca="false">IF(C237&lt;=0,0,ROUND(MIN(MAX(0,C237-F237),MAX(0,IF(A237&gt;=$C$13,$C$12,0)+SUMIF($E$5:$E$14,A237,$F$5:$F$14))),2))</f>
        <v>200</v>
      </c>
      <c r="H237" s="19" t="n">
        <f aca="false">ROUND(E237+G237,2)</f>
        <v>2132.9</v>
      </c>
      <c r="I237" s="19" t="n">
        <f aca="false">ROUND(C237-F237-G237,2)</f>
        <v>52216.86</v>
      </c>
      <c r="J237" s="19" t="n">
        <f aca="false">ROUND(J236+D237,2)</f>
        <v>201594.26</v>
      </c>
      <c r="K237" s="19" t="n">
        <f aca="false">ROUND(K236+F237+G237,2)</f>
        <v>247783.14</v>
      </c>
      <c r="M237" s="19" t="n">
        <f aca="false">Q236</f>
        <v>145888.71</v>
      </c>
      <c r="N237" s="19" t="n">
        <f aca="false">ROUND(M237*$C$16,2)</f>
        <v>729.44</v>
      </c>
      <c r="O237" s="19" t="n">
        <f aca="false">IF(M237&lt;=0,0,ROUND(CHOOSE($C$10,IF(A237=$C$17,M237+N237,MIN($C$18,M237+N237)),IF(A237=$C$17,M237,MIN($C$19,M237))+N237,IF(A237=$C$17,M237,0)+N237),2))</f>
        <v>1932.9</v>
      </c>
      <c r="P237" s="19" t="n">
        <f aca="false">IF(M237&lt;=0,0,MAX(0,ROUND(O237-N237,2)))</f>
        <v>1203.46</v>
      </c>
      <c r="Q237" s="19" t="n">
        <f aca="false">ROUND(M237-P237,2)</f>
        <v>144685.25</v>
      </c>
    </row>
    <row r="238" customFormat="false" ht="15" hidden="false" customHeight="false" outlineLevel="0" collapsed="false">
      <c r="A238" s="24" t="n">
        <f aca="false">A237+1</f>
        <v>207</v>
      </c>
      <c r="B238" s="25" t="n">
        <f aca="false">IF(MOD(12,$C$7)=0,EDATE($C$9,(A238-1)*12/$C$7),$C$9+(A238-1)*ROUND(364/$C$7,0))</f>
        <v>52597</v>
      </c>
      <c r="C238" s="19" t="n">
        <f aca="false">I237</f>
        <v>52216.86</v>
      </c>
      <c r="D238" s="19" t="n">
        <f aca="false">ROUND(C238*$C$16,2)</f>
        <v>261.08</v>
      </c>
      <c r="E238" s="19" t="n">
        <f aca="false">IF(C238&lt;=0,0,ROUND(CHOOSE($C$10,IF(A238=$C$17,C238+D238,MIN($C$18,C238+D238)),IF(A238=$C$17,C238,MIN($C$19,C238))+D238,IF(A238=$C$17,C238,0)+D238),2))</f>
        <v>1932.9</v>
      </c>
      <c r="F238" s="19" t="n">
        <f aca="false">IF(C238&lt;=0,0,MAX(0,ROUND(E238-D238,2)))</f>
        <v>1671.82</v>
      </c>
      <c r="G238" s="19" t="n">
        <f aca="false">IF(C238&lt;=0,0,ROUND(MIN(MAX(0,C238-F238),MAX(0,IF(A238&gt;=$C$13,$C$12,0)+SUMIF($E$5:$E$14,A238,$F$5:$F$14))),2))</f>
        <v>200</v>
      </c>
      <c r="H238" s="19" t="n">
        <f aca="false">ROUND(E238+G238,2)</f>
        <v>2132.9</v>
      </c>
      <c r="I238" s="19" t="n">
        <f aca="false">ROUND(C238-F238-G238,2)</f>
        <v>50345.04</v>
      </c>
      <c r="J238" s="19" t="n">
        <f aca="false">ROUND(J237+D238,2)</f>
        <v>201855.34</v>
      </c>
      <c r="K238" s="19" t="n">
        <f aca="false">ROUND(K237+F238+G238,2)</f>
        <v>249654.96</v>
      </c>
      <c r="M238" s="19" t="n">
        <f aca="false">Q237</f>
        <v>144685.25</v>
      </c>
      <c r="N238" s="19" t="n">
        <f aca="false">ROUND(M238*$C$16,2)</f>
        <v>723.43</v>
      </c>
      <c r="O238" s="19" t="n">
        <f aca="false">IF(M238&lt;=0,0,ROUND(CHOOSE($C$10,IF(A238=$C$17,M238+N238,MIN($C$18,M238+N238)),IF(A238=$C$17,M238,MIN($C$19,M238))+N238,IF(A238=$C$17,M238,0)+N238),2))</f>
        <v>1932.9</v>
      </c>
      <c r="P238" s="19" t="n">
        <f aca="false">IF(M238&lt;=0,0,MAX(0,ROUND(O238-N238,2)))</f>
        <v>1209.47</v>
      </c>
      <c r="Q238" s="19" t="n">
        <f aca="false">ROUND(M238-P238,2)</f>
        <v>143475.78</v>
      </c>
    </row>
    <row r="239" customFormat="false" ht="15" hidden="false" customHeight="false" outlineLevel="0" collapsed="false">
      <c r="A239" s="24" t="n">
        <f aca="false">A238+1</f>
        <v>208</v>
      </c>
      <c r="B239" s="25" t="n">
        <f aca="false">IF(MOD(12,$C$7)=0,EDATE($C$9,(A239-1)*12/$C$7),$C$9+(A239-1)*ROUND(364/$C$7,0))</f>
        <v>52628</v>
      </c>
      <c r="C239" s="19" t="n">
        <f aca="false">I238</f>
        <v>50345.04</v>
      </c>
      <c r="D239" s="19" t="n">
        <f aca="false">ROUND(C239*$C$16,2)</f>
        <v>251.73</v>
      </c>
      <c r="E239" s="19" t="n">
        <f aca="false">IF(C239&lt;=0,0,ROUND(CHOOSE($C$10,IF(A239=$C$17,C239+D239,MIN($C$18,C239+D239)),IF(A239=$C$17,C239,MIN($C$19,C239))+D239,IF(A239=$C$17,C239,0)+D239),2))</f>
        <v>1932.9</v>
      </c>
      <c r="F239" s="19" t="n">
        <f aca="false">IF(C239&lt;=0,0,MAX(0,ROUND(E239-D239,2)))</f>
        <v>1681.17</v>
      </c>
      <c r="G239" s="19" t="n">
        <f aca="false">IF(C239&lt;=0,0,ROUND(MIN(MAX(0,C239-F239),MAX(0,IF(A239&gt;=$C$13,$C$12,0)+SUMIF($E$5:$E$14,A239,$F$5:$F$14))),2))</f>
        <v>200</v>
      </c>
      <c r="H239" s="19" t="n">
        <f aca="false">ROUND(E239+G239,2)</f>
        <v>2132.9</v>
      </c>
      <c r="I239" s="19" t="n">
        <f aca="false">ROUND(C239-F239-G239,2)</f>
        <v>48463.87</v>
      </c>
      <c r="J239" s="19" t="n">
        <f aca="false">ROUND(J238+D239,2)</f>
        <v>202107.07</v>
      </c>
      <c r="K239" s="19" t="n">
        <f aca="false">ROUND(K238+F239+G239,2)</f>
        <v>251536.13</v>
      </c>
      <c r="M239" s="19" t="n">
        <f aca="false">Q238</f>
        <v>143475.78</v>
      </c>
      <c r="N239" s="19" t="n">
        <f aca="false">ROUND(M239*$C$16,2)</f>
        <v>717.38</v>
      </c>
      <c r="O239" s="19" t="n">
        <f aca="false">IF(M239&lt;=0,0,ROUND(CHOOSE($C$10,IF(A239=$C$17,M239+N239,MIN($C$18,M239+N239)),IF(A239=$C$17,M239,MIN($C$19,M239))+N239,IF(A239=$C$17,M239,0)+N239),2))</f>
        <v>1932.9</v>
      </c>
      <c r="P239" s="19" t="n">
        <f aca="false">IF(M239&lt;=0,0,MAX(0,ROUND(O239-N239,2)))</f>
        <v>1215.52</v>
      </c>
      <c r="Q239" s="19" t="n">
        <f aca="false">ROUND(M239-P239,2)</f>
        <v>142260.26</v>
      </c>
    </row>
    <row r="240" customFormat="false" ht="15" hidden="false" customHeight="false" outlineLevel="0" collapsed="false">
      <c r="A240" s="24" t="n">
        <f aca="false">A239+1</f>
        <v>209</v>
      </c>
      <c r="B240" s="25" t="n">
        <f aca="false">IF(MOD(12,$C$7)=0,EDATE($C$9,(A240-1)*12/$C$7),$C$9+(A240-1)*ROUND(364/$C$7,0))</f>
        <v>52657</v>
      </c>
      <c r="C240" s="19" t="n">
        <f aca="false">I239</f>
        <v>48463.87</v>
      </c>
      <c r="D240" s="19" t="n">
        <f aca="false">ROUND(C240*$C$16,2)</f>
        <v>242.32</v>
      </c>
      <c r="E240" s="19" t="n">
        <f aca="false">IF(C240&lt;=0,0,ROUND(CHOOSE($C$10,IF(A240=$C$17,C240+D240,MIN($C$18,C240+D240)),IF(A240=$C$17,C240,MIN($C$19,C240))+D240,IF(A240=$C$17,C240,0)+D240),2))</f>
        <v>1932.9</v>
      </c>
      <c r="F240" s="19" t="n">
        <f aca="false">IF(C240&lt;=0,0,MAX(0,ROUND(E240-D240,2)))</f>
        <v>1690.58</v>
      </c>
      <c r="G240" s="19" t="n">
        <f aca="false">IF(C240&lt;=0,0,ROUND(MIN(MAX(0,C240-F240),MAX(0,IF(A240&gt;=$C$13,$C$12,0)+SUMIF($E$5:$E$14,A240,$F$5:$F$14))),2))</f>
        <v>200</v>
      </c>
      <c r="H240" s="19" t="n">
        <f aca="false">ROUND(E240+G240,2)</f>
        <v>2132.9</v>
      </c>
      <c r="I240" s="19" t="n">
        <f aca="false">ROUND(C240-F240-G240,2)</f>
        <v>46573.29</v>
      </c>
      <c r="J240" s="19" t="n">
        <f aca="false">ROUND(J239+D240,2)</f>
        <v>202349.39</v>
      </c>
      <c r="K240" s="19" t="n">
        <f aca="false">ROUND(K239+F240+G240,2)</f>
        <v>253426.71</v>
      </c>
      <c r="M240" s="19" t="n">
        <f aca="false">Q239</f>
        <v>142260.26</v>
      </c>
      <c r="N240" s="19" t="n">
        <f aca="false">ROUND(M240*$C$16,2)</f>
        <v>711.3</v>
      </c>
      <c r="O240" s="19" t="n">
        <f aca="false">IF(M240&lt;=0,0,ROUND(CHOOSE($C$10,IF(A240=$C$17,M240+N240,MIN($C$18,M240+N240)),IF(A240=$C$17,M240,MIN($C$19,M240))+N240,IF(A240=$C$17,M240,0)+N240),2))</f>
        <v>1932.9</v>
      </c>
      <c r="P240" s="19" t="n">
        <f aca="false">IF(M240&lt;=0,0,MAX(0,ROUND(O240-N240,2)))</f>
        <v>1221.6</v>
      </c>
      <c r="Q240" s="19" t="n">
        <f aca="false">ROUND(M240-P240,2)</f>
        <v>141038.66</v>
      </c>
    </row>
    <row r="241" customFormat="false" ht="15" hidden="false" customHeight="false" outlineLevel="0" collapsed="false">
      <c r="A241" s="24" t="n">
        <f aca="false">A240+1</f>
        <v>210</v>
      </c>
      <c r="B241" s="25" t="n">
        <f aca="false">IF(MOD(12,$C$7)=0,EDATE($C$9,(A241-1)*12/$C$7),$C$9+(A241-1)*ROUND(364/$C$7,0))</f>
        <v>52688</v>
      </c>
      <c r="C241" s="19" t="n">
        <f aca="false">I240</f>
        <v>46573.29</v>
      </c>
      <c r="D241" s="19" t="n">
        <f aca="false">ROUND(C241*$C$16,2)</f>
        <v>232.87</v>
      </c>
      <c r="E241" s="19" t="n">
        <f aca="false">IF(C241&lt;=0,0,ROUND(CHOOSE($C$10,IF(A241=$C$17,C241+D241,MIN($C$18,C241+D241)),IF(A241=$C$17,C241,MIN($C$19,C241))+D241,IF(A241=$C$17,C241,0)+D241),2))</f>
        <v>1932.9</v>
      </c>
      <c r="F241" s="19" t="n">
        <f aca="false">IF(C241&lt;=0,0,MAX(0,ROUND(E241-D241,2)))</f>
        <v>1700.03</v>
      </c>
      <c r="G241" s="19" t="n">
        <f aca="false">IF(C241&lt;=0,0,ROUND(MIN(MAX(0,C241-F241),MAX(0,IF(A241&gt;=$C$13,$C$12,0)+SUMIF($E$5:$E$14,A241,$F$5:$F$14))),2))</f>
        <v>200</v>
      </c>
      <c r="H241" s="19" t="n">
        <f aca="false">ROUND(E241+G241,2)</f>
        <v>2132.9</v>
      </c>
      <c r="I241" s="19" t="n">
        <f aca="false">ROUND(C241-F241-G241,2)</f>
        <v>44673.26</v>
      </c>
      <c r="J241" s="19" t="n">
        <f aca="false">ROUND(J240+D241,2)</f>
        <v>202582.26</v>
      </c>
      <c r="K241" s="19" t="n">
        <f aca="false">ROUND(K240+F241+G241,2)</f>
        <v>255326.74</v>
      </c>
      <c r="M241" s="19" t="n">
        <f aca="false">Q240</f>
        <v>141038.66</v>
      </c>
      <c r="N241" s="19" t="n">
        <f aca="false">ROUND(M241*$C$16,2)</f>
        <v>705.19</v>
      </c>
      <c r="O241" s="19" t="n">
        <f aca="false">IF(M241&lt;=0,0,ROUND(CHOOSE($C$10,IF(A241=$C$17,M241+N241,MIN($C$18,M241+N241)),IF(A241=$C$17,M241,MIN($C$19,M241))+N241,IF(A241=$C$17,M241,0)+N241),2))</f>
        <v>1932.9</v>
      </c>
      <c r="P241" s="19" t="n">
        <f aca="false">IF(M241&lt;=0,0,MAX(0,ROUND(O241-N241,2)))</f>
        <v>1227.71</v>
      </c>
      <c r="Q241" s="19" t="n">
        <f aca="false">ROUND(M241-P241,2)</f>
        <v>139810.95</v>
      </c>
    </row>
    <row r="242" customFormat="false" ht="15" hidden="false" customHeight="false" outlineLevel="0" collapsed="false">
      <c r="A242" s="24" t="n">
        <f aca="false">A241+1</f>
        <v>211</v>
      </c>
      <c r="B242" s="25" t="n">
        <f aca="false">IF(MOD(12,$C$7)=0,EDATE($C$9,(A242-1)*12/$C$7),$C$9+(A242-1)*ROUND(364/$C$7,0))</f>
        <v>52718</v>
      </c>
      <c r="C242" s="19" t="n">
        <f aca="false">I241</f>
        <v>44673.26</v>
      </c>
      <c r="D242" s="19" t="n">
        <f aca="false">ROUND(C242*$C$16,2)</f>
        <v>223.37</v>
      </c>
      <c r="E242" s="19" t="n">
        <f aca="false">IF(C242&lt;=0,0,ROUND(CHOOSE($C$10,IF(A242=$C$17,C242+D242,MIN($C$18,C242+D242)),IF(A242=$C$17,C242,MIN($C$19,C242))+D242,IF(A242=$C$17,C242,0)+D242),2))</f>
        <v>1932.9</v>
      </c>
      <c r="F242" s="19" t="n">
        <f aca="false">IF(C242&lt;=0,0,MAX(0,ROUND(E242-D242,2)))</f>
        <v>1709.53</v>
      </c>
      <c r="G242" s="19" t="n">
        <f aca="false">IF(C242&lt;=0,0,ROUND(MIN(MAX(0,C242-F242),MAX(0,IF(A242&gt;=$C$13,$C$12,0)+SUMIF($E$5:$E$14,A242,$F$5:$F$14))),2))</f>
        <v>200</v>
      </c>
      <c r="H242" s="19" t="n">
        <f aca="false">ROUND(E242+G242,2)</f>
        <v>2132.9</v>
      </c>
      <c r="I242" s="19" t="n">
        <f aca="false">ROUND(C242-F242-G242,2)</f>
        <v>42763.73</v>
      </c>
      <c r="J242" s="19" t="n">
        <f aca="false">ROUND(J241+D242,2)</f>
        <v>202805.63</v>
      </c>
      <c r="K242" s="19" t="n">
        <f aca="false">ROUND(K241+F242+G242,2)</f>
        <v>257236.27</v>
      </c>
      <c r="M242" s="19" t="n">
        <f aca="false">Q241</f>
        <v>139810.95</v>
      </c>
      <c r="N242" s="19" t="n">
        <f aca="false">ROUND(M242*$C$16,2)</f>
        <v>699.05</v>
      </c>
      <c r="O242" s="19" t="n">
        <f aca="false">IF(M242&lt;=0,0,ROUND(CHOOSE($C$10,IF(A242=$C$17,M242+N242,MIN($C$18,M242+N242)),IF(A242=$C$17,M242,MIN($C$19,M242))+N242,IF(A242=$C$17,M242,0)+N242),2))</f>
        <v>1932.9</v>
      </c>
      <c r="P242" s="19" t="n">
        <f aca="false">IF(M242&lt;=0,0,MAX(0,ROUND(O242-N242,2)))</f>
        <v>1233.85</v>
      </c>
      <c r="Q242" s="19" t="n">
        <f aca="false">ROUND(M242-P242,2)</f>
        <v>138577.1</v>
      </c>
    </row>
    <row r="243" customFormat="false" ht="15" hidden="false" customHeight="false" outlineLevel="0" collapsed="false">
      <c r="A243" s="24" t="n">
        <f aca="false">A242+1</f>
        <v>212</v>
      </c>
      <c r="B243" s="25" t="n">
        <f aca="false">IF(MOD(12,$C$7)=0,EDATE($C$9,(A243-1)*12/$C$7),$C$9+(A243-1)*ROUND(364/$C$7,0))</f>
        <v>52749</v>
      </c>
      <c r="C243" s="19" t="n">
        <f aca="false">I242</f>
        <v>42763.73</v>
      </c>
      <c r="D243" s="19" t="n">
        <f aca="false">ROUND(C243*$C$16,2)</f>
        <v>213.82</v>
      </c>
      <c r="E243" s="19" t="n">
        <f aca="false">IF(C243&lt;=0,0,ROUND(CHOOSE($C$10,IF(A243=$C$17,C243+D243,MIN($C$18,C243+D243)),IF(A243=$C$17,C243,MIN($C$19,C243))+D243,IF(A243=$C$17,C243,0)+D243),2))</f>
        <v>1932.9</v>
      </c>
      <c r="F243" s="19" t="n">
        <f aca="false">IF(C243&lt;=0,0,MAX(0,ROUND(E243-D243,2)))</f>
        <v>1719.08</v>
      </c>
      <c r="G243" s="19" t="n">
        <f aca="false">IF(C243&lt;=0,0,ROUND(MIN(MAX(0,C243-F243),MAX(0,IF(A243&gt;=$C$13,$C$12,0)+SUMIF($E$5:$E$14,A243,$F$5:$F$14))),2))</f>
        <v>200</v>
      </c>
      <c r="H243" s="19" t="n">
        <f aca="false">ROUND(E243+G243,2)</f>
        <v>2132.9</v>
      </c>
      <c r="I243" s="19" t="n">
        <f aca="false">ROUND(C243-F243-G243,2)</f>
        <v>40844.65</v>
      </c>
      <c r="J243" s="19" t="n">
        <f aca="false">ROUND(J242+D243,2)</f>
        <v>203019.45</v>
      </c>
      <c r="K243" s="19" t="n">
        <f aca="false">ROUND(K242+F243+G243,2)</f>
        <v>259155.35</v>
      </c>
      <c r="M243" s="19" t="n">
        <f aca="false">Q242</f>
        <v>138577.1</v>
      </c>
      <c r="N243" s="19" t="n">
        <f aca="false">ROUND(M243*$C$16,2)</f>
        <v>692.89</v>
      </c>
      <c r="O243" s="19" t="n">
        <f aca="false">IF(M243&lt;=0,0,ROUND(CHOOSE($C$10,IF(A243=$C$17,M243+N243,MIN($C$18,M243+N243)),IF(A243=$C$17,M243,MIN($C$19,M243))+N243,IF(A243=$C$17,M243,0)+N243),2))</f>
        <v>1932.9</v>
      </c>
      <c r="P243" s="19" t="n">
        <f aca="false">IF(M243&lt;=0,0,MAX(0,ROUND(O243-N243,2)))</f>
        <v>1240.01</v>
      </c>
      <c r="Q243" s="19" t="n">
        <f aca="false">ROUND(M243-P243,2)</f>
        <v>137337.09</v>
      </c>
    </row>
    <row r="244" customFormat="false" ht="15" hidden="false" customHeight="false" outlineLevel="0" collapsed="false">
      <c r="A244" s="24" t="n">
        <f aca="false">A243+1</f>
        <v>213</v>
      </c>
      <c r="B244" s="25" t="n">
        <f aca="false">IF(MOD(12,$C$7)=0,EDATE($C$9,(A244-1)*12/$C$7),$C$9+(A244-1)*ROUND(364/$C$7,0))</f>
        <v>52779</v>
      </c>
      <c r="C244" s="19" t="n">
        <f aca="false">I243</f>
        <v>40844.65</v>
      </c>
      <c r="D244" s="19" t="n">
        <f aca="false">ROUND(C244*$C$16,2)</f>
        <v>204.22</v>
      </c>
      <c r="E244" s="19" t="n">
        <f aca="false">IF(C244&lt;=0,0,ROUND(CHOOSE($C$10,IF(A244=$C$17,C244+D244,MIN($C$18,C244+D244)),IF(A244=$C$17,C244,MIN($C$19,C244))+D244,IF(A244=$C$17,C244,0)+D244),2))</f>
        <v>1932.9</v>
      </c>
      <c r="F244" s="19" t="n">
        <f aca="false">IF(C244&lt;=0,0,MAX(0,ROUND(E244-D244,2)))</f>
        <v>1728.68</v>
      </c>
      <c r="G244" s="19" t="n">
        <f aca="false">IF(C244&lt;=0,0,ROUND(MIN(MAX(0,C244-F244),MAX(0,IF(A244&gt;=$C$13,$C$12,0)+SUMIF($E$5:$E$14,A244,$F$5:$F$14))),2))</f>
        <v>200</v>
      </c>
      <c r="H244" s="19" t="n">
        <f aca="false">ROUND(E244+G244,2)</f>
        <v>2132.9</v>
      </c>
      <c r="I244" s="19" t="n">
        <f aca="false">ROUND(C244-F244-G244,2)</f>
        <v>38915.97</v>
      </c>
      <c r="J244" s="19" t="n">
        <f aca="false">ROUND(J243+D244,2)</f>
        <v>203223.67</v>
      </c>
      <c r="K244" s="19" t="n">
        <f aca="false">ROUND(K243+F244+G244,2)</f>
        <v>261084.03</v>
      </c>
      <c r="M244" s="19" t="n">
        <f aca="false">Q243</f>
        <v>137337.09</v>
      </c>
      <c r="N244" s="19" t="n">
        <f aca="false">ROUND(M244*$C$16,2)</f>
        <v>686.69</v>
      </c>
      <c r="O244" s="19" t="n">
        <f aca="false">IF(M244&lt;=0,0,ROUND(CHOOSE($C$10,IF(A244=$C$17,M244+N244,MIN($C$18,M244+N244)),IF(A244=$C$17,M244,MIN($C$19,M244))+N244,IF(A244=$C$17,M244,0)+N244),2))</f>
        <v>1932.9</v>
      </c>
      <c r="P244" s="19" t="n">
        <f aca="false">IF(M244&lt;=0,0,MAX(0,ROUND(O244-N244,2)))</f>
        <v>1246.21</v>
      </c>
      <c r="Q244" s="19" t="n">
        <f aca="false">ROUND(M244-P244,2)</f>
        <v>136090.88</v>
      </c>
    </row>
    <row r="245" customFormat="false" ht="15" hidden="false" customHeight="false" outlineLevel="0" collapsed="false">
      <c r="A245" s="24" t="n">
        <f aca="false">A244+1</f>
        <v>214</v>
      </c>
      <c r="B245" s="25" t="n">
        <f aca="false">IF(MOD(12,$C$7)=0,EDATE($C$9,(A245-1)*12/$C$7),$C$9+(A245-1)*ROUND(364/$C$7,0))</f>
        <v>52810</v>
      </c>
      <c r="C245" s="19" t="n">
        <f aca="false">I244</f>
        <v>38915.97</v>
      </c>
      <c r="D245" s="19" t="n">
        <f aca="false">ROUND(C245*$C$16,2)</f>
        <v>194.58</v>
      </c>
      <c r="E245" s="19" t="n">
        <f aca="false">IF(C245&lt;=0,0,ROUND(CHOOSE($C$10,IF(A245=$C$17,C245+D245,MIN($C$18,C245+D245)),IF(A245=$C$17,C245,MIN($C$19,C245))+D245,IF(A245=$C$17,C245,0)+D245),2))</f>
        <v>1932.9</v>
      </c>
      <c r="F245" s="19" t="n">
        <f aca="false">IF(C245&lt;=0,0,MAX(0,ROUND(E245-D245,2)))</f>
        <v>1738.32</v>
      </c>
      <c r="G245" s="19" t="n">
        <f aca="false">IF(C245&lt;=0,0,ROUND(MIN(MAX(0,C245-F245),MAX(0,IF(A245&gt;=$C$13,$C$12,0)+SUMIF($E$5:$E$14,A245,$F$5:$F$14))),2))</f>
        <v>200</v>
      </c>
      <c r="H245" s="19" t="n">
        <f aca="false">ROUND(E245+G245,2)</f>
        <v>2132.9</v>
      </c>
      <c r="I245" s="19" t="n">
        <f aca="false">ROUND(C245-F245-G245,2)</f>
        <v>36977.65</v>
      </c>
      <c r="J245" s="19" t="n">
        <f aca="false">ROUND(J244+D245,2)</f>
        <v>203418.25</v>
      </c>
      <c r="K245" s="19" t="n">
        <f aca="false">ROUND(K244+F245+G245,2)</f>
        <v>263022.35</v>
      </c>
      <c r="M245" s="19" t="n">
        <f aca="false">Q244</f>
        <v>136090.88</v>
      </c>
      <c r="N245" s="19" t="n">
        <f aca="false">ROUND(M245*$C$16,2)</f>
        <v>680.45</v>
      </c>
      <c r="O245" s="19" t="n">
        <f aca="false">IF(M245&lt;=0,0,ROUND(CHOOSE($C$10,IF(A245=$C$17,M245+N245,MIN($C$18,M245+N245)),IF(A245=$C$17,M245,MIN($C$19,M245))+N245,IF(A245=$C$17,M245,0)+N245),2))</f>
        <v>1932.9</v>
      </c>
      <c r="P245" s="19" t="n">
        <f aca="false">IF(M245&lt;=0,0,MAX(0,ROUND(O245-N245,2)))</f>
        <v>1252.45</v>
      </c>
      <c r="Q245" s="19" t="n">
        <f aca="false">ROUND(M245-P245,2)</f>
        <v>134838.43</v>
      </c>
    </row>
    <row r="246" customFormat="false" ht="15" hidden="false" customHeight="false" outlineLevel="0" collapsed="false">
      <c r="A246" s="24" t="n">
        <f aca="false">A245+1</f>
        <v>215</v>
      </c>
      <c r="B246" s="25" t="n">
        <f aca="false">IF(MOD(12,$C$7)=0,EDATE($C$9,(A246-1)*12/$C$7),$C$9+(A246-1)*ROUND(364/$C$7,0))</f>
        <v>52841</v>
      </c>
      <c r="C246" s="19" t="n">
        <f aca="false">I245</f>
        <v>36977.65</v>
      </c>
      <c r="D246" s="19" t="n">
        <f aca="false">ROUND(C246*$C$16,2)</f>
        <v>184.89</v>
      </c>
      <c r="E246" s="19" t="n">
        <f aca="false">IF(C246&lt;=0,0,ROUND(CHOOSE($C$10,IF(A246=$C$17,C246+D246,MIN($C$18,C246+D246)),IF(A246=$C$17,C246,MIN($C$19,C246))+D246,IF(A246=$C$17,C246,0)+D246),2))</f>
        <v>1932.9</v>
      </c>
      <c r="F246" s="19" t="n">
        <f aca="false">IF(C246&lt;=0,0,MAX(0,ROUND(E246-D246,2)))</f>
        <v>1748.01</v>
      </c>
      <c r="G246" s="19" t="n">
        <f aca="false">IF(C246&lt;=0,0,ROUND(MIN(MAX(0,C246-F246),MAX(0,IF(A246&gt;=$C$13,$C$12,0)+SUMIF($E$5:$E$14,A246,$F$5:$F$14))),2))</f>
        <v>200</v>
      </c>
      <c r="H246" s="19" t="n">
        <f aca="false">ROUND(E246+G246,2)</f>
        <v>2132.9</v>
      </c>
      <c r="I246" s="19" t="n">
        <f aca="false">ROUND(C246-F246-G246,2)</f>
        <v>35029.64</v>
      </c>
      <c r="J246" s="19" t="n">
        <f aca="false">ROUND(J245+D246,2)</f>
        <v>203603.14</v>
      </c>
      <c r="K246" s="19" t="n">
        <f aca="false">ROUND(K245+F246+G246,2)</f>
        <v>264970.36</v>
      </c>
      <c r="M246" s="19" t="n">
        <f aca="false">Q245</f>
        <v>134838.43</v>
      </c>
      <c r="N246" s="19" t="n">
        <f aca="false">ROUND(M246*$C$16,2)</f>
        <v>674.19</v>
      </c>
      <c r="O246" s="19" t="n">
        <f aca="false">IF(M246&lt;=0,0,ROUND(CHOOSE($C$10,IF(A246=$C$17,M246+N246,MIN($C$18,M246+N246)),IF(A246=$C$17,M246,MIN($C$19,M246))+N246,IF(A246=$C$17,M246,0)+N246),2))</f>
        <v>1932.9</v>
      </c>
      <c r="P246" s="19" t="n">
        <f aca="false">IF(M246&lt;=0,0,MAX(0,ROUND(O246-N246,2)))</f>
        <v>1258.71</v>
      </c>
      <c r="Q246" s="19" t="n">
        <f aca="false">ROUND(M246-P246,2)</f>
        <v>133579.72</v>
      </c>
    </row>
    <row r="247" customFormat="false" ht="15" hidden="false" customHeight="false" outlineLevel="0" collapsed="false">
      <c r="A247" s="24" t="n">
        <f aca="false">A246+1</f>
        <v>216</v>
      </c>
      <c r="B247" s="25" t="n">
        <f aca="false">IF(MOD(12,$C$7)=0,EDATE($C$9,(A247-1)*12/$C$7),$C$9+(A247-1)*ROUND(364/$C$7,0))</f>
        <v>52871</v>
      </c>
      <c r="C247" s="19" t="n">
        <f aca="false">I246</f>
        <v>35029.64</v>
      </c>
      <c r="D247" s="19" t="n">
        <f aca="false">ROUND(C247*$C$16,2)</f>
        <v>175.15</v>
      </c>
      <c r="E247" s="19" t="n">
        <f aca="false">IF(C247&lt;=0,0,ROUND(CHOOSE($C$10,IF(A247=$C$17,C247+D247,MIN($C$18,C247+D247)),IF(A247=$C$17,C247,MIN($C$19,C247))+D247,IF(A247=$C$17,C247,0)+D247),2))</f>
        <v>1932.9</v>
      </c>
      <c r="F247" s="19" t="n">
        <f aca="false">IF(C247&lt;=0,0,MAX(0,ROUND(E247-D247,2)))</f>
        <v>1757.75</v>
      </c>
      <c r="G247" s="19" t="n">
        <f aca="false">IF(C247&lt;=0,0,ROUND(MIN(MAX(0,C247-F247),MAX(0,IF(A247&gt;=$C$13,$C$12,0)+SUMIF($E$5:$E$14,A247,$F$5:$F$14))),2))</f>
        <v>200</v>
      </c>
      <c r="H247" s="19" t="n">
        <f aca="false">ROUND(E247+G247,2)</f>
        <v>2132.9</v>
      </c>
      <c r="I247" s="19" t="n">
        <f aca="false">ROUND(C247-F247-G247,2)</f>
        <v>33071.89</v>
      </c>
      <c r="J247" s="19" t="n">
        <f aca="false">ROUND(J246+D247,2)</f>
        <v>203778.29</v>
      </c>
      <c r="K247" s="19" t="n">
        <f aca="false">ROUND(K246+F247+G247,2)</f>
        <v>266928.11</v>
      </c>
      <c r="M247" s="19" t="n">
        <f aca="false">Q246</f>
        <v>133579.72</v>
      </c>
      <c r="N247" s="19" t="n">
        <f aca="false">ROUND(M247*$C$16,2)</f>
        <v>667.9</v>
      </c>
      <c r="O247" s="19" t="n">
        <f aca="false">IF(M247&lt;=0,0,ROUND(CHOOSE($C$10,IF(A247=$C$17,M247+N247,MIN($C$18,M247+N247)),IF(A247=$C$17,M247,MIN($C$19,M247))+N247,IF(A247=$C$17,M247,0)+N247),2))</f>
        <v>1932.9</v>
      </c>
      <c r="P247" s="19" t="n">
        <f aca="false">IF(M247&lt;=0,0,MAX(0,ROUND(O247-N247,2)))</f>
        <v>1265</v>
      </c>
      <c r="Q247" s="19" t="n">
        <f aca="false">ROUND(M247-P247,2)</f>
        <v>132314.72</v>
      </c>
    </row>
    <row r="248" customFormat="false" ht="15" hidden="false" customHeight="false" outlineLevel="0" collapsed="false">
      <c r="A248" s="24" t="n">
        <f aca="false">A247+1</f>
        <v>217</v>
      </c>
      <c r="B248" s="25" t="n">
        <f aca="false">IF(MOD(12,$C$7)=0,EDATE($C$9,(A248-1)*12/$C$7),$C$9+(A248-1)*ROUND(364/$C$7,0))</f>
        <v>52902</v>
      </c>
      <c r="C248" s="19" t="n">
        <f aca="false">I247</f>
        <v>33071.89</v>
      </c>
      <c r="D248" s="19" t="n">
        <f aca="false">ROUND(C248*$C$16,2)</f>
        <v>165.36</v>
      </c>
      <c r="E248" s="19" t="n">
        <f aca="false">IF(C248&lt;=0,0,ROUND(CHOOSE($C$10,IF(A248=$C$17,C248+D248,MIN($C$18,C248+D248)),IF(A248=$C$17,C248,MIN($C$19,C248))+D248,IF(A248=$C$17,C248,0)+D248),2))</f>
        <v>1932.9</v>
      </c>
      <c r="F248" s="19" t="n">
        <f aca="false">IF(C248&lt;=0,0,MAX(0,ROUND(E248-D248,2)))</f>
        <v>1767.54</v>
      </c>
      <c r="G248" s="19" t="n">
        <f aca="false">IF(C248&lt;=0,0,ROUND(MIN(MAX(0,C248-F248),MAX(0,IF(A248&gt;=$C$13,$C$12,0)+SUMIF($E$5:$E$14,A248,$F$5:$F$14))),2))</f>
        <v>200</v>
      </c>
      <c r="H248" s="19" t="n">
        <f aca="false">ROUND(E248+G248,2)</f>
        <v>2132.9</v>
      </c>
      <c r="I248" s="19" t="n">
        <f aca="false">ROUND(C248-F248-G248,2)</f>
        <v>31104.35</v>
      </c>
      <c r="J248" s="19" t="n">
        <f aca="false">ROUND(J247+D248,2)</f>
        <v>203943.65</v>
      </c>
      <c r="K248" s="19" t="n">
        <f aca="false">ROUND(K247+F248+G248,2)</f>
        <v>268895.65</v>
      </c>
      <c r="M248" s="19" t="n">
        <f aca="false">Q247</f>
        <v>132314.72</v>
      </c>
      <c r="N248" s="19" t="n">
        <f aca="false">ROUND(M248*$C$16,2)</f>
        <v>661.57</v>
      </c>
      <c r="O248" s="19" t="n">
        <f aca="false">IF(M248&lt;=0,0,ROUND(CHOOSE($C$10,IF(A248=$C$17,M248+N248,MIN($C$18,M248+N248)),IF(A248=$C$17,M248,MIN($C$19,M248))+N248,IF(A248=$C$17,M248,0)+N248),2))</f>
        <v>1932.9</v>
      </c>
      <c r="P248" s="19" t="n">
        <f aca="false">IF(M248&lt;=0,0,MAX(0,ROUND(O248-N248,2)))</f>
        <v>1271.33</v>
      </c>
      <c r="Q248" s="19" t="n">
        <f aca="false">ROUND(M248-P248,2)</f>
        <v>131043.39</v>
      </c>
    </row>
    <row r="249" customFormat="false" ht="15" hidden="false" customHeight="false" outlineLevel="0" collapsed="false">
      <c r="A249" s="24" t="n">
        <f aca="false">A248+1</f>
        <v>218</v>
      </c>
      <c r="B249" s="25" t="n">
        <f aca="false">IF(MOD(12,$C$7)=0,EDATE($C$9,(A249-1)*12/$C$7),$C$9+(A249-1)*ROUND(364/$C$7,0))</f>
        <v>52932</v>
      </c>
      <c r="C249" s="19" t="n">
        <f aca="false">I248</f>
        <v>31104.35</v>
      </c>
      <c r="D249" s="19" t="n">
        <f aca="false">ROUND(C249*$C$16,2)</f>
        <v>155.52</v>
      </c>
      <c r="E249" s="19" t="n">
        <f aca="false">IF(C249&lt;=0,0,ROUND(CHOOSE($C$10,IF(A249=$C$17,C249+D249,MIN($C$18,C249+D249)),IF(A249=$C$17,C249,MIN($C$19,C249))+D249,IF(A249=$C$17,C249,0)+D249),2))</f>
        <v>1932.9</v>
      </c>
      <c r="F249" s="19" t="n">
        <f aca="false">IF(C249&lt;=0,0,MAX(0,ROUND(E249-D249,2)))</f>
        <v>1777.38</v>
      </c>
      <c r="G249" s="19" t="n">
        <f aca="false">IF(C249&lt;=0,0,ROUND(MIN(MAX(0,C249-F249),MAX(0,IF(A249&gt;=$C$13,$C$12,0)+SUMIF($E$5:$E$14,A249,$F$5:$F$14))),2))</f>
        <v>200</v>
      </c>
      <c r="H249" s="19" t="n">
        <f aca="false">ROUND(E249+G249,2)</f>
        <v>2132.9</v>
      </c>
      <c r="I249" s="19" t="n">
        <f aca="false">ROUND(C249-F249-G249,2)</f>
        <v>29126.97</v>
      </c>
      <c r="J249" s="19" t="n">
        <f aca="false">ROUND(J248+D249,2)</f>
        <v>204099.17</v>
      </c>
      <c r="K249" s="19" t="n">
        <f aca="false">ROUND(K248+F249+G249,2)</f>
        <v>270873.03</v>
      </c>
      <c r="M249" s="19" t="n">
        <f aca="false">Q248</f>
        <v>131043.39</v>
      </c>
      <c r="N249" s="19" t="n">
        <f aca="false">ROUND(M249*$C$16,2)</f>
        <v>655.22</v>
      </c>
      <c r="O249" s="19" t="n">
        <f aca="false">IF(M249&lt;=0,0,ROUND(CHOOSE($C$10,IF(A249=$C$17,M249+N249,MIN($C$18,M249+N249)),IF(A249=$C$17,M249,MIN($C$19,M249))+N249,IF(A249=$C$17,M249,0)+N249),2))</f>
        <v>1932.9</v>
      </c>
      <c r="P249" s="19" t="n">
        <f aca="false">IF(M249&lt;=0,0,MAX(0,ROUND(O249-N249,2)))</f>
        <v>1277.68</v>
      </c>
      <c r="Q249" s="19" t="n">
        <f aca="false">ROUND(M249-P249,2)</f>
        <v>129765.71</v>
      </c>
    </row>
    <row r="250" customFormat="false" ht="15" hidden="false" customHeight="false" outlineLevel="0" collapsed="false">
      <c r="A250" s="24" t="n">
        <f aca="false">A249+1</f>
        <v>219</v>
      </c>
      <c r="B250" s="25" t="n">
        <f aca="false">IF(MOD(12,$C$7)=0,EDATE($C$9,(A250-1)*12/$C$7),$C$9+(A250-1)*ROUND(364/$C$7,0))</f>
        <v>52963</v>
      </c>
      <c r="C250" s="19" t="n">
        <f aca="false">I249</f>
        <v>29126.97</v>
      </c>
      <c r="D250" s="19" t="n">
        <f aca="false">ROUND(C250*$C$16,2)</f>
        <v>145.63</v>
      </c>
      <c r="E250" s="19" t="n">
        <f aca="false">IF(C250&lt;=0,0,ROUND(CHOOSE($C$10,IF(A250=$C$17,C250+D250,MIN($C$18,C250+D250)),IF(A250=$C$17,C250,MIN($C$19,C250))+D250,IF(A250=$C$17,C250,0)+D250),2))</f>
        <v>1932.9</v>
      </c>
      <c r="F250" s="19" t="n">
        <f aca="false">IF(C250&lt;=0,0,MAX(0,ROUND(E250-D250,2)))</f>
        <v>1787.27</v>
      </c>
      <c r="G250" s="19" t="n">
        <f aca="false">IF(C250&lt;=0,0,ROUND(MIN(MAX(0,C250-F250),MAX(0,IF(A250&gt;=$C$13,$C$12,0)+SUMIF($E$5:$E$14,A250,$F$5:$F$14))),2))</f>
        <v>200</v>
      </c>
      <c r="H250" s="19" t="n">
        <f aca="false">ROUND(E250+G250,2)</f>
        <v>2132.9</v>
      </c>
      <c r="I250" s="19" t="n">
        <f aca="false">ROUND(C250-F250-G250,2)</f>
        <v>27139.7</v>
      </c>
      <c r="J250" s="19" t="n">
        <f aca="false">ROUND(J249+D250,2)</f>
        <v>204244.8</v>
      </c>
      <c r="K250" s="19" t="n">
        <f aca="false">ROUND(K249+F250+G250,2)</f>
        <v>272860.3</v>
      </c>
      <c r="M250" s="19" t="n">
        <f aca="false">Q249</f>
        <v>129765.71</v>
      </c>
      <c r="N250" s="19" t="n">
        <f aca="false">ROUND(M250*$C$16,2)</f>
        <v>648.83</v>
      </c>
      <c r="O250" s="19" t="n">
        <f aca="false">IF(M250&lt;=0,0,ROUND(CHOOSE($C$10,IF(A250=$C$17,M250+N250,MIN($C$18,M250+N250)),IF(A250=$C$17,M250,MIN($C$19,M250))+N250,IF(A250=$C$17,M250,0)+N250),2))</f>
        <v>1932.9</v>
      </c>
      <c r="P250" s="19" t="n">
        <f aca="false">IF(M250&lt;=0,0,MAX(0,ROUND(O250-N250,2)))</f>
        <v>1284.07</v>
      </c>
      <c r="Q250" s="19" t="n">
        <f aca="false">ROUND(M250-P250,2)</f>
        <v>128481.64</v>
      </c>
    </row>
    <row r="251" customFormat="false" ht="15" hidden="false" customHeight="false" outlineLevel="0" collapsed="false">
      <c r="A251" s="24" t="n">
        <f aca="false">A250+1</f>
        <v>220</v>
      </c>
      <c r="B251" s="25" t="n">
        <f aca="false">IF(MOD(12,$C$7)=0,EDATE($C$9,(A251-1)*12/$C$7),$C$9+(A251-1)*ROUND(364/$C$7,0))</f>
        <v>52994</v>
      </c>
      <c r="C251" s="19" t="n">
        <f aca="false">I250</f>
        <v>27139.7</v>
      </c>
      <c r="D251" s="19" t="n">
        <f aca="false">ROUND(C251*$C$16,2)</f>
        <v>135.7</v>
      </c>
      <c r="E251" s="19" t="n">
        <f aca="false">IF(C251&lt;=0,0,ROUND(CHOOSE($C$10,IF(A251=$C$17,C251+D251,MIN($C$18,C251+D251)),IF(A251=$C$17,C251,MIN($C$19,C251))+D251,IF(A251=$C$17,C251,0)+D251),2))</f>
        <v>1932.9</v>
      </c>
      <c r="F251" s="19" t="n">
        <f aca="false">IF(C251&lt;=0,0,MAX(0,ROUND(E251-D251,2)))</f>
        <v>1797.2</v>
      </c>
      <c r="G251" s="19" t="n">
        <f aca="false">IF(C251&lt;=0,0,ROUND(MIN(MAX(0,C251-F251),MAX(0,IF(A251&gt;=$C$13,$C$12,0)+SUMIF($E$5:$E$14,A251,$F$5:$F$14))),2))</f>
        <v>200</v>
      </c>
      <c r="H251" s="19" t="n">
        <f aca="false">ROUND(E251+G251,2)</f>
        <v>2132.9</v>
      </c>
      <c r="I251" s="19" t="n">
        <f aca="false">ROUND(C251-F251-G251,2)</f>
        <v>25142.5</v>
      </c>
      <c r="J251" s="19" t="n">
        <f aca="false">ROUND(J250+D251,2)</f>
        <v>204380.5</v>
      </c>
      <c r="K251" s="19" t="n">
        <f aca="false">ROUND(K250+F251+G251,2)</f>
        <v>274857.5</v>
      </c>
      <c r="M251" s="19" t="n">
        <f aca="false">Q250</f>
        <v>128481.64</v>
      </c>
      <c r="N251" s="19" t="n">
        <f aca="false">ROUND(M251*$C$16,2)</f>
        <v>642.41</v>
      </c>
      <c r="O251" s="19" t="n">
        <f aca="false">IF(M251&lt;=0,0,ROUND(CHOOSE($C$10,IF(A251=$C$17,M251+N251,MIN($C$18,M251+N251)),IF(A251=$C$17,M251,MIN($C$19,M251))+N251,IF(A251=$C$17,M251,0)+N251),2))</f>
        <v>1932.9</v>
      </c>
      <c r="P251" s="19" t="n">
        <f aca="false">IF(M251&lt;=0,0,MAX(0,ROUND(O251-N251,2)))</f>
        <v>1290.49</v>
      </c>
      <c r="Q251" s="19" t="n">
        <f aca="false">ROUND(M251-P251,2)</f>
        <v>127191.15</v>
      </c>
    </row>
    <row r="252" customFormat="false" ht="15" hidden="false" customHeight="false" outlineLevel="0" collapsed="false">
      <c r="A252" s="24" t="n">
        <f aca="false">A251+1</f>
        <v>221</v>
      </c>
      <c r="B252" s="25" t="n">
        <f aca="false">IF(MOD(12,$C$7)=0,EDATE($C$9,(A252-1)*12/$C$7),$C$9+(A252-1)*ROUND(364/$C$7,0))</f>
        <v>53022</v>
      </c>
      <c r="C252" s="19" t="n">
        <f aca="false">I251</f>
        <v>25142.5</v>
      </c>
      <c r="D252" s="19" t="n">
        <f aca="false">ROUND(C252*$C$16,2)</f>
        <v>125.71</v>
      </c>
      <c r="E252" s="19" t="n">
        <f aca="false">IF(C252&lt;=0,0,ROUND(CHOOSE($C$10,IF(A252=$C$17,C252+D252,MIN($C$18,C252+D252)),IF(A252=$C$17,C252,MIN($C$19,C252))+D252,IF(A252=$C$17,C252,0)+D252),2))</f>
        <v>1932.9</v>
      </c>
      <c r="F252" s="19" t="n">
        <f aca="false">IF(C252&lt;=0,0,MAX(0,ROUND(E252-D252,2)))</f>
        <v>1807.19</v>
      </c>
      <c r="G252" s="19" t="n">
        <f aca="false">IF(C252&lt;=0,0,ROUND(MIN(MAX(0,C252-F252),MAX(0,IF(A252&gt;=$C$13,$C$12,0)+SUMIF($E$5:$E$14,A252,$F$5:$F$14))),2))</f>
        <v>200</v>
      </c>
      <c r="H252" s="19" t="n">
        <f aca="false">ROUND(E252+G252,2)</f>
        <v>2132.9</v>
      </c>
      <c r="I252" s="19" t="n">
        <f aca="false">ROUND(C252-F252-G252,2)</f>
        <v>23135.31</v>
      </c>
      <c r="J252" s="19" t="n">
        <f aca="false">ROUND(J251+D252,2)</f>
        <v>204506.21</v>
      </c>
      <c r="K252" s="19" t="n">
        <f aca="false">ROUND(K251+F252+G252,2)</f>
        <v>276864.69</v>
      </c>
      <c r="M252" s="19" t="n">
        <f aca="false">Q251</f>
        <v>127191.15</v>
      </c>
      <c r="N252" s="19" t="n">
        <f aca="false">ROUND(M252*$C$16,2)</f>
        <v>635.96</v>
      </c>
      <c r="O252" s="19" t="n">
        <f aca="false">IF(M252&lt;=0,0,ROUND(CHOOSE($C$10,IF(A252=$C$17,M252+N252,MIN($C$18,M252+N252)),IF(A252=$C$17,M252,MIN($C$19,M252))+N252,IF(A252=$C$17,M252,0)+N252),2))</f>
        <v>1932.9</v>
      </c>
      <c r="P252" s="19" t="n">
        <f aca="false">IF(M252&lt;=0,0,MAX(0,ROUND(O252-N252,2)))</f>
        <v>1296.94</v>
      </c>
      <c r="Q252" s="19" t="n">
        <f aca="false">ROUND(M252-P252,2)</f>
        <v>125894.21</v>
      </c>
    </row>
    <row r="253" customFormat="false" ht="15" hidden="false" customHeight="false" outlineLevel="0" collapsed="false">
      <c r="A253" s="24" t="n">
        <f aca="false">A252+1</f>
        <v>222</v>
      </c>
      <c r="B253" s="25" t="n">
        <f aca="false">IF(MOD(12,$C$7)=0,EDATE($C$9,(A253-1)*12/$C$7),$C$9+(A253-1)*ROUND(364/$C$7,0))</f>
        <v>53053</v>
      </c>
      <c r="C253" s="19" t="n">
        <f aca="false">I252</f>
        <v>23135.31</v>
      </c>
      <c r="D253" s="19" t="n">
        <f aca="false">ROUND(C253*$C$16,2)</f>
        <v>115.68</v>
      </c>
      <c r="E253" s="19" t="n">
        <f aca="false">IF(C253&lt;=0,0,ROUND(CHOOSE($C$10,IF(A253=$C$17,C253+D253,MIN($C$18,C253+D253)),IF(A253=$C$17,C253,MIN($C$19,C253))+D253,IF(A253=$C$17,C253,0)+D253),2))</f>
        <v>1932.9</v>
      </c>
      <c r="F253" s="19" t="n">
        <f aca="false">IF(C253&lt;=0,0,MAX(0,ROUND(E253-D253,2)))</f>
        <v>1817.22</v>
      </c>
      <c r="G253" s="19" t="n">
        <f aca="false">IF(C253&lt;=0,0,ROUND(MIN(MAX(0,C253-F253),MAX(0,IF(A253&gt;=$C$13,$C$12,0)+SUMIF($E$5:$E$14,A253,$F$5:$F$14))),2))</f>
        <v>200</v>
      </c>
      <c r="H253" s="19" t="n">
        <f aca="false">ROUND(E253+G253,2)</f>
        <v>2132.9</v>
      </c>
      <c r="I253" s="19" t="n">
        <f aca="false">ROUND(C253-F253-G253,2)</f>
        <v>21118.09</v>
      </c>
      <c r="J253" s="19" t="n">
        <f aca="false">ROUND(J252+D253,2)</f>
        <v>204621.89</v>
      </c>
      <c r="K253" s="19" t="n">
        <f aca="false">ROUND(K252+F253+G253,2)</f>
        <v>278881.91</v>
      </c>
      <c r="M253" s="19" t="n">
        <f aca="false">Q252</f>
        <v>125894.21</v>
      </c>
      <c r="N253" s="19" t="n">
        <f aca="false">ROUND(M253*$C$16,2)</f>
        <v>629.47</v>
      </c>
      <c r="O253" s="19" t="n">
        <f aca="false">IF(M253&lt;=0,0,ROUND(CHOOSE($C$10,IF(A253=$C$17,M253+N253,MIN($C$18,M253+N253)),IF(A253=$C$17,M253,MIN($C$19,M253))+N253,IF(A253=$C$17,M253,0)+N253),2))</f>
        <v>1932.9</v>
      </c>
      <c r="P253" s="19" t="n">
        <f aca="false">IF(M253&lt;=0,0,MAX(0,ROUND(O253-N253,2)))</f>
        <v>1303.43</v>
      </c>
      <c r="Q253" s="19" t="n">
        <f aca="false">ROUND(M253-P253,2)</f>
        <v>124590.78</v>
      </c>
    </row>
    <row r="254" customFormat="false" ht="15" hidden="false" customHeight="false" outlineLevel="0" collapsed="false">
      <c r="A254" s="24" t="n">
        <f aca="false">A253+1</f>
        <v>223</v>
      </c>
      <c r="B254" s="25" t="n">
        <f aca="false">IF(MOD(12,$C$7)=0,EDATE($C$9,(A254-1)*12/$C$7),$C$9+(A254-1)*ROUND(364/$C$7,0))</f>
        <v>53083</v>
      </c>
      <c r="C254" s="19" t="n">
        <f aca="false">I253</f>
        <v>21118.09</v>
      </c>
      <c r="D254" s="19" t="n">
        <f aca="false">ROUND(C254*$C$16,2)</f>
        <v>105.59</v>
      </c>
      <c r="E254" s="19" t="n">
        <f aca="false">IF(C254&lt;=0,0,ROUND(CHOOSE($C$10,IF(A254=$C$17,C254+D254,MIN($C$18,C254+D254)),IF(A254=$C$17,C254,MIN($C$19,C254))+D254,IF(A254=$C$17,C254,0)+D254),2))</f>
        <v>1932.9</v>
      </c>
      <c r="F254" s="19" t="n">
        <f aca="false">IF(C254&lt;=0,0,MAX(0,ROUND(E254-D254,2)))</f>
        <v>1827.31</v>
      </c>
      <c r="G254" s="19" t="n">
        <f aca="false">IF(C254&lt;=0,0,ROUND(MIN(MAX(0,C254-F254),MAX(0,IF(A254&gt;=$C$13,$C$12,0)+SUMIF($E$5:$E$14,A254,$F$5:$F$14))),2))</f>
        <v>200</v>
      </c>
      <c r="H254" s="19" t="n">
        <f aca="false">ROUND(E254+G254,2)</f>
        <v>2132.9</v>
      </c>
      <c r="I254" s="19" t="n">
        <f aca="false">ROUND(C254-F254-G254,2)</f>
        <v>19090.78</v>
      </c>
      <c r="J254" s="19" t="n">
        <f aca="false">ROUND(J253+D254,2)</f>
        <v>204727.48</v>
      </c>
      <c r="K254" s="19" t="n">
        <f aca="false">ROUND(K253+F254+G254,2)</f>
        <v>280909.22</v>
      </c>
      <c r="M254" s="19" t="n">
        <f aca="false">Q253</f>
        <v>124590.78</v>
      </c>
      <c r="N254" s="19" t="n">
        <f aca="false">ROUND(M254*$C$16,2)</f>
        <v>622.95</v>
      </c>
      <c r="O254" s="19" t="n">
        <f aca="false">IF(M254&lt;=0,0,ROUND(CHOOSE($C$10,IF(A254=$C$17,M254+N254,MIN($C$18,M254+N254)),IF(A254=$C$17,M254,MIN($C$19,M254))+N254,IF(A254=$C$17,M254,0)+N254),2))</f>
        <v>1932.9</v>
      </c>
      <c r="P254" s="19" t="n">
        <f aca="false">IF(M254&lt;=0,0,MAX(0,ROUND(O254-N254,2)))</f>
        <v>1309.95</v>
      </c>
      <c r="Q254" s="19" t="n">
        <f aca="false">ROUND(M254-P254,2)</f>
        <v>123280.83</v>
      </c>
    </row>
    <row r="255" customFormat="false" ht="15" hidden="false" customHeight="false" outlineLevel="0" collapsed="false">
      <c r="A255" s="24" t="n">
        <f aca="false">A254+1</f>
        <v>224</v>
      </c>
      <c r="B255" s="25" t="n">
        <f aca="false">IF(MOD(12,$C$7)=0,EDATE($C$9,(A255-1)*12/$C$7),$C$9+(A255-1)*ROUND(364/$C$7,0))</f>
        <v>53114</v>
      </c>
      <c r="C255" s="19" t="n">
        <f aca="false">I254</f>
        <v>19090.78</v>
      </c>
      <c r="D255" s="19" t="n">
        <f aca="false">ROUND(C255*$C$16,2)</f>
        <v>95.45</v>
      </c>
      <c r="E255" s="19" t="n">
        <f aca="false">IF(C255&lt;=0,0,ROUND(CHOOSE($C$10,IF(A255=$C$17,C255+D255,MIN($C$18,C255+D255)),IF(A255=$C$17,C255,MIN($C$19,C255))+D255,IF(A255=$C$17,C255,0)+D255),2))</f>
        <v>1932.9</v>
      </c>
      <c r="F255" s="19" t="n">
        <f aca="false">IF(C255&lt;=0,0,MAX(0,ROUND(E255-D255,2)))</f>
        <v>1837.45</v>
      </c>
      <c r="G255" s="19" t="n">
        <f aca="false">IF(C255&lt;=0,0,ROUND(MIN(MAX(0,C255-F255),MAX(0,IF(A255&gt;=$C$13,$C$12,0)+SUMIF($E$5:$E$14,A255,$F$5:$F$14))),2))</f>
        <v>200</v>
      </c>
      <c r="H255" s="19" t="n">
        <f aca="false">ROUND(E255+G255,2)</f>
        <v>2132.9</v>
      </c>
      <c r="I255" s="19" t="n">
        <f aca="false">ROUND(C255-F255-G255,2)</f>
        <v>17053.33</v>
      </c>
      <c r="J255" s="19" t="n">
        <f aca="false">ROUND(J254+D255,2)</f>
        <v>204822.93</v>
      </c>
      <c r="K255" s="19" t="n">
        <f aca="false">ROUND(K254+F255+G255,2)</f>
        <v>282946.67</v>
      </c>
      <c r="M255" s="19" t="n">
        <f aca="false">Q254</f>
        <v>123280.83</v>
      </c>
      <c r="N255" s="19" t="n">
        <f aca="false">ROUND(M255*$C$16,2)</f>
        <v>616.4</v>
      </c>
      <c r="O255" s="19" t="n">
        <f aca="false">IF(M255&lt;=0,0,ROUND(CHOOSE($C$10,IF(A255=$C$17,M255+N255,MIN($C$18,M255+N255)),IF(A255=$C$17,M255,MIN($C$19,M255))+N255,IF(A255=$C$17,M255,0)+N255),2))</f>
        <v>1932.9</v>
      </c>
      <c r="P255" s="19" t="n">
        <f aca="false">IF(M255&lt;=0,0,MAX(0,ROUND(O255-N255,2)))</f>
        <v>1316.5</v>
      </c>
      <c r="Q255" s="19" t="n">
        <f aca="false">ROUND(M255-P255,2)</f>
        <v>121964.33</v>
      </c>
    </row>
    <row r="256" customFormat="false" ht="15" hidden="false" customHeight="false" outlineLevel="0" collapsed="false">
      <c r="A256" s="24" t="n">
        <f aca="false">A255+1</f>
        <v>225</v>
      </c>
      <c r="B256" s="25" t="n">
        <f aca="false">IF(MOD(12,$C$7)=0,EDATE($C$9,(A256-1)*12/$C$7),$C$9+(A256-1)*ROUND(364/$C$7,0))</f>
        <v>53144</v>
      </c>
      <c r="C256" s="19" t="n">
        <f aca="false">I255</f>
        <v>17053.33</v>
      </c>
      <c r="D256" s="19" t="n">
        <f aca="false">ROUND(C256*$C$16,2)</f>
        <v>85.27</v>
      </c>
      <c r="E256" s="19" t="n">
        <f aca="false">IF(C256&lt;=0,0,ROUND(CHOOSE($C$10,IF(A256=$C$17,C256+D256,MIN($C$18,C256+D256)),IF(A256=$C$17,C256,MIN($C$19,C256))+D256,IF(A256=$C$17,C256,0)+D256),2))</f>
        <v>1932.9</v>
      </c>
      <c r="F256" s="19" t="n">
        <f aca="false">IF(C256&lt;=0,0,MAX(0,ROUND(E256-D256,2)))</f>
        <v>1847.63</v>
      </c>
      <c r="G256" s="19" t="n">
        <f aca="false">IF(C256&lt;=0,0,ROUND(MIN(MAX(0,C256-F256),MAX(0,IF(A256&gt;=$C$13,$C$12,0)+SUMIF($E$5:$E$14,A256,$F$5:$F$14))),2))</f>
        <v>200</v>
      </c>
      <c r="H256" s="19" t="n">
        <f aca="false">ROUND(E256+G256,2)</f>
        <v>2132.9</v>
      </c>
      <c r="I256" s="19" t="n">
        <f aca="false">ROUND(C256-F256-G256,2)</f>
        <v>15005.7</v>
      </c>
      <c r="J256" s="19" t="n">
        <f aca="false">ROUND(J255+D256,2)</f>
        <v>204908.2</v>
      </c>
      <c r="K256" s="19" t="n">
        <f aca="false">ROUND(K255+F256+G256,2)</f>
        <v>284994.3</v>
      </c>
      <c r="M256" s="19" t="n">
        <f aca="false">Q255</f>
        <v>121964.33</v>
      </c>
      <c r="N256" s="19" t="n">
        <f aca="false">ROUND(M256*$C$16,2)</f>
        <v>609.82</v>
      </c>
      <c r="O256" s="19" t="n">
        <f aca="false">IF(M256&lt;=0,0,ROUND(CHOOSE($C$10,IF(A256=$C$17,M256+N256,MIN($C$18,M256+N256)),IF(A256=$C$17,M256,MIN($C$19,M256))+N256,IF(A256=$C$17,M256,0)+N256),2))</f>
        <v>1932.9</v>
      </c>
      <c r="P256" s="19" t="n">
        <f aca="false">IF(M256&lt;=0,0,MAX(0,ROUND(O256-N256,2)))</f>
        <v>1323.08</v>
      </c>
      <c r="Q256" s="19" t="n">
        <f aca="false">ROUND(M256-P256,2)</f>
        <v>120641.25</v>
      </c>
    </row>
    <row r="257" customFormat="false" ht="15" hidden="false" customHeight="false" outlineLevel="0" collapsed="false">
      <c r="A257" s="24" t="n">
        <f aca="false">A256+1</f>
        <v>226</v>
      </c>
      <c r="B257" s="25" t="n">
        <f aca="false">IF(MOD(12,$C$7)=0,EDATE($C$9,(A257-1)*12/$C$7),$C$9+(A257-1)*ROUND(364/$C$7,0))</f>
        <v>53175</v>
      </c>
      <c r="C257" s="19" t="n">
        <f aca="false">I256</f>
        <v>15005.7</v>
      </c>
      <c r="D257" s="19" t="n">
        <f aca="false">ROUND(C257*$C$16,2)</f>
        <v>75.03</v>
      </c>
      <c r="E257" s="19" t="n">
        <f aca="false">IF(C257&lt;=0,0,ROUND(CHOOSE($C$10,IF(A257=$C$17,C257+D257,MIN($C$18,C257+D257)),IF(A257=$C$17,C257,MIN($C$19,C257))+D257,IF(A257=$C$17,C257,0)+D257),2))</f>
        <v>1932.9</v>
      </c>
      <c r="F257" s="19" t="n">
        <f aca="false">IF(C257&lt;=0,0,MAX(0,ROUND(E257-D257,2)))</f>
        <v>1857.87</v>
      </c>
      <c r="G257" s="19" t="n">
        <f aca="false">IF(C257&lt;=0,0,ROUND(MIN(MAX(0,C257-F257),MAX(0,IF(A257&gt;=$C$13,$C$12,0)+SUMIF($E$5:$E$14,A257,$F$5:$F$14))),2))</f>
        <v>200</v>
      </c>
      <c r="H257" s="19" t="n">
        <f aca="false">ROUND(E257+G257,2)</f>
        <v>2132.9</v>
      </c>
      <c r="I257" s="19" t="n">
        <f aca="false">ROUND(C257-F257-G257,2)</f>
        <v>12947.83</v>
      </c>
      <c r="J257" s="19" t="n">
        <f aca="false">ROUND(J256+D257,2)</f>
        <v>204983.23</v>
      </c>
      <c r="K257" s="19" t="n">
        <f aca="false">ROUND(K256+F257+G257,2)</f>
        <v>287052.17</v>
      </c>
      <c r="M257" s="19" t="n">
        <f aca="false">Q256</f>
        <v>120641.25</v>
      </c>
      <c r="N257" s="19" t="n">
        <f aca="false">ROUND(M257*$C$16,2)</f>
        <v>603.21</v>
      </c>
      <c r="O257" s="19" t="n">
        <f aca="false">IF(M257&lt;=0,0,ROUND(CHOOSE($C$10,IF(A257=$C$17,M257+N257,MIN($C$18,M257+N257)),IF(A257=$C$17,M257,MIN($C$19,M257))+N257,IF(A257=$C$17,M257,0)+N257),2))</f>
        <v>1932.9</v>
      </c>
      <c r="P257" s="19" t="n">
        <f aca="false">IF(M257&lt;=0,0,MAX(0,ROUND(O257-N257,2)))</f>
        <v>1329.69</v>
      </c>
      <c r="Q257" s="19" t="n">
        <f aca="false">ROUND(M257-P257,2)</f>
        <v>119311.56</v>
      </c>
    </row>
    <row r="258" customFormat="false" ht="15" hidden="false" customHeight="false" outlineLevel="0" collapsed="false">
      <c r="A258" s="24" t="n">
        <f aca="false">A257+1</f>
        <v>227</v>
      </c>
      <c r="B258" s="25" t="n">
        <f aca="false">IF(MOD(12,$C$7)=0,EDATE($C$9,(A258-1)*12/$C$7),$C$9+(A258-1)*ROUND(364/$C$7,0))</f>
        <v>53206</v>
      </c>
      <c r="C258" s="19" t="n">
        <f aca="false">I257</f>
        <v>12947.83</v>
      </c>
      <c r="D258" s="19" t="n">
        <f aca="false">ROUND(C258*$C$16,2)</f>
        <v>64.74</v>
      </c>
      <c r="E258" s="19" t="n">
        <f aca="false">IF(C258&lt;=0,0,ROUND(CHOOSE($C$10,IF(A258=$C$17,C258+D258,MIN($C$18,C258+D258)),IF(A258=$C$17,C258,MIN($C$19,C258))+D258,IF(A258=$C$17,C258,0)+D258),2))</f>
        <v>1932.9</v>
      </c>
      <c r="F258" s="19" t="n">
        <f aca="false">IF(C258&lt;=0,0,MAX(0,ROUND(E258-D258,2)))</f>
        <v>1868.16</v>
      </c>
      <c r="G258" s="19" t="n">
        <f aca="false">IF(C258&lt;=0,0,ROUND(MIN(MAX(0,C258-F258),MAX(0,IF(A258&gt;=$C$13,$C$12,0)+SUMIF($E$5:$E$14,A258,$F$5:$F$14))),2))</f>
        <v>200</v>
      </c>
      <c r="H258" s="19" t="n">
        <f aca="false">ROUND(E258+G258,2)</f>
        <v>2132.9</v>
      </c>
      <c r="I258" s="19" t="n">
        <f aca="false">ROUND(C258-F258-G258,2)</f>
        <v>10879.67</v>
      </c>
      <c r="J258" s="19" t="n">
        <f aca="false">ROUND(J257+D258,2)</f>
        <v>205047.97</v>
      </c>
      <c r="K258" s="19" t="n">
        <f aca="false">ROUND(K257+F258+G258,2)</f>
        <v>289120.33</v>
      </c>
      <c r="M258" s="19" t="n">
        <f aca="false">Q257</f>
        <v>119311.56</v>
      </c>
      <c r="N258" s="19" t="n">
        <f aca="false">ROUND(M258*$C$16,2)</f>
        <v>596.56</v>
      </c>
      <c r="O258" s="19" t="n">
        <f aca="false">IF(M258&lt;=0,0,ROUND(CHOOSE($C$10,IF(A258=$C$17,M258+N258,MIN($C$18,M258+N258)),IF(A258=$C$17,M258,MIN($C$19,M258))+N258,IF(A258=$C$17,M258,0)+N258),2))</f>
        <v>1932.9</v>
      </c>
      <c r="P258" s="19" t="n">
        <f aca="false">IF(M258&lt;=0,0,MAX(0,ROUND(O258-N258,2)))</f>
        <v>1336.34</v>
      </c>
      <c r="Q258" s="19" t="n">
        <f aca="false">ROUND(M258-P258,2)</f>
        <v>117975.22</v>
      </c>
    </row>
    <row r="259" customFormat="false" ht="15" hidden="false" customHeight="false" outlineLevel="0" collapsed="false">
      <c r="A259" s="24" t="n">
        <f aca="false">A258+1</f>
        <v>228</v>
      </c>
      <c r="B259" s="25" t="n">
        <f aca="false">IF(MOD(12,$C$7)=0,EDATE($C$9,(A259-1)*12/$C$7),$C$9+(A259-1)*ROUND(364/$C$7,0))</f>
        <v>53236</v>
      </c>
      <c r="C259" s="19" t="n">
        <f aca="false">I258</f>
        <v>10879.67</v>
      </c>
      <c r="D259" s="19" t="n">
        <f aca="false">ROUND(C259*$C$16,2)</f>
        <v>54.4</v>
      </c>
      <c r="E259" s="19" t="n">
        <f aca="false">IF(C259&lt;=0,0,ROUND(CHOOSE($C$10,IF(A259=$C$17,C259+D259,MIN($C$18,C259+D259)),IF(A259=$C$17,C259,MIN($C$19,C259))+D259,IF(A259=$C$17,C259,0)+D259),2))</f>
        <v>1932.9</v>
      </c>
      <c r="F259" s="19" t="n">
        <f aca="false">IF(C259&lt;=0,0,MAX(0,ROUND(E259-D259,2)))</f>
        <v>1878.5</v>
      </c>
      <c r="G259" s="19" t="n">
        <f aca="false">IF(C259&lt;=0,0,ROUND(MIN(MAX(0,C259-F259),MAX(0,IF(A259&gt;=$C$13,$C$12,0)+SUMIF($E$5:$E$14,A259,$F$5:$F$14))),2))</f>
        <v>200</v>
      </c>
      <c r="H259" s="19" t="n">
        <f aca="false">ROUND(E259+G259,2)</f>
        <v>2132.9</v>
      </c>
      <c r="I259" s="19" t="n">
        <f aca="false">ROUND(C259-F259-G259,2)</f>
        <v>8801.17</v>
      </c>
      <c r="J259" s="19" t="n">
        <f aca="false">ROUND(J258+D259,2)</f>
        <v>205102.37</v>
      </c>
      <c r="K259" s="19" t="n">
        <f aca="false">ROUND(K258+F259+G259,2)</f>
        <v>291198.83</v>
      </c>
      <c r="M259" s="19" t="n">
        <f aca="false">Q258</f>
        <v>117975.22</v>
      </c>
      <c r="N259" s="19" t="n">
        <f aca="false">ROUND(M259*$C$16,2)</f>
        <v>589.88</v>
      </c>
      <c r="O259" s="19" t="n">
        <f aca="false">IF(M259&lt;=0,0,ROUND(CHOOSE($C$10,IF(A259=$C$17,M259+N259,MIN($C$18,M259+N259)),IF(A259=$C$17,M259,MIN($C$19,M259))+N259,IF(A259=$C$17,M259,0)+N259),2))</f>
        <v>1932.9</v>
      </c>
      <c r="P259" s="19" t="n">
        <f aca="false">IF(M259&lt;=0,0,MAX(0,ROUND(O259-N259,2)))</f>
        <v>1343.02</v>
      </c>
      <c r="Q259" s="19" t="n">
        <f aca="false">ROUND(M259-P259,2)</f>
        <v>116632.2</v>
      </c>
    </row>
    <row r="260" customFormat="false" ht="15" hidden="false" customHeight="false" outlineLevel="0" collapsed="false">
      <c r="A260" s="24" t="n">
        <f aca="false">A259+1</f>
        <v>229</v>
      </c>
      <c r="B260" s="25" t="n">
        <f aca="false">IF(MOD(12,$C$7)=0,EDATE($C$9,(A260-1)*12/$C$7),$C$9+(A260-1)*ROUND(364/$C$7,0))</f>
        <v>53267</v>
      </c>
      <c r="C260" s="19" t="n">
        <f aca="false">I259</f>
        <v>8801.17</v>
      </c>
      <c r="D260" s="19" t="n">
        <f aca="false">ROUND(C260*$C$16,2)</f>
        <v>44.01</v>
      </c>
      <c r="E260" s="19" t="n">
        <f aca="false">IF(C260&lt;=0,0,ROUND(CHOOSE($C$10,IF(A260=$C$17,C260+D260,MIN($C$18,C260+D260)),IF(A260=$C$17,C260,MIN($C$19,C260))+D260,IF(A260=$C$17,C260,0)+D260),2))</f>
        <v>1932.9</v>
      </c>
      <c r="F260" s="19" t="n">
        <f aca="false">IF(C260&lt;=0,0,MAX(0,ROUND(E260-D260,2)))</f>
        <v>1888.89</v>
      </c>
      <c r="G260" s="19" t="n">
        <f aca="false">IF(C260&lt;=0,0,ROUND(MIN(MAX(0,C260-F260),MAX(0,IF(A260&gt;=$C$13,$C$12,0)+SUMIF($E$5:$E$14,A260,$F$5:$F$14))),2))</f>
        <v>200</v>
      </c>
      <c r="H260" s="19" t="n">
        <f aca="false">ROUND(E260+G260,2)</f>
        <v>2132.9</v>
      </c>
      <c r="I260" s="19" t="n">
        <f aca="false">ROUND(C260-F260-G260,2)</f>
        <v>6712.28</v>
      </c>
      <c r="J260" s="19" t="n">
        <f aca="false">ROUND(J259+D260,2)</f>
        <v>205146.38</v>
      </c>
      <c r="K260" s="19" t="n">
        <f aca="false">ROUND(K259+F260+G260,2)</f>
        <v>293287.72</v>
      </c>
      <c r="M260" s="19" t="n">
        <f aca="false">Q259</f>
        <v>116632.2</v>
      </c>
      <c r="N260" s="19" t="n">
        <f aca="false">ROUND(M260*$C$16,2)</f>
        <v>583.16</v>
      </c>
      <c r="O260" s="19" t="n">
        <f aca="false">IF(M260&lt;=0,0,ROUND(CHOOSE($C$10,IF(A260=$C$17,M260+N260,MIN($C$18,M260+N260)),IF(A260=$C$17,M260,MIN($C$19,M260))+N260,IF(A260=$C$17,M260,0)+N260),2))</f>
        <v>1932.9</v>
      </c>
      <c r="P260" s="19" t="n">
        <f aca="false">IF(M260&lt;=0,0,MAX(0,ROUND(O260-N260,2)))</f>
        <v>1349.74</v>
      </c>
      <c r="Q260" s="19" t="n">
        <f aca="false">ROUND(M260-P260,2)</f>
        <v>115282.46</v>
      </c>
    </row>
    <row r="261" customFormat="false" ht="15" hidden="false" customHeight="false" outlineLevel="0" collapsed="false">
      <c r="A261" s="24" t="n">
        <f aca="false">A260+1</f>
        <v>230</v>
      </c>
      <c r="B261" s="25" t="n">
        <f aca="false">IF(MOD(12,$C$7)=0,EDATE($C$9,(A261-1)*12/$C$7),$C$9+(A261-1)*ROUND(364/$C$7,0))</f>
        <v>53297</v>
      </c>
      <c r="C261" s="19" t="n">
        <f aca="false">I260</f>
        <v>6712.28</v>
      </c>
      <c r="D261" s="19" t="n">
        <f aca="false">ROUND(C261*$C$16,2)</f>
        <v>33.56</v>
      </c>
      <c r="E261" s="19" t="n">
        <f aca="false">IF(C261&lt;=0,0,ROUND(CHOOSE($C$10,IF(A261=$C$17,C261+D261,MIN($C$18,C261+D261)),IF(A261=$C$17,C261,MIN($C$19,C261))+D261,IF(A261=$C$17,C261,0)+D261),2))</f>
        <v>1932.9</v>
      </c>
      <c r="F261" s="19" t="n">
        <f aca="false">IF(C261&lt;=0,0,MAX(0,ROUND(E261-D261,2)))</f>
        <v>1899.34</v>
      </c>
      <c r="G261" s="19" t="n">
        <f aca="false">IF(C261&lt;=0,0,ROUND(MIN(MAX(0,C261-F261),MAX(0,IF(A261&gt;=$C$13,$C$12,0)+SUMIF($E$5:$E$14,A261,$F$5:$F$14))),2))</f>
        <v>200</v>
      </c>
      <c r="H261" s="19" t="n">
        <f aca="false">ROUND(E261+G261,2)</f>
        <v>2132.9</v>
      </c>
      <c r="I261" s="19" t="n">
        <f aca="false">ROUND(C261-F261-G261,2)</f>
        <v>4612.94</v>
      </c>
      <c r="J261" s="19" t="n">
        <f aca="false">ROUND(J260+D261,2)</f>
        <v>205179.94</v>
      </c>
      <c r="K261" s="19" t="n">
        <f aca="false">ROUND(K260+F261+G261,2)</f>
        <v>295387.06</v>
      </c>
      <c r="M261" s="19" t="n">
        <f aca="false">Q260</f>
        <v>115282.46</v>
      </c>
      <c r="N261" s="19" t="n">
        <f aca="false">ROUND(M261*$C$16,2)</f>
        <v>576.41</v>
      </c>
      <c r="O261" s="19" t="n">
        <f aca="false">IF(M261&lt;=0,0,ROUND(CHOOSE($C$10,IF(A261=$C$17,M261+N261,MIN($C$18,M261+N261)),IF(A261=$C$17,M261,MIN($C$19,M261))+N261,IF(A261=$C$17,M261,0)+N261),2))</f>
        <v>1932.9</v>
      </c>
      <c r="P261" s="19" t="n">
        <f aca="false">IF(M261&lt;=0,0,MAX(0,ROUND(O261-N261,2)))</f>
        <v>1356.49</v>
      </c>
      <c r="Q261" s="19" t="n">
        <f aca="false">ROUND(M261-P261,2)</f>
        <v>113925.97</v>
      </c>
    </row>
    <row r="262" customFormat="false" ht="15" hidden="false" customHeight="false" outlineLevel="0" collapsed="false">
      <c r="A262" s="24" t="n">
        <f aca="false">A261+1</f>
        <v>231</v>
      </c>
      <c r="B262" s="25" t="n">
        <f aca="false">IF(MOD(12,$C$7)=0,EDATE($C$9,(A262-1)*12/$C$7),$C$9+(A262-1)*ROUND(364/$C$7,0))</f>
        <v>53328</v>
      </c>
      <c r="C262" s="19" t="n">
        <f aca="false">I261</f>
        <v>4612.94</v>
      </c>
      <c r="D262" s="19" t="n">
        <f aca="false">ROUND(C262*$C$16,2)</f>
        <v>23.06</v>
      </c>
      <c r="E262" s="19" t="n">
        <f aca="false">IF(C262&lt;=0,0,ROUND(CHOOSE($C$10,IF(A262=$C$17,C262+D262,MIN($C$18,C262+D262)),IF(A262=$C$17,C262,MIN($C$19,C262))+D262,IF(A262=$C$17,C262,0)+D262),2))</f>
        <v>1932.9</v>
      </c>
      <c r="F262" s="19" t="n">
        <f aca="false">IF(C262&lt;=0,0,MAX(0,ROUND(E262-D262,2)))</f>
        <v>1909.84</v>
      </c>
      <c r="G262" s="19" t="n">
        <f aca="false">IF(C262&lt;=0,0,ROUND(MIN(MAX(0,C262-F262),MAX(0,IF(A262&gt;=$C$13,$C$12,0)+SUMIF($E$5:$E$14,A262,$F$5:$F$14))),2))</f>
        <v>200</v>
      </c>
      <c r="H262" s="19" t="n">
        <f aca="false">ROUND(E262+G262,2)</f>
        <v>2132.9</v>
      </c>
      <c r="I262" s="19" t="n">
        <f aca="false">ROUND(C262-F262-G262,2)</f>
        <v>2503.1</v>
      </c>
      <c r="J262" s="19" t="n">
        <f aca="false">ROUND(J261+D262,2)</f>
        <v>205203</v>
      </c>
      <c r="K262" s="19" t="n">
        <f aca="false">ROUND(K261+F262+G262,2)</f>
        <v>297496.9</v>
      </c>
      <c r="M262" s="19" t="n">
        <f aca="false">Q261</f>
        <v>113925.97</v>
      </c>
      <c r="N262" s="19" t="n">
        <f aca="false">ROUND(M262*$C$16,2)</f>
        <v>569.63</v>
      </c>
      <c r="O262" s="19" t="n">
        <f aca="false">IF(M262&lt;=0,0,ROUND(CHOOSE($C$10,IF(A262=$C$17,M262+N262,MIN($C$18,M262+N262)),IF(A262=$C$17,M262,MIN($C$19,M262))+N262,IF(A262=$C$17,M262,0)+N262),2))</f>
        <v>1932.9</v>
      </c>
      <c r="P262" s="19" t="n">
        <f aca="false">IF(M262&lt;=0,0,MAX(0,ROUND(O262-N262,2)))</f>
        <v>1363.27</v>
      </c>
      <c r="Q262" s="19" t="n">
        <f aca="false">ROUND(M262-P262,2)</f>
        <v>112562.7</v>
      </c>
    </row>
    <row r="263" customFormat="false" ht="15" hidden="false" customHeight="false" outlineLevel="0" collapsed="false">
      <c r="A263" s="24" t="n">
        <f aca="false">A262+1</f>
        <v>232</v>
      </c>
      <c r="B263" s="25" t="n">
        <f aca="false">IF(MOD(12,$C$7)=0,EDATE($C$9,(A263-1)*12/$C$7),$C$9+(A263-1)*ROUND(364/$C$7,0))</f>
        <v>53359</v>
      </c>
      <c r="C263" s="19" t="n">
        <f aca="false">I262</f>
        <v>2503.1</v>
      </c>
      <c r="D263" s="19" t="n">
        <f aca="false">ROUND(C263*$C$16,2)</f>
        <v>12.52</v>
      </c>
      <c r="E263" s="19" t="n">
        <f aca="false">IF(C263&lt;=0,0,ROUND(CHOOSE($C$10,IF(A263=$C$17,C263+D263,MIN($C$18,C263+D263)),IF(A263=$C$17,C263,MIN($C$19,C263))+D263,IF(A263=$C$17,C263,0)+D263),2))</f>
        <v>1932.9</v>
      </c>
      <c r="F263" s="19" t="n">
        <f aca="false">IF(C263&lt;=0,0,MAX(0,ROUND(E263-D263,2)))</f>
        <v>1920.38</v>
      </c>
      <c r="G263" s="19" t="n">
        <f aca="false">IF(C263&lt;=0,0,ROUND(MIN(MAX(0,C263-F263),MAX(0,IF(A263&gt;=$C$13,$C$12,0)+SUMIF($E$5:$E$14,A263,$F$5:$F$14))),2))</f>
        <v>200</v>
      </c>
      <c r="H263" s="19" t="n">
        <f aca="false">ROUND(E263+G263,2)</f>
        <v>2132.9</v>
      </c>
      <c r="I263" s="19" t="n">
        <f aca="false">ROUND(C263-F263-G263,2)</f>
        <v>382.72</v>
      </c>
      <c r="J263" s="19" t="n">
        <f aca="false">ROUND(J262+D263,2)</f>
        <v>205215.52</v>
      </c>
      <c r="K263" s="19" t="n">
        <f aca="false">ROUND(K262+F263+G263,2)</f>
        <v>299617.28</v>
      </c>
      <c r="M263" s="19" t="n">
        <f aca="false">Q262</f>
        <v>112562.7</v>
      </c>
      <c r="N263" s="19" t="n">
        <f aca="false">ROUND(M263*$C$16,2)</f>
        <v>562.81</v>
      </c>
      <c r="O263" s="19" t="n">
        <f aca="false">IF(M263&lt;=0,0,ROUND(CHOOSE($C$10,IF(A263=$C$17,M263+N263,MIN($C$18,M263+N263)),IF(A263=$C$17,M263,MIN($C$19,M263))+N263,IF(A263=$C$17,M263,0)+N263),2))</f>
        <v>1932.9</v>
      </c>
      <c r="P263" s="19" t="n">
        <f aca="false">IF(M263&lt;=0,0,MAX(0,ROUND(O263-N263,2)))</f>
        <v>1370.09</v>
      </c>
      <c r="Q263" s="19" t="n">
        <f aca="false">ROUND(M263-P263,2)</f>
        <v>111192.61</v>
      </c>
    </row>
    <row r="264" customFormat="false" ht="15" hidden="false" customHeight="false" outlineLevel="0" collapsed="false">
      <c r="A264" s="24" t="n">
        <f aca="false">A263+1</f>
        <v>233</v>
      </c>
      <c r="B264" s="25" t="n">
        <f aca="false">IF(MOD(12,$C$7)=0,EDATE($C$9,(A264-1)*12/$C$7),$C$9+(A264-1)*ROUND(364/$C$7,0))</f>
        <v>53387</v>
      </c>
      <c r="C264" s="19" t="n">
        <f aca="false">I263</f>
        <v>382.72</v>
      </c>
      <c r="D264" s="19" t="n">
        <f aca="false">ROUND(C264*$C$16,2)</f>
        <v>1.91</v>
      </c>
      <c r="E264" s="19" t="n">
        <f aca="false">IF(C264&lt;=0,0,ROUND(CHOOSE($C$10,IF(A264=$C$17,C264+D264,MIN($C$18,C264+D264)),IF(A264=$C$17,C264,MIN($C$19,C264))+D264,IF(A264=$C$17,C264,0)+D264),2))</f>
        <v>384.63</v>
      </c>
      <c r="F264" s="19" t="n">
        <f aca="false">IF(C264&lt;=0,0,MAX(0,ROUND(E264-D264,2)))</f>
        <v>382.72</v>
      </c>
      <c r="G264" s="19" t="n">
        <f aca="false">IF(C264&lt;=0,0,ROUND(MIN(MAX(0,C264-F264),MAX(0,IF(A264&gt;=$C$13,$C$12,0)+SUMIF($E$5:$E$14,A264,$F$5:$F$14))),2))</f>
        <v>0</v>
      </c>
      <c r="H264" s="19" t="n">
        <f aca="false">ROUND(E264+G264,2)</f>
        <v>384.63</v>
      </c>
      <c r="I264" s="19" t="n">
        <f aca="false">ROUND(C264-F264-G264,2)</f>
        <v>0</v>
      </c>
      <c r="J264" s="19" t="n">
        <f aca="false">ROUND(J263+D264,2)</f>
        <v>205217.43</v>
      </c>
      <c r="K264" s="19" t="n">
        <f aca="false">ROUND(K263+F264+G264,2)</f>
        <v>300000</v>
      </c>
      <c r="M264" s="19" t="n">
        <f aca="false">Q263</f>
        <v>111192.61</v>
      </c>
      <c r="N264" s="19" t="n">
        <f aca="false">ROUND(M264*$C$16,2)</f>
        <v>555.96</v>
      </c>
      <c r="O264" s="19" t="n">
        <f aca="false">IF(M264&lt;=0,0,ROUND(CHOOSE($C$10,IF(A264=$C$17,M264+N264,MIN($C$18,M264+N264)),IF(A264=$C$17,M264,MIN($C$19,M264))+N264,IF(A264=$C$17,M264,0)+N264),2))</f>
        <v>1932.9</v>
      </c>
      <c r="P264" s="19" t="n">
        <f aca="false">IF(M264&lt;=0,0,MAX(0,ROUND(O264-N264,2)))</f>
        <v>1376.94</v>
      </c>
      <c r="Q264" s="19" t="n">
        <f aca="false">ROUND(M264-P264,2)</f>
        <v>109815.67</v>
      </c>
    </row>
    <row r="265" customFormat="false" ht="15" hidden="false" customHeight="false" outlineLevel="0" collapsed="false">
      <c r="A265" s="24" t="n">
        <f aca="false">A264+1</f>
        <v>234</v>
      </c>
      <c r="B265" s="25" t="n">
        <f aca="false">IF(MOD(12,$C$7)=0,EDATE($C$9,(A265-1)*12/$C$7),$C$9+(A265-1)*ROUND(364/$C$7,0))</f>
        <v>53418</v>
      </c>
      <c r="C265" s="19" t="n">
        <f aca="false">I264</f>
        <v>0</v>
      </c>
      <c r="D265" s="19" t="n">
        <f aca="false">ROUND(C265*$C$16,2)</f>
        <v>0</v>
      </c>
      <c r="E265" s="19" t="n">
        <f aca="false">IF(C265&lt;=0,0,ROUND(CHOOSE($C$10,IF(A265=$C$17,C265+D265,MIN($C$18,C265+D265)),IF(A265=$C$17,C265,MIN($C$19,C265))+D265,IF(A265=$C$17,C265,0)+D265),2))</f>
        <v>0</v>
      </c>
      <c r="F265" s="19" t="n">
        <f aca="false">IF(C265&lt;=0,0,MAX(0,ROUND(E265-D265,2)))</f>
        <v>0</v>
      </c>
      <c r="G265" s="19" t="n">
        <f aca="false">IF(C265&lt;=0,0,ROUND(MIN(MAX(0,C265-F265),MAX(0,IF(A265&gt;=$C$13,$C$12,0)+SUMIF($E$5:$E$14,A265,$F$5:$F$14))),2))</f>
        <v>0</v>
      </c>
      <c r="H265" s="19" t="n">
        <f aca="false">ROUND(E265+G265,2)</f>
        <v>0</v>
      </c>
      <c r="I265" s="19" t="n">
        <f aca="false">ROUND(C265-F265-G265,2)</f>
        <v>0</v>
      </c>
      <c r="J265" s="19" t="n">
        <f aca="false">ROUND(J264+D265,2)</f>
        <v>205217.43</v>
      </c>
      <c r="K265" s="19" t="n">
        <f aca="false">ROUND(K264+F265+G265,2)</f>
        <v>300000</v>
      </c>
      <c r="M265" s="19" t="n">
        <f aca="false">Q264</f>
        <v>109815.67</v>
      </c>
      <c r="N265" s="19" t="n">
        <f aca="false">ROUND(M265*$C$16,2)</f>
        <v>549.08</v>
      </c>
      <c r="O265" s="19" t="n">
        <f aca="false">IF(M265&lt;=0,0,ROUND(CHOOSE($C$10,IF(A265=$C$17,M265+N265,MIN($C$18,M265+N265)),IF(A265=$C$17,M265,MIN($C$19,M265))+N265,IF(A265=$C$17,M265,0)+N265),2))</f>
        <v>1932.9</v>
      </c>
      <c r="P265" s="19" t="n">
        <f aca="false">IF(M265&lt;=0,0,MAX(0,ROUND(O265-N265,2)))</f>
        <v>1383.82</v>
      </c>
      <c r="Q265" s="19" t="n">
        <f aca="false">ROUND(M265-P265,2)</f>
        <v>108431.85</v>
      </c>
    </row>
    <row r="266" customFormat="false" ht="15" hidden="false" customHeight="false" outlineLevel="0" collapsed="false">
      <c r="A266" s="24" t="n">
        <f aca="false">A265+1</f>
        <v>235</v>
      </c>
      <c r="B266" s="25" t="n">
        <f aca="false">IF(MOD(12,$C$7)=0,EDATE($C$9,(A266-1)*12/$C$7),$C$9+(A266-1)*ROUND(364/$C$7,0))</f>
        <v>53448</v>
      </c>
      <c r="C266" s="19" t="n">
        <f aca="false">I265</f>
        <v>0</v>
      </c>
      <c r="D266" s="19" t="n">
        <f aca="false">ROUND(C266*$C$16,2)</f>
        <v>0</v>
      </c>
      <c r="E266" s="19" t="n">
        <f aca="false">IF(C266&lt;=0,0,ROUND(CHOOSE($C$10,IF(A266=$C$17,C266+D266,MIN($C$18,C266+D266)),IF(A266=$C$17,C266,MIN($C$19,C266))+D266,IF(A266=$C$17,C266,0)+D266),2))</f>
        <v>0</v>
      </c>
      <c r="F266" s="19" t="n">
        <f aca="false">IF(C266&lt;=0,0,MAX(0,ROUND(E266-D266,2)))</f>
        <v>0</v>
      </c>
      <c r="G266" s="19" t="n">
        <f aca="false">IF(C266&lt;=0,0,ROUND(MIN(MAX(0,C266-F266),MAX(0,IF(A266&gt;=$C$13,$C$12,0)+SUMIF($E$5:$E$14,A266,$F$5:$F$14))),2))</f>
        <v>0</v>
      </c>
      <c r="H266" s="19" t="n">
        <f aca="false">ROUND(E266+G266,2)</f>
        <v>0</v>
      </c>
      <c r="I266" s="19" t="n">
        <f aca="false">ROUND(C266-F266-G266,2)</f>
        <v>0</v>
      </c>
      <c r="J266" s="19" t="n">
        <f aca="false">ROUND(J265+D266,2)</f>
        <v>205217.43</v>
      </c>
      <c r="K266" s="19" t="n">
        <f aca="false">ROUND(K265+F266+G266,2)</f>
        <v>300000</v>
      </c>
      <c r="M266" s="19" t="n">
        <f aca="false">Q265</f>
        <v>108431.85</v>
      </c>
      <c r="N266" s="19" t="n">
        <f aca="false">ROUND(M266*$C$16,2)</f>
        <v>542.16</v>
      </c>
      <c r="O266" s="19" t="n">
        <f aca="false">IF(M266&lt;=0,0,ROUND(CHOOSE($C$10,IF(A266=$C$17,M266+N266,MIN($C$18,M266+N266)),IF(A266=$C$17,M266,MIN($C$19,M266))+N266,IF(A266=$C$17,M266,0)+N266),2))</f>
        <v>1932.9</v>
      </c>
      <c r="P266" s="19" t="n">
        <f aca="false">IF(M266&lt;=0,0,MAX(0,ROUND(O266-N266,2)))</f>
        <v>1390.74</v>
      </c>
      <c r="Q266" s="19" t="n">
        <f aca="false">ROUND(M266-P266,2)</f>
        <v>107041.11</v>
      </c>
    </row>
    <row r="267" customFormat="false" ht="15" hidden="false" customHeight="false" outlineLevel="0" collapsed="false">
      <c r="A267" s="24" t="n">
        <f aca="false">A266+1</f>
        <v>236</v>
      </c>
      <c r="B267" s="25" t="n">
        <f aca="false">IF(MOD(12,$C$7)=0,EDATE($C$9,(A267-1)*12/$C$7),$C$9+(A267-1)*ROUND(364/$C$7,0))</f>
        <v>53479</v>
      </c>
      <c r="C267" s="19" t="n">
        <f aca="false">I266</f>
        <v>0</v>
      </c>
      <c r="D267" s="19" t="n">
        <f aca="false">ROUND(C267*$C$16,2)</f>
        <v>0</v>
      </c>
      <c r="E267" s="19" t="n">
        <f aca="false">IF(C267&lt;=0,0,ROUND(CHOOSE($C$10,IF(A267=$C$17,C267+D267,MIN($C$18,C267+D267)),IF(A267=$C$17,C267,MIN($C$19,C267))+D267,IF(A267=$C$17,C267,0)+D267),2))</f>
        <v>0</v>
      </c>
      <c r="F267" s="19" t="n">
        <f aca="false">IF(C267&lt;=0,0,MAX(0,ROUND(E267-D267,2)))</f>
        <v>0</v>
      </c>
      <c r="G267" s="19" t="n">
        <f aca="false">IF(C267&lt;=0,0,ROUND(MIN(MAX(0,C267-F267),MAX(0,IF(A267&gt;=$C$13,$C$12,0)+SUMIF($E$5:$E$14,A267,$F$5:$F$14))),2))</f>
        <v>0</v>
      </c>
      <c r="H267" s="19" t="n">
        <f aca="false">ROUND(E267+G267,2)</f>
        <v>0</v>
      </c>
      <c r="I267" s="19" t="n">
        <f aca="false">ROUND(C267-F267-G267,2)</f>
        <v>0</v>
      </c>
      <c r="J267" s="19" t="n">
        <f aca="false">ROUND(J266+D267,2)</f>
        <v>205217.43</v>
      </c>
      <c r="K267" s="19" t="n">
        <f aca="false">ROUND(K266+F267+G267,2)</f>
        <v>300000</v>
      </c>
      <c r="M267" s="19" t="n">
        <f aca="false">Q266</f>
        <v>107041.11</v>
      </c>
      <c r="N267" s="19" t="n">
        <f aca="false">ROUND(M267*$C$16,2)</f>
        <v>535.21</v>
      </c>
      <c r="O267" s="19" t="n">
        <f aca="false">IF(M267&lt;=0,0,ROUND(CHOOSE($C$10,IF(A267=$C$17,M267+N267,MIN($C$18,M267+N267)),IF(A267=$C$17,M267,MIN($C$19,M267))+N267,IF(A267=$C$17,M267,0)+N267),2))</f>
        <v>1932.9</v>
      </c>
      <c r="P267" s="19" t="n">
        <f aca="false">IF(M267&lt;=0,0,MAX(0,ROUND(O267-N267,2)))</f>
        <v>1397.69</v>
      </c>
      <c r="Q267" s="19" t="n">
        <f aca="false">ROUND(M267-P267,2)</f>
        <v>105643.42</v>
      </c>
    </row>
    <row r="268" customFormat="false" ht="15" hidden="false" customHeight="false" outlineLevel="0" collapsed="false">
      <c r="A268" s="24" t="n">
        <f aca="false">A267+1</f>
        <v>237</v>
      </c>
      <c r="B268" s="25" t="n">
        <f aca="false">IF(MOD(12,$C$7)=0,EDATE($C$9,(A268-1)*12/$C$7),$C$9+(A268-1)*ROUND(364/$C$7,0))</f>
        <v>53509</v>
      </c>
      <c r="C268" s="19" t="n">
        <f aca="false">I267</f>
        <v>0</v>
      </c>
      <c r="D268" s="19" t="n">
        <f aca="false">ROUND(C268*$C$16,2)</f>
        <v>0</v>
      </c>
      <c r="E268" s="19" t="n">
        <f aca="false">IF(C268&lt;=0,0,ROUND(CHOOSE($C$10,IF(A268=$C$17,C268+D268,MIN($C$18,C268+D268)),IF(A268=$C$17,C268,MIN($C$19,C268))+D268,IF(A268=$C$17,C268,0)+D268),2))</f>
        <v>0</v>
      </c>
      <c r="F268" s="19" t="n">
        <f aca="false">IF(C268&lt;=0,0,MAX(0,ROUND(E268-D268,2)))</f>
        <v>0</v>
      </c>
      <c r="G268" s="19" t="n">
        <f aca="false">IF(C268&lt;=0,0,ROUND(MIN(MAX(0,C268-F268),MAX(0,IF(A268&gt;=$C$13,$C$12,0)+SUMIF($E$5:$E$14,A268,$F$5:$F$14))),2))</f>
        <v>0</v>
      </c>
      <c r="H268" s="19" t="n">
        <f aca="false">ROUND(E268+G268,2)</f>
        <v>0</v>
      </c>
      <c r="I268" s="19" t="n">
        <f aca="false">ROUND(C268-F268-G268,2)</f>
        <v>0</v>
      </c>
      <c r="J268" s="19" t="n">
        <f aca="false">ROUND(J267+D268,2)</f>
        <v>205217.43</v>
      </c>
      <c r="K268" s="19" t="n">
        <f aca="false">ROUND(K267+F268+G268,2)</f>
        <v>300000</v>
      </c>
      <c r="M268" s="19" t="n">
        <f aca="false">Q267</f>
        <v>105643.42</v>
      </c>
      <c r="N268" s="19" t="n">
        <f aca="false">ROUND(M268*$C$16,2)</f>
        <v>528.22</v>
      </c>
      <c r="O268" s="19" t="n">
        <f aca="false">IF(M268&lt;=0,0,ROUND(CHOOSE($C$10,IF(A268=$C$17,M268+N268,MIN($C$18,M268+N268)),IF(A268=$C$17,M268,MIN($C$19,M268))+N268,IF(A268=$C$17,M268,0)+N268),2))</f>
        <v>1932.9</v>
      </c>
      <c r="P268" s="19" t="n">
        <f aca="false">IF(M268&lt;=0,0,MAX(0,ROUND(O268-N268,2)))</f>
        <v>1404.68</v>
      </c>
      <c r="Q268" s="19" t="n">
        <f aca="false">ROUND(M268-P268,2)</f>
        <v>104238.74</v>
      </c>
    </row>
    <row r="269" customFormat="false" ht="15" hidden="false" customHeight="false" outlineLevel="0" collapsed="false">
      <c r="A269" s="24" t="n">
        <f aca="false">A268+1</f>
        <v>238</v>
      </c>
      <c r="B269" s="25" t="n">
        <f aca="false">IF(MOD(12,$C$7)=0,EDATE($C$9,(A269-1)*12/$C$7),$C$9+(A269-1)*ROUND(364/$C$7,0))</f>
        <v>53540</v>
      </c>
      <c r="C269" s="19" t="n">
        <f aca="false">I268</f>
        <v>0</v>
      </c>
      <c r="D269" s="19" t="n">
        <f aca="false">ROUND(C269*$C$16,2)</f>
        <v>0</v>
      </c>
      <c r="E269" s="19" t="n">
        <f aca="false">IF(C269&lt;=0,0,ROUND(CHOOSE($C$10,IF(A269=$C$17,C269+D269,MIN($C$18,C269+D269)),IF(A269=$C$17,C269,MIN($C$19,C269))+D269,IF(A269=$C$17,C269,0)+D269),2))</f>
        <v>0</v>
      </c>
      <c r="F269" s="19" t="n">
        <f aca="false">IF(C269&lt;=0,0,MAX(0,ROUND(E269-D269,2)))</f>
        <v>0</v>
      </c>
      <c r="G269" s="19" t="n">
        <f aca="false">IF(C269&lt;=0,0,ROUND(MIN(MAX(0,C269-F269),MAX(0,IF(A269&gt;=$C$13,$C$12,0)+SUMIF($E$5:$E$14,A269,$F$5:$F$14))),2))</f>
        <v>0</v>
      </c>
      <c r="H269" s="19" t="n">
        <f aca="false">ROUND(E269+G269,2)</f>
        <v>0</v>
      </c>
      <c r="I269" s="19" t="n">
        <f aca="false">ROUND(C269-F269-G269,2)</f>
        <v>0</v>
      </c>
      <c r="J269" s="19" t="n">
        <f aca="false">ROUND(J268+D269,2)</f>
        <v>205217.43</v>
      </c>
      <c r="K269" s="19" t="n">
        <f aca="false">ROUND(K268+F269+G269,2)</f>
        <v>300000</v>
      </c>
      <c r="M269" s="19" t="n">
        <f aca="false">Q268</f>
        <v>104238.74</v>
      </c>
      <c r="N269" s="19" t="n">
        <f aca="false">ROUND(M269*$C$16,2)</f>
        <v>521.19</v>
      </c>
      <c r="O269" s="19" t="n">
        <f aca="false">IF(M269&lt;=0,0,ROUND(CHOOSE($C$10,IF(A269=$C$17,M269+N269,MIN($C$18,M269+N269)),IF(A269=$C$17,M269,MIN($C$19,M269))+N269,IF(A269=$C$17,M269,0)+N269),2))</f>
        <v>1932.9</v>
      </c>
      <c r="P269" s="19" t="n">
        <f aca="false">IF(M269&lt;=0,0,MAX(0,ROUND(O269-N269,2)))</f>
        <v>1411.71</v>
      </c>
      <c r="Q269" s="19" t="n">
        <f aca="false">ROUND(M269-P269,2)</f>
        <v>102827.03</v>
      </c>
    </row>
    <row r="270" customFormat="false" ht="15" hidden="false" customHeight="false" outlineLevel="0" collapsed="false">
      <c r="A270" s="24" t="n">
        <f aca="false">A269+1</f>
        <v>239</v>
      </c>
      <c r="B270" s="25" t="n">
        <f aca="false">IF(MOD(12,$C$7)=0,EDATE($C$9,(A270-1)*12/$C$7),$C$9+(A270-1)*ROUND(364/$C$7,0))</f>
        <v>53571</v>
      </c>
      <c r="C270" s="19" t="n">
        <f aca="false">I269</f>
        <v>0</v>
      </c>
      <c r="D270" s="19" t="n">
        <f aca="false">ROUND(C270*$C$16,2)</f>
        <v>0</v>
      </c>
      <c r="E270" s="19" t="n">
        <f aca="false">IF(C270&lt;=0,0,ROUND(CHOOSE($C$10,IF(A270=$C$17,C270+D270,MIN($C$18,C270+D270)),IF(A270=$C$17,C270,MIN($C$19,C270))+D270,IF(A270=$C$17,C270,0)+D270),2))</f>
        <v>0</v>
      </c>
      <c r="F270" s="19" t="n">
        <f aca="false">IF(C270&lt;=0,0,MAX(0,ROUND(E270-D270,2)))</f>
        <v>0</v>
      </c>
      <c r="G270" s="19" t="n">
        <f aca="false">IF(C270&lt;=0,0,ROUND(MIN(MAX(0,C270-F270),MAX(0,IF(A270&gt;=$C$13,$C$12,0)+SUMIF($E$5:$E$14,A270,$F$5:$F$14))),2))</f>
        <v>0</v>
      </c>
      <c r="H270" s="19" t="n">
        <f aca="false">ROUND(E270+G270,2)</f>
        <v>0</v>
      </c>
      <c r="I270" s="19" t="n">
        <f aca="false">ROUND(C270-F270-G270,2)</f>
        <v>0</v>
      </c>
      <c r="J270" s="19" t="n">
        <f aca="false">ROUND(J269+D270,2)</f>
        <v>205217.43</v>
      </c>
      <c r="K270" s="19" t="n">
        <f aca="false">ROUND(K269+F270+G270,2)</f>
        <v>300000</v>
      </c>
      <c r="M270" s="19" t="n">
        <f aca="false">Q269</f>
        <v>102827.03</v>
      </c>
      <c r="N270" s="19" t="n">
        <f aca="false">ROUND(M270*$C$16,2)</f>
        <v>514.14</v>
      </c>
      <c r="O270" s="19" t="n">
        <f aca="false">IF(M270&lt;=0,0,ROUND(CHOOSE($C$10,IF(A270=$C$17,M270+N270,MIN($C$18,M270+N270)),IF(A270=$C$17,M270,MIN($C$19,M270))+N270,IF(A270=$C$17,M270,0)+N270),2))</f>
        <v>1932.9</v>
      </c>
      <c r="P270" s="19" t="n">
        <f aca="false">IF(M270&lt;=0,0,MAX(0,ROUND(O270-N270,2)))</f>
        <v>1418.76</v>
      </c>
      <c r="Q270" s="19" t="n">
        <f aca="false">ROUND(M270-P270,2)</f>
        <v>101408.27</v>
      </c>
    </row>
    <row r="271" customFormat="false" ht="15" hidden="false" customHeight="false" outlineLevel="0" collapsed="false">
      <c r="A271" s="24" t="n">
        <f aca="false">A270+1</f>
        <v>240</v>
      </c>
      <c r="B271" s="25" t="n">
        <f aca="false">IF(MOD(12,$C$7)=0,EDATE($C$9,(A271-1)*12/$C$7),$C$9+(A271-1)*ROUND(364/$C$7,0))</f>
        <v>53601</v>
      </c>
      <c r="C271" s="19" t="n">
        <f aca="false">I270</f>
        <v>0</v>
      </c>
      <c r="D271" s="19" t="n">
        <f aca="false">ROUND(C271*$C$16,2)</f>
        <v>0</v>
      </c>
      <c r="E271" s="19" t="n">
        <f aca="false">IF(C271&lt;=0,0,ROUND(CHOOSE($C$10,IF(A271=$C$17,C271+D271,MIN($C$18,C271+D271)),IF(A271=$C$17,C271,MIN($C$19,C271))+D271,IF(A271=$C$17,C271,0)+D271),2))</f>
        <v>0</v>
      </c>
      <c r="F271" s="19" t="n">
        <f aca="false">IF(C271&lt;=0,0,MAX(0,ROUND(E271-D271,2)))</f>
        <v>0</v>
      </c>
      <c r="G271" s="19" t="n">
        <f aca="false">IF(C271&lt;=0,0,ROUND(MIN(MAX(0,C271-F271),MAX(0,IF(A271&gt;=$C$13,$C$12,0)+SUMIF($E$5:$E$14,A271,$F$5:$F$14))),2))</f>
        <v>0</v>
      </c>
      <c r="H271" s="19" t="n">
        <f aca="false">ROUND(E271+G271,2)</f>
        <v>0</v>
      </c>
      <c r="I271" s="19" t="n">
        <f aca="false">ROUND(C271-F271-G271,2)</f>
        <v>0</v>
      </c>
      <c r="J271" s="19" t="n">
        <f aca="false">ROUND(J270+D271,2)</f>
        <v>205217.43</v>
      </c>
      <c r="K271" s="19" t="n">
        <f aca="false">ROUND(K270+F271+G271,2)</f>
        <v>300000</v>
      </c>
      <c r="M271" s="19" t="n">
        <f aca="false">Q270</f>
        <v>101408.27</v>
      </c>
      <c r="N271" s="19" t="n">
        <f aca="false">ROUND(M271*$C$16,2)</f>
        <v>507.04</v>
      </c>
      <c r="O271" s="19" t="n">
        <f aca="false">IF(M271&lt;=0,0,ROUND(CHOOSE($C$10,IF(A271=$C$17,M271+N271,MIN($C$18,M271+N271)),IF(A271=$C$17,M271,MIN($C$19,M271))+N271,IF(A271=$C$17,M271,0)+N271),2))</f>
        <v>1932.9</v>
      </c>
      <c r="P271" s="19" t="n">
        <f aca="false">IF(M271&lt;=0,0,MAX(0,ROUND(O271-N271,2)))</f>
        <v>1425.86</v>
      </c>
      <c r="Q271" s="19" t="n">
        <f aca="false">ROUND(M271-P271,2)</f>
        <v>99982.41</v>
      </c>
    </row>
    <row r="272" customFormat="false" ht="15" hidden="false" customHeight="false" outlineLevel="0" collapsed="false">
      <c r="A272" s="24" t="n">
        <f aca="false">A271+1</f>
        <v>241</v>
      </c>
      <c r="B272" s="25" t="n">
        <f aca="false">IF(MOD(12,$C$7)=0,EDATE($C$9,(A272-1)*12/$C$7),$C$9+(A272-1)*ROUND(364/$C$7,0))</f>
        <v>53632</v>
      </c>
      <c r="C272" s="19" t="n">
        <f aca="false">I271</f>
        <v>0</v>
      </c>
      <c r="D272" s="19" t="n">
        <f aca="false">ROUND(C272*$C$16,2)</f>
        <v>0</v>
      </c>
      <c r="E272" s="19" t="n">
        <f aca="false">IF(C272&lt;=0,0,ROUND(CHOOSE($C$10,IF(A272=$C$17,C272+D272,MIN($C$18,C272+D272)),IF(A272=$C$17,C272,MIN($C$19,C272))+D272,IF(A272=$C$17,C272,0)+D272),2))</f>
        <v>0</v>
      </c>
      <c r="F272" s="19" t="n">
        <f aca="false">IF(C272&lt;=0,0,MAX(0,ROUND(E272-D272,2)))</f>
        <v>0</v>
      </c>
      <c r="G272" s="19" t="n">
        <f aca="false">IF(C272&lt;=0,0,ROUND(MIN(MAX(0,C272-F272),MAX(0,IF(A272&gt;=$C$13,$C$12,0)+SUMIF($E$5:$E$14,A272,$F$5:$F$14))),2))</f>
        <v>0</v>
      </c>
      <c r="H272" s="19" t="n">
        <f aca="false">ROUND(E272+G272,2)</f>
        <v>0</v>
      </c>
      <c r="I272" s="19" t="n">
        <f aca="false">ROUND(C272-F272-G272,2)</f>
        <v>0</v>
      </c>
      <c r="J272" s="19" t="n">
        <f aca="false">ROUND(J271+D272,2)</f>
        <v>205217.43</v>
      </c>
      <c r="K272" s="19" t="n">
        <f aca="false">ROUND(K271+F272+G272,2)</f>
        <v>300000</v>
      </c>
      <c r="M272" s="19" t="n">
        <f aca="false">Q271</f>
        <v>99982.41</v>
      </c>
      <c r="N272" s="19" t="n">
        <f aca="false">ROUND(M272*$C$16,2)</f>
        <v>499.91</v>
      </c>
      <c r="O272" s="19" t="n">
        <f aca="false">IF(M272&lt;=0,0,ROUND(CHOOSE($C$10,IF(A272=$C$17,M272+N272,MIN($C$18,M272+N272)),IF(A272=$C$17,M272,MIN($C$19,M272))+N272,IF(A272=$C$17,M272,0)+N272),2))</f>
        <v>1932.9</v>
      </c>
      <c r="P272" s="19" t="n">
        <f aca="false">IF(M272&lt;=0,0,MAX(0,ROUND(O272-N272,2)))</f>
        <v>1432.99</v>
      </c>
      <c r="Q272" s="19" t="n">
        <f aca="false">ROUND(M272-P272,2)</f>
        <v>98549.42</v>
      </c>
    </row>
    <row r="273" customFormat="false" ht="15" hidden="false" customHeight="false" outlineLevel="0" collapsed="false">
      <c r="A273" s="24" t="n">
        <f aca="false">A272+1</f>
        <v>242</v>
      </c>
      <c r="B273" s="25" t="n">
        <f aca="false">IF(MOD(12,$C$7)=0,EDATE($C$9,(A273-1)*12/$C$7),$C$9+(A273-1)*ROUND(364/$C$7,0))</f>
        <v>53662</v>
      </c>
      <c r="C273" s="19" t="n">
        <f aca="false">I272</f>
        <v>0</v>
      </c>
      <c r="D273" s="19" t="n">
        <f aca="false">ROUND(C273*$C$16,2)</f>
        <v>0</v>
      </c>
      <c r="E273" s="19" t="n">
        <f aca="false">IF(C273&lt;=0,0,ROUND(CHOOSE($C$10,IF(A273=$C$17,C273+D273,MIN($C$18,C273+D273)),IF(A273=$C$17,C273,MIN($C$19,C273))+D273,IF(A273=$C$17,C273,0)+D273),2))</f>
        <v>0</v>
      </c>
      <c r="F273" s="19" t="n">
        <f aca="false">IF(C273&lt;=0,0,MAX(0,ROUND(E273-D273,2)))</f>
        <v>0</v>
      </c>
      <c r="G273" s="19" t="n">
        <f aca="false">IF(C273&lt;=0,0,ROUND(MIN(MAX(0,C273-F273),MAX(0,IF(A273&gt;=$C$13,$C$12,0)+SUMIF($E$5:$E$14,A273,$F$5:$F$14))),2))</f>
        <v>0</v>
      </c>
      <c r="H273" s="19" t="n">
        <f aca="false">ROUND(E273+G273,2)</f>
        <v>0</v>
      </c>
      <c r="I273" s="19" t="n">
        <f aca="false">ROUND(C273-F273-G273,2)</f>
        <v>0</v>
      </c>
      <c r="J273" s="19" t="n">
        <f aca="false">ROUND(J272+D273,2)</f>
        <v>205217.43</v>
      </c>
      <c r="K273" s="19" t="n">
        <f aca="false">ROUND(K272+F273+G273,2)</f>
        <v>300000</v>
      </c>
      <c r="M273" s="19" t="n">
        <f aca="false">Q272</f>
        <v>98549.42</v>
      </c>
      <c r="N273" s="19" t="n">
        <f aca="false">ROUND(M273*$C$16,2)</f>
        <v>492.75</v>
      </c>
      <c r="O273" s="19" t="n">
        <f aca="false">IF(M273&lt;=0,0,ROUND(CHOOSE($C$10,IF(A273=$C$17,M273+N273,MIN($C$18,M273+N273)),IF(A273=$C$17,M273,MIN($C$19,M273))+N273,IF(A273=$C$17,M273,0)+N273),2))</f>
        <v>1932.9</v>
      </c>
      <c r="P273" s="19" t="n">
        <f aca="false">IF(M273&lt;=0,0,MAX(0,ROUND(O273-N273,2)))</f>
        <v>1440.15</v>
      </c>
      <c r="Q273" s="19" t="n">
        <f aca="false">ROUND(M273-P273,2)</f>
        <v>97109.27</v>
      </c>
    </row>
    <row r="274" customFormat="false" ht="15" hidden="false" customHeight="false" outlineLevel="0" collapsed="false">
      <c r="A274" s="24" t="n">
        <f aca="false">A273+1</f>
        <v>243</v>
      </c>
      <c r="B274" s="25" t="n">
        <f aca="false">IF(MOD(12,$C$7)=0,EDATE($C$9,(A274-1)*12/$C$7),$C$9+(A274-1)*ROUND(364/$C$7,0))</f>
        <v>53693</v>
      </c>
      <c r="C274" s="19" t="n">
        <f aca="false">I273</f>
        <v>0</v>
      </c>
      <c r="D274" s="19" t="n">
        <f aca="false">ROUND(C274*$C$16,2)</f>
        <v>0</v>
      </c>
      <c r="E274" s="19" t="n">
        <f aca="false">IF(C274&lt;=0,0,ROUND(CHOOSE($C$10,IF(A274=$C$17,C274+D274,MIN($C$18,C274+D274)),IF(A274=$C$17,C274,MIN($C$19,C274))+D274,IF(A274=$C$17,C274,0)+D274),2))</f>
        <v>0</v>
      </c>
      <c r="F274" s="19" t="n">
        <f aca="false">IF(C274&lt;=0,0,MAX(0,ROUND(E274-D274,2)))</f>
        <v>0</v>
      </c>
      <c r="G274" s="19" t="n">
        <f aca="false">IF(C274&lt;=0,0,ROUND(MIN(MAX(0,C274-F274),MAX(0,IF(A274&gt;=$C$13,$C$12,0)+SUMIF($E$5:$E$14,A274,$F$5:$F$14))),2))</f>
        <v>0</v>
      </c>
      <c r="H274" s="19" t="n">
        <f aca="false">ROUND(E274+G274,2)</f>
        <v>0</v>
      </c>
      <c r="I274" s="19" t="n">
        <f aca="false">ROUND(C274-F274-G274,2)</f>
        <v>0</v>
      </c>
      <c r="J274" s="19" t="n">
        <f aca="false">ROUND(J273+D274,2)</f>
        <v>205217.43</v>
      </c>
      <c r="K274" s="19" t="n">
        <f aca="false">ROUND(K273+F274+G274,2)</f>
        <v>300000</v>
      </c>
      <c r="M274" s="19" t="n">
        <f aca="false">Q273</f>
        <v>97109.27</v>
      </c>
      <c r="N274" s="19" t="n">
        <f aca="false">ROUND(M274*$C$16,2)</f>
        <v>485.55</v>
      </c>
      <c r="O274" s="19" t="n">
        <f aca="false">IF(M274&lt;=0,0,ROUND(CHOOSE($C$10,IF(A274=$C$17,M274+N274,MIN($C$18,M274+N274)),IF(A274=$C$17,M274,MIN($C$19,M274))+N274,IF(A274=$C$17,M274,0)+N274),2))</f>
        <v>1932.9</v>
      </c>
      <c r="P274" s="19" t="n">
        <f aca="false">IF(M274&lt;=0,0,MAX(0,ROUND(O274-N274,2)))</f>
        <v>1447.35</v>
      </c>
      <c r="Q274" s="19" t="n">
        <f aca="false">ROUND(M274-P274,2)</f>
        <v>95661.92</v>
      </c>
    </row>
    <row r="275" customFormat="false" ht="15" hidden="false" customHeight="false" outlineLevel="0" collapsed="false">
      <c r="A275" s="24" t="n">
        <f aca="false">A274+1</f>
        <v>244</v>
      </c>
      <c r="B275" s="25" t="n">
        <f aca="false">IF(MOD(12,$C$7)=0,EDATE($C$9,(A275-1)*12/$C$7),$C$9+(A275-1)*ROUND(364/$C$7,0))</f>
        <v>53724</v>
      </c>
      <c r="C275" s="19" t="n">
        <f aca="false">I274</f>
        <v>0</v>
      </c>
      <c r="D275" s="19" t="n">
        <f aca="false">ROUND(C275*$C$16,2)</f>
        <v>0</v>
      </c>
      <c r="E275" s="19" t="n">
        <f aca="false">IF(C275&lt;=0,0,ROUND(CHOOSE($C$10,IF(A275=$C$17,C275+D275,MIN($C$18,C275+D275)),IF(A275=$C$17,C275,MIN($C$19,C275))+D275,IF(A275=$C$17,C275,0)+D275),2))</f>
        <v>0</v>
      </c>
      <c r="F275" s="19" t="n">
        <f aca="false">IF(C275&lt;=0,0,MAX(0,ROUND(E275-D275,2)))</f>
        <v>0</v>
      </c>
      <c r="G275" s="19" t="n">
        <f aca="false">IF(C275&lt;=0,0,ROUND(MIN(MAX(0,C275-F275),MAX(0,IF(A275&gt;=$C$13,$C$12,0)+SUMIF($E$5:$E$14,A275,$F$5:$F$14))),2))</f>
        <v>0</v>
      </c>
      <c r="H275" s="19" t="n">
        <f aca="false">ROUND(E275+G275,2)</f>
        <v>0</v>
      </c>
      <c r="I275" s="19" t="n">
        <f aca="false">ROUND(C275-F275-G275,2)</f>
        <v>0</v>
      </c>
      <c r="J275" s="19" t="n">
        <f aca="false">ROUND(J274+D275,2)</f>
        <v>205217.43</v>
      </c>
      <c r="K275" s="19" t="n">
        <f aca="false">ROUND(K274+F275+G275,2)</f>
        <v>300000</v>
      </c>
      <c r="M275" s="19" t="n">
        <f aca="false">Q274</f>
        <v>95661.92</v>
      </c>
      <c r="N275" s="19" t="n">
        <f aca="false">ROUND(M275*$C$16,2)</f>
        <v>478.31</v>
      </c>
      <c r="O275" s="19" t="n">
        <f aca="false">IF(M275&lt;=0,0,ROUND(CHOOSE($C$10,IF(A275=$C$17,M275+N275,MIN($C$18,M275+N275)),IF(A275=$C$17,M275,MIN($C$19,M275))+N275,IF(A275=$C$17,M275,0)+N275),2))</f>
        <v>1932.9</v>
      </c>
      <c r="P275" s="19" t="n">
        <f aca="false">IF(M275&lt;=0,0,MAX(0,ROUND(O275-N275,2)))</f>
        <v>1454.59</v>
      </c>
      <c r="Q275" s="19" t="n">
        <f aca="false">ROUND(M275-P275,2)</f>
        <v>94207.33</v>
      </c>
    </row>
    <row r="276" customFormat="false" ht="15" hidden="false" customHeight="false" outlineLevel="0" collapsed="false">
      <c r="A276" s="24" t="n">
        <f aca="false">A275+1</f>
        <v>245</v>
      </c>
      <c r="B276" s="25" t="n">
        <f aca="false">IF(MOD(12,$C$7)=0,EDATE($C$9,(A276-1)*12/$C$7),$C$9+(A276-1)*ROUND(364/$C$7,0))</f>
        <v>53752</v>
      </c>
      <c r="C276" s="19" t="n">
        <f aca="false">I275</f>
        <v>0</v>
      </c>
      <c r="D276" s="19" t="n">
        <f aca="false">ROUND(C276*$C$16,2)</f>
        <v>0</v>
      </c>
      <c r="E276" s="19" t="n">
        <f aca="false">IF(C276&lt;=0,0,ROUND(CHOOSE($C$10,IF(A276=$C$17,C276+D276,MIN($C$18,C276+D276)),IF(A276=$C$17,C276,MIN($C$19,C276))+D276,IF(A276=$C$17,C276,0)+D276),2))</f>
        <v>0</v>
      </c>
      <c r="F276" s="19" t="n">
        <f aca="false">IF(C276&lt;=0,0,MAX(0,ROUND(E276-D276,2)))</f>
        <v>0</v>
      </c>
      <c r="G276" s="19" t="n">
        <f aca="false">IF(C276&lt;=0,0,ROUND(MIN(MAX(0,C276-F276),MAX(0,IF(A276&gt;=$C$13,$C$12,0)+SUMIF($E$5:$E$14,A276,$F$5:$F$14))),2))</f>
        <v>0</v>
      </c>
      <c r="H276" s="19" t="n">
        <f aca="false">ROUND(E276+G276,2)</f>
        <v>0</v>
      </c>
      <c r="I276" s="19" t="n">
        <f aca="false">ROUND(C276-F276-G276,2)</f>
        <v>0</v>
      </c>
      <c r="J276" s="19" t="n">
        <f aca="false">ROUND(J275+D276,2)</f>
        <v>205217.43</v>
      </c>
      <c r="K276" s="19" t="n">
        <f aca="false">ROUND(K275+F276+G276,2)</f>
        <v>300000</v>
      </c>
      <c r="M276" s="19" t="n">
        <f aca="false">Q275</f>
        <v>94207.33</v>
      </c>
      <c r="N276" s="19" t="n">
        <f aca="false">ROUND(M276*$C$16,2)</f>
        <v>471.04</v>
      </c>
      <c r="O276" s="19" t="n">
        <f aca="false">IF(M276&lt;=0,0,ROUND(CHOOSE($C$10,IF(A276=$C$17,M276+N276,MIN($C$18,M276+N276)),IF(A276=$C$17,M276,MIN($C$19,M276))+N276,IF(A276=$C$17,M276,0)+N276),2))</f>
        <v>1932.9</v>
      </c>
      <c r="P276" s="19" t="n">
        <f aca="false">IF(M276&lt;=0,0,MAX(0,ROUND(O276-N276,2)))</f>
        <v>1461.86</v>
      </c>
      <c r="Q276" s="19" t="n">
        <f aca="false">ROUND(M276-P276,2)</f>
        <v>92745.47</v>
      </c>
    </row>
    <row r="277" customFormat="false" ht="15" hidden="false" customHeight="false" outlineLevel="0" collapsed="false">
      <c r="A277" s="24" t="n">
        <f aca="false">A276+1</f>
        <v>246</v>
      </c>
      <c r="B277" s="25" t="n">
        <f aca="false">IF(MOD(12,$C$7)=0,EDATE($C$9,(A277-1)*12/$C$7),$C$9+(A277-1)*ROUND(364/$C$7,0))</f>
        <v>53783</v>
      </c>
      <c r="C277" s="19" t="n">
        <f aca="false">I276</f>
        <v>0</v>
      </c>
      <c r="D277" s="19" t="n">
        <f aca="false">ROUND(C277*$C$16,2)</f>
        <v>0</v>
      </c>
      <c r="E277" s="19" t="n">
        <f aca="false">IF(C277&lt;=0,0,ROUND(CHOOSE($C$10,IF(A277=$C$17,C277+D277,MIN($C$18,C277+D277)),IF(A277=$C$17,C277,MIN($C$19,C277))+D277,IF(A277=$C$17,C277,0)+D277),2))</f>
        <v>0</v>
      </c>
      <c r="F277" s="19" t="n">
        <f aca="false">IF(C277&lt;=0,0,MAX(0,ROUND(E277-D277,2)))</f>
        <v>0</v>
      </c>
      <c r="G277" s="19" t="n">
        <f aca="false">IF(C277&lt;=0,0,ROUND(MIN(MAX(0,C277-F277),MAX(0,IF(A277&gt;=$C$13,$C$12,0)+SUMIF($E$5:$E$14,A277,$F$5:$F$14))),2))</f>
        <v>0</v>
      </c>
      <c r="H277" s="19" t="n">
        <f aca="false">ROUND(E277+G277,2)</f>
        <v>0</v>
      </c>
      <c r="I277" s="19" t="n">
        <f aca="false">ROUND(C277-F277-G277,2)</f>
        <v>0</v>
      </c>
      <c r="J277" s="19" t="n">
        <f aca="false">ROUND(J276+D277,2)</f>
        <v>205217.43</v>
      </c>
      <c r="K277" s="19" t="n">
        <f aca="false">ROUND(K276+F277+G277,2)</f>
        <v>300000</v>
      </c>
      <c r="M277" s="19" t="n">
        <f aca="false">Q276</f>
        <v>92745.47</v>
      </c>
      <c r="N277" s="19" t="n">
        <f aca="false">ROUND(M277*$C$16,2)</f>
        <v>463.73</v>
      </c>
      <c r="O277" s="19" t="n">
        <f aca="false">IF(M277&lt;=0,0,ROUND(CHOOSE($C$10,IF(A277=$C$17,M277+N277,MIN($C$18,M277+N277)),IF(A277=$C$17,M277,MIN($C$19,M277))+N277,IF(A277=$C$17,M277,0)+N277),2))</f>
        <v>1932.9</v>
      </c>
      <c r="P277" s="19" t="n">
        <f aca="false">IF(M277&lt;=0,0,MAX(0,ROUND(O277-N277,2)))</f>
        <v>1469.17</v>
      </c>
      <c r="Q277" s="19" t="n">
        <f aca="false">ROUND(M277-P277,2)</f>
        <v>91276.3</v>
      </c>
    </row>
    <row r="278" customFormat="false" ht="15" hidden="false" customHeight="false" outlineLevel="0" collapsed="false">
      <c r="A278" s="24" t="n">
        <f aca="false">A277+1</f>
        <v>247</v>
      </c>
      <c r="B278" s="25" t="n">
        <f aca="false">IF(MOD(12,$C$7)=0,EDATE($C$9,(A278-1)*12/$C$7),$C$9+(A278-1)*ROUND(364/$C$7,0))</f>
        <v>53813</v>
      </c>
      <c r="C278" s="19" t="n">
        <f aca="false">I277</f>
        <v>0</v>
      </c>
      <c r="D278" s="19" t="n">
        <f aca="false">ROUND(C278*$C$16,2)</f>
        <v>0</v>
      </c>
      <c r="E278" s="19" t="n">
        <f aca="false">IF(C278&lt;=0,0,ROUND(CHOOSE($C$10,IF(A278=$C$17,C278+D278,MIN($C$18,C278+D278)),IF(A278=$C$17,C278,MIN($C$19,C278))+D278,IF(A278=$C$17,C278,0)+D278),2))</f>
        <v>0</v>
      </c>
      <c r="F278" s="19" t="n">
        <f aca="false">IF(C278&lt;=0,0,MAX(0,ROUND(E278-D278,2)))</f>
        <v>0</v>
      </c>
      <c r="G278" s="19" t="n">
        <f aca="false">IF(C278&lt;=0,0,ROUND(MIN(MAX(0,C278-F278),MAX(0,IF(A278&gt;=$C$13,$C$12,0)+SUMIF($E$5:$E$14,A278,$F$5:$F$14))),2))</f>
        <v>0</v>
      </c>
      <c r="H278" s="19" t="n">
        <f aca="false">ROUND(E278+G278,2)</f>
        <v>0</v>
      </c>
      <c r="I278" s="19" t="n">
        <f aca="false">ROUND(C278-F278-G278,2)</f>
        <v>0</v>
      </c>
      <c r="J278" s="19" t="n">
        <f aca="false">ROUND(J277+D278,2)</f>
        <v>205217.43</v>
      </c>
      <c r="K278" s="19" t="n">
        <f aca="false">ROUND(K277+F278+G278,2)</f>
        <v>300000</v>
      </c>
      <c r="M278" s="19" t="n">
        <f aca="false">Q277</f>
        <v>91276.3</v>
      </c>
      <c r="N278" s="19" t="n">
        <f aca="false">ROUND(M278*$C$16,2)</f>
        <v>456.38</v>
      </c>
      <c r="O278" s="19" t="n">
        <f aca="false">IF(M278&lt;=0,0,ROUND(CHOOSE($C$10,IF(A278=$C$17,M278+N278,MIN($C$18,M278+N278)),IF(A278=$C$17,M278,MIN($C$19,M278))+N278,IF(A278=$C$17,M278,0)+N278),2))</f>
        <v>1932.9</v>
      </c>
      <c r="P278" s="19" t="n">
        <f aca="false">IF(M278&lt;=0,0,MAX(0,ROUND(O278-N278,2)))</f>
        <v>1476.52</v>
      </c>
      <c r="Q278" s="19" t="n">
        <f aca="false">ROUND(M278-P278,2)</f>
        <v>89799.78</v>
      </c>
    </row>
    <row r="279" customFormat="false" ht="15" hidden="false" customHeight="false" outlineLevel="0" collapsed="false">
      <c r="A279" s="24" t="n">
        <f aca="false">A278+1</f>
        <v>248</v>
      </c>
      <c r="B279" s="25" t="n">
        <f aca="false">IF(MOD(12,$C$7)=0,EDATE($C$9,(A279-1)*12/$C$7),$C$9+(A279-1)*ROUND(364/$C$7,0))</f>
        <v>53844</v>
      </c>
      <c r="C279" s="19" t="n">
        <f aca="false">I278</f>
        <v>0</v>
      </c>
      <c r="D279" s="19" t="n">
        <f aca="false">ROUND(C279*$C$16,2)</f>
        <v>0</v>
      </c>
      <c r="E279" s="19" t="n">
        <f aca="false">IF(C279&lt;=0,0,ROUND(CHOOSE($C$10,IF(A279=$C$17,C279+D279,MIN($C$18,C279+D279)),IF(A279=$C$17,C279,MIN($C$19,C279))+D279,IF(A279=$C$17,C279,0)+D279),2))</f>
        <v>0</v>
      </c>
      <c r="F279" s="19" t="n">
        <f aca="false">IF(C279&lt;=0,0,MAX(0,ROUND(E279-D279,2)))</f>
        <v>0</v>
      </c>
      <c r="G279" s="19" t="n">
        <f aca="false">IF(C279&lt;=0,0,ROUND(MIN(MAX(0,C279-F279),MAX(0,IF(A279&gt;=$C$13,$C$12,0)+SUMIF($E$5:$E$14,A279,$F$5:$F$14))),2))</f>
        <v>0</v>
      </c>
      <c r="H279" s="19" t="n">
        <f aca="false">ROUND(E279+G279,2)</f>
        <v>0</v>
      </c>
      <c r="I279" s="19" t="n">
        <f aca="false">ROUND(C279-F279-G279,2)</f>
        <v>0</v>
      </c>
      <c r="J279" s="19" t="n">
        <f aca="false">ROUND(J278+D279,2)</f>
        <v>205217.43</v>
      </c>
      <c r="K279" s="19" t="n">
        <f aca="false">ROUND(K278+F279+G279,2)</f>
        <v>300000</v>
      </c>
      <c r="M279" s="19" t="n">
        <f aca="false">Q278</f>
        <v>89799.78</v>
      </c>
      <c r="N279" s="19" t="n">
        <f aca="false">ROUND(M279*$C$16,2)</f>
        <v>449</v>
      </c>
      <c r="O279" s="19" t="n">
        <f aca="false">IF(M279&lt;=0,0,ROUND(CHOOSE($C$10,IF(A279=$C$17,M279+N279,MIN($C$18,M279+N279)),IF(A279=$C$17,M279,MIN($C$19,M279))+N279,IF(A279=$C$17,M279,0)+N279),2))</f>
        <v>1932.9</v>
      </c>
      <c r="P279" s="19" t="n">
        <f aca="false">IF(M279&lt;=0,0,MAX(0,ROUND(O279-N279,2)))</f>
        <v>1483.9</v>
      </c>
      <c r="Q279" s="19" t="n">
        <f aca="false">ROUND(M279-P279,2)</f>
        <v>88315.88</v>
      </c>
    </row>
    <row r="280" customFormat="false" ht="15" hidden="false" customHeight="false" outlineLevel="0" collapsed="false">
      <c r="A280" s="24" t="n">
        <f aca="false">A279+1</f>
        <v>249</v>
      </c>
      <c r="B280" s="25" t="n">
        <f aca="false">IF(MOD(12,$C$7)=0,EDATE($C$9,(A280-1)*12/$C$7),$C$9+(A280-1)*ROUND(364/$C$7,0))</f>
        <v>53874</v>
      </c>
      <c r="C280" s="19" t="n">
        <f aca="false">I279</f>
        <v>0</v>
      </c>
      <c r="D280" s="19" t="n">
        <f aca="false">ROUND(C280*$C$16,2)</f>
        <v>0</v>
      </c>
      <c r="E280" s="19" t="n">
        <f aca="false">IF(C280&lt;=0,0,ROUND(CHOOSE($C$10,IF(A280=$C$17,C280+D280,MIN($C$18,C280+D280)),IF(A280=$C$17,C280,MIN($C$19,C280))+D280,IF(A280=$C$17,C280,0)+D280),2))</f>
        <v>0</v>
      </c>
      <c r="F280" s="19" t="n">
        <f aca="false">IF(C280&lt;=0,0,MAX(0,ROUND(E280-D280,2)))</f>
        <v>0</v>
      </c>
      <c r="G280" s="19" t="n">
        <f aca="false">IF(C280&lt;=0,0,ROUND(MIN(MAX(0,C280-F280),MAX(0,IF(A280&gt;=$C$13,$C$12,0)+SUMIF($E$5:$E$14,A280,$F$5:$F$14))),2))</f>
        <v>0</v>
      </c>
      <c r="H280" s="19" t="n">
        <f aca="false">ROUND(E280+G280,2)</f>
        <v>0</v>
      </c>
      <c r="I280" s="19" t="n">
        <f aca="false">ROUND(C280-F280-G280,2)</f>
        <v>0</v>
      </c>
      <c r="J280" s="19" t="n">
        <f aca="false">ROUND(J279+D280,2)</f>
        <v>205217.43</v>
      </c>
      <c r="K280" s="19" t="n">
        <f aca="false">ROUND(K279+F280+G280,2)</f>
        <v>300000</v>
      </c>
      <c r="M280" s="19" t="n">
        <f aca="false">Q279</f>
        <v>88315.88</v>
      </c>
      <c r="N280" s="19" t="n">
        <f aca="false">ROUND(M280*$C$16,2)</f>
        <v>441.58</v>
      </c>
      <c r="O280" s="19" t="n">
        <f aca="false">IF(M280&lt;=0,0,ROUND(CHOOSE($C$10,IF(A280=$C$17,M280+N280,MIN($C$18,M280+N280)),IF(A280=$C$17,M280,MIN($C$19,M280))+N280,IF(A280=$C$17,M280,0)+N280),2))</f>
        <v>1932.9</v>
      </c>
      <c r="P280" s="19" t="n">
        <f aca="false">IF(M280&lt;=0,0,MAX(0,ROUND(O280-N280,2)))</f>
        <v>1491.32</v>
      </c>
      <c r="Q280" s="19" t="n">
        <f aca="false">ROUND(M280-P280,2)</f>
        <v>86824.56</v>
      </c>
    </row>
    <row r="281" customFormat="false" ht="15" hidden="false" customHeight="false" outlineLevel="0" collapsed="false">
      <c r="A281" s="24" t="n">
        <f aca="false">A280+1</f>
        <v>250</v>
      </c>
      <c r="B281" s="25" t="n">
        <f aca="false">IF(MOD(12,$C$7)=0,EDATE($C$9,(A281-1)*12/$C$7),$C$9+(A281-1)*ROUND(364/$C$7,0))</f>
        <v>53905</v>
      </c>
      <c r="C281" s="19" t="n">
        <f aca="false">I280</f>
        <v>0</v>
      </c>
      <c r="D281" s="19" t="n">
        <f aca="false">ROUND(C281*$C$16,2)</f>
        <v>0</v>
      </c>
      <c r="E281" s="19" t="n">
        <f aca="false">IF(C281&lt;=0,0,ROUND(CHOOSE($C$10,IF(A281=$C$17,C281+D281,MIN($C$18,C281+D281)),IF(A281=$C$17,C281,MIN($C$19,C281))+D281,IF(A281=$C$17,C281,0)+D281),2))</f>
        <v>0</v>
      </c>
      <c r="F281" s="19" t="n">
        <f aca="false">IF(C281&lt;=0,0,MAX(0,ROUND(E281-D281,2)))</f>
        <v>0</v>
      </c>
      <c r="G281" s="19" t="n">
        <f aca="false">IF(C281&lt;=0,0,ROUND(MIN(MAX(0,C281-F281),MAX(0,IF(A281&gt;=$C$13,$C$12,0)+SUMIF($E$5:$E$14,A281,$F$5:$F$14))),2))</f>
        <v>0</v>
      </c>
      <c r="H281" s="19" t="n">
        <f aca="false">ROUND(E281+G281,2)</f>
        <v>0</v>
      </c>
      <c r="I281" s="19" t="n">
        <f aca="false">ROUND(C281-F281-G281,2)</f>
        <v>0</v>
      </c>
      <c r="J281" s="19" t="n">
        <f aca="false">ROUND(J280+D281,2)</f>
        <v>205217.43</v>
      </c>
      <c r="K281" s="19" t="n">
        <f aca="false">ROUND(K280+F281+G281,2)</f>
        <v>300000</v>
      </c>
      <c r="M281" s="19" t="n">
        <f aca="false">Q280</f>
        <v>86824.56</v>
      </c>
      <c r="N281" s="19" t="n">
        <f aca="false">ROUND(M281*$C$16,2)</f>
        <v>434.12</v>
      </c>
      <c r="O281" s="19" t="n">
        <f aca="false">IF(M281&lt;=0,0,ROUND(CHOOSE($C$10,IF(A281=$C$17,M281+N281,MIN($C$18,M281+N281)),IF(A281=$C$17,M281,MIN($C$19,M281))+N281,IF(A281=$C$17,M281,0)+N281),2))</f>
        <v>1932.9</v>
      </c>
      <c r="P281" s="19" t="n">
        <f aca="false">IF(M281&lt;=0,0,MAX(0,ROUND(O281-N281,2)))</f>
        <v>1498.78</v>
      </c>
      <c r="Q281" s="19" t="n">
        <f aca="false">ROUND(M281-P281,2)</f>
        <v>85325.78</v>
      </c>
    </row>
    <row r="282" customFormat="false" ht="15" hidden="false" customHeight="false" outlineLevel="0" collapsed="false">
      <c r="A282" s="24" t="n">
        <f aca="false">A281+1</f>
        <v>251</v>
      </c>
      <c r="B282" s="25" t="n">
        <f aca="false">IF(MOD(12,$C$7)=0,EDATE($C$9,(A282-1)*12/$C$7),$C$9+(A282-1)*ROUND(364/$C$7,0))</f>
        <v>53936</v>
      </c>
      <c r="C282" s="19" t="n">
        <f aca="false">I281</f>
        <v>0</v>
      </c>
      <c r="D282" s="19" t="n">
        <f aca="false">ROUND(C282*$C$16,2)</f>
        <v>0</v>
      </c>
      <c r="E282" s="19" t="n">
        <f aca="false">IF(C282&lt;=0,0,ROUND(CHOOSE($C$10,IF(A282=$C$17,C282+D282,MIN($C$18,C282+D282)),IF(A282=$C$17,C282,MIN($C$19,C282))+D282,IF(A282=$C$17,C282,0)+D282),2))</f>
        <v>0</v>
      </c>
      <c r="F282" s="19" t="n">
        <f aca="false">IF(C282&lt;=0,0,MAX(0,ROUND(E282-D282,2)))</f>
        <v>0</v>
      </c>
      <c r="G282" s="19" t="n">
        <f aca="false">IF(C282&lt;=0,0,ROUND(MIN(MAX(0,C282-F282),MAX(0,IF(A282&gt;=$C$13,$C$12,0)+SUMIF($E$5:$E$14,A282,$F$5:$F$14))),2))</f>
        <v>0</v>
      </c>
      <c r="H282" s="19" t="n">
        <f aca="false">ROUND(E282+G282,2)</f>
        <v>0</v>
      </c>
      <c r="I282" s="19" t="n">
        <f aca="false">ROUND(C282-F282-G282,2)</f>
        <v>0</v>
      </c>
      <c r="J282" s="19" t="n">
        <f aca="false">ROUND(J281+D282,2)</f>
        <v>205217.43</v>
      </c>
      <c r="K282" s="19" t="n">
        <f aca="false">ROUND(K281+F282+G282,2)</f>
        <v>300000</v>
      </c>
      <c r="M282" s="19" t="n">
        <f aca="false">Q281</f>
        <v>85325.78</v>
      </c>
      <c r="N282" s="19" t="n">
        <f aca="false">ROUND(M282*$C$16,2)</f>
        <v>426.63</v>
      </c>
      <c r="O282" s="19" t="n">
        <f aca="false">IF(M282&lt;=0,0,ROUND(CHOOSE($C$10,IF(A282=$C$17,M282+N282,MIN($C$18,M282+N282)),IF(A282=$C$17,M282,MIN($C$19,M282))+N282,IF(A282=$C$17,M282,0)+N282),2))</f>
        <v>1932.9</v>
      </c>
      <c r="P282" s="19" t="n">
        <f aca="false">IF(M282&lt;=0,0,MAX(0,ROUND(O282-N282,2)))</f>
        <v>1506.27</v>
      </c>
      <c r="Q282" s="19" t="n">
        <f aca="false">ROUND(M282-P282,2)</f>
        <v>83819.51</v>
      </c>
    </row>
    <row r="283" customFormat="false" ht="15" hidden="false" customHeight="false" outlineLevel="0" collapsed="false">
      <c r="A283" s="24" t="n">
        <f aca="false">A282+1</f>
        <v>252</v>
      </c>
      <c r="B283" s="25" t="n">
        <f aca="false">IF(MOD(12,$C$7)=0,EDATE($C$9,(A283-1)*12/$C$7),$C$9+(A283-1)*ROUND(364/$C$7,0))</f>
        <v>53966</v>
      </c>
      <c r="C283" s="19" t="n">
        <f aca="false">I282</f>
        <v>0</v>
      </c>
      <c r="D283" s="19" t="n">
        <f aca="false">ROUND(C283*$C$16,2)</f>
        <v>0</v>
      </c>
      <c r="E283" s="19" t="n">
        <f aca="false">IF(C283&lt;=0,0,ROUND(CHOOSE($C$10,IF(A283=$C$17,C283+D283,MIN($C$18,C283+D283)),IF(A283=$C$17,C283,MIN($C$19,C283))+D283,IF(A283=$C$17,C283,0)+D283),2))</f>
        <v>0</v>
      </c>
      <c r="F283" s="19" t="n">
        <f aca="false">IF(C283&lt;=0,0,MAX(0,ROUND(E283-D283,2)))</f>
        <v>0</v>
      </c>
      <c r="G283" s="19" t="n">
        <f aca="false">IF(C283&lt;=0,0,ROUND(MIN(MAX(0,C283-F283),MAX(0,IF(A283&gt;=$C$13,$C$12,0)+SUMIF($E$5:$E$14,A283,$F$5:$F$14))),2))</f>
        <v>0</v>
      </c>
      <c r="H283" s="19" t="n">
        <f aca="false">ROUND(E283+G283,2)</f>
        <v>0</v>
      </c>
      <c r="I283" s="19" t="n">
        <f aca="false">ROUND(C283-F283-G283,2)</f>
        <v>0</v>
      </c>
      <c r="J283" s="19" t="n">
        <f aca="false">ROUND(J282+D283,2)</f>
        <v>205217.43</v>
      </c>
      <c r="K283" s="19" t="n">
        <f aca="false">ROUND(K282+F283+G283,2)</f>
        <v>300000</v>
      </c>
      <c r="M283" s="19" t="n">
        <f aca="false">Q282</f>
        <v>83819.51</v>
      </c>
      <c r="N283" s="19" t="n">
        <f aca="false">ROUND(M283*$C$16,2)</f>
        <v>419.1</v>
      </c>
      <c r="O283" s="19" t="n">
        <f aca="false">IF(M283&lt;=0,0,ROUND(CHOOSE($C$10,IF(A283=$C$17,M283+N283,MIN($C$18,M283+N283)),IF(A283=$C$17,M283,MIN($C$19,M283))+N283,IF(A283=$C$17,M283,0)+N283),2))</f>
        <v>1932.9</v>
      </c>
      <c r="P283" s="19" t="n">
        <f aca="false">IF(M283&lt;=0,0,MAX(0,ROUND(O283-N283,2)))</f>
        <v>1513.8</v>
      </c>
      <c r="Q283" s="19" t="n">
        <f aca="false">ROUND(M283-P283,2)</f>
        <v>82305.71</v>
      </c>
    </row>
    <row r="284" customFormat="false" ht="15" hidden="false" customHeight="false" outlineLevel="0" collapsed="false">
      <c r="A284" s="24" t="n">
        <f aca="false">A283+1</f>
        <v>253</v>
      </c>
      <c r="B284" s="25" t="n">
        <f aca="false">IF(MOD(12,$C$7)=0,EDATE($C$9,(A284-1)*12/$C$7),$C$9+(A284-1)*ROUND(364/$C$7,0))</f>
        <v>53997</v>
      </c>
      <c r="C284" s="19" t="n">
        <f aca="false">I283</f>
        <v>0</v>
      </c>
      <c r="D284" s="19" t="n">
        <f aca="false">ROUND(C284*$C$16,2)</f>
        <v>0</v>
      </c>
      <c r="E284" s="19" t="n">
        <f aca="false">IF(C284&lt;=0,0,ROUND(CHOOSE($C$10,IF(A284=$C$17,C284+D284,MIN($C$18,C284+D284)),IF(A284=$C$17,C284,MIN($C$19,C284))+D284,IF(A284=$C$17,C284,0)+D284),2))</f>
        <v>0</v>
      </c>
      <c r="F284" s="19" t="n">
        <f aca="false">IF(C284&lt;=0,0,MAX(0,ROUND(E284-D284,2)))</f>
        <v>0</v>
      </c>
      <c r="G284" s="19" t="n">
        <f aca="false">IF(C284&lt;=0,0,ROUND(MIN(MAX(0,C284-F284),MAX(0,IF(A284&gt;=$C$13,$C$12,0)+SUMIF($E$5:$E$14,A284,$F$5:$F$14))),2))</f>
        <v>0</v>
      </c>
      <c r="H284" s="19" t="n">
        <f aca="false">ROUND(E284+G284,2)</f>
        <v>0</v>
      </c>
      <c r="I284" s="19" t="n">
        <f aca="false">ROUND(C284-F284-G284,2)</f>
        <v>0</v>
      </c>
      <c r="J284" s="19" t="n">
        <f aca="false">ROUND(J283+D284,2)</f>
        <v>205217.43</v>
      </c>
      <c r="K284" s="19" t="n">
        <f aca="false">ROUND(K283+F284+G284,2)</f>
        <v>300000</v>
      </c>
      <c r="M284" s="19" t="n">
        <f aca="false">Q283</f>
        <v>82305.71</v>
      </c>
      <c r="N284" s="19" t="n">
        <f aca="false">ROUND(M284*$C$16,2)</f>
        <v>411.53</v>
      </c>
      <c r="O284" s="19" t="n">
        <f aca="false">IF(M284&lt;=0,0,ROUND(CHOOSE($C$10,IF(A284=$C$17,M284+N284,MIN($C$18,M284+N284)),IF(A284=$C$17,M284,MIN($C$19,M284))+N284,IF(A284=$C$17,M284,0)+N284),2))</f>
        <v>1932.9</v>
      </c>
      <c r="P284" s="19" t="n">
        <f aca="false">IF(M284&lt;=0,0,MAX(0,ROUND(O284-N284,2)))</f>
        <v>1521.37</v>
      </c>
      <c r="Q284" s="19" t="n">
        <f aca="false">ROUND(M284-P284,2)</f>
        <v>80784.34</v>
      </c>
    </row>
    <row r="285" customFormat="false" ht="15" hidden="false" customHeight="false" outlineLevel="0" collapsed="false">
      <c r="A285" s="24" t="n">
        <f aca="false">A284+1</f>
        <v>254</v>
      </c>
      <c r="B285" s="25" t="n">
        <f aca="false">IF(MOD(12,$C$7)=0,EDATE($C$9,(A285-1)*12/$C$7),$C$9+(A285-1)*ROUND(364/$C$7,0))</f>
        <v>54027</v>
      </c>
      <c r="C285" s="19" t="n">
        <f aca="false">I284</f>
        <v>0</v>
      </c>
      <c r="D285" s="19" t="n">
        <f aca="false">ROUND(C285*$C$16,2)</f>
        <v>0</v>
      </c>
      <c r="E285" s="19" t="n">
        <f aca="false">IF(C285&lt;=0,0,ROUND(CHOOSE($C$10,IF(A285=$C$17,C285+D285,MIN($C$18,C285+D285)),IF(A285=$C$17,C285,MIN($C$19,C285))+D285,IF(A285=$C$17,C285,0)+D285),2))</f>
        <v>0</v>
      </c>
      <c r="F285" s="19" t="n">
        <f aca="false">IF(C285&lt;=0,0,MAX(0,ROUND(E285-D285,2)))</f>
        <v>0</v>
      </c>
      <c r="G285" s="19" t="n">
        <f aca="false">IF(C285&lt;=0,0,ROUND(MIN(MAX(0,C285-F285),MAX(0,IF(A285&gt;=$C$13,$C$12,0)+SUMIF($E$5:$E$14,A285,$F$5:$F$14))),2))</f>
        <v>0</v>
      </c>
      <c r="H285" s="19" t="n">
        <f aca="false">ROUND(E285+G285,2)</f>
        <v>0</v>
      </c>
      <c r="I285" s="19" t="n">
        <f aca="false">ROUND(C285-F285-G285,2)</f>
        <v>0</v>
      </c>
      <c r="J285" s="19" t="n">
        <f aca="false">ROUND(J284+D285,2)</f>
        <v>205217.43</v>
      </c>
      <c r="K285" s="19" t="n">
        <f aca="false">ROUND(K284+F285+G285,2)</f>
        <v>300000</v>
      </c>
      <c r="M285" s="19" t="n">
        <f aca="false">Q284</f>
        <v>80784.34</v>
      </c>
      <c r="N285" s="19" t="n">
        <f aca="false">ROUND(M285*$C$16,2)</f>
        <v>403.92</v>
      </c>
      <c r="O285" s="19" t="n">
        <f aca="false">IF(M285&lt;=0,0,ROUND(CHOOSE($C$10,IF(A285=$C$17,M285+N285,MIN($C$18,M285+N285)),IF(A285=$C$17,M285,MIN($C$19,M285))+N285,IF(A285=$C$17,M285,0)+N285),2))</f>
        <v>1932.9</v>
      </c>
      <c r="P285" s="19" t="n">
        <f aca="false">IF(M285&lt;=0,0,MAX(0,ROUND(O285-N285,2)))</f>
        <v>1528.98</v>
      </c>
      <c r="Q285" s="19" t="n">
        <f aca="false">ROUND(M285-P285,2)</f>
        <v>79255.36</v>
      </c>
    </row>
    <row r="286" customFormat="false" ht="15" hidden="false" customHeight="false" outlineLevel="0" collapsed="false">
      <c r="A286" s="24" t="n">
        <f aca="false">A285+1</f>
        <v>255</v>
      </c>
      <c r="B286" s="25" t="n">
        <f aca="false">IF(MOD(12,$C$7)=0,EDATE($C$9,(A286-1)*12/$C$7),$C$9+(A286-1)*ROUND(364/$C$7,0))</f>
        <v>54058</v>
      </c>
      <c r="C286" s="19" t="n">
        <f aca="false">I285</f>
        <v>0</v>
      </c>
      <c r="D286" s="19" t="n">
        <f aca="false">ROUND(C286*$C$16,2)</f>
        <v>0</v>
      </c>
      <c r="E286" s="19" t="n">
        <f aca="false">IF(C286&lt;=0,0,ROUND(CHOOSE($C$10,IF(A286=$C$17,C286+D286,MIN($C$18,C286+D286)),IF(A286=$C$17,C286,MIN($C$19,C286))+D286,IF(A286=$C$17,C286,0)+D286),2))</f>
        <v>0</v>
      </c>
      <c r="F286" s="19" t="n">
        <f aca="false">IF(C286&lt;=0,0,MAX(0,ROUND(E286-D286,2)))</f>
        <v>0</v>
      </c>
      <c r="G286" s="19" t="n">
        <f aca="false">IF(C286&lt;=0,0,ROUND(MIN(MAX(0,C286-F286),MAX(0,IF(A286&gt;=$C$13,$C$12,0)+SUMIF($E$5:$E$14,A286,$F$5:$F$14))),2))</f>
        <v>0</v>
      </c>
      <c r="H286" s="19" t="n">
        <f aca="false">ROUND(E286+G286,2)</f>
        <v>0</v>
      </c>
      <c r="I286" s="19" t="n">
        <f aca="false">ROUND(C286-F286-G286,2)</f>
        <v>0</v>
      </c>
      <c r="J286" s="19" t="n">
        <f aca="false">ROUND(J285+D286,2)</f>
        <v>205217.43</v>
      </c>
      <c r="K286" s="19" t="n">
        <f aca="false">ROUND(K285+F286+G286,2)</f>
        <v>300000</v>
      </c>
      <c r="M286" s="19" t="n">
        <f aca="false">Q285</f>
        <v>79255.36</v>
      </c>
      <c r="N286" s="19" t="n">
        <f aca="false">ROUND(M286*$C$16,2)</f>
        <v>396.28</v>
      </c>
      <c r="O286" s="19" t="n">
        <f aca="false">IF(M286&lt;=0,0,ROUND(CHOOSE($C$10,IF(A286=$C$17,M286+N286,MIN($C$18,M286+N286)),IF(A286=$C$17,M286,MIN($C$19,M286))+N286,IF(A286=$C$17,M286,0)+N286),2))</f>
        <v>1932.9</v>
      </c>
      <c r="P286" s="19" t="n">
        <f aca="false">IF(M286&lt;=0,0,MAX(0,ROUND(O286-N286,2)))</f>
        <v>1536.62</v>
      </c>
      <c r="Q286" s="19" t="n">
        <f aca="false">ROUND(M286-P286,2)</f>
        <v>77718.74</v>
      </c>
    </row>
    <row r="287" customFormat="false" ht="15" hidden="false" customHeight="false" outlineLevel="0" collapsed="false">
      <c r="A287" s="24" t="n">
        <f aca="false">A286+1</f>
        <v>256</v>
      </c>
      <c r="B287" s="25" t="n">
        <f aca="false">IF(MOD(12,$C$7)=0,EDATE($C$9,(A287-1)*12/$C$7),$C$9+(A287-1)*ROUND(364/$C$7,0))</f>
        <v>54089</v>
      </c>
      <c r="C287" s="19" t="n">
        <f aca="false">I286</f>
        <v>0</v>
      </c>
      <c r="D287" s="19" t="n">
        <f aca="false">ROUND(C287*$C$16,2)</f>
        <v>0</v>
      </c>
      <c r="E287" s="19" t="n">
        <f aca="false">IF(C287&lt;=0,0,ROUND(CHOOSE($C$10,IF(A287=$C$17,C287+D287,MIN($C$18,C287+D287)),IF(A287=$C$17,C287,MIN($C$19,C287))+D287,IF(A287=$C$17,C287,0)+D287),2))</f>
        <v>0</v>
      </c>
      <c r="F287" s="19" t="n">
        <f aca="false">IF(C287&lt;=0,0,MAX(0,ROUND(E287-D287,2)))</f>
        <v>0</v>
      </c>
      <c r="G287" s="19" t="n">
        <f aca="false">IF(C287&lt;=0,0,ROUND(MIN(MAX(0,C287-F287),MAX(0,IF(A287&gt;=$C$13,$C$12,0)+SUMIF($E$5:$E$14,A287,$F$5:$F$14))),2))</f>
        <v>0</v>
      </c>
      <c r="H287" s="19" t="n">
        <f aca="false">ROUND(E287+G287,2)</f>
        <v>0</v>
      </c>
      <c r="I287" s="19" t="n">
        <f aca="false">ROUND(C287-F287-G287,2)</f>
        <v>0</v>
      </c>
      <c r="J287" s="19" t="n">
        <f aca="false">ROUND(J286+D287,2)</f>
        <v>205217.43</v>
      </c>
      <c r="K287" s="19" t="n">
        <f aca="false">ROUND(K286+F287+G287,2)</f>
        <v>300000</v>
      </c>
      <c r="M287" s="19" t="n">
        <f aca="false">Q286</f>
        <v>77718.74</v>
      </c>
      <c r="N287" s="19" t="n">
        <f aca="false">ROUND(M287*$C$16,2)</f>
        <v>388.59</v>
      </c>
      <c r="O287" s="19" t="n">
        <f aca="false">IF(M287&lt;=0,0,ROUND(CHOOSE($C$10,IF(A287=$C$17,M287+N287,MIN($C$18,M287+N287)),IF(A287=$C$17,M287,MIN($C$19,M287))+N287,IF(A287=$C$17,M287,0)+N287),2))</f>
        <v>1932.9</v>
      </c>
      <c r="P287" s="19" t="n">
        <f aca="false">IF(M287&lt;=0,0,MAX(0,ROUND(O287-N287,2)))</f>
        <v>1544.31</v>
      </c>
      <c r="Q287" s="19" t="n">
        <f aca="false">ROUND(M287-P287,2)</f>
        <v>76174.43</v>
      </c>
    </row>
    <row r="288" customFormat="false" ht="15" hidden="false" customHeight="false" outlineLevel="0" collapsed="false">
      <c r="A288" s="24" t="n">
        <f aca="false">A287+1</f>
        <v>257</v>
      </c>
      <c r="B288" s="25" t="n">
        <f aca="false">IF(MOD(12,$C$7)=0,EDATE($C$9,(A288-1)*12/$C$7),$C$9+(A288-1)*ROUND(364/$C$7,0))</f>
        <v>54118</v>
      </c>
      <c r="C288" s="19" t="n">
        <f aca="false">I287</f>
        <v>0</v>
      </c>
      <c r="D288" s="19" t="n">
        <f aca="false">ROUND(C288*$C$16,2)</f>
        <v>0</v>
      </c>
      <c r="E288" s="19" t="n">
        <f aca="false">IF(C288&lt;=0,0,ROUND(CHOOSE($C$10,IF(A288=$C$17,C288+D288,MIN($C$18,C288+D288)),IF(A288=$C$17,C288,MIN($C$19,C288))+D288,IF(A288=$C$17,C288,0)+D288),2))</f>
        <v>0</v>
      </c>
      <c r="F288" s="19" t="n">
        <f aca="false">IF(C288&lt;=0,0,MAX(0,ROUND(E288-D288,2)))</f>
        <v>0</v>
      </c>
      <c r="G288" s="19" t="n">
        <f aca="false">IF(C288&lt;=0,0,ROUND(MIN(MAX(0,C288-F288),MAX(0,IF(A288&gt;=$C$13,$C$12,0)+SUMIF($E$5:$E$14,A288,$F$5:$F$14))),2))</f>
        <v>0</v>
      </c>
      <c r="H288" s="19" t="n">
        <f aca="false">ROUND(E288+G288,2)</f>
        <v>0</v>
      </c>
      <c r="I288" s="19" t="n">
        <f aca="false">ROUND(C288-F288-G288,2)</f>
        <v>0</v>
      </c>
      <c r="J288" s="19" t="n">
        <f aca="false">ROUND(J287+D288,2)</f>
        <v>205217.43</v>
      </c>
      <c r="K288" s="19" t="n">
        <f aca="false">ROUND(K287+F288+G288,2)</f>
        <v>300000</v>
      </c>
      <c r="M288" s="19" t="n">
        <f aca="false">Q287</f>
        <v>76174.43</v>
      </c>
      <c r="N288" s="19" t="n">
        <f aca="false">ROUND(M288*$C$16,2)</f>
        <v>380.87</v>
      </c>
      <c r="O288" s="19" t="n">
        <f aca="false">IF(M288&lt;=0,0,ROUND(CHOOSE($C$10,IF(A288=$C$17,M288+N288,MIN($C$18,M288+N288)),IF(A288=$C$17,M288,MIN($C$19,M288))+N288,IF(A288=$C$17,M288,0)+N288),2))</f>
        <v>1932.9</v>
      </c>
      <c r="P288" s="19" t="n">
        <f aca="false">IF(M288&lt;=0,0,MAX(0,ROUND(O288-N288,2)))</f>
        <v>1552.03</v>
      </c>
      <c r="Q288" s="19" t="n">
        <f aca="false">ROUND(M288-P288,2)</f>
        <v>74622.4</v>
      </c>
    </row>
    <row r="289" customFormat="false" ht="15" hidden="false" customHeight="false" outlineLevel="0" collapsed="false">
      <c r="A289" s="24" t="n">
        <f aca="false">A288+1</f>
        <v>258</v>
      </c>
      <c r="B289" s="25" t="n">
        <f aca="false">IF(MOD(12,$C$7)=0,EDATE($C$9,(A289-1)*12/$C$7),$C$9+(A289-1)*ROUND(364/$C$7,0))</f>
        <v>54149</v>
      </c>
      <c r="C289" s="19" t="n">
        <f aca="false">I288</f>
        <v>0</v>
      </c>
      <c r="D289" s="19" t="n">
        <f aca="false">ROUND(C289*$C$16,2)</f>
        <v>0</v>
      </c>
      <c r="E289" s="19" t="n">
        <f aca="false">IF(C289&lt;=0,0,ROUND(CHOOSE($C$10,IF(A289=$C$17,C289+D289,MIN($C$18,C289+D289)),IF(A289=$C$17,C289,MIN($C$19,C289))+D289,IF(A289=$C$17,C289,0)+D289),2))</f>
        <v>0</v>
      </c>
      <c r="F289" s="19" t="n">
        <f aca="false">IF(C289&lt;=0,0,MAX(0,ROUND(E289-D289,2)))</f>
        <v>0</v>
      </c>
      <c r="G289" s="19" t="n">
        <f aca="false">IF(C289&lt;=0,0,ROUND(MIN(MAX(0,C289-F289),MAX(0,IF(A289&gt;=$C$13,$C$12,0)+SUMIF($E$5:$E$14,A289,$F$5:$F$14))),2))</f>
        <v>0</v>
      </c>
      <c r="H289" s="19" t="n">
        <f aca="false">ROUND(E289+G289,2)</f>
        <v>0</v>
      </c>
      <c r="I289" s="19" t="n">
        <f aca="false">ROUND(C289-F289-G289,2)</f>
        <v>0</v>
      </c>
      <c r="J289" s="19" t="n">
        <f aca="false">ROUND(J288+D289,2)</f>
        <v>205217.43</v>
      </c>
      <c r="K289" s="19" t="n">
        <f aca="false">ROUND(K288+F289+G289,2)</f>
        <v>300000</v>
      </c>
      <c r="M289" s="19" t="n">
        <f aca="false">Q288</f>
        <v>74622.4</v>
      </c>
      <c r="N289" s="19" t="n">
        <f aca="false">ROUND(M289*$C$16,2)</f>
        <v>373.11</v>
      </c>
      <c r="O289" s="19" t="n">
        <f aca="false">IF(M289&lt;=0,0,ROUND(CHOOSE($C$10,IF(A289=$C$17,M289+N289,MIN($C$18,M289+N289)),IF(A289=$C$17,M289,MIN($C$19,M289))+N289,IF(A289=$C$17,M289,0)+N289),2))</f>
        <v>1932.9</v>
      </c>
      <c r="P289" s="19" t="n">
        <f aca="false">IF(M289&lt;=0,0,MAX(0,ROUND(O289-N289,2)))</f>
        <v>1559.79</v>
      </c>
      <c r="Q289" s="19" t="n">
        <f aca="false">ROUND(M289-P289,2)</f>
        <v>73062.61</v>
      </c>
    </row>
    <row r="290" customFormat="false" ht="15" hidden="false" customHeight="false" outlineLevel="0" collapsed="false">
      <c r="A290" s="24" t="n">
        <f aca="false">A289+1</f>
        <v>259</v>
      </c>
      <c r="B290" s="25" t="n">
        <f aca="false">IF(MOD(12,$C$7)=0,EDATE($C$9,(A290-1)*12/$C$7),$C$9+(A290-1)*ROUND(364/$C$7,0))</f>
        <v>54179</v>
      </c>
      <c r="C290" s="19" t="n">
        <f aca="false">I289</f>
        <v>0</v>
      </c>
      <c r="D290" s="19" t="n">
        <f aca="false">ROUND(C290*$C$16,2)</f>
        <v>0</v>
      </c>
      <c r="E290" s="19" t="n">
        <f aca="false">IF(C290&lt;=0,0,ROUND(CHOOSE($C$10,IF(A290=$C$17,C290+D290,MIN($C$18,C290+D290)),IF(A290=$C$17,C290,MIN($C$19,C290))+D290,IF(A290=$C$17,C290,0)+D290),2))</f>
        <v>0</v>
      </c>
      <c r="F290" s="19" t="n">
        <f aca="false">IF(C290&lt;=0,0,MAX(0,ROUND(E290-D290,2)))</f>
        <v>0</v>
      </c>
      <c r="G290" s="19" t="n">
        <f aca="false">IF(C290&lt;=0,0,ROUND(MIN(MAX(0,C290-F290),MAX(0,IF(A290&gt;=$C$13,$C$12,0)+SUMIF($E$5:$E$14,A290,$F$5:$F$14))),2))</f>
        <v>0</v>
      </c>
      <c r="H290" s="19" t="n">
        <f aca="false">ROUND(E290+G290,2)</f>
        <v>0</v>
      </c>
      <c r="I290" s="19" t="n">
        <f aca="false">ROUND(C290-F290-G290,2)</f>
        <v>0</v>
      </c>
      <c r="J290" s="19" t="n">
        <f aca="false">ROUND(J289+D290,2)</f>
        <v>205217.43</v>
      </c>
      <c r="K290" s="19" t="n">
        <f aca="false">ROUND(K289+F290+G290,2)</f>
        <v>300000</v>
      </c>
      <c r="M290" s="19" t="n">
        <f aca="false">Q289</f>
        <v>73062.61</v>
      </c>
      <c r="N290" s="19" t="n">
        <f aca="false">ROUND(M290*$C$16,2)</f>
        <v>365.31</v>
      </c>
      <c r="O290" s="19" t="n">
        <f aca="false">IF(M290&lt;=0,0,ROUND(CHOOSE($C$10,IF(A290=$C$17,M290+N290,MIN($C$18,M290+N290)),IF(A290=$C$17,M290,MIN($C$19,M290))+N290,IF(A290=$C$17,M290,0)+N290),2))</f>
        <v>1932.9</v>
      </c>
      <c r="P290" s="19" t="n">
        <f aca="false">IF(M290&lt;=0,0,MAX(0,ROUND(O290-N290,2)))</f>
        <v>1567.59</v>
      </c>
      <c r="Q290" s="19" t="n">
        <f aca="false">ROUND(M290-P290,2)</f>
        <v>71495.02</v>
      </c>
    </row>
    <row r="291" customFormat="false" ht="15" hidden="false" customHeight="false" outlineLevel="0" collapsed="false">
      <c r="A291" s="24" t="n">
        <f aca="false">A290+1</f>
        <v>260</v>
      </c>
      <c r="B291" s="25" t="n">
        <f aca="false">IF(MOD(12,$C$7)=0,EDATE($C$9,(A291-1)*12/$C$7),$C$9+(A291-1)*ROUND(364/$C$7,0))</f>
        <v>54210</v>
      </c>
      <c r="C291" s="19" t="n">
        <f aca="false">I290</f>
        <v>0</v>
      </c>
      <c r="D291" s="19" t="n">
        <f aca="false">ROUND(C291*$C$16,2)</f>
        <v>0</v>
      </c>
      <c r="E291" s="19" t="n">
        <f aca="false">IF(C291&lt;=0,0,ROUND(CHOOSE($C$10,IF(A291=$C$17,C291+D291,MIN($C$18,C291+D291)),IF(A291=$C$17,C291,MIN($C$19,C291))+D291,IF(A291=$C$17,C291,0)+D291),2))</f>
        <v>0</v>
      </c>
      <c r="F291" s="19" t="n">
        <f aca="false">IF(C291&lt;=0,0,MAX(0,ROUND(E291-D291,2)))</f>
        <v>0</v>
      </c>
      <c r="G291" s="19" t="n">
        <f aca="false">IF(C291&lt;=0,0,ROUND(MIN(MAX(0,C291-F291),MAX(0,IF(A291&gt;=$C$13,$C$12,0)+SUMIF($E$5:$E$14,A291,$F$5:$F$14))),2))</f>
        <v>0</v>
      </c>
      <c r="H291" s="19" t="n">
        <f aca="false">ROUND(E291+G291,2)</f>
        <v>0</v>
      </c>
      <c r="I291" s="19" t="n">
        <f aca="false">ROUND(C291-F291-G291,2)</f>
        <v>0</v>
      </c>
      <c r="J291" s="19" t="n">
        <f aca="false">ROUND(J290+D291,2)</f>
        <v>205217.43</v>
      </c>
      <c r="K291" s="19" t="n">
        <f aca="false">ROUND(K290+F291+G291,2)</f>
        <v>300000</v>
      </c>
      <c r="M291" s="19" t="n">
        <f aca="false">Q290</f>
        <v>71495.02</v>
      </c>
      <c r="N291" s="19" t="n">
        <f aca="false">ROUND(M291*$C$16,2)</f>
        <v>357.48</v>
      </c>
      <c r="O291" s="19" t="n">
        <f aca="false">IF(M291&lt;=0,0,ROUND(CHOOSE($C$10,IF(A291=$C$17,M291+N291,MIN($C$18,M291+N291)),IF(A291=$C$17,M291,MIN($C$19,M291))+N291,IF(A291=$C$17,M291,0)+N291),2))</f>
        <v>1932.9</v>
      </c>
      <c r="P291" s="19" t="n">
        <f aca="false">IF(M291&lt;=0,0,MAX(0,ROUND(O291-N291,2)))</f>
        <v>1575.42</v>
      </c>
      <c r="Q291" s="19" t="n">
        <f aca="false">ROUND(M291-P291,2)</f>
        <v>69919.6</v>
      </c>
    </row>
    <row r="292" customFormat="false" ht="15" hidden="false" customHeight="false" outlineLevel="0" collapsed="false">
      <c r="A292" s="24" t="n">
        <f aca="false">A291+1</f>
        <v>261</v>
      </c>
      <c r="B292" s="25" t="n">
        <f aca="false">IF(MOD(12,$C$7)=0,EDATE($C$9,(A292-1)*12/$C$7),$C$9+(A292-1)*ROUND(364/$C$7,0))</f>
        <v>54240</v>
      </c>
      <c r="C292" s="19" t="n">
        <f aca="false">I291</f>
        <v>0</v>
      </c>
      <c r="D292" s="19" t="n">
        <f aca="false">ROUND(C292*$C$16,2)</f>
        <v>0</v>
      </c>
      <c r="E292" s="19" t="n">
        <f aca="false">IF(C292&lt;=0,0,ROUND(CHOOSE($C$10,IF(A292=$C$17,C292+D292,MIN($C$18,C292+D292)),IF(A292=$C$17,C292,MIN($C$19,C292))+D292,IF(A292=$C$17,C292,0)+D292),2))</f>
        <v>0</v>
      </c>
      <c r="F292" s="19" t="n">
        <f aca="false">IF(C292&lt;=0,0,MAX(0,ROUND(E292-D292,2)))</f>
        <v>0</v>
      </c>
      <c r="G292" s="19" t="n">
        <f aca="false">IF(C292&lt;=0,0,ROUND(MIN(MAX(0,C292-F292),MAX(0,IF(A292&gt;=$C$13,$C$12,0)+SUMIF($E$5:$E$14,A292,$F$5:$F$14))),2))</f>
        <v>0</v>
      </c>
      <c r="H292" s="19" t="n">
        <f aca="false">ROUND(E292+G292,2)</f>
        <v>0</v>
      </c>
      <c r="I292" s="19" t="n">
        <f aca="false">ROUND(C292-F292-G292,2)</f>
        <v>0</v>
      </c>
      <c r="J292" s="19" t="n">
        <f aca="false">ROUND(J291+D292,2)</f>
        <v>205217.43</v>
      </c>
      <c r="K292" s="19" t="n">
        <f aca="false">ROUND(K291+F292+G292,2)</f>
        <v>300000</v>
      </c>
      <c r="M292" s="19" t="n">
        <f aca="false">Q291</f>
        <v>69919.6</v>
      </c>
      <c r="N292" s="19" t="n">
        <f aca="false">ROUND(M292*$C$16,2)</f>
        <v>349.6</v>
      </c>
      <c r="O292" s="19" t="n">
        <f aca="false">IF(M292&lt;=0,0,ROUND(CHOOSE($C$10,IF(A292=$C$17,M292+N292,MIN($C$18,M292+N292)),IF(A292=$C$17,M292,MIN($C$19,M292))+N292,IF(A292=$C$17,M292,0)+N292),2))</f>
        <v>1932.9</v>
      </c>
      <c r="P292" s="19" t="n">
        <f aca="false">IF(M292&lt;=0,0,MAX(0,ROUND(O292-N292,2)))</f>
        <v>1583.3</v>
      </c>
      <c r="Q292" s="19" t="n">
        <f aca="false">ROUND(M292-P292,2)</f>
        <v>68336.3</v>
      </c>
    </row>
    <row r="293" customFormat="false" ht="15" hidden="false" customHeight="false" outlineLevel="0" collapsed="false">
      <c r="A293" s="24" t="n">
        <f aca="false">A292+1</f>
        <v>262</v>
      </c>
      <c r="B293" s="25" t="n">
        <f aca="false">IF(MOD(12,$C$7)=0,EDATE($C$9,(A293-1)*12/$C$7),$C$9+(A293-1)*ROUND(364/$C$7,0))</f>
        <v>54271</v>
      </c>
      <c r="C293" s="19" t="n">
        <f aca="false">I292</f>
        <v>0</v>
      </c>
      <c r="D293" s="19" t="n">
        <f aca="false">ROUND(C293*$C$16,2)</f>
        <v>0</v>
      </c>
      <c r="E293" s="19" t="n">
        <f aca="false">IF(C293&lt;=0,0,ROUND(CHOOSE($C$10,IF(A293=$C$17,C293+D293,MIN($C$18,C293+D293)),IF(A293=$C$17,C293,MIN($C$19,C293))+D293,IF(A293=$C$17,C293,0)+D293),2))</f>
        <v>0</v>
      </c>
      <c r="F293" s="19" t="n">
        <f aca="false">IF(C293&lt;=0,0,MAX(0,ROUND(E293-D293,2)))</f>
        <v>0</v>
      </c>
      <c r="G293" s="19" t="n">
        <f aca="false">IF(C293&lt;=0,0,ROUND(MIN(MAX(0,C293-F293),MAX(0,IF(A293&gt;=$C$13,$C$12,0)+SUMIF($E$5:$E$14,A293,$F$5:$F$14))),2))</f>
        <v>0</v>
      </c>
      <c r="H293" s="19" t="n">
        <f aca="false">ROUND(E293+G293,2)</f>
        <v>0</v>
      </c>
      <c r="I293" s="19" t="n">
        <f aca="false">ROUND(C293-F293-G293,2)</f>
        <v>0</v>
      </c>
      <c r="J293" s="19" t="n">
        <f aca="false">ROUND(J292+D293,2)</f>
        <v>205217.43</v>
      </c>
      <c r="K293" s="19" t="n">
        <f aca="false">ROUND(K292+F293+G293,2)</f>
        <v>300000</v>
      </c>
      <c r="M293" s="19" t="n">
        <f aca="false">Q292</f>
        <v>68336.3</v>
      </c>
      <c r="N293" s="19" t="n">
        <f aca="false">ROUND(M293*$C$16,2)</f>
        <v>341.68</v>
      </c>
      <c r="O293" s="19" t="n">
        <f aca="false">IF(M293&lt;=0,0,ROUND(CHOOSE($C$10,IF(A293=$C$17,M293+N293,MIN($C$18,M293+N293)),IF(A293=$C$17,M293,MIN($C$19,M293))+N293,IF(A293=$C$17,M293,0)+N293),2))</f>
        <v>1932.9</v>
      </c>
      <c r="P293" s="19" t="n">
        <f aca="false">IF(M293&lt;=0,0,MAX(0,ROUND(O293-N293,2)))</f>
        <v>1591.22</v>
      </c>
      <c r="Q293" s="19" t="n">
        <f aca="false">ROUND(M293-P293,2)</f>
        <v>66745.08</v>
      </c>
    </row>
    <row r="294" customFormat="false" ht="15" hidden="false" customHeight="false" outlineLevel="0" collapsed="false">
      <c r="A294" s="24" t="n">
        <f aca="false">A293+1</f>
        <v>263</v>
      </c>
      <c r="B294" s="25" t="n">
        <f aca="false">IF(MOD(12,$C$7)=0,EDATE($C$9,(A294-1)*12/$C$7),$C$9+(A294-1)*ROUND(364/$C$7,0))</f>
        <v>54302</v>
      </c>
      <c r="C294" s="19" t="n">
        <f aca="false">I293</f>
        <v>0</v>
      </c>
      <c r="D294" s="19" t="n">
        <f aca="false">ROUND(C294*$C$16,2)</f>
        <v>0</v>
      </c>
      <c r="E294" s="19" t="n">
        <f aca="false">IF(C294&lt;=0,0,ROUND(CHOOSE($C$10,IF(A294=$C$17,C294+D294,MIN($C$18,C294+D294)),IF(A294=$C$17,C294,MIN($C$19,C294))+D294,IF(A294=$C$17,C294,0)+D294),2))</f>
        <v>0</v>
      </c>
      <c r="F294" s="19" t="n">
        <f aca="false">IF(C294&lt;=0,0,MAX(0,ROUND(E294-D294,2)))</f>
        <v>0</v>
      </c>
      <c r="G294" s="19" t="n">
        <f aca="false">IF(C294&lt;=0,0,ROUND(MIN(MAX(0,C294-F294),MAX(0,IF(A294&gt;=$C$13,$C$12,0)+SUMIF($E$5:$E$14,A294,$F$5:$F$14))),2))</f>
        <v>0</v>
      </c>
      <c r="H294" s="19" t="n">
        <f aca="false">ROUND(E294+G294,2)</f>
        <v>0</v>
      </c>
      <c r="I294" s="19" t="n">
        <f aca="false">ROUND(C294-F294-G294,2)</f>
        <v>0</v>
      </c>
      <c r="J294" s="19" t="n">
        <f aca="false">ROUND(J293+D294,2)</f>
        <v>205217.43</v>
      </c>
      <c r="K294" s="19" t="n">
        <f aca="false">ROUND(K293+F294+G294,2)</f>
        <v>300000</v>
      </c>
      <c r="M294" s="19" t="n">
        <f aca="false">Q293</f>
        <v>66745.08</v>
      </c>
      <c r="N294" s="19" t="n">
        <f aca="false">ROUND(M294*$C$16,2)</f>
        <v>333.73</v>
      </c>
      <c r="O294" s="19" t="n">
        <f aca="false">IF(M294&lt;=0,0,ROUND(CHOOSE($C$10,IF(A294=$C$17,M294+N294,MIN($C$18,M294+N294)),IF(A294=$C$17,M294,MIN($C$19,M294))+N294,IF(A294=$C$17,M294,0)+N294),2))</f>
        <v>1932.9</v>
      </c>
      <c r="P294" s="19" t="n">
        <f aca="false">IF(M294&lt;=0,0,MAX(0,ROUND(O294-N294,2)))</f>
        <v>1599.17</v>
      </c>
      <c r="Q294" s="19" t="n">
        <f aca="false">ROUND(M294-P294,2)</f>
        <v>65145.91</v>
      </c>
    </row>
    <row r="295" customFormat="false" ht="15" hidden="false" customHeight="false" outlineLevel="0" collapsed="false">
      <c r="A295" s="24" t="n">
        <f aca="false">A294+1</f>
        <v>264</v>
      </c>
      <c r="B295" s="25" t="n">
        <f aca="false">IF(MOD(12,$C$7)=0,EDATE($C$9,(A295-1)*12/$C$7),$C$9+(A295-1)*ROUND(364/$C$7,0))</f>
        <v>54332</v>
      </c>
      <c r="C295" s="19" t="n">
        <f aca="false">I294</f>
        <v>0</v>
      </c>
      <c r="D295" s="19" t="n">
        <f aca="false">ROUND(C295*$C$16,2)</f>
        <v>0</v>
      </c>
      <c r="E295" s="19" t="n">
        <f aca="false">IF(C295&lt;=0,0,ROUND(CHOOSE($C$10,IF(A295=$C$17,C295+D295,MIN($C$18,C295+D295)),IF(A295=$C$17,C295,MIN($C$19,C295))+D295,IF(A295=$C$17,C295,0)+D295),2))</f>
        <v>0</v>
      </c>
      <c r="F295" s="19" t="n">
        <f aca="false">IF(C295&lt;=0,0,MAX(0,ROUND(E295-D295,2)))</f>
        <v>0</v>
      </c>
      <c r="G295" s="19" t="n">
        <f aca="false">IF(C295&lt;=0,0,ROUND(MIN(MAX(0,C295-F295),MAX(0,IF(A295&gt;=$C$13,$C$12,0)+SUMIF($E$5:$E$14,A295,$F$5:$F$14))),2))</f>
        <v>0</v>
      </c>
      <c r="H295" s="19" t="n">
        <f aca="false">ROUND(E295+G295,2)</f>
        <v>0</v>
      </c>
      <c r="I295" s="19" t="n">
        <f aca="false">ROUND(C295-F295-G295,2)</f>
        <v>0</v>
      </c>
      <c r="J295" s="19" t="n">
        <f aca="false">ROUND(J294+D295,2)</f>
        <v>205217.43</v>
      </c>
      <c r="K295" s="19" t="n">
        <f aca="false">ROUND(K294+F295+G295,2)</f>
        <v>300000</v>
      </c>
      <c r="M295" s="19" t="n">
        <f aca="false">Q294</f>
        <v>65145.91</v>
      </c>
      <c r="N295" s="19" t="n">
        <f aca="false">ROUND(M295*$C$16,2)</f>
        <v>325.73</v>
      </c>
      <c r="O295" s="19" t="n">
        <f aca="false">IF(M295&lt;=0,0,ROUND(CHOOSE($C$10,IF(A295=$C$17,M295+N295,MIN($C$18,M295+N295)),IF(A295=$C$17,M295,MIN($C$19,M295))+N295,IF(A295=$C$17,M295,0)+N295),2))</f>
        <v>1932.9</v>
      </c>
      <c r="P295" s="19" t="n">
        <f aca="false">IF(M295&lt;=0,0,MAX(0,ROUND(O295-N295,2)))</f>
        <v>1607.17</v>
      </c>
      <c r="Q295" s="19" t="n">
        <f aca="false">ROUND(M295-P295,2)</f>
        <v>63538.74</v>
      </c>
    </row>
    <row r="296" customFormat="false" ht="15" hidden="false" customHeight="false" outlineLevel="0" collapsed="false">
      <c r="A296" s="24" t="n">
        <f aca="false">A295+1</f>
        <v>265</v>
      </c>
      <c r="B296" s="25" t="n">
        <f aca="false">IF(MOD(12,$C$7)=0,EDATE($C$9,(A296-1)*12/$C$7),$C$9+(A296-1)*ROUND(364/$C$7,0))</f>
        <v>54363</v>
      </c>
      <c r="C296" s="19" t="n">
        <f aca="false">I295</f>
        <v>0</v>
      </c>
      <c r="D296" s="19" t="n">
        <f aca="false">ROUND(C296*$C$16,2)</f>
        <v>0</v>
      </c>
      <c r="E296" s="19" t="n">
        <f aca="false">IF(C296&lt;=0,0,ROUND(CHOOSE($C$10,IF(A296=$C$17,C296+D296,MIN($C$18,C296+D296)),IF(A296=$C$17,C296,MIN($C$19,C296))+D296,IF(A296=$C$17,C296,0)+D296),2))</f>
        <v>0</v>
      </c>
      <c r="F296" s="19" t="n">
        <f aca="false">IF(C296&lt;=0,0,MAX(0,ROUND(E296-D296,2)))</f>
        <v>0</v>
      </c>
      <c r="G296" s="19" t="n">
        <f aca="false">IF(C296&lt;=0,0,ROUND(MIN(MAX(0,C296-F296),MAX(0,IF(A296&gt;=$C$13,$C$12,0)+SUMIF($E$5:$E$14,A296,$F$5:$F$14))),2))</f>
        <v>0</v>
      </c>
      <c r="H296" s="19" t="n">
        <f aca="false">ROUND(E296+G296,2)</f>
        <v>0</v>
      </c>
      <c r="I296" s="19" t="n">
        <f aca="false">ROUND(C296-F296-G296,2)</f>
        <v>0</v>
      </c>
      <c r="J296" s="19" t="n">
        <f aca="false">ROUND(J295+D296,2)</f>
        <v>205217.43</v>
      </c>
      <c r="K296" s="19" t="n">
        <f aca="false">ROUND(K295+F296+G296,2)</f>
        <v>300000</v>
      </c>
      <c r="M296" s="19" t="n">
        <f aca="false">Q295</f>
        <v>63538.74</v>
      </c>
      <c r="N296" s="19" t="n">
        <f aca="false">ROUND(M296*$C$16,2)</f>
        <v>317.69</v>
      </c>
      <c r="O296" s="19" t="n">
        <f aca="false">IF(M296&lt;=0,0,ROUND(CHOOSE($C$10,IF(A296=$C$17,M296+N296,MIN($C$18,M296+N296)),IF(A296=$C$17,M296,MIN($C$19,M296))+N296,IF(A296=$C$17,M296,0)+N296),2))</f>
        <v>1932.9</v>
      </c>
      <c r="P296" s="19" t="n">
        <f aca="false">IF(M296&lt;=0,0,MAX(0,ROUND(O296-N296,2)))</f>
        <v>1615.21</v>
      </c>
      <c r="Q296" s="19" t="n">
        <f aca="false">ROUND(M296-P296,2)</f>
        <v>61923.53</v>
      </c>
    </row>
    <row r="297" customFormat="false" ht="15" hidden="false" customHeight="false" outlineLevel="0" collapsed="false">
      <c r="A297" s="24" t="n">
        <f aca="false">A296+1</f>
        <v>266</v>
      </c>
      <c r="B297" s="25" t="n">
        <f aca="false">IF(MOD(12,$C$7)=0,EDATE($C$9,(A297-1)*12/$C$7),$C$9+(A297-1)*ROUND(364/$C$7,0))</f>
        <v>54393</v>
      </c>
      <c r="C297" s="19" t="n">
        <f aca="false">I296</f>
        <v>0</v>
      </c>
      <c r="D297" s="19" t="n">
        <f aca="false">ROUND(C297*$C$16,2)</f>
        <v>0</v>
      </c>
      <c r="E297" s="19" t="n">
        <f aca="false">IF(C297&lt;=0,0,ROUND(CHOOSE($C$10,IF(A297=$C$17,C297+D297,MIN($C$18,C297+D297)),IF(A297=$C$17,C297,MIN($C$19,C297))+D297,IF(A297=$C$17,C297,0)+D297),2))</f>
        <v>0</v>
      </c>
      <c r="F297" s="19" t="n">
        <f aca="false">IF(C297&lt;=0,0,MAX(0,ROUND(E297-D297,2)))</f>
        <v>0</v>
      </c>
      <c r="G297" s="19" t="n">
        <f aca="false">IF(C297&lt;=0,0,ROUND(MIN(MAX(0,C297-F297),MAX(0,IF(A297&gt;=$C$13,$C$12,0)+SUMIF($E$5:$E$14,A297,$F$5:$F$14))),2))</f>
        <v>0</v>
      </c>
      <c r="H297" s="19" t="n">
        <f aca="false">ROUND(E297+G297,2)</f>
        <v>0</v>
      </c>
      <c r="I297" s="19" t="n">
        <f aca="false">ROUND(C297-F297-G297,2)</f>
        <v>0</v>
      </c>
      <c r="J297" s="19" t="n">
        <f aca="false">ROUND(J296+D297,2)</f>
        <v>205217.43</v>
      </c>
      <c r="K297" s="19" t="n">
        <f aca="false">ROUND(K296+F297+G297,2)</f>
        <v>300000</v>
      </c>
      <c r="M297" s="19" t="n">
        <f aca="false">Q296</f>
        <v>61923.53</v>
      </c>
      <c r="N297" s="19" t="n">
        <f aca="false">ROUND(M297*$C$16,2)</f>
        <v>309.62</v>
      </c>
      <c r="O297" s="19" t="n">
        <f aca="false">IF(M297&lt;=0,0,ROUND(CHOOSE($C$10,IF(A297=$C$17,M297+N297,MIN($C$18,M297+N297)),IF(A297=$C$17,M297,MIN($C$19,M297))+N297,IF(A297=$C$17,M297,0)+N297),2))</f>
        <v>1932.9</v>
      </c>
      <c r="P297" s="19" t="n">
        <f aca="false">IF(M297&lt;=0,0,MAX(0,ROUND(O297-N297,2)))</f>
        <v>1623.28</v>
      </c>
      <c r="Q297" s="19" t="n">
        <f aca="false">ROUND(M297-P297,2)</f>
        <v>60300.25</v>
      </c>
    </row>
    <row r="298" customFormat="false" ht="15" hidden="false" customHeight="false" outlineLevel="0" collapsed="false">
      <c r="A298" s="24" t="n">
        <f aca="false">A297+1</f>
        <v>267</v>
      </c>
      <c r="B298" s="25" t="n">
        <f aca="false">IF(MOD(12,$C$7)=0,EDATE($C$9,(A298-1)*12/$C$7),$C$9+(A298-1)*ROUND(364/$C$7,0))</f>
        <v>54424</v>
      </c>
      <c r="C298" s="19" t="n">
        <f aca="false">I297</f>
        <v>0</v>
      </c>
      <c r="D298" s="19" t="n">
        <f aca="false">ROUND(C298*$C$16,2)</f>
        <v>0</v>
      </c>
      <c r="E298" s="19" t="n">
        <f aca="false">IF(C298&lt;=0,0,ROUND(CHOOSE($C$10,IF(A298=$C$17,C298+D298,MIN($C$18,C298+D298)),IF(A298=$C$17,C298,MIN($C$19,C298))+D298,IF(A298=$C$17,C298,0)+D298),2))</f>
        <v>0</v>
      </c>
      <c r="F298" s="19" t="n">
        <f aca="false">IF(C298&lt;=0,0,MAX(0,ROUND(E298-D298,2)))</f>
        <v>0</v>
      </c>
      <c r="G298" s="19" t="n">
        <f aca="false">IF(C298&lt;=0,0,ROUND(MIN(MAX(0,C298-F298),MAX(0,IF(A298&gt;=$C$13,$C$12,0)+SUMIF($E$5:$E$14,A298,$F$5:$F$14))),2))</f>
        <v>0</v>
      </c>
      <c r="H298" s="19" t="n">
        <f aca="false">ROUND(E298+G298,2)</f>
        <v>0</v>
      </c>
      <c r="I298" s="19" t="n">
        <f aca="false">ROUND(C298-F298-G298,2)</f>
        <v>0</v>
      </c>
      <c r="J298" s="19" t="n">
        <f aca="false">ROUND(J297+D298,2)</f>
        <v>205217.43</v>
      </c>
      <c r="K298" s="19" t="n">
        <f aca="false">ROUND(K297+F298+G298,2)</f>
        <v>300000</v>
      </c>
      <c r="M298" s="19" t="n">
        <f aca="false">Q297</f>
        <v>60300.25</v>
      </c>
      <c r="N298" s="19" t="n">
        <f aca="false">ROUND(M298*$C$16,2)</f>
        <v>301.5</v>
      </c>
      <c r="O298" s="19" t="n">
        <f aca="false">IF(M298&lt;=0,0,ROUND(CHOOSE($C$10,IF(A298=$C$17,M298+N298,MIN($C$18,M298+N298)),IF(A298=$C$17,M298,MIN($C$19,M298))+N298,IF(A298=$C$17,M298,0)+N298),2))</f>
        <v>1932.9</v>
      </c>
      <c r="P298" s="19" t="n">
        <f aca="false">IF(M298&lt;=0,0,MAX(0,ROUND(O298-N298,2)))</f>
        <v>1631.4</v>
      </c>
      <c r="Q298" s="19" t="n">
        <f aca="false">ROUND(M298-P298,2)</f>
        <v>58668.85</v>
      </c>
    </row>
    <row r="299" customFormat="false" ht="15" hidden="false" customHeight="false" outlineLevel="0" collapsed="false">
      <c r="A299" s="24" t="n">
        <f aca="false">A298+1</f>
        <v>268</v>
      </c>
      <c r="B299" s="25" t="n">
        <f aca="false">IF(MOD(12,$C$7)=0,EDATE($C$9,(A299-1)*12/$C$7),$C$9+(A299-1)*ROUND(364/$C$7,0))</f>
        <v>54455</v>
      </c>
      <c r="C299" s="19" t="n">
        <f aca="false">I298</f>
        <v>0</v>
      </c>
      <c r="D299" s="19" t="n">
        <f aca="false">ROUND(C299*$C$16,2)</f>
        <v>0</v>
      </c>
      <c r="E299" s="19" t="n">
        <f aca="false">IF(C299&lt;=0,0,ROUND(CHOOSE($C$10,IF(A299=$C$17,C299+D299,MIN($C$18,C299+D299)),IF(A299=$C$17,C299,MIN($C$19,C299))+D299,IF(A299=$C$17,C299,0)+D299),2))</f>
        <v>0</v>
      </c>
      <c r="F299" s="19" t="n">
        <f aca="false">IF(C299&lt;=0,0,MAX(0,ROUND(E299-D299,2)))</f>
        <v>0</v>
      </c>
      <c r="G299" s="19" t="n">
        <f aca="false">IF(C299&lt;=0,0,ROUND(MIN(MAX(0,C299-F299),MAX(0,IF(A299&gt;=$C$13,$C$12,0)+SUMIF($E$5:$E$14,A299,$F$5:$F$14))),2))</f>
        <v>0</v>
      </c>
      <c r="H299" s="19" t="n">
        <f aca="false">ROUND(E299+G299,2)</f>
        <v>0</v>
      </c>
      <c r="I299" s="19" t="n">
        <f aca="false">ROUND(C299-F299-G299,2)</f>
        <v>0</v>
      </c>
      <c r="J299" s="19" t="n">
        <f aca="false">ROUND(J298+D299,2)</f>
        <v>205217.43</v>
      </c>
      <c r="K299" s="19" t="n">
        <f aca="false">ROUND(K298+F299+G299,2)</f>
        <v>300000</v>
      </c>
      <c r="M299" s="19" t="n">
        <f aca="false">Q298</f>
        <v>58668.85</v>
      </c>
      <c r="N299" s="19" t="n">
        <f aca="false">ROUND(M299*$C$16,2)</f>
        <v>293.34</v>
      </c>
      <c r="O299" s="19" t="n">
        <f aca="false">IF(M299&lt;=0,0,ROUND(CHOOSE($C$10,IF(A299=$C$17,M299+N299,MIN($C$18,M299+N299)),IF(A299=$C$17,M299,MIN($C$19,M299))+N299,IF(A299=$C$17,M299,0)+N299),2))</f>
        <v>1932.9</v>
      </c>
      <c r="P299" s="19" t="n">
        <f aca="false">IF(M299&lt;=0,0,MAX(0,ROUND(O299-N299,2)))</f>
        <v>1639.56</v>
      </c>
      <c r="Q299" s="19" t="n">
        <f aca="false">ROUND(M299-P299,2)</f>
        <v>57029.29</v>
      </c>
    </row>
    <row r="300" customFormat="false" ht="15" hidden="false" customHeight="false" outlineLevel="0" collapsed="false">
      <c r="A300" s="24" t="n">
        <f aca="false">A299+1</f>
        <v>269</v>
      </c>
      <c r="B300" s="25" t="n">
        <f aca="false">IF(MOD(12,$C$7)=0,EDATE($C$9,(A300-1)*12/$C$7),$C$9+(A300-1)*ROUND(364/$C$7,0))</f>
        <v>54483</v>
      </c>
      <c r="C300" s="19" t="n">
        <f aca="false">I299</f>
        <v>0</v>
      </c>
      <c r="D300" s="19" t="n">
        <f aca="false">ROUND(C300*$C$16,2)</f>
        <v>0</v>
      </c>
      <c r="E300" s="19" t="n">
        <f aca="false">IF(C300&lt;=0,0,ROUND(CHOOSE($C$10,IF(A300=$C$17,C300+D300,MIN($C$18,C300+D300)),IF(A300=$C$17,C300,MIN($C$19,C300))+D300,IF(A300=$C$17,C300,0)+D300),2))</f>
        <v>0</v>
      </c>
      <c r="F300" s="19" t="n">
        <f aca="false">IF(C300&lt;=0,0,MAX(0,ROUND(E300-D300,2)))</f>
        <v>0</v>
      </c>
      <c r="G300" s="19" t="n">
        <f aca="false">IF(C300&lt;=0,0,ROUND(MIN(MAX(0,C300-F300),MAX(0,IF(A300&gt;=$C$13,$C$12,0)+SUMIF($E$5:$E$14,A300,$F$5:$F$14))),2))</f>
        <v>0</v>
      </c>
      <c r="H300" s="19" t="n">
        <f aca="false">ROUND(E300+G300,2)</f>
        <v>0</v>
      </c>
      <c r="I300" s="19" t="n">
        <f aca="false">ROUND(C300-F300-G300,2)</f>
        <v>0</v>
      </c>
      <c r="J300" s="19" t="n">
        <f aca="false">ROUND(J299+D300,2)</f>
        <v>205217.43</v>
      </c>
      <c r="K300" s="19" t="n">
        <f aca="false">ROUND(K299+F300+G300,2)</f>
        <v>300000</v>
      </c>
      <c r="M300" s="19" t="n">
        <f aca="false">Q299</f>
        <v>57029.29</v>
      </c>
      <c r="N300" s="19" t="n">
        <f aca="false">ROUND(M300*$C$16,2)</f>
        <v>285.15</v>
      </c>
      <c r="O300" s="19" t="n">
        <f aca="false">IF(M300&lt;=0,0,ROUND(CHOOSE($C$10,IF(A300=$C$17,M300+N300,MIN($C$18,M300+N300)),IF(A300=$C$17,M300,MIN($C$19,M300))+N300,IF(A300=$C$17,M300,0)+N300),2))</f>
        <v>1932.9</v>
      </c>
      <c r="P300" s="19" t="n">
        <f aca="false">IF(M300&lt;=0,0,MAX(0,ROUND(O300-N300,2)))</f>
        <v>1647.75</v>
      </c>
      <c r="Q300" s="19" t="n">
        <f aca="false">ROUND(M300-P300,2)</f>
        <v>55381.54</v>
      </c>
    </row>
    <row r="301" customFormat="false" ht="15" hidden="false" customHeight="false" outlineLevel="0" collapsed="false">
      <c r="A301" s="24" t="n">
        <f aca="false">A300+1</f>
        <v>270</v>
      </c>
      <c r="B301" s="25" t="n">
        <f aca="false">IF(MOD(12,$C$7)=0,EDATE($C$9,(A301-1)*12/$C$7),$C$9+(A301-1)*ROUND(364/$C$7,0))</f>
        <v>54514</v>
      </c>
      <c r="C301" s="19" t="n">
        <f aca="false">I300</f>
        <v>0</v>
      </c>
      <c r="D301" s="19" t="n">
        <f aca="false">ROUND(C301*$C$16,2)</f>
        <v>0</v>
      </c>
      <c r="E301" s="19" t="n">
        <f aca="false">IF(C301&lt;=0,0,ROUND(CHOOSE($C$10,IF(A301=$C$17,C301+D301,MIN($C$18,C301+D301)),IF(A301=$C$17,C301,MIN($C$19,C301))+D301,IF(A301=$C$17,C301,0)+D301),2))</f>
        <v>0</v>
      </c>
      <c r="F301" s="19" t="n">
        <f aca="false">IF(C301&lt;=0,0,MAX(0,ROUND(E301-D301,2)))</f>
        <v>0</v>
      </c>
      <c r="G301" s="19" t="n">
        <f aca="false">IF(C301&lt;=0,0,ROUND(MIN(MAX(0,C301-F301),MAX(0,IF(A301&gt;=$C$13,$C$12,0)+SUMIF($E$5:$E$14,A301,$F$5:$F$14))),2))</f>
        <v>0</v>
      </c>
      <c r="H301" s="19" t="n">
        <f aca="false">ROUND(E301+G301,2)</f>
        <v>0</v>
      </c>
      <c r="I301" s="19" t="n">
        <f aca="false">ROUND(C301-F301-G301,2)</f>
        <v>0</v>
      </c>
      <c r="J301" s="19" t="n">
        <f aca="false">ROUND(J300+D301,2)</f>
        <v>205217.43</v>
      </c>
      <c r="K301" s="19" t="n">
        <f aca="false">ROUND(K300+F301+G301,2)</f>
        <v>300000</v>
      </c>
      <c r="M301" s="19" t="n">
        <f aca="false">Q300</f>
        <v>55381.54</v>
      </c>
      <c r="N301" s="19" t="n">
        <f aca="false">ROUND(M301*$C$16,2)</f>
        <v>276.91</v>
      </c>
      <c r="O301" s="19" t="n">
        <f aca="false">IF(M301&lt;=0,0,ROUND(CHOOSE($C$10,IF(A301=$C$17,M301+N301,MIN($C$18,M301+N301)),IF(A301=$C$17,M301,MIN($C$19,M301))+N301,IF(A301=$C$17,M301,0)+N301),2))</f>
        <v>1932.9</v>
      </c>
      <c r="P301" s="19" t="n">
        <f aca="false">IF(M301&lt;=0,0,MAX(0,ROUND(O301-N301,2)))</f>
        <v>1655.99</v>
      </c>
      <c r="Q301" s="19" t="n">
        <f aca="false">ROUND(M301-P301,2)</f>
        <v>53725.55</v>
      </c>
    </row>
    <row r="302" customFormat="false" ht="15" hidden="false" customHeight="false" outlineLevel="0" collapsed="false">
      <c r="A302" s="24" t="n">
        <f aca="false">A301+1</f>
        <v>271</v>
      </c>
      <c r="B302" s="25" t="n">
        <f aca="false">IF(MOD(12,$C$7)=0,EDATE($C$9,(A302-1)*12/$C$7),$C$9+(A302-1)*ROUND(364/$C$7,0))</f>
        <v>54544</v>
      </c>
      <c r="C302" s="19" t="n">
        <f aca="false">I301</f>
        <v>0</v>
      </c>
      <c r="D302" s="19" t="n">
        <f aca="false">ROUND(C302*$C$16,2)</f>
        <v>0</v>
      </c>
      <c r="E302" s="19" t="n">
        <f aca="false">IF(C302&lt;=0,0,ROUND(CHOOSE($C$10,IF(A302=$C$17,C302+D302,MIN($C$18,C302+D302)),IF(A302=$C$17,C302,MIN($C$19,C302))+D302,IF(A302=$C$17,C302,0)+D302),2))</f>
        <v>0</v>
      </c>
      <c r="F302" s="19" t="n">
        <f aca="false">IF(C302&lt;=0,0,MAX(0,ROUND(E302-D302,2)))</f>
        <v>0</v>
      </c>
      <c r="G302" s="19" t="n">
        <f aca="false">IF(C302&lt;=0,0,ROUND(MIN(MAX(0,C302-F302),MAX(0,IF(A302&gt;=$C$13,$C$12,0)+SUMIF($E$5:$E$14,A302,$F$5:$F$14))),2))</f>
        <v>0</v>
      </c>
      <c r="H302" s="19" t="n">
        <f aca="false">ROUND(E302+G302,2)</f>
        <v>0</v>
      </c>
      <c r="I302" s="19" t="n">
        <f aca="false">ROUND(C302-F302-G302,2)</f>
        <v>0</v>
      </c>
      <c r="J302" s="19" t="n">
        <f aca="false">ROUND(J301+D302,2)</f>
        <v>205217.43</v>
      </c>
      <c r="K302" s="19" t="n">
        <f aca="false">ROUND(K301+F302+G302,2)</f>
        <v>300000</v>
      </c>
      <c r="M302" s="19" t="n">
        <f aca="false">Q301</f>
        <v>53725.55</v>
      </c>
      <c r="N302" s="19" t="n">
        <f aca="false">ROUND(M302*$C$16,2)</f>
        <v>268.63</v>
      </c>
      <c r="O302" s="19" t="n">
        <f aca="false">IF(M302&lt;=0,0,ROUND(CHOOSE($C$10,IF(A302=$C$17,M302+N302,MIN($C$18,M302+N302)),IF(A302=$C$17,M302,MIN($C$19,M302))+N302,IF(A302=$C$17,M302,0)+N302),2))</f>
        <v>1932.9</v>
      </c>
      <c r="P302" s="19" t="n">
        <f aca="false">IF(M302&lt;=0,0,MAX(0,ROUND(O302-N302,2)))</f>
        <v>1664.27</v>
      </c>
      <c r="Q302" s="19" t="n">
        <f aca="false">ROUND(M302-P302,2)</f>
        <v>52061.28</v>
      </c>
    </row>
    <row r="303" customFormat="false" ht="15" hidden="false" customHeight="false" outlineLevel="0" collapsed="false">
      <c r="A303" s="24" t="n">
        <f aca="false">A302+1</f>
        <v>272</v>
      </c>
      <c r="B303" s="25" t="n">
        <f aca="false">IF(MOD(12,$C$7)=0,EDATE($C$9,(A303-1)*12/$C$7),$C$9+(A303-1)*ROUND(364/$C$7,0))</f>
        <v>54575</v>
      </c>
      <c r="C303" s="19" t="n">
        <f aca="false">I302</f>
        <v>0</v>
      </c>
      <c r="D303" s="19" t="n">
        <f aca="false">ROUND(C303*$C$16,2)</f>
        <v>0</v>
      </c>
      <c r="E303" s="19" t="n">
        <f aca="false">IF(C303&lt;=0,0,ROUND(CHOOSE($C$10,IF(A303=$C$17,C303+D303,MIN($C$18,C303+D303)),IF(A303=$C$17,C303,MIN($C$19,C303))+D303,IF(A303=$C$17,C303,0)+D303),2))</f>
        <v>0</v>
      </c>
      <c r="F303" s="19" t="n">
        <f aca="false">IF(C303&lt;=0,0,MAX(0,ROUND(E303-D303,2)))</f>
        <v>0</v>
      </c>
      <c r="G303" s="19" t="n">
        <f aca="false">IF(C303&lt;=0,0,ROUND(MIN(MAX(0,C303-F303),MAX(0,IF(A303&gt;=$C$13,$C$12,0)+SUMIF($E$5:$E$14,A303,$F$5:$F$14))),2))</f>
        <v>0</v>
      </c>
      <c r="H303" s="19" t="n">
        <f aca="false">ROUND(E303+G303,2)</f>
        <v>0</v>
      </c>
      <c r="I303" s="19" t="n">
        <f aca="false">ROUND(C303-F303-G303,2)</f>
        <v>0</v>
      </c>
      <c r="J303" s="19" t="n">
        <f aca="false">ROUND(J302+D303,2)</f>
        <v>205217.43</v>
      </c>
      <c r="K303" s="19" t="n">
        <f aca="false">ROUND(K302+F303+G303,2)</f>
        <v>300000</v>
      </c>
      <c r="M303" s="19" t="n">
        <f aca="false">Q302</f>
        <v>52061.28</v>
      </c>
      <c r="N303" s="19" t="n">
        <f aca="false">ROUND(M303*$C$16,2)</f>
        <v>260.31</v>
      </c>
      <c r="O303" s="19" t="n">
        <f aca="false">IF(M303&lt;=0,0,ROUND(CHOOSE($C$10,IF(A303=$C$17,M303+N303,MIN($C$18,M303+N303)),IF(A303=$C$17,M303,MIN($C$19,M303))+N303,IF(A303=$C$17,M303,0)+N303),2))</f>
        <v>1932.9</v>
      </c>
      <c r="P303" s="19" t="n">
        <f aca="false">IF(M303&lt;=0,0,MAX(0,ROUND(O303-N303,2)))</f>
        <v>1672.59</v>
      </c>
      <c r="Q303" s="19" t="n">
        <f aca="false">ROUND(M303-P303,2)</f>
        <v>50388.69</v>
      </c>
    </row>
    <row r="304" customFormat="false" ht="15" hidden="false" customHeight="false" outlineLevel="0" collapsed="false">
      <c r="A304" s="24" t="n">
        <f aca="false">A303+1</f>
        <v>273</v>
      </c>
      <c r="B304" s="25" t="n">
        <f aca="false">IF(MOD(12,$C$7)=0,EDATE($C$9,(A304-1)*12/$C$7),$C$9+(A304-1)*ROUND(364/$C$7,0))</f>
        <v>54605</v>
      </c>
      <c r="C304" s="19" t="n">
        <f aca="false">I303</f>
        <v>0</v>
      </c>
      <c r="D304" s="19" t="n">
        <f aca="false">ROUND(C304*$C$16,2)</f>
        <v>0</v>
      </c>
      <c r="E304" s="19" t="n">
        <f aca="false">IF(C304&lt;=0,0,ROUND(CHOOSE($C$10,IF(A304=$C$17,C304+D304,MIN($C$18,C304+D304)),IF(A304=$C$17,C304,MIN($C$19,C304))+D304,IF(A304=$C$17,C304,0)+D304),2))</f>
        <v>0</v>
      </c>
      <c r="F304" s="19" t="n">
        <f aca="false">IF(C304&lt;=0,0,MAX(0,ROUND(E304-D304,2)))</f>
        <v>0</v>
      </c>
      <c r="G304" s="19" t="n">
        <f aca="false">IF(C304&lt;=0,0,ROUND(MIN(MAX(0,C304-F304),MAX(0,IF(A304&gt;=$C$13,$C$12,0)+SUMIF($E$5:$E$14,A304,$F$5:$F$14))),2))</f>
        <v>0</v>
      </c>
      <c r="H304" s="19" t="n">
        <f aca="false">ROUND(E304+G304,2)</f>
        <v>0</v>
      </c>
      <c r="I304" s="19" t="n">
        <f aca="false">ROUND(C304-F304-G304,2)</f>
        <v>0</v>
      </c>
      <c r="J304" s="19" t="n">
        <f aca="false">ROUND(J303+D304,2)</f>
        <v>205217.43</v>
      </c>
      <c r="K304" s="19" t="n">
        <f aca="false">ROUND(K303+F304+G304,2)</f>
        <v>300000</v>
      </c>
      <c r="M304" s="19" t="n">
        <f aca="false">Q303</f>
        <v>50388.69</v>
      </c>
      <c r="N304" s="19" t="n">
        <f aca="false">ROUND(M304*$C$16,2)</f>
        <v>251.94</v>
      </c>
      <c r="O304" s="19" t="n">
        <f aca="false">IF(M304&lt;=0,0,ROUND(CHOOSE($C$10,IF(A304=$C$17,M304+N304,MIN($C$18,M304+N304)),IF(A304=$C$17,M304,MIN($C$19,M304))+N304,IF(A304=$C$17,M304,0)+N304),2))</f>
        <v>1932.9</v>
      </c>
      <c r="P304" s="19" t="n">
        <f aca="false">IF(M304&lt;=0,0,MAX(0,ROUND(O304-N304,2)))</f>
        <v>1680.96</v>
      </c>
      <c r="Q304" s="19" t="n">
        <f aca="false">ROUND(M304-P304,2)</f>
        <v>48707.73</v>
      </c>
    </row>
    <row r="305" customFormat="false" ht="15" hidden="false" customHeight="false" outlineLevel="0" collapsed="false">
      <c r="A305" s="24" t="n">
        <f aca="false">A304+1</f>
        <v>274</v>
      </c>
      <c r="B305" s="25" t="n">
        <f aca="false">IF(MOD(12,$C$7)=0,EDATE($C$9,(A305-1)*12/$C$7),$C$9+(A305-1)*ROUND(364/$C$7,0))</f>
        <v>54636</v>
      </c>
      <c r="C305" s="19" t="n">
        <f aca="false">I304</f>
        <v>0</v>
      </c>
      <c r="D305" s="19" t="n">
        <f aca="false">ROUND(C305*$C$16,2)</f>
        <v>0</v>
      </c>
      <c r="E305" s="19" t="n">
        <f aca="false">IF(C305&lt;=0,0,ROUND(CHOOSE($C$10,IF(A305=$C$17,C305+D305,MIN($C$18,C305+D305)),IF(A305=$C$17,C305,MIN($C$19,C305))+D305,IF(A305=$C$17,C305,0)+D305),2))</f>
        <v>0</v>
      </c>
      <c r="F305" s="19" t="n">
        <f aca="false">IF(C305&lt;=0,0,MAX(0,ROUND(E305-D305,2)))</f>
        <v>0</v>
      </c>
      <c r="G305" s="19" t="n">
        <f aca="false">IF(C305&lt;=0,0,ROUND(MIN(MAX(0,C305-F305),MAX(0,IF(A305&gt;=$C$13,$C$12,0)+SUMIF($E$5:$E$14,A305,$F$5:$F$14))),2))</f>
        <v>0</v>
      </c>
      <c r="H305" s="19" t="n">
        <f aca="false">ROUND(E305+G305,2)</f>
        <v>0</v>
      </c>
      <c r="I305" s="19" t="n">
        <f aca="false">ROUND(C305-F305-G305,2)</f>
        <v>0</v>
      </c>
      <c r="J305" s="19" t="n">
        <f aca="false">ROUND(J304+D305,2)</f>
        <v>205217.43</v>
      </c>
      <c r="K305" s="19" t="n">
        <f aca="false">ROUND(K304+F305+G305,2)</f>
        <v>300000</v>
      </c>
      <c r="M305" s="19" t="n">
        <f aca="false">Q304</f>
        <v>48707.73</v>
      </c>
      <c r="N305" s="19" t="n">
        <f aca="false">ROUND(M305*$C$16,2)</f>
        <v>243.54</v>
      </c>
      <c r="O305" s="19" t="n">
        <f aca="false">IF(M305&lt;=0,0,ROUND(CHOOSE($C$10,IF(A305=$C$17,M305+N305,MIN($C$18,M305+N305)),IF(A305=$C$17,M305,MIN($C$19,M305))+N305,IF(A305=$C$17,M305,0)+N305),2))</f>
        <v>1932.9</v>
      </c>
      <c r="P305" s="19" t="n">
        <f aca="false">IF(M305&lt;=0,0,MAX(0,ROUND(O305-N305,2)))</f>
        <v>1689.36</v>
      </c>
      <c r="Q305" s="19" t="n">
        <f aca="false">ROUND(M305-P305,2)</f>
        <v>47018.37</v>
      </c>
    </row>
    <row r="306" customFormat="false" ht="15" hidden="false" customHeight="false" outlineLevel="0" collapsed="false">
      <c r="A306" s="24" t="n">
        <f aca="false">A305+1</f>
        <v>275</v>
      </c>
      <c r="B306" s="25" t="n">
        <f aca="false">IF(MOD(12,$C$7)=0,EDATE($C$9,(A306-1)*12/$C$7),$C$9+(A306-1)*ROUND(364/$C$7,0))</f>
        <v>54667</v>
      </c>
      <c r="C306" s="19" t="n">
        <f aca="false">I305</f>
        <v>0</v>
      </c>
      <c r="D306" s="19" t="n">
        <f aca="false">ROUND(C306*$C$16,2)</f>
        <v>0</v>
      </c>
      <c r="E306" s="19" t="n">
        <f aca="false">IF(C306&lt;=0,0,ROUND(CHOOSE($C$10,IF(A306=$C$17,C306+D306,MIN($C$18,C306+D306)),IF(A306=$C$17,C306,MIN($C$19,C306))+D306,IF(A306=$C$17,C306,0)+D306),2))</f>
        <v>0</v>
      </c>
      <c r="F306" s="19" t="n">
        <f aca="false">IF(C306&lt;=0,0,MAX(0,ROUND(E306-D306,2)))</f>
        <v>0</v>
      </c>
      <c r="G306" s="19" t="n">
        <f aca="false">IF(C306&lt;=0,0,ROUND(MIN(MAX(0,C306-F306),MAX(0,IF(A306&gt;=$C$13,$C$12,0)+SUMIF($E$5:$E$14,A306,$F$5:$F$14))),2))</f>
        <v>0</v>
      </c>
      <c r="H306" s="19" t="n">
        <f aca="false">ROUND(E306+G306,2)</f>
        <v>0</v>
      </c>
      <c r="I306" s="19" t="n">
        <f aca="false">ROUND(C306-F306-G306,2)</f>
        <v>0</v>
      </c>
      <c r="J306" s="19" t="n">
        <f aca="false">ROUND(J305+D306,2)</f>
        <v>205217.43</v>
      </c>
      <c r="K306" s="19" t="n">
        <f aca="false">ROUND(K305+F306+G306,2)</f>
        <v>300000</v>
      </c>
      <c r="M306" s="19" t="n">
        <f aca="false">Q305</f>
        <v>47018.37</v>
      </c>
      <c r="N306" s="19" t="n">
        <f aca="false">ROUND(M306*$C$16,2)</f>
        <v>235.09</v>
      </c>
      <c r="O306" s="19" t="n">
        <f aca="false">IF(M306&lt;=0,0,ROUND(CHOOSE($C$10,IF(A306=$C$17,M306+N306,MIN($C$18,M306+N306)),IF(A306=$C$17,M306,MIN($C$19,M306))+N306,IF(A306=$C$17,M306,0)+N306),2))</f>
        <v>1932.9</v>
      </c>
      <c r="P306" s="19" t="n">
        <f aca="false">IF(M306&lt;=0,0,MAX(0,ROUND(O306-N306,2)))</f>
        <v>1697.81</v>
      </c>
      <c r="Q306" s="19" t="n">
        <f aca="false">ROUND(M306-P306,2)</f>
        <v>45320.56</v>
      </c>
    </row>
    <row r="307" customFormat="false" ht="15" hidden="false" customHeight="false" outlineLevel="0" collapsed="false">
      <c r="A307" s="24" t="n">
        <f aca="false">A306+1</f>
        <v>276</v>
      </c>
      <c r="B307" s="25" t="n">
        <f aca="false">IF(MOD(12,$C$7)=0,EDATE($C$9,(A307-1)*12/$C$7),$C$9+(A307-1)*ROUND(364/$C$7,0))</f>
        <v>54697</v>
      </c>
      <c r="C307" s="19" t="n">
        <f aca="false">I306</f>
        <v>0</v>
      </c>
      <c r="D307" s="19" t="n">
        <f aca="false">ROUND(C307*$C$16,2)</f>
        <v>0</v>
      </c>
      <c r="E307" s="19" t="n">
        <f aca="false">IF(C307&lt;=0,0,ROUND(CHOOSE($C$10,IF(A307=$C$17,C307+D307,MIN($C$18,C307+D307)),IF(A307=$C$17,C307,MIN($C$19,C307))+D307,IF(A307=$C$17,C307,0)+D307),2))</f>
        <v>0</v>
      </c>
      <c r="F307" s="19" t="n">
        <f aca="false">IF(C307&lt;=0,0,MAX(0,ROUND(E307-D307,2)))</f>
        <v>0</v>
      </c>
      <c r="G307" s="19" t="n">
        <f aca="false">IF(C307&lt;=0,0,ROUND(MIN(MAX(0,C307-F307),MAX(0,IF(A307&gt;=$C$13,$C$12,0)+SUMIF($E$5:$E$14,A307,$F$5:$F$14))),2))</f>
        <v>0</v>
      </c>
      <c r="H307" s="19" t="n">
        <f aca="false">ROUND(E307+G307,2)</f>
        <v>0</v>
      </c>
      <c r="I307" s="19" t="n">
        <f aca="false">ROUND(C307-F307-G307,2)</f>
        <v>0</v>
      </c>
      <c r="J307" s="19" t="n">
        <f aca="false">ROUND(J306+D307,2)</f>
        <v>205217.43</v>
      </c>
      <c r="K307" s="19" t="n">
        <f aca="false">ROUND(K306+F307+G307,2)</f>
        <v>300000</v>
      </c>
      <c r="M307" s="19" t="n">
        <f aca="false">Q306</f>
        <v>45320.56</v>
      </c>
      <c r="N307" s="19" t="n">
        <f aca="false">ROUND(M307*$C$16,2)</f>
        <v>226.6</v>
      </c>
      <c r="O307" s="19" t="n">
        <f aca="false">IF(M307&lt;=0,0,ROUND(CHOOSE($C$10,IF(A307=$C$17,M307+N307,MIN($C$18,M307+N307)),IF(A307=$C$17,M307,MIN($C$19,M307))+N307,IF(A307=$C$17,M307,0)+N307),2))</f>
        <v>1932.9</v>
      </c>
      <c r="P307" s="19" t="n">
        <f aca="false">IF(M307&lt;=0,0,MAX(0,ROUND(O307-N307,2)))</f>
        <v>1706.3</v>
      </c>
      <c r="Q307" s="19" t="n">
        <f aca="false">ROUND(M307-P307,2)</f>
        <v>43614.26</v>
      </c>
    </row>
    <row r="308" customFormat="false" ht="15" hidden="false" customHeight="false" outlineLevel="0" collapsed="false">
      <c r="A308" s="24" t="n">
        <f aca="false">A307+1</f>
        <v>277</v>
      </c>
      <c r="B308" s="25" t="n">
        <f aca="false">IF(MOD(12,$C$7)=0,EDATE($C$9,(A308-1)*12/$C$7),$C$9+(A308-1)*ROUND(364/$C$7,0))</f>
        <v>54728</v>
      </c>
      <c r="C308" s="19" t="n">
        <f aca="false">I307</f>
        <v>0</v>
      </c>
      <c r="D308" s="19" t="n">
        <f aca="false">ROUND(C308*$C$16,2)</f>
        <v>0</v>
      </c>
      <c r="E308" s="19" t="n">
        <f aca="false">IF(C308&lt;=0,0,ROUND(CHOOSE($C$10,IF(A308=$C$17,C308+D308,MIN($C$18,C308+D308)),IF(A308=$C$17,C308,MIN($C$19,C308))+D308,IF(A308=$C$17,C308,0)+D308),2))</f>
        <v>0</v>
      </c>
      <c r="F308" s="19" t="n">
        <f aca="false">IF(C308&lt;=0,0,MAX(0,ROUND(E308-D308,2)))</f>
        <v>0</v>
      </c>
      <c r="G308" s="19" t="n">
        <f aca="false">IF(C308&lt;=0,0,ROUND(MIN(MAX(0,C308-F308),MAX(0,IF(A308&gt;=$C$13,$C$12,0)+SUMIF($E$5:$E$14,A308,$F$5:$F$14))),2))</f>
        <v>0</v>
      </c>
      <c r="H308" s="19" t="n">
        <f aca="false">ROUND(E308+G308,2)</f>
        <v>0</v>
      </c>
      <c r="I308" s="19" t="n">
        <f aca="false">ROUND(C308-F308-G308,2)</f>
        <v>0</v>
      </c>
      <c r="J308" s="19" t="n">
        <f aca="false">ROUND(J307+D308,2)</f>
        <v>205217.43</v>
      </c>
      <c r="K308" s="19" t="n">
        <f aca="false">ROUND(K307+F308+G308,2)</f>
        <v>300000</v>
      </c>
      <c r="M308" s="19" t="n">
        <f aca="false">Q307</f>
        <v>43614.26</v>
      </c>
      <c r="N308" s="19" t="n">
        <f aca="false">ROUND(M308*$C$16,2)</f>
        <v>218.07</v>
      </c>
      <c r="O308" s="19" t="n">
        <f aca="false">IF(M308&lt;=0,0,ROUND(CHOOSE($C$10,IF(A308=$C$17,M308+N308,MIN($C$18,M308+N308)),IF(A308=$C$17,M308,MIN($C$19,M308))+N308,IF(A308=$C$17,M308,0)+N308),2))</f>
        <v>1932.9</v>
      </c>
      <c r="P308" s="19" t="n">
        <f aca="false">IF(M308&lt;=0,0,MAX(0,ROUND(O308-N308,2)))</f>
        <v>1714.83</v>
      </c>
      <c r="Q308" s="19" t="n">
        <f aca="false">ROUND(M308-P308,2)</f>
        <v>41899.43</v>
      </c>
    </row>
    <row r="309" customFormat="false" ht="15" hidden="false" customHeight="false" outlineLevel="0" collapsed="false">
      <c r="A309" s="24" t="n">
        <f aca="false">A308+1</f>
        <v>278</v>
      </c>
      <c r="B309" s="25" t="n">
        <f aca="false">IF(MOD(12,$C$7)=0,EDATE($C$9,(A309-1)*12/$C$7),$C$9+(A309-1)*ROUND(364/$C$7,0))</f>
        <v>54758</v>
      </c>
      <c r="C309" s="19" t="n">
        <f aca="false">I308</f>
        <v>0</v>
      </c>
      <c r="D309" s="19" t="n">
        <f aca="false">ROUND(C309*$C$16,2)</f>
        <v>0</v>
      </c>
      <c r="E309" s="19" t="n">
        <f aca="false">IF(C309&lt;=0,0,ROUND(CHOOSE($C$10,IF(A309=$C$17,C309+D309,MIN($C$18,C309+D309)),IF(A309=$C$17,C309,MIN($C$19,C309))+D309,IF(A309=$C$17,C309,0)+D309),2))</f>
        <v>0</v>
      </c>
      <c r="F309" s="19" t="n">
        <f aca="false">IF(C309&lt;=0,0,MAX(0,ROUND(E309-D309,2)))</f>
        <v>0</v>
      </c>
      <c r="G309" s="19" t="n">
        <f aca="false">IF(C309&lt;=0,0,ROUND(MIN(MAX(0,C309-F309),MAX(0,IF(A309&gt;=$C$13,$C$12,0)+SUMIF($E$5:$E$14,A309,$F$5:$F$14))),2))</f>
        <v>0</v>
      </c>
      <c r="H309" s="19" t="n">
        <f aca="false">ROUND(E309+G309,2)</f>
        <v>0</v>
      </c>
      <c r="I309" s="19" t="n">
        <f aca="false">ROUND(C309-F309-G309,2)</f>
        <v>0</v>
      </c>
      <c r="J309" s="19" t="n">
        <f aca="false">ROUND(J308+D309,2)</f>
        <v>205217.43</v>
      </c>
      <c r="K309" s="19" t="n">
        <f aca="false">ROUND(K308+F309+G309,2)</f>
        <v>300000</v>
      </c>
      <c r="M309" s="19" t="n">
        <f aca="false">Q308</f>
        <v>41899.43</v>
      </c>
      <c r="N309" s="19" t="n">
        <f aca="false">ROUND(M309*$C$16,2)</f>
        <v>209.5</v>
      </c>
      <c r="O309" s="19" t="n">
        <f aca="false">IF(M309&lt;=0,0,ROUND(CHOOSE($C$10,IF(A309=$C$17,M309+N309,MIN($C$18,M309+N309)),IF(A309=$C$17,M309,MIN($C$19,M309))+N309,IF(A309=$C$17,M309,0)+N309),2))</f>
        <v>1932.9</v>
      </c>
      <c r="P309" s="19" t="n">
        <f aca="false">IF(M309&lt;=0,0,MAX(0,ROUND(O309-N309,2)))</f>
        <v>1723.4</v>
      </c>
      <c r="Q309" s="19" t="n">
        <f aca="false">ROUND(M309-P309,2)</f>
        <v>40176.03</v>
      </c>
    </row>
    <row r="310" customFormat="false" ht="15" hidden="false" customHeight="false" outlineLevel="0" collapsed="false">
      <c r="A310" s="24" t="n">
        <f aca="false">A309+1</f>
        <v>279</v>
      </c>
      <c r="B310" s="25" t="n">
        <f aca="false">IF(MOD(12,$C$7)=0,EDATE($C$9,(A310-1)*12/$C$7),$C$9+(A310-1)*ROUND(364/$C$7,0))</f>
        <v>54789</v>
      </c>
      <c r="C310" s="19" t="n">
        <f aca="false">I309</f>
        <v>0</v>
      </c>
      <c r="D310" s="19" t="n">
        <f aca="false">ROUND(C310*$C$16,2)</f>
        <v>0</v>
      </c>
      <c r="E310" s="19" t="n">
        <f aca="false">IF(C310&lt;=0,0,ROUND(CHOOSE($C$10,IF(A310=$C$17,C310+D310,MIN($C$18,C310+D310)),IF(A310=$C$17,C310,MIN($C$19,C310))+D310,IF(A310=$C$17,C310,0)+D310),2))</f>
        <v>0</v>
      </c>
      <c r="F310" s="19" t="n">
        <f aca="false">IF(C310&lt;=0,0,MAX(0,ROUND(E310-D310,2)))</f>
        <v>0</v>
      </c>
      <c r="G310" s="19" t="n">
        <f aca="false">IF(C310&lt;=0,0,ROUND(MIN(MAX(0,C310-F310),MAX(0,IF(A310&gt;=$C$13,$C$12,0)+SUMIF($E$5:$E$14,A310,$F$5:$F$14))),2))</f>
        <v>0</v>
      </c>
      <c r="H310" s="19" t="n">
        <f aca="false">ROUND(E310+G310,2)</f>
        <v>0</v>
      </c>
      <c r="I310" s="19" t="n">
        <f aca="false">ROUND(C310-F310-G310,2)</f>
        <v>0</v>
      </c>
      <c r="J310" s="19" t="n">
        <f aca="false">ROUND(J309+D310,2)</f>
        <v>205217.43</v>
      </c>
      <c r="K310" s="19" t="n">
        <f aca="false">ROUND(K309+F310+G310,2)</f>
        <v>300000</v>
      </c>
      <c r="M310" s="19" t="n">
        <f aca="false">Q309</f>
        <v>40176.03</v>
      </c>
      <c r="N310" s="19" t="n">
        <f aca="false">ROUND(M310*$C$16,2)</f>
        <v>200.88</v>
      </c>
      <c r="O310" s="19" t="n">
        <f aca="false">IF(M310&lt;=0,0,ROUND(CHOOSE($C$10,IF(A310=$C$17,M310+N310,MIN($C$18,M310+N310)),IF(A310=$C$17,M310,MIN($C$19,M310))+N310,IF(A310=$C$17,M310,0)+N310),2))</f>
        <v>1932.9</v>
      </c>
      <c r="P310" s="19" t="n">
        <f aca="false">IF(M310&lt;=0,0,MAX(0,ROUND(O310-N310,2)))</f>
        <v>1732.02</v>
      </c>
      <c r="Q310" s="19" t="n">
        <f aca="false">ROUND(M310-P310,2)</f>
        <v>38444.01</v>
      </c>
    </row>
    <row r="311" customFormat="false" ht="15" hidden="false" customHeight="false" outlineLevel="0" collapsed="false">
      <c r="A311" s="24" t="n">
        <f aca="false">A310+1</f>
        <v>280</v>
      </c>
      <c r="B311" s="25" t="n">
        <f aca="false">IF(MOD(12,$C$7)=0,EDATE($C$9,(A311-1)*12/$C$7),$C$9+(A311-1)*ROUND(364/$C$7,0))</f>
        <v>54820</v>
      </c>
      <c r="C311" s="19" t="n">
        <f aca="false">I310</f>
        <v>0</v>
      </c>
      <c r="D311" s="19" t="n">
        <f aca="false">ROUND(C311*$C$16,2)</f>
        <v>0</v>
      </c>
      <c r="E311" s="19" t="n">
        <f aca="false">IF(C311&lt;=0,0,ROUND(CHOOSE($C$10,IF(A311=$C$17,C311+D311,MIN($C$18,C311+D311)),IF(A311=$C$17,C311,MIN($C$19,C311))+D311,IF(A311=$C$17,C311,0)+D311),2))</f>
        <v>0</v>
      </c>
      <c r="F311" s="19" t="n">
        <f aca="false">IF(C311&lt;=0,0,MAX(0,ROUND(E311-D311,2)))</f>
        <v>0</v>
      </c>
      <c r="G311" s="19" t="n">
        <f aca="false">IF(C311&lt;=0,0,ROUND(MIN(MAX(0,C311-F311),MAX(0,IF(A311&gt;=$C$13,$C$12,0)+SUMIF($E$5:$E$14,A311,$F$5:$F$14))),2))</f>
        <v>0</v>
      </c>
      <c r="H311" s="19" t="n">
        <f aca="false">ROUND(E311+G311,2)</f>
        <v>0</v>
      </c>
      <c r="I311" s="19" t="n">
        <f aca="false">ROUND(C311-F311-G311,2)</f>
        <v>0</v>
      </c>
      <c r="J311" s="19" t="n">
        <f aca="false">ROUND(J310+D311,2)</f>
        <v>205217.43</v>
      </c>
      <c r="K311" s="19" t="n">
        <f aca="false">ROUND(K310+F311+G311,2)</f>
        <v>300000</v>
      </c>
      <c r="M311" s="19" t="n">
        <f aca="false">Q310</f>
        <v>38444.01</v>
      </c>
      <c r="N311" s="19" t="n">
        <f aca="false">ROUND(M311*$C$16,2)</f>
        <v>192.22</v>
      </c>
      <c r="O311" s="19" t="n">
        <f aca="false">IF(M311&lt;=0,0,ROUND(CHOOSE($C$10,IF(A311=$C$17,M311+N311,MIN($C$18,M311+N311)),IF(A311=$C$17,M311,MIN($C$19,M311))+N311,IF(A311=$C$17,M311,0)+N311),2))</f>
        <v>1932.9</v>
      </c>
      <c r="P311" s="19" t="n">
        <f aca="false">IF(M311&lt;=0,0,MAX(0,ROUND(O311-N311,2)))</f>
        <v>1740.68</v>
      </c>
      <c r="Q311" s="19" t="n">
        <f aca="false">ROUND(M311-P311,2)</f>
        <v>36703.33</v>
      </c>
    </row>
    <row r="312" customFormat="false" ht="15" hidden="false" customHeight="false" outlineLevel="0" collapsed="false">
      <c r="A312" s="24" t="n">
        <f aca="false">A311+1</f>
        <v>281</v>
      </c>
      <c r="B312" s="25" t="n">
        <f aca="false">IF(MOD(12,$C$7)=0,EDATE($C$9,(A312-1)*12/$C$7),$C$9+(A312-1)*ROUND(364/$C$7,0))</f>
        <v>54848</v>
      </c>
      <c r="C312" s="19" t="n">
        <f aca="false">I311</f>
        <v>0</v>
      </c>
      <c r="D312" s="19" t="n">
        <f aca="false">ROUND(C312*$C$16,2)</f>
        <v>0</v>
      </c>
      <c r="E312" s="19" t="n">
        <f aca="false">IF(C312&lt;=0,0,ROUND(CHOOSE($C$10,IF(A312=$C$17,C312+D312,MIN($C$18,C312+D312)),IF(A312=$C$17,C312,MIN($C$19,C312))+D312,IF(A312=$C$17,C312,0)+D312),2))</f>
        <v>0</v>
      </c>
      <c r="F312" s="19" t="n">
        <f aca="false">IF(C312&lt;=0,0,MAX(0,ROUND(E312-D312,2)))</f>
        <v>0</v>
      </c>
      <c r="G312" s="19" t="n">
        <f aca="false">IF(C312&lt;=0,0,ROUND(MIN(MAX(0,C312-F312),MAX(0,IF(A312&gt;=$C$13,$C$12,0)+SUMIF($E$5:$E$14,A312,$F$5:$F$14))),2))</f>
        <v>0</v>
      </c>
      <c r="H312" s="19" t="n">
        <f aca="false">ROUND(E312+G312,2)</f>
        <v>0</v>
      </c>
      <c r="I312" s="19" t="n">
        <f aca="false">ROUND(C312-F312-G312,2)</f>
        <v>0</v>
      </c>
      <c r="J312" s="19" t="n">
        <f aca="false">ROUND(J311+D312,2)</f>
        <v>205217.43</v>
      </c>
      <c r="K312" s="19" t="n">
        <f aca="false">ROUND(K311+F312+G312,2)</f>
        <v>300000</v>
      </c>
      <c r="M312" s="19" t="n">
        <f aca="false">Q311</f>
        <v>36703.33</v>
      </c>
      <c r="N312" s="19" t="n">
        <f aca="false">ROUND(M312*$C$16,2)</f>
        <v>183.52</v>
      </c>
      <c r="O312" s="19" t="n">
        <f aca="false">IF(M312&lt;=0,0,ROUND(CHOOSE($C$10,IF(A312=$C$17,M312+N312,MIN($C$18,M312+N312)),IF(A312=$C$17,M312,MIN($C$19,M312))+N312,IF(A312=$C$17,M312,0)+N312),2))</f>
        <v>1932.9</v>
      </c>
      <c r="P312" s="19" t="n">
        <f aca="false">IF(M312&lt;=0,0,MAX(0,ROUND(O312-N312,2)))</f>
        <v>1749.38</v>
      </c>
      <c r="Q312" s="19" t="n">
        <f aca="false">ROUND(M312-P312,2)</f>
        <v>34953.95</v>
      </c>
    </row>
    <row r="313" customFormat="false" ht="15" hidden="false" customHeight="false" outlineLevel="0" collapsed="false">
      <c r="A313" s="24" t="n">
        <f aca="false">A312+1</f>
        <v>282</v>
      </c>
      <c r="B313" s="25" t="n">
        <f aca="false">IF(MOD(12,$C$7)=0,EDATE($C$9,(A313-1)*12/$C$7),$C$9+(A313-1)*ROUND(364/$C$7,0))</f>
        <v>54879</v>
      </c>
      <c r="C313" s="19" t="n">
        <f aca="false">I312</f>
        <v>0</v>
      </c>
      <c r="D313" s="19" t="n">
        <f aca="false">ROUND(C313*$C$16,2)</f>
        <v>0</v>
      </c>
      <c r="E313" s="19" t="n">
        <f aca="false">IF(C313&lt;=0,0,ROUND(CHOOSE($C$10,IF(A313=$C$17,C313+D313,MIN($C$18,C313+D313)),IF(A313=$C$17,C313,MIN($C$19,C313))+D313,IF(A313=$C$17,C313,0)+D313),2))</f>
        <v>0</v>
      </c>
      <c r="F313" s="19" t="n">
        <f aca="false">IF(C313&lt;=0,0,MAX(0,ROUND(E313-D313,2)))</f>
        <v>0</v>
      </c>
      <c r="G313" s="19" t="n">
        <f aca="false">IF(C313&lt;=0,0,ROUND(MIN(MAX(0,C313-F313),MAX(0,IF(A313&gt;=$C$13,$C$12,0)+SUMIF($E$5:$E$14,A313,$F$5:$F$14))),2))</f>
        <v>0</v>
      </c>
      <c r="H313" s="19" t="n">
        <f aca="false">ROUND(E313+G313,2)</f>
        <v>0</v>
      </c>
      <c r="I313" s="19" t="n">
        <f aca="false">ROUND(C313-F313-G313,2)</f>
        <v>0</v>
      </c>
      <c r="J313" s="19" t="n">
        <f aca="false">ROUND(J312+D313,2)</f>
        <v>205217.43</v>
      </c>
      <c r="K313" s="19" t="n">
        <f aca="false">ROUND(K312+F313+G313,2)</f>
        <v>300000</v>
      </c>
      <c r="M313" s="19" t="n">
        <f aca="false">Q312</f>
        <v>34953.95</v>
      </c>
      <c r="N313" s="19" t="n">
        <f aca="false">ROUND(M313*$C$16,2)</f>
        <v>174.77</v>
      </c>
      <c r="O313" s="19" t="n">
        <f aca="false">IF(M313&lt;=0,0,ROUND(CHOOSE($C$10,IF(A313=$C$17,M313+N313,MIN($C$18,M313+N313)),IF(A313=$C$17,M313,MIN($C$19,M313))+N313,IF(A313=$C$17,M313,0)+N313),2))</f>
        <v>1932.9</v>
      </c>
      <c r="P313" s="19" t="n">
        <f aca="false">IF(M313&lt;=0,0,MAX(0,ROUND(O313-N313,2)))</f>
        <v>1758.13</v>
      </c>
      <c r="Q313" s="19" t="n">
        <f aca="false">ROUND(M313-P313,2)</f>
        <v>33195.82</v>
      </c>
    </row>
    <row r="314" customFormat="false" ht="15" hidden="false" customHeight="false" outlineLevel="0" collapsed="false">
      <c r="A314" s="24" t="n">
        <f aca="false">A313+1</f>
        <v>283</v>
      </c>
      <c r="B314" s="25" t="n">
        <f aca="false">IF(MOD(12,$C$7)=0,EDATE($C$9,(A314-1)*12/$C$7),$C$9+(A314-1)*ROUND(364/$C$7,0))</f>
        <v>54909</v>
      </c>
      <c r="C314" s="19" t="n">
        <f aca="false">I313</f>
        <v>0</v>
      </c>
      <c r="D314" s="19" t="n">
        <f aca="false">ROUND(C314*$C$16,2)</f>
        <v>0</v>
      </c>
      <c r="E314" s="19" t="n">
        <f aca="false">IF(C314&lt;=0,0,ROUND(CHOOSE($C$10,IF(A314=$C$17,C314+D314,MIN($C$18,C314+D314)),IF(A314=$C$17,C314,MIN($C$19,C314))+D314,IF(A314=$C$17,C314,0)+D314),2))</f>
        <v>0</v>
      </c>
      <c r="F314" s="19" t="n">
        <f aca="false">IF(C314&lt;=0,0,MAX(0,ROUND(E314-D314,2)))</f>
        <v>0</v>
      </c>
      <c r="G314" s="19" t="n">
        <f aca="false">IF(C314&lt;=0,0,ROUND(MIN(MAX(0,C314-F314),MAX(0,IF(A314&gt;=$C$13,$C$12,0)+SUMIF($E$5:$E$14,A314,$F$5:$F$14))),2))</f>
        <v>0</v>
      </c>
      <c r="H314" s="19" t="n">
        <f aca="false">ROUND(E314+G314,2)</f>
        <v>0</v>
      </c>
      <c r="I314" s="19" t="n">
        <f aca="false">ROUND(C314-F314-G314,2)</f>
        <v>0</v>
      </c>
      <c r="J314" s="19" t="n">
        <f aca="false">ROUND(J313+D314,2)</f>
        <v>205217.43</v>
      </c>
      <c r="K314" s="19" t="n">
        <f aca="false">ROUND(K313+F314+G314,2)</f>
        <v>300000</v>
      </c>
      <c r="M314" s="19" t="n">
        <f aca="false">Q313</f>
        <v>33195.82</v>
      </c>
      <c r="N314" s="19" t="n">
        <f aca="false">ROUND(M314*$C$16,2)</f>
        <v>165.98</v>
      </c>
      <c r="O314" s="19" t="n">
        <f aca="false">IF(M314&lt;=0,0,ROUND(CHOOSE($C$10,IF(A314=$C$17,M314+N314,MIN($C$18,M314+N314)),IF(A314=$C$17,M314,MIN($C$19,M314))+N314,IF(A314=$C$17,M314,0)+N314),2))</f>
        <v>1932.9</v>
      </c>
      <c r="P314" s="19" t="n">
        <f aca="false">IF(M314&lt;=0,0,MAX(0,ROUND(O314-N314,2)))</f>
        <v>1766.92</v>
      </c>
      <c r="Q314" s="19" t="n">
        <f aca="false">ROUND(M314-P314,2)</f>
        <v>31428.9</v>
      </c>
    </row>
    <row r="315" customFormat="false" ht="15" hidden="false" customHeight="false" outlineLevel="0" collapsed="false">
      <c r="A315" s="24" t="n">
        <f aca="false">A314+1</f>
        <v>284</v>
      </c>
      <c r="B315" s="25" t="n">
        <f aca="false">IF(MOD(12,$C$7)=0,EDATE($C$9,(A315-1)*12/$C$7),$C$9+(A315-1)*ROUND(364/$C$7,0))</f>
        <v>54940</v>
      </c>
      <c r="C315" s="19" t="n">
        <f aca="false">I314</f>
        <v>0</v>
      </c>
      <c r="D315" s="19" t="n">
        <f aca="false">ROUND(C315*$C$16,2)</f>
        <v>0</v>
      </c>
      <c r="E315" s="19" t="n">
        <f aca="false">IF(C315&lt;=0,0,ROUND(CHOOSE($C$10,IF(A315=$C$17,C315+D315,MIN($C$18,C315+D315)),IF(A315=$C$17,C315,MIN($C$19,C315))+D315,IF(A315=$C$17,C315,0)+D315),2))</f>
        <v>0</v>
      </c>
      <c r="F315" s="19" t="n">
        <f aca="false">IF(C315&lt;=0,0,MAX(0,ROUND(E315-D315,2)))</f>
        <v>0</v>
      </c>
      <c r="G315" s="19" t="n">
        <f aca="false">IF(C315&lt;=0,0,ROUND(MIN(MAX(0,C315-F315),MAX(0,IF(A315&gt;=$C$13,$C$12,0)+SUMIF($E$5:$E$14,A315,$F$5:$F$14))),2))</f>
        <v>0</v>
      </c>
      <c r="H315" s="19" t="n">
        <f aca="false">ROUND(E315+G315,2)</f>
        <v>0</v>
      </c>
      <c r="I315" s="19" t="n">
        <f aca="false">ROUND(C315-F315-G315,2)</f>
        <v>0</v>
      </c>
      <c r="J315" s="19" t="n">
        <f aca="false">ROUND(J314+D315,2)</f>
        <v>205217.43</v>
      </c>
      <c r="K315" s="19" t="n">
        <f aca="false">ROUND(K314+F315+G315,2)</f>
        <v>300000</v>
      </c>
      <c r="M315" s="19" t="n">
        <f aca="false">Q314</f>
        <v>31428.9</v>
      </c>
      <c r="N315" s="19" t="n">
        <f aca="false">ROUND(M315*$C$16,2)</f>
        <v>157.14</v>
      </c>
      <c r="O315" s="19" t="n">
        <f aca="false">IF(M315&lt;=0,0,ROUND(CHOOSE($C$10,IF(A315=$C$17,M315+N315,MIN($C$18,M315+N315)),IF(A315=$C$17,M315,MIN($C$19,M315))+N315,IF(A315=$C$17,M315,0)+N315),2))</f>
        <v>1932.9</v>
      </c>
      <c r="P315" s="19" t="n">
        <f aca="false">IF(M315&lt;=0,0,MAX(0,ROUND(O315-N315,2)))</f>
        <v>1775.76</v>
      </c>
      <c r="Q315" s="19" t="n">
        <f aca="false">ROUND(M315-P315,2)</f>
        <v>29653.14</v>
      </c>
    </row>
    <row r="316" customFormat="false" ht="15" hidden="false" customHeight="false" outlineLevel="0" collapsed="false">
      <c r="A316" s="24" t="n">
        <f aca="false">A315+1</f>
        <v>285</v>
      </c>
      <c r="B316" s="25" t="n">
        <f aca="false">IF(MOD(12,$C$7)=0,EDATE($C$9,(A316-1)*12/$C$7),$C$9+(A316-1)*ROUND(364/$C$7,0))</f>
        <v>54970</v>
      </c>
      <c r="C316" s="19" t="n">
        <f aca="false">I315</f>
        <v>0</v>
      </c>
      <c r="D316" s="19" t="n">
        <f aca="false">ROUND(C316*$C$16,2)</f>
        <v>0</v>
      </c>
      <c r="E316" s="19" t="n">
        <f aca="false">IF(C316&lt;=0,0,ROUND(CHOOSE($C$10,IF(A316=$C$17,C316+D316,MIN($C$18,C316+D316)),IF(A316=$C$17,C316,MIN($C$19,C316))+D316,IF(A316=$C$17,C316,0)+D316),2))</f>
        <v>0</v>
      </c>
      <c r="F316" s="19" t="n">
        <f aca="false">IF(C316&lt;=0,0,MAX(0,ROUND(E316-D316,2)))</f>
        <v>0</v>
      </c>
      <c r="G316" s="19" t="n">
        <f aca="false">IF(C316&lt;=0,0,ROUND(MIN(MAX(0,C316-F316),MAX(0,IF(A316&gt;=$C$13,$C$12,0)+SUMIF($E$5:$E$14,A316,$F$5:$F$14))),2))</f>
        <v>0</v>
      </c>
      <c r="H316" s="19" t="n">
        <f aca="false">ROUND(E316+G316,2)</f>
        <v>0</v>
      </c>
      <c r="I316" s="19" t="n">
        <f aca="false">ROUND(C316-F316-G316,2)</f>
        <v>0</v>
      </c>
      <c r="J316" s="19" t="n">
        <f aca="false">ROUND(J315+D316,2)</f>
        <v>205217.43</v>
      </c>
      <c r="K316" s="19" t="n">
        <f aca="false">ROUND(K315+F316+G316,2)</f>
        <v>300000</v>
      </c>
      <c r="M316" s="19" t="n">
        <f aca="false">Q315</f>
        <v>29653.14</v>
      </c>
      <c r="N316" s="19" t="n">
        <f aca="false">ROUND(M316*$C$16,2)</f>
        <v>148.27</v>
      </c>
      <c r="O316" s="19" t="n">
        <f aca="false">IF(M316&lt;=0,0,ROUND(CHOOSE($C$10,IF(A316=$C$17,M316+N316,MIN($C$18,M316+N316)),IF(A316=$C$17,M316,MIN($C$19,M316))+N316,IF(A316=$C$17,M316,0)+N316),2))</f>
        <v>1932.9</v>
      </c>
      <c r="P316" s="19" t="n">
        <f aca="false">IF(M316&lt;=0,0,MAX(0,ROUND(O316-N316,2)))</f>
        <v>1784.63</v>
      </c>
      <c r="Q316" s="19" t="n">
        <f aca="false">ROUND(M316-P316,2)</f>
        <v>27868.51</v>
      </c>
    </row>
    <row r="317" customFormat="false" ht="15" hidden="false" customHeight="false" outlineLevel="0" collapsed="false">
      <c r="A317" s="24" t="n">
        <f aca="false">A316+1</f>
        <v>286</v>
      </c>
      <c r="B317" s="25" t="n">
        <f aca="false">IF(MOD(12,$C$7)=0,EDATE($C$9,(A317-1)*12/$C$7),$C$9+(A317-1)*ROUND(364/$C$7,0))</f>
        <v>55001</v>
      </c>
      <c r="C317" s="19" t="n">
        <f aca="false">I316</f>
        <v>0</v>
      </c>
      <c r="D317" s="19" t="n">
        <f aca="false">ROUND(C317*$C$16,2)</f>
        <v>0</v>
      </c>
      <c r="E317" s="19" t="n">
        <f aca="false">IF(C317&lt;=0,0,ROUND(CHOOSE($C$10,IF(A317=$C$17,C317+D317,MIN($C$18,C317+D317)),IF(A317=$C$17,C317,MIN($C$19,C317))+D317,IF(A317=$C$17,C317,0)+D317),2))</f>
        <v>0</v>
      </c>
      <c r="F317" s="19" t="n">
        <f aca="false">IF(C317&lt;=0,0,MAX(0,ROUND(E317-D317,2)))</f>
        <v>0</v>
      </c>
      <c r="G317" s="19" t="n">
        <f aca="false">IF(C317&lt;=0,0,ROUND(MIN(MAX(0,C317-F317),MAX(0,IF(A317&gt;=$C$13,$C$12,0)+SUMIF($E$5:$E$14,A317,$F$5:$F$14))),2))</f>
        <v>0</v>
      </c>
      <c r="H317" s="19" t="n">
        <f aca="false">ROUND(E317+G317,2)</f>
        <v>0</v>
      </c>
      <c r="I317" s="19" t="n">
        <f aca="false">ROUND(C317-F317-G317,2)</f>
        <v>0</v>
      </c>
      <c r="J317" s="19" t="n">
        <f aca="false">ROUND(J316+D317,2)</f>
        <v>205217.43</v>
      </c>
      <c r="K317" s="19" t="n">
        <f aca="false">ROUND(K316+F317+G317,2)</f>
        <v>300000</v>
      </c>
      <c r="M317" s="19" t="n">
        <f aca="false">Q316</f>
        <v>27868.51</v>
      </c>
      <c r="N317" s="19" t="n">
        <f aca="false">ROUND(M317*$C$16,2)</f>
        <v>139.34</v>
      </c>
      <c r="O317" s="19" t="n">
        <f aca="false">IF(M317&lt;=0,0,ROUND(CHOOSE($C$10,IF(A317=$C$17,M317+N317,MIN($C$18,M317+N317)),IF(A317=$C$17,M317,MIN($C$19,M317))+N317,IF(A317=$C$17,M317,0)+N317),2))</f>
        <v>1932.9</v>
      </c>
      <c r="P317" s="19" t="n">
        <f aca="false">IF(M317&lt;=0,0,MAX(0,ROUND(O317-N317,2)))</f>
        <v>1793.56</v>
      </c>
      <c r="Q317" s="19" t="n">
        <f aca="false">ROUND(M317-P317,2)</f>
        <v>26074.95</v>
      </c>
    </row>
    <row r="318" customFormat="false" ht="15" hidden="false" customHeight="false" outlineLevel="0" collapsed="false">
      <c r="A318" s="24" t="n">
        <f aca="false">A317+1</f>
        <v>287</v>
      </c>
      <c r="B318" s="25" t="n">
        <f aca="false">IF(MOD(12,$C$7)=0,EDATE($C$9,(A318-1)*12/$C$7),$C$9+(A318-1)*ROUND(364/$C$7,0))</f>
        <v>55032</v>
      </c>
      <c r="C318" s="19" t="n">
        <f aca="false">I317</f>
        <v>0</v>
      </c>
      <c r="D318" s="19" t="n">
        <f aca="false">ROUND(C318*$C$16,2)</f>
        <v>0</v>
      </c>
      <c r="E318" s="19" t="n">
        <f aca="false">IF(C318&lt;=0,0,ROUND(CHOOSE($C$10,IF(A318=$C$17,C318+D318,MIN($C$18,C318+D318)),IF(A318=$C$17,C318,MIN($C$19,C318))+D318,IF(A318=$C$17,C318,0)+D318),2))</f>
        <v>0</v>
      </c>
      <c r="F318" s="19" t="n">
        <f aca="false">IF(C318&lt;=0,0,MAX(0,ROUND(E318-D318,2)))</f>
        <v>0</v>
      </c>
      <c r="G318" s="19" t="n">
        <f aca="false">IF(C318&lt;=0,0,ROUND(MIN(MAX(0,C318-F318),MAX(0,IF(A318&gt;=$C$13,$C$12,0)+SUMIF($E$5:$E$14,A318,$F$5:$F$14))),2))</f>
        <v>0</v>
      </c>
      <c r="H318" s="19" t="n">
        <f aca="false">ROUND(E318+G318,2)</f>
        <v>0</v>
      </c>
      <c r="I318" s="19" t="n">
        <f aca="false">ROUND(C318-F318-G318,2)</f>
        <v>0</v>
      </c>
      <c r="J318" s="19" t="n">
        <f aca="false">ROUND(J317+D318,2)</f>
        <v>205217.43</v>
      </c>
      <c r="K318" s="19" t="n">
        <f aca="false">ROUND(K317+F318+G318,2)</f>
        <v>300000</v>
      </c>
      <c r="M318" s="19" t="n">
        <f aca="false">Q317</f>
        <v>26074.95</v>
      </c>
      <c r="N318" s="19" t="n">
        <f aca="false">ROUND(M318*$C$16,2)</f>
        <v>130.37</v>
      </c>
      <c r="O318" s="19" t="n">
        <f aca="false">IF(M318&lt;=0,0,ROUND(CHOOSE($C$10,IF(A318=$C$17,M318+N318,MIN($C$18,M318+N318)),IF(A318=$C$17,M318,MIN($C$19,M318))+N318,IF(A318=$C$17,M318,0)+N318),2))</f>
        <v>1932.9</v>
      </c>
      <c r="P318" s="19" t="n">
        <f aca="false">IF(M318&lt;=0,0,MAX(0,ROUND(O318-N318,2)))</f>
        <v>1802.53</v>
      </c>
      <c r="Q318" s="19" t="n">
        <f aca="false">ROUND(M318-P318,2)</f>
        <v>24272.42</v>
      </c>
    </row>
    <row r="319" customFormat="false" ht="15" hidden="false" customHeight="false" outlineLevel="0" collapsed="false">
      <c r="A319" s="24" t="n">
        <f aca="false">A318+1</f>
        <v>288</v>
      </c>
      <c r="B319" s="25" t="n">
        <f aca="false">IF(MOD(12,$C$7)=0,EDATE($C$9,(A319-1)*12/$C$7),$C$9+(A319-1)*ROUND(364/$C$7,0))</f>
        <v>55062</v>
      </c>
      <c r="C319" s="19" t="n">
        <f aca="false">I318</f>
        <v>0</v>
      </c>
      <c r="D319" s="19" t="n">
        <f aca="false">ROUND(C319*$C$16,2)</f>
        <v>0</v>
      </c>
      <c r="E319" s="19" t="n">
        <f aca="false">IF(C319&lt;=0,0,ROUND(CHOOSE($C$10,IF(A319=$C$17,C319+D319,MIN($C$18,C319+D319)),IF(A319=$C$17,C319,MIN($C$19,C319))+D319,IF(A319=$C$17,C319,0)+D319),2))</f>
        <v>0</v>
      </c>
      <c r="F319" s="19" t="n">
        <f aca="false">IF(C319&lt;=0,0,MAX(0,ROUND(E319-D319,2)))</f>
        <v>0</v>
      </c>
      <c r="G319" s="19" t="n">
        <f aca="false">IF(C319&lt;=0,0,ROUND(MIN(MAX(0,C319-F319),MAX(0,IF(A319&gt;=$C$13,$C$12,0)+SUMIF($E$5:$E$14,A319,$F$5:$F$14))),2))</f>
        <v>0</v>
      </c>
      <c r="H319" s="19" t="n">
        <f aca="false">ROUND(E319+G319,2)</f>
        <v>0</v>
      </c>
      <c r="I319" s="19" t="n">
        <f aca="false">ROUND(C319-F319-G319,2)</f>
        <v>0</v>
      </c>
      <c r="J319" s="19" t="n">
        <f aca="false">ROUND(J318+D319,2)</f>
        <v>205217.43</v>
      </c>
      <c r="K319" s="19" t="n">
        <f aca="false">ROUND(K318+F319+G319,2)</f>
        <v>300000</v>
      </c>
      <c r="M319" s="19" t="n">
        <f aca="false">Q318</f>
        <v>24272.42</v>
      </c>
      <c r="N319" s="19" t="n">
        <f aca="false">ROUND(M319*$C$16,2)</f>
        <v>121.36</v>
      </c>
      <c r="O319" s="19" t="n">
        <f aca="false">IF(M319&lt;=0,0,ROUND(CHOOSE($C$10,IF(A319=$C$17,M319+N319,MIN($C$18,M319+N319)),IF(A319=$C$17,M319,MIN($C$19,M319))+N319,IF(A319=$C$17,M319,0)+N319),2))</f>
        <v>1932.9</v>
      </c>
      <c r="P319" s="19" t="n">
        <f aca="false">IF(M319&lt;=0,0,MAX(0,ROUND(O319-N319,2)))</f>
        <v>1811.54</v>
      </c>
      <c r="Q319" s="19" t="n">
        <f aca="false">ROUND(M319-P319,2)</f>
        <v>22460.88</v>
      </c>
    </row>
    <row r="320" customFormat="false" ht="15" hidden="false" customHeight="false" outlineLevel="0" collapsed="false">
      <c r="A320" s="24" t="n">
        <f aca="false">A319+1</f>
        <v>289</v>
      </c>
      <c r="B320" s="25" t="n">
        <f aca="false">IF(MOD(12,$C$7)=0,EDATE($C$9,(A320-1)*12/$C$7),$C$9+(A320-1)*ROUND(364/$C$7,0))</f>
        <v>55093</v>
      </c>
      <c r="C320" s="19" t="n">
        <f aca="false">I319</f>
        <v>0</v>
      </c>
      <c r="D320" s="19" t="n">
        <f aca="false">ROUND(C320*$C$16,2)</f>
        <v>0</v>
      </c>
      <c r="E320" s="19" t="n">
        <f aca="false">IF(C320&lt;=0,0,ROUND(CHOOSE($C$10,IF(A320=$C$17,C320+D320,MIN($C$18,C320+D320)),IF(A320=$C$17,C320,MIN($C$19,C320))+D320,IF(A320=$C$17,C320,0)+D320),2))</f>
        <v>0</v>
      </c>
      <c r="F320" s="19" t="n">
        <f aca="false">IF(C320&lt;=0,0,MAX(0,ROUND(E320-D320,2)))</f>
        <v>0</v>
      </c>
      <c r="G320" s="19" t="n">
        <f aca="false">IF(C320&lt;=0,0,ROUND(MIN(MAX(0,C320-F320),MAX(0,IF(A320&gt;=$C$13,$C$12,0)+SUMIF($E$5:$E$14,A320,$F$5:$F$14))),2))</f>
        <v>0</v>
      </c>
      <c r="H320" s="19" t="n">
        <f aca="false">ROUND(E320+G320,2)</f>
        <v>0</v>
      </c>
      <c r="I320" s="19" t="n">
        <f aca="false">ROUND(C320-F320-G320,2)</f>
        <v>0</v>
      </c>
      <c r="J320" s="19" t="n">
        <f aca="false">ROUND(J319+D320,2)</f>
        <v>205217.43</v>
      </c>
      <c r="K320" s="19" t="n">
        <f aca="false">ROUND(K319+F320+G320,2)</f>
        <v>300000</v>
      </c>
      <c r="M320" s="19" t="n">
        <f aca="false">Q319</f>
        <v>22460.88</v>
      </c>
      <c r="N320" s="19" t="n">
        <f aca="false">ROUND(M320*$C$16,2)</f>
        <v>112.3</v>
      </c>
      <c r="O320" s="19" t="n">
        <f aca="false">IF(M320&lt;=0,0,ROUND(CHOOSE($C$10,IF(A320=$C$17,M320+N320,MIN($C$18,M320+N320)),IF(A320=$C$17,M320,MIN($C$19,M320))+N320,IF(A320=$C$17,M320,0)+N320),2))</f>
        <v>1932.9</v>
      </c>
      <c r="P320" s="19" t="n">
        <f aca="false">IF(M320&lt;=0,0,MAX(0,ROUND(O320-N320,2)))</f>
        <v>1820.6</v>
      </c>
      <c r="Q320" s="19" t="n">
        <f aca="false">ROUND(M320-P320,2)</f>
        <v>20640.28</v>
      </c>
    </row>
    <row r="321" customFormat="false" ht="15" hidden="false" customHeight="false" outlineLevel="0" collapsed="false">
      <c r="A321" s="24" t="n">
        <f aca="false">A320+1</f>
        <v>290</v>
      </c>
      <c r="B321" s="25" t="n">
        <f aca="false">IF(MOD(12,$C$7)=0,EDATE($C$9,(A321-1)*12/$C$7),$C$9+(A321-1)*ROUND(364/$C$7,0))</f>
        <v>55123</v>
      </c>
      <c r="C321" s="19" t="n">
        <f aca="false">I320</f>
        <v>0</v>
      </c>
      <c r="D321" s="19" t="n">
        <f aca="false">ROUND(C321*$C$16,2)</f>
        <v>0</v>
      </c>
      <c r="E321" s="19" t="n">
        <f aca="false">IF(C321&lt;=0,0,ROUND(CHOOSE($C$10,IF(A321=$C$17,C321+D321,MIN($C$18,C321+D321)),IF(A321=$C$17,C321,MIN($C$19,C321))+D321,IF(A321=$C$17,C321,0)+D321),2))</f>
        <v>0</v>
      </c>
      <c r="F321" s="19" t="n">
        <f aca="false">IF(C321&lt;=0,0,MAX(0,ROUND(E321-D321,2)))</f>
        <v>0</v>
      </c>
      <c r="G321" s="19" t="n">
        <f aca="false">IF(C321&lt;=0,0,ROUND(MIN(MAX(0,C321-F321),MAX(0,IF(A321&gt;=$C$13,$C$12,0)+SUMIF($E$5:$E$14,A321,$F$5:$F$14))),2))</f>
        <v>0</v>
      </c>
      <c r="H321" s="19" t="n">
        <f aca="false">ROUND(E321+G321,2)</f>
        <v>0</v>
      </c>
      <c r="I321" s="19" t="n">
        <f aca="false">ROUND(C321-F321-G321,2)</f>
        <v>0</v>
      </c>
      <c r="J321" s="19" t="n">
        <f aca="false">ROUND(J320+D321,2)</f>
        <v>205217.43</v>
      </c>
      <c r="K321" s="19" t="n">
        <f aca="false">ROUND(K320+F321+G321,2)</f>
        <v>300000</v>
      </c>
      <c r="M321" s="19" t="n">
        <f aca="false">Q320</f>
        <v>20640.28</v>
      </c>
      <c r="N321" s="19" t="n">
        <f aca="false">ROUND(M321*$C$16,2)</f>
        <v>103.2</v>
      </c>
      <c r="O321" s="19" t="n">
        <f aca="false">IF(M321&lt;=0,0,ROUND(CHOOSE($C$10,IF(A321=$C$17,M321+N321,MIN($C$18,M321+N321)),IF(A321=$C$17,M321,MIN($C$19,M321))+N321,IF(A321=$C$17,M321,0)+N321),2))</f>
        <v>1932.9</v>
      </c>
      <c r="P321" s="19" t="n">
        <f aca="false">IF(M321&lt;=0,0,MAX(0,ROUND(O321-N321,2)))</f>
        <v>1829.7</v>
      </c>
      <c r="Q321" s="19" t="n">
        <f aca="false">ROUND(M321-P321,2)</f>
        <v>18810.58</v>
      </c>
    </row>
    <row r="322" customFormat="false" ht="15" hidden="false" customHeight="false" outlineLevel="0" collapsed="false">
      <c r="A322" s="24" t="n">
        <f aca="false">A321+1</f>
        <v>291</v>
      </c>
      <c r="B322" s="25" t="n">
        <f aca="false">IF(MOD(12,$C$7)=0,EDATE($C$9,(A322-1)*12/$C$7),$C$9+(A322-1)*ROUND(364/$C$7,0))</f>
        <v>55154</v>
      </c>
      <c r="C322" s="19" t="n">
        <f aca="false">I321</f>
        <v>0</v>
      </c>
      <c r="D322" s="19" t="n">
        <f aca="false">ROUND(C322*$C$16,2)</f>
        <v>0</v>
      </c>
      <c r="E322" s="19" t="n">
        <f aca="false">IF(C322&lt;=0,0,ROUND(CHOOSE($C$10,IF(A322=$C$17,C322+D322,MIN($C$18,C322+D322)),IF(A322=$C$17,C322,MIN($C$19,C322))+D322,IF(A322=$C$17,C322,0)+D322),2))</f>
        <v>0</v>
      </c>
      <c r="F322" s="19" t="n">
        <f aca="false">IF(C322&lt;=0,0,MAX(0,ROUND(E322-D322,2)))</f>
        <v>0</v>
      </c>
      <c r="G322" s="19" t="n">
        <f aca="false">IF(C322&lt;=0,0,ROUND(MIN(MAX(0,C322-F322),MAX(0,IF(A322&gt;=$C$13,$C$12,0)+SUMIF($E$5:$E$14,A322,$F$5:$F$14))),2))</f>
        <v>0</v>
      </c>
      <c r="H322" s="19" t="n">
        <f aca="false">ROUND(E322+G322,2)</f>
        <v>0</v>
      </c>
      <c r="I322" s="19" t="n">
        <f aca="false">ROUND(C322-F322-G322,2)</f>
        <v>0</v>
      </c>
      <c r="J322" s="19" t="n">
        <f aca="false">ROUND(J321+D322,2)</f>
        <v>205217.43</v>
      </c>
      <c r="K322" s="19" t="n">
        <f aca="false">ROUND(K321+F322+G322,2)</f>
        <v>300000</v>
      </c>
      <c r="M322" s="19" t="n">
        <f aca="false">Q321</f>
        <v>18810.58</v>
      </c>
      <c r="N322" s="19" t="n">
        <f aca="false">ROUND(M322*$C$16,2)</f>
        <v>94.05</v>
      </c>
      <c r="O322" s="19" t="n">
        <f aca="false">IF(M322&lt;=0,0,ROUND(CHOOSE($C$10,IF(A322=$C$17,M322+N322,MIN($C$18,M322+N322)),IF(A322=$C$17,M322,MIN($C$19,M322))+N322,IF(A322=$C$17,M322,0)+N322),2))</f>
        <v>1932.9</v>
      </c>
      <c r="P322" s="19" t="n">
        <f aca="false">IF(M322&lt;=0,0,MAX(0,ROUND(O322-N322,2)))</f>
        <v>1838.85</v>
      </c>
      <c r="Q322" s="19" t="n">
        <f aca="false">ROUND(M322-P322,2)</f>
        <v>16971.73</v>
      </c>
    </row>
    <row r="323" customFormat="false" ht="15" hidden="false" customHeight="false" outlineLevel="0" collapsed="false">
      <c r="A323" s="24" t="n">
        <f aca="false">A322+1</f>
        <v>292</v>
      </c>
      <c r="B323" s="25" t="n">
        <f aca="false">IF(MOD(12,$C$7)=0,EDATE($C$9,(A323-1)*12/$C$7),$C$9+(A323-1)*ROUND(364/$C$7,0))</f>
        <v>55185</v>
      </c>
      <c r="C323" s="19" t="n">
        <f aca="false">I322</f>
        <v>0</v>
      </c>
      <c r="D323" s="19" t="n">
        <f aca="false">ROUND(C323*$C$16,2)</f>
        <v>0</v>
      </c>
      <c r="E323" s="19" t="n">
        <f aca="false">IF(C323&lt;=0,0,ROUND(CHOOSE($C$10,IF(A323=$C$17,C323+D323,MIN($C$18,C323+D323)),IF(A323=$C$17,C323,MIN($C$19,C323))+D323,IF(A323=$C$17,C323,0)+D323),2))</f>
        <v>0</v>
      </c>
      <c r="F323" s="19" t="n">
        <f aca="false">IF(C323&lt;=0,0,MAX(0,ROUND(E323-D323,2)))</f>
        <v>0</v>
      </c>
      <c r="G323" s="19" t="n">
        <f aca="false">IF(C323&lt;=0,0,ROUND(MIN(MAX(0,C323-F323),MAX(0,IF(A323&gt;=$C$13,$C$12,0)+SUMIF($E$5:$E$14,A323,$F$5:$F$14))),2))</f>
        <v>0</v>
      </c>
      <c r="H323" s="19" t="n">
        <f aca="false">ROUND(E323+G323,2)</f>
        <v>0</v>
      </c>
      <c r="I323" s="19" t="n">
        <f aca="false">ROUND(C323-F323-G323,2)</f>
        <v>0</v>
      </c>
      <c r="J323" s="19" t="n">
        <f aca="false">ROUND(J322+D323,2)</f>
        <v>205217.43</v>
      </c>
      <c r="K323" s="19" t="n">
        <f aca="false">ROUND(K322+F323+G323,2)</f>
        <v>300000</v>
      </c>
      <c r="M323" s="19" t="n">
        <f aca="false">Q322</f>
        <v>16971.73</v>
      </c>
      <c r="N323" s="19" t="n">
        <f aca="false">ROUND(M323*$C$16,2)</f>
        <v>84.86</v>
      </c>
      <c r="O323" s="19" t="n">
        <f aca="false">IF(M323&lt;=0,0,ROUND(CHOOSE($C$10,IF(A323=$C$17,M323+N323,MIN($C$18,M323+N323)),IF(A323=$C$17,M323,MIN($C$19,M323))+N323,IF(A323=$C$17,M323,0)+N323),2))</f>
        <v>1932.9</v>
      </c>
      <c r="P323" s="19" t="n">
        <f aca="false">IF(M323&lt;=0,0,MAX(0,ROUND(O323-N323,2)))</f>
        <v>1848.04</v>
      </c>
      <c r="Q323" s="19" t="n">
        <f aca="false">ROUND(M323-P323,2)</f>
        <v>15123.69</v>
      </c>
    </row>
    <row r="324" customFormat="false" ht="15" hidden="false" customHeight="false" outlineLevel="0" collapsed="false">
      <c r="A324" s="24" t="n">
        <f aca="false">A323+1</f>
        <v>293</v>
      </c>
      <c r="B324" s="25" t="n">
        <f aca="false">IF(MOD(12,$C$7)=0,EDATE($C$9,(A324-1)*12/$C$7),$C$9+(A324-1)*ROUND(364/$C$7,0))</f>
        <v>55213</v>
      </c>
      <c r="C324" s="19" t="n">
        <f aca="false">I323</f>
        <v>0</v>
      </c>
      <c r="D324" s="19" t="n">
        <f aca="false">ROUND(C324*$C$16,2)</f>
        <v>0</v>
      </c>
      <c r="E324" s="19" t="n">
        <f aca="false">IF(C324&lt;=0,0,ROUND(CHOOSE($C$10,IF(A324=$C$17,C324+D324,MIN($C$18,C324+D324)),IF(A324=$C$17,C324,MIN($C$19,C324))+D324,IF(A324=$C$17,C324,0)+D324),2))</f>
        <v>0</v>
      </c>
      <c r="F324" s="19" t="n">
        <f aca="false">IF(C324&lt;=0,0,MAX(0,ROUND(E324-D324,2)))</f>
        <v>0</v>
      </c>
      <c r="G324" s="19" t="n">
        <f aca="false">IF(C324&lt;=0,0,ROUND(MIN(MAX(0,C324-F324),MAX(0,IF(A324&gt;=$C$13,$C$12,0)+SUMIF($E$5:$E$14,A324,$F$5:$F$14))),2))</f>
        <v>0</v>
      </c>
      <c r="H324" s="19" t="n">
        <f aca="false">ROUND(E324+G324,2)</f>
        <v>0</v>
      </c>
      <c r="I324" s="19" t="n">
        <f aca="false">ROUND(C324-F324-G324,2)</f>
        <v>0</v>
      </c>
      <c r="J324" s="19" t="n">
        <f aca="false">ROUND(J323+D324,2)</f>
        <v>205217.43</v>
      </c>
      <c r="K324" s="19" t="n">
        <f aca="false">ROUND(K323+F324+G324,2)</f>
        <v>300000</v>
      </c>
      <c r="M324" s="19" t="n">
        <f aca="false">Q323</f>
        <v>15123.69</v>
      </c>
      <c r="N324" s="19" t="n">
        <f aca="false">ROUND(M324*$C$16,2)</f>
        <v>75.62</v>
      </c>
      <c r="O324" s="19" t="n">
        <f aca="false">IF(M324&lt;=0,0,ROUND(CHOOSE($C$10,IF(A324=$C$17,M324+N324,MIN($C$18,M324+N324)),IF(A324=$C$17,M324,MIN($C$19,M324))+N324,IF(A324=$C$17,M324,0)+N324),2))</f>
        <v>1932.9</v>
      </c>
      <c r="P324" s="19" t="n">
        <f aca="false">IF(M324&lt;=0,0,MAX(0,ROUND(O324-N324,2)))</f>
        <v>1857.28</v>
      </c>
      <c r="Q324" s="19" t="n">
        <f aca="false">ROUND(M324-P324,2)</f>
        <v>13266.41</v>
      </c>
    </row>
    <row r="325" customFormat="false" ht="15" hidden="false" customHeight="false" outlineLevel="0" collapsed="false">
      <c r="A325" s="24" t="n">
        <f aca="false">A324+1</f>
        <v>294</v>
      </c>
      <c r="B325" s="25" t="n">
        <f aca="false">IF(MOD(12,$C$7)=0,EDATE($C$9,(A325-1)*12/$C$7),$C$9+(A325-1)*ROUND(364/$C$7,0))</f>
        <v>55244</v>
      </c>
      <c r="C325" s="19" t="n">
        <f aca="false">I324</f>
        <v>0</v>
      </c>
      <c r="D325" s="19" t="n">
        <f aca="false">ROUND(C325*$C$16,2)</f>
        <v>0</v>
      </c>
      <c r="E325" s="19" t="n">
        <f aca="false">IF(C325&lt;=0,0,ROUND(CHOOSE($C$10,IF(A325=$C$17,C325+D325,MIN($C$18,C325+D325)),IF(A325=$C$17,C325,MIN($C$19,C325))+D325,IF(A325=$C$17,C325,0)+D325),2))</f>
        <v>0</v>
      </c>
      <c r="F325" s="19" t="n">
        <f aca="false">IF(C325&lt;=0,0,MAX(0,ROUND(E325-D325,2)))</f>
        <v>0</v>
      </c>
      <c r="G325" s="19" t="n">
        <f aca="false">IF(C325&lt;=0,0,ROUND(MIN(MAX(0,C325-F325),MAX(0,IF(A325&gt;=$C$13,$C$12,0)+SUMIF($E$5:$E$14,A325,$F$5:$F$14))),2))</f>
        <v>0</v>
      </c>
      <c r="H325" s="19" t="n">
        <f aca="false">ROUND(E325+G325,2)</f>
        <v>0</v>
      </c>
      <c r="I325" s="19" t="n">
        <f aca="false">ROUND(C325-F325-G325,2)</f>
        <v>0</v>
      </c>
      <c r="J325" s="19" t="n">
        <f aca="false">ROUND(J324+D325,2)</f>
        <v>205217.43</v>
      </c>
      <c r="K325" s="19" t="n">
        <f aca="false">ROUND(K324+F325+G325,2)</f>
        <v>300000</v>
      </c>
      <c r="M325" s="19" t="n">
        <f aca="false">Q324</f>
        <v>13266.41</v>
      </c>
      <c r="N325" s="19" t="n">
        <f aca="false">ROUND(M325*$C$16,2)</f>
        <v>66.33</v>
      </c>
      <c r="O325" s="19" t="n">
        <f aca="false">IF(M325&lt;=0,0,ROUND(CHOOSE($C$10,IF(A325=$C$17,M325+N325,MIN($C$18,M325+N325)),IF(A325=$C$17,M325,MIN($C$19,M325))+N325,IF(A325=$C$17,M325,0)+N325),2))</f>
        <v>1932.9</v>
      </c>
      <c r="P325" s="19" t="n">
        <f aca="false">IF(M325&lt;=0,0,MAX(0,ROUND(O325-N325,2)))</f>
        <v>1866.57</v>
      </c>
      <c r="Q325" s="19" t="n">
        <f aca="false">ROUND(M325-P325,2)</f>
        <v>11399.84</v>
      </c>
    </row>
    <row r="326" customFormat="false" ht="15" hidden="false" customHeight="false" outlineLevel="0" collapsed="false">
      <c r="A326" s="24" t="n">
        <f aca="false">A325+1</f>
        <v>295</v>
      </c>
      <c r="B326" s="25" t="n">
        <f aca="false">IF(MOD(12,$C$7)=0,EDATE($C$9,(A326-1)*12/$C$7),$C$9+(A326-1)*ROUND(364/$C$7,0))</f>
        <v>55274</v>
      </c>
      <c r="C326" s="19" t="n">
        <f aca="false">I325</f>
        <v>0</v>
      </c>
      <c r="D326" s="19" t="n">
        <f aca="false">ROUND(C326*$C$16,2)</f>
        <v>0</v>
      </c>
      <c r="E326" s="19" t="n">
        <f aca="false">IF(C326&lt;=0,0,ROUND(CHOOSE($C$10,IF(A326=$C$17,C326+D326,MIN($C$18,C326+D326)),IF(A326=$C$17,C326,MIN($C$19,C326))+D326,IF(A326=$C$17,C326,0)+D326),2))</f>
        <v>0</v>
      </c>
      <c r="F326" s="19" t="n">
        <f aca="false">IF(C326&lt;=0,0,MAX(0,ROUND(E326-D326,2)))</f>
        <v>0</v>
      </c>
      <c r="G326" s="19" t="n">
        <f aca="false">IF(C326&lt;=0,0,ROUND(MIN(MAX(0,C326-F326),MAX(0,IF(A326&gt;=$C$13,$C$12,0)+SUMIF($E$5:$E$14,A326,$F$5:$F$14))),2))</f>
        <v>0</v>
      </c>
      <c r="H326" s="19" t="n">
        <f aca="false">ROUND(E326+G326,2)</f>
        <v>0</v>
      </c>
      <c r="I326" s="19" t="n">
        <f aca="false">ROUND(C326-F326-G326,2)</f>
        <v>0</v>
      </c>
      <c r="J326" s="19" t="n">
        <f aca="false">ROUND(J325+D326,2)</f>
        <v>205217.43</v>
      </c>
      <c r="K326" s="19" t="n">
        <f aca="false">ROUND(K325+F326+G326,2)</f>
        <v>300000</v>
      </c>
      <c r="M326" s="19" t="n">
        <f aca="false">Q325</f>
        <v>11399.84</v>
      </c>
      <c r="N326" s="19" t="n">
        <f aca="false">ROUND(M326*$C$16,2)</f>
        <v>57</v>
      </c>
      <c r="O326" s="19" t="n">
        <f aca="false">IF(M326&lt;=0,0,ROUND(CHOOSE($C$10,IF(A326=$C$17,M326+N326,MIN($C$18,M326+N326)),IF(A326=$C$17,M326,MIN($C$19,M326))+N326,IF(A326=$C$17,M326,0)+N326),2))</f>
        <v>1932.9</v>
      </c>
      <c r="P326" s="19" t="n">
        <f aca="false">IF(M326&lt;=0,0,MAX(0,ROUND(O326-N326,2)))</f>
        <v>1875.9</v>
      </c>
      <c r="Q326" s="19" t="n">
        <f aca="false">ROUND(M326-P326,2)</f>
        <v>9523.94</v>
      </c>
    </row>
    <row r="327" customFormat="false" ht="15" hidden="false" customHeight="false" outlineLevel="0" collapsed="false">
      <c r="A327" s="24" t="n">
        <f aca="false">A326+1</f>
        <v>296</v>
      </c>
      <c r="B327" s="25" t="n">
        <f aca="false">IF(MOD(12,$C$7)=0,EDATE($C$9,(A327-1)*12/$C$7),$C$9+(A327-1)*ROUND(364/$C$7,0))</f>
        <v>55305</v>
      </c>
      <c r="C327" s="19" t="n">
        <f aca="false">I326</f>
        <v>0</v>
      </c>
      <c r="D327" s="19" t="n">
        <f aca="false">ROUND(C327*$C$16,2)</f>
        <v>0</v>
      </c>
      <c r="E327" s="19" t="n">
        <f aca="false">IF(C327&lt;=0,0,ROUND(CHOOSE($C$10,IF(A327=$C$17,C327+D327,MIN($C$18,C327+D327)),IF(A327=$C$17,C327,MIN($C$19,C327))+D327,IF(A327=$C$17,C327,0)+D327),2))</f>
        <v>0</v>
      </c>
      <c r="F327" s="19" t="n">
        <f aca="false">IF(C327&lt;=0,0,MAX(0,ROUND(E327-D327,2)))</f>
        <v>0</v>
      </c>
      <c r="G327" s="19" t="n">
        <f aca="false">IF(C327&lt;=0,0,ROUND(MIN(MAX(0,C327-F327),MAX(0,IF(A327&gt;=$C$13,$C$12,0)+SUMIF($E$5:$E$14,A327,$F$5:$F$14))),2))</f>
        <v>0</v>
      </c>
      <c r="H327" s="19" t="n">
        <f aca="false">ROUND(E327+G327,2)</f>
        <v>0</v>
      </c>
      <c r="I327" s="19" t="n">
        <f aca="false">ROUND(C327-F327-G327,2)</f>
        <v>0</v>
      </c>
      <c r="J327" s="19" t="n">
        <f aca="false">ROUND(J326+D327,2)</f>
        <v>205217.43</v>
      </c>
      <c r="K327" s="19" t="n">
        <f aca="false">ROUND(K326+F327+G327,2)</f>
        <v>300000</v>
      </c>
      <c r="M327" s="19" t="n">
        <f aca="false">Q326</f>
        <v>9523.94</v>
      </c>
      <c r="N327" s="19" t="n">
        <f aca="false">ROUND(M327*$C$16,2)</f>
        <v>47.62</v>
      </c>
      <c r="O327" s="19" t="n">
        <f aca="false">IF(M327&lt;=0,0,ROUND(CHOOSE($C$10,IF(A327=$C$17,M327+N327,MIN($C$18,M327+N327)),IF(A327=$C$17,M327,MIN($C$19,M327))+N327,IF(A327=$C$17,M327,0)+N327),2))</f>
        <v>1932.9</v>
      </c>
      <c r="P327" s="19" t="n">
        <f aca="false">IF(M327&lt;=0,0,MAX(0,ROUND(O327-N327,2)))</f>
        <v>1885.28</v>
      </c>
      <c r="Q327" s="19" t="n">
        <f aca="false">ROUND(M327-P327,2)</f>
        <v>7638.66</v>
      </c>
    </row>
    <row r="328" customFormat="false" ht="15" hidden="false" customHeight="false" outlineLevel="0" collapsed="false">
      <c r="A328" s="24" t="n">
        <f aca="false">A327+1</f>
        <v>297</v>
      </c>
      <c r="B328" s="25" t="n">
        <f aca="false">IF(MOD(12,$C$7)=0,EDATE($C$9,(A328-1)*12/$C$7),$C$9+(A328-1)*ROUND(364/$C$7,0))</f>
        <v>55335</v>
      </c>
      <c r="C328" s="19" t="n">
        <f aca="false">I327</f>
        <v>0</v>
      </c>
      <c r="D328" s="19" t="n">
        <f aca="false">ROUND(C328*$C$16,2)</f>
        <v>0</v>
      </c>
      <c r="E328" s="19" t="n">
        <f aca="false">IF(C328&lt;=0,0,ROUND(CHOOSE($C$10,IF(A328=$C$17,C328+D328,MIN($C$18,C328+D328)),IF(A328=$C$17,C328,MIN($C$19,C328))+D328,IF(A328=$C$17,C328,0)+D328),2))</f>
        <v>0</v>
      </c>
      <c r="F328" s="19" t="n">
        <f aca="false">IF(C328&lt;=0,0,MAX(0,ROUND(E328-D328,2)))</f>
        <v>0</v>
      </c>
      <c r="G328" s="19" t="n">
        <f aca="false">IF(C328&lt;=0,0,ROUND(MIN(MAX(0,C328-F328),MAX(0,IF(A328&gt;=$C$13,$C$12,0)+SUMIF($E$5:$E$14,A328,$F$5:$F$14))),2))</f>
        <v>0</v>
      </c>
      <c r="H328" s="19" t="n">
        <f aca="false">ROUND(E328+G328,2)</f>
        <v>0</v>
      </c>
      <c r="I328" s="19" t="n">
        <f aca="false">ROUND(C328-F328-G328,2)</f>
        <v>0</v>
      </c>
      <c r="J328" s="19" t="n">
        <f aca="false">ROUND(J327+D328,2)</f>
        <v>205217.43</v>
      </c>
      <c r="K328" s="19" t="n">
        <f aca="false">ROUND(K327+F328+G328,2)</f>
        <v>300000</v>
      </c>
      <c r="M328" s="19" t="n">
        <f aca="false">Q327</f>
        <v>7638.66</v>
      </c>
      <c r="N328" s="19" t="n">
        <f aca="false">ROUND(M328*$C$16,2)</f>
        <v>38.19</v>
      </c>
      <c r="O328" s="19" t="n">
        <f aca="false">IF(M328&lt;=0,0,ROUND(CHOOSE($C$10,IF(A328=$C$17,M328+N328,MIN($C$18,M328+N328)),IF(A328=$C$17,M328,MIN($C$19,M328))+N328,IF(A328=$C$17,M328,0)+N328),2))</f>
        <v>1932.9</v>
      </c>
      <c r="P328" s="19" t="n">
        <f aca="false">IF(M328&lt;=0,0,MAX(0,ROUND(O328-N328,2)))</f>
        <v>1894.71</v>
      </c>
      <c r="Q328" s="19" t="n">
        <f aca="false">ROUND(M328-P328,2)</f>
        <v>5743.95</v>
      </c>
    </row>
    <row r="329" customFormat="false" ht="15" hidden="false" customHeight="false" outlineLevel="0" collapsed="false">
      <c r="A329" s="24" t="n">
        <f aca="false">A328+1</f>
        <v>298</v>
      </c>
      <c r="B329" s="25" t="n">
        <f aca="false">IF(MOD(12,$C$7)=0,EDATE($C$9,(A329-1)*12/$C$7),$C$9+(A329-1)*ROUND(364/$C$7,0))</f>
        <v>55366</v>
      </c>
      <c r="C329" s="19" t="n">
        <f aca="false">I328</f>
        <v>0</v>
      </c>
      <c r="D329" s="19" t="n">
        <f aca="false">ROUND(C329*$C$16,2)</f>
        <v>0</v>
      </c>
      <c r="E329" s="19" t="n">
        <f aca="false">IF(C329&lt;=0,0,ROUND(CHOOSE($C$10,IF(A329=$C$17,C329+D329,MIN($C$18,C329+D329)),IF(A329=$C$17,C329,MIN($C$19,C329))+D329,IF(A329=$C$17,C329,0)+D329),2))</f>
        <v>0</v>
      </c>
      <c r="F329" s="19" t="n">
        <f aca="false">IF(C329&lt;=0,0,MAX(0,ROUND(E329-D329,2)))</f>
        <v>0</v>
      </c>
      <c r="G329" s="19" t="n">
        <f aca="false">IF(C329&lt;=0,0,ROUND(MIN(MAX(0,C329-F329),MAX(0,IF(A329&gt;=$C$13,$C$12,0)+SUMIF($E$5:$E$14,A329,$F$5:$F$14))),2))</f>
        <v>0</v>
      </c>
      <c r="H329" s="19" t="n">
        <f aca="false">ROUND(E329+G329,2)</f>
        <v>0</v>
      </c>
      <c r="I329" s="19" t="n">
        <f aca="false">ROUND(C329-F329-G329,2)</f>
        <v>0</v>
      </c>
      <c r="J329" s="19" t="n">
        <f aca="false">ROUND(J328+D329,2)</f>
        <v>205217.43</v>
      </c>
      <c r="K329" s="19" t="n">
        <f aca="false">ROUND(K328+F329+G329,2)</f>
        <v>300000</v>
      </c>
      <c r="M329" s="19" t="n">
        <f aca="false">Q328</f>
        <v>5743.95</v>
      </c>
      <c r="N329" s="19" t="n">
        <f aca="false">ROUND(M329*$C$16,2)</f>
        <v>28.72</v>
      </c>
      <c r="O329" s="19" t="n">
        <f aca="false">IF(M329&lt;=0,0,ROUND(CHOOSE($C$10,IF(A329=$C$17,M329+N329,MIN($C$18,M329+N329)),IF(A329=$C$17,M329,MIN($C$19,M329))+N329,IF(A329=$C$17,M329,0)+N329),2))</f>
        <v>1932.9</v>
      </c>
      <c r="P329" s="19" t="n">
        <f aca="false">IF(M329&lt;=0,0,MAX(0,ROUND(O329-N329,2)))</f>
        <v>1904.18</v>
      </c>
      <c r="Q329" s="19" t="n">
        <f aca="false">ROUND(M329-P329,2)</f>
        <v>3839.77</v>
      </c>
    </row>
    <row r="330" customFormat="false" ht="15" hidden="false" customHeight="false" outlineLevel="0" collapsed="false">
      <c r="A330" s="24" t="n">
        <f aca="false">A329+1</f>
        <v>299</v>
      </c>
      <c r="B330" s="25" t="n">
        <f aca="false">IF(MOD(12,$C$7)=0,EDATE($C$9,(A330-1)*12/$C$7),$C$9+(A330-1)*ROUND(364/$C$7,0))</f>
        <v>55397</v>
      </c>
      <c r="C330" s="19" t="n">
        <f aca="false">I329</f>
        <v>0</v>
      </c>
      <c r="D330" s="19" t="n">
        <f aca="false">ROUND(C330*$C$16,2)</f>
        <v>0</v>
      </c>
      <c r="E330" s="19" t="n">
        <f aca="false">IF(C330&lt;=0,0,ROUND(CHOOSE($C$10,IF(A330=$C$17,C330+D330,MIN($C$18,C330+D330)),IF(A330=$C$17,C330,MIN($C$19,C330))+D330,IF(A330=$C$17,C330,0)+D330),2))</f>
        <v>0</v>
      </c>
      <c r="F330" s="19" t="n">
        <f aca="false">IF(C330&lt;=0,0,MAX(0,ROUND(E330-D330,2)))</f>
        <v>0</v>
      </c>
      <c r="G330" s="19" t="n">
        <f aca="false">IF(C330&lt;=0,0,ROUND(MIN(MAX(0,C330-F330),MAX(0,IF(A330&gt;=$C$13,$C$12,0)+SUMIF($E$5:$E$14,A330,$F$5:$F$14))),2))</f>
        <v>0</v>
      </c>
      <c r="H330" s="19" t="n">
        <f aca="false">ROUND(E330+G330,2)</f>
        <v>0</v>
      </c>
      <c r="I330" s="19" t="n">
        <f aca="false">ROUND(C330-F330-G330,2)</f>
        <v>0</v>
      </c>
      <c r="J330" s="19" t="n">
        <f aca="false">ROUND(J329+D330,2)</f>
        <v>205217.43</v>
      </c>
      <c r="K330" s="19" t="n">
        <f aca="false">ROUND(K329+F330+G330,2)</f>
        <v>300000</v>
      </c>
      <c r="M330" s="19" t="n">
        <f aca="false">Q329</f>
        <v>3839.77</v>
      </c>
      <c r="N330" s="19" t="n">
        <f aca="false">ROUND(M330*$C$16,2)</f>
        <v>19.2</v>
      </c>
      <c r="O330" s="19" t="n">
        <f aca="false">IF(M330&lt;=0,0,ROUND(CHOOSE($C$10,IF(A330=$C$17,M330+N330,MIN($C$18,M330+N330)),IF(A330=$C$17,M330,MIN($C$19,M330))+N330,IF(A330=$C$17,M330,0)+N330),2))</f>
        <v>1932.9</v>
      </c>
      <c r="P330" s="19" t="n">
        <f aca="false">IF(M330&lt;=0,0,MAX(0,ROUND(O330-N330,2)))</f>
        <v>1913.7</v>
      </c>
      <c r="Q330" s="19" t="n">
        <f aca="false">ROUND(M330-P330,2)</f>
        <v>1926.07</v>
      </c>
    </row>
    <row r="331" customFormat="false" ht="15" hidden="false" customHeight="false" outlineLevel="0" collapsed="false">
      <c r="A331" s="24" t="n">
        <f aca="false">A330+1</f>
        <v>300</v>
      </c>
      <c r="B331" s="25" t="n">
        <f aca="false">IF(MOD(12,$C$7)=0,EDATE($C$9,(A331-1)*12/$C$7),$C$9+(A331-1)*ROUND(364/$C$7,0))</f>
        <v>55427</v>
      </c>
      <c r="C331" s="19" t="n">
        <f aca="false">I330</f>
        <v>0</v>
      </c>
      <c r="D331" s="19" t="n">
        <f aca="false">ROUND(C331*$C$16,2)</f>
        <v>0</v>
      </c>
      <c r="E331" s="19" t="n">
        <f aca="false">IF(C331&lt;=0,0,ROUND(CHOOSE($C$10,IF(A331=$C$17,C331+D331,MIN($C$18,C331+D331)),IF(A331=$C$17,C331,MIN($C$19,C331))+D331,IF(A331=$C$17,C331,0)+D331),2))</f>
        <v>0</v>
      </c>
      <c r="F331" s="19" t="n">
        <f aca="false">IF(C331&lt;=0,0,MAX(0,ROUND(E331-D331,2)))</f>
        <v>0</v>
      </c>
      <c r="G331" s="19" t="n">
        <f aca="false">IF(C331&lt;=0,0,ROUND(MIN(MAX(0,C331-F331),MAX(0,IF(A331&gt;=$C$13,$C$12,0)+SUMIF($E$5:$E$14,A331,$F$5:$F$14))),2))</f>
        <v>0</v>
      </c>
      <c r="H331" s="19" t="n">
        <f aca="false">ROUND(E331+G331,2)</f>
        <v>0</v>
      </c>
      <c r="I331" s="19" t="n">
        <f aca="false">ROUND(C331-F331-G331,2)</f>
        <v>0</v>
      </c>
      <c r="J331" s="19" t="n">
        <f aca="false">ROUND(J330+D331,2)</f>
        <v>205217.43</v>
      </c>
      <c r="K331" s="19" t="n">
        <f aca="false">ROUND(K330+F331+G331,2)</f>
        <v>300000</v>
      </c>
      <c r="M331" s="19" t="n">
        <f aca="false">Q330</f>
        <v>1926.07</v>
      </c>
      <c r="N331" s="19" t="n">
        <f aca="false">ROUND(M331*$C$16,2)</f>
        <v>9.63</v>
      </c>
      <c r="O331" s="19" t="n">
        <f aca="false">IF(M331&lt;=0,0,ROUND(CHOOSE($C$10,IF(A331=$C$17,M331+N331,MIN($C$18,M331+N331)),IF(A331=$C$17,M331,MIN($C$19,M331))+N331,IF(A331=$C$17,M331,0)+N331),2))</f>
        <v>1935.7</v>
      </c>
      <c r="P331" s="19" t="n">
        <f aca="false">IF(M331&lt;=0,0,MAX(0,ROUND(O331-N331,2)))</f>
        <v>1926.07</v>
      </c>
      <c r="Q331" s="19" t="n">
        <f aca="false">ROUND(M331-P331,2)</f>
        <v>0</v>
      </c>
    </row>
  </sheetData>
  <mergeCells count="18">
    <mergeCell ref="A1:Q1"/>
    <mergeCell ref="A2:Q2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6:B16"/>
    <mergeCell ref="A17:B17"/>
    <mergeCell ref="A18:B18"/>
    <mergeCell ref="A19:B19"/>
    <mergeCell ref="A20:B20"/>
    <mergeCell ref="A22:F28"/>
  </mergeCells>
  <dataValidations count="1">
    <dataValidation allowBlank="false" errorStyle="stop" operator="between" showDropDown="false" showErrorMessage="false" showInputMessage="false" sqref="C10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8"/>
    <col collapsed="false" customWidth="true" hidden="false" outlineLevel="0" max="3" min="3" style="0" width="70"/>
  </cols>
  <sheetData>
    <row r="1" customFormat="false" ht="24" hidden="false" customHeight="true" outlineLevel="0" collapsed="false">
      <c r="A1" s="1" t="s">
        <v>59</v>
      </c>
      <c r="B1" s="1"/>
      <c r="C1" s="1"/>
      <c r="D1" s="1"/>
    </row>
    <row r="2" customFormat="false" ht="15" hidden="false" customHeight="false" outlineLevel="0" collapsed="false">
      <c r="A2" s="2" t="s">
        <v>60</v>
      </c>
      <c r="B2" s="2"/>
      <c r="C2" s="2"/>
      <c r="D2" s="2"/>
    </row>
    <row r="4" customFormat="false" ht="30" hidden="false" customHeight="true" outlineLevel="0" collapsed="false">
      <c r="A4" s="6" t="s">
        <v>61</v>
      </c>
      <c r="B4" s="6" t="s">
        <v>62</v>
      </c>
      <c r="C4" s="6" t="s">
        <v>63</v>
      </c>
    </row>
    <row r="5" customFormat="false" ht="15" hidden="false" customHeight="false" outlineLevel="0" collapsed="false">
      <c r="A5" s="3" t="s">
        <v>64</v>
      </c>
    </row>
    <row r="6" customFormat="false" ht="15" hidden="false" customHeight="false" outlineLevel="0" collapsed="false">
      <c r="A6" s="7" t="s">
        <v>65</v>
      </c>
      <c r="B6" s="16" t="n">
        <f aca="false">Loan!C16</f>
        <v>0.005</v>
      </c>
      <c r="C6" s="22" t="s">
        <v>66</v>
      </c>
    </row>
    <row r="7" customFormat="false" ht="15" hidden="false" customHeight="false" outlineLevel="0" collapsed="false">
      <c r="A7" s="7" t="s">
        <v>67</v>
      </c>
      <c r="B7" s="18" t="n">
        <f aca="false">PMT(Loan!C16,Loan!C17,-Loan!C4,Loan!C11)</f>
        <v>1932.90420445653</v>
      </c>
      <c r="C7" s="22" t="s">
        <v>68</v>
      </c>
    </row>
    <row r="8" customFormat="false" ht="15" hidden="false" customHeight="false" outlineLevel="0" collapsed="false">
      <c r="A8" s="7" t="s">
        <v>69</v>
      </c>
      <c r="B8" s="18" t="n">
        <f aca="false">IPMT(Loan!C16,1,Loan!C17,-Loan!C4,Loan!C11)</f>
        <v>1500</v>
      </c>
      <c r="C8" s="22" t="s">
        <v>70</v>
      </c>
    </row>
    <row r="9" customFormat="false" ht="15" hidden="false" customHeight="false" outlineLevel="0" collapsed="false">
      <c r="A9" s="7" t="s">
        <v>71</v>
      </c>
      <c r="B9" s="18" t="n">
        <f aca="false">PPMT(Loan!C16,1,Loan!C17,-Loan!C4,Loan!C11)</f>
        <v>432.904204456526</v>
      </c>
      <c r="C9" s="22" t="s">
        <v>72</v>
      </c>
    </row>
    <row r="10" customFormat="false" ht="15" hidden="false" customHeight="false" outlineLevel="0" collapsed="false">
      <c r="A10" s="7" t="s">
        <v>73</v>
      </c>
      <c r="B10" s="18" t="n">
        <f aca="false">-CUMIPMT(Loan!C16,Loan!C17,Loan!C4,1,Loan!C7,0)</f>
        <v>17854.7336379142</v>
      </c>
      <c r="C10" s="22" t="s">
        <v>74</v>
      </c>
    </row>
    <row r="11" customFormat="false" ht="15" hidden="false" customHeight="false" outlineLevel="0" collapsed="false">
      <c r="A11" s="7" t="s">
        <v>75</v>
      </c>
      <c r="B11" s="18" t="n">
        <f aca="false">IFERROR(NPER(Loan!C16,-(Loan!C18+Loan!C12),Loan!C4,-Loan!C11),"n/a")</f>
        <v>243.592038397412</v>
      </c>
      <c r="C11" s="22" t="s">
        <v>76</v>
      </c>
    </row>
    <row r="12" customFormat="false" ht="15" hidden="false" customHeight="false" outlineLevel="0" collapsed="false">
      <c r="A12" s="7" t="s">
        <v>77</v>
      </c>
      <c r="B12" s="16" t="n">
        <f aca="false">IFERROR(RATE(Loan!C17,-Loan!C18,Loan!C4,-Loan!C11)*Loan!C7,"n/a")</f>
        <v>0.0599997707480438</v>
      </c>
      <c r="C12" s="22" t="s">
        <v>78</v>
      </c>
    </row>
    <row r="13" customFormat="false" ht="15" hidden="false" customHeight="false" outlineLevel="0" collapsed="false">
      <c r="A13" s="3" t="s">
        <v>79</v>
      </c>
    </row>
    <row r="14" customFormat="false" ht="15" hidden="false" customHeight="false" outlineLevel="0" collapsed="false">
      <c r="A14" s="7" t="s">
        <v>80</v>
      </c>
      <c r="B14" s="16" t="n">
        <f aca="false">EFFECT(0.06,12)</f>
        <v>0.0616778118644983</v>
      </c>
      <c r="C14" s="22" t="s">
        <v>81</v>
      </c>
    </row>
    <row r="15" customFormat="false" ht="15" hidden="false" customHeight="false" outlineLevel="0" collapsed="false">
      <c r="A15" s="7" t="s">
        <v>82</v>
      </c>
      <c r="B15" s="16" t="n">
        <f aca="false">NOMINAL(EFFECT(0.06,12),12)</f>
        <v>0.0599999999999987</v>
      </c>
      <c r="C15" s="22" t="s">
        <v>83</v>
      </c>
    </row>
    <row r="16" customFormat="false" ht="15" hidden="false" customHeight="false" outlineLevel="0" collapsed="false">
      <c r="A16" s="3" t="s">
        <v>84</v>
      </c>
    </row>
    <row r="17" customFormat="false" ht="15" hidden="false" customHeight="false" outlineLevel="0" collapsed="false">
      <c r="A17" s="7" t="s">
        <v>85</v>
      </c>
      <c r="B17" s="18" t="n">
        <f aca="false">-100000+NPV(0.1,25000,35000,40000,35000,30000)</f>
        <v>24238.5952275987</v>
      </c>
      <c r="C17" s="22" t="s">
        <v>86</v>
      </c>
    </row>
    <row r="18" customFormat="false" ht="15" hidden="false" customHeight="false" outlineLevel="0" collapsed="false">
      <c r="A18" s="7" t="s">
        <v>87</v>
      </c>
      <c r="B18" s="18" t="n">
        <f aca="false">NPV(0.1,-100000,25000,35000,40000,35000,30000)</f>
        <v>22035.0865705443</v>
      </c>
      <c r="C18" s="22" t="s">
        <v>88</v>
      </c>
    </row>
    <row r="19" customFormat="false" ht="15" hidden="false" customHeight="false" outlineLevel="0" collapsed="false">
      <c r="A19" s="7" t="s">
        <v>89</v>
      </c>
      <c r="B19" s="16" t="n">
        <f aca="false">IRR({-100000,25000,35000,40000,35000,30000})</f>
        <v>0.187778056387563</v>
      </c>
      <c r="C19" s="22" t="s">
        <v>90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2026-10-01T14:28:06Z</dcterms:created>
  <dc:creator>openpyxl</dc:creator>
  <dc:description/>
  <dc:language>en-US</dc:language>
  <cp:lastModifiedBy/>
  <dcterms:modified xsi:type="dcterms:W3CDTF">2026-10-01T14:28:06Z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