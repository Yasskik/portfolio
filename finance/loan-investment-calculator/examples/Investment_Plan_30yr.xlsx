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estment" sheetId="1" state="visible" r:id="rId3"/>
    <sheet name="Investment (Annual)" sheetId="2" state="visible" r:id="rId4"/>
    <sheet name="TVM Fun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<sst xmlns="http://schemas.openxmlformats.org/spreadsheetml/2006/main" count="79" uniqueCount="69">
  <si>
    <t xml:space="preserve">Investment Growth Model</t>
  </si>
  <si>
    <t xml:space="preserve">Yellow cells with blue numbers are inputs; everything else is a live formula. Rows were created for the chosen horizon; shortening it works, lengthening it needs a new export.</t>
  </si>
  <si>
    <t xml:space="preserve">Inputs</t>
  </si>
  <si>
    <t xml:space="preserve">Summary (live)</t>
  </si>
  <si>
    <t xml:space="preserve">Initial amount (t = 0)</t>
  </si>
  <si>
    <t xml:space="preserve">Final value (nominal)</t>
  </si>
  <si>
    <t xml:space="preserve">Contribution / period</t>
  </si>
  <si>
    <t xml:space="preserve">Final value in today's money (real)</t>
  </si>
  <si>
    <t xml:space="preserve">Contributions per year  p</t>
  </si>
  <si>
    <t xml:space="preserve">Initial amount</t>
  </si>
  <si>
    <t xml:space="preserve">Timing (0 end, 1 begin)</t>
  </si>
  <si>
    <t xml:space="preserve">Total contributions</t>
  </si>
  <si>
    <t xml:space="preserve">Annual return (nominal)</t>
  </si>
  <si>
    <t xml:space="preserve">Total invested</t>
  </si>
  <si>
    <t xml:space="preserve">Compounding / yr  m</t>
  </si>
  <si>
    <t xml:space="preserve">Gross growth</t>
  </si>
  <si>
    <t xml:space="preserve">Years</t>
  </si>
  <si>
    <t xml:space="preserve">Tax on gains</t>
  </si>
  <si>
    <t xml:space="preserve">Step-up per year</t>
  </si>
  <si>
    <t xml:space="preserve">Growth after tax</t>
  </si>
  <si>
    <t xml:space="preserve">Inflation per year</t>
  </si>
  <si>
    <t xml:space="preserve">Lost to inflation (nominal - real)</t>
  </si>
  <si>
    <t xml:space="preserve">Tax rate on gains</t>
  </si>
  <si>
    <t xml:space="preserve">Check with Excel FV (no step-up, no tax)</t>
  </si>
  <si>
    <t xml:space="preserve">Calculated</t>
  </si>
  <si>
    <t xml:space="preserve">Periodic rate  i</t>
  </si>
  <si>
    <t xml:space="preserve">Audit: live Excel vs Python engine</t>
  </si>
  <si>
    <t xml:space="preserve">Python</t>
  </si>
  <si>
    <t xml:space="preserve">Difference</t>
  </si>
  <si>
    <t xml:space="preserve">Number of periods  N</t>
  </si>
  <si>
    <t xml:space="preserve">Final value</t>
  </si>
  <si>
    <t xml:space="preserve">Effective annual return</t>
  </si>
  <si>
    <t xml:space="preserve">Final value (real)</t>
  </si>
  <si>
    <t xml:space="preserve">i = (1 + R/m)^(m/p) - 1 is the rate per contribution period that earns the same effective annual return as R compounded m times a year (continuous: e^(R/p) - 1). Contribution in year y = C x (1 + step-up)^(y-1). Growth = (beginning balance + contribution if timing = 1) x i. Tax = growth x tax rate when growth &gt; 0 (gains taxed as they accrue, no refund on losses). Real value = balance / (1 + inflation)^(period / p).</t>
  </si>
  <si>
    <t xml:space="preserve">Period</t>
  </si>
  <si>
    <t xml:space="preserve">Year</t>
  </si>
  <si>
    <t xml:space="preserve">Beginning balance</t>
  </si>
  <si>
    <t xml:space="preserve">Contribution</t>
  </si>
  <si>
    <t xml:space="preserve">Growth (before tax)</t>
  </si>
  <si>
    <t xml:space="preserve">Tax</t>
  </si>
  <si>
    <t xml:space="preserve">Ending balance</t>
  </si>
  <si>
    <t xml:space="preserve">Real value (today's money)</t>
  </si>
  <si>
    <t xml:space="preserve">Cumulative invested</t>
  </si>
  <si>
    <t xml:space="preserve">Cumulative growth after tax</t>
  </si>
  <si>
    <t xml:space="preserve">Investment Growth - Year by Year</t>
  </si>
  <si>
    <t xml:space="preserve">Each row sums the period rows of the 'Investment' sheet with SUMIF / INDEX formulas.</t>
  </si>
  <si>
    <t xml:space="preserve">Contributions</t>
  </si>
  <si>
    <t xml:space="preserve">Excel TVM Functions - worked examples</t>
  </si>
  <si>
    <t xml:space="preserve">Excel signs: money you receive is +, money you pay is -. Rates and periods must use the same unit.</t>
  </si>
  <si>
    <t xml:space="preserve">Function</t>
  </si>
  <si>
    <t xml:space="preserve">Result</t>
  </si>
  <si>
    <t xml:space="preserve">What it shows</t>
  </si>
  <si>
    <t xml:space="preserve">Investment (uses the Investment sheet inputs)</t>
  </si>
  <si>
    <t xml:space="preserve">FV(i, N, -C, -initial, timing)</t>
  </si>
  <si>
    <t xml:space="preserve">Final value if there were no step-up and no tax</t>
  </si>
  <si>
    <t xml:space="preserve">PV of the final value at the inflation rate</t>
  </si>
  <si>
    <t xml:space="preserve">Same as the real final value</t>
  </si>
  <si>
    <t xml:space="preserve">Rates</t>
  </si>
  <si>
    <t xml:space="preserve">EFFECT(6%, 12)</t>
  </si>
  <si>
    <t xml:space="preserve">6% APR compounded monthly = 6.168% EAR</t>
  </si>
  <si>
    <t xml:space="preserve">NOMINAL(6.168%, 12)</t>
  </si>
  <si>
    <t xml:space="preserve">Back to 6.000% APR</t>
  </si>
  <si>
    <t xml:space="preserve">Project: -100,000 at t=0, then 25k, 35k, 40k, 35k, 30k; rate 10%</t>
  </si>
  <si>
    <t xml:space="preserve">Correct NPV = CF0 + NPV(10%, CF1..CF5)</t>
  </si>
  <si>
    <t xml:space="preserve">Excel NPV discounts its FIRST value by one period, so CF0 stays outside</t>
  </si>
  <si>
    <t xml:space="preserve">Common mistake: NPV(10%, CF0..CF5)</t>
  </si>
  <si>
    <t xml:space="preserve">Discounts everything one period too much (= correct NPV / 1.10)</t>
  </si>
  <si>
    <t xml:space="preserve">IRR({CF0..CF5})</t>
  </si>
  <si>
    <t xml:space="preserve">IRR treats the first value as t = 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</si>
</sst>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[RED]\-#,##0.00"/>
    <numFmt numFmtId="166" formatCode="0"/>
    <numFmt numFmtId="167" formatCode="0.000%"/>
    <numFmt numFmtId="168" formatCode="0.00"/>
    <numFmt numFmtId="169" formatCode="0.00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4155"/>
      </patternFill>
    </fill>
    <fill>
      <patternFill patternType="solid">
        <fgColor rgb="FFFFF2CC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34155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4" topLeftCell="C25" activePane="bottomRight" state="frozen"/>
      <selection pane="topLeft" activeCell="A1" activeCellId="0" sqref="A1"/>
      <selection pane="topRight" activeCell="C1" activeCellId="0" sqref="C1"/>
      <selection pane="bottomLeft" activeCell="A25" activeCellId="0" sqref="A2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9" min="6" style="0" width="16"/>
    <col collapsed="false" customWidth="true" hidden="false" outlineLevel="0" max="10" min="10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E3" s="3" t="s">
        <v>3</v>
      </c>
    </row>
    <row r="4" customFormat="false" ht="15" hidden="false" customHeight="false" outlineLevel="0" collapsed="false">
      <c r="A4" s="4" t="s">
        <v>4</v>
      </c>
      <c r="B4" s="4"/>
      <c r="C4" s="5" t="n">
        <v>10000</v>
      </c>
      <c r="E4" s="6" t="s">
        <v>5</v>
      </c>
      <c r="F4" s="7" t="n">
        <f aca="false">INDEX($G$25:$G$384,C16)</f>
        <v>914744.960822454</v>
      </c>
    </row>
    <row r="5" customFormat="false" ht="15" hidden="false" customHeight="false" outlineLevel="0" collapsed="false">
      <c r="A5" s="4" t="s">
        <v>6</v>
      </c>
      <c r="B5" s="4"/>
      <c r="C5" s="5" t="n">
        <v>500</v>
      </c>
      <c r="E5" s="6" t="s">
        <v>7</v>
      </c>
      <c r="F5" s="7" t="n">
        <f aca="false">INDEX($H$25:$H$384,C16)</f>
        <v>436097.968878259</v>
      </c>
    </row>
    <row r="6" customFormat="false" ht="15" hidden="false" customHeight="false" outlineLevel="0" collapsed="false">
      <c r="A6" s="4" t="s">
        <v>8</v>
      </c>
      <c r="B6" s="4"/>
      <c r="C6" s="8" t="n">
        <v>12</v>
      </c>
      <c r="E6" s="6" t="s">
        <v>9</v>
      </c>
      <c r="F6" s="9" t="n">
        <f aca="false">C4</f>
        <v>10000</v>
      </c>
    </row>
    <row r="7" customFormat="false" ht="15" hidden="false" customHeight="false" outlineLevel="0" collapsed="false">
      <c r="A7" s="4" t="s">
        <v>10</v>
      </c>
      <c r="B7" s="4"/>
      <c r="C7" s="8" t="n">
        <v>0</v>
      </c>
      <c r="E7" s="6" t="s">
        <v>11</v>
      </c>
      <c r="F7" s="9" t="n">
        <f aca="false">SUMIF($A$25:$A$384,"&lt;="&amp;$C$16,$D$25:$D$384)</f>
        <v>285452.494237932</v>
      </c>
    </row>
    <row r="8" customFormat="false" ht="15" hidden="false" customHeight="false" outlineLevel="0" collapsed="false">
      <c r="A8" s="4" t="s">
        <v>12</v>
      </c>
      <c r="B8" s="4"/>
      <c r="C8" s="10" t="n">
        <v>0.07</v>
      </c>
      <c r="E8" s="6" t="s">
        <v>13</v>
      </c>
      <c r="F8" s="9" t="n">
        <f aca="false">F6+F7</f>
        <v>295452.494237932</v>
      </c>
    </row>
    <row r="9" customFormat="false" ht="15" hidden="false" customHeight="false" outlineLevel="0" collapsed="false">
      <c r="A9" s="4" t="s">
        <v>14</v>
      </c>
      <c r="B9" s="4"/>
      <c r="C9" s="8" t="n">
        <v>12</v>
      </c>
      <c r="E9" s="6" t="s">
        <v>15</v>
      </c>
      <c r="F9" s="9" t="n">
        <f aca="false">SUMIF($A$25:$A$384,"&lt;="&amp;$C$16,$E$25:$E$384)</f>
        <v>619292.466584523</v>
      </c>
    </row>
    <row r="10" customFormat="false" ht="15" hidden="false" customHeight="false" outlineLevel="0" collapsed="false">
      <c r="A10" s="4" t="s">
        <v>16</v>
      </c>
      <c r="B10" s="4"/>
      <c r="C10" s="11" t="n">
        <v>30</v>
      </c>
      <c r="E10" s="6" t="s">
        <v>17</v>
      </c>
      <c r="F10" s="9" t="n">
        <f aca="false">SUMIF($A$25:$A$384,"&lt;="&amp;$C$16,$F$25:$F$384)</f>
        <v>0</v>
      </c>
    </row>
    <row r="11" customFormat="false" ht="15" hidden="false" customHeight="false" outlineLevel="0" collapsed="false">
      <c r="A11" s="4" t="s">
        <v>18</v>
      </c>
      <c r="B11" s="4"/>
      <c r="C11" s="10" t="n">
        <v>0.03</v>
      </c>
      <c r="E11" s="6" t="s">
        <v>19</v>
      </c>
      <c r="F11" s="9" t="n">
        <f aca="false">F9-F10</f>
        <v>619292.466584523</v>
      </c>
    </row>
    <row r="12" customFormat="false" ht="15" hidden="false" customHeight="false" outlineLevel="0" collapsed="false">
      <c r="A12" s="4" t="s">
        <v>20</v>
      </c>
      <c r="B12" s="4"/>
      <c r="C12" s="10" t="n">
        <v>0.025</v>
      </c>
      <c r="E12" s="6" t="s">
        <v>21</v>
      </c>
      <c r="F12" s="9" t="n">
        <f aca="false">F4-F5</f>
        <v>478646.991944195</v>
      </c>
    </row>
    <row r="13" customFormat="false" ht="15" hidden="false" customHeight="false" outlineLevel="0" collapsed="false">
      <c r="A13" s="4" t="s">
        <v>22</v>
      </c>
      <c r="B13" s="4"/>
      <c r="C13" s="10" t="n">
        <v>0</v>
      </c>
      <c r="E13" s="6" t="s">
        <v>23</v>
      </c>
      <c r="F13" s="9" t="str">
        <f aca="false">IF(AND(C11=0,C13=0),FV(C15,C16,-C5,-C4,C7),"n/a (step-up or tax used)")</f>
        <v>n/a (step-up or tax used)</v>
      </c>
    </row>
    <row r="14" customFormat="false" ht="15" hidden="false" customHeight="false" outlineLevel="0" collapsed="false">
      <c r="A14" s="3" t="s">
        <v>24</v>
      </c>
    </row>
    <row r="15" customFormat="false" ht="15" hidden="false" customHeight="false" outlineLevel="0" collapsed="false">
      <c r="A15" s="4" t="s">
        <v>25</v>
      </c>
      <c r="B15" s="4"/>
      <c r="C15" s="12" t="n">
        <f aca="false">IF(C9=C6,C8/C6,IF(C9&lt;=0,EXP(C8/C6)-1,(1+C8/C9)^(C9/C6)-1))</f>
        <v>0.00583333333333333</v>
      </c>
      <c r="E15" s="3" t="s">
        <v>26</v>
      </c>
      <c r="G15" s="13" t="s">
        <v>27</v>
      </c>
      <c r="H15" s="13" t="s">
        <v>28</v>
      </c>
    </row>
    <row r="16" customFormat="false" ht="15" hidden="false" customHeight="false" outlineLevel="0" collapsed="false">
      <c r="A16" s="4" t="s">
        <v>29</v>
      </c>
      <c r="B16" s="4"/>
      <c r="C16" s="14" t="n">
        <f aca="false">ROUND(C10*C6,0)</f>
        <v>360</v>
      </c>
      <c r="E16" s="6" t="s">
        <v>30</v>
      </c>
      <c r="F16" s="9" t="n">
        <f aca="false">F4</f>
        <v>914744.960822454</v>
      </c>
      <c r="G16" s="15" t="n">
        <v>914744.960822454</v>
      </c>
      <c r="H16" s="9" t="n">
        <f aca="false">ROUND(F16-G16,2)</f>
        <v>0</v>
      </c>
    </row>
    <row r="17" customFormat="false" ht="15" hidden="false" customHeight="false" outlineLevel="0" collapsed="false">
      <c r="A17" s="4" t="s">
        <v>31</v>
      </c>
      <c r="B17" s="4"/>
      <c r="C17" s="16" t="n">
        <f aca="false">IF(C9&lt;=0,EXP(C8)-1,(1+C8/C9)^C9-1)</f>
        <v>0.0722900808562359</v>
      </c>
      <c r="E17" s="6" t="s">
        <v>11</v>
      </c>
      <c r="F17" s="9" t="n">
        <f aca="false">F7</f>
        <v>285452.494237932</v>
      </c>
      <c r="G17" s="15" t="n">
        <v>285452.494237932</v>
      </c>
      <c r="H17" s="9" t="n">
        <f aca="false">ROUND(F17-G17,2)</f>
        <v>0</v>
      </c>
    </row>
    <row r="18" customFormat="false" ht="15" hidden="false" customHeight="false" outlineLevel="0" collapsed="false">
      <c r="E18" s="6" t="s">
        <v>19</v>
      </c>
      <c r="F18" s="9" t="n">
        <f aca="false">F11</f>
        <v>619292.466584523</v>
      </c>
      <c r="G18" s="15" t="n">
        <v>619292.466584523</v>
      </c>
      <c r="H18" s="9" t="n">
        <f aca="false">ROUND(F18-G18,2)</f>
        <v>0</v>
      </c>
    </row>
    <row r="19" customFormat="false" ht="15" hidden="false" customHeight="false" outlineLevel="0" collapsed="false">
      <c r="E19" s="6" t="s">
        <v>32</v>
      </c>
      <c r="F19" s="9" t="n">
        <f aca="false">F5</f>
        <v>436097.968878259</v>
      </c>
      <c r="G19" s="15" t="n">
        <v>436097.968878259</v>
      </c>
      <c r="H19" s="9" t="n">
        <f aca="false">ROUND(F19-G19,2)</f>
        <v>0</v>
      </c>
    </row>
    <row r="21" customFormat="false" ht="15" hidden="false" customHeight="true" outlineLevel="0" collapsed="false">
      <c r="A21" s="17" t="s">
        <v>33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30" hidden="false" customHeight="true" outlineLevel="0" collapsed="false">
      <c r="A24" s="18" t="s">
        <v>34</v>
      </c>
      <c r="B24" s="18" t="s">
        <v>35</v>
      </c>
      <c r="C24" s="18" t="s">
        <v>36</v>
      </c>
      <c r="D24" s="18" t="s">
        <v>37</v>
      </c>
      <c r="E24" s="18" t="s">
        <v>38</v>
      </c>
      <c r="F24" s="18" t="s">
        <v>39</v>
      </c>
      <c r="G24" s="18" t="s">
        <v>40</v>
      </c>
      <c r="H24" s="18" t="s">
        <v>41</v>
      </c>
      <c r="I24" s="18" t="s">
        <v>42</v>
      </c>
      <c r="J24" s="18" t="s">
        <v>43</v>
      </c>
    </row>
    <row r="25" customFormat="false" ht="15" hidden="false" customHeight="false" outlineLevel="0" collapsed="false">
      <c r="A25" s="19" t="n">
        <f aca="false">1</f>
        <v>1</v>
      </c>
      <c r="B25" s="19" t="n">
        <f aca="false">INT((A25-1)/$C$6)+1</f>
        <v>1</v>
      </c>
      <c r="C25" s="15" t="n">
        <f aca="false">$C$4</f>
        <v>10000</v>
      </c>
      <c r="D25" s="15" t="n">
        <f aca="false">$C$5*(1+$C$11)^(B25-1)</f>
        <v>500</v>
      </c>
      <c r="E25" s="15" t="n">
        <f aca="false">(C25+D25*$C$7)*$C$15</f>
        <v>58.3333333333333</v>
      </c>
      <c r="F25" s="15" t="n">
        <f aca="false">IF(E25&gt;0,E25*$C$13,0)</f>
        <v>0</v>
      </c>
      <c r="G25" s="15" t="n">
        <f aca="false">C25+D25+E25-F25</f>
        <v>10558.3333333333</v>
      </c>
      <c r="H25" s="15" t="n">
        <f aca="false">G25/(1+$C$12)^(A25/$C$6)</f>
        <v>10536.6296015182</v>
      </c>
      <c r="I25" s="15" t="n">
        <f aca="false">$C$4+D25</f>
        <v>10500</v>
      </c>
      <c r="J25" s="15" t="n">
        <f aca="false">E25-F25</f>
        <v>58.3333333333333</v>
      </c>
    </row>
    <row r="26" customFormat="false" ht="15" hidden="false" customHeight="false" outlineLevel="0" collapsed="false">
      <c r="A26" s="19" t="n">
        <f aca="false">A25+1</f>
        <v>2</v>
      </c>
      <c r="B26" s="19" t="n">
        <f aca="false">INT((A26-1)/$C$6)+1</f>
        <v>1</v>
      </c>
      <c r="C26" s="15" t="n">
        <f aca="false">G25</f>
        <v>10558.3333333333</v>
      </c>
      <c r="D26" s="15" t="n">
        <f aca="false">$C$5*(1+$C$11)^(B26-1)</f>
        <v>500</v>
      </c>
      <c r="E26" s="15" t="n">
        <f aca="false">(C26+D26*$C$7)*$C$15</f>
        <v>61.5902777777778</v>
      </c>
      <c r="F26" s="15" t="n">
        <f aca="false">IF(E26&gt;0,E26*$C$13,0)</f>
        <v>0</v>
      </c>
      <c r="G26" s="15" t="n">
        <f aca="false">C26+D26+E26-F26</f>
        <v>11119.9236111111</v>
      </c>
      <c r="H26" s="15" t="n">
        <f aca="false">G26/(1+$C$12)^(A26/$C$6)</f>
        <v>11074.2543224458</v>
      </c>
      <c r="I26" s="15" t="n">
        <f aca="false">I25+D26</f>
        <v>11000</v>
      </c>
      <c r="J26" s="15" t="n">
        <f aca="false">J25+E26-F26</f>
        <v>119.923611111111</v>
      </c>
    </row>
    <row r="27" customFormat="false" ht="15" hidden="false" customHeight="false" outlineLevel="0" collapsed="false">
      <c r="A27" s="19" t="n">
        <f aca="false">A26+1</f>
        <v>3</v>
      </c>
      <c r="B27" s="19" t="n">
        <f aca="false">INT((A27-1)/$C$6)+1</f>
        <v>1</v>
      </c>
      <c r="C27" s="15" t="n">
        <f aca="false">G26</f>
        <v>11119.9236111111</v>
      </c>
      <c r="D27" s="15" t="n">
        <f aca="false">$C$5*(1+$C$11)^(B27-1)</f>
        <v>500</v>
      </c>
      <c r="E27" s="15" t="n">
        <f aca="false">(C27+D27*$C$7)*$C$15</f>
        <v>64.8662210648148</v>
      </c>
      <c r="F27" s="15" t="n">
        <f aca="false">IF(E27&gt;0,E27*$C$13,0)</f>
        <v>0</v>
      </c>
      <c r="G27" s="15" t="n">
        <f aca="false">C27+D27+E27-F27</f>
        <v>11684.7898321759</v>
      </c>
      <c r="H27" s="15" t="n">
        <f aca="false">G27/(1+$C$12)^(A27/$C$6)</f>
        <v>11612.880018551</v>
      </c>
      <c r="I27" s="15" t="n">
        <f aca="false">I26+D27</f>
        <v>11500</v>
      </c>
      <c r="J27" s="15" t="n">
        <f aca="false">J26+E27-F27</f>
        <v>184.789832175926</v>
      </c>
    </row>
    <row r="28" customFormat="false" ht="15" hidden="false" customHeight="false" outlineLevel="0" collapsed="false">
      <c r="A28" s="19" t="n">
        <f aca="false">A27+1</f>
        <v>4</v>
      </c>
      <c r="B28" s="19" t="n">
        <f aca="false">INT((A28-1)/$C$6)+1</f>
        <v>1</v>
      </c>
      <c r="C28" s="15" t="n">
        <f aca="false">G27</f>
        <v>11684.7898321759</v>
      </c>
      <c r="D28" s="15" t="n">
        <f aca="false">$C$5*(1+$C$11)^(B28-1)</f>
        <v>500</v>
      </c>
      <c r="E28" s="15" t="n">
        <f aca="false">(C28+D28*$C$7)*$C$15</f>
        <v>68.1612740210262</v>
      </c>
      <c r="F28" s="15" t="n">
        <f aca="false">IF(E28&gt;0,E28*$C$13,0)</f>
        <v>0</v>
      </c>
      <c r="G28" s="15" t="n">
        <f aca="false">C28+D28+E28-F28</f>
        <v>12252.951106197</v>
      </c>
      <c r="H28" s="15" t="n">
        <f aca="false">G28/(1+$C$12)^(A28/$C$6)</f>
        <v>12152.5125633192</v>
      </c>
      <c r="I28" s="15" t="n">
        <f aca="false">I27+D28</f>
        <v>12000</v>
      </c>
      <c r="J28" s="15" t="n">
        <f aca="false">J27+E28-F28</f>
        <v>252.951106196952</v>
      </c>
    </row>
    <row r="29" customFormat="false" ht="15" hidden="false" customHeight="false" outlineLevel="0" collapsed="false">
      <c r="A29" s="19" t="n">
        <f aca="false">A28+1</f>
        <v>5</v>
      </c>
      <c r="B29" s="19" t="n">
        <f aca="false">INT((A29-1)/$C$6)+1</f>
        <v>1</v>
      </c>
      <c r="C29" s="15" t="n">
        <f aca="false">G28</f>
        <v>12252.951106197</v>
      </c>
      <c r="D29" s="15" t="n">
        <f aca="false">$C$5*(1+$C$11)^(B29-1)</f>
        <v>500</v>
      </c>
      <c r="E29" s="15" t="n">
        <f aca="false">(C29+D29*$C$7)*$C$15</f>
        <v>71.4755481194822</v>
      </c>
      <c r="F29" s="15" t="n">
        <f aca="false">IF(E29&gt;0,E29*$C$13,0)</f>
        <v>0</v>
      </c>
      <c r="G29" s="15" t="n">
        <f aca="false">C29+D29+E29-F29</f>
        <v>12824.4266543164</v>
      </c>
      <c r="H29" s="15" t="n">
        <f aca="false">G29/(1+$C$12)^(A29/$C$6)</f>
        <v>12693.1578480286</v>
      </c>
      <c r="I29" s="15" t="n">
        <f aca="false">I28+D29</f>
        <v>12500</v>
      </c>
      <c r="J29" s="15" t="n">
        <f aca="false">J28+E29-F29</f>
        <v>324.426654316434</v>
      </c>
    </row>
    <row r="30" customFormat="false" ht="15" hidden="false" customHeight="false" outlineLevel="0" collapsed="false">
      <c r="A30" s="19" t="n">
        <f aca="false">A29+1</f>
        <v>6</v>
      </c>
      <c r="B30" s="19" t="n">
        <f aca="false">INT((A30-1)/$C$6)+1</f>
        <v>1</v>
      </c>
      <c r="C30" s="15" t="n">
        <f aca="false">G29</f>
        <v>12824.4266543164</v>
      </c>
      <c r="D30" s="15" t="n">
        <f aca="false">$C$5*(1+$C$11)^(B30-1)</f>
        <v>500</v>
      </c>
      <c r="E30" s="15" t="n">
        <f aca="false">(C30+D30*$C$7)*$C$15</f>
        <v>74.8091554835125</v>
      </c>
      <c r="F30" s="15" t="n">
        <f aca="false">IF(E30&gt;0,E30*$C$13,0)</f>
        <v>0</v>
      </c>
      <c r="G30" s="15" t="n">
        <f aca="false">C30+D30+E30-F30</f>
        <v>13399.2358097999</v>
      </c>
      <c r="H30" s="15" t="n">
        <f aca="false">G30/(1+$C$12)^(A30/$C$6)</f>
        <v>13234.8217818264</v>
      </c>
      <c r="I30" s="15" t="n">
        <f aca="false">I29+D30</f>
        <v>13000</v>
      </c>
      <c r="J30" s="15" t="n">
        <f aca="false">J29+E30-F30</f>
        <v>399.235809799947</v>
      </c>
    </row>
    <row r="31" customFormat="false" ht="15" hidden="false" customHeight="false" outlineLevel="0" collapsed="false">
      <c r="A31" s="19" t="n">
        <f aca="false">A30+1</f>
        <v>7</v>
      </c>
      <c r="B31" s="19" t="n">
        <f aca="false">INT((A31-1)/$C$6)+1</f>
        <v>1</v>
      </c>
      <c r="C31" s="15" t="n">
        <f aca="false">G30</f>
        <v>13399.2358097999</v>
      </c>
      <c r="D31" s="15" t="n">
        <f aca="false">$C$5*(1+$C$11)^(B31-1)</f>
        <v>500</v>
      </c>
      <c r="E31" s="15" t="n">
        <f aca="false">(C31+D31*$C$7)*$C$15</f>
        <v>78.1622088904997</v>
      </c>
      <c r="F31" s="15" t="n">
        <f aca="false">IF(E31&gt;0,E31*$C$13,0)</f>
        <v>0</v>
      </c>
      <c r="G31" s="15" t="n">
        <f aca="false">C31+D31+E31-F31</f>
        <v>13977.3980186904</v>
      </c>
      <c r="H31" s="15" t="n">
        <f aca="false">G31/(1+$C$12)^(A31/$C$6)</f>
        <v>13777.5102918047</v>
      </c>
      <c r="I31" s="15" t="n">
        <f aca="false">I30+D31</f>
        <v>13500</v>
      </c>
      <c r="J31" s="15" t="n">
        <f aca="false">J30+E31-F31</f>
        <v>477.398018690447</v>
      </c>
    </row>
    <row r="32" customFormat="false" ht="15" hidden="false" customHeight="false" outlineLevel="0" collapsed="false">
      <c r="A32" s="19" t="n">
        <f aca="false">A31+1</f>
        <v>8</v>
      </c>
      <c r="B32" s="19" t="n">
        <f aca="false">INT((A32-1)/$C$6)+1</f>
        <v>1</v>
      </c>
      <c r="C32" s="15" t="n">
        <f aca="false">G31</f>
        <v>13977.3980186904</v>
      </c>
      <c r="D32" s="15" t="n">
        <f aca="false">$C$5*(1+$C$11)^(B32-1)</f>
        <v>500</v>
      </c>
      <c r="E32" s="15" t="n">
        <f aca="false">(C32+D32*$C$7)*$C$15</f>
        <v>81.5348217756943</v>
      </c>
      <c r="F32" s="15" t="n">
        <f aca="false">IF(E32&gt;0,E32*$C$13,0)</f>
        <v>0</v>
      </c>
      <c r="G32" s="15" t="n">
        <f aca="false">C32+D32+E32-F32</f>
        <v>14558.9328404661</v>
      </c>
      <c r="H32" s="15" t="n">
        <f aca="false">G32/(1+$C$12)^(A32/$C$6)</f>
        <v>14321.2293230768</v>
      </c>
      <c r="I32" s="15" t="n">
        <f aca="false">I31+D32</f>
        <v>14000</v>
      </c>
      <c r="J32" s="15" t="n">
        <f aca="false">J31+E32-F32</f>
        <v>558.932840466141</v>
      </c>
    </row>
    <row r="33" customFormat="false" ht="15" hidden="false" customHeight="false" outlineLevel="0" collapsed="false">
      <c r="A33" s="19" t="n">
        <f aca="false">A32+1</f>
        <v>9</v>
      </c>
      <c r="B33" s="19" t="n">
        <f aca="false">INT((A33-1)/$C$6)+1</f>
        <v>1</v>
      </c>
      <c r="C33" s="15" t="n">
        <f aca="false">G32</f>
        <v>14558.9328404661</v>
      </c>
      <c r="D33" s="15" t="n">
        <f aca="false">$C$5*(1+$C$11)^(B33-1)</f>
        <v>500</v>
      </c>
      <c r="E33" s="15" t="n">
        <f aca="false">(C33+D33*$C$7)*$C$15</f>
        <v>84.9271082360525</v>
      </c>
      <c r="F33" s="15" t="n">
        <f aca="false">IF(E33&gt;0,E33*$C$13,0)</f>
        <v>0</v>
      </c>
      <c r="G33" s="15" t="n">
        <f aca="false">C33+D33+E33-F33</f>
        <v>15143.8599487022</v>
      </c>
      <c r="H33" s="15" t="n">
        <f aca="false">G33/(1+$C$12)^(A33/$C$6)</f>
        <v>14865.9848388541</v>
      </c>
      <c r="I33" s="15" t="n">
        <f aca="false">I32+D33</f>
        <v>14500</v>
      </c>
      <c r="J33" s="15" t="n">
        <f aca="false">J32+E33-F33</f>
        <v>643.859948702193</v>
      </c>
    </row>
    <row r="34" customFormat="false" ht="15" hidden="false" customHeight="false" outlineLevel="0" collapsed="false">
      <c r="A34" s="19" t="n">
        <f aca="false">A33+1</f>
        <v>10</v>
      </c>
      <c r="B34" s="19" t="n">
        <f aca="false">INT((A34-1)/$C$6)+1</f>
        <v>1</v>
      </c>
      <c r="C34" s="15" t="n">
        <f aca="false">G33</f>
        <v>15143.8599487022</v>
      </c>
      <c r="D34" s="15" t="n">
        <f aca="false">$C$5*(1+$C$11)^(B34-1)</f>
        <v>500</v>
      </c>
      <c r="E34" s="15" t="n">
        <f aca="false">(C34+D34*$C$7)*$C$15</f>
        <v>88.3391830340961</v>
      </c>
      <c r="F34" s="15" t="n">
        <f aca="false">IF(E34&gt;0,E34*$C$13,0)</f>
        <v>0</v>
      </c>
      <c r="G34" s="15" t="n">
        <f aca="false">C34+D34+E34-F34</f>
        <v>15732.1991317363</v>
      </c>
      <c r="H34" s="15" t="n">
        <f aca="false">G34/(1+$C$12)^(A34/$C$6)</f>
        <v>15411.7828205233</v>
      </c>
      <c r="I34" s="15" t="n">
        <f aca="false">I33+D34</f>
        <v>15000</v>
      </c>
      <c r="J34" s="15" t="n">
        <f aca="false">J33+E34-F34</f>
        <v>732.19913173629</v>
      </c>
    </row>
    <row r="35" customFormat="false" ht="15" hidden="false" customHeight="false" outlineLevel="0" collapsed="false">
      <c r="A35" s="19" t="n">
        <f aca="false">A34+1</f>
        <v>11</v>
      </c>
      <c r="B35" s="19" t="n">
        <f aca="false">INT((A35-1)/$C$6)+1</f>
        <v>1</v>
      </c>
      <c r="C35" s="15" t="n">
        <f aca="false">G34</f>
        <v>15732.1991317363</v>
      </c>
      <c r="D35" s="15" t="n">
        <f aca="false">$C$5*(1+$C$11)^(B35-1)</f>
        <v>500</v>
      </c>
      <c r="E35" s="15" t="n">
        <f aca="false">(C35+D35*$C$7)*$C$15</f>
        <v>91.771161601795</v>
      </c>
      <c r="F35" s="15" t="n">
        <f aca="false">IF(E35&gt;0,E35*$C$13,0)</f>
        <v>0</v>
      </c>
      <c r="G35" s="15" t="n">
        <f aca="false">C35+D35+E35-F35</f>
        <v>16323.9702933381</v>
      </c>
      <c r="H35" s="15" t="n">
        <f aca="false">G35/(1+$C$12)^(A35/$C$6)</f>
        <v>15958.6292677231</v>
      </c>
      <c r="I35" s="15" t="n">
        <f aca="false">I34+D35</f>
        <v>15500</v>
      </c>
      <c r="J35" s="15" t="n">
        <f aca="false">J34+E35-F35</f>
        <v>823.970293338085</v>
      </c>
    </row>
    <row r="36" customFormat="false" ht="15" hidden="false" customHeight="false" outlineLevel="0" collapsed="false">
      <c r="A36" s="19" t="n">
        <f aca="false">A35+1</f>
        <v>12</v>
      </c>
      <c r="B36" s="19" t="n">
        <f aca="false">INT((A36-1)/$C$6)+1</f>
        <v>1</v>
      </c>
      <c r="C36" s="15" t="n">
        <f aca="false">G35</f>
        <v>16323.9702933381</v>
      </c>
      <c r="D36" s="15" t="n">
        <f aca="false">$C$5*(1+$C$11)^(B36-1)</f>
        <v>500</v>
      </c>
      <c r="E36" s="15" t="n">
        <f aca="false">(C36+D36*$C$7)*$C$15</f>
        <v>95.2231600444722</v>
      </c>
      <c r="F36" s="15" t="n">
        <f aca="false">IF(E36&gt;0,E36*$C$13,0)</f>
        <v>0</v>
      </c>
      <c r="G36" s="15" t="n">
        <f aca="false">C36+D36+E36-F36</f>
        <v>16919.1934533826</v>
      </c>
      <c r="H36" s="15" t="n">
        <f aca="false">G36/(1+$C$12)^(A36/$C$6)</f>
        <v>16506.530198422</v>
      </c>
      <c r="I36" s="15" t="n">
        <f aca="false">I35+D36</f>
        <v>16000</v>
      </c>
      <c r="J36" s="15" t="n">
        <f aca="false">J35+E36-F36</f>
        <v>919.193453382557</v>
      </c>
    </row>
    <row r="37" customFormat="false" ht="15" hidden="false" customHeight="false" outlineLevel="0" collapsed="false">
      <c r="A37" s="19" t="n">
        <f aca="false">A36+1</f>
        <v>13</v>
      </c>
      <c r="B37" s="19" t="n">
        <f aca="false">INT((A37-1)/$C$6)+1</f>
        <v>2</v>
      </c>
      <c r="C37" s="15" t="n">
        <f aca="false">G36</f>
        <v>16919.1934533826</v>
      </c>
      <c r="D37" s="15" t="n">
        <f aca="false">$C$5*(1+$C$11)^(B37-1)</f>
        <v>515</v>
      </c>
      <c r="E37" s="15" t="n">
        <f aca="false">(C37+D37*$C$7)*$C$15</f>
        <v>98.6952951447316</v>
      </c>
      <c r="F37" s="15" t="n">
        <f aca="false">IF(E37&gt;0,E37*$C$13,0)</f>
        <v>0</v>
      </c>
      <c r="G37" s="15" t="n">
        <f aca="false">C37+D37+E37-F37</f>
        <v>17532.8887485273</v>
      </c>
      <c r="H37" s="15" t="n">
        <f aca="false">G37/(1+$C$12)^(A37/$C$6)</f>
        <v>17070.0957133563</v>
      </c>
      <c r="I37" s="15" t="n">
        <f aca="false">I36+D37</f>
        <v>16515</v>
      </c>
      <c r="J37" s="15" t="n">
        <f aca="false">J36+E37-F37</f>
        <v>1017.88874852729</v>
      </c>
    </row>
    <row r="38" customFormat="false" ht="15" hidden="false" customHeight="false" outlineLevel="0" collapsed="false">
      <c r="A38" s="19" t="n">
        <f aca="false">A37+1</f>
        <v>14</v>
      </c>
      <c r="B38" s="19" t="n">
        <f aca="false">INT((A38-1)/$C$6)+1</f>
        <v>2</v>
      </c>
      <c r="C38" s="15" t="n">
        <f aca="false">G37</f>
        <v>17532.8887485273</v>
      </c>
      <c r="D38" s="15" t="n">
        <f aca="false">$C$5*(1+$C$11)^(B38-1)</f>
        <v>515</v>
      </c>
      <c r="E38" s="15" t="n">
        <f aca="false">(C38+D38*$C$7)*$C$15</f>
        <v>102.275184366409</v>
      </c>
      <c r="F38" s="15" t="n">
        <f aca="false">IF(E38&gt;0,E38*$C$13,0)</f>
        <v>0</v>
      </c>
      <c r="G38" s="15" t="n">
        <f aca="false">C38+D38+E38-F38</f>
        <v>18150.1639328937</v>
      </c>
      <c r="H38" s="15" t="n">
        <f aca="false">G38/(1+$C$12)^(A38/$C$6)</f>
        <v>17634.752777996</v>
      </c>
      <c r="I38" s="15" t="n">
        <f aca="false">I37+D38</f>
        <v>17030</v>
      </c>
      <c r="J38" s="15" t="n">
        <f aca="false">J37+E38-F38</f>
        <v>1120.1639328937</v>
      </c>
    </row>
    <row r="39" customFormat="false" ht="15" hidden="false" customHeight="false" outlineLevel="0" collapsed="false">
      <c r="A39" s="19" t="n">
        <f aca="false">A38+1</f>
        <v>15</v>
      </c>
      <c r="B39" s="19" t="n">
        <f aca="false">INT((A39-1)/$C$6)+1</f>
        <v>2</v>
      </c>
      <c r="C39" s="15" t="n">
        <f aca="false">G38</f>
        <v>18150.1639328937</v>
      </c>
      <c r="D39" s="15" t="n">
        <f aca="false">$C$5*(1+$C$11)^(B39-1)</f>
        <v>515</v>
      </c>
      <c r="E39" s="15" t="n">
        <f aca="false">(C39+D39*$C$7)*$C$15</f>
        <v>105.875956275213</v>
      </c>
      <c r="F39" s="15" t="n">
        <f aca="false">IF(E39&gt;0,E39*$C$13,0)</f>
        <v>0</v>
      </c>
      <c r="G39" s="15" t="n">
        <f aca="false">C39+D39+E39-F39</f>
        <v>18771.0398891689</v>
      </c>
      <c r="H39" s="15" t="n">
        <f aca="false">G39/(1+$C$12)^(A39/$C$6)</f>
        <v>18200.5076215256</v>
      </c>
      <c r="I39" s="15" t="n">
        <f aca="false">I38+D39</f>
        <v>17545</v>
      </c>
      <c r="J39" s="15" t="n">
        <f aca="false">J38+E39-F39</f>
        <v>1226.03988916891</v>
      </c>
    </row>
    <row r="40" customFormat="false" ht="15" hidden="false" customHeight="false" outlineLevel="0" collapsed="false">
      <c r="A40" s="19" t="n">
        <f aca="false">A39+1</f>
        <v>16</v>
      </c>
      <c r="B40" s="19" t="n">
        <f aca="false">INT((A40-1)/$C$6)+1</f>
        <v>2</v>
      </c>
      <c r="C40" s="15" t="n">
        <f aca="false">G39</f>
        <v>18771.0398891689</v>
      </c>
      <c r="D40" s="15" t="n">
        <f aca="false">$C$5*(1+$C$11)^(B40-1)</f>
        <v>515</v>
      </c>
      <c r="E40" s="15" t="n">
        <f aca="false">(C40+D40*$C$7)*$C$15</f>
        <v>109.497732686819</v>
      </c>
      <c r="F40" s="15" t="n">
        <f aca="false">IF(E40&gt;0,E40*$C$13,0)</f>
        <v>0</v>
      </c>
      <c r="G40" s="15" t="n">
        <f aca="false">C40+D40+E40-F40</f>
        <v>19395.5376218557</v>
      </c>
      <c r="H40" s="15" t="n">
        <f aca="false">G40/(1+$C$12)^(A40/$C$6)</f>
        <v>18767.3664922319</v>
      </c>
      <c r="I40" s="15" t="n">
        <f aca="false">I39+D40</f>
        <v>18060</v>
      </c>
      <c r="J40" s="15" t="n">
        <f aca="false">J39+E40-F40</f>
        <v>1335.53762185573</v>
      </c>
    </row>
    <row r="41" customFormat="false" ht="15" hidden="false" customHeight="false" outlineLevel="0" collapsed="false">
      <c r="A41" s="19" t="n">
        <f aca="false">A40+1</f>
        <v>17</v>
      </c>
      <c r="B41" s="19" t="n">
        <f aca="false">INT((A41-1)/$C$6)+1</f>
        <v>2</v>
      </c>
      <c r="C41" s="15" t="n">
        <f aca="false">G40</f>
        <v>19395.5376218557</v>
      </c>
      <c r="D41" s="15" t="n">
        <f aca="false">$C$5*(1+$C$11)^(B41-1)</f>
        <v>515</v>
      </c>
      <c r="E41" s="15" t="n">
        <f aca="false">(C41+D41*$C$7)*$C$15</f>
        <v>113.140636127492</v>
      </c>
      <c r="F41" s="15" t="n">
        <f aca="false">IF(E41&gt;0,E41*$C$13,0)</f>
        <v>0</v>
      </c>
      <c r="G41" s="15" t="n">
        <f aca="false">C41+D41+E41-F41</f>
        <v>20023.6782579832</v>
      </c>
      <c r="H41" s="15" t="n">
        <f aca="false">G41/(1+$C$12)^(A41/$C$6)</f>
        <v>19335.3356575849</v>
      </c>
      <c r="I41" s="15" t="n">
        <f aca="false">I40+D41</f>
        <v>18575</v>
      </c>
      <c r="J41" s="15" t="n">
        <f aca="false">J40+E41-F41</f>
        <v>1448.67825798322</v>
      </c>
    </row>
    <row r="42" customFormat="false" ht="15" hidden="false" customHeight="false" outlineLevel="0" collapsed="false">
      <c r="A42" s="19" t="n">
        <f aca="false">A41+1</f>
        <v>18</v>
      </c>
      <c r="B42" s="19" t="n">
        <f aca="false">INT((A42-1)/$C$6)+1</f>
        <v>2</v>
      </c>
      <c r="C42" s="15" t="n">
        <f aca="false">G41</f>
        <v>20023.6782579832</v>
      </c>
      <c r="D42" s="15" t="n">
        <f aca="false">$C$5*(1+$C$11)^(B42-1)</f>
        <v>515</v>
      </c>
      <c r="E42" s="15" t="n">
        <f aca="false">(C42+D42*$C$7)*$C$15</f>
        <v>116.804789838235</v>
      </c>
      <c r="F42" s="15" t="n">
        <f aca="false">IF(E42&gt;0,E42*$C$13,0)</f>
        <v>0</v>
      </c>
      <c r="G42" s="15" t="n">
        <f aca="false">C42+D42+E42-F42</f>
        <v>20655.4830478215</v>
      </c>
      <c r="H42" s="15" t="n">
        <f aca="false">G42/(1+$C$12)^(A42/$C$6)</f>
        <v>19904.4214043191</v>
      </c>
      <c r="I42" s="15" t="n">
        <f aca="false">I41+D42</f>
        <v>19090</v>
      </c>
      <c r="J42" s="15" t="n">
        <f aca="false">J41+E42-F42</f>
        <v>1565.48304782146</v>
      </c>
    </row>
    <row r="43" customFormat="false" ht="15" hidden="false" customHeight="false" outlineLevel="0" collapsed="false">
      <c r="A43" s="19" t="n">
        <f aca="false">A42+1</f>
        <v>19</v>
      </c>
      <c r="B43" s="19" t="n">
        <f aca="false">INT((A43-1)/$C$6)+1</f>
        <v>2</v>
      </c>
      <c r="C43" s="15" t="n">
        <f aca="false">G42</f>
        <v>20655.4830478215</v>
      </c>
      <c r="D43" s="15" t="n">
        <f aca="false">$C$5*(1+$C$11)^(B43-1)</f>
        <v>515</v>
      </c>
      <c r="E43" s="15" t="n">
        <f aca="false">(C43+D43*$C$7)*$C$15</f>
        <v>120.490317778958</v>
      </c>
      <c r="F43" s="15" t="n">
        <f aca="false">IF(E43&gt;0,E43*$C$13,0)</f>
        <v>0</v>
      </c>
      <c r="G43" s="15" t="n">
        <f aca="false">C43+D43+E43-F43</f>
        <v>21290.9733656004</v>
      </c>
      <c r="H43" s="15" t="n">
        <f aca="false">G43/(1+$C$12)^(A43/$C$6)</f>
        <v>20474.6300385147</v>
      </c>
      <c r="I43" s="15" t="n">
        <f aca="false">I42+D43</f>
        <v>19605</v>
      </c>
      <c r="J43" s="15" t="n">
        <f aca="false">J42+E43-F43</f>
        <v>1685.97336560041</v>
      </c>
    </row>
    <row r="44" customFormat="false" ht="15" hidden="false" customHeight="false" outlineLevel="0" collapsed="false">
      <c r="A44" s="19" t="n">
        <f aca="false">A43+1</f>
        <v>20</v>
      </c>
      <c r="B44" s="19" t="n">
        <f aca="false">INT((A44-1)/$C$6)+1</f>
        <v>2</v>
      </c>
      <c r="C44" s="15" t="n">
        <f aca="false">G43</f>
        <v>21290.9733656004</v>
      </c>
      <c r="D44" s="15" t="n">
        <f aca="false">$C$5*(1+$C$11)^(B44-1)</f>
        <v>515</v>
      </c>
      <c r="E44" s="15" t="n">
        <f aca="false">(C44+D44*$C$7)*$C$15</f>
        <v>124.197344632669</v>
      </c>
      <c r="F44" s="15" t="n">
        <f aca="false">IF(E44&gt;0,E44*$C$13,0)</f>
        <v>0</v>
      </c>
      <c r="G44" s="15" t="n">
        <f aca="false">C44+D44+E44-F44</f>
        <v>21930.1707102331</v>
      </c>
      <c r="H44" s="15" t="n">
        <f aca="false">G44/(1+$C$12)^(A44/$C$6)</f>
        <v>21045.9678856794</v>
      </c>
      <c r="I44" s="15" t="n">
        <f aca="false">I43+D44</f>
        <v>20120</v>
      </c>
      <c r="J44" s="15" t="n">
        <f aca="false">J43+E44-F44</f>
        <v>1810.17071023308</v>
      </c>
    </row>
    <row r="45" customFormat="false" ht="15" hidden="false" customHeight="false" outlineLevel="0" collapsed="false">
      <c r="A45" s="19" t="n">
        <f aca="false">A44+1</f>
        <v>21</v>
      </c>
      <c r="B45" s="19" t="n">
        <f aca="false">INT((A45-1)/$C$6)+1</f>
        <v>2</v>
      </c>
      <c r="C45" s="15" t="n">
        <f aca="false">G44</f>
        <v>21930.1707102331</v>
      </c>
      <c r="D45" s="15" t="n">
        <f aca="false">$C$5*(1+$C$11)^(B45-1)</f>
        <v>515</v>
      </c>
      <c r="E45" s="15" t="n">
        <f aca="false">(C45+D45*$C$7)*$C$15</f>
        <v>127.925995809693</v>
      </c>
      <c r="F45" s="15" t="n">
        <f aca="false">IF(E45&gt;0,E45*$C$13,0)</f>
        <v>0</v>
      </c>
      <c r="G45" s="15" t="n">
        <f aca="false">C45+D45+E45-F45</f>
        <v>22573.0967060428</v>
      </c>
      <c r="H45" s="15" t="n">
        <f aca="false">G45/(1+$C$12)^(A45/$C$6)</f>
        <v>21618.4412908307</v>
      </c>
      <c r="I45" s="15" t="n">
        <f aca="false">I44+D45</f>
        <v>20635</v>
      </c>
      <c r="J45" s="15" t="n">
        <f aca="false">J44+E45-F45</f>
        <v>1938.09670604278</v>
      </c>
    </row>
    <row r="46" customFormat="false" ht="15" hidden="false" customHeight="false" outlineLevel="0" collapsed="false">
      <c r="A46" s="19" t="n">
        <f aca="false">A45+1</f>
        <v>22</v>
      </c>
      <c r="B46" s="19" t="n">
        <f aca="false">INT((A46-1)/$C$6)+1</f>
        <v>2</v>
      </c>
      <c r="C46" s="15" t="n">
        <f aca="false">G45</f>
        <v>22573.0967060428</v>
      </c>
      <c r="D46" s="15" t="n">
        <f aca="false">$C$5*(1+$C$11)^(B46-1)</f>
        <v>515</v>
      </c>
      <c r="E46" s="15" t="n">
        <f aca="false">(C46+D46*$C$7)*$C$15</f>
        <v>131.676397451916</v>
      </c>
      <c r="F46" s="15" t="n">
        <f aca="false">IF(E46&gt;0,E46*$C$13,0)</f>
        <v>0</v>
      </c>
      <c r="G46" s="15" t="n">
        <f aca="false">C46+D46+E46-F46</f>
        <v>23219.7731034947</v>
      </c>
      <c r="H46" s="15" t="n">
        <f aca="false">G46/(1+$C$12)^(A46/$C$6)</f>
        <v>22192.0566185778</v>
      </c>
      <c r="I46" s="15" t="n">
        <f aca="false">I45+D46</f>
        <v>21150</v>
      </c>
      <c r="J46" s="15" t="n">
        <f aca="false">J45+E46-F46</f>
        <v>2069.77310349469</v>
      </c>
    </row>
    <row r="47" customFormat="false" ht="15" hidden="false" customHeight="false" outlineLevel="0" collapsed="false">
      <c r="A47" s="19" t="n">
        <f aca="false">A46+1</f>
        <v>23</v>
      </c>
      <c r="B47" s="19" t="n">
        <f aca="false">INT((A47-1)/$C$6)+1</f>
        <v>2</v>
      </c>
      <c r="C47" s="15" t="n">
        <f aca="false">G46</f>
        <v>23219.7731034947</v>
      </c>
      <c r="D47" s="15" t="n">
        <f aca="false">$C$5*(1+$C$11)^(B47-1)</f>
        <v>515</v>
      </c>
      <c r="E47" s="15" t="n">
        <f aca="false">(C47+D47*$C$7)*$C$15</f>
        <v>135.448676437052</v>
      </c>
      <c r="F47" s="15" t="n">
        <f aca="false">IF(E47&gt;0,E47*$C$13,0)</f>
        <v>0</v>
      </c>
      <c r="G47" s="15" t="n">
        <f aca="false">C47+D47+E47-F47</f>
        <v>23870.2217799317</v>
      </c>
      <c r="H47" s="15" t="n">
        <f aca="false">G47/(1+$C$12)^(A47/$C$6)</f>
        <v>22766.8202532048</v>
      </c>
      <c r="I47" s="15" t="n">
        <f aca="false">I46+D47</f>
        <v>21665</v>
      </c>
      <c r="J47" s="15" t="n">
        <f aca="false">J46+E47-F47</f>
        <v>2205.22177993175</v>
      </c>
    </row>
    <row r="48" customFormat="false" ht="15" hidden="false" customHeight="false" outlineLevel="0" collapsed="false">
      <c r="A48" s="19" t="n">
        <f aca="false">A47+1</f>
        <v>24</v>
      </c>
      <c r="B48" s="19" t="n">
        <f aca="false">INT((A48-1)/$C$6)+1</f>
        <v>2</v>
      </c>
      <c r="C48" s="15" t="n">
        <f aca="false">G47</f>
        <v>23870.2217799317</v>
      </c>
      <c r="D48" s="15" t="n">
        <f aca="false">$C$5*(1+$C$11)^(B48-1)</f>
        <v>515</v>
      </c>
      <c r="E48" s="15" t="n">
        <f aca="false">(C48+D48*$C$7)*$C$15</f>
        <v>139.242960382935</v>
      </c>
      <c r="F48" s="15" t="n">
        <f aca="false">IF(E48&gt;0,E48*$C$13,0)</f>
        <v>0</v>
      </c>
      <c r="G48" s="15" t="n">
        <f aca="false">C48+D48+E48-F48</f>
        <v>24524.4647403147</v>
      </c>
      <c r="H48" s="15" t="n">
        <f aca="false">G48/(1+$C$12)^(A48/$C$6)</f>
        <v>23342.7385987528</v>
      </c>
      <c r="I48" s="15" t="n">
        <f aca="false">I47+D48</f>
        <v>22180</v>
      </c>
      <c r="J48" s="15" t="n">
        <f aca="false">J47+E48-F48</f>
        <v>2344.46474031468</v>
      </c>
    </row>
    <row r="49" customFormat="false" ht="15" hidden="false" customHeight="false" outlineLevel="0" collapsed="false">
      <c r="A49" s="19" t="n">
        <f aca="false">A48+1</f>
        <v>25</v>
      </c>
      <c r="B49" s="19" t="n">
        <f aca="false">INT((A49-1)/$C$6)+1</f>
        <v>3</v>
      </c>
      <c r="C49" s="15" t="n">
        <f aca="false">G48</f>
        <v>24524.4647403147</v>
      </c>
      <c r="D49" s="15" t="n">
        <f aca="false">$C$5*(1+$C$11)^(B49-1)</f>
        <v>530.45</v>
      </c>
      <c r="E49" s="15" t="n">
        <f aca="false">(C49+D49*$C$7)*$C$15</f>
        <v>143.059377651836</v>
      </c>
      <c r="F49" s="15" t="n">
        <f aca="false">IF(E49&gt;0,E49*$C$13,0)</f>
        <v>0</v>
      </c>
      <c r="G49" s="15" t="n">
        <f aca="false">C49+D49+E49-F49</f>
        <v>25197.9741179665</v>
      </c>
      <c r="H49" s="15" t="n">
        <f aca="false">G49/(1+$C$12)^(A49/$C$6)</f>
        <v>23934.4933828024</v>
      </c>
      <c r="I49" s="15" t="n">
        <f aca="false">I48+D49</f>
        <v>22710.45</v>
      </c>
      <c r="J49" s="15" t="n">
        <f aca="false">J48+E49-F49</f>
        <v>2487.52411796652</v>
      </c>
    </row>
    <row r="50" customFormat="false" ht="15" hidden="false" customHeight="false" outlineLevel="0" collapsed="false">
      <c r="A50" s="19" t="n">
        <f aca="false">A49+1</f>
        <v>26</v>
      </c>
      <c r="B50" s="19" t="n">
        <f aca="false">INT((A50-1)/$C$6)+1</f>
        <v>3</v>
      </c>
      <c r="C50" s="15" t="n">
        <f aca="false">G49</f>
        <v>25197.9741179665</v>
      </c>
      <c r="D50" s="15" t="n">
        <f aca="false">$C$5*(1+$C$11)^(B50-1)</f>
        <v>530.45</v>
      </c>
      <c r="E50" s="15" t="n">
        <f aca="false">(C50+D50*$C$7)*$C$15</f>
        <v>146.988182354805</v>
      </c>
      <c r="F50" s="15" t="n">
        <f aca="false">IF(E50&gt;0,E50*$C$13,0)</f>
        <v>0</v>
      </c>
      <c r="G50" s="15" t="n">
        <f aca="false">C50+D50+E50-F50</f>
        <v>25875.4123003213</v>
      </c>
      <c r="H50" s="15" t="n">
        <f aca="false">G50/(1+$C$12)^(A50/$C$6)</f>
        <v>24527.4408422588</v>
      </c>
      <c r="I50" s="15" t="n">
        <f aca="false">I49+D50</f>
        <v>23240.9</v>
      </c>
      <c r="J50" s="15" t="n">
        <f aca="false">J49+E50-F50</f>
        <v>2634.51230032132</v>
      </c>
    </row>
    <row r="51" customFormat="false" ht="15" hidden="false" customHeight="false" outlineLevel="0" collapsed="false">
      <c r="A51" s="19" t="n">
        <f aca="false">A50+1</f>
        <v>27</v>
      </c>
      <c r="B51" s="19" t="n">
        <f aca="false">INT((A51-1)/$C$6)+1</f>
        <v>3</v>
      </c>
      <c r="C51" s="15" t="n">
        <f aca="false">G50</f>
        <v>25875.4123003213</v>
      </c>
      <c r="D51" s="15" t="n">
        <f aca="false">$C$5*(1+$C$11)^(B51-1)</f>
        <v>530.45</v>
      </c>
      <c r="E51" s="15" t="n">
        <f aca="false">(C51+D51*$C$7)*$C$15</f>
        <v>150.939905085208</v>
      </c>
      <c r="F51" s="15" t="n">
        <f aca="false">IF(E51&gt;0,E51*$C$13,0)</f>
        <v>0</v>
      </c>
      <c r="G51" s="15" t="n">
        <f aca="false">C51+D51+E51-F51</f>
        <v>26556.8022054065</v>
      </c>
      <c r="H51" s="15" t="n">
        <f aca="false">G51/(1+$C$12)^(A51/$C$6)</f>
        <v>25121.5875974546</v>
      </c>
      <c r="I51" s="15" t="n">
        <f aca="false">I50+D51</f>
        <v>23771.35</v>
      </c>
      <c r="J51" s="15" t="n">
        <f aca="false">J50+E51-F51</f>
        <v>2785.45220540653</v>
      </c>
    </row>
    <row r="52" customFormat="false" ht="15" hidden="false" customHeight="false" outlineLevel="0" collapsed="false">
      <c r="A52" s="19" t="n">
        <f aca="false">A51+1</f>
        <v>28</v>
      </c>
      <c r="B52" s="19" t="n">
        <f aca="false">INT((A52-1)/$C$6)+1</f>
        <v>3</v>
      </c>
      <c r="C52" s="15" t="n">
        <f aca="false">G51</f>
        <v>26556.8022054065</v>
      </c>
      <c r="D52" s="15" t="n">
        <f aca="false">$C$5*(1+$C$11)^(B52-1)</f>
        <v>530.45</v>
      </c>
      <c r="E52" s="15" t="n">
        <f aca="false">(C52+D52*$C$7)*$C$15</f>
        <v>154.914679531538</v>
      </c>
      <c r="F52" s="15" t="n">
        <f aca="false">IF(E52&gt;0,E52*$C$13,0)</f>
        <v>0</v>
      </c>
      <c r="G52" s="15" t="n">
        <f aca="false">C52+D52+E52-F52</f>
        <v>27242.1668849381</v>
      </c>
      <c r="H52" s="15" t="n">
        <f aca="false">G52/(1+$C$12)^(A52/$C$6)</f>
        <v>25716.9402892767</v>
      </c>
      <c r="I52" s="15" t="n">
        <f aca="false">I51+D52</f>
        <v>24301.8</v>
      </c>
      <c r="J52" s="15" t="n">
        <f aca="false">J51+E52-F52</f>
        <v>2940.36688493807</v>
      </c>
    </row>
    <row r="53" customFormat="false" ht="15" hidden="false" customHeight="false" outlineLevel="0" collapsed="false">
      <c r="A53" s="19" t="n">
        <f aca="false">A52+1</f>
        <v>29</v>
      </c>
      <c r="B53" s="19" t="n">
        <f aca="false">INT((A53-1)/$C$6)+1</f>
        <v>3</v>
      </c>
      <c r="C53" s="15" t="n">
        <f aca="false">G52</f>
        <v>27242.1668849381</v>
      </c>
      <c r="D53" s="15" t="n">
        <f aca="false">$C$5*(1+$C$11)^(B53-1)</f>
        <v>530.45</v>
      </c>
      <c r="E53" s="15" t="n">
        <f aca="false">(C53+D53*$C$7)*$C$15</f>
        <v>158.912640162139</v>
      </c>
      <c r="F53" s="15" t="n">
        <f aca="false">IF(E53&gt;0,E53*$C$13,0)</f>
        <v>0</v>
      </c>
      <c r="G53" s="15" t="n">
        <f aca="false">C53+D53+E53-F53</f>
        <v>27931.5295251002</v>
      </c>
      <c r="H53" s="15" t="n">
        <f aca="false">G53/(1+$C$12)^(A53/$C$6)</f>
        <v>26313.5055792522</v>
      </c>
      <c r="I53" s="15" t="n">
        <f aca="false">I52+D53</f>
        <v>24832.25</v>
      </c>
      <c r="J53" s="15" t="n">
        <f aca="false">J52+E53-F53</f>
        <v>3099.27952510021</v>
      </c>
    </row>
    <row r="54" customFormat="false" ht="15" hidden="false" customHeight="false" outlineLevel="0" collapsed="false">
      <c r="A54" s="19" t="n">
        <f aca="false">A53+1</f>
        <v>30</v>
      </c>
      <c r="B54" s="19" t="n">
        <f aca="false">INT((A54-1)/$C$6)+1</f>
        <v>3</v>
      </c>
      <c r="C54" s="15" t="n">
        <f aca="false">G53</f>
        <v>27931.5295251002</v>
      </c>
      <c r="D54" s="15" t="n">
        <f aca="false">$C$5*(1+$C$11)^(B54-1)</f>
        <v>530.45</v>
      </c>
      <c r="E54" s="15" t="n">
        <f aca="false">(C54+D54*$C$7)*$C$15</f>
        <v>162.933922229751</v>
      </c>
      <c r="F54" s="15" t="n">
        <f aca="false">IF(E54&gt;0,E54*$C$13,0)</f>
        <v>0</v>
      </c>
      <c r="G54" s="15" t="n">
        <f aca="false">C54+D54+E54-F54</f>
        <v>28624.91344733</v>
      </c>
      <c r="H54" s="15" t="n">
        <f aca="false">G54/(1+$C$12)^(A54/$C$6)</f>
        <v>26911.2901496354</v>
      </c>
      <c r="I54" s="15" t="n">
        <f aca="false">I53+D54</f>
        <v>25362.7</v>
      </c>
      <c r="J54" s="15" t="n">
        <f aca="false">J53+E54-F54</f>
        <v>3262.21344732996</v>
      </c>
    </row>
    <row r="55" customFormat="false" ht="15" hidden="false" customHeight="false" outlineLevel="0" collapsed="false">
      <c r="A55" s="19" t="n">
        <f aca="false">A54+1</f>
        <v>31</v>
      </c>
      <c r="B55" s="19" t="n">
        <f aca="false">INT((A55-1)/$C$6)+1</f>
        <v>3</v>
      </c>
      <c r="C55" s="15" t="n">
        <f aca="false">G54</f>
        <v>28624.91344733</v>
      </c>
      <c r="D55" s="15" t="n">
        <f aca="false">$C$5*(1+$C$11)^(B55-1)</f>
        <v>530.45</v>
      </c>
      <c r="E55" s="15" t="n">
        <f aca="false">(C55+D55*$C$7)*$C$15</f>
        <v>166.978661776091</v>
      </c>
      <c r="F55" s="15" t="n">
        <f aca="false">IF(E55&gt;0,E55*$C$13,0)</f>
        <v>0</v>
      </c>
      <c r="G55" s="15" t="n">
        <f aca="false">C55+D55+E55-F55</f>
        <v>29322.3421091061</v>
      </c>
      <c r="H55" s="15" t="n">
        <f aca="false">G55/(1+$C$12)^(A55/$C$6)</f>
        <v>27510.3007034947</v>
      </c>
      <c r="I55" s="15" t="n">
        <f aca="false">I54+D55</f>
        <v>25893.15</v>
      </c>
      <c r="J55" s="15" t="n">
        <f aca="false">J54+E55-F55</f>
        <v>3429.19210910605</v>
      </c>
    </row>
    <row r="56" customFormat="false" ht="15" hidden="false" customHeight="false" outlineLevel="0" collapsed="false">
      <c r="A56" s="19" t="n">
        <f aca="false">A55+1</f>
        <v>32</v>
      </c>
      <c r="B56" s="19" t="n">
        <f aca="false">INT((A56-1)/$C$6)+1</f>
        <v>3</v>
      </c>
      <c r="C56" s="15" t="n">
        <f aca="false">G55</f>
        <v>29322.3421091061</v>
      </c>
      <c r="D56" s="15" t="n">
        <f aca="false">$C$5*(1+$C$11)^(B56-1)</f>
        <v>530.45</v>
      </c>
      <c r="E56" s="15" t="n">
        <f aca="false">(C56+D56*$C$7)*$C$15</f>
        <v>171.046995636452</v>
      </c>
      <c r="F56" s="15" t="n">
        <f aca="false">IF(E56&gt;0,E56*$C$13,0)</f>
        <v>0</v>
      </c>
      <c r="G56" s="15" t="n">
        <f aca="false">C56+D56+E56-F56</f>
        <v>30023.8391047425</v>
      </c>
      <c r="H56" s="15" t="n">
        <f aca="false">G56/(1+$C$12)^(A56/$C$6)</f>
        <v>28110.5439648001</v>
      </c>
      <c r="I56" s="15" t="n">
        <f aca="false">I55+D56</f>
        <v>26423.6</v>
      </c>
      <c r="J56" s="15" t="n">
        <f aca="false">J55+E56-F56</f>
        <v>3600.2391047425</v>
      </c>
    </row>
    <row r="57" customFormat="false" ht="15" hidden="false" customHeight="false" outlineLevel="0" collapsed="false">
      <c r="A57" s="19" t="n">
        <f aca="false">A56+1</f>
        <v>33</v>
      </c>
      <c r="B57" s="19" t="n">
        <f aca="false">INT((A57-1)/$C$6)+1</f>
        <v>3</v>
      </c>
      <c r="C57" s="15" t="n">
        <f aca="false">G56</f>
        <v>30023.8391047425</v>
      </c>
      <c r="D57" s="15" t="n">
        <f aca="false">$C$5*(1+$C$11)^(B57-1)</f>
        <v>530.45</v>
      </c>
      <c r="E57" s="15" t="n">
        <f aca="false">(C57+D57*$C$7)*$C$15</f>
        <v>175.139061444331</v>
      </c>
      <c r="F57" s="15" t="n">
        <f aca="false">IF(E57&gt;0,E57*$C$13,0)</f>
        <v>0</v>
      </c>
      <c r="G57" s="15" t="n">
        <f aca="false">C57+D57+E57-F57</f>
        <v>30729.4281661868</v>
      </c>
      <c r="H57" s="15" t="n">
        <f aca="false">G57/(1+$C$12)^(A57/$C$6)</f>
        <v>28712.0266785105</v>
      </c>
      <c r="I57" s="15" t="n">
        <f aca="false">I56+D57</f>
        <v>26954.05</v>
      </c>
      <c r="J57" s="15" t="n">
        <f aca="false">J56+E57-F57</f>
        <v>3775.37816618683</v>
      </c>
    </row>
    <row r="58" customFormat="false" ht="15" hidden="false" customHeight="false" outlineLevel="0" collapsed="false">
      <c r="A58" s="19" t="n">
        <f aca="false">A57+1</f>
        <v>34</v>
      </c>
      <c r="B58" s="19" t="n">
        <f aca="false">INT((A58-1)/$C$6)+1</f>
        <v>3</v>
      </c>
      <c r="C58" s="15" t="n">
        <f aca="false">G57</f>
        <v>30729.4281661868</v>
      </c>
      <c r="D58" s="15" t="n">
        <f aca="false">$C$5*(1+$C$11)^(B58-1)</f>
        <v>530.45</v>
      </c>
      <c r="E58" s="15" t="n">
        <f aca="false">(C58+D58*$C$7)*$C$15</f>
        <v>179.25499763609</v>
      </c>
      <c r="F58" s="15" t="n">
        <f aca="false">IF(E58&gt;0,E58*$C$13,0)</f>
        <v>0</v>
      </c>
      <c r="G58" s="15" t="n">
        <f aca="false">C58+D58+E58-F58</f>
        <v>31439.1331638229</v>
      </c>
      <c r="H58" s="15" t="n">
        <f aca="false">G58/(1+$C$12)^(A58/$C$6)</f>
        <v>29314.7556106619</v>
      </c>
      <c r="I58" s="15" t="n">
        <f aca="false">I57+D58</f>
        <v>27484.5</v>
      </c>
      <c r="J58" s="15" t="n">
        <f aca="false">J57+E58-F58</f>
        <v>3954.63316382292</v>
      </c>
    </row>
    <row r="59" customFormat="false" ht="15" hidden="false" customHeight="false" outlineLevel="0" collapsed="false">
      <c r="A59" s="19" t="n">
        <f aca="false">A58+1</f>
        <v>35</v>
      </c>
      <c r="B59" s="19" t="n">
        <f aca="false">INT((A59-1)/$C$6)+1</f>
        <v>3</v>
      </c>
      <c r="C59" s="15" t="n">
        <f aca="false">G58</f>
        <v>31439.1331638229</v>
      </c>
      <c r="D59" s="15" t="n">
        <f aca="false">$C$5*(1+$C$11)^(B59-1)</f>
        <v>530.45</v>
      </c>
      <c r="E59" s="15" t="n">
        <f aca="false">(C59+D59*$C$7)*$C$15</f>
        <v>183.394943455634</v>
      </c>
      <c r="F59" s="15" t="n">
        <f aca="false">IF(E59&gt;0,E59*$C$13,0)</f>
        <v>0</v>
      </c>
      <c r="G59" s="15" t="n">
        <f aca="false">C59+D59+E59-F59</f>
        <v>32152.9781072786</v>
      </c>
      <c r="H59" s="15" t="n">
        <f aca="false">G59/(1+$C$12)^(A59/$C$6)</f>
        <v>29918.7375484557</v>
      </c>
      <c r="I59" s="15" t="n">
        <f aca="false">I58+D59</f>
        <v>28014.95</v>
      </c>
      <c r="J59" s="15" t="n">
        <f aca="false">J58+E59-F59</f>
        <v>4138.02810727856</v>
      </c>
    </row>
    <row r="60" customFormat="false" ht="15" hidden="false" customHeight="false" outlineLevel="0" collapsed="false">
      <c r="A60" s="19" t="n">
        <f aca="false">A59+1</f>
        <v>36</v>
      </c>
      <c r="B60" s="19" t="n">
        <f aca="false">INT((A60-1)/$C$6)+1</f>
        <v>3</v>
      </c>
      <c r="C60" s="15" t="n">
        <f aca="false">G59</f>
        <v>32152.9781072786</v>
      </c>
      <c r="D60" s="15" t="n">
        <f aca="false">$C$5*(1+$C$11)^(B60-1)</f>
        <v>530.45</v>
      </c>
      <c r="E60" s="15" t="n">
        <f aca="false">(C60+D60*$C$7)*$C$15</f>
        <v>187.559038959125</v>
      </c>
      <c r="F60" s="15" t="n">
        <f aca="false">IF(E60&gt;0,E60*$C$13,0)</f>
        <v>0</v>
      </c>
      <c r="G60" s="15" t="n">
        <f aca="false">C60+D60+E60-F60</f>
        <v>32870.9871462377</v>
      </c>
      <c r="H60" s="15" t="n">
        <f aca="false">G60/(1+$C$12)^(A60/$C$6)</f>
        <v>30523.979300347</v>
      </c>
      <c r="I60" s="15" t="n">
        <f aca="false">I59+D60</f>
        <v>28545.4</v>
      </c>
      <c r="J60" s="15" t="n">
        <f aca="false">J59+E60-F60</f>
        <v>4325.58714623768</v>
      </c>
    </row>
    <row r="61" customFormat="false" ht="15" hidden="false" customHeight="false" outlineLevel="0" collapsed="false">
      <c r="A61" s="19" t="n">
        <f aca="false">A60+1</f>
        <v>37</v>
      </c>
      <c r="B61" s="19" t="n">
        <f aca="false">INT((A61-1)/$C$6)+1</f>
        <v>4</v>
      </c>
      <c r="C61" s="15" t="n">
        <f aca="false">G60</f>
        <v>32870.9871462377</v>
      </c>
      <c r="D61" s="15" t="n">
        <f aca="false">$C$5*(1+$C$11)^(B61-1)</f>
        <v>546.3635</v>
      </c>
      <c r="E61" s="15" t="n">
        <f aca="false">(C61+D61*$C$7)*$C$15</f>
        <v>191.74742501972</v>
      </c>
      <c r="F61" s="15" t="n">
        <f aca="false">IF(E61&gt;0,E61*$C$13,0)</f>
        <v>0</v>
      </c>
      <c r="G61" s="15" t="n">
        <f aca="false">C61+D61+E61-F61</f>
        <v>33609.0980712574</v>
      </c>
      <c r="H61" s="15" t="n">
        <f aca="false">G61/(1+$C$12)^(A61/$C$6)</f>
        <v>31145.2345866793</v>
      </c>
      <c r="I61" s="15" t="n">
        <f aca="false">I60+D61</f>
        <v>29091.7635</v>
      </c>
      <c r="J61" s="15" t="n">
        <f aca="false">J60+E61-F61</f>
        <v>4517.3345712574</v>
      </c>
    </row>
    <row r="62" customFormat="false" ht="15" hidden="false" customHeight="false" outlineLevel="0" collapsed="false">
      <c r="A62" s="19" t="n">
        <f aca="false">A61+1</f>
        <v>38</v>
      </c>
      <c r="B62" s="19" t="n">
        <f aca="false">INT((A62-1)/$C$6)+1</f>
        <v>4</v>
      </c>
      <c r="C62" s="15" t="n">
        <f aca="false">G61</f>
        <v>33609.0980712574</v>
      </c>
      <c r="D62" s="15" t="n">
        <f aca="false">$C$5*(1+$C$11)^(B62-1)</f>
        <v>546.3635</v>
      </c>
      <c r="E62" s="15" t="n">
        <f aca="false">(C62+D62*$C$7)*$C$15</f>
        <v>196.053072082335</v>
      </c>
      <c r="F62" s="15" t="n">
        <f aca="false">IF(E62&gt;0,E62*$C$13,0)</f>
        <v>0</v>
      </c>
      <c r="G62" s="15" t="n">
        <f aca="false">C62+D62+E62-F62</f>
        <v>34351.5146433397</v>
      </c>
      <c r="H62" s="15" t="n">
        <f aca="false">G62/(1+$C$12)^(A62/$C$6)</f>
        <v>31767.7885873576</v>
      </c>
      <c r="I62" s="15" t="n">
        <f aca="false">I61+D62</f>
        <v>29638.127</v>
      </c>
      <c r="J62" s="15" t="n">
        <f aca="false">J61+E62-F62</f>
        <v>4713.38764333973</v>
      </c>
    </row>
    <row r="63" customFormat="false" ht="15" hidden="false" customHeight="false" outlineLevel="0" collapsed="false">
      <c r="A63" s="19" t="n">
        <f aca="false">A62+1</f>
        <v>39</v>
      </c>
      <c r="B63" s="19" t="n">
        <f aca="false">INT((A63-1)/$C$6)+1</f>
        <v>4</v>
      </c>
      <c r="C63" s="15" t="n">
        <f aca="false">G62</f>
        <v>34351.5146433397</v>
      </c>
      <c r="D63" s="15" t="n">
        <f aca="false">$C$5*(1+$C$11)^(B63-1)</f>
        <v>546.3635</v>
      </c>
      <c r="E63" s="15" t="n">
        <f aca="false">(C63+D63*$C$7)*$C$15</f>
        <v>200.383835419482</v>
      </c>
      <c r="F63" s="15" t="n">
        <f aca="false">IF(E63&gt;0,E63*$C$13,0)</f>
        <v>0</v>
      </c>
      <c r="G63" s="15" t="n">
        <f aca="false">C63+D63+E63-F63</f>
        <v>35098.2619787592</v>
      </c>
      <c r="H63" s="15" t="n">
        <f aca="false">G63/(1+$C$12)^(A63/$C$6)</f>
        <v>32391.6483324152</v>
      </c>
      <c r="I63" s="15" t="n">
        <f aca="false">I62+D63</f>
        <v>30184.4905</v>
      </c>
      <c r="J63" s="15" t="n">
        <f aca="false">J62+E63-F63</f>
        <v>4913.77147875922</v>
      </c>
    </row>
    <row r="64" customFormat="false" ht="15" hidden="false" customHeight="false" outlineLevel="0" collapsed="false">
      <c r="A64" s="19" t="n">
        <f aca="false">A63+1</f>
        <v>40</v>
      </c>
      <c r="B64" s="19" t="n">
        <f aca="false">INT((A64-1)/$C$6)+1</f>
        <v>4</v>
      </c>
      <c r="C64" s="15" t="n">
        <f aca="false">G63</f>
        <v>35098.2619787592</v>
      </c>
      <c r="D64" s="15" t="n">
        <f aca="false">$C$5*(1+$C$11)^(B64-1)</f>
        <v>546.3635</v>
      </c>
      <c r="E64" s="15" t="n">
        <f aca="false">(C64+D64*$C$7)*$C$15</f>
        <v>204.739861542762</v>
      </c>
      <c r="F64" s="15" t="n">
        <f aca="false">IF(E64&gt;0,E64*$C$13,0)</f>
        <v>0</v>
      </c>
      <c r="G64" s="15" t="n">
        <f aca="false">C64+D64+E64-F64</f>
        <v>35849.365340302</v>
      </c>
      <c r="H64" s="15" t="n">
        <f aca="false">G64/(1+$C$12)^(A64/$C$6)</f>
        <v>33016.8208739608</v>
      </c>
      <c r="I64" s="15" t="n">
        <f aca="false">I63+D64</f>
        <v>30730.854</v>
      </c>
      <c r="J64" s="15" t="n">
        <f aca="false">J63+E64-F64</f>
        <v>5118.51134030198</v>
      </c>
    </row>
    <row r="65" customFormat="false" ht="15" hidden="false" customHeight="false" outlineLevel="0" collapsed="false">
      <c r="A65" s="19" t="n">
        <f aca="false">A64+1</f>
        <v>41</v>
      </c>
      <c r="B65" s="19" t="n">
        <f aca="false">INT((A65-1)/$C$6)+1</f>
        <v>4</v>
      </c>
      <c r="C65" s="15" t="n">
        <f aca="false">G64</f>
        <v>35849.365340302</v>
      </c>
      <c r="D65" s="15" t="n">
        <f aca="false">$C$5*(1+$C$11)^(B65-1)</f>
        <v>546.3635</v>
      </c>
      <c r="E65" s="15" t="n">
        <f aca="false">(C65+D65*$C$7)*$C$15</f>
        <v>209.121297818428</v>
      </c>
      <c r="F65" s="15" t="n">
        <f aca="false">IF(E65&gt;0,E65*$C$13,0)</f>
        <v>0</v>
      </c>
      <c r="G65" s="15" t="n">
        <f aca="false">C65+D65+E65-F65</f>
        <v>36604.8501381204</v>
      </c>
      <c r="H65" s="15" t="n">
        <f aca="false">G65/(1+$C$12)^(A65/$C$6)</f>
        <v>33643.3132862712</v>
      </c>
      <c r="I65" s="15" t="n">
        <f aca="false">I64+D65</f>
        <v>31277.2175</v>
      </c>
      <c r="J65" s="15" t="n">
        <f aca="false">J64+E65-F65</f>
        <v>5327.63263812041</v>
      </c>
    </row>
    <row r="66" customFormat="false" ht="15" hidden="false" customHeight="false" outlineLevel="0" collapsed="false">
      <c r="A66" s="19" t="n">
        <f aca="false">A65+1</f>
        <v>42</v>
      </c>
      <c r="B66" s="19" t="n">
        <f aca="false">INT((A66-1)/$C$6)+1</f>
        <v>4</v>
      </c>
      <c r="C66" s="15" t="n">
        <f aca="false">G65</f>
        <v>36604.8501381204</v>
      </c>
      <c r="D66" s="15" t="n">
        <f aca="false">$C$5*(1+$C$11)^(B66-1)</f>
        <v>546.3635</v>
      </c>
      <c r="E66" s="15" t="n">
        <f aca="false">(C66+D66*$C$7)*$C$15</f>
        <v>213.528292472369</v>
      </c>
      <c r="F66" s="15" t="n">
        <f aca="false">IF(E66&gt;0,E66*$C$13,0)</f>
        <v>0</v>
      </c>
      <c r="G66" s="15" t="n">
        <f aca="false">C66+D66+E66-F66</f>
        <v>37364.7419305928</v>
      </c>
      <c r="H66" s="15" t="n">
        <f aca="false">G66/(1+$C$12)^(A66/$C$6)</f>
        <v>34271.1326658828</v>
      </c>
      <c r="I66" s="15" t="n">
        <f aca="false">I65+D66</f>
        <v>31823.581</v>
      </c>
      <c r="J66" s="15" t="n">
        <f aca="false">J65+E66-F66</f>
        <v>5541.16093059278</v>
      </c>
    </row>
    <row r="67" customFormat="false" ht="15" hidden="false" customHeight="false" outlineLevel="0" collapsed="false">
      <c r="A67" s="19" t="n">
        <f aca="false">A66+1</f>
        <v>43</v>
      </c>
      <c r="B67" s="19" t="n">
        <f aca="false">INT((A67-1)/$C$6)+1</f>
        <v>4</v>
      </c>
      <c r="C67" s="15" t="n">
        <f aca="false">G66</f>
        <v>37364.7419305928</v>
      </c>
      <c r="D67" s="15" t="n">
        <f aca="false">$C$5*(1+$C$11)^(B67-1)</f>
        <v>546.3635</v>
      </c>
      <c r="E67" s="15" t="n">
        <f aca="false">(C67+D67*$C$7)*$C$15</f>
        <v>217.960994595125</v>
      </c>
      <c r="F67" s="15" t="n">
        <f aca="false">IF(E67&gt;0,E67*$C$13,0)</f>
        <v>0</v>
      </c>
      <c r="G67" s="15" t="n">
        <f aca="false">C67+D67+E67-F67</f>
        <v>38129.0664251879</v>
      </c>
      <c r="H67" s="15" t="n">
        <f aca="false">G67/(1+$C$12)^(A67/$C$6)</f>
        <v>34900.2861316854</v>
      </c>
      <c r="I67" s="15" t="n">
        <f aca="false">I66+D67</f>
        <v>32369.9445</v>
      </c>
      <c r="J67" s="15" t="n">
        <f aca="false">J66+E67-F67</f>
        <v>5759.1219251879</v>
      </c>
    </row>
    <row r="68" customFormat="false" ht="15" hidden="false" customHeight="false" outlineLevel="0" collapsed="false">
      <c r="A68" s="19" t="n">
        <f aca="false">A67+1</f>
        <v>44</v>
      </c>
      <c r="B68" s="19" t="n">
        <f aca="false">INT((A68-1)/$C$6)+1</f>
        <v>4</v>
      </c>
      <c r="C68" s="15" t="n">
        <f aca="false">G67</f>
        <v>38129.0664251879</v>
      </c>
      <c r="D68" s="15" t="n">
        <f aca="false">$C$5*(1+$C$11)^(B68-1)</f>
        <v>546.3635</v>
      </c>
      <c r="E68" s="15" t="n">
        <f aca="false">(C68+D68*$C$7)*$C$15</f>
        <v>222.419554146929</v>
      </c>
      <c r="F68" s="15" t="n">
        <f aca="false">IF(E68&gt;0,E68*$C$13,0)</f>
        <v>0</v>
      </c>
      <c r="G68" s="15" t="n">
        <f aca="false">C68+D68+E68-F68</f>
        <v>38897.8494793348</v>
      </c>
      <c r="H68" s="15" t="n">
        <f aca="false">G68/(1+$C$12)^(A68/$C$6)</f>
        <v>35530.7808250148</v>
      </c>
      <c r="I68" s="15" t="n">
        <f aca="false">I67+D68</f>
        <v>32916.308</v>
      </c>
      <c r="J68" s="15" t="n">
        <f aca="false">J67+E68-F68</f>
        <v>5981.54147933483</v>
      </c>
    </row>
    <row r="69" customFormat="false" ht="15" hidden="false" customHeight="false" outlineLevel="0" collapsed="false">
      <c r="A69" s="19" t="n">
        <f aca="false">A68+1</f>
        <v>45</v>
      </c>
      <c r="B69" s="19" t="n">
        <f aca="false">INT((A69-1)/$C$6)+1</f>
        <v>4</v>
      </c>
      <c r="C69" s="15" t="n">
        <f aca="false">G68</f>
        <v>38897.8494793348</v>
      </c>
      <c r="D69" s="15" t="n">
        <f aca="false">$C$5*(1+$C$11)^(B69-1)</f>
        <v>546.3635</v>
      </c>
      <c r="E69" s="15" t="n">
        <f aca="false">(C69+D69*$C$7)*$C$15</f>
        <v>226.904121962787</v>
      </c>
      <c r="F69" s="15" t="n">
        <f aca="false">IF(E69&gt;0,E69*$C$13,0)</f>
        <v>0</v>
      </c>
      <c r="G69" s="15" t="n">
        <f aca="false">C69+D69+E69-F69</f>
        <v>39671.1171012976</v>
      </c>
      <c r="H69" s="15" t="n">
        <f aca="false">G69/(1+$C$12)^(A69/$C$6)</f>
        <v>36162.6239097465</v>
      </c>
      <c r="I69" s="15" t="n">
        <f aca="false">I68+D69</f>
        <v>33462.6715</v>
      </c>
      <c r="J69" s="15" t="n">
        <f aca="false">J68+E69-F69</f>
        <v>6208.44560129762</v>
      </c>
    </row>
    <row r="70" customFormat="false" ht="15" hidden="false" customHeight="false" outlineLevel="0" collapsed="false">
      <c r="A70" s="19" t="n">
        <f aca="false">A69+1</f>
        <v>46</v>
      </c>
      <c r="B70" s="19" t="n">
        <f aca="false">INT((A70-1)/$C$6)+1</f>
        <v>4</v>
      </c>
      <c r="C70" s="15" t="n">
        <f aca="false">G69</f>
        <v>39671.1171012976</v>
      </c>
      <c r="D70" s="15" t="n">
        <f aca="false">$C$5*(1+$C$11)^(B70-1)</f>
        <v>546.3635</v>
      </c>
      <c r="E70" s="15" t="n">
        <f aca="false">(C70+D70*$C$7)*$C$15</f>
        <v>231.414849757569</v>
      </c>
      <c r="F70" s="15" t="n">
        <f aca="false">IF(E70&gt;0,E70*$C$13,0)</f>
        <v>0</v>
      </c>
      <c r="G70" s="15" t="n">
        <f aca="false">C70+D70+E70-F70</f>
        <v>40448.8954510552</v>
      </c>
      <c r="H70" s="15" t="n">
        <f aca="false">G70/(1+$C$12)^(A70/$C$6)</f>
        <v>36795.8225723894</v>
      </c>
      <c r="I70" s="15" t="n">
        <f aca="false">I69+D70</f>
        <v>34009.035</v>
      </c>
      <c r="J70" s="15" t="n">
        <f aca="false">J69+E70-F70</f>
        <v>6439.86045105519</v>
      </c>
    </row>
    <row r="71" customFormat="false" ht="15" hidden="false" customHeight="false" outlineLevel="0" collapsed="false">
      <c r="A71" s="19" t="n">
        <f aca="false">A70+1</f>
        <v>47</v>
      </c>
      <c r="B71" s="19" t="n">
        <f aca="false">INT((A71-1)/$C$6)+1</f>
        <v>4</v>
      </c>
      <c r="C71" s="15" t="n">
        <f aca="false">G70</f>
        <v>40448.8954510552</v>
      </c>
      <c r="D71" s="15" t="n">
        <f aca="false">$C$5*(1+$C$11)^(B71-1)</f>
        <v>546.3635</v>
      </c>
      <c r="E71" s="15" t="n">
        <f aca="false">(C71+D71*$C$7)*$C$15</f>
        <v>235.951890131155</v>
      </c>
      <c r="F71" s="15" t="n">
        <f aca="false">IF(E71&gt;0,E71*$C$13,0)</f>
        <v>0</v>
      </c>
      <c r="G71" s="15" t="n">
        <f aca="false">C71+D71+E71-F71</f>
        <v>41231.2108411863</v>
      </c>
      <c r="H71" s="15" t="n">
        <f aca="false">G71/(1+$C$12)^(A71/$C$6)</f>
        <v>37430.3840221802</v>
      </c>
      <c r="I71" s="15" t="n">
        <f aca="false">I70+D71</f>
        <v>34555.3985</v>
      </c>
      <c r="J71" s="15" t="n">
        <f aca="false">J70+E71-F71</f>
        <v>6675.81234118634</v>
      </c>
    </row>
    <row r="72" customFormat="false" ht="15" hidden="false" customHeight="false" outlineLevel="0" collapsed="false">
      <c r="A72" s="19" t="n">
        <f aca="false">A71+1</f>
        <v>48</v>
      </c>
      <c r="B72" s="19" t="n">
        <f aca="false">INT((A72-1)/$C$6)+1</f>
        <v>4</v>
      </c>
      <c r="C72" s="15" t="n">
        <f aca="false">G71</f>
        <v>41231.2108411863</v>
      </c>
      <c r="D72" s="15" t="n">
        <f aca="false">$C$5*(1+$C$11)^(B72-1)</f>
        <v>546.3635</v>
      </c>
      <c r="E72" s="15" t="n">
        <f aca="false">(C72+D72*$C$7)*$C$15</f>
        <v>240.515396573587</v>
      </c>
      <c r="F72" s="15" t="n">
        <f aca="false">IF(E72&gt;0,E72*$C$13,0)</f>
        <v>0</v>
      </c>
      <c r="G72" s="15" t="n">
        <f aca="false">C72+D72+E72-F72</f>
        <v>42018.0897377599</v>
      </c>
      <c r="H72" s="15" t="n">
        <f aca="false">G72/(1+$C$12)^(A72/$C$6)</f>
        <v>38066.3154911776</v>
      </c>
      <c r="I72" s="15" t="n">
        <f aca="false">I71+D72</f>
        <v>35101.762</v>
      </c>
      <c r="J72" s="15" t="n">
        <f aca="false">J71+E72-F72</f>
        <v>6916.32773775993</v>
      </c>
    </row>
    <row r="73" customFormat="false" ht="15" hidden="false" customHeight="false" outlineLevel="0" collapsed="false">
      <c r="A73" s="19" t="n">
        <f aca="false">A72+1</f>
        <v>49</v>
      </c>
      <c r="B73" s="19" t="n">
        <f aca="false">INT((A73-1)/$C$6)+1</f>
        <v>5</v>
      </c>
      <c r="C73" s="15" t="n">
        <f aca="false">G72</f>
        <v>42018.0897377599</v>
      </c>
      <c r="D73" s="15" t="n">
        <f aca="false">$C$5*(1+$C$11)^(B73-1)</f>
        <v>562.754405</v>
      </c>
      <c r="E73" s="15" t="n">
        <f aca="false">(C73+D73*$C$7)*$C$15</f>
        <v>245.105523470266</v>
      </c>
      <c r="F73" s="15" t="n">
        <f aca="false">IF(E73&gt;0,E73*$C$13,0)</f>
        <v>0</v>
      </c>
      <c r="G73" s="15" t="n">
        <f aca="false">C73+D73+E73-F73</f>
        <v>42825.9496662302</v>
      </c>
      <c r="H73" s="15" t="n">
        <f aca="false">G73/(1+$C$12)^(A73/$C$6)</f>
        <v>38718.4430609543</v>
      </c>
      <c r="I73" s="15" t="n">
        <f aca="false">I72+D73</f>
        <v>35664.516405</v>
      </c>
      <c r="J73" s="15" t="n">
        <f aca="false">J72+E73-F73</f>
        <v>7161.43326123019</v>
      </c>
    </row>
    <row r="74" customFormat="false" ht="15" hidden="false" customHeight="false" outlineLevel="0" collapsed="false">
      <c r="A74" s="19" t="n">
        <f aca="false">A73+1</f>
        <v>50</v>
      </c>
      <c r="B74" s="19" t="n">
        <f aca="false">INT((A74-1)/$C$6)+1</f>
        <v>5</v>
      </c>
      <c r="C74" s="15" t="n">
        <f aca="false">G73</f>
        <v>42825.9496662302</v>
      </c>
      <c r="D74" s="15" t="n">
        <f aca="false">$C$5*(1+$C$11)^(B74-1)</f>
        <v>562.754405</v>
      </c>
      <c r="E74" s="15" t="n">
        <f aca="false">(C74+D74*$C$7)*$C$15</f>
        <v>249.818039719676</v>
      </c>
      <c r="F74" s="15" t="n">
        <f aca="false">IF(E74&gt;0,E74*$C$13,0)</f>
        <v>0</v>
      </c>
      <c r="G74" s="15" t="n">
        <f aca="false">C74+D74+E74-F74</f>
        <v>43638.5221109499</v>
      </c>
      <c r="H74" s="15" t="n">
        <f aca="false">G74/(1+$C$12)^(A74/$C$6)</f>
        <v>39371.9805251424</v>
      </c>
      <c r="I74" s="15" t="n">
        <f aca="false">I73+D74</f>
        <v>36227.27081</v>
      </c>
      <c r="J74" s="15" t="n">
        <f aca="false">J73+E74-F74</f>
        <v>7411.25130094987</v>
      </c>
    </row>
    <row r="75" customFormat="false" ht="15" hidden="false" customHeight="false" outlineLevel="0" collapsed="false">
      <c r="A75" s="19" t="n">
        <f aca="false">A74+1</f>
        <v>51</v>
      </c>
      <c r="B75" s="19" t="n">
        <f aca="false">INT((A75-1)/$C$6)+1</f>
        <v>5</v>
      </c>
      <c r="C75" s="15" t="n">
        <f aca="false">G74</f>
        <v>43638.5221109499</v>
      </c>
      <c r="D75" s="15" t="n">
        <f aca="false">$C$5*(1+$C$11)^(B75-1)</f>
        <v>562.754405</v>
      </c>
      <c r="E75" s="15" t="n">
        <f aca="false">(C75+D75*$C$7)*$C$15</f>
        <v>254.558045647208</v>
      </c>
      <c r="F75" s="15" t="n">
        <f aca="false">IF(E75&gt;0,E75*$C$13,0)</f>
        <v>0</v>
      </c>
      <c r="G75" s="15" t="n">
        <f aca="false">C75+D75+E75-F75</f>
        <v>44455.8345615971</v>
      </c>
      <c r="H75" s="15" t="n">
        <f aca="false">G75/(1+$C$12)^(A75/$C$6)</f>
        <v>40026.9353428867</v>
      </c>
      <c r="I75" s="15" t="n">
        <f aca="false">I74+D75</f>
        <v>36790.025215</v>
      </c>
      <c r="J75" s="15" t="n">
        <f aca="false">J74+E75-F75</f>
        <v>7665.80934659708</v>
      </c>
    </row>
    <row r="76" customFormat="false" ht="15" hidden="false" customHeight="false" outlineLevel="0" collapsed="false">
      <c r="A76" s="19" t="n">
        <f aca="false">A75+1</f>
        <v>52</v>
      </c>
      <c r="B76" s="19" t="n">
        <f aca="false">INT((A76-1)/$C$6)+1</f>
        <v>5</v>
      </c>
      <c r="C76" s="15" t="n">
        <f aca="false">G75</f>
        <v>44455.8345615971</v>
      </c>
      <c r="D76" s="15" t="n">
        <f aca="false">$C$5*(1+$C$11)^(B76-1)</f>
        <v>562.754405</v>
      </c>
      <c r="E76" s="15" t="n">
        <f aca="false">(C76+D76*$C$7)*$C$15</f>
        <v>259.325701609316</v>
      </c>
      <c r="F76" s="15" t="n">
        <f aca="false">IF(E76&gt;0,E76*$C$13,0)</f>
        <v>0</v>
      </c>
      <c r="G76" s="15" t="n">
        <f aca="false">C76+D76+E76-F76</f>
        <v>45277.9146682064</v>
      </c>
      <c r="H76" s="15" t="n">
        <f aca="false">G76/(1+$C$12)^(A76/$C$6)</f>
        <v>40683.3149970017</v>
      </c>
      <c r="I76" s="15" t="n">
        <f aca="false">I75+D76</f>
        <v>37352.77962</v>
      </c>
      <c r="J76" s="15" t="n">
        <f aca="false">J75+E76-F76</f>
        <v>7925.13504820639</v>
      </c>
    </row>
    <row r="77" customFormat="false" ht="15" hidden="false" customHeight="false" outlineLevel="0" collapsed="false">
      <c r="A77" s="19" t="n">
        <f aca="false">A76+1</f>
        <v>53</v>
      </c>
      <c r="B77" s="19" t="n">
        <f aca="false">INT((A77-1)/$C$6)+1</f>
        <v>5</v>
      </c>
      <c r="C77" s="15" t="n">
        <f aca="false">G76</f>
        <v>45277.9146682064</v>
      </c>
      <c r="D77" s="15" t="n">
        <f aca="false">$C$5*(1+$C$11)^(B77-1)</f>
        <v>562.754405</v>
      </c>
      <c r="E77" s="15" t="n">
        <f aca="false">(C77+D77*$C$7)*$C$15</f>
        <v>264.121168897871</v>
      </c>
      <c r="F77" s="15" t="n">
        <f aca="false">IF(E77&gt;0,E77*$C$13,0)</f>
        <v>0</v>
      </c>
      <c r="G77" s="15" t="n">
        <f aca="false">C77+D77+E77-F77</f>
        <v>46104.7902421043</v>
      </c>
      <c r="H77" s="15" t="n">
        <f aca="false">G77/(1+$C$12)^(A77/$C$6)</f>
        <v>41341.1269940706</v>
      </c>
      <c r="I77" s="15" t="n">
        <f aca="false">I76+D77</f>
        <v>37915.534025</v>
      </c>
      <c r="J77" s="15" t="n">
        <f aca="false">J76+E77-F77</f>
        <v>8189.25621710427</v>
      </c>
    </row>
    <row r="78" customFormat="false" ht="15" hidden="false" customHeight="false" outlineLevel="0" collapsed="false">
      <c r="A78" s="19" t="n">
        <f aca="false">A77+1</f>
        <v>54</v>
      </c>
      <c r="B78" s="19" t="n">
        <f aca="false">INT((A78-1)/$C$6)+1</f>
        <v>5</v>
      </c>
      <c r="C78" s="15" t="n">
        <f aca="false">G77</f>
        <v>46104.7902421043</v>
      </c>
      <c r="D78" s="15" t="n">
        <f aca="false">$C$5*(1+$C$11)^(B78-1)</f>
        <v>562.754405</v>
      </c>
      <c r="E78" s="15" t="n">
        <f aca="false">(C78+D78*$C$7)*$C$15</f>
        <v>268.944609745608</v>
      </c>
      <c r="F78" s="15" t="n">
        <f aca="false">IF(E78&gt;0,E78*$C$13,0)</f>
        <v>0</v>
      </c>
      <c r="G78" s="15" t="n">
        <f aca="false">C78+D78+E78-F78</f>
        <v>46936.4892568499</v>
      </c>
      <c r="H78" s="15" t="n">
        <f aca="false">G78/(1+$C$12)^(A78/$C$6)</f>
        <v>42000.3788645428</v>
      </c>
      <c r="I78" s="15" t="n">
        <f aca="false">I77+D78</f>
        <v>38478.28843</v>
      </c>
      <c r="J78" s="15" t="n">
        <f aca="false">J77+E78-F78</f>
        <v>8458.20082684987</v>
      </c>
    </row>
    <row r="79" customFormat="false" ht="15" hidden="false" customHeight="false" outlineLevel="0" collapsed="false">
      <c r="A79" s="19" t="n">
        <f aca="false">A78+1</f>
        <v>55</v>
      </c>
      <c r="B79" s="19" t="n">
        <f aca="false">INT((A79-1)/$C$6)+1</f>
        <v>5</v>
      </c>
      <c r="C79" s="15" t="n">
        <f aca="false">G78</f>
        <v>46936.4892568499</v>
      </c>
      <c r="D79" s="15" t="n">
        <f aca="false">$C$5*(1+$C$11)^(B79-1)</f>
        <v>562.754405</v>
      </c>
      <c r="E79" s="15" t="n">
        <f aca="false">(C79+D79*$C$7)*$C$15</f>
        <v>273.796187331624</v>
      </c>
      <c r="F79" s="15" t="n">
        <f aca="false">IF(E79&gt;0,E79*$C$13,0)</f>
        <v>0</v>
      </c>
      <c r="G79" s="15" t="n">
        <f aca="false">C79+D79+E79-F79</f>
        <v>47773.0398491815</v>
      </c>
      <c r="H79" s="15" t="n">
        <f aca="false">G79/(1+$C$12)^(A79/$C$6)</f>
        <v>42661.0781628338</v>
      </c>
      <c r="I79" s="15" t="n">
        <f aca="false">I78+D79</f>
        <v>39041.042835</v>
      </c>
      <c r="J79" s="15" t="n">
        <f aca="false">J78+E79-F79</f>
        <v>8731.9970141815</v>
      </c>
    </row>
    <row r="80" customFormat="false" ht="15" hidden="false" customHeight="false" outlineLevel="0" collapsed="false">
      <c r="A80" s="19" t="n">
        <f aca="false">A79+1</f>
        <v>56</v>
      </c>
      <c r="B80" s="19" t="n">
        <f aca="false">INT((A80-1)/$C$6)+1</f>
        <v>5</v>
      </c>
      <c r="C80" s="15" t="n">
        <f aca="false">G79</f>
        <v>47773.0398491815</v>
      </c>
      <c r="D80" s="15" t="n">
        <f aca="false">$C$5*(1+$C$11)^(B80-1)</f>
        <v>562.754405</v>
      </c>
      <c r="E80" s="15" t="n">
        <f aca="false">(C80+D80*$C$7)*$C$15</f>
        <v>278.676065786892</v>
      </c>
      <c r="F80" s="15" t="n">
        <f aca="false">IF(E80&gt;0,E80*$C$13,0)</f>
        <v>0</v>
      </c>
      <c r="G80" s="15" t="n">
        <f aca="false">C80+D80+E80-F80</f>
        <v>48614.4703199684</v>
      </c>
      <c r="H80" s="15" t="n">
        <f aca="false">G80/(1+$C$12)^(A80/$C$6)</f>
        <v>43323.2324674238</v>
      </c>
      <c r="I80" s="15" t="n">
        <f aca="false">I79+D80</f>
        <v>39603.79724</v>
      </c>
      <c r="J80" s="15" t="n">
        <f aca="false">J79+E80-F80</f>
        <v>9010.67307996839</v>
      </c>
    </row>
    <row r="81" customFormat="false" ht="15" hidden="false" customHeight="false" outlineLevel="0" collapsed="false">
      <c r="A81" s="19" t="n">
        <f aca="false">A80+1</f>
        <v>57</v>
      </c>
      <c r="B81" s="19" t="n">
        <f aca="false">INT((A81-1)/$C$6)+1</f>
        <v>5</v>
      </c>
      <c r="C81" s="15" t="n">
        <f aca="false">G80</f>
        <v>48614.4703199684</v>
      </c>
      <c r="D81" s="15" t="n">
        <f aca="false">$C$5*(1+$C$11)^(B81-1)</f>
        <v>562.754405</v>
      </c>
      <c r="E81" s="15" t="n">
        <f aca="false">(C81+D81*$C$7)*$C$15</f>
        <v>283.584410199816</v>
      </c>
      <c r="F81" s="15" t="n">
        <f aca="false">IF(E81&gt;0,E81*$C$13,0)</f>
        <v>0</v>
      </c>
      <c r="G81" s="15" t="n">
        <f aca="false">C81+D81+E81-F81</f>
        <v>49460.8091351682</v>
      </c>
      <c r="H81" s="15" t="n">
        <f aca="false">G81/(1+$C$12)^(A81/$C$6)</f>
        <v>43986.8493809577</v>
      </c>
      <c r="I81" s="15" t="n">
        <f aca="false">I80+D81</f>
        <v>40166.551645</v>
      </c>
      <c r="J81" s="15" t="n">
        <f aca="false">J80+E81-F81</f>
        <v>9294.25749016821</v>
      </c>
    </row>
    <row r="82" customFormat="false" ht="15" hidden="false" customHeight="false" outlineLevel="0" collapsed="false">
      <c r="A82" s="19" t="n">
        <f aca="false">A81+1</f>
        <v>58</v>
      </c>
      <c r="B82" s="19" t="n">
        <f aca="false">INT((A82-1)/$C$6)+1</f>
        <v>5</v>
      </c>
      <c r="C82" s="15" t="n">
        <f aca="false">G81</f>
        <v>49460.8091351682</v>
      </c>
      <c r="D82" s="15" t="n">
        <f aca="false">$C$5*(1+$C$11)^(B82-1)</f>
        <v>562.754405</v>
      </c>
      <c r="E82" s="15" t="n">
        <f aca="false">(C82+D82*$C$7)*$C$15</f>
        <v>288.521386621815</v>
      </c>
      <c r="F82" s="15" t="n">
        <f aca="false">IF(E82&gt;0,E82*$C$13,0)</f>
        <v>0</v>
      </c>
      <c r="G82" s="15" t="n">
        <f aca="false">C82+D82+E82-F82</f>
        <v>50312.08492679</v>
      </c>
      <c r="H82" s="15" t="n">
        <f aca="false">G82/(1+$C$12)^(A82/$C$6)</f>
        <v>44651.936530345</v>
      </c>
      <c r="I82" s="15" t="n">
        <f aca="false">I81+D82</f>
        <v>40729.30605</v>
      </c>
      <c r="J82" s="15" t="n">
        <f aca="false">J81+E82-F82</f>
        <v>9582.77887679002</v>
      </c>
    </row>
    <row r="83" customFormat="false" ht="15" hidden="false" customHeight="false" outlineLevel="0" collapsed="false">
      <c r="A83" s="19" t="n">
        <f aca="false">A82+1</f>
        <v>59</v>
      </c>
      <c r="B83" s="19" t="n">
        <f aca="false">INT((A83-1)/$C$6)+1</f>
        <v>5</v>
      </c>
      <c r="C83" s="15" t="n">
        <f aca="false">G82</f>
        <v>50312.08492679</v>
      </c>
      <c r="D83" s="15" t="n">
        <f aca="false">$C$5*(1+$C$11)^(B83-1)</f>
        <v>562.754405</v>
      </c>
      <c r="E83" s="15" t="n">
        <f aca="false">(C83+D83*$C$7)*$C$15</f>
        <v>293.487162072942</v>
      </c>
      <c r="F83" s="15" t="n">
        <f aca="false">IF(E83&gt;0,E83*$C$13,0)</f>
        <v>0</v>
      </c>
      <c r="G83" s="15" t="n">
        <f aca="false">C83+D83+E83-F83</f>
        <v>51168.326493863</v>
      </c>
      <c r="H83" s="15" t="n">
        <f aca="false">G83/(1+$C$12)^(A83/$C$6)</f>
        <v>45318.5015668601</v>
      </c>
      <c r="I83" s="15" t="n">
        <f aca="false">I82+D83</f>
        <v>41292.060455</v>
      </c>
      <c r="J83" s="15" t="n">
        <f aca="false">J82+E83-F83</f>
        <v>9876.26603886296</v>
      </c>
    </row>
    <row r="84" customFormat="false" ht="15" hidden="false" customHeight="false" outlineLevel="0" collapsed="false">
      <c r="A84" s="19" t="n">
        <f aca="false">A83+1</f>
        <v>60</v>
      </c>
      <c r="B84" s="19" t="n">
        <f aca="false">INT((A84-1)/$C$6)+1</f>
        <v>5</v>
      </c>
      <c r="C84" s="15" t="n">
        <f aca="false">G83</f>
        <v>51168.326493863</v>
      </c>
      <c r="D84" s="15" t="n">
        <f aca="false">$C$5*(1+$C$11)^(B84-1)</f>
        <v>562.754405</v>
      </c>
      <c r="E84" s="15" t="n">
        <f aca="false">(C84+D84*$C$7)*$C$15</f>
        <v>298.481904547534</v>
      </c>
      <c r="F84" s="15" t="n">
        <f aca="false">IF(E84&gt;0,E84*$C$13,0)</f>
        <v>0</v>
      </c>
      <c r="G84" s="15" t="n">
        <f aca="false">C84+D84+E84-F84</f>
        <v>52029.5628034105</v>
      </c>
      <c r="H84" s="15" t="n">
        <f aca="false">G84/(1+$C$12)^(A84/$C$6)</f>
        <v>45986.552166243</v>
      </c>
      <c r="I84" s="15" t="n">
        <f aca="false">I83+D84</f>
        <v>41854.81486</v>
      </c>
      <c r="J84" s="15" t="n">
        <f aca="false">J83+E84-F84</f>
        <v>10174.7479434105</v>
      </c>
    </row>
    <row r="85" customFormat="false" ht="15" hidden="false" customHeight="false" outlineLevel="0" collapsed="false">
      <c r="A85" s="19" t="n">
        <f aca="false">A84+1</f>
        <v>61</v>
      </c>
      <c r="B85" s="19" t="n">
        <f aca="false">INT((A85-1)/$C$6)+1</f>
        <v>6</v>
      </c>
      <c r="C85" s="15" t="n">
        <f aca="false">G84</f>
        <v>52029.5628034105</v>
      </c>
      <c r="D85" s="15" t="n">
        <f aca="false">$C$5*(1+$C$11)^(B85-1)</f>
        <v>579.63703715</v>
      </c>
      <c r="E85" s="15" t="n">
        <f aca="false">(C85+D85*$C$7)*$C$15</f>
        <v>303.505783019895</v>
      </c>
      <c r="F85" s="15" t="n">
        <f aca="false">IF(E85&gt;0,E85*$C$13,0)</f>
        <v>0</v>
      </c>
      <c r="G85" s="15" t="n">
        <f aca="false">C85+D85+E85-F85</f>
        <v>52912.7056235804</v>
      </c>
      <c r="H85" s="15" t="n">
        <f aca="false">G85/(1+$C$12)^(A85/$C$6)</f>
        <v>46670.9871423565</v>
      </c>
      <c r="I85" s="15" t="n">
        <f aca="false">I84+D85</f>
        <v>42434.45189715</v>
      </c>
      <c r="J85" s="15" t="n">
        <f aca="false">J84+E85-F85</f>
        <v>10478.2537264304</v>
      </c>
    </row>
    <row r="86" customFormat="false" ht="15" hidden="false" customHeight="false" outlineLevel="0" collapsed="false">
      <c r="A86" s="19" t="n">
        <f aca="false">A85+1</f>
        <v>62</v>
      </c>
      <c r="B86" s="19" t="n">
        <f aca="false">INT((A86-1)/$C$6)+1</f>
        <v>6</v>
      </c>
      <c r="C86" s="15" t="n">
        <f aca="false">G85</f>
        <v>52912.7056235804</v>
      </c>
      <c r="D86" s="15" t="n">
        <f aca="false">$C$5*(1+$C$11)^(B86-1)</f>
        <v>579.63703715</v>
      </c>
      <c r="E86" s="15" t="n">
        <f aca="false">(C86+D86*$C$7)*$C$15</f>
        <v>308.657449470886</v>
      </c>
      <c r="F86" s="15" t="n">
        <f aca="false">IF(E86&gt;0,E86*$C$13,0)</f>
        <v>0</v>
      </c>
      <c r="G86" s="15" t="n">
        <f aca="false">C86+D86+E86-F86</f>
        <v>53801.0001102013</v>
      </c>
      <c r="H86" s="15" t="n">
        <f aca="false">G86/(1+$C$12)^(A86/$C$6)</f>
        <v>47356.9485724814</v>
      </c>
      <c r="I86" s="15" t="n">
        <f aca="false">I85+D86</f>
        <v>43014.0889343</v>
      </c>
      <c r="J86" s="15" t="n">
        <f aca="false">J85+E86-F86</f>
        <v>10786.9111759013</v>
      </c>
    </row>
    <row r="87" customFormat="false" ht="15" hidden="false" customHeight="false" outlineLevel="0" collapsed="false">
      <c r="A87" s="19" t="n">
        <f aca="false">A86+1</f>
        <v>63</v>
      </c>
      <c r="B87" s="19" t="n">
        <f aca="false">INT((A87-1)/$C$6)+1</f>
        <v>6</v>
      </c>
      <c r="C87" s="15" t="n">
        <f aca="false">G86</f>
        <v>53801.0001102013</v>
      </c>
      <c r="D87" s="15" t="n">
        <f aca="false">$C$5*(1+$C$11)^(B87-1)</f>
        <v>579.63703715</v>
      </c>
      <c r="E87" s="15" t="n">
        <f aca="false">(C87+D87*$C$7)*$C$15</f>
        <v>313.839167309507</v>
      </c>
      <c r="F87" s="15" t="n">
        <f aca="false">IF(E87&gt;0,E87*$C$13,0)</f>
        <v>0</v>
      </c>
      <c r="G87" s="15" t="n">
        <f aca="false">C87+D87+E87-F87</f>
        <v>54694.4763146608</v>
      </c>
      <c r="H87" s="15" t="n">
        <f aca="false">G87/(1+$C$12)^(A87/$C$6)</f>
        <v>48044.4443651826</v>
      </c>
      <c r="I87" s="15" t="n">
        <f aca="false">I86+D87</f>
        <v>43593.72597145</v>
      </c>
      <c r="J87" s="15" t="n">
        <f aca="false">J86+E87-F87</f>
        <v>11100.7503432108</v>
      </c>
    </row>
    <row r="88" customFormat="false" ht="15" hidden="false" customHeight="false" outlineLevel="0" collapsed="false">
      <c r="A88" s="19" t="n">
        <f aca="false">A87+1</f>
        <v>64</v>
      </c>
      <c r="B88" s="19" t="n">
        <f aca="false">INT((A88-1)/$C$6)+1</f>
        <v>6</v>
      </c>
      <c r="C88" s="15" t="n">
        <f aca="false">G87</f>
        <v>54694.4763146608</v>
      </c>
      <c r="D88" s="15" t="n">
        <f aca="false">$C$5*(1+$C$11)^(B88-1)</f>
        <v>579.63703715</v>
      </c>
      <c r="E88" s="15" t="n">
        <f aca="false">(C88+D88*$C$7)*$C$15</f>
        <v>319.051111835521</v>
      </c>
      <c r="F88" s="15" t="n">
        <f aca="false">IF(E88&gt;0,E88*$C$13,0)</f>
        <v>0</v>
      </c>
      <c r="G88" s="15" t="n">
        <f aca="false">C88+D88+E88-F88</f>
        <v>55593.1644636463</v>
      </c>
      <c r="H88" s="15" t="n">
        <f aca="false">G88/(1+$C$12)^(A88/$C$6)</f>
        <v>48733.4824543659</v>
      </c>
      <c r="I88" s="15" t="n">
        <f aca="false">I87+D88</f>
        <v>44173.3630086</v>
      </c>
      <c r="J88" s="15" t="n">
        <f aca="false">J87+E88-F88</f>
        <v>11419.8014550463</v>
      </c>
    </row>
    <row r="89" customFormat="false" ht="15" hidden="false" customHeight="false" outlineLevel="0" collapsed="false">
      <c r="A89" s="19" t="n">
        <f aca="false">A88+1</f>
        <v>65</v>
      </c>
      <c r="B89" s="19" t="n">
        <f aca="false">INT((A89-1)/$C$6)+1</f>
        <v>6</v>
      </c>
      <c r="C89" s="15" t="n">
        <f aca="false">G88</f>
        <v>55593.1644636463</v>
      </c>
      <c r="D89" s="15" t="n">
        <f aca="false">$C$5*(1+$C$11)^(B89-1)</f>
        <v>579.63703715</v>
      </c>
      <c r="E89" s="15" t="n">
        <f aca="false">(C89+D89*$C$7)*$C$15</f>
        <v>324.29345937127</v>
      </c>
      <c r="F89" s="15" t="n">
        <f aca="false">IF(E89&gt;0,E89*$C$13,0)</f>
        <v>0</v>
      </c>
      <c r="G89" s="15" t="n">
        <f aca="false">C89+D89+E89-F89</f>
        <v>56497.0949601676</v>
      </c>
      <c r="H89" s="15" t="n">
        <f aca="false">G89/(1+$C$12)^(A89/$C$6)</f>
        <v>49424.0707993825</v>
      </c>
      <c r="I89" s="15" t="n">
        <f aca="false">I88+D89</f>
        <v>44753.00004575</v>
      </c>
      <c r="J89" s="15" t="n">
        <f aca="false">J88+E89-F89</f>
        <v>11744.0949144176</v>
      </c>
    </row>
    <row r="90" customFormat="false" ht="15" hidden="false" customHeight="false" outlineLevel="0" collapsed="false">
      <c r="A90" s="19" t="n">
        <f aca="false">A89+1</f>
        <v>66</v>
      </c>
      <c r="B90" s="19" t="n">
        <f aca="false">INT((A90-1)/$C$6)+1</f>
        <v>6</v>
      </c>
      <c r="C90" s="15" t="n">
        <f aca="false">G89</f>
        <v>56497.0949601676</v>
      </c>
      <c r="D90" s="15" t="n">
        <f aca="false">$C$5*(1+$C$11)^(B90-1)</f>
        <v>579.63703715</v>
      </c>
      <c r="E90" s="15" t="n">
        <f aca="false">(C90+D90*$C$7)*$C$15</f>
        <v>329.566387267644</v>
      </c>
      <c r="F90" s="15" t="n">
        <f aca="false">IF(E90&gt;0,E90*$C$13,0)</f>
        <v>0</v>
      </c>
      <c r="G90" s="15" t="n">
        <f aca="false">C90+D90+E90-F90</f>
        <v>57406.2983845852</v>
      </c>
      <c r="H90" s="15" t="n">
        <f aca="false">G90/(1+$C$12)^(A90/$C$6)</f>
        <v>50116.2173851339</v>
      </c>
      <c r="I90" s="15" t="n">
        <f aca="false">I89+D90</f>
        <v>45332.6370829</v>
      </c>
      <c r="J90" s="15" t="n">
        <f aca="false">J89+E90-F90</f>
        <v>12073.6613016852</v>
      </c>
    </row>
    <row r="91" customFormat="false" ht="15" hidden="false" customHeight="false" outlineLevel="0" collapsed="false">
      <c r="A91" s="19" t="n">
        <f aca="false">A90+1</f>
        <v>67</v>
      </c>
      <c r="B91" s="19" t="n">
        <f aca="false">INT((A91-1)/$C$6)+1</f>
        <v>6</v>
      </c>
      <c r="C91" s="15" t="n">
        <f aca="false">G90</f>
        <v>57406.2983845852</v>
      </c>
      <c r="D91" s="15" t="n">
        <f aca="false">$C$5*(1+$C$11)^(B91-1)</f>
        <v>579.63703715</v>
      </c>
      <c r="E91" s="15" t="n">
        <f aca="false">(C91+D91*$C$7)*$C$15</f>
        <v>334.87007391008</v>
      </c>
      <c r="F91" s="15" t="n">
        <f aca="false">IF(E91&gt;0,E91*$C$13,0)</f>
        <v>0</v>
      </c>
      <c r="G91" s="15" t="n">
        <f aca="false">C91+D91+E91-F91</f>
        <v>58320.8054956453</v>
      </c>
      <c r="H91" s="15" t="n">
        <f aca="false">G91/(1+$C$12)^(A91/$C$6)</f>
        <v>50809.930222177</v>
      </c>
      <c r="I91" s="15" t="n">
        <f aca="false">I90+D91</f>
        <v>45912.27412005</v>
      </c>
      <c r="J91" s="15" t="n">
        <f aca="false">J90+E91-F91</f>
        <v>12408.5313755953</v>
      </c>
    </row>
    <row r="92" customFormat="false" ht="15" hidden="false" customHeight="false" outlineLevel="0" collapsed="false">
      <c r="A92" s="19" t="n">
        <f aca="false">A91+1</f>
        <v>68</v>
      </c>
      <c r="B92" s="19" t="n">
        <f aca="false">INT((A92-1)/$C$6)+1</f>
        <v>6</v>
      </c>
      <c r="C92" s="15" t="n">
        <f aca="false">G91</f>
        <v>58320.8054956453</v>
      </c>
      <c r="D92" s="15" t="n">
        <f aca="false">$C$5*(1+$C$11)^(B92-1)</f>
        <v>579.63703715</v>
      </c>
      <c r="E92" s="15" t="n">
        <f aca="false">(C92+D92*$C$7)*$C$15</f>
        <v>340.204698724598</v>
      </c>
      <c r="F92" s="15" t="n">
        <f aca="false">IF(E92&gt;0,E92*$C$13,0)</f>
        <v>0</v>
      </c>
      <c r="G92" s="15" t="n">
        <f aca="false">C92+D92+E92-F92</f>
        <v>59240.6472315199</v>
      </c>
      <c r="H92" s="15" t="n">
        <f aca="false">G92/(1+$C$12)^(A92/$C$6)</f>
        <v>51505.2173468304</v>
      </c>
      <c r="I92" s="15" t="n">
        <f aca="false">I91+D92</f>
        <v>46491.9111572</v>
      </c>
      <c r="J92" s="15" t="n">
        <f aca="false">J91+E92-F92</f>
        <v>12748.7360743199</v>
      </c>
    </row>
    <row r="93" customFormat="false" ht="15" hidden="false" customHeight="false" outlineLevel="0" collapsed="false">
      <c r="A93" s="19" t="n">
        <f aca="false">A92+1</f>
        <v>69</v>
      </c>
      <c r="B93" s="19" t="n">
        <f aca="false">INT((A93-1)/$C$6)+1</f>
        <v>6</v>
      </c>
      <c r="C93" s="15" t="n">
        <f aca="false">G92</f>
        <v>59240.6472315199</v>
      </c>
      <c r="D93" s="15" t="n">
        <f aca="false">$C$5*(1+$C$11)^(B93-1)</f>
        <v>579.63703715</v>
      </c>
      <c r="E93" s="15" t="n">
        <f aca="false">(C93+D93*$C$7)*$C$15</f>
        <v>345.570442183866</v>
      </c>
      <c r="F93" s="15" t="n">
        <f aca="false">IF(E93&gt;0,E93*$C$13,0)</f>
        <v>0</v>
      </c>
      <c r="G93" s="15" t="n">
        <f aca="false">C93+D93+E93-F93</f>
        <v>60165.8547108538</v>
      </c>
      <c r="H93" s="15" t="n">
        <f aca="false">G93/(1+$C$12)^(A93/$C$6)</f>
        <v>52202.0868212796</v>
      </c>
      <c r="I93" s="15" t="n">
        <f aca="false">I92+D93</f>
        <v>47071.54819435</v>
      </c>
      <c r="J93" s="15" t="n">
        <f aca="false">J92+E93-F93</f>
        <v>13094.3065165038</v>
      </c>
    </row>
    <row r="94" customFormat="false" ht="15" hidden="false" customHeight="false" outlineLevel="0" collapsed="false">
      <c r="A94" s="19" t="n">
        <f aca="false">A93+1</f>
        <v>70</v>
      </c>
      <c r="B94" s="19" t="n">
        <f aca="false">INT((A94-1)/$C$6)+1</f>
        <v>6</v>
      </c>
      <c r="C94" s="15" t="n">
        <f aca="false">G93</f>
        <v>60165.8547108538</v>
      </c>
      <c r="D94" s="15" t="n">
        <f aca="false">$C$5*(1+$C$11)^(B94-1)</f>
        <v>579.63703715</v>
      </c>
      <c r="E94" s="15" t="n">
        <f aca="false">(C94+D94*$C$7)*$C$15</f>
        <v>350.967485813314</v>
      </c>
      <c r="F94" s="15" t="n">
        <f aca="false">IF(E94&gt;0,E94*$C$13,0)</f>
        <v>0</v>
      </c>
      <c r="G94" s="15" t="n">
        <f aca="false">C94+D94+E94-F94</f>
        <v>61096.4592338171</v>
      </c>
      <c r="H94" s="15" t="n">
        <f aca="false">G94/(1+$C$12)^(A94/$C$6)</f>
        <v>52900.5467336842</v>
      </c>
      <c r="I94" s="15" t="n">
        <f aca="false">I93+D94</f>
        <v>47651.1852315</v>
      </c>
      <c r="J94" s="15" t="n">
        <f aca="false">J93+E94-F94</f>
        <v>13445.2740023171</v>
      </c>
    </row>
    <row r="95" customFormat="false" ht="15" hidden="false" customHeight="false" outlineLevel="0" collapsed="false">
      <c r="A95" s="19" t="n">
        <f aca="false">A94+1</f>
        <v>71</v>
      </c>
      <c r="B95" s="19" t="n">
        <f aca="false">INT((A95-1)/$C$6)+1</f>
        <v>6</v>
      </c>
      <c r="C95" s="15" t="n">
        <f aca="false">G94</f>
        <v>61096.4592338171</v>
      </c>
      <c r="D95" s="15" t="n">
        <f aca="false">$C$5*(1+$C$11)^(B95-1)</f>
        <v>579.63703715</v>
      </c>
      <c r="E95" s="15" t="n">
        <f aca="false">(C95+D95*$C$7)*$C$15</f>
        <v>356.396012197266</v>
      </c>
      <c r="F95" s="15" t="n">
        <f aca="false">IF(E95&gt;0,E95*$C$13,0)</f>
        <v>0</v>
      </c>
      <c r="G95" s="15" t="n">
        <f aca="false">C95+D95+E95-F95</f>
        <v>62032.4922831644</v>
      </c>
      <c r="H95" s="15" t="n">
        <f aca="false">G95/(1+$C$12)^(A95/$C$6)</f>
        <v>53600.6051982843</v>
      </c>
      <c r="I95" s="15" t="n">
        <f aca="false">I94+D95</f>
        <v>48230.82226865</v>
      </c>
      <c r="J95" s="15" t="n">
        <f aca="false">J94+E95-F95</f>
        <v>13801.6700145143</v>
      </c>
    </row>
    <row r="96" customFormat="false" ht="15" hidden="false" customHeight="false" outlineLevel="0" collapsed="false">
      <c r="A96" s="19" t="n">
        <f aca="false">A95+1</f>
        <v>72</v>
      </c>
      <c r="B96" s="19" t="n">
        <f aca="false">INT((A96-1)/$C$6)+1</f>
        <v>6</v>
      </c>
      <c r="C96" s="15" t="n">
        <f aca="false">G95</f>
        <v>62032.4922831644</v>
      </c>
      <c r="D96" s="15" t="n">
        <f aca="false">$C$5*(1+$C$11)^(B96-1)</f>
        <v>579.63703715</v>
      </c>
      <c r="E96" s="15" t="n">
        <f aca="false">(C96+D96*$C$7)*$C$15</f>
        <v>361.856204985125</v>
      </c>
      <c r="F96" s="15" t="n">
        <f aca="false">IF(E96&gt;0,E96*$C$13,0)</f>
        <v>0</v>
      </c>
      <c r="G96" s="15" t="n">
        <f aca="false">C96+D96+E96-F96</f>
        <v>62973.9855252995</v>
      </c>
      <c r="H96" s="15" t="n">
        <f aca="false">G96/(1+$C$12)^(A96/$C$6)</f>
        <v>54302.2703555079</v>
      </c>
      <c r="I96" s="15" t="n">
        <f aca="false">I95+D96</f>
        <v>48810.4593058</v>
      </c>
      <c r="J96" s="15" t="n">
        <f aca="false">J95+E96-F96</f>
        <v>14163.5262194995</v>
      </c>
    </row>
    <row r="97" customFormat="false" ht="15" hidden="false" customHeight="false" outlineLevel="0" collapsed="false">
      <c r="A97" s="19" t="n">
        <f aca="false">A96+1</f>
        <v>73</v>
      </c>
      <c r="B97" s="19" t="n">
        <f aca="false">INT((A97-1)/$C$6)+1</f>
        <v>7</v>
      </c>
      <c r="C97" s="15" t="n">
        <f aca="false">G96</f>
        <v>62973.9855252995</v>
      </c>
      <c r="D97" s="15" t="n">
        <f aca="false">$C$5*(1+$C$11)^(B97-1)</f>
        <v>597.0261482645</v>
      </c>
      <c r="E97" s="15" t="n">
        <f aca="false">(C97+D97*$C$7)*$C$15</f>
        <v>367.34824889758</v>
      </c>
      <c r="F97" s="15" t="n">
        <f aca="false">IF(E97&gt;0,E97*$C$13,0)</f>
        <v>0</v>
      </c>
      <c r="G97" s="15" t="n">
        <f aca="false">C97+D97+E97-F97</f>
        <v>63938.3599224616</v>
      </c>
      <c r="H97" s="15" t="n">
        <f aca="false">G97/(1+$C$12)^(A97/$C$6)</f>
        <v>55020.5141252128</v>
      </c>
      <c r="I97" s="15" t="n">
        <f aca="false">I96+D97</f>
        <v>49407.4854540645</v>
      </c>
      <c r="J97" s="15" t="n">
        <f aca="false">J96+E97-F97</f>
        <v>14530.874468397</v>
      </c>
    </row>
    <row r="98" customFormat="false" ht="15" hidden="false" customHeight="false" outlineLevel="0" collapsed="false">
      <c r="A98" s="19" t="n">
        <f aca="false">A97+1</f>
        <v>74</v>
      </c>
      <c r="B98" s="19" t="n">
        <f aca="false">INT((A98-1)/$C$6)+1</f>
        <v>7</v>
      </c>
      <c r="C98" s="15" t="n">
        <f aca="false">G97</f>
        <v>63938.3599224616</v>
      </c>
      <c r="D98" s="15" t="n">
        <f aca="false">$C$5*(1+$C$11)^(B98-1)</f>
        <v>597.0261482645</v>
      </c>
      <c r="E98" s="15" t="n">
        <f aca="false">(C98+D98*$C$7)*$C$15</f>
        <v>372.973766214359</v>
      </c>
      <c r="F98" s="15" t="n">
        <f aca="false">IF(E98&gt;0,E98*$C$13,0)</f>
        <v>0</v>
      </c>
      <c r="G98" s="15" t="n">
        <f aca="false">C98+D98+E98-F98</f>
        <v>64908.3598369404</v>
      </c>
      <c r="H98" s="15" t="n">
        <f aca="false">G98/(1+$C$12)^(A98/$C$6)</f>
        <v>55740.4065374771</v>
      </c>
      <c r="I98" s="15" t="n">
        <f aca="false">I97+D98</f>
        <v>50004.511602329</v>
      </c>
      <c r="J98" s="15" t="n">
        <f aca="false">J97+E98-F98</f>
        <v>14903.8482346114</v>
      </c>
    </row>
    <row r="99" customFormat="false" ht="15" hidden="false" customHeight="false" outlineLevel="0" collapsed="false">
      <c r="A99" s="19" t="n">
        <f aca="false">A98+1</f>
        <v>75</v>
      </c>
      <c r="B99" s="19" t="n">
        <f aca="false">INT((A99-1)/$C$6)+1</f>
        <v>7</v>
      </c>
      <c r="C99" s="15" t="n">
        <f aca="false">G98</f>
        <v>64908.3598369404</v>
      </c>
      <c r="D99" s="15" t="n">
        <f aca="false">$C$5*(1+$C$11)^(B99-1)</f>
        <v>597.0261482645</v>
      </c>
      <c r="E99" s="15" t="n">
        <f aca="false">(C99+D99*$C$7)*$C$15</f>
        <v>378.632099048819</v>
      </c>
      <c r="F99" s="15" t="n">
        <f aca="false">IF(E99&gt;0,E99*$C$13,0)</f>
        <v>0</v>
      </c>
      <c r="G99" s="15" t="n">
        <f aca="false">C99+D99+E99-F99</f>
        <v>65884.0180842537</v>
      </c>
      <c r="H99" s="15" t="n">
        <f aca="false">G99/(1+$C$12)^(A99/$C$6)</f>
        <v>56461.9559715343</v>
      </c>
      <c r="I99" s="15" t="n">
        <f aca="false">I98+D99</f>
        <v>50601.5377505935</v>
      </c>
      <c r="J99" s="15" t="n">
        <f aca="false">J98+E99-F99</f>
        <v>15282.4803336602</v>
      </c>
    </row>
    <row r="100" customFormat="false" ht="15" hidden="false" customHeight="false" outlineLevel="0" collapsed="false">
      <c r="A100" s="19" t="n">
        <f aca="false">A99+1</f>
        <v>76</v>
      </c>
      <c r="B100" s="19" t="n">
        <f aca="false">INT((A100-1)/$C$6)+1</f>
        <v>7</v>
      </c>
      <c r="C100" s="15" t="n">
        <f aca="false">G99</f>
        <v>65884.0180842537</v>
      </c>
      <c r="D100" s="15" t="n">
        <f aca="false">$C$5*(1+$C$11)^(B100-1)</f>
        <v>597.0261482645</v>
      </c>
      <c r="E100" s="15" t="n">
        <f aca="false">(C100+D100*$C$7)*$C$15</f>
        <v>384.323438824814</v>
      </c>
      <c r="F100" s="15" t="n">
        <f aca="false">IF(E100&gt;0,E100*$C$13,0)</f>
        <v>0</v>
      </c>
      <c r="G100" s="15" t="n">
        <f aca="false">C100+D100+E100-F100</f>
        <v>66865.3676713431</v>
      </c>
      <c r="H100" s="15" t="n">
        <f aca="false">G100/(1+$C$12)^(A100/$C$6)</f>
        <v>57185.1708337095</v>
      </c>
      <c r="I100" s="15" t="n">
        <f aca="false">I99+D100</f>
        <v>51198.563898858</v>
      </c>
      <c r="J100" s="15" t="n">
        <f aca="false">J99+E100-F100</f>
        <v>15666.803772485</v>
      </c>
    </row>
    <row r="101" customFormat="false" ht="15" hidden="false" customHeight="false" outlineLevel="0" collapsed="false">
      <c r="A101" s="19" t="n">
        <f aca="false">A100+1</f>
        <v>77</v>
      </c>
      <c r="B101" s="19" t="n">
        <f aca="false">INT((A101-1)/$C$6)+1</f>
        <v>7</v>
      </c>
      <c r="C101" s="15" t="n">
        <f aca="false">G100</f>
        <v>66865.3676713431</v>
      </c>
      <c r="D101" s="15" t="n">
        <f aca="false">$C$5*(1+$C$11)^(B101-1)</f>
        <v>597.0261482645</v>
      </c>
      <c r="E101" s="15" t="n">
        <f aca="false">(C101+D101*$C$7)*$C$15</f>
        <v>390.047978082834</v>
      </c>
      <c r="F101" s="15" t="n">
        <f aca="false">IF(E101&gt;0,E101*$C$13,0)</f>
        <v>0</v>
      </c>
      <c r="G101" s="15" t="n">
        <f aca="false">C101+D101+E101-F101</f>
        <v>67852.4417976904</v>
      </c>
      <c r="H101" s="15" t="n">
        <f aca="false">G101/(1+$C$12)^(A101/$C$6)</f>
        <v>57910.0595575305</v>
      </c>
      <c r="I101" s="15" t="n">
        <f aca="false">I100+D101</f>
        <v>51795.5900471225</v>
      </c>
      <c r="J101" s="15" t="n">
        <f aca="false">J100+E101-F101</f>
        <v>16056.8517505679</v>
      </c>
    </row>
    <row r="102" customFormat="false" ht="15" hidden="false" customHeight="false" outlineLevel="0" collapsed="false">
      <c r="A102" s="19" t="n">
        <f aca="false">A101+1</f>
        <v>78</v>
      </c>
      <c r="B102" s="19" t="n">
        <f aca="false">INT((A102-1)/$C$6)+1</f>
        <v>7</v>
      </c>
      <c r="C102" s="15" t="n">
        <f aca="false">G101</f>
        <v>67852.4417976904</v>
      </c>
      <c r="D102" s="15" t="n">
        <f aca="false">$C$5*(1+$C$11)^(B102-1)</f>
        <v>597.0261482645</v>
      </c>
      <c r="E102" s="15" t="n">
        <f aca="false">(C102+D102*$C$7)*$C$15</f>
        <v>395.805910486527</v>
      </c>
      <c r="F102" s="15" t="n">
        <f aca="false">IF(E102&gt;0,E102*$C$13,0)</f>
        <v>0</v>
      </c>
      <c r="G102" s="15" t="n">
        <f aca="false">C102+D102+E102-F102</f>
        <v>68845.2738564414</v>
      </c>
      <c r="H102" s="15" t="n">
        <f aca="false">G102/(1+$C$12)^(A102/$C$6)</f>
        <v>58636.6306038397</v>
      </c>
      <c r="I102" s="15" t="n">
        <f aca="false">I101+D102</f>
        <v>52392.616195387</v>
      </c>
      <c r="J102" s="15" t="n">
        <f aca="false">J101+E102-F102</f>
        <v>16452.6576610544</v>
      </c>
    </row>
    <row r="103" customFormat="false" ht="15" hidden="false" customHeight="false" outlineLevel="0" collapsed="false">
      <c r="A103" s="19" t="n">
        <f aca="false">A102+1</f>
        <v>79</v>
      </c>
      <c r="B103" s="19" t="n">
        <f aca="false">INT((A103-1)/$C$6)+1</f>
        <v>7</v>
      </c>
      <c r="C103" s="15" t="n">
        <f aca="false">G102</f>
        <v>68845.2738564414</v>
      </c>
      <c r="D103" s="15" t="n">
        <f aca="false">$C$5*(1+$C$11)^(B103-1)</f>
        <v>597.0261482645</v>
      </c>
      <c r="E103" s="15" t="n">
        <f aca="false">(C103+D103*$C$7)*$C$15</f>
        <v>401.597430829242</v>
      </c>
      <c r="F103" s="15" t="n">
        <f aca="false">IF(E103&gt;0,E103*$C$13,0)</f>
        <v>0</v>
      </c>
      <c r="G103" s="15" t="n">
        <f aca="false">C103+D103+E103-F103</f>
        <v>69843.8974355351</v>
      </c>
      <c r="H103" s="15" t="n">
        <f aca="false">G103/(1+$C$12)^(A103/$C$6)</f>
        <v>59364.8924609055</v>
      </c>
      <c r="I103" s="15" t="n">
        <f aca="false">I102+D103</f>
        <v>52989.6423436515</v>
      </c>
      <c r="J103" s="15" t="n">
        <f aca="false">J102+E103-F103</f>
        <v>16854.2550918836</v>
      </c>
    </row>
    <row r="104" customFormat="false" ht="15" hidden="false" customHeight="false" outlineLevel="0" collapsed="false">
      <c r="A104" s="19" t="n">
        <f aca="false">A103+1</f>
        <v>80</v>
      </c>
      <c r="B104" s="19" t="n">
        <f aca="false">INT((A104-1)/$C$6)+1</f>
        <v>7</v>
      </c>
      <c r="C104" s="15" t="n">
        <f aca="false">G103</f>
        <v>69843.8974355351</v>
      </c>
      <c r="D104" s="15" t="n">
        <f aca="false">$C$5*(1+$C$11)^(B104-1)</f>
        <v>597.0261482645</v>
      </c>
      <c r="E104" s="15" t="n">
        <f aca="false">(C104+D104*$C$7)*$C$15</f>
        <v>407.422735040622</v>
      </c>
      <c r="F104" s="15" t="n">
        <f aca="false">IF(E104&gt;0,E104*$C$13,0)</f>
        <v>0</v>
      </c>
      <c r="G104" s="15" t="n">
        <f aca="false">C104+D104+E104-F104</f>
        <v>70848.3463188403</v>
      </c>
      <c r="H104" s="15" t="n">
        <f aca="false">G104/(1+$C$12)^(A104/$C$6)</f>
        <v>60094.8536445353</v>
      </c>
      <c r="I104" s="15" t="n">
        <f aca="false">I103+D104</f>
        <v>53586.668491916</v>
      </c>
      <c r="J104" s="15" t="n">
        <f aca="false">J103+E104-F104</f>
        <v>17261.6778269243</v>
      </c>
    </row>
    <row r="105" customFormat="false" ht="15" hidden="false" customHeight="false" outlineLevel="0" collapsed="false">
      <c r="A105" s="19" t="n">
        <f aca="false">A104+1</f>
        <v>81</v>
      </c>
      <c r="B105" s="19" t="n">
        <f aca="false">INT((A105-1)/$C$6)+1</f>
        <v>7</v>
      </c>
      <c r="C105" s="15" t="n">
        <f aca="false">G104</f>
        <v>70848.3463188403</v>
      </c>
      <c r="D105" s="15" t="n">
        <f aca="false">$C$5*(1+$C$11)^(B105-1)</f>
        <v>597.0261482645</v>
      </c>
      <c r="E105" s="15" t="n">
        <f aca="false">(C105+D105*$C$7)*$C$15</f>
        <v>413.282020193235</v>
      </c>
      <c r="F105" s="15" t="n">
        <f aca="false">IF(E105&gt;0,E105*$C$13,0)</f>
        <v>0</v>
      </c>
      <c r="G105" s="15" t="n">
        <f aca="false">C105+D105+E105-F105</f>
        <v>71858.654487298</v>
      </c>
      <c r="H105" s="15" t="n">
        <f aca="false">G105/(1+$C$12)^(A105/$C$6)</f>
        <v>60826.5226981879</v>
      </c>
      <c r="I105" s="15" t="n">
        <f aca="false">I104+D105</f>
        <v>54183.6946401805</v>
      </c>
      <c r="J105" s="15" t="n">
        <f aca="false">J104+E105-F105</f>
        <v>17674.9598471175</v>
      </c>
    </row>
    <row r="106" customFormat="false" ht="15" hidden="false" customHeight="false" outlineLevel="0" collapsed="false">
      <c r="A106" s="19" t="n">
        <f aca="false">A105+1</f>
        <v>82</v>
      </c>
      <c r="B106" s="19" t="n">
        <f aca="false">INT((A106-1)/$C$6)+1</f>
        <v>7</v>
      </c>
      <c r="C106" s="15" t="n">
        <f aca="false">G105</f>
        <v>71858.654487298</v>
      </c>
      <c r="D106" s="15" t="n">
        <f aca="false">$C$5*(1+$C$11)^(B106-1)</f>
        <v>597.0261482645</v>
      </c>
      <c r="E106" s="15" t="n">
        <f aca="false">(C106+D106*$C$7)*$C$15</f>
        <v>419.175484509238</v>
      </c>
      <c r="F106" s="15" t="n">
        <f aca="false">IF(E106&gt;0,E106*$C$13,0)</f>
        <v>0</v>
      </c>
      <c r="G106" s="15" t="n">
        <f aca="false">C106+D106+E106-F106</f>
        <v>72874.8561200717</v>
      </c>
      <c r="H106" s="15" t="n">
        <f aca="false">G106/(1+$C$12)^(A106/$C$6)</f>
        <v>61559.9081930869</v>
      </c>
      <c r="I106" s="15" t="n">
        <f aca="false">I105+D106</f>
        <v>54780.720788445</v>
      </c>
      <c r="J106" s="15" t="n">
        <f aca="false">J105+E106-F106</f>
        <v>18094.1353316267</v>
      </c>
    </row>
    <row r="107" customFormat="false" ht="15" hidden="false" customHeight="false" outlineLevel="0" collapsed="false">
      <c r="A107" s="19" t="n">
        <f aca="false">A106+1</f>
        <v>83</v>
      </c>
      <c r="B107" s="19" t="n">
        <f aca="false">INT((A107-1)/$C$6)+1</f>
        <v>7</v>
      </c>
      <c r="C107" s="15" t="n">
        <f aca="false">G106</f>
        <v>72874.8561200717</v>
      </c>
      <c r="D107" s="15" t="n">
        <f aca="false">$C$5*(1+$C$11)^(B107-1)</f>
        <v>597.0261482645</v>
      </c>
      <c r="E107" s="15" t="n">
        <f aca="false">(C107+D107*$C$7)*$C$15</f>
        <v>425.103327367085</v>
      </c>
      <c r="F107" s="15" t="n">
        <f aca="false">IF(E107&gt;0,E107*$C$13,0)</f>
        <v>0</v>
      </c>
      <c r="G107" s="15" t="n">
        <f aca="false">C107+D107+E107-F107</f>
        <v>73896.9855957033</v>
      </c>
      <c r="H107" s="15" t="n">
        <f aca="false">G107/(1+$C$12)^(A107/$C$6)</f>
        <v>62295.0187283343</v>
      </c>
      <c r="I107" s="15" t="n">
        <f aca="false">I106+D107</f>
        <v>55377.7469367095</v>
      </c>
      <c r="J107" s="15" t="n">
        <f aca="false">J106+E107-F107</f>
        <v>18519.2386589938</v>
      </c>
    </row>
    <row r="108" customFormat="false" ht="15" hidden="false" customHeight="false" outlineLevel="0" collapsed="false">
      <c r="A108" s="19" t="n">
        <f aca="false">A107+1</f>
        <v>84</v>
      </c>
      <c r="B108" s="19" t="n">
        <f aca="false">INT((A108-1)/$C$6)+1</f>
        <v>7</v>
      </c>
      <c r="C108" s="15" t="n">
        <f aca="false">G107</f>
        <v>73896.9855957033</v>
      </c>
      <c r="D108" s="15" t="n">
        <f aca="false">$C$5*(1+$C$11)^(B108-1)</f>
        <v>597.0261482645</v>
      </c>
      <c r="E108" s="15" t="n">
        <f aca="false">(C108+D108*$C$7)*$C$15</f>
        <v>431.065749308269</v>
      </c>
      <c r="F108" s="15" t="n">
        <f aca="false">IF(E108&gt;0,E108*$C$13,0)</f>
        <v>0</v>
      </c>
      <c r="G108" s="15" t="n">
        <f aca="false">C108+D108+E108-F108</f>
        <v>74925.0774932761</v>
      </c>
      <c r="H108" s="15" t="n">
        <f aca="false">G108/(1+$C$12)^(A108/$C$6)</f>
        <v>63031.8629310243</v>
      </c>
      <c r="I108" s="15" t="n">
        <f aca="false">I107+D108</f>
        <v>55974.773084974</v>
      </c>
      <c r="J108" s="15" t="n">
        <f aca="false">J107+E108-F108</f>
        <v>18950.3044083021</v>
      </c>
    </row>
    <row r="109" customFormat="false" ht="15" hidden="false" customHeight="false" outlineLevel="0" collapsed="false">
      <c r="A109" s="19" t="n">
        <f aca="false">A108+1</f>
        <v>85</v>
      </c>
      <c r="B109" s="19" t="n">
        <f aca="false">INT((A109-1)/$C$6)+1</f>
        <v>8</v>
      </c>
      <c r="C109" s="15" t="n">
        <f aca="false">G108</f>
        <v>74925.0774932761</v>
      </c>
      <c r="D109" s="15" t="n">
        <f aca="false">$C$5*(1+$C$11)^(B109-1)</f>
        <v>614.936932712435</v>
      </c>
      <c r="E109" s="15" t="n">
        <f aca="false">(C109+D109*$C$7)*$C$15</f>
        <v>437.062952044111</v>
      </c>
      <c r="F109" s="15" t="n">
        <f aca="false">IF(E109&gt;0,E109*$C$13,0)</f>
        <v>0</v>
      </c>
      <c r="G109" s="15" t="n">
        <f aca="false">C109+D109+E109-F109</f>
        <v>75977.0773780326</v>
      </c>
      <c r="H109" s="15" t="n">
        <f aca="false">G109/(1+$C$12)^(A109/$C$6)</f>
        <v>63785.4862034104</v>
      </c>
      <c r="I109" s="15" t="n">
        <f aca="false">I108+D109</f>
        <v>56589.7100176865</v>
      </c>
      <c r="J109" s="15" t="n">
        <f aca="false">J108+E109-F109</f>
        <v>19387.3673603462</v>
      </c>
    </row>
    <row r="110" customFormat="false" ht="15" hidden="false" customHeight="false" outlineLevel="0" collapsed="false">
      <c r="A110" s="19" t="n">
        <f aca="false">A109+1</f>
        <v>86</v>
      </c>
      <c r="B110" s="19" t="n">
        <f aca="false">INT((A110-1)/$C$6)+1</f>
        <v>8</v>
      </c>
      <c r="C110" s="15" t="n">
        <f aca="false">G109</f>
        <v>75977.0773780326</v>
      </c>
      <c r="D110" s="15" t="n">
        <f aca="false">$C$5*(1+$C$11)^(B110-1)</f>
        <v>614.936932712435</v>
      </c>
      <c r="E110" s="15" t="n">
        <f aca="false">(C110+D110*$C$7)*$C$15</f>
        <v>443.199618038524</v>
      </c>
      <c r="F110" s="15" t="n">
        <f aca="false">IF(E110&gt;0,E110*$C$13,0)</f>
        <v>0</v>
      </c>
      <c r="G110" s="15" t="n">
        <f aca="false">C110+D110+E110-F110</f>
        <v>77035.2139287836</v>
      </c>
      <c r="H110" s="15" t="n">
        <f aca="false">G110/(1+$C$12)^(A110/$C$6)</f>
        <v>64540.8861967786</v>
      </c>
      <c r="I110" s="15" t="n">
        <f aca="false">I109+D110</f>
        <v>57204.6469503989</v>
      </c>
      <c r="J110" s="15" t="n">
        <f aca="false">J109+E110-F110</f>
        <v>19830.5669783847</v>
      </c>
    </row>
    <row r="111" customFormat="false" ht="15" hidden="false" customHeight="false" outlineLevel="0" collapsed="false">
      <c r="A111" s="19" t="n">
        <f aca="false">A110+1</f>
        <v>87</v>
      </c>
      <c r="B111" s="19" t="n">
        <f aca="false">INT((A111-1)/$C$6)+1</f>
        <v>8</v>
      </c>
      <c r="C111" s="15" t="n">
        <f aca="false">G110</f>
        <v>77035.2139287836</v>
      </c>
      <c r="D111" s="15" t="n">
        <f aca="false">$C$5*(1+$C$11)^(B111-1)</f>
        <v>614.936932712435</v>
      </c>
      <c r="E111" s="15" t="n">
        <f aca="false">(C111+D111*$C$7)*$C$15</f>
        <v>449.372081251238</v>
      </c>
      <c r="F111" s="15" t="n">
        <f aca="false">IF(E111&gt;0,E111*$C$13,0)</f>
        <v>0</v>
      </c>
      <c r="G111" s="15" t="n">
        <f aca="false">C111+D111+E111-F111</f>
        <v>78099.5229427472</v>
      </c>
      <c r="H111" s="15" t="n">
        <f aca="false">G111/(1+$C$12)^(A111/$C$6)</f>
        <v>65298.0717832621</v>
      </c>
      <c r="I111" s="15" t="n">
        <f aca="false">I110+D111</f>
        <v>57819.5838831113</v>
      </c>
      <c r="J111" s="15" t="n">
        <f aca="false">J110+E111-F111</f>
        <v>20279.939059636</v>
      </c>
    </row>
    <row r="112" customFormat="false" ht="15" hidden="false" customHeight="false" outlineLevel="0" collapsed="false">
      <c r="A112" s="19" t="n">
        <f aca="false">A111+1</f>
        <v>88</v>
      </c>
      <c r="B112" s="19" t="n">
        <f aca="false">INT((A112-1)/$C$6)+1</f>
        <v>8</v>
      </c>
      <c r="C112" s="15" t="n">
        <f aca="false">G111</f>
        <v>78099.5229427472</v>
      </c>
      <c r="D112" s="15" t="n">
        <f aca="false">$C$5*(1+$C$11)^(B112-1)</f>
        <v>614.936932712435</v>
      </c>
      <c r="E112" s="15" t="n">
        <f aca="false">(C112+D112*$C$7)*$C$15</f>
        <v>455.580550499359</v>
      </c>
      <c r="F112" s="15" t="n">
        <f aca="false">IF(E112&gt;0,E112*$C$13,0)</f>
        <v>0</v>
      </c>
      <c r="G112" s="15" t="n">
        <f aca="false">C112+D112+E112-F112</f>
        <v>79170.040425959</v>
      </c>
      <c r="H112" s="15" t="n">
        <f aca="false">G112/(1+$C$12)^(A112/$C$6)</f>
        <v>66057.0518639202</v>
      </c>
      <c r="I112" s="15" t="n">
        <f aca="false">I111+D112</f>
        <v>58434.5208158238</v>
      </c>
      <c r="J112" s="15" t="n">
        <f aca="false">J111+E112-F112</f>
        <v>20735.5196101353</v>
      </c>
    </row>
    <row r="113" customFormat="false" ht="15" hidden="false" customHeight="false" outlineLevel="0" collapsed="false">
      <c r="A113" s="19" t="n">
        <f aca="false">A112+1</f>
        <v>89</v>
      </c>
      <c r="B113" s="19" t="n">
        <f aca="false">INT((A113-1)/$C$6)+1</f>
        <v>8</v>
      </c>
      <c r="C113" s="15" t="n">
        <f aca="false">G112</f>
        <v>79170.040425959</v>
      </c>
      <c r="D113" s="15" t="n">
        <f aca="false">$C$5*(1+$C$11)^(B113-1)</f>
        <v>614.936932712435</v>
      </c>
      <c r="E113" s="15" t="n">
        <f aca="false">(C113+D113*$C$7)*$C$15</f>
        <v>461.825235818094</v>
      </c>
      <c r="F113" s="15" t="n">
        <f aca="false">IF(E113&gt;0,E113*$C$13,0)</f>
        <v>0</v>
      </c>
      <c r="G113" s="15" t="n">
        <f aca="false">C113+D113+E113-F113</f>
        <v>80246.8025944896</v>
      </c>
      <c r="H113" s="15" t="n">
        <f aca="false">G113/(1+$C$12)^(A113/$C$6)</f>
        <v>66817.835368856</v>
      </c>
      <c r="I113" s="15" t="n">
        <f aca="false">I112+D113</f>
        <v>59049.4577485362</v>
      </c>
      <c r="J113" s="15" t="n">
        <f aca="false">J112+E113-F113</f>
        <v>21197.3448459534</v>
      </c>
    </row>
    <row r="114" customFormat="false" ht="15" hidden="false" customHeight="false" outlineLevel="0" collapsed="false">
      <c r="A114" s="19" t="n">
        <f aca="false">A113+1</f>
        <v>90</v>
      </c>
      <c r="B114" s="19" t="n">
        <f aca="false">INT((A114-1)/$C$6)+1</f>
        <v>8</v>
      </c>
      <c r="C114" s="15" t="n">
        <f aca="false">G113</f>
        <v>80246.8025944896</v>
      </c>
      <c r="D114" s="15" t="n">
        <f aca="false">$C$5*(1+$C$11)^(B114-1)</f>
        <v>614.936932712435</v>
      </c>
      <c r="E114" s="15" t="n">
        <f aca="false">(C114+D114*$C$7)*$C$15</f>
        <v>468.106348467856</v>
      </c>
      <c r="F114" s="15" t="n">
        <f aca="false">IF(E114&gt;0,E114*$C$13,0)</f>
        <v>0</v>
      </c>
      <c r="G114" s="15" t="n">
        <f aca="false">C114+D114+E114-F114</f>
        <v>81329.8458756698</v>
      </c>
      <c r="H114" s="15" t="n">
        <f aca="false">G114/(1+$C$12)^(A114/$C$6)</f>
        <v>67580.4312573355</v>
      </c>
      <c r="I114" s="15" t="n">
        <f aca="false">I113+D114</f>
        <v>59664.3946812486</v>
      </c>
      <c r="J114" s="15" t="n">
        <f aca="false">J113+E114-F114</f>
        <v>21665.4511944213</v>
      </c>
    </row>
    <row r="115" customFormat="false" ht="15" hidden="false" customHeight="false" outlineLevel="0" collapsed="false">
      <c r="A115" s="19" t="n">
        <f aca="false">A114+1</f>
        <v>91</v>
      </c>
      <c r="B115" s="19" t="n">
        <f aca="false">INT((A115-1)/$C$6)+1</f>
        <v>8</v>
      </c>
      <c r="C115" s="15" t="n">
        <f aca="false">G114</f>
        <v>81329.8458756698</v>
      </c>
      <c r="D115" s="15" t="n">
        <f aca="false">$C$5*(1+$C$11)^(B115-1)</f>
        <v>614.936932712435</v>
      </c>
      <c r="E115" s="15" t="n">
        <f aca="false">(C115+D115*$C$7)*$C$15</f>
        <v>474.424100941407</v>
      </c>
      <c r="F115" s="15" t="n">
        <f aca="false">IF(E115&gt;0,E115*$C$13,0)</f>
        <v>0</v>
      </c>
      <c r="G115" s="15" t="n">
        <f aca="false">C115+D115+E115-F115</f>
        <v>82419.2069093237</v>
      </c>
      <c r="H115" s="15" t="n">
        <f aca="false">G115/(1+$C$12)^(A115/$C$6)</f>
        <v>68344.8485179062</v>
      </c>
      <c r="I115" s="15" t="n">
        <f aca="false">I114+D115</f>
        <v>60279.3316139611</v>
      </c>
      <c r="J115" s="15" t="n">
        <f aca="false">J114+E115-F115</f>
        <v>22139.8752953627</v>
      </c>
    </row>
    <row r="116" customFormat="false" ht="15" hidden="false" customHeight="false" outlineLevel="0" collapsed="false">
      <c r="A116" s="19" t="n">
        <f aca="false">A115+1</f>
        <v>92</v>
      </c>
      <c r="B116" s="19" t="n">
        <f aca="false">INT((A116-1)/$C$6)+1</f>
        <v>8</v>
      </c>
      <c r="C116" s="15" t="n">
        <f aca="false">G115</f>
        <v>82419.2069093237</v>
      </c>
      <c r="D116" s="15" t="n">
        <f aca="false">$C$5*(1+$C$11)^(B116-1)</f>
        <v>614.936932712435</v>
      </c>
      <c r="E116" s="15" t="n">
        <f aca="false">(C116+D116*$C$7)*$C$15</f>
        <v>480.778706971055</v>
      </c>
      <c r="F116" s="15" t="n">
        <f aca="false">IF(E116&gt;0,E116*$C$13,0)</f>
        <v>0</v>
      </c>
      <c r="G116" s="15" t="n">
        <f aca="false">C116+D116+E116-F116</f>
        <v>83514.9225490072</v>
      </c>
      <c r="H116" s="15" t="n">
        <f aca="false">G116/(1+$C$12)^(A116/$C$6)</f>
        <v>69111.0961685167</v>
      </c>
      <c r="I116" s="15" t="n">
        <f aca="false">I115+D116</f>
        <v>60894.2685466735</v>
      </c>
      <c r="J116" s="15" t="n">
        <f aca="false">J115+E116-F116</f>
        <v>22620.6540023337</v>
      </c>
    </row>
    <row r="117" customFormat="false" ht="15" hidden="false" customHeight="false" outlineLevel="0" collapsed="false">
      <c r="A117" s="19" t="n">
        <f aca="false">A116+1</f>
        <v>93</v>
      </c>
      <c r="B117" s="19" t="n">
        <f aca="false">INT((A117-1)/$C$6)+1</f>
        <v>8</v>
      </c>
      <c r="C117" s="15" t="n">
        <f aca="false">G116</f>
        <v>83514.9225490072</v>
      </c>
      <c r="D117" s="15" t="n">
        <f aca="false">$C$5*(1+$C$11)^(B117-1)</f>
        <v>614.936932712435</v>
      </c>
      <c r="E117" s="15" t="n">
        <f aca="false">(C117+D117*$C$7)*$C$15</f>
        <v>487.170381535875</v>
      </c>
      <c r="F117" s="15" t="n">
        <f aca="false">IF(E117&gt;0,E117*$C$13,0)</f>
        <v>0</v>
      </c>
      <c r="G117" s="15" t="n">
        <f aca="false">C117+D117+E117-F117</f>
        <v>84617.0298632555</v>
      </c>
      <c r="H117" s="15" t="n">
        <f aca="false">G117/(1+$C$12)^(A117/$C$6)</f>
        <v>69879.1832566365</v>
      </c>
      <c r="I117" s="15" t="n">
        <f aca="false">I116+D117</f>
        <v>61509.205479386</v>
      </c>
      <c r="J117" s="15" t="n">
        <f aca="false">J116+E117-F117</f>
        <v>23107.8243838696</v>
      </c>
    </row>
    <row r="118" customFormat="false" ht="15" hidden="false" customHeight="false" outlineLevel="0" collapsed="false">
      <c r="A118" s="19" t="n">
        <f aca="false">A117+1</f>
        <v>94</v>
      </c>
      <c r="B118" s="19" t="n">
        <f aca="false">INT((A118-1)/$C$6)+1</f>
        <v>8</v>
      </c>
      <c r="C118" s="15" t="n">
        <f aca="false">G117</f>
        <v>84617.0298632555</v>
      </c>
      <c r="D118" s="15" t="n">
        <f aca="false">$C$5*(1+$C$11)^(B118-1)</f>
        <v>614.936932712435</v>
      </c>
      <c r="E118" s="15" t="n">
        <f aca="false">(C118+D118*$C$7)*$C$15</f>
        <v>493.59934086899</v>
      </c>
      <c r="F118" s="15" t="n">
        <f aca="false">IF(E118&gt;0,E118*$C$13,0)</f>
        <v>0</v>
      </c>
      <c r="G118" s="15" t="n">
        <f aca="false">C118+D118+E118-F118</f>
        <v>85725.5661368369</v>
      </c>
      <c r="H118" s="15" t="n">
        <f aca="false">G118/(1+$C$12)^(A118/$C$6)</f>
        <v>70649.1188593765</v>
      </c>
      <c r="I118" s="15" t="n">
        <f aca="false">I117+D118</f>
        <v>62124.1424120984</v>
      </c>
      <c r="J118" s="15" t="n">
        <f aca="false">J117+E118-F118</f>
        <v>23601.4237247386</v>
      </c>
    </row>
    <row r="119" customFormat="false" ht="15" hidden="false" customHeight="false" outlineLevel="0" collapsed="false">
      <c r="A119" s="19" t="n">
        <f aca="false">A118+1</f>
        <v>95</v>
      </c>
      <c r="B119" s="19" t="n">
        <f aca="false">INT((A119-1)/$C$6)+1</f>
        <v>8</v>
      </c>
      <c r="C119" s="15" t="n">
        <f aca="false">G118</f>
        <v>85725.5661368369</v>
      </c>
      <c r="D119" s="15" t="n">
        <f aca="false">$C$5*(1+$C$11)^(B119-1)</f>
        <v>614.936932712435</v>
      </c>
      <c r="E119" s="15" t="n">
        <f aca="false">(C119+D119*$C$7)*$C$15</f>
        <v>500.065802464882</v>
      </c>
      <c r="F119" s="15" t="n">
        <f aca="false">IF(E119&gt;0,E119*$C$13,0)</f>
        <v>0</v>
      </c>
      <c r="G119" s="15" t="n">
        <f aca="false">C119+D119+E119-F119</f>
        <v>86840.5688720142</v>
      </c>
      <c r="H119" s="15" t="n">
        <f aca="false">G119/(1+$C$12)^(A119/$C$6)</f>
        <v>71420.9120836093</v>
      </c>
      <c r="I119" s="15" t="n">
        <f aca="false">I118+D119</f>
        <v>62739.0793448108</v>
      </c>
      <c r="J119" s="15" t="n">
        <f aca="false">J118+E119-F119</f>
        <v>24101.4895272035</v>
      </c>
    </row>
    <row r="120" customFormat="false" ht="15" hidden="false" customHeight="false" outlineLevel="0" collapsed="false">
      <c r="A120" s="19" t="n">
        <f aca="false">A119+1</f>
        <v>96</v>
      </c>
      <c r="B120" s="19" t="n">
        <f aca="false">INT((A120-1)/$C$6)+1</f>
        <v>8</v>
      </c>
      <c r="C120" s="15" t="n">
        <f aca="false">G119</f>
        <v>86840.5688720142</v>
      </c>
      <c r="D120" s="15" t="n">
        <f aca="false">$C$5*(1+$C$11)^(B120-1)</f>
        <v>614.936932712435</v>
      </c>
      <c r="E120" s="15" t="n">
        <f aca="false">(C120+D120*$C$7)*$C$15</f>
        <v>506.56998508675</v>
      </c>
      <c r="F120" s="15" t="n">
        <f aca="false">IF(E120&gt;0,E120*$C$13,0)</f>
        <v>0</v>
      </c>
      <c r="G120" s="15" t="n">
        <f aca="false">C120+D120+E120-F120</f>
        <v>87962.0757898134</v>
      </c>
      <c r="H120" s="15" t="n">
        <f aca="false">G120/(1+$C$12)^(A120/$C$6)</f>
        <v>72194.5720660907</v>
      </c>
      <c r="I120" s="15" t="n">
        <f aca="false">I119+D120</f>
        <v>63354.0162775233</v>
      </c>
      <c r="J120" s="15" t="n">
        <f aca="false">J119+E120-F120</f>
        <v>24608.0595122902</v>
      </c>
    </row>
    <row r="121" customFormat="false" ht="15" hidden="false" customHeight="false" outlineLevel="0" collapsed="false">
      <c r="A121" s="19" t="n">
        <f aca="false">A120+1</f>
        <v>97</v>
      </c>
      <c r="B121" s="19" t="n">
        <f aca="false">INT((A121-1)/$C$6)+1</f>
        <v>9</v>
      </c>
      <c r="C121" s="15" t="n">
        <f aca="false">G120</f>
        <v>87962.0757898134</v>
      </c>
      <c r="D121" s="15" t="n">
        <f aca="false">$C$5*(1+$C$11)^(B121-1)</f>
        <v>633.385040693808</v>
      </c>
      <c r="E121" s="15" t="n">
        <f aca="false">(C121+D121*$C$7)*$C$15</f>
        <v>513.112108773912</v>
      </c>
      <c r="F121" s="15" t="n">
        <f aca="false">IF(E121&gt;0,E121*$C$13,0)</f>
        <v>0</v>
      </c>
      <c r="G121" s="15" t="n">
        <f aca="false">C121+D121+E121-F121</f>
        <v>89108.5729392811</v>
      </c>
      <c r="H121" s="15" t="n">
        <f aca="false">G121/(1+$C$12)^(A121/$C$6)</f>
        <v>72985.218070619</v>
      </c>
      <c r="I121" s="15" t="n">
        <f aca="false">I120+D121</f>
        <v>63987.4013182171</v>
      </c>
      <c r="J121" s="15" t="n">
        <f aca="false">J120+E121-F121</f>
        <v>25121.1716210641</v>
      </c>
    </row>
    <row r="122" customFormat="false" ht="15" hidden="false" customHeight="false" outlineLevel="0" collapsed="false">
      <c r="A122" s="19" t="n">
        <f aca="false">A121+1</f>
        <v>98</v>
      </c>
      <c r="B122" s="19" t="n">
        <f aca="false">INT((A122-1)/$C$6)+1</f>
        <v>9</v>
      </c>
      <c r="C122" s="15" t="n">
        <f aca="false">G121</f>
        <v>89108.5729392811</v>
      </c>
      <c r="D122" s="15" t="n">
        <f aca="false">$C$5*(1+$C$11)^(B122-1)</f>
        <v>633.385040693808</v>
      </c>
      <c r="E122" s="15" t="n">
        <f aca="false">(C122+D122*$C$7)*$C$15</f>
        <v>519.800008812473</v>
      </c>
      <c r="F122" s="15" t="n">
        <f aca="false">IF(E122&gt;0,E122*$C$13,0)</f>
        <v>0</v>
      </c>
      <c r="G122" s="15" t="n">
        <f aca="false">C122+D122+E122-F122</f>
        <v>90261.7579887874</v>
      </c>
      <c r="H122" s="15" t="n">
        <f aca="false">G122/(1+$C$12)^(A122/$C$6)</f>
        <v>73777.7750373978</v>
      </c>
      <c r="I122" s="15" t="n">
        <f aca="false">I121+D122</f>
        <v>64620.7863589109</v>
      </c>
      <c r="J122" s="15" t="n">
        <f aca="false">J121+E122-F122</f>
        <v>25640.9716298766</v>
      </c>
    </row>
    <row r="123" customFormat="false" ht="15" hidden="false" customHeight="false" outlineLevel="0" collapsed="false">
      <c r="A123" s="19" t="n">
        <f aca="false">A122+1</f>
        <v>99</v>
      </c>
      <c r="B123" s="19" t="n">
        <f aca="false">INT((A123-1)/$C$6)+1</f>
        <v>9</v>
      </c>
      <c r="C123" s="15" t="n">
        <f aca="false">G122</f>
        <v>90261.7579887874</v>
      </c>
      <c r="D123" s="15" t="n">
        <f aca="false">$C$5*(1+$C$11)^(B123-1)</f>
        <v>633.385040693808</v>
      </c>
      <c r="E123" s="15" t="n">
        <f aca="false">(C123+D123*$C$7)*$C$15</f>
        <v>526.52692160126</v>
      </c>
      <c r="F123" s="15" t="n">
        <f aca="false">IF(E123&gt;0,E123*$C$13,0)</f>
        <v>0</v>
      </c>
      <c r="G123" s="15" t="n">
        <f aca="false">C123+D123+E123-F123</f>
        <v>91421.6699510825</v>
      </c>
      <c r="H123" s="15" t="n">
        <f aca="false">G123/(1+$C$12)^(A123/$C$6)</f>
        <v>74572.2523547193</v>
      </c>
      <c r="I123" s="15" t="n">
        <f aca="false">I122+D123</f>
        <v>65254.1713996047</v>
      </c>
      <c r="J123" s="15" t="n">
        <f aca="false">J122+E123-F123</f>
        <v>26167.4985514779</v>
      </c>
    </row>
    <row r="124" customFormat="false" ht="15" hidden="false" customHeight="false" outlineLevel="0" collapsed="false">
      <c r="A124" s="19" t="n">
        <f aca="false">A123+1</f>
        <v>100</v>
      </c>
      <c r="B124" s="19" t="n">
        <f aca="false">INT((A124-1)/$C$6)+1</f>
        <v>9</v>
      </c>
      <c r="C124" s="15" t="n">
        <f aca="false">G123</f>
        <v>91421.6699510825</v>
      </c>
      <c r="D124" s="15" t="n">
        <f aca="false">$C$5*(1+$C$11)^(B124-1)</f>
        <v>633.385040693808</v>
      </c>
      <c r="E124" s="15" t="n">
        <f aca="false">(C124+D124*$C$7)*$C$15</f>
        <v>533.293074714648</v>
      </c>
      <c r="F124" s="15" t="n">
        <f aca="false">IF(E124&gt;0,E124*$C$13,0)</f>
        <v>0</v>
      </c>
      <c r="G124" s="15" t="n">
        <f aca="false">C124+D124+E124-F124</f>
        <v>92588.3480664909</v>
      </c>
      <c r="H124" s="15" t="n">
        <f aca="false">G124/(1+$C$12)^(A124/$C$6)</f>
        <v>75368.6594417236</v>
      </c>
      <c r="I124" s="15" t="n">
        <f aca="false">I123+D124</f>
        <v>65887.5564402985</v>
      </c>
      <c r="J124" s="15" t="n">
        <f aca="false">J123+E124-F124</f>
        <v>26700.7916261925</v>
      </c>
    </row>
    <row r="125" customFormat="false" ht="15" hidden="false" customHeight="false" outlineLevel="0" collapsed="false">
      <c r="A125" s="19" t="n">
        <f aca="false">A124+1</f>
        <v>101</v>
      </c>
      <c r="B125" s="19" t="n">
        <f aca="false">INT((A125-1)/$C$6)+1</f>
        <v>9</v>
      </c>
      <c r="C125" s="15" t="n">
        <f aca="false">G124</f>
        <v>92588.3480664909</v>
      </c>
      <c r="D125" s="15" t="n">
        <f aca="false">$C$5*(1+$C$11)^(B125-1)</f>
        <v>633.385040693808</v>
      </c>
      <c r="E125" s="15" t="n">
        <f aca="false">(C125+D125*$C$7)*$C$15</f>
        <v>540.098697054531</v>
      </c>
      <c r="F125" s="15" t="n">
        <f aca="false">IF(E125&gt;0,E125*$C$13,0)</f>
        <v>0</v>
      </c>
      <c r="G125" s="15" t="n">
        <f aca="false">C125+D125+E125-F125</f>
        <v>93761.8318042393</v>
      </c>
      <c r="H125" s="15" t="n">
        <f aca="false">G125/(1+$C$12)^(A125/$C$6)</f>
        <v>76167.0057485239</v>
      </c>
      <c r="I125" s="15" t="n">
        <f aca="false">I124+D125</f>
        <v>66520.9414809923</v>
      </c>
      <c r="J125" s="15" t="n">
        <f aca="false">J124+E125-F125</f>
        <v>27240.8903232471</v>
      </c>
    </row>
    <row r="126" customFormat="false" ht="15" hidden="false" customHeight="false" outlineLevel="0" collapsed="false">
      <c r="A126" s="19" t="n">
        <f aca="false">A125+1</f>
        <v>102</v>
      </c>
      <c r="B126" s="19" t="n">
        <f aca="false">INT((A126-1)/$C$6)+1</f>
        <v>9</v>
      </c>
      <c r="C126" s="15" t="n">
        <f aca="false">G125</f>
        <v>93761.8318042393</v>
      </c>
      <c r="D126" s="15" t="n">
        <f aca="false">$C$5*(1+$C$11)^(B126-1)</f>
        <v>633.385040693808</v>
      </c>
      <c r="E126" s="15" t="n">
        <f aca="false">(C126+D126*$C$7)*$C$15</f>
        <v>546.944018858063</v>
      </c>
      <c r="F126" s="15" t="n">
        <f aca="false">IF(E126&gt;0,E126*$C$13,0)</f>
        <v>0</v>
      </c>
      <c r="G126" s="15" t="n">
        <f aca="false">C126+D126+E126-F126</f>
        <v>94942.1608637912</v>
      </c>
      <c r="H126" s="15" t="n">
        <f aca="false">G126/(1+$C$12)^(A126/$C$6)</f>
        <v>76967.3007563326</v>
      </c>
      <c r="I126" s="15" t="n">
        <f aca="false">I125+D126</f>
        <v>67154.3265216861</v>
      </c>
      <c r="J126" s="15" t="n">
        <f aca="false">J125+E126-F126</f>
        <v>27787.8343421051</v>
      </c>
    </row>
    <row r="127" customFormat="false" ht="15" hidden="false" customHeight="false" outlineLevel="0" collapsed="false">
      <c r="A127" s="19" t="n">
        <f aca="false">A126+1</f>
        <v>103</v>
      </c>
      <c r="B127" s="19" t="n">
        <f aca="false">INT((A127-1)/$C$6)+1</f>
        <v>9</v>
      </c>
      <c r="C127" s="15" t="n">
        <f aca="false">G126</f>
        <v>94942.1608637912</v>
      </c>
      <c r="D127" s="15" t="n">
        <f aca="false">$C$5*(1+$C$11)^(B127-1)</f>
        <v>633.385040693808</v>
      </c>
      <c r="E127" s="15" t="n">
        <f aca="false">(C127+D127*$C$7)*$C$15</f>
        <v>553.829271705449</v>
      </c>
      <c r="F127" s="15" t="n">
        <f aca="false">IF(E127&gt;0,E127*$C$13,0)</f>
        <v>0</v>
      </c>
      <c r="G127" s="15" t="n">
        <f aca="false">C127+D127+E127-F127</f>
        <v>96129.3751761904</v>
      </c>
      <c r="H127" s="15" t="n">
        <f aca="false">G127/(1+$C$12)^(A127/$C$6)</f>
        <v>77769.5539775874</v>
      </c>
      <c r="I127" s="15" t="n">
        <f aca="false">I126+D127</f>
        <v>67787.7115623799</v>
      </c>
      <c r="J127" s="15" t="n">
        <f aca="false">J126+E127-F127</f>
        <v>28341.6636138106</v>
      </c>
    </row>
    <row r="128" customFormat="false" ht="15" hidden="false" customHeight="false" outlineLevel="0" collapsed="false">
      <c r="A128" s="19" t="n">
        <f aca="false">A127+1</f>
        <v>104</v>
      </c>
      <c r="B128" s="19" t="n">
        <f aca="false">INT((A128-1)/$C$6)+1</f>
        <v>9</v>
      </c>
      <c r="C128" s="15" t="n">
        <f aca="false">G127</f>
        <v>96129.3751761904</v>
      </c>
      <c r="D128" s="15" t="n">
        <f aca="false">$C$5*(1+$C$11)^(B128-1)</f>
        <v>633.385040693808</v>
      </c>
      <c r="E128" s="15" t="n">
        <f aca="false">(C128+D128*$C$7)*$C$15</f>
        <v>560.754688527778</v>
      </c>
      <c r="F128" s="15" t="n">
        <f aca="false">IF(E128&gt;0,E128*$C$13,0)</f>
        <v>0</v>
      </c>
      <c r="G128" s="15" t="n">
        <f aca="false">C128+D128+E128-F128</f>
        <v>97323.514905412</v>
      </c>
      <c r="H128" s="15" t="n">
        <f aca="false">G128/(1+$C$12)^(A128/$C$6)</f>
        <v>78573.7749560783</v>
      </c>
      <c r="I128" s="15" t="n">
        <f aca="false">I127+D128</f>
        <v>68421.0966030738</v>
      </c>
      <c r="J128" s="15" t="n">
        <f aca="false">J127+E128-F128</f>
        <v>28902.4183023383</v>
      </c>
    </row>
    <row r="129" customFormat="false" ht="15" hidden="false" customHeight="false" outlineLevel="0" collapsed="false">
      <c r="A129" s="19" t="n">
        <f aca="false">A128+1</f>
        <v>105</v>
      </c>
      <c r="B129" s="19" t="n">
        <f aca="false">INT((A129-1)/$C$6)+1</f>
        <v>9</v>
      </c>
      <c r="C129" s="15" t="n">
        <f aca="false">G128</f>
        <v>97323.514905412</v>
      </c>
      <c r="D129" s="15" t="n">
        <f aca="false">$C$5*(1+$C$11)^(B129-1)</f>
        <v>633.385040693808</v>
      </c>
      <c r="E129" s="15" t="n">
        <f aca="false">(C129+D129*$C$7)*$C$15</f>
        <v>567.720503614904</v>
      </c>
      <c r="F129" s="15" t="n">
        <f aca="false">IF(E129&gt;0,E129*$C$13,0)</f>
        <v>0</v>
      </c>
      <c r="G129" s="15" t="n">
        <f aca="false">C129+D129+E129-F129</f>
        <v>98524.6204497208</v>
      </c>
      <c r="H129" s="15" t="n">
        <f aca="false">G129/(1+$C$12)^(A129/$C$6)</f>
        <v>79379.9732670747</v>
      </c>
      <c r="I129" s="15" t="n">
        <f aca="false">I128+D129</f>
        <v>69054.4816437676</v>
      </c>
      <c r="J129" s="15" t="n">
        <f aca="false">J128+E129-F129</f>
        <v>29470.1388059532</v>
      </c>
    </row>
    <row r="130" customFormat="false" ht="15" hidden="false" customHeight="false" outlineLevel="0" collapsed="false">
      <c r="A130" s="19" t="n">
        <f aca="false">A129+1</f>
        <v>106</v>
      </c>
      <c r="B130" s="19" t="n">
        <f aca="false">INT((A130-1)/$C$6)+1</f>
        <v>9</v>
      </c>
      <c r="C130" s="15" t="n">
        <f aca="false">G129</f>
        <v>98524.6204497208</v>
      </c>
      <c r="D130" s="15" t="n">
        <f aca="false">$C$5*(1+$C$11)^(B130-1)</f>
        <v>633.385040693808</v>
      </c>
      <c r="E130" s="15" t="n">
        <f aca="false">(C130+D130*$C$7)*$C$15</f>
        <v>574.726952623371</v>
      </c>
      <c r="F130" s="15" t="n">
        <f aca="false">IF(E130&gt;0,E130*$C$13,0)</f>
        <v>0</v>
      </c>
      <c r="G130" s="15" t="n">
        <f aca="false">C130+D130+E130-F130</f>
        <v>99732.7324430379</v>
      </c>
      <c r="H130" s="15" t="n">
        <f aca="false">G130/(1+$C$12)^(A130/$C$6)</f>
        <v>80188.1585174533</v>
      </c>
      <c r="I130" s="15" t="n">
        <f aca="false">I129+D130</f>
        <v>69687.8666844614</v>
      </c>
      <c r="J130" s="15" t="n">
        <f aca="false">J129+E130-F130</f>
        <v>30044.8657585766</v>
      </c>
    </row>
    <row r="131" customFormat="false" ht="15" hidden="false" customHeight="false" outlineLevel="0" collapsed="false">
      <c r="A131" s="19" t="n">
        <f aca="false">A130+1</f>
        <v>107</v>
      </c>
      <c r="B131" s="19" t="n">
        <f aca="false">INT((A131-1)/$C$6)+1</f>
        <v>9</v>
      </c>
      <c r="C131" s="15" t="n">
        <f aca="false">G130</f>
        <v>99732.7324430379</v>
      </c>
      <c r="D131" s="15" t="n">
        <f aca="false">$C$5*(1+$C$11)^(B131-1)</f>
        <v>633.385040693808</v>
      </c>
      <c r="E131" s="15" t="n">
        <f aca="false">(C131+D131*$C$7)*$C$15</f>
        <v>581.774272584388</v>
      </c>
      <c r="F131" s="15" t="n">
        <f aca="false">IF(E131&gt;0,E131*$C$13,0)</f>
        <v>0</v>
      </c>
      <c r="G131" s="15" t="n">
        <f aca="false">C131+D131+E131-F131</f>
        <v>100947.891756316</v>
      </c>
      <c r="H131" s="15" t="n">
        <f aca="false">G131/(1+$C$12)^(A131/$C$6)</f>
        <v>80998.3403458259</v>
      </c>
      <c r="I131" s="15" t="n">
        <f aca="false">I130+D131</f>
        <v>70321.2517251552</v>
      </c>
      <c r="J131" s="15" t="n">
        <f aca="false">J130+E131-F131</f>
        <v>30626.640031161</v>
      </c>
    </row>
    <row r="132" customFormat="false" ht="15" hidden="false" customHeight="false" outlineLevel="0" collapsed="false">
      <c r="A132" s="19" t="n">
        <f aca="false">A131+1</f>
        <v>108</v>
      </c>
      <c r="B132" s="19" t="n">
        <f aca="false">INT((A132-1)/$C$6)+1</f>
        <v>9</v>
      </c>
      <c r="C132" s="15" t="n">
        <f aca="false">G131</f>
        <v>100947.891756316</v>
      </c>
      <c r="D132" s="15" t="n">
        <f aca="false">$C$5*(1+$C$11)^(B132-1)</f>
        <v>633.385040693808</v>
      </c>
      <c r="E132" s="15" t="n">
        <f aca="false">(C132+D132*$C$7)*$C$15</f>
        <v>588.862701911844</v>
      </c>
      <c r="F132" s="15" t="n">
        <f aca="false">IF(E132&gt;0,E132*$C$13,0)</f>
        <v>0</v>
      </c>
      <c r="G132" s="15" t="n">
        <f aca="false">C132+D132+E132-F132</f>
        <v>102170.139498922</v>
      </c>
      <c r="H132" s="15" t="n">
        <f aca="false">G132/(1+$C$12)^(A132/$C$6)</f>
        <v>81810.5284226686</v>
      </c>
      <c r="I132" s="15" t="n">
        <f aca="false">I131+D132</f>
        <v>70954.636765849</v>
      </c>
      <c r="J132" s="15" t="n">
        <f aca="false">J131+E132-F132</f>
        <v>31215.5027330729</v>
      </c>
    </row>
    <row r="133" customFormat="false" ht="15" hidden="false" customHeight="false" outlineLevel="0" collapsed="false">
      <c r="A133" s="19" t="n">
        <f aca="false">A132+1</f>
        <v>109</v>
      </c>
      <c r="B133" s="19" t="n">
        <f aca="false">INT((A133-1)/$C$6)+1</f>
        <v>10</v>
      </c>
      <c r="C133" s="15" t="n">
        <f aca="false">G132</f>
        <v>102170.139498922</v>
      </c>
      <c r="D133" s="15" t="n">
        <f aca="false">$C$5*(1+$C$11)^(B133-1)</f>
        <v>652.386591914623</v>
      </c>
      <c r="E133" s="15" t="n">
        <f aca="false">(C133+D133*$C$7)*$C$15</f>
        <v>595.992480410377</v>
      </c>
      <c r="F133" s="15" t="n">
        <f aca="false">IF(E133&gt;0,E133*$C$13,0)</f>
        <v>0</v>
      </c>
      <c r="G133" s="15" t="n">
        <f aca="false">C133+D133+E133-F133</f>
        <v>103418.518571247</v>
      </c>
      <c r="H133" s="15" t="n">
        <f aca="false">G133/(1+$C$12)^(A133/$C$6)</f>
        <v>82639.9162552785</v>
      </c>
      <c r="I133" s="15" t="n">
        <f aca="false">I132+D133</f>
        <v>71607.0233577636</v>
      </c>
      <c r="J133" s="15" t="n">
        <f aca="false">J132+E133-F133</f>
        <v>31811.4952134832</v>
      </c>
    </row>
    <row r="134" customFormat="false" ht="15" hidden="false" customHeight="false" outlineLevel="0" collapsed="false">
      <c r="A134" s="19" t="n">
        <f aca="false">A133+1</f>
        <v>110</v>
      </c>
      <c r="B134" s="19" t="n">
        <f aca="false">INT((A134-1)/$C$6)+1</f>
        <v>10</v>
      </c>
      <c r="C134" s="15" t="n">
        <f aca="false">G133</f>
        <v>103418.518571247</v>
      </c>
      <c r="D134" s="15" t="n">
        <f aca="false">$C$5*(1+$C$11)^(B134-1)</f>
        <v>652.386591914623</v>
      </c>
      <c r="E134" s="15" t="n">
        <f aca="false">(C134+D134*$C$7)*$C$15</f>
        <v>603.274691665606</v>
      </c>
      <c r="F134" s="15" t="n">
        <f aca="false">IF(E134&gt;0,E134*$C$13,0)</f>
        <v>0</v>
      </c>
      <c r="G134" s="15" t="n">
        <f aca="false">C134+D134+E134-F134</f>
        <v>104674.179854827</v>
      </c>
      <c r="H134" s="15" t="n">
        <f aca="false">G134/(1+$C$12)^(A134/$C$6)</f>
        <v>83471.3557398237</v>
      </c>
      <c r="I134" s="15" t="n">
        <f aca="false">I133+D134</f>
        <v>72259.4099496782</v>
      </c>
      <c r="J134" s="15" t="n">
        <f aca="false">J133+E134-F134</f>
        <v>32414.7699051488</v>
      </c>
    </row>
    <row r="135" customFormat="false" ht="15" hidden="false" customHeight="false" outlineLevel="0" collapsed="false">
      <c r="A135" s="19" t="n">
        <f aca="false">A134+1</f>
        <v>111</v>
      </c>
      <c r="B135" s="19" t="n">
        <f aca="false">INT((A135-1)/$C$6)+1</f>
        <v>10</v>
      </c>
      <c r="C135" s="15" t="n">
        <f aca="false">G134</f>
        <v>104674.179854827</v>
      </c>
      <c r="D135" s="15" t="n">
        <f aca="false">$C$5*(1+$C$11)^(B135-1)</f>
        <v>652.386591914623</v>
      </c>
      <c r="E135" s="15" t="n">
        <f aca="false">(C135+D135*$C$7)*$C$15</f>
        <v>610.599382486491</v>
      </c>
      <c r="F135" s="15" t="n">
        <f aca="false">IF(E135&gt;0,E135*$C$13,0)</f>
        <v>0</v>
      </c>
      <c r="G135" s="15" t="n">
        <f aca="false">C135+D135+E135-F135</f>
        <v>105937.165829228</v>
      </c>
      <c r="H135" s="15" t="n">
        <f aca="false">G135/(1+$C$12)^(A135/$C$6)</f>
        <v>84304.8568050904</v>
      </c>
      <c r="I135" s="15" t="n">
        <f aca="false">I134+D135</f>
        <v>72911.7965415929</v>
      </c>
      <c r="J135" s="15" t="n">
        <f aca="false">J134+E135-F135</f>
        <v>33025.3692876353</v>
      </c>
    </row>
    <row r="136" customFormat="false" ht="15" hidden="false" customHeight="false" outlineLevel="0" collapsed="false">
      <c r="A136" s="19" t="n">
        <f aca="false">A135+1</f>
        <v>112</v>
      </c>
      <c r="B136" s="19" t="n">
        <f aca="false">INT((A136-1)/$C$6)+1</f>
        <v>10</v>
      </c>
      <c r="C136" s="15" t="n">
        <f aca="false">G135</f>
        <v>105937.165829228</v>
      </c>
      <c r="D136" s="15" t="n">
        <f aca="false">$C$5*(1+$C$11)^(B136-1)</f>
        <v>652.386591914623</v>
      </c>
      <c r="E136" s="15" t="n">
        <f aca="false">(C136+D136*$C$7)*$C$15</f>
        <v>617.966800670497</v>
      </c>
      <c r="F136" s="15" t="n">
        <f aca="false">IF(E136&gt;0,E136*$C$13,0)</f>
        <v>0</v>
      </c>
      <c r="G136" s="15" t="n">
        <f aca="false">C136+D136+E136-F136</f>
        <v>107207.519221813</v>
      </c>
      <c r="H136" s="15" t="n">
        <f aca="false">G136/(1+$C$12)^(A136/$C$6)</f>
        <v>85140.4294127261</v>
      </c>
      <c r="I136" s="15" t="n">
        <f aca="false">I135+D136</f>
        <v>73564.1831335075</v>
      </c>
      <c r="J136" s="15" t="n">
        <f aca="false">J135+E136-F136</f>
        <v>33643.3360883058</v>
      </c>
    </row>
    <row r="137" customFormat="false" ht="15" hidden="false" customHeight="false" outlineLevel="0" collapsed="false">
      <c r="A137" s="19" t="n">
        <f aca="false">A136+1</f>
        <v>113</v>
      </c>
      <c r="B137" s="19" t="n">
        <f aca="false">INT((A137-1)/$C$6)+1</f>
        <v>10</v>
      </c>
      <c r="C137" s="15" t="n">
        <f aca="false">G136</f>
        <v>107207.519221813</v>
      </c>
      <c r="D137" s="15" t="n">
        <f aca="false">$C$5*(1+$C$11)^(B137-1)</f>
        <v>652.386591914623</v>
      </c>
      <c r="E137" s="15" t="n">
        <f aca="false">(C137+D137*$C$7)*$C$15</f>
        <v>625.377195460577</v>
      </c>
      <c r="F137" s="15" t="n">
        <f aca="false">IF(E137&gt;0,E137*$C$13,0)</f>
        <v>0</v>
      </c>
      <c r="G137" s="15" t="n">
        <f aca="false">C137+D137+E137-F137</f>
        <v>108485.283009188</v>
      </c>
      <c r="H137" s="15" t="n">
        <f aca="false">G137/(1+$C$12)^(A137/$C$6)</f>
        <v>85978.0835573723</v>
      </c>
      <c r="I137" s="15" t="n">
        <f aca="false">I136+D137</f>
        <v>74216.5697254221</v>
      </c>
      <c r="J137" s="15" t="n">
        <f aca="false">J136+E137-F137</f>
        <v>34268.7132837664</v>
      </c>
    </row>
    <row r="138" customFormat="false" ht="15" hidden="false" customHeight="false" outlineLevel="0" collapsed="false">
      <c r="A138" s="19" t="n">
        <f aca="false">A137+1</f>
        <v>114</v>
      </c>
      <c r="B138" s="19" t="n">
        <f aca="false">INT((A138-1)/$C$6)+1</f>
        <v>10</v>
      </c>
      <c r="C138" s="15" t="n">
        <f aca="false">G137</f>
        <v>108485.283009188</v>
      </c>
      <c r="D138" s="15" t="n">
        <f aca="false">$C$5*(1+$C$11)^(B138-1)</f>
        <v>652.386591914623</v>
      </c>
      <c r="E138" s="15" t="n">
        <f aca="false">(C138+D138*$C$7)*$C$15</f>
        <v>632.830817553599</v>
      </c>
      <c r="F138" s="15" t="n">
        <f aca="false">IF(E138&gt;0,E138*$C$13,0)</f>
        <v>0</v>
      </c>
      <c r="G138" s="15" t="n">
        <f aca="false">C138+D138+E138-F138</f>
        <v>109770.500418657</v>
      </c>
      <c r="H138" s="15" t="n">
        <f aca="false">G138/(1+$C$12)^(A138/$C$6)</f>
        <v>86817.8292667985</v>
      </c>
      <c r="I138" s="15" t="n">
        <f aca="false">I137+D138</f>
        <v>74868.9563173367</v>
      </c>
      <c r="J138" s="15" t="n">
        <f aca="false">J137+E138-F138</f>
        <v>34901.54410132</v>
      </c>
    </row>
    <row r="139" customFormat="false" ht="15" hidden="false" customHeight="false" outlineLevel="0" collapsed="false">
      <c r="A139" s="19" t="n">
        <f aca="false">A138+1</f>
        <v>115</v>
      </c>
      <c r="B139" s="19" t="n">
        <f aca="false">INT((A139-1)/$C$6)+1</f>
        <v>10</v>
      </c>
      <c r="C139" s="15" t="n">
        <f aca="false">G138</f>
        <v>109770.500418657</v>
      </c>
      <c r="D139" s="15" t="n">
        <f aca="false">$C$5*(1+$C$11)^(B139-1)</f>
        <v>652.386591914623</v>
      </c>
      <c r="E139" s="15" t="n">
        <f aca="false">(C139+D139*$C$7)*$C$15</f>
        <v>640.327919108831</v>
      </c>
      <c r="F139" s="15" t="n">
        <f aca="false">IF(E139&gt;0,E139*$C$13,0)</f>
        <v>0</v>
      </c>
      <c r="G139" s="15" t="n">
        <f aca="false">C139+D139+E139-F139</f>
        <v>111063.21492968</v>
      </c>
      <c r="H139" s="15" t="n">
        <f aca="false">G139/(1+$C$12)^(A139/$C$6)</f>
        <v>87659.6766020359</v>
      </c>
      <c r="I139" s="15" t="n">
        <f aca="false">I138+D139</f>
        <v>75521.3429092513</v>
      </c>
      <c r="J139" s="15" t="n">
        <f aca="false">J138+E139-F139</f>
        <v>35541.8720204288</v>
      </c>
    </row>
    <row r="140" customFormat="false" ht="15" hidden="false" customHeight="false" outlineLevel="0" collapsed="false">
      <c r="A140" s="19" t="n">
        <f aca="false">A139+1</f>
        <v>116</v>
      </c>
      <c r="B140" s="19" t="n">
        <f aca="false">INT((A140-1)/$C$6)+1</f>
        <v>10</v>
      </c>
      <c r="C140" s="15" t="n">
        <f aca="false">G139</f>
        <v>111063.21492968</v>
      </c>
      <c r="D140" s="15" t="n">
        <f aca="false">$C$5*(1+$C$11)^(B140-1)</f>
        <v>652.386591914623</v>
      </c>
      <c r="E140" s="15" t="n">
        <f aca="false">(C140+D140*$C$7)*$C$15</f>
        <v>647.868753756467</v>
      </c>
      <c r="F140" s="15" t="n">
        <f aca="false">IF(E140&gt;0,E140*$C$13,0)</f>
        <v>0</v>
      </c>
      <c r="G140" s="15" t="n">
        <f aca="false">C140+D140+E140-F140</f>
        <v>112363.470275351</v>
      </c>
      <c r="H140" s="15" t="n">
        <f aca="false">G140/(1+$C$12)^(A140/$C$6)</f>
        <v>88503.6356575119</v>
      </c>
      <c r="I140" s="15" t="n">
        <f aca="false">I139+D140</f>
        <v>76173.729501166</v>
      </c>
      <c r="J140" s="15" t="n">
        <f aca="false">J139+E140-F140</f>
        <v>36189.7407741853</v>
      </c>
    </row>
    <row r="141" customFormat="false" ht="15" hidden="false" customHeight="false" outlineLevel="0" collapsed="false">
      <c r="A141" s="19" t="n">
        <f aca="false">A140+1</f>
        <v>117</v>
      </c>
      <c r="B141" s="19" t="n">
        <f aca="false">INT((A141-1)/$C$6)+1</f>
        <v>10</v>
      </c>
      <c r="C141" s="15" t="n">
        <f aca="false">G140</f>
        <v>112363.470275351</v>
      </c>
      <c r="D141" s="15" t="n">
        <f aca="false">$C$5*(1+$C$11)^(B141-1)</f>
        <v>652.386591914623</v>
      </c>
      <c r="E141" s="15" t="n">
        <f aca="false">(C141+D141*$C$7)*$C$15</f>
        <v>655.453576606215</v>
      </c>
      <c r="F141" s="15" t="n">
        <f aca="false">IF(E141&gt;0,E141*$C$13,0)</f>
        <v>0</v>
      </c>
      <c r="G141" s="15" t="n">
        <f aca="false">C141+D141+E141-F141</f>
        <v>113671.310443872</v>
      </c>
      <c r="H141" s="15" t="n">
        <f aca="false">G141/(1+$C$12)^(A141/$C$6)</f>
        <v>89349.7165611851</v>
      </c>
      <c r="I141" s="15" t="n">
        <f aca="false">I140+D141</f>
        <v>76826.1160930806</v>
      </c>
      <c r="J141" s="15" t="n">
        <f aca="false">J140+E141-F141</f>
        <v>36845.1943507915</v>
      </c>
    </row>
    <row r="142" customFormat="false" ht="15" hidden="false" customHeight="false" outlineLevel="0" collapsed="false">
      <c r="A142" s="19" t="n">
        <f aca="false">A141+1</f>
        <v>118</v>
      </c>
      <c r="B142" s="19" t="n">
        <f aca="false">INT((A142-1)/$C$6)+1</f>
        <v>10</v>
      </c>
      <c r="C142" s="15" t="n">
        <f aca="false">G141</f>
        <v>113671.310443872</v>
      </c>
      <c r="D142" s="15" t="n">
        <f aca="false">$C$5*(1+$C$11)^(B142-1)</f>
        <v>652.386591914623</v>
      </c>
      <c r="E142" s="15" t="n">
        <f aca="false">(C142+D142*$C$7)*$C$15</f>
        <v>663.08264425592</v>
      </c>
      <c r="F142" s="15" t="n">
        <f aca="false">IF(E142&gt;0,E142*$C$13,0)</f>
        <v>0</v>
      </c>
      <c r="G142" s="15" t="n">
        <f aca="false">C142+D142+E142-F142</f>
        <v>114986.779680043</v>
      </c>
      <c r="H142" s="15" t="n">
        <f aca="false">G142/(1+$C$12)^(A142/$C$6)</f>
        <v>90197.9294746811</v>
      </c>
      <c r="I142" s="15" t="n">
        <f aca="false">I141+D142</f>
        <v>77478.5026849952</v>
      </c>
      <c r="J142" s="15" t="n">
        <f aca="false">J141+E142-F142</f>
        <v>37508.2769950474</v>
      </c>
    </row>
    <row r="143" customFormat="false" ht="15" hidden="false" customHeight="false" outlineLevel="0" collapsed="false">
      <c r="A143" s="19" t="n">
        <f aca="false">A142+1</f>
        <v>119</v>
      </c>
      <c r="B143" s="19" t="n">
        <f aca="false">INT((A143-1)/$C$6)+1</f>
        <v>10</v>
      </c>
      <c r="C143" s="15" t="n">
        <f aca="false">G142</f>
        <v>114986.779680043</v>
      </c>
      <c r="D143" s="15" t="n">
        <f aca="false">$C$5*(1+$C$11)^(B143-1)</f>
        <v>652.386591914623</v>
      </c>
      <c r="E143" s="15" t="n">
        <f aca="false">(C143+D143*$C$7)*$C$15</f>
        <v>670.756214800248</v>
      </c>
      <c r="F143" s="15" t="n">
        <f aca="false">IF(E143&gt;0,E143*$C$13,0)</f>
        <v>0</v>
      </c>
      <c r="G143" s="15" t="n">
        <f aca="false">C143+D143+E143-F143</f>
        <v>116309.922486757</v>
      </c>
      <c r="H143" s="15" t="n">
        <f aca="false">G143/(1+$C$12)^(A143/$C$6)</f>
        <v>91048.2845934279</v>
      </c>
      <c r="I143" s="15" t="n">
        <f aca="false">I142+D143</f>
        <v>78130.8892769098</v>
      </c>
      <c r="J143" s="15" t="n">
        <f aca="false">J142+E143-F143</f>
        <v>38179.0332098477</v>
      </c>
    </row>
    <row r="144" customFormat="false" ht="15" hidden="false" customHeight="false" outlineLevel="0" collapsed="false">
      <c r="A144" s="19" t="n">
        <f aca="false">A143+1</f>
        <v>120</v>
      </c>
      <c r="B144" s="19" t="n">
        <f aca="false">INT((A144-1)/$C$6)+1</f>
        <v>10</v>
      </c>
      <c r="C144" s="15" t="n">
        <f aca="false">G143</f>
        <v>116309.922486757</v>
      </c>
      <c r="D144" s="15" t="n">
        <f aca="false">$C$5*(1+$C$11)^(B144-1)</f>
        <v>652.386591914623</v>
      </c>
      <c r="E144" s="15" t="n">
        <f aca="false">(C144+D144*$C$7)*$C$15</f>
        <v>678.474547839418</v>
      </c>
      <c r="F144" s="15" t="n">
        <f aca="false">IF(E144&gt;0,E144*$C$13,0)</f>
        <v>0</v>
      </c>
      <c r="G144" s="15" t="n">
        <f aca="false">C144+D144+E144-F144</f>
        <v>117640.783626511</v>
      </c>
      <c r="H144" s="15" t="n">
        <f aca="false">G144/(1+$C$12)^(A144/$C$6)</f>
        <v>91900.7921467929</v>
      </c>
      <c r="I144" s="15" t="n">
        <f aca="false">I143+D144</f>
        <v>78783.2758688244</v>
      </c>
      <c r="J144" s="15" t="n">
        <f aca="false">J143+E144-F144</f>
        <v>38857.5077576871</v>
      </c>
    </row>
    <row r="145" customFormat="false" ht="15" hidden="false" customHeight="false" outlineLevel="0" collapsed="false">
      <c r="A145" s="19" t="n">
        <f aca="false">A144+1</f>
        <v>121</v>
      </c>
      <c r="B145" s="19" t="n">
        <f aca="false">INT((A145-1)/$C$6)+1</f>
        <v>11</v>
      </c>
      <c r="C145" s="15" t="n">
        <f aca="false">G144</f>
        <v>117640.783626511</v>
      </c>
      <c r="D145" s="15" t="n">
        <f aca="false">$C$5*(1+$C$11)^(B145-1)</f>
        <v>671.958189672061</v>
      </c>
      <c r="E145" s="15" t="n">
        <f aca="false">(C145+D145*$C$7)*$C$15</f>
        <v>686.237904487984</v>
      </c>
      <c r="F145" s="15" t="n">
        <f aca="false">IF(E145&gt;0,E145*$C$13,0)</f>
        <v>0</v>
      </c>
      <c r="G145" s="15" t="n">
        <f aca="false">C145+D145+E145-F145</f>
        <v>118998.979720672</v>
      </c>
      <c r="H145" s="15" t="n">
        <f aca="false">G145/(1+$C$12)^(A145/$C$6)</f>
        <v>92770.7202703884</v>
      </c>
      <c r="I145" s="15" t="n">
        <f aca="false">I144+D145</f>
        <v>79455.2340584965</v>
      </c>
      <c r="J145" s="15" t="n">
        <f aca="false">J144+E145-F145</f>
        <v>39543.7456621751</v>
      </c>
    </row>
    <row r="146" customFormat="false" ht="15" hidden="false" customHeight="false" outlineLevel="0" collapsed="false">
      <c r="A146" s="19" t="n">
        <f aca="false">A145+1</f>
        <v>122</v>
      </c>
      <c r="B146" s="19" t="n">
        <f aca="false">INT((A146-1)/$C$6)+1</f>
        <v>11</v>
      </c>
      <c r="C146" s="15" t="n">
        <f aca="false">G145</f>
        <v>118998.979720672</v>
      </c>
      <c r="D146" s="15" t="n">
        <f aca="false">$C$5*(1+$C$11)^(B146-1)</f>
        <v>671.958189672061</v>
      </c>
      <c r="E146" s="15" t="n">
        <f aca="false">(C146+D146*$C$7)*$C$15</f>
        <v>694.160715037251</v>
      </c>
      <c r="F146" s="15" t="n">
        <f aca="false">IF(E146&gt;0,E146*$C$13,0)</f>
        <v>0</v>
      </c>
      <c r="G146" s="15" t="n">
        <f aca="false">C146+D146+E146-F146</f>
        <v>120365.098625381</v>
      </c>
      <c r="H146" s="15" t="n">
        <f aca="false">G146/(1+$C$12)^(A146/$C$6)</f>
        <v>93642.8474827727</v>
      </c>
      <c r="I146" s="15" t="n">
        <f aca="false">I145+D146</f>
        <v>80127.1922481686</v>
      </c>
      <c r="J146" s="15" t="n">
        <f aca="false">J145+E146-F146</f>
        <v>40237.9063772123</v>
      </c>
    </row>
    <row r="147" customFormat="false" ht="15" hidden="false" customHeight="false" outlineLevel="0" collapsed="false">
      <c r="A147" s="19" t="n">
        <f aca="false">A146+1</f>
        <v>123</v>
      </c>
      <c r="B147" s="19" t="n">
        <f aca="false">INT((A147-1)/$C$6)+1</f>
        <v>11</v>
      </c>
      <c r="C147" s="15" t="n">
        <f aca="false">G146</f>
        <v>120365.098625381</v>
      </c>
      <c r="D147" s="15" t="n">
        <f aca="false">$C$5*(1+$C$11)^(B147-1)</f>
        <v>671.958189672061</v>
      </c>
      <c r="E147" s="15" t="n">
        <f aca="false">(C147+D147*$C$7)*$C$15</f>
        <v>702.129741981388</v>
      </c>
      <c r="F147" s="15" t="n">
        <f aca="false">IF(E147&gt;0,E147*$C$13,0)</f>
        <v>0</v>
      </c>
      <c r="G147" s="15" t="n">
        <f aca="false">C147+D147+E147-F147</f>
        <v>121739.186557034</v>
      </c>
      <c r="H147" s="15" t="n">
        <f aca="false">G147/(1+$C$12)^(A147/$C$6)</f>
        <v>94517.1842786862</v>
      </c>
      <c r="I147" s="15" t="n">
        <f aca="false">I146+D147</f>
        <v>80799.1504378406</v>
      </c>
      <c r="J147" s="15" t="n">
        <f aca="false">J146+E147-F147</f>
        <v>40940.0361191937</v>
      </c>
    </row>
    <row r="148" customFormat="false" ht="15" hidden="false" customHeight="false" outlineLevel="0" collapsed="false">
      <c r="A148" s="19" t="n">
        <f aca="false">A147+1</f>
        <v>124</v>
      </c>
      <c r="B148" s="19" t="n">
        <f aca="false">INT((A148-1)/$C$6)+1</f>
        <v>11</v>
      </c>
      <c r="C148" s="15" t="n">
        <f aca="false">G147</f>
        <v>121739.186557034</v>
      </c>
      <c r="D148" s="15" t="n">
        <f aca="false">$C$5*(1+$C$11)^(B148-1)</f>
        <v>671.958189672061</v>
      </c>
      <c r="E148" s="15" t="n">
        <f aca="false">(C148+D148*$C$7)*$C$15</f>
        <v>710.145254916033</v>
      </c>
      <c r="F148" s="15" t="n">
        <f aca="false">IF(E148&gt;0,E148*$C$13,0)</f>
        <v>0</v>
      </c>
      <c r="G148" s="15" t="n">
        <f aca="false">C148+D148+E148-F148</f>
        <v>123121.290001622</v>
      </c>
      <c r="H148" s="15" t="n">
        <f aca="false">G148/(1+$C$12)^(A148/$C$6)</f>
        <v>95393.7411878397</v>
      </c>
      <c r="I148" s="15" t="n">
        <f aca="false">I147+D148</f>
        <v>81471.1086275127</v>
      </c>
      <c r="J148" s="15" t="n">
        <f aca="false">J147+E148-F148</f>
        <v>41650.1813741098</v>
      </c>
    </row>
    <row r="149" customFormat="false" ht="15" hidden="false" customHeight="false" outlineLevel="0" collapsed="false">
      <c r="A149" s="19" t="n">
        <f aca="false">A148+1</f>
        <v>125</v>
      </c>
      <c r="B149" s="19" t="n">
        <f aca="false">INT((A149-1)/$C$6)+1</f>
        <v>11</v>
      </c>
      <c r="C149" s="15" t="n">
        <f aca="false">G148</f>
        <v>123121.290001622</v>
      </c>
      <c r="D149" s="15" t="n">
        <f aca="false">$C$5*(1+$C$11)^(B149-1)</f>
        <v>671.958189672061</v>
      </c>
      <c r="E149" s="15" t="n">
        <f aca="false">(C149+D149*$C$7)*$C$15</f>
        <v>718.207525009464</v>
      </c>
      <c r="F149" s="15" t="n">
        <f aca="false">IF(E149&gt;0,E149*$C$13,0)</f>
        <v>0</v>
      </c>
      <c r="G149" s="15" t="n">
        <f aca="false">C149+D149+E149-F149</f>
        <v>124511.455716304</v>
      </c>
      <c r="H149" s="15" t="n">
        <f aca="false">G149/(1+$C$12)^(A149/$C$6)</f>
        <v>96272.5287750555</v>
      </c>
      <c r="I149" s="15" t="n">
        <f aca="false">I148+D149</f>
        <v>82143.0668171848</v>
      </c>
      <c r="J149" s="15" t="n">
        <f aca="false">J148+E149-F149</f>
        <v>42368.3888991192</v>
      </c>
    </row>
    <row r="150" customFormat="false" ht="15" hidden="false" customHeight="false" outlineLevel="0" collapsed="false">
      <c r="A150" s="19" t="n">
        <f aca="false">A149+1</f>
        <v>126</v>
      </c>
      <c r="B150" s="19" t="n">
        <f aca="false">INT((A150-1)/$C$6)+1</f>
        <v>11</v>
      </c>
      <c r="C150" s="15" t="n">
        <f aca="false">G149</f>
        <v>124511.455716304</v>
      </c>
      <c r="D150" s="15" t="n">
        <f aca="false">$C$5*(1+$C$11)^(B150-1)</f>
        <v>671.958189672061</v>
      </c>
      <c r="E150" s="15" t="n">
        <f aca="false">(C150+D150*$C$7)*$C$15</f>
        <v>726.316825011773</v>
      </c>
      <c r="F150" s="15" t="n">
        <f aca="false">IF(E150&gt;0,E150*$C$13,0)</f>
        <v>0</v>
      </c>
      <c r="G150" s="15" t="n">
        <f aca="false">C150+D150+E150-F150</f>
        <v>125909.730730988</v>
      </c>
      <c r="H150" s="15" t="n">
        <f aca="false">G150/(1+$C$12)^(A150/$C$6)</f>
        <v>97153.5576404087</v>
      </c>
      <c r="I150" s="15" t="n">
        <f aca="false">I149+D150</f>
        <v>82815.0250068568</v>
      </c>
      <c r="J150" s="15" t="n">
        <f aca="false">J149+E150-F150</f>
        <v>43094.705724131</v>
      </c>
    </row>
    <row r="151" customFormat="false" ht="15" hidden="false" customHeight="false" outlineLevel="0" collapsed="false">
      <c r="A151" s="19" t="n">
        <f aca="false">A150+1</f>
        <v>127</v>
      </c>
      <c r="B151" s="19" t="n">
        <f aca="false">INT((A151-1)/$C$6)+1</f>
        <v>11</v>
      </c>
      <c r="C151" s="15" t="n">
        <f aca="false">G150</f>
        <v>125909.730730988</v>
      </c>
      <c r="D151" s="15" t="n">
        <f aca="false">$C$5*(1+$C$11)^(B151-1)</f>
        <v>671.958189672061</v>
      </c>
      <c r="E151" s="15" t="n">
        <f aca="false">(C151+D151*$C$7)*$C$15</f>
        <v>734.473429264095</v>
      </c>
      <c r="F151" s="15" t="n">
        <f aca="false">IF(E151&gt;0,E151*$C$13,0)</f>
        <v>0</v>
      </c>
      <c r="G151" s="15" t="n">
        <f aca="false">C151+D151+E151-F151</f>
        <v>127316.162349924</v>
      </c>
      <c r="H151" s="15" t="n">
        <f aca="false">G151/(1+$C$12)^(A151/$C$6)</f>
        <v>98036.8384193691</v>
      </c>
      <c r="I151" s="15" t="n">
        <f aca="false">I150+D151</f>
        <v>83486.9831965289</v>
      </c>
      <c r="J151" s="15" t="n">
        <f aca="false">J150+E151-F151</f>
        <v>43829.1791533951</v>
      </c>
    </row>
    <row r="152" customFormat="false" ht="15" hidden="false" customHeight="false" outlineLevel="0" collapsed="false">
      <c r="A152" s="19" t="n">
        <f aca="false">A151+1</f>
        <v>128</v>
      </c>
      <c r="B152" s="19" t="n">
        <f aca="false">INT((A152-1)/$C$6)+1</f>
        <v>11</v>
      </c>
      <c r="C152" s="15" t="n">
        <f aca="false">G151</f>
        <v>127316.162349924</v>
      </c>
      <c r="D152" s="15" t="n">
        <f aca="false">$C$5*(1+$C$11)^(B152-1)</f>
        <v>671.958189672061</v>
      </c>
      <c r="E152" s="15" t="n">
        <f aca="false">(C152+D152*$C$7)*$C$15</f>
        <v>742.677613707889</v>
      </c>
      <c r="F152" s="15" t="n">
        <f aca="false">IF(E152&gt;0,E152*$C$13,0)</f>
        <v>0</v>
      </c>
      <c r="G152" s="15" t="n">
        <f aca="false">C152+D152+E152-F152</f>
        <v>128730.798153304</v>
      </c>
      <c r="H152" s="15" t="n">
        <f aca="false">G152/(1+$C$12)^(A152/$C$6)</f>
        <v>98922.3817829446</v>
      </c>
      <c r="I152" s="15" t="n">
        <f aca="false">I151+D152</f>
        <v>84158.9413862009</v>
      </c>
      <c r="J152" s="15" t="n">
        <f aca="false">J151+E152-F152</f>
        <v>44571.856767103</v>
      </c>
    </row>
    <row r="153" customFormat="false" ht="15" hidden="false" customHeight="false" outlineLevel="0" collapsed="false">
      <c r="A153" s="19" t="n">
        <f aca="false">A152+1</f>
        <v>129</v>
      </c>
      <c r="B153" s="19" t="n">
        <f aca="false">INT((A153-1)/$C$6)+1</f>
        <v>11</v>
      </c>
      <c r="C153" s="15" t="n">
        <f aca="false">G152</f>
        <v>128730.798153304</v>
      </c>
      <c r="D153" s="15" t="n">
        <f aca="false">$C$5*(1+$C$11)^(B153-1)</f>
        <v>671.958189672061</v>
      </c>
      <c r="E153" s="15" t="n">
        <f aca="false">(C153+D153*$C$7)*$C$15</f>
        <v>750.929655894272</v>
      </c>
      <c r="F153" s="15" t="n">
        <f aca="false">IF(E153&gt;0,E153*$C$13,0)</f>
        <v>0</v>
      </c>
      <c r="G153" s="15" t="n">
        <f aca="false">C153+D153+E153-F153</f>
        <v>130153.68599887</v>
      </c>
      <c r="H153" s="15" t="n">
        <f aca="false">G153/(1+$C$12)^(A153/$C$6)</f>
        <v>99810.1984378233</v>
      </c>
      <c r="I153" s="15" t="n">
        <f aca="false">I152+D153</f>
        <v>84830.899575873</v>
      </c>
      <c r="J153" s="15" t="n">
        <f aca="false">J152+E153-F153</f>
        <v>45322.7864229973</v>
      </c>
    </row>
    <row r="154" customFormat="false" ht="15" hidden="false" customHeight="false" outlineLevel="0" collapsed="false">
      <c r="A154" s="19" t="n">
        <f aca="false">A153+1</f>
        <v>130</v>
      </c>
      <c r="B154" s="19" t="n">
        <f aca="false">INT((A154-1)/$C$6)+1</f>
        <v>11</v>
      </c>
      <c r="C154" s="15" t="n">
        <f aca="false">G153</f>
        <v>130153.68599887</v>
      </c>
      <c r="D154" s="15" t="n">
        <f aca="false">$C$5*(1+$C$11)^(B154-1)</f>
        <v>671.958189672061</v>
      </c>
      <c r="E154" s="15" t="n">
        <f aca="false">(C154+D154*$C$7)*$C$15</f>
        <v>759.229834993409</v>
      </c>
      <c r="F154" s="15" t="n">
        <f aca="false">IF(E154&gt;0,E154*$C$13,0)</f>
        <v>0</v>
      </c>
      <c r="G154" s="15" t="n">
        <f aca="false">C154+D154+E154-F154</f>
        <v>131584.874023536</v>
      </c>
      <c r="H154" s="15" t="n">
        <f aca="false">G154/(1+$C$12)^(A154/$C$6)</f>
        <v>100700.299126518</v>
      </c>
      <c r="I154" s="15" t="n">
        <f aca="false">I153+D154</f>
        <v>85502.8577655451</v>
      </c>
      <c r="J154" s="15" t="n">
        <f aca="false">J153+E154-F154</f>
        <v>46082.0162579907</v>
      </c>
    </row>
    <row r="155" customFormat="false" ht="15" hidden="false" customHeight="false" outlineLevel="0" collapsed="false">
      <c r="A155" s="19" t="n">
        <f aca="false">A154+1</f>
        <v>131</v>
      </c>
      <c r="B155" s="19" t="n">
        <f aca="false">INT((A155-1)/$C$6)+1</f>
        <v>11</v>
      </c>
      <c r="C155" s="15" t="n">
        <f aca="false">G154</f>
        <v>131584.874023536</v>
      </c>
      <c r="D155" s="15" t="n">
        <f aca="false">$C$5*(1+$C$11)^(B155-1)</f>
        <v>671.958189672061</v>
      </c>
      <c r="E155" s="15" t="n">
        <f aca="false">(C155+D155*$C$7)*$C$15</f>
        <v>767.578431803958</v>
      </c>
      <c r="F155" s="15" t="n">
        <f aca="false">IF(E155&gt;0,E155*$C$13,0)</f>
        <v>0</v>
      </c>
      <c r="G155" s="15" t="n">
        <f aca="false">C155+D155+E155-F155</f>
        <v>133024.410645012</v>
      </c>
      <c r="H155" s="15" t="n">
        <f aca="false">G155/(1+$C$12)^(A155/$C$6)</f>
        <v>101592.694627509</v>
      </c>
      <c r="I155" s="15" t="n">
        <f aca="false">I154+D155</f>
        <v>86174.8159552171</v>
      </c>
      <c r="J155" s="15" t="n">
        <f aca="false">J154+E155-F155</f>
        <v>46849.5946897946</v>
      </c>
    </row>
    <row r="156" customFormat="false" ht="15" hidden="false" customHeight="false" outlineLevel="0" collapsed="false">
      <c r="A156" s="19" t="n">
        <f aca="false">A155+1</f>
        <v>132</v>
      </c>
      <c r="B156" s="19" t="n">
        <f aca="false">INT((A156-1)/$C$6)+1</f>
        <v>11</v>
      </c>
      <c r="C156" s="15" t="n">
        <f aca="false">G155</f>
        <v>133024.410645012</v>
      </c>
      <c r="D156" s="15" t="n">
        <f aca="false">$C$5*(1+$C$11)^(B156-1)</f>
        <v>671.958189672061</v>
      </c>
      <c r="E156" s="15" t="n">
        <f aca="false">(C156+D156*$C$7)*$C$15</f>
        <v>775.975728762568</v>
      </c>
      <c r="F156" s="15" t="n">
        <f aca="false">IF(E156&gt;0,E156*$C$13,0)</f>
        <v>0</v>
      </c>
      <c r="G156" s="15" t="n">
        <f aca="false">C156+D156+E156-F156</f>
        <v>134472.344563446</v>
      </c>
      <c r="H156" s="15" t="n">
        <f aca="false">G156/(1+$C$12)^(A156/$C$6)</f>
        <v>102487.395755391</v>
      </c>
      <c r="I156" s="15" t="n">
        <f aca="false">I155+D156</f>
        <v>86846.7741448892</v>
      </c>
      <c r="J156" s="15" t="n">
        <f aca="false">J155+E156-F156</f>
        <v>47625.5704185572</v>
      </c>
    </row>
    <row r="157" customFormat="false" ht="15" hidden="false" customHeight="false" outlineLevel="0" collapsed="false">
      <c r="A157" s="19" t="n">
        <f aca="false">A156+1</f>
        <v>133</v>
      </c>
      <c r="B157" s="19" t="n">
        <f aca="false">INT((A157-1)/$C$6)+1</f>
        <v>12</v>
      </c>
      <c r="C157" s="15" t="n">
        <f aca="false">G156</f>
        <v>134472.344563446</v>
      </c>
      <c r="D157" s="15" t="n">
        <f aca="false">$C$5*(1+$C$11)^(B157-1)</f>
        <v>692.116935362223</v>
      </c>
      <c r="E157" s="15" t="n">
        <f aca="false">(C157+D157*$C$7)*$C$15</f>
        <v>784.422009953437</v>
      </c>
      <c r="F157" s="15" t="n">
        <f aca="false">IF(E157&gt;0,E157*$C$13,0)</f>
        <v>0</v>
      </c>
      <c r="G157" s="15" t="n">
        <f aca="false">C157+D157+E157-F157</f>
        <v>135948.883508762</v>
      </c>
      <c r="H157" s="15" t="n">
        <f aca="false">G157/(1+$C$12)^(A157/$C$6)</f>
        <v>103399.745661829</v>
      </c>
      <c r="I157" s="15" t="n">
        <f aca="false">I156+D157</f>
        <v>87538.8910802514</v>
      </c>
      <c r="J157" s="15" t="n">
        <f aca="false">J156+E157-F157</f>
        <v>48409.9924285106</v>
      </c>
    </row>
    <row r="158" customFormat="false" ht="15" hidden="false" customHeight="false" outlineLevel="0" collapsed="false">
      <c r="A158" s="19" t="n">
        <f aca="false">A157+1</f>
        <v>134</v>
      </c>
      <c r="B158" s="19" t="n">
        <f aca="false">INT((A158-1)/$C$6)+1</f>
        <v>12</v>
      </c>
      <c r="C158" s="15" t="n">
        <f aca="false">G157</f>
        <v>135948.883508762</v>
      </c>
      <c r="D158" s="15" t="n">
        <f aca="false">$C$5*(1+$C$11)^(B158-1)</f>
        <v>692.116935362223</v>
      </c>
      <c r="E158" s="15" t="n">
        <f aca="false">(C158+D158*$C$7)*$C$15</f>
        <v>793.035153801112</v>
      </c>
      <c r="F158" s="15" t="n">
        <f aca="false">IF(E158&gt;0,E158*$C$13,0)</f>
        <v>0</v>
      </c>
      <c r="G158" s="15" t="n">
        <f aca="false">C158+D158+E158-F158</f>
        <v>137434.035597925</v>
      </c>
      <c r="H158" s="15" t="n">
        <f aca="false">G158/(1+$C$12)^(A158/$C$6)</f>
        <v>104314.44915362</v>
      </c>
      <c r="I158" s="15" t="n">
        <f aca="false">I157+D158</f>
        <v>88231.0080156136</v>
      </c>
      <c r="J158" s="15" t="n">
        <f aca="false">J157+E158-F158</f>
        <v>49203.0275823117</v>
      </c>
    </row>
    <row r="159" customFormat="false" ht="15" hidden="false" customHeight="false" outlineLevel="0" collapsed="false">
      <c r="A159" s="19" t="n">
        <f aca="false">A158+1</f>
        <v>135</v>
      </c>
      <c r="B159" s="19" t="n">
        <f aca="false">INT((A159-1)/$C$6)+1</f>
        <v>12</v>
      </c>
      <c r="C159" s="15" t="n">
        <f aca="false">G158</f>
        <v>137434.035597925</v>
      </c>
      <c r="D159" s="15" t="n">
        <f aca="false">$C$5*(1+$C$11)^(B159-1)</f>
        <v>692.116935362223</v>
      </c>
      <c r="E159" s="15" t="n">
        <f aca="false">(C159+D159*$C$7)*$C$15</f>
        <v>801.698540987898</v>
      </c>
      <c r="F159" s="15" t="n">
        <f aca="false">IF(E159&gt;0,E159*$C$13,0)</f>
        <v>0</v>
      </c>
      <c r="G159" s="15" t="n">
        <f aca="false">C159+D159+E159-F159</f>
        <v>138927.851074275</v>
      </c>
      <c r="H159" s="15" t="n">
        <f aca="false">G159/(1+$C$12)^(A159/$C$6)</f>
        <v>105231.517318096</v>
      </c>
      <c r="I159" s="15" t="n">
        <f aca="false">I158+D159</f>
        <v>88923.1249509759</v>
      </c>
      <c r="J159" s="15" t="n">
        <f aca="false">J158+E159-F159</f>
        <v>50004.7261232996</v>
      </c>
    </row>
    <row r="160" customFormat="false" ht="15" hidden="false" customHeight="false" outlineLevel="0" collapsed="false">
      <c r="A160" s="19" t="n">
        <f aca="false">A159+1</f>
        <v>136</v>
      </c>
      <c r="B160" s="19" t="n">
        <f aca="false">INT((A160-1)/$C$6)+1</f>
        <v>12</v>
      </c>
      <c r="C160" s="15" t="n">
        <f aca="false">G159</f>
        <v>138927.851074275</v>
      </c>
      <c r="D160" s="15" t="n">
        <f aca="false">$C$5*(1+$C$11)^(B160-1)</f>
        <v>692.116935362223</v>
      </c>
      <c r="E160" s="15" t="n">
        <f aca="false">(C160+D160*$C$7)*$C$15</f>
        <v>810.41246459994</v>
      </c>
      <c r="F160" s="15" t="n">
        <f aca="false">IF(E160&gt;0,E160*$C$13,0)</f>
        <v>0</v>
      </c>
      <c r="G160" s="15" t="n">
        <f aca="false">C160+D160+E160-F160</f>
        <v>140430.380474238</v>
      </c>
      <c r="H160" s="15" t="n">
        <f aca="false">G160/(1+$C$12)^(A160/$C$6)</f>
        <v>106150.961279768</v>
      </c>
      <c r="I160" s="15" t="n">
        <f aca="false">I159+D160</f>
        <v>89615.2418863381</v>
      </c>
      <c r="J160" s="15" t="n">
        <f aca="false">J159+E160-F160</f>
        <v>50815.1385878996</v>
      </c>
    </row>
    <row r="161" customFormat="false" ht="15" hidden="false" customHeight="false" outlineLevel="0" collapsed="false">
      <c r="A161" s="19" t="n">
        <f aca="false">A160+1</f>
        <v>137</v>
      </c>
      <c r="B161" s="19" t="n">
        <f aca="false">INT((A161-1)/$C$6)+1</f>
        <v>12</v>
      </c>
      <c r="C161" s="15" t="n">
        <f aca="false">G160</f>
        <v>140430.380474238</v>
      </c>
      <c r="D161" s="15" t="n">
        <f aca="false">$C$5*(1+$C$11)^(B161-1)</f>
        <v>692.116935362223</v>
      </c>
      <c r="E161" s="15" t="n">
        <f aca="false">(C161+D161*$C$7)*$C$15</f>
        <v>819.177219433053</v>
      </c>
      <c r="F161" s="15" t="n">
        <f aca="false">IF(E161&gt;0,E161*$C$13,0)</f>
        <v>0</v>
      </c>
      <c r="G161" s="15" t="n">
        <f aca="false">C161+D161+E161-F161</f>
        <v>141941.674629033</v>
      </c>
      <c r="H161" s="15" t="n">
        <f aca="false">G161/(1+$C$12)^(A161/$C$6)</f>
        <v>107072.792200478</v>
      </c>
      <c r="I161" s="15" t="n">
        <f aca="false">I160+D161</f>
        <v>90307.3588217003</v>
      </c>
      <c r="J161" s="15" t="n">
        <f aca="false">J160+E161-F161</f>
        <v>51634.3158073326</v>
      </c>
    </row>
    <row r="162" customFormat="false" ht="15" hidden="false" customHeight="false" outlineLevel="0" collapsed="false">
      <c r="A162" s="19" t="n">
        <f aca="false">A161+1</f>
        <v>138</v>
      </c>
      <c r="B162" s="19" t="n">
        <f aca="false">INT((A162-1)/$C$6)+1</f>
        <v>12</v>
      </c>
      <c r="C162" s="15" t="n">
        <f aca="false">G161</f>
        <v>141941.674629033</v>
      </c>
      <c r="D162" s="15" t="n">
        <f aca="false">$C$5*(1+$C$11)^(B162-1)</f>
        <v>692.116935362223</v>
      </c>
      <c r="E162" s="15" t="n">
        <f aca="false">(C162+D162*$C$7)*$C$15</f>
        <v>827.993102002692</v>
      </c>
      <c r="F162" s="15" t="n">
        <f aca="false">IF(E162&gt;0,E162*$C$13,0)</f>
        <v>0</v>
      </c>
      <c r="G162" s="15" t="n">
        <f aca="false">C162+D162+E162-F162</f>
        <v>143461.784666398</v>
      </c>
      <c r="H162" s="15" t="n">
        <f aca="false">G162/(1+$C$12)^(A162/$C$6)</f>
        <v>107997.021279546</v>
      </c>
      <c r="I162" s="15" t="n">
        <f aca="false">I161+D162</f>
        <v>90999.4757570625</v>
      </c>
      <c r="J162" s="15" t="n">
        <f aca="false">J161+E162-F162</f>
        <v>52462.3089093353</v>
      </c>
    </row>
    <row r="163" customFormat="false" ht="15" hidden="false" customHeight="false" outlineLevel="0" collapsed="false">
      <c r="A163" s="19" t="n">
        <f aca="false">A162+1</f>
        <v>139</v>
      </c>
      <c r="B163" s="19" t="n">
        <f aca="false">INT((A163-1)/$C$6)+1</f>
        <v>12</v>
      </c>
      <c r="C163" s="15" t="n">
        <f aca="false">G162</f>
        <v>143461.784666398</v>
      </c>
      <c r="D163" s="15" t="n">
        <f aca="false">$C$5*(1+$C$11)^(B163-1)</f>
        <v>692.116935362223</v>
      </c>
      <c r="E163" s="15" t="n">
        <f aca="false">(C163+D163*$C$7)*$C$15</f>
        <v>836.860410553987</v>
      </c>
      <c r="F163" s="15" t="n">
        <f aca="false">IF(E163&gt;0,E163*$C$13,0)</f>
        <v>0</v>
      </c>
      <c r="G163" s="15" t="n">
        <f aca="false">C163+D163+E163-F163</f>
        <v>144990.762012314</v>
      </c>
      <c r="H163" s="15" t="n">
        <f aca="false">G163/(1+$C$12)^(A163/$C$6)</f>
        <v>108923.65975392</v>
      </c>
      <c r="I163" s="15" t="n">
        <f aca="false">I162+D163</f>
        <v>91691.5926924248</v>
      </c>
      <c r="J163" s="15" t="n">
        <f aca="false">J162+E163-F163</f>
        <v>53299.1693198893</v>
      </c>
    </row>
    <row r="164" customFormat="false" ht="15" hidden="false" customHeight="false" outlineLevel="0" collapsed="false">
      <c r="A164" s="19" t="n">
        <f aca="false">A163+1</f>
        <v>140</v>
      </c>
      <c r="B164" s="19" t="n">
        <f aca="false">INT((A164-1)/$C$6)+1</f>
        <v>12</v>
      </c>
      <c r="C164" s="15" t="n">
        <f aca="false">G163</f>
        <v>144990.762012314</v>
      </c>
      <c r="D164" s="15" t="n">
        <f aca="false">$C$5*(1+$C$11)^(B164-1)</f>
        <v>692.116935362223</v>
      </c>
      <c r="E164" s="15" t="n">
        <f aca="false">(C164+D164*$C$7)*$C$15</f>
        <v>845.779445071831</v>
      </c>
      <c r="F164" s="15" t="n">
        <f aca="false">IF(E164&gt;0,E164*$C$13,0)</f>
        <v>0</v>
      </c>
      <c r="G164" s="15" t="n">
        <f aca="false">C164+D164+E164-F164</f>
        <v>146528.658392748</v>
      </c>
      <c r="H164" s="15" t="n">
        <f aca="false">G164/(1+$C$12)^(A164/$C$6)</f>
        <v>109852.718898332</v>
      </c>
      <c r="I164" s="15" t="n">
        <f aca="false">I163+D164</f>
        <v>92383.709627787</v>
      </c>
      <c r="J164" s="15" t="n">
        <f aca="false">J163+E164-F164</f>
        <v>54144.9487649611</v>
      </c>
    </row>
    <row r="165" customFormat="false" ht="15" hidden="false" customHeight="false" outlineLevel="0" collapsed="false">
      <c r="A165" s="19" t="n">
        <f aca="false">A164+1</f>
        <v>141</v>
      </c>
      <c r="B165" s="19" t="n">
        <f aca="false">INT((A165-1)/$C$6)+1</f>
        <v>12</v>
      </c>
      <c r="C165" s="15" t="n">
        <f aca="false">G164</f>
        <v>146528.658392748</v>
      </c>
      <c r="D165" s="15" t="n">
        <f aca="false">$C$5*(1+$C$11)^(B165-1)</f>
        <v>692.116935362223</v>
      </c>
      <c r="E165" s="15" t="n">
        <f aca="false">(C165+D165*$C$7)*$C$15</f>
        <v>854.75050729103</v>
      </c>
      <c r="F165" s="15" t="n">
        <f aca="false">IF(E165&gt;0,E165*$C$13,0)</f>
        <v>0</v>
      </c>
      <c r="G165" s="15" t="n">
        <f aca="false">C165+D165+E165-F165</f>
        <v>148075.525835401</v>
      </c>
      <c r="H165" s="15" t="n">
        <f aca="false">G165/(1+$C$12)^(A165/$C$6)</f>
        <v>110784.210025442</v>
      </c>
      <c r="I165" s="15" t="n">
        <f aca="false">I164+D165</f>
        <v>93075.8265631492</v>
      </c>
      <c r="J165" s="15" t="n">
        <f aca="false">J164+E165-F165</f>
        <v>54999.6992722522</v>
      </c>
    </row>
    <row r="166" customFormat="false" ht="15" hidden="false" customHeight="false" outlineLevel="0" collapsed="false">
      <c r="A166" s="19" t="n">
        <f aca="false">A165+1</f>
        <v>142</v>
      </c>
      <c r="B166" s="19" t="n">
        <f aca="false">INT((A166-1)/$C$6)+1</f>
        <v>12</v>
      </c>
      <c r="C166" s="15" t="n">
        <f aca="false">G165</f>
        <v>148075.525835401</v>
      </c>
      <c r="D166" s="15" t="n">
        <f aca="false">$C$5*(1+$C$11)^(B166-1)</f>
        <v>692.116935362223</v>
      </c>
      <c r="E166" s="15" t="n">
        <f aca="false">(C166+D166*$C$7)*$C$15</f>
        <v>863.773900706507</v>
      </c>
      <c r="F166" s="15" t="n">
        <f aca="false">IF(E166&gt;0,E166*$C$13,0)</f>
        <v>0</v>
      </c>
      <c r="G166" s="15" t="n">
        <f aca="false">C166+D166+E166-F166</f>
        <v>149631.41667147</v>
      </c>
      <c r="H166" s="15" t="n">
        <f aca="false">G166/(1+$C$12)^(A166/$C$6)</f>
        <v>111718.144485999</v>
      </c>
      <c r="I166" s="15" t="n">
        <f aca="false">I165+D166</f>
        <v>93767.9434985114</v>
      </c>
      <c r="J166" s="15" t="n">
        <f aca="false">J165+E166-F166</f>
        <v>55863.4731729587</v>
      </c>
    </row>
    <row r="167" customFormat="false" ht="15" hidden="false" customHeight="false" outlineLevel="0" collapsed="false">
      <c r="A167" s="19" t="n">
        <f aca="false">A166+1</f>
        <v>143</v>
      </c>
      <c r="B167" s="19" t="n">
        <f aca="false">INT((A167-1)/$C$6)+1</f>
        <v>12</v>
      </c>
      <c r="C167" s="15" t="n">
        <f aca="false">G166</f>
        <v>149631.41667147</v>
      </c>
      <c r="D167" s="15" t="n">
        <f aca="false">$C$5*(1+$C$11)^(B167-1)</f>
        <v>692.116935362223</v>
      </c>
      <c r="E167" s="15" t="n">
        <f aca="false">(C167+D167*$C$7)*$C$15</f>
        <v>872.849930583575</v>
      </c>
      <c r="F167" s="15" t="n">
        <f aca="false">IF(E167&gt;0,E167*$C$13,0)</f>
        <v>0</v>
      </c>
      <c r="G167" s="15" t="n">
        <f aca="false">C167+D167+E167-F167</f>
        <v>151196.383537416</v>
      </c>
      <c r="H167" s="15" t="n">
        <f aca="false">G167/(1+$C$12)^(A167/$C$6)</f>
        <v>112654.533668984</v>
      </c>
      <c r="I167" s="15" t="n">
        <f aca="false">I166+D167</f>
        <v>94460.0604338737</v>
      </c>
      <c r="J167" s="15" t="n">
        <f aca="false">J166+E167-F167</f>
        <v>56736.3231035422</v>
      </c>
    </row>
    <row r="168" customFormat="false" ht="15" hidden="false" customHeight="false" outlineLevel="0" collapsed="false">
      <c r="A168" s="19" t="n">
        <f aca="false">A167+1</f>
        <v>144</v>
      </c>
      <c r="B168" s="19" t="n">
        <f aca="false">INT((A168-1)/$C$6)+1</f>
        <v>12</v>
      </c>
      <c r="C168" s="15" t="n">
        <f aca="false">G167</f>
        <v>151196.383537416</v>
      </c>
      <c r="D168" s="15" t="n">
        <f aca="false">$C$5*(1+$C$11)^(B168-1)</f>
        <v>692.116935362223</v>
      </c>
      <c r="E168" s="15" t="n">
        <f aca="false">(C168+D168*$C$7)*$C$15</f>
        <v>881.978903968259</v>
      </c>
      <c r="F168" s="15" t="n">
        <f aca="false">IF(E168&gt;0,E168*$C$13,0)</f>
        <v>0</v>
      </c>
      <c r="G168" s="15" t="n">
        <f aca="false">C168+D168+E168-F168</f>
        <v>152770.479376746</v>
      </c>
      <c r="H168" s="15" t="n">
        <f aca="false">G168/(1+$C$12)^(A168/$C$6)</f>
        <v>113593.389001773</v>
      </c>
      <c r="I168" s="15" t="n">
        <f aca="false">I167+D168</f>
        <v>95152.1773692359</v>
      </c>
      <c r="J168" s="15" t="n">
        <f aca="false">J167+E168-F168</f>
        <v>57618.3020075105</v>
      </c>
    </row>
    <row r="169" customFormat="false" ht="15" hidden="false" customHeight="false" outlineLevel="0" collapsed="false">
      <c r="A169" s="19" t="n">
        <f aca="false">A168+1</f>
        <v>145</v>
      </c>
      <c r="B169" s="19" t="n">
        <f aca="false">INT((A169-1)/$C$6)+1</f>
        <v>13</v>
      </c>
      <c r="C169" s="15" t="n">
        <f aca="false">G168</f>
        <v>152770.479376746</v>
      </c>
      <c r="D169" s="15" t="n">
        <f aca="false">$C$5*(1+$C$11)^(B169-1)</f>
        <v>712.88044342309</v>
      </c>
      <c r="E169" s="15" t="n">
        <f aca="false">(C169+D169*$C$7)*$C$15</f>
        <v>891.161129697687</v>
      </c>
      <c r="F169" s="15" t="n">
        <f aca="false">IF(E169&gt;0,E169*$C$13,0)</f>
        <v>0</v>
      </c>
      <c r="G169" s="15" t="n">
        <f aca="false">C169+D169+E169-F169</f>
        <v>154374.520949867</v>
      </c>
      <c r="H169" s="15" t="n">
        <f aca="false">G169/(1+$C$12)^(A169/$C$6)</f>
        <v>114550.129042806</v>
      </c>
      <c r="I169" s="15" t="n">
        <f aca="false">I168+D169</f>
        <v>95865.057812659</v>
      </c>
      <c r="J169" s="15" t="n">
        <f aca="false">J168+E169-F169</f>
        <v>58509.4631372082</v>
      </c>
    </row>
    <row r="170" customFormat="false" ht="15" hidden="false" customHeight="false" outlineLevel="0" collapsed="false">
      <c r="A170" s="19" t="n">
        <f aca="false">A169+1</f>
        <v>146</v>
      </c>
      <c r="B170" s="19" t="n">
        <f aca="false">INT((A170-1)/$C$6)+1</f>
        <v>13</v>
      </c>
      <c r="C170" s="15" t="n">
        <f aca="false">G169</f>
        <v>154374.520949867</v>
      </c>
      <c r="D170" s="15" t="n">
        <f aca="false">$C$5*(1+$C$11)^(B170-1)</f>
        <v>712.88044342309</v>
      </c>
      <c r="E170" s="15" t="n">
        <f aca="false">(C170+D170*$C$7)*$C$15</f>
        <v>900.518038874225</v>
      </c>
      <c r="F170" s="15" t="n">
        <f aca="false">IF(E170&gt;0,E170*$C$13,0)</f>
        <v>0</v>
      </c>
      <c r="G170" s="15" t="n">
        <f aca="false">C170+D170+E170-F170</f>
        <v>155987.919432164</v>
      </c>
      <c r="H170" s="15" t="n">
        <f aca="false">G170/(1+$C$12)^(A170/$C$6)</f>
        <v>115509.384552434</v>
      </c>
      <c r="I170" s="15" t="n">
        <f aca="false">I169+D170</f>
        <v>96577.9382560821</v>
      </c>
      <c r="J170" s="15" t="n">
        <f aca="false">J169+E170-F170</f>
        <v>59409.9811760824</v>
      </c>
    </row>
    <row r="171" customFormat="false" ht="15" hidden="false" customHeight="false" outlineLevel="0" collapsed="false">
      <c r="A171" s="19" t="n">
        <f aca="false">A170+1</f>
        <v>147</v>
      </c>
      <c r="B171" s="19" t="n">
        <f aca="false">INT((A171-1)/$C$6)+1</f>
        <v>13</v>
      </c>
      <c r="C171" s="15" t="n">
        <f aca="false">G170</f>
        <v>155987.919432164</v>
      </c>
      <c r="D171" s="15" t="n">
        <f aca="false">$C$5*(1+$C$11)^(B171-1)</f>
        <v>712.88044342309</v>
      </c>
      <c r="E171" s="15" t="n">
        <f aca="false">(C171+D171*$C$7)*$C$15</f>
        <v>909.929530020959</v>
      </c>
      <c r="F171" s="15" t="n">
        <f aca="false">IF(E171&gt;0,E171*$C$13,0)</f>
        <v>0</v>
      </c>
      <c r="G171" s="15" t="n">
        <f aca="false">C171+D171+E171-F171</f>
        <v>157610.729405608</v>
      </c>
      <c r="H171" s="15" t="n">
        <f aca="false">G171/(1+$C$12)^(A171/$C$6)</f>
        <v>116471.167238449</v>
      </c>
      <c r="I171" s="15" t="n">
        <f aca="false">I170+D171</f>
        <v>97290.8186995051</v>
      </c>
      <c r="J171" s="15" t="n">
        <f aca="false">J170+E171-F171</f>
        <v>60319.9107061034</v>
      </c>
    </row>
    <row r="172" customFormat="false" ht="15" hidden="false" customHeight="false" outlineLevel="0" collapsed="false">
      <c r="A172" s="19" t="n">
        <f aca="false">A171+1</f>
        <v>148</v>
      </c>
      <c r="B172" s="19" t="n">
        <f aca="false">INT((A172-1)/$C$6)+1</f>
        <v>13</v>
      </c>
      <c r="C172" s="15" t="n">
        <f aca="false">G171</f>
        <v>157610.729405608</v>
      </c>
      <c r="D172" s="15" t="n">
        <f aca="false">$C$5*(1+$C$11)^(B172-1)</f>
        <v>712.88044342309</v>
      </c>
      <c r="E172" s="15" t="n">
        <f aca="false">(C172+D172*$C$7)*$C$15</f>
        <v>919.395921532716</v>
      </c>
      <c r="F172" s="15" t="n">
        <f aca="false">IF(E172&gt;0,E172*$C$13,0)</f>
        <v>0</v>
      </c>
      <c r="G172" s="15" t="n">
        <f aca="false">C172+D172+E172-F172</f>
        <v>159243.005770564</v>
      </c>
      <c r="H172" s="15" t="n">
        <f aca="false">G172/(1+$C$12)^(A172/$C$6)</f>
        <v>117435.488848138</v>
      </c>
      <c r="I172" s="15" t="n">
        <f aca="false">I171+D172</f>
        <v>98003.6991429282</v>
      </c>
      <c r="J172" s="15" t="n">
        <f aca="false">J171+E172-F172</f>
        <v>61239.3066276361</v>
      </c>
    </row>
    <row r="173" customFormat="false" ht="15" hidden="false" customHeight="false" outlineLevel="0" collapsed="false">
      <c r="A173" s="19" t="n">
        <f aca="false">A172+1</f>
        <v>149</v>
      </c>
      <c r="B173" s="19" t="n">
        <f aca="false">INT((A173-1)/$C$6)+1</f>
        <v>13</v>
      </c>
      <c r="C173" s="15" t="n">
        <f aca="false">G172</f>
        <v>159243.005770564</v>
      </c>
      <c r="D173" s="15" t="n">
        <f aca="false">$C$5*(1+$C$11)^(B173-1)</f>
        <v>712.88044342309</v>
      </c>
      <c r="E173" s="15" t="n">
        <f aca="false">(C173+D173*$C$7)*$C$15</f>
        <v>928.917533661625</v>
      </c>
      <c r="F173" s="15" t="n">
        <f aca="false">IF(E173&gt;0,E173*$C$13,0)</f>
        <v>0</v>
      </c>
      <c r="G173" s="15" t="n">
        <f aca="false">C173+D173+E173-F173</f>
        <v>160884.803747649</v>
      </c>
      <c r="H173" s="15" t="n">
        <f aca="false">G173/(1+$C$12)^(A173/$C$6)</f>
        <v>118402.361168439</v>
      </c>
      <c r="I173" s="15" t="n">
        <f aca="false">I172+D173</f>
        <v>98716.5795863513</v>
      </c>
      <c r="J173" s="15" t="n">
        <f aca="false">J172+E173-F173</f>
        <v>62168.2241612977</v>
      </c>
    </row>
    <row r="174" customFormat="false" ht="15" hidden="false" customHeight="false" outlineLevel="0" collapsed="false">
      <c r="A174" s="19" t="n">
        <f aca="false">A173+1</f>
        <v>150</v>
      </c>
      <c r="B174" s="19" t="n">
        <f aca="false">INT((A174-1)/$C$6)+1</f>
        <v>13</v>
      </c>
      <c r="C174" s="15" t="n">
        <f aca="false">G173</f>
        <v>160884.803747649</v>
      </c>
      <c r="D174" s="15" t="n">
        <f aca="false">$C$5*(1+$C$11)^(B174-1)</f>
        <v>712.88044342309</v>
      </c>
      <c r="E174" s="15" t="n">
        <f aca="false">(C174+D174*$C$7)*$C$15</f>
        <v>938.494688527952</v>
      </c>
      <c r="F174" s="15" t="n">
        <f aca="false">IF(E174&gt;0,E174*$C$13,0)</f>
        <v>0</v>
      </c>
      <c r="G174" s="15" t="n">
        <f aca="false">C174+D174+E174-F174</f>
        <v>162536.1788796</v>
      </c>
      <c r="H174" s="15" t="n">
        <f aca="false">G174/(1+$C$12)^(A174/$C$6)</f>
        <v>119371.796026102</v>
      </c>
      <c r="I174" s="15" t="n">
        <f aca="false">I173+D174</f>
        <v>99429.4600297744</v>
      </c>
      <c r="J174" s="15" t="n">
        <f aca="false">J173+E174-F174</f>
        <v>63106.7188498256</v>
      </c>
    </row>
    <row r="175" customFormat="false" ht="15" hidden="false" customHeight="false" outlineLevel="0" collapsed="false">
      <c r="A175" s="19" t="n">
        <f aca="false">A174+1</f>
        <v>151</v>
      </c>
      <c r="B175" s="19" t="n">
        <f aca="false">INT((A175-1)/$C$6)+1</f>
        <v>13</v>
      </c>
      <c r="C175" s="15" t="n">
        <f aca="false">G174</f>
        <v>162536.1788796</v>
      </c>
      <c r="D175" s="15" t="n">
        <f aca="false">$C$5*(1+$C$11)^(B175-1)</f>
        <v>712.88044342309</v>
      </c>
      <c r="E175" s="15" t="n">
        <f aca="false">(C175+D175*$C$7)*$C$15</f>
        <v>948.127710131</v>
      </c>
      <c r="F175" s="15" t="n">
        <f aca="false">IF(E175&gt;0,E175*$C$13,0)</f>
        <v>0</v>
      </c>
      <c r="G175" s="15" t="n">
        <f aca="false">C175+D175+E175-F175</f>
        <v>164197.187033154</v>
      </c>
      <c r="H175" s="15" t="n">
        <f aca="false">G175/(1+$C$12)^(A175/$C$6)</f>
        <v>120343.805287847</v>
      </c>
      <c r="I175" s="15" t="n">
        <f aca="false">I174+D175</f>
        <v>100142.340473197</v>
      </c>
      <c r="J175" s="15" t="n">
        <f aca="false">J174+E175-F175</f>
        <v>64054.8465599566</v>
      </c>
    </row>
    <row r="176" customFormat="false" ht="15" hidden="false" customHeight="false" outlineLevel="0" collapsed="false">
      <c r="A176" s="19" t="n">
        <f aca="false">A175+1</f>
        <v>152</v>
      </c>
      <c r="B176" s="19" t="n">
        <f aca="false">INT((A176-1)/$C$6)+1</f>
        <v>13</v>
      </c>
      <c r="C176" s="15" t="n">
        <f aca="false">G175</f>
        <v>164197.187033154</v>
      </c>
      <c r="D176" s="15" t="n">
        <f aca="false">$C$5*(1+$C$11)^(B176-1)</f>
        <v>712.88044342309</v>
      </c>
      <c r="E176" s="15" t="n">
        <f aca="false">(C176+D176*$C$7)*$C$15</f>
        <v>957.816924360065</v>
      </c>
      <c r="F176" s="15" t="n">
        <f aca="false">IF(E176&gt;0,E176*$C$13,0)</f>
        <v>0</v>
      </c>
      <c r="G176" s="15" t="n">
        <f aca="false">C176+D176+E176-F176</f>
        <v>165867.884400937</v>
      </c>
      <c r="H176" s="15" t="n">
        <f aca="false">G176/(1+$C$12)^(A176/$C$6)</f>
        <v>121318.400860523</v>
      </c>
      <c r="I176" s="15" t="n">
        <f aca="false">I175+D176</f>
        <v>100855.220916621</v>
      </c>
      <c r="J176" s="15" t="n">
        <f aca="false">J175+E176-F176</f>
        <v>65012.6634843167</v>
      </c>
    </row>
    <row r="177" customFormat="false" ht="15" hidden="false" customHeight="false" outlineLevel="0" collapsed="false">
      <c r="A177" s="19" t="n">
        <f aca="false">A176+1</f>
        <v>153</v>
      </c>
      <c r="B177" s="19" t="n">
        <f aca="false">INT((A177-1)/$C$6)+1</f>
        <v>13</v>
      </c>
      <c r="C177" s="15" t="n">
        <f aca="false">G176</f>
        <v>165867.884400937</v>
      </c>
      <c r="D177" s="15" t="n">
        <f aca="false">$C$5*(1+$C$11)^(B177-1)</f>
        <v>712.88044342309</v>
      </c>
      <c r="E177" s="15" t="n">
        <f aca="false">(C177+D177*$C$7)*$C$15</f>
        <v>967.562659005467</v>
      </c>
      <c r="F177" s="15" t="n">
        <f aca="false">IF(E177&gt;0,E177*$C$13,0)</f>
        <v>0</v>
      </c>
      <c r="G177" s="15" t="n">
        <f aca="false">C177+D177+E177-F177</f>
        <v>167548.327503366</v>
      </c>
      <c r="H177" s="15" t="n">
        <f aca="false">G177/(1+$C$12)^(A177/$C$6)</f>
        <v>122295.59469127</v>
      </c>
      <c r="I177" s="15" t="n">
        <f aca="false">I176+D177</f>
        <v>101568.101360044</v>
      </c>
      <c r="J177" s="15" t="n">
        <f aca="false">J176+E177-F177</f>
        <v>65980.2261433222</v>
      </c>
    </row>
    <row r="178" customFormat="false" ht="15" hidden="false" customHeight="false" outlineLevel="0" collapsed="false">
      <c r="A178" s="19" t="n">
        <f aca="false">A177+1</f>
        <v>154</v>
      </c>
      <c r="B178" s="19" t="n">
        <f aca="false">INT((A178-1)/$C$6)+1</f>
        <v>13</v>
      </c>
      <c r="C178" s="15" t="n">
        <f aca="false">G177</f>
        <v>167548.327503366</v>
      </c>
      <c r="D178" s="15" t="n">
        <f aca="false">$C$5*(1+$C$11)^(B178-1)</f>
        <v>712.88044342309</v>
      </c>
      <c r="E178" s="15" t="n">
        <f aca="false">(C178+D178*$C$7)*$C$15</f>
        <v>977.365243769633</v>
      </c>
      <c r="F178" s="15" t="n">
        <f aca="false">IF(E178&gt;0,E178*$C$13,0)</f>
        <v>0</v>
      </c>
      <c r="G178" s="15" t="n">
        <f aca="false">C178+D178+E178-F178</f>
        <v>169238.573190558</v>
      </c>
      <c r="H178" s="15" t="n">
        <f aca="false">G178/(1+$C$12)^(A178/$C$6)</f>
        <v>123275.39876768</v>
      </c>
      <c r="I178" s="15" t="n">
        <f aca="false">I177+D178</f>
        <v>102280.981803467</v>
      </c>
      <c r="J178" s="15" t="n">
        <f aca="false">J177+E178-F178</f>
        <v>66957.5913870918</v>
      </c>
    </row>
    <row r="179" customFormat="false" ht="15" hidden="false" customHeight="false" outlineLevel="0" collapsed="false">
      <c r="A179" s="19" t="n">
        <f aca="false">A178+1</f>
        <v>155</v>
      </c>
      <c r="B179" s="19" t="n">
        <f aca="false">INT((A179-1)/$C$6)+1</f>
        <v>13</v>
      </c>
      <c r="C179" s="15" t="n">
        <f aca="false">G178</f>
        <v>169238.573190558</v>
      </c>
      <c r="D179" s="15" t="n">
        <f aca="false">$C$5*(1+$C$11)^(B179-1)</f>
        <v>712.88044342309</v>
      </c>
      <c r="E179" s="15" t="n">
        <f aca="false">(C179+D179*$C$7)*$C$15</f>
        <v>987.225010278257</v>
      </c>
      <c r="F179" s="15" t="n">
        <f aca="false">IF(E179&gt;0,E179*$C$13,0)</f>
        <v>0</v>
      </c>
      <c r="G179" s="15" t="n">
        <f aca="false">C179+D179+E179-F179</f>
        <v>170938.67864426</v>
      </c>
      <c r="H179" s="15" t="n">
        <f aca="false">G179/(1+$C$12)^(A179/$C$6)</f>
        <v>124257.825117958</v>
      </c>
      <c r="I179" s="15" t="n">
        <f aca="false">I178+D179</f>
        <v>102993.86224689</v>
      </c>
      <c r="J179" s="15" t="n">
        <f aca="false">J178+E179-F179</f>
        <v>67944.8163973701</v>
      </c>
    </row>
    <row r="180" customFormat="false" ht="15" hidden="false" customHeight="false" outlineLevel="0" collapsed="false">
      <c r="A180" s="19" t="n">
        <f aca="false">A179+1</f>
        <v>156</v>
      </c>
      <c r="B180" s="19" t="n">
        <f aca="false">INT((A180-1)/$C$6)+1</f>
        <v>13</v>
      </c>
      <c r="C180" s="15" t="n">
        <f aca="false">G179</f>
        <v>170938.67864426</v>
      </c>
      <c r="D180" s="15" t="n">
        <f aca="false">$C$5*(1+$C$11)^(B180-1)</f>
        <v>712.88044342309</v>
      </c>
      <c r="E180" s="15" t="n">
        <f aca="false">(C180+D180*$C$7)*$C$15</f>
        <v>997.142292091515</v>
      </c>
      <c r="F180" s="15" t="n">
        <f aca="false">IF(E180&gt;0,E180*$C$13,0)</f>
        <v>0</v>
      </c>
      <c r="G180" s="15" t="n">
        <f aca="false">C180+D180+E180-F180</f>
        <v>172648.701379774</v>
      </c>
      <c r="H180" s="15" t="n">
        <f aca="false">G180/(1+$C$12)^(A180/$C$6)</f>
        <v>125242.885811084</v>
      </c>
      <c r="I180" s="15" t="n">
        <f aca="false">I179+D180</f>
        <v>103706.742690313</v>
      </c>
      <c r="J180" s="15" t="n">
        <f aca="false">J179+E180-F180</f>
        <v>68941.9586894616</v>
      </c>
    </row>
    <row r="181" customFormat="false" ht="15" hidden="false" customHeight="false" outlineLevel="0" collapsed="false">
      <c r="A181" s="19" t="n">
        <f aca="false">A180+1</f>
        <v>157</v>
      </c>
      <c r="B181" s="19" t="n">
        <f aca="false">INT((A181-1)/$C$6)+1</f>
        <v>14</v>
      </c>
      <c r="C181" s="15" t="n">
        <f aca="false">G180</f>
        <v>172648.701379774</v>
      </c>
      <c r="D181" s="15" t="n">
        <f aca="false">$C$5*(1+$C$11)^(B181-1)</f>
        <v>734.266856725782</v>
      </c>
      <c r="E181" s="15" t="n">
        <f aca="false">(C181+D181*$C$7)*$C$15</f>
        <v>1007.11742471535</v>
      </c>
      <c r="F181" s="15" t="n">
        <f aca="false">IF(E181&gt;0,E181*$C$13,0)</f>
        <v>0</v>
      </c>
      <c r="G181" s="15" t="n">
        <f aca="false">C181+D181+E181-F181</f>
        <v>174390.085661215</v>
      </c>
      <c r="H181" s="15" t="n">
        <f aca="false">G181/(1+$C$12)^(A181/$C$6)</f>
        <v>126246.07520605</v>
      </c>
      <c r="I181" s="15" t="n">
        <f aca="false">I180+D181</f>
        <v>104441.009547039</v>
      </c>
      <c r="J181" s="15" t="n">
        <f aca="false">J180+E181-F181</f>
        <v>69949.0761141769</v>
      </c>
    </row>
    <row r="182" customFormat="false" ht="15" hidden="false" customHeight="false" outlineLevel="0" collapsed="false">
      <c r="A182" s="19" t="n">
        <f aca="false">A181+1</f>
        <v>158</v>
      </c>
      <c r="B182" s="19" t="n">
        <f aca="false">INT((A182-1)/$C$6)+1</f>
        <v>14</v>
      </c>
      <c r="C182" s="15" t="n">
        <f aca="false">G181</f>
        <v>174390.085661215</v>
      </c>
      <c r="D182" s="15" t="n">
        <f aca="false">$C$5*(1+$C$11)^(B182-1)</f>
        <v>734.266856725782</v>
      </c>
      <c r="E182" s="15" t="n">
        <f aca="false">(C182+D182*$C$7)*$C$15</f>
        <v>1017.27549969042</v>
      </c>
      <c r="F182" s="15" t="n">
        <f aca="false">IF(E182&gt;0,E182*$C$13,0)</f>
        <v>0</v>
      </c>
      <c r="G182" s="15" t="n">
        <f aca="false">C182+D182+E182-F182</f>
        <v>176141.628017632</v>
      </c>
      <c r="H182" s="15" t="n">
        <f aca="false">G182/(1+$C$12)^(A182/$C$6)</f>
        <v>127251.949681589</v>
      </c>
      <c r="I182" s="15" t="n">
        <f aca="false">I181+D182</f>
        <v>105175.276403764</v>
      </c>
      <c r="J182" s="15" t="n">
        <f aca="false">J181+E182-F182</f>
        <v>70966.3516138674</v>
      </c>
    </row>
    <row r="183" customFormat="false" ht="15" hidden="false" customHeight="false" outlineLevel="0" collapsed="false">
      <c r="A183" s="19" t="n">
        <f aca="false">A182+1</f>
        <v>159</v>
      </c>
      <c r="B183" s="19" t="n">
        <f aca="false">INT((A183-1)/$C$6)+1</f>
        <v>14</v>
      </c>
      <c r="C183" s="15" t="n">
        <f aca="false">G182</f>
        <v>176141.628017632</v>
      </c>
      <c r="D183" s="15" t="n">
        <f aca="false">$C$5*(1+$C$11)^(B183-1)</f>
        <v>734.266856725782</v>
      </c>
      <c r="E183" s="15" t="n">
        <f aca="false">(C183+D183*$C$7)*$C$15</f>
        <v>1027.49283010285</v>
      </c>
      <c r="F183" s="15" t="n">
        <f aca="false">IF(E183&gt;0,E183*$C$13,0)</f>
        <v>0</v>
      </c>
      <c r="G183" s="15" t="n">
        <f aca="false">C183+D183+E183-F183</f>
        <v>177903.38770446</v>
      </c>
      <c r="H183" s="15" t="n">
        <f aca="false">G183/(1+$C$12)^(A183/$C$6)</f>
        <v>128260.52159511</v>
      </c>
      <c r="I183" s="15" t="n">
        <f aca="false">I182+D183</f>
        <v>105909.54326049</v>
      </c>
      <c r="J183" s="15" t="n">
        <f aca="false">J182+E183-F183</f>
        <v>71993.8444439702</v>
      </c>
    </row>
    <row r="184" customFormat="false" ht="15" hidden="false" customHeight="false" outlineLevel="0" collapsed="false">
      <c r="A184" s="19" t="n">
        <f aca="false">A183+1</f>
        <v>160</v>
      </c>
      <c r="B184" s="19" t="n">
        <f aca="false">INT((A184-1)/$C$6)+1</f>
        <v>14</v>
      </c>
      <c r="C184" s="15" t="n">
        <f aca="false">G183</f>
        <v>177903.38770446</v>
      </c>
      <c r="D184" s="15" t="n">
        <f aca="false">$C$5*(1+$C$11)^(B184-1)</f>
        <v>734.266856725782</v>
      </c>
      <c r="E184" s="15" t="n">
        <f aca="false">(C184+D184*$C$7)*$C$15</f>
        <v>1037.76976160935</v>
      </c>
      <c r="F184" s="15" t="n">
        <f aca="false">IF(E184&gt;0,E184*$C$13,0)</f>
        <v>0</v>
      </c>
      <c r="G184" s="15" t="n">
        <f aca="false">C184+D184+E184-F184</f>
        <v>179675.424322795</v>
      </c>
      <c r="H184" s="15" t="n">
        <f aca="false">G184/(1+$C$12)^(A184/$C$6)</f>
        <v>129271.803345943</v>
      </c>
      <c r="I184" s="15" t="n">
        <f aca="false">I183+D184</f>
        <v>106643.810117216</v>
      </c>
      <c r="J184" s="15" t="n">
        <f aca="false">J183+E184-F184</f>
        <v>73031.6142055796</v>
      </c>
    </row>
    <row r="185" customFormat="false" ht="15" hidden="false" customHeight="false" outlineLevel="0" collapsed="false">
      <c r="A185" s="19" t="n">
        <f aca="false">A184+1</f>
        <v>161</v>
      </c>
      <c r="B185" s="19" t="n">
        <f aca="false">INT((A185-1)/$C$6)+1</f>
        <v>14</v>
      </c>
      <c r="C185" s="15" t="n">
        <f aca="false">G184</f>
        <v>179675.424322795</v>
      </c>
      <c r="D185" s="15" t="n">
        <f aca="false">$C$5*(1+$C$11)^(B185-1)</f>
        <v>734.266856725782</v>
      </c>
      <c r="E185" s="15" t="n">
        <f aca="false">(C185+D185*$C$7)*$C$15</f>
        <v>1048.10664188297</v>
      </c>
      <c r="F185" s="15" t="n">
        <f aca="false">IF(E185&gt;0,E185*$C$13,0)</f>
        <v>0</v>
      </c>
      <c r="G185" s="15" t="n">
        <f aca="false">C185+D185+E185-F185</f>
        <v>181457.797821404</v>
      </c>
      <c r="H185" s="15" t="n">
        <f aca="false">G185/(1+$C$12)^(A185/$C$6)</f>
        <v>130285.807375502</v>
      </c>
      <c r="I185" s="15" t="n">
        <f aca="false">I184+D185</f>
        <v>107378.076973942</v>
      </c>
      <c r="J185" s="15" t="n">
        <f aca="false">J184+E185-F185</f>
        <v>74079.7208474625</v>
      </c>
    </row>
    <row r="186" customFormat="false" ht="15" hidden="false" customHeight="false" outlineLevel="0" collapsed="false">
      <c r="A186" s="19" t="n">
        <f aca="false">A185+1</f>
        <v>162</v>
      </c>
      <c r="B186" s="19" t="n">
        <f aca="false">INT((A186-1)/$C$6)+1</f>
        <v>14</v>
      </c>
      <c r="C186" s="15" t="n">
        <f aca="false">G185</f>
        <v>181457.797821404</v>
      </c>
      <c r="D186" s="15" t="n">
        <f aca="false">$C$5*(1+$C$11)^(B186-1)</f>
        <v>734.266856725782</v>
      </c>
      <c r="E186" s="15" t="n">
        <f aca="false">(C186+D186*$C$7)*$C$15</f>
        <v>1058.50382062486</v>
      </c>
      <c r="F186" s="15" t="n">
        <f aca="false">IF(E186&gt;0,E186*$C$13,0)</f>
        <v>0</v>
      </c>
      <c r="G186" s="15" t="n">
        <f aca="false">C186+D186+E186-F186</f>
        <v>183250.568498755</v>
      </c>
      <c r="H186" s="15" t="n">
        <f aca="false">G186/(1+$C$12)^(A186/$C$6)</f>
        <v>131302.546167453</v>
      </c>
      <c r="I186" s="15" t="n">
        <f aca="false">I185+D186</f>
        <v>108112.343830668</v>
      </c>
      <c r="J186" s="15" t="n">
        <f aca="false">J185+E186-F186</f>
        <v>75138.2246680874</v>
      </c>
    </row>
    <row r="187" customFormat="false" ht="15" hidden="false" customHeight="false" outlineLevel="0" collapsed="false">
      <c r="A187" s="19" t="n">
        <f aca="false">A186+1</f>
        <v>163</v>
      </c>
      <c r="B187" s="19" t="n">
        <f aca="false">INT((A187-1)/$C$6)+1</f>
        <v>14</v>
      </c>
      <c r="C187" s="15" t="n">
        <f aca="false">G186</f>
        <v>183250.568498755</v>
      </c>
      <c r="D187" s="15" t="n">
        <f aca="false">$C$5*(1+$C$11)^(B187-1)</f>
        <v>734.266856725782</v>
      </c>
      <c r="E187" s="15" t="n">
        <f aca="false">(C187+D187*$C$7)*$C$15</f>
        <v>1068.96164957607</v>
      </c>
      <c r="F187" s="15" t="n">
        <f aca="false">IF(E187&gt;0,E187*$C$13,0)</f>
        <v>0</v>
      </c>
      <c r="G187" s="15" t="n">
        <f aca="false">C187+D187+E187-F187</f>
        <v>185053.797005057</v>
      </c>
      <c r="H187" s="15" t="n">
        <f aca="false">G187/(1+$C$12)^(A187/$C$6)</f>
        <v>132322.032247884</v>
      </c>
      <c r="I187" s="15" t="n">
        <f aca="false">I186+D187</f>
        <v>108846.610687393</v>
      </c>
      <c r="J187" s="15" t="n">
        <f aca="false">J186+E187-F187</f>
        <v>76207.1863176635</v>
      </c>
    </row>
    <row r="188" customFormat="false" ht="15" hidden="false" customHeight="false" outlineLevel="0" collapsed="false">
      <c r="A188" s="19" t="n">
        <f aca="false">A187+1</f>
        <v>164</v>
      </c>
      <c r="B188" s="19" t="n">
        <f aca="false">INT((A188-1)/$C$6)+1</f>
        <v>14</v>
      </c>
      <c r="C188" s="15" t="n">
        <f aca="false">G187</f>
        <v>185053.797005057</v>
      </c>
      <c r="D188" s="15" t="n">
        <f aca="false">$C$5*(1+$C$11)^(B188-1)</f>
        <v>734.266856725782</v>
      </c>
      <c r="E188" s="15" t="n">
        <f aca="false">(C188+D188*$C$7)*$C$15</f>
        <v>1079.4804825295</v>
      </c>
      <c r="F188" s="15" t="n">
        <f aca="false">IF(E188&gt;0,E188*$C$13,0)</f>
        <v>0</v>
      </c>
      <c r="G188" s="15" t="n">
        <f aca="false">C188+D188+E188-F188</f>
        <v>186867.544344312</v>
      </c>
      <c r="H188" s="15" t="n">
        <f aca="false">G188/(1+$C$12)^(A188/$C$6)</f>
        <v>133344.278185476</v>
      </c>
      <c r="I188" s="15" t="n">
        <f aca="false">I187+D188</f>
        <v>109580.877544119</v>
      </c>
      <c r="J188" s="15" t="n">
        <f aca="false">J187+E188-F188</f>
        <v>77286.666800193</v>
      </c>
    </row>
    <row r="189" customFormat="false" ht="15" hidden="false" customHeight="false" outlineLevel="0" collapsed="false">
      <c r="A189" s="19" t="n">
        <f aca="false">A188+1</f>
        <v>165</v>
      </c>
      <c r="B189" s="19" t="n">
        <f aca="false">INT((A189-1)/$C$6)+1</f>
        <v>14</v>
      </c>
      <c r="C189" s="15" t="n">
        <f aca="false">G188</f>
        <v>186867.544344312</v>
      </c>
      <c r="D189" s="15" t="n">
        <f aca="false">$C$5*(1+$C$11)^(B189-1)</f>
        <v>734.266856725782</v>
      </c>
      <c r="E189" s="15" t="n">
        <f aca="false">(C189+D189*$C$7)*$C$15</f>
        <v>1090.06067534182</v>
      </c>
      <c r="F189" s="15" t="n">
        <f aca="false">IF(E189&gt;0,E189*$C$13,0)</f>
        <v>0</v>
      </c>
      <c r="G189" s="15" t="n">
        <f aca="false">C189+D189+E189-F189</f>
        <v>188691.87187638</v>
      </c>
      <c r="H189" s="15" t="n">
        <f aca="false">G189/(1+$C$12)^(A189/$C$6)</f>
        <v>134369.296591666</v>
      </c>
      <c r="I189" s="15" t="n">
        <f aca="false">I188+D189</f>
        <v>110315.144400845</v>
      </c>
      <c r="J189" s="15" t="n">
        <f aca="false">J188+E189-F189</f>
        <v>78376.7274755348</v>
      </c>
    </row>
    <row r="190" customFormat="false" ht="15" hidden="false" customHeight="false" outlineLevel="0" collapsed="false">
      <c r="A190" s="19" t="n">
        <f aca="false">A189+1</f>
        <v>166</v>
      </c>
      <c r="B190" s="19" t="n">
        <f aca="false">INT((A190-1)/$C$6)+1</f>
        <v>14</v>
      </c>
      <c r="C190" s="15" t="n">
        <f aca="false">G189</f>
        <v>188691.87187638</v>
      </c>
      <c r="D190" s="15" t="n">
        <f aca="false">$C$5*(1+$C$11)^(B190-1)</f>
        <v>734.266856725782</v>
      </c>
      <c r="E190" s="15" t="n">
        <f aca="false">(C190+D190*$C$7)*$C$15</f>
        <v>1100.70258594555</v>
      </c>
      <c r="F190" s="15" t="n">
        <f aca="false">IF(E190&gt;0,E190*$C$13,0)</f>
        <v>0</v>
      </c>
      <c r="G190" s="15" t="n">
        <f aca="false">C190+D190+E190-F190</f>
        <v>190526.841319051</v>
      </c>
      <c r="H190" s="15" t="n">
        <f aca="false">G190/(1+$C$12)^(A190/$C$6)</f>
        <v>135397.100120826</v>
      </c>
      <c r="I190" s="15" t="n">
        <f aca="false">I189+D190</f>
        <v>111049.411257571</v>
      </c>
      <c r="J190" s="15" t="n">
        <f aca="false">J189+E190-F190</f>
        <v>79477.4300614803</v>
      </c>
    </row>
    <row r="191" customFormat="false" ht="15" hidden="false" customHeight="false" outlineLevel="0" collapsed="false">
      <c r="A191" s="19" t="n">
        <f aca="false">A190+1</f>
        <v>167</v>
      </c>
      <c r="B191" s="19" t="n">
        <f aca="false">INT((A191-1)/$C$6)+1</f>
        <v>14</v>
      </c>
      <c r="C191" s="15" t="n">
        <f aca="false">G190</f>
        <v>190526.841319051</v>
      </c>
      <c r="D191" s="15" t="n">
        <f aca="false">$C$5*(1+$C$11)^(B191-1)</f>
        <v>734.266856725782</v>
      </c>
      <c r="E191" s="15" t="n">
        <f aca="false">(C191+D191*$C$7)*$C$15</f>
        <v>1111.40657436113</v>
      </c>
      <c r="F191" s="15" t="n">
        <f aca="false">IF(E191&gt;0,E191*$C$13,0)</f>
        <v>0</v>
      </c>
      <c r="G191" s="15" t="n">
        <f aca="false">C191+D191+E191-F191</f>
        <v>192372.514750138</v>
      </c>
      <c r="H191" s="15" t="n">
        <f aca="false">G191/(1+$C$12)^(A191/$C$6)</f>
        <v>136427.70147043</v>
      </c>
      <c r="I191" s="15" t="n">
        <f aca="false">I190+D191</f>
        <v>111783.678114296</v>
      </c>
      <c r="J191" s="15" t="n">
        <f aca="false">J190+E191-F191</f>
        <v>80588.8366358415</v>
      </c>
    </row>
    <row r="192" customFormat="false" ht="15" hidden="false" customHeight="false" outlineLevel="0" collapsed="false">
      <c r="A192" s="19" t="n">
        <f aca="false">A191+1</f>
        <v>168</v>
      </c>
      <c r="B192" s="19" t="n">
        <f aca="false">INT((A192-1)/$C$6)+1</f>
        <v>14</v>
      </c>
      <c r="C192" s="15" t="n">
        <f aca="false">G191</f>
        <v>192372.514750138</v>
      </c>
      <c r="D192" s="15" t="n">
        <f aca="false">$C$5*(1+$C$11)^(B192-1)</f>
        <v>734.266856725782</v>
      </c>
      <c r="E192" s="15" t="n">
        <f aca="false">(C192+D192*$C$7)*$C$15</f>
        <v>1122.17300270914</v>
      </c>
      <c r="F192" s="15" t="n">
        <f aca="false">IF(E192&gt;0,E192*$C$13,0)</f>
        <v>0</v>
      </c>
      <c r="G192" s="15" t="n">
        <f aca="false">C192+D192+E192-F192</f>
        <v>194228.954609573</v>
      </c>
      <c r="H192" s="15" t="n">
        <f aca="false">G192/(1+$C$12)^(A192/$C$6)</f>
        <v>137461.113381222</v>
      </c>
      <c r="I192" s="15" t="n">
        <f aca="false">I191+D192</f>
        <v>112517.944971022</v>
      </c>
      <c r="J192" s="15" t="n">
        <f aca="false">J191+E192-F192</f>
        <v>81711.0096385506</v>
      </c>
    </row>
    <row r="193" customFormat="false" ht="15" hidden="false" customHeight="false" outlineLevel="0" collapsed="false">
      <c r="A193" s="19" t="n">
        <f aca="false">A192+1</f>
        <v>169</v>
      </c>
      <c r="B193" s="19" t="n">
        <f aca="false">INT((A193-1)/$C$6)+1</f>
        <v>15</v>
      </c>
      <c r="C193" s="15" t="n">
        <f aca="false">G192</f>
        <v>194228.954609573</v>
      </c>
      <c r="D193" s="15" t="n">
        <f aca="false">$C$5*(1+$C$11)^(B193-1)</f>
        <v>756.294862427556</v>
      </c>
      <c r="E193" s="15" t="n">
        <f aca="false">(C193+D193*$C$7)*$C$15</f>
        <v>1133.00223522251</v>
      </c>
      <c r="F193" s="15" t="n">
        <f aca="false">IF(E193&gt;0,E193*$C$13,0)</f>
        <v>0</v>
      </c>
      <c r="G193" s="15" t="n">
        <f aca="false">C193+D193+E193-F193</f>
        <v>196118.251707223</v>
      </c>
      <c r="H193" s="15" t="n">
        <f aca="false">G193/(1+$C$12)^(A193/$C$6)</f>
        <v>138512.906409635</v>
      </c>
      <c r="I193" s="15" t="n">
        <f aca="false">I192+D193</f>
        <v>113274.23983345</v>
      </c>
      <c r="J193" s="15" t="n">
        <f aca="false">J192+E193-F193</f>
        <v>82844.0118737731</v>
      </c>
    </row>
    <row r="194" customFormat="false" ht="15" hidden="false" customHeight="false" outlineLevel="0" collapsed="false">
      <c r="A194" s="19" t="n">
        <f aca="false">A193+1</f>
        <v>170</v>
      </c>
      <c r="B194" s="19" t="n">
        <f aca="false">INT((A194-1)/$C$6)+1</f>
        <v>15</v>
      </c>
      <c r="C194" s="15" t="n">
        <f aca="false">G193</f>
        <v>196118.251707223</v>
      </c>
      <c r="D194" s="15" t="n">
        <f aca="false">$C$5*(1+$C$11)^(B194-1)</f>
        <v>756.294862427556</v>
      </c>
      <c r="E194" s="15" t="n">
        <f aca="false">(C194+D194*$C$7)*$C$15</f>
        <v>1144.0231349588</v>
      </c>
      <c r="F194" s="15" t="n">
        <f aca="false">IF(E194&gt;0,E194*$C$13,0)</f>
        <v>0</v>
      </c>
      <c r="G194" s="15" t="n">
        <f aca="false">C194+D194+E194-F194</f>
        <v>198018.569704609</v>
      </c>
      <c r="H194" s="15" t="n">
        <f aca="false">G194/(1+$C$12)^(A194/$C$6)</f>
        <v>139567.562217182</v>
      </c>
      <c r="I194" s="15" t="n">
        <f aca="false">I193+D194</f>
        <v>114030.534695877</v>
      </c>
      <c r="J194" s="15" t="n">
        <f aca="false">J193+E194-F194</f>
        <v>83988.0350087319</v>
      </c>
    </row>
    <row r="195" customFormat="false" ht="15" hidden="false" customHeight="false" outlineLevel="0" collapsed="false">
      <c r="A195" s="19" t="n">
        <f aca="false">A194+1</f>
        <v>171</v>
      </c>
      <c r="B195" s="19" t="n">
        <f aca="false">INT((A195-1)/$C$6)+1</f>
        <v>15</v>
      </c>
      <c r="C195" s="15" t="n">
        <f aca="false">G194</f>
        <v>198018.569704609</v>
      </c>
      <c r="D195" s="15" t="n">
        <f aca="false">$C$5*(1+$C$11)^(B195-1)</f>
        <v>756.294862427556</v>
      </c>
      <c r="E195" s="15" t="n">
        <f aca="false">(C195+D195*$C$7)*$C$15</f>
        <v>1155.10832327689</v>
      </c>
      <c r="F195" s="15" t="n">
        <f aca="false">IF(E195&gt;0,E195*$C$13,0)</f>
        <v>0</v>
      </c>
      <c r="G195" s="15" t="n">
        <f aca="false">C195+D195+E195-F195</f>
        <v>199929.972890314</v>
      </c>
      <c r="H195" s="15" t="n">
        <f aca="false">G195/(1+$C$12)^(A195/$C$6)</f>
        <v>140625.093841395</v>
      </c>
      <c r="I195" s="15" t="n">
        <f aca="false">I194+D195</f>
        <v>114786.829558305</v>
      </c>
      <c r="J195" s="15" t="n">
        <f aca="false">J194+E195-F195</f>
        <v>85143.1433320088</v>
      </c>
    </row>
    <row r="196" customFormat="false" ht="15" hidden="false" customHeight="false" outlineLevel="0" collapsed="false">
      <c r="A196" s="19" t="n">
        <f aca="false">A195+1</f>
        <v>172</v>
      </c>
      <c r="B196" s="19" t="n">
        <f aca="false">INT((A196-1)/$C$6)+1</f>
        <v>15</v>
      </c>
      <c r="C196" s="15" t="n">
        <f aca="false">G195</f>
        <v>199929.972890314</v>
      </c>
      <c r="D196" s="15" t="n">
        <f aca="false">$C$5*(1+$C$11)^(B196-1)</f>
        <v>756.294862427556</v>
      </c>
      <c r="E196" s="15" t="n">
        <f aca="false">(C196+D196*$C$7)*$C$15</f>
        <v>1166.2581751935</v>
      </c>
      <c r="F196" s="15" t="n">
        <f aca="false">IF(E196&gt;0,E196*$C$13,0)</f>
        <v>0</v>
      </c>
      <c r="G196" s="15" t="n">
        <f aca="false">C196+D196+E196-F196</f>
        <v>201852.525927935</v>
      </c>
      <c r="H196" s="15" t="n">
        <f aca="false">G196/(1+$C$12)^(A196/$C$6)</f>
        <v>141685.514364266</v>
      </c>
      <c r="I196" s="15" t="n">
        <f aca="false">I195+D196</f>
        <v>115543.124420732</v>
      </c>
      <c r="J196" s="15" t="n">
        <f aca="false">J195+E196-F196</f>
        <v>86309.4015072023</v>
      </c>
    </row>
    <row r="197" customFormat="false" ht="15" hidden="false" customHeight="false" outlineLevel="0" collapsed="false">
      <c r="A197" s="19" t="n">
        <f aca="false">A196+1</f>
        <v>173</v>
      </c>
      <c r="B197" s="19" t="n">
        <f aca="false">INT((A197-1)/$C$6)+1</f>
        <v>15</v>
      </c>
      <c r="C197" s="15" t="n">
        <f aca="false">G196</f>
        <v>201852.525927935</v>
      </c>
      <c r="D197" s="15" t="n">
        <f aca="false">$C$5*(1+$C$11)^(B197-1)</f>
        <v>756.294862427556</v>
      </c>
      <c r="E197" s="15" t="n">
        <f aca="false">(C197+D197*$C$7)*$C$15</f>
        <v>1177.47306791295</v>
      </c>
      <c r="F197" s="15" t="n">
        <f aca="false">IF(E197&gt;0,E197*$C$13,0)</f>
        <v>0</v>
      </c>
      <c r="G197" s="15" t="n">
        <f aca="false">C197+D197+E197-F197</f>
        <v>203786.293858275</v>
      </c>
      <c r="H197" s="15" t="n">
        <f aca="false">G197/(1+$C$12)^(A197/$C$6)</f>
        <v>142748.836912419</v>
      </c>
      <c r="I197" s="15" t="n">
        <f aca="false">I196+D197</f>
        <v>116299.41928316</v>
      </c>
      <c r="J197" s="15" t="n">
        <f aca="false">J196+E197-F197</f>
        <v>87486.8745751153</v>
      </c>
    </row>
    <row r="198" customFormat="false" ht="15" hidden="false" customHeight="false" outlineLevel="0" collapsed="false">
      <c r="A198" s="19" t="n">
        <f aca="false">A197+1</f>
        <v>174</v>
      </c>
      <c r="B198" s="19" t="n">
        <f aca="false">INT((A198-1)/$C$6)+1</f>
        <v>15</v>
      </c>
      <c r="C198" s="15" t="n">
        <f aca="false">G197</f>
        <v>203786.293858275</v>
      </c>
      <c r="D198" s="15" t="n">
        <f aca="false">$C$5*(1+$C$11)^(B198-1)</f>
        <v>756.294862427556</v>
      </c>
      <c r="E198" s="15" t="n">
        <f aca="false">(C198+D198*$C$7)*$C$15</f>
        <v>1188.75338083994</v>
      </c>
      <c r="F198" s="15" t="n">
        <f aca="false">IF(E198&gt;0,E198*$C$13,0)</f>
        <v>0</v>
      </c>
      <c r="G198" s="15" t="n">
        <f aca="false">C198+D198+E198-F198</f>
        <v>205731.342101543</v>
      </c>
      <c r="H198" s="15" t="n">
        <f aca="false">G198/(1+$C$12)^(A198/$C$6)</f>
        <v>143815.074657288</v>
      </c>
      <c r="I198" s="15" t="n">
        <f aca="false">I197+D198</f>
        <v>117055.714145588</v>
      </c>
      <c r="J198" s="15" t="n">
        <f aca="false">J197+E198-F198</f>
        <v>88675.6279559552</v>
      </c>
    </row>
    <row r="199" customFormat="false" ht="15" hidden="false" customHeight="false" outlineLevel="0" collapsed="false">
      <c r="A199" s="19" t="n">
        <f aca="false">A198+1</f>
        <v>175</v>
      </c>
      <c r="B199" s="19" t="n">
        <f aca="false">INT((A199-1)/$C$6)+1</f>
        <v>15</v>
      </c>
      <c r="C199" s="15" t="n">
        <f aca="false">G198</f>
        <v>205731.342101543</v>
      </c>
      <c r="D199" s="15" t="n">
        <f aca="false">$C$5*(1+$C$11)^(B199-1)</f>
        <v>756.294862427556</v>
      </c>
      <c r="E199" s="15" t="n">
        <f aca="false">(C199+D199*$C$7)*$C$15</f>
        <v>1200.09949559233</v>
      </c>
      <c r="F199" s="15" t="n">
        <f aca="false">IF(E199&gt;0,E199*$C$13,0)</f>
        <v>0</v>
      </c>
      <c r="G199" s="15" t="n">
        <f aca="false">C199+D199+E199-F199</f>
        <v>207687.736459563</v>
      </c>
      <c r="H199" s="15" t="n">
        <f aca="false">G199/(1+$C$12)^(A199/$C$6)</f>
        <v>144884.240815297</v>
      </c>
      <c r="I199" s="15" t="n">
        <f aca="false">I198+D199</f>
        <v>117812.009008015</v>
      </c>
      <c r="J199" s="15" t="n">
        <f aca="false">J198+E199-F199</f>
        <v>89875.7274515475</v>
      </c>
    </row>
    <row r="200" customFormat="false" ht="15" hidden="false" customHeight="false" outlineLevel="0" collapsed="false">
      <c r="A200" s="19" t="n">
        <f aca="false">A199+1</f>
        <v>176</v>
      </c>
      <c r="B200" s="19" t="n">
        <f aca="false">INT((A200-1)/$C$6)+1</f>
        <v>15</v>
      </c>
      <c r="C200" s="15" t="n">
        <f aca="false">G199</f>
        <v>207687.736459563</v>
      </c>
      <c r="D200" s="15" t="n">
        <f aca="false">$C$5*(1+$C$11)^(B200-1)</f>
        <v>756.294862427556</v>
      </c>
      <c r="E200" s="15" t="n">
        <f aca="false">(C200+D200*$C$7)*$C$15</f>
        <v>1211.51179601412</v>
      </c>
      <c r="F200" s="15" t="n">
        <f aca="false">IF(E200&gt;0,E200*$C$13,0)</f>
        <v>0</v>
      </c>
      <c r="G200" s="15" t="n">
        <f aca="false">C200+D200+E200-F200</f>
        <v>209655.543118004</v>
      </c>
      <c r="H200" s="15" t="n">
        <f aca="false">G200/(1+$C$12)^(A200/$C$6)</f>
        <v>145956.348648038</v>
      </c>
      <c r="I200" s="15" t="n">
        <f aca="false">I199+D200</f>
        <v>118568.303870443</v>
      </c>
      <c r="J200" s="15" t="n">
        <f aca="false">J199+E200-F200</f>
        <v>91087.2392475617</v>
      </c>
    </row>
    <row r="201" customFormat="false" ht="15" hidden="false" customHeight="false" outlineLevel="0" collapsed="false">
      <c r="A201" s="19" t="n">
        <f aca="false">A200+1</f>
        <v>177</v>
      </c>
      <c r="B201" s="19" t="n">
        <f aca="false">INT((A201-1)/$C$6)+1</f>
        <v>15</v>
      </c>
      <c r="C201" s="15" t="n">
        <f aca="false">G200</f>
        <v>209655.543118004</v>
      </c>
      <c r="D201" s="15" t="n">
        <f aca="false">$C$5*(1+$C$11)^(B201-1)</f>
        <v>756.294862427556</v>
      </c>
      <c r="E201" s="15" t="n">
        <f aca="false">(C201+D201*$C$7)*$C$15</f>
        <v>1222.99066818836</v>
      </c>
      <c r="F201" s="15" t="n">
        <f aca="false">IF(E201&gt;0,E201*$C$13,0)</f>
        <v>0</v>
      </c>
      <c r="G201" s="15" t="n">
        <f aca="false">C201+D201+E201-F201</f>
        <v>211634.82864862</v>
      </c>
      <c r="H201" s="15" t="n">
        <f aca="false">G201/(1+$C$12)^(A201/$C$6)</f>
        <v>147031.411462451</v>
      </c>
      <c r="I201" s="15" t="n">
        <f aca="false">I200+D201</f>
        <v>119324.59873287</v>
      </c>
      <c r="J201" s="15" t="n">
        <f aca="false">J200+E201-F201</f>
        <v>92310.22991575</v>
      </c>
    </row>
    <row r="202" customFormat="false" ht="15" hidden="false" customHeight="false" outlineLevel="0" collapsed="false">
      <c r="A202" s="19" t="n">
        <f aca="false">A201+1</f>
        <v>178</v>
      </c>
      <c r="B202" s="19" t="n">
        <f aca="false">INT((A202-1)/$C$6)+1</f>
        <v>15</v>
      </c>
      <c r="C202" s="15" t="n">
        <f aca="false">G201</f>
        <v>211634.82864862</v>
      </c>
      <c r="D202" s="15" t="n">
        <f aca="false">$C$5*(1+$C$11)^(B202-1)</f>
        <v>756.294862427556</v>
      </c>
      <c r="E202" s="15" t="n">
        <f aca="false">(C202+D202*$C$7)*$C$15</f>
        <v>1234.53650045028</v>
      </c>
      <c r="F202" s="15" t="n">
        <f aca="false">IF(E202&gt;0,E202*$C$13,0)</f>
        <v>0</v>
      </c>
      <c r="G202" s="15" t="n">
        <f aca="false">C202+D202+E202-F202</f>
        <v>213625.660011498</v>
      </c>
      <c r="H202" s="15" t="n">
        <f aca="false">G202/(1+$C$12)^(A202/$C$6)</f>
        <v>148109.442611002</v>
      </c>
      <c r="I202" s="15" t="n">
        <f aca="false">I201+D202</f>
        <v>120080.893595298</v>
      </c>
      <c r="J202" s="15" t="n">
        <f aca="false">J201+E202-F202</f>
        <v>93544.7664162003</v>
      </c>
    </row>
    <row r="203" customFormat="false" ht="15" hidden="false" customHeight="false" outlineLevel="0" collapsed="false">
      <c r="A203" s="19" t="n">
        <f aca="false">A202+1</f>
        <v>179</v>
      </c>
      <c r="B203" s="19" t="n">
        <f aca="false">INT((A203-1)/$C$6)+1</f>
        <v>15</v>
      </c>
      <c r="C203" s="15" t="n">
        <f aca="false">G202</f>
        <v>213625.660011498</v>
      </c>
      <c r="D203" s="15" t="n">
        <f aca="false">$C$5*(1+$C$11)^(B203-1)</f>
        <v>756.294862427556</v>
      </c>
      <c r="E203" s="15" t="n">
        <f aca="false">(C203+D203*$C$7)*$C$15</f>
        <v>1246.14968340041</v>
      </c>
      <c r="F203" s="15" t="n">
        <f aca="false">IF(E203&gt;0,E203*$C$13,0)</f>
        <v>0</v>
      </c>
      <c r="G203" s="15" t="n">
        <f aca="false">C203+D203+E203-F203</f>
        <v>215628.104557326</v>
      </c>
      <c r="H203" s="15" t="n">
        <f aca="false">G203/(1+$C$12)^(A203/$C$6)</f>
        <v>149190.455491868</v>
      </c>
      <c r="I203" s="15" t="n">
        <f aca="false">I202+D203</f>
        <v>120837.188457725</v>
      </c>
      <c r="J203" s="15" t="n">
        <f aca="false">J202+E203-F203</f>
        <v>94790.9160996007</v>
      </c>
    </row>
    <row r="204" customFormat="false" ht="15" hidden="false" customHeight="false" outlineLevel="0" collapsed="false">
      <c r="A204" s="19" t="n">
        <f aca="false">A203+1</f>
        <v>180</v>
      </c>
      <c r="B204" s="19" t="n">
        <f aca="false">INT((A204-1)/$C$6)+1</f>
        <v>15</v>
      </c>
      <c r="C204" s="15" t="n">
        <f aca="false">G203</f>
        <v>215628.104557326</v>
      </c>
      <c r="D204" s="15" t="n">
        <f aca="false">$C$5*(1+$C$11)^(B204-1)</f>
        <v>756.294862427556</v>
      </c>
      <c r="E204" s="15" t="n">
        <f aca="false">(C204+D204*$C$7)*$C$15</f>
        <v>1257.83060991773</v>
      </c>
      <c r="F204" s="15" t="n">
        <f aca="false">IF(E204&gt;0,E204*$C$13,0)</f>
        <v>0</v>
      </c>
      <c r="G204" s="15" t="n">
        <f aca="false">C204+D204+E204-F204</f>
        <v>217642.230029671</v>
      </c>
      <c r="H204" s="15" t="n">
        <f aca="false">G204/(1+$C$12)^(A204/$C$6)</f>
        <v>150274.463549116</v>
      </c>
      <c r="I204" s="15" t="n">
        <f aca="false">I203+D204</f>
        <v>121593.483320153</v>
      </c>
      <c r="J204" s="15" t="n">
        <f aca="false">J203+E204-F204</f>
        <v>96048.7467095184</v>
      </c>
    </row>
    <row r="205" customFormat="false" ht="15" hidden="false" customHeight="false" outlineLevel="0" collapsed="false">
      <c r="A205" s="19" t="n">
        <f aca="false">A204+1</f>
        <v>181</v>
      </c>
      <c r="B205" s="19" t="n">
        <f aca="false">INT((A205-1)/$C$6)+1</f>
        <v>16</v>
      </c>
      <c r="C205" s="15" t="n">
        <f aca="false">G204</f>
        <v>217642.230029671</v>
      </c>
      <c r="D205" s="15" t="n">
        <f aca="false">$C$5*(1+$C$11)^(B205-1)</f>
        <v>778.983708300383</v>
      </c>
      <c r="E205" s="15" t="n">
        <f aca="false">(C205+D205*$C$7)*$C$15</f>
        <v>1269.57967517308</v>
      </c>
      <c r="F205" s="15" t="n">
        <f aca="false">IF(E205&gt;0,E205*$C$13,0)</f>
        <v>0</v>
      </c>
      <c r="G205" s="15" t="n">
        <f aca="false">C205+D205+E205-F205</f>
        <v>219690.793413145</v>
      </c>
      <c r="H205" s="15" t="n">
        <f aca="false">G205/(1+$C$12)^(A205/$C$6)</f>
        <v>151377.113936695</v>
      </c>
      <c r="I205" s="15" t="n">
        <f aca="false">I204+D205</f>
        <v>122372.467028453</v>
      </c>
      <c r="J205" s="15" t="n">
        <f aca="false">J204+E205-F205</f>
        <v>97318.3263846915</v>
      </c>
    </row>
    <row r="206" customFormat="false" ht="15" hidden="false" customHeight="false" outlineLevel="0" collapsed="false">
      <c r="A206" s="19" t="n">
        <f aca="false">A205+1</f>
        <v>182</v>
      </c>
      <c r="B206" s="19" t="n">
        <f aca="false">INT((A206-1)/$C$6)+1</f>
        <v>16</v>
      </c>
      <c r="C206" s="15" t="n">
        <f aca="false">G205</f>
        <v>219690.793413145</v>
      </c>
      <c r="D206" s="15" t="n">
        <f aca="false">$C$5*(1+$C$11)^(B206-1)</f>
        <v>778.983708300383</v>
      </c>
      <c r="E206" s="15" t="n">
        <f aca="false">(C206+D206*$C$7)*$C$15</f>
        <v>1281.52962824334</v>
      </c>
      <c r="F206" s="15" t="n">
        <f aca="false">IF(E206&gt;0,E206*$C$13,0)</f>
        <v>0</v>
      </c>
      <c r="G206" s="15" t="n">
        <f aca="false">C206+D206+E206-F206</f>
        <v>221751.306749688</v>
      </c>
      <c r="H206" s="15" t="n">
        <f aca="false">G206/(1+$C$12)^(A206/$C$6)</f>
        <v>152482.813262913</v>
      </c>
      <c r="I206" s="15" t="n">
        <f aca="false">I205+D206</f>
        <v>123151.450736754</v>
      </c>
      <c r="J206" s="15" t="n">
        <f aca="false">J205+E206-F206</f>
        <v>98599.8560129349</v>
      </c>
    </row>
    <row r="207" customFormat="false" ht="15" hidden="false" customHeight="false" outlineLevel="0" collapsed="false">
      <c r="A207" s="19" t="n">
        <f aca="false">A206+1</f>
        <v>183</v>
      </c>
      <c r="B207" s="19" t="n">
        <f aca="false">INT((A207-1)/$C$6)+1</f>
        <v>16</v>
      </c>
      <c r="C207" s="15" t="n">
        <f aca="false">G206</f>
        <v>221751.306749688</v>
      </c>
      <c r="D207" s="15" t="n">
        <f aca="false">$C$5*(1+$C$11)^(B207-1)</f>
        <v>778.983708300383</v>
      </c>
      <c r="E207" s="15" t="n">
        <f aca="false">(C207+D207*$C$7)*$C$15</f>
        <v>1293.54928937318</v>
      </c>
      <c r="F207" s="15" t="n">
        <f aca="false">IF(E207&gt;0,E207*$C$13,0)</f>
        <v>0</v>
      </c>
      <c r="G207" s="15" t="n">
        <f aca="false">C207+D207+E207-F207</f>
        <v>223823.839747362</v>
      </c>
      <c r="H207" s="15" t="n">
        <f aca="false">G207/(1+$C$12)^(A207/$C$6)</f>
        <v>153591.575277343</v>
      </c>
      <c r="I207" s="15" t="n">
        <f aca="false">I206+D207</f>
        <v>123930.434445054</v>
      </c>
      <c r="J207" s="15" t="n">
        <f aca="false">J206+E207-F207</f>
        <v>99893.405302308</v>
      </c>
    </row>
    <row r="208" customFormat="false" ht="15" hidden="false" customHeight="false" outlineLevel="0" collapsed="false">
      <c r="A208" s="19" t="n">
        <f aca="false">A207+1</f>
        <v>184</v>
      </c>
      <c r="B208" s="19" t="n">
        <f aca="false">INT((A208-1)/$C$6)+1</f>
        <v>16</v>
      </c>
      <c r="C208" s="15" t="n">
        <f aca="false">G207</f>
        <v>223823.839747362</v>
      </c>
      <c r="D208" s="15" t="n">
        <f aca="false">$C$5*(1+$C$11)^(B208-1)</f>
        <v>778.983708300383</v>
      </c>
      <c r="E208" s="15" t="n">
        <f aca="false">(C208+D208*$C$7)*$C$15</f>
        <v>1305.63906519295</v>
      </c>
      <c r="F208" s="15" t="n">
        <f aca="false">IF(E208&gt;0,E208*$C$13,0)</f>
        <v>0</v>
      </c>
      <c r="G208" s="15" t="n">
        <f aca="false">C208+D208+E208-F208</f>
        <v>225908.462520855</v>
      </c>
      <c r="H208" s="15" t="n">
        <f aca="false">G208/(1+$C$12)^(A208/$C$6)</f>
        <v>154703.413776671</v>
      </c>
      <c r="I208" s="15" t="n">
        <f aca="false">I207+D208</f>
        <v>124709.418153354</v>
      </c>
      <c r="J208" s="15" t="n">
        <f aca="false">J207+E208-F208</f>
        <v>101199.044367501</v>
      </c>
    </row>
    <row r="209" customFormat="false" ht="15" hidden="false" customHeight="false" outlineLevel="0" collapsed="false">
      <c r="A209" s="19" t="n">
        <f aca="false">A208+1</f>
        <v>185</v>
      </c>
      <c r="B209" s="19" t="n">
        <f aca="false">INT((A209-1)/$C$6)+1</f>
        <v>16</v>
      </c>
      <c r="C209" s="15" t="n">
        <f aca="false">G208</f>
        <v>225908.462520855</v>
      </c>
      <c r="D209" s="15" t="n">
        <f aca="false">$C$5*(1+$C$11)^(B209-1)</f>
        <v>778.983708300383</v>
      </c>
      <c r="E209" s="15" t="n">
        <f aca="false">(C209+D209*$C$7)*$C$15</f>
        <v>1317.79936470499</v>
      </c>
      <c r="F209" s="15" t="n">
        <f aca="false">IF(E209&gt;0,E209*$C$13,0)</f>
        <v>0</v>
      </c>
      <c r="G209" s="15" t="n">
        <f aca="false">C209+D209+E209-F209</f>
        <v>228005.245593861</v>
      </c>
      <c r="H209" s="15" t="n">
        <f aca="false">G209/(1+$C$12)^(A209/$C$6)</f>
        <v>155818.342604889</v>
      </c>
      <c r="I209" s="15" t="n">
        <f aca="false">I208+D209</f>
        <v>125488.401861655</v>
      </c>
      <c r="J209" s="15" t="n">
        <f aca="false">J208+E209-F209</f>
        <v>102516.843732206</v>
      </c>
    </row>
    <row r="210" customFormat="false" ht="15" hidden="false" customHeight="false" outlineLevel="0" collapsed="false">
      <c r="A210" s="19" t="n">
        <f aca="false">A209+1</f>
        <v>186</v>
      </c>
      <c r="B210" s="19" t="n">
        <f aca="false">INT((A210-1)/$C$6)+1</f>
        <v>16</v>
      </c>
      <c r="C210" s="15" t="n">
        <f aca="false">G209</f>
        <v>228005.245593861</v>
      </c>
      <c r="D210" s="15" t="n">
        <f aca="false">$C$5*(1+$C$11)^(B210-1)</f>
        <v>778.983708300383</v>
      </c>
      <c r="E210" s="15" t="n">
        <f aca="false">(C210+D210*$C$7)*$C$15</f>
        <v>1330.03059929752</v>
      </c>
      <c r="F210" s="15" t="n">
        <f aca="false">IF(E210&gt;0,E210*$C$13,0)</f>
        <v>0</v>
      </c>
      <c r="G210" s="15" t="n">
        <f aca="false">C210+D210+E210-F210</f>
        <v>230114.259901459</v>
      </c>
      <c r="H210" s="15" t="n">
        <f aca="false">G210/(1+$C$12)^(A210/$C$6)</f>
        <v>156936.375653475</v>
      </c>
      <c r="I210" s="15" t="n">
        <f aca="false">I209+D210</f>
        <v>126267.385569955</v>
      </c>
      <c r="J210" s="15" t="n">
        <f aca="false">J209+E210-F210</f>
        <v>103846.874331503</v>
      </c>
    </row>
    <row r="211" customFormat="false" ht="15" hidden="false" customHeight="false" outlineLevel="0" collapsed="false">
      <c r="A211" s="19" t="n">
        <f aca="false">A210+1</f>
        <v>187</v>
      </c>
      <c r="B211" s="19" t="n">
        <f aca="false">INT((A211-1)/$C$6)+1</f>
        <v>16</v>
      </c>
      <c r="C211" s="15" t="n">
        <f aca="false">G210</f>
        <v>230114.259901459</v>
      </c>
      <c r="D211" s="15" t="n">
        <f aca="false">$C$5*(1+$C$11)^(B211-1)</f>
        <v>778.983708300383</v>
      </c>
      <c r="E211" s="15" t="n">
        <f aca="false">(C211+D211*$C$7)*$C$15</f>
        <v>1342.33318275851</v>
      </c>
      <c r="F211" s="15" t="n">
        <f aca="false">IF(E211&gt;0,E211*$C$13,0)</f>
        <v>0</v>
      </c>
      <c r="G211" s="15" t="n">
        <f aca="false">C211+D211+E211-F211</f>
        <v>232235.576792518</v>
      </c>
      <c r="H211" s="15" t="n">
        <f aca="false">G211/(1+$C$12)^(A211/$C$6)</f>
        <v>158057.526861587</v>
      </c>
      <c r="I211" s="15" t="n">
        <f aca="false">I210+D211</f>
        <v>127046.369278256</v>
      </c>
      <c r="J211" s="15" t="n">
        <f aca="false">J210+E211-F211</f>
        <v>105189.207514262</v>
      </c>
    </row>
    <row r="212" customFormat="false" ht="15" hidden="false" customHeight="false" outlineLevel="0" collapsed="false">
      <c r="A212" s="19" t="n">
        <f aca="false">A211+1</f>
        <v>188</v>
      </c>
      <c r="B212" s="19" t="n">
        <f aca="false">INT((A212-1)/$C$6)+1</f>
        <v>16</v>
      </c>
      <c r="C212" s="15" t="n">
        <f aca="false">G211</f>
        <v>232235.576792518</v>
      </c>
      <c r="D212" s="15" t="n">
        <f aca="false">$C$5*(1+$C$11)^(B212-1)</f>
        <v>778.983708300383</v>
      </c>
      <c r="E212" s="15" t="n">
        <f aca="false">(C212+D212*$C$7)*$C$15</f>
        <v>1354.70753128969</v>
      </c>
      <c r="F212" s="15" t="n">
        <f aca="false">IF(E212&gt;0,E212*$C$13,0)</f>
        <v>0</v>
      </c>
      <c r="G212" s="15" t="n">
        <f aca="false">C212+D212+E212-F212</f>
        <v>234369.268032108</v>
      </c>
      <c r="H212" s="15" t="n">
        <f aca="false">G212/(1+$C$12)^(A212/$C$6)</f>
        <v>159181.81021625</v>
      </c>
      <c r="I212" s="15" t="n">
        <f aca="false">I211+D212</f>
        <v>127825.352986556</v>
      </c>
      <c r="J212" s="15" t="n">
        <f aca="false">J211+E212-F212</f>
        <v>106543.915045552</v>
      </c>
    </row>
    <row r="213" customFormat="false" ht="15" hidden="false" customHeight="false" outlineLevel="0" collapsed="false">
      <c r="A213" s="19" t="n">
        <f aca="false">A212+1</f>
        <v>189</v>
      </c>
      <c r="B213" s="19" t="n">
        <f aca="false">INT((A213-1)/$C$6)+1</f>
        <v>16</v>
      </c>
      <c r="C213" s="15" t="n">
        <f aca="false">G212</f>
        <v>234369.268032108</v>
      </c>
      <c r="D213" s="15" t="n">
        <f aca="false">$C$5*(1+$C$11)^(B213-1)</f>
        <v>778.983708300383</v>
      </c>
      <c r="E213" s="15" t="n">
        <f aca="false">(C213+D213*$C$7)*$C$15</f>
        <v>1367.15406352063</v>
      </c>
      <c r="F213" s="15" t="n">
        <f aca="false">IF(E213&gt;0,E213*$C$13,0)</f>
        <v>0</v>
      </c>
      <c r="G213" s="15" t="n">
        <f aca="false">C213+D213+E213-F213</f>
        <v>236515.405803929</v>
      </c>
      <c r="H213" s="15" t="n">
        <f aca="false">G213/(1+$C$12)^(A213/$C$6)</f>
        <v>160309.239752545</v>
      </c>
      <c r="I213" s="15" t="n">
        <f aca="false">I212+D213</f>
        <v>128604.336694856</v>
      </c>
      <c r="J213" s="15" t="n">
        <f aca="false">J212+E213-F213</f>
        <v>107911.069109072</v>
      </c>
    </row>
    <row r="214" customFormat="false" ht="15" hidden="false" customHeight="false" outlineLevel="0" collapsed="false">
      <c r="A214" s="19" t="n">
        <f aca="false">A213+1</f>
        <v>190</v>
      </c>
      <c r="B214" s="19" t="n">
        <f aca="false">INT((A214-1)/$C$6)+1</f>
        <v>16</v>
      </c>
      <c r="C214" s="15" t="n">
        <f aca="false">G213</f>
        <v>236515.405803929</v>
      </c>
      <c r="D214" s="15" t="n">
        <f aca="false">$C$5*(1+$C$11)^(B214-1)</f>
        <v>778.983708300383</v>
      </c>
      <c r="E214" s="15" t="n">
        <f aca="false">(C214+D214*$C$7)*$C$15</f>
        <v>1379.67320052292</v>
      </c>
      <c r="F214" s="15" t="n">
        <f aca="false">IF(E214&gt;0,E214*$C$13,0)</f>
        <v>0</v>
      </c>
      <c r="G214" s="15" t="n">
        <f aca="false">C214+D214+E214-F214</f>
        <v>238674.062712752</v>
      </c>
      <c r="H214" s="15" t="n">
        <f aca="false">G214/(1+$C$12)^(A214/$C$6)</f>
        <v>161439.829553802</v>
      </c>
      <c r="I214" s="15" t="n">
        <f aca="false">I213+D214</f>
        <v>129383.320403157</v>
      </c>
      <c r="J214" s="15" t="n">
        <f aca="false">J213+E214-F214</f>
        <v>109290.742309595</v>
      </c>
    </row>
    <row r="215" customFormat="false" ht="15" hidden="false" customHeight="false" outlineLevel="0" collapsed="false">
      <c r="A215" s="19" t="n">
        <f aca="false">A214+1</f>
        <v>191</v>
      </c>
      <c r="B215" s="19" t="n">
        <f aca="false">INT((A215-1)/$C$6)+1</f>
        <v>16</v>
      </c>
      <c r="C215" s="15" t="n">
        <f aca="false">G214</f>
        <v>238674.062712752</v>
      </c>
      <c r="D215" s="15" t="n">
        <f aca="false">$C$5*(1+$C$11)^(B215-1)</f>
        <v>778.983708300383</v>
      </c>
      <c r="E215" s="15" t="n">
        <f aca="false">(C215+D215*$C$7)*$C$15</f>
        <v>1392.26536582439</v>
      </c>
      <c r="F215" s="15" t="n">
        <f aca="false">IF(E215&gt;0,E215*$C$13,0)</f>
        <v>0</v>
      </c>
      <c r="G215" s="15" t="n">
        <f aca="false">C215+D215+E215-F215</f>
        <v>240845.311786877</v>
      </c>
      <c r="H215" s="15" t="n">
        <f aca="false">G215/(1+$C$12)^(A215/$C$6)</f>
        <v>162573.593751789</v>
      </c>
      <c r="I215" s="15" t="n">
        <f aca="false">I214+D215</f>
        <v>130162.304111457</v>
      </c>
      <c r="J215" s="15" t="n">
        <f aca="false">J214+E215-F215</f>
        <v>110683.00767542</v>
      </c>
    </row>
    <row r="216" customFormat="false" ht="15" hidden="false" customHeight="false" outlineLevel="0" collapsed="false">
      <c r="A216" s="19" t="n">
        <f aca="false">A215+1</f>
        <v>192</v>
      </c>
      <c r="B216" s="19" t="n">
        <f aca="false">INT((A216-1)/$C$6)+1</f>
        <v>16</v>
      </c>
      <c r="C216" s="15" t="n">
        <f aca="false">G215</f>
        <v>240845.311786877</v>
      </c>
      <c r="D216" s="15" t="n">
        <f aca="false">$C$5*(1+$C$11)^(B216-1)</f>
        <v>778.983708300383</v>
      </c>
      <c r="E216" s="15" t="n">
        <f aca="false">(C216+D216*$C$7)*$C$15</f>
        <v>1404.93098542345</v>
      </c>
      <c r="F216" s="15" t="n">
        <f aca="false">IF(E216&gt;0,E216*$C$13,0)</f>
        <v>0</v>
      </c>
      <c r="G216" s="15" t="n">
        <f aca="false">C216+D216+E216-F216</f>
        <v>243029.226480601</v>
      </c>
      <c r="H216" s="15" t="n">
        <f aca="false">G216/(1+$C$12)^(A216/$C$6)</f>
        <v>163710.546526903</v>
      </c>
      <c r="I216" s="15" t="n">
        <f aca="false">I215+D216</f>
        <v>130941.287819758</v>
      </c>
      <c r="J216" s="15" t="n">
        <f aca="false">J215+E216-F216</f>
        <v>112087.938660843</v>
      </c>
    </row>
    <row r="217" customFormat="false" ht="15" hidden="false" customHeight="false" outlineLevel="0" collapsed="false">
      <c r="A217" s="19" t="n">
        <f aca="false">A216+1</f>
        <v>193</v>
      </c>
      <c r="B217" s="19" t="n">
        <f aca="false">INT((A217-1)/$C$6)+1</f>
        <v>17</v>
      </c>
      <c r="C217" s="15" t="n">
        <f aca="false">G216</f>
        <v>243029.226480601</v>
      </c>
      <c r="D217" s="15" t="n">
        <f aca="false">$C$5*(1+$C$11)^(B217-1)</f>
        <v>802.353219549394</v>
      </c>
      <c r="E217" s="15" t="n">
        <f aca="false">(C217+D217*$C$7)*$C$15</f>
        <v>1417.6704878035</v>
      </c>
      <c r="F217" s="15" t="n">
        <f aca="false">IF(E217&gt;0,E217*$C$13,0)</f>
        <v>0</v>
      </c>
      <c r="G217" s="15" t="n">
        <f aca="false">C217+D217+E217-F217</f>
        <v>245249.250187954</v>
      </c>
      <c r="H217" s="15" t="n">
        <f aca="false">G217/(1+$C$12)^(A217/$C$6)</f>
        <v>164866.412033954</v>
      </c>
      <c r="I217" s="15" t="n">
        <f aca="false">I216+D217</f>
        <v>131743.641039307</v>
      </c>
      <c r="J217" s="15" t="n">
        <f aca="false">J216+E217-F217</f>
        <v>113505.609148647</v>
      </c>
    </row>
    <row r="218" customFormat="false" ht="15" hidden="false" customHeight="false" outlineLevel="0" collapsed="false">
      <c r="A218" s="19" t="n">
        <f aca="false">A217+1</f>
        <v>194</v>
      </c>
      <c r="B218" s="19" t="n">
        <f aca="false">INT((A218-1)/$C$6)+1</f>
        <v>17</v>
      </c>
      <c r="C218" s="15" t="n">
        <f aca="false">G217</f>
        <v>245249.250187954</v>
      </c>
      <c r="D218" s="15" t="n">
        <f aca="false">$C$5*(1+$C$11)^(B218-1)</f>
        <v>802.353219549394</v>
      </c>
      <c r="E218" s="15" t="n">
        <f aca="false">(C218+D218*$C$7)*$C$15</f>
        <v>1430.6206260964</v>
      </c>
      <c r="F218" s="15" t="n">
        <f aca="false">IF(E218&gt;0,E218*$C$13,0)</f>
        <v>0</v>
      </c>
      <c r="G218" s="15" t="n">
        <f aca="false">C218+D218+E218-F218</f>
        <v>247482.224033599</v>
      </c>
      <c r="H218" s="15" t="n">
        <f aca="false">G218/(1+$C$12)^(A218/$C$6)</f>
        <v>166025.521491736</v>
      </c>
      <c r="I218" s="15" t="n">
        <f aca="false">I217+D218</f>
        <v>132545.994258856</v>
      </c>
      <c r="J218" s="15" t="n">
        <f aca="false">J217+E218-F218</f>
        <v>114936.229774743</v>
      </c>
    </row>
    <row r="219" customFormat="false" ht="15" hidden="false" customHeight="false" outlineLevel="0" collapsed="false">
      <c r="A219" s="19" t="n">
        <f aca="false">A218+1</f>
        <v>195</v>
      </c>
      <c r="B219" s="19" t="n">
        <f aca="false">INT((A219-1)/$C$6)+1</f>
        <v>17</v>
      </c>
      <c r="C219" s="15" t="n">
        <f aca="false">G218</f>
        <v>247482.224033599</v>
      </c>
      <c r="D219" s="15" t="n">
        <f aca="false">$C$5*(1+$C$11)^(B219-1)</f>
        <v>802.353219549394</v>
      </c>
      <c r="E219" s="15" t="n">
        <f aca="false">(C219+D219*$C$7)*$C$15</f>
        <v>1443.64630686266</v>
      </c>
      <c r="F219" s="15" t="n">
        <f aca="false">IF(E219&gt;0,E219*$C$13,0)</f>
        <v>0</v>
      </c>
      <c r="G219" s="15" t="n">
        <f aca="false">C219+D219+E219-F219</f>
        <v>249728.223560011</v>
      </c>
      <c r="H219" s="15" t="n">
        <f aca="false">G219/(1+$C$12)^(A219/$C$6)</f>
        <v>167187.889395249</v>
      </c>
      <c r="I219" s="15" t="n">
        <f aca="false">I218+D219</f>
        <v>133348.347478406</v>
      </c>
      <c r="J219" s="15" t="n">
        <f aca="false">J218+E219-F219</f>
        <v>116379.876081606</v>
      </c>
    </row>
    <row r="220" customFormat="false" ht="15" hidden="false" customHeight="false" outlineLevel="0" collapsed="false">
      <c r="A220" s="19" t="n">
        <f aca="false">A219+1</f>
        <v>196</v>
      </c>
      <c r="B220" s="19" t="n">
        <f aca="false">INT((A220-1)/$C$6)+1</f>
        <v>17</v>
      </c>
      <c r="C220" s="15" t="n">
        <f aca="false">G219</f>
        <v>249728.223560011</v>
      </c>
      <c r="D220" s="15" t="n">
        <f aca="false">$C$5*(1+$C$11)^(B220-1)</f>
        <v>802.353219549394</v>
      </c>
      <c r="E220" s="15" t="n">
        <f aca="false">(C220+D220*$C$7)*$C$15</f>
        <v>1456.74797076673</v>
      </c>
      <c r="F220" s="15" t="n">
        <f aca="false">IF(E220&gt;0,E220*$C$13,0)</f>
        <v>0</v>
      </c>
      <c r="G220" s="15" t="n">
        <f aca="false">C220+D220+E220-F220</f>
        <v>251987.324750328</v>
      </c>
      <c r="H220" s="15" t="n">
        <f aca="false">G220/(1+$C$12)^(A220/$C$6)</f>
        <v>168353.530289395</v>
      </c>
      <c r="I220" s="15" t="n">
        <f aca="false">I219+D220</f>
        <v>134150.700697955</v>
      </c>
      <c r="J220" s="15" t="n">
        <f aca="false">J219+E220-F220</f>
        <v>117836.624052372</v>
      </c>
    </row>
    <row r="221" customFormat="false" ht="15" hidden="false" customHeight="false" outlineLevel="0" collapsed="false">
      <c r="A221" s="19" t="n">
        <f aca="false">A220+1</f>
        <v>197</v>
      </c>
      <c r="B221" s="19" t="n">
        <f aca="false">INT((A221-1)/$C$6)+1</f>
        <v>17</v>
      </c>
      <c r="C221" s="15" t="n">
        <f aca="false">G220</f>
        <v>251987.324750328</v>
      </c>
      <c r="D221" s="15" t="n">
        <f aca="false">$C$5*(1+$C$11)^(B221-1)</f>
        <v>802.353219549394</v>
      </c>
      <c r="E221" s="15" t="n">
        <f aca="false">(C221+D221*$C$7)*$C$15</f>
        <v>1469.92606104358</v>
      </c>
      <c r="F221" s="15" t="n">
        <f aca="false">IF(E221&gt;0,E221*$C$13,0)</f>
        <v>0</v>
      </c>
      <c r="G221" s="15" t="n">
        <f aca="false">C221+D221+E221-F221</f>
        <v>254259.604030921</v>
      </c>
      <c r="H221" s="15" t="n">
        <f aca="false">G221/(1+$C$12)^(A221/$C$6)</f>
        <v>169522.458769171</v>
      </c>
      <c r="I221" s="15" t="n">
        <f aca="false">I220+D221</f>
        <v>134953.053917505</v>
      </c>
      <c r="J221" s="15" t="n">
        <f aca="false">J220+E221-F221</f>
        <v>119306.550113416</v>
      </c>
    </row>
    <row r="222" customFormat="false" ht="15" hidden="false" customHeight="false" outlineLevel="0" collapsed="false">
      <c r="A222" s="19" t="n">
        <f aca="false">A221+1</f>
        <v>198</v>
      </c>
      <c r="B222" s="19" t="n">
        <f aca="false">INT((A222-1)/$C$6)+1</f>
        <v>17</v>
      </c>
      <c r="C222" s="15" t="n">
        <f aca="false">G221</f>
        <v>254259.604030921</v>
      </c>
      <c r="D222" s="15" t="n">
        <f aca="false">$C$5*(1+$C$11)^(B222-1)</f>
        <v>802.353219549394</v>
      </c>
      <c r="E222" s="15" t="n">
        <f aca="false">(C222+D222*$C$7)*$C$15</f>
        <v>1483.1810235137</v>
      </c>
      <c r="F222" s="15" t="n">
        <f aca="false">IF(E222&gt;0,E222*$C$13,0)</f>
        <v>0</v>
      </c>
      <c r="G222" s="15" t="n">
        <f aca="false">C222+D222+E222-F222</f>
        <v>256545.138273984</v>
      </c>
      <c r="H222" s="15" t="n">
        <f aca="false">G222/(1+$C$12)^(A222/$C$6)</f>
        <v>170694.689479869</v>
      </c>
      <c r="I222" s="15" t="n">
        <f aca="false">I221+D222</f>
        <v>135755.407137054</v>
      </c>
      <c r="J222" s="15" t="n">
        <f aca="false">J221+E222-F222</f>
        <v>120789.73113693</v>
      </c>
    </row>
    <row r="223" customFormat="false" ht="15" hidden="false" customHeight="false" outlineLevel="0" collapsed="false">
      <c r="A223" s="19" t="n">
        <f aca="false">A222+1</f>
        <v>199</v>
      </c>
      <c r="B223" s="19" t="n">
        <f aca="false">INT((A223-1)/$C$6)+1</f>
        <v>17</v>
      </c>
      <c r="C223" s="15" t="n">
        <f aca="false">G222</f>
        <v>256545.138273984</v>
      </c>
      <c r="D223" s="15" t="n">
        <f aca="false">$C$5*(1+$C$11)^(B223-1)</f>
        <v>802.353219549394</v>
      </c>
      <c r="E223" s="15" t="n">
        <f aca="false">(C223+D223*$C$7)*$C$15</f>
        <v>1496.51330659824</v>
      </c>
      <c r="F223" s="15" t="n">
        <f aca="false">IF(E223&gt;0,E223*$C$13,0)</f>
        <v>0</v>
      </c>
      <c r="G223" s="15" t="n">
        <f aca="false">C223+D223+E223-F223</f>
        <v>258844.004800131</v>
      </c>
      <c r="H223" s="15" t="n">
        <f aca="false">G223/(1+$C$12)^(A223/$C$6)</f>
        <v>171870.237117277</v>
      </c>
      <c r="I223" s="15" t="n">
        <f aca="false">I222+D223</f>
        <v>136557.760356603</v>
      </c>
      <c r="J223" s="15" t="n">
        <f aca="false">J222+E223-F223</f>
        <v>122286.244443528</v>
      </c>
    </row>
    <row r="224" customFormat="false" ht="15" hidden="false" customHeight="false" outlineLevel="0" collapsed="false">
      <c r="A224" s="19" t="n">
        <f aca="false">A223+1</f>
        <v>200</v>
      </c>
      <c r="B224" s="19" t="n">
        <f aca="false">INT((A224-1)/$C$6)+1</f>
        <v>17</v>
      </c>
      <c r="C224" s="15" t="n">
        <f aca="false">G223</f>
        <v>258844.004800131</v>
      </c>
      <c r="D224" s="15" t="n">
        <f aca="false">$C$5*(1+$C$11)^(B224-1)</f>
        <v>802.353219549394</v>
      </c>
      <c r="E224" s="15" t="n">
        <f aca="false">(C224+D224*$C$7)*$C$15</f>
        <v>1509.9233613341</v>
      </c>
      <c r="F224" s="15" t="n">
        <f aca="false">IF(E224&gt;0,E224*$C$13,0)</f>
        <v>0</v>
      </c>
      <c r="G224" s="15" t="n">
        <f aca="false">C224+D224+E224-F224</f>
        <v>261156.281381015</v>
      </c>
      <c r="H224" s="15" t="n">
        <f aca="false">G224/(1+$C$12)^(A224/$C$6)</f>
        <v>173049.116427875</v>
      </c>
      <c r="I224" s="15" t="n">
        <f aca="false">I223+D224</f>
        <v>137360.113576153</v>
      </c>
      <c r="J224" s="15" t="n">
        <f aca="false">J223+E224-F224</f>
        <v>123796.167804862</v>
      </c>
    </row>
    <row r="225" customFormat="false" ht="15" hidden="false" customHeight="false" outlineLevel="0" collapsed="false">
      <c r="A225" s="19" t="n">
        <f aca="false">A224+1</f>
        <v>201</v>
      </c>
      <c r="B225" s="19" t="n">
        <f aca="false">INT((A225-1)/$C$6)+1</f>
        <v>17</v>
      </c>
      <c r="C225" s="15" t="n">
        <f aca="false">G224</f>
        <v>261156.281381015</v>
      </c>
      <c r="D225" s="15" t="n">
        <f aca="false">$C$5*(1+$C$11)^(B225-1)</f>
        <v>802.353219549394</v>
      </c>
      <c r="E225" s="15" t="n">
        <f aca="false">(C225+D225*$C$7)*$C$15</f>
        <v>1523.41164138925</v>
      </c>
      <c r="F225" s="15" t="n">
        <f aca="false">IF(E225&gt;0,E225*$C$13,0)</f>
        <v>0</v>
      </c>
      <c r="G225" s="15" t="n">
        <f aca="false">C225+D225+E225-F225</f>
        <v>263482.046241954</v>
      </c>
      <c r="H225" s="15" t="n">
        <f aca="false">G225/(1+$C$12)^(A225/$C$6)</f>
        <v>174231.342209039</v>
      </c>
      <c r="I225" s="15" t="n">
        <f aca="false">I224+D225</f>
        <v>138162.466795702</v>
      </c>
      <c r="J225" s="15" t="n">
        <f aca="false">J224+E225-F225</f>
        <v>125319.579446251</v>
      </c>
    </row>
    <row r="226" customFormat="false" ht="15" hidden="false" customHeight="false" outlineLevel="0" collapsed="false">
      <c r="A226" s="19" t="n">
        <f aca="false">A225+1</f>
        <v>202</v>
      </c>
      <c r="B226" s="19" t="n">
        <f aca="false">INT((A226-1)/$C$6)+1</f>
        <v>17</v>
      </c>
      <c r="C226" s="15" t="n">
        <f aca="false">G225</f>
        <v>263482.046241954</v>
      </c>
      <c r="D226" s="15" t="n">
        <f aca="false">$C$5*(1+$C$11)^(B226-1)</f>
        <v>802.353219549394</v>
      </c>
      <c r="E226" s="15" t="n">
        <f aca="false">(C226+D226*$C$7)*$C$15</f>
        <v>1536.97860307806</v>
      </c>
      <c r="F226" s="15" t="n">
        <f aca="false">IF(E226&gt;0,E226*$C$13,0)</f>
        <v>0</v>
      </c>
      <c r="G226" s="15" t="n">
        <f aca="false">C226+D226+E226-F226</f>
        <v>265821.378064581</v>
      </c>
      <c r="H226" s="15" t="n">
        <f aca="false">G226/(1+$C$12)^(A226/$C$6)</f>
        <v>175416.92930924</v>
      </c>
      <c r="I226" s="15" t="n">
        <f aca="false">I225+D226</f>
        <v>138964.820015252</v>
      </c>
      <c r="J226" s="15" t="n">
        <f aca="false">J225+E226-F226</f>
        <v>126856.558049329</v>
      </c>
    </row>
    <row r="227" customFormat="false" ht="15" hidden="false" customHeight="false" outlineLevel="0" collapsed="false">
      <c r="A227" s="19" t="n">
        <f aca="false">A226+1</f>
        <v>203</v>
      </c>
      <c r="B227" s="19" t="n">
        <f aca="false">INT((A227-1)/$C$6)+1</f>
        <v>17</v>
      </c>
      <c r="C227" s="15" t="n">
        <f aca="false">G226</f>
        <v>265821.378064581</v>
      </c>
      <c r="D227" s="15" t="n">
        <f aca="false">$C$5*(1+$C$11)^(B227-1)</f>
        <v>802.353219549394</v>
      </c>
      <c r="E227" s="15" t="n">
        <f aca="false">(C227+D227*$C$7)*$C$15</f>
        <v>1550.62470537672</v>
      </c>
      <c r="F227" s="15" t="n">
        <f aca="false">IF(E227&gt;0,E227*$C$13,0)</f>
        <v>0</v>
      </c>
      <c r="G227" s="15" t="n">
        <f aca="false">C227+D227+E227-F227</f>
        <v>268174.355989507</v>
      </c>
      <c r="H227" s="15" t="n">
        <f aca="false">G227/(1+$C$12)^(A227/$C$6)</f>
        <v>176605.892628245</v>
      </c>
      <c r="I227" s="15" t="n">
        <f aca="false">I226+D227</f>
        <v>139767.173234801</v>
      </c>
      <c r="J227" s="15" t="n">
        <f aca="false">J226+E227-F227</f>
        <v>128407.182754706</v>
      </c>
    </row>
    <row r="228" customFormat="false" ht="15" hidden="false" customHeight="false" outlineLevel="0" collapsed="false">
      <c r="A228" s="19" t="n">
        <f aca="false">A227+1</f>
        <v>204</v>
      </c>
      <c r="B228" s="19" t="n">
        <f aca="false">INT((A228-1)/$C$6)+1</f>
        <v>17</v>
      </c>
      <c r="C228" s="15" t="n">
        <f aca="false">G227</f>
        <v>268174.355989507</v>
      </c>
      <c r="D228" s="15" t="n">
        <f aca="false">$C$5*(1+$C$11)^(B228-1)</f>
        <v>802.353219549394</v>
      </c>
      <c r="E228" s="15" t="n">
        <f aca="false">(C228+D228*$C$7)*$C$15</f>
        <v>1564.35040993879</v>
      </c>
      <c r="F228" s="15" t="n">
        <f aca="false">IF(E228&gt;0,E228*$C$13,0)</f>
        <v>0</v>
      </c>
      <c r="G228" s="15" t="n">
        <f aca="false">C228+D228+E228-F228</f>
        <v>270541.059618995</v>
      </c>
      <c r="H228" s="15" t="n">
        <f aca="false">G228/(1+$C$12)^(A228/$C$6)</f>
        <v>177798.247117324</v>
      </c>
      <c r="I228" s="15" t="n">
        <f aca="false">I227+D228</f>
        <v>140569.52645435</v>
      </c>
      <c r="J228" s="15" t="n">
        <f aca="false">J227+E228-F228</f>
        <v>129971.533164645</v>
      </c>
    </row>
    <row r="229" customFormat="false" ht="15" hidden="false" customHeight="false" outlineLevel="0" collapsed="false">
      <c r="A229" s="19" t="n">
        <f aca="false">A228+1</f>
        <v>205</v>
      </c>
      <c r="B229" s="19" t="n">
        <f aca="false">INT((A229-1)/$C$6)+1</f>
        <v>18</v>
      </c>
      <c r="C229" s="15" t="n">
        <f aca="false">G228</f>
        <v>270541.059618995</v>
      </c>
      <c r="D229" s="15" t="n">
        <f aca="false">$C$5*(1+$C$11)^(B229-1)</f>
        <v>826.423816135876</v>
      </c>
      <c r="E229" s="15" t="n">
        <f aca="false">(C229+D229*$C$7)*$C$15</f>
        <v>1578.15618111081</v>
      </c>
      <c r="F229" s="15" t="n">
        <f aca="false">IF(E229&gt;0,E229*$C$13,0)</f>
        <v>0</v>
      </c>
      <c r="G229" s="15" t="n">
        <f aca="false">C229+D229+E229-F229</f>
        <v>272945.639616242</v>
      </c>
      <c r="H229" s="15" t="n">
        <f aca="false">G229/(1+$C$12)^(A229/$C$6)</f>
        <v>179009.794338819</v>
      </c>
      <c r="I229" s="15" t="n">
        <f aca="false">I228+D229</f>
        <v>141395.950270486</v>
      </c>
      <c r="J229" s="15" t="n">
        <f aca="false">J228+E229-F229</f>
        <v>131549.689345756</v>
      </c>
    </row>
    <row r="230" customFormat="false" ht="15" hidden="false" customHeight="false" outlineLevel="0" collapsed="false">
      <c r="A230" s="19" t="n">
        <f aca="false">A229+1</f>
        <v>206</v>
      </c>
      <c r="B230" s="19" t="n">
        <f aca="false">INT((A230-1)/$C$6)+1</f>
        <v>18</v>
      </c>
      <c r="C230" s="15" t="n">
        <f aca="false">G229</f>
        <v>272945.639616242</v>
      </c>
      <c r="D230" s="15" t="n">
        <f aca="false">$C$5*(1+$C$11)^(B230-1)</f>
        <v>826.423816135876</v>
      </c>
      <c r="E230" s="15" t="n">
        <f aca="false">(C230+D230*$C$7)*$C$15</f>
        <v>1592.18289776141</v>
      </c>
      <c r="F230" s="15" t="n">
        <f aca="false">IF(E230&gt;0,E230*$C$13,0)</f>
        <v>0</v>
      </c>
      <c r="G230" s="15" t="n">
        <f aca="false">C230+D230+E230-F230</f>
        <v>275364.246330139</v>
      </c>
      <c r="H230" s="15" t="n">
        <f aca="false">G230/(1+$C$12)^(A230/$C$6)</f>
        <v>180224.789785438</v>
      </c>
      <c r="I230" s="15" t="n">
        <f aca="false">I229+D230</f>
        <v>142222.374086622</v>
      </c>
      <c r="J230" s="15" t="n">
        <f aca="false">J229+E230-F230</f>
        <v>133141.872243517</v>
      </c>
    </row>
    <row r="231" customFormat="false" ht="15" hidden="false" customHeight="false" outlineLevel="0" collapsed="false">
      <c r="A231" s="19" t="n">
        <f aca="false">A230+1</f>
        <v>207</v>
      </c>
      <c r="B231" s="19" t="n">
        <f aca="false">INT((A231-1)/$C$6)+1</f>
        <v>18</v>
      </c>
      <c r="C231" s="15" t="n">
        <f aca="false">G230</f>
        <v>275364.246330139</v>
      </c>
      <c r="D231" s="15" t="n">
        <f aca="false">$C$5*(1+$C$11)^(B231-1)</f>
        <v>826.423816135876</v>
      </c>
      <c r="E231" s="15" t="n">
        <f aca="false">(C231+D231*$C$7)*$C$15</f>
        <v>1606.29143692581</v>
      </c>
      <c r="F231" s="15" t="n">
        <f aca="false">IF(E231&gt;0,E231*$C$13,0)</f>
        <v>0</v>
      </c>
      <c r="G231" s="15" t="n">
        <f aca="false">C231+D231+E231-F231</f>
        <v>277796.961583201</v>
      </c>
      <c r="H231" s="15" t="n">
        <f aca="false">G231/(1+$C$12)^(A231/$C$6)</f>
        <v>181443.248732543</v>
      </c>
      <c r="I231" s="15" t="n">
        <f aca="false">I230+D231</f>
        <v>143048.797902758</v>
      </c>
      <c r="J231" s="15" t="n">
        <f aca="false">J230+E231-F231</f>
        <v>134748.163680443</v>
      </c>
    </row>
    <row r="232" customFormat="false" ht="15" hidden="false" customHeight="false" outlineLevel="0" collapsed="false">
      <c r="A232" s="19" t="n">
        <f aca="false">A231+1</f>
        <v>208</v>
      </c>
      <c r="B232" s="19" t="n">
        <f aca="false">INT((A232-1)/$C$6)+1</f>
        <v>18</v>
      </c>
      <c r="C232" s="15" t="n">
        <f aca="false">G231</f>
        <v>277796.961583201</v>
      </c>
      <c r="D232" s="15" t="n">
        <f aca="false">$C$5*(1+$C$11)^(B232-1)</f>
        <v>826.423816135876</v>
      </c>
      <c r="E232" s="15" t="n">
        <f aca="false">(C232+D232*$C$7)*$C$15</f>
        <v>1620.48227590201</v>
      </c>
      <c r="F232" s="15" t="n">
        <f aca="false">IF(E232&gt;0,E232*$C$13,0)</f>
        <v>0</v>
      </c>
      <c r="G232" s="15" t="n">
        <f aca="false">C232+D232+E232-F232</f>
        <v>280243.867675239</v>
      </c>
      <c r="H232" s="15" t="n">
        <f aca="false">G232/(1+$C$12)^(A232/$C$6)</f>
        <v>182665.186508313</v>
      </c>
      <c r="I232" s="15" t="n">
        <f aca="false">I231+D232</f>
        <v>143875.221718894</v>
      </c>
      <c r="J232" s="15" t="n">
        <f aca="false">J231+E232-F232</f>
        <v>136368.645956345</v>
      </c>
    </row>
    <row r="233" customFormat="false" ht="15" hidden="false" customHeight="false" outlineLevel="0" collapsed="false">
      <c r="A233" s="19" t="n">
        <f aca="false">A232+1</f>
        <v>209</v>
      </c>
      <c r="B233" s="19" t="n">
        <f aca="false">INT((A233-1)/$C$6)+1</f>
        <v>18</v>
      </c>
      <c r="C233" s="15" t="n">
        <f aca="false">G232</f>
        <v>280243.867675239</v>
      </c>
      <c r="D233" s="15" t="n">
        <f aca="false">$C$5*(1+$C$11)^(B233-1)</f>
        <v>826.423816135876</v>
      </c>
      <c r="E233" s="15" t="n">
        <f aca="false">(C233+D233*$C$7)*$C$15</f>
        <v>1634.75589477223</v>
      </c>
      <c r="F233" s="15" t="n">
        <f aca="false">IF(E233&gt;0,E233*$C$13,0)</f>
        <v>0</v>
      </c>
      <c r="G233" s="15" t="n">
        <f aca="false">C233+D233+E233-F233</f>
        <v>282705.047386147</v>
      </c>
      <c r="H233" s="15" t="n">
        <f aca="false">G233/(1+$C$12)^(A233/$C$6)</f>
        <v>183890.61849395</v>
      </c>
      <c r="I233" s="15" t="n">
        <f aca="false">I232+D233</f>
        <v>144701.64553503</v>
      </c>
      <c r="J233" s="15" t="n">
        <f aca="false">J232+E233-F233</f>
        <v>138003.401851117</v>
      </c>
    </row>
    <row r="234" customFormat="false" ht="15" hidden="false" customHeight="false" outlineLevel="0" collapsed="false">
      <c r="A234" s="19" t="n">
        <f aca="false">A233+1</f>
        <v>210</v>
      </c>
      <c r="B234" s="19" t="n">
        <f aca="false">INT((A234-1)/$C$6)+1</f>
        <v>18</v>
      </c>
      <c r="C234" s="15" t="n">
        <f aca="false">G233</f>
        <v>282705.047386147</v>
      </c>
      <c r="D234" s="15" t="n">
        <f aca="false">$C$5*(1+$C$11)^(B234-1)</f>
        <v>826.423816135876</v>
      </c>
      <c r="E234" s="15" t="n">
        <f aca="false">(C234+D234*$C$7)*$C$15</f>
        <v>1649.11277641919</v>
      </c>
      <c r="F234" s="15" t="n">
        <f aca="false">IF(E234&gt;0,E234*$C$13,0)</f>
        <v>0</v>
      </c>
      <c r="G234" s="15" t="n">
        <f aca="false">C234+D234+E234-F234</f>
        <v>285180.583978702</v>
      </c>
      <c r="H234" s="15" t="n">
        <f aca="false">G234/(1+$C$12)^(A234/$C$6)</f>
        <v>185119.560123889</v>
      </c>
      <c r="I234" s="15" t="n">
        <f aca="false">I233+D234</f>
        <v>145528.069351166</v>
      </c>
      <c r="J234" s="15" t="n">
        <f aca="false">J233+E234-F234</f>
        <v>139652.514627536</v>
      </c>
    </row>
    <row r="235" customFormat="false" ht="15" hidden="false" customHeight="false" outlineLevel="0" collapsed="false">
      <c r="A235" s="19" t="n">
        <f aca="false">A234+1</f>
        <v>211</v>
      </c>
      <c r="B235" s="19" t="n">
        <f aca="false">INT((A235-1)/$C$6)+1</f>
        <v>18</v>
      </c>
      <c r="C235" s="15" t="n">
        <f aca="false">G234</f>
        <v>285180.583978702</v>
      </c>
      <c r="D235" s="15" t="n">
        <f aca="false">$C$5*(1+$C$11)^(B235-1)</f>
        <v>826.423816135876</v>
      </c>
      <c r="E235" s="15" t="n">
        <f aca="false">(C235+D235*$C$7)*$C$15</f>
        <v>1663.55340654243</v>
      </c>
      <c r="F235" s="15" t="n">
        <f aca="false">IF(E235&gt;0,E235*$C$13,0)</f>
        <v>0</v>
      </c>
      <c r="G235" s="15" t="n">
        <f aca="false">C235+D235+E235-F235</f>
        <v>287670.56120138</v>
      </c>
      <c r="H235" s="15" t="n">
        <f aca="false">G235/(1+$C$12)^(A235/$C$6)</f>
        <v>186352.026886009</v>
      </c>
      <c r="I235" s="15" t="n">
        <f aca="false">I234+D235</f>
        <v>146354.493167302</v>
      </c>
      <c r="J235" s="15" t="n">
        <f aca="false">J234+E235-F235</f>
        <v>141316.068034079</v>
      </c>
    </row>
    <row r="236" customFormat="false" ht="15" hidden="false" customHeight="false" outlineLevel="0" collapsed="false">
      <c r="A236" s="19" t="n">
        <f aca="false">A235+1</f>
        <v>212</v>
      </c>
      <c r="B236" s="19" t="n">
        <f aca="false">INT((A236-1)/$C$6)+1</f>
        <v>18</v>
      </c>
      <c r="C236" s="15" t="n">
        <f aca="false">G235</f>
        <v>287670.56120138</v>
      </c>
      <c r="D236" s="15" t="n">
        <f aca="false">$C$5*(1+$C$11)^(B236-1)</f>
        <v>826.423816135876</v>
      </c>
      <c r="E236" s="15" t="n">
        <f aca="false">(C236+D236*$C$7)*$C$15</f>
        <v>1678.07827367472</v>
      </c>
      <c r="F236" s="15" t="n">
        <f aca="false">IF(E236&gt;0,E236*$C$13,0)</f>
        <v>0</v>
      </c>
      <c r="G236" s="15" t="n">
        <f aca="false">C236+D236+E236-F236</f>
        <v>290175.063291191</v>
      </c>
      <c r="H236" s="15" t="n">
        <f aca="false">G236/(1+$C$12)^(A236/$C$6)</f>
        <v>187588.034321843</v>
      </c>
      <c r="I236" s="15" t="n">
        <f aca="false">I235+D236</f>
        <v>147180.916983437</v>
      </c>
      <c r="J236" s="15" t="n">
        <f aca="false">J235+E236-F236</f>
        <v>142994.146307753</v>
      </c>
    </row>
    <row r="237" customFormat="false" ht="15" hidden="false" customHeight="false" outlineLevel="0" collapsed="false">
      <c r="A237" s="19" t="n">
        <f aca="false">A236+1</f>
        <v>213</v>
      </c>
      <c r="B237" s="19" t="n">
        <f aca="false">INT((A237-1)/$C$6)+1</f>
        <v>18</v>
      </c>
      <c r="C237" s="15" t="n">
        <f aca="false">G236</f>
        <v>290175.063291191</v>
      </c>
      <c r="D237" s="15" t="n">
        <f aca="false">$C$5*(1+$C$11)^(B237-1)</f>
        <v>826.423816135876</v>
      </c>
      <c r="E237" s="15" t="n">
        <f aca="false">(C237+D237*$C$7)*$C$15</f>
        <v>1692.68786919861</v>
      </c>
      <c r="F237" s="15" t="n">
        <f aca="false">IF(E237&gt;0,E237*$C$13,0)</f>
        <v>0</v>
      </c>
      <c r="G237" s="15" t="n">
        <f aca="false">C237+D237+E237-F237</f>
        <v>292694.174976525</v>
      </c>
      <c r="H237" s="15" t="n">
        <f aca="false">G237/(1+$C$12)^(A237/$C$6)</f>
        <v>188827.598026788</v>
      </c>
      <c r="I237" s="15" t="n">
        <f aca="false">I236+D237</f>
        <v>148007.340799573</v>
      </c>
      <c r="J237" s="15" t="n">
        <f aca="false">J236+E237-F237</f>
        <v>144686.834176952</v>
      </c>
    </row>
    <row r="238" customFormat="false" ht="15" hidden="false" customHeight="false" outlineLevel="0" collapsed="false">
      <c r="A238" s="19" t="n">
        <f aca="false">A237+1</f>
        <v>214</v>
      </c>
      <c r="B238" s="19" t="n">
        <f aca="false">INT((A238-1)/$C$6)+1</f>
        <v>18</v>
      </c>
      <c r="C238" s="15" t="n">
        <f aca="false">G237</f>
        <v>292694.174976525</v>
      </c>
      <c r="D238" s="15" t="n">
        <f aca="false">$C$5*(1+$C$11)^(B238-1)</f>
        <v>826.423816135876</v>
      </c>
      <c r="E238" s="15" t="n">
        <f aca="false">(C238+D238*$C$7)*$C$15</f>
        <v>1707.38268736306</v>
      </c>
      <c r="F238" s="15" t="n">
        <f aca="false">IF(E238&gt;0,E238*$C$13,0)</f>
        <v>0</v>
      </c>
      <c r="G238" s="15" t="n">
        <f aca="false">C238+D238+E238-F238</f>
        <v>295227.981480024</v>
      </c>
      <c r="H238" s="15" t="n">
        <f aca="false">G238/(1+$C$12)^(A238/$C$6)</f>
        <v>190070.73365032</v>
      </c>
      <c r="I238" s="15" t="n">
        <f aca="false">I237+D238</f>
        <v>148833.764615709</v>
      </c>
      <c r="J238" s="15" t="n">
        <f aca="false">J237+E238-F238</f>
        <v>146394.216864315</v>
      </c>
    </row>
    <row r="239" customFormat="false" ht="15" hidden="false" customHeight="false" outlineLevel="0" collapsed="false">
      <c r="A239" s="19" t="n">
        <f aca="false">A238+1</f>
        <v>215</v>
      </c>
      <c r="B239" s="19" t="n">
        <f aca="false">INT((A239-1)/$C$6)+1</f>
        <v>18</v>
      </c>
      <c r="C239" s="15" t="n">
        <f aca="false">G238</f>
        <v>295227.981480024</v>
      </c>
      <c r="D239" s="15" t="n">
        <f aca="false">$C$5*(1+$C$11)^(B239-1)</f>
        <v>826.423816135876</v>
      </c>
      <c r="E239" s="15" t="n">
        <f aca="false">(C239+D239*$C$7)*$C$15</f>
        <v>1722.16322530014</v>
      </c>
      <c r="F239" s="15" t="n">
        <f aca="false">IF(E239&gt;0,E239*$C$13,0)</f>
        <v>0</v>
      </c>
      <c r="G239" s="15" t="n">
        <f aca="false">C239+D239+E239-F239</f>
        <v>297776.56852146</v>
      </c>
      <c r="H239" s="15" t="n">
        <f aca="false">G239/(1+$C$12)^(A239/$C$6)</f>
        <v>191317.456896209</v>
      </c>
      <c r="I239" s="15" t="n">
        <f aca="false">I238+D239</f>
        <v>149660.188431845</v>
      </c>
      <c r="J239" s="15" t="n">
        <f aca="false">J238+E239-F239</f>
        <v>148116.380089615</v>
      </c>
    </row>
    <row r="240" customFormat="false" ht="15" hidden="false" customHeight="false" outlineLevel="0" collapsed="false">
      <c r="A240" s="19" t="n">
        <f aca="false">A239+1</f>
        <v>216</v>
      </c>
      <c r="B240" s="19" t="n">
        <f aca="false">INT((A240-1)/$C$6)+1</f>
        <v>18</v>
      </c>
      <c r="C240" s="15" t="n">
        <f aca="false">G239</f>
        <v>297776.56852146</v>
      </c>
      <c r="D240" s="15" t="n">
        <f aca="false">$C$5*(1+$C$11)^(B240-1)</f>
        <v>826.423816135876</v>
      </c>
      <c r="E240" s="15" t="n">
        <f aca="false">(C240+D240*$C$7)*$C$15</f>
        <v>1737.02998304185</v>
      </c>
      <c r="F240" s="15" t="n">
        <f aca="false">IF(E240&gt;0,E240*$C$13,0)</f>
        <v>0</v>
      </c>
      <c r="G240" s="15" t="n">
        <f aca="false">C240+D240+E240-F240</f>
        <v>300340.022320638</v>
      </c>
      <c r="H240" s="15" t="n">
        <f aca="false">G240/(1+$C$12)^(A240/$C$6)</f>
        <v>192567.783522726</v>
      </c>
      <c r="I240" s="15" t="n">
        <f aca="false">I239+D240</f>
        <v>150486.612247981</v>
      </c>
      <c r="J240" s="15" t="n">
        <f aca="false">J239+E240-F240</f>
        <v>149853.410072657</v>
      </c>
    </row>
    <row r="241" customFormat="false" ht="15" hidden="false" customHeight="false" outlineLevel="0" collapsed="false">
      <c r="A241" s="19" t="n">
        <f aca="false">A240+1</f>
        <v>217</v>
      </c>
      <c r="B241" s="19" t="n">
        <f aca="false">INT((A241-1)/$C$6)+1</f>
        <v>19</v>
      </c>
      <c r="C241" s="15" t="n">
        <f aca="false">G240</f>
        <v>300340.022320638</v>
      </c>
      <c r="D241" s="15" t="n">
        <f aca="false">$C$5*(1+$C$11)^(B241-1)</f>
        <v>851.216530619952</v>
      </c>
      <c r="E241" s="15" t="n">
        <f aca="false">(C241+D241*$C$7)*$C$15</f>
        <v>1751.98346353705</v>
      </c>
      <c r="F241" s="15" t="n">
        <f aca="false">IF(E241&gt;0,E241*$C$13,0)</f>
        <v>0</v>
      </c>
      <c r="G241" s="15" t="n">
        <f aca="false">C241+D241+E241-F241</f>
        <v>302943.222314795</v>
      </c>
      <c r="H241" s="15" t="n">
        <f aca="false">G241/(1+$C$12)^(A241/$C$6)</f>
        <v>193837.592909841</v>
      </c>
      <c r="I241" s="15" t="n">
        <f aca="false">I240+D241</f>
        <v>151337.828778601</v>
      </c>
      <c r="J241" s="15" t="n">
        <f aca="false">J240+E241-F241</f>
        <v>151605.393536194</v>
      </c>
    </row>
    <row r="242" customFormat="false" ht="15" hidden="false" customHeight="false" outlineLevel="0" collapsed="false">
      <c r="A242" s="19" t="n">
        <f aca="false">A241+1</f>
        <v>218</v>
      </c>
      <c r="B242" s="19" t="n">
        <f aca="false">INT((A242-1)/$C$6)+1</f>
        <v>19</v>
      </c>
      <c r="C242" s="15" t="n">
        <f aca="false">G241</f>
        <v>302943.222314795</v>
      </c>
      <c r="D242" s="15" t="n">
        <f aca="false">$C$5*(1+$C$11)^(B242-1)</f>
        <v>851.216530619952</v>
      </c>
      <c r="E242" s="15" t="n">
        <f aca="false">(C242+D242*$C$7)*$C$15</f>
        <v>1767.1687968363</v>
      </c>
      <c r="F242" s="15" t="n">
        <f aca="false">IF(E242&gt;0,E242*$C$13,0)</f>
        <v>0</v>
      </c>
      <c r="G242" s="15" t="n">
        <f aca="false">C242+D242+E242-F242</f>
        <v>305561.607642251</v>
      </c>
      <c r="H242" s="15" t="n">
        <f aca="false">G242/(1+$C$12)^(A242/$C$6)</f>
        <v>195111.064487399</v>
      </c>
      <c r="I242" s="15" t="n">
        <f aca="false">I241+D242</f>
        <v>152189.045309221</v>
      </c>
      <c r="J242" s="15" t="n">
        <f aca="false">J241+E242-F242</f>
        <v>153372.56233303</v>
      </c>
    </row>
    <row r="243" customFormat="false" ht="15" hidden="false" customHeight="false" outlineLevel="0" collapsed="false">
      <c r="A243" s="19" t="n">
        <f aca="false">A242+1</f>
        <v>219</v>
      </c>
      <c r="B243" s="19" t="n">
        <f aca="false">INT((A243-1)/$C$6)+1</f>
        <v>19</v>
      </c>
      <c r="C243" s="15" t="n">
        <f aca="false">G242</f>
        <v>305561.607642251</v>
      </c>
      <c r="D243" s="15" t="n">
        <f aca="false">$C$5*(1+$C$11)^(B243-1)</f>
        <v>851.216530619952</v>
      </c>
      <c r="E243" s="15" t="n">
        <f aca="false">(C243+D243*$C$7)*$C$15</f>
        <v>1782.44271124646</v>
      </c>
      <c r="F243" s="15" t="n">
        <f aca="false">IF(E243&gt;0,E243*$C$13,0)</f>
        <v>0</v>
      </c>
      <c r="G243" s="15" t="n">
        <f aca="false">C243+D243+E243-F243</f>
        <v>308195.266884118</v>
      </c>
      <c r="H243" s="15" t="n">
        <f aca="false">G243/(1+$C$12)^(A243/$C$6)</f>
        <v>196388.214347673</v>
      </c>
      <c r="I243" s="15" t="n">
        <f aca="false">I242+D243</f>
        <v>153040.261839841</v>
      </c>
      <c r="J243" s="15" t="n">
        <f aca="false">J242+E243-F243</f>
        <v>155155.005044277</v>
      </c>
    </row>
    <row r="244" customFormat="false" ht="15" hidden="false" customHeight="false" outlineLevel="0" collapsed="false">
      <c r="A244" s="19" t="n">
        <f aca="false">A243+1</f>
        <v>220</v>
      </c>
      <c r="B244" s="19" t="n">
        <f aca="false">INT((A244-1)/$C$6)+1</f>
        <v>19</v>
      </c>
      <c r="C244" s="15" t="n">
        <f aca="false">G243</f>
        <v>308195.266884118</v>
      </c>
      <c r="D244" s="15" t="n">
        <f aca="false">$C$5*(1+$C$11)^(B244-1)</f>
        <v>851.216530619952</v>
      </c>
      <c r="E244" s="15" t="n">
        <f aca="false">(C244+D244*$C$7)*$C$15</f>
        <v>1797.80572349069</v>
      </c>
      <c r="F244" s="15" t="n">
        <f aca="false">IF(E244&gt;0,E244*$C$13,0)</f>
        <v>0</v>
      </c>
      <c r="G244" s="15" t="n">
        <f aca="false">C244+D244+E244-F244</f>
        <v>310844.289138228</v>
      </c>
      <c r="H244" s="15" t="n">
        <f aca="false">G244/(1+$C$12)^(A244/$C$6)</f>
        <v>197669.058638803</v>
      </c>
      <c r="I244" s="15" t="n">
        <f aca="false">I243+D244</f>
        <v>153891.478370461</v>
      </c>
      <c r="J244" s="15" t="n">
        <f aca="false">J243+E244-F244</f>
        <v>156952.810767768</v>
      </c>
    </row>
    <row r="245" customFormat="false" ht="15" hidden="false" customHeight="false" outlineLevel="0" collapsed="false">
      <c r="A245" s="19" t="n">
        <f aca="false">A244+1</f>
        <v>221</v>
      </c>
      <c r="B245" s="19" t="n">
        <f aca="false">INT((A245-1)/$C$6)+1</f>
        <v>19</v>
      </c>
      <c r="C245" s="15" t="n">
        <f aca="false">G244</f>
        <v>310844.289138228</v>
      </c>
      <c r="D245" s="15" t="n">
        <f aca="false">$C$5*(1+$C$11)^(B245-1)</f>
        <v>851.216530619952</v>
      </c>
      <c r="E245" s="15" t="n">
        <f aca="false">(C245+D245*$C$7)*$C$15</f>
        <v>1813.25835330633</v>
      </c>
      <c r="F245" s="15" t="n">
        <f aca="false">IF(E245&gt;0,E245*$C$13,0)</f>
        <v>0</v>
      </c>
      <c r="G245" s="15" t="n">
        <f aca="false">C245+D245+E245-F245</f>
        <v>313508.764022154</v>
      </c>
      <c r="H245" s="15" t="n">
        <f aca="false">G245/(1+$C$12)^(A245/$C$6)</f>
        <v>198953.61356502</v>
      </c>
      <c r="I245" s="15" t="n">
        <f aca="false">I244+D245</f>
        <v>154742.694901081</v>
      </c>
      <c r="J245" s="15" t="n">
        <f aca="false">J244+E245-F245</f>
        <v>158766.069121074</v>
      </c>
    </row>
    <row r="246" customFormat="false" ht="15" hidden="false" customHeight="false" outlineLevel="0" collapsed="false">
      <c r="A246" s="19" t="n">
        <f aca="false">A245+1</f>
        <v>222</v>
      </c>
      <c r="B246" s="19" t="n">
        <f aca="false">INT((A246-1)/$C$6)+1</f>
        <v>19</v>
      </c>
      <c r="C246" s="15" t="n">
        <f aca="false">G245</f>
        <v>313508.764022154</v>
      </c>
      <c r="D246" s="15" t="n">
        <f aca="false">$C$5*(1+$C$11)^(B246-1)</f>
        <v>851.216530619952</v>
      </c>
      <c r="E246" s="15" t="n">
        <f aca="false">(C246+D246*$C$7)*$C$15</f>
        <v>1828.80112346257</v>
      </c>
      <c r="F246" s="15" t="n">
        <f aca="false">IF(E246&gt;0,E246*$C$13,0)</f>
        <v>0</v>
      </c>
      <c r="G246" s="15" t="n">
        <f aca="false">C246+D246+E246-F246</f>
        <v>316188.781676237</v>
      </c>
      <c r="H246" s="15" t="n">
        <f aca="false">G246/(1+$C$12)^(A246/$C$6)</f>
        <v>200241.895386863</v>
      </c>
      <c r="I246" s="15" t="n">
        <f aca="false">I245+D246</f>
        <v>155593.911431701</v>
      </c>
      <c r="J246" s="15" t="n">
        <f aca="false">J245+E246-F246</f>
        <v>160594.870244536</v>
      </c>
    </row>
    <row r="247" customFormat="false" ht="15" hidden="false" customHeight="false" outlineLevel="0" collapsed="false">
      <c r="A247" s="19" t="n">
        <f aca="false">A246+1</f>
        <v>223</v>
      </c>
      <c r="B247" s="19" t="n">
        <f aca="false">INT((A247-1)/$C$6)+1</f>
        <v>19</v>
      </c>
      <c r="C247" s="15" t="n">
        <f aca="false">G246</f>
        <v>316188.781676237</v>
      </c>
      <c r="D247" s="15" t="n">
        <f aca="false">$C$5*(1+$C$11)^(B247-1)</f>
        <v>851.216530619952</v>
      </c>
      <c r="E247" s="15" t="n">
        <f aca="false">(C247+D247*$C$7)*$C$15</f>
        <v>1844.43455977805</v>
      </c>
      <c r="F247" s="15" t="n">
        <f aca="false">IF(E247&gt;0,E247*$C$13,0)</f>
        <v>0</v>
      </c>
      <c r="G247" s="15" t="n">
        <f aca="false">C247+D247+E247-F247</f>
        <v>318884.432766635</v>
      </c>
      <c r="H247" s="15" t="n">
        <f aca="false">G247/(1+$C$12)^(A247/$C$6)</f>
        <v>201533.920421403</v>
      </c>
      <c r="I247" s="15" t="n">
        <f aca="false">I246+D247</f>
        <v>156445.127962321</v>
      </c>
      <c r="J247" s="15" t="n">
        <f aca="false">J246+E247-F247</f>
        <v>162439.304804315</v>
      </c>
    </row>
    <row r="248" customFormat="false" ht="15" hidden="false" customHeight="false" outlineLevel="0" collapsed="false">
      <c r="A248" s="19" t="n">
        <f aca="false">A247+1</f>
        <v>224</v>
      </c>
      <c r="B248" s="19" t="n">
        <f aca="false">INT((A248-1)/$C$6)+1</f>
        <v>19</v>
      </c>
      <c r="C248" s="15" t="n">
        <f aca="false">G247</f>
        <v>318884.432766635</v>
      </c>
      <c r="D248" s="15" t="n">
        <f aca="false">$C$5*(1+$C$11)^(B248-1)</f>
        <v>851.216530619952</v>
      </c>
      <c r="E248" s="15" t="n">
        <f aca="false">(C248+D248*$C$7)*$C$15</f>
        <v>1860.1591911387</v>
      </c>
      <c r="F248" s="15" t="n">
        <f aca="false">IF(E248&gt;0,E248*$C$13,0)</f>
        <v>0</v>
      </c>
      <c r="G248" s="15" t="n">
        <f aca="false">C248+D248+E248-F248</f>
        <v>321595.808488394</v>
      </c>
      <c r="H248" s="15" t="n">
        <f aca="false">G248/(1+$C$12)^(A248/$C$6)</f>
        <v>202829.705042465</v>
      </c>
      <c r="I248" s="15" t="n">
        <f aca="false">I247+D248</f>
        <v>157296.344492941</v>
      </c>
      <c r="J248" s="15" t="n">
        <f aca="false">J247+E248-F248</f>
        <v>164299.463995453</v>
      </c>
    </row>
    <row r="249" customFormat="false" ht="15" hidden="false" customHeight="false" outlineLevel="0" collapsed="false">
      <c r="A249" s="19" t="n">
        <f aca="false">A248+1</f>
        <v>225</v>
      </c>
      <c r="B249" s="19" t="n">
        <f aca="false">INT((A249-1)/$C$6)+1</f>
        <v>19</v>
      </c>
      <c r="C249" s="15" t="n">
        <f aca="false">G248</f>
        <v>321595.808488394</v>
      </c>
      <c r="D249" s="15" t="n">
        <f aca="false">$C$5*(1+$C$11)^(B249-1)</f>
        <v>851.216530619952</v>
      </c>
      <c r="E249" s="15" t="n">
        <f aca="false">(C249+D249*$C$7)*$C$15</f>
        <v>1875.97554951563</v>
      </c>
      <c r="F249" s="15" t="n">
        <f aca="false">IF(E249&gt;0,E249*$C$13,0)</f>
        <v>0</v>
      </c>
      <c r="G249" s="15" t="n">
        <f aca="false">C249+D249+E249-F249</f>
        <v>324323.000568529</v>
      </c>
      <c r="H249" s="15" t="n">
        <f aca="false">G249/(1+$C$12)^(A249/$C$6)</f>
        <v>204129.26568085</v>
      </c>
      <c r="I249" s="15" t="n">
        <f aca="false">I248+D249</f>
        <v>158147.56102356</v>
      </c>
      <c r="J249" s="15" t="n">
        <f aca="false">J248+E249-F249</f>
        <v>166175.439544969</v>
      </c>
    </row>
    <row r="250" customFormat="false" ht="15" hidden="false" customHeight="false" outlineLevel="0" collapsed="false">
      <c r="A250" s="19" t="n">
        <f aca="false">A249+1</f>
        <v>226</v>
      </c>
      <c r="B250" s="19" t="n">
        <f aca="false">INT((A250-1)/$C$6)+1</f>
        <v>19</v>
      </c>
      <c r="C250" s="15" t="n">
        <f aca="false">G249</f>
        <v>324323.000568529</v>
      </c>
      <c r="D250" s="15" t="n">
        <f aca="false">$C$5*(1+$C$11)^(B250-1)</f>
        <v>851.216530619952</v>
      </c>
      <c r="E250" s="15" t="n">
        <f aca="false">(C250+D250*$C$7)*$C$15</f>
        <v>1891.88416998309</v>
      </c>
      <c r="F250" s="15" t="n">
        <f aca="false">IF(E250&gt;0,E250*$C$13,0)</f>
        <v>0</v>
      </c>
      <c r="G250" s="15" t="n">
        <f aca="false">C250+D250+E250-F250</f>
        <v>327066.101269132</v>
      </c>
      <c r="H250" s="15" t="n">
        <f aca="false">G250/(1+$C$12)^(A250/$C$6)</f>
        <v>205432.618824562</v>
      </c>
      <c r="I250" s="15" t="n">
        <f aca="false">I249+D250</f>
        <v>158998.77755418</v>
      </c>
      <c r="J250" s="15" t="n">
        <f aca="false">J249+E250-F250</f>
        <v>168067.323714952</v>
      </c>
    </row>
    <row r="251" customFormat="false" ht="15" hidden="false" customHeight="false" outlineLevel="0" collapsed="false">
      <c r="A251" s="19" t="n">
        <f aca="false">A250+1</f>
        <v>227</v>
      </c>
      <c r="B251" s="19" t="n">
        <f aca="false">INT((A251-1)/$C$6)+1</f>
        <v>19</v>
      </c>
      <c r="C251" s="15" t="n">
        <f aca="false">G250</f>
        <v>327066.101269132</v>
      </c>
      <c r="D251" s="15" t="n">
        <f aca="false">$C$5*(1+$C$11)^(B251-1)</f>
        <v>851.216530619952</v>
      </c>
      <c r="E251" s="15" t="n">
        <f aca="false">(C251+D251*$C$7)*$C$15</f>
        <v>1907.8855907366</v>
      </c>
      <c r="F251" s="15" t="n">
        <f aca="false">IF(E251&gt;0,E251*$C$13,0)</f>
        <v>0</v>
      </c>
      <c r="G251" s="15" t="n">
        <f aca="false">C251+D251+E251-F251</f>
        <v>329825.203390489</v>
      </c>
      <c r="H251" s="15" t="n">
        <f aca="false">G251/(1+$C$12)^(A251/$C$6)</f>
        <v>206739.78101903</v>
      </c>
      <c r="I251" s="15" t="n">
        <f aca="false">I250+D251</f>
        <v>159849.9940848</v>
      </c>
      <c r="J251" s="15" t="n">
        <f aca="false">J250+E251-F251</f>
        <v>169975.209305689</v>
      </c>
    </row>
    <row r="252" customFormat="false" ht="15" hidden="false" customHeight="false" outlineLevel="0" collapsed="false">
      <c r="A252" s="19" t="n">
        <f aca="false">A251+1</f>
        <v>228</v>
      </c>
      <c r="B252" s="19" t="n">
        <f aca="false">INT((A252-1)/$C$6)+1</f>
        <v>19</v>
      </c>
      <c r="C252" s="15" t="n">
        <f aca="false">G251</f>
        <v>329825.203390489</v>
      </c>
      <c r="D252" s="15" t="n">
        <f aca="false">$C$5*(1+$C$11)^(B252-1)</f>
        <v>851.216530619952</v>
      </c>
      <c r="E252" s="15" t="n">
        <f aca="false">(C252+D252*$C$7)*$C$15</f>
        <v>1923.98035311118</v>
      </c>
      <c r="F252" s="15" t="n">
        <f aca="false">IF(E252&gt;0,E252*$C$13,0)</f>
        <v>0</v>
      </c>
      <c r="G252" s="15" t="n">
        <f aca="false">C252+D252+E252-F252</f>
        <v>332600.40027422</v>
      </c>
      <c r="H252" s="15" t="n">
        <f aca="false">G252/(1+$C$12)^(A252/$C$6)</f>
        <v>208050.768867337</v>
      </c>
      <c r="I252" s="15" t="n">
        <f aca="false">I251+D252</f>
        <v>160701.21061542</v>
      </c>
      <c r="J252" s="15" t="n">
        <f aca="false">J251+E252-F252</f>
        <v>171899.1896588</v>
      </c>
    </row>
    <row r="253" customFormat="false" ht="15" hidden="false" customHeight="false" outlineLevel="0" collapsed="false">
      <c r="A253" s="19" t="n">
        <f aca="false">A252+1</f>
        <v>229</v>
      </c>
      <c r="B253" s="19" t="n">
        <f aca="false">INT((A253-1)/$C$6)+1</f>
        <v>20</v>
      </c>
      <c r="C253" s="15" t="n">
        <f aca="false">G252</f>
        <v>332600.40027422</v>
      </c>
      <c r="D253" s="15" t="n">
        <f aca="false">$C$5*(1+$C$11)^(B253-1)</f>
        <v>876.753026538551</v>
      </c>
      <c r="E253" s="15" t="n">
        <f aca="false">(C253+D253*$C$7)*$C$15</f>
        <v>1940.16900159962</v>
      </c>
      <c r="F253" s="15" t="n">
        <f aca="false">IF(E253&gt;0,E253*$C$13,0)</f>
        <v>0</v>
      </c>
      <c r="G253" s="15" t="n">
        <f aca="false">C253+D253+E253-F253</f>
        <v>335417.322302358</v>
      </c>
      <c r="H253" s="15" t="n">
        <f aca="false">G253/(1+$C$12)^(A253/$C$6)</f>
        <v>209381.539980673</v>
      </c>
      <c r="I253" s="15" t="n">
        <f aca="false">I252+D253</f>
        <v>161577.963641959</v>
      </c>
      <c r="J253" s="15" t="n">
        <f aca="false">J252+E253-F253</f>
        <v>173839.358660399</v>
      </c>
    </row>
    <row r="254" customFormat="false" ht="15" hidden="false" customHeight="false" outlineLevel="0" collapsed="false">
      <c r="A254" s="19" t="n">
        <f aca="false">A253+1</f>
        <v>230</v>
      </c>
      <c r="B254" s="19" t="n">
        <f aca="false">INT((A254-1)/$C$6)+1</f>
        <v>20</v>
      </c>
      <c r="C254" s="15" t="n">
        <f aca="false">G253</f>
        <v>335417.322302358</v>
      </c>
      <c r="D254" s="15" t="n">
        <f aca="false">$C$5*(1+$C$11)^(B254-1)</f>
        <v>876.753026538551</v>
      </c>
      <c r="E254" s="15" t="n">
        <f aca="false">(C254+D254*$C$7)*$C$15</f>
        <v>1956.60104676375</v>
      </c>
      <c r="F254" s="15" t="n">
        <f aca="false">IF(E254&gt;0,E254*$C$13,0)</f>
        <v>0</v>
      </c>
      <c r="G254" s="15" t="n">
        <f aca="false">C254+D254+E254-F254</f>
        <v>338250.67637566</v>
      </c>
      <c r="H254" s="15" t="n">
        <f aca="false">G254/(1+$C$12)^(A254/$C$6)</f>
        <v>210716.197389102</v>
      </c>
      <c r="I254" s="15" t="n">
        <f aca="false">I253+D254</f>
        <v>162454.716668497</v>
      </c>
      <c r="J254" s="15" t="n">
        <f aca="false">J253+E254-F254</f>
        <v>175795.959707163</v>
      </c>
    </row>
    <row r="255" customFormat="false" ht="15" hidden="false" customHeight="false" outlineLevel="0" collapsed="false">
      <c r="A255" s="19" t="n">
        <f aca="false">A254+1</f>
        <v>231</v>
      </c>
      <c r="B255" s="19" t="n">
        <f aca="false">INT((A255-1)/$C$6)+1</f>
        <v>20</v>
      </c>
      <c r="C255" s="15" t="n">
        <f aca="false">G254</f>
        <v>338250.67637566</v>
      </c>
      <c r="D255" s="15" t="n">
        <f aca="false">$C$5*(1+$C$11)^(B255-1)</f>
        <v>876.753026538551</v>
      </c>
      <c r="E255" s="15" t="n">
        <f aca="false">(C255+D255*$C$7)*$C$15</f>
        <v>1973.12894552468</v>
      </c>
      <c r="F255" s="15" t="n">
        <f aca="false">IF(E255&gt;0,E255*$C$13,0)</f>
        <v>0</v>
      </c>
      <c r="G255" s="15" t="n">
        <f aca="false">C255+D255+E255-F255</f>
        <v>341100.558347723</v>
      </c>
      <c r="H255" s="15" t="n">
        <f aca="false">G255/(1+$C$12)^(A255/$C$6)</f>
        <v>212054.758040045</v>
      </c>
      <c r="I255" s="15" t="n">
        <f aca="false">I254+D255</f>
        <v>163331.469695036</v>
      </c>
      <c r="J255" s="15" t="n">
        <f aca="false">J254+E255-F255</f>
        <v>177769.088652688</v>
      </c>
    </row>
    <row r="256" customFormat="false" ht="15" hidden="false" customHeight="false" outlineLevel="0" collapsed="false">
      <c r="A256" s="19" t="n">
        <f aca="false">A255+1</f>
        <v>232</v>
      </c>
      <c r="B256" s="19" t="n">
        <f aca="false">INT((A256-1)/$C$6)+1</f>
        <v>20</v>
      </c>
      <c r="C256" s="15" t="n">
        <f aca="false">G255</f>
        <v>341100.558347723</v>
      </c>
      <c r="D256" s="15" t="n">
        <f aca="false">$C$5*(1+$C$11)^(B256-1)</f>
        <v>876.753026538551</v>
      </c>
      <c r="E256" s="15" t="n">
        <f aca="false">(C256+D256*$C$7)*$C$15</f>
        <v>1989.75325702839</v>
      </c>
      <c r="F256" s="15" t="n">
        <f aca="false">IF(E256&gt;0,E256*$C$13,0)</f>
        <v>0</v>
      </c>
      <c r="G256" s="15" t="n">
        <f aca="false">C256+D256+E256-F256</f>
        <v>343967.06463129</v>
      </c>
      <c r="H256" s="15" t="n">
        <f aca="false">G256/(1+$C$12)^(A256/$C$6)</f>
        <v>213397.238939986</v>
      </c>
      <c r="I256" s="15" t="n">
        <f aca="false">I255+D256</f>
        <v>164208.222721575</v>
      </c>
      <c r="J256" s="15" t="n">
        <f aca="false">J255+E256-F256</f>
        <v>179758.841909716</v>
      </c>
    </row>
    <row r="257" customFormat="false" ht="15" hidden="false" customHeight="false" outlineLevel="0" collapsed="false">
      <c r="A257" s="19" t="n">
        <f aca="false">A256+1</f>
        <v>233</v>
      </c>
      <c r="B257" s="19" t="n">
        <f aca="false">INT((A257-1)/$C$6)+1</f>
        <v>20</v>
      </c>
      <c r="C257" s="15" t="n">
        <f aca="false">G256</f>
        <v>343967.06463129</v>
      </c>
      <c r="D257" s="15" t="n">
        <f aca="false">$C$5*(1+$C$11)^(B257-1)</f>
        <v>876.753026538551</v>
      </c>
      <c r="E257" s="15" t="n">
        <f aca="false">(C257+D257*$C$7)*$C$15</f>
        <v>2006.47454368253</v>
      </c>
      <c r="F257" s="15" t="n">
        <f aca="false">IF(E257&gt;0,E257*$C$13,0)</f>
        <v>0</v>
      </c>
      <c r="G257" s="15" t="n">
        <f aca="false">C257+D257+E257-F257</f>
        <v>346850.292201511</v>
      </c>
      <c r="H257" s="15" t="n">
        <f aca="false">G257/(1+$C$12)^(A257/$C$6)</f>
        <v>214743.657154707</v>
      </c>
      <c r="I257" s="15" t="n">
        <f aca="false">I256+D257</f>
        <v>165084.975748113</v>
      </c>
      <c r="J257" s="15" t="n">
        <f aca="false">J256+E257-F257</f>
        <v>181765.316453399</v>
      </c>
    </row>
    <row r="258" customFormat="false" ht="15" hidden="false" customHeight="false" outlineLevel="0" collapsed="false">
      <c r="A258" s="19" t="n">
        <f aca="false">A257+1</f>
        <v>234</v>
      </c>
      <c r="B258" s="19" t="n">
        <f aca="false">INT((A258-1)/$C$6)+1</f>
        <v>20</v>
      </c>
      <c r="C258" s="15" t="n">
        <f aca="false">G257</f>
        <v>346850.292201511</v>
      </c>
      <c r="D258" s="15" t="n">
        <f aca="false">$C$5*(1+$C$11)^(B258-1)</f>
        <v>876.753026538551</v>
      </c>
      <c r="E258" s="15" t="n">
        <f aca="false">(C258+D258*$C$7)*$C$15</f>
        <v>2023.29337117548</v>
      </c>
      <c r="F258" s="15" t="n">
        <f aca="false">IF(E258&gt;0,E258*$C$13,0)</f>
        <v>0</v>
      </c>
      <c r="G258" s="15" t="n">
        <f aca="false">C258+D258+E258-F258</f>
        <v>349750.338599225</v>
      </c>
      <c r="H258" s="15" t="n">
        <f aca="false">G258/(1+$C$12)^(A258/$C$6)</f>
        <v>216094.029809523</v>
      </c>
      <c r="I258" s="15" t="n">
        <f aca="false">I257+D258</f>
        <v>165961.728774652</v>
      </c>
      <c r="J258" s="15" t="n">
        <f aca="false">J257+E258-F258</f>
        <v>183788.609824574</v>
      </c>
    </row>
    <row r="259" customFormat="false" ht="15" hidden="false" customHeight="false" outlineLevel="0" collapsed="false">
      <c r="A259" s="19" t="n">
        <f aca="false">A258+1</f>
        <v>235</v>
      </c>
      <c r="B259" s="19" t="n">
        <f aca="false">INT((A259-1)/$C$6)+1</f>
        <v>20</v>
      </c>
      <c r="C259" s="15" t="n">
        <f aca="false">G258</f>
        <v>349750.338599225</v>
      </c>
      <c r="D259" s="15" t="n">
        <f aca="false">$C$5*(1+$C$11)^(B259-1)</f>
        <v>876.753026538551</v>
      </c>
      <c r="E259" s="15" t="n">
        <f aca="false">(C259+D259*$C$7)*$C$15</f>
        <v>2040.21030849548</v>
      </c>
      <c r="F259" s="15" t="n">
        <f aca="false">IF(E259&gt;0,E259*$C$13,0)</f>
        <v>0</v>
      </c>
      <c r="G259" s="15" t="n">
        <f aca="false">C259+D259+E259-F259</f>
        <v>352667.30193426</v>
      </c>
      <c r="H259" s="15" t="n">
        <f aca="false">G259/(1+$C$12)^(A259/$C$6)</f>
        <v>217448.374089512</v>
      </c>
      <c r="I259" s="15" t="n">
        <f aca="false">I258+D259</f>
        <v>166838.48180119</v>
      </c>
      <c r="J259" s="15" t="n">
        <f aca="false">J258+E259-F259</f>
        <v>185828.82013307</v>
      </c>
    </row>
    <row r="260" customFormat="false" ht="15" hidden="false" customHeight="false" outlineLevel="0" collapsed="false">
      <c r="A260" s="19" t="n">
        <f aca="false">A259+1</f>
        <v>236</v>
      </c>
      <c r="B260" s="19" t="n">
        <f aca="false">INT((A260-1)/$C$6)+1</f>
        <v>20</v>
      </c>
      <c r="C260" s="15" t="n">
        <f aca="false">G259</f>
        <v>352667.30193426</v>
      </c>
      <c r="D260" s="15" t="n">
        <f aca="false">$C$5*(1+$C$11)^(B260-1)</f>
        <v>876.753026538551</v>
      </c>
      <c r="E260" s="15" t="n">
        <f aca="false">(C260+D260*$C$7)*$C$15</f>
        <v>2057.22592794985</v>
      </c>
      <c r="F260" s="15" t="n">
        <f aca="false">IF(E260&gt;0,E260*$C$13,0)</f>
        <v>0</v>
      </c>
      <c r="G260" s="15" t="n">
        <f aca="false">C260+D260+E260-F260</f>
        <v>355601.280888748</v>
      </c>
      <c r="H260" s="15" t="n">
        <f aca="false">G260/(1+$C$12)^(A260/$C$6)</f>
        <v>218806.707239752</v>
      </c>
      <c r="I260" s="15" t="n">
        <f aca="false">I259+D260</f>
        <v>167715.234827729</v>
      </c>
      <c r="J260" s="15" t="n">
        <f aca="false">J259+E260-F260</f>
        <v>187886.04606102</v>
      </c>
    </row>
    <row r="261" customFormat="false" ht="15" hidden="false" customHeight="false" outlineLevel="0" collapsed="false">
      <c r="A261" s="19" t="n">
        <f aca="false">A260+1</f>
        <v>237</v>
      </c>
      <c r="B261" s="19" t="n">
        <f aca="false">INT((A261-1)/$C$6)+1</f>
        <v>20</v>
      </c>
      <c r="C261" s="15" t="n">
        <f aca="false">G260</f>
        <v>355601.280888748</v>
      </c>
      <c r="D261" s="15" t="n">
        <f aca="false">$C$5*(1+$C$11)^(B261-1)</f>
        <v>876.753026538551</v>
      </c>
      <c r="E261" s="15" t="n">
        <f aca="false">(C261+D261*$C$7)*$C$15</f>
        <v>2074.34080518436</v>
      </c>
      <c r="F261" s="15" t="n">
        <f aca="false">IF(E261&gt;0,E261*$C$13,0)</f>
        <v>0</v>
      </c>
      <c r="G261" s="15" t="n">
        <f aca="false">C261+D261+E261-F261</f>
        <v>358552.374720471</v>
      </c>
      <c r="H261" s="15" t="n">
        <f aca="false">G261/(1+$C$12)^(A261/$C$6)</f>
        <v>220169.046565556</v>
      </c>
      <c r="I261" s="15" t="n">
        <f aca="false">I260+D261</f>
        <v>168591.987854267</v>
      </c>
      <c r="J261" s="15" t="n">
        <f aca="false">J260+E261-F261</f>
        <v>189960.386866204</v>
      </c>
    </row>
    <row r="262" customFormat="false" ht="15" hidden="false" customHeight="false" outlineLevel="0" collapsed="false">
      <c r="A262" s="19" t="n">
        <f aca="false">A261+1</f>
        <v>238</v>
      </c>
      <c r="B262" s="19" t="n">
        <f aca="false">INT((A262-1)/$C$6)+1</f>
        <v>20</v>
      </c>
      <c r="C262" s="15" t="n">
        <f aca="false">G261</f>
        <v>358552.374720471</v>
      </c>
      <c r="D262" s="15" t="n">
        <f aca="false">$C$5*(1+$C$11)^(B262-1)</f>
        <v>876.753026538551</v>
      </c>
      <c r="E262" s="15" t="n">
        <f aca="false">(C262+D262*$C$7)*$C$15</f>
        <v>2091.55551920275</v>
      </c>
      <c r="F262" s="15" t="n">
        <f aca="false">IF(E262&gt;0,E262*$C$13,0)</f>
        <v>0</v>
      </c>
      <c r="G262" s="15" t="n">
        <f aca="false">C262+D262+E262-F262</f>
        <v>361520.683266212</v>
      </c>
      <c r="H262" s="15" t="n">
        <f aca="false">G262/(1+$C$12)^(A262/$C$6)</f>
        <v>221535.40943271</v>
      </c>
      <c r="I262" s="15" t="n">
        <f aca="false">I261+D262</f>
        <v>169468.740880806</v>
      </c>
      <c r="J262" s="15" t="n">
        <f aca="false">J261+E262-F262</f>
        <v>192051.942385407</v>
      </c>
    </row>
    <row r="263" customFormat="false" ht="15" hidden="false" customHeight="false" outlineLevel="0" collapsed="false">
      <c r="A263" s="19" t="n">
        <f aca="false">A262+1</f>
        <v>239</v>
      </c>
      <c r="B263" s="19" t="n">
        <f aca="false">INT((A263-1)/$C$6)+1</f>
        <v>20</v>
      </c>
      <c r="C263" s="15" t="n">
        <f aca="false">G262</f>
        <v>361520.683266212</v>
      </c>
      <c r="D263" s="15" t="n">
        <f aca="false">$C$5*(1+$C$11)^(B263-1)</f>
        <v>876.753026538551</v>
      </c>
      <c r="E263" s="15" t="n">
        <f aca="false">(C263+D263*$C$7)*$C$15</f>
        <v>2108.87065238624</v>
      </c>
      <c r="F263" s="15" t="n">
        <f aca="false">IF(E263&gt;0,E263*$C$13,0)</f>
        <v>0</v>
      </c>
      <c r="G263" s="15" t="n">
        <f aca="false">C263+D263+E263-F263</f>
        <v>364506.306945137</v>
      </c>
      <c r="H263" s="15" t="n">
        <f aca="false">G263/(1+$C$12)^(A263/$C$6)</f>
        <v>222905.813267709</v>
      </c>
      <c r="I263" s="15" t="n">
        <f aca="false">I262+D263</f>
        <v>170345.493907344</v>
      </c>
      <c r="J263" s="15" t="n">
        <f aca="false">J262+E263-F263</f>
        <v>194160.813037793</v>
      </c>
    </row>
    <row r="264" customFormat="false" ht="15" hidden="false" customHeight="false" outlineLevel="0" collapsed="false">
      <c r="A264" s="19" t="n">
        <f aca="false">A263+1</f>
        <v>240</v>
      </c>
      <c r="B264" s="19" t="n">
        <f aca="false">INT((A264-1)/$C$6)+1</f>
        <v>20</v>
      </c>
      <c r="C264" s="15" t="n">
        <f aca="false">G263</f>
        <v>364506.306945137</v>
      </c>
      <c r="D264" s="15" t="n">
        <f aca="false">$C$5*(1+$C$11)^(B264-1)</f>
        <v>876.753026538551</v>
      </c>
      <c r="E264" s="15" t="n">
        <f aca="false">(C264+D264*$C$7)*$C$15</f>
        <v>2126.2867905133</v>
      </c>
      <c r="F264" s="15" t="n">
        <f aca="false">IF(E264&gt;0,E264*$C$13,0)</f>
        <v>0</v>
      </c>
      <c r="G264" s="15" t="n">
        <f aca="false">C264+D264+E264-F264</f>
        <v>367509.346762189</v>
      </c>
      <c r="H264" s="15" t="n">
        <f aca="false">G264/(1+$C$12)^(A264/$C$6)</f>
        <v>224280.275557994</v>
      </c>
      <c r="I264" s="15" t="n">
        <f aca="false">I263+D264</f>
        <v>171222.246933883</v>
      </c>
      <c r="J264" s="15" t="n">
        <f aca="false">J263+E264-F264</f>
        <v>196287.099828306</v>
      </c>
    </row>
    <row r="265" customFormat="false" ht="15" hidden="false" customHeight="false" outlineLevel="0" collapsed="false">
      <c r="A265" s="19" t="n">
        <f aca="false">A264+1</f>
        <v>241</v>
      </c>
      <c r="B265" s="19" t="n">
        <f aca="false">INT((A265-1)/$C$6)+1</f>
        <v>21</v>
      </c>
      <c r="C265" s="15" t="n">
        <f aca="false">G264</f>
        <v>367509.346762189</v>
      </c>
      <c r="D265" s="15" t="n">
        <f aca="false">$C$5*(1+$C$11)^(B265-1)</f>
        <v>903.055617334707</v>
      </c>
      <c r="E265" s="15" t="n">
        <f aca="false">(C265+D265*$C$7)*$C$15</f>
        <v>2143.80452277943</v>
      </c>
      <c r="F265" s="15" t="n">
        <f aca="false">IF(E265&gt;0,E265*$C$13,0)</f>
        <v>0</v>
      </c>
      <c r="G265" s="15" t="n">
        <f aca="false">C265+D265+E265-F265</f>
        <v>370556.206902303</v>
      </c>
      <c r="H265" s="15" t="n">
        <f aca="false">G265/(1+$C$12)^(A265/$C$6)</f>
        <v>225674.832563156</v>
      </c>
      <c r="I265" s="15" t="n">
        <f aca="false">I264+D265</f>
        <v>172125.302551218</v>
      </c>
      <c r="J265" s="15" t="n">
        <f aca="false">J264+E265-F265</f>
        <v>198430.904351086</v>
      </c>
    </row>
    <row r="266" customFormat="false" ht="15" hidden="false" customHeight="false" outlineLevel="0" collapsed="false">
      <c r="A266" s="19" t="n">
        <f aca="false">A265+1</f>
        <v>242</v>
      </c>
      <c r="B266" s="19" t="n">
        <f aca="false">INT((A266-1)/$C$6)+1</f>
        <v>21</v>
      </c>
      <c r="C266" s="15" t="n">
        <f aca="false">G265</f>
        <v>370556.206902303</v>
      </c>
      <c r="D266" s="15" t="n">
        <f aca="false">$C$5*(1+$C$11)^(B266-1)</f>
        <v>903.055617334707</v>
      </c>
      <c r="E266" s="15" t="n">
        <f aca="false">(C266+D266*$C$7)*$C$15</f>
        <v>2161.57787359677</v>
      </c>
      <c r="F266" s="15" t="n">
        <f aca="false">IF(E266&gt;0,E266*$C$13,0)</f>
        <v>0</v>
      </c>
      <c r="G266" s="15" t="n">
        <f aca="false">C266+D266+E266-F266</f>
        <v>373620.840393234</v>
      </c>
      <c r="H266" s="15" t="n">
        <f aca="false">G266/(1+$C$12)^(A266/$C$6)</f>
        <v>227073.510576497</v>
      </c>
      <c r="I266" s="15" t="n">
        <f aca="false">I265+D266</f>
        <v>173028.358168552</v>
      </c>
      <c r="J266" s="15" t="n">
        <f aca="false">J265+E266-F266</f>
        <v>200592.482224682</v>
      </c>
    </row>
    <row r="267" customFormat="false" ht="15" hidden="false" customHeight="false" outlineLevel="0" collapsed="false">
      <c r="A267" s="19" t="n">
        <f aca="false">A266+1</f>
        <v>243</v>
      </c>
      <c r="B267" s="19" t="n">
        <f aca="false">INT((A267-1)/$C$6)+1</f>
        <v>21</v>
      </c>
      <c r="C267" s="15" t="n">
        <f aca="false">G266</f>
        <v>373620.840393234</v>
      </c>
      <c r="D267" s="15" t="n">
        <f aca="false">$C$5*(1+$C$11)^(B267-1)</f>
        <v>903.055617334707</v>
      </c>
      <c r="E267" s="15" t="n">
        <f aca="false">(C267+D267*$C$7)*$C$15</f>
        <v>2179.45490229387</v>
      </c>
      <c r="F267" s="15" t="n">
        <f aca="false">IF(E267&gt;0,E267*$C$13,0)</f>
        <v>0</v>
      </c>
      <c r="G267" s="15" t="n">
        <f aca="false">C267+D267+E267-F267</f>
        <v>376703.350912863</v>
      </c>
      <c r="H267" s="15" t="n">
        <f aca="false">G267/(1+$C$12)^(A267/$C$6)</f>
        <v>228476.327440585</v>
      </c>
      <c r="I267" s="15" t="n">
        <f aca="false">I266+D267</f>
        <v>173931.413785887</v>
      </c>
      <c r="J267" s="15" t="n">
        <f aca="false">J266+E267-F267</f>
        <v>202771.937126976</v>
      </c>
    </row>
    <row r="268" customFormat="false" ht="15" hidden="false" customHeight="false" outlineLevel="0" collapsed="false">
      <c r="A268" s="19" t="n">
        <f aca="false">A267+1</f>
        <v>244</v>
      </c>
      <c r="B268" s="19" t="n">
        <f aca="false">INT((A268-1)/$C$6)+1</f>
        <v>21</v>
      </c>
      <c r="C268" s="15" t="n">
        <f aca="false">G267</f>
        <v>376703.350912863</v>
      </c>
      <c r="D268" s="15" t="n">
        <f aca="false">$C$5*(1+$C$11)^(B268-1)</f>
        <v>903.055617334707</v>
      </c>
      <c r="E268" s="15" t="n">
        <f aca="false">(C268+D268*$C$7)*$C$15</f>
        <v>2197.43621365837</v>
      </c>
      <c r="F268" s="15" t="n">
        <f aca="false">IF(E268&gt;0,E268*$C$13,0)</f>
        <v>0</v>
      </c>
      <c r="G268" s="15" t="n">
        <f aca="false">C268+D268+E268-F268</f>
        <v>379803.842743856</v>
      </c>
      <c r="H268" s="15" t="n">
        <f aca="false">G268/(1+$C$12)^(A268/$C$6)</f>
        <v>229883.301060403</v>
      </c>
      <c r="I268" s="15" t="n">
        <f aca="false">I267+D268</f>
        <v>174834.469403222</v>
      </c>
      <c r="J268" s="15" t="n">
        <f aca="false">J267+E268-F268</f>
        <v>204969.373340635</v>
      </c>
    </row>
    <row r="269" customFormat="false" ht="15" hidden="false" customHeight="false" outlineLevel="0" collapsed="false">
      <c r="A269" s="19" t="n">
        <f aca="false">A268+1</f>
        <v>245</v>
      </c>
      <c r="B269" s="19" t="n">
        <f aca="false">INT((A269-1)/$C$6)+1</f>
        <v>21</v>
      </c>
      <c r="C269" s="15" t="n">
        <f aca="false">G268</f>
        <v>379803.842743856</v>
      </c>
      <c r="D269" s="15" t="n">
        <f aca="false">$C$5*(1+$C$11)^(B269-1)</f>
        <v>903.055617334707</v>
      </c>
      <c r="E269" s="15" t="n">
        <f aca="false">(C269+D269*$C$7)*$C$15</f>
        <v>2215.52241600583</v>
      </c>
      <c r="F269" s="15" t="n">
        <f aca="false">IF(E269&gt;0,E269*$C$13,0)</f>
        <v>0</v>
      </c>
      <c r="G269" s="15" t="n">
        <f aca="false">C269+D269+E269-F269</f>
        <v>382922.420777197</v>
      </c>
      <c r="H269" s="15" t="n">
        <f aca="false">G269/(1+$C$12)^(A269/$C$6)</f>
        <v>231294.449403591</v>
      </c>
      <c r="I269" s="15" t="n">
        <f aca="false">I268+D269</f>
        <v>175737.525020556</v>
      </c>
      <c r="J269" s="15" t="n">
        <f aca="false">J268+E269-F269</f>
        <v>207184.89575664</v>
      </c>
    </row>
    <row r="270" customFormat="false" ht="15" hidden="false" customHeight="false" outlineLevel="0" collapsed="false">
      <c r="A270" s="19" t="n">
        <f aca="false">A269+1</f>
        <v>246</v>
      </c>
      <c r="B270" s="19" t="n">
        <f aca="false">INT((A270-1)/$C$6)+1</f>
        <v>21</v>
      </c>
      <c r="C270" s="15" t="n">
        <f aca="false">G269</f>
        <v>382922.420777197</v>
      </c>
      <c r="D270" s="15" t="n">
        <f aca="false">$C$5*(1+$C$11)^(B270-1)</f>
        <v>903.055617334707</v>
      </c>
      <c r="E270" s="15" t="n">
        <f aca="false">(C270+D270*$C$7)*$C$15</f>
        <v>2233.71412120031</v>
      </c>
      <c r="F270" s="15" t="n">
        <f aca="false">IF(E270&gt;0,E270*$C$13,0)</f>
        <v>0</v>
      </c>
      <c r="G270" s="15" t="n">
        <f aca="false">C270+D270+E270-F270</f>
        <v>386059.190515732</v>
      </c>
      <c r="H270" s="15" t="n">
        <f aca="false">G270/(1+$C$12)^(A270/$C$6)</f>
        <v>232709.790500694</v>
      </c>
      <c r="I270" s="15" t="n">
        <f aca="false">I269+D270</f>
        <v>176640.580637891</v>
      </c>
      <c r="J270" s="15" t="n">
        <f aca="false">J269+E270-F270</f>
        <v>209418.609877841</v>
      </c>
    </row>
    <row r="271" customFormat="false" ht="15" hidden="false" customHeight="false" outlineLevel="0" collapsed="false">
      <c r="A271" s="19" t="n">
        <f aca="false">A270+1</f>
        <v>247</v>
      </c>
      <c r="B271" s="19" t="n">
        <f aca="false">INT((A271-1)/$C$6)+1</f>
        <v>21</v>
      </c>
      <c r="C271" s="15" t="n">
        <f aca="false">G270</f>
        <v>386059.190515732</v>
      </c>
      <c r="D271" s="15" t="n">
        <f aca="false">$C$5*(1+$C$11)^(B271-1)</f>
        <v>903.055617334707</v>
      </c>
      <c r="E271" s="15" t="n">
        <f aca="false">(C271+D271*$C$7)*$C$15</f>
        <v>2252.0119446751</v>
      </c>
      <c r="F271" s="15" t="n">
        <f aca="false">IF(E271&gt;0,E271*$C$13,0)</f>
        <v>0</v>
      </c>
      <c r="G271" s="15" t="n">
        <f aca="false">C271+D271+E271-F271</f>
        <v>389214.258077741</v>
      </c>
      <c r="H271" s="15" t="n">
        <f aca="false">G271/(1+$C$12)^(A271/$C$6)</f>
        <v>234129.342445407</v>
      </c>
      <c r="I271" s="15" t="n">
        <f aca="false">I270+D271</f>
        <v>177543.636255226</v>
      </c>
      <c r="J271" s="15" t="n">
        <f aca="false">J270+E271-F271</f>
        <v>211670.621822516</v>
      </c>
    </row>
    <row r="272" customFormat="false" ht="15" hidden="false" customHeight="false" outlineLevel="0" collapsed="false">
      <c r="A272" s="19" t="n">
        <f aca="false">A271+1</f>
        <v>248</v>
      </c>
      <c r="B272" s="19" t="n">
        <f aca="false">INT((A272-1)/$C$6)+1</f>
        <v>21</v>
      </c>
      <c r="C272" s="15" t="n">
        <f aca="false">G271</f>
        <v>389214.258077741</v>
      </c>
      <c r="D272" s="15" t="n">
        <f aca="false">$C$5*(1+$C$11)^(B272-1)</f>
        <v>903.055617334707</v>
      </c>
      <c r="E272" s="15" t="n">
        <f aca="false">(C272+D272*$C$7)*$C$15</f>
        <v>2270.41650545349</v>
      </c>
      <c r="F272" s="15" t="n">
        <f aca="false">IF(E272&gt;0,E272*$C$13,0)</f>
        <v>0</v>
      </c>
      <c r="G272" s="15" t="n">
        <f aca="false">C272+D272+E272-F272</f>
        <v>392387.73020053</v>
      </c>
      <c r="H272" s="15" t="n">
        <f aca="false">G272/(1+$C$12)^(A272/$C$6)</f>
        <v>235553.123394823</v>
      </c>
      <c r="I272" s="15" t="n">
        <f aca="false">I271+D272</f>
        <v>178446.691872561</v>
      </c>
      <c r="J272" s="15" t="n">
        <f aca="false">J271+E272-F272</f>
        <v>213941.038327969</v>
      </c>
    </row>
    <row r="273" customFormat="false" ht="15" hidden="false" customHeight="false" outlineLevel="0" collapsed="false">
      <c r="A273" s="19" t="n">
        <f aca="false">A272+1</f>
        <v>249</v>
      </c>
      <c r="B273" s="19" t="n">
        <f aca="false">INT((A273-1)/$C$6)+1</f>
        <v>21</v>
      </c>
      <c r="C273" s="15" t="n">
        <f aca="false">G272</f>
        <v>392387.73020053</v>
      </c>
      <c r="D273" s="15" t="n">
        <f aca="false">$C$5*(1+$C$11)^(B273-1)</f>
        <v>903.055617334707</v>
      </c>
      <c r="E273" s="15" t="n">
        <f aca="false">(C273+D273*$C$7)*$C$15</f>
        <v>2288.92842616976</v>
      </c>
      <c r="F273" s="15" t="n">
        <f aca="false">IF(E273&gt;0,E273*$C$13,0)</f>
        <v>0</v>
      </c>
      <c r="G273" s="15" t="n">
        <f aca="false">C273+D273+E273-F273</f>
        <v>395579.714244034</v>
      </c>
      <c r="H273" s="15" t="n">
        <f aca="false">G273/(1+$C$12)^(A273/$C$6)</f>
        <v>236981.151569683</v>
      </c>
      <c r="I273" s="15" t="n">
        <f aca="false">I272+D273</f>
        <v>179349.747489895</v>
      </c>
      <c r="J273" s="15" t="n">
        <f aca="false">J272+E273-F273</f>
        <v>216229.966754139</v>
      </c>
    </row>
    <row r="274" customFormat="false" ht="15" hidden="false" customHeight="false" outlineLevel="0" collapsed="false">
      <c r="A274" s="19" t="n">
        <f aca="false">A273+1</f>
        <v>250</v>
      </c>
      <c r="B274" s="19" t="n">
        <f aca="false">INT((A274-1)/$C$6)+1</f>
        <v>21</v>
      </c>
      <c r="C274" s="15" t="n">
        <f aca="false">G273</f>
        <v>395579.714244034</v>
      </c>
      <c r="D274" s="15" t="n">
        <f aca="false">$C$5*(1+$C$11)^(B274-1)</f>
        <v>903.055617334707</v>
      </c>
      <c r="E274" s="15" t="n">
        <f aca="false">(C274+D274*$C$7)*$C$15</f>
        <v>2307.5483330902</v>
      </c>
      <c r="F274" s="15" t="n">
        <f aca="false">IF(E274&gt;0,E274*$C$13,0)</f>
        <v>0</v>
      </c>
      <c r="G274" s="15" t="n">
        <f aca="false">C274+D274+E274-F274</f>
        <v>398790.318194459</v>
      </c>
      <c r="H274" s="15" t="n">
        <f aca="false">G274/(1+$C$12)^(A274/$C$6)</f>
        <v>238413.445254623</v>
      </c>
      <c r="I274" s="15" t="n">
        <f aca="false">I273+D274</f>
        <v>180252.80310723</v>
      </c>
      <c r="J274" s="15" t="n">
        <f aca="false">J273+E274-F274</f>
        <v>218537.515087229</v>
      </c>
    </row>
    <row r="275" customFormat="false" ht="15" hidden="false" customHeight="false" outlineLevel="0" collapsed="false">
      <c r="A275" s="19" t="n">
        <f aca="false">A274+1</f>
        <v>251</v>
      </c>
      <c r="B275" s="19" t="n">
        <f aca="false">INT((A275-1)/$C$6)+1</f>
        <v>21</v>
      </c>
      <c r="C275" s="15" t="n">
        <f aca="false">G274</f>
        <v>398790.318194459</v>
      </c>
      <c r="D275" s="15" t="n">
        <f aca="false">$C$5*(1+$C$11)^(B275-1)</f>
        <v>903.055617334707</v>
      </c>
      <c r="E275" s="15" t="n">
        <f aca="false">(C275+D275*$C$7)*$C$15</f>
        <v>2326.27685613434</v>
      </c>
      <c r="F275" s="15" t="n">
        <f aca="false">IF(E275&gt;0,E275*$C$13,0)</f>
        <v>0</v>
      </c>
      <c r="G275" s="15" t="n">
        <f aca="false">C275+D275+E275-F275</f>
        <v>402019.650667928</v>
      </c>
      <c r="H275" s="15" t="n">
        <f aca="false">G275/(1+$C$12)^(A275/$C$6)</f>
        <v>239850.022798425</v>
      </c>
      <c r="I275" s="15" t="n">
        <f aca="false">I274+D275</f>
        <v>181155.858724565</v>
      </c>
      <c r="J275" s="15" t="n">
        <f aca="false">J274+E275-F275</f>
        <v>220863.791943364</v>
      </c>
    </row>
    <row r="276" customFormat="false" ht="15" hidden="false" customHeight="false" outlineLevel="0" collapsed="false">
      <c r="A276" s="19" t="n">
        <f aca="false">A275+1</f>
        <v>252</v>
      </c>
      <c r="B276" s="19" t="n">
        <f aca="false">INT((A276-1)/$C$6)+1</f>
        <v>21</v>
      </c>
      <c r="C276" s="15" t="n">
        <f aca="false">G275</f>
        <v>402019.650667928</v>
      </c>
      <c r="D276" s="15" t="n">
        <f aca="false">$C$5*(1+$C$11)^(B276-1)</f>
        <v>903.055617334707</v>
      </c>
      <c r="E276" s="15" t="n">
        <f aca="false">(C276+D276*$C$7)*$C$15</f>
        <v>2345.11462889625</v>
      </c>
      <c r="F276" s="15" t="n">
        <f aca="false">IF(E276&gt;0,E276*$C$13,0)</f>
        <v>0</v>
      </c>
      <c r="G276" s="15" t="n">
        <f aca="false">C276+D276+E276-F276</f>
        <v>405267.820914159</v>
      </c>
      <c r="H276" s="15" t="n">
        <f aca="false">G276/(1+$C$12)^(A276/$C$6)</f>
        <v>241290.902614271</v>
      </c>
      <c r="I276" s="15" t="n">
        <f aca="false">I275+D276</f>
        <v>182058.914341899</v>
      </c>
      <c r="J276" s="15" t="n">
        <f aca="false">J275+E276-F276</f>
        <v>223208.90657226</v>
      </c>
    </row>
    <row r="277" customFormat="false" ht="15" hidden="false" customHeight="false" outlineLevel="0" collapsed="false">
      <c r="A277" s="19" t="n">
        <f aca="false">A276+1</f>
        <v>253</v>
      </c>
      <c r="B277" s="19" t="n">
        <f aca="false">INT((A277-1)/$C$6)+1</f>
        <v>22</v>
      </c>
      <c r="C277" s="15" t="n">
        <f aca="false">G276</f>
        <v>405267.820914159</v>
      </c>
      <c r="D277" s="15" t="n">
        <f aca="false">$C$5*(1+$C$11)^(B277-1)</f>
        <v>930.147285854749</v>
      </c>
      <c r="E277" s="15" t="n">
        <f aca="false">(C277+D277*$C$7)*$C$15</f>
        <v>2364.06228866593</v>
      </c>
      <c r="F277" s="15" t="n">
        <f aca="false">IF(E277&gt;0,E277*$C$13,0)</f>
        <v>0</v>
      </c>
      <c r="G277" s="15" t="n">
        <f aca="false">C277+D277+E277-F277</f>
        <v>408562.03048868</v>
      </c>
      <c r="H277" s="15" t="n">
        <f aca="false">G277/(1+$C$12)^(A277/$C$6)</f>
        <v>242752.200031007</v>
      </c>
      <c r="I277" s="15" t="n">
        <f aca="false">I276+D277</f>
        <v>182989.061627754</v>
      </c>
      <c r="J277" s="15" t="n">
        <f aca="false">J276+E277-F277</f>
        <v>225572.968860926</v>
      </c>
    </row>
    <row r="278" customFormat="false" ht="15" hidden="false" customHeight="false" outlineLevel="0" collapsed="false">
      <c r="A278" s="19" t="n">
        <f aca="false">A277+1</f>
        <v>254</v>
      </c>
      <c r="B278" s="19" t="n">
        <f aca="false">INT((A278-1)/$C$6)+1</f>
        <v>22</v>
      </c>
      <c r="C278" s="15" t="n">
        <f aca="false">G277</f>
        <v>408562.03048868</v>
      </c>
      <c r="D278" s="15" t="n">
        <f aca="false">$C$5*(1+$C$11)^(B278-1)</f>
        <v>930.147285854749</v>
      </c>
      <c r="E278" s="15" t="n">
        <f aca="false">(C278+D278*$C$7)*$C$15</f>
        <v>2383.27851118397</v>
      </c>
      <c r="F278" s="15" t="n">
        <f aca="false">IF(E278&gt;0,E278*$C$13,0)</f>
        <v>0</v>
      </c>
      <c r="G278" s="15" t="n">
        <f aca="false">C278+D278+E278-F278</f>
        <v>411875.456285718</v>
      </c>
      <c r="H278" s="15" t="n">
        <f aca="false">G278/(1+$C$12)^(A278/$C$6)</f>
        <v>244217.864268189</v>
      </c>
      <c r="I278" s="15" t="n">
        <f aca="false">I277+D278</f>
        <v>183919.208913609</v>
      </c>
      <c r="J278" s="15" t="n">
        <f aca="false">J277+E278-F278</f>
        <v>227956.24737211</v>
      </c>
    </row>
    <row r="279" customFormat="false" ht="15" hidden="false" customHeight="false" outlineLevel="0" collapsed="false">
      <c r="A279" s="19" t="n">
        <f aca="false">A278+1</f>
        <v>255</v>
      </c>
      <c r="B279" s="19" t="n">
        <f aca="false">INT((A279-1)/$C$6)+1</f>
        <v>22</v>
      </c>
      <c r="C279" s="15" t="n">
        <f aca="false">G278</f>
        <v>411875.456285718</v>
      </c>
      <c r="D279" s="15" t="n">
        <f aca="false">$C$5*(1+$C$11)^(B279-1)</f>
        <v>930.147285854749</v>
      </c>
      <c r="E279" s="15" t="n">
        <f aca="false">(C279+D279*$C$7)*$C$15</f>
        <v>2402.60682833336</v>
      </c>
      <c r="F279" s="15" t="n">
        <f aca="false">IF(E279&gt;0,E279*$C$13,0)</f>
        <v>0</v>
      </c>
      <c r="G279" s="15" t="n">
        <f aca="false">C279+D279+E279-F279</f>
        <v>415208.210399906</v>
      </c>
      <c r="H279" s="15" t="n">
        <f aca="false">G279/(1+$C$12)^(A279/$C$6)</f>
        <v>245687.914105388</v>
      </c>
      <c r="I279" s="15" t="n">
        <f aca="false">I278+D279</f>
        <v>184849.356199464</v>
      </c>
      <c r="J279" s="15" t="n">
        <f aca="false">J278+E279-F279</f>
        <v>230358.854200443</v>
      </c>
    </row>
    <row r="280" customFormat="false" ht="15" hidden="false" customHeight="false" outlineLevel="0" collapsed="false">
      <c r="A280" s="19" t="n">
        <f aca="false">A279+1</f>
        <v>256</v>
      </c>
      <c r="B280" s="19" t="n">
        <f aca="false">INT((A280-1)/$C$6)+1</f>
        <v>22</v>
      </c>
      <c r="C280" s="15" t="n">
        <f aca="false">G279</f>
        <v>415208.210399906</v>
      </c>
      <c r="D280" s="15" t="n">
        <f aca="false">$C$5*(1+$C$11)^(B280-1)</f>
        <v>930.147285854749</v>
      </c>
      <c r="E280" s="15" t="n">
        <f aca="false">(C280+D280*$C$7)*$C$15</f>
        <v>2422.04789399945</v>
      </c>
      <c r="F280" s="15" t="n">
        <f aca="false">IF(E280&gt;0,E280*$C$13,0)</f>
        <v>0</v>
      </c>
      <c r="G280" s="15" t="n">
        <f aca="false">C280+D280+E280-F280</f>
        <v>418560.405579761</v>
      </c>
      <c r="H280" s="15" t="n">
        <f aca="false">G280/(1+$C$12)^(A280/$C$6)</f>
        <v>247162.368388092</v>
      </c>
      <c r="I280" s="15" t="n">
        <f aca="false">I279+D280</f>
        <v>185779.503485318</v>
      </c>
      <c r="J280" s="15" t="n">
        <f aca="false">J279+E280-F280</f>
        <v>232780.902094443</v>
      </c>
    </row>
    <row r="281" customFormat="false" ht="15" hidden="false" customHeight="false" outlineLevel="0" collapsed="false">
      <c r="A281" s="19" t="n">
        <f aca="false">A280+1</f>
        <v>257</v>
      </c>
      <c r="B281" s="19" t="n">
        <f aca="false">INT((A281-1)/$C$6)+1</f>
        <v>22</v>
      </c>
      <c r="C281" s="15" t="n">
        <f aca="false">G280</f>
        <v>418560.405579761</v>
      </c>
      <c r="D281" s="15" t="n">
        <f aca="false">$C$5*(1+$C$11)^(B281-1)</f>
        <v>930.147285854749</v>
      </c>
      <c r="E281" s="15" t="n">
        <f aca="false">(C281+D281*$C$7)*$C$15</f>
        <v>2441.60236588194</v>
      </c>
      <c r="F281" s="15" t="n">
        <f aca="false">IF(E281&gt;0,E281*$C$13,0)</f>
        <v>0</v>
      </c>
      <c r="G281" s="15" t="n">
        <f aca="false">C281+D281+E281-F281</f>
        <v>421932.155231497</v>
      </c>
      <c r="H281" s="15" t="n">
        <f aca="false">G281/(1+$C$12)^(A281/$C$6)</f>
        <v>248641.246027967</v>
      </c>
      <c r="I281" s="15" t="n">
        <f aca="false">I280+D281</f>
        <v>186709.650771173</v>
      </c>
      <c r="J281" s="15" t="n">
        <f aca="false">J280+E281-F281</f>
        <v>235222.504460325</v>
      </c>
    </row>
    <row r="282" customFormat="false" ht="15" hidden="false" customHeight="false" outlineLevel="0" collapsed="false">
      <c r="A282" s="19" t="n">
        <f aca="false">A281+1</f>
        <v>258</v>
      </c>
      <c r="B282" s="19" t="n">
        <f aca="false">INT((A282-1)/$C$6)+1</f>
        <v>22</v>
      </c>
      <c r="C282" s="15" t="n">
        <f aca="false">G281</f>
        <v>421932.155231497</v>
      </c>
      <c r="D282" s="15" t="n">
        <f aca="false">$C$5*(1+$C$11)^(B282-1)</f>
        <v>930.147285854749</v>
      </c>
      <c r="E282" s="15" t="n">
        <f aca="false">(C282+D282*$C$7)*$C$15</f>
        <v>2461.27090551707</v>
      </c>
      <c r="F282" s="15" t="n">
        <f aca="false">IF(E282&gt;0,E282*$C$13,0)</f>
        <v>0</v>
      </c>
      <c r="G282" s="15" t="n">
        <f aca="false">C282+D282+E282-F282</f>
        <v>425323.573422869</v>
      </c>
      <c r="H282" s="15" t="n">
        <f aca="false">G282/(1+$C$12)^(A282/$C$6)</f>
        <v>250124.566003114</v>
      </c>
      <c r="I282" s="15" t="n">
        <f aca="false">I281+D282</f>
        <v>187639.798057028</v>
      </c>
      <c r="J282" s="15" t="n">
        <f aca="false">J281+E282-F282</f>
        <v>237683.775365842</v>
      </c>
    </row>
    <row r="283" customFormat="false" ht="15" hidden="false" customHeight="false" outlineLevel="0" collapsed="false">
      <c r="A283" s="19" t="n">
        <f aca="false">A282+1</f>
        <v>259</v>
      </c>
      <c r="B283" s="19" t="n">
        <f aca="false">INT((A283-1)/$C$6)+1</f>
        <v>22</v>
      </c>
      <c r="C283" s="15" t="n">
        <f aca="false">G282</f>
        <v>425323.573422869</v>
      </c>
      <c r="D283" s="15" t="n">
        <f aca="false">$C$5*(1+$C$11)^(B283-1)</f>
        <v>930.147285854749</v>
      </c>
      <c r="E283" s="15" t="n">
        <f aca="false">(C283+D283*$C$7)*$C$15</f>
        <v>2481.05417830007</v>
      </c>
      <c r="F283" s="15" t="n">
        <f aca="false">IF(E283&gt;0,E283*$C$13,0)</f>
        <v>0</v>
      </c>
      <c r="G283" s="15" t="n">
        <f aca="false">C283+D283+E283-F283</f>
        <v>428734.774887024</v>
      </c>
      <c r="H283" s="15" t="n">
        <f aca="false">G283/(1+$C$12)^(A283/$C$6)</f>
        <v>251612.347358331</v>
      </c>
      <c r="I283" s="15" t="n">
        <f aca="false">I282+D283</f>
        <v>188569.945342883</v>
      </c>
      <c r="J283" s="15" t="n">
        <f aca="false">J282+E283-F283</f>
        <v>240164.829544142</v>
      </c>
    </row>
    <row r="284" customFormat="false" ht="15" hidden="false" customHeight="false" outlineLevel="0" collapsed="false">
      <c r="A284" s="19" t="n">
        <f aca="false">A283+1</f>
        <v>260</v>
      </c>
      <c r="B284" s="19" t="n">
        <f aca="false">INT((A284-1)/$C$6)+1</f>
        <v>22</v>
      </c>
      <c r="C284" s="15" t="n">
        <f aca="false">G283</f>
        <v>428734.774887024</v>
      </c>
      <c r="D284" s="15" t="n">
        <f aca="false">$C$5*(1+$C$11)^(B284-1)</f>
        <v>930.147285854749</v>
      </c>
      <c r="E284" s="15" t="n">
        <f aca="false">(C284+D284*$C$7)*$C$15</f>
        <v>2500.95285350764</v>
      </c>
      <c r="F284" s="15" t="n">
        <f aca="false">IF(E284&gt;0,E284*$C$13,0)</f>
        <v>0</v>
      </c>
      <c r="G284" s="15" t="n">
        <f aca="false">C284+D284+E284-F284</f>
        <v>432165.875026386</v>
      </c>
      <c r="H284" s="15" t="n">
        <f aca="false">G284/(1+$C$12)^(A284/$C$6)</f>
        <v>253104.60920537</v>
      </c>
      <c r="I284" s="15" t="n">
        <f aca="false">I283+D284</f>
        <v>189500.092628737</v>
      </c>
      <c r="J284" s="15" t="n">
        <f aca="false">J283+E284-F284</f>
        <v>242665.782397649</v>
      </c>
    </row>
    <row r="285" customFormat="false" ht="15" hidden="false" customHeight="false" outlineLevel="0" collapsed="false">
      <c r="A285" s="19" t="n">
        <f aca="false">A284+1</f>
        <v>261</v>
      </c>
      <c r="B285" s="19" t="n">
        <f aca="false">INT((A285-1)/$C$6)+1</f>
        <v>22</v>
      </c>
      <c r="C285" s="15" t="n">
        <f aca="false">G284</f>
        <v>432165.875026386</v>
      </c>
      <c r="D285" s="15" t="n">
        <f aca="false">$C$5*(1+$C$11)^(B285-1)</f>
        <v>930.147285854749</v>
      </c>
      <c r="E285" s="15" t="n">
        <f aca="false">(C285+D285*$C$7)*$C$15</f>
        <v>2520.96760432059</v>
      </c>
      <c r="F285" s="15" t="n">
        <f aca="false">IF(E285&gt;0,E285*$C$13,0)</f>
        <v>0</v>
      </c>
      <c r="G285" s="15" t="n">
        <f aca="false">C285+D285+E285-F285</f>
        <v>435616.989916562</v>
      </c>
      <c r="H285" s="15" t="n">
        <f aca="false">G285/(1+$C$12)^(A285/$C$6)</f>
        <v>254601.370723206</v>
      </c>
      <c r="I285" s="15" t="n">
        <f aca="false">I284+D285</f>
        <v>190430.239914592</v>
      </c>
      <c r="J285" s="15" t="n">
        <f aca="false">J284+E285-F285</f>
        <v>245186.75000197</v>
      </c>
    </row>
    <row r="286" customFormat="false" ht="15" hidden="false" customHeight="false" outlineLevel="0" collapsed="false">
      <c r="A286" s="19" t="n">
        <f aca="false">A285+1</f>
        <v>262</v>
      </c>
      <c r="B286" s="19" t="n">
        <f aca="false">INT((A286-1)/$C$6)+1</f>
        <v>22</v>
      </c>
      <c r="C286" s="15" t="n">
        <f aca="false">G285</f>
        <v>435616.989916562</v>
      </c>
      <c r="D286" s="15" t="n">
        <f aca="false">$C$5*(1+$C$11)^(B286-1)</f>
        <v>930.147285854749</v>
      </c>
      <c r="E286" s="15" t="n">
        <f aca="false">(C286+D286*$C$7)*$C$15</f>
        <v>2541.09910784661</v>
      </c>
      <c r="F286" s="15" t="n">
        <f aca="false">IF(E286&gt;0,E286*$C$13,0)</f>
        <v>0</v>
      </c>
      <c r="G286" s="15" t="n">
        <f aca="false">C286+D286+E286-F286</f>
        <v>439088.236310263</v>
      </c>
      <c r="H286" s="15" t="n">
        <f aca="false">G286/(1+$C$12)^(A286/$C$6)</f>
        <v>256102.651158291</v>
      </c>
      <c r="I286" s="15" t="n">
        <f aca="false">I285+D286</f>
        <v>191360.387200447</v>
      </c>
      <c r="J286" s="15" t="n">
        <f aca="false">J285+E286-F286</f>
        <v>247727.849109817</v>
      </c>
    </row>
    <row r="287" customFormat="false" ht="15" hidden="false" customHeight="false" outlineLevel="0" collapsed="false">
      <c r="A287" s="19" t="n">
        <f aca="false">A286+1</f>
        <v>263</v>
      </c>
      <c r="B287" s="19" t="n">
        <f aca="false">INT((A287-1)/$C$6)+1</f>
        <v>22</v>
      </c>
      <c r="C287" s="15" t="n">
        <f aca="false">G286</f>
        <v>439088.236310263</v>
      </c>
      <c r="D287" s="15" t="n">
        <f aca="false">$C$5*(1+$C$11)^(B287-1)</f>
        <v>930.147285854749</v>
      </c>
      <c r="E287" s="15" t="n">
        <f aca="false">(C287+D287*$C$7)*$C$15</f>
        <v>2561.3480451432</v>
      </c>
      <c r="F287" s="15" t="n">
        <f aca="false">IF(E287&gt;0,E287*$C$13,0)</f>
        <v>0</v>
      </c>
      <c r="G287" s="15" t="n">
        <f aca="false">C287+D287+E287-F287</f>
        <v>442579.731641261</v>
      </c>
      <c r="H287" s="15" t="n">
        <f aca="false">G287/(1+$C$12)^(A287/$C$6)</f>
        <v>257608.469824824</v>
      </c>
      <c r="I287" s="15" t="n">
        <f aca="false">I286+D287</f>
        <v>192290.534486301</v>
      </c>
      <c r="J287" s="15" t="n">
        <f aca="false">J286+E287-F287</f>
        <v>250289.19715496</v>
      </c>
    </row>
    <row r="288" customFormat="false" ht="15" hidden="false" customHeight="false" outlineLevel="0" collapsed="false">
      <c r="A288" s="19" t="n">
        <f aca="false">A287+1</f>
        <v>264</v>
      </c>
      <c r="B288" s="19" t="n">
        <f aca="false">INT((A288-1)/$C$6)+1</f>
        <v>22</v>
      </c>
      <c r="C288" s="15" t="n">
        <f aca="false">G287</f>
        <v>442579.731641261</v>
      </c>
      <c r="D288" s="15" t="n">
        <f aca="false">$C$5*(1+$C$11)^(B288-1)</f>
        <v>930.147285854749</v>
      </c>
      <c r="E288" s="15" t="n">
        <f aca="false">(C288+D288*$C$7)*$C$15</f>
        <v>2581.71510124069</v>
      </c>
      <c r="F288" s="15" t="n">
        <f aca="false">IF(E288&gt;0,E288*$C$13,0)</f>
        <v>0</v>
      </c>
      <c r="G288" s="15" t="n">
        <f aca="false">C288+D288+E288-F288</f>
        <v>446091.594028356</v>
      </c>
      <c r="H288" s="15" t="n">
        <f aca="false">G288/(1+$C$12)^(A288/$C$6)</f>
        <v>259118.846105017</v>
      </c>
      <c r="I288" s="15" t="n">
        <f aca="false">I287+D288</f>
        <v>193220.681772156</v>
      </c>
      <c r="J288" s="15" t="n">
        <f aca="false">J287+E288-F288</f>
        <v>252870.9122562</v>
      </c>
    </row>
    <row r="289" customFormat="false" ht="15" hidden="false" customHeight="false" outlineLevel="0" collapsed="false">
      <c r="A289" s="19" t="n">
        <f aca="false">A288+1</f>
        <v>265</v>
      </c>
      <c r="B289" s="19" t="n">
        <f aca="false">INT((A289-1)/$C$6)+1</f>
        <v>23</v>
      </c>
      <c r="C289" s="15" t="n">
        <f aca="false">G288</f>
        <v>446091.594028356</v>
      </c>
      <c r="D289" s="15" t="n">
        <f aca="false">$C$5*(1+$C$11)^(B289-1)</f>
        <v>958.051704430391</v>
      </c>
      <c r="E289" s="15" t="n">
        <f aca="false">(C289+D289*$C$7)*$C$15</f>
        <v>2602.20096516541</v>
      </c>
      <c r="F289" s="15" t="n">
        <f aca="false">IF(E289&gt;0,E289*$C$13,0)</f>
        <v>0</v>
      </c>
      <c r="G289" s="15" t="n">
        <f aca="false">C289+D289+E289-F289</f>
        <v>449651.846697952</v>
      </c>
      <c r="H289" s="15" t="n">
        <f aca="false">G289/(1+$C$12)^(A289/$C$6)</f>
        <v>260649.974821596</v>
      </c>
      <c r="I289" s="15" t="n">
        <f aca="false">I288+D289</f>
        <v>194178.733476587</v>
      </c>
      <c r="J289" s="15" t="n">
        <f aca="false">J288+E289-F289</f>
        <v>255473.113221366</v>
      </c>
    </row>
    <row r="290" customFormat="false" ht="15" hidden="false" customHeight="false" outlineLevel="0" collapsed="false">
      <c r="A290" s="19" t="n">
        <f aca="false">A289+1</f>
        <v>266</v>
      </c>
      <c r="B290" s="19" t="n">
        <f aca="false">INT((A290-1)/$C$6)+1</f>
        <v>23</v>
      </c>
      <c r="C290" s="15" t="n">
        <f aca="false">G289</f>
        <v>449651.846697952</v>
      </c>
      <c r="D290" s="15" t="n">
        <f aca="false">$C$5*(1+$C$11)^(B290-1)</f>
        <v>958.051704430391</v>
      </c>
      <c r="E290" s="15" t="n">
        <f aca="false">(C290+D290*$C$7)*$C$15</f>
        <v>2622.96910573805</v>
      </c>
      <c r="F290" s="15" t="n">
        <f aca="false">IF(E290&gt;0,E290*$C$13,0)</f>
        <v>0</v>
      </c>
      <c r="G290" s="15" t="n">
        <f aca="false">C290+D290+E290-F290</f>
        <v>453232.867508121</v>
      </c>
      <c r="H290" s="15" t="n">
        <f aca="false">G290/(1+$C$12)^(A290/$C$6)</f>
        <v>262185.72778347</v>
      </c>
      <c r="I290" s="15" t="n">
        <f aca="false">I289+D290</f>
        <v>195136.785181017</v>
      </c>
      <c r="J290" s="15" t="n">
        <f aca="false">J289+E290-F290</f>
        <v>258096.082327104</v>
      </c>
    </row>
    <row r="291" customFormat="false" ht="15" hidden="false" customHeight="false" outlineLevel="0" collapsed="false">
      <c r="A291" s="19" t="n">
        <f aca="false">A290+1</f>
        <v>267</v>
      </c>
      <c r="B291" s="19" t="n">
        <f aca="false">INT((A291-1)/$C$6)+1</f>
        <v>23</v>
      </c>
      <c r="C291" s="15" t="n">
        <f aca="false">G290</f>
        <v>453232.867508121</v>
      </c>
      <c r="D291" s="15" t="n">
        <f aca="false">$C$5*(1+$C$11)^(B291-1)</f>
        <v>958.051704430391</v>
      </c>
      <c r="E291" s="15" t="n">
        <f aca="false">(C291+D291*$C$7)*$C$15</f>
        <v>2643.85839379737</v>
      </c>
      <c r="F291" s="15" t="n">
        <f aca="false">IF(E291&gt;0,E291*$C$13,0)</f>
        <v>0</v>
      </c>
      <c r="G291" s="15" t="n">
        <f aca="false">C291+D291+E291-F291</f>
        <v>456834.777606348</v>
      </c>
      <c r="H291" s="15" t="n">
        <f aca="false">G291/(1+$C$12)^(A291/$C$6)</f>
        <v>263726.124750995</v>
      </c>
      <c r="I291" s="15" t="n">
        <f aca="false">I290+D291</f>
        <v>196094.836885447</v>
      </c>
      <c r="J291" s="15" t="n">
        <f aca="false">J290+E291-F291</f>
        <v>260739.940720901</v>
      </c>
    </row>
    <row r="292" customFormat="false" ht="15" hidden="false" customHeight="false" outlineLevel="0" collapsed="false">
      <c r="A292" s="19" t="n">
        <f aca="false">A291+1</f>
        <v>268</v>
      </c>
      <c r="B292" s="19" t="n">
        <f aca="false">INT((A292-1)/$C$6)+1</f>
        <v>23</v>
      </c>
      <c r="C292" s="15" t="n">
        <f aca="false">G291</f>
        <v>456834.777606348</v>
      </c>
      <c r="D292" s="15" t="n">
        <f aca="false">$C$5*(1+$C$11)^(B292-1)</f>
        <v>958.051704430391</v>
      </c>
      <c r="E292" s="15" t="n">
        <f aca="false">(C292+D292*$C$7)*$C$15</f>
        <v>2664.86953603703</v>
      </c>
      <c r="F292" s="15" t="n">
        <f aca="false">IF(E292&gt;0,E292*$C$13,0)</f>
        <v>0</v>
      </c>
      <c r="G292" s="15" t="n">
        <f aca="false">C292+D292+E292-F292</f>
        <v>460457.698846816</v>
      </c>
      <c r="H292" s="15" t="n">
        <f aca="false">G292/(1+$C$12)^(A292/$C$6)</f>
        <v>265271.185554118</v>
      </c>
      <c r="I292" s="15" t="n">
        <f aca="false">I291+D292</f>
        <v>197052.888589878</v>
      </c>
      <c r="J292" s="15" t="n">
        <f aca="false">J291+E292-F292</f>
        <v>263404.810256938</v>
      </c>
    </row>
    <row r="293" customFormat="false" ht="15" hidden="false" customHeight="false" outlineLevel="0" collapsed="false">
      <c r="A293" s="19" t="n">
        <f aca="false">A292+1</f>
        <v>269</v>
      </c>
      <c r="B293" s="19" t="n">
        <f aca="false">INT((A293-1)/$C$6)+1</f>
        <v>23</v>
      </c>
      <c r="C293" s="15" t="n">
        <f aca="false">G292</f>
        <v>460457.698846816</v>
      </c>
      <c r="D293" s="15" t="n">
        <f aca="false">$C$5*(1+$C$11)^(B293-1)</f>
        <v>958.051704430391</v>
      </c>
      <c r="E293" s="15" t="n">
        <f aca="false">(C293+D293*$C$7)*$C$15</f>
        <v>2686.00324327309</v>
      </c>
      <c r="F293" s="15" t="n">
        <f aca="false">IF(E293&gt;0,E293*$C$13,0)</f>
        <v>0</v>
      </c>
      <c r="G293" s="15" t="n">
        <f aca="false">C293+D293+E293-F293</f>
        <v>464101.753794519</v>
      </c>
      <c r="H293" s="15" t="n">
        <f aca="false">G293/(1+$C$12)^(A293/$C$6)</f>
        <v>266820.930092645</v>
      </c>
      <c r="I293" s="15" t="n">
        <f aca="false">I292+D293</f>
        <v>198010.940294308</v>
      </c>
      <c r="J293" s="15" t="n">
        <f aca="false">J292+E293-F293</f>
        <v>266090.813500211</v>
      </c>
    </row>
    <row r="294" customFormat="false" ht="15" hidden="false" customHeight="false" outlineLevel="0" collapsed="false">
      <c r="A294" s="19" t="n">
        <f aca="false">A293+1</f>
        <v>270</v>
      </c>
      <c r="B294" s="19" t="n">
        <f aca="false">INT((A294-1)/$C$6)+1</f>
        <v>23</v>
      </c>
      <c r="C294" s="15" t="n">
        <f aca="false">G293</f>
        <v>464101.753794519</v>
      </c>
      <c r="D294" s="15" t="n">
        <f aca="false">$C$5*(1+$C$11)^(B294-1)</f>
        <v>958.051704430391</v>
      </c>
      <c r="E294" s="15" t="n">
        <f aca="false">(C294+D294*$C$7)*$C$15</f>
        <v>2707.26023046803</v>
      </c>
      <c r="F294" s="15" t="n">
        <f aca="false">IF(E294&gt;0,E294*$C$13,0)</f>
        <v>0</v>
      </c>
      <c r="G294" s="15" t="n">
        <f aca="false">C294+D294+E294-F294</f>
        <v>467767.065729417</v>
      </c>
      <c r="H294" s="15" t="n">
        <f aca="false">G294/(1+$C$12)^(A294/$C$6)</f>
        <v>268375.378336514</v>
      </c>
      <c r="I294" s="15" t="n">
        <f aca="false">I293+D294</f>
        <v>198968.991998739</v>
      </c>
      <c r="J294" s="15" t="n">
        <f aca="false">J293+E294-F294</f>
        <v>268798.073730679</v>
      </c>
    </row>
    <row r="295" customFormat="false" ht="15" hidden="false" customHeight="false" outlineLevel="0" collapsed="false">
      <c r="A295" s="19" t="n">
        <f aca="false">A294+1</f>
        <v>271</v>
      </c>
      <c r="B295" s="19" t="n">
        <f aca="false">INT((A295-1)/$C$6)+1</f>
        <v>23</v>
      </c>
      <c r="C295" s="15" t="n">
        <f aca="false">G294</f>
        <v>467767.065729417</v>
      </c>
      <c r="D295" s="15" t="n">
        <f aca="false">$C$5*(1+$C$11)^(B295-1)</f>
        <v>958.051704430391</v>
      </c>
      <c r="E295" s="15" t="n">
        <f aca="false">(C295+D295*$C$7)*$C$15</f>
        <v>2728.64121675494</v>
      </c>
      <c r="F295" s="15" t="n">
        <f aca="false">IF(E295&gt;0,E295*$C$13,0)</f>
        <v>0</v>
      </c>
      <c r="G295" s="15" t="n">
        <f aca="false">C295+D295+E295-F295</f>
        <v>471453.758650603</v>
      </c>
      <c r="H295" s="15" t="n">
        <f aca="false">G295/(1+$C$12)^(A295/$C$6)</f>
        <v>269934.550326073</v>
      </c>
      <c r="I295" s="15" t="n">
        <f aca="false">I294+D295</f>
        <v>199927.043703169</v>
      </c>
      <c r="J295" s="15" t="n">
        <f aca="false">J294+E295-F295</f>
        <v>271526.714947434</v>
      </c>
    </row>
    <row r="296" customFormat="false" ht="15" hidden="false" customHeight="false" outlineLevel="0" collapsed="false">
      <c r="A296" s="19" t="n">
        <f aca="false">A295+1</f>
        <v>272</v>
      </c>
      <c r="B296" s="19" t="n">
        <f aca="false">INT((A296-1)/$C$6)+1</f>
        <v>23</v>
      </c>
      <c r="C296" s="15" t="n">
        <f aca="false">G295</f>
        <v>471453.758650603</v>
      </c>
      <c r="D296" s="15" t="n">
        <f aca="false">$C$5*(1+$C$11)^(B296-1)</f>
        <v>958.051704430391</v>
      </c>
      <c r="E296" s="15" t="n">
        <f aca="false">(C296+D296*$C$7)*$C$15</f>
        <v>2750.14692546185</v>
      </c>
      <c r="F296" s="15" t="n">
        <f aca="false">IF(E296&gt;0,E296*$C$13,0)</f>
        <v>0</v>
      </c>
      <c r="G296" s="15" t="n">
        <f aca="false">C296+D296+E296-F296</f>
        <v>475161.957280495</v>
      </c>
      <c r="H296" s="15" t="n">
        <f aca="false">G296/(1+$C$12)^(A296/$C$6)</f>
        <v>271498.466172352</v>
      </c>
      <c r="I296" s="15" t="n">
        <f aca="false">I295+D296</f>
        <v>200885.095407599</v>
      </c>
      <c r="J296" s="15" t="n">
        <f aca="false">J295+E296-F296</f>
        <v>274276.861872896</v>
      </c>
    </row>
    <row r="297" customFormat="false" ht="15" hidden="false" customHeight="false" outlineLevel="0" collapsed="false">
      <c r="A297" s="19" t="n">
        <f aca="false">A296+1</f>
        <v>273</v>
      </c>
      <c r="B297" s="19" t="n">
        <f aca="false">INT((A297-1)/$C$6)+1</f>
        <v>23</v>
      </c>
      <c r="C297" s="15" t="n">
        <f aca="false">G296</f>
        <v>475161.957280495</v>
      </c>
      <c r="D297" s="15" t="n">
        <f aca="false">$C$5*(1+$C$11)^(B297-1)</f>
        <v>958.051704430391</v>
      </c>
      <c r="E297" s="15" t="n">
        <f aca="false">(C297+D297*$C$7)*$C$15</f>
        <v>2771.77808413622</v>
      </c>
      <c r="F297" s="15" t="n">
        <f aca="false">IF(E297&gt;0,E297*$C$13,0)</f>
        <v>0</v>
      </c>
      <c r="G297" s="15" t="n">
        <f aca="false">C297+D297+E297-F297</f>
        <v>478891.787069062</v>
      </c>
      <c r="H297" s="15" t="n">
        <f aca="false">G297/(1+$C$12)^(A297/$C$6)</f>
        <v>273067.146057338</v>
      </c>
      <c r="I297" s="15" t="n">
        <f aca="false">I296+D297</f>
        <v>201843.14711203</v>
      </c>
      <c r="J297" s="15" t="n">
        <f aca="false">J296+E297-F297</f>
        <v>277048.639957032</v>
      </c>
    </row>
    <row r="298" customFormat="false" ht="15" hidden="false" customHeight="false" outlineLevel="0" collapsed="false">
      <c r="A298" s="19" t="n">
        <f aca="false">A297+1</f>
        <v>274</v>
      </c>
      <c r="B298" s="19" t="n">
        <f aca="false">INT((A298-1)/$C$6)+1</f>
        <v>23</v>
      </c>
      <c r="C298" s="15" t="n">
        <f aca="false">G297</f>
        <v>478891.787069062</v>
      </c>
      <c r="D298" s="15" t="n">
        <f aca="false">$C$5*(1+$C$11)^(B298-1)</f>
        <v>958.051704430391</v>
      </c>
      <c r="E298" s="15" t="n">
        <f aca="false">(C298+D298*$C$7)*$C$15</f>
        <v>2793.53542456953</v>
      </c>
      <c r="F298" s="15" t="n">
        <f aca="false">IF(E298&gt;0,E298*$C$13,0)</f>
        <v>0</v>
      </c>
      <c r="G298" s="15" t="n">
        <f aca="false">C298+D298+E298-F298</f>
        <v>482643.374198061</v>
      </c>
      <c r="H298" s="15" t="n">
        <f aca="false">G298/(1+$C$12)^(A298/$C$6)</f>
        <v>274640.610234254</v>
      </c>
      <c r="I298" s="15" t="n">
        <f aca="false">I297+D298</f>
        <v>202801.19881646</v>
      </c>
      <c r="J298" s="15" t="n">
        <f aca="false">J297+E298-F298</f>
        <v>279842.175381602</v>
      </c>
    </row>
    <row r="299" customFormat="false" ht="15" hidden="false" customHeight="false" outlineLevel="0" collapsed="false">
      <c r="A299" s="19" t="n">
        <f aca="false">A298+1</f>
        <v>275</v>
      </c>
      <c r="B299" s="19" t="n">
        <f aca="false">INT((A299-1)/$C$6)+1</f>
        <v>23</v>
      </c>
      <c r="C299" s="15" t="n">
        <f aca="false">G298</f>
        <v>482643.374198061</v>
      </c>
      <c r="D299" s="15" t="n">
        <f aca="false">$C$5*(1+$C$11)^(B299-1)</f>
        <v>958.051704430391</v>
      </c>
      <c r="E299" s="15" t="n">
        <f aca="false">(C299+D299*$C$7)*$C$15</f>
        <v>2815.41968282202</v>
      </c>
      <c r="F299" s="15" t="n">
        <f aca="false">IF(E299&gt;0,E299*$C$13,0)</f>
        <v>0</v>
      </c>
      <c r="G299" s="15" t="n">
        <f aca="false">C299+D299+E299-F299</f>
        <v>486416.845585314</v>
      </c>
      <c r="H299" s="15" t="n">
        <f aca="false">G299/(1+$C$12)^(A299/$C$6)</f>
        <v>276218.879027839</v>
      </c>
      <c r="I299" s="15" t="n">
        <f aca="false">I298+D299</f>
        <v>203759.250520891</v>
      </c>
      <c r="J299" s="15" t="n">
        <f aca="false">J298+E299-F299</f>
        <v>282657.595064424</v>
      </c>
    </row>
    <row r="300" customFormat="false" ht="15" hidden="false" customHeight="false" outlineLevel="0" collapsed="false">
      <c r="A300" s="19" t="n">
        <f aca="false">A299+1</f>
        <v>276</v>
      </c>
      <c r="B300" s="19" t="n">
        <f aca="false">INT((A300-1)/$C$6)+1</f>
        <v>23</v>
      </c>
      <c r="C300" s="15" t="n">
        <f aca="false">G299</f>
        <v>486416.845585314</v>
      </c>
      <c r="D300" s="15" t="n">
        <f aca="false">$C$5*(1+$C$11)^(B300-1)</f>
        <v>958.051704430391</v>
      </c>
      <c r="E300" s="15" t="n">
        <f aca="false">(C300+D300*$C$7)*$C$15</f>
        <v>2837.43159924766</v>
      </c>
      <c r="F300" s="15" t="n">
        <f aca="false">IF(E300&gt;0,E300*$C$13,0)</f>
        <v>0</v>
      </c>
      <c r="G300" s="15" t="n">
        <f aca="false">C300+D300+E300-F300</f>
        <v>490212.328888992</v>
      </c>
      <c r="H300" s="15" t="n">
        <f aca="false">G300/(1+$C$12)^(A300/$C$6)</f>
        <v>277801.972834621</v>
      </c>
      <c r="I300" s="15" t="n">
        <f aca="false">I299+D300</f>
        <v>204717.302225321</v>
      </c>
      <c r="J300" s="15" t="n">
        <f aca="false">J299+E300-F300</f>
        <v>285495.026663672</v>
      </c>
    </row>
    <row r="301" customFormat="false" ht="15" hidden="false" customHeight="false" outlineLevel="0" collapsed="false">
      <c r="A301" s="19" t="n">
        <f aca="false">A300+1</f>
        <v>277</v>
      </c>
      <c r="B301" s="19" t="n">
        <f aca="false">INT((A301-1)/$C$6)+1</f>
        <v>24</v>
      </c>
      <c r="C301" s="15" t="n">
        <f aca="false">G300</f>
        <v>490212.328888992</v>
      </c>
      <c r="D301" s="15" t="n">
        <f aca="false">$C$5*(1+$C$11)^(B301-1)</f>
        <v>986.793255563303</v>
      </c>
      <c r="E301" s="15" t="n">
        <f aca="false">(C301+D301*$C$7)*$C$15</f>
        <v>2859.57191851912</v>
      </c>
      <c r="F301" s="15" t="n">
        <f aca="false">IF(E301&gt;0,E301*$C$13,0)</f>
        <v>0</v>
      </c>
      <c r="G301" s="15" t="n">
        <f aca="false">C301+D301+E301-F301</f>
        <v>494058.694063074</v>
      </c>
      <c r="H301" s="15" t="n">
        <f aca="false">G301/(1+$C$12)^(A301/$C$6)</f>
        <v>279406.1663997</v>
      </c>
      <c r="I301" s="15" t="n">
        <f aca="false">I300+D301</f>
        <v>205704.095480884</v>
      </c>
      <c r="J301" s="15" t="n">
        <f aca="false">J300+E301-F301</f>
        <v>288354.598582191</v>
      </c>
    </row>
    <row r="302" customFormat="false" ht="15" hidden="false" customHeight="false" outlineLevel="0" collapsed="false">
      <c r="A302" s="19" t="n">
        <f aca="false">A301+1</f>
        <v>278</v>
      </c>
      <c r="B302" s="19" t="n">
        <f aca="false">INT((A302-1)/$C$6)+1</f>
        <v>24</v>
      </c>
      <c r="C302" s="15" t="n">
        <f aca="false">G301</f>
        <v>494058.694063074</v>
      </c>
      <c r="D302" s="15" t="n">
        <f aca="false">$C$5*(1+$C$11)^(B302-1)</f>
        <v>986.793255563303</v>
      </c>
      <c r="E302" s="15" t="n">
        <f aca="false">(C302+D302*$C$7)*$C$15</f>
        <v>2882.00904870127</v>
      </c>
      <c r="F302" s="15" t="n">
        <f aca="false">IF(E302&gt;0,E302*$C$13,0)</f>
        <v>0</v>
      </c>
      <c r="G302" s="15" t="n">
        <f aca="false">C302+D302+E302-F302</f>
        <v>497927.496367339</v>
      </c>
      <c r="H302" s="15" t="n">
        <f aca="false">G302/(1+$C$12)^(A302/$C$6)</f>
        <v>281015.253784594</v>
      </c>
      <c r="I302" s="15" t="n">
        <f aca="false">I301+D302</f>
        <v>206690.888736448</v>
      </c>
      <c r="J302" s="15" t="n">
        <f aca="false">J301+E302-F302</f>
        <v>291236.607630892</v>
      </c>
    </row>
    <row r="303" customFormat="false" ht="15" hidden="false" customHeight="false" outlineLevel="0" collapsed="false">
      <c r="A303" s="19" t="n">
        <f aca="false">A302+1</f>
        <v>279</v>
      </c>
      <c r="B303" s="19" t="n">
        <f aca="false">INT((A303-1)/$C$6)+1</f>
        <v>24</v>
      </c>
      <c r="C303" s="15" t="n">
        <f aca="false">G302</f>
        <v>497927.496367339</v>
      </c>
      <c r="D303" s="15" t="n">
        <f aca="false">$C$5*(1+$C$11)^(B303-1)</f>
        <v>986.793255563303</v>
      </c>
      <c r="E303" s="15" t="n">
        <f aca="false">(C303+D303*$C$7)*$C$15</f>
        <v>2904.57706214281</v>
      </c>
      <c r="F303" s="15" t="n">
        <f aca="false">IF(E303&gt;0,E303*$C$13,0)</f>
        <v>0</v>
      </c>
      <c r="G303" s="15" t="n">
        <f aca="false">C303+D303+E303-F303</f>
        <v>501818.866685045</v>
      </c>
      <c r="H303" s="15" t="n">
        <f aca="false">G303/(1+$C$12)^(A303/$C$6)</f>
        <v>282629.255776255</v>
      </c>
      <c r="I303" s="15" t="n">
        <f aca="false">I302+D303</f>
        <v>207677.681992011</v>
      </c>
      <c r="J303" s="15" t="n">
        <f aca="false">J302+E303-F303</f>
        <v>294141.184693035</v>
      </c>
    </row>
    <row r="304" customFormat="false" ht="15" hidden="false" customHeight="false" outlineLevel="0" collapsed="false">
      <c r="A304" s="19" t="n">
        <f aca="false">A303+1</f>
        <v>280</v>
      </c>
      <c r="B304" s="19" t="n">
        <f aca="false">INT((A304-1)/$C$6)+1</f>
        <v>24</v>
      </c>
      <c r="C304" s="15" t="n">
        <f aca="false">G303</f>
        <v>501818.866685045</v>
      </c>
      <c r="D304" s="15" t="n">
        <f aca="false">$C$5*(1+$C$11)^(B304-1)</f>
        <v>986.793255563303</v>
      </c>
      <c r="E304" s="15" t="n">
        <f aca="false">(C304+D304*$C$7)*$C$15</f>
        <v>2927.27672232943</v>
      </c>
      <c r="F304" s="15" t="n">
        <f aca="false">IF(E304&gt;0,E304*$C$13,0)</f>
        <v>0</v>
      </c>
      <c r="G304" s="15" t="n">
        <f aca="false">C304+D304+E304-F304</f>
        <v>505732.936662938</v>
      </c>
      <c r="H304" s="15" t="n">
        <f aca="false">G304/(1+$C$12)^(A304/$C$6)</f>
        <v>284248.193235067</v>
      </c>
      <c r="I304" s="15" t="n">
        <f aca="false">I303+D304</f>
        <v>208664.475247574</v>
      </c>
      <c r="J304" s="15" t="n">
        <f aca="false">J303+E304-F304</f>
        <v>297068.461415364</v>
      </c>
    </row>
    <row r="305" customFormat="false" ht="15" hidden="false" customHeight="false" outlineLevel="0" collapsed="false">
      <c r="A305" s="19" t="n">
        <f aca="false">A304+1</f>
        <v>281</v>
      </c>
      <c r="B305" s="19" t="n">
        <f aca="false">INT((A305-1)/$C$6)+1</f>
        <v>24</v>
      </c>
      <c r="C305" s="15" t="n">
        <f aca="false">G304</f>
        <v>505732.936662938</v>
      </c>
      <c r="D305" s="15" t="n">
        <f aca="false">$C$5*(1+$C$11)^(B305-1)</f>
        <v>986.793255563303</v>
      </c>
      <c r="E305" s="15" t="n">
        <f aca="false">(C305+D305*$C$7)*$C$15</f>
        <v>2950.10879720047</v>
      </c>
      <c r="F305" s="15" t="n">
        <f aca="false">IF(E305&gt;0,E305*$C$13,0)</f>
        <v>0</v>
      </c>
      <c r="G305" s="15" t="n">
        <f aca="false">C305+D305+E305-F305</f>
        <v>509669.838715701</v>
      </c>
      <c r="H305" s="15" t="n">
        <f aca="false">G305/(1+$C$12)^(A305/$C$6)</f>
        <v>285872.087095127</v>
      </c>
      <c r="I305" s="15" t="n">
        <f aca="false">I304+D305</f>
        <v>209651.268503138</v>
      </c>
      <c r="J305" s="15" t="n">
        <f aca="false">J304+E305-F305</f>
        <v>300018.570212565</v>
      </c>
    </row>
    <row r="306" customFormat="false" ht="15" hidden="false" customHeight="false" outlineLevel="0" collapsed="false">
      <c r="A306" s="19" t="n">
        <f aca="false">A305+1</f>
        <v>282</v>
      </c>
      <c r="B306" s="19" t="n">
        <f aca="false">INT((A306-1)/$C$6)+1</f>
        <v>24</v>
      </c>
      <c r="C306" s="15" t="n">
        <f aca="false">G305</f>
        <v>509669.838715701</v>
      </c>
      <c r="D306" s="15" t="n">
        <f aca="false">$C$5*(1+$C$11)^(B306-1)</f>
        <v>986.793255563303</v>
      </c>
      <c r="E306" s="15" t="n">
        <f aca="false">(C306+D306*$C$7)*$C$15</f>
        <v>2973.07405917493</v>
      </c>
      <c r="F306" s="15" t="n">
        <f aca="false">IF(E306&gt;0,E306*$C$13,0)</f>
        <v>0</v>
      </c>
      <c r="G306" s="15" t="n">
        <f aca="false">C306+D306+E306-F306</f>
        <v>513629.70603044</v>
      </c>
      <c r="H306" s="15" t="n">
        <f aca="false">G306/(1+$C$12)^(A306/$C$6)</f>
        <v>287500.958364542</v>
      </c>
      <c r="I306" s="15" t="n">
        <f aca="false">I305+D306</f>
        <v>210638.061758701</v>
      </c>
      <c r="J306" s="15" t="n">
        <f aca="false">J305+E306-F306</f>
        <v>302991.64427174</v>
      </c>
    </row>
    <row r="307" customFormat="false" ht="15" hidden="false" customHeight="false" outlineLevel="0" collapsed="false">
      <c r="A307" s="19" t="n">
        <f aca="false">A306+1</f>
        <v>283</v>
      </c>
      <c r="B307" s="19" t="n">
        <f aca="false">INT((A307-1)/$C$6)+1</f>
        <v>24</v>
      </c>
      <c r="C307" s="15" t="n">
        <f aca="false">G306</f>
        <v>513629.70603044</v>
      </c>
      <c r="D307" s="15" t="n">
        <f aca="false">$C$5*(1+$C$11)^(B307-1)</f>
        <v>986.793255563303</v>
      </c>
      <c r="E307" s="15" t="n">
        <f aca="false">(C307+D307*$C$7)*$C$15</f>
        <v>2996.17328517756</v>
      </c>
      <c r="F307" s="15" t="n">
        <f aca="false">IF(E307&gt;0,E307*$C$13,0)</f>
        <v>0</v>
      </c>
      <c r="G307" s="15" t="n">
        <f aca="false">C307+D307+E307-F307</f>
        <v>517612.672571181</v>
      </c>
      <c r="H307" s="15" t="n">
        <f aca="false">G307/(1+$C$12)^(A307/$C$6)</f>
        <v>289134.82812571</v>
      </c>
      <c r="I307" s="15" t="n">
        <f aca="false">I306+D307</f>
        <v>211624.855014264</v>
      </c>
      <c r="J307" s="15" t="n">
        <f aca="false">J306+E307-F307</f>
        <v>305987.817556917</v>
      </c>
    </row>
    <row r="308" customFormat="false" ht="15" hidden="false" customHeight="false" outlineLevel="0" collapsed="false">
      <c r="A308" s="19" t="n">
        <f aca="false">A307+1</f>
        <v>284</v>
      </c>
      <c r="B308" s="19" t="n">
        <f aca="false">INT((A308-1)/$C$6)+1</f>
        <v>24</v>
      </c>
      <c r="C308" s="15" t="n">
        <f aca="false">G307</f>
        <v>517612.672571181</v>
      </c>
      <c r="D308" s="15" t="n">
        <f aca="false">$C$5*(1+$C$11)^(B308-1)</f>
        <v>986.793255563303</v>
      </c>
      <c r="E308" s="15" t="n">
        <f aca="false">(C308+D308*$C$7)*$C$15</f>
        <v>3019.40725666522</v>
      </c>
      <c r="F308" s="15" t="n">
        <f aca="false">IF(E308&gt;0,E308*$C$13,0)</f>
        <v>0</v>
      </c>
      <c r="G308" s="15" t="n">
        <f aca="false">C308+D308+E308-F308</f>
        <v>521618.873083409</v>
      </c>
      <c r="H308" s="15" t="n">
        <f aca="false">G308/(1+$C$12)^(A308/$C$6)</f>
        <v>290773.717535613</v>
      </c>
      <c r="I308" s="15" t="n">
        <f aca="false">I307+D308</f>
        <v>212611.648269827</v>
      </c>
      <c r="J308" s="15" t="n">
        <f aca="false">J307+E308-F308</f>
        <v>309007.224813582</v>
      </c>
    </row>
    <row r="309" customFormat="false" ht="15" hidden="false" customHeight="false" outlineLevel="0" collapsed="false">
      <c r="A309" s="19" t="n">
        <f aca="false">A308+1</f>
        <v>285</v>
      </c>
      <c r="B309" s="19" t="n">
        <f aca="false">INT((A309-1)/$C$6)+1</f>
        <v>24</v>
      </c>
      <c r="C309" s="15" t="n">
        <f aca="false">G308</f>
        <v>521618.873083409</v>
      </c>
      <c r="D309" s="15" t="n">
        <f aca="false">$C$5*(1+$C$11)^(B309-1)</f>
        <v>986.793255563303</v>
      </c>
      <c r="E309" s="15" t="n">
        <f aca="false">(C309+D309*$C$7)*$C$15</f>
        <v>3042.77675965322</v>
      </c>
      <c r="F309" s="15" t="n">
        <f aca="false">IF(E309&gt;0,E309*$C$13,0)</f>
        <v>0</v>
      </c>
      <c r="G309" s="15" t="n">
        <f aca="false">C309+D309+E309-F309</f>
        <v>525648.443098626</v>
      </c>
      <c r="H309" s="15" t="n">
        <f aca="false">G309/(1+$C$12)^(A309/$C$6)</f>
        <v>292417.647826106</v>
      </c>
      <c r="I309" s="15" t="n">
        <f aca="false">I308+D309</f>
        <v>213598.441525391</v>
      </c>
      <c r="J309" s="15" t="n">
        <f aca="false">J308+E309-F309</f>
        <v>312050.001573236</v>
      </c>
    </row>
    <row r="310" customFormat="false" ht="15" hidden="false" customHeight="false" outlineLevel="0" collapsed="false">
      <c r="A310" s="19" t="n">
        <f aca="false">A309+1</f>
        <v>286</v>
      </c>
      <c r="B310" s="19" t="n">
        <f aca="false">INT((A310-1)/$C$6)+1</f>
        <v>24</v>
      </c>
      <c r="C310" s="15" t="n">
        <f aca="false">G309</f>
        <v>525648.443098626</v>
      </c>
      <c r="D310" s="15" t="n">
        <f aca="false">$C$5*(1+$C$11)^(B310-1)</f>
        <v>986.793255563303</v>
      </c>
      <c r="E310" s="15" t="n">
        <f aca="false">(C310+D310*$C$7)*$C$15</f>
        <v>3066.28258474198</v>
      </c>
      <c r="F310" s="15" t="n">
        <f aca="false">IF(E310&gt;0,E310*$C$13,0)</f>
        <v>0</v>
      </c>
      <c r="G310" s="15" t="n">
        <f aca="false">C310+D310+E310-F310</f>
        <v>529701.518938931</v>
      </c>
      <c r="H310" s="15" t="n">
        <f aca="false">G310/(1+$C$12)^(A310/$C$6)</f>
        <v>294066.64030421</v>
      </c>
      <c r="I310" s="15" t="n">
        <f aca="false">I309+D310</f>
        <v>214585.234780954</v>
      </c>
      <c r="J310" s="15" t="n">
        <f aca="false">J309+E310-F310</f>
        <v>315116.284157978</v>
      </c>
    </row>
    <row r="311" customFormat="false" ht="15" hidden="false" customHeight="false" outlineLevel="0" collapsed="false">
      <c r="A311" s="19" t="n">
        <f aca="false">A310+1</f>
        <v>287</v>
      </c>
      <c r="B311" s="19" t="n">
        <f aca="false">INT((A311-1)/$C$6)+1</f>
        <v>24</v>
      </c>
      <c r="C311" s="15" t="n">
        <f aca="false">G310</f>
        <v>529701.518938931</v>
      </c>
      <c r="D311" s="15" t="n">
        <f aca="false">$C$5*(1+$C$11)^(B311-1)</f>
        <v>986.793255563303</v>
      </c>
      <c r="E311" s="15" t="n">
        <f aca="false">(C311+D311*$C$7)*$C$15</f>
        <v>3089.92552714376</v>
      </c>
      <c r="F311" s="15" t="n">
        <f aca="false">IF(E311&gt;0,E311*$C$13,0)</f>
        <v>0</v>
      </c>
      <c r="G311" s="15" t="n">
        <f aca="false">C311+D311+E311-F311</f>
        <v>533778.237721638</v>
      </c>
      <c r="H311" s="15" t="n">
        <f aca="false">G311/(1+$C$12)^(A311/$C$6)</f>
        <v>295720.716352407</v>
      </c>
      <c r="I311" s="15" t="n">
        <f aca="false">I310+D311</f>
        <v>215572.028036517</v>
      </c>
      <c r="J311" s="15" t="n">
        <f aca="false">J310+E311-F311</f>
        <v>318206.209685121</v>
      </c>
    </row>
    <row r="312" customFormat="false" ht="15" hidden="false" customHeight="false" outlineLevel="0" collapsed="false">
      <c r="A312" s="19" t="n">
        <f aca="false">A311+1</f>
        <v>288</v>
      </c>
      <c r="B312" s="19" t="n">
        <f aca="false">INT((A312-1)/$C$6)+1</f>
        <v>24</v>
      </c>
      <c r="C312" s="15" t="n">
        <f aca="false">G311</f>
        <v>533778.237721638</v>
      </c>
      <c r="D312" s="15" t="n">
        <f aca="false">$C$5*(1+$C$11)^(B312-1)</f>
        <v>986.793255563303</v>
      </c>
      <c r="E312" s="15" t="n">
        <f aca="false">(C312+D312*$C$7)*$C$15</f>
        <v>3113.70638670956</v>
      </c>
      <c r="F312" s="15" t="n">
        <f aca="false">IF(E312&gt;0,E312*$C$13,0)</f>
        <v>0</v>
      </c>
      <c r="G312" s="15" t="n">
        <f aca="false">C312+D312+E312-F312</f>
        <v>537878.737363911</v>
      </c>
      <c r="H312" s="15" t="n">
        <f aca="false">G312/(1+$C$12)^(A312/$C$6)</f>
        <v>297379.897428928</v>
      </c>
      <c r="I312" s="15" t="n">
        <f aca="false">I311+D312</f>
        <v>216558.821292081</v>
      </c>
      <c r="J312" s="15" t="n">
        <f aca="false">J311+E312-F312</f>
        <v>321319.916071831</v>
      </c>
    </row>
    <row r="313" customFormat="false" ht="15" hidden="false" customHeight="false" outlineLevel="0" collapsed="false">
      <c r="A313" s="19" t="n">
        <f aca="false">A312+1</f>
        <v>289</v>
      </c>
      <c r="B313" s="19" t="n">
        <f aca="false">INT((A313-1)/$C$6)+1</f>
        <v>25</v>
      </c>
      <c r="C313" s="15" t="n">
        <f aca="false">G312</f>
        <v>537878.737363911</v>
      </c>
      <c r="D313" s="15" t="n">
        <f aca="false">$C$5*(1+$C$11)^(B313-1)</f>
        <v>1016.3970532302</v>
      </c>
      <c r="E313" s="15" t="n">
        <f aca="false">(C313+D313*$C$7)*$C$15</f>
        <v>3137.62596795615</v>
      </c>
      <c r="F313" s="15" t="n">
        <f aca="false">IF(E313&gt;0,E313*$C$13,0)</f>
        <v>0</v>
      </c>
      <c r="G313" s="15" t="n">
        <f aca="false">C313+D313+E313-F313</f>
        <v>542032.760385097</v>
      </c>
      <c r="H313" s="15" t="n">
        <f aca="false">G313/(1+$C$12)^(A313/$C$6)</f>
        <v>299060.538633705</v>
      </c>
      <c r="I313" s="15" t="n">
        <f aca="false">I312+D313</f>
        <v>217575.218345311</v>
      </c>
      <c r="J313" s="15" t="n">
        <f aca="false">J312+E313-F313</f>
        <v>324457.542039787</v>
      </c>
    </row>
    <row r="314" customFormat="false" ht="15" hidden="false" customHeight="false" outlineLevel="0" collapsed="false">
      <c r="A314" s="19" t="n">
        <f aca="false">A313+1</f>
        <v>290</v>
      </c>
      <c r="B314" s="19" t="n">
        <f aca="false">INT((A314-1)/$C$6)+1</f>
        <v>25</v>
      </c>
      <c r="C314" s="15" t="n">
        <f aca="false">G313</f>
        <v>542032.760385097</v>
      </c>
      <c r="D314" s="15" t="n">
        <f aca="false">$C$5*(1+$C$11)^(B314-1)</f>
        <v>1016.3970532302</v>
      </c>
      <c r="E314" s="15" t="n">
        <f aca="false">(C314+D314*$C$7)*$C$15</f>
        <v>3161.85776891307</v>
      </c>
      <c r="F314" s="15" t="n">
        <f aca="false">IF(E314&gt;0,E314*$C$13,0)</f>
        <v>0</v>
      </c>
      <c r="G314" s="15" t="n">
        <f aca="false">C314+D314+E314-F314</f>
        <v>546211.015207241</v>
      </c>
      <c r="H314" s="15" t="n">
        <f aca="false">G314/(1+$C$12)^(A314/$C$6)</f>
        <v>300746.355944367</v>
      </c>
      <c r="I314" s="15" t="n">
        <f aca="false">I313+D314</f>
        <v>218591.615398541</v>
      </c>
      <c r="J314" s="15" t="n">
        <f aca="false">J313+E314-F314</f>
        <v>327619.3998087</v>
      </c>
    </row>
    <row r="315" customFormat="false" ht="15" hidden="false" customHeight="false" outlineLevel="0" collapsed="false">
      <c r="A315" s="19" t="n">
        <f aca="false">A314+1</f>
        <v>291</v>
      </c>
      <c r="B315" s="19" t="n">
        <f aca="false">INT((A315-1)/$C$6)+1</f>
        <v>25</v>
      </c>
      <c r="C315" s="15" t="n">
        <f aca="false">G314</f>
        <v>546211.015207241</v>
      </c>
      <c r="D315" s="15" t="n">
        <f aca="false">$C$5*(1+$C$11)^(B315-1)</f>
        <v>1016.3970532302</v>
      </c>
      <c r="E315" s="15" t="n">
        <f aca="false">(C315+D315*$C$7)*$C$15</f>
        <v>3186.23092204224</v>
      </c>
      <c r="F315" s="15" t="n">
        <f aca="false">IF(E315&gt;0,E315*$C$13,0)</f>
        <v>0</v>
      </c>
      <c r="G315" s="15" t="n">
        <f aca="false">C315+D315+E315-F315</f>
        <v>550413.643182513</v>
      </c>
      <c r="H315" s="15" t="n">
        <f aca="false">G315/(1+$C$12)^(A315/$C$6)</f>
        <v>302437.371222383</v>
      </c>
      <c r="I315" s="15" t="n">
        <f aca="false">I314+D315</f>
        <v>219608.012451771</v>
      </c>
      <c r="J315" s="15" t="n">
        <f aca="false">J314+E315-F315</f>
        <v>330805.630730742</v>
      </c>
    </row>
    <row r="316" customFormat="false" ht="15" hidden="false" customHeight="false" outlineLevel="0" collapsed="false">
      <c r="A316" s="19" t="n">
        <f aca="false">A315+1</f>
        <v>292</v>
      </c>
      <c r="B316" s="19" t="n">
        <f aca="false">INT((A316-1)/$C$6)+1</f>
        <v>25</v>
      </c>
      <c r="C316" s="15" t="n">
        <f aca="false">G315</f>
        <v>550413.643182513</v>
      </c>
      <c r="D316" s="15" t="n">
        <f aca="false">$C$5*(1+$C$11)^(B316-1)</f>
        <v>1016.3970532302</v>
      </c>
      <c r="E316" s="15" t="n">
        <f aca="false">(C316+D316*$C$7)*$C$15</f>
        <v>3210.74625189799</v>
      </c>
      <c r="F316" s="15" t="n">
        <f aca="false">IF(E316&gt;0,E316*$C$13,0)</f>
        <v>0</v>
      </c>
      <c r="G316" s="15" t="n">
        <f aca="false">C316+D316+E316-F316</f>
        <v>554640.786487641</v>
      </c>
      <c r="H316" s="15" t="n">
        <f aca="false">G316/(1+$C$12)^(A316/$C$6)</f>
        <v>304133.606406679</v>
      </c>
      <c r="I316" s="15" t="n">
        <f aca="false">I315+D316</f>
        <v>220624.409505001</v>
      </c>
      <c r="J316" s="15" t="n">
        <f aca="false">J315+E316-F316</f>
        <v>334016.37698264</v>
      </c>
    </row>
    <row r="317" customFormat="false" ht="15" hidden="false" customHeight="false" outlineLevel="0" collapsed="false">
      <c r="A317" s="19" t="n">
        <f aca="false">A316+1</f>
        <v>293</v>
      </c>
      <c r="B317" s="19" t="n">
        <f aca="false">INT((A317-1)/$C$6)+1</f>
        <v>25</v>
      </c>
      <c r="C317" s="15" t="n">
        <f aca="false">G316</f>
        <v>554640.786487641</v>
      </c>
      <c r="D317" s="15" t="n">
        <f aca="false">$C$5*(1+$C$11)^(B317-1)</f>
        <v>1016.3970532302</v>
      </c>
      <c r="E317" s="15" t="n">
        <f aca="false">(C317+D317*$C$7)*$C$15</f>
        <v>3235.40458784457</v>
      </c>
      <c r="F317" s="15" t="n">
        <f aca="false">IF(E317&gt;0,E317*$C$13,0)</f>
        <v>0</v>
      </c>
      <c r="G317" s="15" t="n">
        <f aca="false">C317+D317+E317-F317</f>
        <v>558892.588128716</v>
      </c>
      <c r="H317" s="15" t="n">
        <f aca="false">G317/(1+$C$12)^(A317/$C$6)</f>
        <v>305835.083513934</v>
      </c>
      <c r="I317" s="15" t="n">
        <f aca="false">I316+D317</f>
        <v>221640.806558232</v>
      </c>
      <c r="J317" s="15" t="n">
        <f aca="false">J316+E317-F317</f>
        <v>337251.781570485</v>
      </c>
    </row>
    <row r="318" customFormat="false" ht="15" hidden="false" customHeight="false" outlineLevel="0" collapsed="false">
      <c r="A318" s="19" t="n">
        <f aca="false">A317+1</f>
        <v>294</v>
      </c>
      <c r="B318" s="19" t="n">
        <f aca="false">INT((A318-1)/$C$6)+1</f>
        <v>25</v>
      </c>
      <c r="C318" s="15" t="n">
        <f aca="false">G317</f>
        <v>558892.588128716</v>
      </c>
      <c r="D318" s="15" t="n">
        <f aca="false">$C$5*(1+$C$11)^(B318-1)</f>
        <v>1016.3970532302</v>
      </c>
      <c r="E318" s="15" t="n">
        <f aca="false">(C318+D318*$C$7)*$C$15</f>
        <v>3260.20676408418</v>
      </c>
      <c r="F318" s="15" t="n">
        <f aca="false">IF(E318&gt;0,E318*$C$13,0)</f>
        <v>0</v>
      </c>
      <c r="G318" s="15" t="n">
        <f aca="false">C318+D318+E318-F318</f>
        <v>563169.19194603</v>
      </c>
      <c r="H318" s="15" t="n">
        <f aca="false">G318/(1+$C$12)^(A318/$C$6)</f>
        <v>307541.824638885</v>
      </c>
      <c r="I318" s="15" t="n">
        <f aca="false">I317+D318</f>
        <v>222657.203611462</v>
      </c>
      <c r="J318" s="15" t="n">
        <f aca="false">J317+E318-F318</f>
        <v>340511.988334569</v>
      </c>
    </row>
    <row r="319" customFormat="false" ht="15" hidden="false" customHeight="false" outlineLevel="0" collapsed="false">
      <c r="A319" s="19" t="n">
        <f aca="false">A318+1</f>
        <v>295</v>
      </c>
      <c r="B319" s="19" t="n">
        <f aca="false">INT((A319-1)/$C$6)+1</f>
        <v>25</v>
      </c>
      <c r="C319" s="15" t="n">
        <f aca="false">G318</f>
        <v>563169.19194603</v>
      </c>
      <c r="D319" s="15" t="n">
        <f aca="false">$C$5*(1+$C$11)^(B319-1)</f>
        <v>1016.3970532302</v>
      </c>
      <c r="E319" s="15" t="n">
        <f aca="false">(C319+D319*$C$7)*$C$15</f>
        <v>3285.15361968518</v>
      </c>
      <c r="F319" s="15" t="n">
        <f aca="false">IF(E319&gt;0,E319*$C$13,0)</f>
        <v>0</v>
      </c>
      <c r="G319" s="15" t="n">
        <f aca="false">C319+D319+E319-F319</f>
        <v>567470.742618946</v>
      </c>
      <c r="H319" s="15" t="n">
        <f aca="false">G319/(1+$C$12)^(A319/$C$6)</f>
        <v>309253.851954631</v>
      </c>
      <c r="I319" s="15" t="n">
        <f aca="false">I318+D319</f>
        <v>223673.600664692</v>
      </c>
      <c r="J319" s="15" t="n">
        <f aca="false">J318+E319-F319</f>
        <v>343797.141954254</v>
      </c>
    </row>
    <row r="320" customFormat="false" ht="15" hidden="false" customHeight="false" outlineLevel="0" collapsed="false">
      <c r="A320" s="19" t="n">
        <f aca="false">A319+1</f>
        <v>296</v>
      </c>
      <c r="B320" s="19" t="n">
        <f aca="false">INT((A320-1)/$C$6)+1</f>
        <v>25</v>
      </c>
      <c r="C320" s="15" t="n">
        <f aca="false">G319</f>
        <v>567470.742618946</v>
      </c>
      <c r="D320" s="15" t="n">
        <f aca="false">$C$5*(1+$C$11)^(B320-1)</f>
        <v>1016.3970532302</v>
      </c>
      <c r="E320" s="15" t="n">
        <f aca="false">(C320+D320*$C$7)*$C$15</f>
        <v>3310.24599861052</v>
      </c>
      <c r="F320" s="15" t="n">
        <f aca="false">IF(E320&gt;0,E320*$C$13,0)</f>
        <v>0</v>
      </c>
      <c r="G320" s="15" t="n">
        <f aca="false">C320+D320+E320-F320</f>
        <v>571797.385670787</v>
      </c>
      <c r="H320" s="15" t="n">
        <f aca="false">G320/(1+$C$12)^(A320/$C$6)</f>
        <v>310971.187712941</v>
      </c>
      <c r="I320" s="15" t="n">
        <f aca="false">I319+D320</f>
        <v>224689.997717922</v>
      </c>
      <c r="J320" s="15" t="n">
        <f aca="false">J319+E320-F320</f>
        <v>347107.387952865</v>
      </c>
    </row>
    <row r="321" customFormat="false" ht="15" hidden="false" customHeight="false" outlineLevel="0" collapsed="false">
      <c r="A321" s="19" t="n">
        <f aca="false">A320+1</f>
        <v>297</v>
      </c>
      <c r="B321" s="19" t="n">
        <f aca="false">INT((A321-1)/$C$6)+1</f>
        <v>25</v>
      </c>
      <c r="C321" s="15" t="n">
        <f aca="false">G320</f>
        <v>571797.385670787</v>
      </c>
      <c r="D321" s="15" t="n">
        <f aca="false">$C$5*(1+$C$11)^(B321-1)</f>
        <v>1016.3970532302</v>
      </c>
      <c r="E321" s="15" t="n">
        <f aca="false">(C321+D321*$C$7)*$C$15</f>
        <v>3335.48474974625</v>
      </c>
      <c r="F321" s="15" t="n">
        <f aca="false">IF(E321&gt;0,E321*$C$13,0)</f>
        <v>0</v>
      </c>
      <c r="G321" s="15" t="n">
        <f aca="false">C321+D321+E321-F321</f>
        <v>576149.267473763</v>
      </c>
      <c r="H321" s="15" t="n">
        <f aca="false">G321/(1+$C$12)^(A321/$C$6)</f>
        <v>312693.854244553</v>
      </c>
      <c r="I321" s="15" t="n">
        <f aca="false">I320+D321</f>
        <v>225706.394771152</v>
      </c>
      <c r="J321" s="15" t="n">
        <f aca="false">J320+E321-F321</f>
        <v>350442.872702611</v>
      </c>
    </row>
    <row r="322" customFormat="false" ht="15" hidden="false" customHeight="false" outlineLevel="0" collapsed="false">
      <c r="A322" s="19" t="n">
        <f aca="false">A321+1</f>
        <v>298</v>
      </c>
      <c r="B322" s="19" t="n">
        <f aca="false">INT((A322-1)/$C$6)+1</f>
        <v>25</v>
      </c>
      <c r="C322" s="15" t="n">
        <f aca="false">G321</f>
        <v>576149.267473763</v>
      </c>
      <c r="D322" s="15" t="n">
        <f aca="false">$C$5*(1+$C$11)^(B322-1)</f>
        <v>1016.3970532302</v>
      </c>
      <c r="E322" s="15" t="n">
        <f aca="false">(C322+D322*$C$7)*$C$15</f>
        <v>3360.87072693028</v>
      </c>
      <c r="F322" s="15" t="n">
        <f aca="false">IF(E322&gt;0,E322*$C$13,0)</f>
        <v>0</v>
      </c>
      <c r="G322" s="15" t="n">
        <f aca="false">C322+D322+E322-F322</f>
        <v>580526.535253924</v>
      </c>
      <c r="H322" s="15" t="n">
        <f aca="false">G322/(1+$C$12)^(A322/$C$6)</f>
        <v>314421.873959488</v>
      </c>
      <c r="I322" s="15" t="n">
        <f aca="false">I321+D322</f>
        <v>226722.791824383</v>
      </c>
      <c r="J322" s="15" t="n">
        <f aca="false">J321+E322-F322</f>
        <v>353803.743429541</v>
      </c>
    </row>
    <row r="323" customFormat="false" ht="15" hidden="false" customHeight="false" outlineLevel="0" collapsed="false">
      <c r="A323" s="19" t="n">
        <f aca="false">A322+1</f>
        <v>299</v>
      </c>
      <c r="B323" s="19" t="n">
        <f aca="false">INT((A323-1)/$C$6)+1</f>
        <v>25</v>
      </c>
      <c r="C323" s="15" t="n">
        <f aca="false">G322</f>
        <v>580526.535253924</v>
      </c>
      <c r="D323" s="15" t="n">
        <f aca="false">$C$5*(1+$C$11)^(B323-1)</f>
        <v>1016.3970532302</v>
      </c>
      <c r="E323" s="15" t="n">
        <f aca="false">(C323+D323*$C$7)*$C$15</f>
        <v>3386.40478898122</v>
      </c>
      <c r="F323" s="15" t="n">
        <f aca="false">IF(E323&gt;0,E323*$C$13,0)</f>
        <v>0</v>
      </c>
      <c r="G323" s="15" t="n">
        <f aca="false">C323+D323+E323-F323</f>
        <v>584929.337096135</v>
      </c>
      <c r="H323" s="15" t="n">
        <f aca="false">G323/(1+$C$12)^(A323/$C$6)</f>
        <v>316155.269347356</v>
      </c>
      <c r="I323" s="15" t="n">
        <f aca="false">I322+D323</f>
        <v>227739.188877613</v>
      </c>
      <c r="J323" s="15" t="n">
        <f aca="false">J322+E323-F323</f>
        <v>357190.148218522</v>
      </c>
    </row>
    <row r="324" customFormat="false" ht="15" hidden="false" customHeight="false" outlineLevel="0" collapsed="false">
      <c r="A324" s="19" t="n">
        <f aca="false">A323+1</f>
        <v>300</v>
      </c>
      <c r="B324" s="19" t="n">
        <f aca="false">INT((A324-1)/$C$6)+1</f>
        <v>25</v>
      </c>
      <c r="C324" s="15" t="n">
        <f aca="false">G323</f>
        <v>584929.337096135</v>
      </c>
      <c r="D324" s="15" t="n">
        <f aca="false">$C$5*(1+$C$11)^(B324-1)</f>
        <v>1016.3970532302</v>
      </c>
      <c r="E324" s="15" t="n">
        <f aca="false">(C324+D324*$C$7)*$C$15</f>
        <v>3412.08779972745</v>
      </c>
      <c r="F324" s="15" t="n">
        <f aca="false">IF(E324&gt;0,E324*$C$13,0)</f>
        <v>0</v>
      </c>
      <c r="G324" s="15" t="n">
        <f aca="false">C324+D324+E324-F324</f>
        <v>589357.821949093</v>
      </c>
      <c r="H324" s="15" t="n">
        <f aca="false">G324/(1+$C$12)^(A324/$C$6)</f>
        <v>317894.062977665</v>
      </c>
      <c r="I324" s="15" t="n">
        <f aca="false">I323+D324</f>
        <v>228755.585930843</v>
      </c>
      <c r="J324" s="15" t="n">
        <f aca="false">J323+E324-F324</f>
        <v>360602.23601825</v>
      </c>
    </row>
    <row r="325" customFormat="false" ht="15" hidden="false" customHeight="false" outlineLevel="0" collapsed="false">
      <c r="A325" s="19" t="n">
        <f aca="false">A324+1</f>
        <v>301</v>
      </c>
      <c r="B325" s="19" t="n">
        <f aca="false">INT((A325-1)/$C$6)+1</f>
        <v>26</v>
      </c>
      <c r="C325" s="15" t="n">
        <f aca="false">G324</f>
        <v>589357.821949093</v>
      </c>
      <c r="D325" s="15" t="n">
        <f aca="false">$C$5*(1+$C$11)^(B325-1)</f>
        <v>1046.88896482711</v>
      </c>
      <c r="E325" s="15" t="n">
        <f aca="false">(C325+D325*$C$7)*$C$15</f>
        <v>3437.92062803637</v>
      </c>
      <c r="F325" s="15" t="n">
        <f aca="false">IF(E325&gt;0,E325*$C$13,0)</f>
        <v>0</v>
      </c>
      <c r="G325" s="15" t="n">
        <f aca="false">C325+D325+E325-F325</f>
        <v>593842.631541956</v>
      </c>
      <c r="H325" s="15" t="n">
        <f aca="false">G325/(1+$C$12)^(A325/$C$6)</f>
        <v>319654.690741712</v>
      </c>
      <c r="I325" s="15" t="n">
        <f aca="false">I324+D325</f>
        <v>229802.47489567</v>
      </c>
      <c r="J325" s="15" t="n">
        <f aca="false">J324+E325-F325</f>
        <v>364040.156646286</v>
      </c>
    </row>
    <row r="326" customFormat="false" ht="15" hidden="false" customHeight="false" outlineLevel="0" collapsed="false">
      <c r="A326" s="19" t="n">
        <f aca="false">A325+1</f>
        <v>302</v>
      </c>
      <c r="B326" s="19" t="n">
        <f aca="false">INT((A326-1)/$C$6)+1</f>
        <v>26</v>
      </c>
      <c r="C326" s="15" t="n">
        <f aca="false">G325</f>
        <v>593842.631541956</v>
      </c>
      <c r="D326" s="15" t="n">
        <f aca="false">$C$5*(1+$C$11)^(B326-1)</f>
        <v>1046.88896482711</v>
      </c>
      <c r="E326" s="15" t="n">
        <f aca="false">(C326+D326*$C$7)*$C$15</f>
        <v>3464.08201732808</v>
      </c>
      <c r="F326" s="15" t="n">
        <f aca="false">IF(E326&gt;0,E326*$C$13,0)</f>
        <v>0</v>
      </c>
      <c r="G326" s="15" t="n">
        <f aca="false">C326+D326+E326-F326</f>
        <v>598353.602524111</v>
      </c>
      <c r="H326" s="15" t="n">
        <f aca="false">G326/(1+$C$12)^(A326/$C$6)</f>
        <v>321420.790197068</v>
      </c>
      <c r="I326" s="15" t="n">
        <f aca="false">I325+D326</f>
        <v>230849.363860497</v>
      </c>
      <c r="J326" s="15" t="n">
        <f aca="false">J325+E326-F326</f>
        <v>367504.238663614</v>
      </c>
    </row>
    <row r="327" customFormat="false" ht="15" hidden="false" customHeight="false" outlineLevel="0" collapsed="false">
      <c r="A327" s="19" t="n">
        <f aca="false">A326+1</f>
        <v>303</v>
      </c>
      <c r="B327" s="19" t="n">
        <f aca="false">INT((A327-1)/$C$6)+1</f>
        <v>26</v>
      </c>
      <c r="C327" s="15" t="n">
        <f aca="false">G326</f>
        <v>598353.602524111</v>
      </c>
      <c r="D327" s="15" t="n">
        <f aca="false">$C$5*(1+$C$11)^(B327-1)</f>
        <v>1046.88896482711</v>
      </c>
      <c r="E327" s="15" t="n">
        <f aca="false">(C327+D327*$C$7)*$C$15</f>
        <v>3490.39601472398</v>
      </c>
      <c r="F327" s="15" t="n">
        <f aca="false">IF(E327&gt;0,E327*$C$13,0)</f>
        <v>0</v>
      </c>
      <c r="G327" s="15" t="n">
        <f aca="false">C327+D327+E327-F327</f>
        <v>602890.887503662</v>
      </c>
      <c r="H327" s="15" t="n">
        <f aca="false">G327/(1+$C$12)^(A327/$C$6)</f>
        <v>323192.38432986</v>
      </c>
      <c r="I327" s="15" t="n">
        <f aca="false">I326+D327</f>
        <v>231896.252825324</v>
      </c>
      <c r="J327" s="15" t="n">
        <f aca="false">J326+E327-F327</f>
        <v>370994.634678338</v>
      </c>
    </row>
    <row r="328" customFormat="false" ht="15" hidden="false" customHeight="false" outlineLevel="0" collapsed="false">
      <c r="A328" s="19" t="n">
        <f aca="false">A327+1</f>
        <v>304</v>
      </c>
      <c r="B328" s="19" t="n">
        <f aca="false">INT((A328-1)/$C$6)+1</f>
        <v>26</v>
      </c>
      <c r="C328" s="15" t="n">
        <f aca="false">G327</f>
        <v>602890.887503662</v>
      </c>
      <c r="D328" s="15" t="n">
        <f aca="false">$C$5*(1+$C$11)^(B328-1)</f>
        <v>1046.88896482711</v>
      </c>
      <c r="E328" s="15" t="n">
        <f aca="false">(C328+D328*$C$7)*$C$15</f>
        <v>3516.86351043803</v>
      </c>
      <c r="F328" s="15" t="n">
        <f aca="false">IF(E328&gt;0,E328*$C$13,0)</f>
        <v>0</v>
      </c>
      <c r="G328" s="15" t="n">
        <f aca="false">C328+D328+E328-F328</f>
        <v>607454.639978927</v>
      </c>
      <c r="H328" s="15" t="n">
        <f aca="false">G328/(1+$C$12)^(A328/$C$6)</f>
        <v>324969.49620788</v>
      </c>
      <c r="I328" s="15" t="n">
        <f aca="false">I327+D328</f>
        <v>232943.141790152</v>
      </c>
      <c r="J328" s="15" t="n">
        <f aca="false">J327+E328-F328</f>
        <v>374511.498188776</v>
      </c>
    </row>
    <row r="329" customFormat="false" ht="15" hidden="false" customHeight="false" outlineLevel="0" collapsed="false">
      <c r="A329" s="19" t="n">
        <f aca="false">A328+1</f>
        <v>305</v>
      </c>
      <c r="B329" s="19" t="n">
        <f aca="false">INT((A329-1)/$C$6)+1</f>
        <v>26</v>
      </c>
      <c r="C329" s="15" t="n">
        <f aca="false">G328</f>
        <v>607454.639978927</v>
      </c>
      <c r="D329" s="15" t="n">
        <f aca="false">$C$5*(1+$C$11)^(B329-1)</f>
        <v>1046.88896482711</v>
      </c>
      <c r="E329" s="15" t="n">
        <f aca="false">(C329+D329*$C$7)*$C$15</f>
        <v>3543.48539987708</v>
      </c>
      <c r="F329" s="15" t="n">
        <f aca="false">IF(E329&gt;0,E329*$C$13,0)</f>
        <v>0</v>
      </c>
      <c r="G329" s="15" t="n">
        <f aca="false">C329+D329+E329-F329</f>
        <v>612045.014343631</v>
      </c>
      <c r="H329" s="15" t="n">
        <f aca="false">G329/(1+$C$12)^(A329/$C$6)</f>
        <v>326752.148980904</v>
      </c>
      <c r="I329" s="15" t="n">
        <f aca="false">I328+D329</f>
        <v>233990.030754979</v>
      </c>
      <c r="J329" s="15" t="n">
        <f aca="false">J328+E329-F329</f>
        <v>378054.983588653</v>
      </c>
    </row>
    <row r="330" customFormat="false" ht="15" hidden="false" customHeight="false" outlineLevel="0" collapsed="false">
      <c r="A330" s="19" t="n">
        <f aca="false">A329+1</f>
        <v>306</v>
      </c>
      <c r="B330" s="19" t="n">
        <f aca="false">INT((A330-1)/$C$6)+1</f>
        <v>26</v>
      </c>
      <c r="C330" s="15" t="n">
        <f aca="false">G329</f>
        <v>612045.014343631</v>
      </c>
      <c r="D330" s="15" t="n">
        <f aca="false">$C$5*(1+$C$11)^(B330-1)</f>
        <v>1046.88896482711</v>
      </c>
      <c r="E330" s="15" t="n">
        <f aca="false">(C330+D330*$C$7)*$C$15</f>
        <v>3570.26258367118</v>
      </c>
      <c r="F330" s="15" t="n">
        <f aca="false">IF(E330&gt;0,E330*$C$13,0)</f>
        <v>0</v>
      </c>
      <c r="G330" s="15" t="n">
        <f aca="false">C330+D330+E330-F330</f>
        <v>616662.16589213</v>
      </c>
      <c r="H330" s="15" t="n">
        <f aca="false">G330/(1+$C$12)^(A330/$C$6)</f>
        <v>328540.365881008</v>
      </c>
      <c r="I330" s="15" t="n">
        <f aca="false">I329+D330</f>
        <v>235036.919719806</v>
      </c>
      <c r="J330" s="15" t="n">
        <f aca="false">J329+E330-F330</f>
        <v>381625.246172325</v>
      </c>
    </row>
    <row r="331" customFormat="false" ht="15" hidden="false" customHeight="false" outlineLevel="0" collapsed="false">
      <c r="A331" s="19" t="n">
        <f aca="false">A330+1</f>
        <v>307</v>
      </c>
      <c r="B331" s="19" t="n">
        <f aca="false">INT((A331-1)/$C$6)+1</f>
        <v>26</v>
      </c>
      <c r="C331" s="15" t="n">
        <f aca="false">G330</f>
        <v>616662.16589213</v>
      </c>
      <c r="D331" s="15" t="n">
        <f aca="false">$C$5*(1+$C$11)^(B331-1)</f>
        <v>1046.88896482711</v>
      </c>
      <c r="E331" s="15" t="n">
        <f aca="false">(C331+D331*$C$7)*$C$15</f>
        <v>3597.19596770409</v>
      </c>
      <c r="F331" s="15" t="n">
        <f aca="false">IF(E331&gt;0,E331*$C$13,0)</f>
        <v>0</v>
      </c>
      <c r="G331" s="15" t="n">
        <f aca="false">C331+D331+E331-F331</f>
        <v>621306.250824661</v>
      </c>
      <c r="H331" s="15" t="n">
        <f aca="false">G331/(1+$C$12)^(A331/$C$6)</f>
        <v>330334.17022289</v>
      </c>
      <c r="I331" s="15" t="n">
        <f aca="false">I330+D331</f>
        <v>236083.808684633</v>
      </c>
      <c r="J331" s="15" t="n">
        <f aca="false">J330+E331-F331</f>
        <v>385222.442140029</v>
      </c>
    </row>
    <row r="332" customFormat="false" ht="15" hidden="false" customHeight="false" outlineLevel="0" collapsed="false">
      <c r="A332" s="19" t="n">
        <f aca="false">A331+1</f>
        <v>308</v>
      </c>
      <c r="B332" s="19" t="n">
        <f aca="false">INT((A332-1)/$C$6)+1</f>
        <v>26</v>
      </c>
      <c r="C332" s="15" t="n">
        <f aca="false">G331</f>
        <v>621306.250824661</v>
      </c>
      <c r="D332" s="15" t="n">
        <f aca="false">$C$5*(1+$C$11)^(B332-1)</f>
        <v>1046.88896482711</v>
      </c>
      <c r="E332" s="15" t="n">
        <f aca="false">(C332+D332*$C$7)*$C$15</f>
        <v>3624.28646314385</v>
      </c>
      <c r="F332" s="15" t="n">
        <f aca="false">IF(E332&gt;0,E332*$C$13,0)</f>
        <v>0</v>
      </c>
      <c r="G332" s="15" t="n">
        <f aca="false">C332+D332+E332-F332</f>
        <v>625977.426252632</v>
      </c>
      <c r="H332" s="15" t="n">
        <f aca="false">G332/(1+$C$12)^(A332/$C$6)</f>
        <v>332133.58540419</v>
      </c>
      <c r="I332" s="15" t="n">
        <f aca="false">I331+D332</f>
        <v>237130.69764946</v>
      </c>
      <c r="J332" s="15" t="n">
        <f aca="false">J331+E332-F332</f>
        <v>388846.728603173</v>
      </c>
    </row>
    <row r="333" customFormat="false" ht="15" hidden="false" customHeight="false" outlineLevel="0" collapsed="false">
      <c r="A333" s="19" t="n">
        <f aca="false">A332+1</f>
        <v>309</v>
      </c>
      <c r="B333" s="19" t="n">
        <f aca="false">INT((A333-1)/$C$6)+1</f>
        <v>26</v>
      </c>
      <c r="C333" s="15" t="n">
        <f aca="false">G332</f>
        <v>625977.426252632</v>
      </c>
      <c r="D333" s="15" t="n">
        <f aca="false">$C$5*(1+$C$11)^(B333-1)</f>
        <v>1046.88896482711</v>
      </c>
      <c r="E333" s="15" t="n">
        <f aca="false">(C333+D333*$C$7)*$C$15</f>
        <v>3651.53498647368</v>
      </c>
      <c r="F333" s="15" t="n">
        <f aca="false">IF(E333&gt;0,E333*$C$13,0)</f>
        <v>0</v>
      </c>
      <c r="G333" s="15" t="n">
        <f aca="false">C333+D333+E333-F333</f>
        <v>630675.850203932</v>
      </c>
      <c r="H333" s="15" t="n">
        <f aca="false">G333/(1+$C$12)^(A333/$C$6)</f>
        <v>333938.634905814</v>
      </c>
      <c r="I333" s="15" t="n">
        <f aca="false">I332+D333</f>
        <v>238177.586614287</v>
      </c>
      <c r="J333" s="15" t="n">
        <f aca="false">J332+E333-F333</f>
        <v>392498.263589646</v>
      </c>
    </row>
    <row r="334" customFormat="false" ht="15" hidden="false" customHeight="false" outlineLevel="0" collapsed="false">
      <c r="A334" s="19" t="n">
        <f aca="false">A333+1</f>
        <v>310</v>
      </c>
      <c r="B334" s="19" t="n">
        <f aca="false">INT((A334-1)/$C$6)+1</f>
        <v>26</v>
      </c>
      <c r="C334" s="15" t="n">
        <f aca="false">G333</f>
        <v>630675.850203932</v>
      </c>
      <c r="D334" s="15" t="n">
        <f aca="false">$C$5*(1+$C$11)^(B334-1)</f>
        <v>1046.88896482711</v>
      </c>
      <c r="E334" s="15" t="n">
        <f aca="false">(C334+D334*$C$7)*$C$15</f>
        <v>3678.94245952294</v>
      </c>
      <c r="F334" s="15" t="n">
        <f aca="false">IF(E334&gt;0,E334*$C$13,0)</f>
        <v>0</v>
      </c>
      <c r="G334" s="15" t="n">
        <f aca="false">C334+D334+E334-F334</f>
        <v>635401.681628282</v>
      </c>
      <c r="H334" s="15" t="n">
        <f aca="false">G334/(1+$C$12)^(A334/$C$6)</f>
        <v>335749.342292256</v>
      </c>
      <c r="I334" s="15" t="n">
        <f aca="false">I333+D334</f>
        <v>239224.475579114</v>
      </c>
      <c r="J334" s="15" t="n">
        <f aca="false">J333+E334-F334</f>
        <v>396177.206049169</v>
      </c>
    </row>
    <row r="335" customFormat="false" ht="15" hidden="false" customHeight="false" outlineLevel="0" collapsed="false">
      <c r="A335" s="19" t="n">
        <f aca="false">A334+1</f>
        <v>311</v>
      </c>
      <c r="B335" s="19" t="n">
        <f aca="false">INT((A335-1)/$C$6)+1</f>
        <v>26</v>
      </c>
      <c r="C335" s="15" t="n">
        <f aca="false">G334</f>
        <v>635401.681628282</v>
      </c>
      <c r="D335" s="15" t="n">
        <f aca="false">$C$5*(1+$C$11)^(B335-1)</f>
        <v>1046.88896482711</v>
      </c>
      <c r="E335" s="15" t="n">
        <f aca="false">(C335+D335*$C$7)*$C$15</f>
        <v>3706.50980949831</v>
      </c>
      <c r="F335" s="15" t="n">
        <f aca="false">IF(E335&gt;0,E335*$C$13,0)</f>
        <v>0</v>
      </c>
      <c r="G335" s="15" t="n">
        <f aca="false">C335+D335+E335-F335</f>
        <v>640155.080402608</v>
      </c>
      <c r="H335" s="15" t="n">
        <f aca="false">G335/(1+$C$12)^(A335/$C$6)</f>
        <v>337565.731211921</v>
      </c>
      <c r="I335" s="15" t="n">
        <f aca="false">I334+D335</f>
        <v>240271.364543941</v>
      </c>
      <c r="J335" s="15" t="n">
        <f aca="false">J334+E335-F335</f>
        <v>399883.715858667</v>
      </c>
    </row>
    <row r="336" customFormat="false" ht="15" hidden="false" customHeight="false" outlineLevel="0" collapsed="false">
      <c r="A336" s="19" t="n">
        <f aca="false">A335+1</f>
        <v>312</v>
      </c>
      <c r="B336" s="19" t="n">
        <f aca="false">INT((A336-1)/$C$6)+1</f>
        <v>26</v>
      </c>
      <c r="C336" s="15" t="n">
        <f aca="false">G335</f>
        <v>640155.080402608</v>
      </c>
      <c r="D336" s="15" t="n">
        <f aca="false">$C$5*(1+$C$11)^(B336-1)</f>
        <v>1046.88896482711</v>
      </c>
      <c r="E336" s="15" t="n">
        <f aca="false">(C336+D336*$C$7)*$C$15</f>
        <v>3734.23796901521</v>
      </c>
      <c r="F336" s="15" t="n">
        <f aca="false">IF(E336&gt;0,E336*$C$13,0)</f>
        <v>0</v>
      </c>
      <c r="G336" s="15" t="n">
        <f aca="false">C336+D336+E336-F336</f>
        <v>644936.20733645</v>
      </c>
      <c r="H336" s="15" t="n">
        <f aca="false">G336/(1+$C$12)^(A336/$C$6)</f>
        <v>339387.825397455</v>
      </c>
      <c r="I336" s="15" t="n">
        <f aca="false">I335+D336</f>
        <v>241318.253508768</v>
      </c>
      <c r="J336" s="15" t="n">
        <f aca="false">J335+E336-F336</f>
        <v>403617.953827683</v>
      </c>
    </row>
    <row r="337" customFormat="false" ht="15" hidden="false" customHeight="false" outlineLevel="0" collapsed="false">
      <c r="A337" s="19" t="n">
        <f aca="false">A336+1</f>
        <v>313</v>
      </c>
      <c r="B337" s="19" t="n">
        <f aca="false">INT((A337-1)/$C$6)+1</f>
        <v>27</v>
      </c>
      <c r="C337" s="15" t="n">
        <f aca="false">G336</f>
        <v>644936.20733645</v>
      </c>
      <c r="D337" s="15" t="n">
        <f aca="false">$C$5*(1+$C$11)^(B337-1)</f>
        <v>1078.29563377192</v>
      </c>
      <c r="E337" s="15" t="n">
        <f aca="false">(C337+D337*$C$7)*$C$15</f>
        <v>3762.12787612929</v>
      </c>
      <c r="F337" s="15" t="n">
        <f aca="false">IF(E337&gt;0,E337*$C$13,0)</f>
        <v>0</v>
      </c>
      <c r="G337" s="15" t="n">
        <f aca="false">C337+D337+E337-F337</f>
        <v>649776.630846351</v>
      </c>
      <c r="H337" s="15" t="n">
        <f aca="false">G337/(1+$C$12)^(A337/$C$6)</f>
        <v>341232.141972243</v>
      </c>
      <c r="I337" s="15" t="n">
        <f aca="false">I336+D337</f>
        <v>242396.54914254</v>
      </c>
      <c r="J337" s="15" t="n">
        <f aca="false">J336+E337-F337</f>
        <v>407380.081703812</v>
      </c>
    </row>
    <row r="338" customFormat="false" ht="15" hidden="false" customHeight="false" outlineLevel="0" collapsed="false">
      <c r="A338" s="19" t="n">
        <f aca="false">A337+1</f>
        <v>314</v>
      </c>
      <c r="B338" s="19" t="n">
        <f aca="false">INT((A338-1)/$C$6)+1</f>
        <v>27</v>
      </c>
      <c r="C338" s="15" t="n">
        <f aca="false">G337</f>
        <v>649776.630846351</v>
      </c>
      <c r="D338" s="15" t="n">
        <f aca="false">$C$5*(1+$C$11)^(B338-1)</f>
        <v>1078.29563377192</v>
      </c>
      <c r="E338" s="15" t="n">
        <f aca="false">(C338+D338*$C$7)*$C$15</f>
        <v>3790.36367993705</v>
      </c>
      <c r="F338" s="15" t="n">
        <f aca="false">IF(E338&gt;0,E338*$C$13,0)</f>
        <v>0</v>
      </c>
      <c r="G338" s="15" t="n">
        <f aca="false">C338+D338+E338-F338</f>
        <v>654645.29016006</v>
      </c>
      <c r="H338" s="15" t="n">
        <f aca="false">G338/(1+$C$12)^(A338/$C$6)</f>
        <v>343082.23973805</v>
      </c>
      <c r="I338" s="15" t="n">
        <f aca="false">I337+D338</f>
        <v>243474.844776312</v>
      </c>
      <c r="J338" s="15" t="n">
        <f aca="false">J337+E338-F338</f>
        <v>411170.445383749</v>
      </c>
    </row>
    <row r="339" customFormat="false" ht="15" hidden="false" customHeight="false" outlineLevel="0" collapsed="false">
      <c r="A339" s="19" t="n">
        <f aca="false">A338+1</f>
        <v>315</v>
      </c>
      <c r="B339" s="19" t="n">
        <f aca="false">INT((A339-1)/$C$6)+1</f>
        <v>27</v>
      </c>
      <c r="C339" s="15" t="n">
        <f aca="false">G338</f>
        <v>654645.29016006</v>
      </c>
      <c r="D339" s="15" t="n">
        <f aca="false">$C$5*(1+$C$11)^(B339-1)</f>
        <v>1078.29563377192</v>
      </c>
      <c r="E339" s="15" t="n">
        <f aca="false">(C339+D339*$C$7)*$C$15</f>
        <v>3818.76419260035</v>
      </c>
      <c r="F339" s="15" t="n">
        <f aca="false">IF(E339&gt;0,E339*$C$13,0)</f>
        <v>0</v>
      </c>
      <c r="G339" s="15" t="n">
        <f aca="false">C339+D339+E339-F339</f>
        <v>659542.349986433</v>
      </c>
      <c r="H339" s="15" t="n">
        <f aca="false">G339/(1+$C$12)^(A339/$C$6)</f>
        <v>344938.142858116</v>
      </c>
      <c r="I339" s="15" t="n">
        <f aca="false">I338+D339</f>
        <v>244553.140410084</v>
      </c>
      <c r="J339" s="15" t="n">
        <f aca="false">J338+E339-F339</f>
        <v>414989.209576349</v>
      </c>
    </row>
    <row r="340" customFormat="false" ht="15" hidden="false" customHeight="false" outlineLevel="0" collapsed="false">
      <c r="A340" s="19" t="n">
        <f aca="false">A339+1</f>
        <v>316</v>
      </c>
      <c r="B340" s="19" t="n">
        <f aca="false">INT((A340-1)/$C$6)+1</f>
        <v>27</v>
      </c>
      <c r="C340" s="15" t="n">
        <f aca="false">G339</f>
        <v>659542.349986433</v>
      </c>
      <c r="D340" s="15" t="n">
        <f aca="false">$C$5*(1+$C$11)^(B340-1)</f>
        <v>1078.29563377192</v>
      </c>
      <c r="E340" s="15" t="n">
        <f aca="false">(C340+D340*$C$7)*$C$15</f>
        <v>3847.33037492086</v>
      </c>
      <c r="F340" s="15" t="n">
        <f aca="false">IF(E340&gt;0,E340*$C$13,0)</f>
        <v>0</v>
      </c>
      <c r="G340" s="15" t="n">
        <f aca="false">C340+D340+E340-F340</f>
        <v>664467.975995126</v>
      </c>
      <c r="H340" s="15" t="n">
        <f aca="false">G340/(1+$C$12)^(A340/$C$6)</f>
        <v>346799.875581752</v>
      </c>
      <c r="I340" s="15" t="n">
        <f aca="false">I339+D340</f>
        <v>245631.436043856</v>
      </c>
      <c r="J340" s="15" t="n">
        <f aca="false">J339+E340-F340</f>
        <v>418836.53995127</v>
      </c>
    </row>
    <row r="341" customFormat="false" ht="15" hidden="false" customHeight="false" outlineLevel="0" collapsed="false">
      <c r="A341" s="19" t="n">
        <f aca="false">A340+1</f>
        <v>317</v>
      </c>
      <c r="B341" s="19" t="n">
        <f aca="false">INT((A341-1)/$C$6)+1</f>
        <v>27</v>
      </c>
      <c r="C341" s="15" t="n">
        <f aca="false">G340</f>
        <v>664467.975995126</v>
      </c>
      <c r="D341" s="15" t="n">
        <f aca="false">$C$5*(1+$C$11)^(B341-1)</f>
        <v>1078.29563377192</v>
      </c>
      <c r="E341" s="15" t="n">
        <f aca="false">(C341+D341*$C$7)*$C$15</f>
        <v>3876.0631933049</v>
      </c>
      <c r="F341" s="15" t="n">
        <f aca="false">IF(E341&gt;0,E341*$C$13,0)</f>
        <v>0</v>
      </c>
      <c r="G341" s="15" t="n">
        <f aca="false">C341+D341+E341-F341</f>
        <v>669422.334822202</v>
      </c>
      <c r="H341" s="15" t="n">
        <f aca="false">G341/(1+$C$12)^(A341/$C$6)</f>
        <v>348667.462244678</v>
      </c>
      <c r="I341" s="15" t="n">
        <f aca="false">I340+D341</f>
        <v>246709.731677628</v>
      </c>
      <c r="J341" s="15" t="n">
        <f aca="false">J340+E341-F341</f>
        <v>422712.603144575</v>
      </c>
    </row>
    <row r="342" customFormat="false" ht="15" hidden="false" customHeight="false" outlineLevel="0" collapsed="false">
      <c r="A342" s="19" t="n">
        <f aca="false">A341+1</f>
        <v>318</v>
      </c>
      <c r="B342" s="19" t="n">
        <f aca="false">INT((A342-1)/$C$6)+1</f>
        <v>27</v>
      </c>
      <c r="C342" s="15" t="n">
        <f aca="false">G341</f>
        <v>669422.334822202</v>
      </c>
      <c r="D342" s="15" t="n">
        <f aca="false">$C$5*(1+$C$11)^(B342-1)</f>
        <v>1078.29563377192</v>
      </c>
      <c r="E342" s="15" t="n">
        <f aca="false">(C342+D342*$C$7)*$C$15</f>
        <v>3904.96361979618</v>
      </c>
      <c r="F342" s="15" t="n">
        <f aca="false">IF(E342&gt;0,E342*$C$13,0)</f>
        <v>0</v>
      </c>
      <c r="G342" s="15" t="n">
        <f aca="false">C342+D342+E342-F342</f>
        <v>674405.594075771</v>
      </c>
      <c r="H342" s="15" t="n">
        <f aca="false">G342/(1+$C$12)^(A342/$C$6)</f>
        <v>350540.927269359</v>
      </c>
      <c r="I342" s="15" t="n">
        <f aca="false">I341+D342</f>
        <v>247788.0273114</v>
      </c>
      <c r="J342" s="15" t="n">
        <f aca="false">J341+E342-F342</f>
        <v>426617.566764371</v>
      </c>
    </row>
    <row r="343" customFormat="false" ht="15" hidden="false" customHeight="false" outlineLevel="0" collapsed="false">
      <c r="A343" s="19" t="n">
        <f aca="false">A342+1</f>
        <v>319</v>
      </c>
      <c r="B343" s="19" t="n">
        <f aca="false">INT((A343-1)/$C$6)+1</f>
        <v>27</v>
      </c>
      <c r="C343" s="15" t="n">
        <f aca="false">G342</f>
        <v>674405.594075771</v>
      </c>
      <c r="D343" s="15" t="n">
        <f aca="false">$C$5*(1+$C$11)^(B343-1)</f>
        <v>1078.29563377192</v>
      </c>
      <c r="E343" s="15" t="n">
        <f aca="false">(C343+D343*$C$7)*$C$15</f>
        <v>3934.03263210866</v>
      </c>
      <c r="F343" s="15" t="n">
        <f aca="false">IF(E343&gt;0,E343*$C$13,0)</f>
        <v>0</v>
      </c>
      <c r="G343" s="15" t="n">
        <f aca="false">C343+D343+E343-F343</f>
        <v>679417.922341651</v>
      </c>
      <c r="H343" s="15" t="n">
        <f aca="false">G343/(1+$C$12)^(A343/$C$6)</f>
        <v>352420.295165339</v>
      </c>
      <c r="I343" s="15" t="n">
        <f aca="false">I342+D343</f>
        <v>248866.322945172</v>
      </c>
      <c r="J343" s="15" t="n">
        <f aca="false">J342+E343-F343</f>
        <v>430551.59939648</v>
      </c>
    </row>
    <row r="344" customFormat="false" ht="15" hidden="false" customHeight="false" outlineLevel="0" collapsed="false">
      <c r="A344" s="19" t="n">
        <f aca="false">A343+1</f>
        <v>320</v>
      </c>
      <c r="B344" s="19" t="n">
        <f aca="false">INT((A344-1)/$C$6)+1</f>
        <v>27</v>
      </c>
      <c r="C344" s="15" t="n">
        <f aca="false">G343</f>
        <v>679417.922341651</v>
      </c>
      <c r="D344" s="15" t="n">
        <f aca="false">$C$5*(1+$C$11)^(B344-1)</f>
        <v>1078.29563377192</v>
      </c>
      <c r="E344" s="15" t="n">
        <f aca="false">(C344+D344*$C$7)*$C$15</f>
        <v>3963.27121365963</v>
      </c>
      <c r="F344" s="15" t="n">
        <f aca="false">IF(E344&gt;0,E344*$C$13,0)</f>
        <v>0</v>
      </c>
      <c r="G344" s="15" t="n">
        <f aca="false">C344+D344+E344-F344</f>
        <v>684459.489189083</v>
      </c>
      <c r="H344" s="15" t="n">
        <f aca="false">G344/(1+$C$12)^(A344/$C$6)</f>
        <v>354305.59052958</v>
      </c>
      <c r="I344" s="15" t="n">
        <f aca="false">I343+D344</f>
        <v>249944.618578944</v>
      </c>
      <c r="J344" s="15" t="n">
        <f aca="false">J343+E344-F344</f>
        <v>434514.870610139</v>
      </c>
    </row>
    <row r="345" customFormat="false" ht="15" hidden="false" customHeight="false" outlineLevel="0" collapsed="false">
      <c r="A345" s="19" t="n">
        <f aca="false">A344+1</f>
        <v>321</v>
      </c>
      <c r="B345" s="19" t="n">
        <f aca="false">INT((A345-1)/$C$6)+1</f>
        <v>27</v>
      </c>
      <c r="C345" s="15" t="n">
        <f aca="false">G344</f>
        <v>684459.489189083</v>
      </c>
      <c r="D345" s="15" t="n">
        <f aca="false">$C$5*(1+$C$11)^(B345-1)</f>
        <v>1078.29563377192</v>
      </c>
      <c r="E345" s="15" t="n">
        <f aca="false">(C345+D345*$C$7)*$C$15</f>
        <v>3992.68035360298</v>
      </c>
      <c r="F345" s="15" t="n">
        <f aca="false">IF(E345&gt;0,E345*$C$13,0)</f>
        <v>0</v>
      </c>
      <c r="G345" s="15" t="n">
        <f aca="false">C345+D345+E345-F345</f>
        <v>689530.465176458</v>
      </c>
      <c r="H345" s="15" t="n">
        <f aca="false">G345/(1+$C$12)^(A345/$C$6)</f>
        <v>356196.838046802</v>
      </c>
      <c r="I345" s="15" t="n">
        <f aca="false">I344+D345</f>
        <v>251022.914212716</v>
      </c>
      <c r="J345" s="15" t="n">
        <f aca="false">J344+E345-F345</f>
        <v>438507.550963742</v>
      </c>
    </row>
    <row r="346" customFormat="false" ht="15" hidden="false" customHeight="false" outlineLevel="0" collapsed="false">
      <c r="A346" s="19" t="n">
        <f aca="false">A345+1</f>
        <v>322</v>
      </c>
      <c r="B346" s="19" t="n">
        <f aca="false">INT((A346-1)/$C$6)+1</f>
        <v>27</v>
      </c>
      <c r="C346" s="15" t="n">
        <f aca="false">G345</f>
        <v>689530.465176458</v>
      </c>
      <c r="D346" s="15" t="n">
        <f aca="false">$C$5*(1+$C$11)^(B346-1)</f>
        <v>1078.29563377192</v>
      </c>
      <c r="E346" s="15" t="n">
        <f aca="false">(C346+D346*$C$7)*$C$15</f>
        <v>4022.26104686267</v>
      </c>
      <c r="F346" s="15" t="n">
        <f aca="false">IF(E346&gt;0,E346*$C$13,0)</f>
        <v>0</v>
      </c>
      <c r="G346" s="15" t="n">
        <f aca="false">C346+D346+E346-F346</f>
        <v>694631.021857092</v>
      </c>
      <c r="H346" s="15" t="n">
        <f aca="false">G346/(1+$C$12)^(A346/$C$6)</f>
        <v>358094.062489824</v>
      </c>
      <c r="I346" s="15" t="n">
        <f aca="false">I345+D346</f>
        <v>252101.209846488</v>
      </c>
      <c r="J346" s="15" t="n">
        <f aca="false">J345+E346-F346</f>
        <v>442529.812010605</v>
      </c>
    </row>
    <row r="347" customFormat="false" ht="15" hidden="false" customHeight="false" outlineLevel="0" collapsed="false">
      <c r="A347" s="19" t="n">
        <f aca="false">A346+1</f>
        <v>323</v>
      </c>
      <c r="B347" s="19" t="n">
        <f aca="false">INT((A347-1)/$C$6)+1</f>
        <v>27</v>
      </c>
      <c r="C347" s="15" t="n">
        <f aca="false">G346</f>
        <v>694631.021857092</v>
      </c>
      <c r="D347" s="15" t="n">
        <f aca="false">$C$5*(1+$C$11)^(B347-1)</f>
        <v>1078.29563377192</v>
      </c>
      <c r="E347" s="15" t="n">
        <f aca="false">(C347+D347*$C$7)*$C$15</f>
        <v>4052.01429416637</v>
      </c>
      <c r="F347" s="15" t="n">
        <f aca="false">IF(E347&gt;0,E347*$C$13,0)</f>
        <v>0</v>
      </c>
      <c r="G347" s="15" t="n">
        <f aca="false">C347+D347+E347-F347</f>
        <v>699761.33178503</v>
      </c>
      <c r="H347" s="15" t="n">
        <f aca="false">G347/(1+$C$12)^(A347/$C$6)</f>
        <v>359997.288719904</v>
      </c>
      <c r="I347" s="15" t="n">
        <f aca="false">I346+D347</f>
        <v>253179.50548026</v>
      </c>
      <c r="J347" s="15" t="n">
        <f aca="false">J346+E347-F347</f>
        <v>446581.826304772</v>
      </c>
    </row>
    <row r="348" customFormat="false" ht="15" hidden="false" customHeight="false" outlineLevel="0" collapsed="false">
      <c r="A348" s="19" t="n">
        <f aca="false">A347+1</f>
        <v>324</v>
      </c>
      <c r="B348" s="19" t="n">
        <f aca="false">INT((A348-1)/$C$6)+1</f>
        <v>27</v>
      </c>
      <c r="C348" s="15" t="n">
        <f aca="false">G347</f>
        <v>699761.33178503</v>
      </c>
      <c r="D348" s="15" t="n">
        <f aca="false">$C$5*(1+$C$11)^(B348-1)</f>
        <v>1078.29563377192</v>
      </c>
      <c r="E348" s="15" t="n">
        <f aca="false">(C348+D348*$C$7)*$C$15</f>
        <v>4081.94110207934</v>
      </c>
      <c r="F348" s="15" t="n">
        <f aca="false">IF(E348&gt;0,E348*$C$13,0)</f>
        <v>0</v>
      </c>
      <c r="G348" s="15" t="n">
        <f aca="false">C348+D348+E348-F348</f>
        <v>704921.568520882</v>
      </c>
      <c r="H348" s="15" t="n">
        <f aca="false">G348/(1+$C$12)^(A348/$C$6)</f>
        <v>361906.541687081</v>
      </c>
      <c r="I348" s="15" t="n">
        <f aca="false">I347+D348</f>
        <v>254257.801114032</v>
      </c>
      <c r="J348" s="15" t="n">
        <f aca="false">J347+E348-F348</f>
        <v>450663.767406851</v>
      </c>
    </row>
    <row r="349" customFormat="false" ht="15" hidden="false" customHeight="false" outlineLevel="0" collapsed="false">
      <c r="A349" s="19" t="n">
        <f aca="false">A348+1</f>
        <v>325</v>
      </c>
      <c r="B349" s="19" t="n">
        <f aca="false">INT((A349-1)/$C$6)+1</f>
        <v>28</v>
      </c>
      <c r="C349" s="15" t="n">
        <f aca="false">G348</f>
        <v>704921.568520882</v>
      </c>
      <c r="D349" s="15" t="n">
        <f aca="false">$C$5*(1+$C$11)^(B349-1)</f>
        <v>1110.64450278508</v>
      </c>
      <c r="E349" s="15" t="n">
        <f aca="false">(C349+D349*$C$7)*$C$15</f>
        <v>4112.04248303848</v>
      </c>
      <c r="F349" s="15" t="n">
        <f aca="false">IF(E349&gt;0,E349*$C$13,0)</f>
        <v>0</v>
      </c>
      <c r="G349" s="15" t="n">
        <f aca="false">C349+D349+E349-F349</f>
        <v>710144.255506705</v>
      </c>
      <c r="H349" s="15" t="n">
        <f aca="false">G349/(1+$C$12)^(A349/$C$6)</f>
        <v>363838.420191849</v>
      </c>
      <c r="I349" s="15" t="n">
        <f aca="false">I348+D349</f>
        <v>255368.445616817</v>
      </c>
      <c r="J349" s="15" t="n">
        <f aca="false">J348+E349-F349</f>
        <v>454775.809889889</v>
      </c>
    </row>
    <row r="350" customFormat="false" ht="15" hidden="false" customHeight="false" outlineLevel="0" collapsed="false">
      <c r="A350" s="19" t="n">
        <f aca="false">A349+1</f>
        <v>326</v>
      </c>
      <c r="B350" s="19" t="n">
        <f aca="false">INT((A350-1)/$C$6)+1</f>
        <v>28</v>
      </c>
      <c r="C350" s="15" t="n">
        <f aca="false">G349</f>
        <v>710144.255506705</v>
      </c>
      <c r="D350" s="15" t="n">
        <f aca="false">$C$5*(1+$C$11)^(B350-1)</f>
        <v>1110.64450278508</v>
      </c>
      <c r="E350" s="15" t="n">
        <f aca="false">(C350+D350*$C$7)*$C$15</f>
        <v>4142.50815712245</v>
      </c>
      <c r="F350" s="15" t="n">
        <f aca="false">IF(E350&gt;0,E350*$C$13,0)</f>
        <v>0</v>
      </c>
      <c r="G350" s="15" t="n">
        <f aca="false">C350+D350+E350-F350</f>
        <v>715397.408166613</v>
      </c>
      <c r="H350" s="15" t="n">
        <f aca="false">G350/(1+$C$12)^(A350/$C$6)</f>
        <v>365776.403944944</v>
      </c>
      <c r="I350" s="15" t="n">
        <f aca="false">I349+D350</f>
        <v>256479.090119602</v>
      </c>
      <c r="J350" s="15" t="n">
        <f aca="false">J349+E350-F350</f>
        <v>458918.318047012</v>
      </c>
    </row>
    <row r="351" customFormat="false" ht="15" hidden="false" customHeight="false" outlineLevel="0" collapsed="false">
      <c r="A351" s="19" t="n">
        <f aca="false">A350+1</f>
        <v>327</v>
      </c>
      <c r="B351" s="19" t="n">
        <f aca="false">INT((A351-1)/$C$6)+1</f>
        <v>28</v>
      </c>
      <c r="C351" s="15" t="n">
        <f aca="false">G350</f>
        <v>715397.408166613</v>
      </c>
      <c r="D351" s="15" t="n">
        <f aca="false">$C$5*(1+$C$11)^(B351-1)</f>
        <v>1110.64450278508</v>
      </c>
      <c r="E351" s="15" t="n">
        <f aca="false">(C351+D351*$C$7)*$C$15</f>
        <v>4173.15154763858</v>
      </c>
      <c r="F351" s="15" t="n">
        <f aca="false">IF(E351&gt;0,E351*$C$13,0)</f>
        <v>0</v>
      </c>
      <c r="G351" s="15" t="n">
        <f aca="false">C351+D351+E351-F351</f>
        <v>720681.204217036</v>
      </c>
      <c r="H351" s="15" t="n">
        <f aca="false">G351/(1+$C$12)^(A351/$C$6)</f>
        <v>367720.518341594</v>
      </c>
      <c r="I351" s="15" t="n">
        <f aca="false">I350+D351</f>
        <v>257589.734622387</v>
      </c>
      <c r="J351" s="15" t="n">
        <f aca="false">J350+E351-F351</f>
        <v>463091.46959465</v>
      </c>
    </row>
    <row r="352" customFormat="false" ht="15" hidden="false" customHeight="false" outlineLevel="0" collapsed="false">
      <c r="A352" s="19" t="n">
        <f aca="false">A351+1</f>
        <v>328</v>
      </c>
      <c r="B352" s="19" t="n">
        <f aca="false">INT((A352-1)/$C$6)+1</f>
        <v>28</v>
      </c>
      <c r="C352" s="15" t="n">
        <f aca="false">G351</f>
        <v>720681.204217036</v>
      </c>
      <c r="D352" s="15" t="n">
        <f aca="false">$C$5*(1+$C$11)^(B352-1)</f>
        <v>1110.64450278508</v>
      </c>
      <c r="E352" s="15" t="n">
        <f aca="false">(C352+D352*$C$7)*$C$15</f>
        <v>4203.97369126605</v>
      </c>
      <c r="F352" s="15" t="n">
        <f aca="false">IF(E352&gt;0,E352*$C$13,0)</f>
        <v>0</v>
      </c>
      <c r="G352" s="15" t="n">
        <f aca="false">C352+D352+E352-F352</f>
        <v>725995.822411088</v>
      </c>
      <c r="H352" s="15" t="n">
        <f aca="false">G352/(1+$C$12)^(A352/$C$6)</f>
        <v>369670.788867713</v>
      </c>
      <c r="I352" s="15" t="n">
        <f aca="false">I351+D352</f>
        <v>258700.379125172</v>
      </c>
      <c r="J352" s="15" t="n">
        <f aca="false">J351+E352-F352</f>
        <v>467295.443285916</v>
      </c>
    </row>
    <row r="353" customFormat="false" ht="15" hidden="false" customHeight="false" outlineLevel="0" collapsed="false">
      <c r="A353" s="19" t="n">
        <f aca="false">A352+1</f>
        <v>329</v>
      </c>
      <c r="B353" s="19" t="n">
        <f aca="false">INT((A353-1)/$C$6)+1</f>
        <v>28</v>
      </c>
      <c r="C353" s="15" t="n">
        <f aca="false">G352</f>
        <v>725995.822411088</v>
      </c>
      <c r="D353" s="15" t="n">
        <f aca="false">$C$5*(1+$C$11)^(B353-1)</f>
        <v>1110.64450278508</v>
      </c>
      <c r="E353" s="15" t="n">
        <f aca="false">(C353+D353*$C$7)*$C$15</f>
        <v>4234.97563073134</v>
      </c>
      <c r="F353" s="15" t="n">
        <f aca="false">IF(E353&gt;0,E353*$C$13,0)</f>
        <v>0</v>
      </c>
      <c r="G353" s="15" t="n">
        <f aca="false">C353+D353+E353-F353</f>
        <v>731341.442544604</v>
      </c>
      <c r="H353" s="15" t="n">
        <f aca="false">G353/(1+$C$12)^(A353/$C$6)</f>
        <v>371627.241100257</v>
      </c>
      <c r="I353" s="15" t="n">
        <f aca="false">I352+D353</f>
        <v>259811.023627957</v>
      </c>
      <c r="J353" s="15" t="n">
        <f aca="false">J352+E353-F353</f>
        <v>471530.418916648</v>
      </c>
    </row>
    <row r="354" customFormat="false" ht="15" hidden="false" customHeight="false" outlineLevel="0" collapsed="false">
      <c r="A354" s="19" t="n">
        <f aca="false">A353+1</f>
        <v>330</v>
      </c>
      <c r="B354" s="19" t="n">
        <f aca="false">INT((A354-1)/$C$6)+1</f>
        <v>28</v>
      </c>
      <c r="C354" s="15" t="n">
        <f aca="false">G353</f>
        <v>731341.442544604</v>
      </c>
      <c r="D354" s="15" t="n">
        <f aca="false">$C$5*(1+$C$11)^(B354-1)</f>
        <v>1110.64450278508</v>
      </c>
      <c r="E354" s="15" t="n">
        <f aca="false">(C354+D354*$C$7)*$C$15</f>
        <v>4266.15841484352</v>
      </c>
      <c r="F354" s="15" t="n">
        <f aca="false">IF(E354&gt;0,E354*$C$13,0)</f>
        <v>0</v>
      </c>
      <c r="G354" s="15" t="n">
        <f aca="false">C354+D354+E354-F354</f>
        <v>736718.245462232</v>
      </c>
      <c r="H354" s="15" t="n">
        <f aca="false">G354/(1+$C$12)^(A354/$C$6)</f>
        <v>373589.900707576</v>
      </c>
      <c r="I354" s="15" t="n">
        <f aca="false">I353+D354</f>
        <v>260921.668130742</v>
      </c>
      <c r="J354" s="15" t="n">
        <f aca="false">J353+E354-F354</f>
        <v>475796.577331491</v>
      </c>
    </row>
    <row r="355" customFormat="false" ht="15" hidden="false" customHeight="false" outlineLevel="0" collapsed="false">
      <c r="A355" s="19" t="n">
        <f aca="false">A354+1</f>
        <v>331</v>
      </c>
      <c r="B355" s="19" t="n">
        <f aca="false">INT((A355-1)/$C$6)+1</f>
        <v>28</v>
      </c>
      <c r="C355" s="15" t="n">
        <f aca="false">G354</f>
        <v>736718.245462232</v>
      </c>
      <c r="D355" s="15" t="n">
        <f aca="false">$C$5*(1+$C$11)^(B355-1)</f>
        <v>1110.64450278508</v>
      </c>
      <c r="E355" s="15" t="n">
        <f aca="false">(C355+D355*$C$7)*$C$15</f>
        <v>4297.52309852969</v>
      </c>
      <c r="F355" s="15" t="n">
        <f aca="false">IF(E355&gt;0,E355*$C$13,0)</f>
        <v>0</v>
      </c>
      <c r="G355" s="15" t="n">
        <f aca="false">C355+D355+E355-F355</f>
        <v>742126.413063547</v>
      </c>
      <c r="H355" s="15" t="n">
        <f aca="false">G355/(1+$C$12)^(A355/$C$6)</f>
        <v>375558.79344977</v>
      </c>
      <c r="I355" s="15" t="n">
        <f aca="false">I354+D355</f>
        <v>262032.312633527</v>
      </c>
      <c r="J355" s="15" t="n">
        <f aca="false">J354+E355-F355</f>
        <v>480094.100430021</v>
      </c>
    </row>
    <row r="356" customFormat="false" ht="15" hidden="false" customHeight="false" outlineLevel="0" collapsed="false">
      <c r="A356" s="19" t="n">
        <f aca="false">A355+1</f>
        <v>332</v>
      </c>
      <c r="B356" s="19" t="n">
        <f aca="false">INT((A356-1)/$C$6)+1</f>
        <v>28</v>
      </c>
      <c r="C356" s="15" t="n">
        <f aca="false">G355</f>
        <v>742126.413063547</v>
      </c>
      <c r="D356" s="15" t="n">
        <f aca="false">$C$5*(1+$C$11)^(B356-1)</f>
        <v>1110.64450278508</v>
      </c>
      <c r="E356" s="15" t="n">
        <f aca="false">(C356+D356*$C$7)*$C$15</f>
        <v>4329.07074287069</v>
      </c>
      <c r="F356" s="15" t="n">
        <f aca="false">IF(E356&gt;0,E356*$C$13,0)</f>
        <v>0</v>
      </c>
      <c r="G356" s="15" t="n">
        <f aca="false">C356+D356+E356-F356</f>
        <v>747566.128309203</v>
      </c>
      <c r="H356" s="15" t="n">
        <f aca="false">G356/(1+$C$12)^(A356/$C$6)</f>
        <v>377533.945179039</v>
      </c>
      <c r="I356" s="15" t="n">
        <f aca="false">I355+D356</f>
        <v>263142.957136312</v>
      </c>
      <c r="J356" s="15" t="n">
        <f aca="false">J355+E356-F356</f>
        <v>484423.171172892</v>
      </c>
    </row>
    <row r="357" customFormat="false" ht="15" hidden="false" customHeight="false" outlineLevel="0" collapsed="false">
      <c r="A357" s="19" t="n">
        <f aca="false">A356+1</f>
        <v>333</v>
      </c>
      <c r="B357" s="19" t="n">
        <f aca="false">INT((A357-1)/$C$6)+1</f>
        <v>28</v>
      </c>
      <c r="C357" s="15" t="n">
        <f aca="false">G356</f>
        <v>747566.128309203</v>
      </c>
      <c r="D357" s="15" t="n">
        <f aca="false">$C$5*(1+$C$11)^(B357-1)</f>
        <v>1110.64450278508</v>
      </c>
      <c r="E357" s="15" t="n">
        <f aca="false">(C357+D357*$C$7)*$C$15</f>
        <v>4360.80241513702</v>
      </c>
      <c r="F357" s="15" t="n">
        <f aca="false">IF(E357&gt;0,E357*$C$13,0)</f>
        <v>0</v>
      </c>
      <c r="G357" s="15" t="n">
        <f aca="false">C357+D357+E357-F357</f>
        <v>753037.575227125</v>
      </c>
      <c r="H357" s="15" t="n">
        <f aca="false">G357/(1+$C$12)^(A357/$C$6)</f>
        <v>379515.381840047</v>
      </c>
      <c r="I357" s="15" t="n">
        <f aca="false">I356+D357</f>
        <v>264253.601639097</v>
      </c>
      <c r="J357" s="15" t="n">
        <f aca="false">J356+E357-F357</f>
        <v>488783.973588029</v>
      </c>
    </row>
    <row r="358" customFormat="false" ht="15" hidden="false" customHeight="false" outlineLevel="0" collapsed="false">
      <c r="A358" s="19" t="n">
        <f aca="false">A357+1</f>
        <v>334</v>
      </c>
      <c r="B358" s="19" t="n">
        <f aca="false">INT((A358-1)/$C$6)+1</f>
        <v>28</v>
      </c>
      <c r="C358" s="15" t="n">
        <f aca="false">G357</f>
        <v>753037.575227125</v>
      </c>
      <c r="D358" s="15" t="n">
        <f aca="false">$C$5*(1+$C$11)^(B358-1)</f>
        <v>1110.64450278508</v>
      </c>
      <c r="E358" s="15" t="n">
        <f aca="false">(C358+D358*$C$7)*$C$15</f>
        <v>4392.7191888249</v>
      </c>
      <c r="F358" s="15" t="n">
        <f aca="false">IF(E358&gt;0,E358*$C$13,0)</f>
        <v>0</v>
      </c>
      <c r="G358" s="15" t="n">
        <f aca="false">C358+D358+E358-F358</f>
        <v>758540.938918735</v>
      </c>
      <c r="H358" s="15" t="n">
        <f aca="false">G358/(1+$C$12)^(A358/$C$6)</f>
        <v>381503.129470274</v>
      </c>
      <c r="I358" s="15" t="n">
        <f aca="false">I357+D358</f>
        <v>265364.246141882</v>
      </c>
      <c r="J358" s="15" t="n">
        <f aca="false">J357+E358-F358</f>
        <v>493176.692776854</v>
      </c>
    </row>
    <row r="359" customFormat="false" ht="15" hidden="false" customHeight="false" outlineLevel="0" collapsed="false">
      <c r="A359" s="19" t="n">
        <f aca="false">A358+1</f>
        <v>335</v>
      </c>
      <c r="B359" s="19" t="n">
        <f aca="false">INT((A359-1)/$C$6)+1</f>
        <v>28</v>
      </c>
      <c r="C359" s="15" t="n">
        <f aca="false">G358</f>
        <v>758540.938918735</v>
      </c>
      <c r="D359" s="15" t="n">
        <f aca="false">$C$5*(1+$C$11)^(B359-1)</f>
        <v>1110.64450278508</v>
      </c>
      <c r="E359" s="15" t="n">
        <f aca="false">(C359+D359*$C$7)*$C$15</f>
        <v>4424.82214369262</v>
      </c>
      <c r="F359" s="15" t="n">
        <f aca="false">IF(E359&gt;0,E359*$C$13,0)</f>
        <v>0</v>
      </c>
      <c r="G359" s="15" t="n">
        <f aca="false">C359+D359+E359-F359</f>
        <v>764076.405565213</v>
      </c>
      <c r="H359" s="15" t="n">
        <f aca="false">G359/(1+$C$12)^(A359/$C$6)</f>
        <v>383497.214200382</v>
      </c>
      <c r="I359" s="15" t="n">
        <f aca="false">I358+D359</f>
        <v>266474.890644667</v>
      </c>
      <c r="J359" s="15" t="n">
        <f aca="false">J358+E359-F359</f>
        <v>497601.514920546</v>
      </c>
    </row>
    <row r="360" customFormat="false" ht="15" hidden="false" customHeight="false" outlineLevel="0" collapsed="false">
      <c r="A360" s="19" t="n">
        <f aca="false">A359+1</f>
        <v>336</v>
      </c>
      <c r="B360" s="19" t="n">
        <f aca="false">INT((A360-1)/$C$6)+1</f>
        <v>28</v>
      </c>
      <c r="C360" s="15" t="n">
        <f aca="false">G359</f>
        <v>764076.405565213</v>
      </c>
      <c r="D360" s="15" t="n">
        <f aca="false">$C$5*(1+$C$11)^(B360-1)</f>
        <v>1110.64450278508</v>
      </c>
      <c r="E360" s="15" t="n">
        <f aca="false">(C360+D360*$C$7)*$C$15</f>
        <v>4457.11236579707</v>
      </c>
      <c r="F360" s="15" t="n">
        <f aca="false">IF(E360&gt;0,E360*$C$13,0)</f>
        <v>0</v>
      </c>
      <c r="G360" s="15" t="n">
        <f aca="false">C360+D360+E360-F360</f>
        <v>769644.162433795</v>
      </c>
      <c r="H360" s="15" t="n">
        <f aca="false">G360/(1+$C$12)^(A360/$C$6)</f>
        <v>385497.66225457</v>
      </c>
      <c r="I360" s="15" t="n">
        <f aca="false">I359+D360</f>
        <v>267585.535147452</v>
      </c>
      <c r="J360" s="15" t="n">
        <f aca="false">J359+E360-F360</f>
        <v>502058.627286343</v>
      </c>
    </row>
    <row r="361" customFormat="false" ht="15" hidden="false" customHeight="false" outlineLevel="0" collapsed="false">
      <c r="A361" s="19" t="n">
        <f aca="false">A360+1</f>
        <v>337</v>
      </c>
      <c r="B361" s="19" t="n">
        <f aca="false">INT((A361-1)/$C$6)+1</f>
        <v>29</v>
      </c>
      <c r="C361" s="15" t="n">
        <f aca="false">G360</f>
        <v>769644.162433795</v>
      </c>
      <c r="D361" s="15" t="n">
        <f aca="false">$C$5*(1+$C$11)^(B361-1)</f>
        <v>1143.96383786863</v>
      </c>
      <c r="E361" s="15" t="n">
        <f aca="false">(C361+D361*$C$7)*$C$15</f>
        <v>4489.59094753047</v>
      </c>
      <c r="F361" s="15" t="n">
        <f aca="false">IF(E361&gt;0,E361*$C$13,0)</f>
        <v>0</v>
      </c>
      <c r="G361" s="15" t="n">
        <f aca="false">C361+D361+E361-F361</f>
        <v>775277.717219194</v>
      </c>
      <c r="H361" s="15" t="n">
        <f aca="false">G361/(1+$C$12)^(A361/$C$6)</f>
        <v>387521.154559878</v>
      </c>
      <c r="I361" s="15" t="n">
        <f aca="false">I360+D361</f>
        <v>268729.498985321</v>
      </c>
      <c r="J361" s="15" t="n">
        <f aca="false">J360+E361-F361</f>
        <v>506548.218233874</v>
      </c>
    </row>
    <row r="362" customFormat="false" ht="15" hidden="false" customHeight="false" outlineLevel="0" collapsed="false">
      <c r="A362" s="19" t="n">
        <f aca="false">A361+1</f>
        <v>338</v>
      </c>
      <c r="B362" s="19" t="n">
        <f aca="false">INT((A362-1)/$C$6)+1</f>
        <v>29</v>
      </c>
      <c r="C362" s="15" t="n">
        <f aca="false">G361</f>
        <v>775277.717219194</v>
      </c>
      <c r="D362" s="15" t="n">
        <f aca="false">$C$5*(1+$C$11)^(B362-1)</f>
        <v>1143.96383786863</v>
      </c>
      <c r="E362" s="15" t="n">
        <f aca="false">(C362+D362*$C$7)*$C$15</f>
        <v>4522.4533504453</v>
      </c>
      <c r="F362" s="15" t="n">
        <f aca="false">IF(E362&gt;0,E362*$C$13,0)</f>
        <v>0</v>
      </c>
      <c r="G362" s="15" t="n">
        <f aca="false">C362+D362+E362-F362</f>
        <v>780944.134407508</v>
      </c>
      <c r="H362" s="15" t="n">
        <f aca="false">G362/(1+$C$12)^(A362/$C$6)</f>
        <v>389551.091401417</v>
      </c>
      <c r="I362" s="15" t="n">
        <f aca="false">I361+D362</f>
        <v>269873.46282319</v>
      </c>
      <c r="J362" s="15" t="n">
        <f aca="false">J361+E362-F362</f>
        <v>511070.671584319</v>
      </c>
    </row>
    <row r="363" customFormat="false" ht="15" hidden="false" customHeight="false" outlineLevel="0" collapsed="false">
      <c r="A363" s="19" t="n">
        <f aca="false">A362+1</f>
        <v>339</v>
      </c>
      <c r="B363" s="19" t="n">
        <f aca="false">INT((A363-1)/$C$6)+1</f>
        <v>29</v>
      </c>
      <c r="C363" s="15" t="n">
        <f aca="false">G362</f>
        <v>780944.134407508</v>
      </c>
      <c r="D363" s="15" t="n">
        <f aca="false">$C$5*(1+$C$11)^(B363-1)</f>
        <v>1143.96383786863</v>
      </c>
      <c r="E363" s="15" t="n">
        <f aca="false">(C363+D363*$C$7)*$C$15</f>
        <v>4555.50745071046</v>
      </c>
      <c r="F363" s="15" t="n">
        <f aca="false">IF(E363&gt;0,E363*$C$13,0)</f>
        <v>0</v>
      </c>
      <c r="G363" s="15" t="n">
        <f aca="false">C363+D363+E363-F363</f>
        <v>786643.605696087</v>
      </c>
      <c r="H363" s="15" t="n">
        <f aca="false">G363/(1+$C$12)^(A363/$C$6)</f>
        <v>391587.499463811</v>
      </c>
      <c r="I363" s="15" t="n">
        <f aca="false">I362+D363</f>
        <v>271017.426661058</v>
      </c>
      <c r="J363" s="15" t="n">
        <f aca="false">J362+E363-F363</f>
        <v>515626.179035029</v>
      </c>
    </row>
    <row r="364" customFormat="false" ht="15" hidden="false" customHeight="false" outlineLevel="0" collapsed="false">
      <c r="A364" s="19" t="n">
        <f aca="false">A363+1</f>
        <v>340</v>
      </c>
      <c r="B364" s="19" t="n">
        <f aca="false">INT((A364-1)/$C$6)+1</f>
        <v>29</v>
      </c>
      <c r="C364" s="15" t="n">
        <f aca="false">G363</f>
        <v>786643.605696087</v>
      </c>
      <c r="D364" s="15" t="n">
        <f aca="false">$C$5*(1+$C$11)^(B364-1)</f>
        <v>1143.96383786863</v>
      </c>
      <c r="E364" s="15" t="n">
        <f aca="false">(C364+D364*$C$7)*$C$15</f>
        <v>4588.75436656051</v>
      </c>
      <c r="F364" s="15" t="n">
        <f aca="false">IF(E364&gt;0,E364*$C$13,0)</f>
        <v>0</v>
      </c>
      <c r="G364" s="15" t="n">
        <f aca="false">C364+D364+E364-F364</f>
        <v>792376.323900516</v>
      </c>
      <c r="H364" s="15" t="n">
        <f aca="false">G364/(1+$C$12)^(A364/$C$6)</f>
        <v>393630.405527206</v>
      </c>
      <c r="I364" s="15" t="n">
        <f aca="false">I363+D364</f>
        <v>272161.390498927</v>
      </c>
      <c r="J364" s="15" t="n">
        <f aca="false">J363+E364-F364</f>
        <v>520214.93340159</v>
      </c>
    </row>
    <row r="365" customFormat="false" ht="15" hidden="false" customHeight="false" outlineLevel="0" collapsed="false">
      <c r="A365" s="19" t="n">
        <f aca="false">A364+1</f>
        <v>341</v>
      </c>
      <c r="B365" s="19" t="n">
        <f aca="false">INT((A365-1)/$C$6)+1</f>
        <v>29</v>
      </c>
      <c r="C365" s="15" t="n">
        <f aca="false">G364</f>
        <v>792376.323900516</v>
      </c>
      <c r="D365" s="15" t="n">
        <f aca="false">$C$5*(1+$C$11)^(B365-1)</f>
        <v>1143.96383786863</v>
      </c>
      <c r="E365" s="15" t="n">
        <f aca="false">(C365+D365*$C$7)*$C$15</f>
        <v>4622.19522275301</v>
      </c>
      <c r="F365" s="15" t="n">
        <f aca="false">IF(E365&gt;0,E365*$C$13,0)</f>
        <v>0</v>
      </c>
      <c r="G365" s="15" t="n">
        <f aca="false">C365+D365+E365-F365</f>
        <v>798142.482961138</v>
      </c>
      <c r="H365" s="15" t="n">
        <f aca="false">G365/(1+$C$12)^(A365/$C$6)</f>
        <v>395679.836467637</v>
      </c>
      <c r="I365" s="15" t="n">
        <f aca="false">I364+D365</f>
        <v>273305.354336796</v>
      </c>
      <c r="J365" s="15" t="n">
        <f aca="false">J364+E365-F365</f>
        <v>524837.128624343</v>
      </c>
    </row>
    <row r="366" customFormat="false" ht="15" hidden="false" customHeight="false" outlineLevel="0" collapsed="false">
      <c r="A366" s="19" t="n">
        <f aca="false">A365+1</f>
        <v>342</v>
      </c>
      <c r="B366" s="19" t="n">
        <f aca="false">INT((A366-1)/$C$6)+1</f>
        <v>29</v>
      </c>
      <c r="C366" s="15" t="n">
        <f aca="false">G365</f>
        <v>798142.482961138</v>
      </c>
      <c r="D366" s="15" t="n">
        <f aca="false">$C$5*(1+$C$11)^(B366-1)</f>
        <v>1143.96383786863</v>
      </c>
      <c r="E366" s="15" t="n">
        <f aca="false">(C366+D366*$C$7)*$C$15</f>
        <v>4655.83115060664</v>
      </c>
      <c r="F366" s="15" t="n">
        <f aca="false">IF(E366&gt;0,E366*$C$13,0)</f>
        <v>0</v>
      </c>
      <c r="G366" s="15" t="n">
        <f aca="false">C366+D366+E366-F366</f>
        <v>803942.277949613</v>
      </c>
      <c r="H366" s="15" t="n">
        <f aca="false">G366/(1+$C$12)^(A366/$C$6)</f>
        <v>397735.819257405</v>
      </c>
      <c r="I366" s="15" t="n">
        <f aca="false">I365+D366</f>
        <v>274449.318174664</v>
      </c>
      <c r="J366" s="15" t="n">
        <f aca="false">J365+E366-F366</f>
        <v>529492.95977495</v>
      </c>
    </row>
    <row r="367" customFormat="false" ht="15" hidden="false" customHeight="false" outlineLevel="0" collapsed="false">
      <c r="A367" s="19" t="n">
        <f aca="false">A366+1</f>
        <v>343</v>
      </c>
      <c r="B367" s="19" t="n">
        <f aca="false">INT((A367-1)/$C$6)+1</f>
        <v>29</v>
      </c>
      <c r="C367" s="15" t="n">
        <f aca="false">G366</f>
        <v>803942.277949613</v>
      </c>
      <c r="D367" s="15" t="n">
        <f aca="false">$C$5*(1+$C$11)^(B367-1)</f>
        <v>1143.96383786863</v>
      </c>
      <c r="E367" s="15" t="n">
        <f aca="false">(C367+D367*$C$7)*$C$15</f>
        <v>4689.66328803941</v>
      </c>
      <c r="F367" s="15" t="n">
        <f aca="false">IF(E367&gt;0,E367*$C$13,0)</f>
        <v>0</v>
      </c>
      <c r="G367" s="15" t="n">
        <f aca="false">C367+D367+E367-F367</f>
        <v>809775.905075521</v>
      </c>
      <c r="H367" s="15" t="n">
        <f aca="false">G367/(1+$C$12)^(A367/$C$6)</f>
        <v>399798.38096544</v>
      </c>
      <c r="I367" s="15" t="n">
        <f aca="false">I366+D367</f>
        <v>275593.282012533</v>
      </c>
      <c r="J367" s="15" t="n">
        <f aca="false">J366+E367-F367</f>
        <v>534182.623062989</v>
      </c>
    </row>
    <row r="368" customFormat="false" ht="15" hidden="false" customHeight="false" outlineLevel="0" collapsed="false">
      <c r="A368" s="19" t="n">
        <f aca="false">A367+1</f>
        <v>344</v>
      </c>
      <c r="B368" s="19" t="n">
        <f aca="false">INT((A368-1)/$C$6)+1</f>
        <v>29</v>
      </c>
      <c r="C368" s="15" t="n">
        <f aca="false">G367</f>
        <v>809775.905075521</v>
      </c>
      <c r="D368" s="15" t="n">
        <f aca="false">$C$5*(1+$C$11)^(B368-1)</f>
        <v>1143.96383786863</v>
      </c>
      <c r="E368" s="15" t="n">
        <f aca="false">(C368+D368*$C$7)*$C$15</f>
        <v>4723.69277960721</v>
      </c>
      <c r="F368" s="15" t="n">
        <f aca="false">IF(E368&gt;0,E368*$C$13,0)</f>
        <v>0</v>
      </c>
      <c r="G368" s="15" t="n">
        <f aca="false">C368+D368+E368-F368</f>
        <v>815643.561692997</v>
      </c>
      <c r="H368" s="15" t="n">
        <f aca="false">G368/(1+$C$12)^(A368/$C$6)</f>
        <v>401867.548757685</v>
      </c>
      <c r="I368" s="15" t="n">
        <f aca="false">I367+D368</f>
        <v>276737.245850402</v>
      </c>
      <c r="J368" s="15" t="n">
        <f aca="false">J367+E368-F368</f>
        <v>538906.315842596</v>
      </c>
    </row>
    <row r="369" customFormat="false" ht="15" hidden="false" customHeight="false" outlineLevel="0" collapsed="false">
      <c r="A369" s="19" t="n">
        <f aca="false">A368+1</f>
        <v>345</v>
      </c>
      <c r="B369" s="19" t="n">
        <f aca="false">INT((A369-1)/$C$6)+1</f>
        <v>29</v>
      </c>
      <c r="C369" s="15" t="n">
        <f aca="false">G368</f>
        <v>815643.561692997</v>
      </c>
      <c r="D369" s="15" t="n">
        <f aca="false">$C$5*(1+$C$11)^(B369-1)</f>
        <v>1143.96383786863</v>
      </c>
      <c r="E369" s="15" t="n">
        <f aca="false">(C369+D369*$C$7)*$C$15</f>
        <v>4757.92077654248</v>
      </c>
      <c r="F369" s="15" t="n">
        <f aca="false">IF(E369&gt;0,E369*$C$13,0)</f>
        <v>0</v>
      </c>
      <c r="G369" s="15" t="n">
        <f aca="false">C369+D369+E369-F369</f>
        <v>821545.446307408</v>
      </c>
      <c r="H369" s="15" t="n">
        <f aca="false">G369/(1+$C$12)^(A369/$C$6)</f>
        <v>403943.349897466</v>
      </c>
      <c r="I369" s="15" t="n">
        <f aca="false">I368+D369</f>
        <v>277881.20968827</v>
      </c>
      <c r="J369" s="15" t="n">
        <f aca="false">J368+E369-F369</f>
        <v>543664.236619139</v>
      </c>
    </row>
    <row r="370" customFormat="false" ht="15" hidden="false" customHeight="false" outlineLevel="0" collapsed="false">
      <c r="A370" s="19" t="n">
        <f aca="false">A369+1</f>
        <v>346</v>
      </c>
      <c r="B370" s="19" t="n">
        <f aca="false">INT((A370-1)/$C$6)+1</f>
        <v>29</v>
      </c>
      <c r="C370" s="15" t="n">
        <f aca="false">G369</f>
        <v>821545.446307408</v>
      </c>
      <c r="D370" s="15" t="n">
        <f aca="false">$C$5*(1+$C$11)^(B370-1)</f>
        <v>1143.96383786863</v>
      </c>
      <c r="E370" s="15" t="n">
        <f aca="false">(C370+D370*$C$7)*$C$15</f>
        <v>4792.34843679321</v>
      </c>
      <c r="F370" s="15" t="n">
        <f aca="false">IF(E370&gt;0,E370*$C$13,0)</f>
        <v>0</v>
      </c>
      <c r="G370" s="15" t="n">
        <f aca="false">C370+D370+E370-F370</f>
        <v>827481.75858207</v>
      </c>
      <c r="H370" s="15" t="n">
        <f aca="false">G370/(1+$C$12)^(A370/$C$6)</f>
        <v>406025.811745868</v>
      </c>
      <c r="I370" s="15" t="n">
        <f aca="false">I369+D370</f>
        <v>279025.173526139</v>
      </c>
      <c r="J370" s="15" t="n">
        <f aca="false">J369+E370-F370</f>
        <v>548456.585055932</v>
      </c>
    </row>
    <row r="371" customFormat="false" ht="15" hidden="false" customHeight="false" outlineLevel="0" collapsed="false">
      <c r="A371" s="19" t="n">
        <f aca="false">A370+1</f>
        <v>347</v>
      </c>
      <c r="B371" s="19" t="n">
        <f aca="false">INT((A371-1)/$C$6)+1</f>
        <v>29</v>
      </c>
      <c r="C371" s="15" t="n">
        <f aca="false">G370</f>
        <v>827481.75858207</v>
      </c>
      <c r="D371" s="15" t="n">
        <f aca="false">$C$5*(1+$C$11)^(B371-1)</f>
        <v>1143.96383786863</v>
      </c>
      <c r="E371" s="15" t="n">
        <f aca="false">(C371+D371*$C$7)*$C$15</f>
        <v>4826.97692506208</v>
      </c>
      <c r="F371" s="15" t="n">
        <f aca="false">IF(E371&gt;0,E371*$C$13,0)</f>
        <v>0</v>
      </c>
      <c r="G371" s="15" t="n">
        <f aca="false">C371+D371+E371-F371</f>
        <v>833452.699345001</v>
      </c>
      <c r="H371" s="15" t="n">
        <f aca="false">G371/(1+$C$12)^(A371/$C$6)</f>
        <v>408114.961762116</v>
      </c>
      <c r="I371" s="15" t="n">
        <f aca="false">I370+D371</f>
        <v>280169.137364008</v>
      </c>
      <c r="J371" s="15" t="n">
        <f aca="false">J370+E371-F371</f>
        <v>553283.561980994</v>
      </c>
    </row>
    <row r="372" customFormat="false" ht="15" hidden="false" customHeight="false" outlineLevel="0" collapsed="false">
      <c r="A372" s="19" t="n">
        <f aca="false">A371+1</f>
        <v>348</v>
      </c>
      <c r="B372" s="19" t="n">
        <f aca="false">INT((A372-1)/$C$6)+1</f>
        <v>29</v>
      </c>
      <c r="C372" s="15" t="n">
        <f aca="false">G371</f>
        <v>833452.699345001</v>
      </c>
      <c r="D372" s="15" t="n">
        <f aca="false">$C$5*(1+$C$11)^(B372-1)</f>
        <v>1143.96383786863</v>
      </c>
      <c r="E372" s="15" t="n">
        <f aca="false">(C372+D372*$C$7)*$C$15</f>
        <v>4861.80741284584</v>
      </c>
      <c r="F372" s="15" t="n">
        <f aca="false">IF(E372&gt;0,E372*$C$13,0)</f>
        <v>0</v>
      </c>
      <c r="G372" s="15" t="n">
        <f aca="false">C372+D372+E372-F372</f>
        <v>839458.470595715</v>
      </c>
      <c r="H372" s="15" t="n">
        <f aca="false">G372/(1+$C$12)^(A372/$C$6)</f>
        <v>410210.827503955</v>
      </c>
      <c r="I372" s="15" t="n">
        <f aca="false">I371+D372</f>
        <v>281313.101201876</v>
      </c>
      <c r="J372" s="15" t="n">
        <f aca="false">J371+E372-F372</f>
        <v>558145.36939384</v>
      </c>
    </row>
    <row r="373" customFormat="false" ht="15" hidden="false" customHeight="false" outlineLevel="0" collapsed="false">
      <c r="A373" s="19" t="n">
        <f aca="false">A372+1</f>
        <v>349</v>
      </c>
      <c r="B373" s="19" t="n">
        <f aca="false">INT((A373-1)/$C$6)+1</f>
        <v>30</v>
      </c>
      <c r="C373" s="15" t="n">
        <f aca="false">G372</f>
        <v>839458.470595715</v>
      </c>
      <c r="D373" s="15" t="n">
        <f aca="false">$C$5*(1+$C$11)^(B373-1)</f>
        <v>1178.28275300469</v>
      </c>
      <c r="E373" s="15" t="n">
        <f aca="false">(C373+D373*$C$7)*$C$15</f>
        <v>4896.84107847501</v>
      </c>
      <c r="F373" s="15" t="n">
        <f aca="false">IF(E373&gt;0,E373*$C$13,0)</f>
        <v>0</v>
      </c>
      <c r="G373" s="15" t="n">
        <f aca="false">C373+D373+E373-F373</f>
        <v>845533.594427195</v>
      </c>
      <c r="H373" s="15" t="n">
        <f aca="false">G373/(1+$C$12)^(A373/$C$6)</f>
        <v>412330.172478965</v>
      </c>
      <c r="I373" s="15" t="n">
        <f aca="false">I372+D373</f>
        <v>282491.383954881</v>
      </c>
      <c r="J373" s="15" t="n">
        <f aca="false">J372+E373-F373</f>
        <v>563042.210472315</v>
      </c>
    </row>
    <row r="374" customFormat="false" ht="15" hidden="false" customHeight="false" outlineLevel="0" collapsed="false">
      <c r="A374" s="19" t="n">
        <f aca="false">A373+1</f>
        <v>350</v>
      </c>
      <c r="B374" s="19" t="n">
        <f aca="false">INT((A374-1)/$C$6)+1</f>
        <v>30</v>
      </c>
      <c r="C374" s="15" t="n">
        <f aca="false">G373</f>
        <v>845533.594427195</v>
      </c>
      <c r="D374" s="15" t="n">
        <f aca="false">$C$5*(1+$C$11)^(B374-1)</f>
        <v>1178.28275300469</v>
      </c>
      <c r="E374" s="15" t="n">
        <f aca="false">(C374+D374*$C$7)*$C$15</f>
        <v>4932.2793008253</v>
      </c>
      <c r="F374" s="15" t="n">
        <f aca="false">IF(E374&gt;0,E374*$C$13,0)</f>
        <v>0</v>
      </c>
      <c r="G374" s="15" t="n">
        <f aca="false">C374+D374+E374-F374</f>
        <v>851644.156481025</v>
      </c>
      <c r="H374" s="15" t="n">
        <f aca="false">G374/(1+$C$12)^(A374/$C$6)</f>
        <v>414456.317212753</v>
      </c>
      <c r="I374" s="15" t="n">
        <f aca="false">I373+D374</f>
        <v>283669.666707886</v>
      </c>
      <c r="J374" s="15" t="n">
        <f aca="false">J373+E374-F374</f>
        <v>567974.48977314</v>
      </c>
    </row>
    <row r="375" customFormat="false" ht="15" hidden="false" customHeight="false" outlineLevel="0" collapsed="false">
      <c r="A375" s="19" t="n">
        <f aca="false">A374+1</f>
        <v>351</v>
      </c>
      <c r="B375" s="19" t="n">
        <f aca="false">INT((A375-1)/$C$6)+1</f>
        <v>30</v>
      </c>
      <c r="C375" s="15" t="n">
        <f aca="false">G374</f>
        <v>851644.156481025</v>
      </c>
      <c r="D375" s="15" t="n">
        <f aca="false">$C$5*(1+$C$11)^(B375-1)</f>
        <v>1178.28275300469</v>
      </c>
      <c r="E375" s="15" t="n">
        <f aca="false">(C375+D375*$C$7)*$C$15</f>
        <v>4967.92424613931</v>
      </c>
      <c r="F375" s="15" t="n">
        <f aca="false">IF(E375&gt;0,E375*$C$13,0)</f>
        <v>0</v>
      </c>
      <c r="G375" s="15" t="n">
        <f aca="false">C375+D375+E375-F375</f>
        <v>857790.363480169</v>
      </c>
      <c r="H375" s="15" t="n">
        <f aca="false">G375/(1+$C$12)^(A375/$C$6)</f>
        <v>416589.289739406</v>
      </c>
      <c r="I375" s="15" t="n">
        <f aca="false">I374+D375</f>
        <v>284847.94946089</v>
      </c>
      <c r="J375" s="15" t="n">
        <f aca="false">J374+E375-F375</f>
        <v>572942.41401928</v>
      </c>
    </row>
    <row r="376" customFormat="false" ht="15" hidden="false" customHeight="false" outlineLevel="0" collapsed="false">
      <c r="A376" s="19" t="n">
        <f aca="false">A375+1</f>
        <v>352</v>
      </c>
      <c r="B376" s="19" t="n">
        <f aca="false">INT((A376-1)/$C$6)+1</f>
        <v>30</v>
      </c>
      <c r="C376" s="15" t="n">
        <f aca="false">G375</f>
        <v>857790.363480169</v>
      </c>
      <c r="D376" s="15" t="n">
        <f aca="false">$C$5*(1+$C$11)^(B376-1)</f>
        <v>1178.28275300469</v>
      </c>
      <c r="E376" s="15" t="n">
        <f aca="false">(C376+D376*$C$7)*$C$15</f>
        <v>5003.77712030099</v>
      </c>
      <c r="F376" s="15" t="n">
        <f aca="false">IF(E376&gt;0,E376*$C$13,0)</f>
        <v>0</v>
      </c>
      <c r="G376" s="15" t="n">
        <f aca="false">C376+D376+E376-F376</f>
        <v>863972.423353475</v>
      </c>
      <c r="H376" s="15" t="n">
        <f aca="false">G376/(1+$C$12)^(A376/$C$6)</f>
        <v>418729.118193591</v>
      </c>
      <c r="I376" s="15" t="n">
        <f aca="false">I375+D376</f>
        <v>286026.232213895</v>
      </c>
      <c r="J376" s="15" t="n">
        <f aca="false">J375+E376-F376</f>
        <v>577946.191139581</v>
      </c>
    </row>
    <row r="377" customFormat="false" ht="15" hidden="false" customHeight="false" outlineLevel="0" collapsed="false">
      <c r="A377" s="19" t="n">
        <f aca="false">A376+1</f>
        <v>353</v>
      </c>
      <c r="B377" s="19" t="n">
        <f aca="false">INT((A377-1)/$C$6)+1</f>
        <v>30</v>
      </c>
      <c r="C377" s="15" t="n">
        <f aca="false">G376</f>
        <v>863972.423353475</v>
      </c>
      <c r="D377" s="15" t="n">
        <f aca="false">$C$5*(1+$C$11)^(B377-1)</f>
        <v>1178.28275300469</v>
      </c>
      <c r="E377" s="15" t="n">
        <f aca="false">(C377+D377*$C$7)*$C$15</f>
        <v>5039.8391362286</v>
      </c>
      <c r="F377" s="15" t="n">
        <f aca="false">IF(E377&gt;0,E377*$C$13,0)</f>
        <v>0</v>
      </c>
      <c r="G377" s="15" t="n">
        <f aca="false">C377+D377+E377-F377</f>
        <v>870190.545242708</v>
      </c>
      <c r="H377" s="15" t="n">
        <f aca="false">G377/(1+$C$12)^(A377/$C$6)</f>
        <v>420875.830810939</v>
      </c>
      <c r="I377" s="15" t="n">
        <f aca="false">I376+D377</f>
        <v>287204.5149669</v>
      </c>
      <c r="J377" s="15" t="n">
        <f aca="false">J376+E377-F377</f>
        <v>582986.030275809</v>
      </c>
    </row>
    <row r="378" customFormat="false" ht="15" hidden="false" customHeight="false" outlineLevel="0" collapsed="false">
      <c r="A378" s="19" t="n">
        <f aca="false">A377+1</f>
        <v>354</v>
      </c>
      <c r="B378" s="19" t="n">
        <f aca="false">INT((A378-1)/$C$6)+1</f>
        <v>30</v>
      </c>
      <c r="C378" s="15" t="n">
        <f aca="false">G377</f>
        <v>870190.545242708</v>
      </c>
      <c r="D378" s="15" t="n">
        <f aca="false">$C$5*(1+$C$11)^(B378-1)</f>
        <v>1178.28275300469</v>
      </c>
      <c r="E378" s="15" t="n">
        <f aca="false">(C378+D378*$C$7)*$C$15</f>
        <v>5076.1115139158</v>
      </c>
      <c r="F378" s="15" t="n">
        <f aca="false">IF(E378&gt;0,E378*$C$13,0)</f>
        <v>0</v>
      </c>
      <c r="G378" s="15" t="n">
        <f aca="false">C378+D378+E378-F378</f>
        <v>876444.939509628</v>
      </c>
      <c r="H378" s="15" t="n">
        <f aca="false">G378/(1+$C$12)^(A378/$C$6)</f>
        <v>423029.455928441</v>
      </c>
      <c r="I378" s="15" t="n">
        <f aca="false">I377+D378</f>
        <v>288382.797719904</v>
      </c>
      <c r="J378" s="15" t="n">
        <f aca="false">J377+E378-F378</f>
        <v>588062.141789725</v>
      </c>
    </row>
    <row r="379" customFormat="false" ht="15" hidden="false" customHeight="false" outlineLevel="0" collapsed="false">
      <c r="A379" s="19" t="n">
        <f aca="false">A378+1</f>
        <v>355</v>
      </c>
      <c r="B379" s="19" t="n">
        <f aca="false">INT((A379-1)/$C$6)+1</f>
        <v>30</v>
      </c>
      <c r="C379" s="15" t="n">
        <f aca="false">G378</f>
        <v>876444.939509628</v>
      </c>
      <c r="D379" s="15" t="n">
        <f aca="false">$C$5*(1+$C$11)^(B379-1)</f>
        <v>1178.28275300469</v>
      </c>
      <c r="E379" s="15" t="n">
        <f aca="false">(C379+D379*$C$7)*$C$15</f>
        <v>5112.59548047283</v>
      </c>
      <c r="F379" s="15" t="n">
        <f aca="false">IF(E379&gt;0,E379*$C$13,0)</f>
        <v>0</v>
      </c>
      <c r="G379" s="15" t="n">
        <f aca="false">C379+D379+E379-F379</f>
        <v>882735.817743106</v>
      </c>
      <c r="H379" s="15" t="n">
        <f aca="false">G379/(1+$C$12)^(A379/$C$6)</f>
        <v>425190.021984836</v>
      </c>
      <c r="I379" s="15" t="n">
        <f aca="false">I378+D379</f>
        <v>289561.080472909</v>
      </c>
      <c r="J379" s="15" t="n">
        <f aca="false">J378+E379-F379</f>
        <v>593174.737270198</v>
      </c>
    </row>
    <row r="380" customFormat="false" ht="15" hidden="false" customHeight="false" outlineLevel="0" collapsed="false">
      <c r="A380" s="19" t="n">
        <f aca="false">A379+1</f>
        <v>356</v>
      </c>
      <c r="B380" s="19" t="n">
        <f aca="false">INT((A380-1)/$C$6)+1</f>
        <v>30</v>
      </c>
      <c r="C380" s="15" t="n">
        <f aca="false">G379</f>
        <v>882735.817743106</v>
      </c>
      <c r="D380" s="15" t="n">
        <f aca="false">$C$5*(1+$C$11)^(B380-1)</f>
        <v>1178.28275300469</v>
      </c>
      <c r="E380" s="15" t="n">
        <f aca="false">(C380+D380*$C$7)*$C$15</f>
        <v>5149.29227016812</v>
      </c>
      <c r="F380" s="15" t="n">
        <f aca="false">IF(E380&gt;0,E380*$C$13,0)</f>
        <v>0</v>
      </c>
      <c r="G380" s="15" t="n">
        <f aca="false">C380+D380+E380-F380</f>
        <v>889063.392766279</v>
      </c>
      <c r="H380" s="15" t="n">
        <f aca="false">G380/(1+$C$12)^(A380/$C$6)</f>
        <v>427357.557521008</v>
      </c>
      <c r="I380" s="15" t="n">
        <f aca="false">I379+D380</f>
        <v>290739.363225914</v>
      </c>
      <c r="J380" s="15" t="n">
        <f aca="false">J379+E380-F380</f>
        <v>598324.029540366</v>
      </c>
    </row>
    <row r="381" customFormat="false" ht="15" hidden="false" customHeight="false" outlineLevel="0" collapsed="false">
      <c r="A381" s="19" t="n">
        <f aca="false">A380+1</f>
        <v>357</v>
      </c>
      <c r="B381" s="19" t="n">
        <f aca="false">INT((A381-1)/$C$6)+1</f>
        <v>30</v>
      </c>
      <c r="C381" s="15" t="n">
        <f aca="false">G380</f>
        <v>889063.392766279</v>
      </c>
      <c r="D381" s="15" t="n">
        <f aca="false">$C$5*(1+$C$11)^(B381-1)</f>
        <v>1178.28275300469</v>
      </c>
      <c r="E381" s="15" t="n">
        <f aca="false">(C381+D381*$C$7)*$C$15</f>
        <v>5186.20312446996</v>
      </c>
      <c r="F381" s="15" t="n">
        <f aca="false">IF(E381&gt;0,E381*$C$13,0)</f>
        <v>0</v>
      </c>
      <c r="G381" s="15" t="n">
        <f aca="false">C381+D381+E381-F381</f>
        <v>895427.878643753</v>
      </c>
      <c r="H381" s="15" t="n">
        <f aca="false">G381/(1+$C$12)^(A381/$C$6)</f>
        <v>429532.091180375</v>
      </c>
      <c r="I381" s="15" t="n">
        <f aca="false">I380+D381</f>
        <v>291917.645978918</v>
      </c>
      <c r="J381" s="15" t="n">
        <f aca="false">J380+E381-F381</f>
        <v>603510.232664836</v>
      </c>
    </row>
    <row r="382" customFormat="false" ht="15" hidden="false" customHeight="false" outlineLevel="0" collapsed="false">
      <c r="A382" s="19" t="n">
        <f aca="false">A381+1</f>
        <v>358</v>
      </c>
      <c r="B382" s="19" t="n">
        <f aca="false">INT((A382-1)/$C$6)+1</f>
        <v>30</v>
      </c>
      <c r="C382" s="15" t="n">
        <f aca="false">G381</f>
        <v>895427.878643753</v>
      </c>
      <c r="D382" s="15" t="n">
        <f aca="false">$C$5*(1+$C$11)^(B382-1)</f>
        <v>1178.28275300469</v>
      </c>
      <c r="E382" s="15" t="n">
        <f aca="false">(C382+D382*$C$7)*$C$15</f>
        <v>5223.32929208856</v>
      </c>
      <c r="F382" s="15" t="n">
        <f aca="false">IF(E382&gt;0,E382*$C$13,0)</f>
        <v>0</v>
      </c>
      <c r="G382" s="15" t="n">
        <f aca="false">C382+D382+E382-F382</f>
        <v>901829.490688846</v>
      </c>
      <c r="H382" s="15" t="n">
        <f aca="false">G382/(1+$C$12)^(A382/$C$6)</f>
        <v>431713.651709294</v>
      </c>
      <c r="I382" s="15" t="n">
        <f aca="false">I381+D382</f>
        <v>293095.928731923</v>
      </c>
      <c r="J382" s="15" t="n">
        <f aca="false">J381+E382-F382</f>
        <v>608733.561956924</v>
      </c>
    </row>
    <row r="383" customFormat="false" ht="15" hidden="false" customHeight="false" outlineLevel="0" collapsed="false">
      <c r="A383" s="19" t="n">
        <f aca="false">A382+1</f>
        <v>359</v>
      </c>
      <c r="B383" s="19" t="n">
        <f aca="false">INT((A383-1)/$C$6)+1</f>
        <v>30</v>
      </c>
      <c r="C383" s="15" t="n">
        <f aca="false">G382</f>
        <v>901829.490688846</v>
      </c>
      <c r="D383" s="15" t="n">
        <f aca="false">$C$5*(1+$C$11)^(B383-1)</f>
        <v>1178.28275300469</v>
      </c>
      <c r="E383" s="15" t="n">
        <f aca="false">(C383+D383*$C$7)*$C$15</f>
        <v>5260.67202901827</v>
      </c>
      <c r="F383" s="15" t="n">
        <f aca="false">IF(E383&gt;0,E383*$C$13,0)</f>
        <v>0</v>
      </c>
      <c r="G383" s="15" t="n">
        <f aca="false">C383+D383+E383-F383</f>
        <v>908268.445470869</v>
      </c>
      <c r="H383" s="15" t="n">
        <f aca="false">G383/(1+$C$12)^(A383/$C$6)</f>
        <v>433902.26795745</v>
      </c>
      <c r="I383" s="15" t="n">
        <f aca="false">I382+D383</f>
        <v>294274.211484928</v>
      </c>
      <c r="J383" s="15" t="n">
        <f aca="false">J382+E383-F383</f>
        <v>613994.233985943</v>
      </c>
    </row>
    <row r="384" customFormat="false" ht="15" hidden="false" customHeight="false" outlineLevel="0" collapsed="false">
      <c r="A384" s="19" t="n">
        <f aca="false">A383+1</f>
        <v>360</v>
      </c>
      <c r="B384" s="19" t="n">
        <f aca="false">INT((A384-1)/$C$6)+1</f>
        <v>30</v>
      </c>
      <c r="C384" s="15" t="n">
        <f aca="false">G383</f>
        <v>908268.445470869</v>
      </c>
      <c r="D384" s="15" t="n">
        <f aca="false">$C$5*(1+$C$11)^(B384-1)</f>
        <v>1178.28275300469</v>
      </c>
      <c r="E384" s="15" t="n">
        <f aca="false">(C384+D384*$C$7)*$C$15</f>
        <v>5298.23259858007</v>
      </c>
      <c r="F384" s="15" t="n">
        <f aca="false">IF(E384&gt;0,E384*$C$13,0)</f>
        <v>0</v>
      </c>
      <c r="G384" s="15" t="n">
        <f aca="false">C384+D384+E384-F384</f>
        <v>914744.960822454</v>
      </c>
      <c r="H384" s="15" t="n">
        <f aca="false">G384/(1+$C$12)^(A384/$C$6)</f>
        <v>436097.968878259</v>
      </c>
      <c r="I384" s="15" t="n">
        <f aca="false">I383+D384</f>
        <v>295452.494237933</v>
      </c>
      <c r="J384" s="15" t="n">
        <f aca="false">J383+E384-F384</f>
        <v>619292.466584523</v>
      </c>
    </row>
  </sheetData>
  <mergeCells count="16">
    <mergeCell ref="A1:J1"/>
    <mergeCell ref="A2:J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5:B15"/>
    <mergeCell ref="A16:B16"/>
    <mergeCell ref="A17:B17"/>
    <mergeCell ref="A21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8"/>
  </cols>
  <sheetData>
    <row r="1" customFormat="false" ht="2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18" t="s">
        <v>35</v>
      </c>
      <c r="B4" s="18" t="s">
        <v>36</v>
      </c>
      <c r="C4" s="18" t="s">
        <v>46</v>
      </c>
      <c r="D4" s="18" t="s">
        <v>38</v>
      </c>
      <c r="E4" s="18" t="s">
        <v>39</v>
      </c>
      <c r="F4" s="18" t="s">
        <v>40</v>
      </c>
      <c r="G4" s="18" t="s">
        <v>41</v>
      </c>
      <c r="H4" s="18" t="s">
        <v>42</v>
      </c>
      <c r="I4" s="18" t="s">
        <v>43</v>
      </c>
    </row>
    <row r="5" customFormat="false" ht="15" hidden="false" customHeight="false" outlineLevel="0" collapsed="false">
      <c r="A5" s="19" t="n">
        <f aca="false">1</f>
        <v>1</v>
      </c>
      <c r="B5" s="15" t="n">
        <f aca="false">INDEX(Investment!$C$25:$C$384,(A5-1)*Investment!$C$6+1)</f>
        <v>10000</v>
      </c>
      <c r="C5" s="15" t="n">
        <f aca="false">SUMIF(Investment!$B$25:$B$384,A5,Investment!$D$25:$D$384)</f>
        <v>6000</v>
      </c>
      <c r="D5" s="15" t="n">
        <f aca="false">SUMIF(Investment!$B$25:$B$384,A5,Investment!$E$25:$E$384)</f>
        <v>919.193453382557</v>
      </c>
      <c r="E5" s="15" t="n">
        <f aca="false">SUMIF(Investment!$B$25:$B$384,A5,Investment!$F$25:$F$384)</f>
        <v>0</v>
      </c>
      <c r="F5" s="15" t="n">
        <f aca="false">INDEX(Investment!$G$25:$G$384,MIN(1*Investment!$C$6,Investment!$C$16))</f>
        <v>16919.1934533826</v>
      </c>
      <c r="G5" s="15" t="n">
        <f aca="false">INDEX(Investment!$H$25:$H$384,MIN(1*Investment!$C$6,Investment!$C$16))</f>
        <v>16506.530198422</v>
      </c>
      <c r="H5" s="15" t="n">
        <f aca="false">INDEX(Investment!$I$25:$I$384,MIN(1*Investment!$C$6,Investment!$C$16))</f>
        <v>16000</v>
      </c>
      <c r="I5" s="15" t="n">
        <f aca="false">INDEX(Investment!$J$25:$J$384,MIN(1*Investment!$C$6,Investment!$C$16))</f>
        <v>919.193453382557</v>
      </c>
    </row>
    <row r="6" customFormat="false" ht="15" hidden="false" customHeight="false" outlineLevel="0" collapsed="false">
      <c r="A6" s="19" t="n">
        <f aca="false">A5+1</f>
        <v>2</v>
      </c>
      <c r="B6" s="15" t="n">
        <f aca="false">INDEX(Investment!$C$25:$C$384,(A6-1)*Investment!$C$6+1)</f>
        <v>16919.1934533826</v>
      </c>
      <c r="C6" s="15" t="n">
        <f aca="false">SUMIF(Investment!$B$25:$B$384,A6,Investment!$D$25:$D$384)</f>
        <v>6180</v>
      </c>
      <c r="D6" s="15" t="n">
        <f aca="false">SUMIF(Investment!$B$25:$B$384,A6,Investment!$E$25:$E$384)</f>
        <v>1425.27128693212</v>
      </c>
      <c r="E6" s="15" t="n">
        <f aca="false">SUMIF(Investment!$B$25:$B$384,A6,Investment!$F$25:$F$384)</f>
        <v>0</v>
      </c>
      <c r="F6" s="15" t="n">
        <f aca="false">INDEX(Investment!$G$25:$G$384,MIN(2*Investment!$C$6,Investment!$C$16))</f>
        <v>24524.4647403147</v>
      </c>
      <c r="G6" s="15" t="n">
        <f aca="false">INDEX(Investment!$H$25:$H$384,MIN(2*Investment!$C$6,Investment!$C$16))</f>
        <v>23342.7385987528</v>
      </c>
      <c r="H6" s="15" t="n">
        <f aca="false">INDEX(Investment!$I$25:$I$384,MIN(2*Investment!$C$6,Investment!$C$16))</f>
        <v>22180</v>
      </c>
      <c r="I6" s="15" t="n">
        <f aca="false">INDEX(Investment!$J$25:$J$384,MIN(2*Investment!$C$6,Investment!$C$16))</f>
        <v>2344.46474031468</v>
      </c>
    </row>
    <row r="7" customFormat="false" ht="15" hidden="false" customHeight="false" outlineLevel="0" collapsed="false">
      <c r="A7" s="19" t="n">
        <f aca="false">A6+1</f>
        <v>3</v>
      </c>
      <c r="B7" s="15" t="n">
        <f aca="false">INDEX(Investment!$C$25:$C$384,(A7-1)*Investment!$C$6+1)</f>
        <v>24524.4647403147</v>
      </c>
      <c r="C7" s="15" t="n">
        <f aca="false">SUMIF(Investment!$B$25:$B$384,A7,Investment!$D$25:$D$384)</f>
        <v>6365.4</v>
      </c>
      <c r="D7" s="15" t="n">
        <f aca="false">SUMIF(Investment!$B$25:$B$384,A7,Investment!$E$25:$E$384)</f>
        <v>1981.122405923</v>
      </c>
      <c r="E7" s="15" t="n">
        <f aca="false">SUMIF(Investment!$B$25:$B$384,A7,Investment!$F$25:$F$384)</f>
        <v>0</v>
      </c>
      <c r="F7" s="15" t="n">
        <f aca="false">INDEX(Investment!$G$25:$G$384,MIN(3*Investment!$C$6,Investment!$C$16))</f>
        <v>32870.9871462377</v>
      </c>
      <c r="G7" s="15" t="n">
        <f aca="false">INDEX(Investment!$H$25:$H$384,MIN(3*Investment!$C$6,Investment!$C$16))</f>
        <v>30523.979300347</v>
      </c>
      <c r="H7" s="15" t="n">
        <f aca="false">INDEX(Investment!$I$25:$I$384,MIN(3*Investment!$C$6,Investment!$C$16))</f>
        <v>28545.4</v>
      </c>
      <c r="I7" s="15" t="n">
        <f aca="false">INDEX(Investment!$J$25:$J$384,MIN(3*Investment!$C$6,Investment!$C$16))</f>
        <v>4325.58714623768</v>
      </c>
    </row>
    <row r="8" customFormat="false" ht="15" hidden="false" customHeight="false" outlineLevel="0" collapsed="false">
      <c r="A8" s="19" t="n">
        <f aca="false">A7+1</f>
        <v>4</v>
      </c>
      <c r="B8" s="15" t="n">
        <f aca="false">INDEX(Investment!$C$25:$C$384,(A8-1)*Investment!$C$6+1)</f>
        <v>32870.9871462377</v>
      </c>
      <c r="C8" s="15" t="n">
        <f aca="false">SUMIF(Investment!$B$25:$B$384,A8,Investment!$D$25:$D$384)</f>
        <v>6556.362</v>
      </c>
      <c r="D8" s="15" t="n">
        <f aca="false">SUMIF(Investment!$B$25:$B$384,A8,Investment!$E$25:$E$384)</f>
        <v>2590.74059152225</v>
      </c>
      <c r="E8" s="15" t="n">
        <f aca="false">SUMIF(Investment!$B$25:$B$384,A8,Investment!$F$25:$F$384)</f>
        <v>0</v>
      </c>
      <c r="F8" s="15" t="n">
        <f aca="false">INDEX(Investment!$G$25:$G$384,MIN(4*Investment!$C$6,Investment!$C$16))</f>
        <v>42018.0897377599</v>
      </c>
      <c r="G8" s="15" t="n">
        <f aca="false">INDEX(Investment!$H$25:$H$384,MIN(4*Investment!$C$6,Investment!$C$16))</f>
        <v>38066.3154911776</v>
      </c>
      <c r="H8" s="15" t="n">
        <f aca="false">INDEX(Investment!$I$25:$I$384,MIN(4*Investment!$C$6,Investment!$C$16))</f>
        <v>35101.762</v>
      </c>
      <c r="I8" s="15" t="n">
        <f aca="false">INDEX(Investment!$J$25:$J$384,MIN(4*Investment!$C$6,Investment!$C$16))</f>
        <v>6916.32773775993</v>
      </c>
    </row>
    <row r="9" customFormat="false" ht="15" hidden="false" customHeight="false" outlineLevel="0" collapsed="false">
      <c r="A9" s="19" t="n">
        <f aca="false">A8+1</f>
        <v>5</v>
      </c>
      <c r="B9" s="15" t="n">
        <f aca="false">INDEX(Investment!$C$25:$C$384,(A9-1)*Investment!$C$6+1)</f>
        <v>42018.0897377599</v>
      </c>
      <c r="C9" s="15" t="n">
        <f aca="false">SUMIF(Investment!$B$25:$B$384,A9,Investment!$D$25:$D$384)</f>
        <v>6753.05286</v>
      </c>
      <c r="D9" s="15" t="n">
        <f aca="false">SUMIF(Investment!$B$25:$B$384,A9,Investment!$E$25:$E$384)</f>
        <v>3258.42020565057</v>
      </c>
      <c r="E9" s="15" t="n">
        <f aca="false">SUMIF(Investment!$B$25:$B$384,A9,Investment!$F$25:$F$384)</f>
        <v>0</v>
      </c>
      <c r="F9" s="15" t="n">
        <f aca="false">INDEX(Investment!$G$25:$G$384,MIN(5*Investment!$C$6,Investment!$C$16))</f>
        <v>52029.5628034105</v>
      </c>
      <c r="G9" s="15" t="n">
        <f aca="false">INDEX(Investment!$H$25:$H$384,MIN(5*Investment!$C$6,Investment!$C$16))</f>
        <v>45986.552166243</v>
      </c>
      <c r="H9" s="15" t="n">
        <f aca="false">INDEX(Investment!$I$25:$I$384,MIN(5*Investment!$C$6,Investment!$C$16))</f>
        <v>41854.81486</v>
      </c>
      <c r="I9" s="15" t="n">
        <f aca="false">INDEX(Investment!$J$25:$J$384,MIN(5*Investment!$C$6,Investment!$C$16))</f>
        <v>10174.7479434105</v>
      </c>
    </row>
    <row r="10" customFormat="false" ht="15" hidden="false" customHeight="false" outlineLevel="0" collapsed="false">
      <c r="A10" s="19" t="n">
        <f aca="false">A9+1</f>
        <v>6</v>
      </c>
      <c r="B10" s="15" t="n">
        <f aca="false">INDEX(Investment!$C$25:$C$384,(A10-1)*Investment!$C$6+1)</f>
        <v>52029.5628034105</v>
      </c>
      <c r="C10" s="15" t="n">
        <f aca="false">SUMIF(Investment!$B$25:$B$384,A10,Investment!$D$25:$D$384)</f>
        <v>6955.6444458</v>
      </c>
      <c r="D10" s="15" t="n">
        <f aca="false">SUMIF(Investment!$B$25:$B$384,A10,Investment!$E$25:$E$384)</f>
        <v>3988.77827608897</v>
      </c>
      <c r="E10" s="15" t="n">
        <f aca="false">SUMIF(Investment!$B$25:$B$384,A10,Investment!$F$25:$F$384)</f>
        <v>0</v>
      </c>
      <c r="F10" s="15" t="n">
        <f aca="false">INDEX(Investment!$G$25:$G$384,MIN(6*Investment!$C$6,Investment!$C$16))</f>
        <v>62973.9855252995</v>
      </c>
      <c r="G10" s="15" t="n">
        <f aca="false">INDEX(Investment!$H$25:$H$384,MIN(6*Investment!$C$6,Investment!$C$16))</f>
        <v>54302.2703555079</v>
      </c>
      <c r="H10" s="15" t="n">
        <f aca="false">INDEX(Investment!$I$25:$I$384,MIN(6*Investment!$C$6,Investment!$C$16))</f>
        <v>48810.4593058</v>
      </c>
      <c r="I10" s="15" t="n">
        <f aca="false">INDEX(Investment!$J$25:$J$384,MIN(6*Investment!$C$6,Investment!$C$16))</f>
        <v>14163.5262194995</v>
      </c>
    </row>
    <row r="11" customFormat="false" ht="15" hidden="false" customHeight="false" outlineLevel="0" collapsed="false">
      <c r="A11" s="19" t="n">
        <f aca="false">A10+1</f>
        <v>7</v>
      </c>
      <c r="B11" s="15" t="n">
        <f aca="false">INDEX(Investment!$C$25:$C$384,(A11-1)*Investment!$C$6+1)</f>
        <v>62973.9855252995</v>
      </c>
      <c r="C11" s="15" t="n">
        <f aca="false">SUMIF(Investment!$B$25:$B$384,A11,Investment!$D$25:$D$384)</f>
        <v>7164.313779174</v>
      </c>
      <c r="D11" s="15" t="n">
        <f aca="false">SUMIF(Investment!$B$25:$B$384,A11,Investment!$E$25:$E$384)</f>
        <v>4786.77818880263</v>
      </c>
      <c r="E11" s="15" t="n">
        <f aca="false">SUMIF(Investment!$B$25:$B$384,A11,Investment!$F$25:$F$384)</f>
        <v>0</v>
      </c>
      <c r="F11" s="15" t="n">
        <f aca="false">INDEX(Investment!$G$25:$G$384,MIN(7*Investment!$C$6,Investment!$C$16))</f>
        <v>74925.0774932761</v>
      </c>
      <c r="G11" s="15" t="n">
        <f aca="false">INDEX(Investment!$H$25:$H$384,MIN(7*Investment!$C$6,Investment!$C$16))</f>
        <v>63031.8629310243</v>
      </c>
      <c r="H11" s="15" t="n">
        <f aca="false">INDEX(Investment!$I$25:$I$384,MIN(7*Investment!$C$6,Investment!$C$16))</f>
        <v>55974.773084974</v>
      </c>
      <c r="I11" s="15" t="n">
        <f aca="false">INDEX(Investment!$J$25:$J$384,MIN(7*Investment!$C$6,Investment!$C$16))</f>
        <v>18950.3044083021</v>
      </c>
    </row>
    <row r="12" customFormat="false" ht="15" hidden="false" customHeight="false" outlineLevel="0" collapsed="false">
      <c r="A12" s="19" t="n">
        <f aca="false">A11+1</f>
        <v>8</v>
      </c>
      <c r="B12" s="15" t="n">
        <f aca="false">INDEX(Investment!$C$25:$C$384,(A12-1)*Investment!$C$6+1)</f>
        <v>74925.0774932761</v>
      </c>
      <c r="C12" s="15" t="n">
        <f aca="false">SUMIF(Investment!$B$25:$B$384,A12,Investment!$D$25:$D$384)</f>
        <v>7379.24319254922</v>
      </c>
      <c r="D12" s="15" t="n">
        <f aca="false">SUMIF(Investment!$B$25:$B$384,A12,Investment!$E$25:$E$384)</f>
        <v>5657.75510398814</v>
      </c>
      <c r="E12" s="15" t="n">
        <f aca="false">SUMIF(Investment!$B$25:$B$384,A12,Investment!$F$25:$F$384)</f>
        <v>0</v>
      </c>
      <c r="F12" s="15" t="n">
        <f aca="false">INDEX(Investment!$G$25:$G$384,MIN(8*Investment!$C$6,Investment!$C$16))</f>
        <v>87962.0757898134</v>
      </c>
      <c r="G12" s="15" t="n">
        <f aca="false">INDEX(Investment!$H$25:$H$384,MIN(8*Investment!$C$6,Investment!$C$16))</f>
        <v>72194.5720660907</v>
      </c>
      <c r="H12" s="15" t="n">
        <f aca="false">INDEX(Investment!$I$25:$I$384,MIN(8*Investment!$C$6,Investment!$C$16))</f>
        <v>63354.0162775233</v>
      </c>
      <c r="I12" s="15" t="n">
        <f aca="false">INDEX(Investment!$J$25:$J$384,MIN(8*Investment!$C$6,Investment!$C$16))</f>
        <v>24608.0595122902</v>
      </c>
    </row>
    <row r="13" customFormat="false" ht="15" hidden="false" customHeight="false" outlineLevel="0" collapsed="false">
      <c r="A13" s="19" t="n">
        <f aca="false">A12+1</f>
        <v>9</v>
      </c>
      <c r="B13" s="15" t="n">
        <f aca="false">INDEX(Investment!$C$25:$C$384,(A13-1)*Investment!$C$6+1)</f>
        <v>87962.0757898134</v>
      </c>
      <c r="C13" s="15" t="n">
        <f aca="false">SUMIF(Investment!$B$25:$B$384,A13,Investment!$D$25:$D$384)</f>
        <v>7600.6204883257</v>
      </c>
      <c r="D13" s="15" t="n">
        <f aca="false">SUMIF(Investment!$B$25:$B$384,A13,Investment!$E$25:$E$384)</f>
        <v>6607.44322078262</v>
      </c>
      <c r="E13" s="15" t="n">
        <f aca="false">SUMIF(Investment!$B$25:$B$384,A13,Investment!$F$25:$F$384)</f>
        <v>0</v>
      </c>
      <c r="F13" s="15" t="n">
        <f aca="false">INDEX(Investment!$G$25:$G$384,MIN(9*Investment!$C$6,Investment!$C$16))</f>
        <v>102170.139498922</v>
      </c>
      <c r="G13" s="15" t="n">
        <f aca="false">INDEX(Investment!$H$25:$H$384,MIN(9*Investment!$C$6,Investment!$C$16))</f>
        <v>81810.5284226686</v>
      </c>
      <c r="H13" s="15" t="n">
        <f aca="false">INDEX(Investment!$I$25:$I$384,MIN(9*Investment!$C$6,Investment!$C$16))</f>
        <v>70954.636765849</v>
      </c>
      <c r="I13" s="15" t="n">
        <f aca="false">INDEX(Investment!$J$25:$J$384,MIN(9*Investment!$C$6,Investment!$C$16))</f>
        <v>31215.5027330729</v>
      </c>
    </row>
    <row r="14" customFormat="false" ht="15" hidden="false" customHeight="false" outlineLevel="0" collapsed="false">
      <c r="A14" s="19" t="n">
        <f aca="false">A13+1</f>
        <v>10</v>
      </c>
      <c r="B14" s="15" t="n">
        <f aca="false">INDEX(Investment!$C$25:$C$384,(A14-1)*Investment!$C$6+1)</f>
        <v>102170.139498922</v>
      </c>
      <c r="C14" s="15" t="n">
        <f aca="false">SUMIF(Investment!$B$25:$B$384,A14,Investment!$D$25:$D$384)</f>
        <v>7828.63910297547</v>
      </c>
      <c r="D14" s="15" t="n">
        <f aca="false">SUMIF(Investment!$B$25:$B$384,A14,Investment!$E$25:$E$384)</f>
        <v>7642.00502461425</v>
      </c>
      <c r="E14" s="15" t="n">
        <f aca="false">SUMIF(Investment!$B$25:$B$384,A14,Investment!$F$25:$F$384)</f>
        <v>0</v>
      </c>
      <c r="F14" s="15" t="n">
        <f aca="false">INDEX(Investment!$G$25:$G$384,MIN(10*Investment!$C$6,Investment!$C$16))</f>
        <v>117640.783626511</v>
      </c>
      <c r="G14" s="15" t="n">
        <f aca="false">INDEX(Investment!$H$25:$H$384,MIN(10*Investment!$C$6,Investment!$C$16))</f>
        <v>91900.7921467929</v>
      </c>
      <c r="H14" s="15" t="n">
        <f aca="false">INDEX(Investment!$I$25:$I$384,MIN(10*Investment!$C$6,Investment!$C$16))</f>
        <v>78783.2758688244</v>
      </c>
      <c r="I14" s="15" t="n">
        <f aca="false">INDEX(Investment!$J$25:$J$384,MIN(10*Investment!$C$6,Investment!$C$16))</f>
        <v>38857.5077576871</v>
      </c>
    </row>
    <row r="15" customFormat="false" ht="15" hidden="false" customHeight="false" outlineLevel="0" collapsed="false">
      <c r="A15" s="19" t="n">
        <f aca="false">A14+1</f>
        <v>11</v>
      </c>
      <c r="B15" s="15" t="n">
        <f aca="false">INDEX(Investment!$C$25:$C$384,(A15-1)*Investment!$C$6+1)</f>
        <v>117640.783626511</v>
      </c>
      <c r="C15" s="15" t="n">
        <f aca="false">SUMIF(Investment!$B$25:$B$384,A15,Investment!$D$25:$D$384)</f>
        <v>8063.49827606473</v>
      </c>
      <c r="D15" s="15" t="n">
        <f aca="false">SUMIF(Investment!$B$25:$B$384,A15,Investment!$E$25:$E$384)</f>
        <v>8768.06266087008</v>
      </c>
      <c r="E15" s="15" t="n">
        <f aca="false">SUMIF(Investment!$B$25:$B$384,A15,Investment!$F$25:$F$384)</f>
        <v>0</v>
      </c>
      <c r="F15" s="15" t="n">
        <f aca="false">INDEX(Investment!$G$25:$G$384,MIN(11*Investment!$C$6,Investment!$C$16))</f>
        <v>134472.344563446</v>
      </c>
      <c r="G15" s="15" t="n">
        <f aca="false">INDEX(Investment!$H$25:$H$384,MIN(11*Investment!$C$6,Investment!$C$16))</f>
        <v>102487.395755391</v>
      </c>
      <c r="H15" s="15" t="n">
        <f aca="false">INDEX(Investment!$I$25:$I$384,MIN(11*Investment!$C$6,Investment!$C$16))</f>
        <v>86846.7741448892</v>
      </c>
      <c r="I15" s="15" t="n">
        <f aca="false">INDEX(Investment!$J$25:$J$384,MIN(11*Investment!$C$6,Investment!$C$16))</f>
        <v>47625.5704185572</v>
      </c>
    </row>
    <row r="16" customFormat="false" ht="15" hidden="false" customHeight="false" outlineLevel="0" collapsed="false">
      <c r="A16" s="19" t="n">
        <f aca="false">A15+1</f>
        <v>12</v>
      </c>
      <c r="B16" s="15" t="n">
        <f aca="false">INDEX(Investment!$C$25:$C$384,(A16-1)*Investment!$C$6+1)</f>
        <v>134472.344563446</v>
      </c>
      <c r="C16" s="15" t="n">
        <f aca="false">SUMIF(Investment!$B$25:$B$384,A16,Investment!$D$25:$D$384)</f>
        <v>8305.40322434668</v>
      </c>
      <c r="D16" s="15" t="n">
        <f aca="false">SUMIF(Investment!$B$25:$B$384,A16,Investment!$E$25:$E$384)</f>
        <v>9992.73158895332</v>
      </c>
      <c r="E16" s="15" t="n">
        <f aca="false">SUMIF(Investment!$B$25:$B$384,A16,Investment!$F$25:$F$384)</f>
        <v>0</v>
      </c>
      <c r="F16" s="15" t="n">
        <f aca="false">INDEX(Investment!$G$25:$G$384,MIN(12*Investment!$C$6,Investment!$C$16))</f>
        <v>152770.479376746</v>
      </c>
      <c r="G16" s="15" t="n">
        <f aca="false">INDEX(Investment!$H$25:$H$384,MIN(12*Investment!$C$6,Investment!$C$16))</f>
        <v>113593.389001773</v>
      </c>
      <c r="H16" s="15" t="n">
        <f aca="false">INDEX(Investment!$I$25:$I$384,MIN(12*Investment!$C$6,Investment!$C$16))</f>
        <v>95152.1773692359</v>
      </c>
      <c r="I16" s="15" t="n">
        <f aca="false">INDEX(Investment!$J$25:$J$384,MIN(12*Investment!$C$6,Investment!$C$16))</f>
        <v>57618.3020075105</v>
      </c>
    </row>
    <row r="17" customFormat="false" ht="15" hidden="false" customHeight="false" outlineLevel="0" collapsed="false">
      <c r="A17" s="19" t="n">
        <f aca="false">A16+1</f>
        <v>13</v>
      </c>
      <c r="B17" s="15" t="n">
        <f aca="false">INDEX(Investment!$C$25:$C$384,(A17-1)*Investment!$C$6+1)</f>
        <v>152770.479376746</v>
      </c>
      <c r="C17" s="15" t="n">
        <f aca="false">SUMIF(Investment!$B$25:$B$384,A17,Investment!$D$25:$D$384)</f>
        <v>8554.56532107708</v>
      </c>
      <c r="D17" s="15" t="n">
        <f aca="false">SUMIF(Investment!$B$25:$B$384,A17,Investment!$E$25:$E$384)</f>
        <v>11323.6566819511</v>
      </c>
      <c r="E17" s="15" t="n">
        <f aca="false">SUMIF(Investment!$B$25:$B$384,A17,Investment!$F$25:$F$384)</f>
        <v>0</v>
      </c>
      <c r="F17" s="15" t="n">
        <f aca="false">INDEX(Investment!$G$25:$G$384,MIN(13*Investment!$C$6,Investment!$C$16))</f>
        <v>172648.701379774</v>
      </c>
      <c r="G17" s="15" t="n">
        <f aca="false">INDEX(Investment!$H$25:$H$384,MIN(13*Investment!$C$6,Investment!$C$16))</f>
        <v>125242.885811084</v>
      </c>
      <c r="H17" s="15" t="n">
        <f aca="false">INDEX(Investment!$I$25:$I$384,MIN(13*Investment!$C$6,Investment!$C$16))</f>
        <v>103706.742690313</v>
      </c>
      <c r="I17" s="15" t="n">
        <f aca="false">INDEX(Investment!$J$25:$J$384,MIN(13*Investment!$C$6,Investment!$C$16))</f>
        <v>68941.9586894616</v>
      </c>
    </row>
    <row r="18" customFormat="false" ht="15" hidden="false" customHeight="false" outlineLevel="0" collapsed="false">
      <c r="A18" s="19" t="n">
        <f aca="false">A17+1</f>
        <v>14</v>
      </c>
      <c r="B18" s="15" t="n">
        <f aca="false">INDEX(Investment!$C$25:$C$384,(A18-1)*Investment!$C$6+1)</f>
        <v>172648.701379774</v>
      </c>
      <c r="C18" s="15" t="n">
        <f aca="false">SUMIF(Investment!$B$25:$B$384,A18,Investment!$D$25:$D$384)</f>
        <v>8811.20228070939</v>
      </c>
      <c r="D18" s="15" t="n">
        <f aca="false">SUMIF(Investment!$B$25:$B$384,A18,Investment!$E$25:$E$384)</f>
        <v>12769.050949089</v>
      </c>
      <c r="E18" s="15" t="n">
        <f aca="false">SUMIF(Investment!$B$25:$B$384,A18,Investment!$F$25:$F$384)</f>
        <v>0</v>
      </c>
      <c r="F18" s="15" t="n">
        <f aca="false">INDEX(Investment!$G$25:$G$384,MIN(14*Investment!$C$6,Investment!$C$16))</f>
        <v>194228.954609573</v>
      </c>
      <c r="G18" s="15" t="n">
        <f aca="false">INDEX(Investment!$H$25:$H$384,MIN(14*Investment!$C$6,Investment!$C$16))</f>
        <v>137461.113381222</v>
      </c>
      <c r="H18" s="15" t="n">
        <f aca="false">INDEX(Investment!$I$25:$I$384,MIN(14*Investment!$C$6,Investment!$C$16))</f>
        <v>112517.944971022</v>
      </c>
      <c r="I18" s="15" t="n">
        <f aca="false">INDEX(Investment!$J$25:$J$384,MIN(14*Investment!$C$6,Investment!$C$16))</f>
        <v>81711.0096385506</v>
      </c>
    </row>
    <row r="19" customFormat="false" ht="15" hidden="false" customHeight="false" outlineLevel="0" collapsed="false">
      <c r="A19" s="19" t="n">
        <f aca="false">A18+1</f>
        <v>15</v>
      </c>
      <c r="B19" s="15" t="n">
        <f aca="false">INDEX(Investment!$C$25:$C$384,(A19-1)*Investment!$C$6+1)</f>
        <v>194228.954609573</v>
      </c>
      <c r="C19" s="15" t="n">
        <f aca="false">SUMIF(Investment!$B$25:$B$384,A19,Investment!$D$25:$D$384)</f>
        <v>9075.53834913067</v>
      </c>
      <c r="D19" s="15" t="n">
        <f aca="false">SUMIF(Investment!$B$25:$B$384,A19,Investment!$E$25:$E$384)</f>
        <v>14337.7370709678</v>
      </c>
      <c r="E19" s="15" t="n">
        <f aca="false">SUMIF(Investment!$B$25:$B$384,A19,Investment!$F$25:$F$384)</f>
        <v>0</v>
      </c>
      <c r="F19" s="15" t="n">
        <f aca="false">INDEX(Investment!$G$25:$G$384,MIN(15*Investment!$C$6,Investment!$C$16))</f>
        <v>217642.230029671</v>
      </c>
      <c r="G19" s="15" t="n">
        <f aca="false">INDEX(Investment!$H$25:$H$384,MIN(15*Investment!$C$6,Investment!$C$16))</f>
        <v>150274.463549116</v>
      </c>
      <c r="H19" s="15" t="n">
        <f aca="false">INDEX(Investment!$I$25:$I$384,MIN(15*Investment!$C$6,Investment!$C$16))</f>
        <v>121593.483320153</v>
      </c>
      <c r="I19" s="15" t="n">
        <f aca="false">INDEX(Investment!$J$25:$J$384,MIN(15*Investment!$C$6,Investment!$C$16))</f>
        <v>96048.7467095184</v>
      </c>
    </row>
    <row r="20" customFormat="false" ht="15" hidden="false" customHeight="false" outlineLevel="0" collapsed="false">
      <c r="A20" s="19" t="n">
        <f aca="false">A19+1</f>
        <v>16</v>
      </c>
      <c r="B20" s="15" t="n">
        <f aca="false">INDEX(Investment!$C$25:$C$384,(A20-1)*Investment!$C$6+1)</f>
        <v>217642.230029671</v>
      </c>
      <c r="C20" s="15" t="n">
        <f aca="false">SUMIF(Investment!$B$25:$B$384,A20,Investment!$D$25:$D$384)</f>
        <v>9347.80449960459</v>
      </c>
      <c r="D20" s="15" t="n">
        <f aca="false">SUMIF(Investment!$B$25:$B$384,A20,Investment!$E$25:$E$384)</f>
        <v>16039.1919513246</v>
      </c>
      <c r="E20" s="15" t="n">
        <f aca="false">SUMIF(Investment!$B$25:$B$384,A20,Investment!$F$25:$F$384)</f>
        <v>0</v>
      </c>
      <c r="F20" s="15" t="n">
        <f aca="false">INDEX(Investment!$G$25:$G$384,MIN(16*Investment!$C$6,Investment!$C$16))</f>
        <v>243029.226480601</v>
      </c>
      <c r="G20" s="15" t="n">
        <f aca="false">INDEX(Investment!$H$25:$H$384,MIN(16*Investment!$C$6,Investment!$C$16))</f>
        <v>163710.546526903</v>
      </c>
      <c r="H20" s="15" t="n">
        <f aca="false">INDEX(Investment!$I$25:$I$384,MIN(16*Investment!$C$6,Investment!$C$16))</f>
        <v>130941.287819758</v>
      </c>
      <c r="I20" s="15" t="n">
        <f aca="false">INDEX(Investment!$J$25:$J$384,MIN(16*Investment!$C$6,Investment!$C$16))</f>
        <v>112087.938660843</v>
      </c>
    </row>
    <row r="21" customFormat="false" ht="15" hidden="false" customHeight="false" outlineLevel="0" collapsed="false">
      <c r="A21" s="19" t="n">
        <f aca="false">A20+1</f>
        <v>17</v>
      </c>
      <c r="B21" s="15" t="n">
        <f aca="false">INDEX(Investment!$C$25:$C$384,(A21-1)*Investment!$C$6+1)</f>
        <v>243029.226480601</v>
      </c>
      <c r="C21" s="15" t="n">
        <f aca="false">SUMIF(Investment!$B$25:$B$384,A21,Investment!$D$25:$D$384)</f>
        <v>9628.23863459273</v>
      </c>
      <c r="D21" s="15" t="n">
        <f aca="false">SUMIF(Investment!$B$25:$B$384,A21,Investment!$E$25:$E$384)</f>
        <v>17883.5945038017</v>
      </c>
      <c r="E21" s="15" t="n">
        <f aca="false">SUMIF(Investment!$B$25:$B$384,A21,Investment!$F$25:$F$384)</f>
        <v>0</v>
      </c>
      <c r="F21" s="15" t="n">
        <f aca="false">INDEX(Investment!$G$25:$G$384,MIN(17*Investment!$C$6,Investment!$C$16))</f>
        <v>270541.059618995</v>
      </c>
      <c r="G21" s="15" t="n">
        <f aca="false">INDEX(Investment!$H$25:$H$384,MIN(17*Investment!$C$6,Investment!$C$16))</f>
        <v>177798.247117324</v>
      </c>
      <c r="H21" s="15" t="n">
        <f aca="false">INDEX(Investment!$I$25:$I$384,MIN(17*Investment!$C$6,Investment!$C$16))</f>
        <v>140569.52645435</v>
      </c>
      <c r="I21" s="15" t="n">
        <f aca="false">INDEX(Investment!$J$25:$J$384,MIN(17*Investment!$C$6,Investment!$C$16))</f>
        <v>129971.533164645</v>
      </c>
    </row>
    <row r="22" customFormat="false" ht="15" hidden="false" customHeight="false" outlineLevel="0" collapsed="false">
      <c r="A22" s="19" t="n">
        <f aca="false">A21+1</f>
        <v>18</v>
      </c>
      <c r="B22" s="15" t="n">
        <f aca="false">INDEX(Investment!$C$25:$C$384,(A22-1)*Investment!$C$6+1)</f>
        <v>270541.059618995</v>
      </c>
      <c r="C22" s="15" t="n">
        <f aca="false">SUMIF(Investment!$B$25:$B$384,A22,Investment!$D$25:$D$384)</f>
        <v>9917.08579363051</v>
      </c>
      <c r="D22" s="15" t="n">
        <f aca="false">SUMIF(Investment!$B$25:$B$384,A22,Investment!$E$25:$E$384)</f>
        <v>19881.8769080123</v>
      </c>
      <c r="E22" s="15" t="n">
        <f aca="false">SUMIF(Investment!$B$25:$B$384,A22,Investment!$F$25:$F$384)</f>
        <v>0</v>
      </c>
      <c r="F22" s="15" t="n">
        <f aca="false">INDEX(Investment!$G$25:$G$384,MIN(18*Investment!$C$6,Investment!$C$16))</f>
        <v>300340.022320638</v>
      </c>
      <c r="G22" s="15" t="n">
        <f aca="false">INDEX(Investment!$H$25:$H$384,MIN(18*Investment!$C$6,Investment!$C$16))</f>
        <v>192567.783522726</v>
      </c>
      <c r="H22" s="15" t="n">
        <f aca="false">INDEX(Investment!$I$25:$I$384,MIN(18*Investment!$C$6,Investment!$C$16))</f>
        <v>150486.612247981</v>
      </c>
      <c r="I22" s="15" t="n">
        <f aca="false">INDEX(Investment!$J$25:$J$384,MIN(18*Investment!$C$6,Investment!$C$16))</f>
        <v>149853.410072657</v>
      </c>
    </row>
    <row r="23" customFormat="false" ht="15" hidden="false" customHeight="false" outlineLevel="0" collapsed="false">
      <c r="A23" s="19" t="n">
        <f aca="false">A22+1</f>
        <v>19</v>
      </c>
      <c r="B23" s="15" t="n">
        <f aca="false">INDEX(Investment!$C$25:$C$384,(A23-1)*Investment!$C$6+1)</f>
        <v>300340.022320638</v>
      </c>
      <c r="C23" s="15" t="n">
        <f aca="false">SUMIF(Investment!$B$25:$B$384,A23,Investment!$D$25:$D$384)</f>
        <v>10214.5983674394</v>
      </c>
      <c r="D23" s="15" t="n">
        <f aca="false">SUMIF(Investment!$B$25:$B$384,A23,Investment!$E$25:$E$384)</f>
        <v>22045.7795861427</v>
      </c>
      <c r="E23" s="15" t="n">
        <f aca="false">SUMIF(Investment!$B$25:$B$384,A23,Investment!$F$25:$F$384)</f>
        <v>0</v>
      </c>
      <c r="F23" s="15" t="n">
        <f aca="false">INDEX(Investment!$G$25:$G$384,MIN(19*Investment!$C$6,Investment!$C$16))</f>
        <v>332600.40027422</v>
      </c>
      <c r="G23" s="15" t="n">
        <f aca="false">INDEX(Investment!$H$25:$H$384,MIN(19*Investment!$C$6,Investment!$C$16))</f>
        <v>208050.768867337</v>
      </c>
      <c r="H23" s="15" t="n">
        <f aca="false">INDEX(Investment!$I$25:$I$384,MIN(19*Investment!$C$6,Investment!$C$16))</f>
        <v>160701.21061542</v>
      </c>
      <c r="I23" s="15" t="n">
        <f aca="false">INDEX(Investment!$J$25:$J$384,MIN(19*Investment!$C$6,Investment!$C$16))</f>
        <v>171899.1896588</v>
      </c>
    </row>
    <row r="24" customFormat="false" ht="15" hidden="false" customHeight="false" outlineLevel="0" collapsed="false">
      <c r="A24" s="19" t="n">
        <f aca="false">A23+1</f>
        <v>20</v>
      </c>
      <c r="B24" s="15" t="n">
        <f aca="false">INDEX(Investment!$C$25:$C$384,(A24-1)*Investment!$C$6+1)</f>
        <v>332600.40027422</v>
      </c>
      <c r="C24" s="15" t="n">
        <f aca="false">SUMIF(Investment!$B$25:$B$384,A24,Investment!$D$25:$D$384)</f>
        <v>10521.0363184626</v>
      </c>
      <c r="D24" s="15" t="n">
        <f aca="false">SUMIF(Investment!$B$25:$B$384,A24,Investment!$E$25:$E$384)</f>
        <v>24387.9101695064</v>
      </c>
      <c r="E24" s="15" t="n">
        <f aca="false">SUMIF(Investment!$B$25:$B$384,A24,Investment!$F$25:$F$384)</f>
        <v>0</v>
      </c>
      <c r="F24" s="15" t="n">
        <f aca="false">INDEX(Investment!$G$25:$G$384,MIN(20*Investment!$C$6,Investment!$C$16))</f>
        <v>367509.346762189</v>
      </c>
      <c r="G24" s="15" t="n">
        <f aca="false">INDEX(Investment!$H$25:$H$384,MIN(20*Investment!$C$6,Investment!$C$16))</f>
        <v>224280.275557994</v>
      </c>
      <c r="H24" s="15" t="n">
        <f aca="false">INDEX(Investment!$I$25:$I$384,MIN(20*Investment!$C$6,Investment!$C$16))</f>
        <v>171222.246933883</v>
      </c>
      <c r="I24" s="15" t="n">
        <f aca="false">INDEX(Investment!$J$25:$J$384,MIN(20*Investment!$C$6,Investment!$C$16))</f>
        <v>196287.099828306</v>
      </c>
    </row>
    <row r="25" customFormat="false" ht="15" hidden="false" customHeight="false" outlineLevel="0" collapsed="false">
      <c r="A25" s="19" t="n">
        <f aca="false">A24+1</f>
        <v>21</v>
      </c>
      <c r="B25" s="15" t="n">
        <f aca="false">INDEX(Investment!$C$25:$C$384,(A25-1)*Investment!$C$6+1)</f>
        <v>367509.346762189</v>
      </c>
      <c r="C25" s="15" t="n">
        <f aca="false">SUMIF(Investment!$B$25:$B$384,A25,Investment!$D$25:$D$384)</f>
        <v>10836.6674080165</v>
      </c>
      <c r="D25" s="15" t="n">
        <f aca="false">SUMIF(Investment!$B$25:$B$384,A25,Investment!$E$25:$E$384)</f>
        <v>26921.8067439537</v>
      </c>
      <c r="E25" s="15" t="n">
        <f aca="false">SUMIF(Investment!$B$25:$B$384,A25,Investment!$F$25:$F$384)</f>
        <v>0</v>
      </c>
      <c r="F25" s="15" t="n">
        <f aca="false">INDEX(Investment!$G$25:$G$384,MIN(21*Investment!$C$6,Investment!$C$16))</f>
        <v>405267.820914159</v>
      </c>
      <c r="G25" s="15" t="n">
        <f aca="false">INDEX(Investment!$H$25:$H$384,MIN(21*Investment!$C$6,Investment!$C$16))</f>
        <v>241290.902614271</v>
      </c>
      <c r="H25" s="15" t="n">
        <f aca="false">INDEX(Investment!$I$25:$I$384,MIN(21*Investment!$C$6,Investment!$C$16))</f>
        <v>182058.914341899</v>
      </c>
      <c r="I25" s="15" t="n">
        <f aca="false">INDEX(Investment!$J$25:$J$384,MIN(21*Investment!$C$6,Investment!$C$16))</f>
        <v>223208.90657226</v>
      </c>
    </row>
    <row r="26" customFormat="false" ht="15" hidden="false" customHeight="false" outlineLevel="0" collapsed="false">
      <c r="A26" s="19" t="n">
        <f aca="false">A25+1</f>
        <v>22</v>
      </c>
      <c r="B26" s="15" t="n">
        <f aca="false">INDEX(Investment!$C$25:$C$384,(A26-1)*Investment!$C$6+1)</f>
        <v>405267.820914159</v>
      </c>
      <c r="C26" s="15" t="n">
        <f aca="false">SUMIF(Investment!$B$25:$B$384,A26,Investment!$D$25:$D$384)</f>
        <v>11161.767430257</v>
      </c>
      <c r="D26" s="15" t="n">
        <f aca="false">SUMIF(Investment!$B$25:$B$384,A26,Investment!$E$25:$E$384)</f>
        <v>29662.0056839405</v>
      </c>
      <c r="E26" s="15" t="n">
        <f aca="false">SUMIF(Investment!$B$25:$B$384,A26,Investment!$F$25:$F$384)</f>
        <v>0</v>
      </c>
      <c r="F26" s="15" t="n">
        <f aca="false">INDEX(Investment!$G$25:$G$384,MIN(22*Investment!$C$6,Investment!$C$16))</f>
        <v>446091.594028356</v>
      </c>
      <c r="G26" s="15" t="n">
        <f aca="false">INDEX(Investment!$H$25:$H$384,MIN(22*Investment!$C$6,Investment!$C$16))</f>
        <v>259118.846105017</v>
      </c>
      <c r="H26" s="15" t="n">
        <f aca="false">INDEX(Investment!$I$25:$I$384,MIN(22*Investment!$C$6,Investment!$C$16))</f>
        <v>193220.681772156</v>
      </c>
      <c r="I26" s="15" t="n">
        <f aca="false">INDEX(Investment!$J$25:$J$384,MIN(22*Investment!$C$6,Investment!$C$16))</f>
        <v>252870.9122562</v>
      </c>
    </row>
    <row r="27" customFormat="false" ht="15" hidden="false" customHeight="false" outlineLevel="0" collapsed="false">
      <c r="A27" s="19" t="n">
        <f aca="false">A26+1</f>
        <v>23</v>
      </c>
      <c r="B27" s="15" t="n">
        <f aca="false">INDEX(Investment!$C$25:$C$384,(A27-1)*Investment!$C$6+1)</f>
        <v>446091.594028356</v>
      </c>
      <c r="C27" s="15" t="n">
        <f aca="false">SUMIF(Investment!$B$25:$B$384,A27,Investment!$D$25:$D$384)</f>
        <v>11496.6204531647</v>
      </c>
      <c r="D27" s="15" t="n">
        <f aca="false">SUMIF(Investment!$B$25:$B$384,A27,Investment!$E$25:$E$384)</f>
        <v>32624.1144074712</v>
      </c>
      <c r="E27" s="15" t="n">
        <f aca="false">SUMIF(Investment!$B$25:$B$384,A27,Investment!$F$25:$F$384)</f>
        <v>0</v>
      </c>
      <c r="F27" s="15" t="n">
        <f aca="false">INDEX(Investment!$G$25:$G$384,MIN(23*Investment!$C$6,Investment!$C$16))</f>
        <v>490212.328888992</v>
      </c>
      <c r="G27" s="15" t="n">
        <f aca="false">INDEX(Investment!$H$25:$H$384,MIN(23*Investment!$C$6,Investment!$C$16))</f>
        <v>277801.972834621</v>
      </c>
      <c r="H27" s="15" t="n">
        <f aca="false">INDEX(Investment!$I$25:$I$384,MIN(23*Investment!$C$6,Investment!$C$16))</f>
        <v>204717.302225321</v>
      </c>
      <c r="I27" s="15" t="n">
        <f aca="false">INDEX(Investment!$J$25:$J$384,MIN(23*Investment!$C$6,Investment!$C$16))</f>
        <v>285495.026663672</v>
      </c>
    </row>
    <row r="28" customFormat="false" ht="15" hidden="false" customHeight="false" outlineLevel="0" collapsed="false">
      <c r="A28" s="19" t="n">
        <f aca="false">A27+1</f>
        <v>24</v>
      </c>
      <c r="B28" s="15" t="n">
        <f aca="false">INDEX(Investment!$C$25:$C$384,(A28-1)*Investment!$C$6+1)</f>
        <v>490212.328888992</v>
      </c>
      <c r="C28" s="15" t="n">
        <f aca="false">SUMIF(Investment!$B$25:$B$384,A28,Investment!$D$25:$D$384)</f>
        <v>11841.5190667596</v>
      </c>
      <c r="D28" s="15" t="n">
        <f aca="false">SUMIF(Investment!$B$25:$B$384,A28,Investment!$E$25:$E$384)</f>
        <v>35824.8894081593</v>
      </c>
      <c r="E28" s="15" t="n">
        <f aca="false">SUMIF(Investment!$B$25:$B$384,A28,Investment!$F$25:$F$384)</f>
        <v>0</v>
      </c>
      <c r="F28" s="15" t="n">
        <f aca="false">INDEX(Investment!$G$25:$G$384,MIN(24*Investment!$C$6,Investment!$C$16))</f>
        <v>537878.737363911</v>
      </c>
      <c r="G28" s="15" t="n">
        <f aca="false">INDEX(Investment!$H$25:$H$384,MIN(24*Investment!$C$6,Investment!$C$16))</f>
        <v>297379.897428928</v>
      </c>
      <c r="H28" s="15" t="n">
        <f aca="false">INDEX(Investment!$I$25:$I$384,MIN(24*Investment!$C$6,Investment!$C$16))</f>
        <v>216558.821292081</v>
      </c>
      <c r="I28" s="15" t="n">
        <f aca="false">INDEX(Investment!$J$25:$J$384,MIN(24*Investment!$C$6,Investment!$C$16))</f>
        <v>321319.916071831</v>
      </c>
    </row>
    <row r="29" customFormat="false" ht="15" hidden="false" customHeight="false" outlineLevel="0" collapsed="false">
      <c r="A29" s="19" t="n">
        <f aca="false">A28+1</f>
        <v>25</v>
      </c>
      <c r="B29" s="15" t="n">
        <f aca="false">INDEX(Investment!$C$25:$C$384,(A29-1)*Investment!$C$6+1)</f>
        <v>537878.737363911</v>
      </c>
      <c r="C29" s="15" t="n">
        <f aca="false">SUMIF(Investment!$B$25:$B$384,A29,Investment!$D$25:$D$384)</f>
        <v>12196.7646387624</v>
      </c>
      <c r="D29" s="15" t="n">
        <f aca="false">SUMIF(Investment!$B$25:$B$384,A29,Investment!$E$25:$E$384)</f>
        <v>39282.3199464191</v>
      </c>
      <c r="E29" s="15" t="n">
        <f aca="false">SUMIF(Investment!$B$25:$B$384,A29,Investment!$F$25:$F$384)</f>
        <v>0</v>
      </c>
      <c r="F29" s="15" t="n">
        <f aca="false">INDEX(Investment!$G$25:$G$384,MIN(25*Investment!$C$6,Investment!$C$16))</f>
        <v>589357.821949093</v>
      </c>
      <c r="G29" s="15" t="n">
        <f aca="false">INDEX(Investment!$H$25:$H$384,MIN(25*Investment!$C$6,Investment!$C$16))</f>
        <v>317894.062977665</v>
      </c>
      <c r="H29" s="15" t="n">
        <f aca="false">INDEX(Investment!$I$25:$I$384,MIN(25*Investment!$C$6,Investment!$C$16))</f>
        <v>228755.585930843</v>
      </c>
      <c r="I29" s="15" t="n">
        <f aca="false">INDEX(Investment!$J$25:$J$384,MIN(25*Investment!$C$6,Investment!$C$16))</f>
        <v>360602.23601825</v>
      </c>
    </row>
    <row r="30" customFormat="false" ht="15" hidden="false" customHeight="false" outlineLevel="0" collapsed="false">
      <c r="A30" s="19" t="n">
        <f aca="false">A29+1</f>
        <v>26</v>
      </c>
      <c r="B30" s="15" t="n">
        <f aca="false">INDEX(Investment!$C$25:$C$384,(A30-1)*Investment!$C$6+1)</f>
        <v>589357.821949093</v>
      </c>
      <c r="C30" s="15" t="n">
        <f aca="false">SUMIF(Investment!$B$25:$B$384,A30,Investment!$D$25:$D$384)</f>
        <v>12562.6675779253</v>
      </c>
      <c r="D30" s="15" t="n">
        <f aca="false">SUMIF(Investment!$B$25:$B$384,A30,Investment!$E$25:$E$384)</f>
        <v>43015.7178094328</v>
      </c>
      <c r="E30" s="15" t="n">
        <f aca="false">SUMIF(Investment!$B$25:$B$384,A30,Investment!$F$25:$F$384)</f>
        <v>0</v>
      </c>
      <c r="F30" s="15" t="n">
        <f aca="false">INDEX(Investment!$G$25:$G$384,MIN(26*Investment!$C$6,Investment!$C$16))</f>
        <v>644936.20733645</v>
      </c>
      <c r="G30" s="15" t="n">
        <f aca="false">INDEX(Investment!$H$25:$H$384,MIN(26*Investment!$C$6,Investment!$C$16))</f>
        <v>339387.825397455</v>
      </c>
      <c r="H30" s="15" t="n">
        <f aca="false">INDEX(Investment!$I$25:$I$384,MIN(26*Investment!$C$6,Investment!$C$16))</f>
        <v>241318.253508768</v>
      </c>
      <c r="I30" s="15" t="n">
        <f aca="false">INDEX(Investment!$J$25:$J$384,MIN(26*Investment!$C$6,Investment!$C$16))</f>
        <v>403617.953827683</v>
      </c>
    </row>
    <row r="31" customFormat="false" ht="15" hidden="false" customHeight="false" outlineLevel="0" collapsed="false">
      <c r="A31" s="19" t="n">
        <f aca="false">A30+1</f>
        <v>27</v>
      </c>
      <c r="B31" s="15" t="n">
        <f aca="false">INDEX(Investment!$C$25:$C$384,(A31-1)*Investment!$C$6+1)</f>
        <v>644936.20733645</v>
      </c>
      <c r="C31" s="15" t="n">
        <f aca="false">SUMIF(Investment!$B$25:$B$384,A31,Investment!$D$25:$D$384)</f>
        <v>12939.5476052631</v>
      </c>
      <c r="D31" s="15" t="n">
        <f aca="false">SUMIF(Investment!$B$25:$B$384,A31,Investment!$E$25:$E$384)</f>
        <v>47045.8135791683</v>
      </c>
      <c r="E31" s="15" t="n">
        <f aca="false">SUMIF(Investment!$B$25:$B$384,A31,Investment!$F$25:$F$384)</f>
        <v>0</v>
      </c>
      <c r="F31" s="15" t="n">
        <f aca="false">INDEX(Investment!$G$25:$G$384,MIN(27*Investment!$C$6,Investment!$C$16))</f>
        <v>704921.568520882</v>
      </c>
      <c r="G31" s="15" t="n">
        <f aca="false">INDEX(Investment!$H$25:$H$384,MIN(27*Investment!$C$6,Investment!$C$16))</f>
        <v>361906.541687081</v>
      </c>
      <c r="H31" s="15" t="n">
        <f aca="false">INDEX(Investment!$I$25:$I$384,MIN(27*Investment!$C$6,Investment!$C$16))</f>
        <v>254257.801114032</v>
      </c>
      <c r="I31" s="15" t="n">
        <f aca="false">INDEX(Investment!$J$25:$J$384,MIN(27*Investment!$C$6,Investment!$C$16))</f>
        <v>450663.767406851</v>
      </c>
    </row>
    <row r="32" customFormat="false" ht="15" hidden="false" customHeight="false" outlineLevel="0" collapsed="false">
      <c r="A32" s="19" t="n">
        <f aca="false">A31+1</f>
        <v>28</v>
      </c>
      <c r="B32" s="15" t="n">
        <f aca="false">INDEX(Investment!$C$25:$C$384,(A32-1)*Investment!$C$6+1)</f>
        <v>704921.568520882</v>
      </c>
      <c r="C32" s="15" t="n">
        <f aca="false">SUMIF(Investment!$B$25:$B$384,A32,Investment!$D$25:$D$384)</f>
        <v>13327.734033421</v>
      </c>
      <c r="D32" s="15" t="n">
        <f aca="false">SUMIF(Investment!$B$25:$B$384,A32,Investment!$E$25:$E$384)</f>
        <v>51394.8598794924</v>
      </c>
      <c r="E32" s="15" t="n">
        <f aca="false">SUMIF(Investment!$B$25:$B$384,A32,Investment!$F$25:$F$384)</f>
        <v>0</v>
      </c>
      <c r="F32" s="15" t="n">
        <f aca="false">INDEX(Investment!$G$25:$G$384,MIN(28*Investment!$C$6,Investment!$C$16))</f>
        <v>769644.162433795</v>
      </c>
      <c r="G32" s="15" t="n">
        <f aca="false">INDEX(Investment!$H$25:$H$384,MIN(28*Investment!$C$6,Investment!$C$16))</f>
        <v>385497.66225457</v>
      </c>
      <c r="H32" s="15" t="n">
        <f aca="false">INDEX(Investment!$I$25:$I$384,MIN(28*Investment!$C$6,Investment!$C$16))</f>
        <v>267585.535147452</v>
      </c>
      <c r="I32" s="15" t="n">
        <f aca="false">INDEX(Investment!$J$25:$J$384,MIN(28*Investment!$C$6,Investment!$C$16))</f>
        <v>502058.627286343</v>
      </c>
    </row>
    <row r="33" customFormat="false" ht="15" hidden="false" customHeight="false" outlineLevel="0" collapsed="false">
      <c r="A33" s="19" t="n">
        <f aca="false">A32+1</f>
        <v>29</v>
      </c>
      <c r="B33" s="15" t="n">
        <f aca="false">INDEX(Investment!$C$25:$C$384,(A33-1)*Investment!$C$6+1)</f>
        <v>769644.162433795</v>
      </c>
      <c r="C33" s="15" t="n">
        <f aca="false">SUMIF(Investment!$B$25:$B$384,A33,Investment!$D$25:$D$384)</f>
        <v>13727.5660544236</v>
      </c>
      <c r="D33" s="15" t="n">
        <f aca="false">SUMIF(Investment!$B$25:$B$384,A33,Investment!$E$25:$E$384)</f>
        <v>56086.7421074966</v>
      </c>
      <c r="E33" s="15" t="n">
        <f aca="false">SUMIF(Investment!$B$25:$B$384,A33,Investment!$F$25:$F$384)</f>
        <v>0</v>
      </c>
      <c r="F33" s="15" t="n">
        <f aca="false">INDEX(Investment!$G$25:$G$384,MIN(29*Investment!$C$6,Investment!$C$16))</f>
        <v>839458.470595715</v>
      </c>
      <c r="G33" s="15" t="n">
        <f aca="false">INDEX(Investment!$H$25:$H$384,MIN(29*Investment!$C$6,Investment!$C$16))</f>
        <v>410210.827503955</v>
      </c>
      <c r="H33" s="15" t="n">
        <f aca="false">INDEX(Investment!$I$25:$I$384,MIN(29*Investment!$C$6,Investment!$C$16))</f>
        <v>281313.101201876</v>
      </c>
      <c r="I33" s="15" t="n">
        <f aca="false">INDEX(Investment!$J$25:$J$384,MIN(29*Investment!$C$6,Investment!$C$16))</f>
        <v>558145.36939384</v>
      </c>
    </row>
    <row r="34" customFormat="false" ht="15" hidden="false" customHeight="false" outlineLevel="0" collapsed="false">
      <c r="A34" s="19" t="n">
        <f aca="false">A33+1</f>
        <v>30</v>
      </c>
      <c r="B34" s="15" t="n">
        <f aca="false">INDEX(Investment!$C$25:$C$384,(A34-1)*Investment!$C$6+1)</f>
        <v>839458.470595715</v>
      </c>
      <c r="C34" s="15" t="n">
        <f aca="false">SUMIF(Investment!$B$25:$B$384,A34,Investment!$D$25:$D$384)</f>
        <v>14139.3930360563</v>
      </c>
      <c r="D34" s="15" t="n">
        <f aca="false">SUMIF(Investment!$B$25:$B$384,A34,Investment!$E$25:$E$384)</f>
        <v>61147.0971906828</v>
      </c>
      <c r="E34" s="15" t="n">
        <f aca="false">SUMIF(Investment!$B$25:$B$384,A34,Investment!$F$25:$F$384)</f>
        <v>0</v>
      </c>
      <c r="F34" s="15" t="n">
        <f aca="false">INDEX(Investment!$G$25:$G$384,MIN(30*Investment!$C$6,Investment!$C$16))</f>
        <v>914744.960822454</v>
      </c>
      <c r="G34" s="15" t="n">
        <f aca="false">INDEX(Investment!$H$25:$H$384,MIN(30*Investment!$C$6,Investment!$C$16))</f>
        <v>436097.968878259</v>
      </c>
      <c r="H34" s="15" t="n">
        <f aca="false">INDEX(Investment!$I$25:$I$384,MIN(30*Investment!$C$6,Investment!$C$16))</f>
        <v>295452.494237933</v>
      </c>
      <c r="I34" s="15" t="n">
        <f aca="false">INDEX(Investment!$J$25:$J$384,MIN(30*Investment!$C$6,Investment!$C$16))</f>
        <v>619292.466584523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47</v>
      </c>
      <c r="B1" s="1"/>
      <c r="C1" s="1"/>
      <c r="D1" s="1"/>
    </row>
    <row r="2" customFormat="false" ht="15" hidden="false" customHeight="false" outlineLevel="0" collapsed="false">
      <c r="A2" s="2" t="s">
        <v>48</v>
      </c>
      <c r="B2" s="2"/>
      <c r="C2" s="2"/>
      <c r="D2" s="2"/>
    </row>
    <row r="4" customFormat="false" ht="30" hidden="false" customHeight="true" outlineLevel="0" collapsed="false">
      <c r="A4" s="18" t="s">
        <v>49</v>
      </c>
      <c r="B4" s="18" t="s">
        <v>50</v>
      </c>
      <c r="C4" s="18" t="s">
        <v>51</v>
      </c>
    </row>
    <row r="5" customFormat="false" ht="15" hidden="false" customHeight="false" outlineLevel="0" collapsed="false">
      <c r="A5" s="3" t="s">
        <v>52</v>
      </c>
    </row>
    <row r="6" customFormat="false" ht="15" hidden="false" customHeight="false" outlineLevel="0" collapsed="false">
      <c r="A6" s="6" t="s">
        <v>53</v>
      </c>
      <c r="B6" s="9" t="n">
        <f aca="false">FV(Investment!C15,Investment!C16,-Investment!C5,-Investment!C4,Investment!C7)</f>
        <v>691150.472641569</v>
      </c>
      <c r="C6" s="20" t="s">
        <v>54</v>
      </c>
    </row>
    <row r="7" customFormat="false" ht="15" hidden="false" customHeight="false" outlineLevel="0" collapsed="false">
      <c r="A7" s="6" t="s">
        <v>55</v>
      </c>
      <c r="B7" s="12" t="n">
        <f aca="false">Investment!F4/(1+Investment!C12)^Investment!C10</f>
        <v>436097.968878259</v>
      </c>
      <c r="C7" s="20" t="s">
        <v>56</v>
      </c>
    </row>
    <row r="8" customFormat="false" ht="15" hidden="false" customHeight="false" outlineLevel="0" collapsed="false">
      <c r="A8" s="3" t="s">
        <v>57</v>
      </c>
    </row>
    <row r="9" customFormat="false" ht="15" hidden="false" customHeight="false" outlineLevel="0" collapsed="false">
      <c r="A9" s="6" t="s">
        <v>58</v>
      </c>
      <c r="B9" s="12" t="n">
        <f aca="false">EFFECT(0.06,12)</f>
        <v>0.0616778118644983</v>
      </c>
      <c r="C9" s="20" t="s">
        <v>59</v>
      </c>
    </row>
    <row r="10" customFormat="false" ht="15" hidden="false" customHeight="false" outlineLevel="0" collapsed="false">
      <c r="A10" s="6" t="s">
        <v>60</v>
      </c>
      <c r="B10" s="12" t="n">
        <f aca="false">NOMINAL(EFFECT(0.06,12),12)</f>
        <v>0.0599999999999987</v>
      </c>
      <c r="C10" s="20" t="s">
        <v>61</v>
      </c>
    </row>
    <row r="11" customFormat="false" ht="15" hidden="false" customHeight="false" outlineLevel="0" collapsed="false">
      <c r="A11" s="3" t="s">
        <v>62</v>
      </c>
    </row>
    <row r="12" customFormat="false" ht="15" hidden="false" customHeight="false" outlineLevel="0" collapsed="false">
      <c r="A12" s="6" t="s">
        <v>63</v>
      </c>
      <c r="B12" s="9" t="n">
        <f aca="false">-100000+NPV(0.1,25000,35000,40000,35000,30000)</f>
        <v>24238.5952275987</v>
      </c>
      <c r="C12" s="20" t="s">
        <v>64</v>
      </c>
    </row>
    <row r="13" customFormat="false" ht="15" hidden="false" customHeight="false" outlineLevel="0" collapsed="false">
      <c r="A13" s="6" t="s">
        <v>65</v>
      </c>
      <c r="B13" s="9" t="n">
        <f aca="false">NPV(0.1,-100000,25000,35000,40000,35000,30000)</f>
        <v>22035.0865705443</v>
      </c>
      <c r="C13" s="20" t="s">
        <v>66</v>
      </c>
    </row>
    <row r="14" customFormat="false" ht="15" hidden="false" customHeight="false" outlineLevel="0" collapsed="false">
      <c r="A14" s="6" t="s">
        <v>67</v>
      </c>
      <c r="B14" s="12" t="n">
        <f aca="false">IRR({-100000,25000,35000,40000,35000,30000})</f>
        <v>0.187778056387563</v>
      </c>
      <c r="C14" s="20" t="s">
        <v>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2026-10-01T14:28:07Z</dcterms:created>
  <dc:creator>openpyxl</dc:creator>
  <dc:description/>
  <dc:language>en-US</dc:language>
  <cp:lastModifiedBy/>
  <dcterms:modified xsi:type="dcterms:W3CDTF">2026-10-01T14:28:07Z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