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Historicals" sheetId="3" state="visible" r:id="rId5"/>
    <sheet name="WACC" sheetId="4" state="visible" r:id="rId6"/>
    <sheet name="DCF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<sst xmlns="http://schemas.openxmlformats.org/spreadsheetml/2006/main" count="175" uniqueCount="139">
  <si>
    <t xml:space="preserve">Apple Inc. (AAPL) - DCF Valuation</t>
  </si>
  <si>
    <t xml:space="preserve">USD millions, except per-share values. Blue cells on 'Assumptions' are inputs; everything else is a formula.</t>
  </si>
  <si>
    <t xml:space="preserve">VALUATION SUMMARY</t>
  </si>
  <si>
    <t xml:space="preserve">Gordon Growth</t>
  </si>
  <si>
    <t xml:space="preserve">Exit Multiple</t>
  </si>
  <si>
    <t xml:space="preserve">WACC</t>
  </si>
  <si>
    <t xml:space="preserve">Enterprise value (millions)</t>
  </si>
  <si>
    <t xml:space="preserve">Equity value (millions)</t>
  </si>
  <si>
    <t xml:space="preserve">Implied value per share</t>
  </si>
  <si>
    <t xml:space="preserve">Current share price</t>
  </si>
  <si>
    <t xml:space="preserve">Upside / (downside)</t>
  </si>
  <si>
    <t xml:space="preserve">Terminal value as % of EV</t>
  </si>
  <si>
    <t xml:space="preserve">AUDIT: PYTHON APP RESULT AT EXPORT TIME (STATIC)</t>
  </si>
  <si>
    <t xml:space="preserve">App implied value per share (static number)</t>
  </si>
  <si>
    <t xml:space="preserve">Difference: Excel formula - app</t>
  </si>
  <si>
    <t xml:space="preserve">Should be ~0.00 until you change an input. After that, the Excel formulas are the live answer.</t>
  </si>
  <si>
    <t xml:space="preserve">HOW TO USE THIS WORKBOOK</t>
  </si>
  <si>
    <t xml:space="preserve">1. Go to 'Assumptions'. Blue text on yellow = inputs you may change.</t>
  </si>
  <si>
    <t xml:space="preserve">2. Every other number is a formula; follow it with Formulas &gt; Trace Precedents (Excel).</t>
  </si>
  <si>
    <t xml:space="preserve">3. 'DCF' shows the 5-year FCFF forecast, discounting, terminal value and the equity bridge.</t>
  </si>
  <si>
    <t xml:space="preserve">4. 'Sensitivity' recalculates the share price for different WACC / g / exit multiple values.</t>
  </si>
  <si>
    <t xml:space="preserve">5. Educational model only - not investment advice.</t>
  </si>
  <si>
    <t xml:space="preserve">COMPANY &amp; MARKET DATA</t>
  </si>
  <si>
    <t xml:space="preserve">Ticker</t>
  </si>
  <si>
    <t xml:space="preserve">AAPL</t>
  </si>
  <si>
    <t xml:space="preserve">Source: Yahoo Finance via yfinance</t>
  </si>
  <si>
    <t xml:space="preserve">Company name</t>
  </si>
  <si>
    <t xml:space="preserve">Apple Inc.</t>
  </si>
  <si>
    <t xml:space="preserve">USD per share</t>
  </si>
  <si>
    <t xml:space="preserve">Shares outstanding (millions)</t>
  </si>
  <si>
    <t xml:space="preserve">Basic shares from Yahoo Finance</t>
  </si>
  <si>
    <t xml:space="preserve">Market capitalization - E (millions)</t>
  </si>
  <si>
    <t xml:space="preserve">Market value of equity, used for WACC weights</t>
  </si>
  <si>
    <t xml:space="preserve">Total debt - D (millions)</t>
  </si>
  <si>
    <t xml:space="preserve">Includes lease liabilities as reported by Yahoo</t>
  </si>
  <si>
    <t xml:space="preserve">Cash &amp; short-term investments (millions)</t>
  </si>
  <si>
    <t xml:space="preserve">Base-year revenue FY2025 (millions)</t>
  </si>
  <si>
    <t xml:space="preserve">Last reported fiscal year = Year 0</t>
  </si>
  <si>
    <t xml:space="preserve">COST OF CAPITAL INPUTS</t>
  </si>
  <si>
    <t xml:space="preserve">Risk-free rate (Rf)</t>
  </si>
  <si>
    <t xml:space="preserve">10-year US Treasury yield</t>
  </si>
  <si>
    <t xml:space="preserve">Equity beta</t>
  </si>
  <si>
    <t xml:space="preserve">Sensitivity of the stock to the market</t>
  </si>
  <si>
    <t xml:space="preserve">Equity risk premium (ERP)</t>
  </si>
  <si>
    <t xml:space="preserve">Extra return investors want for owning stocks</t>
  </si>
  <si>
    <t xml:space="preserve">Pre-tax cost of debt (Kd)</t>
  </si>
  <si>
    <t xml:space="preserve">Tax rate for the debt tax shield</t>
  </si>
  <si>
    <t xml:space="preserve">Use target weights? (1 = yes, 0 = market values)</t>
  </si>
  <si>
    <t xml:space="preserve">Target weight of equity (if used)</t>
  </si>
  <si>
    <t xml:space="preserve">TERMINAL VALUE &amp; CONVENTIONS</t>
  </si>
  <si>
    <t xml:space="preserve">Perpetual growth rate (g)</t>
  </si>
  <si>
    <t xml:space="preserve">Must be below WACC; usually 2%-3%</t>
  </si>
  <si>
    <t xml:space="preserve">Exit EV/EBITDA multiple</t>
  </si>
  <si>
    <t xml:space="preserve">Applied to Year-5 EBITDA</t>
  </si>
  <si>
    <t xml:space="preserve">Mid-year convention (1 = yes, 0 = end of year)</t>
  </si>
  <si>
    <t xml:space="preserve">Mid-year: year t cash flow discounted t - 0.5 years</t>
  </si>
  <si>
    <t xml:space="preserve">SENSITIVITY TABLE STEP SIZES</t>
  </si>
  <si>
    <t xml:space="preserve">WACC step</t>
  </si>
  <si>
    <t xml:space="preserve">Perpetual growth step</t>
  </si>
  <si>
    <t xml:space="preserve">Exit multiple step</t>
  </si>
  <si>
    <t xml:space="preserve">FORECAST ASSUMPTIONS (YEAR 1 TO YEAR 5)</t>
  </si>
  <si>
    <t xml:space="preserve">Driver</t>
  </si>
  <si>
    <t xml:space="preserve">Year 1 (FY2026E)</t>
  </si>
  <si>
    <t xml:space="preserve">Year 2 (FY2027E)</t>
  </si>
  <si>
    <t xml:space="preserve">Year 3 (FY2028E)</t>
  </si>
  <si>
    <t xml:space="preserve">Year 4 (FY2029E)</t>
  </si>
  <si>
    <t xml:space="preserve">Year 5 (FY2030E)</t>
  </si>
  <si>
    <t xml:space="preserve">Revenue growth</t>
  </si>
  <si>
    <t xml:space="preserve">EBIT margin (% of revenue)</t>
  </si>
  <si>
    <t xml:space="preserve">Tax rate on EBIT</t>
  </si>
  <si>
    <t xml:space="preserve">D&amp;A (% of revenue)</t>
  </si>
  <si>
    <t xml:space="preserve">Capex (% of revenue)</t>
  </si>
  <si>
    <t xml:space="preserve">Net working capital (% of revenue)</t>
  </si>
  <si>
    <t xml:space="preserve">Tip: change any blue cell and every sheet recalculates. Do not type over black (formula) cells.</t>
  </si>
  <si>
    <t xml:space="preserve">REPORTED HISTORICAL DATA (MILLIONS)</t>
  </si>
  <si>
    <t xml:space="preserve">Line item</t>
  </si>
  <si>
    <t xml:space="preserve">FY2022A</t>
  </si>
  <si>
    <t xml:space="preserve">FY2023A</t>
  </si>
  <si>
    <t xml:space="preserve">FY2024A</t>
  </si>
  <si>
    <t xml:space="preserve">FY2025A</t>
  </si>
  <si>
    <t xml:space="preserve">Revenue</t>
  </si>
  <si>
    <t xml:space="preserve">EBIT (operating income)</t>
  </si>
  <si>
    <t xml:space="preserve">Depreciation &amp; amortization (D&amp;A)</t>
  </si>
  <si>
    <t xml:space="preserve">Capital expenditure (capex, positive = cash spent)</t>
  </si>
  <si>
    <t xml:space="preserve">Increase in net working capital (positive = cash used)</t>
  </si>
  <si>
    <t xml:space="preserve">Effective tax rate</t>
  </si>
  <si>
    <t xml:space="preserve">NOPAT = EBIT x (1 - tax)</t>
  </si>
  <si>
    <t xml:space="preserve">Free cash flow to firm (FCFF)</t>
  </si>
  <si>
    <t xml:space="preserve">EBIT margin</t>
  </si>
  <si>
    <t xml:space="preserve">D&amp;A % of revenue</t>
  </si>
  <si>
    <t xml:space="preserve">Capex % of revenue</t>
  </si>
  <si>
    <t xml:space="preserve">Sign convention: Yahoo reports capex and 'Change In Working Capital' as cash flows (negative = cash out). Here capex is shown positive and the working-capital line is flipped so that an INCREASE in NWC is positive. FCFF = NOPAT + D&amp;A - Capex - Increase in NWC.</t>
  </si>
  <si>
    <t xml:space="preserve">COST OF EQUITY (CAPM)</t>
  </si>
  <si>
    <t xml:space="preserve">Cost of equity  Ke = Rf + beta x ERP</t>
  </si>
  <si>
    <t xml:space="preserve">COST OF DEBT</t>
  </si>
  <si>
    <t xml:space="preserve">Tax rate</t>
  </si>
  <si>
    <t xml:space="preserve">After-tax cost of debt  Kd x (1 - t)</t>
  </si>
  <si>
    <t xml:space="preserve">CAPITAL STRUCTURE (MILLIONS)</t>
  </si>
  <si>
    <t xml:space="preserve">Equity - market capitalization (E)</t>
  </si>
  <si>
    <t xml:space="preserve">Debt (D)</t>
  </si>
  <si>
    <t xml:space="preserve">Total capital  V = E + D</t>
  </si>
  <si>
    <t xml:space="preserve">Weight of equity  E / V</t>
  </si>
  <si>
    <t xml:space="preserve">Weight of debt  D / V</t>
  </si>
  <si>
    <t xml:space="preserve">WACC = We x Ke + Wd x Kd x (1 - t)</t>
  </si>
  <si>
    <t xml:space="preserve">FREE CASH FLOW FORECAST (MILLIONS)</t>
  </si>
  <si>
    <t xml:space="preserve">FY2025A (Year 0)</t>
  </si>
  <si>
    <t xml:space="preserve">EBIT</t>
  </si>
  <si>
    <t xml:space="preserve">(+) D&amp;A</t>
  </si>
  <si>
    <t xml:space="preserve">(-) Capex</t>
  </si>
  <si>
    <t xml:space="preserve">NWC % of revenue</t>
  </si>
  <si>
    <t xml:space="preserve">Net working capital (NWC)</t>
  </si>
  <si>
    <t xml:space="preserve">Year-0 NWC = base revenue x Year-1 NWC %</t>
  </si>
  <si>
    <t xml:space="preserve">(-) Increase in NWC</t>
  </si>
  <si>
    <t xml:space="preserve">Year number (t)</t>
  </si>
  <si>
    <t xml:space="preserve">Discount period</t>
  </si>
  <si>
    <t xml:space="preserve">Discount factor = 1/(1+WACC)^period</t>
  </si>
  <si>
    <t xml:space="preserve">Present value of FCFF</t>
  </si>
  <si>
    <t xml:space="preserve">Sum of PV of FCFF (Years 1-5)</t>
  </si>
  <si>
    <t xml:space="preserve">TERMINAL VALUE &amp; EQUITY BRIDGE (MILLIONS)</t>
  </si>
  <si>
    <t xml:space="preserve">Terminal assumption (g  |  EV/EBITDA multiple)</t>
  </si>
  <si>
    <t xml:space="preserve">Year-5 FCFF</t>
  </si>
  <si>
    <t xml:space="preserve">Year-5 EBITDA = EBIT + D&amp;A</t>
  </si>
  <si>
    <t xml:space="preserve">Terminal value at end of Year 5</t>
  </si>
  <si>
    <t xml:space="preserve">PV of terminal value = TV / (1+WACC)^5</t>
  </si>
  <si>
    <t xml:space="preserve">(+) Sum of PV of FCFF (Years 1-5)</t>
  </si>
  <si>
    <t xml:space="preserve">Enterprise value (EV)</t>
  </si>
  <si>
    <t xml:space="preserve">(-) Total debt</t>
  </si>
  <si>
    <t xml:space="preserve">(+) Cash &amp; short-term investments</t>
  </si>
  <si>
    <t xml:space="preserve">Net debt = debt - cash</t>
  </si>
  <si>
    <t xml:space="preserve">Equity value = EV - net debt</t>
  </si>
  <si>
    <t xml:space="preserve">Upside / (downside) vs current price</t>
  </si>
  <si>
    <t xml:space="preserve">Cross-check: implied EV/EBITDA multiple (GGM)</t>
  </si>
  <si>
    <t xml:space="preserve">Cross-check: implied perpetual growth (Exit)</t>
  </si>
  <si>
    <t xml:space="preserve">Terminal value is a value at the end of Year 5, so it is discounted 5 full years (even with the mid-year convention). Gordon Growth needs WACC &gt; g, otherwise #N/A.</t>
  </si>
  <si>
    <t xml:space="preserve">IMPLIED VALUE PER SHARE: WACC vs PERPETUAL GROWTH (GORDON GROWTH)</t>
  </si>
  <si>
    <t xml:space="preserve">WACC (rows)  \  g (columns)</t>
  </si>
  <si>
    <t xml:space="preserve">IMPLIED VALUE PER SHARE: WACC vs EXIT EV/EBITDA MULTIPLE</t>
  </si>
  <si>
    <t xml:space="preserve">WACC (rows)  \  Exit multiple (columns)</t>
  </si>
  <si>
    <t xml:space="preserve">Green = above the current share price, red = below. Centre cell = base case. Each cell recomputes the full DCF.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</si>
</sst>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%;\(0.00%\)"/>
    <numFmt numFmtId="166" formatCode="#,##0;\(#,##0\);\-"/>
    <numFmt numFmtId="167" formatCode="#,##0.00;\(#,##0.00\)"/>
    <numFmt numFmtId="168" formatCode="0.0%;\(0.0%\)"/>
    <numFmt numFmtId="169" formatCode="#,##0.0;\(#,##0.0\);\-"/>
    <numFmt numFmtId="170" formatCode="0.00"/>
    <numFmt numFmtId="171" formatCode="0"/>
    <numFmt numFmtId="172" formatCode="0.0\x"/>
    <numFmt numFmtId="173" formatCode="0.0"/>
    <numFmt numFmtId="174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sz val="10"/>
      <color rgb="FF0000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/>
      <c r="B5" s="6" t="s">
        <v>3</v>
      </c>
      <c r="C5" s="6" t="s">
        <v>4</v>
      </c>
    </row>
    <row r="6" customFormat="false" ht="15" hidden="false" customHeight="false" outlineLevel="0" collapsed="false">
      <c r="A6" s="7" t="s">
        <v>5</v>
      </c>
      <c r="B6" s="8" t="n">
        <f aca="false">WACC!B22</f>
        <v>0.105981952618503</v>
      </c>
      <c r="C6" s="8" t="n">
        <f aca="false">WACC!B22</f>
        <v>0.105981952618503</v>
      </c>
    </row>
    <row r="7" customFormat="false" ht="15" hidden="false" customHeight="false" outlineLevel="0" collapsed="false">
      <c r="A7" s="7" t="s">
        <v>6</v>
      </c>
      <c r="B7" s="9" t="n">
        <f aca="false">DCF!B37</f>
        <v>1369197.68113871</v>
      </c>
      <c r="C7" s="9" t="n">
        <f aca="false">DCF!C37</f>
        <v>1585163.71735841</v>
      </c>
    </row>
    <row r="8" customFormat="false" ht="15" hidden="false" customHeight="false" outlineLevel="0" collapsed="false">
      <c r="A8" s="7" t="s">
        <v>7</v>
      </c>
      <c r="B8" s="9" t="n">
        <f aca="false">DCF!B41</f>
        <v>1347252.68529871</v>
      </c>
      <c r="C8" s="9" t="n">
        <f aca="false">DCF!C41</f>
        <v>1563218.72151841</v>
      </c>
    </row>
    <row r="9" customFormat="false" ht="15" hidden="false" customHeight="false" outlineLevel="0" collapsed="false">
      <c r="A9" s="10" t="s">
        <v>8</v>
      </c>
      <c r="B9" s="11" t="n">
        <f aca="false">DCF!B43</f>
        <v>92.314380478979</v>
      </c>
      <c r="C9" s="11" t="n">
        <f aca="false">DCF!C43</f>
        <v>107.112473706533</v>
      </c>
    </row>
    <row r="10" customFormat="false" ht="15" hidden="false" customHeight="false" outlineLevel="0" collapsed="false">
      <c r="A10" s="7" t="s">
        <v>9</v>
      </c>
      <c r="B10" s="12" t="n">
        <f aca="false">Assumptions!B7</f>
        <v>333.02</v>
      </c>
      <c r="C10" s="12" t="n">
        <f aca="false">Assumptions!B7</f>
        <v>333.02</v>
      </c>
    </row>
    <row r="11" customFormat="false" ht="15" hidden="false" customHeight="false" outlineLevel="0" collapsed="false">
      <c r="A11" s="10" t="s">
        <v>10</v>
      </c>
      <c r="B11" s="13" t="n">
        <f aca="false">DCF!B45</f>
        <v>-0.722796287072912</v>
      </c>
      <c r="C11" s="13" t="n">
        <f aca="false">DCF!C45</f>
        <v>-0.678360237503654</v>
      </c>
    </row>
    <row r="12" customFormat="false" ht="15" hidden="false" customHeight="false" outlineLevel="0" collapsed="false">
      <c r="A12" s="7" t="s">
        <v>11</v>
      </c>
      <c r="B12" s="14" t="n">
        <f aca="false">DCF!B47</f>
        <v>0.667384055508596</v>
      </c>
      <c r="C12" s="14" t="n">
        <f aca="false">DCF!C47</f>
        <v>0.71270035080899</v>
      </c>
    </row>
    <row r="14" customFormat="false" ht="15" hidden="false" customHeight="false" outlineLevel="0" collapsed="false">
      <c r="A14" s="3" t="s">
        <v>12</v>
      </c>
      <c r="B14" s="4"/>
      <c r="C14" s="4"/>
      <c r="D14" s="4"/>
    </row>
    <row r="15" customFormat="false" ht="15" hidden="false" customHeight="false" outlineLevel="0" collapsed="false">
      <c r="A15" s="7" t="s">
        <v>13</v>
      </c>
      <c r="B15" s="15" t="n">
        <v>92.314380478979</v>
      </c>
      <c r="C15" s="15" t="n">
        <v>107.112473706533</v>
      </c>
    </row>
    <row r="16" customFormat="false" ht="15" hidden="false" customHeight="false" outlineLevel="0" collapsed="false">
      <c r="A16" s="7" t="s">
        <v>14</v>
      </c>
      <c r="B16" s="16" t="n">
        <f aca="false">IFERROR(B9-B15,"n/a")</f>
        <v>0</v>
      </c>
      <c r="C16" s="16" t="n">
        <f aca="false">IFERROR(C9-C15,"n/a")</f>
        <v>0</v>
      </c>
    </row>
    <row r="17" customFormat="false" ht="15" hidden="false" customHeight="false" outlineLevel="0" collapsed="false">
      <c r="A17" s="2" t="s">
        <v>15</v>
      </c>
    </row>
    <row r="19" customFormat="false" ht="15" hidden="false" customHeight="false" outlineLevel="0" collapsed="false">
      <c r="A19" s="3" t="s">
        <v>16</v>
      </c>
      <c r="B19" s="4"/>
      <c r="C19" s="4"/>
      <c r="D19" s="4"/>
    </row>
    <row r="20" customFormat="false" ht="15" hidden="false" customHeight="false" outlineLevel="0" collapsed="false">
      <c r="A20" s="7" t="s">
        <v>17</v>
      </c>
    </row>
    <row r="21" customFormat="false" ht="15" hidden="false" customHeight="false" outlineLevel="0" collapsed="false">
      <c r="A21" s="7" t="s">
        <v>18</v>
      </c>
    </row>
    <row r="22" customFormat="false" ht="15" hidden="false" customHeight="false" outlineLevel="0" collapsed="false">
      <c r="A22" s="7" t="s">
        <v>19</v>
      </c>
    </row>
    <row r="23" customFormat="false" ht="15" hidden="false" customHeight="false" outlineLevel="0" collapsed="false">
      <c r="A23" s="7" t="s">
        <v>20</v>
      </c>
    </row>
    <row r="24" customFormat="false" ht="15" hidden="false" customHeight="false" outlineLevel="0" collapsed="false">
      <c r="A24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6"/>
    <col collapsed="false" customWidth="true" hidden="false" outlineLevel="0" max="7" min="7" style="0" width="4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22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7" t="s">
        <v>23</v>
      </c>
      <c r="B5" s="17" t="s">
        <v>24</v>
      </c>
      <c r="H5" s="2" t="s">
        <v>25</v>
      </c>
    </row>
    <row r="6" customFormat="false" ht="15" hidden="false" customHeight="false" outlineLevel="0" collapsed="false">
      <c r="A6" s="7" t="s">
        <v>26</v>
      </c>
      <c r="B6" s="17" t="s">
        <v>27</v>
      </c>
    </row>
    <row r="7" customFormat="false" ht="15" hidden="false" customHeight="false" outlineLevel="0" collapsed="false">
      <c r="A7" s="7" t="s">
        <v>9</v>
      </c>
      <c r="B7" s="18" t="n">
        <v>333.02</v>
      </c>
      <c r="H7" s="2" t="s">
        <v>28</v>
      </c>
    </row>
    <row r="8" customFormat="false" ht="15" hidden="false" customHeight="false" outlineLevel="0" collapsed="false">
      <c r="A8" s="7" t="s">
        <v>29</v>
      </c>
      <c r="B8" s="19" t="n">
        <v>14594.18</v>
      </c>
      <c r="H8" s="2" t="s">
        <v>30</v>
      </c>
    </row>
    <row r="9" customFormat="false" ht="15" hidden="false" customHeight="false" outlineLevel="0" collapsed="false">
      <c r="A9" s="7" t="s">
        <v>31</v>
      </c>
      <c r="B9" s="20" t="n">
        <v>4860153.954304</v>
      </c>
      <c r="H9" s="2" t="s">
        <v>32</v>
      </c>
    </row>
    <row r="10" customFormat="false" ht="15" hidden="false" customHeight="false" outlineLevel="0" collapsed="false">
      <c r="A10" s="7" t="s">
        <v>33</v>
      </c>
      <c r="B10" s="20" t="n">
        <v>84343.996416</v>
      </c>
      <c r="H10" s="2" t="s">
        <v>34</v>
      </c>
    </row>
    <row r="11" customFormat="false" ht="15" hidden="false" customHeight="false" outlineLevel="0" collapsed="false">
      <c r="A11" s="7" t="s">
        <v>35</v>
      </c>
      <c r="B11" s="20" t="n">
        <v>62399.000576</v>
      </c>
    </row>
    <row r="12" customFormat="false" ht="15" hidden="false" customHeight="false" outlineLevel="0" collapsed="false">
      <c r="A12" s="7" t="s">
        <v>36</v>
      </c>
      <c r="B12" s="20" t="n">
        <v>416161</v>
      </c>
      <c r="H12" s="2" t="s">
        <v>37</v>
      </c>
    </row>
    <row r="14" customFormat="false" ht="15" hidden="false" customHeight="false" outlineLevel="0" collapsed="false">
      <c r="A14" s="3" t="s">
        <v>38</v>
      </c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7" t="s">
        <v>39</v>
      </c>
      <c r="B15" s="21" t="n">
        <v>0.0529</v>
      </c>
      <c r="H15" s="2" t="s">
        <v>40</v>
      </c>
    </row>
    <row r="16" customFormat="false" ht="15" hidden="false" customHeight="false" outlineLevel="0" collapsed="false">
      <c r="A16" s="7" t="s">
        <v>41</v>
      </c>
      <c r="B16" s="22" t="n">
        <v>1.08</v>
      </c>
      <c r="H16" s="2" t="s">
        <v>42</v>
      </c>
    </row>
    <row r="17" customFormat="false" ht="15" hidden="false" customHeight="false" outlineLevel="0" collapsed="false">
      <c r="A17" s="7" t="s">
        <v>43</v>
      </c>
      <c r="B17" s="21" t="n">
        <v>0.05</v>
      </c>
      <c r="H17" s="2" t="s">
        <v>44</v>
      </c>
    </row>
    <row r="18" customFormat="false" ht="15" hidden="false" customHeight="false" outlineLevel="0" collapsed="false">
      <c r="A18" s="7" t="s">
        <v>45</v>
      </c>
      <c r="B18" s="21" t="n">
        <v>0.0629</v>
      </c>
    </row>
    <row r="19" customFormat="false" ht="15" hidden="false" customHeight="false" outlineLevel="0" collapsed="false">
      <c r="A19" s="7" t="s">
        <v>46</v>
      </c>
      <c r="B19" s="23" t="n">
        <v>0.1561</v>
      </c>
    </row>
    <row r="20" customFormat="false" ht="15" hidden="false" customHeight="false" outlineLevel="0" collapsed="false">
      <c r="A20" s="7" t="s">
        <v>47</v>
      </c>
      <c r="B20" s="24" t="n">
        <v>0</v>
      </c>
    </row>
    <row r="21" customFormat="false" ht="15" hidden="false" customHeight="false" outlineLevel="0" collapsed="false">
      <c r="A21" s="7" t="s">
        <v>48</v>
      </c>
      <c r="B21" s="23" t="n">
        <v>0.982941848240888</v>
      </c>
    </row>
    <row r="23" customFormat="false" ht="15" hidden="false" customHeight="false" outlineLevel="0" collapsed="false">
      <c r="A23" s="3" t="s">
        <v>49</v>
      </c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7" t="s">
        <v>50</v>
      </c>
      <c r="B24" s="21" t="n">
        <v>0.025</v>
      </c>
      <c r="H24" s="2" t="s">
        <v>51</v>
      </c>
    </row>
    <row r="25" customFormat="false" ht="15" hidden="false" customHeight="false" outlineLevel="0" collapsed="false">
      <c r="A25" s="7" t="s">
        <v>52</v>
      </c>
      <c r="B25" s="25" t="n">
        <v>12</v>
      </c>
      <c r="H25" s="2" t="s">
        <v>53</v>
      </c>
    </row>
    <row r="26" customFormat="false" ht="15" hidden="false" customHeight="false" outlineLevel="0" collapsed="false">
      <c r="A26" s="7" t="s">
        <v>54</v>
      </c>
      <c r="B26" s="24" t="n">
        <v>1</v>
      </c>
      <c r="H26" s="2" t="s">
        <v>55</v>
      </c>
    </row>
    <row r="28" customFormat="false" ht="15" hidden="false" customHeight="false" outlineLevel="0" collapsed="false">
      <c r="A28" s="3" t="s">
        <v>56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7" t="s">
        <v>57</v>
      </c>
      <c r="B29" s="21" t="n">
        <v>0.01</v>
      </c>
    </row>
    <row r="30" customFormat="false" ht="15" hidden="false" customHeight="false" outlineLevel="0" collapsed="false">
      <c r="A30" s="7" t="s">
        <v>58</v>
      </c>
      <c r="B30" s="21" t="n">
        <v>0.005</v>
      </c>
    </row>
    <row r="31" customFormat="false" ht="15" hidden="false" customHeight="false" outlineLevel="0" collapsed="false">
      <c r="A31" s="7" t="s">
        <v>59</v>
      </c>
      <c r="B31" s="25" t="n">
        <v>2</v>
      </c>
    </row>
    <row r="33" customFormat="false" ht="15" hidden="false" customHeight="false" outlineLevel="0" collapsed="false">
      <c r="A33" s="3" t="s">
        <v>60</v>
      </c>
      <c r="B33" s="4"/>
      <c r="C33" s="4"/>
      <c r="D33" s="4"/>
      <c r="E33" s="4"/>
      <c r="F33" s="4"/>
      <c r="G33" s="4"/>
    </row>
    <row r="34" customFormat="false" ht="15" hidden="false" customHeight="false" outlineLevel="0" collapsed="false">
      <c r="A34" s="5" t="s">
        <v>61</v>
      </c>
      <c r="B34" s="6" t="s">
        <v>62</v>
      </c>
      <c r="C34" s="6" t="s">
        <v>63</v>
      </c>
      <c r="D34" s="6" t="s">
        <v>64</v>
      </c>
      <c r="E34" s="6" t="s">
        <v>65</v>
      </c>
      <c r="F34" s="6" t="s">
        <v>66</v>
      </c>
    </row>
    <row r="35" customFormat="false" ht="15" hidden="false" customHeight="false" outlineLevel="0" collapsed="false">
      <c r="A35" s="7" t="s">
        <v>67</v>
      </c>
      <c r="B35" s="23" t="n">
        <v>0.0181</v>
      </c>
      <c r="C35" s="23" t="n">
        <v>0.01629</v>
      </c>
      <c r="D35" s="23" t="n">
        <v>0.014661</v>
      </c>
      <c r="E35" s="23" t="n">
        <v>0.0131949</v>
      </c>
      <c r="F35" s="23" t="n">
        <v>0.01187541</v>
      </c>
    </row>
    <row r="36" customFormat="false" ht="15" hidden="false" customHeight="false" outlineLevel="0" collapsed="false">
      <c r="A36" s="7" t="s">
        <v>68</v>
      </c>
      <c r="B36" s="23" t="n">
        <v>0.3197</v>
      </c>
      <c r="C36" s="23" t="n">
        <v>0.3197</v>
      </c>
      <c r="D36" s="23" t="n">
        <v>0.3197</v>
      </c>
      <c r="E36" s="23" t="n">
        <v>0.3197</v>
      </c>
      <c r="F36" s="23" t="n">
        <v>0.3197</v>
      </c>
    </row>
    <row r="37" customFormat="false" ht="15" hidden="false" customHeight="false" outlineLevel="0" collapsed="false">
      <c r="A37" s="7" t="s">
        <v>69</v>
      </c>
      <c r="B37" s="23" t="n">
        <v>0.1561</v>
      </c>
      <c r="C37" s="23" t="n">
        <v>0.1561</v>
      </c>
      <c r="D37" s="23" t="n">
        <v>0.1561</v>
      </c>
      <c r="E37" s="23" t="n">
        <v>0.1561</v>
      </c>
      <c r="F37" s="23" t="n">
        <v>0.1561</v>
      </c>
    </row>
    <row r="38" customFormat="false" ht="15" hidden="false" customHeight="false" outlineLevel="0" collapsed="false">
      <c r="A38" s="7" t="s">
        <v>70</v>
      </c>
      <c r="B38" s="23" t="n">
        <v>0.0281</v>
      </c>
      <c r="C38" s="23" t="n">
        <v>0.0281</v>
      </c>
      <c r="D38" s="23" t="n">
        <v>0.0281</v>
      </c>
      <c r="E38" s="23" t="n">
        <v>0.0281</v>
      </c>
      <c r="F38" s="23" t="n">
        <v>0.0281</v>
      </c>
    </row>
    <row r="39" customFormat="false" ht="15" hidden="false" customHeight="false" outlineLevel="0" collapsed="false">
      <c r="A39" s="7" t="s">
        <v>71</v>
      </c>
      <c r="B39" s="23" t="n">
        <v>0.0306</v>
      </c>
      <c r="C39" s="23" t="n">
        <v>0.0306</v>
      </c>
      <c r="D39" s="23" t="n">
        <v>0.0306</v>
      </c>
      <c r="E39" s="23" t="n">
        <v>0.0306</v>
      </c>
      <c r="F39" s="23" t="n">
        <v>0.0306</v>
      </c>
    </row>
    <row r="40" customFormat="false" ht="15" hidden="false" customHeight="false" outlineLevel="0" collapsed="false">
      <c r="A40" s="7" t="s">
        <v>72</v>
      </c>
      <c r="B40" s="23" t="n">
        <v>0.05</v>
      </c>
      <c r="C40" s="23" t="n">
        <v>0.05</v>
      </c>
      <c r="D40" s="23" t="n">
        <v>0.05</v>
      </c>
      <c r="E40" s="23" t="n">
        <v>0.05</v>
      </c>
      <c r="F40" s="23" t="n">
        <v>0.05</v>
      </c>
    </row>
    <row r="42" customFormat="false" ht="15" hidden="false" customHeight="false" outlineLevel="0" collapsed="false">
      <c r="A42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74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75</v>
      </c>
      <c r="B5" s="6" t="s">
        <v>76</v>
      </c>
      <c r="C5" s="6" t="s">
        <v>77</v>
      </c>
      <c r="D5" s="6" t="s">
        <v>78</v>
      </c>
      <c r="E5" s="6" t="s">
        <v>79</v>
      </c>
    </row>
    <row r="6" customFormat="false" ht="15" hidden="false" customHeight="false" outlineLevel="0" collapsed="false">
      <c r="A6" s="7" t="s">
        <v>80</v>
      </c>
      <c r="B6" s="20" t="n">
        <v>394328</v>
      </c>
      <c r="C6" s="20" t="n">
        <v>383285</v>
      </c>
      <c r="D6" s="20" t="n">
        <v>391035</v>
      </c>
      <c r="E6" s="20" t="n">
        <v>416161</v>
      </c>
    </row>
    <row r="7" customFormat="false" ht="15" hidden="false" customHeight="false" outlineLevel="0" collapsed="false">
      <c r="A7" s="7" t="s">
        <v>81</v>
      </c>
      <c r="B7" s="20" t="n">
        <v>119437</v>
      </c>
      <c r="C7" s="20" t="n">
        <v>114301</v>
      </c>
      <c r="D7" s="20" t="n">
        <v>123216</v>
      </c>
      <c r="E7" s="20" t="n">
        <v>133050</v>
      </c>
    </row>
    <row r="8" customFormat="false" ht="15" hidden="false" customHeight="false" outlineLevel="0" collapsed="false">
      <c r="A8" s="7" t="s">
        <v>82</v>
      </c>
      <c r="B8" s="20" t="n">
        <v>11104</v>
      </c>
      <c r="C8" s="20" t="n">
        <v>11519</v>
      </c>
      <c r="D8" s="20" t="n">
        <v>11445</v>
      </c>
      <c r="E8" s="20" t="n">
        <v>11698</v>
      </c>
    </row>
    <row r="9" customFormat="false" ht="15" hidden="false" customHeight="false" outlineLevel="0" collapsed="false">
      <c r="A9" s="7" t="s">
        <v>83</v>
      </c>
      <c r="B9" s="20" t="n">
        <v>10708</v>
      </c>
      <c r="C9" s="20" t="n">
        <v>10959</v>
      </c>
      <c r="D9" s="20" t="n">
        <v>9447</v>
      </c>
      <c r="E9" s="20" t="n">
        <v>12715</v>
      </c>
    </row>
    <row r="10" customFormat="false" ht="15" hidden="false" customHeight="false" outlineLevel="0" collapsed="false">
      <c r="A10" s="7" t="s">
        <v>84</v>
      </c>
      <c r="B10" s="20" t="n">
        <v>-1200</v>
      </c>
      <c r="C10" s="20" t="n">
        <v>6577</v>
      </c>
      <c r="D10" s="20" t="n">
        <v>-3651</v>
      </c>
      <c r="E10" s="20" t="n">
        <v>25000</v>
      </c>
    </row>
    <row r="11" customFormat="false" ht="15" hidden="false" customHeight="false" outlineLevel="0" collapsed="false">
      <c r="A11" s="7" t="s">
        <v>85</v>
      </c>
      <c r="B11" s="23" t="n">
        <v>0.162044616844244</v>
      </c>
      <c r="C11" s="23" t="n">
        <v>0.147191742280369</v>
      </c>
      <c r="D11" s="23" t="n">
        <v>0.2409118516419</v>
      </c>
      <c r="E11" s="23" t="n">
        <v>0.15610002335586</v>
      </c>
    </row>
    <row r="13" customFormat="false" ht="15" hidden="false" customHeight="false" outlineLevel="0" collapsed="false">
      <c r="A13" s="10" t="s">
        <v>86</v>
      </c>
      <c r="B13" s="26" t="n">
        <f aca="false">B7*(1-B11)</f>
        <v>100082.877097974</v>
      </c>
      <c r="C13" s="26" t="n">
        <f aca="false">C7*(1-C11)</f>
        <v>97476.8366656116</v>
      </c>
      <c r="D13" s="26" t="n">
        <f aca="false">D7*(1-D11)</f>
        <v>93531.8052880917</v>
      </c>
      <c r="E13" s="26" t="n">
        <f aca="false">E7*(1-E11)</f>
        <v>112280.891892503</v>
      </c>
    </row>
    <row r="14" customFormat="false" ht="15" hidden="false" customHeight="false" outlineLevel="0" collapsed="false">
      <c r="A14" s="10" t="s">
        <v>87</v>
      </c>
      <c r="B14" s="27" t="n">
        <f aca="false">B13+B8-B9-B10</f>
        <v>101678.877097974</v>
      </c>
      <c r="C14" s="27" t="n">
        <f aca="false">C13+C8-C9-C10</f>
        <v>91459.8366656116</v>
      </c>
      <c r="D14" s="27" t="n">
        <f aca="false">D13+D8-D9-D10</f>
        <v>99180.8052880917</v>
      </c>
      <c r="E14" s="27" t="n">
        <f aca="false">E13+E8-E9-E10</f>
        <v>86263.8918925028</v>
      </c>
    </row>
    <row r="16" customFormat="false" ht="15" hidden="false" customHeight="false" outlineLevel="0" collapsed="false">
      <c r="A16" s="7" t="s">
        <v>67</v>
      </c>
      <c r="C16" s="28" t="n">
        <f aca="false">C6/B6-1</f>
        <v>-0.0280046053031994</v>
      </c>
      <c r="D16" s="28" t="n">
        <f aca="false">D6/C6-1</f>
        <v>0.0202199407751411</v>
      </c>
      <c r="E16" s="28" t="n">
        <f aca="false">E6/D6-1</f>
        <v>0.0642551178283275</v>
      </c>
    </row>
    <row r="17" customFormat="false" ht="15" hidden="false" customHeight="false" outlineLevel="0" collapsed="false">
      <c r="A17" s="7" t="s">
        <v>88</v>
      </c>
      <c r="B17" s="28" t="n">
        <f aca="false">B7/B6</f>
        <v>0.302887443955286</v>
      </c>
      <c r="C17" s="28" t="n">
        <f aca="false">C7/C6</f>
        <v>0.298214122650247</v>
      </c>
      <c r="D17" s="28" t="n">
        <f aca="false">D7/D6</f>
        <v>0.315102228700756</v>
      </c>
      <c r="E17" s="28" t="n">
        <f aca="false">E7/E6</f>
        <v>0.319707997625919</v>
      </c>
    </row>
    <row r="18" customFormat="false" ht="15" hidden="false" customHeight="false" outlineLevel="0" collapsed="false">
      <c r="A18" s="7" t="s">
        <v>89</v>
      </c>
      <c r="B18" s="28" t="n">
        <f aca="false">B8/B6</f>
        <v>0.0281592988578037</v>
      </c>
      <c r="C18" s="28" t="n">
        <f aca="false">C8/C6</f>
        <v>0.0300533545534002</v>
      </c>
      <c r="D18" s="28" t="n">
        <f aca="false">D8/D6</f>
        <v>0.0292684798035981</v>
      </c>
      <c r="E18" s="28" t="n">
        <f aca="false">E8/E6</f>
        <v>0.0281093134628185</v>
      </c>
    </row>
    <row r="19" customFormat="false" ht="15" hidden="false" customHeight="false" outlineLevel="0" collapsed="false">
      <c r="A19" s="7" t="s">
        <v>90</v>
      </c>
      <c r="B19" s="28" t="n">
        <f aca="false">B9/B6</f>
        <v>0.0271550587328316</v>
      </c>
      <c r="C19" s="28" t="n">
        <f aca="false">C9/C6</f>
        <v>0.0285923007683578</v>
      </c>
      <c r="D19" s="28" t="n">
        <f aca="false">D9/D6</f>
        <v>0.0241589627526948</v>
      </c>
      <c r="E19" s="28" t="n">
        <f aca="false">E9/E6</f>
        <v>0.0305530792169377</v>
      </c>
    </row>
    <row r="21" customFormat="false" ht="15" hidden="false" customHeight="false" outlineLevel="0" collapsed="false">
      <c r="A21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92</v>
      </c>
      <c r="B4" s="4"/>
      <c r="C4" s="4"/>
    </row>
    <row r="5" customFormat="false" ht="15" hidden="false" customHeight="false" outlineLevel="0" collapsed="false">
      <c r="A5" s="7" t="s">
        <v>39</v>
      </c>
      <c r="B5" s="8" t="n">
        <f aca="false">Assumptions!B15</f>
        <v>0.0529</v>
      </c>
    </row>
    <row r="6" customFormat="false" ht="15" hidden="false" customHeight="false" outlineLevel="0" collapsed="false">
      <c r="A6" s="7" t="s">
        <v>41</v>
      </c>
      <c r="B6" s="29" t="n">
        <f aca="false">Assumptions!B16</f>
        <v>1.08</v>
      </c>
    </row>
    <row r="7" customFormat="false" ht="15" hidden="false" customHeight="false" outlineLevel="0" collapsed="false">
      <c r="A7" s="7" t="s">
        <v>43</v>
      </c>
      <c r="B7" s="8" t="n">
        <f aca="false">Assumptions!B17</f>
        <v>0.05</v>
      </c>
    </row>
    <row r="8" customFormat="false" ht="15" hidden="false" customHeight="false" outlineLevel="0" collapsed="false">
      <c r="A8" s="10" t="s">
        <v>93</v>
      </c>
      <c r="B8" s="30" t="n">
        <f aca="false">B5+B6*B7</f>
        <v>0.1069</v>
      </c>
    </row>
    <row r="10" customFormat="false" ht="15" hidden="false" customHeight="false" outlineLevel="0" collapsed="false">
      <c r="A10" s="3" t="s">
        <v>94</v>
      </c>
      <c r="B10" s="4"/>
      <c r="C10" s="4"/>
    </row>
    <row r="11" customFormat="false" ht="15" hidden="false" customHeight="false" outlineLevel="0" collapsed="false">
      <c r="A11" s="7" t="s">
        <v>45</v>
      </c>
      <c r="B11" s="8" t="n">
        <f aca="false">Assumptions!B18</f>
        <v>0.0629</v>
      </c>
    </row>
    <row r="12" customFormat="false" ht="15" hidden="false" customHeight="false" outlineLevel="0" collapsed="false">
      <c r="A12" s="7" t="s">
        <v>95</v>
      </c>
      <c r="B12" s="14" t="n">
        <f aca="false">Assumptions!B19</f>
        <v>0.1561</v>
      </c>
    </row>
    <row r="13" customFormat="false" ht="15" hidden="false" customHeight="false" outlineLevel="0" collapsed="false">
      <c r="A13" s="10" t="s">
        <v>96</v>
      </c>
      <c r="B13" s="30" t="n">
        <f aca="false">B11*(1-B12)</f>
        <v>0.05308131</v>
      </c>
    </row>
    <row r="15" customFormat="false" ht="15" hidden="false" customHeight="false" outlineLevel="0" collapsed="false">
      <c r="A15" s="3" t="s">
        <v>97</v>
      </c>
      <c r="B15" s="4"/>
      <c r="C15" s="4"/>
    </row>
    <row r="16" customFormat="false" ht="15" hidden="false" customHeight="false" outlineLevel="0" collapsed="false">
      <c r="A16" s="7" t="s">
        <v>98</v>
      </c>
      <c r="B16" s="9" t="n">
        <f aca="false">Assumptions!B9</f>
        <v>4860153.954304</v>
      </c>
    </row>
    <row r="17" customFormat="false" ht="15" hidden="false" customHeight="false" outlineLevel="0" collapsed="false">
      <c r="A17" s="7" t="s">
        <v>99</v>
      </c>
      <c r="B17" s="9" t="n">
        <f aca="false">Assumptions!B10</f>
        <v>84343.996416</v>
      </c>
    </row>
    <row r="18" customFormat="false" ht="15" hidden="false" customHeight="false" outlineLevel="0" collapsed="false">
      <c r="A18" s="7" t="s">
        <v>100</v>
      </c>
      <c r="B18" s="31" t="n">
        <f aca="false">B16+B17</f>
        <v>4944497.95072</v>
      </c>
    </row>
    <row r="19" customFormat="false" ht="15" hidden="false" customHeight="false" outlineLevel="0" collapsed="false">
      <c r="A19" s="7" t="s">
        <v>101</v>
      </c>
      <c r="B19" s="28" t="n">
        <f aca="false">IF(Assumptions!B20=1,Assumptions!B21,B16/B18)</f>
        <v>0.982941848240888</v>
      </c>
    </row>
    <row r="20" customFormat="false" ht="15" hidden="false" customHeight="false" outlineLevel="0" collapsed="false">
      <c r="A20" s="7" t="s">
        <v>102</v>
      </c>
      <c r="B20" s="28" t="n">
        <f aca="false">1-B19</f>
        <v>0.017058151759112</v>
      </c>
    </row>
    <row r="22" customFormat="false" ht="15" hidden="false" customHeight="false" outlineLevel="0" collapsed="false">
      <c r="A22" s="10" t="s">
        <v>103</v>
      </c>
      <c r="B22" s="32" t="n">
        <f aca="false">B19*B8+B20*B13</f>
        <v>0.105981952618503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7" min="3" style="0" width="17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104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/>
      <c r="B5" s="6" t="s">
        <v>105</v>
      </c>
      <c r="C5" s="6" t="s">
        <v>62</v>
      </c>
      <c r="D5" s="6" t="s">
        <v>63</v>
      </c>
      <c r="E5" s="6" t="s">
        <v>64</v>
      </c>
      <c r="F5" s="6" t="s">
        <v>65</v>
      </c>
      <c r="G5" s="6" t="s">
        <v>66</v>
      </c>
    </row>
    <row r="6" customFormat="false" ht="15" hidden="false" customHeight="false" outlineLevel="0" collapsed="false">
      <c r="A6" s="7" t="s">
        <v>67</v>
      </c>
      <c r="C6" s="14" t="n">
        <f aca="false">Assumptions!B35</f>
        <v>0.0181</v>
      </c>
      <c r="D6" s="14" t="n">
        <f aca="false">Assumptions!C35</f>
        <v>0.01629</v>
      </c>
      <c r="E6" s="14" t="n">
        <f aca="false">Assumptions!D35</f>
        <v>0.014661</v>
      </c>
      <c r="F6" s="14" t="n">
        <f aca="false">Assumptions!E35</f>
        <v>0.0131949</v>
      </c>
      <c r="G6" s="14" t="n">
        <f aca="false">Assumptions!F35</f>
        <v>0.01187541</v>
      </c>
    </row>
    <row r="7" customFormat="false" ht="15" hidden="false" customHeight="false" outlineLevel="0" collapsed="false">
      <c r="A7" s="10" t="s">
        <v>80</v>
      </c>
      <c r="B7" s="9" t="n">
        <f aca="false">Assumptions!B12</f>
        <v>416161</v>
      </c>
      <c r="C7" s="26" t="n">
        <f aca="false">B7*(1+C6)</f>
        <v>423693.5141</v>
      </c>
      <c r="D7" s="26" t="n">
        <f aca="false">C7*(1+D6)</f>
        <v>430595.481444689</v>
      </c>
      <c r="E7" s="26" t="n">
        <f aca="false">D7*(1+E6)</f>
        <v>436908.44179815</v>
      </c>
      <c r="F7" s="26" t="n">
        <f aca="false">E7*(1+F6)</f>
        <v>442673.404996832</v>
      </c>
      <c r="G7" s="26" t="n">
        <f aca="false">F7*(1+G6)</f>
        <v>447930.333177266</v>
      </c>
    </row>
    <row r="8" customFormat="false" ht="15" hidden="false" customHeight="false" outlineLevel="0" collapsed="false">
      <c r="A8" s="7" t="s">
        <v>88</v>
      </c>
      <c r="C8" s="14" t="n">
        <f aca="false">Assumptions!B36</f>
        <v>0.3197</v>
      </c>
      <c r="D8" s="14" t="n">
        <f aca="false">Assumptions!C36</f>
        <v>0.3197</v>
      </c>
      <c r="E8" s="14" t="n">
        <f aca="false">Assumptions!D36</f>
        <v>0.3197</v>
      </c>
      <c r="F8" s="14" t="n">
        <f aca="false">Assumptions!E36</f>
        <v>0.3197</v>
      </c>
      <c r="G8" s="14" t="n">
        <f aca="false">Assumptions!F36</f>
        <v>0.3197</v>
      </c>
    </row>
    <row r="9" customFormat="false" ht="15" hidden="false" customHeight="false" outlineLevel="0" collapsed="false">
      <c r="A9" s="7" t="s">
        <v>106</v>
      </c>
      <c r="C9" s="31" t="n">
        <f aca="false">C7*C8</f>
        <v>135454.81645777</v>
      </c>
      <c r="D9" s="31" t="n">
        <f aca="false">D7*D8</f>
        <v>137661.375417867</v>
      </c>
      <c r="E9" s="31" t="n">
        <f aca="false">E7*E8</f>
        <v>139679.628842868</v>
      </c>
      <c r="F9" s="31" t="n">
        <f aca="false">F7*F8</f>
        <v>141522.687577487</v>
      </c>
      <c r="G9" s="31" t="n">
        <f aca="false">G7*G8</f>
        <v>143203.327516772</v>
      </c>
    </row>
    <row r="10" customFormat="false" ht="15" hidden="false" customHeight="false" outlineLevel="0" collapsed="false">
      <c r="A10" s="7" t="s">
        <v>95</v>
      </c>
      <c r="C10" s="14" t="n">
        <f aca="false">Assumptions!B37</f>
        <v>0.1561</v>
      </c>
      <c r="D10" s="14" t="n">
        <f aca="false">Assumptions!C37</f>
        <v>0.1561</v>
      </c>
      <c r="E10" s="14" t="n">
        <f aca="false">Assumptions!D37</f>
        <v>0.1561</v>
      </c>
      <c r="F10" s="14" t="n">
        <f aca="false">Assumptions!E37</f>
        <v>0.1561</v>
      </c>
      <c r="G10" s="14" t="n">
        <f aca="false">Assumptions!F37</f>
        <v>0.1561</v>
      </c>
    </row>
    <row r="11" customFormat="false" ht="15" hidden="false" customHeight="false" outlineLevel="0" collapsed="false">
      <c r="A11" s="10" t="s">
        <v>86</v>
      </c>
      <c r="C11" s="26" t="n">
        <f aca="false">C9*(1-C10)</f>
        <v>114310.319608712</v>
      </c>
      <c r="D11" s="26" t="n">
        <f aca="false">D9*(1-D10)</f>
        <v>116172.434715138</v>
      </c>
      <c r="E11" s="26" t="n">
        <f aca="false">E9*(1-E10)</f>
        <v>117875.638780497</v>
      </c>
      <c r="F11" s="26" t="n">
        <f aca="false">F9*(1-F10)</f>
        <v>119430.996046641</v>
      </c>
      <c r="G11" s="26" t="n">
        <f aca="false">G9*(1-G10)</f>
        <v>120849.288091404</v>
      </c>
    </row>
    <row r="12" customFormat="false" ht="15" hidden="false" customHeight="false" outlineLevel="0" collapsed="false">
      <c r="A12" s="7" t="s">
        <v>89</v>
      </c>
      <c r="C12" s="14" t="n">
        <f aca="false">Assumptions!B38</f>
        <v>0.0281</v>
      </c>
      <c r="D12" s="14" t="n">
        <f aca="false">Assumptions!C38</f>
        <v>0.0281</v>
      </c>
      <c r="E12" s="14" t="n">
        <f aca="false">Assumptions!D38</f>
        <v>0.0281</v>
      </c>
      <c r="F12" s="14" t="n">
        <f aca="false">Assumptions!E38</f>
        <v>0.0281</v>
      </c>
      <c r="G12" s="14" t="n">
        <f aca="false">Assumptions!F38</f>
        <v>0.0281</v>
      </c>
    </row>
    <row r="13" customFormat="false" ht="15" hidden="false" customHeight="false" outlineLevel="0" collapsed="false">
      <c r="A13" s="7" t="s">
        <v>107</v>
      </c>
      <c r="C13" s="31" t="n">
        <f aca="false">C7*C12</f>
        <v>11905.78774621</v>
      </c>
      <c r="D13" s="31" t="n">
        <f aca="false">D7*D12</f>
        <v>12099.7330285958</v>
      </c>
      <c r="E13" s="31" t="n">
        <f aca="false">E7*E12</f>
        <v>12277.127214528</v>
      </c>
      <c r="F13" s="31" t="n">
        <f aca="false">F7*F12</f>
        <v>12439.122680411</v>
      </c>
      <c r="G13" s="31" t="n">
        <f aca="false">G7*G12</f>
        <v>12586.8423622812</v>
      </c>
    </row>
    <row r="14" customFormat="false" ht="15" hidden="false" customHeight="false" outlineLevel="0" collapsed="false">
      <c r="A14" s="7" t="s">
        <v>90</v>
      </c>
      <c r="C14" s="14" t="n">
        <f aca="false">Assumptions!B39</f>
        <v>0.0306</v>
      </c>
      <c r="D14" s="14" t="n">
        <f aca="false">Assumptions!C39</f>
        <v>0.0306</v>
      </c>
      <c r="E14" s="14" t="n">
        <f aca="false">Assumptions!D39</f>
        <v>0.0306</v>
      </c>
      <c r="F14" s="14" t="n">
        <f aca="false">Assumptions!E39</f>
        <v>0.0306</v>
      </c>
      <c r="G14" s="14" t="n">
        <f aca="false">Assumptions!F39</f>
        <v>0.0306</v>
      </c>
    </row>
    <row r="15" customFormat="false" ht="15" hidden="false" customHeight="false" outlineLevel="0" collapsed="false">
      <c r="A15" s="7" t="s">
        <v>108</v>
      </c>
      <c r="C15" s="31" t="n">
        <f aca="false">C7*C14</f>
        <v>12965.02153146</v>
      </c>
      <c r="D15" s="31" t="n">
        <f aca="false">D7*D14</f>
        <v>13176.2217322075</v>
      </c>
      <c r="E15" s="31" t="n">
        <f aca="false">E7*E14</f>
        <v>13369.3983190234</v>
      </c>
      <c r="F15" s="31" t="n">
        <f aca="false">F7*F14</f>
        <v>13545.8061929031</v>
      </c>
      <c r="G15" s="31" t="n">
        <f aca="false">G7*G14</f>
        <v>13706.6681952243</v>
      </c>
    </row>
    <row r="16" customFormat="false" ht="15" hidden="false" customHeight="false" outlineLevel="0" collapsed="false">
      <c r="A16" s="7" t="s">
        <v>109</v>
      </c>
      <c r="C16" s="14" t="n">
        <f aca="false">Assumptions!B40</f>
        <v>0.05</v>
      </c>
      <c r="D16" s="14" t="n">
        <f aca="false">Assumptions!C40</f>
        <v>0.05</v>
      </c>
      <c r="E16" s="14" t="n">
        <f aca="false">Assumptions!D40</f>
        <v>0.05</v>
      </c>
      <c r="F16" s="14" t="n">
        <f aca="false">Assumptions!E40</f>
        <v>0.05</v>
      </c>
      <c r="G16" s="14" t="n">
        <f aca="false">Assumptions!F40</f>
        <v>0.05</v>
      </c>
    </row>
    <row r="17" customFormat="false" ht="15" hidden="false" customHeight="false" outlineLevel="0" collapsed="false">
      <c r="A17" s="7" t="s">
        <v>110</v>
      </c>
      <c r="B17" s="31" t="n">
        <f aca="false">B7*Assumptions!B40</f>
        <v>20808.05</v>
      </c>
      <c r="C17" s="31" t="n">
        <f aca="false">C7*C16</f>
        <v>21184.675705</v>
      </c>
      <c r="D17" s="31" t="n">
        <f aca="false">D7*D16</f>
        <v>21529.7740722345</v>
      </c>
      <c r="E17" s="31" t="n">
        <f aca="false">E7*E16</f>
        <v>21845.4220899075</v>
      </c>
      <c r="F17" s="31" t="n">
        <f aca="false">F7*F16</f>
        <v>22133.6702498416</v>
      </c>
      <c r="G17" s="31" t="n">
        <f aca="false">G7*G16</f>
        <v>22396.5166588633</v>
      </c>
      <c r="H17" s="2" t="s">
        <v>111</v>
      </c>
    </row>
    <row r="18" customFormat="false" ht="15" hidden="false" customHeight="false" outlineLevel="0" collapsed="false">
      <c r="A18" s="7" t="s">
        <v>112</v>
      </c>
      <c r="C18" s="31" t="n">
        <f aca="false">C17-B17</f>
        <v>376.625704999999</v>
      </c>
      <c r="D18" s="31" t="n">
        <f aca="false">D17-C17</f>
        <v>345.098367234448</v>
      </c>
      <c r="E18" s="31" t="n">
        <f aca="false">E17-D17</f>
        <v>315.648017673033</v>
      </c>
      <c r="F18" s="31" t="n">
        <f aca="false">F17-E17</f>
        <v>288.248159934119</v>
      </c>
      <c r="G18" s="31" t="n">
        <f aca="false">G17-F17</f>
        <v>262.846409021673</v>
      </c>
    </row>
    <row r="19" customFormat="false" ht="15" hidden="false" customHeight="false" outlineLevel="0" collapsed="false">
      <c r="A19" s="10" t="s">
        <v>87</v>
      </c>
      <c r="C19" s="27" t="n">
        <f aca="false">C11+C13-C15-C18</f>
        <v>112874.460118462</v>
      </c>
      <c r="D19" s="27" t="n">
        <f aca="false">D11+D13-D15-D18</f>
        <v>114750.847644292</v>
      </c>
      <c r="E19" s="27" t="n">
        <f aca="false">E11+E13-E15-E18</f>
        <v>116467.719658328</v>
      </c>
      <c r="F19" s="27" t="n">
        <f aca="false">F11+F13-F15-F18</f>
        <v>118036.064374215</v>
      </c>
      <c r="G19" s="27" t="n">
        <f aca="false">G11+G13-G15-G18</f>
        <v>119466.615849439</v>
      </c>
    </row>
    <row r="21" customFormat="false" ht="15" hidden="false" customHeight="false" outlineLevel="0" collapsed="false">
      <c r="A21" s="7" t="s">
        <v>113</v>
      </c>
      <c r="C21" s="33" t="n">
        <v>1</v>
      </c>
      <c r="D21" s="33" t="n">
        <v>2</v>
      </c>
      <c r="E21" s="33" t="n">
        <v>3</v>
      </c>
      <c r="F21" s="33" t="n">
        <v>4</v>
      </c>
      <c r="G21" s="33" t="n">
        <v>5</v>
      </c>
    </row>
    <row r="22" customFormat="false" ht="15" hidden="false" customHeight="false" outlineLevel="0" collapsed="false">
      <c r="A22" s="7" t="s">
        <v>114</v>
      </c>
      <c r="C22" s="34" t="n">
        <f aca="false">IF(Assumptions!$B$26=1,C21-0.5,C21)</f>
        <v>0.5</v>
      </c>
      <c r="D22" s="34" t="n">
        <f aca="false">IF(Assumptions!$B$26=1,D21-0.5,D21)</f>
        <v>1.5</v>
      </c>
      <c r="E22" s="34" t="n">
        <f aca="false">IF(Assumptions!$B$26=1,E21-0.5,E21)</f>
        <v>2.5</v>
      </c>
      <c r="F22" s="34" t="n">
        <f aca="false">IF(Assumptions!$B$26=1,F21-0.5,F21)</f>
        <v>3.5</v>
      </c>
      <c r="G22" s="34" t="n">
        <f aca="false">IF(Assumptions!$B$26=1,G21-0.5,G21)</f>
        <v>4.5</v>
      </c>
    </row>
    <row r="23" customFormat="false" ht="15" hidden="false" customHeight="false" outlineLevel="0" collapsed="false">
      <c r="A23" s="7" t="s">
        <v>115</v>
      </c>
      <c r="C23" s="35" t="n">
        <f aca="false">1/(1+WACC!$B$22)^C22</f>
        <v>0.950880584537188</v>
      </c>
      <c r="D23" s="35" t="n">
        <f aca="false">1/(1+WACC!$B$22)^D22</f>
        <v>0.859761393290279</v>
      </c>
      <c r="E23" s="35" t="n">
        <f aca="false">1/(1+WACC!$B$22)^E22</f>
        <v>0.777373800046848</v>
      </c>
      <c r="F23" s="35" t="n">
        <f aca="false">1/(1+WACC!$B$22)^F22</f>
        <v>0.702881089701646</v>
      </c>
      <c r="G23" s="35" t="n">
        <f aca="false">1/(1+WACC!$B$22)^G22</f>
        <v>0.635526726306444</v>
      </c>
    </row>
    <row r="24" customFormat="false" ht="15" hidden="false" customHeight="false" outlineLevel="0" collapsed="false">
      <c r="A24" s="10" t="s">
        <v>116</v>
      </c>
      <c r="C24" s="26" t="n">
        <f aca="false">C19*C23</f>
        <v>107330.132616763</v>
      </c>
      <c r="D24" s="26" t="n">
        <f aca="false">D19*D23</f>
        <v>98658.3486518968</v>
      </c>
      <c r="E24" s="26" t="n">
        <f aca="false">E19*E23</f>
        <v>90538.9538135856</v>
      </c>
      <c r="F24" s="26" t="n">
        <f aca="false">F19*F23</f>
        <v>82965.317551442</v>
      </c>
      <c r="G24" s="26" t="n">
        <f aca="false">G19*G23</f>
        <v>75924.2272737034</v>
      </c>
    </row>
    <row r="26" customFormat="false" ht="15" hidden="false" customHeight="false" outlineLevel="0" collapsed="false">
      <c r="A26" s="10" t="s">
        <v>117</v>
      </c>
      <c r="B26" s="27" t="n">
        <f aca="false">SUM(C24:G24)</f>
        <v>455416.979907391</v>
      </c>
    </row>
    <row r="28" customFormat="false" ht="15" hidden="false" customHeight="false" outlineLevel="0" collapsed="false">
      <c r="A28" s="3" t="s">
        <v>118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5"/>
      <c r="B29" s="6" t="s">
        <v>3</v>
      </c>
      <c r="C29" s="6" t="s">
        <v>4</v>
      </c>
    </row>
    <row r="30" customFormat="false" ht="15" hidden="false" customHeight="false" outlineLevel="0" collapsed="false">
      <c r="A30" s="7" t="s">
        <v>5</v>
      </c>
      <c r="B30" s="8" t="n">
        <f aca="false">WACC!$B$22</f>
        <v>0.105981952618503</v>
      </c>
      <c r="C30" s="8" t="n">
        <f aca="false">WACC!$B$22</f>
        <v>0.105981952618503</v>
      </c>
    </row>
    <row r="31" customFormat="false" ht="15" hidden="false" customHeight="false" outlineLevel="0" collapsed="false">
      <c r="A31" s="7" t="s">
        <v>119</v>
      </c>
      <c r="B31" s="8" t="n">
        <f aca="false">Assumptions!B24</f>
        <v>0.025</v>
      </c>
      <c r="C31" s="36" t="n">
        <f aca="false">Assumptions!B25</f>
        <v>12</v>
      </c>
    </row>
    <row r="32" customFormat="false" ht="15" hidden="false" customHeight="false" outlineLevel="0" collapsed="false">
      <c r="A32" s="7" t="s">
        <v>120</v>
      </c>
      <c r="B32" s="31" t="n">
        <f aca="false">$G$19</f>
        <v>119466.615849439</v>
      </c>
      <c r="C32" s="31" t="n">
        <f aca="false">$G$19</f>
        <v>119466.615849439</v>
      </c>
    </row>
    <row r="33" customFormat="false" ht="15" hidden="false" customHeight="false" outlineLevel="0" collapsed="false">
      <c r="A33" s="7" t="s">
        <v>121</v>
      </c>
      <c r="B33" s="31" t="n">
        <f aca="false">$G$9+$G$13</f>
        <v>155790.169879053</v>
      </c>
      <c r="C33" s="31" t="n">
        <f aca="false">$G$9+$G$13</f>
        <v>155790.169879053</v>
      </c>
    </row>
    <row r="34" customFormat="false" ht="15" hidden="false" customHeight="false" outlineLevel="0" collapsed="false">
      <c r="A34" s="10" t="s">
        <v>122</v>
      </c>
      <c r="B34" s="27" t="n">
        <f aca="false">IF(B30&gt;B31,B32*(1+B31)/(B30-B31),NA())</f>
        <v>1512105.81229793</v>
      </c>
      <c r="C34" s="27" t="n">
        <f aca="false">C33*C31</f>
        <v>1869482.03854864</v>
      </c>
    </row>
    <row r="35" customFormat="false" ht="15" hidden="false" customHeight="false" outlineLevel="0" collapsed="false">
      <c r="A35" s="7" t="s">
        <v>123</v>
      </c>
      <c r="B35" s="31" t="n">
        <f aca="false">B34/(1+B30)^$G$21</f>
        <v>913780.701231315</v>
      </c>
      <c r="C35" s="31" t="n">
        <f aca="false">C34/(1+C30)^$G$21</f>
        <v>1129746.73745102</v>
      </c>
    </row>
    <row r="36" customFormat="false" ht="15" hidden="false" customHeight="false" outlineLevel="0" collapsed="false">
      <c r="A36" s="7" t="s">
        <v>124</v>
      </c>
      <c r="B36" s="31" t="n">
        <f aca="false">$B$26</f>
        <v>455416.979907391</v>
      </c>
      <c r="C36" s="31" t="n">
        <f aca="false">$B$26</f>
        <v>455416.979907391</v>
      </c>
    </row>
    <row r="37" customFormat="false" ht="15" hidden="false" customHeight="false" outlineLevel="0" collapsed="false">
      <c r="A37" s="10" t="s">
        <v>125</v>
      </c>
      <c r="B37" s="27" t="n">
        <f aca="false">B35+B36</f>
        <v>1369197.68113871</v>
      </c>
      <c r="C37" s="27" t="n">
        <f aca="false">C35+C36</f>
        <v>1585163.71735841</v>
      </c>
    </row>
    <row r="38" customFormat="false" ht="15" hidden="false" customHeight="false" outlineLevel="0" collapsed="false">
      <c r="A38" s="7" t="s">
        <v>126</v>
      </c>
      <c r="B38" s="9" t="n">
        <f aca="false">Assumptions!$B$10</f>
        <v>84343.996416</v>
      </c>
      <c r="C38" s="9" t="n">
        <f aca="false">Assumptions!$B$10</f>
        <v>84343.996416</v>
      </c>
    </row>
    <row r="39" customFormat="false" ht="15" hidden="false" customHeight="false" outlineLevel="0" collapsed="false">
      <c r="A39" s="7" t="s">
        <v>127</v>
      </c>
      <c r="B39" s="9" t="n">
        <f aca="false">Assumptions!$B$11</f>
        <v>62399.000576</v>
      </c>
      <c r="C39" s="9" t="n">
        <f aca="false">Assumptions!$B$11</f>
        <v>62399.000576</v>
      </c>
    </row>
    <row r="40" customFormat="false" ht="15" hidden="false" customHeight="false" outlineLevel="0" collapsed="false">
      <c r="A40" s="7" t="s">
        <v>128</v>
      </c>
      <c r="B40" s="31" t="n">
        <f aca="false">B38-B39</f>
        <v>21944.99584</v>
      </c>
      <c r="C40" s="31" t="n">
        <f aca="false">C38-C39</f>
        <v>21944.99584</v>
      </c>
    </row>
    <row r="41" customFormat="false" ht="15" hidden="false" customHeight="false" outlineLevel="0" collapsed="false">
      <c r="A41" s="10" t="s">
        <v>129</v>
      </c>
      <c r="B41" s="27" t="n">
        <f aca="false">B37-B40</f>
        <v>1347252.68529871</v>
      </c>
      <c r="C41" s="27" t="n">
        <f aca="false">C37-C40</f>
        <v>1563218.72151841</v>
      </c>
    </row>
    <row r="42" customFormat="false" ht="15" hidden="false" customHeight="false" outlineLevel="0" collapsed="false">
      <c r="A42" s="7" t="s">
        <v>29</v>
      </c>
      <c r="B42" s="37" t="n">
        <f aca="false">Assumptions!$B$8</f>
        <v>14594.18</v>
      </c>
      <c r="C42" s="37" t="n">
        <f aca="false">Assumptions!$B$8</f>
        <v>14594.18</v>
      </c>
    </row>
    <row r="43" customFormat="false" ht="15" hidden="false" customHeight="false" outlineLevel="0" collapsed="false">
      <c r="A43" s="10" t="s">
        <v>8</v>
      </c>
      <c r="B43" s="38" t="n">
        <f aca="false">B41/B42</f>
        <v>92.314380478979</v>
      </c>
      <c r="C43" s="38" t="n">
        <f aca="false">C41/C42</f>
        <v>107.112473706533</v>
      </c>
    </row>
    <row r="44" customFormat="false" ht="15" hidden="false" customHeight="false" outlineLevel="0" collapsed="false">
      <c r="A44" s="7" t="s">
        <v>9</v>
      </c>
      <c r="B44" s="12" t="n">
        <f aca="false">Assumptions!$B$7</f>
        <v>333.02</v>
      </c>
      <c r="C44" s="12" t="n">
        <f aca="false">Assumptions!$B$7</f>
        <v>333.02</v>
      </c>
    </row>
    <row r="45" customFormat="false" ht="15" hidden="false" customHeight="false" outlineLevel="0" collapsed="false">
      <c r="A45" s="10" t="s">
        <v>130</v>
      </c>
      <c r="B45" s="39" t="n">
        <f aca="false">B43/B44-1</f>
        <v>-0.722796287072912</v>
      </c>
      <c r="C45" s="39" t="n">
        <f aca="false">C43/C44-1</f>
        <v>-0.678360237503654</v>
      </c>
    </row>
    <row r="47" customFormat="false" ht="15" hidden="false" customHeight="false" outlineLevel="0" collapsed="false">
      <c r="A47" s="7" t="s">
        <v>11</v>
      </c>
      <c r="B47" s="28" t="n">
        <f aca="false">B35/B37</f>
        <v>0.667384055508596</v>
      </c>
      <c r="C47" s="28" t="n">
        <f aca="false">C35/C37</f>
        <v>0.71270035080899</v>
      </c>
    </row>
    <row r="48" customFormat="false" ht="15" hidden="false" customHeight="false" outlineLevel="0" collapsed="false">
      <c r="A48" s="7" t="s">
        <v>131</v>
      </c>
      <c r="B48" s="40" t="n">
        <f aca="false">B34/B33</f>
        <v>9.70604123143232</v>
      </c>
    </row>
    <row r="49" customFormat="false" ht="15" hidden="false" customHeight="false" outlineLevel="0" collapsed="false">
      <c r="A49" s="7" t="s">
        <v>132</v>
      </c>
      <c r="C49" s="41" t="n">
        <f aca="false">(C34*C30-C32)/(C34+C32)</f>
        <v>0.0395509159108848</v>
      </c>
    </row>
    <row r="51" customFormat="false" ht="15" hidden="false" customHeight="false" outlineLevel="0" collapsed="false">
      <c r="A51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  <col collapsed="false" customWidth="true" hidden="false" outlineLevel="0" max="7" min="7" style="0" width="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134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42" t="s">
        <v>135</v>
      </c>
      <c r="B5" s="43" t="n">
        <f aca="false">Assumptions!$B$24+(-2)*Assumptions!$B$30</f>
        <v>0.015</v>
      </c>
      <c r="C5" s="43" t="n">
        <f aca="false">Assumptions!$B$24+(-1)*Assumptions!$B$30</f>
        <v>0.02</v>
      </c>
      <c r="D5" s="43" t="n">
        <f aca="false">Assumptions!$B$24+(0)*Assumptions!$B$30</f>
        <v>0.025</v>
      </c>
      <c r="E5" s="43" t="n">
        <f aca="false">Assumptions!$B$24+(1)*Assumptions!$B$30</f>
        <v>0.03</v>
      </c>
      <c r="F5" s="43" t="n">
        <f aca="false">Assumptions!$B$24+(2)*Assumptions!$B$30</f>
        <v>0.035</v>
      </c>
    </row>
    <row r="6" customFormat="false" ht="15" hidden="false" customHeight="false" outlineLevel="0" collapsed="false">
      <c r="A6" s="43" t="n">
        <f aca="false">WACC!$B$22+(-2)*Assumptions!$B$29</f>
        <v>0.0859819526185034</v>
      </c>
      <c r="B6" s="16" t="n">
        <f aca="false">IF($A6&gt;B$5,(SUMPRODUCT(DCF!$C$19:$G$19,(1+$A6)^(-DCF!$C$22:$G$22))+DCF!$G$19*(1+B$5)/($A6-B$5)/(1+$A6)^DCF!$G$21-DCF!$B$40)/DCF!$B$42,"n/a")</f>
        <v>108.561186762743</v>
      </c>
      <c r="C6" s="16" t="n">
        <f aca="false">IF($A6&gt;C$5,(SUMPRODUCT(DCF!$C$19:$G$19,(1+$A6)^(-DCF!$C$22:$G$22))+DCF!$G$19*(1+C$5)/($A6-C$5)/(1+$A6)^DCF!$G$21-DCF!$B$40)/DCF!$B$42,"n/a")</f>
        <v>114.844277474872</v>
      </c>
      <c r="D6" s="16" t="n">
        <f aca="false">IF($A6&gt;D$5,(SUMPRODUCT(DCF!$C$19:$G$19,(1+$A6)^(-DCF!$C$22:$G$22))+DCF!$G$19*(1+D$5)/($A6-D$5)/(1+$A6)^DCF!$G$21-DCF!$B$40)/DCF!$B$42,"n/a")</f>
        <v>122.157687886903</v>
      </c>
      <c r="E6" s="16" t="n">
        <f aca="false">IF($A6&gt;E$5,(SUMPRODUCT(DCF!$C$19:$G$19,(1+$A6)^(-DCF!$C$22:$G$22))+DCF!$G$19*(1+E$5)/($A6-E$5)/(1+$A6)^DCF!$G$21-DCF!$B$40)/DCF!$B$42,"n/a")</f>
        <v>130.777485459429</v>
      </c>
      <c r="F6" s="16" t="n">
        <f aca="false">IF($A6&gt;F$5,(SUMPRODUCT(DCF!$C$19:$G$19,(1+$A6)^(-DCF!$C$22:$G$22))+DCF!$G$19*(1+F$5)/($A6-F$5)/(1+$A6)^DCF!$G$21-DCF!$B$40)/DCF!$B$42,"n/a")</f>
        <v>141.08803772647</v>
      </c>
    </row>
    <row r="7" customFormat="false" ht="15" hidden="false" customHeight="false" outlineLevel="0" collapsed="false">
      <c r="A7" s="43" t="n">
        <f aca="false">WACC!$B$22+(-1)*Assumptions!$B$29</f>
        <v>0.0959819526185034</v>
      </c>
      <c r="B7" s="16" t="n">
        <f aca="false">IF($A7&gt;B$5,(SUMPRODUCT(DCF!$C$19:$G$19,(1+$A7)^(-DCF!$C$22:$G$22))+DCF!$G$19*(1+B$5)/($A7-B$5)/(1+$A7)^DCF!$G$21-DCF!$B$40)/DCF!$B$42,"n/a")</f>
        <v>95.2535661911913</v>
      </c>
      <c r="C7" s="16" t="n">
        <f aca="false">IF($A7&gt;C$5,(SUMPRODUCT(DCF!$C$19:$G$19,(1+$A7)^(-DCF!$C$22:$G$22))+DCF!$G$19*(1+C$5)/($A7-C$5)/(1+$A7)^DCF!$G$21-DCF!$B$40)/DCF!$B$42,"n/a")</f>
        <v>99.8638171016732</v>
      </c>
      <c r="D7" s="16" t="n">
        <f aca="false">IF($A7&gt;D$5,(SUMPRODUCT(DCF!$C$19:$G$19,(1+$A7)^(-DCF!$C$22:$G$22))+DCF!$G$19*(1+D$5)/($A7-D$5)/(1+$A7)^DCF!$G$21-DCF!$B$40)/DCF!$B$42,"n/a")</f>
        <v>105.123564220756</v>
      </c>
      <c r="E7" s="16" t="n">
        <f aca="false">IF($A7&gt;E$5,(SUMPRODUCT(DCF!$C$19:$G$19,(1+$A7)^(-DCF!$C$22:$G$22))+DCF!$G$19*(1+E$5)/($A7-E$5)/(1+$A7)^DCF!$G$21-DCF!$B$40)/DCF!$B$42,"n/a")</f>
        <v>111.180460698164</v>
      </c>
      <c r="F7" s="16" t="n">
        <f aca="false">IF($A7&gt;F$5,(SUMPRODUCT(DCF!$C$19:$G$19,(1+$A7)^(-DCF!$C$22:$G$22))+DCF!$G$19*(1+F$5)/($A7-F$5)/(1+$A7)^DCF!$G$21-DCF!$B$40)/DCF!$B$42,"n/a")</f>
        <v>118.230584879396</v>
      </c>
    </row>
    <row r="8" customFormat="false" ht="15" hidden="false" customHeight="false" outlineLevel="0" collapsed="false">
      <c r="A8" s="43" t="n">
        <f aca="false">WACC!$B$22+(0)*Assumptions!$B$29</f>
        <v>0.105981952618503</v>
      </c>
      <c r="B8" s="16" t="n">
        <f aca="false">IF($A8&gt;B$5,(SUMPRODUCT(DCF!$C$19:$G$19,(1+$A8)^(-DCF!$C$22:$G$22))+DCF!$G$19*(1+B$5)/($A8-B$5)/(1+$A8)^DCF!$G$21-DCF!$B$40)/DCF!$B$42,"n/a")</f>
        <v>84.8887863990989</v>
      </c>
      <c r="C8" s="16" t="n">
        <f aca="false">IF($A8&gt;C$5,(SUMPRODUCT(DCF!$C$19:$G$19,(1+$A8)^(-DCF!$C$22:$G$22))+DCF!$G$19*(1+C$5)/($A8-C$5)/(1+$A8)^DCF!$G$21-DCF!$B$40)/DCF!$B$42,"n/a")</f>
        <v>88.385677837522</v>
      </c>
      <c r="D8" s="44" t="n">
        <f aca="false">IF($A8&gt;D$5,(SUMPRODUCT(DCF!$C$19:$G$19,(1+$A8)^(-DCF!$C$22:$G$22))+DCF!$G$19*(1+D$5)/($A8-D$5)/(1+$A8)^DCF!$G$21-DCF!$B$40)/DCF!$B$42,"n/a")</f>
        <v>92.314380478979</v>
      </c>
      <c r="E8" s="16" t="n">
        <f aca="false">IF($A8&gt;E$5,(SUMPRODUCT(DCF!$C$19:$G$19,(1+$A8)^(-DCF!$C$22:$G$22))+DCF!$G$19*(1+E$5)/($A8-E$5)/(1+$A8)^DCF!$G$21-DCF!$B$40)/DCF!$B$42,"n/a")</f>
        <v>96.7601404618263</v>
      </c>
      <c r="F8" s="16" t="n">
        <f aca="false">IF($A8&gt;F$5,(SUMPRODUCT(DCF!$C$19:$G$19,(1+$A8)^(-DCF!$C$22:$G$22))+DCF!$G$19*(1+F$5)/($A8-F$5)/(1+$A8)^DCF!$G$21-DCF!$B$40)/DCF!$B$42,"n/a")</f>
        <v>101.832223026519</v>
      </c>
    </row>
    <row r="9" customFormat="false" ht="15" hidden="false" customHeight="false" outlineLevel="0" collapsed="false">
      <c r="A9" s="43" t="n">
        <f aca="false">WACC!$B$22+(1)*Assumptions!$B$29</f>
        <v>0.115981952618503</v>
      </c>
      <c r="B9" s="16" t="n">
        <f aca="false">IF($A9&gt;B$5,(SUMPRODUCT(DCF!$C$19:$G$19,(1+$A9)^(-DCF!$C$22:$G$22))+DCF!$G$19*(1+B$5)/($A9-B$5)/(1+$A9)^DCF!$G$21-DCF!$B$40)/DCF!$B$42,"n/a")</f>
        <v>76.5910442130909</v>
      </c>
      <c r="C9" s="16" t="n">
        <f aca="false">IF($A9&gt;C$5,(SUMPRODUCT(DCF!$C$19:$G$19,(1+$A9)^(-DCF!$C$22:$G$22))+DCF!$G$19*(1+C$5)/($A9-C$5)/(1+$A9)^DCF!$G$21-DCF!$B$40)/DCF!$B$42,"n/a")</f>
        <v>79.3135877735158</v>
      </c>
      <c r="D9" s="16" t="n">
        <f aca="false">IF($A9&gt;D$5,(SUMPRODUCT(DCF!$C$19:$G$19,(1+$A9)^(-DCF!$C$22:$G$22))+DCF!$G$19*(1+D$5)/($A9-D$5)/(1+$A9)^DCF!$G$21-DCF!$B$40)/DCF!$B$42,"n/a")</f>
        <v>82.3353712911046</v>
      </c>
      <c r="E9" s="16" t="n">
        <f aca="false">IF($A9&gt;E$5,(SUMPRODUCT(DCF!$C$19:$G$19,(1+$A9)^(-DCF!$C$22:$G$22))+DCF!$G$19*(1+E$5)/($A9-E$5)/(1+$A9)^DCF!$G$21-DCF!$B$40)/DCF!$B$42,"n/a")</f>
        <v>85.7085987368158</v>
      </c>
      <c r="F9" s="16" t="n">
        <f aca="false">IF($A9&gt;F$5,(SUMPRODUCT(DCF!$C$19:$G$19,(1+$A9)^(-DCF!$C$22:$G$22))+DCF!$G$19*(1+F$5)/($A9-F$5)/(1+$A9)^DCF!$G$21-DCF!$B$40)/DCF!$B$42,"n/a")</f>
        <v>89.4983668235761</v>
      </c>
    </row>
    <row r="10" customFormat="false" ht="15" hidden="false" customHeight="false" outlineLevel="0" collapsed="false">
      <c r="A10" s="43" t="n">
        <f aca="false">WACC!$B$22+(2)*Assumptions!$B$29</f>
        <v>0.125981952618503</v>
      </c>
      <c r="B10" s="16" t="n">
        <f aca="false">IF($A10&gt;B$5,(SUMPRODUCT(DCF!$C$19:$G$19,(1+$A10)^(-DCF!$C$22:$G$22))+DCF!$G$19*(1+B$5)/($A10-B$5)/(1+$A10)^DCF!$G$21-DCF!$B$40)/DCF!$B$42,"n/a")</f>
        <v>69.800315904879</v>
      </c>
      <c r="C10" s="16" t="n">
        <f aca="false">IF($A10&gt;C$5,(SUMPRODUCT(DCF!$C$19:$G$19,(1+$A10)^(-DCF!$C$22:$G$22))+DCF!$G$19*(1+C$5)/($A10-C$5)/(1+$A10)^DCF!$G$21-DCF!$B$40)/DCF!$B$42,"n/a")</f>
        <v>71.9651612226182</v>
      </c>
      <c r="D10" s="16" t="n">
        <f aca="false">IF($A10&gt;D$5,(SUMPRODUCT(DCF!$C$19:$G$19,(1+$A10)^(-DCF!$C$22:$G$22))+DCF!$G$19*(1+D$5)/($A10-D$5)/(1+$A10)^DCF!$G$21-DCF!$B$40)/DCF!$B$42,"n/a")</f>
        <v>74.3443859677306</v>
      </c>
      <c r="E10" s="16" t="n">
        <f aca="false">IF($A10&gt;E$5,(SUMPRODUCT(DCF!$C$19:$G$19,(1+$A10)^(-DCF!$C$22:$G$22))+DCF!$G$19*(1+E$5)/($A10-E$5)/(1+$A10)^DCF!$G$21-DCF!$B$40)/DCF!$B$42,"n/a")</f>
        <v>76.9714932241074</v>
      </c>
      <c r="F10" s="16" t="n">
        <f aca="false">IF($A10&gt;F$5,(SUMPRODUCT(DCF!$C$19:$G$19,(1+$A10)^(-DCF!$C$22:$G$22))+DCF!$G$19*(1+F$5)/($A10-F$5)/(1+$A10)^DCF!$G$21-DCF!$B$40)/DCF!$B$42,"n/a")</f>
        <v>79.8873508513839</v>
      </c>
    </row>
    <row r="13" customFormat="false" ht="15" hidden="false" customHeight="false" outlineLevel="0" collapsed="false">
      <c r="A13" s="3" t="s">
        <v>136</v>
      </c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42" t="s">
        <v>137</v>
      </c>
      <c r="B14" s="45" t="n">
        <f aca="false">Assumptions!$B$25+(-2)*Assumptions!$B$31</f>
        <v>8</v>
      </c>
      <c r="C14" s="45" t="n">
        <f aca="false">Assumptions!$B$25+(-1)*Assumptions!$B$31</f>
        <v>10</v>
      </c>
      <c r="D14" s="45" t="n">
        <f aca="false">Assumptions!$B$25+(0)*Assumptions!$B$31</f>
        <v>12</v>
      </c>
      <c r="E14" s="45" t="n">
        <f aca="false">Assumptions!$B$25+(1)*Assumptions!$B$31</f>
        <v>14</v>
      </c>
      <c r="F14" s="45" t="n">
        <f aca="false">Assumptions!$B$25+(2)*Assumptions!$B$31</f>
        <v>16</v>
      </c>
    </row>
    <row r="15" customFormat="false" ht="15" hidden="false" customHeight="false" outlineLevel="0" collapsed="false">
      <c r="A15" s="43" t="n">
        <f aca="false">WACC!$B$22+(-2)*Assumptions!$B$29</f>
        <v>0.0859819526185034</v>
      </c>
      <c r="B15" s="16" t="n">
        <f aca="false">(SUMPRODUCT(DCF!$C$19:$G$19,(1+$A15)^(-DCF!$C$22:$G$22))+DCF!$C$33*B$14/(1+$A15)^DCF!$G$21-DCF!$B$40)/DCF!$B$42</f>
        <v>87.6040916414361</v>
      </c>
      <c r="C15" s="16" t="n">
        <f aca="false">(SUMPRODUCT(DCF!$C$19:$G$19,(1+$A15)^(-DCF!$C$22:$G$22))+DCF!$C$33*C$14/(1+$A15)^DCF!$G$21-DCF!$B$40)/DCF!$B$42</f>
        <v>101.738489382806</v>
      </c>
      <c r="D15" s="16" t="n">
        <f aca="false">(SUMPRODUCT(DCF!$C$19:$G$19,(1+$A15)^(-DCF!$C$22:$G$22))+DCF!$C$33*D$14/(1+$A15)^DCF!$G$21-DCF!$B$40)/DCF!$B$42</f>
        <v>115.872887124177</v>
      </c>
      <c r="E15" s="16" t="n">
        <f aca="false">(SUMPRODUCT(DCF!$C$19:$G$19,(1+$A15)^(-DCF!$C$22:$G$22))+DCF!$C$33*E$14/(1+$A15)^DCF!$G$21-DCF!$B$40)/DCF!$B$42</f>
        <v>130.007284865547</v>
      </c>
      <c r="F15" s="16" t="n">
        <f aca="false">(SUMPRODUCT(DCF!$C$19:$G$19,(1+$A15)^(-DCF!$C$22:$G$22))+DCF!$C$33*F$14/(1+$A15)^DCF!$G$21-DCF!$B$40)/DCF!$B$42</f>
        <v>144.141682606917</v>
      </c>
    </row>
    <row r="16" customFormat="false" ht="15" hidden="false" customHeight="false" outlineLevel="0" collapsed="false">
      <c r="A16" s="43" t="n">
        <f aca="false">WACC!$B$22+(-1)*Assumptions!$B$29</f>
        <v>0.0959819526185034</v>
      </c>
      <c r="B16" s="16" t="n">
        <f aca="false">(SUMPRODUCT(DCF!$C$19:$G$19,(1+$A16)^(-DCF!$C$22:$G$22))+DCF!$C$33*B$14/(1+$A16)^DCF!$G$21-DCF!$B$40)/DCF!$B$42</f>
        <v>84.3759752574873</v>
      </c>
      <c r="C16" s="16" t="n">
        <f aca="false">(SUMPRODUCT(DCF!$C$19:$G$19,(1+$A16)^(-DCF!$C$22:$G$22))+DCF!$C$33*C$14/(1+$A16)^DCF!$G$21-DCF!$B$40)/DCF!$B$42</f>
        <v>97.8772052170524</v>
      </c>
      <c r="D16" s="16" t="n">
        <f aca="false">(SUMPRODUCT(DCF!$C$19:$G$19,(1+$A16)^(-DCF!$C$22:$G$22))+DCF!$C$33*D$14/(1+$A16)^DCF!$G$21-DCF!$B$40)/DCF!$B$42</f>
        <v>111.378435176618</v>
      </c>
      <c r="E16" s="16" t="n">
        <f aca="false">(SUMPRODUCT(DCF!$C$19:$G$19,(1+$A16)^(-DCF!$C$22:$G$22))+DCF!$C$33*E$14/(1+$A16)^DCF!$G$21-DCF!$B$40)/DCF!$B$42</f>
        <v>124.879665136183</v>
      </c>
      <c r="F16" s="16" t="n">
        <f aca="false">(SUMPRODUCT(DCF!$C$19:$G$19,(1+$A16)^(-DCF!$C$22:$G$22))+DCF!$C$33*F$14/(1+$A16)^DCF!$G$21-DCF!$B$40)/DCF!$B$42</f>
        <v>138.380895095748</v>
      </c>
    </row>
    <row r="17" customFormat="false" ht="15" hidden="false" customHeight="false" outlineLevel="0" collapsed="false">
      <c r="A17" s="43" t="n">
        <f aca="false">WACC!$B$22+(0)*Assumptions!$B$29</f>
        <v>0.105981952618503</v>
      </c>
      <c r="B17" s="16" t="n">
        <f aca="false">(SUMPRODUCT(DCF!$C$19:$G$19,(1+$A17)^(-DCF!$C$22:$G$22))+DCF!$C$33*B$14/(1+$A17)^DCF!$G$21-DCF!$B$40)/DCF!$B$42</f>
        <v>81.3088831096647</v>
      </c>
      <c r="C17" s="16" t="n">
        <f aca="false">(SUMPRODUCT(DCF!$C$19:$G$19,(1+$A17)^(-DCF!$C$22:$G$22))+DCF!$C$33*C$14/(1+$A17)^DCF!$G$21-DCF!$B$40)/DCF!$B$42</f>
        <v>94.210678408099</v>
      </c>
      <c r="D17" s="44" t="n">
        <f aca="false">(SUMPRODUCT(DCF!$C$19:$G$19,(1+$A17)^(-DCF!$C$22:$G$22))+DCF!$C$33*D$14/(1+$A17)^DCF!$G$21-DCF!$B$40)/DCF!$B$42</f>
        <v>107.112473706533</v>
      </c>
      <c r="E17" s="16" t="n">
        <f aca="false">(SUMPRODUCT(DCF!$C$19:$G$19,(1+$A17)^(-DCF!$C$22:$G$22))+DCF!$C$33*E$14/(1+$A17)^DCF!$G$21-DCF!$B$40)/DCF!$B$42</f>
        <v>120.014269004968</v>
      </c>
      <c r="F17" s="16" t="n">
        <f aca="false">(SUMPRODUCT(DCF!$C$19:$G$19,(1+$A17)^(-DCF!$C$22:$G$22))+DCF!$C$33*F$14/(1+$A17)^DCF!$G$21-DCF!$B$40)/DCF!$B$42</f>
        <v>132.916064303402</v>
      </c>
    </row>
    <row r="18" customFormat="false" ht="15" hidden="false" customHeight="false" outlineLevel="0" collapsed="false">
      <c r="A18" s="43" t="n">
        <f aca="false">WACC!$B$22+(1)*Assumptions!$B$29</f>
        <v>0.115981952618503</v>
      </c>
      <c r="B18" s="16" t="n">
        <f aca="false">(SUMPRODUCT(DCF!$C$19:$G$19,(1+$A18)^(-DCF!$C$22:$G$22))+DCF!$C$33*B$14/(1+$A18)^DCF!$G$21-DCF!$B$40)/DCF!$B$42</f>
        <v>78.3932242988672</v>
      </c>
      <c r="C18" s="16" t="n">
        <f aca="false">(SUMPRODUCT(DCF!$C$19:$G$19,(1+$A18)^(-DCF!$C$22:$G$22))+DCF!$C$33*C$14/(1+$A18)^DCF!$G$21-DCF!$B$40)/DCF!$B$42</f>
        <v>90.7272398415617</v>
      </c>
      <c r="D18" s="16" t="n">
        <f aca="false">(SUMPRODUCT(DCF!$C$19:$G$19,(1+$A18)^(-DCF!$C$22:$G$22))+DCF!$C$33*D$14/(1+$A18)^DCF!$G$21-DCF!$B$40)/DCF!$B$42</f>
        <v>103.061255384256</v>
      </c>
      <c r="E18" s="16" t="n">
        <f aca="false">(SUMPRODUCT(DCF!$C$19:$G$19,(1+$A18)^(-DCF!$C$22:$G$22))+DCF!$C$33*E$14/(1+$A18)^DCF!$G$21-DCF!$B$40)/DCF!$B$42</f>
        <v>115.395270926951</v>
      </c>
      <c r="F18" s="16" t="n">
        <f aca="false">(SUMPRODUCT(DCF!$C$19:$G$19,(1+$A18)^(-DCF!$C$22:$G$22))+DCF!$C$33*F$14/(1+$A18)^DCF!$G$21-DCF!$B$40)/DCF!$B$42</f>
        <v>127.729286469645</v>
      </c>
    </row>
    <row r="19" customFormat="false" ht="15" hidden="false" customHeight="false" outlineLevel="0" collapsed="false">
      <c r="A19" s="43" t="n">
        <f aca="false">WACC!$B$22+(2)*Assumptions!$B$29</f>
        <v>0.125981952618503</v>
      </c>
      <c r="B19" s="16" t="n">
        <f aca="false">(SUMPRODUCT(DCF!$C$19:$G$19,(1+$A19)^(-DCF!$C$22:$G$22))+DCF!$C$33*B$14/(1+$A19)^DCF!$G$21-DCF!$B$40)/DCF!$B$42</f>
        <v>75.6200634909151</v>
      </c>
      <c r="C19" s="16" t="n">
        <f aca="false">(SUMPRODUCT(DCF!$C$19:$G$19,(1+$A19)^(-DCF!$C$22:$G$22))+DCF!$C$33*C$14/(1+$A19)^DCF!$G$21-DCF!$B$40)/DCF!$B$42</f>
        <v>87.4160210120368</v>
      </c>
      <c r="D19" s="16" t="n">
        <f aca="false">(SUMPRODUCT(DCF!$C$19:$G$19,(1+$A19)^(-DCF!$C$22:$G$22))+DCF!$C$33*D$14/(1+$A19)^DCF!$G$21-DCF!$B$40)/DCF!$B$42</f>
        <v>99.2119785331584</v>
      </c>
      <c r="E19" s="16" t="n">
        <f aca="false">(SUMPRODUCT(DCF!$C$19:$G$19,(1+$A19)^(-DCF!$C$22:$G$22))+DCF!$C$33*E$14/(1+$A19)^DCF!$G$21-DCF!$B$40)/DCF!$B$42</f>
        <v>111.00793605428</v>
      </c>
      <c r="F19" s="16" t="n">
        <f aca="false">(SUMPRODUCT(DCF!$C$19:$G$19,(1+$A19)^(-DCF!$C$22:$G$22))+DCF!$C$33*F$14/(1+$A19)^DCF!$G$21-DCF!$B$40)/DCF!$B$42</f>
        <v>122.803893575402</v>
      </c>
    </row>
    <row r="22" customFormat="false" ht="15" hidden="false" customHeight="false" outlineLevel="0" collapsed="false">
      <c r="A22" s="2" t="s">
        <v>138</v>
      </c>
    </row>
  </sheetData>
  <conditionalFormatting sqref="B6:F10">
    <cfRule type="expression" priority="2" aboveAverage="0" equalAverage="0" bottom="0" percent="0" rank="0" text="" dxfId="0">
      <formula>AND(ISNUMBER(B6),B6&gt;=Assumptions!$B$7)</formula>
    </cfRule>
    <cfRule type="expression" priority="3" aboveAverage="0" equalAverage="0" bottom="0" percent="0" rank="0" text="" dxfId="1">
      <formula>AND(ISNUMBER(B6),B6&lt;Assumptions!$B$7)</formula>
    </cfRule>
  </conditionalFormatting>
  <conditionalFormatting sqref="B15:F19">
    <cfRule type="expression" priority="4" aboveAverage="0" equalAverage="0" bottom="0" percent="0" rank="0" text="" dxfId="0">
      <formula>AND(ISNUMBER(B15),B15&gt;=Assumptions!$B$7)</formula>
    </cfRule>
    <cfRule type="expression" priority="5" aboveAverage="0" equalAverage="0" bottom="0" percent="0" rank="0" text="" dxfId="1">
      <formula>AND(ISNUMBER(B15),B15&lt;Assumptions!$B$7)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2026-09-30T23:36:24Z</dcterms:created>
  <dc:creator>openpyxl</dc:creator>
  <dc:description/>
  <dc:language>en-US</dc:language>
  <cp:lastModifiedBy/>
  <dcterms:modified xsi:type="dcterms:W3CDTF">2026-09-30T23:36:24Z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