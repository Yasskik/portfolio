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" sheetId="5" state="visible" r:id="rId5"/>
    <sheet xmlns:r="http://schemas.openxmlformats.org/officeDocument/2006/relationships" name="DuPont" sheetId="6" state="visible" r:id="rId6"/>
    <sheet xmlns:r="http://schemas.openxmlformats.org/officeDocument/2006/relationships" name="Altman Z" sheetId="7" state="visible" r:id="rId7"/>
    <sheet xmlns:r="http://schemas.openxmlformats.org/officeDocument/2006/relationships" name="Piotroski" sheetId="8" state="visible" r:id="rId8"/>
    <sheet xmlns:r="http://schemas.openxmlformats.org/officeDocument/2006/relationships" name="Common-Size" sheetId="9" state="visible" r:id="rId9"/>
    <sheet xmlns:r="http://schemas.openxmlformats.org/officeDocument/2006/relationships"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;[Red]-#,##0"/>
    <numFmt numFmtId="165" formatCode="0.00;[Red]-0.00"/>
    <numFmt numFmtId="166" formatCode="0.00&quot;x&quot;;[Red]-0.00&quot;x&quot;"/>
    <numFmt numFmtId="167" formatCode="0.0%;[Red]-0.0%"/>
    <numFmt numFmtId="168" formatCode="0.0;[Red]-0.0"/>
    <numFmt numFmtId="169" formatCode="0.000;[Red]-0.000"/>
    <numFmt numFmtId="170" formatCode="0.00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DCE3F0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0000CC"/>
      <sz val="10"/>
    </font>
    <font>
      <name val="Calibri"/>
      <sz val="10"/>
    </font>
    <font>
      <name val="Calibri"/>
      <color rgb="000000CC"/>
      <sz val="10"/>
    </font>
    <font>
      <name val="Calibri"/>
      <b val="1"/>
      <color rgb="001F3864"/>
      <sz val="11"/>
    </font>
    <font>
      <name val="Calibri"/>
      <i val="1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8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right"/>
    </xf>
    <xf numFmtId="0" fontId="6" fillId="0" borderId="1" pivotButton="0" quotePrefix="0" xfId="0"/>
    <xf numFmtId="164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8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49" fontId="6" fillId="0" borderId="1" applyAlignment="1" pivotButton="0" quotePrefix="0" xfId="0">
      <alignment horizontal="right"/>
    </xf>
    <xf numFmtId="1" fontId="6" fillId="0" borderId="1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164" fontId="5" fillId="0" borderId="1" applyAlignment="1" pivotButton="0" quotePrefix="0" xfId="0">
      <alignment horizontal="right"/>
    </xf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8" fillId="4" borderId="0" pivotButton="0" quotePrefix="0" xfId="0"/>
    <xf numFmtId="0" fontId="0" fillId="4" borderId="0" pivotButton="0" quotePrefix="0" xfId="0"/>
    <xf numFmtId="0" fontId="0" fillId="0" borderId="1" pivotButton="0" quotePrefix="0" xfId="0"/>
    <xf numFmtId="4" fontId="7" fillId="0" borderId="1" pivotButton="0" quotePrefix="0" xfId="0"/>
    <xf numFmtId="164" fontId="6" fillId="0" borderId="1" pivotButton="0" quotePrefix="0" xfId="0"/>
    <xf numFmtId="164" fontId="4" fillId="0" borderId="1" applyAlignment="1" pivotButton="0" quotePrefix="0" xfId="0">
      <alignment horizontal="right"/>
    </xf>
    <xf numFmtId="168" fontId="4" fillId="0" borderId="1" applyAlignment="1" pivotButton="0" quotePrefix="0" xfId="0">
      <alignment horizontal="right"/>
    </xf>
    <xf numFmtId="169" fontId="6" fillId="0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70" fontId="6" fillId="0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" fontId="4" fillId="0" borderId="1" applyAlignment="1" pivotButton="0" quotePrefix="0" xfId="0">
      <alignment horizontal="right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42"/>
  <sheetViews>
    <sheetView showGridLines="0" workbookViewId="0"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Apple Inc. (AAPL) - Financial Statement Analysis</t>
        </is>
      </c>
    </row>
    <row r="2" ht="18" customHeight="1">
      <c r="A2" s="2" t="inlineStr">
        <is>
          <t>Sector: Technology | Industry: Consumer Electronics | Currency: USD | Latest fiscal year: FY2025</t>
        </is>
      </c>
    </row>
    <row r="4">
      <c r="A4" s="3" t="inlineStr">
        <is>
          <t>Key metrics (live links to the analysis sheets)</t>
        </is>
      </c>
    </row>
    <row r="5">
      <c r="A5" s="4" t="inlineStr">
        <is>
          <t>Metric</t>
        </is>
      </c>
      <c r="B5" s="5" t="inlineStr">
        <is>
          <t>FY2022</t>
        </is>
      </c>
      <c r="C5" s="5" t="inlineStr">
        <is>
          <t>FY2023</t>
        </is>
      </c>
      <c r="D5" s="5" t="inlineStr">
        <is>
          <t>FY2024</t>
        </is>
      </c>
      <c r="E5" s="5" t="inlineStr">
        <is>
          <t>FY2025</t>
        </is>
      </c>
    </row>
    <row r="6">
      <c r="A6" s="6" t="inlineStr">
        <is>
          <t>Revenue (millions)</t>
        </is>
      </c>
      <c r="B6" s="7">
        <f>'Income Statement'!B4</f>
        <v/>
      </c>
      <c r="C6" s="7">
        <f>'Income Statement'!C4</f>
        <v/>
      </c>
      <c r="D6" s="7">
        <f>'Income Statement'!D4</f>
        <v/>
      </c>
      <c r="E6" s="7">
        <f>'Income Statement'!E4</f>
        <v/>
      </c>
    </row>
    <row r="7">
      <c r="A7" s="6" t="inlineStr">
        <is>
          <t>Net Income (millions)</t>
        </is>
      </c>
      <c r="B7" s="7">
        <f>'Income Statement'!B12</f>
        <v/>
      </c>
      <c r="C7" s="7">
        <f>'Income Statement'!C12</f>
        <v/>
      </c>
      <c r="D7" s="7">
        <f>'Income Statement'!D12</f>
        <v/>
      </c>
      <c r="E7" s="7">
        <f>'Income Statement'!E12</f>
        <v/>
      </c>
    </row>
    <row r="8">
      <c r="A8" s="6" t="inlineStr">
        <is>
          <t>Gross Margin</t>
        </is>
      </c>
      <c r="B8" s="8">
        <f>'Ratios'!B9</f>
        <v/>
      </c>
      <c r="C8" s="8">
        <f>'Ratios'!C9</f>
        <v/>
      </c>
      <c r="D8" s="8">
        <f>'Ratios'!D9</f>
        <v/>
      </c>
      <c r="E8" s="8">
        <f>'Ratios'!E9</f>
        <v/>
      </c>
    </row>
    <row r="9">
      <c r="A9" s="6" t="inlineStr">
        <is>
          <t>Operating Margin</t>
        </is>
      </c>
      <c r="B9" s="8">
        <f>'Ratios'!B10</f>
        <v/>
      </c>
      <c r="C9" s="8">
        <f>'Ratios'!C10</f>
        <v/>
      </c>
      <c r="D9" s="8">
        <f>'Ratios'!D10</f>
        <v/>
      </c>
      <c r="E9" s="8">
        <f>'Ratios'!E10</f>
        <v/>
      </c>
    </row>
    <row r="10">
      <c r="A10" s="6" t="inlineStr">
        <is>
          <t>Net Profit Margin</t>
        </is>
      </c>
      <c r="B10" s="8">
        <f>'Ratios'!B11</f>
        <v/>
      </c>
      <c r="C10" s="8">
        <f>'Ratios'!C11</f>
        <v/>
      </c>
      <c r="D10" s="8">
        <f>'Ratios'!D11</f>
        <v/>
      </c>
      <c r="E10" s="8">
        <f>'Ratios'!E11</f>
        <v/>
      </c>
    </row>
    <row r="11">
      <c r="A11" s="6" t="inlineStr">
        <is>
          <t>Return on Equity (ROE)</t>
        </is>
      </c>
      <c r="B11" s="8">
        <f>'Ratios'!B15</f>
        <v/>
      </c>
      <c r="C11" s="8">
        <f>'Ratios'!C15</f>
        <v/>
      </c>
      <c r="D11" s="8">
        <f>'Ratios'!D15</f>
        <v/>
      </c>
      <c r="E11" s="8">
        <f>'Ratios'!E15</f>
        <v/>
      </c>
    </row>
    <row r="12">
      <c r="A12" s="6" t="inlineStr">
        <is>
          <t>Return on Invested Capital (ROIC)</t>
        </is>
      </c>
      <c r="B12" s="8">
        <f>'Ratios'!B17</f>
        <v/>
      </c>
      <c r="C12" s="8">
        <f>'Ratios'!C17</f>
        <v/>
      </c>
      <c r="D12" s="8">
        <f>'Ratios'!D17</f>
        <v/>
      </c>
      <c r="E12" s="8">
        <f>'Ratios'!E17</f>
        <v/>
      </c>
    </row>
    <row r="13">
      <c r="A13" s="6" t="inlineStr">
        <is>
          <t>Current Ratio</t>
        </is>
      </c>
      <c r="B13" s="9">
        <f>'Ratios'!B5</f>
        <v/>
      </c>
      <c r="C13" s="9">
        <f>'Ratios'!C5</f>
        <v/>
      </c>
      <c r="D13" s="9">
        <f>'Ratios'!D5</f>
        <v/>
      </c>
      <c r="E13" s="9">
        <f>'Ratios'!E5</f>
        <v/>
      </c>
    </row>
    <row r="14">
      <c r="A14" s="6" t="inlineStr">
        <is>
          <t>Debt-to-Equity</t>
        </is>
      </c>
      <c r="B14" s="9">
        <f>'Ratios'!B19</f>
        <v/>
      </c>
      <c r="C14" s="9">
        <f>'Ratios'!C19</f>
        <v/>
      </c>
      <c r="D14" s="9">
        <f>'Ratios'!D19</f>
        <v/>
      </c>
      <c r="E14" s="9">
        <f>'Ratios'!E19</f>
        <v/>
      </c>
    </row>
    <row r="15">
      <c r="A15" s="6" t="inlineStr">
        <is>
          <t>Interest Coverage</t>
        </is>
      </c>
      <c r="B15" s="9">
        <f>'Ratios'!B22</f>
        <v/>
      </c>
      <c r="C15" s="9">
        <f>'Ratios'!C22</f>
        <v/>
      </c>
      <c r="D15" s="9">
        <f>'Ratios'!D22</f>
        <v/>
      </c>
      <c r="E15" s="9">
        <f>'Ratios'!E22</f>
        <v/>
      </c>
    </row>
    <row r="16">
      <c r="A16" s="6" t="inlineStr">
        <is>
          <t>Cash Conversion Cycle (CCC)</t>
        </is>
      </c>
      <c r="B16" s="10">
        <f>'Ratios'!B31</f>
        <v/>
      </c>
      <c r="C16" s="10">
        <f>'Ratios'!C31</f>
        <v/>
      </c>
      <c r="D16" s="10">
        <f>'Ratios'!D31</f>
        <v/>
      </c>
      <c r="E16" s="10">
        <f>'Ratios'!E31</f>
        <v/>
      </c>
    </row>
    <row r="17">
      <c r="A17" s="6" t="inlineStr">
        <is>
          <t>Free Cash Flow</t>
        </is>
      </c>
      <c r="B17" s="7">
        <f>'Ratios'!B34</f>
        <v/>
      </c>
      <c r="C17" s="7">
        <f>'Ratios'!C34</f>
        <v/>
      </c>
      <c r="D17" s="7">
        <f>'Ratios'!D34</f>
        <v/>
      </c>
      <c r="E17" s="7">
        <f>'Ratios'!E34</f>
        <v/>
      </c>
    </row>
    <row r="18">
      <c r="A18" s="6" t="inlineStr">
        <is>
          <t>FCF Margin</t>
        </is>
      </c>
      <c r="B18" s="8">
        <f>'Ratios'!B35</f>
        <v/>
      </c>
      <c r="C18" s="8">
        <f>'Ratios'!C35</f>
        <v/>
      </c>
      <c r="D18" s="8">
        <f>'Ratios'!D35</f>
        <v/>
      </c>
      <c r="E18" s="8">
        <f>'Ratios'!E35</f>
        <v/>
      </c>
    </row>
    <row r="19">
      <c r="A19" s="6" t="inlineStr">
        <is>
          <t>Altman Z-Score</t>
        </is>
      </c>
      <c r="B19" s="11">
        <f>'Altman Z'!B11</f>
        <v/>
      </c>
      <c r="C19" s="11">
        <f>'Altman Z'!C11</f>
        <v/>
      </c>
      <c r="D19" s="11">
        <f>'Altman Z'!D11</f>
        <v/>
      </c>
      <c r="E19" s="11">
        <f>'Altman Z'!E11</f>
        <v/>
      </c>
    </row>
    <row r="20">
      <c r="A20" s="6" t="inlineStr">
        <is>
          <t>Zone (Original)</t>
        </is>
      </c>
      <c r="B20" s="12">
        <f>'Altman Z'!B12</f>
        <v/>
      </c>
      <c r="C20" s="12">
        <f>'Altman Z'!C12</f>
        <v/>
      </c>
      <c r="D20" s="12">
        <f>'Altman Z'!D12</f>
        <v/>
      </c>
      <c r="E20" s="12">
        <f>'Altman Z'!E12</f>
        <v/>
      </c>
    </row>
    <row r="21">
      <c r="A21" s="6" t="inlineStr">
        <is>
          <t>Altman Z''-Score (Non-Mfg)</t>
        </is>
      </c>
      <c r="B21" s="11">
        <f>'Altman Z'!B13</f>
        <v/>
      </c>
      <c r="C21" s="11">
        <f>'Altman Z'!C13</f>
        <v/>
      </c>
      <c r="D21" s="11">
        <f>'Altman Z'!D13</f>
        <v/>
      </c>
      <c r="E21" s="11">
        <f>'Altman Z'!E13</f>
        <v/>
      </c>
    </row>
    <row r="22">
      <c r="A22" s="6" t="inlineStr">
        <is>
          <t>Total Piotroski F-Score</t>
        </is>
      </c>
      <c r="B22" s="13">
        <f>'Piotroski'!B22</f>
        <v/>
      </c>
      <c r="C22" s="13">
        <f>'Piotroski'!C22</f>
        <v/>
      </c>
      <c r="D22" s="13">
        <f>'Piotroski'!D22</f>
        <v/>
      </c>
      <c r="E22" s="13">
        <f>'Piotroski'!E22</f>
        <v/>
      </c>
    </row>
    <row r="24">
      <c r="A24" s="3" t="inlineStr">
        <is>
          <t>Rule-based assessment for FY2025: Very Strong</t>
        </is>
      </c>
    </row>
    <row r="25">
      <c r="A25" s="14" t="inlineStr">
        <is>
          <t>Apple Inc. shows strong fundamentals in FY2025: no red flags and 6 clear strengths.</t>
        </is>
      </c>
    </row>
    <row r="27">
      <c r="A27" s="15" t="inlineStr">
        <is>
          <t>Strengths (6)</t>
        </is>
      </c>
    </row>
    <row r="28">
      <c r="A28" s="14" t="inlineStr">
        <is>
          <t xml:space="preserve"> + High free-cash-flow margin (23.7%): Free cash flow was 23.7% of revenue, leaving cash for dividends, buybacks or debt repayment.</t>
        </is>
      </c>
    </row>
    <row r="29">
      <c r="A29" s="14" t="inlineStr">
        <is>
          <t xml:space="preserve"> + Altman Z in the safe zone (10.17): Altman Z of 10.17 is above the 2.99 safe threshold: low statistical bankruptcy risk.</t>
        </is>
      </c>
    </row>
    <row r="30">
      <c r="A30" s="14" t="inlineStr">
        <is>
          <t xml:space="preserve"> + High return on equity (151.9%): Net income was 151.9% of year-end shareholders' equity.</t>
        </is>
      </c>
    </row>
    <row r="31">
      <c r="A31" s="14" t="inlineStr">
        <is>
          <t xml:space="preserve"> + High ROIC (65.1%): After-tax operating profit was 65.1% of debt + equity, well above a typical 8-10% cost of capital.</t>
        </is>
      </c>
    </row>
    <row r="32">
      <c r="A32" s="14" t="inlineStr">
        <is>
          <t xml:space="preserve"> + Wide operating margin (32.0%): The company keeps 32.0 cents of operating profit from each unit of revenue.</t>
        </is>
      </c>
    </row>
    <row r="33">
      <c r="A33" s="14" t="inlineStr">
        <is>
          <t xml:space="preserve"> + Piotroski F-score 8/9: Profitability, balance sheet and efficiency nearly all improved versus last year.</t>
        </is>
      </c>
    </row>
    <row r="35">
      <c r="A35" s="15" t="inlineStr">
        <is>
          <t>To monitor (1)</t>
        </is>
      </c>
    </row>
    <row r="36">
      <c r="A36" s="14" t="inlineStr">
        <is>
          <t xml:space="preserve"> - Current ratio below 1 (0.89x): Current liabilities are larger than current assets (0.89x). Fine for firms with strong cash flow and bargaining power, risky otherwise.</t>
        </is>
      </c>
    </row>
    <row r="38">
      <c r="A38" s="15" t="inlineStr">
        <is>
          <t>Red flags (0)</t>
        </is>
      </c>
    </row>
    <row r="39">
      <c r="A39" s="14" t="inlineStr">
        <is>
          <t xml:space="preserve"> ! None</t>
        </is>
      </c>
    </row>
    <row r="42">
      <c r="A42" s="16" t="inlineStr">
        <is>
          <t>The findings text is produced by the Python rules at export time; every number above is a formula. Educational project, not investment advice.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Apple Inc. (AAPL) - Income Statement</t>
        </is>
      </c>
    </row>
    <row r="2" ht="18" customHeight="1">
      <c r="A2" s="2" t="inlineStr">
        <is>
          <t>USD millions, except per-share data. Blue = input from the source data; black = formula. Blank = not reported.</t>
        </is>
      </c>
    </row>
    <row r="3">
      <c r="A3" s="4" t="inlineStr">
        <is>
          <t>Line item</t>
        </is>
      </c>
      <c r="B3" s="5" t="inlineStr">
        <is>
          <t>FY2022</t>
        </is>
      </c>
      <c r="C3" s="5" t="inlineStr">
        <is>
          <t>FY2023</t>
        </is>
      </c>
      <c r="D3" s="5" t="inlineStr">
        <is>
          <t>FY2024</t>
        </is>
      </c>
      <c r="E3" s="5" t="inlineStr">
        <is>
          <t>FY2025</t>
        </is>
      </c>
    </row>
    <row r="4">
      <c r="A4" s="17" t="inlineStr">
        <is>
          <t>Total Revenue</t>
        </is>
      </c>
      <c r="B4" s="18" t="n">
        <v>394328</v>
      </c>
      <c r="C4" s="18" t="n">
        <v>383285</v>
      </c>
      <c r="D4" s="18" t="n">
        <v>391035</v>
      </c>
      <c r="E4" s="18" t="n">
        <v>416161</v>
      </c>
    </row>
    <row r="5">
      <c r="A5" s="6" t="inlineStr">
        <is>
          <t>Cost of Revenue (COGS)</t>
        </is>
      </c>
      <c r="B5" s="19" t="n">
        <v>223546</v>
      </c>
      <c r="C5" s="19" t="n">
        <v>214137</v>
      </c>
      <c r="D5" s="19" t="n">
        <v>210352</v>
      </c>
      <c r="E5" s="19" t="n">
        <v>220960</v>
      </c>
    </row>
    <row r="6">
      <c r="A6" s="17" t="inlineStr">
        <is>
          <t>Gross Profit</t>
        </is>
      </c>
      <c r="B6" s="18" t="n">
        <v>170782</v>
      </c>
      <c r="C6" s="18" t="n">
        <v>169148</v>
      </c>
      <c r="D6" s="18" t="n">
        <v>180683</v>
      </c>
      <c r="E6" s="18" t="n">
        <v>195201</v>
      </c>
    </row>
    <row r="7">
      <c r="A7" s="6" t="inlineStr">
        <is>
          <t>Operating Expenses</t>
        </is>
      </c>
      <c r="B7" s="19" t="n">
        <v>51345</v>
      </c>
      <c r="C7" s="19" t="n">
        <v>54847</v>
      </c>
      <c r="D7" s="19" t="n">
        <v>57467</v>
      </c>
      <c r="E7" s="19" t="n">
        <v>62151</v>
      </c>
    </row>
    <row r="8">
      <c r="A8" s="17" t="inlineStr">
        <is>
          <t>Operating Income (EBIT)</t>
        </is>
      </c>
      <c r="B8" s="18" t="n">
        <v>119437</v>
      </c>
      <c r="C8" s="18" t="n">
        <v>114301</v>
      </c>
      <c r="D8" s="18" t="n">
        <v>123216</v>
      </c>
      <c r="E8" s="18" t="n">
        <v>133050</v>
      </c>
    </row>
    <row r="9">
      <c r="A9" s="6" t="inlineStr">
        <is>
          <t>Interest Expense</t>
        </is>
      </c>
      <c r="B9" s="19" t="n">
        <v>2931</v>
      </c>
      <c r="C9" s="19" t="n">
        <v>3933</v>
      </c>
      <c r="D9" s="19" t="n"/>
      <c r="E9" s="19" t="n"/>
    </row>
    <row r="10">
      <c r="A10" s="6" t="inlineStr">
        <is>
          <t>Pre-tax Income (EBT)</t>
        </is>
      </c>
      <c r="B10" s="19" t="n">
        <v>119103</v>
      </c>
      <c r="C10" s="19" t="n">
        <v>113736</v>
      </c>
      <c r="D10" s="19" t="n">
        <v>123485</v>
      </c>
      <c r="E10" s="19" t="n">
        <v>132729</v>
      </c>
    </row>
    <row r="11">
      <c r="A11" s="6" t="inlineStr">
        <is>
          <t>Income Tax Expense</t>
        </is>
      </c>
      <c r="B11" s="19" t="n">
        <v>19300</v>
      </c>
      <c r="C11" s="19" t="n">
        <v>16741</v>
      </c>
      <c r="D11" s="19" t="n">
        <v>29749</v>
      </c>
      <c r="E11" s="19" t="n">
        <v>20719</v>
      </c>
    </row>
    <row r="12">
      <c r="A12" s="17" t="inlineStr">
        <is>
          <t>Net Income</t>
        </is>
      </c>
      <c r="B12" s="18" t="n">
        <v>99803</v>
      </c>
      <c r="C12" s="18" t="n">
        <v>96995</v>
      </c>
      <c r="D12" s="18" t="n">
        <v>93736</v>
      </c>
      <c r="E12" s="18" t="n">
        <v>112010</v>
      </c>
    </row>
    <row r="13">
      <c r="A13" s="6" t="inlineStr">
        <is>
          <t>Diluted EPS</t>
        </is>
      </c>
      <c r="B13" s="20" t="n">
        <v>6.11</v>
      </c>
      <c r="C13" s="20" t="n">
        <v>6.13</v>
      </c>
      <c r="D13" s="20" t="n">
        <v>6.08</v>
      </c>
      <c r="E13" s="20" t="n">
        <v>7.46</v>
      </c>
    </row>
    <row r="14">
      <c r="A14" s="6" t="inlineStr">
        <is>
          <t>Diluted Average Shares (millions)</t>
        </is>
      </c>
      <c r="B14" s="19" t="n">
        <v>16325.819</v>
      </c>
      <c r="C14" s="19" t="n">
        <v>15812.547</v>
      </c>
      <c r="D14" s="19" t="n">
        <v>15408.095</v>
      </c>
      <c r="E14" s="19" t="n">
        <v>15004.697</v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2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Apple Inc. (AAPL) - Balance Sheet</t>
        </is>
      </c>
    </row>
    <row r="2" ht="18" customHeight="1">
      <c r="A2" s="2" t="inlineStr">
        <is>
          <t>USD millions, except per-share data. Blue = input from the source data; black = formula. Blank = not reported.</t>
        </is>
      </c>
    </row>
    <row r="3">
      <c r="A3" s="4" t="inlineStr">
        <is>
          <t>Line item</t>
        </is>
      </c>
      <c r="B3" s="5" t="inlineStr">
        <is>
          <t>FY2022</t>
        </is>
      </c>
      <c r="C3" s="5" t="inlineStr">
        <is>
          <t>FY2023</t>
        </is>
      </c>
      <c r="D3" s="5" t="inlineStr">
        <is>
          <t>FY2024</t>
        </is>
      </c>
      <c r="E3" s="5" t="inlineStr">
        <is>
          <t>FY2025</t>
        </is>
      </c>
    </row>
    <row r="4">
      <c r="A4" s="6" t="inlineStr">
        <is>
          <t>Cash and Cash Equivalents</t>
        </is>
      </c>
      <c r="B4" s="19" t="n">
        <v>23646</v>
      </c>
      <c r="C4" s="19" t="n">
        <v>29965</v>
      </c>
      <c r="D4" s="19" t="n">
        <v>29943</v>
      </c>
      <c r="E4" s="19" t="n">
        <v>35934</v>
      </c>
    </row>
    <row r="5">
      <c r="A5" s="6" t="inlineStr">
        <is>
          <t>Short-Term Investments</t>
        </is>
      </c>
      <c r="B5" s="19" t="n">
        <v>24658</v>
      </c>
      <c r="C5" s="19" t="n">
        <v>31590</v>
      </c>
      <c r="D5" s="19" t="n">
        <v>35228</v>
      </c>
      <c r="E5" s="19" t="n">
        <v>18763</v>
      </c>
    </row>
    <row r="6">
      <c r="A6" s="6" t="inlineStr">
        <is>
          <t>Cash + Short-Term Investments</t>
        </is>
      </c>
      <c r="B6" s="19" t="n">
        <v>48304</v>
      </c>
      <c r="C6" s="19" t="n">
        <v>61555</v>
      </c>
      <c r="D6" s="19" t="n">
        <v>65171</v>
      </c>
      <c r="E6" s="19" t="n">
        <v>54697</v>
      </c>
    </row>
    <row r="7">
      <c r="A7" s="6" t="inlineStr">
        <is>
          <t>Total Receivables</t>
        </is>
      </c>
      <c r="B7" s="19" t="n">
        <v>60932</v>
      </c>
      <c r="C7" s="19" t="n">
        <v>60985</v>
      </c>
      <c r="D7" s="19" t="n">
        <v>66243</v>
      </c>
      <c r="E7" s="19" t="n">
        <v>72957</v>
      </c>
    </row>
    <row r="8">
      <c r="A8" s="6" t="inlineStr">
        <is>
          <t>Accounts Receivable (trade)</t>
        </is>
      </c>
      <c r="B8" s="19" t="n">
        <v>28184</v>
      </c>
      <c r="C8" s="19" t="n">
        <v>29508</v>
      </c>
      <c r="D8" s="19" t="n">
        <v>33410</v>
      </c>
      <c r="E8" s="19" t="n">
        <v>39777</v>
      </c>
    </row>
    <row r="9">
      <c r="A9" s="6" t="inlineStr">
        <is>
          <t>Inventory</t>
        </is>
      </c>
      <c r="B9" s="19" t="n">
        <v>4946</v>
      </c>
      <c r="C9" s="19" t="n">
        <v>6331</v>
      </c>
      <c r="D9" s="19" t="n">
        <v>7286</v>
      </c>
      <c r="E9" s="19" t="n">
        <v>5718</v>
      </c>
    </row>
    <row r="10">
      <c r="A10" s="17" t="inlineStr">
        <is>
          <t>Total Current Assets</t>
        </is>
      </c>
      <c r="B10" s="18" t="n">
        <v>135405</v>
      </c>
      <c r="C10" s="18" t="n">
        <v>143566</v>
      </c>
      <c r="D10" s="18" t="n">
        <v>152987</v>
      </c>
      <c r="E10" s="18" t="n">
        <v>147957</v>
      </c>
    </row>
    <row r="11">
      <c r="A11" s="6" t="inlineStr">
        <is>
          <t>Net PP&amp;E</t>
        </is>
      </c>
      <c r="B11" s="19" t="n">
        <v>42117</v>
      </c>
      <c r="C11" s="19" t="n">
        <v>43715</v>
      </c>
      <c r="D11" s="19" t="n">
        <v>45680</v>
      </c>
      <c r="E11" s="19" t="n">
        <v>49834</v>
      </c>
    </row>
    <row r="12">
      <c r="A12" s="6" t="inlineStr">
        <is>
          <t>Goodwill and Intangibles</t>
        </is>
      </c>
      <c r="B12" s="19" t="n"/>
      <c r="C12" s="19" t="n"/>
      <c r="D12" s="19" t="n"/>
      <c r="E12" s="19" t="n"/>
    </row>
    <row r="13">
      <c r="A13" s="17" t="inlineStr">
        <is>
          <t>Total Assets</t>
        </is>
      </c>
      <c r="B13" s="18" t="n">
        <v>352755</v>
      </c>
      <c r="C13" s="18" t="n">
        <v>352583</v>
      </c>
      <c r="D13" s="18" t="n">
        <v>364980</v>
      </c>
      <c r="E13" s="18" t="n">
        <v>359241</v>
      </c>
    </row>
    <row r="14">
      <c r="A14" s="6" t="inlineStr">
        <is>
          <t>Accounts Payable</t>
        </is>
      </c>
      <c r="B14" s="19" t="n">
        <v>64115</v>
      </c>
      <c r="C14" s="19" t="n">
        <v>62611</v>
      </c>
      <c r="D14" s="19" t="n">
        <v>68960</v>
      </c>
      <c r="E14" s="19" t="n">
        <v>69860</v>
      </c>
    </row>
    <row r="15">
      <c r="A15" s="6" t="inlineStr">
        <is>
          <t>Current Debt (incl. leases)</t>
        </is>
      </c>
      <c r="B15" s="19" t="n">
        <v>22773</v>
      </c>
      <c r="C15" s="19" t="n">
        <v>15807</v>
      </c>
      <c r="D15" s="19" t="n">
        <v>20879</v>
      </c>
      <c r="E15" s="19" t="n">
        <v>20329</v>
      </c>
    </row>
    <row r="16">
      <c r="A16" s="17" t="inlineStr">
        <is>
          <t>Total Current Liabilities</t>
        </is>
      </c>
      <c r="B16" s="18" t="n">
        <v>153982</v>
      </c>
      <c r="C16" s="18" t="n">
        <v>145308</v>
      </c>
      <c r="D16" s="18" t="n">
        <v>176392</v>
      </c>
      <c r="E16" s="18" t="n">
        <v>165631</v>
      </c>
    </row>
    <row r="17">
      <c r="A17" s="6" t="inlineStr">
        <is>
          <t>Long-Term Debt (incl. leases)</t>
        </is>
      </c>
      <c r="B17" s="19" t="n">
        <v>109707</v>
      </c>
      <c r="C17" s="19" t="n">
        <v>95281</v>
      </c>
      <c r="D17" s="19" t="n">
        <v>85750</v>
      </c>
      <c r="E17" s="19" t="n">
        <v>78328</v>
      </c>
    </row>
    <row r="18">
      <c r="A18" s="6" t="inlineStr">
        <is>
          <t>Total Debt</t>
        </is>
      </c>
      <c r="B18" s="19" t="n">
        <v>132480</v>
      </c>
      <c r="C18" s="19" t="n">
        <v>111088</v>
      </c>
      <c r="D18" s="19" t="n">
        <v>106629</v>
      </c>
      <c r="E18" s="19" t="n">
        <v>98657</v>
      </c>
    </row>
    <row r="19">
      <c r="A19" s="17" t="inlineStr">
        <is>
          <t>Total Liabilities</t>
        </is>
      </c>
      <c r="B19" s="18" t="n">
        <v>302083</v>
      </c>
      <c r="C19" s="18" t="n">
        <v>290437</v>
      </c>
      <c r="D19" s="18" t="n">
        <v>308030</v>
      </c>
      <c r="E19" s="18" t="n">
        <v>285508</v>
      </c>
    </row>
    <row r="20">
      <c r="A20" s="6" t="inlineStr">
        <is>
          <t>Retained Earnings</t>
        </is>
      </c>
      <c r="B20" s="19" t="n">
        <v>-3068</v>
      </c>
      <c r="C20" s="19" t="n">
        <v>-214</v>
      </c>
      <c r="D20" s="19" t="n">
        <v>-19154</v>
      </c>
      <c r="E20" s="19" t="n">
        <v>-14264</v>
      </c>
    </row>
    <row r="21">
      <c r="A21" s="17" t="inlineStr">
        <is>
          <t>Shareholders' Equity</t>
        </is>
      </c>
      <c r="B21" s="18" t="n">
        <v>50672</v>
      </c>
      <c r="C21" s="18" t="n">
        <v>62146</v>
      </c>
      <c r="D21" s="18" t="n">
        <v>56950</v>
      </c>
      <c r="E21" s="18" t="n">
        <v>73733</v>
      </c>
    </row>
    <row r="22">
      <c r="A22" s="6" t="inlineStr">
        <is>
          <t>Working Capital (CA - CL)</t>
        </is>
      </c>
      <c r="B22" s="7">
        <f>B10-B16</f>
        <v/>
      </c>
      <c r="C22" s="7">
        <f>C10-C16</f>
        <v/>
      </c>
      <c r="D22" s="7">
        <f>D10-D16</f>
        <v/>
      </c>
      <c r="E22" s="7">
        <f>E10-E16</f>
        <v/>
      </c>
    </row>
    <row r="23">
      <c r="A23" s="6" t="inlineStr">
        <is>
          <t>Shares Outstanding (millions)</t>
        </is>
      </c>
      <c r="B23" s="19" t="n">
        <v>15943.425</v>
      </c>
      <c r="C23" s="19" t="n">
        <v>15550.061</v>
      </c>
      <c r="D23" s="19" t="n">
        <v>15116.786</v>
      </c>
      <c r="E23" s="19" t="n">
        <v>14773.26</v>
      </c>
    </row>
    <row r="25">
      <c r="A25" s="21" t="inlineStr">
        <is>
          <t>Market data (not part of the balance sheet)</t>
        </is>
      </c>
      <c r="B25" s="22" t="n"/>
      <c r="C25" s="22" t="n"/>
      <c r="D25" s="22" t="n"/>
      <c r="E25" s="22" t="n"/>
    </row>
    <row r="26">
      <c r="A26" s="23" t="inlineStr">
        <is>
          <t>Share price at fiscal year end</t>
        </is>
      </c>
      <c r="B26" s="24" t="n">
        <v>138.1999969482422</v>
      </c>
      <c r="C26" s="24" t="n">
        <v>171.2100067138672</v>
      </c>
      <c r="D26" s="24" t="n">
        <v>233</v>
      </c>
      <c r="E26" s="24" t="n">
        <v>254.6300048828125</v>
      </c>
    </row>
    <row r="27">
      <c r="A27" s="23" t="inlineStr">
        <is>
          <t>Market Value of Equity (price x shares)</t>
        </is>
      </c>
      <c r="B27" s="25">
        <f>'Balance Sheet'!B26*'Balance Sheet'!B23</f>
        <v/>
      </c>
      <c r="C27" s="25">
        <f>'Balance Sheet'!C26*'Balance Sheet'!C23</f>
        <v/>
      </c>
      <c r="D27" s="25">
        <f>'Balance Sheet'!D26*'Balance Sheet'!D23</f>
        <v/>
      </c>
      <c r="E27" s="25">
        <f>'Balance Sheet'!E26*'Balance Sheet'!E23</f>
        <v/>
      </c>
    </row>
    <row r="29">
      <c r="A29" s="16" t="inlineStr">
        <is>
          <t>Price = last close on/before the balance-sheet date (Yahoo Finance). Shares = year-end shares outstanding.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Apple Inc. (AAPL) - Cash Flow</t>
        </is>
      </c>
    </row>
    <row r="2" ht="18" customHeight="1">
      <c r="A2" s="2" t="inlineStr">
        <is>
          <t>USD millions, except per-share data. Blue = input from the source data; black = formula. Blank = not reported.</t>
        </is>
      </c>
    </row>
    <row r="3">
      <c r="A3" s="4" t="inlineStr">
        <is>
          <t>Line item</t>
        </is>
      </c>
      <c r="B3" s="5" t="inlineStr">
        <is>
          <t>FY2022</t>
        </is>
      </c>
      <c r="C3" s="5" t="inlineStr">
        <is>
          <t>FY2023</t>
        </is>
      </c>
      <c r="D3" s="5" t="inlineStr">
        <is>
          <t>FY2024</t>
        </is>
      </c>
      <c r="E3" s="5" t="inlineStr">
        <is>
          <t>FY2025</t>
        </is>
      </c>
    </row>
    <row r="4">
      <c r="A4" s="17" t="inlineStr">
        <is>
          <t>Operating Cash Flow (CFO)</t>
        </is>
      </c>
      <c r="B4" s="18" t="n">
        <v>122151</v>
      </c>
      <c r="C4" s="18" t="n">
        <v>110543</v>
      </c>
      <c r="D4" s="18" t="n">
        <v>118254</v>
      </c>
      <c r="E4" s="18" t="n">
        <v>111482</v>
      </c>
    </row>
    <row r="5">
      <c r="A5" s="6" t="inlineStr">
        <is>
          <t>Capital Expenditure (as reported)</t>
        </is>
      </c>
      <c r="B5" s="19" t="n">
        <v>-10708</v>
      </c>
      <c r="C5" s="19" t="n">
        <v>-10959</v>
      </c>
      <c r="D5" s="19" t="n">
        <v>-9447</v>
      </c>
      <c r="E5" s="19" t="n">
        <v>-12715</v>
      </c>
    </row>
    <row r="6">
      <c r="A6" s="17" t="inlineStr">
        <is>
          <t>Free Cash Flow (CFO - |Capex|)</t>
        </is>
      </c>
      <c r="B6" s="26">
        <f>B4-ABS(B5)</f>
        <v/>
      </c>
      <c r="C6" s="26">
        <f>C4-ABS(C5)</f>
        <v/>
      </c>
      <c r="D6" s="26">
        <f>D4-ABS(D5)</f>
        <v/>
      </c>
      <c r="E6" s="26">
        <f>E4-ABS(E5)</f>
        <v/>
      </c>
    </row>
    <row r="7">
      <c r="A7" s="6" t="inlineStr">
        <is>
          <t>Investing Cash Flow</t>
        </is>
      </c>
      <c r="B7" s="19" t="n">
        <v>-22354</v>
      </c>
      <c r="C7" s="19" t="n">
        <v>3705</v>
      </c>
      <c r="D7" s="19" t="n">
        <v>2935</v>
      </c>
      <c r="E7" s="19" t="n">
        <v>15195</v>
      </c>
    </row>
    <row r="8">
      <c r="A8" s="6" t="inlineStr">
        <is>
          <t>Financing Cash Flow</t>
        </is>
      </c>
      <c r="B8" s="19" t="n">
        <v>-110749</v>
      </c>
      <c r="C8" s="19" t="n">
        <v>-108488</v>
      </c>
      <c r="D8" s="19" t="n">
        <v>-121983</v>
      </c>
      <c r="E8" s="19" t="n">
        <v>-120686</v>
      </c>
    </row>
    <row r="9">
      <c r="A9" s="6" t="inlineStr">
        <is>
          <t>Depreciation &amp; Amortization</t>
        </is>
      </c>
      <c r="B9" s="19" t="n">
        <v>11104</v>
      </c>
      <c r="C9" s="19" t="n">
        <v>11519</v>
      </c>
      <c r="D9" s="19" t="n">
        <v>11445</v>
      </c>
      <c r="E9" s="19" t="n">
        <v>11698</v>
      </c>
    </row>
    <row r="10">
      <c r="A10" s="6" t="inlineStr">
        <is>
          <t>Dividends Paid</t>
        </is>
      </c>
      <c r="B10" s="19" t="n">
        <v>-14841</v>
      </c>
      <c r="C10" s="19" t="n">
        <v>-15025</v>
      </c>
      <c r="D10" s="19" t="n">
        <v>-15234</v>
      </c>
      <c r="E10" s="19" t="n">
        <v>-15421</v>
      </c>
    </row>
    <row r="11">
      <c r="A11" s="6" t="inlineStr">
        <is>
          <t>Share Repurchases</t>
        </is>
      </c>
      <c r="B11" s="19" t="n">
        <v>-89402</v>
      </c>
      <c r="C11" s="19" t="n">
        <v>-77550</v>
      </c>
      <c r="D11" s="19" t="n">
        <v>-94949</v>
      </c>
      <c r="E11" s="19" t="n">
        <v>-90711</v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4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46" customWidth="1" min="6" max="6"/>
  </cols>
  <sheetData>
    <row r="1" ht="30" customHeight="1">
      <c r="A1" s="1" t="inlineStr">
        <is>
          <t>Apple Inc. (AAPL) - Financial Ratios</t>
        </is>
      </c>
    </row>
    <row r="2" ht="18" customHeight="1">
      <c r="A2" s="2" t="inlineStr">
        <is>
          <t>Every cell is a live formula on the statement sheets. Ending balances unless the label says 'avg.'; days use 365.</t>
        </is>
      </c>
    </row>
    <row r="3">
      <c r="A3" s="4" t="inlineStr">
        <is>
          <t>Ratio</t>
        </is>
      </c>
      <c r="B3" s="5" t="inlineStr">
        <is>
          <t>FY2022</t>
        </is>
      </c>
      <c r="C3" s="5" t="inlineStr">
        <is>
          <t>FY2023</t>
        </is>
      </c>
      <c r="D3" s="5" t="inlineStr">
        <is>
          <t>FY2024</t>
        </is>
      </c>
      <c r="E3" s="5" t="inlineStr">
        <is>
          <t>FY2025</t>
        </is>
      </c>
    </row>
    <row r="4">
      <c r="A4" s="21" t="inlineStr">
        <is>
          <t>1. Liquidity</t>
        </is>
      </c>
      <c r="B4" s="22" t="n"/>
      <c r="C4" s="22" t="n"/>
      <c r="D4" s="22" t="n"/>
      <c r="E4" s="22" t="n"/>
    </row>
    <row r="5">
      <c r="A5" s="6" t="inlineStr">
        <is>
          <t>Current Ratio</t>
        </is>
      </c>
      <c r="B5" s="9">
        <f>IF(COUNT('Balance Sheet'!B10,'Balance Sheet'!B16)&lt;2,"n/a",IFERROR('Balance Sheet'!B10/'Balance Sheet'!B16,"n/a"))</f>
        <v/>
      </c>
      <c r="C5" s="9">
        <f>IF(COUNT('Balance Sheet'!C10,'Balance Sheet'!C16)&lt;2,"n/a",IFERROR('Balance Sheet'!C10/'Balance Sheet'!C16,"n/a"))</f>
        <v/>
      </c>
      <c r="D5" s="9">
        <f>IF(COUNT('Balance Sheet'!D10,'Balance Sheet'!D16)&lt;2,"n/a",IFERROR('Balance Sheet'!D10/'Balance Sheet'!D16,"n/a"))</f>
        <v/>
      </c>
      <c r="E5" s="9">
        <f>IF(COUNT('Balance Sheet'!E10,'Balance Sheet'!E16)&lt;2,"n/a",IFERROR('Balance Sheet'!E10/'Balance Sheet'!E16,"n/a"))</f>
        <v/>
      </c>
      <c r="F5" s="16" t="inlineStr">
        <is>
          <t>Current assets / current liabilities</t>
        </is>
      </c>
    </row>
    <row r="6">
      <c r="A6" s="6" t="inlineStr">
        <is>
          <t>Quick Ratio</t>
        </is>
      </c>
      <c r="B6" s="9">
        <f>IF(COUNT('Balance Sheet'!B6,'Balance Sheet'!B7,'Balance Sheet'!B16)&lt;3,"n/a",IFERROR(('Balance Sheet'!B6+'Balance Sheet'!B7)/'Balance Sheet'!B16,"n/a"))</f>
        <v/>
      </c>
      <c r="C6" s="9">
        <f>IF(COUNT('Balance Sheet'!C6,'Balance Sheet'!C7,'Balance Sheet'!C16)&lt;3,"n/a",IFERROR(('Balance Sheet'!C6+'Balance Sheet'!C7)/'Balance Sheet'!C16,"n/a"))</f>
        <v/>
      </c>
      <c r="D6" s="9">
        <f>IF(COUNT('Balance Sheet'!D6,'Balance Sheet'!D7,'Balance Sheet'!D16)&lt;3,"n/a",IFERROR(('Balance Sheet'!D6+'Balance Sheet'!D7)/'Balance Sheet'!D16,"n/a"))</f>
        <v/>
      </c>
      <c r="E6" s="9">
        <f>IF(COUNT('Balance Sheet'!E6,'Balance Sheet'!E7,'Balance Sheet'!E16)&lt;3,"n/a",IFERROR(('Balance Sheet'!E6+'Balance Sheet'!E7)/'Balance Sheet'!E16,"n/a"))</f>
        <v/>
      </c>
      <c r="F6" s="16" t="inlineStr">
        <is>
          <t>(Cash + ST investments + receivables) / CL</t>
        </is>
      </c>
    </row>
    <row r="7">
      <c r="A7" s="6" t="inlineStr">
        <is>
          <t>Cash Ratio</t>
        </is>
      </c>
      <c r="B7" s="9">
        <f>IF(COUNT('Balance Sheet'!B6,'Balance Sheet'!B16)&lt;2,"n/a",IFERROR('Balance Sheet'!B6/'Balance Sheet'!B16,"n/a"))</f>
        <v/>
      </c>
      <c r="C7" s="9">
        <f>IF(COUNT('Balance Sheet'!C6,'Balance Sheet'!C16)&lt;2,"n/a",IFERROR('Balance Sheet'!C6/'Balance Sheet'!C16,"n/a"))</f>
        <v/>
      </c>
      <c r="D7" s="9">
        <f>IF(COUNT('Balance Sheet'!D6,'Balance Sheet'!D16)&lt;2,"n/a",IFERROR('Balance Sheet'!D6/'Balance Sheet'!D16,"n/a"))</f>
        <v/>
      </c>
      <c r="E7" s="9">
        <f>IF(COUNT('Balance Sheet'!E6,'Balance Sheet'!E16)&lt;2,"n/a",IFERROR('Balance Sheet'!E6/'Balance Sheet'!E16,"n/a"))</f>
        <v/>
      </c>
      <c r="F7" s="16" t="inlineStr">
        <is>
          <t>(Cash + ST investments) / CL</t>
        </is>
      </c>
    </row>
    <row r="8">
      <c r="A8" s="21" t="inlineStr">
        <is>
          <t>2. Profitability</t>
        </is>
      </c>
      <c r="B8" s="22" t="n"/>
      <c r="C8" s="22" t="n"/>
      <c r="D8" s="22" t="n"/>
      <c r="E8" s="22" t="n"/>
    </row>
    <row r="9">
      <c r="A9" s="6" t="inlineStr">
        <is>
          <t>Gross Margin</t>
        </is>
      </c>
      <c r="B9" s="8">
        <f>IF(COUNT('Income Statement'!B6,'Income Statement'!B4)&lt;2,"n/a",IFERROR('Income Statement'!B6/'Income Statement'!B4,"n/a"))</f>
        <v/>
      </c>
      <c r="C9" s="8">
        <f>IF(COUNT('Income Statement'!C6,'Income Statement'!C4)&lt;2,"n/a",IFERROR('Income Statement'!C6/'Income Statement'!C4,"n/a"))</f>
        <v/>
      </c>
      <c r="D9" s="8">
        <f>IF(COUNT('Income Statement'!D6,'Income Statement'!D4)&lt;2,"n/a",IFERROR('Income Statement'!D6/'Income Statement'!D4,"n/a"))</f>
        <v/>
      </c>
      <c r="E9" s="8">
        <f>IF(COUNT('Income Statement'!E6,'Income Statement'!E4)&lt;2,"n/a",IFERROR('Income Statement'!E6/'Income Statement'!E4,"n/a"))</f>
        <v/>
      </c>
      <c r="F9" s="16" t="inlineStr">
        <is>
          <t>Gross profit / revenue</t>
        </is>
      </c>
    </row>
    <row r="10">
      <c r="A10" s="6" t="inlineStr">
        <is>
          <t>Operating Margin</t>
        </is>
      </c>
      <c r="B10" s="8">
        <f>IF(COUNT('Income Statement'!B8,'Income Statement'!B4)&lt;2,"n/a",IFERROR('Income Statement'!B8/'Income Statement'!B4,"n/a"))</f>
        <v/>
      </c>
      <c r="C10" s="8">
        <f>IF(COUNT('Income Statement'!C8,'Income Statement'!C4)&lt;2,"n/a",IFERROR('Income Statement'!C8/'Income Statement'!C4,"n/a"))</f>
        <v/>
      </c>
      <c r="D10" s="8">
        <f>IF(COUNT('Income Statement'!D8,'Income Statement'!D4)&lt;2,"n/a",IFERROR('Income Statement'!D8/'Income Statement'!D4,"n/a"))</f>
        <v/>
      </c>
      <c r="E10" s="8">
        <f>IF(COUNT('Income Statement'!E8,'Income Statement'!E4)&lt;2,"n/a",IFERROR('Income Statement'!E8/'Income Statement'!E4,"n/a"))</f>
        <v/>
      </c>
      <c r="F10" s="16" t="inlineStr">
        <is>
          <t>Operating income / revenue</t>
        </is>
      </c>
    </row>
    <row r="11">
      <c r="A11" s="6" t="inlineStr">
        <is>
          <t>Net Profit Margin</t>
        </is>
      </c>
      <c r="B11" s="8">
        <f>IF(COUNT('Income Statement'!B12,'Income Statement'!B4)&lt;2,"n/a",IFERROR('Income Statement'!B12/'Income Statement'!B4,"n/a"))</f>
        <v/>
      </c>
      <c r="C11" s="8">
        <f>IF(COUNT('Income Statement'!C12,'Income Statement'!C4)&lt;2,"n/a",IFERROR('Income Statement'!C12/'Income Statement'!C4,"n/a"))</f>
        <v/>
      </c>
      <c r="D11" s="8">
        <f>IF(COUNT('Income Statement'!D12,'Income Statement'!D4)&lt;2,"n/a",IFERROR('Income Statement'!D12/'Income Statement'!D4,"n/a"))</f>
        <v/>
      </c>
      <c r="E11" s="8">
        <f>IF(COUNT('Income Statement'!E12,'Income Statement'!E4)&lt;2,"n/a",IFERROR('Income Statement'!E12/'Income Statement'!E4,"n/a"))</f>
        <v/>
      </c>
      <c r="F11" s="16" t="inlineStr">
        <is>
          <t>Net income / revenue</t>
        </is>
      </c>
    </row>
    <row r="12">
      <c r="A12" s="6" t="inlineStr">
        <is>
          <t>Effective Tax Rate</t>
        </is>
      </c>
      <c r="B12" s="8">
        <f>IF(COUNT('Income Statement'!B10,'Income Statement'!B11)&lt;2,"n/a",IFERROR(IF('Income Statement'!B10&lt;=0,0,IF(AND('Income Statement'!B11/'Income Statement'!B10&gt;=0,'Income Statement'!B11/'Income Statement'!B10&lt;=1),'Income Statement'!B11/'Income Statement'!B10,"n/a")),"n/a"))</f>
        <v/>
      </c>
      <c r="C12" s="8">
        <f>IF(COUNT('Income Statement'!C10,'Income Statement'!C11)&lt;2,"n/a",IFERROR(IF('Income Statement'!C10&lt;=0,0,IF(AND('Income Statement'!C11/'Income Statement'!C10&gt;=0,'Income Statement'!C11/'Income Statement'!C10&lt;=1),'Income Statement'!C11/'Income Statement'!C10,"n/a")),"n/a"))</f>
        <v/>
      </c>
      <c r="D12" s="8">
        <f>IF(COUNT('Income Statement'!D10,'Income Statement'!D11)&lt;2,"n/a",IFERROR(IF('Income Statement'!D10&lt;=0,0,IF(AND('Income Statement'!D11/'Income Statement'!D10&gt;=0,'Income Statement'!D11/'Income Statement'!D10&lt;=1),'Income Statement'!D11/'Income Statement'!D10,"n/a")),"n/a"))</f>
        <v/>
      </c>
      <c r="E12" s="8">
        <f>IF(COUNT('Income Statement'!E10,'Income Statement'!E11)&lt;2,"n/a",IFERROR(IF('Income Statement'!E10&lt;=0,0,IF(AND('Income Statement'!E11/'Income Statement'!E10&gt;=0,'Income Statement'!E11/'Income Statement'!E10&lt;=1),'Income Statement'!E11/'Income Statement'!E10,"n/a")),"n/a"))</f>
        <v/>
      </c>
      <c r="F12" s="16" t="inlineStr">
        <is>
          <t>Tax / pre-tax income (0% if pre-tax &lt;= 0)</t>
        </is>
      </c>
    </row>
    <row r="13">
      <c r="A13" s="6" t="inlineStr">
        <is>
          <t>Return on Assets (ROA)</t>
        </is>
      </c>
      <c r="B13" s="8">
        <f>IF(COUNT('Income Statement'!B12,'Balance Sheet'!B13)&lt;2,"n/a",IFERROR('Income Statement'!B12/'Balance Sheet'!B13,"n/a"))</f>
        <v/>
      </c>
      <c r="C13" s="8">
        <f>IF(COUNT('Income Statement'!C12,'Balance Sheet'!C13)&lt;2,"n/a",IFERROR('Income Statement'!C12/'Balance Sheet'!C13,"n/a"))</f>
        <v/>
      </c>
      <c r="D13" s="8">
        <f>IF(COUNT('Income Statement'!D12,'Balance Sheet'!D13)&lt;2,"n/a",IFERROR('Income Statement'!D12/'Balance Sheet'!D13,"n/a"))</f>
        <v/>
      </c>
      <c r="E13" s="8">
        <f>IF(COUNT('Income Statement'!E12,'Balance Sheet'!E13)&lt;2,"n/a",IFERROR('Income Statement'!E12/'Balance Sheet'!E13,"n/a"))</f>
        <v/>
      </c>
      <c r="F13" s="16" t="inlineStr">
        <is>
          <t>NI / ending total assets</t>
        </is>
      </c>
    </row>
    <row r="14">
      <c r="A14" s="6" t="inlineStr">
        <is>
          <t>ROA (avg. assets)</t>
        </is>
      </c>
      <c r="B14" s="8" t="inlineStr">
        <is>
          <t>n/a</t>
        </is>
      </c>
      <c r="C14" s="8">
        <f>IF(COUNT('Income Statement'!C12,'Balance Sheet'!C13,'Balance Sheet'!B13)&lt;3,"n/a",IFERROR('Income Statement'!C12/AVERAGE('Balance Sheet'!C13,'Balance Sheet'!B13),"n/a"))</f>
        <v/>
      </c>
      <c r="D14" s="8">
        <f>IF(COUNT('Income Statement'!D12,'Balance Sheet'!D13,'Balance Sheet'!C13)&lt;3,"n/a",IFERROR('Income Statement'!D12/AVERAGE('Balance Sheet'!D13,'Balance Sheet'!C13),"n/a"))</f>
        <v/>
      </c>
      <c r="E14" s="8">
        <f>IF(COUNT('Income Statement'!E12,'Balance Sheet'!E13,'Balance Sheet'!D13)&lt;3,"n/a",IFERROR('Income Statement'!E12/AVERAGE('Balance Sheet'!E13,'Balance Sheet'!D13),"n/a"))</f>
        <v/>
      </c>
      <c r="F14" s="16" t="inlineStr">
        <is>
          <t>NI / average total assets</t>
        </is>
      </c>
    </row>
    <row r="15">
      <c r="A15" s="6" t="inlineStr">
        <is>
          <t>Return on Equity (ROE)</t>
        </is>
      </c>
      <c r="B15" s="8">
        <f>IF(COUNT('Income Statement'!B12,'Balance Sheet'!B21)&lt;2,"n/a",IFERROR('Income Statement'!B12/'Balance Sheet'!B21,"n/a"))</f>
        <v/>
      </c>
      <c r="C15" s="8">
        <f>IF(COUNT('Income Statement'!C12,'Balance Sheet'!C21)&lt;2,"n/a",IFERROR('Income Statement'!C12/'Balance Sheet'!C21,"n/a"))</f>
        <v/>
      </c>
      <c r="D15" s="8">
        <f>IF(COUNT('Income Statement'!D12,'Balance Sheet'!D21)&lt;2,"n/a",IFERROR('Income Statement'!D12/'Balance Sheet'!D21,"n/a"))</f>
        <v/>
      </c>
      <c r="E15" s="8">
        <f>IF(COUNT('Income Statement'!E12,'Balance Sheet'!E21)&lt;2,"n/a",IFERROR('Income Statement'!E12/'Balance Sheet'!E21,"n/a"))</f>
        <v/>
      </c>
      <c r="F15" s="16" t="inlineStr">
        <is>
          <t>NI / ending equity</t>
        </is>
      </c>
    </row>
    <row r="16">
      <c r="A16" s="6" t="inlineStr">
        <is>
          <t>ROE (avg. equity)</t>
        </is>
      </c>
      <c r="B16" s="8" t="inlineStr">
        <is>
          <t>n/a</t>
        </is>
      </c>
      <c r="C16" s="8">
        <f>IF(COUNT('Income Statement'!C12,'Balance Sheet'!C21,'Balance Sheet'!B21)&lt;3,"n/a",IFERROR('Income Statement'!C12/AVERAGE('Balance Sheet'!C21,'Balance Sheet'!B21),"n/a"))</f>
        <v/>
      </c>
      <c r="D16" s="8">
        <f>IF(COUNT('Income Statement'!D12,'Balance Sheet'!D21,'Balance Sheet'!C21)&lt;3,"n/a",IFERROR('Income Statement'!D12/AVERAGE('Balance Sheet'!D21,'Balance Sheet'!C21),"n/a"))</f>
        <v/>
      </c>
      <c r="E16" s="8">
        <f>IF(COUNT('Income Statement'!E12,'Balance Sheet'!E21,'Balance Sheet'!D21)&lt;3,"n/a",IFERROR('Income Statement'!E12/AVERAGE('Balance Sheet'!E21,'Balance Sheet'!D21),"n/a"))</f>
        <v/>
      </c>
      <c r="F16" s="16" t="inlineStr">
        <is>
          <t>NI / average equity</t>
        </is>
      </c>
    </row>
    <row r="17">
      <c r="A17" s="6" t="inlineStr">
        <is>
          <t>Return on Invested Capital (ROIC)</t>
        </is>
      </c>
      <c r="B17" s="8">
        <f>IF(COUNT('Income Statement'!B8,'Ratios'!B12,'Balance Sheet'!B18,'Balance Sheet'!B21)&lt;4,"n/a",IFERROR(IF('Balance Sheet'!B18+'Balance Sheet'!B21&lt;=0,"n/a",'Income Statement'!B8*(1-'Ratios'!B12)/('Balance Sheet'!B18+'Balance Sheet'!B21)),"n/a"))</f>
        <v/>
      </c>
      <c r="C17" s="8">
        <f>IF(COUNT('Income Statement'!C8,'Ratios'!C12,'Balance Sheet'!C18,'Balance Sheet'!C21)&lt;4,"n/a",IFERROR(IF('Balance Sheet'!C18+'Balance Sheet'!C21&lt;=0,"n/a",'Income Statement'!C8*(1-'Ratios'!C12)/('Balance Sheet'!C18+'Balance Sheet'!C21)),"n/a"))</f>
        <v/>
      </c>
      <c r="D17" s="8">
        <f>IF(COUNT('Income Statement'!D8,'Ratios'!D12,'Balance Sheet'!D18,'Balance Sheet'!D21)&lt;4,"n/a",IFERROR(IF('Balance Sheet'!D18+'Balance Sheet'!D21&lt;=0,"n/a",'Income Statement'!D8*(1-'Ratios'!D12)/('Balance Sheet'!D18+'Balance Sheet'!D21)),"n/a"))</f>
        <v/>
      </c>
      <c r="E17" s="8">
        <f>IF(COUNT('Income Statement'!E8,'Ratios'!E12,'Balance Sheet'!E18,'Balance Sheet'!E21)&lt;4,"n/a",IFERROR(IF('Balance Sheet'!E18+'Balance Sheet'!E21&lt;=0,"n/a",'Income Statement'!E8*(1-'Ratios'!E12)/('Balance Sheet'!E18+'Balance Sheet'!E21)),"n/a"))</f>
        <v/>
      </c>
      <c r="F17" s="16" t="inlineStr">
        <is>
          <t>EBIT x (1 - tax rate) / (total debt + equity)</t>
        </is>
      </c>
    </row>
    <row r="18">
      <c r="A18" s="21" t="inlineStr">
        <is>
          <t>3. Solvency &amp; leverage</t>
        </is>
      </c>
      <c r="B18" s="22" t="n"/>
      <c r="C18" s="22" t="n"/>
      <c r="D18" s="22" t="n"/>
      <c r="E18" s="22" t="n"/>
    </row>
    <row r="19">
      <c r="A19" s="6" t="inlineStr">
        <is>
          <t>Debt-to-Equity</t>
        </is>
      </c>
      <c r="B19" s="9">
        <f>IF(COUNT('Balance Sheet'!B18,'Balance Sheet'!B21)&lt;2,"n/a",IFERROR('Balance Sheet'!B18/'Balance Sheet'!B21,"n/a"))</f>
        <v/>
      </c>
      <c r="C19" s="9">
        <f>IF(COUNT('Balance Sheet'!C18,'Balance Sheet'!C21)&lt;2,"n/a",IFERROR('Balance Sheet'!C18/'Balance Sheet'!C21,"n/a"))</f>
        <v/>
      </c>
      <c r="D19" s="9">
        <f>IF(COUNT('Balance Sheet'!D18,'Balance Sheet'!D21)&lt;2,"n/a",IFERROR('Balance Sheet'!D18/'Balance Sheet'!D21,"n/a"))</f>
        <v/>
      </c>
      <c r="E19" s="9">
        <f>IF(COUNT('Balance Sheet'!E18,'Balance Sheet'!E21)&lt;2,"n/a",IFERROR('Balance Sheet'!E18/'Balance Sheet'!E21,"n/a"))</f>
        <v/>
      </c>
      <c r="F19" s="16" t="inlineStr">
        <is>
          <t>Total debt / equity</t>
        </is>
      </c>
    </row>
    <row r="20">
      <c r="A20" s="6" t="inlineStr">
        <is>
          <t>Debt-to-Assets</t>
        </is>
      </c>
      <c r="B20" s="9">
        <f>IF(COUNT('Balance Sheet'!B18,'Balance Sheet'!B13)&lt;2,"n/a",IFERROR('Balance Sheet'!B18/'Balance Sheet'!B13,"n/a"))</f>
        <v/>
      </c>
      <c r="C20" s="9">
        <f>IF(COUNT('Balance Sheet'!C18,'Balance Sheet'!C13)&lt;2,"n/a",IFERROR('Balance Sheet'!C18/'Balance Sheet'!C13,"n/a"))</f>
        <v/>
      </c>
      <c r="D20" s="9">
        <f>IF(COUNT('Balance Sheet'!D18,'Balance Sheet'!D13)&lt;2,"n/a",IFERROR('Balance Sheet'!D18/'Balance Sheet'!D13,"n/a"))</f>
        <v/>
      </c>
      <c r="E20" s="9">
        <f>IF(COUNT('Balance Sheet'!E18,'Balance Sheet'!E13)&lt;2,"n/a",IFERROR('Balance Sheet'!E18/'Balance Sheet'!E13,"n/a"))</f>
        <v/>
      </c>
      <c r="F20" s="16" t="inlineStr">
        <is>
          <t>Total debt / total assets</t>
        </is>
      </c>
    </row>
    <row r="21">
      <c r="A21" s="6" t="inlineStr">
        <is>
          <t>Financial Leverage (Multiplier)</t>
        </is>
      </c>
      <c r="B21" s="9">
        <f>IF(COUNT('Balance Sheet'!B13,'Balance Sheet'!B21)&lt;2,"n/a",IFERROR('Balance Sheet'!B13/'Balance Sheet'!B21,"n/a"))</f>
        <v/>
      </c>
      <c r="C21" s="9">
        <f>IF(COUNT('Balance Sheet'!C13,'Balance Sheet'!C21)&lt;2,"n/a",IFERROR('Balance Sheet'!C13/'Balance Sheet'!C21,"n/a"))</f>
        <v/>
      </c>
      <c r="D21" s="9">
        <f>IF(COUNT('Balance Sheet'!D13,'Balance Sheet'!D21)&lt;2,"n/a",IFERROR('Balance Sheet'!D13/'Balance Sheet'!D21,"n/a"))</f>
        <v/>
      </c>
      <c r="E21" s="9">
        <f>IF(COUNT('Balance Sheet'!E13,'Balance Sheet'!E21)&lt;2,"n/a",IFERROR('Balance Sheet'!E13/'Balance Sheet'!E21,"n/a"))</f>
        <v/>
      </c>
      <c r="F21" s="16" t="inlineStr">
        <is>
          <t>Total assets / equity</t>
        </is>
      </c>
    </row>
    <row r="22">
      <c r="A22" s="6" t="inlineStr">
        <is>
          <t>Interest Coverage</t>
        </is>
      </c>
      <c r="B22" s="9">
        <f>IF(COUNT('Income Statement'!B8,'Income Statement'!B9)&lt;2,"n/a",IFERROR('Income Statement'!B8/ABS('Income Statement'!B9),"n/a"))</f>
        <v/>
      </c>
      <c r="C22" s="9">
        <f>IF(COUNT('Income Statement'!C8,'Income Statement'!C9)&lt;2,"n/a",IFERROR('Income Statement'!C8/ABS('Income Statement'!C9),"n/a"))</f>
        <v/>
      </c>
      <c r="D22" s="9">
        <f>IF(COUNT('Income Statement'!D8,'Income Statement'!D9)&lt;2,"n/a",IFERROR('Income Statement'!D8/ABS('Income Statement'!D9),"n/a"))</f>
        <v/>
      </c>
      <c r="E22" s="9">
        <f>IF(COUNT('Income Statement'!E8,'Income Statement'!E9)&lt;2,"n/a",IFERROR('Income Statement'!E8/ABS('Income Statement'!E9),"n/a"))</f>
        <v/>
      </c>
      <c r="F22" s="16" t="inlineStr">
        <is>
          <t>Operating income / |interest expense|</t>
        </is>
      </c>
    </row>
    <row r="23">
      <c r="A23" s="21" t="inlineStr">
        <is>
          <t>4. Efficiency &amp; working capital (365-day year)</t>
        </is>
      </c>
      <c r="B23" s="22" t="n"/>
      <c r="C23" s="22" t="n"/>
      <c r="D23" s="22" t="n"/>
      <c r="E23" s="22" t="n"/>
    </row>
    <row r="24">
      <c r="A24" s="6" t="inlineStr">
        <is>
          <t>Asset Turnover</t>
        </is>
      </c>
      <c r="B24" s="9">
        <f>IF(COUNT('Income Statement'!B4,'Balance Sheet'!B13)&lt;2,"n/a",IFERROR('Income Statement'!B4/'Balance Sheet'!B13,"n/a"))</f>
        <v/>
      </c>
      <c r="C24" s="9">
        <f>IF(COUNT('Income Statement'!C4,'Balance Sheet'!C13)&lt;2,"n/a",IFERROR('Income Statement'!C4/'Balance Sheet'!C13,"n/a"))</f>
        <v/>
      </c>
      <c r="D24" s="9">
        <f>IF(COUNT('Income Statement'!D4,'Balance Sheet'!D13)&lt;2,"n/a",IFERROR('Income Statement'!D4/'Balance Sheet'!D13,"n/a"))</f>
        <v/>
      </c>
      <c r="E24" s="9">
        <f>IF(COUNT('Income Statement'!E4,'Balance Sheet'!E13)&lt;2,"n/a",IFERROR('Income Statement'!E4/'Balance Sheet'!E13,"n/a"))</f>
        <v/>
      </c>
      <c r="F24" s="16" t="inlineStr">
        <is>
          <t>Revenue / ending total assets</t>
        </is>
      </c>
    </row>
    <row r="25">
      <c r="A25" s="6" t="inlineStr">
        <is>
          <t>Asset Turnover (avg. assets)</t>
        </is>
      </c>
      <c r="B25" s="9" t="inlineStr">
        <is>
          <t>n/a</t>
        </is>
      </c>
      <c r="C25" s="9">
        <f>IF(COUNT('Income Statement'!C4,'Balance Sheet'!C13,'Balance Sheet'!B13)&lt;3,"n/a",IFERROR('Income Statement'!C4/AVERAGE('Balance Sheet'!C13,'Balance Sheet'!B13),"n/a"))</f>
        <v/>
      </c>
      <c r="D25" s="9">
        <f>IF(COUNT('Income Statement'!D4,'Balance Sheet'!D13,'Balance Sheet'!C13)&lt;3,"n/a",IFERROR('Income Statement'!D4/AVERAGE('Balance Sheet'!D13,'Balance Sheet'!C13),"n/a"))</f>
        <v/>
      </c>
      <c r="E25" s="9">
        <f>IF(COUNT('Income Statement'!E4,'Balance Sheet'!E13,'Balance Sheet'!D13)&lt;3,"n/a",IFERROR('Income Statement'!E4/AVERAGE('Balance Sheet'!E13,'Balance Sheet'!D13),"n/a"))</f>
        <v/>
      </c>
      <c r="F25" s="16" t="inlineStr">
        <is>
          <t>Revenue / average total assets</t>
        </is>
      </c>
    </row>
    <row r="26">
      <c r="A26" s="6" t="inlineStr">
        <is>
          <t>Inventory Turnover</t>
        </is>
      </c>
      <c r="B26" s="9">
        <f>IF(COUNT('Income Statement'!B5,'Balance Sheet'!B9)&lt;2,"n/a",IFERROR(IF('Balance Sheet'!B9&lt;=0,"n/a",'Income Statement'!B5/'Balance Sheet'!B9),"n/a"))</f>
        <v/>
      </c>
      <c r="C26" s="9">
        <f>IF(COUNT('Income Statement'!C5,'Balance Sheet'!C9)&lt;2,"n/a",IFERROR(IF('Balance Sheet'!C9&lt;=0,"n/a",'Income Statement'!C5/'Balance Sheet'!C9),"n/a"))</f>
        <v/>
      </c>
      <c r="D26" s="9">
        <f>IF(COUNT('Income Statement'!D5,'Balance Sheet'!D9)&lt;2,"n/a",IFERROR(IF('Balance Sheet'!D9&lt;=0,"n/a",'Income Statement'!D5/'Balance Sheet'!D9),"n/a"))</f>
        <v/>
      </c>
      <c r="E26" s="9">
        <f>IF(COUNT('Income Statement'!E5,'Balance Sheet'!E9)&lt;2,"n/a",IFERROR(IF('Balance Sheet'!E9&lt;=0,"n/a",'Income Statement'!E5/'Balance Sheet'!E9),"n/a"))</f>
        <v/>
      </c>
      <c r="F26" s="16" t="inlineStr">
        <is>
          <t>COGS / ending inventory</t>
        </is>
      </c>
    </row>
    <row r="27">
      <c r="A27" s="6" t="inlineStr">
        <is>
          <t>Inventory Turnover (avg. inventory)</t>
        </is>
      </c>
      <c r="B27" s="9" t="inlineStr">
        <is>
          <t>n/a</t>
        </is>
      </c>
      <c r="C27" s="9">
        <f>IF(COUNT('Income Statement'!C5,'Balance Sheet'!C9,'Balance Sheet'!B9)&lt;3,"n/a",IFERROR('Income Statement'!C5/AVERAGE('Balance Sheet'!C9,'Balance Sheet'!B9),"n/a"))</f>
        <v/>
      </c>
      <c r="D27" s="9">
        <f>IF(COUNT('Income Statement'!D5,'Balance Sheet'!D9,'Balance Sheet'!C9)&lt;3,"n/a",IFERROR('Income Statement'!D5/AVERAGE('Balance Sheet'!D9,'Balance Sheet'!C9),"n/a"))</f>
        <v/>
      </c>
      <c r="E27" s="9">
        <f>IF(COUNT('Income Statement'!E5,'Balance Sheet'!E9,'Balance Sheet'!D9)&lt;3,"n/a",IFERROR('Income Statement'!E5/AVERAGE('Balance Sheet'!E9,'Balance Sheet'!D9),"n/a"))</f>
        <v/>
      </c>
      <c r="F27" s="16" t="inlineStr">
        <is>
          <t>COGS / average inventory</t>
        </is>
      </c>
    </row>
    <row r="28">
      <c r="A28" s="6" t="inlineStr">
        <is>
          <t>Days Sales Outstanding (DSO)</t>
        </is>
      </c>
      <c r="B28" s="10">
        <f>IF(COUNT('Balance Sheet'!B8,'Income Statement'!B4)&lt;2,"n/a",IFERROR(IF('Income Statement'!B4&lt;=0,"n/a",'Balance Sheet'!B8/'Income Statement'!B4*365),"n/a"))</f>
        <v/>
      </c>
      <c r="C28" s="10">
        <f>IF(COUNT('Balance Sheet'!C8,'Income Statement'!C4)&lt;2,"n/a",IFERROR(IF('Income Statement'!C4&lt;=0,"n/a",'Balance Sheet'!C8/'Income Statement'!C4*365),"n/a"))</f>
        <v/>
      </c>
      <c r="D28" s="10">
        <f>IF(COUNT('Balance Sheet'!D8,'Income Statement'!D4)&lt;2,"n/a",IFERROR(IF('Income Statement'!D4&lt;=0,"n/a",'Balance Sheet'!D8/'Income Statement'!D4*365),"n/a"))</f>
        <v/>
      </c>
      <c r="E28" s="10">
        <f>IF(COUNT('Balance Sheet'!E8,'Income Statement'!E4)&lt;2,"n/a",IFERROR(IF('Income Statement'!E4&lt;=0,"n/a",'Balance Sheet'!E8/'Income Statement'!E4*365),"n/a"))</f>
        <v/>
      </c>
      <c r="F28" s="16" t="inlineStr">
        <is>
          <t>Trade receivables / revenue x 365</t>
        </is>
      </c>
    </row>
    <row r="29">
      <c r="A29" s="6" t="inlineStr">
        <is>
          <t>Days Inventory Outstanding (DIO)</t>
        </is>
      </c>
      <c r="B29" s="10">
        <f>IF(COUNT('Balance Sheet'!B9,'Income Statement'!B5)&lt;2,"n/a",IFERROR(IF('Income Statement'!B5&lt;=0,"n/a",'Balance Sheet'!B9/'Income Statement'!B5*365),"n/a"))</f>
        <v/>
      </c>
      <c r="C29" s="10">
        <f>IF(COUNT('Balance Sheet'!C9,'Income Statement'!C5)&lt;2,"n/a",IFERROR(IF('Income Statement'!C5&lt;=0,"n/a",'Balance Sheet'!C9/'Income Statement'!C5*365),"n/a"))</f>
        <v/>
      </c>
      <c r="D29" s="10">
        <f>IF(COUNT('Balance Sheet'!D9,'Income Statement'!D5)&lt;2,"n/a",IFERROR(IF('Income Statement'!D5&lt;=0,"n/a",'Balance Sheet'!D9/'Income Statement'!D5*365),"n/a"))</f>
        <v/>
      </c>
      <c r="E29" s="10">
        <f>IF(COUNT('Balance Sheet'!E9,'Income Statement'!E5)&lt;2,"n/a",IFERROR(IF('Income Statement'!E5&lt;=0,"n/a",'Balance Sheet'!E9/'Income Statement'!E5*365),"n/a"))</f>
        <v/>
      </c>
      <c r="F29" s="16" t="inlineStr">
        <is>
          <t>Inventory / COGS x 365</t>
        </is>
      </c>
    </row>
    <row r="30">
      <c r="A30" s="6" t="inlineStr">
        <is>
          <t>Days Payable Outstanding (DPO)</t>
        </is>
      </c>
      <c r="B30" s="10">
        <f>IF(COUNT('Balance Sheet'!B14,'Income Statement'!B5)&lt;2,"n/a",IFERROR(IF('Income Statement'!B5&lt;=0,"n/a",'Balance Sheet'!B14/'Income Statement'!B5*365),"n/a"))</f>
        <v/>
      </c>
      <c r="C30" s="10">
        <f>IF(COUNT('Balance Sheet'!C14,'Income Statement'!C5)&lt;2,"n/a",IFERROR(IF('Income Statement'!C5&lt;=0,"n/a",'Balance Sheet'!C14/'Income Statement'!C5*365),"n/a"))</f>
        <v/>
      </c>
      <c r="D30" s="10">
        <f>IF(COUNT('Balance Sheet'!D14,'Income Statement'!D5)&lt;2,"n/a",IFERROR(IF('Income Statement'!D5&lt;=0,"n/a",'Balance Sheet'!D14/'Income Statement'!D5*365),"n/a"))</f>
        <v/>
      </c>
      <c r="E30" s="10">
        <f>IF(COUNT('Balance Sheet'!E14,'Income Statement'!E5)&lt;2,"n/a",IFERROR(IF('Income Statement'!E5&lt;=0,"n/a",'Balance Sheet'!E14/'Income Statement'!E5*365),"n/a"))</f>
        <v/>
      </c>
      <c r="F30" s="16" t="inlineStr">
        <is>
          <t>Accounts payable / COGS x 365</t>
        </is>
      </c>
    </row>
    <row r="31">
      <c r="A31" s="17" t="inlineStr">
        <is>
          <t>Cash Conversion Cycle (CCC)</t>
        </is>
      </c>
      <c r="B31" s="27">
        <f>IF(COUNT('Ratios'!B28,'Ratios'!B29,'Ratios'!B30)=3,'Ratios'!B28+'Ratios'!B29-'Ratios'!B30,IF(AND(COUNT('Ratios'!B28,'Ratios'!B30)=2,COUNT('Balance Sheet'!B9)=0),'Ratios'!B28-'Ratios'!B30,"n/a"))</f>
        <v/>
      </c>
      <c r="C31" s="27">
        <f>IF(COUNT('Ratios'!C28,'Ratios'!C29,'Ratios'!C30)=3,'Ratios'!C28+'Ratios'!C29-'Ratios'!C30,IF(AND(COUNT('Ratios'!C28,'Ratios'!C30)=2,COUNT('Balance Sheet'!C9)=0),'Ratios'!C28-'Ratios'!C30,"n/a"))</f>
        <v/>
      </c>
      <c r="D31" s="27">
        <f>IF(COUNT('Ratios'!D28,'Ratios'!D29,'Ratios'!D30)=3,'Ratios'!D28+'Ratios'!D29-'Ratios'!D30,IF(AND(COUNT('Ratios'!D28,'Ratios'!D30)=2,COUNT('Balance Sheet'!D9)=0),'Ratios'!D28-'Ratios'!D30,"n/a"))</f>
        <v/>
      </c>
      <c r="E31" s="27">
        <f>IF(COUNT('Ratios'!E28,'Ratios'!E29,'Ratios'!E30)=3,'Ratios'!E28+'Ratios'!E29-'Ratios'!E30,IF(AND(COUNT('Ratios'!E28,'Ratios'!E30)=2,COUNT('Balance Sheet'!E9)=0),'Ratios'!E28-'Ratios'!E30,"n/a"))</f>
        <v/>
      </c>
      <c r="F31" s="16" t="inlineStr">
        <is>
          <t>DSO + DIO - DPO (DIO = 0 if no inventory is reported)</t>
        </is>
      </c>
    </row>
    <row r="32">
      <c r="A32" s="21" t="inlineStr">
        <is>
          <t>5. Cash-flow quality</t>
        </is>
      </c>
      <c r="B32" s="22" t="n"/>
      <c r="C32" s="22" t="n"/>
      <c r="D32" s="22" t="n"/>
      <c r="E32" s="22" t="n"/>
    </row>
    <row r="33">
      <c r="A33" s="6" t="inlineStr">
        <is>
          <t>Operating Cash Flow / Net Income</t>
        </is>
      </c>
      <c r="B33" s="9">
        <f>IF(COUNT('Cash Flow'!B4,'Income Statement'!B12)&lt;2,"n/a",IFERROR(IF('Income Statement'!B12&lt;=0,"n/a",'Cash Flow'!B4/'Income Statement'!B12),"n/a"))</f>
        <v/>
      </c>
      <c r="C33" s="9">
        <f>IF(COUNT('Cash Flow'!C4,'Income Statement'!C12)&lt;2,"n/a",IFERROR(IF('Income Statement'!C12&lt;=0,"n/a",'Cash Flow'!C4/'Income Statement'!C12),"n/a"))</f>
        <v/>
      </c>
      <c r="D33" s="9">
        <f>IF(COUNT('Cash Flow'!D4,'Income Statement'!D12)&lt;2,"n/a",IFERROR(IF('Income Statement'!D12&lt;=0,"n/a",'Cash Flow'!D4/'Income Statement'!D12),"n/a"))</f>
        <v/>
      </c>
      <c r="E33" s="9">
        <f>IF(COUNT('Cash Flow'!E4,'Income Statement'!E12)&lt;2,"n/a",IFERROR(IF('Income Statement'!E12&lt;=0,"n/a",'Cash Flow'!E4/'Income Statement'!E12),"n/a"))</f>
        <v/>
      </c>
      <c r="F33" s="16" t="inlineStr">
        <is>
          <t>CFO / net income (only if NI &gt; 0)</t>
        </is>
      </c>
    </row>
    <row r="34">
      <c r="A34" s="6" t="inlineStr">
        <is>
          <t>Free Cash Flow</t>
        </is>
      </c>
      <c r="B34" s="7">
        <f>IF(COUNT('Cash Flow'!B6)&lt;1,"n/a",IFERROR('Cash Flow'!B6,"n/a"))</f>
        <v/>
      </c>
      <c r="C34" s="7">
        <f>IF(COUNT('Cash Flow'!C6)&lt;1,"n/a",IFERROR('Cash Flow'!C6,"n/a"))</f>
        <v/>
      </c>
      <c r="D34" s="7">
        <f>IF(COUNT('Cash Flow'!D6)&lt;1,"n/a",IFERROR('Cash Flow'!D6,"n/a"))</f>
        <v/>
      </c>
      <c r="E34" s="7">
        <f>IF(COUNT('Cash Flow'!E6)&lt;1,"n/a",IFERROR('Cash Flow'!E6,"n/a"))</f>
        <v/>
      </c>
      <c r="F34" s="16" t="inlineStr">
        <is>
          <t>CFO - |capex|, millions</t>
        </is>
      </c>
    </row>
    <row r="35">
      <c r="A35" s="6" t="inlineStr">
        <is>
          <t>FCF Margin</t>
        </is>
      </c>
      <c r="B35" s="8">
        <f>IF(COUNT('Cash Flow'!B6,'Income Statement'!B4)&lt;2,"n/a",IFERROR('Cash Flow'!B6/'Income Statement'!B4,"n/a"))</f>
        <v/>
      </c>
      <c r="C35" s="8">
        <f>IF(COUNT('Cash Flow'!C6,'Income Statement'!C4)&lt;2,"n/a",IFERROR('Cash Flow'!C6/'Income Statement'!C4,"n/a"))</f>
        <v/>
      </c>
      <c r="D35" s="8">
        <f>IF(COUNT('Cash Flow'!D6,'Income Statement'!D4)&lt;2,"n/a",IFERROR('Cash Flow'!D6/'Income Statement'!D4,"n/a"))</f>
        <v/>
      </c>
      <c r="E35" s="8">
        <f>IF(COUNT('Cash Flow'!E6,'Income Statement'!E4)&lt;2,"n/a",IFERROR('Cash Flow'!E6/'Income Statement'!E4,"n/a"))</f>
        <v/>
      </c>
      <c r="F35" s="16" t="inlineStr">
        <is>
          <t>FCF / revenue</t>
        </is>
      </c>
    </row>
    <row r="36">
      <c r="A36" s="6" t="inlineStr">
        <is>
          <t>Capex / Revenue</t>
        </is>
      </c>
      <c r="B36" s="8">
        <f>IF(COUNT('Cash Flow'!B5,'Income Statement'!B4)&lt;2,"n/a",IFERROR(ABS('Cash Flow'!B5)/'Income Statement'!B4,"n/a"))</f>
        <v/>
      </c>
      <c r="C36" s="8">
        <f>IF(COUNT('Cash Flow'!C5,'Income Statement'!C4)&lt;2,"n/a",IFERROR(ABS('Cash Flow'!C5)/'Income Statement'!C4,"n/a"))</f>
        <v/>
      </c>
      <c r="D36" s="8">
        <f>IF(COUNT('Cash Flow'!D5,'Income Statement'!D4)&lt;2,"n/a",IFERROR(ABS('Cash Flow'!D5)/'Income Statement'!D4,"n/a"))</f>
        <v/>
      </c>
      <c r="E36" s="8">
        <f>IF(COUNT('Cash Flow'!E5,'Income Statement'!E4)&lt;2,"n/a",IFERROR(ABS('Cash Flow'!E5)/'Income Statement'!E4,"n/a"))</f>
        <v/>
      </c>
      <c r="F36" s="16" t="inlineStr">
        <is>
          <t>|Capex| / revenue</t>
        </is>
      </c>
    </row>
    <row r="37">
      <c r="A37" s="6" t="inlineStr">
        <is>
          <t>Sloan Accrual Ratio</t>
        </is>
      </c>
      <c r="B37" s="28">
        <f>IF(COUNT('Income Statement'!B12,'Cash Flow'!B4,'Balance Sheet'!B13)&lt;3,"n/a",IFERROR(('Income Statement'!B12-'Cash Flow'!B4)/'Balance Sheet'!B13,"n/a"))</f>
        <v/>
      </c>
      <c r="C37" s="28">
        <f>IF(COUNT('Income Statement'!C12,'Cash Flow'!C4,'Balance Sheet'!C13)&lt;3,"n/a",IFERROR(('Income Statement'!C12-'Cash Flow'!C4)/'Balance Sheet'!C13,"n/a"))</f>
        <v/>
      </c>
      <c r="D37" s="28">
        <f>IF(COUNT('Income Statement'!D12,'Cash Flow'!D4,'Balance Sheet'!D13)&lt;3,"n/a",IFERROR(('Income Statement'!D12-'Cash Flow'!D4)/'Balance Sheet'!D13,"n/a"))</f>
        <v/>
      </c>
      <c r="E37" s="28">
        <f>IF(COUNT('Income Statement'!E12,'Cash Flow'!E4,'Balance Sheet'!E13)&lt;3,"n/a",IFERROR(('Income Statement'!E12-'Cash Flow'!E4)/'Balance Sheet'!E13,"n/a"))</f>
        <v/>
      </c>
      <c r="F37" s="16" t="inlineStr">
        <is>
          <t>(NI - CFO) / total assets</t>
        </is>
      </c>
    </row>
    <row r="38">
      <c r="A38" s="21" t="inlineStr">
        <is>
          <t>6. Growth (year over year)</t>
        </is>
      </c>
      <c r="B38" s="22" t="n"/>
      <c r="C38" s="22" t="n"/>
      <c r="D38" s="22" t="n"/>
      <c r="E38" s="22" t="n"/>
    </row>
    <row r="39">
      <c r="A39" s="6" t="inlineStr">
        <is>
          <t>Revenue YoY Growth</t>
        </is>
      </c>
      <c r="B39" s="8" t="inlineStr">
        <is>
          <t>n/a</t>
        </is>
      </c>
      <c r="C39" s="8">
        <f>IF(COUNT('Income Statement'!C4,'Income Statement'!B4)&lt;2,"n/a",IFERROR(IF('Income Statement'!B4=0,"n/a",('Income Statement'!C4-'Income Statement'!B4)/ABS('Income Statement'!B4)),"n/a"))</f>
        <v/>
      </c>
      <c r="D39" s="8">
        <f>IF(COUNT('Income Statement'!D4,'Income Statement'!C4)&lt;2,"n/a",IFERROR(IF('Income Statement'!C4=0,"n/a",('Income Statement'!D4-'Income Statement'!C4)/ABS('Income Statement'!C4)),"n/a"))</f>
        <v/>
      </c>
      <c r="E39" s="8">
        <f>IF(COUNT('Income Statement'!E4,'Income Statement'!D4)&lt;2,"n/a",IFERROR(IF('Income Statement'!D4=0,"n/a",('Income Statement'!E4-'Income Statement'!D4)/ABS('Income Statement'!D4)),"n/a"))</f>
        <v/>
      </c>
    </row>
    <row r="40">
      <c r="A40" s="6" t="inlineStr">
        <is>
          <t>Operating Income YoY Growth</t>
        </is>
      </c>
      <c r="B40" s="8" t="inlineStr">
        <is>
          <t>n/a</t>
        </is>
      </c>
      <c r="C40" s="8">
        <f>IF(COUNT('Income Statement'!C8,'Income Statement'!B8)&lt;2,"n/a",IFERROR(IF('Income Statement'!B8=0,"n/a",('Income Statement'!C8-'Income Statement'!B8)/ABS('Income Statement'!B8)),"n/a"))</f>
        <v/>
      </c>
      <c r="D40" s="8">
        <f>IF(COUNT('Income Statement'!D8,'Income Statement'!C8)&lt;2,"n/a",IFERROR(IF('Income Statement'!C8=0,"n/a",('Income Statement'!D8-'Income Statement'!C8)/ABS('Income Statement'!C8)),"n/a"))</f>
        <v/>
      </c>
      <c r="E40" s="8">
        <f>IF(COUNT('Income Statement'!E8,'Income Statement'!D8)&lt;2,"n/a",IFERROR(IF('Income Statement'!D8=0,"n/a",('Income Statement'!E8-'Income Statement'!D8)/ABS('Income Statement'!D8)),"n/a"))</f>
        <v/>
      </c>
    </row>
    <row r="41">
      <c r="A41" s="6" t="inlineStr">
        <is>
          <t>Net Income YoY Growth</t>
        </is>
      </c>
      <c r="B41" s="8" t="inlineStr">
        <is>
          <t>n/a</t>
        </is>
      </c>
      <c r="C41" s="8">
        <f>IF(COUNT('Income Statement'!C12,'Income Statement'!B12)&lt;2,"n/a",IFERROR(IF('Income Statement'!B12=0,"n/a",('Income Statement'!C12-'Income Statement'!B12)/ABS('Income Statement'!B12)),"n/a"))</f>
        <v/>
      </c>
      <c r="D41" s="8">
        <f>IF(COUNT('Income Statement'!D12,'Income Statement'!C12)&lt;2,"n/a",IFERROR(IF('Income Statement'!C12=0,"n/a",('Income Statement'!D12-'Income Statement'!C12)/ABS('Income Statement'!C12)),"n/a"))</f>
        <v/>
      </c>
      <c r="E41" s="8">
        <f>IF(COUNT('Income Statement'!E12,'Income Statement'!D12)&lt;2,"n/a",IFERROR(IF('Income Statement'!D12=0,"n/a",('Income Statement'!E12-'Income Statement'!D12)/ABS('Income Statement'!D12)),"n/a"))</f>
        <v/>
      </c>
    </row>
    <row r="42">
      <c r="A42" s="6" t="inlineStr">
        <is>
          <t>Diluted EPS YoY Growth</t>
        </is>
      </c>
      <c r="B42" s="8" t="inlineStr">
        <is>
          <t>n/a</t>
        </is>
      </c>
      <c r="C42" s="8">
        <f>IF(COUNT('Income Statement'!C13,'Income Statement'!B13)&lt;2,"n/a",IFERROR(IF('Income Statement'!B13=0,"n/a",('Income Statement'!C13-'Income Statement'!B13)/ABS('Income Statement'!B13)),"n/a"))</f>
        <v/>
      </c>
      <c r="D42" s="8">
        <f>IF(COUNT('Income Statement'!D13,'Income Statement'!C13)&lt;2,"n/a",IFERROR(IF('Income Statement'!C13=0,"n/a",('Income Statement'!D13-'Income Statement'!C13)/ABS('Income Statement'!C13)),"n/a"))</f>
        <v/>
      </c>
      <c r="E42" s="8">
        <f>IF(COUNT('Income Statement'!E13,'Income Statement'!D13)&lt;2,"n/a",IFERROR(IF('Income Statement'!D13=0,"n/a",('Income Statement'!E13-'Income Statement'!D13)/ABS('Income Statement'!D13)),"n/a"))</f>
        <v/>
      </c>
    </row>
    <row r="43">
      <c r="A43" s="6" t="inlineStr">
        <is>
          <t>Free Cash Flow YoY Growth</t>
        </is>
      </c>
      <c r="B43" s="8" t="inlineStr">
        <is>
          <t>n/a</t>
        </is>
      </c>
      <c r="C43" s="8">
        <f>IF(COUNT('Cash Flow'!C6,'Cash Flow'!B6)&lt;2,"n/a",IFERROR(IF('Cash Flow'!B6=0,"n/a",('Cash Flow'!C6-'Cash Flow'!B6)/ABS('Cash Flow'!B6)),"n/a"))</f>
        <v/>
      </c>
      <c r="D43" s="8">
        <f>IF(COUNT('Cash Flow'!D6,'Cash Flow'!C6)&lt;2,"n/a",IFERROR(IF('Cash Flow'!C6=0,"n/a",('Cash Flow'!D6-'Cash Flow'!C6)/ABS('Cash Flow'!C6)),"n/a"))</f>
        <v/>
      </c>
      <c r="E43" s="8">
        <f>IF(COUNT('Cash Flow'!E6,'Cash Flow'!D6)&lt;2,"n/a",IFERROR(IF('Cash Flow'!D6=0,"n/a",('Cash Flow'!E6-'Cash Flow'!D6)/ABS('Cash Flow'!D6)),"n/a"))</f>
        <v/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1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 ht="30" customHeight="1">
      <c r="A1" s="1" t="inlineStr">
        <is>
          <t>Apple Inc. (AAPL) - DuPont Analysis</t>
        </is>
      </c>
    </row>
    <row r="2" ht="18" customHeight="1">
      <c r="A2" s="2" t="inlineStr">
        <is>
          <t>ROE split into its drivers. EBIT = operating income; ending balances. The check rows must be 0.</t>
        </is>
      </c>
    </row>
    <row r="3">
      <c r="A3" s="4" t="inlineStr">
        <is>
          <t>Component</t>
        </is>
      </c>
      <c r="B3" s="5" t="inlineStr">
        <is>
          <t>FY2022</t>
        </is>
      </c>
      <c r="C3" s="5" t="inlineStr">
        <is>
          <t>FY2023</t>
        </is>
      </c>
      <c r="D3" s="5" t="inlineStr">
        <is>
          <t>FY2024</t>
        </is>
      </c>
      <c r="E3" s="5" t="inlineStr">
        <is>
          <t>FY2025</t>
        </is>
      </c>
    </row>
    <row r="4">
      <c r="A4" s="21" t="inlineStr">
        <is>
          <t>3-step: ROE = Net margin x Asset turnover x Equity multiplier</t>
        </is>
      </c>
      <c r="B4" s="22" t="n"/>
      <c r="C4" s="22" t="n"/>
      <c r="D4" s="22" t="n"/>
      <c r="E4" s="22" t="n"/>
    </row>
    <row r="5">
      <c r="A5" s="6" t="inlineStr">
        <is>
          <t>Net Profit Margin</t>
        </is>
      </c>
      <c r="B5" s="8">
        <f>IF(COUNT('Ratios'!B11)&lt;1,"n/a",IFERROR('Ratios'!B11,"n/a"))</f>
        <v/>
      </c>
      <c r="C5" s="8">
        <f>IF(COUNT('Ratios'!C11)&lt;1,"n/a",IFERROR('Ratios'!C11,"n/a"))</f>
        <v/>
      </c>
      <c r="D5" s="8">
        <f>IF(COUNT('Ratios'!D11)&lt;1,"n/a",IFERROR('Ratios'!D11,"n/a"))</f>
        <v/>
      </c>
      <c r="E5" s="8">
        <f>IF(COUNT('Ratios'!E11)&lt;1,"n/a",IFERROR('Ratios'!E11,"n/a"))</f>
        <v/>
      </c>
    </row>
    <row r="6">
      <c r="A6" s="6" t="inlineStr">
        <is>
          <t>Asset Turnover</t>
        </is>
      </c>
      <c r="B6" s="9">
        <f>IF(COUNT('Ratios'!B24)&lt;1,"n/a",IFERROR('Ratios'!B24,"n/a"))</f>
        <v/>
      </c>
      <c r="C6" s="9">
        <f>IF(COUNT('Ratios'!C24)&lt;1,"n/a",IFERROR('Ratios'!C24,"n/a"))</f>
        <v/>
      </c>
      <c r="D6" s="9">
        <f>IF(COUNT('Ratios'!D24)&lt;1,"n/a",IFERROR('Ratios'!D24,"n/a"))</f>
        <v/>
      </c>
      <c r="E6" s="9">
        <f>IF(COUNT('Ratios'!E24)&lt;1,"n/a",IFERROR('Ratios'!E24,"n/a"))</f>
        <v/>
      </c>
    </row>
    <row r="7">
      <c r="A7" s="6" t="inlineStr">
        <is>
          <t>Financial Leverage</t>
        </is>
      </c>
      <c r="B7" s="9">
        <f>IF(COUNT('Ratios'!B21)&lt;1,"n/a",IFERROR('Ratios'!B21,"n/a"))</f>
        <v/>
      </c>
      <c r="C7" s="9">
        <f>IF(COUNT('Ratios'!C21)&lt;1,"n/a",IFERROR('Ratios'!C21,"n/a"))</f>
        <v/>
      </c>
      <c r="D7" s="9">
        <f>IF(COUNT('Ratios'!D21)&lt;1,"n/a",IFERROR('Ratios'!D21,"n/a"))</f>
        <v/>
      </c>
      <c r="E7" s="9">
        <f>IF(COUNT('Ratios'!E21)&lt;1,"n/a",IFERROR('Ratios'!E21,"n/a"))</f>
        <v/>
      </c>
    </row>
    <row r="8">
      <c r="A8" s="17" t="inlineStr">
        <is>
          <t>3-Step DuPont ROE</t>
        </is>
      </c>
      <c r="B8" s="29">
        <f>IF(COUNT('DuPont'!B5,'DuPont'!B6,'DuPont'!B7)&lt;3,"n/a",IFERROR('DuPont'!B5*'DuPont'!B6*'DuPont'!B7,"n/a"))</f>
        <v/>
      </c>
      <c r="C8" s="29">
        <f>IF(COUNT('DuPont'!C5,'DuPont'!C6,'DuPont'!C7)&lt;3,"n/a",IFERROR('DuPont'!C5*'DuPont'!C6*'DuPont'!C7,"n/a"))</f>
        <v/>
      </c>
      <c r="D8" s="29">
        <f>IF(COUNT('DuPont'!D5,'DuPont'!D6,'DuPont'!D7)&lt;3,"n/a",IFERROR('DuPont'!D5*'DuPont'!D6*'DuPont'!D7,"n/a"))</f>
        <v/>
      </c>
      <c r="E8" s="29">
        <f>IF(COUNT('DuPont'!E5,'DuPont'!E6,'DuPont'!E7)&lt;3,"n/a",IFERROR('DuPont'!E5*'DuPont'!E6*'DuPont'!E7,"n/a"))</f>
        <v/>
      </c>
    </row>
    <row r="9">
      <c r="A9" s="6" t="inlineStr">
        <is>
          <t>Actual Reported ROE</t>
        </is>
      </c>
      <c r="B9" s="8">
        <f>IF(COUNT('Ratios'!B15)&lt;1,"n/a",IFERROR('Ratios'!B15,"n/a"))</f>
        <v/>
      </c>
      <c r="C9" s="8">
        <f>IF(COUNT('Ratios'!C15)&lt;1,"n/a",IFERROR('Ratios'!C15,"n/a"))</f>
        <v/>
      </c>
      <c r="D9" s="8">
        <f>IF(COUNT('Ratios'!D15)&lt;1,"n/a",IFERROR('Ratios'!D15,"n/a"))</f>
        <v/>
      </c>
      <c r="E9" s="8">
        <f>IF(COUNT('Ratios'!E15)&lt;1,"n/a",IFERROR('Ratios'!E15,"n/a"))</f>
        <v/>
      </c>
    </row>
    <row r="10">
      <c r="A10" s="6" t="inlineStr">
        <is>
          <t>Check: 3-step - ROE</t>
        </is>
      </c>
      <c r="B10" s="30">
        <f>IF(COUNT('DuPont'!B8,'DuPont'!B9)&lt;2,"n/a",IFERROR('DuPont'!B8-'DuPont'!B9,"n/a"))</f>
        <v/>
      </c>
      <c r="C10" s="30">
        <f>IF(COUNT('DuPont'!C8,'DuPont'!C9)&lt;2,"n/a",IFERROR('DuPont'!C8-'DuPont'!C9,"n/a"))</f>
        <v/>
      </c>
      <c r="D10" s="30">
        <f>IF(COUNT('DuPont'!D8,'DuPont'!D9)&lt;2,"n/a",IFERROR('DuPont'!D8-'DuPont'!D9,"n/a"))</f>
        <v/>
      </c>
      <c r="E10" s="30">
        <f>IF(COUNT('DuPont'!E8,'DuPont'!E9)&lt;2,"n/a",IFERROR('DuPont'!E8-'DuPont'!E9,"n/a"))</f>
        <v/>
      </c>
      <c r="F10" s="16" t="inlineStr">
        <is>
          <t>should be 0</t>
        </is>
      </c>
    </row>
    <row r="12">
      <c r="A12" s="21" t="inlineStr">
        <is>
          <t>5-step: ROE = Tax burden x Interest burden x EBIT margin x Asset turnover x Equity multiplier</t>
        </is>
      </c>
      <c r="B12" s="22" t="n"/>
      <c r="C12" s="22" t="n"/>
      <c r="D12" s="22" t="n"/>
      <c r="E12" s="22" t="n"/>
    </row>
    <row r="13">
      <c r="A13" s="6" t="inlineStr">
        <is>
          <t>Tax Burden (NI / EBT)</t>
        </is>
      </c>
      <c r="B13" s="28">
        <f>IF(COUNT('Income Statement'!B12,'Income Statement'!B10)&lt;2,"n/a",IFERROR('Income Statement'!B12/'Income Statement'!B10,"n/a"))</f>
        <v/>
      </c>
      <c r="C13" s="28">
        <f>IF(COUNT('Income Statement'!C12,'Income Statement'!C10)&lt;2,"n/a",IFERROR('Income Statement'!C12/'Income Statement'!C10,"n/a"))</f>
        <v/>
      </c>
      <c r="D13" s="28">
        <f>IF(COUNT('Income Statement'!D12,'Income Statement'!D10)&lt;2,"n/a",IFERROR('Income Statement'!D12/'Income Statement'!D10,"n/a"))</f>
        <v/>
      </c>
      <c r="E13" s="28">
        <f>IF(COUNT('Income Statement'!E12,'Income Statement'!E10)&lt;2,"n/a",IFERROR('Income Statement'!E12/'Income Statement'!E10,"n/a"))</f>
        <v/>
      </c>
    </row>
    <row r="14">
      <c r="A14" s="6" t="inlineStr">
        <is>
          <t>Interest Burden (EBT / EBIT)</t>
        </is>
      </c>
      <c r="B14" s="28">
        <f>IF(COUNT('Income Statement'!B10,'Income Statement'!B8)&lt;2,"n/a",IFERROR('Income Statement'!B10/'Income Statement'!B8,"n/a"))</f>
        <v/>
      </c>
      <c r="C14" s="28">
        <f>IF(COUNT('Income Statement'!C10,'Income Statement'!C8)&lt;2,"n/a",IFERROR('Income Statement'!C10/'Income Statement'!C8,"n/a"))</f>
        <v/>
      </c>
      <c r="D14" s="28">
        <f>IF(COUNT('Income Statement'!D10,'Income Statement'!D8)&lt;2,"n/a",IFERROR('Income Statement'!D10/'Income Statement'!D8,"n/a"))</f>
        <v/>
      </c>
      <c r="E14" s="28">
        <f>IF(COUNT('Income Statement'!E10,'Income Statement'!E8)&lt;2,"n/a",IFERROR('Income Statement'!E10/'Income Statement'!E8,"n/a"))</f>
        <v/>
      </c>
    </row>
    <row r="15">
      <c r="A15" s="6" t="inlineStr">
        <is>
          <t>Operating Margin (EBIT / Rev)</t>
        </is>
      </c>
      <c r="B15" s="8">
        <f>IF(COUNT('Income Statement'!B8,'Income Statement'!B4)&lt;2,"n/a",IFERROR('Income Statement'!B8/'Income Statement'!B4,"n/a"))</f>
        <v/>
      </c>
      <c r="C15" s="8">
        <f>IF(COUNT('Income Statement'!C8,'Income Statement'!C4)&lt;2,"n/a",IFERROR('Income Statement'!C8/'Income Statement'!C4,"n/a"))</f>
        <v/>
      </c>
      <c r="D15" s="8">
        <f>IF(COUNT('Income Statement'!D8,'Income Statement'!D4)&lt;2,"n/a",IFERROR('Income Statement'!D8/'Income Statement'!D4,"n/a"))</f>
        <v/>
      </c>
      <c r="E15" s="8">
        <f>IF(COUNT('Income Statement'!E8,'Income Statement'!E4)&lt;2,"n/a",IFERROR('Income Statement'!E8/'Income Statement'!E4,"n/a"))</f>
        <v/>
      </c>
    </row>
    <row r="16">
      <c r="A16" s="6" t="inlineStr">
        <is>
          <t>Asset Turnover (Rev / Assets)</t>
        </is>
      </c>
      <c r="B16" s="9">
        <f>IF(COUNT('Income Statement'!B4,'Balance Sheet'!B13)&lt;2,"n/a",IFERROR('Income Statement'!B4/'Balance Sheet'!B13,"n/a"))</f>
        <v/>
      </c>
      <c r="C16" s="9">
        <f>IF(COUNT('Income Statement'!C4,'Balance Sheet'!C13)&lt;2,"n/a",IFERROR('Income Statement'!C4/'Balance Sheet'!C13,"n/a"))</f>
        <v/>
      </c>
      <c r="D16" s="9">
        <f>IF(COUNT('Income Statement'!D4,'Balance Sheet'!D13)&lt;2,"n/a",IFERROR('Income Statement'!D4/'Balance Sheet'!D13,"n/a"))</f>
        <v/>
      </c>
      <c r="E16" s="9">
        <f>IF(COUNT('Income Statement'!E4,'Balance Sheet'!E13)&lt;2,"n/a",IFERROR('Income Statement'!E4/'Balance Sheet'!E13,"n/a"))</f>
        <v/>
      </c>
    </row>
    <row r="17">
      <c r="A17" s="6" t="inlineStr">
        <is>
          <t>Financial Leverage (Assets / Eq)</t>
        </is>
      </c>
      <c r="B17" s="9">
        <f>IF(COUNT('Balance Sheet'!B13,'Balance Sheet'!B21)&lt;2,"n/a",IFERROR('Balance Sheet'!B13/'Balance Sheet'!B21,"n/a"))</f>
        <v/>
      </c>
      <c r="C17" s="9">
        <f>IF(COUNT('Balance Sheet'!C13,'Balance Sheet'!C21)&lt;2,"n/a",IFERROR('Balance Sheet'!C13/'Balance Sheet'!C21,"n/a"))</f>
        <v/>
      </c>
      <c r="D17" s="9">
        <f>IF(COUNT('Balance Sheet'!D13,'Balance Sheet'!D21)&lt;2,"n/a",IFERROR('Balance Sheet'!D13/'Balance Sheet'!D21,"n/a"))</f>
        <v/>
      </c>
      <c r="E17" s="9">
        <f>IF(COUNT('Balance Sheet'!E13,'Balance Sheet'!E21)&lt;2,"n/a",IFERROR('Balance Sheet'!E13/'Balance Sheet'!E21,"n/a"))</f>
        <v/>
      </c>
    </row>
    <row r="18">
      <c r="A18" s="17" t="inlineStr">
        <is>
          <t>5-Step DuPont ROE</t>
        </is>
      </c>
      <c r="B18" s="29">
        <f>IF(COUNT('DuPont'!B13,'DuPont'!B14,'DuPont'!B15,'DuPont'!B16,'DuPont'!B17)&lt;5,"n/a",IFERROR('DuPont'!B13*'DuPont'!B14*'DuPont'!B15*'DuPont'!B16*'DuPont'!B17,"n/a"))</f>
        <v/>
      </c>
      <c r="C18" s="29">
        <f>IF(COUNT('DuPont'!C13,'DuPont'!C14,'DuPont'!C15,'DuPont'!C16,'DuPont'!C17)&lt;5,"n/a",IFERROR('DuPont'!C13*'DuPont'!C14*'DuPont'!C15*'DuPont'!C16*'DuPont'!C17,"n/a"))</f>
        <v/>
      </c>
      <c r="D18" s="29">
        <f>IF(COUNT('DuPont'!D13,'DuPont'!D14,'DuPont'!D15,'DuPont'!D16,'DuPont'!D17)&lt;5,"n/a",IFERROR('DuPont'!D13*'DuPont'!D14*'DuPont'!D15*'DuPont'!D16*'DuPont'!D17,"n/a"))</f>
        <v/>
      </c>
      <c r="E18" s="29">
        <f>IF(COUNT('DuPont'!E13,'DuPont'!E14,'DuPont'!E15,'DuPont'!E16,'DuPont'!E17)&lt;5,"n/a",IFERROR('DuPont'!E13*'DuPont'!E14*'DuPont'!E15*'DuPont'!E16*'DuPont'!E17,"n/a"))</f>
        <v/>
      </c>
    </row>
    <row r="19">
      <c r="A19" s="6" t="inlineStr">
        <is>
          <t>Check: 5-step - ROE</t>
        </is>
      </c>
      <c r="B19" s="30">
        <f>IF(COUNT('DuPont'!B18,'DuPont'!B9)&lt;2,"n/a",IFERROR('DuPont'!B18-'DuPont'!B9,"n/a"))</f>
        <v/>
      </c>
      <c r="C19" s="30">
        <f>IF(COUNT('DuPont'!C18,'DuPont'!C9)&lt;2,"n/a",IFERROR('DuPont'!C18-'DuPont'!C9,"n/a"))</f>
        <v/>
      </c>
      <c r="D19" s="30">
        <f>IF(COUNT('DuPont'!D18,'DuPont'!D9)&lt;2,"n/a",IFERROR('DuPont'!D18-'DuPont'!D9,"n/a"))</f>
        <v/>
      </c>
      <c r="E19" s="30">
        <f>IF(COUNT('DuPont'!E18,'DuPont'!E9)&lt;2,"n/a",IFERROR('DuPont'!E18-'DuPont'!E9,"n/a"))</f>
        <v/>
      </c>
      <c r="F19" s="16" t="inlineStr">
        <is>
          <t>should be 0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 ht="30" customHeight="1">
      <c r="A1" s="1" t="inlineStr">
        <is>
          <t>Apple Inc. (AAPL) - Altman Z-Score</t>
        </is>
      </c>
    </row>
    <row r="2" ht="18" customHeight="1">
      <c r="A2" s="2" t="inlineStr">
        <is>
          <t>Z = original 1968 model for public manufacturers (market value of equity). Z'' = 1995 model for non-manufacturers (book equity). Not for banks/insurers.</t>
        </is>
      </c>
    </row>
    <row r="3">
      <c r="A3" s="4" t="inlineStr">
        <is>
          <t>Component</t>
        </is>
      </c>
      <c r="B3" s="5" t="inlineStr">
        <is>
          <t>FY2022</t>
        </is>
      </c>
      <c r="C3" s="5" t="inlineStr">
        <is>
          <t>FY2023</t>
        </is>
      </c>
      <c r="D3" s="5" t="inlineStr">
        <is>
          <t>FY2024</t>
        </is>
      </c>
      <c r="E3" s="5" t="inlineStr">
        <is>
          <t>FY2025</t>
        </is>
      </c>
    </row>
    <row r="4">
      <c r="A4" s="6" t="inlineStr">
        <is>
          <t>X1 (Working Capital / Assets)</t>
        </is>
      </c>
      <c r="B4" s="28">
        <f>IF(COUNT('Balance Sheet'!B22,'Balance Sheet'!B13)&lt;2,"n/a",IFERROR('Balance Sheet'!B22/'Balance Sheet'!B13,"n/a"))</f>
        <v/>
      </c>
      <c r="C4" s="28">
        <f>IF(COUNT('Balance Sheet'!C22,'Balance Sheet'!C13)&lt;2,"n/a",IFERROR('Balance Sheet'!C22/'Balance Sheet'!C13,"n/a"))</f>
        <v/>
      </c>
      <c r="D4" s="28">
        <f>IF(COUNT('Balance Sheet'!D22,'Balance Sheet'!D13)&lt;2,"n/a",IFERROR('Balance Sheet'!D22/'Balance Sheet'!D13,"n/a"))</f>
        <v/>
      </c>
      <c r="E4" s="28">
        <f>IF(COUNT('Balance Sheet'!E22,'Balance Sheet'!E13)&lt;2,"n/a",IFERROR('Balance Sheet'!E22/'Balance Sheet'!E13,"n/a"))</f>
        <v/>
      </c>
    </row>
    <row r="5">
      <c r="A5" s="6" t="inlineStr">
        <is>
          <t>X2 (Retained Earnings / Assets)</t>
        </is>
      </c>
      <c r="B5" s="28">
        <f>IF(COUNT('Balance Sheet'!B20,'Balance Sheet'!B13)&lt;2,"n/a",IFERROR('Balance Sheet'!B20/'Balance Sheet'!B13,"n/a"))</f>
        <v/>
      </c>
      <c r="C5" s="28">
        <f>IF(COUNT('Balance Sheet'!C20,'Balance Sheet'!C13)&lt;2,"n/a",IFERROR('Balance Sheet'!C20/'Balance Sheet'!C13,"n/a"))</f>
        <v/>
      </c>
      <c r="D5" s="28">
        <f>IF(COUNT('Balance Sheet'!D20,'Balance Sheet'!D13)&lt;2,"n/a",IFERROR('Balance Sheet'!D20/'Balance Sheet'!D13,"n/a"))</f>
        <v/>
      </c>
      <c r="E5" s="28">
        <f>IF(COUNT('Balance Sheet'!E20,'Balance Sheet'!E13)&lt;2,"n/a",IFERROR('Balance Sheet'!E20/'Balance Sheet'!E13,"n/a"))</f>
        <v/>
      </c>
    </row>
    <row r="6">
      <c r="A6" s="6" t="inlineStr">
        <is>
          <t>X3 (EBIT / Assets)</t>
        </is>
      </c>
      <c r="B6" s="28">
        <f>IF(COUNT('Income Statement'!B8,'Balance Sheet'!B13)&lt;2,"n/a",IFERROR('Income Statement'!B8/'Balance Sheet'!B13,"n/a"))</f>
        <v/>
      </c>
      <c r="C6" s="28">
        <f>IF(COUNT('Income Statement'!C8,'Balance Sheet'!C13)&lt;2,"n/a",IFERROR('Income Statement'!C8/'Balance Sheet'!C13,"n/a"))</f>
        <v/>
      </c>
      <c r="D6" s="28">
        <f>IF(COUNT('Income Statement'!D8,'Balance Sheet'!D13)&lt;2,"n/a",IFERROR('Income Statement'!D8/'Balance Sheet'!D13,"n/a"))</f>
        <v/>
      </c>
      <c r="E6" s="28">
        <f>IF(COUNT('Income Statement'!E8,'Balance Sheet'!E13)&lt;2,"n/a",IFERROR('Income Statement'!E8/'Balance Sheet'!E13,"n/a"))</f>
        <v/>
      </c>
      <c r="F6" s="16" t="inlineStr">
        <is>
          <t>EBIT = operating income</t>
        </is>
      </c>
    </row>
    <row r="7">
      <c r="A7" s="6" t="inlineStr">
        <is>
          <t>X4 (Market Value of Equity / Liabilities)</t>
        </is>
      </c>
      <c r="B7" s="28">
        <f>IF(COUNT('Balance Sheet'!B27,'Balance Sheet'!B19)&lt;2,"n/a",IFERROR('Balance Sheet'!B27/'Balance Sheet'!B19,"n/a"))</f>
        <v/>
      </c>
      <c r="C7" s="28">
        <f>IF(COUNT('Balance Sheet'!C27,'Balance Sheet'!C19)&lt;2,"n/a",IFERROR('Balance Sheet'!C27/'Balance Sheet'!C19,"n/a"))</f>
        <v/>
      </c>
      <c r="D7" s="28">
        <f>IF(COUNT('Balance Sheet'!D27,'Balance Sheet'!D19)&lt;2,"n/a",IFERROR('Balance Sheet'!D27/'Balance Sheet'!D19,"n/a"))</f>
        <v/>
      </c>
      <c r="E7" s="28">
        <f>IF(COUNT('Balance Sheet'!E27,'Balance Sheet'!E19)&lt;2,"n/a",IFERROR('Balance Sheet'!E27/'Balance Sheet'!E19,"n/a"))</f>
        <v/>
      </c>
    </row>
    <row r="8">
      <c r="A8" s="6" t="inlineStr">
        <is>
          <t>X4'' (Book Equity / Liabilities)</t>
        </is>
      </c>
      <c r="B8" s="28">
        <f>IF(COUNT('Balance Sheet'!B21,'Balance Sheet'!B19)&lt;2,"n/a",IFERROR('Balance Sheet'!B21/'Balance Sheet'!B19,"n/a"))</f>
        <v/>
      </c>
      <c r="C8" s="28">
        <f>IF(COUNT('Balance Sheet'!C21,'Balance Sheet'!C19)&lt;2,"n/a",IFERROR('Balance Sheet'!C21/'Balance Sheet'!C19,"n/a"))</f>
        <v/>
      </c>
      <c r="D8" s="28">
        <f>IF(COUNT('Balance Sheet'!D21,'Balance Sheet'!D19)&lt;2,"n/a",IFERROR('Balance Sheet'!D21/'Balance Sheet'!D19,"n/a"))</f>
        <v/>
      </c>
      <c r="E8" s="28">
        <f>IF(COUNT('Balance Sheet'!E21,'Balance Sheet'!E19)&lt;2,"n/a",IFERROR('Balance Sheet'!E21/'Balance Sheet'!E19,"n/a"))</f>
        <v/>
      </c>
    </row>
    <row r="9">
      <c r="A9" s="6" t="inlineStr">
        <is>
          <t>X5 (Revenue / Assets)</t>
        </is>
      </c>
      <c r="B9" s="28">
        <f>IF(COUNT('Income Statement'!B4,'Balance Sheet'!B13)&lt;2,"n/a",IFERROR('Income Statement'!B4/'Balance Sheet'!B13,"n/a"))</f>
        <v/>
      </c>
      <c r="C9" s="28">
        <f>IF(COUNT('Income Statement'!C4,'Balance Sheet'!C13)&lt;2,"n/a",IFERROR('Income Statement'!C4/'Balance Sheet'!C13,"n/a"))</f>
        <v/>
      </c>
      <c r="D9" s="28">
        <f>IF(COUNT('Income Statement'!D4,'Balance Sheet'!D13)&lt;2,"n/a",IFERROR('Income Statement'!D4/'Balance Sheet'!D13,"n/a"))</f>
        <v/>
      </c>
      <c r="E9" s="28">
        <f>IF(COUNT('Income Statement'!E4,'Balance Sheet'!E13)&lt;2,"n/a",IFERROR('Income Statement'!E4/'Balance Sheet'!E13,"n/a"))</f>
        <v/>
      </c>
    </row>
    <row r="11">
      <c r="A11" s="17" t="inlineStr">
        <is>
          <t>Altman Z-Score</t>
        </is>
      </c>
      <c r="B11" s="31">
        <f>IF(COUNT('Altman Z'!B4,'Altman Z'!B5,'Altman Z'!B6,'Altman Z'!B7,'Altman Z'!B9)&lt;5,"n/a",IFERROR(1.2*'Altman Z'!B4+1.4*'Altman Z'!B5+3.3*'Altman Z'!B6+0.6*'Altman Z'!B7+0.999*'Altman Z'!B9,"n/a"))</f>
        <v/>
      </c>
      <c r="C11" s="31">
        <f>IF(COUNT('Altman Z'!C4,'Altman Z'!C5,'Altman Z'!C6,'Altman Z'!C7,'Altman Z'!C9)&lt;5,"n/a",IFERROR(1.2*'Altman Z'!C4+1.4*'Altman Z'!C5+3.3*'Altman Z'!C6+0.6*'Altman Z'!C7+0.999*'Altman Z'!C9,"n/a"))</f>
        <v/>
      </c>
      <c r="D11" s="31">
        <f>IF(COUNT('Altman Z'!D4,'Altman Z'!D5,'Altman Z'!D6,'Altman Z'!D7,'Altman Z'!D9)&lt;5,"n/a",IFERROR(1.2*'Altman Z'!D4+1.4*'Altman Z'!D5+3.3*'Altman Z'!D6+0.6*'Altman Z'!D7+0.999*'Altman Z'!D9,"n/a"))</f>
        <v/>
      </c>
      <c r="E11" s="31">
        <f>IF(COUNT('Altman Z'!E4,'Altman Z'!E5,'Altman Z'!E6,'Altman Z'!E7,'Altman Z'!E9)&lt;5,"n/a",IFERROR(1.2*'Altman Z'!E4+1.4*'Altman Z'!E5+3.3*'Altman Z'!E6+0.6*'Altman Z'!E7+0.999*'Altman Z'!E9,"n/a"))</f>
        <v/>
      </c>
      <c r="F11" s="16" t="inlineStr">
        <is>
          <t>1.2 X1 + 1.4 X2 + 3.3 X3 + 0.6 X4 + 0.999 X5</t>
        </is>
      </c>
    </row>
    <row r="12">
      <c r="A12" s="6" t="inlineStr">
        <is>
          <t>Zone (Original)</t>
        </is>
      </c>
      <c r="B12" s="12">
        <f>IF(ISNUMBER('Altman Z'!B11),IF('Altman Z'!B11&gt;2.99,"Safe Zone",IF('Altman Z'!B11&gt;=1.81,"Grey Zone","Distress Zone")),"n/a")</f>
        <v/>
      </c>
      <c r="C12" s="12">
        <f>IF(ISNUMBER('Altman Z'!C11),IF('Altman Z'!C11&gt;2.99,"Safe Zone",IF('Altman Z'!C11&gt;=1.81,"Grey Zone","Distress Zone")),"n/a")</f>
        <v/>
      </c>
      <c r="D12" s="12">
        <f>IF(ISNUMBER('Altman Z'!D11),IF('Altman Z'!D11&gt;2.99,"Safe Zone",IF('Altman Z'!D11&gt;=1.81,"Grey Zone","Distress Zone")),"n/a")</f>
        <v/>
      </c>
      <c r="E12" s="12">
        <f>IF(ISNUMBER('Altman Z'!E11),IF('Altman Z'!E11&gt;2.99,"Safe Zone",IF('Altman Z'!E11&gt;=1.81,"Grey Zone","Distress Zone")),"n/a")</f>
        <v/>
      </c>
      <c r="F12" s="16" t="inlineStr">
        <is>
          <t>&gt; 2.99 safe, 1.81-2.99 grey, &lt; 1.81 distress</t>
        </is>
      </c>
    </row>
    <row r="13">
      <c r="A13" s="17" t="inlineStr">
        <is>
          <t>Altman Z''-Score (Non-Mfg)</t>
        </is>
      </c>
      <c r="B13" s="31">
        <f>IF(COUNT('Altman Z'!B4,'Altman Z'!B5,'Altman Z'!B6,'Altman Z'!B8)&lt;4,"n/a",IFERROR(6.56*'Altman Z'!B4+3.26*'Altman Z'!B5+6.72*'Altman Z'!B6+1.05*'Altman Z'!B8,"n/a"))</f>
        <v/>
      </c>
      <c r="C13" s="31">
        <f>IF(COUNT('Altman Z'!C4,'Altman Z'!C5,'Altman Z'!C6,'Altman Z'!C8)&lt;4,"n/a",IFERROR(6.56*'Altman Z'!C4+3.26*'Altman Z'!C5+6.72*'Altman Z'!C6+1.05*'Altman Z'!C8,"n/a"))</f>
        <v/>
      </c>
      <c r="D13" s="31">
        <f>IF(COUNT('Altman Z'!D4,'Altman Z'!D5,'Altman Z'!D6,'Altman Z'!D8)&lt;4,"n/a",IFERROR(6.56*'Altman Z'!D4+3.26*'Altman Z'!D5+6.72*'Altman Z'!D6+1.05*'Altman Z'!D8,"n/a"))</f>
        <v/>
      </c>
      <c r="E13" s="31">
        <f>IF(COUNT('Altman Z'!E4,'Altman Z'!E5,'Altman Z'!E6,'Altman Z'!E8)&lt;4,"n/a",IFERROR(6.56*'Altman Z'!E4+3.26*'Altman Z'!E5+6.72*'Altman Z'!E6+1.05*'Altman Z'!E8,"n/a"))</f>
        <v/>
      </c>
      <c r="F13" s="16" t="inlineStr">
        <is>
          <t>6.56 X1 + 3.26 X2 + 6.72 X3 + 1.05 X4''</t>
        </is>
      </c>
    </row>
    <row r="14">
      <c r="A14" s="6" t="inlineStr">
        <is>
          <t>Zone (Non-Mfg)</t>
        </is>
      </c>
      <c r="B14" s="12">
        <f>IF(ISNUMBER('Altman Z'!B13),IF('Altman Z'!B13&gt;2.6,"Safe Zone",IF('Altman Z'!B13&gt;=1.1,"Grey Zone","Distress Zone")),"n/a")</f>
        <v/>
      </c>
      <c r="C14" s="12">
        <f>IF(ISNUMBER('Altman Z'!C13),IF('Altman Z'!C13&gt;2.6,"Safe Zone",IF('Altman Z'!C13&gt;=1.1,"Grey Zone","Distress Zone")),"n/a")</f>
        <v/>
      </c>
      <c r="D14" s="12">
        <f>IF(ISNUMBER('Altman Z'!D13),IF('Altman Z'!D13&gt;2.6,"Safe Zone",IF('Altman Z'!D13&gt;=1.1,"Grey Zone","Distress Zone")),"n/a")</f>
        <v/>
      </c>
      <c r="E14" s="12">
        <f>IF(ISNUMBER('Altman Z'!E13),IF('Altman Z'!E13&gt;2.6,"Safe Zone",IF('Altman Z'!E13&gt;=1.1,"Grey Zone","Distress Zone")),"n/a")</f>
        <v/>
      </c>
      <c r="F14" s="16" t="inlineStr">
        <is>
          <t>&gt; 2.60 safe, 1.10-2.60 grey, &lt; 1.10 distress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2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30" customHeight="1">
      <c r="A1" s="1" t="inlineStr">
        <is>
          <t>Apple Inc. (AAPL) - Piotroski F-Score</t>
        </is>
      </c>
    </row>
    <row r="2" ht="18" customHeight="1">
      <c r="A2" s="2" t="inlineStr">
        <is>
          <t>Piotroski (2000): 9 yes/no signals for year t vs t-1. ROA and turnover use beginning-of-year assets. Total shown only when all 9 signals are measurable.</t>
        </is>
      </c>
    </row>
    <row r="3">
      <c r="A3" s="4" t="inlineStr">
        <is>
          <t>Helper / signal</t>
        </is>
      </c>
      <c r="B3" s="5" t="inlineStr">
        <is>
          <t>FY2022</t>
        </is>
      </c>
      <c r="C3" s="5" t="inlineStr">
        <is>
          <t>FY2023</t>
        </is>
      </c>
      <c r="D3" s="5" t="inlineStr">
        <is>
          <t>FY2024</t>
        </is>
      </c>
      <c r="E3" s="5" t="inlineStr">
        <is>
          <t>FY2025</t>
        </is>
      </c>
    </row>
    <row r="4">
      <c r="A4" s="21" t="inlineStr">
        <is>
          <t>Helper rows</t>
        </is>
      </c>
      <c r="B4" s="22" t="n"/>
      <c r="C4" s="22" t="n"/>
      <c r="D4" s="22" t="n"/>
      <c r="E4" s="22" t="n"/>
    </row>
    <row r="5">
      <c r="A5" s="6" t="inlineStr">
        <is>
          <t>ROA (NI / beginning assets)</t>
        </is>
      </c>
      <c r="B5" s="8" t="inlineStr">
        <is>
          <t>n/a</t>
        </is>
      </c>
      <c r="C5" s="8">
        <f>IF(COUNT('Income Statement'!C12,'Balance Sheet'!B13)&lt;2,"n/a",IFERROR('Income Statement'!C12/'Balance Sheet'!B13,"n/a"))</f>
        <v/>
      </c>
      <c r="D5" s="8">
        <f>IF(COUNT('Income Statement'!D12,'Balance Sheet'!C13)&lt;2,"n/a",IFERROR('Income Statement'!D12/'Balance Sheet'!C13,"n/a"))</f>
        <v/>
      </c>
      <c r="E5" s="8">
        <f>IF(COUNT('Income Statement'!E12,'Balance Sheet'!D13)&lt;2,"n/a",IFERROR('Income Statement'!E12/'Balance Sheet'!D13,"n/a"))</f>
        <v/>
      </c>
    </row>
    <row r="6">
      <c r="A6" s="6" t="inlineStr">
        <is>
          <t>Asset Turnover (Sales / beginning assets)</t>
        </is>
      </c>
      <c r="B6" s="9" t="inlineStr">
        <is>
          <t>n/a</t>
        </is>
      </c>
      <c r="C6" s="9">
        <f>IF(COUNT('Income Statement'!C4,'Balance Sheet'!B13)&lt;2,"n/a",IFERROR('Income Statement'!C4/'Balance Sheet'!B13,"n/a"))</f>
        <v/>
      </c>
      <c r="D6" s="9">
        <f>IF(COUNT('Income Statement'!D4,'Balance Sheet'!C13)&lt;2,"n/a",IFERROR('Income Statement'!D4/'Balance Sheet'!C13,"n/a"))</f>
        <v/>
      </c>
      <c r="E6" s="9">
        <f>IF(COUNT('Income Statement'!E4,'Balance Sheet'!D13)&lt;2,"n/a",IFERROR('Income Statement'!E4/'Balance Sheet'!D13,"n/a"))</f>
        <v/>
      </c>
    </row>
    <row r="7">
      <c r="A7" s="6" t="inlineStr">
        <is>
          <t>Long-Term Debt / avg. Assets</t>
        </is>
      </c>
      <c r="B7" s="28" t="inlineStr">
        <is>
          <t>n/a</t>
        </is>
      </c>
      <c r="C7" s="28">
        <f>IF(COUNT('Balance Sheet'!C13,'Balance Sheet'!B13)&lt;2,"n/a",IF(COUNT('Balance Sheet'!C17)=1,'Balance Sheet'!C17/AVERAGE('Balance Sheet'!C13,'Balance Sheet'!B13),IF(N('Balance Sheet'!C18)=0,0,"n/a")))</f>
        <v/>
      </c>
      <c r="D7" s="28">
        <f>IF(COUNT('Balance Sheet'!D13,'Balance Sheet'!C13)&lt;2,"n/a",IF(COUNT('Balance Sheet'!D17)=1,'Balance Sheet'!D17/AVERAGE('Balance Sheet'!D13,'Balance Sheet'!C13),IF(N('Balance Sheet'!D18)=0,0,"n/a")))</f>
        <v/>
      </c>
      <c r="E7" s="28">
        <f>IF(COUNT('Balance Sheet'!E13,'Balance Sheet'!D13)&lt;2,"n/a",IF(COUNT('Balance Sheet'!E17)=1,'Balance Sheet'!E17/AVERAGE('Balance Sheet'!E13,'Balance Sheet'!D13),IF(N('Balance Sheet'!E18)=0,0,"n/a")))</f>
        <v/>
      </c>
      <c r="F7" s="16" t="inlineStr">
        <is>
          <t>no debt reported at all -&gt; 0</t>
        </is>
      </c>
    </row>
    <row r="8">
      <c r="A8" s="6" t="inlineStr">
        <is>
          <t>Current Ratio</t>
        </is>
      </c>
      <c r="B8" s="9">
        <f>IF(COUNT('Balance Sheet'!B10,'Balance Sheet'!B16)&lt;2,"n/a",IFERROR('Balance Sheet'!B10/'Balance Sheet'!B16,"n/a"))</f>
        <v/>
      </c>
      <c r="C8" s="9">
        <f>IF(COUNT('Balance Sheet'!C10,'Balance Sheet'!C16)&lt;2,"n/a",IFERROR('Balance Sheet'!C10/'Balance Sheet'!C16,"n/a"))</f>
        <v/>
      </c>
      <c r="D8" s="9">
        <f>IF(COUNT('Balance Sheet'!D10,'Balance Sheet'!D16)&lt;2,"n/a",IFERROR('Balance Sheet'!D10/'Balance Sheet'!D16,"n/a"))</f>
        <v/>
      </c>
      <c r="E8" s="9">
        <f>IF(COUNT('Balance Sheet'!E10,'Balance Sheet'!E16)&lt;2,"n/a",IFERROR('Balance Sheet'!E10/'Balance Sheet'!E16,"n/a"))</f>
        <v/>
      </c>
    </row>
    <row r="9">
      <c r="A9" s="6" t="inlineStr">
        <is>
          <t>Gross Margin</t>
        </is>
      </c>
      <c r="B9" s="8">
        <f>IF(COUNT('Income Statement'!B6,'Income Statement'!B4)&lt;2,"n/a",IFERROR('Income Statement'!B6/'Income Statement'!B4,"n/a"))</f>
        <v/>
      </c>
      <c r="C9" s="8">
        <f>IF(COUNT('Income Statement'!C6,'Income Statement'!C4)&lt;2,"n/a",IFERROR('Income Statement'!C6/'Income Statement'!C4,"n/a"))</f>
        <v/>
      </c>
      <c r="D9" s="8">
        <f>IF(COUNT('Income Statement'!D6,'Income Statement'!D4)&lt;2,"n/a",IFERROR('Income Statement'!D6/'Income Statement'!D4,"n/a"))</f>
        <v/>
      </c>
      <c r="E9" s="8">
        <f>IF(COUNT('Income Statement'!E6,'Income Statement'!E4)&lt;2,"n/a",IFERROR('Income Statement'!E6/'Income Statement'!E4,"n/a"))</f>
        <v/>
      </c>
    </row>
    <row r="10">
      <c r="A10" s="6" t="inlineStr">
        <is>
          <t>Shares (outstanding, else diluted avg.)</t>
        </is>
      </c>
      <c r="B10" s="7">
        <f>IF(COUNT('Balance Sheet'!B23)=1,'Balance Sheet'!B23,IF(COUNT('Income Statement'!B14)=1,'Income Statement'!B14,"n/a"))</f>
        <v/>
      </c>
      <c r="C10" s="7">
        <f>IF(COUNT('Balance Sheet'!C23)=1,'Balance Sheet'!C23,IF(COUNT('Income Statement'!C14)=1,'Income Statement'!C14,"n/a"))</f>
        <v/>
      </c>
      <c r="D10" s="7">
        <f>IF(COUNT('Balance Sheet'!D23)=1,'Balance Sheet'!D23,IF(COUNT('Income Statement'!D14)=1,'Income Statement'!D14,"n/a"))</f>
        <v/>
      </c>
      <c r="E10" s="7">
        <f>IF(COUNT('Balance Sheet'!E23)=1,'Balance Sheet'!E23,IF(COUNT('Income Statement'!E14)=1,'Income Statement'!E14,"n/a"))</f>
        <v/>
      </c>
    </row>
    <row r="12">
      <c r="A12" s="21" t="inlineStr">
        <is>
          <t>Signals (1 = pass, 0 = fail, n/a = not measurable)</t>
        </is>
      </c>
      <c r="B12" s="22" t="n"/>
      <c r="C12" s="22" t="n"/>
      <c r="D12" s="22" t="n"/>
      <c r="E12" s="22" t="n"/>
    </row>
    <row r="13">
      <c r="A13" s="6" t="inlineStr">
        <is>
          <t>1. Positive ROA (NI / beginning assets &gt; 0)</t>
        </is>
      </c>
      <c r="B13" s="13">
        <f>IF(COUNT('Piotroski'!B5)&lt;1,"n/a",IF('Piotroski'!B5&gt;0,1,0))</f>
        <v/>
      </c>
      <c r="C13" s="13">
        <f>IF(COUNT('Piotroski'!C5)&lt;1,"n/a",IF('Piotroski'!C5&gt;0,1,0))</f>
        <v/>
      </c>
      <c r="D13" s="13">
        <f>IF(COUNT('Piotroski'!D5)&lt;1,"n/a",IF('Piotroski'!D5&gt;0,1,0))</f>
        <v/>
      </c>
      <c r="E13" s="13">
        <f>IF(COUNT('Piotroski'!E5)&lt;1,"n/a",IF('Piotroski'!E5&gt;0,1,0))</f>
        <v/>
      </c>
    </row>
    <row r="14">
      <c r="A14" s="6" t="inlineStr">
        <is>
          <t>2. Positive Operating Cash Flow (CFO &gt; 0)</t>
        </is>
      </c>
      <c r="B14" s="13">
        <f>IF(COUNT('Cash Flow'!B4)&lt;1,"n/a",IF('Cash Flow'!B4&gt;0,1,0))</f>
        <v/>
      </c>
      <c r="C14" s="13">
        <f>IF(COUNT('Cash Flow'!C4)&lt;1,"n/a",IF('Cash Flow'!C4&gt;0,1,0))</f>
        <v/>
      </c>
      <c r="D14" s="13">
        <f>IF(COUNT('Cash Flow'!D4)&lt;1,"n/a",IF('Cash Flow'!D4&gt;0,1,0))</f>
        <v/>
      </c>
      <c r="E14" s="13">
        <f>IF(COUNT('Cash Flow'!E4)&lt;1,"n/a",IF('Cash Flow'!E4&gt;0,1,0))</f>
        <v/>
      </c>
    </row>
    <row r="15">
      <c r="A15" s="6" t="inlineStr">
        <is>
          <t>3. Higher ROA than last year</t>
        </is>
      </c>
      <c r="B15" s="13" t="inlineStr">
        <is>
          <t>n/a</t>
        </is>
      </c>
      <c r="C15" s="13">
        <f>IF(COUNT('Piotroski'!C5,'Piotroski'!B5)&lt;2,"n/a",IF('Piotroski'!C5&gt;'Piotroski'!B5,1,0))</f>
        <v/>
      </c>
      <c r="D15" s="13">
        <f>IF(COUNT('Piotroski'!D5,'Piotroski'!C5)&lt;2,"n/a",IF('Piotroski'!D5&gt;'Piotroski'!C5,1,0))</f>
        <v/>
      </c>
      <c r="E15" s="13">
        <f>IF(COUNT('Piotroski'!E5,'Piotroski'!D5)&lt;2,"n/a",IF('Piotroski'!E5&gt;'Piotroski'!D5,1,0))</f>
        <v/>
      </c>
    </row>
    <row r="16">
      <c r="A16" s="6" t="inlineStr">
        <is>
          <t>4. Quality of Earnings (CFO &gt; Net Income)</t>
        </is>
      </c>
      <c r="B16" s="13">
        <f>IF(COUNT('Cash Flow'!B4,'Income Statement'!B12)&lt;2,"n/a",IF('Cash Flow'!B4&gt;'Income Statement'!B12,1,0))</f>
        <v/>
      </c>
      <c r="C16" s="13">
        <f>IF(COUNT('Cash Flow'!C4,'Income Statement'!C12)&lt;2,"n/a",IF('Cash Flow'!C4&gt;'Income Statement'!C12,1,0))</f>
        <v/>
      </c>
      <c r="D16" s="13">
        <f>IF(COUNT('Cash Flow'!D4,'Income Statement'!D12)&lt;2,"n/a",IF('Cash Flow'!D4&gt;'Income Statement'!D12,1,0))</f>
        <v/>
      </c>
      <c r="E16" s="13">
        <f>IF(COUNT('Cash Flow'!E4,'Income Statement'!E12)&lt;2,"n/a",IF('Cash Flow'!E4&gt;'Income Statement'!E12,1,0))</f>
        <v/>
      </c>
    </row>
    <row r="17">
      <c r="A17" s="6" t="inlineStr">
        <is>
          <t>5. Lower Long-Term Debt / avg. Assets</t>
        </is>
      </c>
      <c r="B17" s="13" t="inlineStr">
        <is>
          <t>n/a</t>
        </is>
      </c>
      <c r="C17" s="13">
        <f>IF(COUNT('Piotroski'!C7,'Piotroski'!B7)&lt;2,"n/a",IF(OR('Piotroski'!C7&lt;'Piotroski'!B7,AND('Piotroski'!C7=0,'Piotroski'!B7=0)),1,0))</f>
        <v/>
      </c>
      <c r="D17" s="13">
        <f>IF(COUNT('Piotroski'!D7,'Piotroski'!C7)&lt;2,"n/a",IF(OR('Piotroski'!D7&lt;'Piotroski'!C7,AND('Piotroski'!D7=0,'Piotroski'!C7=0)),1,0))</f>
        <v/>
      </c>
      <c r="E17" s="13">
        <f>IF(COUNT('Piotroski'!E7,'Piotroski'!D7)&lt;2,"n/a",IF(OR('Piotroski'!E7&lt;'Piotroski'!D7,AND('Piotroski'!E7=0,'Piotroski'!D7=0)),1,0))</f>
        <v/>
      </c>
    </row>
    <row r="18">
      <c r="A18" s="6" t="inlineStr">
        <is>
          <t>6. Higher Current Ratio</t>
        </is>
      </c>
      <c r="B18" s="13" t="inlineStr">
        <is>
          <t>n/a</t>
        </is>
      </c>
      <c r="C18" s="13">
        <f>IF(COUNT('Piotroski'!C8,'Piotroski'!B8)&lt;2,"n/a",IF('Piotroski'!C8&gt;'Piotroski'!B8,1,0))</f>
        <v/>
      </c>
      <c r="D18" s="13">
        <f>IF(COUNT('Piotroski'!D8,'Piotroski'!C8)&lt;2,"n/a",IF('Piotroski'!D8&gt;'Piotroski'!C8,1,0))</f>
        <v/>
      </c>
      <c r="E18" s="13">
        <f>IF(COUNT('Piotroski'!E8,'Piotroski'!D8)&lt;2,"n/a",IF('Piotroski'!E8&gt;'Piotroski'!D8,1,0))</f>
        <v/>
      </c>
    </row>
    <row r="19">
      <c r="A19" s="6" t="inlineStr">
        <is>
          <t>7. No New Shares Issued</t>
        </is>
      </c>
      <c r="B19" s="13" t="inlineStr">
        <is>
          <t>n/a</t>
        </is>
      </c>
      <c r="C19" s="13">
        <f>IF(COUNT('Piotroski'!C10,'Piotroski'!B10)&lt;2,"n/a",IF('Piotroski'!C10&lt;='Piotroski'!B10,1,0))</f>
        <v/>
      </c>
      <c r="D19" s="13">
        <f>IF(COUNT('Piotroski'!D10,'Piotroski'!C10)&lt;2,"n/a",IF('Piotroski'!D10&lt;='Piotroski'!C10,1,0))</f>
        <v/>
      </c>
      <c r="E19" s="13">
        <f>IF(COUNT('Piotroski'!E10,'Piotroski'!D10)&lt;2,"n/a",IF('Piotroski'!E10&lt;='Piotroski'!D10,1,0))</f>
        <v/>
      </c>
    </row>
    <row r="20">
      <c r="A20" s="6" t="inlineStr">
        <is>
          <t>8. Higher Gross Margin</t>
        </is>
      </c>
      <c r="B20" s="13" t="inlineStr">
        <is>
          <t>n/a</t>
        </is>
      </c>
      <c r="C20" s="13">
        <f>IF(COUNT('Piotroski'!C9,'Piotroski'!B9)&lt;2,"n/a",IF('Piotroski'!C9&gt;'Piotroski'!B9,1,0))</f>
        <v/>
      </c>
      <c r="D20" s="13">
        <f>IF(COUNT('Piotroski'!D9,'Piotroski'!C9)&lt;2,"n/a",IF('Piotroski'!D9&gt;'Piotroski'!C9,1,0))</f>
        <v/>
      </c>
      <c r="E20" s="13">
        <f>IF(COUNT('Piotroski'!E9,'Piotroski'!D9)&lt;2,"n/a",IF('Piotroski'!E9&gt;'Piotroski'!D9,1,0))</f>
        <v/>
      </c>
    </row>
    <row r="21">
      <c r="A21" s="6" t="inlineStr">
        <is>
          <t>9. Higher Asset Turnover (Sales / beginning assets)</t>
        </is>
      </c>
      <c r="B21" s="13" t="inlineStr">
        <is>
          <t>n/a</t>
        </is>
      </c>
      <c r="C21" s="13">
        <f>IF(COUNT('Piotroski'!C6,'Piotroski'!B6)&lt;2,"n/a",IF('Piotroski'!C6&gt;'Piotroski'!B6,1,0))</f>
        <v/>
      </c>
      <c r="D21" s="13">
        <f>IF(COUNT('Piotroski'!D6,'Piotroski'!C6)&lt;2,"n/a",IF('Piotroski'!D6&gt;'Piotroski'!C6,1,0))</f>
        <v/>
      </c>
      <c r="E21" s="13">
        <f>IF(COUNT('Piotroski'!E6,'Piotroski'!D6)&lt;2,"n/a",IF('Piotroski'!E6&gt;'Piotroski'!D6,1,0))</f>
        <v/>
      </c>
    </row>
    <row r="22">
      <c r="A22" s="17" t="inlineStr">
        <is>
          <t>Total Piotroski F-Score</t>
        </is>
      </c>
      <c r="B22" s="32">
        <f>IF(COUNT(B13:B21)=9,SUM(B13:B21),"n/a")</f>
        <v/>
      </c>
      <c r="C22" s="32">
        <f>IF(COUNT(C13:C21)=9,SUM(C13:C21),"n/a")</f>
        <v/>
      </c>
      <c r="D22" s="32">
        <f>IF(COUNT(D13:D21)=9,SUM(D13:D21),"n/a")</f>
        <v/>
      </c>
      <c r="E22" s="32">
        <f>IF(COUNT(E13:E21)=9,SUM(E13:E21),"n/a")</f>
        <v/>
      </c>
    </row>
    <row r="23">
      <c r="A23" s="6" t="inlineStr">
        <is>
          <t>Signals Available</t>
        </is>
      </c>
      <c r="B23" s="12">
        <f>COUNT(B13:B21)&amp;"/9"</f>
        <v/>
      </c>
      <c r="C23" s="12">
        <f>COUNT(C13:C21)&amp;"/9"</f>
        <v/>
      </c>
      <c r="D23" s="12">
        <f>COUNT(D13:D21)&amp;"/9"</f>
        <v/>
      </c>
      <c r="E23" s="12">
        <f>COUNT(E13:E21)&amp;"/9"</f>
        <v/>
      </c>
    </row>
    <row r="24">
      <c r="A24" s="6" t="inlineStr">
        <is>
          <t>Interpretation</t>
        </is>
      </c>
      <c r="B24" s="12">
        <f>IF(ISNUMBER('Piotroski'!B22),IF('Piotroski'!B22&gt;=8,"Strong (8-9)",IF('Piotroski'!B22&gt;=5,"Moderate (5-7)","Weak (0-4)")),"n/a")</f>
        <v/>
      </c>
      <c r="C24" s="12">
        <f>IF(ISNUMBER('Piotroski'!C22),IF('Piotroski'!C22&gt;=8,"Strong (8-9)",IF('Piotroski'!C22&gt;=5,"Moderate (5-7)","Weak (0-4)")),"n/a")</f>
        <v/>
      </c>
      <c r="D24" s="12">
        <f>IF(ISNUMBER('Piotroski'!D22),IF('Piotroski'!D22&gt;=8,"Strong (8-9)",IF('Piotroski'!D22&gt;=5,"Moderate (5-7)","Weak (0-4)")),"n/a")</f>
        <v/>
      </c>
      <c r="E24" s="12">
        <f>IF(ISNUMBER('Piotroski'!E22),IF('Piotroski'!E22&gt;=8,"Strong (8-9)",IF('Piotroski'!E22&gt;=5,"Moderate (5-7)","Weak (0-4)")),"n/a")</f>
        <v/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3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0" customHeight="1">
      <c r="A1" s="1" t="inlineStr">
        <is>
          <t>Apple Inc. (AAPL) - Common-Size Statements</t>
        </is>
      </c>
    </row>
    <row r="2" ht="18" customHeight="1">
      <c r="A2" s="2" t="inlineStr">
        <is>
          <t>Income statement lines as % of revenue; balance-sheet lines as % of total assets.</t>
        </is>
      </c>
    </row>
    <row r="3">
      <c r="A3" s="4" t="inlineStr">
        <is>
          <t>Line item</t>
        </is>
      </c>
      <c r="B3" s="5" t="inlineStr">
        <is>
          <t>FY2022</t>
        </is>
      </c>
      <c r="C3" s="5" t="inlineStr">
        <is>
          <t>FY2023</t>
        </is>
      </c>
      <c r="D3" s="5" t="inlineStr">
        <is>
          <t>FY2024</t>
        </is>
      </c>
      <c r="E3" s="5" t="inlineStr">
        <is>
          <t>FY2025</t>
        </is>
      </c>
    </row>
    <row r="4">
      <c r="A4" s="21" t="inlineStr">
        <is>
          <t>Income statement (% of revenue)</t>
        </is>
      </c>
      <c r="B4" s="22" t="n"/>
      <c r="C4" s="22" t="n"/>
      <c r="D4" s="22" t="n"/>
      <c r="E4" s="22" t="n"/>
    </row>
    <row r="5">
      <c r="A5" s="17" t="inlineStr">
        <is>
          <t>Total Revenue</t>
        </is>
      </c>
      <c r="B5" s="29">
        <f>IF(COUNT('Income Statement'!B4,'Income Statement'!B4)&lt;2,"n/a",IFERROR(IF('Income Statement'!B4&lt;=0,"n/a",'Income Statement'!B4/'Income Statement'!B4),"n/a"))</f>
        <v/>
      </c>
      <c r="C5" s="29">
        <f>IF(COUNT('Income Statement'!C4,'Income Statement'!C4)&lt;2,"n/a",IFERROR(IF('Income Statement'!C4&lt;=0,"n/a",'Income Statement'!C4/'Income Statement'!C4),"n/a"))</f>
        <v/>
      </c>
      <c r="D5" s="29">
        <f>IF(COUNT('Income Statement'!D4,'Income Statement'!D4)&lt;2,"n/a",IFERROR(IF('Income Statement'!D4&lt;=0,"n/a",'Income Statement'!D4/'Income Statement'!D4),"n/a"))</f>
        <v/>
      </c>
      <c r="E5" s="29">
        <f>IF(COUNT('Income Statement'!E4,'Income Statement'!E4)&lt;2,"n/a",IFERROR(IF('Income Statement'!E4&lt;=0,"n/a",'Income Statement'!E4/'Income Statement'!E4),"n/a"))</f>
        <v/>
      </c>
    </row>
    <row r="6">
      <c r="A6" s="6" t="inlineStr">
        <is>
          <t>Cost of Revenue (COGS)</t>
        </is>
      </c>
      <c r="B6" s="8">
        <f>IF(COUNT('Income Statement'!B5,'Income Statement'!B4)&lt;2,"n/a",IFERROR(IF('Income Statement'!B4&lt;=0,"n/a",'Income Statement'!B5/'Income Statement'!B4),"n/a"))</f>
        <v/>
      </c>
      <c r="C6" s="8">
        <f>IF(COUNT('Income Statement'!C5,'Income Statement'!C4)&lt;2,"n/a",IFERROR(IF('Income Statement'!C4&lt;=0,"n/a",'Income Statement'!C5/'Income Statement'!C4),"n/a"))</f>
        <v/>
      </c>
      <c r="D6" s="8">
        <f>IF(COUNT('Income Statement'!D5,'Income Statement'!D4)&lt;2,"n/a",IFERROR(IF('Income Statement'!D4&lt;=0,"n/a",'Income Statement'!D5/'Income Statement'!D4),"n/a"))</f>
        <v/>
      </c>
      <c r="E6" s="8">
        <f>IF(COUNT('Income Statement'!E5,'Income Statement'!E4)&lt;2,"n/a",IFERROR(IF('Income Statement'!E4&lt;=0,"n/a",'Income Statement'!E5/'Income Statement'!E4),"n/a"))</f>
        <v/>
      </c>
    </row>
    <row r="7">
      <c r="A7" s="17" t="inlineStr">
        <is>
          <t>Gross Profit</t>
        </is>
      </c>
      <c r="B7" s="29">
        <f>IF(COUNT('Income Statement'!B6,'Income Statement'!B4)&lt;2,"n/a",IFERROR(IF('Income Statement'!B4&lt;=0,"n/a",'Income Statement'!B6/'Income Statement'!B4),"n/a"))</f>
        <v/>
      </c>
      <c r="C7" s="29">
        <f>IF(COUNT('Income Statement'!C6,'Income Statement'!C4)&lt;2,"n/a",IFERROR(IF('Income Statement'!C4&lt;=0,"n/a",'Income Statement'!C6/'Income Statement'!C4),"n/a"))</f>
        <v/>
      </c>
      <c r="D7" s="29">
        <f>IF(COUNT('Income Statement'!D6,'Income Statement'!D4)&lt;2,"n/a",IFERROR(IF('Income Statement'!D4&lt;=0,"n/a",'Income Statement'!D6/'Income Statement'!D4),"n/a"))</f>
        <v/>
      </c>
      <c r="E7" s="29">
        <f>IF(COUNT('Income Statement'!E6,'Income Statement'!E4)&lt;2,"n/a",IFERROR(IF('Income Statement'!E4&lt;=0,"n/a",'Income Statement'!E6/'Income Statement'!E4),"n/a"))</f>
        <v/>
      </c>
    </row>
    <row r="8">
      <c r="A8" s="6" t="inlineStr">
        <is>
          <t>Operating Expenses</t>
        </is>
      </c>
      <c r="B8" s="8">
        <f>IF(COUNT('Income Statement'!B7,'Income Statement'!B4)&lt;2,"n/a",IFERROR(IF('Income Statement'!B4&lt;=0,"n/a",'Income Statement'!B7/'Income Statement'!B4),"n/a"))</f>
        <v/>
      </c>
      <c r="C8" s="8">
        <f>IF(COUNT('Income Statement'!C7,'Income Statement'!C4)&lt;2,"n/a",IFERROR(IF('Income Statement'!C4&lt;=0,"n/a",'Income Statement'!C7/'Income Statement'!C4),"n/a"))</f>
        <v/>
      </c>
      <c r="D8" s="8">
        <f>IF(COUNT('Income Statement'!D7,'Income Statement'!D4)&lt;2,"n/a",IFERROR(IF('Income Statement'!D4&lt;=0,"n/a",'Income Statement'!D7/'Income Statement'!D4),"n/a"))</f>
        <v/>
      </c>
      <c r="E8" s="8">
        <f>IF(COUNT('Income Statement'!E7,'Income Statement'!E4)&lt;2,"n/a",IFERROR(IF('Income Statement'!E4&lt;=0,"n/a",'Income Statement'!E7/'Income Statement'!E4),"n/a"))</f>
        <v/>
      </c>
    </row>
    <row r="9">
      <c r="A9" s="17" t="inlineStr">
        <is>
          <t>Operating Income (EBIT)</t>
        </is>
      </c>
      <c r="B9" s="29">
        <f>IF(COUNT('Income Statement'!B8,'Income Statement'!B4)&lt;2,"n/a",IFERROR(IF('Income Statement'!B4&lt;=0,"n/a",'Income Statement'!B8/'Income Statement'!B4),"n/a"))</f>
        <v/>
      </c>
      <c r="C9" s="29">
        <f>IF(COUNT('Income Statement'!C8,'Income Statement'!C4)&lt;2,"n/a",IFERROR(IF('Income Statement'!C4&lt;=0,"n/a",'Income Statement'!C8/'Income Statement'!C4),"n/a"))</f>
        <v/>
      </c>
      <c r="D9" s="29">
        <f>IF(COUNT('Income Statement'!D8,'Income Statement'!D4)&lt;2,"n/a",IFERROR(IF('Income Statement'!D4&lt;=0,"n/a",'Income Statement'!D8/'Income Statement'!D4),"n/a"))</f>
        <v/>
      </c>
      <c r="E9" s="29">
        <f>IF(COUNT('Income Statement'!E8,'Income Statement'!E4)&lt;2,"n/a",IFERROR(IF('Income Statement'!E4&lt;=0,"n/a",'Income Statement'!E8/'Income Statement'!E4),"n/a"))</f>
        <v/>
      </c>
    </row>
    <row r="10">
      <c r="A10" s="6" t="inlineStr">
        <is>
          <t>Interest Expense</t>
        </is>
      </c>
      <c r="B10" s="8">
        <f>IF(COUNT('Income Statement'!B9,'Income Statement'!B4)&lt;2,"n/a",IFERROR(IF('Income Statement'!B4&lt;=0,"n/a",'Income Statement'!B9/'Income Statement'!B4),"n/a"))</f>
        <v/>
      </c>
      <c r="C10" s="8">
        <f>IF(COUNT('Income Statement'!C9,'Income Statement'!C4)&lt;2,"n/a",IFERROR(IF('Income Statement'!C4&lt;=0,"n/a",'Income Statement'!C9/'Income Statement'!C4),"n/a"))</f>
        <v/>
      </c>
      <c r="D10" s="8">
        <f>IF(COUNT('Income Statement'!D9,'Income Statement'!D4)&lt;2,"n/a",IFERROR(IF('Income Statement'!D4&lt;=0,"n/a",'Income Statement'!D9/'Income Statement'!D4),"n/a"))</f>
        <v/>
      </c>
      <c r="E10" s="8">
        <f>IF(COUNT('Income Statement'!E9,'Income Statement'!E4)&lt;2,"n/a",IFERROR(IF('Income Statement'!E4&lt;=0,"n/a",'Income Statement'!E9/'Income Statement'!E4),"n/a"))</f>
        <v/>
      </c>
    </row>
    <row r="11">
      <c r="A11" s="6" t="inlineStr">
        <is>
          <t>Pre-tax Income (EBT)</t>
        </is>
      </c>
      <c r="B11" s="8">
        <f>IF(COUNT('Income Statement'!B10,'Income Statement'!B4)&lt;2,"n/a",IFERROR(IF('Income Statement'!B4&lt;=0,"n/a",'Income Statement'!B10/'Income Statement'!B4),"n/a"))</f>
        <v/>
      </c>
      <c r="C11" s="8">
        <f>IF(COUNT('Income Statement'!C10,'Income Statement'!C4)&lt;2,"n/a",IFERROR(IF('Income Statement'!C4&lt;=0,"n/a",'Income Statement'!C10/'Income Statement'!C4),"n/a"))</f>
        <v/>
      </c>
      <c r="D11" s="8">
        <f>IF(COUNT('Income Statement'!D10,'Income Statement'!D4)&lt;2,"n/a",IFERROR(IF('Income Statement'!D4&lt;=0,"n/a",'Income Statement'!D10/'Income Statement'!D4),"n/a"))</f>
        <v/>
      </c>
      <c r="E11" s="8">
        <f>IF(COUNT('Income Statement'!E10,'Income Statement'!E4)&lt;2,"n/a",IFERROR(IF('Income Statement'!E4&lt;=0,"n/a",'Income Statement'!E10/'Income Statement'!E4),"n/a"))</f>
        <v/>
      </c>
    </row>
    <row r="12">
      <c r="A12" s="6" t="inlineStr">
        <is>
          <t>Income Tax Expense</t>
        </is>
      </c>
      <c r="B12" s="8">
        <f>IF(COUNT('Income Statement'!B11,'Income Statement'!B4)&lt;2,"n/a",IFERROR(IF('Income Statement'!B4&lt;=0,"n/a",'Income Statement'!B11/'Income Statement'!B4),"n/a"))</f>
        <v/>
      </c>
      <c r="C12" s="8">
        <f>IF(COUNT('Income Statement'!C11,'Income Statement'!C4)&lt;2,"n/a",IFERROR(IF('Income Statement'!C4&lt;=0,"n/a",'Income Statement'!C11/'Income Statement'!C4),"n/a"))</f>
        <v/>
      </c>
      <c r="D12" s="8">
        <f>IF(COUNT('Income Statement'!D11,'Income Statement'!D4)&lt;2,"n/a",IFERROR(IF('Income Statement'!D4&lt;=0,"n/a",'Income Statement'!D11/'Income Statement'!D4),"n/a"))</f>
        <v/>
      </c>
      <c r="E12" s="8">
        <f>IF(COUNT('Income Statement'!E11,'Income Statement'!E4)&lt;2,"n/a",IFERROR(IF('Income Statement'!E4&lt;=0,"n/a",'Income Statement'!E11/'Income Statement'!E4),"n/a"))</f>
        <v/>
      </c>
    </row>
    <row r="13">
      <c r="A13" s="17" t="inlineStr">
        <is>
          <t>Net Income</t>
        </is>
      </c>
      <c r="B13" s="29">
        <f>IF(COUNT('Income Statement'!B12,'Income Statement'!B4)&lt;2,"n/a",IFERROR(IF('Income Statement'!B4&lt;=0,"n/a",'Income Statement'!B12/'Income Statement'!B4),"n/a"))</f>
        <v/>
      </c>
      <c r="C13" s="29">
        <f>IF(COUNT('Income Statement'!C12,'Income Statement'!C4)&lt;2,"n/a",IFERROR(IF('Income Statement'!C4&lt;=0,"n/a",'Income Statement'!C12/'Income Statement'!C4),"n/a"))</f>
        <v/>
      </c>
      <c r="D13" s="29">
        <f>IF(COUNT('Income Statement'!D12,'Income Statement'!D4)&lt;2,"n/a",IFERROR(IF('Income Statement'!D4&lt;=0,"n/a",'Income Statement'!D12/'Income Statement'!D4),"n/a"))</f>
        <v/>
      </c>
      <c r="E13" s="29">
        <f>IF(COUNT('Income Statement'!E12,'Income Statement'!E4)&lt;2,"n/a",IFERROR(IF('Income Statement'!E4&lt;=0,"n/a",'Income Statement'!E12/'Income Statement'!E4),"n/a"))</f>
        <v/>
      </c>
    </row>
    <row r="15">
      <c r="A15" s="21" t="inlineStr">
        <is>
          <t>Balance sheet (% of total assets)</t>
        </is>
      </c>
      <c r="B15" s="22" t="n"/>
      <c r="C15" s="22" t="n"/>
      <c r="D15" s="22" t="n"/>
      <c r="E15" s="22" t="n"/>
    </row>
    <row r="16">
      <c r="A16" s="6" t="inlineStr">
        <is>
          <t>BS: Cash and Cash Equivalents</t>
        </is>
      </c>
      <c r="B16" s="8">
        <f>IF(COUNT('Balance Sheet'!B4,'Balance Sheet'!B13)&lt;2,"n/a",IFERROR(IF('Balance Sheet'!B13&lt;=0,"n/a",'Balance Sheet'!B4/'Balance Sheet'!B13),"n/a"))</f>
        <v/>
      </c>
      <c r="C16" s="8">
        <f>IF(COUNT('Balance Sheet'!C4,'Balance Sheet'!C13)&lt;2,"n/a",IFERROR(IF('Balance Sheet'!C13&lt;=0,"n/a",'Balance Sheet'!C4/'Balance Sheet'!C13),"n/a"))</f>
        <v/>
      </c>
      <c r="D16" s="8">
        <f>IF(COUNT('Balance Sheet'!D4,'Balance Sheet'!D13)&lt;2,"n/a",IFERROR(IF('Balance Sheet'!D13&lt;=0,"n/a",'Balance Sheet'!D4/'Balance Sheet'!D13),"n/a"))</f>
        <v/>
      </c>
      <c r="E16" s="8">
        <f>IF(COUNT('Balance Sheet'!E4,'Balance Sheet'!E13)&lt;2,"n/a",IFERROR(IF('Balance Sheet'!E13&lt;=0,"n/a",'Balance Sheet'!E4/'Balance Sheet'!E13),"n/a"))</f>
        <v/>
      </c>
    </row>
    <row r="17">
      <c r="A17" s="6" t="inlineStr">
        <is>
          <t>BS: Short-Term Investments</t>
        </is>
      </c>
      <c r="B17" s="8">
        <f>IF(COUNT('Balance Sheet'!B5,'Balance Sheet'!B13)&lt;2,"n/a",IFERROR(IF('Balance Sheet'!B13&lt;=0,"n/a",'Balance Sheet'!B5/'Balance Sheet'!B13),"n/a"))</f>
        <v/>
      </c>
      <c r="C17" s="8">
        <f>IF(COUNT('Balance Sheet'!C5,'Balance Sheet'!C13)&lt;2,"n/a",IFERROR(IF('Balance Sheet'!C13&lt;=0,"n/a",'Balance Sheet'!C5/'Balance Sheet'!C13),"n/a"))</f>
        <v/>
      </c>
      <c r="D17" s="8">
        <f>IF(COUNT('Balance Sheet'!D5,'Balance Sheet'!D13)&lt;2,"n/a",IFERROR(IF('Balance Sheet'!D13&lt;=0,"n/a",'Balance Sheet'!D5/'Balance Sheet'!D13),"n/a"))</f>
        <v/>
      </c>
      <c r="E17" s="8">
        <f>IF(COUNT('Balance Sheet'!E5,'Balance Sheet'!E13)&lt;2,"n/a",IFERROR(IF('Balance Sheet'!E13&lt;=0,"n/a",'Balance Sheet'!E5/'Balance Sheet'!E13),"n/a"))</f>
        <v/>
      </c>
    </row>
    <row r="18">
      <c r="A18" s="6" t="inlineStr">
        <is>
          <t>BS: Cash + Short-Term Investments</t>
        </is>
      </c>
      <c r="B18" s="8">
        <f>IF(COUNT('Balance Sheet'!B6,'Balance Sheet'!B13)&lt;2,"n/a",IFERROR(IF('Balance Sheet'!B13&lt;=0,"n/a",'Balance Sheet'!B6/'Balance Sheet'!B13),"n/a"))</f>
        <v/>
      </c>
      <c r="C18" s="8">
        <f>IF(COUNT('Balance Sheet'!C6,'Balance Sheet'!C13)&lt;2,"n/a",IFERROR(IF('Balance Sheet'!C13&lt;=0,"n/a",'Balance Sheet'!C6/'Balance Sheet'!C13),"n/a"))</f>
        <v/>
      </c>
      <c r="D18" s="8">
        <f>IF(COUNT('Balance Sheet'!D6,'Balance Sheet'!D13)&lt;2,"n/a",IFERROR(IF('Balance Sheet'!D13&lt;=0,"n/a",'Balance Sheet'!D6/'Balance Sheet'!D13),"n/a"))</f>
        <v/>
      </c>
      <c r="E18" s="8">
        <f>IF(COUNT('Balance Sheet'!E6,'Balance Sheet'!E13)&lt;2,"n/a",IFERROR(IF('Balance Sheet'!E13&lt;=0,"n/a",'Balance Sheet'!E6/'Balance Sheet'!E13),"n/a"))</f>
        <v/>
      </c>
    </row>
    <row r="19">
      <c r="A19" s="6" t="inlineStr">
        <is>
          <t>BS: Total Receivables</t>
        </is>
      </c>
      <c r="B19" s="8">
        <f>IF(COUNT('Balance Sheet'!B7,'Balance Sheet'!B13)&lt;2,"n/a",IFERROR(IF('Balance Sheet'!B13&lt;=0,"n/a",'Balance Sheet'!B7/'Balance Sheet'!B13),"n/a"))</f>
        <v/>
      </c>
      <c r="C19" s="8">
        <f>IF(COUNT('Balance Sheet'!C7,'Balance Sheet'!C13)&lt;2,"n/a",IFERROR(IF('Balance Sheet'!C13&lt;=0,"n/a",'Balance Sheet'!C7/'Balance Sheet'!C13),"n/a"))</f>
        <v/>
      </c>
      <c r="D19" s="8">
        <f>IF(COUNT('Balance Sheet'!D7,'Balance Sheet'!D13)&lt;2,"n/a",IFERROR(IF('Balance Sheet'!D13&lt;=0,"n/a",'Balance Sheet'!D7/'Balance Sheet'!D13),"n/a"))</f>
        <v/>
      </c>
      <c r="E19" s="8">
        <f>IF(COUNT('Balance Sheet'!E7,'Balance Sheet'!E13)&lt;2,"n/a",IFERROR(IF('Balance Sheet'!E13&lt;=0,"n/a",'Balance Sheet'!E7/'Balance Sheet'!E13),"n/a"))</f>
        <v/>
      </c>
    </row>
    <row r="20">
      <c r="A20" s="6" t="inlineStr">
        <is>
          <t>BS: Accounts Receivable (trade)</t>
        </is>
      </c>
      <c r="B20" s="8">
        <f>IF(COUNT('Balance Sheet'!B8,'Balance Sheet'!B13)&lt;2,"n/a",IFERROR(IF('Balance Sheet'!B13&lt;=0,"n/a",'Balance Sheet'!B8/'Balance Sheet'!B13),"n/a"))</f>
        <v/>
      </c>
      <c r="C20" s="8">
        <f>IF(COUNT('Balance Sheet'!C8,'Balance Sheet'!C13)&lt;2,"n/a",IFERROR(IF('Balance Sheet'!C13&lt;=0,"n/a",'Balance Sheet'!C8/'Balance Sheet'!C13),"n/a"))</f>
        <v/>
      </c>
      <c r="D20" s="8">
        <f>IF(COUNT('Balance Sheet'!D8,'Balance Sheet'!D13)&lt;2,"n/a",IFERROR(IF('Balance Sheet'!D13&lt;=0,"n/a",'Balance Sheet'!D8/'Balance Sheet'!D13),"n/a"))</f>
        <v/>
      </c>
      <c r="E20" s="8">
        <f>IF(COUNT('Balance Sheet'!E8,'Balance Sheet'!E13)&lt;2,"n/a",IFERROR(IF('Balance Sheet'!E13&lt;=0,"n/a",'Balance Sheet'!E8/'Balance Sheet'!E13),"n/a"))</f>
        <v/>
      </c>
    </row>
    <row r="21">
      <c r="A21" s="6" t="inlineStr">
        <is>
          <t>BS: Inventory</t>
        </is>
      </c>
      <c r="B21" s="8">
        <f>IF(COUNT('Balance Sheet'!B9,'Balance Sheet'!B13)&lt;2,"n/a",IFERROR(IF('Balance Sheet'!B13&lt;=0,"n/a",'Balance Sheet'!B9/'Balance Sheet'!B13),"n/a"))</f>
        <v/>
      </c>
      <c r="C21" s="8">
        <f>IF(COUNT('Balance Sheet'!C9,'Balance Sheet'!C13)&lt;2,"n/a",IFERROR(IF('Balance Sheet'!C13&lt;=0,"n/a",'Balance Sheet'!C9/'Balance Sheet'!C13),"n/a"))</f>
        <v/>
      </c>
      <c r="D21" s="8">
        <f>IF(COUNT('Balance Sheet'!D9,'Balance Sheet'!D13)&lt;2,"n/a",IFERROR(IF('Balance Sheet'!D13&lt;=0,"n/a",'Balance Sheet'!D9/'Balance Sheet'!D13),"n/a"))</f>
        <v/>
      </c>
      <c r="E21" s="8">
        <f>IF(COUNT('Balance Sheet'!E9,'Balance Sheet'!E13)&lt;2,"n/a",IFERROR(IF('Balance Sheet'!E13&lt;=0,"n/a",'Balance Sheet'!E9/'Balance Sheet'!E13),"n/a"))</f>
        <v/>
      </c>
    </row>
    <row r="22">
      <c r="A22" s="17" t="inlineStr">
        <is>
          <t>BS: Total Current Assets</t>
        </is>
      </c>
      <c r="B22" s="29">
        <f>IF(COUNT('Balance Sheet'!B10,'Balance Sheet'!B13)&lt;2,"n/a",IFERROR(IF('Balance Sheet'!B13&lt;=0,"n/a",'Balance Sheet'!B10/'Balance Sheet'!B13),"n/a"))</f>
        <v/>
      </c>
      <c r="C22" s="29">
        <f>IF(COUNT('Balance Sheet'!C10,'Balance Sheet'!C13)&lt;2,"n/a",IFERROR(IF('Balance Sheet'!C13&lt;=0,"n/a",'Balance Sheet'!C10/'Balance Sheet'!C13),"n/a"))</f>
        <v/>
      </c>
      <c r="D22" s="29">
        <f>IF(COUNT('Balance Sheet'!D10,'Balance Sheet'!D13)&lt;2,"n/a",IFERROR(IF('Balance Sheet'!D13&lt;=0,"n/a",'Balance Sheet'!D10/'Balance Sheet'!D13),"n/a"))</f>
        <v/>
      </c>
      <c r="E22" s="29">
        <f>IF(COUNT('Balance Sheet'!E10,'Balance Sheet'!E13)&lt;2,"n/a",IFERROR(IF('Balance Sheet'!E13&lt;=0,"n/a",'Balance Sheet'!E10/'Balance Sheet'!E13),"n/a"))</f>
        <v/>
      </c>
    </row>
    <row r="23">
      <c r="A23" s="6" t="inlineStr">
        <is>
          <t>BS: Net PP&amp;E</t>
        </is>
      </c>
      <c r="B23" s="8">
        <f>IF(COUNT('Balance Sheet'!B11,'Balance Sheet'!B13)&lt;2,"n/a",IFERROR(IF('Balance Sheet'!B13&lt;=0,"n/a",'Balance Sheet'!B11/'Balance Sheet'!B13),"n/a"))</f>
        <v/>
      </c>
      <c r="C23" s="8">
        <f>IF(COUNT('Balance Sheet'!C11,'Balance Sheet'!C13)&lt;2,"n/a",IFERROR(IF('Balance Sheet'!C13&lt;=0,"n/a",'Balance Sheet'!C11/'Balance Sheet'!C13),"n/a"))</f>
        <v/>
      </c>
      <c r="D23" s="8">
        <f>IF(COUNT('Balance Sheet'!D11,'Balance Sheet'!D13)&lt;2,"n/a",IFERROR(IF('Balance Sheet'!D13&lt;=0,"n/a",'Balance Sheet'!D11/'Balance Sheet'!D13),"n/a"))</f>
        <v/>
      </c>
      <c r="E23" s="8">
        <f>IF(COUNT('Balance Sheet'!E11,'Balance Sheet'!E13)&lt;2,"n/a",IFERROR(IF('Balance Sheet'!E13&lt;=0,"n/a",'Balance Sheet'!E11/'Balance Sheet'!E13),"n/a"))</f>
        <v/>
      </c>
    </row>
    <row r="24">
      <c r="A24" s="6" t="inlineStr">
        <is>
          <t>BS: Goodwill and Intangibles</t>
        </is>
      </c>
      <c r="B24" s="8">
        <f>IF(COUNT('Balance Sheet'!B12,'Balance Sheet'!B13)&lt;2,"n/a",IFERROR(IF('Balance Sheet'!B13&lt;=0,"n/a",'Balance Sheet'!B12/'Balance Sheet'!B13),"n/a"))</f>
        <v/>
      </c>
      <c r="C24" s="8">
        <f>IF(COUNT('Balance Sheet'!C12,'Balance Sheet'!C13)&lt;2,"n/a",IFERROR(IF('Balance Sheet'!C13&lt;=0,"n/a",'Balance Sheet'!C12/'Balance Sheet'!C13),"n/a"))</f>
        <v/>
      </c>
      <c r="D24" s="8">
        <f>IF(COUNT('Balance Sheet'!D12,'Balance Sheet'!D13)&lt;2,"n/a",IFERROR(IF('Balance Sheet'!D13&lt;=0,"n/a",'Balance Sheet'!D12/'Balance Sheet'!D13),"n/a"))</f>
        <v/>
      </c>
      <c r="E24" s="8">
        <f>IF(COUNT('Balance Sheet'!E12,'Balance Sheet'!E13)&lt;2,"n/a",IFERROR(IF('Balance Sheet'!E13&lt;=0,"n/a",'Balance Sheet'!E12/'Balance Sheet'!E13),"n/a"))</f>
        <v/>
      </c>
    </row>
    <row r="25">
      <c r="A25" s="17" t="inlineStr">
        <is>
          <t>BS: Total Assets</t>
        </is>
      </c>
      <c r="B25" s="29">
        <f>IF(COUNT('Balance Sheet'!B13,'Balance Sheet'!B13)&lt;2,"n/a",IFERROR(IF('Balance Sheet'!B13&lt;=0,"n/a",'Balance Sheet'!B13/'Balance Sheet'!B13),"n/a"))</f>
        <v/>
      </c>
      <c r="C25" s="29">
        <f>IF(COUNT('Balance Sheet'!C13,'Balance Sheet'!C13)&lt;2,"n/a",IFERROR(IF('Balance Sheet'!C13&lt;=0,"n/a",'Balance Sheet'!C13/'Balance Sheet'!C13),"n/a"))</f>
        <v/>
      </c>
      <c r="D25" s="29">
        <f>IF(COUNT('Balance Sheet'!D13,'Balance Sheet'!D13)&lt;2,"n/a",IFERROR(IF('Balance Sheet'!D13&lt;=0,"n/a",'Balance Sheet'!D13/'Balance Sheet'!D13),"n/a"))</f>
        <v/>
      </c>
      <c r="E25" s="29">
        <f>IF(COUNT('Balance Sheet'!E13,'Balance Sheet'!E13)&lt;2,"n/a",IFERROR(IF('Balance Sheet'!E13&lt;=0,"n/a",'Balance Sheet'!E13/'Balance Sheet'!E13),"n/a"))</f>
        <v/>
      </c>
    </row>
    <row r="26">
      <c r="A26" s="6" t="inlineStr">
        <is>
          <t>BS: Accounts Payable</t>
        </is>
      </c>
      <c r="B26" s="8">
        <f>IF(COUNT('Balance Sheet'!B14,'Balance Sheet'!B13)&lt;2,"n/a",IFERROR(IF('Balance Sheet'!B13&lt;=0,"n/a",'Balance Sheet'!B14/'Balance Sheet'!B13),"n/a"))</f>
        <v/>
      </c>
      <c r="C26" s="8">
        <f>IF(COUNT('Balance Sheet'!C14,'Balance Sheet'!C13)&lt;2,"n/a",IFERROR(IF('Balance Sheet'!C13&lt;=0,"n/a",'Balance Sheet'!C14/'Balance Sheet'!C13),"n/a"))</f>
        <v/>
      </c>
      <c r="D26" s="8">
        <f>IF(COUNT('Balance Sheet'!D14,'Balance Sheet'!D13)&lt;2,"n/a",IFERROR(IF('Balance Sheet'!D13&lt;=0,"n/a",'Balance Sheet'!D14/'Balance Sheet'!D13),"n/a"))</f>
        <v/>
      </c>
      <c r="E26" s="8">
        <f>IF(COUNT('Balance Sheet'!E14,'Balance Sheet'!E13)&lt;2,"n/a",IFERROR(IF('Balance Sheet'!E13&lt;=0,"n/a",'Balance Sheet'!E14/'Balance Sheet'!E13),"n/a"))</f>
        <v/>
      </c>
    </row>
    <row r="27">
      <c r="A27" s="6" t="inlineStr">
        <is>
          <t>BS: Current Debt (incl. leases)</t>
        </is>
      </c>
      <c r="B27" s="8">
        <f>IF(COUNT('Balance Sheet'!B15,'Balance Sheet'!B13)&lt;2,"n/a",IFERROR(IF('Balance Sheet'!B13&lt;=0,"n/a",'Balance Sheet'!B15/'Balance Sheet'!B13),"n/a"))</f>
        <v/>
      </c>
      <c r="C27" s="8">
        <f>IF(COUNT('Balance Sheet'!C15,'Balance Sheet'!C13)&lt;2,"n/a",IFERROR(IF('Balance Sheet'!C13&lt;=0,"n/a",'Balance Sheet'!C15/'Balance Sheet'!C13),"n/a"))</f>
        <v/>
      </c>
      <c r="D27" s="8">
        <f>IF(COUNT('Balance Sheet'!D15,'Balance Sheet'!D13)&lt;2,"n/a",IFERROR(IF('Balance Sheet'!D13&lt;=0,"n/a",'Balance Sheet'!D15/'Balance Sheet'!D13),"n/a"))</f>
        <v/>
      </c>
      <c r="E27" s="8">
        <f>IF(COUNT('Balance Sheet'!E15,'Balance Sheet'!E13)&lt;2,"n/a",IFERROR(IF('Balance Sheet'!E13&lt;=0,"n/a",'Balance Sheet'!E15/'Balance Sheet'!E13),"n/a"))</f>
        <v/>
      </c>
    </row>
    <row r="28">
      <c r="A28" s="17" t="inlineStr">
        <is>
          <t>BS: Total Current Liabilities</t>
        </is>
      </c>
      <c r="B28" s="29">
        <f>IF(COUNT('Balance Sheet'!B16,'Balance Sheet'!B13)&lt;2,"n/a",IFERROR(IF('Balance Sheet'!B13&lt;=0,"n/a",'Balance Sheet'!B16/'Balance Sheet'!B13),"n/a"))</f>
        <v/>
      </c>
      <c r="C28" s="29">
        <f>IF(COUNT('Balance Sheet'!C16,'Balance Sheet'!C13)&lt;2,"n/a",IFERROR(IF('Balance Sheet'!C13&lt;=0,"n/a",'Balance Sheet'!C16/'Balance Sheet'!C13),"n/a"))</f>
        <v/>
      </c>
      <c r="D28" s="29">
        <f>IF(COUNT('Balance Sheet'!D16,'Balance Sheet'!D13)&lt;2,"n/a",IFERROR(IF('Balance Sheet'!D13&lt;=0,"n/a",'Balance Sheet'!D16/'Balance Sheet'!D13),"n/a"))</f>
        <v/>
      </c>
      <c r="E28" s="29">
        <f>IF(COUNT('Balance Sheet'!E16,'Balance Sheet'!E13)&lt;2,"n/a",IFERROR(IF('Balance Sheet'!E13&lt;=0,"n/a",'Balance Sheet'!E16/'Balance Sheet'!E13),"n/a"))</f>
        <v/>
      </c>
    </row>
    <row r="29">
      <c r="A29" s="6" t="inlineStr">
        <is>
          <t>BS: Long-Term Debt (incl. leases)</t>
        </is>
      </c>
      <c r="B29" s="8">
        <f>IF(COUNT('Balance Sheet'!B17,'Balance Sheet'!B13)&lt;2,"n/a",IFERROR(IF('Balance Sheet'!B13&lt;=0,"n/a",'Balance Sheet'!B17/'Balance Sheet'!B13),"n/a"))</f>
        <v/>
      </c>
      <c r="C29" s="8">
        <f>IF(COUNT('Balance Sheet'!C17,'Balance Sheet'!C13)&lt;2,"n/a",IFERROR(IF('Balance Sheet'!C13&lt;=0,"n/a",'Balance Sheet'!C17/'Balance Sheet'!C13),"n/a"))</f>
        <v/>
      </c>
      <c r="D29" s="8">
        <f>IF(COUNT('Balance Sheet'!D17,'Balance Sheet'!D13)&lt;2,"n/a",IFERROR(IF('Balance Sheet'!D13&lt;=0,"n/a",'Balance Sheet'!D17/'Balance Sheet'!D13),"n/a"))</f>
        <v/>
      </c>
      <c r="E29" s="8">
        <f>IF(COUNT('Balance Sheet'!E17,'Balance Sheet'!E13)&lt;2,"n/a",IFERROR(IF('Balance Sheet'!E13&lt;=0,"n/a",'Balance Sheet'!E17/'Balance Sheet'!E13),"n/a"))</f>
        <v/>
      </c>
    </row>
    <row r="30">
      <c r="A30" s="6" t="inlineStr">
        <is>
          <t>BS: Total Debt</t>
        </is>
      </c>
      <c r="B30" s="8">
        <f>IF(COUNT('Balance Sheet'!B18,'Balance Sheet'!B13)&lt;2,"n/a",IFERROR(IF('Balance Sheet'!B13&lt;=0,"n/a",'Balance Sheet'!B18/'Balance Sheet'!B13),"n/a"))</f>
        <v/>
      </c>
      <c r="C30" s="8">
        <f>IF(COUNT('Balance Sheet'!C18,'Balance Sheet'!C13)&lt;2,"n/a",IFERROR(IF('Balance Sheet'!C13&lt;=0,"n/a",'Balance Sheet'!C18/'Balance Sheet'!C13),"n/a"))</f>
        <v/>
      </c>
      <c r="D30" s="8">
        <f>IF(COUNT('Balance Sheet'!D18,'Balance Sheet'!D13)&lt;2,"n/a",IFERROR(IF('Balance Sheet'!D13&lt;=0,"n/a",'Balance Sheet'!D18/'Balance Sheet'!D13),"n/a"))</f>
        <v/>
      </c>
      <c r="E30" s="8">
        <f>IF(COUNT('Balance Sheet'!E18,'Balance Sheet'!E13)&lt;2,"n/a",IFERROR(IF('Balance Sheet'!E13&lt;=0,"n/a",'Balance Sheet'!E18/'Balance Sheet'!E13),"n/a"))</f>
        <v/>
      </c>
    </row>
    <row r="31">
      <c r="A31" s="17" t="inlineStr">
        <is>
          <t>BS: Total Liabilities</t>
        </is>
      </c>
      <c r="B31" s="29">
        <f>IF(COUNT('Balance Sheet'!B19,'Balance Sheet'!B13)&lt;2,"n/a",IFERROR(IF('Balance Sheet'!B13&lt;=0,"n/a",'Balance Sheet'!B19/'Balance Sheet'!B13),"n/a"))</f>
        <v/>
      </c>
      <c r="C31" s="29">
        <f>IF(COUNT('Balance Sheet'!C19,'Balance Sheet'!C13)&lt;2,"n/a",IFERROR(IF('Balance Sheet'!C13&lt;=0,"n/a",'Balance Sheet'!C19/'Balance Sheet'!C13),"n/a"))</f>
        <v/>
      </c>
      <c r="D31" s="29">
        <f>IF(COUNT('Balance Sheet'!D19,'Balance Sheet'!D13)&lt;2,"n/a",IFERROR(IF('Balance Sheet'!D13&lt;=0,"n/a",'Balance Sheet'!D19/'Balance Sheet'!D13),"n/a"))</f>
        <v/>
      </c>
      <c r="E31" s="29">
        <f>IF(COUNT('Balance Sheet'!E19,'Balance Sheet'!E13)&lt;2,"n/a",IFERROR(IF('Balance Sheet'!E13&lt;=0,"n/a",'Balance Sheet'!E19/'Balance Sheet'!E13),"n/a"))</f>
        <v/>
      </c>
    </row>
    <row r="32">
      <c r="A32" s="6" t="inlineStr">
        <is>
          <t>BS: Retained Earnings</t>
        </is>
      </c>
      <c r="B32" s="8">
        <f>IF(COUNT('Balance Sheet'!B20,'Balance Sheet'!B13)&lt;2,"n/a",IFERROR(IF('Balance Sheet'!B13&lt;=0,"n/a",'Balance Sheet'!B20/'Balance Sheet'!B13),"n/a"))</f>
        <v/>
      </c>
      <c r="C32" s="8">
        <f>IF(COUNT('Balance Sheet'!C20,'Balance Sheet'!C13)&lt;2,"n/a",IFERROR(IF('Balance Sheet'!C13&lt;=0,"n/a",'Balance Sheet'!C20/'Balance Sheet'!C13),"n/a"))</f>
        <v/>
      </c>
      <c r="D32" s="8">
        <f>IF(COUNT('Balance Sheet'!D20,'Balance Sheet'!D13)&lt;2,"n/a",IFERROR(IF('Balance Sheet'!D13&lt;=0,"n/a",'Balance Sheet'!D20/'Balance Sheet'!D13),"n/a"))</f>
        <v/>
      </c>
      <c r="E32" s="8">
        <f>IF(COUNT('Balance Sheet'!E20,'Balance Sheet'!E13)&lt;2,"n/a",IFERROR(IF('Balance Sheet'!E13&lt;=0,"n/a",'Balance Sheet'!E20/'Balance Sheet'!E13),"n/a"))</f>
        <v/>
      </c>
    </row>
    <row r="33">
      <c r="A33" s="17" t="inlineStr">
        <is>
          <t>BS: Shareholders' Equity</t>
        </is>
      </c>
      <c r="B33" s="29">
        <f>IF(COUNT('Balance Sheet'!B21,'Balance Sheet'!B13)&lt;2,"n/a",IFERROR(IF('Balance Sheet'!B13&lt;=0,"n/a",'Balance Sheet'!B21/'Balance Sheet'!B13),"n/a"))</f>
        <v/>
      </c>
      <c r="C33" s="29">
        <f>IF(COUNT('Balance Sheet'!C21,'Balance Sheet'!C13)&lt;2,"n/a",IFERROR(IF('Balance Sheet'!C13&lt;=0,"n/a",'Balance Sheet'!C21/'Balance Sheet'!C13),"n/a"))</f>
        <v/>
      </c>
      <c r="D33" s="29">
        <f>IF(COUNT('Balance Sheet'!D21,'Balance Sheet'!D13)&lt;2,"n/a",IFERROR(IF('Balance Sheet'!D13&lt;=0,"n/a",'Balance Sheet'!D21/'Balance Sheet'!D13),"n/a"))</f>
        <v/>
      </c>
      <c r="E33" s="29">
        <f>IF(COUNT('Balance Sheet'!E21,'Balance Sheet'!E13)&lt;2,"n/a",IFERROR(IF('Balance Sheet'!E13&lt;=0,"n/a",'Balance Sheet'!E21/'Balance Sheet'!E13),"n/a"))</f>
        <v/>
      </c>
    </row>
    <row r="34">
      <c r="A34" s="6" t="inlineStr">
        <is>
          <t>BS: Working Capital (CA - CL)</t>
        </is>
      </c>
      <c r="B34" s="8">
        <f>IF(COUNT('Balance Sheet'!B22,'Balance Sheet'!B13)&lt;2,"n/a",IFERROR(IF('Balance Sheet'!B13&lt;=0,"n/a",'Balance Sheet'!B22/'Balance Sheet'!B13),"n/a"))</f>
        <v/>
      </c>
      <c r="C34" s="8">
        <f>IF(COUNT('Balance Sheet'!C22,'Balance Sheet'!C13)&lt;2,"n/a",IFERROR(IF('Balance Sheet'!C13&lt;=0,"n/a",'Balance Sheet'!C22/'Balance Sheet'!C13),"n/a"))</f>
        <v/>
      </c>
      <c r="D34" s="8">
        <f>IF(COUNT('Balance Sheet'!D22,'Balance Sheet'!D13)&lt;2,"n/a",IFERROR(IF('Balance Sheet'!D13&lt;=0,"n/a",'Balance Sheet'!D22/'Balance Sheet'!D13),"n/a"))</f>
        <v/>
      </c>
      <c r="E34" s="8">
        <f>IF(COUNT('Balance Sheet'!E22,'Balance Sheet'!E13)&lt;2,"n/a",IFERROR(IF('Balance Sheet'!E13&lt;=0,"n/a",'Balance Sheet'!E22/'Balance Sheet'!E13),"n/a"))</f>
        <v/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F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0" customWidth="1" min="2" max="2"/>
  </cols>
  <sheetData>
    <row r="1" ht="30" customHeight="1">
      <c r="A1" s="1" t="inlineStr">
        <is>
          <t>Conventions and formulas</t>
        </is>
      </c>
    </row>
    <row r="2" ht="18" customHeight="1">
      <c r="A2" s="2" t="inlineStr">
        <is>
          <t>How every number in this workbook is defined</t>
        </is>
      </c>
    </row>
    <row r="4" ht="30" customHeight="1">
      <c r="A4" s="15" t="inlineStr">
        <is>
          <t>Units</t>
        </is>
      </c>
      <c r="B4" s="33" t="inlineStr">
        <is>
          <t>USD millions except EPS and the share price. Ratios are unit-free.</t>
        </is>
      </c>
    </row>
    <row r="5" ht="30" customHeight="1">
      <c r="A5" s="15" t="inlineStr">
        <is>
          <t>Balances</t>
        </is>
      </c>
      <c r="B5" s="33" t="inlineStr">
        <is>
          <t>Ending (year-end) balances, except rows labelled 'avg.' = (this year-end + last year-end) / 2.</t>
        </is>
      </c>
    </row>
    <row r="6" ht="30" customHeight="1">
      <c r="A6" s="15" t="inlineStr">
        <is>
          <t>EBIT</t>
        </is>
      </c>
      <c r="B6" s="33" t="inlineStr">
        <is>
          <t>Operating income as reported. Yahoo's separate 'EBIT' line (pre-tax income + interest) is not used.</t>
        </is>
      </c>
    </row>
    <row r="7" ht="30" customHeight="1">
      <c r="A7" s="15" t="inlineStr">
        <is>
          <t>Days</t>
        </is>
      </c>
      <c r="B7" s="33" t="inlineStr">
        <is>
          <t>365-day year. DSO = trade receivables / revenue x 365; DIO = inventory / COGS x 365; DPO = payables / COGS x 365.</t>
        </is>
      </c>
    </row>
    <row r="8" ht="30" customHeight="1">
      <c r="A8" s="15" t="inlineStr">
        <is>
          <t>CCC</t>
        </is>
      </c>
      <c r="B8" s="33" t="inlineStr">
        <is>
          <t>DSO + DIO - DPO. If the company reports no inventory, DIO counts as 0.</t>
        </is>
      </c>
    </row>
    <row r="9" ht="30" customHeight="1">
      <c r="A9" s="15" t="inlineStr">
        <is>
          <t>FCF</t>
        </is>
      </c>
      <c r="B9" s="33" t="inlineStr">
        <is>
          <t>Operating cash flow - |capital expenditure|. Yahoo shows capex as a negative number; the formula works with either sign.</t>
        </is>
      </c>
    </row>
    <row r="10" ht="30" customHeight="1">
      <c r="A10" s="15" t="inlineStr">
        <is>
          <t>Interest coverage</t>
        </is>
      </c>
      <c r="B10" s="33" t="inlineStr">
        <is>
          <t>Operating income / |interest expense|. n/a when interest expense is not reported (e.g. Apple from FY2024).</t>
        </is>
      </c>
    </row>
    <row r="11" ht="30" customHeight="1">
      <c r="A11" s="15" t="inlineStr">
        <is>
          <t>ROIC</t>
        </is>
      </c>
      <c r="B11" s="33" t="inlineStr">
        <is>
          <t>Operating income x (1 - effective tax rate) / (total debt + shareholders' equity). Total debt includes leases as reported by Yahoo.</t>
        </is>
      </c>
    </row>
    <row r="12" ht="30" customHeight="1">
      <c r="A12" s="15" t="inlineStr">
        <is>
          <t>DuPont</t>
        </is>
      </c>
      <c r="B12" s="33" t="inlineStr">
        <is>
          <t>3-step and 5-step use the same ending balances and EBIT, so each product equals NI / ending equity exactly (check rows = 0).</t>
        </is>
      </c>
    </row>
    <row r="13" ht="30" customHeight="1">
      <c r="A13" s="15" t="inlineStr">
        <is>
          <t>Altman Z</t>
        </is>
      </c>
      <c r="B13" s="33" t="inlineStr">
        <is>
          <t>Original 1968 model for public manufacturers: 1.2 X1 + 1.4 X2 + 3.3 X3 + 0.6 X4 + 0.999 X5, X4 = market value of equity at fiscal year end / total liabilities.</t>
        </is>
      </c>
    </row>
    <row r="14" ht="30" customHeight="1">
      <c r="A14" s="15" t="inlineStr">
        <is>
          <t>Altman Z''</t>
        </is>
      </c>
      <c r="B14" s="33" t="inlineStr">
        <is>
          <t>1995 model for non-manufacturers/emerging markets: 6.56 X1 + 3.26 X2 + 6.72 X3 + 1.05 X4'', X4'' = book equity / total liabilities.</t>
        </is>
      </c>
    </row>
    <row r="15" ht="30" customHeight="1">
      <c r="A15" s="15" t="inlineStr">
        <is>
          <t>Piotroski</t>
        </is>
      </c>
      <c r="B15" s="33" t="inlineStr">
        <is>
          <t>9 signals (Piotroski 2000). ROA and asset turnover use beginning-of-year total assets; leverage = long-term debt / average total assets; share signal = no increase in shares outstanding. The first one or two years cannot be fully scored.</t>
        </is>
      </c>
    </row>
    <row r="16" ht="30" customHeight="1">
      <c r="A16" s="15" t="inlineStr">
        <is>
          <t>Missing data</t>
        </is>
      </c>
      <c r="B16" s="33" t="inlineStr">
        <is>
          <t>Blank input = not reported. Any formula that needs it returns n/a. Nothing is filled with 0 or estimated.</t>
        </is>
      </c>
    </row>
    <row r="17" ht="30" customHeight="1">
      <c r="A17" s="15" t="inlineStr">
        <is>
          <t>Source</t>
        </is>
      </c>
      <c r="B17" s="33" t="inlineStr">
        <is>
          <t>Yahoo Finance via yfinance (annual statements as reported by Yahoo) or the user's uploaded template.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2026-10-01T13:01:39Z</dcterms:created>
  <dcterms:modified xmlns:dcterms="http://purl.org/dc/terms/" xmlns:xsi="http://www.w3.org/2001/XMLSchema-instance" xsi:type="dcterms:W3CDTF">2026-10-01T13:01:39Z</dcterms:modified>
</cp:coreProperties>
</file>