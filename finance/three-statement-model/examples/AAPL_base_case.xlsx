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Schedules" sheetId="5" state="visible" r:id="rId7"/>
    <sheet name="Checks" sheetId="6" state="visible" r:id="rId8"/>
    <sheet name="Data Sources" sheetId="7" state="visible" r:id="rId9"/>
  </sheets>
  <calcPr iterateCount="10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<sst xmlns="http://schemas.openxmlformats.org/spreadsheetml/2006/main" count="439" uniqueCount="286">
  <si>
    <t xml:space="preserve">Apple Inc. (AAPL) - Assumptions</t>
  </si>
  <si>
    <t xml:space="preserve">Blue cells on yellow are inputs. Columns C:E show the historical value of each driver for reference.</t>
  </si>
  <si>
    <t xml:space="preserve">Millions</t>
  </si>
  <si>
    <t xml:space="preserve">FY2023</t>
  </si>
  <si>
    <t xml:space="preserve">FY2024</t>
  </si>
  <si>
    <t xml:space="preserve">FY2025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</si>
  <si>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</si>
  <si>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</si>
  <si>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</si>
  <si>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</si>
  <si>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</si>
  <si>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Switches and single inputs (column C)</t>
  </si>
  <si>
    <t xml:space="preserve">Minimum cash balance</t>
  </si>
  <si>
    <t xml:space="preserve">Revolver capacity</t>
  </si>
  <si>
    <t xml:space="preserve">Interest on average balances (1 = average, 0 = beginning)</t>
  </si>
  <si>
    <t xml:space="preserve">Circuit breaker (1 = force beginning balances, no circularity)</t>
  </si>
  <si>
    <t xml:space="preserve">D&amp;A basis (1 = % of beginning net PP&amp;E, 0 = % of revenue)</t>
  </si>
  <si>
    <t xml:space="preserve">Forecast drivers (columns F:J)</t>
  </si>
  <si>
    <t xml:space="preserve">Revenue growth</t>
  </si>
  <si>
    <t xml:space="preserve">vs prior year</t>
  </si>
  <si>
    <t xml:space="preserve">Gross margin</t>
  </si>
  <si>
    <t xml:space="preserve">gross profit / revenue (COGS as reported)</t>
  </si>
  <si>
    <t xml:space="preserve">SG&amp;A % of revenue</t>
  </si>
  <si>
    <t xml:space="preserve">R&amp;D % of revenue</t>
  </si>
  <si>
    <t xml:space="preserve">Other operating items % of revenue</t>
  </si>
  <si>
    <t xml:space="preserve">incl. the D&amp;A reclassification</t>
  </si>
  <si>
    <t xml:space="preserve">D&amp;A % of beginning net PP&amp;E (or of revenue)</t>
  </si>
  <si>
    <t xml:space="preserve">Capex % of revenue</t>
  </si>
  <si>
    <t xml:space="preserve">Tax rate on EBT</t>
  </si>
  <si>
    <t xml:space="preserve">no tax credit on losses</t>
  </si>
  <si>
    <t xml:space="preserve">DSO (days, on revenue)</t>
  </si>
  <si>
    <t xml:space="preserve">AR = DSO/365 x revenue</t>
  </si>
  <si>
    <t xml:space="preserve">DIO (days, on COGS)</t>
  </si>
  <si>
    <t xml:space="preserve">Inventory = DIO/365 x COGS</t>
  </si>
  <si>
    <t xml:space="preserve">DPO (days, on COGS)</t>
  </si>
  <si>
    <t xml:space="preserve">AP = DPO/365 x COGS</t>
  </si>
  <si>
    <t xml:space="preserve">Other current assets % of revenue</t>
  </si>
  <si>
    <t xml:space="preserve">Other current liabilities % of revenue</t>
  </si>
  <si>
    <t xml:space="preserve">Dividend payout (% of NI to common)</t>
  </si>
  <si>
    <t xml:space="preserve">Buybacks (% of NI to common)</t>
  </si>
  <si>
    <t xml:space="preserve">Additional buybacks (amount)</t>
  </si>
  <si>
    <t xml:space="preserve">NCI share of net income</t>
  </si>
  <si>
    <t xml:space="preserve">distributed to NCI holders</t>
  </si>
  <si>
    <t xml:space="preserve">Other non-operating income (amount)</t>
  </si>
  <si>
    <t xml:space="preserve">Term debt issuance (amount)</t>
  </si>
  <si>
    <t xml:space="preserve">Term debt mandatory repayment (amount)</t>
  </si>
  <si>
    <t xml:space="preserve">Interest rate on term debt</t>
  </si>
  <si>
    <t xml:space="preserve">Interest rate on cash &amp; ST investments</t>
  </si>
  <si>
    <t xml:space="preserve">Interest rate on revolver</t>
  </si>
  <si>
    <t xml:space="preserve">Apple Inc. (AAPL) - Income Statement</t>
  </si>
  <si>
    <t xml:space="preserve">Historical columns: reported data. Forecast columns: formulas.</t>
  </si>
  <si>
    <t xml:space="preserve">Operating</t>
  </si>
  <si>
    <t xml:space="preserve">Revenue</t>
  </si>
  <si>
    <t xml:space="preserve">Cost of goods sold (-)</t>
  </si>
  <si>
    <t xml:space="preserve">Gross profit</t>
  </si>
  <si>
    <t xml:space="preserve">SG&amp;A (-)</t>
  </si>
  <si>
    <t xml:space="preserve">R&amp;D (-)</t>
  </si>
  <si>
    <t xml:space="preserve">Other operating items / D&amp;A reclassification (-)</t>
  </si>
  <si>
    <t xml:space="preserve">EBITDA</t>
  </si>
  <si>
    <t xml:space="preserve">Depreciation &amp; amortization (-)</t>
  </si>
  <si>
    <t xml:space="preserve">Operating income (EBIT, as reported)</t>
  </si>
  <si>
    <t xml:space="preserve">Below operating income</t>
  </si>
  <si>
    <t xml:space="preserve">Interest expense - term debt (-)</t>
  </si>
  <si>
    <t xml:space="preserve">Interest expense - revolver (-)</t>
  </si>
  <si>
    <t xml:space="preserve">Interest income</t>
  </si>
  <si>
    <t xml:space="preserve">Other non-operating income / (expense)</t>
  </si>
  <si>
    <t xml:space="preserve">Pre-tax income (EBT)</t>
  </si>
  <si>
    <t xml:space="preserve">Income tax (-)</t>
  </si>
  <si>
    <t xml:space="preserve">Discontinued operations &amp; other (after tax)</t>
  </si>
  <si>
    <t xml:space="preserve">Net income</t>
  </si>
  <si>
    <t xml:space="preserve">Net income (consolidated)</t>
  </si>
  <si>
    <t xml:space="preserve">Attributable to NCI &amp; preferred (-)</t>
  </si>
  <si>
    <t xml:space="preserve">Net income to common shareholders</t>
  </si>
  <si>
    <t xml:space="preserve">Apple Inc. (AAPL) - Balance Sheet</t>
  </si>
  <si>
    <t xml:space="preserve">Cash comes only from the Cash Flow sheet; the balance check must be 0.</t>
  </si>
  <si>
    <t xml:space="preserve">Assets</t>
  </si>
  <si>
    <t xml:space="preserve">Cash &amp; cash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</si>
  <si>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</si>
  <si>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</si>
  <si>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</si>
  <si>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</si>
  <si>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</si>
  <si>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Gross PP&amp;E</t>
  </si>
  <si>
    <t xml:space="preserve">Accumulated depreciation (-)</t>
  </si>
  <si>
    <t xml:space="preserve">Net PP&amp;E</t>
  </si>
  <si>
    <t xml:space="preserve">Other non-current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</si>
  <si>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</si>
  <si>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</si>
  <si>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</si>
  <si>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</si>
  <si>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Revolver</t>
  </si>
  <si>
    <t xml:space="preserve">Current liabilities (excl. term debt)</t>
  </si>
  <si>
    <t xml:space="preserve">Term debt (incl. current portion)</t>
  </si>
  <si>
    <t xml:space="preserve">Other non-current liabilities</t>
  </si>
  <si>
    <t xml:space="preserve">TOTAL LIABILITIES</t>
  </si>
  <si>
    <t xml:space="preserve">Equity</t>
  </si>
  <si>
    <t xml:space="preserve">Common stock &amp; APIC</t>
  </si>
  <si>
    <t xml:space="preserve">Retained earnings</t>
  </si>
  <si>
    <t xml:space="preserve">Treasury stock (-)</t>
  </si>
  <si>
    <t xml:space="preserve">AOCI &amp; other equity</t>
  </si>
  <si>
    <t xml:space="preserve">Shareholders' equity</t>
  </si>
  <si>
    <t xml:space="preserve">Non-controlling interests</t>
  </si>
  <si>
    <t xml:space="preserve">TOTAL EQUITY</t>
  </si>
  <si>
    <t xml:space="preserve">TOTAL LIABILITIES &amp; EQUITY</t>
  </si>
  <si>
    <t xml:space="preserve">Check</t>
  </si>
  <si>
    <t xml:space="preserve">Balance check (A - L - E)</t>
  </si>
  <si>
    <t xml:space="preserve">Apple Inc. (AAPL) - Cash Flow</t>
  </si>
  <si>
    <t xml:space="preserve">Indirect method. Historical columns: reported, with disclosed 'other' lines.</t>
  </si>
  <si>
    <t xml:space="preserve">Operating activities</t>
  </si>
  <si>
    <t xml:space="preserve">Depreciation &amp; amortization</t>
  </si>
  <si>
    <t xml:space="preserve">(Increase) / decrease in receivables</t>
  </si>
  <si>
    <t xml:space="preserve">(Increase) / decrease in inventory</t>
  </si>
  <si>
    <t xml:space="preserve">(Increase) / decrease in other current assets</t>
  </si>
  <si>
    <t xml:space="preserve">Increase / (decrease) in payables</t>
  </si>
  <si>
    <t xml:space="preserve">Increase / (decrease) in other current liabilities</t>
  </si>
  <si>
    <t xml:space="preserve">Change in working capital</t>
  </si>
  <si>
    <t xml:space="preserve">Other operating items (reported)</t>
  </si>
  <si>
    <t xml:space="preserve">Cash from operations (CFO)</t>
  </si>
  <si>
    <t xml:space="preserve">Investing activities</t>
  </si>
  <si>
    <t xml:space="preserve">Capital expenditure</t>
  </si>
  <si>
    <t xml:space="preserve">Other investing (reported)</t>
  </si>
  <si>
    <t xml:space="preserve">Cash from investing (CFI)</t>
  </si>
  <si>
    <t xml:space="preserve">Financing activities</t>
  </si>
  <si>
    <t xml:space="preserve">Term debt issued</t>
  </si>
  <si>
    <t xml:space="preserve">Term debt repaid</t>
  </si>
  <si>
    <t xml:space="preserve">Revolver draw / (repayment)</t>
  </si>
  <si>
    <t xml:space="preserve">Dividends</t>
  </si>
  <si>
    <t xml:space="preserve">Share buybacks</t>
  </si>
  <si>
    <t xml:space="preserve">Distributions to NCI</t>
  </si>
  <si>
    <t xml:space="preserve">Other financing (reported)</t>
  </si>
  <si>
    <t xml:space="preserve">Cash from financing (CFF)</t>
  </si>
  <si>
    <t xml:space="preserve">Cash</t>
  </si>
  <si>
    <t xml:space="preserve">FX &amp; other (reported)</t>
  </si>
  <si>
    <t xml:space="preserve">Net change in cash</t>
  </si>
  <si>
    <t xml:space="preserve">Beginning cash</t>
  </si>
  <si>
    <t xml:space="preserve">Ending cash</t>
  </si>
  <si>
    <t xml:space="preserve">Memo</t>
  </si>
  <si>
    <t xml:space="preserve">Free cash flow (CFO - capex)</t>
  </si>
  <si>
    <t xml:space="preserve">Historical ending cash is the cash-flow statement figure, which can include restricted cash; the forecast starts from balance-sheet cash.</t>
  </si>
  <si>
    <t xml:space="preserve">Apple Inc. (AAPL) - Schedules</t>
  </si>
  <si>
    <t xml:space="preserve">PP&amp;E, term debt, revolver and interest. Interest uses average balances unless the circuit breaker is on.</t>
  </si>
  <si>
    <t xml:space="preserve">PP&amp;E roll-forward</t>
  </si>
  <si>
    <t xml:space="preserve">Beginning net PP&amp;E</t>
  </si>
  <si>
    <t xml:space="preserve">Capex</t>
  </si>
  <si>
    <t xml:space="preserve">Ending net PP&amp;E</t>
  </si>
  <si>
    <t xml:space="preserve">Term debt</t>
  </si>
  <si>
    <t xml:space="preserve">Beginning term debt</t>
  </si>
  <si>
    <t xml:space="preserve">Issuance</t>
  </si>
  <si>
    <t xml:space="preserve">Mandatory repayment (capped at balance)</t>
  </si>
  <si>
    <t xml:space="preserve">Ending term debt</t>
  </si>
  <si>
    <t xml:space="preserve">Beginning revolver</t>
  </si>
  <si>
    <t xml:space="preserve">Cash from operations</t>
  </si>
  <si>
    <t xml:space="preserve">Cash from investing</t>
  </si>
  <si>
    <t xml:space="preserve">Financing before revolver</t>
  </si>
  <si>
    <t xml:space="preserve">Cash before revolver</t>
  </si>
  <si>
    <t xml:space="preserve">Minimum cash</t>
  </si>
  <si>
    <t xml:space="preserve">Undrawn revolver capacity</t>
  </si>
  <si>
    <t xml:space="preserve">Revolver draw</t>
  </si>
  <si>
    <t xml:space="preserve">Revolver repayment</t>
  </si>
  <si>
    <t xml:space="preserve">Ending revolver</t>
  </si>
  <si>
    <t xml:space="preserve">Interest (circular when average balances are used)</t>
  </si>
  <si>
    <t xml:space="preserve">Average balances in use (1 = yes)</t>
  </si>
  <si>
    <t xml:space="preserve">Interest expense - term debt</t>
  </si>
  <si>
    <t xml:space="preserve">Interest expense - revolver</t>
  </si>
  <si>
    <t xml:space="preserve">Interest income on cash &amp; ST investments</t>
  </si>
  <si>
    <t xml:space="preserve">Apple Inc. (AAPL) - Checks</t>
  </si>
  <si>
    <t xml:space="preserve">Every forecast check must be 0 after recalculation.</t>
  </si>
  <si>
    <t xml:space="preserve">Integrity checks</t>
  </si>
  <si>
    <t xml:space="preserve">Balance check: assets - liabilities - equity</t>
  </si>
  <si>
    <t xml:space="preserve">Cash: balance sheet - cash-flow ending cash</t>
  </si>
  <si>
    <t xml:space="preserve">Retained earnings roll-forward</t>
  </si>
  <si>
    <t xml:space="preserve">Net PP&amp;E roll-forward</t>
  </si>
  <si>
    <t xml:space="preserve">Debt roll-forward (term + revolver)</t>
  </si>
  <si>
    <t xml:space="preserve">Largest absolute check (all years) - must be 0</t>
  </si>
  <si>
    <t xml:space="preserve">Revolver capacity exhausted (cash below minimum)?</t>
  </si>
  <si>
    <t xml:space="preserve">How the circularity works: interest depends on the average debt and cash balances, which depend on net income, which depends on interest. Excel solves it with iterative calculation (File &gt; Options &gt; Formulas &gt; Enable iterative calculation, saved on in this file).</t>
  </si>
  <si>
    <t xml:space="preserve">If the file ever shows errors (#VALUE!, #REF!) spreading through the circular loop, set the circuit breaker on the Assumptions sheet to 1, let it recalculate, then set it back to 0.</t>
  </si>
  <si>
    <t xml:space="preserve">Data sources, mapping and warnings</t>
  </si>
  <si>
    <t xml:space="preserve">Source</t>
  </si>
  <si>
    <t xml:space="preserve">Yahoo Finance snapshot downloaded 2026-10-01</t>
  </si>
  <si>
    <t xml:space="preserve">Warnings and assumptions</t>
  </si>
  <si>
    <t xml:space="preserve">FY2023: cash-flow statement ending cash 30,737.0 differs from balance-sheet cash 29,965.0 by 772.0 (usually restricted cash or cash held for sale). The forecast starts from balance-sheet cash.</t>
  </si>
  <si>
    <t xml:space="preserve">Not reported by Yahoo (shown as n/a or 0): interest_expense_term, interest_income.</t>
  </si>
  <si>
    <t xml:space="preserve">Interest rate on debt: interest expense not reported; 5.0% assumed.</t>
  </si>
  <si>
    <t xml:space="preserve">Interest rate on cash: interest income not reported; 3.0% assumed.</t>
  </si>
  <si>
    <t xml:space="preserve">Minimum cash: 50% of the latest cash balance (assumption). Revolver capacity: 10% of latest revenue (assumption).</t>
  </si>
  <si>
    <t xml:space="preserve">Model item</t>
  </si>
  <si>
    <t xml:space="preserve">Yahoo line used (FY2023)</t>
  </si>
  <si>
    <t xml:space="preserve">Yahoo line used (FY2024)</t>
  </si>
  <si>
    <t xml:space="preserve">Yahoo line used (FY2025)</t>
  </si>
  <si>
    <t xml:space="preserve">revenue</t>
  </si>
  <si>
    <t xml:space="preserve">Total Revenue</t>
  </si>
  <si>
    <t xml:space="preserve">cogs</t>
  </si>
  <si>
    <t xml:space="preserve">Cost Of Revenue</t>
  </si>
  <si>
    <t xml:space="preserve">gross_profit_reported</t>
  </si>
  <si>
    <t xml:space="preserve">Gross Profit</t>
  </si>
  <si>
    <t xml:space="preserve">sga</t>
  </si>
  <si>
    <t xml:space="preserve">Selling General And Administration</t>
  </si>
  <si>
    <t xml:space="preserve">rd</t>
  </si>
  <si>
    <t xml:space="preserve">Research And Development</t>
  </si>
  <si>
    <t xml:space="preserve">da</t>
  </si>
  <si>
    <t xml:space="preserve">Reconciled Depreciation</t>
  </si>
  <si>
    <t xml:space="preserve">ebit</t>
  </si>
  <si>
    <t xml:space="preserve">Operating Income</t>
  </si>
  <si>
    <t xml:space="preserve">interest_expense</t>
  </si>
  <si>
    <t xml:space="preserve">Interest Expense</t>
  </si>
  <si>
    <t xml:space="preserve">(not reported)</t>
  </si>
  <si>
    <t xml:space="preserve">interest_income</t>
  </si>
  <si>
    <t xml:space="preserve">Interest Income</t>
  </si>
  <si>
    <t xml:space="preserve">ebt</t>
  </si>
  <si>
    <t xml:space="preserve">Pretax Income</t>
  </si>
  <si>
    <t xml:space="preserve">tax</t>
  </si>
  <si>
    <t xml:space="preserve">Tax Provision</t>
  </si>
  <si>
    <t xml:space="preserve">ni_consolidated</t>
  </si>
  <si>
    <t xml:space="preserve">Net Income Including Noncontrolling Interests</t>
  </si>
  <si>
    <t xml:space="preserve">ni_common</t>
  </si>
  <si>
    <t xml:space="preserve">Net Income Common Stockholders</t>
  </si>
  <si>
    <t xml:space="preserve">cash</t>
  </si>
  <si>
    <t xml:space="preserve">Cash And Cash Equivalents</t>
  </si>
  <si>
    <t xml:space="preserve">cash_and_sti</t>
  </si>
  <si>
    <t xml:space="preserve">Cash Cash Equivalents And Short Term Investments</t>
  </si>
  <si>
    <t xml:space="preserve">sti_line</t>
  </si>
  <si>
    <t xml:space="preserve">Other Short Term Investments</t>
  </si>
  <si>
    <t xml:space="preserve">ar</t>
  </si>
  <si>
    <t xml:space="preserve">Accounts Receivable</t>
  </si>
  <si>
    <t xml:space="preserve">inventory</t>
  </si>
  <si>
    <t xml:space="preserve">current_assets</t>
  </si>
  <si>
    <t xml:space="preserve">Current Assets</t>
  </si>
  <si>
    <t xml:space="preserve">gross_ppe</t>
  </si>
  <si>
    <t xml:space="preserve">Gross PPE</t>
  </si>
  <si>
    <t xml:space="preserve">acc_dep</t>
  </si>
  <si>
    <t xml:space="preserve">Accumulated Depreciation</t>
  </si>
  <si>
    <t xml:space="preserve">net_ppe</t>
  </si>
  <si>
    <t xml:space="preserve">Net PPE</t>
  </si>
  <si>
    <t xml:space="preserve">total_assets</t>
  </si>
  <si>
    <t xml:space="preserve">Total Assets</t>
  </si>
  <si>
    <t xml:space="preserve">ap</t>
  </si>
  <si>
    <t xml:space="preserve">Accounts Payable</t>
  </si>
  <si>
    <t xml:space="preserve">current_liabilities</t>
  </si>
  <si>
    <t xml:space="preserve">Current Liabilities</t>
  </si>
  <si>
    <t xml:space="preserve">current_debt</t>
  </si>
  <si>
    <t xml:space="preserve">Current Debt</t>
  </si>
  <si>
    <t xml:space="preserve">lt_debt</t>
  </si>
  <si>
    <t xml:space="preserve">Long Term Debt</t>
  </si>
  <si>
    <t xml:space="preserve">total_liabilities</t>
  </si>
  <si>
    <t xml:space="preserve">Total Liabilities Net Minority Interest</t>
  </si>
  <si>
    <t xml:space="preserve">common_stock_par</t>
  </si>
  <si>
    <t xml:space="preserve">Common Stock</t>
  </si>
  <si>
    <t xml:space="preserve">apic</t>
  </si>
  <si>
    <t xml:space="preserve">retained_earnings</t>
  </si>
  <si>
    <t xml:space="preserve">Retained Earnings</t>
  </si>
  <si>
    <t xml:space="preserve">treasury_stock</t>
  </si>
  <si>
    <t xml:space="preserve">shareholders_equity</t>
  </si>
  <si>
    <t xml:space="preserve">Stockholders Equity</t>
  </si>
  <si>
    <t xml:space="preserve">total_equity_gross</t>
  </si>
  <si>
    <t xml:space="preserve">Total Equity Gross Minority Interest</t>
  </si>
  <si>
    <t xml:space="preserve">nci_line</t>
  </si>
  <si>
    <t xml:space="preserve">cfo</t>
  </si>
  <si>
    <t xml:space="preserve">Operating Cash Flow</t>
  </si>
  <si>
    <t xml:space="preserve">change_wc</t>
  </si>
  <si>
    <t xml:space="preserve">Change In Working Capital</t>
  </si>
  <si>
    <t xml:space="preserve">da_cf</t>
  </si>
  <si>
    <t xml:space="preserve">Depreciation And Amortization</t>
  </si>
  <si>
    <t xml:space="preserve">capex</t>
  </si>
  <si>
    <t xml:space="preserve">Capital Expenditure</t>
  </si>
  <si>
    <t xml:space="preserve">cfi</t>
  </si>
  <si>
    <t xml:space="preserve">Investing Cash Flow</t>
  </si>
  <si>
    <t xml:space="preserve">debt_issued</t>
  </si>
  <si>
    <t xml:space="preserve">Issuance Of Debt</t>
  </si>
  <si>
    <t xml:space="preserve">debt_repaid</t>
  </si>
  <si>
    <t xml:space="preserve">Repayment Of Debt</t>
  </si>
  <si>
    <t xml:space="preserve">dividends</t>
  </si>
  <si>
    <t xml:space="preserve">Cash Dividends Paid</t>
  </si>
  <si>
    <t xml:space="preserve">buybacks</t>
  </si>
  <si>
    <t xml:space="preserve">Repurchase Of Capital Stock</t>
  </si>
  <si>
    <t xml:space="preserve">cff</t>
  </si>
  <si>
    <t xml:space="preserve">Financing Cash Flow</t>
  </si>
  <si>
    <t xml:space="preserve">beginning_cash</t>
  </si>
  <si>
    <t xml:space="preserve">Beginning Cash Position</t>
  </si>
  <si>
    <t xml:space="preserve">ending_cash</t>
  </si>
  <si>
    <t xml:space="preserve">End Cash Position</t>
  </si>
  <si>
    <t xml:space="preserve">st_investments</t>
  </si>
  <si>
    <t xml:space="preserve">Cash Cash Equivalents And Short Term Investments - Cash And Cash Equivalents</t>
  </si>
  <si>
    <t xml:space="preserve">common_stock</t>
  </si>
  <si>
    <t xml:space="preserve">nci</t>
  </si>
  <si>
    <t xml:space="preserve">Total Equity Gross Minority Interest - Stockholders Equity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</si>
</sst>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"/>
    <numFmt numFmtId="167" formatCode="0.0%"/>
    <numFmt numFmtId="168" formatCode="0.0"/>
    <numFmt numFmtId="169" formatCode="0.000000;\-0.000000;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1"/>
      <color rgb="FF0000CC"/>
      <name val="Cambria"/>
      <family val="0"/>
      <charset val="1"/>
    </font>
    <font>
      <i val="true"/>
      <sz val="8"/>
      <color rgb="FF888888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F2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2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11</v>
      </c>
    </row>
    <row r="7" customFormat="false" ht="15" hidden="false" customHeight="false" outlineLevel="0" collapsed="false">
      <c r="A7" s="0" t="s">
        <v>12</v>
      </c>
      <c r="C7" s="7" t="n">
        <v>17967</v>
      </c>
    </row>
    <row r="8" customFormat="false" ht="15" hidden="false" customHeight="false" outlineLevel="0" collapsed="false">
      <c r="A8" s="0" t="s">
        <v>13</v>
      </c>
      <c r="C8" s="7" t="n">
        <v>41616.1</v>
      </c>
    </row>
    <row r="9" customFormat="false" ht="15" hidden="false" customHeight="false" outlineLevel="0" collapsed="false">
      <c r="A9" s="0" t="s">
        <v>14</v>
      </c>
      <c r="C9" s="8" t="n">
        <v>1</v>
      </c>
    </row>
    <row r="10" customFormat="false" ht="15" hidden="false" customHeight="false" outlineLevel="0" collapsed="false">
      <c r="A10" s="0" t="s">
        <v>15</v>
      </c>
      <c r="C10" s="8" t="n">
        <v>0</v>
      </c>
    </row>
    <row r="11" customFormat="false" ht="15" hidden="false" customHeight="false" outlineLevel="0" collapsed="false">
      <c r="A11" s="0" t="s">
        <v>16</v>
      </c>
      <c r="C11" s="8" t="n">
        <v>1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0" t="s">
        <v>18</v>
      </c>
      <c r="B14" s="9" t="s">
        <v>19</v>
      </c>
      <c r="C14" s="10"/>
      <c r="D14" s="10" t="n">
        <v>0.0202199407751411</v>
      </c>
      <c r="E14" s="10" t="n">
        <v>0.0642551178283275</v>
      </c>
      <c r="F14" s="11" t="n">
        <v>0.0422375293017343</v>
      </c>
      <c r="G14" s="11" t="n">
        <v>0.0380137763715609</v>
      </c>
      <c r="H14" s="11" t="n">
        <v>0.0337900234413874</v>
      </c>
      <c r="I14" s="11" t="n">
        <v>0.0316781469763007</v>
      </c>
      <c r="J14" s="11" t="n">
        <v>0.0316781469763007</v>
      </c>
    </row>
    <row r="15" customFormat="false" ht="15" hidden="false" customHeight="false" outlineLevel="0" collapsed="false">
      <c r="A15" s="0" t="s">
        <v>20</v>
      </c>
      <c r="B15" s="9" t="s">
        <v>21</v>
      </c>
      <c r="C15" s="10" t="n">
        <v>0.441311295772076</v>
      </c>
      <c r="D15" s="10" t="n">
        <v>0.462063498152339</v>
      </c>
      <c r="E15" s="10" t="n">
        <v>0.469051641071605</v>
      </c>
      <c r="F15" s="11" t="n">
        <v>0.457475478332007</v>
      </c>
      <c r="G15" s="11" t="n">
        <v>0.457475478332007</v>
      </c>
      <c r="H15" s="11" t="n">
        <v>0.457475478332007</v>
      </c>
      <c r="I15" s="11" t="n">
        <v>0.457475478332007</v>
      </c>
      <c r="J15" s="11" t="n">
        <v>0.457475478332007</v>
      </c>
    </row>
    <row r="16" customFormat="false" ht="15" hidden="false" customHeight="false" outlineLevel="0" collapsed="false">
      <c r="A16" s="0" t="s">
        <v>22</v>
      </c>
      <c r="C16" s="10" t="n">
        <v>0.0650482017297833</v>
      </c>
      <c r="D16" s="10" t="n">
        <v>0.0667382715102229</v>
      </c>
      <c r="E16" s="10" t="n">
        <v>0.066322889458647</v>
      </c>
      <c r="F16" s="11" t="n">
        <v>0.0660364542328844</v>
      </c>
      <c r="G16" s="11" t="n">
        <v>0.0660364542328844</v>
      </c>
      <c r="H16" s="11" t="n">
        <v>0.0660364542328844</v>
      </c>
      <c r="I16" s="11" t="n">
        <v>0.0660364542328844</v>
      </c>
      <c r="J16" s="11" t="n">
        <v>0.0660364542328844</v>
      </c>
    </row>
    <row r="17" customFormat="false" ht="15" hidden="false" customHeight="false" outlineLevel="0" collapsed="false">
      <c r="A17" s="0" t="s">
        <v>23</v>
      </c>
      <c r="C17" s="10" t="n">
        <v>0.0780489713920451</v>
      </c>
      <c r="D17" s="10" t="n">
        <v>0.0802229979413607</v>
      </c>
      <c r="E17" s="10" t="n">
        <v>0.0830207539870387</v>
      </c>
      <c r="F17" s="11" t="n">
        <v>0.0804309077734815</v>
      </c>
      <c r="G17" s="11" t="n">
        <v>0.0804309077734815</v>
      </c>
      <c r="H17" s="11" t="n">
        <v>0.0804309077734815</v>
      </c>
      <c r="I17" s="11" t="n">
        <v>0.0804309077734815</v>
      </c>
      <c r="J17" s="11" t="n">
        <v>0.0804309077734815</v>
      </c>
    </row>
    <row r="18" customFormat="false" ht="15" hidden="false" customHeight="false" outlineLevel="0" collapsed="false">
      <c r="A18" s="0" t="s">
        <v>24</v>
      </c>
      <c r="B18" s="9" t="s">
        <v>25</v>
      </c>
      <c r="C18" s="10" t="n">
        <v>-0.0300533545534002</v>
      </c>
      <c r="D18" s="10" t="n">
        <v>-0.0292684798035981</v>
      </c>
      <c r="E18" s="10" t="n">
        <v>-0.0281093134628185</v>
      </c>
      <c r="F18" s="11" t="n">
        <v>-0.0291437159399389</v>
      </c>
      <c r="G18" s="11" t="n">
        <v>-0.0291437159399389</v>
      </c>
      <c r="H18" s="11" t="n">
        <v>-0.0291437159399389</v>
      </c>
      <c r="I18" s="11" t="n">
        <v>-0.0291437159399389</v>
      </c>
      <c r="J18" s="11" t="n">
        <v>-0.0291437159399389</v>
      </c>
    </row>
    <row r="19" customFormat="false" ht="15" hidden="false" customHeight="false" outlineLevel="0" collapsed="false">
      <c r="A19" s="0" t="s">
        <v>26</v>
      </c>
      <c r="C19" s="10"/>
      <c r="D19" s="10" t="n">
        <v>0.261809447558046</v>
      </c>
      <c r="E19" s="10" t="n">
        <v>0.256085814360771</v>
      </c>
      <c r="F19" s="11" t="n">
        <v>0.258947630959409</v>
      </c>
      <c r="G19" s="11" t="n">
        <v>0.258947630959409</v>
      </c>
      <c r="H19" s="11" t="n">
        <v>0.258947630959409</v>
      </c>
      <c r="I19" s="11" t="n">
        <v>0.258947630959409</v>
      </c>
      <c r="J19" s="11" t="n">
        <v>0.258947630959409</v>
      </c>
    </row>
    <row r="20" customFormat="false" ht="15" hidden="false" customHeight="false" outlineLevel="0" collapsed="false">
      <c r="A20" s="0" t="s">
        <v>27</v>
      </c>
      <c r="C20" s="10" t="n">
        <v>0.0285923007683578</v>
      </c>
      <c r="D20" s="10" t="n">
        <v>0.0241589627526948</v>
      </c>
      <c r="E20" s="10" t="n">
        <v>0.0305530792169377</v>
      </c>
      <c r="F20" s="11" t="n">
        <v>0.0277681142459967</v>
      </c>
      <c r="G20" s="11" t="n">
        <v>0.0277681142459967</v>
      </c>
      <c r="H20" s="11" t="n">
        <v>0.0277681142459967</v>
      </c>
      <c r="I20" s="11" t="n">
        <v>0.0277681142459967</v>
      </c>
      <c r="J20" s="11" t="n">
        <v>0.0277681142459967</v>
      </c>
    </row>
    <row r="21" customFormat="false" ht="15" hidden="false" customHeight="false" outlineLevel="0" collapsed="false">
      <c r="A21" s="0" t="s">
        <v>28</v>
      </c>
      <c r="B21" s="9" t="s">
        <v>29</v>
      </c>
      <c r="C21" s="10" t="n">
        <v>0.147191742280369</v>
      </c>
      <c r="D21" s="10" t="n">
        <v>0.2409118516419</v>
      </c>
      <c r="E21" s="10" t="n">
        <v>0.15610002335586</v>
      </c>
      <c r="F21" s="11" t="n">
        <v>0.181401205759376</v>
      </c>
      <c r="G21" s="11" t="n">
        <v>0.181401205759376</v>
      </c>
      <c r="H21" s="11" t="n">
        <v>0.181401205759376</v>
      </c>
      <c r="I21" s="11" t="n">
        <v>0.181401205759376</v>
      </c>
      <c r="J21" s="11" t="n">
        <v>0.181401205759376</v>
      </c>
    </row>
    <row r="22" customFormat="false" ht="15" hidden="false" customHeight="false" outlineLevel="0" collapsed="false">
      <c r="A22" s="0" t="s">
        <v>30</v>
      </c>
      <c r="B22" s="9" t="s">
        <v>31</v>
      </c>
      <c r="C22" s="12" t="n">
        <v>28.1002909062447</v>
      </c>
      <c r="D22" s="12" t="n">
        <v>31.1855716240234</v>
      </c>
      <c r="E22" s="12" t="n">
        <v>34.8869908520981</v>
      </c>
      <c r="F22" s="13" t="n">
        <v>31.3909511274554</v>
      </c>
      <c r="G22" s="13" t="n">
        <v>31.3909511274554</v>
      </c>
      <c r="H22" s="13" t="n">
        <v>31.3909511274554</v>
      </c>
      <c r="I22" s="13" t="n">
        <v>31.3909511274554</v>
      </c>
      <c r="J22" s="13" t="n">
        <v>31.3909511274554</v>
      </c>
    </row>
    <row r="23" customFormat="false" ht="15" hidden="false" customHeight="false" outlineLevel="0" collapsed="false">
      <c r="A23" s="0" t="s">
        <v>32</v>
      </c>
      <c r="B23" s="9" t="s">
        <v>33</v>
      </c>
      <c r="C23" s="12" t="n">
        <v>10.7912924903216</v>
      </c>
      <c r="D23" s="12" t="n">
        <v>12.6425705484141</v>
      </c>
      <c r="E23" s="12" t="n">
        <v>9.44546524257784</v>
      </c>
      <c r="F23" s="13" t="n">
        <v>10.9597760937712</v>
      </c>
      <c r="G23" s="13" t="n">
        <v>10.9597760937712</v>
      </c>
      <c r="H23" s="13" t="n">
        <v>10.9597760937712</v>
      </c>
      <c r="I23" s="13" t="n">
        <v>10.9597760937712</v>
      </c>
      <c r="J23" s="13" t="n">
        <v>10.9597760937712</v>
      </c>
    </row>
    <row r="24" customFormat="false" ht="15" hidden="false" customHeight="false" outlineLevel="0" collapsed="false">
      <c r="A24" s="0" t="s">
        <v>34</v>
      </c>
      <c r="B24" s="9" t="s">
        <v>35</v>
      </c>
      <c r="C24" s="12" t="n">
        <v>106.721468032148</v>
      </c>
      <c r="D24" s="12" t="n">
        <v>119.658477219137</v>
      </c>
      <c r="E24" s="12" t="n">
        <v>115.400524981897</v>
      </c>
      <c r="F24" s="13" t="n">
        <v>113.926823411061</v>
      </c>
      <c r="G24" s="13" t="n">
        <v>113.926823411061</v>
      </c>
      <c r="H24" s="13" t="n">
        <v>113.926823411061</v>
      </c>
      <c r="I24" s="13" t="n">
        <v>113.926823411061</v>
      </c>
      <c r="J24" s="13" t="n">
        <v>113.926823411061</v>
      </c>
    </row>
    <row r="25" customFormat="false" ht="15" hidden="false" customHeight="false" outlineLevel="0" collapsed="false">
      <c r="A25" s="0" t="s">
        <v>36</v>
      </c>
      <c r="C25" s="10" t="n">
        <v>0.120463884576751</v>
      </c>
      <c r="D25" s="10" t="n">
        <v>0.120500722441725</v>
      </c>
      <c r="E25" s="10" t="n">
        <v>0.114775291293514</v>
      </c>
      <c r="F25" s="11" t="n">
        <v>0.118579966103997</v>
      </c>
      <c r="G25" s="11" t="n">
        <v>0.118579966103997</v>
      </c>
      <c r="H25" s="11" t="n">
        <v>0.118579966103997</v>
      </c>
      <c r="I25" s="11" t="n">
        <v>0.118579966103997</v>
      </c>
      <c r="J25" s="11" t="n">
        <v>0.118579966103997</v>
      </c>
    </row>
    <row r="26" customFormat="false" ht="15" hidden="false" customHeight="false" outlineLevel="0" collapsed="false">
      <c r="A26" s="0" t="s">
        <v>37</v>
      </c>
      <c r="C26" s="10" t="n">
        <v>0.17451765657409</v>
      </c>
      <c r="D26" s="10" t="n">
        <v>0.221343358011431</v>
      </c>
      <c r="E26" s="10" t="n">
        <v>0.181280802381771</v>
      </c>
      <c r="F26" s="11" t="n">
        <v>0.192380605655764</v>
      </c>
      <c r="G26" s="11" t="n">
        <v>0.192380605655764</v>
      </c>
      <c r="H26" s="11" t="n">
        <v>0.192380605655764</v>
      </c>
      <c r="I26" s="11" t="n">
        <v>0.192380605655764</v>
      </c>
      <c r="J26" s="11" t="n">
        <v>0.192380605655764</v>
      </c>
    </row>
    <row r="27" customFormat="false" ht="15" hidden="false" customHeight="false" outlineLevel="0" collapsed="false">
      <c r="A27" s="0" t="s">
        <v>38</v>
      </c>
      <c r="C27" s="10" t="n">
        <v>0.154904892004743</v>
      </c>
      <c r="D27" s="10" t="n">
        <v>0.162520269693608</v>
      </c>
      <c r="E27" s="10" t="n">
        <v>0.137675207570753</v>
      </c>
      <c r="F27" s="11" t="n">
        <v>0.151700123089701</v>
      </c>
      <c r="G27" s="11" t="n">
        <v>0.151700123089701</v>
      </c>
      <c r="H27" s="11" t="n">
        <v>0.151700123089701</v>
      </c>
      <c r="I27" s="11" t="n">
        <v>0.151700123089701</v>
      </c>
      <c r="J27" s="11" t="n">
        <v>0.151700123089701</v>
      </c>
    </row>
    <row r="28" customFormat="false" ht="15" hidden="false" customHeight="false" outlineLevel="0" collapsed="false">
      <c r="A28" s="0" t="s">
        <v>39</v>
      </c>
      <c r="C28" s="10" t="n">
        <v>0.799525748749936</v>
      </c>
      <c r="D28" s="10" t="n">
        <v>1.01294059912947</v>
      </c>
      <c r="E28" s="10" t="n">
        <v>0.80984733505937</v>
      </c>
      <c r="F28" s="11" t="n">
        <v>0.874104560979592</v>
      </c>
      <c r="G28" s="11" t="n">
        <v>0.874104560979592</v>
      </c>
      <c r="H28" s="11" t="n">
        <v>0.874104560979592</v>
      </c>
      <c r="I28" s="11" t="n">
        <v>0.874104560979592</v>
      </c>
      <c r="J28" s="11" t="n">
        <v>0.874104560979592</v>
      </c>
    </row>
    <row r="29" customFormat="false" ht="15" hidden="false" customHeight="false" outlineLevel="0" collapsed="false">
      <c r="A29" s="0" t="s">
        <v>40</v>
      </c>
      <c r="C29" s="14"/>
      <c r="D29" s="14"/>
      <c r="E29" s="14"/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</row>
    <row r="30" customFormat="false" ht="15" hidden="false" customHeight="false" outlineLevel="0" collapsed="false">
      <c r="A30" s="0" t="s">
        <v>41</v>
      </c>
      <c r="B30" s="9" t="s">
        <v>42</v>
      </c>
      <c r="C30" s="10" t="n">
        <v>0</v>
      </c>
      <c r="D30" s="10" t="n">
        <v>0</v>
      </c>
      <c r="E30" s="10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</row>
    <row r="31" customFormat="false" ht="15" hidden="false" customHeight="false" outlineLevel="0" collapsed="false">
      <c r="A31" s="0" t="s">
        <v>43</v>
      </c>
      <c r="C31" s="14"/>
      <c r="D31" s="14"/>
      <c r="E31" s="14"/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</row>
    <row r="32" customFormat="false" ht="15" hidden="false" customHeight="false" outlineLevel="0" collapsed="false">
      <c r="A32" s="0" t="s">
        <v>44</v>
      </c>
      <c r="C32" s="14"/>
      <c r="D32" s="14"/>
      <c r="E32" s="14"/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</row>
    <row r="33" customFormat="false" ht="15" hidden="false" customHeight="false" outlineLevel="0" collapsed="false">
      <c r="A33" s="0" t="s">
        <v>45</v>
      </c>
      <c r="C33" s="14"/>
      <c r="D33" s="14"/>
      <c r="E33" s="14"/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</row>
    <row r="34" customFormat="false" ht="15" hidden="false" customHeight="false" outlineLevel="0" collapsed="false">
      <c r="A34" s="0" t="s">
        <v>46</v>
      </c>
      <c r="C34" s="10"/>
      <c r="D34" s="10"/>
      <c r="E34" s="10"/>
      <c r="F34" s="11" t="n">
        <v>0.05</v>
      </c>
      <c r="G34" s="11" t="n">
        <v>0.05</v>
      </c>
      <c r="H34" s="11" t="n">
        <v>0.05</v>
      </c>
      <c r="I34" s="11" t="n">
        <v>0.05</v>
      </c>
      <c r="J34" s="11" t="n">
        <v>0.05</v>
      </c>
    </row>
    <row r="35" customFormat="false" ht="15" hidden="false" customHeight="false" outlineLevel="0" collapsed="false">
      <c r="A35" s="0" t="s">
        <v>47</v>
      </c>
      <c r="C35" s="10"/>
      <c r="D35" s="10"/>
      <c r="E35" s="10"/>
      <c r="F35" s="11" t="n">
        <v>0.03</v>
      </c>
      <c r="G35" s="11" t="n">
        <v>0.03</v>
      </c>
      <c r="H35" s="11" t="n">
        <v>0.03</v>
      </c>
      <c r="I35" s="11" t="n">
        <v>0.03</v>
      </c>
      <c r="J35" s="11" t="n">
        <v>0.03</v>
      </c>
    </row>
    <row r="36" customFormat="false" ht="15" hidden="false" customHeight="false" outlineLevel="0" collapsed="false">
      <c r="A36" s="0" t="s">
        <v>48</v>
      </c>
      <c r="C36" s="10"/>
      <c r="D36" s="10"/>
      <c r="E36" s="10"/>
      <c r="F36" s="11" t="n">
        <v>0.06</v>
      </c>
      <c r="G36" s="11" t="n">
        <v>0.06</v>
      </c>
      <c r="H36" s="11" t="n">
        <v>0.06</v>
      </c>
      <c r="I36" s="11" t="n">
        <v>0.06</v>
      </c>
      <c r="J36" s="11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51</v>
      </c>
    </row>
    <row r="7" customFormat="false" ht="15" hidden="false" customHeight="false" outlineLevel="0" collapsed="false">
      <c r="A7" s="15" t="s">
        <v>52</v>
      </c>
      <c r="C7" s="16" t="n">
        <v>383285</v>
      </c>
      <c r="D7" s="16" t="n">
        <v>391035</v>
      </c>
      <c r="E7" s="16" t="n">
        <v>416161</v>
      </c>
      <c r="F7" s="17" t="n">
        <f aca="false">E7*(1+Assumptions!F14)</f>
        <v>433738.612431739</v>
      </c>
      <c r="G7" s="17" t="n">
        <f aca="false">F7*(1+Assumptions!G14)</f>
        <v>450226.65504843</v>
      </c>
      <c r="H7" s="17" t="n">
        <f aca="false">G7*(1+Assumptions!H14)</f>
        <v>465439.824276454</v>
      </c>
      <c r="I7" s="17" t="n">
        <f aca="false">H7*(1+Assumptions!I14)</f>
        <v>480184.095438507</v>
      </c>
      <c r="J7" s="17" t="n">
        <f aca="false">I7*(1+Assumptions!J14)</f>
        <v>495395.43778949</v>
      </c>
    </row>
    <row r="8" customFormat="false" ht="15" hidden="false" customHeight="false" outlineLevel="0" collapsed="false">
      <c r="A8" s="0" t="s">
        <v>53</v>
      </c>
      <c r="C8" s="18" t="n">
        <v>214137</v>
      </c>
      <c r="D8" s="18" t="n">
        <v>210352</v>
      </c>
      <c r="E8" s="18" t="n">
        <v>220960</v>
      </c>
      <c r="F8" s="19" t="n">
        <f aca="false">F7*(1-Assumptions!F15)</f>
        <v>235313.833238468</v>
      </c>
      <c r="G8" s="19" t="n">
        <f aca="false">G7*(1-Assumptions!G15)</f>
        <v>244259.00067233</v>
      </c>
      <c r="H8" s="19" t="n">
        <f aca="false">H7*(1-Assumptions!H15)</f>
        <v>252512.518030818</v>
      </c>
      <c r="I8" s="19" t="n">
        <f aca="false">I7*(1-Assumptions!I15)</f>
        <v>260511.646690354</v>
      </c>
      <c r="J8" s="19" t="n">
        <f aca="false">J7*(1-Assumptions!J15)</f>
        <v>268764.17292325</v>
      </c>
    </row>
    <row r="9" customFormat="false" ht="15" hidden="false" customHeight="false" outlineLevel="0" collapsed="false">
      <c r="A9" s="15" t="s">
        <v>54</v>
      </c>
      <c r="C9" s="16" t="n">
        <v>169148</v>
      </c>
      <c r="D9" s="16" t="n">
        <v>180683</v>
      </c>
      <c r="E9" s="16" t="n">
        <v>195201</v>
      </c>
      <c r="F9" s="17" t="n">
        <f aca="false">F7-F8</f>
        <v>198424.779193271</v>
      </c>
      <c r="G9" s="17" t="n">
        <f aca="false">G7-G8</f>
        <v>205967.6543761</v>
      </c>
      <c r="H9" s="17" t="n">
        <f aca="false">H7-H8</f>
        <v>212927.306245636</v>
      </c>
      <c r="I9" s="17" t="n">
        <f aca="false">I7-I8</f>
        <v>219672.448748153</v>
      </c>
      <c r="J9" s="17" t="n">
        <f aca="false">J7-J8</f>
        <v>226631.264866241</v>
      </c>
    </row>
    <row r="10" customFormat="false" ht="15" hidden="false" customHeight="false" outlineLevel="0" collapsed="false">
      <c r="A10" s="0" t="s">
        <v>55</v>
      </c>
      <c r="C10" s="18" t="n">
        <v>24932</v>
      </c>
      <c r="D10" s="18" t="n">
        <v>26097</v>
      </c>
      <c r="E10" s="18" t="n">
        <v>27601</v>
      </c>
      <c r="F10" s="19" t="n">
        <f aca="false">F7*Assumptions!F16</f>
        <v>28642.5600288833</v>
      </c>
      <c r="G10" s="19" t="n">
        <f aca="false">G7*Assumptions!G16</f>
        <v>29731.3719005303</v>
      </c>
      <c r="H10" s="19" t="n">
        <f aca="false">H7*Assumptions!H16</f>
        <v>30735.9956539938</v>
      </c>
      <c r="I10" s="19" t="n">
        <f aca="false">I7*Assumptions!I16</f>
        <v>31709.655041784</v>
      </c>
      <c r="J10" s="19" t="n">
        <f aca="false">J7*Assumptions!J16</f>
        <v>32714.1581547654</v>
      </c>
    </row>
    <row r="11" customFormat="false" ht="15" hidden="false" customHeight="false" outlineLevel="0" collapsed="false">
      <c r="A11" s="0" t="s">
        <v>56</v>
      </c>
      <c r="C11" s="18" t="n">
        <v>29915</v>
      </c>
      <c r="D11" s="18" t="n">
        <v>31370</v>
      </c>
      <c r="E11" s="18" t="n">
        <v>34550</v>
      </c>
      <c r="F11" s="19" t="n">
        <f aca="false">F7*Assumptions!F17</f>
        <v>34885.990334295</v>
      </c>
      <c r="G11" s="19" t="n">
        <f aca="false">G7*Assumptions!G17</f>
        <v>36212.1385693634</v>
      </c>
      <c r="H11" s="19" t="n">
        <f aca="false">H7*Assumptions!H17</f>
        <v>37435.7475804849</v>
      </c>
      <c r="I11" s="19" t="n">
        <f aca="false">I7*Assumptions!I17</f>
        <v>38621.6426945072</v>
      </c>
      <c r="J11" s="19" t="n">
        <f aca="false">J7*Assumptions!J17</f>
        <v>39845.10476825</v>
      </c>
    </row>
    <row r="12" customFormat="false" ht="15" hidden="false" customHeight="false" outlineLevel="0" collapsed="false">
      <c r="A12" s="0" t="s">
        <v>57</v>
      </c>
      <c r="C12" s="18" t="n">
        <v>-11519</v>
      </c>
      <c r="D12" s="18" t="n">
        <v>-11445</v>
      </c>
      <c r="E12" s="18" t="n">
        <v>-11698</v>
      </c>
      <c r="F12" s="19" t="n">
        <f aca="false">F7*Assumptions!F18</f>
        <v>-12640.7549128939</v>
      </c>
      <c r="G12" s="19" t="n">
        <f aca="false">G7*Assumptions!G18</f>
        <v>-13121.2777433203</v>
      </c>
      <c r="H12" s="19" t="n">
        <f aca="false">H7*Assumptions!H18</f>
        <v>-13564.6460258481</v>
      </c>
      <c r="I12" s="19" t="n">
        <f aca="false">I7*Assumptions!I18</f>
        <v>-13994.3488763364</v>
      </c>
      <c r="J12" s="19" t="n">
        <f aca="false">J7*Assumptions!J18</f>
        <v>-14437.6639168786</v>
      </c>
    </row>
    <row r="13" customFormat="false" ht="15" hidden="false" customHeight="false" outlineLevel="0" collapsed="false">
      <c r="A13" s="15" t="s">
        <v>58</v>
      </c>
      <c r="C13" s="16" t="n">
        <v>125820</v>
      </c>
      <c r="D13" s="16" t="n">
        <v>134661</v>
      </c>
      <c r="E13" s="16" t="n">
        <v>144748</v>
      </c>
      <c r="F13" s="17" t="n">
        <f aca="false">F9-F10-F11-F12</f>
        <v>147536.983742986</v>
      </c>
      <c r="G13" s="17" t="n">
        <f aca="false">G9-G10-G11-G12</f>
        <v>153145.421649527</v>
      </c>
      <c r="H13" s="17" t="n">
        <f aca="false">H9-H10-H11-H12</f>
        <v>158320.209037005</v>
      </c>
      <c r="I13" s="17" t="n">
        <f aca="false">I9-I10-I11-I12</f>
        <v>163335.499888198</v>
      </c>
      <c r="J13" s="17" t="n">
        <f aca="false">J9-J10-J11-J12</f>
        <v>168509.665860104</v>
      </c>
    </row>
    <row r="14" customFormat="false" ht="15" hidden="false" customHeight="false" outlineLevel="0" collapsed="false">
      <c r="A14" s="0" t="s">
        <v>59</v>
      </c>
      <c r="C14" s="18" t="n">
        <v>11519</v>
      </c>
      <c r="D14" s="18" t="n">
        <v>11445</v>
      </c>
      <c r="E14" s="18" t="n">
        <v>11698</v>
      </c>
      <c r="F14" s="19" t="n">
        <f aca="false">Schedules!F9</f>
        <v>12904.3962412312</v>
      </c>
      <c r="G14" s="19" t="n">
        <f aca="false">Schedules!G9</f>
        <v>12681.6254332783</v>
      </c>
      <c r="H14" s="19" t="n">
        <f aca="false">Schedules!H9</f>
        <v>12635.0976609812</v>
      </c>
      <c r="I14" s="19" t="n">
        <f aca="false">Schedules!I9</f>
        <v>12710.0082467457</v>
      </c>
      <c r="J14" s="19" t="n">
        <f aca="false">Schedules!J9</f>
        <v>12871.5394098087</v>
      </c>
    </row>
    <row r="15" customFormat="false" ht="15" hidden="false" customHeight="false" outlineLevel="0" collapsed="false">
      <c r="A15" s="15" t="s">
        <v>60</v>
      </c>
      <c r="C15" s="16" t="n">
        <v>114301</v>
      </c>
      <c r="D15" s="16" t="n">
        <v>123216</v>
      </c>
      <c r="E15" s="16" t="n">
        <v>133050</v>
      </c>
      <c r="F15" s="17" t="n">
        <f aca="false">F13-F14</f>
        <v>134632.587501755</v>
      </c>
      <c r="G15" s="17" t="n">
        <f aca="false">G13-G14</f>
        <v>140463.796216248</v>
      </c>
      <c r="H15" s="17" t="n">
        <f aca="false">H13-H14</f>
        <v>145685.111376024</v>
      </c>
      <c r="I15" s="17" t="n">
        <f aca="false">I13-I14</f>
        <v>150625.491641453</v>
      </c>
      <c r="J15" s="17" t="n">
        <f aca="false">J13-J14</f>
        <v>155638.126450295</v>
      </c>
    </row>
    <row r="17" customFormat="false" ht="15" hidden="false" customHeight="false" outlineLevel="0" collapsed="false">
      <c r="A17" s="6" t="s">
        <v>61</v>
      </c>
    </row>
    <row r="18" customFormat="false" ht="15" hidden="false" customHeight="false" outlineLevel="0" collapsed="false">
      <c r="A18" s="0" t="s">
        <v>62</v>
      </c>
      <c r="C18" s="18" t="n">
        <v>3933</v>
      </c>
      <c r="D18" s="18"/>
      <c r="E18" s="18"/>
      <c r="F18" s="19" t="n">
        <f aca="false">Schedules!F33</f>
        <v>4932.85</v>
      </c>
      <c r="G18" s="19" t="n">
        <f aca="false">Schedules!G33</f>
        <v>4932.85</v>
      </c>
      <c r="H18" s="19" t="n">
        <f aca="false">Schedules!H33</f>
        <v>4932.85</v>
      </c>
      <c r="I18" s="19" t="n">
        <f aca="false">Schedules!I33</f>
        <v>4932.85</v>
      </c>
      <c r="J18" s="19" t="n">
        <f aca="false">Schedules!J33</f>
        <v>4932.85</v>
      </c>
    </row>
    <row r="19" customFormat="false" ht="15" hidden="false" customHeight="false" outlineLevel="0" collapsed="false">
      <c r="A19" s="0" t="s">
        <v>63</v>
      </c>
      <c r="C19" s="18" t="n">
        <v>0</v>
      </c>
      <c r="D19" s="18" t="n">
        <v>0</v>
      </c>
      <c r="E19" s="18" t="n">
        <v>0</v>
      </c>
      <c r="F19" s="19" t="n">
        <f aca="false">Schedules!F34</f>
        <v>0</v>
      </c>
      <c r="G19" s="19" t="n">
        <f aca="false">Schedules!G34</f>
        <v>0</v>
      </c>
      <c r="H19" s="19" t="n">
        <f aca="false">Schedules!H34</f>
        <v>0</v>
      </c>
      <c r="I19" s="19" t="n">
        <f aca="false">Schedules!I34</f>
        <v>0</v>
      </c>
      <c r="J19" s="19" t="n">
        <f aca="false">Schedules!J34</f>
        <v>0</v>
      </c>
    </row>
    <row r="20" customFormat="false" ht="15" hidden="false" customHeight="false" outlineLevel="0" collapsed="false">
      <c r="A20" s="0" t="s">
        <v>64</v>
      </c>
      <c r="C20" s="18" t="n">
        <v>3750</v>
      </c>
      <c r="D20" s="18"/>
      <c r="E20" s="18"/>
      <c r="F20" s="19" t="n">
        <f aca="false">Schedules!F35</f>
        <v>1747.88334415969</v>
      </c>
      <c r="G20" s="19" t="n">
        <f aca="false">Schedules!G35</f>
        <v>1848.85625948731</v>
      </c>
      <c r="H20" s="19" t="n">
        <f aca="false">Schedules!H35</f>
        <v>1825.48048212463</v>
      </c>
      <c r="I20" s="19" t="n">
        <f aca="false">Schedules!I35</f>
        <v>1783.16952646205</v>
      </c>
      <c r="J20" s="19" t="n">
        <f aca="false">Schedules!J35</f>
        <v>1728.80114224585</v>
      </c>
    </row>
    <row r="21" customFormat="false" ht="15" hidden="false" customHeight="false" outlineLevel="0" collapsed="false">
      <c r="A21" s="0" t="s">
        <v>65</v>
      </c>
      <c r="C21" s="18" t="n">
        <v>-382</v>
      </c>
      <c r="D21" s="18" t="n">
        <v>269</v>
      </c>
      <c r="E21" s="18" t="n">
        <v>-321</v>
      </c>
      <c r="F21" s="19" t="n">
        <f aca="false">Assumptions!F31</f>
        <v>0</v>
      </c>
      <c r="G21" s="19" t="n">
        <f aca="false">Assumptions!G31</f>
        <v>0</v>
      </c>
      <c r="H21" s="19" t="n">
        <f aca="false">Assumptions!H31</f>
        <v>0</v>
      </c>
      <c r="I21" s="19" t="n">
        <f aca="false">Assumptions!I31</f>
        <v>0</v>
      </c>
      <c r="J21" s="19" t="n">
        <f aca="false">Assumptions!J31</f>
        <v>0</v>
      </c>
    </row>
    <row r="22" customFormat="false" ht="15" hidden="false" customHeight="false" outlineLevel="0" collapsed="false">
      <c r="A22" s="15" t="s">
        <v>66</v>
      </c>
      <c r="C22" s="16" t="n">
        <v>113736</v>
      </c>
      <c r="D22" s="16" t="n">
        <v>123485</v>
      </c>
      <c r="E22" s="16" t="n">
        <v>132729</v>
      </c>
      <c r="F22" s="17" t="n">
        <f aca="false">F15-F18-F19+F20+F21</f>
        <v>131447.620845915</v>
      </c>
      <c r="G22" s="17" t="n">
        <f aca="false">G15-G18-G19+G20+G21</f>
        <v>137379.802475736</v>
      </c>
      <c r="H22" s="17" t="n">
        <f aca="false">H15-H18-H19+H20+H21</f>
        <v>142577.741858149</v>
      </c>
      <c r="I22" s="17" t="n">
        <f aca="false">I15-I18-I19+I20+I21</f>
        <v>147475.811167915</v>
      </c>
      <c r="J22" s="17" t="n">
        <f aca="false">J15-J18-J19+J20+J21</f>
        <v>152434.077592541</v>
      </c>
    </row>
    <row r="23" customFormat="false" ht="15" hidden="false" customHeight="false" outlineLevel="0" collapsed="false">
      <c r="A23" s="0" t="s">
        <v>67</v>
      </c>
      <c r="C23" s="18" t="n">
        <v>16741</v>
      </c>
      <c r="D23" s="18" t="n">
        <v>29749</v>
      </c>
      <c r="E23" s="18" t="n">
        <v>20719</v>
      </c>
      <c r="F23" s="19" t="n">
        <f aca="false">MAX(0,F22*Assumptions!F21)</f>
        <v>23844.7569156502</v>
      </c>
      <c r="G23" s="19" t="n">
        <f aca="false">MAX(0,G22*Assumptions!G21)</f>
        <v>24920.8618160834</v>
      </c>
      <c r="H23" s="19" t="n">
        <f aca="false">MAX(0,H22*Assumptions!H21)</f>
        <v>25863.7742875173</v>
      </c>
      <c r="I23" s="19" t="n">
        <f aca="false">MAX(0,I22*Assumptions!I21)</f>
        <v>26752.2899662018</v>
      </c>
      <c r="J23" s="19" t="n">
        <f aca="false">MAX(0,J22*Assumptions!J21)</f>
        <v>27651.7254741053</v>
      </c>
    </row>
    <row r="24" customFormat="false" ht="15" hidden="false" customHeight="false" outlineLevel="0" collapsed="false">
      <c r="A24" s="0" t="s">
        <v>68</v>
      </c>
      <c r="C24" s="18" t="n">
        <v>0</v>
      </c>
      <c r="D24" s="18" t="n">
        <v>0</v>
      </c>
      <c r="E24" s="18" t="n">
        <v>0</v>
      </c>
      <c r="F24" s="19" t="n">
        <f aca="false">0</f>
        <v>0</v>
      </c>
      <c r="G24" s="19" t="n">
        <f aca="false">0</f>
        <v>0</v>
      </c>
      <c r="H24" s="19" t="n">
        <f aca="false">0</f>
        <v>0</v>
      </c>
      <c r="I24" s="19" t="n">
        <f aca="false">0</f>
        <v>0</v>
      </c>
      <c r="J24" s="19" t="n">
        <f aca="false">0</f>
        <v>0</v>
      </c>
    </row>
    <row r="26" customFormat="false" ht="15" hidden="false" customHeight="false" outlineLevel="0" collapsed="false">
      <c r="A26" s="6" t="s">
        <v>69</v>
      </c>
    </row>
    <row r="27" customFormat="false" ht="15" hidden="false" customHeight="false" outlineLevel="0" collapsed="false">
      <c r="A27" s="15" t="s">
        <v>70</v>
      </c>
      <c r="C27" s="16" t="n">
        <v>96995</v>
      </c>
      <c r="D27" s="16" t="n">
        <v>93736</v>
      </c>
      <c r="E27" s="16" t="n">
        <v>112010</v>
      </c>
      <c r="F27" s="17" t="n">
        <f aca="false">F22-F23+F24</f>
        <v>107602.863930264</v>
      </c>
      <c r="G27" s="17" t="n">
        <f aca="false">G22-G23+G24</f>
        <v>112458.940659652</v>
      </c>
      <c r="H27" s="17" t="n">
        <f aca="false">H22-H23+H24</f>
        <v>116713.967570631</v>
      </c>
      <c r="I27" s="17" t="n">
        <f aca="false">I22-I23+I24</f>
        <v>120723.521201713</v>
      </c>
      <c r="J27" s="17" t="n">
        <f aca="false">J22-J23+J24</f>
        <v>124782.352118436</v>
      </c>
    </row>
    <row r="28" customFormat="false" ht="15" hidden="false" customHeight="false" outlineLevel="0" collapsed="false">
      <c r="A28" s="0" t="s">
        <v>71</v>
      </c>
      <c r="C28" s="18" t="n">
        <v>0</v>
      </c>
      <c r="D28" s="18" t="n">
        <v>0</v>
      </c>
      <c r="E28" s="18" t="n">
        <v>0</v>
      </c>
      <c r="F28" s="19" t="n">
        <f aca="false">F27*Assumptions!F30</f>
        <v>0</v>
      </c>
      <c r="G28" s="19" t="n">
        <f aca="false">G27*Assumptions!G30</f>
        <v>0</v>
      </c>
      <c r="H28" s="19" t="n">
        <f aca="false">H27*Assumptions!H30</f>
        <v>0</v>
      </c>
      <c r="I28" s="19" t="n">
        <f aca="false">I27*Assumptions!I30</f>
        <v>0</v>
      </c>
      <c r="J28" s="19" t="n">
        <f aca="false">J27*Assumptions!J30</f>
        <v>0</v>
      </c>
    </row>
    <row r="29" customFormat="false" ht="15" hidden="false" customHeight="false" outlineLevel="0" collapsed="false">
      <c r="A29" s="15" t="s">
        <v>72</v>
      </c>
      <c r="C29" s="20" t="n">
        <v>96995</v>
      </c>
      <c r="D29" s="20" t="n">
        <v>93736</v>
      </c>
      <c r="E29" s="20" t="n">
        <v>112010</v>
      </c>
      <c r="F29" s="21" t="n">
        <f aca="false">F27-F28</f>
        <v>107602.863930264</v>
      </c>
      <c r="G29" s="21" t="n">
        <f aca="false">G27-G28</f>
        <v>112458.940659652</v>
      </c>
      <c r="H29" s="21" t="n">
        <f aca="false">H27-H28</f>
        <v>116713.967570631</v>
      </c>
      <c r="I29" s="21" t="n">
        <f aca="false">I27-I28</f>
        <v>120723.521201713</v>
      </c>
      <c r="J29" s="21" t="n">
        <f aca="false">J27-J28</f>
        <v>124782.352118436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75</v>
      </c>
    </row>
    <row r="7" customFormat="false" ht="15" hidden="false" customHeight="false" outlineLevel="0" collapsed="false">
      <c r="A7" s="0" t="s">
        <v>76</v>
      </c>
      <c r="C7" s="18" t="n">
        <v>29965</v>
      </c>
      <c r="D7" s="18" t="n">
        <v>29943</v>
      </c>
      <c r="E7" s="18" t="n">
        <v>35934</v>
      </c>
      <c r="F7" s="19" t="n">
        <f aca="false">'Cash Flow'!F37</f>
        <v>43065.5562773124</v>
      </c>
      <c r="G7" s="19" t="n">
        <f aca="false">'Cash Flow'!G37</f>
        <v>42665.5276885085</v>
      </c>
      <c r="H7" s="19" t="n">
        <f aca="false">'Cash Flow'!H37</f>
        <v>41507.1711197999</v>
      </c>
      <c r="I7" s="19" t="n">
        <f aca="false">'Cash Flow'!I37</f>
        <v>39844.7973110031</v>
      </c>
      <c r="J7" s="19" t="n">
        <f aca="false">'Cash Flow'!J37</f>
        <v>37882.6121720535</v>
      </c>
    </row>
    <row r="8" customFormat="false" ht="15" hidden="false" customHeight="false" outlineLevel="0" collapsed="false">
      <c r="A8" s="0" t="s">
        <v>77</v>
      </c>
      <c r="C8" s="18" t="n">
        <v>31590</v>
      </c>
      <c r="D8" s="18" t="n">
        <v>35228</v>
      </c>
      <c r="E8" s="18" t="n">
        <v>18763</v>
      </c>
      <c r="F8" s="19" t="n">
        <f aca="false">E8</f>
        <v>18763</v>
      </c>
      <c r="G8" s="19" t="n">
        <f aca="false">F8</f>
        <v>18763</v>
      </c>
      <c r="H8" s="19" t="n">
        <f aca="false">G8</f>
        <v>18763</v>
      </c>
      <c r="I8" s="19" t="n">
        <f aca="false">H8</f>
        <v>18763</v>
      </c>
      <c r="J8" s="19" t="n">
        <f aca="false">I8</f>
        <v>18763</v>
      </c>
    </row>
    <row r="9" customFormat="false" ht="15" hidden="false" customHeight="false" outlineLevel="0" collapsed="false">
      <c r="A9" s="0" t="s">
        <v>78</v>
      </c>
      <c r="C9" s="18" t="n">
        <v>29508</v>
      </c>
      <c r="D9" s="18" t="n">
        <v>33410</v>
      </c>
      <c r="E9" s="18" t="n">
        <v>39777</v>
      </c>
      <c r="F9" s="19" t="n">
        <f aca="false">Assumptions!F22/365*'Income Statement'!F7</f>
        <v>37302.6509176303</v>
      </c>
      <c r="G9" s="19" t="n">
        <f aca="false">Assumptions!G22/365*'Income Statement'!G7</f>
        <v>38720.6655476795</v>
      </c>
      <c r="H9" s="19" t="n">
        <f aca="false">Assumptions!H22/365*'Income Statement'!H7</f>
        <v>40029.0377442017</v>
      </c>
      <c r="I9" s="19" t="n">
        <f aca="false">Assumptions!I22/365*'Income Statement'!I7</f>
        <v>41297.0834851824</v>
      </c>
      <c r="J9" s="19" t="n">
        <f aca="false">Assumptions!J22/365*'Income Statement'!J7</f>
        <v>42605.2985655186</v>
      </c>
    </row>
    <row r="10" customFormat="false" ht="15" hidden="false" customHeight="false" outlineLevel="0" collapsed="false">
      <c r="A10" s="0" t="s">
        <v>79</v>
      </c>
      <c r="C10" s="18" t="n">
        <v>6331</v>
      </c>
      <c r="D10" s="18" t="n">
        <v>7286</v>
      </c>
      <c r="E10" s="18" t="n">
        <v>5718</v>
      </c>
      <c r="F10" s="19" t="n">
        <f aca="false">Assumptions!F23/365*'Income Statement'!F8</f>
        <v>7065.7176001661</v>
      </c>
      <c r="G10" s="19" t="n">
        <f aca="false">Assumptions!G23/365*'Income Statement'!G8</f>
        <v>7334.31220892341</v>
      </c>
      <c r="H10" s="19" t="n">
        <f aca="false">Assumptions!H23/365*'Income Statement'!H8</f>
        <v>7582.13879038939</v>
      </c>
      <c r="I10" s="19" t="n">
        <f aca="false">Assumptions!I23/365*'Income Statement'!I8</f>
        <v>7822.32689738605</v>
      </c>
      <c r="J10" s="19" t="n">
        <f aca="false">Assumptions!J23/365*'Income Statement'!J8</f>
        <v>8070.12371853812</v>
      </c>
    </row>
    <row r="11" customFormat="false" ht="15" hidden="false" customHeight="false" outlineLevel="0" collapsed="false">
      <c r="A11" s="0" t="s">
        <v>80</v>
      </c>
      <c r="C11" s="18" t="n">
        <v>46172</v>
      </c>
      <c r="D11" s="18" t="n">
        <v>47120</v>
      </c>
      <c r="E11" s="18" t="n">
        <v>47765</v>
      </c>
      <c r="F11" s="19" t="n">
        <f aca="false">Assumptions!F25*'Income Statement'!F7</f>
        <v>51432.7099601502</v>
      </c>
      <c r="G11" s="19" t="n">
        <f aca="false">Assumptions!G25*'Income Statement'!G7</f>
        <v>53387.8614947587</v>
      </c>
      <c r="H11" s="19" t="n">
        <f aca="false">Assumptions!H25*'Income Statement'!H7</f>
        <v>55191.8385861521</v>
      </c>
      <c r="I11" s="19" t="n">
        <f aca="false">Assumptions!I25*'Income Statement'!I7</f>
        <v>56940.2137607765</v>
      </c>
      <c r="J11" s="19" t="n">
        <f aca="false">Assumptions!J25*'Income Statement'!J7</f>
        <v>58743.9742211524</v>
      </c>
    </row>
    <row r="12" customFormat="false" ht="15" hidden="false" customHeight="false" outlineLevel="0" collapsed="false">
      <c r="A12" s="15" t="s">
        <v>81</v>
      </c>
      <c r="C12" s="16" t="n">
        <v>143566</v>
      </c>
      <c r="D12" s="16" t="n">
        <v>152987</v>
      </c>
      <c r="E12" s="16" t="n">
        <v>147957</v>
      </c>
      <c r="F12" s="17" t="n">
        <f aca="false">SUM(F7:F11)</f>
        <v>157629.634755259</v>
      </c>
      <c r="G12" s="17" t="n">
        <f aca="false">SUM(G7:G11)</f>
        <v>160871.36693987</v>
      </c>
      <c r="H12" s="17" t="n">
        <f aca="false">SUM(H7:H11)</f>
        <v>163073.186240543</v>
      </c>
      <c r="I12" s="17" t="n">
        <f aca="false">SUM(I7:I11)</f>
        <v>164667.421454348</v>
      </c>
      <c r="J12" s="17" t="n">
        <f aca="false">SUM(J7:J11)</f>
        <v>166065.008677263</v>
      </c>
    </row>
    <row r="13" customFormat="false" ht="15" hidden="false" customHeight="false" outlineLevel="0" collapsed="false">
      <c r="A13" s="0" t="s">
        <v>82</v>
      </c>
      <c r="C13" s="18" t="n">
        <v>114599</v>
      </c>
      <c r="D13" s="18" t="n">
        <v>119128</v>
      </c>
      <c r="E13" s="18" t="n">
        <v>125848</v>
      </c>
      <c r="F13" s="19" t="n">
        <f aca="false">IF(ISNUMBER(E13),E13+Schedules!F8,"")</f>
        <v>137892.103342905</v>
      </c>
      <c r="G13" s="19" t="n">
        <f aca="false">IF(ISNUMBER(F13),F13+Schedules!G8,"")</f>
        <v>150394.048536882</v>
      </c>
      <c r="H13" s="19" t="n">
        <f aca="false">IF(ISNUMBER(G13),G13+Schedules!H8,"")</f>
        <v>163318.434752028</v>
      </c>
      <c r="I13" s="19" t="n">
        <f aca="false">IF(ISNUMBER(H13),H13+Schedules!I8,"")</f>
        <v>176652.241573275</v>
      </c>
      <c r="J13" s="19" t="n">
        <f aca="false">IF(ISNUMBER(I13),I13+Schedules!J8,"")</f>
        <v>190408.438686759</v>
      </c>
    </row>
    <row r="14" customFormat="false" ht="15" hidden="false" customHeight="false" outlineLevel="0" collapsed="false">
      <c r="A14" s="0" t="s">
        <v>83</v>
      </c>
      <c r="C14" s="18" t="n">
        <v>70884</v>
      </c>
      <c r="D14" s="18" t="n">
        <v>73448</v>
      </c>
      <c r="E14" s="18" t="n">
        <v>76014</v>
      </c>
      <c r="F14" s="19" t="n">
        <f aca="false">IF(ISNUMBER(E14),E14+Schedules!F9,"")</f>
        <v>88918.3962412312</v>
      </c>
      <c r="G14" s="19" t="n">
        <f aca="false">IF(ISNUMBER(F14),F14+Schedules!G9,"")</f>
        <v>101600.021674509</v>
      </c>
      <c r="H14" s="19" t="n">
        <f aca="false">IF(ISNUMBER(G14),G14+Schedules!H9,"")</f>
        <v>114235.119335491</v>
      </c>
      <c r="I14" s="19" t="n">
        <f aca="false">IF(ISNUMBER(H14),H14+Schedules!I9,"")</f>
        <v>126945.127582236</v>
      </c>
      <c r="J14" s="19" t="n">
        <f aca="false">IF(ISNUMBER(I14),I14+Schedules!J9,"")</f>
        <v>139816.666992045</v>
      </c>
    </row>
    <row r="15" customFormat="false" ht="15" hidden="false" customHeight="false" outlineLevel="0" collapsed="false">
      <c r="A15" s="0" t="s">
        <v>84</v>
      </c>
      <c r="C15" s="18" t="n">
        <v>43715</v>
      </c>
      <c r="D15" s="18" t="n">
        <v>45680</v>
      </c>
      <c r="E15" s="18" t="n">
        <v>49834</v>
      </c>
      <c r="F15" s="19" t="n">
        <f aca="false">Schedules!F10</f>
        <v>48973.7071016735</v>
      </c>
      <c r="G15" s="19" t="n">
        <f aca="false">Schedules!G10</f>
        <v>48794.0268623729</v>
      </c>
      <c r="H15" s="19" t="n">
        <f aca="false">Schedules!H10</f>
        <v>49083.315416537</v>
      </c>
      <c r="I15" s="19" t="n">
        <f aca="false">Schedules!I10</f>
        <v>49707.1139910384</v>
      </c>
      <c r="J15" s="19" t="n">
        <f aca="false">Schedules!J10</f>
        <v>50591.7716947139</v>
      </c>
    </row>
    <row r="16" customFormat="false" ht="15" hidden="false" customHeight="false" outlineLevel="0" collapsed="false">
      <c r="A16" s="0" t="s">
        <v>85</v>
      </c>
      <c r="C16" s="18" t="n">
        <v>165302</v>
      </c>
      <c r="D16" s="18" t="n">
        <v>166313</v>
      </c>
      <c r="E16" s="18" t="n">
        <v>161450</v>
      </c>
      <c r="F16" s="19" t="n">
        <f aca="false">E16</f>
        <v>161450</v>
      </c>
      <c r="G16" s="19" t="n">
        <f aca="false">F16</f>
        <v>161450</v>
      </c>
      <c r="H16" s="19" t="n">
        <f aca="false">G16</f>
        <v>161450</v>
      </c>
      <c r="I16" s="19" t="n">
        <f aca="false">H16</f>
        <v>161450</v>
      </c>
      <c r="J16" s="19" t="n">
        <f aca="false">I16</f>
        <v>161450</v>
      </c>
    </row>
    <row r="17" customFormat="false" ht="15" hidden="false" customHeight="false" outlineLevel="0" collapsed="false">
      <c r="A17" s="15" t="s">
        <v>86</v>
      </c>
      <c r="C17" s="20" t="n">
        <v>352583</v>
      </c>
      <c r="D17" s="20" t="n">
        <v>364980</v>
      </c>
      <c r="E17" s="20" t="n">
        <v>359241</v>
      </c>
      <c r="F17" s="21" t="n">
        <f aca="false">F12+F15+F16</f>
        <v>368053.341856932</v>
      </c>
      <c r="G17" s="21" t="n">
        <f aca="false">G12+G15+G16</f>
        <v>371115.393802243</v>
      </c>
      <c r="H17" s="21" t="n">
        <f aca="false">H12+H15+H16</f>
        <v>373606.50165708</v>
      </c>
      <c r="I17" s="21" t="n">
        <f aca="false">I12+I15+I16</f>
        <v>375824.535445386</v>
      </c>
      <c r="J17" s="21" t="n">
        <f aca="false">J12+J15+J16</f>
        <v>378106.780371976</v>
      </c>
    </row>
    <row r="19" customFormat="false" ht="15" hidden="false" customHeight="false" outlineLevel="0" collapsed="false">
      <c r="A19" s="6" t="s">
        <v>87</v>
      </c>
    </row>
    <row r="20" customFormat="false" ht="15" hidden="false" customHeight="false" outlineLevel="0" collapsed="false">
      <c r="A20" s="0" t="s">
        <v>88</v>
      </c>
      <c r="C20" s="18" t="n">
        <v>62611</v>
      </c>
      <c r="D20" s="18" t="n">
        <v>68960</v>
      </c>
      <c r="E20" s="18" t="n">
        <v>69860</v>
      </c>
      <c r="F20" s="19" t="n">
        <f aca="false">Assumptions!F24/365*'Income Statement'!F8</f>
        <v>73448.1028096954</v>
      </c>
      <c r="G20" s="19" t="n">
        <f aca="false">Assumptions!G24/365*'Income Statement'!G8</f>
        <v>76240.1425648185</v>
      </c>
      <c r="H20" s="19" t="n">
        <f aca="false">Assumptions!H24/365*'Income Statement'!H8</f>
        <v>78816.2987692585</v>
      </c>
      <c r="I20" s="19" t="n">
        <f aca="false">Assumptions!I24/365*'Income Statement'!I8</f>
        <v>81313.0530657991</v>
      </c>
      <c r="J20" s="19" t="n">
        <f aca="false">Assumptions!J24/365*'Income Statement'!J8</f>
        <v>83888.8999119092</v>
      </c>
    </row>
    <row r="21" customFormat="false" ht="15" hidden="false" customHeight="false" outlineLevel="0" collapsed="false">
      <c r="A21" s="0" t="s">
        <v>89</v>
      </c>
      <c r="C21" s="18" t="n">
        <v>66890</v>
      </c>
      <c r="D21" s="18" t="n">
        <v>86553</v>
      </c>
      <c r="E21" s="18" t="n">
        <v>75442</v>
      </c>
      <c r="F21" s="19" t="n">
        <f aca="false">Assumptions!F26*'Income Statement'!F7</f>
        <v>83442.8969559086</v>
      </c>
      <c r="G21" s="19" t="n">
        <f aca="false">Assumptions!G26*'Income Statement'!G7</f>
        <v>86614.8765805857</v>
      </c>
      <c r="H21" s="19" t="n">
        <f aca="false">Assumptions!H26*'Income Statement'!H7</f>
        <v>89541.5952906166</v>
      </c>
      <c r="I21" s="19" t="n">
        <f aca="false">Assumptions!I26*'Income Statement'!I7</f>
        <v>92378.1071067251</v>
      </c>
      <c r="J21" s="19" t="n">
        <f aca="false">Assumptions!J26*'Income Statement'!J7</f>
        <v>95304.4743610444</v>
      </c>
    </row>
    <row r="22" customFormat="false" ht="15" hidden="false" customHeight="false" outlineLevel="0" collapsed="false">
      <c r="A22" s="0" t="s">
        <v>90</v>
      </c>
      <c r="C22" s="18" t="n">
        <v>0</v>
      </c>
      <c r="D22" s="18" t="n">
        <v>0</v>
      </c>
      <c r="E22" s="18" t="n">
        <v>0</v>
      </c>
      <c r="F22" s="19" t="n">
        <f aca="false">Schedules!F29</f>
        <v>0</v>
      </c>
      <c r="G22" s="19" t="n">
        <f aca="false">Schedules!G29</f>
        <v>0</v>
      </c>
      <c r="H22" s="19" t="n">
        <f aca="false">Schedules!H29</f>
        <v>0</v>
      </c>
      <c r="I22" s="19" t="n">
        <f aca="false">Schedules!I29</f>
        <v>0</v>
      </c>
      <c r="J22" s="19" t="n">
        <f aca="false">Schedules!J29</f>
        <v>0</v>
      </c>
    </row>
    <row r="23" customFormat="false" ht="15" hidden="false" customHeight="false" outlineLevel="0" collapsed="false">
      <c r="A23" s="15" t="s">
        <v>91</v>
      </c>
      <c r="C23" s="16" t="n">
        <v>129501</v>
      </c>
      <c r="D23" s="16" t="n">
        <v>155513</v>
      </c>
      <c r="E23" s="16" t="n">
        <v>145302</v>
      </c>
      <c r="F23" s="17" t="n">
        <f aca="false">SUM(F20:F22)</f>
        <v>156890.999765604</v>
      </c>
      <c r="G23" s="17" t="n">
        <f aca="false">SUM(G20:G22)</f>
        <v>162855.019145404</v>
      </c>
      <c r="H23" s="17" t="n">
        <f aca="false">SUM(H20:H22)</f>
        <v>168357.894059875</v>
      </c>
      <c r="I23" s="17" t="n">
        <f aca="false">SUM(I20:I22)</f>
        <v>173691.160172524</v>
      </c>
      <c r="J23" s="17" t="n">
        <f aca="false">SUM(J20:J22)</f>
        <v>179193.374272954</v>
      </c>
    </row>
    <row r="24" customFormat="false" ht="15" hidden="false" customHeight="false" outlineLevel="0" collapsed="false">
      <c r="A24" s="0" t="s">
        <v>92</v>
      </c>
      <c r="C24" s="18" t="n">
        <v>111088</v>
      </c>
      <c r="D24" s="18" t="n">
        <v>106629</v>
      </c>
      <c r="E24" s="18" t="n">
        <v>98657</v>
      </c>
      <c r="F24" s="19" t="n">
        <f aca="false">Schedules!F16</f>
        <v>98657</v>
      </c>
      <c r="G24" s="19" t="n">
        <f aca="false">Schedules!G16</f>
        <v>98657</v>
      </c>
      <c r="H24" s="19" t="n">
        <f aca="false">Schedules!H16</f>
        <v>98657</v>
      </c>
      <c r="I24" s="19" t="n">
        <f aca="false">Schedules!I16</f>
        <v>98657</v>
      </c>
      <c r="J24" s="19" t="n">
        <f aca="false">Schedules!J16</f>
        <v>98657</v>
      </c>
    </row>
    <row r="25" customFormat="false" ht="15" hidden="false" customHeight="false" outlineLevel="0" collapsed="false">
      <c r="A25" s="0" t="s">
        <v>93</v>
      </c>
      <c r="C25" s="18" t="n">
        <v>49848</v>
      </c>
      <c r="D25" s="18" t="n">
        <v>45888</v>
      </c>
      <c r="E25" s="18" t="n">
        <v>41549</v>
      </c>
      <c r="F25" s="19" t="n">
        <f aca="false">E25</f>
        <v>41549</v>
      </c>
      <c r="G25" s="19" t="n">
        <f aca="false">F25</f>
        <v>41549</v>
      </c>
      <c r="H25" s="19" t="n">
        <f aca="false">G25</f>
        <v>41549</v>
      </c>
      <c r="I25" s="19" t="n">
        <f aca="false">H25</f>
        <v>41549</v>
      </c>
      <c r="J25" s="19" t="n">
        <f aca="false">I25</f>
        <v>41549</v>
      </c>
    </row>
    <row r="26" customFormat="false" ht="15" hidden="false" customHeight="false" outlineLevel="0" collapsed="false">
      <c r="A26" s="15" t="s">
        <v>94</v>
      </c>
      <c r="C26" s="16" t="n">
        <v>290437</v>
      </c>
      <c r="D26" s="16" t="n">
        <v>308030</v>
      </c>
      <c r="E26" s="16" t="n">
        <v>285508</v>
      </c>
      <c r="F26" s="17" t="n">
        <f aca="false">F23+F24+F25</f>
        <v>297096.999765604</v>
      </c>
      <c r="G26" s="17" t="n">
        <f aca="false">G23+G24+G25</f>
        <v>303061.019145404</v>
      </c>
      <c r="H26" s="17" t="n">
        <f aca="false">H23+H24+H25</f>
        <v>308563.894059875</v>
      </c>
      <c r="I26" s="17" t="n">
        <f aca="false">I23+I24+I25</f>
        <v>313897.160172524</v>
      </c>
      <c r="J26" s="17" t="n">
        <f aca="false">J23+J24+J25</f>
        <v>319399.374272954</v>
      </c>
    </row>
    <row r="28" customFormat="false" ht="15" hidden="false" customHeight="false" outlineLevel="0" collapsed="false">
      <c r="A28" s="6" t="s">
        <v>95</v>
      </c>
    </row>
    <row r="29" customFormat="false" ht="15" hidden="false" customHeight="false" outlineLevel="0" collapsed="false">
      <c r="A29" s="0" t="s">
        <v>96</v>
      </c>
      <c r="C29" s="18" t="n">
        <v>73812</v>
      </c>
      <c r="D29" s="18" t="n">
        <v>83276</v>
      </c>
      <c r="E29" s="18" t="n">
        <v>93568</v>
      </c>
      <c r="F29" s="19" t="n">
        <f aca="false">E29</f>
        <v>93568</v>
      </c>
      <c r="G29" s="19" t="n">
        <f aca="false">F29</f>
        <v>93568</v>
      </c>
      <c r="H29" s="19" t="n">
        <f aca="false">G29</f>
        <v>93568</v>
      </c>
      <c r="I29" s="19" t="n">
        <f aca="false">H29</f>
        <v>93568</v>
      </c>
      <c r="J29" s="19" t="n">
        <f aca="false">I29</f>
        <v>93568</v>
      </c>
    </row>
    <row r="30" customFormat="false" ht="15" hidden="false" customHeight="false" outlineLevel="0" collapsed="false">
      <c r="A30" s="0" t="s">
        <v>97</v>
      </c>
      <c r="C30" s="18" t="n">
        <v>-214</v>
      </c>
      <c r="D30" s="18" t="n">
        <v>-19154</v>
      </c>
      <c r="E30" s="18" t="n">
        <v>-14264</v>
      </c>
      <c r="F30" s="19" t="n">
        <f aca="false">E30+'Income Statement'!F29+'Cash Flow'!F27</f>
        <v>77015.496227239</v>
      </c>
      <c r="G30" s="19" t="n">
        <f aca="false">F30+'Income Statement'!G29+'Cash Flow'!G27</f>
        <v>172414.401746285</v>
      </c>
      <c r="H30" s="19" t="n">
        <f aca="false">G30+'Income Statement'!H29+'Cash Flow'!H27</f>
        <v>271422.846070164</v>
      </c>
      <c r="I30" s="19" t="n">
        <f aca="false">H30+'Income Statement'!I29+'Cash Flow'!I27</f>
        <v>373832.594245755</v>
      </c>
      <c r="J30" s="19" t="n">
        <f aca="false">I30+'Income Statement'!J29+'Cash Flow'!J27</f>
        <v>479685.448188402</v>
      </c>
    </row>
    <row r="31" customFormat="false" ht="15" hidden="false" customHeight="false" outlineLevel="0" collapsed="false">
      <c r="A31" s="0" t="s">
        <v>98</v>
      </c>
      <c r="C31" s="18" t="n">
        <v>0</v>
      </c>
      <c r="D31" s="18" t="n">
        <v>0</v>
      </c>
      <c r="E31" s="18" t="n">
        <v>0</v>
      </c>
      <c r="F31" s="19" t="n">
        <f aca="false">E31-'Cash Flow'!F28</f>
        <v>94056.1541359105</v>
      </c>
      <c r="G31" s="19" t="n">
        <f aca="false">F31-'Cash Flow'!G28</f>
        <v>192357.027089446</v>
      </c>
      <c r="H31" s="19" t="n">
        <f aca="false">G31-'Cash Flow'!H28</f>
        <v>294377.238472959</v>
      </c>
      <c r="I31" s="19" t="n">
        <f aca="false">H31-'Cash Flow'!I28</f>
        <v>399902.218972893</v>
      </c>
      <c r="J31" s="19" t="n">
        <f aca="false">I31-'Cash Flow'!J28</f>
        <v>508975.042089379</v>
      </c>
    </row>
    <row r="32" customFormat="false" ht="15" hidden="false" customHeight="false" outlineLevel="0" collapsed="false">
      <c r="A32" s="0" t="s">
        <v>99</v>
      </c>
      <c r="C32" s="18" t="n">
        <v>-11452</v>
      </c>
      <c r="D32" s="18" t="n">
        <v>-7172</v>
      </c>
      <c r="E32" s="18" t="n">
        <v>-5571</v>
      </c>
      <c r="F32" s="19" t="n">
        <f aca="false">E32</f>
        <v>-5571</v>
      </c>
      <c r="G32" s="19" t="n">
        <f aca="false">F32</f>
        <v>-5571</v>
      </c>
      <c r="H32" s="19" t="n">
        <f aca="false">G32</f>
        <v>-5571</v>
      </c>
      <c r="I32" s="19" t="n">
        <f aca="false">H32</f>
        <v>-5571</v>
      </c>
      <c r="J32" s="19" t="n">
        <f aca="false">I32</f>
        <v>-5571</v>
      </c>
    </row>
    <row r="33" customFormat="false" ht="15" hidden="false" customHeight="false" outlineLevel="0" collapsed="false">
      <c r="A33" s="15" t="s">
        <v>100</v>
      </c>
      <c r="C33" s="16" t="n">
        <v>62146</v>
      </c>
      <c r="D33" s="16" t="n">
        <v>56950</v>
      </c>
      <c r="E33" s="16" t="n">
        <v>73733</v>
      </c>
      <c r="F33" s="17" t="n">
        <f aca="false">F29+F30-F31+F32</f>
        <v>70956.3420913285</v>
      </c>
      <c r="G33" s="17" t="n">
        <f aca="false">G29+G30-G31+G32</f>
        <v>68054.3746568388</v>
      </c>
      <c r="H33" s="17" t="n">
        <f aca="false">H29+H30-H31+H32</f>
        <v>65042.607597205</v>
      </c>
      <c r="I33" s="17" t="n">
        <f aca="false">I29+I30-I31+I32</f>
        <v>61927.3752728623</v>
      </c>
      <c r="J33" s="17" t="n">
        <f aca="false">J29+J30-J31+J32</f>
        <v>58707.4060990228</v>
      </c>
    </row>
    <row r="34" customFormat="false" ht="15" hidden="false" customHeight="false" outlineLevel="0" collapsed="false">
      <c r="A34" s="0" t="s">
        <v>101</v>
      </c>
      <c r="C34" s="18" t="n">
        <v>0</v>
      </c>
      <c r="D34" s="18" t="n">
        <v>0</v>
      </c>
      <c r="E34" s="18" t="n">
        <v>0</v>
      </c>
      <c r="F34" s="19" t="n">
        <f aca="false">E34+'Income Statement'!F28+'Cash Flow'!F29</f>
        <v>0</v>
      </c>
      <c r="G34" s="19" t="n">
        <f aca="false">F34+'Income Statement'!G28+'Cash Flow'!G29</f>
        <v>0</v>
      </c>
      <c r="H34" s="19" t="n">
        <f aca="false">G34+'Income Statement'!H28+'Cash Flow'!H29</f>
        <v>0</v>
      </c>
      <c r="I34" s="19" t="n">
        <f aca="false">H34+'Income Statement'!I28+'Cash Flow'!I29</f>
        <v>0</v>
      </c>
      <c r="J34" s="19" t="n">
        <f aca="false">I34+'Income Statement'!J28+'Cash Flow'!J29</f>
        <v>0</v>
      </c>
    </row>
    <row r="35" customFormat="false" ht="15" hidden="false" customHeight="false" outlineLevel="0" collapsed="false">
      <c r="A35" s="15" t="s">
        <v>102</v>
      </c>
      <c r="C35" s="16" t="n">
        <v>62146</v>
      </c>
      <c r="D35" s="16" t="n">
        <v>56950</v>
      </c>
      <c r="E35" s="16" t="n">
        <v>73733</v>
      </c>
      <c r="F35" s="17" t="n">
        <f aca="false">F33+F34</f>
        <v>70956.3420913285</v>
      </c>
      <c r="G35" s="17" t="n">
        <f aca="false">G33+G34</f>
        <v>68054.3746568388</v>
      </c>
      <c r="H35" s="17" t="n">
        <f aca="false">H33+H34</f>
        <v>65042.607597205</v>
      </c>
      <c r="I35" s="17" t="n">
        <f aca="false">I33+I34</f>
        <v>61927.3752728623</v>
      </c>
      <c r="J35" s="17" t="n">
        <f aca="false">J33+J34</f>
        <v>58707.4060990228</v>
      </c>
    </row>
    <row r="36" customFormat="false" ht="15" hidden="false" customHeight="false" outlineLevel="0" collapsed="false">
      <c r="A36" s="15" t="s">
        <v>103</v>
      </c>
      <c r="C36" s="20" t="n">
        <v>352583</v>
      </c>
      <c r="D36" s="20" t="n">
        <v>364980</v>
      </c>
      <c r="E36" s="20" t="n">
        <v>359241</v>
      </c>
      <c r="F36" s="21" t="n">
        <f aca="false">F26+F35</f>
        <v>368053.341856932</v>
      </c>
      <c r="G36" s="21" t="n">
        <f aca="false">G26+G35</f>
        <v>371115.393802243</v>
      </c>
      <c r="H36" s="21" t="n">
        <f aca="false">H26+H35</f>
        <v>373606.50165708</v>
      </c>
      <c r="I36" s="21" t="n">
        <f aca="false">I26+I35</f>
        <v>375824.535445386</v>
      </c>
      <c r="J36" s="21" t="n">
        <f aca="false">J26+J35</f>
        <v>378106.780371976</v>
      </c>
    </row>
    <row r="38" customFormat="false" ht="15" hidden="false" customHeight="false" outlineLevel="0" collapsed="false">
      <c r="A38" s="6" t="s">
        <v>104</v>
      </c>
    </row>
    <row r="39" customFormat="false" ht="15" hidden="false" customHeight="false" outlineLevel="0" collapsed="false">
      <c r="A39" s="22" t="s">
        <v>105</v>
      </c>
      <c r="C39" s="23" t="n">
        <f aca="false">ROUND(C17-C36,6)</f>
        <v>0</v>
      </c>
      <c r="D39" s="23" t="n">
        <f aca="false">ROUND(D17-D36,6)</f>
        <v>0</v>
      </c>
      <c r="E39" s="23" t="n">
        <f aca="false">ROUND(E17-E36,6)</f>
        <v>0</v>
      </c>
      <c r="F39" s="23" t="n">
        <f aca="false">ROUND(F17-F36,6)</f>
        <v>0</v>
      </c>
      <c r="G39" s="23" t="n">
        <f aca="false">ROUND(G17-G36,6)</f>
        <v>0</v>
      </c>
      <c r="H39" s="23" t="n">
        <f aca="false">ROUND(H17-H36,6)</f>
        <v>0</v>
      </c>
      <c r="I39" s="23" t="n">
        <f aca="false">ROUND(I17-I36,6)</f>
        <v>0</v>
      </c>
      <c r="J39" s="23" t="n">
        <f aca="false">ROUND(J17-J36,6)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108</v>
      </c>
    </row>
    <row r="7" customFormat="false" ht="15" hidden="false" customHeight="false" outlineLevel="0" collapsed="false">
      <c r="A7" s="0" t="s">
        <v>70</v>
      </c>
      <c r="C7" s="18" t="n">
        <v>96995</v>
      </c>
      <c r="D7" s="18" t="n">
        <v>93736</v>
      </c>
      <c r="E7" s="18" t="n">
        <v>112010</v>
      </c>
      <c r="F7" s="19" t="n">
        <f aca="false">'Income Statement'!F27</f>
        <v>107602.863930264</v>
      </c>
      <c r="G7" s="19" t="n">
        <f aca="false">'Income Statement'!G27</f>
        <v>112458.940659652</v>
      </c>
      <c r="H7" s="19" t="n">
        <f aca="false">'Income Statement'!H27</f>
        <v>116713.967570631</v>
      </c>
      <c r="I7" s="19" t="n">
        <f aca="false">'Income Statement'!I27</f>
        <v>120723.521201713</v>
      </c>
      <c r="J7" s="19" t="n">
        <f aca="false">'Income Statement'!J27</f>
        <v>124782.352118436</v>
      </c>
    </row>
    <row r="8" customFormat="false" ht="15" hidden="false" customHeight="false" outlineLevel="0" collapsed="false">
      <c r="A8" s="0" t="s">
        <v>109</v>
      </c>
      <c r="C8" s="18" t="n">
        <v>11519</v>
      </c>
      <c r="D8" s="18" t="n">
        <v>11445</v>
      </c>
      <c r="E8" s="18" t="n">
        <v>11698</v>
      </c>
      <c r="F8" s="19" t="n">
        <f aca="false">'Income Statement'!F14</f>
        <v>12904.3962412312</v>
      </c>
      <c r="G8" s="19" t="n">
        <f aca="false">'Income Statement'!G14</f>
        <v>12681.6254332783</v>
      </c>
      <c r="H8" s="19" t="n">
        <f aca="false">'Income Statement'!H14</f>
        <v>12635.0976609812</v>
      </c>
      <c r="I8" s="19" t="n">
        <f aca="false">'Income Statement'!I14</f>
        <v>12710.0082467457</v>
      </c>
      <c r="J8" s="19" t="n">
        <f aca="false">'Income Statement'!J14</f>
        <v>12871.5394098087</v>
      </c>
    </row>
    <row r="9" customFormat="false" ht="15" hidden="false" customHeight="false" outlineLevel="0" collapsed="false">
      <c r="A9" s="0" t="s">
        <v>110</v>
      </c>
      <c r="C9" s="18"/>
      <c r="D9" s="18"/>
      <c r="E9" s="18"/>
      <c r="F9" s="19" t="n">
        <f aca="false">'Balance Sheet'!E9-'Balance Sheet'!F9</f>
        <v>2474.34908236974</v>
      </c>
      <c r="G9" s="19" t="n">
        <f aca="false">'Balance Sheet'!F9-'Balance Sheet'!G9</f>
        <v>-1418.0146300492</v>
      </c>
      <c r="H9" s="19" t="n">
        <f aca="false">'Balance Sheet'!G9-'Balance Sheet'!H9</f>
        <v>-1308.37219652221</v>
      </c>
      <c r="I9" s="19" t="n">
        <f aca="false">'Balance Sheet'!H9-'Balance Sheet'!I9</f>
        <v>-1268.04574098071</v>
      </c>
      <c r="J9" s="19" t="n">
        <f aca="false">'Balance Sheet'!I9-'Balance Sheet'!J9</f>
        <v>-1308.21508033617</v>
      </c>
    </row>
    <row r="10" customFormat="false" ht="15" hidden="false" customHeight="false" outlineLevel="0" collapsed="false">
      <c r="A10" s="0" t="s">
        <v>111</v>
      </c>
      <c r="C10" s="18"/>
      <c r="D10" s="18"/>
      <c r="E10" s="18"/>
      <c r="F10" s="19" t="n">
        <f aca="false">'Balance Sheet'!E10-'Balance Sheet'!F10</f>
        <v>-1347.7176001661</v>
      </c>
      <c r="G10" s="19" t="n">
        <f aca="false">'Balance Sheet'!F10-'Balance Sheet'!G10</f>
        <v>-268.594608757316</v>
      </c>
      <c r="H10" s="19" t="n">
        <f aca="false">'Balance Sheet'!G10-'Balance Sheet'!H10</f>
        <v>-247.826581465976</v>
      </c>
      <c r="I10" s="19" t="n">
        <f aca="false">'Balance Sheet'!H10-'Balance Sheet'!I10</f>
        <v>-240.188106996666</v>
      </c>
      <c r="J10" s="19" t="n">
        <f aca="false">'Balance Sheet'!I10-'Balance Sheet'!J10</f>
        <v>-247.796821152067</v>
      </c>
    </row>
    <row r="11" customFormat="false" ht="15" hidden="false" customHeight="false" outlineLevel="0" collapsed="false">
      <c r="A11" s="0" t="s">
        <v>112</v>
      </c>
      <c r="C11" s="18"/>
      <c r="D11" s="18"/>
      <c r="E11" s="18"/>
      <c r="F11" s="19" t="n">
        <f aca="false">'Balance Sheet'!E11-'Balance Sheet'!F11</f>
        <v>-3667.70996015018</v>
      </c>
      <c r="G11" s="19" t="n">
        <f aca="false">'Balance Sheet'!F11-'Balance Sheet'!G11</f>
        <v>-1955.1515346085</v>
      </c>
      <c r="H11" s="19" t="n">
        <f aca="false">'Balance Sheet'!G11-'Balance Sheet'!H11</f>
        <v>-1803.97709139345</v>
      </c>
      <c r="I11" s="19" t="n">
        <f aca="false">'Balance Sheet'!H11-'Balance Sheet'!I11</f>
        <v>-1748.37517462439</v>
      </c>
      <c r="J11" s="19" t="n">
        <f aca="false">'Balance Sheet'!I11-'Balance Sheet'!J11</f>
        <v>-1803.76046037586</v>
      </c>
    </row>
    <row r="12" customFormat="false" ht="15" hidden="false" customHeight="false" outlineLevel="0" collapsed="false">
      <c r="A12" s="0" t="s">
        <v>113</v>
      </c>
      <c r="C12" s="18"/>
      <c r="D12" s="18"/>
      <c r="E12" s="18"/>
      <c r="F12" s="19" t="n">
        <f aca="false">'Balance Sheet'!F20-'Balance Sheet'!E20</f>
        <v>3588.10280969535</v>
      </c>
      <c r="G12" s="19" t="n">
        <f aca="false">'Balance Sheet'!G20-'Balance Sheet'!F20</f>
        <v>2792.03975512316</v>
      </c>
      <c r="H12" s="19" t="n">
        <f aca="false">'Balance Sheet'!H20-'Balance Sheet'!G20</f>
        <v>2576.15620443995</v>
      </c>
      <c r="I12" s="19" t="n">
        <f aca="false">'Balance Sheet'!I20-'Balance Sheet'!H20</f>
        <v>2496.7542965406</v>
      </c>
      <c r="J12" s="19" t="n">
        <f aca="false">'Balance Sheet'!J20-'Balance Sheet'!I20</f>
        <v>2575.84684611013</v>
      </c>
    </row>
    <row r="13" customFormat="false" ht="15" hidden="false" customHeight="false" outlineLevel="0" collapsed="false">
      <c r="A13" s="0" t="s">
        <v>114</v>
      </c>
      <c r="C13" s="18"/>
      <c r="D13" s="18"/>
      <c r="E13" s="18"/>
      <c r="F13" s="19" t="n">
        <f aca="false">'Balance Sheet'!F21-'Balance Sheet'!E21</f>
        <v>8000.89695590855</v>
      </c>
      <c r="G13" s="19" t="n">
        <f aca="false">'Balance Sheet'!G21-'Balance Sheet'!F21</f>
        <v>3171.97962467711</v>
      </c>
      <c r="H13" s="19" t="n">
        <f aca="false">'Balance Sheet'!H21-'Balance Sheet'!G21</f>
        <v>2926.71871003088</v>
      </c>
      <c r="I13" s="19" t="n">
        <f aca="false">'Balance Sheet'!I21-'Balance Sheet'!H21</f>
        <v>2836.51181610858</v>
      </c>
      <c r="J13" s="19" t="n">
        <f aca="false">'Balance Sheet'!J21-'Balance Sheet'!I21</f>
        <v>2926.3672543193</v>
      </c>
    </row>
    <row r="14" customFormat="false" ht="15" hidden="false" customHeight="false" outlineLevel="0" collapsed="false">
      <c r="A14" s="0" t="s">
        <v>115</v>
      </c>
      <c r="C14" s="18" t="n">
        <v>-6577</v>
      </c>
      <c r="D14" s="18" t="n">
        <v>3651</v>
      </c>
      <c r="E14" s="18" t="n">
        <v>-25000</v>
      </c>
      <c r="F14" s="19" t="n">
        <f aca="false">SUM(F9:F13)</f>
        <v>9047.92128765738</v>
      </c>
      <c r="G14" s="19" t="n">
        <f aca="false">SUM(G9:G13)</f>
        <v>2322.25860638526</v>
      </c>
      <c r="H14" s="19" t="n">
        <f aca="false">SUM(H9:H13)</f>
        <v>2142.69904508919</v>
      </c>
      <c r="I14" s="19" t="n">
        <f aca="false">SUM(I9:I13)</f>
        <v>2076.65709004741</v>
      </c>
      <c r="J14" s="19" t="n">
        <f aca="false">SUM(J9:J13)</f>
        <v>2142.44173856533</v>
      </c>
    </row>
    <row r="15" customFormat="false" ht="15" hidden="false" customHeight="false" outlineLevel="0" collapsed="false">
      <c r="A15" s="0" t="s">
        <v>116</v>
      </c>
      <c r="C15" s="18" t="n">
        <v>8606</v>
      </c>
      <c r="D15" s="18" t="n">
        <v>9422</v>
      </c>
      <c r="E15" s="18" t="n">
        <v>12774</v>
      </c>
      <c r="F15" s="19" t="n">
        <f aca="false">0</f>
        <v>0</v>
      </c>
      <c r="G15" s="19" t="n">
        <f aca="false">0</f>
        <v>0</v>
      </c>
      <c r="H15" s="19" t="n">
        <f aca="false">0</f>
        <v>0</v>
      </c>
      <c r="I15" s="19" t="n">
        <f aca="false">0</f>
        <v>0</v>
      </c>
      <c r="J15" s="19" t="n">
        <f aca="false">0</f>
        <v>0</v>
      </c>
    </row>
    <row r="16" customFormat="false" ht="15" hidden="false" customHeight="false" outlineLevel="0" collapsed="false">
      <c r="A16" s="15" t="s">
        <v>117</v>
      </c>
      <c r="C16" s="16" t="n">
        <v>110543</v>
      </c>
      <c r="D16" s="16" t="n">
        <v>118254</v>
      </c>
      <c r="E16" s="16" t="n">
        <v>111482</v>
      </c>
      <c r="F16" s="17" t="n">
        <f aca="false">F7+F8+F14+F15</f>
        <v>129555.181459153</v>
      </c>
      <c r="G16" s="17" t="n">
        <f aca="false">G7+G8+G14+G15</f>
        <v>127462.824699316</v>
      </c>
      <c r="H16" s="17" t="n">
        <f aca="false">H7+H8+H14+H15</f>
        <v>131491.764276702</v>
      </c>
      <c r="I16" s="17" t="n">
        <f aca="false">I7+I8+I14+I15</f>
        <v>135510.186538506</v>
      </c>
      <c r="J16" s="17" t="n">
        <f aca="false">J7+J8+J14+J15</f>
        <v>139796.33326681</v>
      </c>
    </row>
    <row r="18" customFormat="false" ht="15" hidden="false" customHeight="false" outlineLevel="0" collapsed="false">
      <c r="A18" s="6" t="s">
        <v>118</v>
      </c>
    </row>
    <row r="19" customFormat="false" ht="15" hidden="false" customHeight="false" outlineLevel="0" collapsed="false">
      <c r="A19" s="0" t="s">
        <v>119</v>
      </c>
      <c r="C19" s="18" t="n">
        <v>-10959</v>
      </c>
      <c r="D19" s="18" t="n">
        <v>-9447</v>
      </c>
      <c r="E19" s="18" t="n">
        <v>-12715</v>
      </c>
      <c r="F19" s="19" t="n">
        <f aca="false">-Schedules!F8</f>
        <v>-12044.1033429046</v>
      </c>
      <c r="G19" s="19" t="n">
        <f aca="false">-Schedules!G8</f>
        <v>-12501.9451939778</v>
      </c>
      <c r="H19" s="19" t="n">
        <f aca="false">-Schedules!H8</f>
        <v>-12924.3862151452</v>
      </c>
      <c r="I19" s="19" t="n">
        <f aca="false">-Schedules!I8</f>
        <v>-13333.8068212471</v>
      </c>
      <c r="J19" s="19" t="n">
        <f aca="false">-Schedules!J8</f>
        <v>-13756.1971134841</v>
      </c>
    </row>
    <row r="20" customFormat="false" ht="15" hidden="false" customHeight="false" outlineLevel="0" collapsed="false">
      <c r="A20" s="0" t="s">
        <v>120</v>
      </c>
      <c r="C20" s="18" t="n">
        <v>14664</v>
      </c>
      <c r="D20" s="18" t="n">
        <v>12382</v>
      </c>
      <c r="E20" s="18" t="n">
        <v>27910</v>
      </c>
      <c r="F20" s="19" t="n">
        <f aca="false">0</f>
        <v>0</v>
      </c>
      <c r="G20" s="19" t="n">
        <f aca="false">0</f>
        <v>0</v>
      </c>
      <c r="H20" s="19" t="n">
        <f aca="false">0</f>
        <v>0</v>
      </c>
      <c r="I20" s="19" t="n">
        <f aca="false">0</f>
        <v>0</v>
      </c>
      <c r="J20" s="19" t="n">
        <f aca="false">0</f>
        <v>0</v>
      </c>
    </row>
    <row r="21" customFormat="false" ht="15" hidden="false" customHeight="false" outlineLevel="0" collapsed="false">
      <c r="A21" s="15" t="s">
        <v>121</v>
      </c>
      <c r="C21" s="16" t="n">
        <v>3705</v>
      </c>
      <c r="D21" s="16" t="n">
        <v>2935</v>
      </c>
      <c r="E21" s="16" t="n">
        <v>15195</v>
      </c>
      <c r="F21" s="17" t="n">
        <f aca="false">F19+F20</f>
        <v>-12044.1033429046</v>
      </c>
      <c r="G21" s="17" t="n">
        <f aca="false">G19+G20</f>
        <v>-12501.9451939778</v>
      </c>
      <c r="H21" s="17" t="n">
        <f aca="false">H19+H20</f>
        <v>-12924.3862151452</v>
      </c>
      <c r="I21" s="17" t="n">
        <f aca="false">I19+I20</f>
        <v>-13333.8068212471</v>
      </c>
      <c r="J21" s="17" t="n">
        <f aca="false">J19+J20</f>
        <v>-13756.1971134841</v>
      </c>
    </row>
    <row r="23" customFormat="false" ht="15" hidden="false" customHeight="false" outlineLevel="0" collapsed="false">
      <c r="A23" s="6" t="s">
        <v>122</v>
      </c>
    </row>
    <row r="24" customFormat="false" ht="15" hidden="false" customHeight="false" outlineLevel="0" collapsed="false">
      <c r="A24" s="0" t="s">
        <v>123</v>
      </c>
      <c r="C24" s="18" t="n">
        <v>5228</v>
      </c>
      <c r="D24" s="18" t="n">
        <v>0</v>
      </c>
      <c r="E24" s="18" t="n">
        <v>4481</v>
      </c>
      <c r="F24" s="19" t="n">
        <f aca="false">Schedules!F14</f>
        <v>0</v>
      </c>
      <c r="G24" s="19" t="n">
        <f aca="false">Schedules!G14</f>
        <v>0</v>
      </c>
      <c r="H24" s="19" t="n">
        <f aca="false">Schedules!H14</f>
        <v>0</v>
      </c>
      <c r="I24" s="19" t="n">
        <f aca="false">Schedules!I14</f>
        <v>0</v>
      </c>
      <c r="J24" s="19" t="n">
        <f aca="false">Schedules!J14</f>
        <v>0</v>
      </c>
    </row>
    <row r="25" customFormat="false" ht="15" hidden="false" customHeight="false" outlineLevel="0" collapsed="false">
      <c r="A25" s="0" t="s">
        <v>124</v>
      </c>
      <c r="C25" s="18" t="n">
        <v>-11151</v>
      </c>
      <c r="D25" s="18" t="n">
        <v>-9958</v>
      </c>
      <c r="E25" s="18" t="n">
        <v>-10932</v>
      </c>
      <c r="F25" s="19" t="n">
        <f aca="false">-Schedules!F15</f>
        <v>-0</v>
      </c>
      <c r="G25" s="19" t="n">
        <f aca="false">-Schedules!G15</f>
        <v>-0</v>
      </c>
      <c r="H25" s="19" t="n">
        <f aca="false">-Schedules!H15</f>
        <v>-0</v>
      </c>
      <c r="I25" s="19" t="n">
        <f aca="false">-Schedules!I15</f>
        <v>-0</v>
      </c>
      <c r="J25" s="19" t="n">
        <f aca="false">-Schedules!J15</f>
        <v>-0</v>
      </c>
    </row>
    <row r="26" customFormat="false" ht="15" hidden="false" customHeight="false" outlineLevel="0" collapsed="false">
      <c r="A26" s="0" t="s">
        <v>125</v>
      </c>
      <c r="C26" s="18" t="n">
        <v>0</v>
      </c>
      <c r="D26" s="18" t="n">
        <v>0</v>
      </c>
      <c r="E26" s="18" t="n">
        <v>0</v>
      </c>
      <c r="F26" s="19" t="n">
        <f aca="false">Schedules!F27-Schedules!F28</f>
        <v>0</v>
      </c>
      <c r="G26" s="19" t="n">
        <f aca="false">Schedules!G27-Schedules!G28</f>
        <v>0</v>
      </c>
      <c r="H26" s="19" t="n">
        <f aca="false">Schedules!H27-Schedules!H28</f>
        <v>0</v>
      </c>
      <c r="I26" s="19" t="n">
        <f aca="false">Schedules!I27-Schedules!I28</f>
        <v>0</v>
      </c>
      <c r="J26" s="19" t="n">
        <f aca="false">Schedules!J27-Schedules!J28</f>
        <v>0</v>
      </c>
    </row>
    <row r="27" customFormat="false" ht="15" hidden="false" customHeight="false" outlineLevel="0" collapsed="false">
      <c r="A27" s="0" t="s">
        <v>126</v>
      </c>
      <c r="C27" s="18" t="n">
        <v>-15025</v>
      </c>
      <c r="D27" s="18" t="n">
        <v>-15234</v>
      </c>
      <c r="E27" s="18" t="n">
        <v>-15421</v>
      </c>
      <c r="F27" s="19" t="n">
        <f aca="false">-Assumptions!F27*MAX(0,'Income Statement'!F29)</f>
        <v>-16323.3677030254</v>
      </c>
      <c r="G27" s="19" t="n">
        <f aca="false">-Assumptions!G27*MAX(0,'Income Statement'!G29)</f>
        <v>-17060.0351406066</v>
      </c>
      <c r="H27" s="19" t="n">
        <f aca="false">-Assumptions!H27*MAX(0,'Income Statement'!H29)</f>
        <v>-17705.5232467522</v>
      </c>
      <c r="I27" s="19" t="n">
        <f aca="false">-Assumptions!I27*MAX(0,'Income Statement'!I29)</f>
        <v>-18313.7730261219</v>
      </c>
      <c r="J27" s="19" t="n">
        <f aca="false">-Assumptions!J27*MAX(0,'Income Statement'!J29)</f>
        <v>-18929.4981757891</v>
      </c>
    </row>
    <row r="28" customFormat="false" ht="15" hidden="false" customHeight="false" outlineLevel="0" collapsed="false">
      <c r="A28" s="0" t="s">
        <v>127</v>
      </c>
      <c r="C28" s="18" t="n">
        <v>-77550</v>
      </c>
      <c r="D28" s="18" t="n">
        <v>-94949</v>
      </c>
      <c r="E28" s="18" t="n">
        <v>-90711</v>
      </c>
      <c r="F28" s="19" t="n">
        <f aca="false">-(Assumptions!F28*MAX(0,'Income Statement'!F29)+Assumptions!F29)</f>
        <v>-94056.1541359105</v>
      </c>
      <c r="G28" s="19" t="n">
        <f aca="false">-(Assumptions!G28*MAX(0,'Income Statement'!G29)+Assumptions!G29)</f>
        <v>-98300.8729535353</v>
      </c>
      <c r="H28" s="19" t="n">
        <f aca="false">-(Assumptions!H28*MAX(0,'Income Statement'!H29)+Assumptions!H29)</f>
        <v>-102020.211383513</v>
      </c>
      <c r="I28" s="19" t="n">
        <f aca="false">-(Assumptions!I28*MAX(0,'Income Statement'!I29)+Assumptions!I29)</f>
        <v>-105524.980499934</v>
      </c>
      <c r="J28" s="19" t="n">
        <f aca="false">-(Assumptions!J28*MAX(0,'Income Statement'!J29)+Assumptions!J29)</f>
        <v>-109072.823116486</v>
      </c>
    </row>
    <row r="29" customFormat="false" ht="15" hidden="false" customHeight="false" outlineLevel="0" collapsed="false">
      <c r="A29" s="0" t="s">
        <v>128</v>
      </c>
      <c r="C29" s="18" t="n">
        <v>0</v>
      </c>
      <c r="D29" s="18" t="n">
        <v>0</v>
      </c>
      <c r="E29" s="18" t="n">
        <v>0</v>
      </c>
      <c r="F29" s="19" t="n">
        <f aca="false">-MAX(0,'Income Statement'!F28)</f>
        <v>-0</v>
      </c>
      <c r="G29" s="19" t="n">
        <f aca="false">-MAX(0,'Income Statement'!G28)</f>
        <v>-0</v>
      </c>
      <c r="H29" s="19" t="n">
        <f aca="false">-MAX(0,'Income Statement'!H28)</f>
        <v>-0</v>
      </c>
      <c r="I29" s="19" t="n">
        <f aca="false">-MAX(0,'Income Statement'!I28)</f>
        <v>-0</v>
      </c>
      <c r="J29" s="19" t="n">
        <f aca="false">-MAX(0,'Income Statement'!J28)</f>
        <v>-0</v>
      </c>
    </row>
    <row r="30" customFormat="false" ht="15" hidden="false" customHeight="false" outlineLevel="0" collapsed="false">
      <c r="A30" s="0" t="s">
        <v>129</v>
      </c>
      <c r="C30" s="18" t="n">
        <v>-9990</v>
      </c>
      <c r="D30" s="18" t="n">
        <v>-1842</v>
      </c>
      <c r="E30" s="18" t="n">
        <v>-8103</v>
      </c>
      <c r="F30" s="19" t="n">
        <f aca="false">0</f>
        <v>0</v>
      </c>
      <c r="G30" s="19" t="n">
        <f aca="false">0</f>
        <v>0</v>
      </c>
      <c r="H30" s="19" t="n">
        <f aca="false">0</f>
        <v>0</v>
      </c>
      <c r="I30" s="19" t="n">
        <f aca="false">0</f>
        <v>0</v>
      </c>
      <c r="J30" s="19" t="n">
        <f aca="false">0</f>
        <v>0</v>
      </c>
    </row>
    <row r="31" customFormat="false" ht="15" hidden="false" customHeight="false" outlineLevel="0" collapsed="false">
      <c r="A31" s="15" t="s">
        <v>130</v>
      </c>
      <c r="C31" s="16" t="n">
        <v>-108488</v>
      </c>
      <c r="D31" s="16" t="n">
        <v>-121983</v>
      </c>
      <c r="E31" s="16" t="n">
        <v>-120686</v>
      </c>
      <c r="F31" s="17" t="n">
        <f aca="false">SUM(F24:F30)</f>
        <v>-110379.521838936</v>
      </c>
      <c r="G31" s="17" t="n">
        <f aca="false">SUM(G24:G30)</f>
        <v>-115360.908094142</v>
      </c>
      <c r="H31" s="17" t="n">
        <f aca="false">SUM(H24:H30)</f>
        <v>-119725.734630265</v>
      </c>
      <c r="I31" s="17" t="n">
        <f aca="false">SUM(I24:I30)</f>
        <v>-123838.753526056</v>
      </c>
      <c r="J31" s="17" t="n">
        <f aca="false">SUM(J24:J30)</f>
        <v>-128002.321292275</v>
      </c>
    </row>
    <row r="33" customFormat="false" ht="15" hidden="false" customHeight="false" outlineLevel="0" collapsed="false">
      <c r="A33" s="6" t="s">
        <v>131</v>
      </c>
    </row>
    <row r="34" customFormat="false" ht="15" hidden="false" customHeight="false" outlineLevel="0" collapsed="false">
      <c r="A34" s="0" t="s">
        <v>132</v>
      </c>
      <c r="C34" s="18" t="n">
        <v>0</v>
      </c>
      <c r="D34" s="18" t="n">
        <v>0</v>
      </c>
      <c r="E34" s="18" t="n">
        <v>0</v>
      </c>
      <c r="F34" s="19" t="n">
        <f aca="false">0</f>
        <v>0</v>
      </c>
      <c r="G34" s="19" t="n">
        <f aca="false">0</f>
        <v>0</v>
      </c>
      <c r="H34" s="19" t="n">
        <f aca="false">0</f>
        <v>0</v>
      </c>
      <c r="I34" s="19" t="n">
        <f aca="false">0</f>
        <v>0</v>
      </c>
      <c r="J34" s="19" t="n">
        <f aca="false">0</f>
        <v>0</v>
      </c>
    </row>
    <row r="35" customFormat="false" ht="15" hidden="false" customHeight="false" outlineLevel="0" collapsed="false">
      <c r="A35" s="15" t="s">
        <v>133</v>
      </c>
      <c r="C35" s="16" t="n">
        <v>5760</v>
      </c>
      <c r="D35" s="16" t="n">
        <v>-794</v>
      </c>
      <c r="E35" s="16" t="n">
        <v>5991</v>
      </c>
      <c r="F35" s="17" t="n">
        <f aca="false">F16+F21+F31+F34</f>
        <v>7131.55627731237</v>
      </c>
      <c r="G35" s="17" t="n">
        <f aca="false">G16+G21+G31+G34</f>
        <v>-400.028588803863</v>
      </c>
      <c r="H35" s="17" t="n">
        <f aca="false">H16+H21+H31+H34</f>
        <v>-1158.35656870862</v>
      </c>
      <c r="I35" s="17" t="n">
        <f aca="false">I16+I21+I31+I34</f>
        <v>-1662.37380879675</v>
      </c>
      <c r="J35" s="17" t="n">
        <f aca="false">J16+J21+J31+J34</f>
        <v>-1962.18513894962</v>
      </c>
    </row>
    <row r="36" customFormat="false" ht="15" hidden="false" customHeight="false" outlineLevel="0" collapsed="false">
      <c r="A36" s="0" t="s">
        <v>134</v>
      </c>
      <c r="C36" s="18" t="n">
        <v>24977</v>
      </c>
      <c r="D36" s="18" t="n">
        <v>30737</v>
      </c>
      <c r="E36" s="18" t="n">
        <v>29943</v>
      </c>
      <c r="F36" s="19" t="n">
        <f aca="false">'Balance Sheet'!E7</f>
        <v>35934</v>
      </c>
      <c r="G36" s="19" t="n">
        <f aca="false">'Balance Sheet'!F7</f>
        <v>43065.5562773124</v>
      </c>
      <c r="H36" s="19" t="n">
        <f aca="false">'Balance Sheet'!G7</f>
        <v>42665.5276885085</v>
      </c>
      <c r="I36" s="19" t="n">
        <f aca="false">'Balance Sheet'!H7</f>
        <v>41507.1711197999</v>
      </c>
      <c r="J36" s="19" t="n">
        <f aca="false">'Balance Sheet'!I7</f>
        <v>39844.7973110031</v>
      </c>
    </row>
    <row r="37" customFormat="false" ht="15" hidden="false" customHeight="false" outlineLevel="0" collapsed="false">
      <c r="A37" s="15" t="s">
        <v>135</v>
      </c>
      <c r="C37" s="20" t="n">
        <v>30737</v>
      </c>
      <c r="D37" s="20" t="n">
        <v>29943</v>
      </c>
      <c r="E37" s="20" t="n">
        <v>35934</v>
      </c>
      <c r="F37" s="21" t="n">
        <f aca="false">F36+F35</f>
        <v>43065.5562773124</v>
      </c>
      <c r="G37" s="21" t="n">
        <f aca="false">G36+G35</f>
        <v>42665.5276885085</v>
      </c>
      <c r="H37" s="21" t="n">
        <f aca="false">H36+H35</f>
        <v>41507.1711197999</v>
      </c>
      <c r="I37" s="21" t="n">
        <f aca="false">I36+I35</f>
        <v>39844.7973110031</v>
      </c>
      <c r="J37" s="21" t="n">
        <f aca="false">J36+J35</f>
        <v>37882.6121720535</v>
      </c>
    </row>
    <row r="39" customFormat="false" ht="15" hidden="false" customHeight="false" outlineLevel="0" collapsed="false">
      <c r="A39" s="6" t="s">
        <v>136</v>
      </c>
    </row>
    <row r="40" customFormat="false" ht="15" hidden="false" customHeight="false" outlineLevel="0" collapsed="false">
      <c r="A40" s="0" t="s">
        <v>137</v>
      </c>
      <c r="C40" s="18" t="n">
        <v>99584</v>
      </c>
      <c r="D40" s="18" t="n">
        <v>108807</v>
      </c>
      <c r="E40" s="18" t="n">
        <v>98767</v>
      </c>
      <c r="F40" s="19" t="n">
        <f aca="false">F16+F19</f>
        <v>117511.078116248</v>
      </c>
      <c r="G40" s="19" t="n">
        <f aca="false">G16+G19</f>
        <v>114960.879505338</v>
      </c>
      <c r="H40" s="19" t="n">
        <f aca="false">H16+H19</f>
        <v>118567.378061557</v>
      </c>
      <c r="I40" s="19" t="n">
        <f aca="false">I16+I19</f>
        <v>122176.379717259</v>
      </c>
      <c r="J40" s="19" t="n">
        <f aca="false">J16+J19</f>
        <v>126040.136153326</v>
      </c>
    </row>
    <row r="42" customFormat="false" ht="15" hidden="false" customHeight="false" outlineLevel="0" collapsed="false">
      <c r="A42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141</v>
      </c>
    </row>
    <row r="7" customFormat="false" ht="15" hidden="false" customHeight="false" outlineLevel="0" collapsed="false">
      <c r="A7" s="0" t="s">
        <v>142</v>
      </c>
      <c r="C7" s="18"/>
      <c r="D7" s="18"/>
      <c r="E7" s="18"/>
      <c r="F7" s="19" t="n">
        <f aca="false">'Balance Sheet'!E15</f>
        <v>49834</v>
      </c>
      <c r="G7" s="19" t="n">
        <f aca="false">'Balance Sheet'!F15</f>
        <v>48973.7071016735</v>
      </c>
      <c r="H7" s="19" t="n">
        <f aca="false">'Balance Sheet'!G15</f>
        <v>48794.0268623729</v>
      </c>
      <c r="I7" s="19" t="n">
        <f aca="false">'Balance Sheet'!H15</f>
        <v>49083.315416537</v>
      </c>
      <c r="J7" s="19" t="n">
        <f aca="false">'Balance Sheet'!I15</f>
        <v>49707.1139910384</v>
      </c>
    </row>
    <row r="8" customFormat="false" ht="15" hidden="false" customHeight="false" outlineLevel="0" collapsed="false">
      <c r="A8" s="0" t="s">
        <v>143</v>
      </c>
      <c r="C8" s="18" t="n">
        <v>10959</v>
      </c>
      <c r="D8" s="18" t="n">
        <v>9447</v>
      </c>
      <c r="E8" s="18" t="n">
        <v>12715</v>
      </c>
      <c r="F8" s="19" t="n">
        <f aca="false">Assumptions!F20*'Income Statement'!F7</f>
        <v>12044.1033429046</v>
      </c>
      <c r="G8" s="19" t="n">
        <f aca="false">Assumptions!G20*'Income Statement'!G7</f>
        <v>12501.9451939778</v>
      </c>
      <c r="H8" s="19" t="n">
        <f aca="false">Assumptions!H20*'Income Statement'!H7</f>
        <v>12924.3862151452</v>
      </c>
      <c r="I8" s="19" t="n">
        <f aca="false">Assumptions!I20*'Income Statement'!I7</f>
        <v>13333.8068212471</v>
      </c>
      <c r="J8" s="19" t="n">
        <f aca="false">Assumptions!J20*'Income Statement'!J7</f>
        <v>13756.1971134841</v>
      </c>
    </row>
    <row r="9" customFormat="false" ht="15" hidden="false" customHeight="false" outlineLevel="0" collapsed="false">
      <c r="A9" s="0" t="s">
        <v>109</v>
      </c>
      <c r="C9" s="18" t="n">
        <v>11519</v>
      </c>
      <c r="D9" s="18" t="n">
        <v>11445</v>
      </c>
      <c r="E9" s="18" t="n">
        <v>11698</v>
      </c>
      <c r="F9" s="19" t="n">
        <f aca="false">MIN(MAX(0,IF(Assumptions!$C$11=1,F7*Assumptions!F19,'Income Statement'!F7*Assumptions!F19)),MAX(0,F7+F8))</f>
        <v>12904.3962412312</v>
      </c>
      <c r="G9" s="19" t="n">
        <f aca="false">MIN(MAX(0,IF(Assumptions!$C$11=1,G7*Assumptions!G19,'Income Statement'!G7*Assumptions!G19)),MAX(0,G7+G8))</f>
        <v>12681.6254332783</v>
      </c>
      <c r="H9" s="19" t="n">
        <f aca="false">MIN(MAX(0,IF(Assumptions!$C$11=1,H7*Assumptions!H19,'Income Statement'!H7*Assumptions!H19)),MAX(0,H7+H8))</f>
        <v>12635.0976609812</v>
      </c>
      <c r="I9" s="19" t="n">
        <f aca="false">MIN(MAX(0,IF(Assumptions!$C$11=1,I7*Assumptions!I19,'Income Statement'!I7*Assumptions!I19)),MAX(0,I7+I8))</f>
        <v>12710.0082467457</v>
      </c>
      <c r="J9" s="19" t="n">
        <f aca="false">MIN(MAX(0,IF(Assumptions!$C$11=1,J7*Assumptions!J19,'Income Statement'!J7*Assumptions!J19)),MAX(0,J7+J8))</f>
        <v>12871.5394098087</v>
      </c>
    </row>
    <row r="10" customFormat="false" ht="15" hidden="false" customHeight="false" outlineLevel="0" collapsed="false">
      <c r="A10" s="15" t="s">
        <v>144</v>
      </c>
      <c r="C10" s="16" t="n">
        <v>43715</v>
      </c>
      <c r="D10" s="16" t="n">
        <v>45680</v>
      </c>
      <c r="E10" s="16" t="n">
        <v>49834</v>
      </c>
      <c r="F10" s="17" t="n">
        <f aca="false">F7+F8-F9</f>
        <v>48973.7071016735</v>
      </c>
      <c r="G10" s="17" t="n">
        <f aca="false">G7+G8-G9</f>
        <v>48794.0268623729</v>
      </c>
      <c r="H10" s="17" t="n">
        <f aca="false">H7+H8-H9</f>
        <v>49083.315416537</v>
      </c>
      <c r="I10" s="17" t="n">
        <f aca="false">I7+I8-I9</f>
        <v>49707.1139910384</v>
      </c>
      <c r="J10" s="17" t="n">
        <f aca="false">J7+J8-J9</f>
        <v>50591.7716947139</v>
      </c>
    </row>
    <row r="12" customFormat="false" ht="15" hidden="false" customHeight="false" outlineLevel="0" collapsed="false">
      <c r="A12" s="6" t="s">
        <v>145</v>
      </c>
    </row>
    <row r="13" customFormat="false" ht="15" hidden="false" customHeight="false" outlineLevel="0" collapsed="false">
      <c r="A13" s="0" t="s">
        <v>146</v>
      </c>
      <c r="C13" s="18"/>
      <c r="D13" s="18"/>
      <c r="E13" s="18"/>
      <c r="F13" s="19" t="n">
        <f aca="false">'Balance Sheet'!E24</f>
        <v>98657</v>
      </c>
      <c r="G13" s="19" t="n">
        <f aca="false">'Balance Sheet'!F24</f>
        <v>98657</v>
      </c>
      <c r="H13" s="19" t="n">
        <f aca="false">'Balance Sheet'!G24</f>
        <v>98657</v>
      </c>
      <c r="I13" s="19" t="n">
        <f aca="false">'Balance Sheet'!H24</f>
        <v>98657</v>
      </c>
      <c r="J13" s="19" t="n">
        <f aca="false">'Balance Sheet'!I24</f>
        <v>98657</v>
      </c>
    </row>
    <row r="14" customFormat="false" ht="15" hidden="false" customHeight="false" outlineLevel="0" collapsed="false">
      <c r="A14" s="0" t="s">
        <v>147</v>
      </c>
      <c r="C14" s="18"/>
      <c r="D14" s="18"/>
      <c r="E14" s="18"/>
      <c r="F14" s="19" t="n">
        <f aca="false">Assumptions!F32</f>
        <v>0</v>
      </c>
      <c r="G14" s="19" t="n">
        <f aca="false">Assumptions!G32</f>
        <v>0</v>
      </c>
      <c r="H14" s="19" t="n">
        <f aca="false">Assumptions!H32</f>
        <v>0</v>
      </c>
      <c r="I14" s="19" t="n">
        <f aca="false">Assumptions!I32</f>
        <v>0</v>
      </c>
      <c r="J14" s="19" t="n">
        <f aca="false">Assumptions!J32</f>
        <v>0</v>
      </c>
    </row>
    <row r="15" customFormat="false" ht="15" hidden="false" customHeight="false" outlineLevel="0" collapsed="false">
      <c r="A15" s="0" t="s">
        <v>148</v>
      </c>
      <c r="C15" s="18"/>
      <c r="D15" s="18"/>
      <c r="E15" s="18"/>
      <c r="F15" s="19" t="n">
        <f aca="false">MIN(Assumptions!F33,F13+F14)</f>
        <v>0</v>
      </c>
      <c r="G15" s="19" t="n">
        <f aca="false">MIN(Assumptions!G33,G13+G14)</f>
        <v>0</v>
      </c>
      <c r="H15" s="19" t="n">
        <f aca="false">MIN(Assumptions!H33,H13+H14)</f>
        <v>0</v>
      </c>
      <c r="I15" s="19" t="n">
        <f aca="false">MIN(Assumptions!I33,I13+I14)</f>
        <v>0</v>
      </c>
      <c r="J15" s="19" t="n">
        <f aca="false">MIN(Assumptions!J33,J13+J14)</f>
        <v>0</v>
      </c>
    </row>
    <row r="16" customFormat="false" ht="15" hidden="false" customHeight="false" outlineLevel="0" collapsed="false">
      <c r="A16" s="15" t="s">
        <v>149</v>
      </c>
      <c r="C16" s="16" t="n">
        <v>111088</v>
      </c>
      <c r="D16" s="16" t="n">
        <v>106629</v>
      </c>
      <c r="E16" s="16" t="n">
        <v>98657</v>
      </c>
      <c r="F16" s="17" t="n">
        <f aca="false">F13+F14-F15</f>
        <v>98657</v>
      </c>
      <c r="G16" s="17" t="n">
        <f aca="false">G13+G14-G15</f>
        <v>98657</v>
      </c>
      <c r="H16" s="17" t="n">
        <f aca="false">H13+H14-H15</f>
        <v>98657</v>
      </c>
      <c r="I16" s="17" t="n">
        <f aca="false">I13+I14-I15</f>
        <v>98657</v>
      </c>
      <c r="J16" s="17" t="n">
        <f aca="false">J13+J14-J15</f>
        <v>98657</v>
      </c>
    </row>
    <row r="18" customFormat="false" ht="15" hidden="false" customHeight="false" outlineLevel="0" collapsed="false">
      <c r="A18" s="6" t="s">
        <v>90</v>
      </c>
    </row>
    <row r="19" customFormat="false" ht="15" hidden="false" customHeight="false" outlineLevel="0" collapsed="false">
      <c r="A19" s="0" t="s">
        <v>150</v>
      </c>
      <c r="C19" s="18"/>
      <c r="D19" s="18"/>
      <c r="E19" s="18"/>
      <c r="F19" s="19" t="n">
        <f aca="false">'Balance Sheet'!E22</f>
        <v>0</v>
      </c>
      <c r="G19" s="19" t="n">
        <f aca="false">'Balance Sheet'!F22</f>
        <v>0</v>
      </c>
      <c r="H19" s="19" t="n">
        <f aca="false">'Balance Sheet'!G22</f>
        <v>0</v>
      </c>
      <c r="I19" s="19" t="n">
        <f aca="false">'Balance Sheet'!H22</f>
        <v>0</v>
      </c>
      <c r="J19" s="19" t="n">
        <f aca="false">'Balance Sheet'!I22</f>
        <v>0</v>
      </c>
    </row>
    <row r="20" customFormat="false" ht="15" hidden="false" customHeight="false" outlineLevel="0" collapsed="false">
      <c r="A20" s="0" t="s">
        <v>134</v>
      </c>
      <c r="C20" s="18"/>
      <c r="D20" s="18"/>
      <c r="E20" s="18"/>
      <c r="F20" s="19" t="n">
        <f aca="false">'Balance Sheet'!E7</f>
        <v>35934</v>
      </c>
      <c r="G20" s="19" t="n">
        <f aca="false">'Balance Sheet'!F7</f>
        <v>43065.5562773124</v>
      </c>
      <c r="H20" s="19" t="n">
        <f aca="false">'Balance Sheet'!G7</f>
        <v>42665.5276885085</v>
      </c>
      <c r="I20" s="19" t="n">
        <f aca="false">'Balance Sheet'!H7</f>
        <v>41507.1711197999</v>
      </c>
      <c r="J20" s="19" t="n">
        <f aca="false">'Balance Sheet'!I7</f>
        <v>39844.7973110031</v>
      </c>
    </row>
    <row r="21" customFormat="false" ht="15" hidden="false" customHeight="false" outlineLevel="0" collapsed="false">
      <c r="A21" s="0" t="s">
        <v>151</v>
      </c>
      <c r="C21" s="18"/>
      <c r="D21" s="18"/>
      <c r="E21" s="18"/>
      <c r="F21" s="19" t="n">
        <f aca="false">'Cash Flow'!F16</f>
        <v>129555.181459153</v>
      </c>
      <c r="G21" s="19" t="n">
        <f aca="false">'Cash Flow'!G16</f>
        <v>127462.824699316</v>
      </c>
      <c r="H21" s="19" t="n">
        <f aca="false">'Cash Flow'!H16</f>
        <v>131491.764276702</v>
      </c>
      <c r="I21" s="19" t="n">
        <f aca="false">'Cash Flow'!I16</f>
        <v>135510.186538506</v>
      </c>
      <c r="J21" s="19" t="n">
        <f aca="false">'Cash Flow'!J16</f>
        <v>139796.33326681</v>
      </c>
    </row>
    <row r="22" customFormat="false" ht="15" hidden="false" customHeight="false" outlineLevel="0" collapsed="false">
      <c r="A22" s="0" t="s">
        <v>152</v>
      </c>
      <c r="C22" s="18"/>
      <c r="D22" s="18"/>
      <c r="E22" s="18"/>
      <c r="F22" s="19" t="n">
        <f aca="false">'Cash Flow'!F21</f>
        <v>-12044.1033429046</v>
      </c>
      <c r="G22" s="19" t="n">
        <f aca="false">'Cash Flow'!G21</f>
        <v>-12501.9451939778</v>
      </c>
      <c r="H22" s="19" t="n">
        <f aca="false">'Cash Flow'!H21</f>
        <v>-12924.3862151452</v>
      </c>
      <c r="I22" s="19" t="n">
        <f aca="false">'Cash Flow'!I21</f>
        <v>-13333.8068212471</v>
      </c>
      <c r="J22" s="19" t="n">
        <f aca="false">'Cash Flow'!J21</f>
        <v>-13756.1971134841</v>
      </c>
    </row>
    <row r="23" customFormat="false" ht="15" hidden="false" customHeight="false" outlineLevel="0" collapsed="false">
      <c r="A23" s="0" t="s">
        <v>153</v>
      </c>
      <c r="C23" s="18"/>
      <c r="D23" s="18"/>
      <c r="E23" s="18"/>
      <c r="F23" s="19" t="n">
        <f aca="false">'Cash Flow'!F24+'Cash Flow'!F25+'Cash Flow'!F27+'Cash Flow'!F28+'Cash Flow'!F29</f>
        <v>-110379.521838936</v>
      </c>
      <c r="G23" s="19" t="n">
        <f aca="false">'Cash Flow'!G24+'Cash Flow'!G25+'Cash Flow'!G27+'Cash Flow'!G28+'Cash Flow'!G29</f>
        <v>-115360.908094142</v>
      </c>
      <c r="H23" s="19" t="n">
        <f aca="false">'Cash Flow'!H24+'Cash Flow'!H25+'Cash Flow'!H27+'Cash Flow'!H28+'Cash Flow'!H29</f>
        <v>-119725.734630265</v>
      </c>
      <c r="I23" s="19" t="n">
        <f aca="false">'Cash Flow'!I24+'Cash Flow'!I25+'Cash Flow'!I27+'Cash Flow'!I28+'Cash Flow'!I29</f>
        <v>-123838.753526056</v>
      </c>
      <c r="J23" s="19" t="n">
        <f aca="false">'Cash Flow'!J24+'Cash Flow'!J25+'Cash Flow'!J27+'Cash Flow'!J28+'Cash Flow'!J29</f>
        <v>-128002.321292275</v>
      </c>
    </row>
    <row r="24" customFormat="false" ht="15" hidden="false" customHeight="false" outlineLevel="0" collapsed="false">
      <c r="A24" s="0" t="s">
        <v>154</v>
      </c>
      <c r="C24" s="18"/>
      <c r="D24" s="18"/>
      <c r="E24" s="18"/>
      <c r="F24" s="19" t="n">
        <f aca="false">F20+F21+F22+F23</f>
        <v>43065.5562773124</v>
      </c>
      <c r="G24" s="19" t="n">
        <f aca="false">G20+G21+G22+G23</f>
        <v>42665.5276885085</v>
      </c>
      <c r="H24" s="19" t="n">
        <f aca="false">H20+H21+H22+H23</f>
        <v>41507.1711197999</v>
      </c>
      <c r="I24" s="19" t="n">
        <f aca="false">I20+I21+I22+I23</f>
        <v>39844.7973110031</v>
      </c>
      <c r="J24" s="19" t="n">
        <f aca="false">J20+J21+J22+J23</f>
        <v>37882.6121720535</v>
      </c>
    </row>
    <row r="25" customFormat="false" ht="15" hidden="false" customHeight="false" outlineLevel="0" collapsed="false">
      <c r="A25" s="0" t="s">
        <v>155</v>
      </c>
      <c r="C25" s="18"/>
      <c r="D25" s="18"/>
      <c r="E25" s="18"/>
      <c r="F25" s="19" t="n">
        <f aca="false">Assumptions!$C$7</f>
        <v>17967</v>
      </c>
      <c r="G25" s="19" t="n">
        <f aca="false">Assumptions!$C$7</f>
        <v>17967</v>
      </c>
      <c r="H25" s="19" t="n">
        <f aca="false">Assumptions!$C$7</f>
        <v>17967</v>
      </c>
      <c r="I25" s="19" t="n">
        <f aca="false">Assumptions!$C$7</f>
        <v>17967</v>
      </c>
      <c r="J25" s="19" t="n">
        <f aca="false">Assumptions!$C$7</f>
        <v>17967</v>
      </c>
    </row>
    <row r="26" customFormat="false" ht="15" hidden="false" customHeight="false" outlineLevel="0" collapsed="false">
      <c r="A26" s="0" t="s">
        <v>156</v>
      </c>
      <c r="C26" s="18"/>
      <c r="D26" s="18"/>
      <c r="E26" s="18"/>
      <c r="F26" s="19" t="n">
        <f aca="false">MAX(0,Assumptions!$C$8-F19)</f>
        <v>41616.1</v>
      </c>
      <c r="G26" s="19" t="n">
        <f aca="false">MAX(0,Assumptions!$C$8-G19)</f>
        <v>41616.1</v>
      </c>
      <c r="H26" s="19" t="n">
        <f aca="false">MAX(0,Assumptions!$C$8-H19)</f>
        <v>41616.1</v>
      </c>
      <c r="I26" s="19" t="n">
        <f aca="false">MAX(0,Assumptions!$C$8-I19)</f>
        <v>41616.1</v>
      </c>
      <c r="J26" s="19" t="n">
        <f aca="false">MAX(0,Assumptions!$C$8-J19)</f>
        <v>41616.1</v>
      </c>
    </row>
    <row r="27" customFormat="false" ht="15" hidden="false" customHeight="false" outlineLevel="0" collapsed="false">
      <c r="A27" s="0" t="s">
        <v>157</v>
      </c>
      <c r="C27" s="18"/>
      <c r="D27" s="18"/>
      <c r="E27" s="18"/>
      <c r="F27" s="19" t="n">
        <f aca="false">IF(F24&lt;F25,MIN(F25-F24,F26),0)</f>
        <v>0</v>
      </c>
      <c r="G27" s="19" t="n">
        <f aca="false">IF(G24&lt;G25,MIN(G25-G24,G26),0)</f>
        <v>0</v>
      </c>
      <c r="H27" s="19" t="n">
        <f aca="false">IF(H24&lt;H25,MIN(H25-H24,H26),0)</f>
        <v>0</v>
      </c>
      <c r="I27" s="19" t="n">
        <f aca="false">IF(I24&lt;I25,MIN(I25-I24,I26),0)</f>
        <v>0</v>
      </c>
      <c r="J27" s="19" t="n">
        <f aca="false">IF(J24&lt;J25,MIN(J25-J24,J26),0)</f>
        <v>0</v>
      </c>
    </row>
    <row r="28" customFormat="false" ht="15" hidden="false" customHeight="false" outlineLevel="0" collapsed="false">
      <c r="A28" s="0" t="s">
        <v>158</v>
      </c>
      <c r="C28" s="18"/>
      <c r="D28" s="18"/>
      <c r="E28" s="18"/>
      <c r="F28" s="19" t="n">
        <f aca="false">IF(F24&lt;F25,0,MIN(F19,F24-F25))</f>
        <v>0</v>
      </c>
      <c r="G28" s="19" t="n">
        <f aca="false">IF(G24&lt;G25,0,MIN(G19,G24-G25))</f>
        <v>0</v>
      </c>
      <c r="H28" s="19" t="n">
        <f aca="false">IF(H24&lt;H25,0,MIN(H19,H24-H25))</f>
        <v>0</v>
      </c>
      <c r="I28" s="19" t="n">
        <f aca="false">IF(I24&lt;I25,0,MIN(I19,I24-I25))</f>
        <v>0</v>
      </c>
      <c r="J28" s="19" t="n">
        <f aca="false">IF(J24&lt;J25,0,MIN(J19,J24-J25))</f>
        <v>0</v>
      </c>
    </row>
    <row r="29" customFormat="false" ht="15" hidden="false" customHeight="false" outlineLevel="0" collapsed="false">
      <c r="A29" s="15" t="s">
        <v>159</v>
      </c>
      <c r="C29" s="16" t="n">
        <v>0</v>
      </c>
      <c r="D29" s="16" t="n">
        <v>0</v>
      </c>
      <c r="E29" s="16" t="n">
        <v>0</v>
      </c>
      <c r="F29" s="17" t="n">
        <f aca="false">F19+F27-F28</f>
        <v>0</v>
      </c>
      <c r="G29" s="17" t="n">
        <f aca="false">G19+G27-G28</f>
        <v>0</v>
      </c>
      <c r="H29" s="17" t="n">
        <f aca="false">H19+H27-H28</f>
        <v>0</v>
      </c>
      <c r="I29" s="17" t="n">
        <f aca="false">I19+I27-I28</f>
        <v>0</v>
      </c>
      <c r="J29" s="17" t="n">
        <f aca="false">J19+J27-J28</f>
        <v>0</v>
      </c>
    </row>
    <row r="31" customFormat="false" ht="15" hidden="false" customHeight="false" outlineLevel="0" collapsed="false">
      <c r="A31" s="6" t="s">
        <v>160</v>
      </c>
    </row>
    <row r="32" customFormat="false" ht="15" hidden="false" customHeight="false" outlineLevel="0" collapsed="false">
      <c r="A32" s="0" t="s">
        <v>161</v>
      </c>
      <c r="C32" s="24"/>
      <c r="D32" s="24"/>
      <c r="E32" s="24"/>
      <c r="F32" s="25" t="n">
        <f aca="false">IF(AND(Assumptions!$C$9=1,Assumptions!$C$10=0),1,0)</f>
        <v>1</v>
      </c>
      <c r="G32" s="25" t="n">
        <f aca="false">IF(AND(Assumptions!$C$9=1,Assumptions!$C$10=0),1,0)</f>
        <v>1</v>
      </c>
      <c r="H32" s="25" t="n">
        <f aca="false">IF(AND(Assumptions!$C$9=1,Assumptions!$C$10=0),1,0)</f>
        <v>1</v>
      </c>
      <c r="I32" s="25" t="n">
        <f aca="false">IF(AND(Assumptions!$C$9=1,Assumptions!$C$10=0),1,0)</f>
        <v>1</v>
      </c>
      <c r="J32" s="25" t="n">
        <f aca="false">IF(AND(Assumptions!$C$9=1,Assumptions!$C$10=0),1,0)</f>
        <v>1</v>
      </c>
    </row>
    <row r="33" customFormat="false" ht="15" hidden="false" customHeight="false" outlineLevel="0" collapsed="false">
      <c r="A33" s="0" t="s">
        <v>162</v>
      </c>
      <c r="C33" s="18"/>
      <c r="D33" s="18"/>
      <c r="E33" s="18"/>
      <c r="F33" s="19" t="n">
        <f aca="false">Assumptions!F34*IF(F32=1,(F13+F16)/2,F13)</f>
        <v>4932.85</v>
      </c>
      <c r="G33" s="19" t="n">
        <f aca="false">Assumptions!G34*IF(G32=1,(G13+G16)/2,G13)</f>
        <v>4932.85</v>
      </c>
      <c r="H33" s="19" t="n">
        <f aca="false">Assumptions!H34*IF(H32=1,(H13+H16)/2,H13)</f>
        <v>4932.85</v>
      </c>
      <c r="I33" s="19" t="n">
        <f aca="false">Assumptions!I34*IF(I32=1,(I13+I16)/2,I13)</f>
        <v>4932.85</v>
      </c>
      <c r="J33" s="19" t="n">
        <f aca="false">Assumptions!J34*IF(J32=1,(J13+J16)/2,J13)</f>
        <v>4932.85</v>
      </c>
    </row>
    <row r="34" customFormat="false" ht="15" hidden="false" customHeight="false" outlineLevel="0" collapsed="false">
      <c r="A34" s="0" t="s">
        <v>163</v>
      </c>
      <c r="C34" s="18"/>
      <c r="D34" s="18"/>
      <c r="E34" s="18"/>
      <c r="F34" s="19" t="n">
        <f aca="false">Assumptions!F36*IF(F32=1,(F19+F29)/2,F19)</f>
        <v>0</v>
      </c>
      <c r="G34" s="19" t="n">
        <f aca="false">Assumptions!G36*IF(G32=1,(G19+G29)/2,G19)</f>
        <v>0</v>
      </c>
      <c r="H34" s="19" t="n">
        <f aca="false">Assumptions!H36*IF(H32=1,(H19+H29)/2,H19)</f>
        <v>0</v>
      </c>
      <c r="I34" s="19" t="n">
        <f aca="false">Assumptions!I36*IF(I32=1,(I19+I29)/2,I19)</f>
        <v>0</v>
      </c>
      <c r="J34" s="19" t="n">
        <f aca="false">Assumptions!J36*IF(J32=1,(J19+J29)/2,J19)</f>
        <v>0</v>
      </c>
    </row>
    <row r="35" customFormat="false" ht="15" hidden="false" customHeight="false" outlineLevel="0" collapsed="false">
      <c r="A35" s="0" t="s">
        <v>164</v>
      </c>
      <c r="C35" s="18"/>
      <c r="D35" s="18"/>
      <c r="E35" s="18"/>
      <c r="F35" s="19" t="n">
        <f aca="false">Assumptions!F35*MAX(0,IF(F32=1,('Balance Sheet'!E7+'Balance Sheet'!E8+'Balance Sheet'!F7+'Balance Sheet'!F8)/2,'Balance Sheet'!E7+'Balance Sheet'!E8))</f>
        <v>1747.88334415969</v>
      </c>
      <c r="G35" s="19" t="n">
        <f aca="false">Assumptions!G35*MAX(0,IF(G32=1,('Balance Sheet'!F7+'Balance Sheet'!F8+'Balance Sheet'!G7+'Balance Sheet'!G8)/2,'Balance Sheet'!F7+'Balance Sheet'!F8))</f>
        <v>1848.85625948731</v>
      </c>
      <c r="H35" s="19" t="n">
        <f aca="false">Assumptions!H35*MAX(0,IF(H32=1,('Balance Sheet'!G7+'Balance Sheet'!G8+'Balance Sheet'!H7+'Balance Sheet'!H8)/2,'Balance Sheet'!G7+'Balance Sheet'!G8))</f>
        <v>1825.48048212463</v>
      </c>
      <c r="I35" s="19" t="n">
        <f aca="false">Assumptions!I35*MAX(0,IF(I32=1,('Balance Sheet'!H7+'Balance Sheet'!H8+'Balance Sheet'!I7+'Balance Sheet'!I8)/2,'Balance Sheet'!H7+'Balance Sheet'!H8))</f>
        <v>1783.16952646205</v>
      </c>
      <c r="J35" s="19" t="n">
        <f aca="false">Assumptions!J35*MAX(0,IF(J32=1,('Balance Sheet'!I7+'Balance Sheet'!I8+'Balance Sheet'!J7+'Balance Sheet'!J8)/2,'Balance Sheet'!I7+'Balance Sheet'!I8))</f>
        <v>1728.80114224585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167</v>
      </c>
    </row>
    <row r="7" customFormat="false" ht="15" hidden="false" customHeight="false" outlineLevel="0" collapsed="false">
      <c r="A7" s="22" t="s">
        <v>168</v>
      </c>
      <c r="C7" s="23" t="n">
        <f aca="false">'Balance Sheet'!C39</f>
        <v>0</v>
      </c>
      <c r="D7" s="23" t="n">
        <f aca="false">'Balance Sheet'!D39</f>
        <v>0</v>
      </c>
      <c r="E7" s="23" t="n">
        <f aca="false">'Balance Sheet'!E39</f>
        <v>0</v>
      </c>
      <c r="F7" s="23" t="n">
        <f aca="false">'Balance Sheet'!F39</f>
        <v>0</v>
      </c>
      <c r="G7" s="23" t="n">
        <f aca="false">'Balance Sheet'!G39</f>
        <v>0</v>
      </c>
      <c r="H7" s="23" t="n">
        <f aca="false">'Balance Sheet'!H39</f>
        <v>0</v>
      </c>
      <c r="I7" s="23" t="n">
        <f aca="false">'Balance Sheet'!I39</f>
        <v>0</v>
      </c>
      <c r="J7" s="23" t="n">
        <f aca="false">'Balance Sheet'!J39</f>
        <v>0</v>
      </c>
    </row>
    <row r="8" customFormat="false" ht="15" hidden="false" customHeight="false" outlineLevel="0" collapsed="false">
      <c r="A8" s="0" t="s">
        <v>169</v>
      </c>
      <c r="C8" s="26"/>
      <c r="D8" s="26"/>
      <c r="E8" s="26"/>
      <c r="F8" s="27" t="n">
        <f aca="false">ROUND('Balance Sheet'!F7-'Cash Flow'!F37,6)</f>
        <v>0</v>
      </c>
      <c r="G8" s="27" t="n">
        <f aca="false">ROUND('Balance Sheet'!G7-'Cash Flow'!G37,6)</f>
        <v>0</v>
      </c>
      <c r="H8" s="27" t="n">
        <f aca="false">ROUND('Balance Sheet'!H7-'Cash Flow'!H37,6)</f>
        <v>0</v>
      </c>
      <c r="I8" s="27" t="n">
        <f aca="false">ROUND('Balance Sheet'!I7-'Cash Flow'!I37,6)</f>
        <v>0</v>
      </c>
      <c r="J8" s="27" t="n">
        <f aca="false">ROUND('Balance Sheet'!J7-'Cash Flow'!J37,6)</f>
        <v>0</v>
      </c>
    </row>
    <row r="9" customFormat="false" ht="15" hidden="false" customHeight="false" outlineLevel="0" collapsed="false">
      <c r="A9" s="0" t="s">
        <v>170</v>
      </c>
      <c r="C9" s="26"/>
      <c r="D9" s="26"/>
      <c r="E9" s="26"/>
      <c r="F9" s="27" t="n">
        <f aca="false">ROUND('Balance Sheet'!F30-('Balance Sheet'!E30+'Income Statement'!F29+'Cash Flow'!F27),6)</f>
        <v>0</v>
      </c>
      <c r="G9" s="27" t="n">
        <f aca="false">ROUND('Balance Sheet'!G30-('Balance Sheet'!F30+'Income Statement'!G29+'Cash Flow'!G27),6)</f>
        <v>0</v>
      </c>
      <c r="H9" s="27" t="n">
        <f aca="false">ROUND('Balance Sheet'!H30-('Balance Sheet'!G30+'Income Statement'!H29+'Cash Flow'!H27),6)</f>
        <v>0</v>
      </c>
      <c r="I9" s="27" t="n">
        <f aca="false">ROUND('Balance Sheet'!I30-('Balance Sheet'!H30+'Income Statement'!I29+'Cash Flow'!I27),6)</f>
        <v>0</v>
      </c>
      <c r="J9" s="27" t="n">
        <f aca="false">ROUND('Balance Sheet'!J30-('Balance Sheet'!I30+'Income Statement'!J29+'Cash Flow'!J27),6)</f>
        <v>0</v>
      </c>
    </row>
    <row r="10" customFormat="false" ht="15" hidden="false" customHeight="false" outlineLevel="0" collapsed="false">
      <c r="A10" s="0" t="s">
        <v>171</v>
      </c>
      <c r="C10" s="26"/>
      <c r="D10" s="26"/>
      <c r="E10" s="26"/>
      <c r="F10" s="27" t="n">
        <f aca="false">ROUND('Balance Sheet'!F15-('Balance Sheet'!E15-'Cash Flow'!F19-'Income Statement'!F14),6)</f>
        <v>0</v>
      </c>
      <c r="G10" s="27" t="n">
        <f aca="false">ROUND('Balance Sheet'!G15-('Balance Sheet'!F15-'Cash Flow'!G19-'Income Statement'!G14),6)</f>
        <v>0</v>
      </c>
      <c r="H10" s="27" t="n">
        <f aca="false">ROUND('Balance Sheet'!H15-('Balance Sheet'!G15-'Cash Flow'!H19-'Income Statement'!H14),6)</f>
        <v>0</v>
      </c>
      <c r="I10" s="27" t="n">
        <f aca="false">ROUND('Balance Sheet'!I15-('Balance Sheet'!H15-'Cash Flow'!I19-'Income Statement'!I14),6)</f>
        <v>0</v>
      </c>
      <c r="J10" s="27" t="n">
        <f aca="false">ROUND('Balance Sheet'!J15-('Balance Sheet'!I15-'Cash Flow'!J19-'Income Statement'!J14),6)</f>
        <v>0</v>
      </c>
    </row>
    <row r="11" customFormat="false" ht="15" hidden="false" customHeight="false" outlineLevel="0" collapsed="false">
      <c r="A11" s="0" t="s">
        <v>172</v>
      </c>
      <c r="C11" s="26"/>
      <c r="D11" s="26"/>
      <c r="E11" s="26"/>
      <c r="F11" s="27" t="n">
        <f aca="false">ROUND(('Balance Sheet'!F24+'Balance Sheet'!F22)-('Balance Sheet'!E24+'Balance Sheet'!E22+'Cash Flow'!F24+'Cash Flow'!F25+'Cash Flow'!F26),6)</f>
        <v>0</v>
      </c>
      <c r="G11" s="27" t="n">
        <f aca="false">ROUND(('Balance Sheet'!G24+'Balance Sheet'!G22)-('Balance Sheet'!F24+'Balance Sheet'!F22+'Cash Flow'!G24+'Cash Flow'!G25+'Cash Flow'!G26),6)</f>
        <v>0</v>
      </c>
      <c r="H11" s="27" t="n">
        <f aca="false">ROUND(('Balance Sheet'!H24+'Balance Sheet'!H22)-('Balance Sheet'!G24+'Balance Sheet'!G22+'Cash Flow'!H24+'Cash Flow'!H25+'Cash Flow'!H26),6)</f>
        <v>0</v>
      </c>
      <c r="I11" s="27" t="n">
        <f aca="false">ROUND(('Balance Sheet'!I24+'Balance Sheet'!I22)-('Balance Sheet'!H24+'Balance Sheet'!H22+'Cash Flow'!I24+'Cash Flow'!I25+'Cash Flow'!I26),6)</f>
        <v>0</v>
      </c>
      <c r="J11" s="27" t="n">
        <f aca="false">ROUND(('Balance Sheet'!J24+'Balance Sheet'!J22)-('Balance Sheet'!I24+'Balance Sheet'!I22+'Cash Flow'!J24+'Cash Flow'!J25+'Cash Flow'!J26),6)</f>
        <v>0</v>
      </c>
    </row>
    <row r="13" customFormat="false" ht="15" hidden="false" customHeight="false" outlineLevel="0" collapsed="false">
      <c r="A13" s="15" t="s">
        <v>173</v>
      </c>
      <c r="C13" s="23" t="n">
        <f aca="false">MAX(MAX(C7:J7,C8:J8,C9:J9,C10:J10,C11:J11),-MIN(C7:J7,C8:J8,C9:J9,C10:J10,C11:J11))</f>
        <v>-0</v>
      </c>
    </row>
    <row r="15" customFormat="false" ht="15" hidden="false" customHeight="false" outlineLevel="0" collapsed="false">
      <c r="A15" s="0" t="s">
        <v>174</v>
      </c>
      <c r="F15" s="0" t="str">
        <f aca="false">IF(Schedules!F24+Schedules!F27&lt;Schedules!F25-0.005,"SHORTFALL","ok")</f>
        <v>ok</v>
      </c>
      <c r="G15" s="0" t="str">
        <f aca="false">IF(Schedules!G24+Schedules!G27&lt;Schedules!G25-0.005,"SHORTFALL","ok")</f>
        <v>ok</v>
      </c>
      <c r="H15" s="0" t="str">
        <f aca="false">IF(Schedules!H24+Schedules!H27&lt;Schedules!H25-0.005,"SHORTFALL","ok")</f>
        <v>ok</v>
      </c>
      <c r="I15" s="0" t="str">
        <f aca="false">IF(Schedules!I24+Schedules!I27&lt;Schedules!I25-0.005,"SHORTFALL","ok")</f>
        <v>ok</v>
      </c>
      <c r="J15" s="0" t="str">
        <f aca="false">IF(Schedules!J24+Schedules!J27&lt;Schedules!J25-0.005,"SHORTFALL","ok")</f>
        <v>ok</v>
      </c>
    </row>
    <row r="17" customFormat="false" ht="45" hidden="false" customHeight="true" outlineLevel="0" collapsed="false">
      <c r="A17" s="28" t="s">
        <v>175</v>
      </c>
    </row>
    <row r="18" customFormat="false" ht="45" hidden="false" customHeight="true" outlineLevel="0" collapsed="false">
      <c r="A18" s="2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0" t="s">
        <v>178</v>
      </c>
      <c r="B3" s="0" t="s">
        <v>179</v>
      </c>
    </row>
    <row r="5" customFormat="false" ht="15" hidden="false" customHeight="false" outlineLevel="0" collapsed="false">
      <c r="A5" s="15" t="s">
        <v>180</v>
      </c>
    </row>
    <row r="6" customFormat="false" ht="15" hidden="false" customHeight="false" outlineLevel="0" collapsed="false">
      <c r="A6" s="0" t="s">
        <v>181</v>
      </c>
    </row>
    <row r="7" customFormat="false" ht="15" hidden="false" customHeight="false" outlineLevel="0" collapsed="false">
      <c r="A7" s="0" t="s">
        <v>182</v>
      </c>
    </row>
    <row r="8" customFormat="false" ht="15" hidden="false" customHeight="false" outlineLevel="0" collapsed="false">
      <c r="A8" s="0" t="s">
        <v>183</v>
      </c>
    </row>
    <row r="9" customFormat="false" ht="15" hidden="false" customHeight="false" outlineLevel="0" collapsed="false">
      <c r="A9" s="0" t="s">
        <v>184</v>
      </c>
    </row>
    <row r="10" customFormat="false" ht="15" hidden="false" customHeight="false" outlineLevel="0" collapsed="false">
      <c r="A10" s="0" t="s">
        <v>185</v>
      </c>
    </row>
    <row r="12" customFormat="false" ht="15" hidden="false" customHeight="false" outlineLevel="0" collapsed="false">
      <c r="A12" s="15" t="s">
        <v>186</v>
      </c>
      <c r="B12" s="15" t="s">
        <v>187</v>
      </c>
      <c r="C12" s="15" t="s">
        <v>188</v>
      </c>
      <c r="D12" s="15" t="s">
        <v>189</v>
      </c>
    </row>
    <row r="13" customFormat="false" ht="15" hidden="false" customHeight="false" outlineLevel="0" collapsed="false">
      <c r="A13" s="0" t="s">
        <v>190</v>
      </c>
      <c r="B13" s="0" t="s">
        <v>191</v>
      </c>
      <c r="C13" s="0" t="s">
        <v>191</v>
      </c>
      <c r="D13" s="0" t="s">
        <v>191</v>
      </c>
    </row>
    <row r="14" customFormat="false" ht="15" hidden="false" customHeight="false" outlineLevel="0" collapsed="false">
      <c r="A14" s="0" t="s">
        <v>192</v>
      </c>
      <c r="B14" s="0" t="s">
        <v>193</v>
      </c>
      <c r="C14" s="0" t="s">
        <v>193</v>
      </c>
      <c r="D14" s="0" t="s">
        <v>193</v>
      </c>
    </row>
    <row r="15" customFormat="false" ht="15" hidden="false" customHeight="false" outlineLevel="0" collapsed="false">
      <c r="A15" s="0" t="s">
        <v>194</v>
      </c>
      <c r="B15" s="0" t="s">
        <v>195</v>
      </c>
      <c r="C15" s="0" t="s">
        <v>195</v>
      </c>
      <c r="D15" s="0" t="s">
        <v>195</v>
      </c>
    </row>
    <row r="16" customFormat="false" ht="15" hidden="false" customHeight="false" outlineLevel="0" collapsed="false">
      <c r="A16" s="0" t="s">
        <v>196</v>
      </c>
      <c r="B16" s="0" t="s">
        <v>197</v>
      </c>
      <c r="C16" s="0" t="s">
        <v>197</v>
      </c>
      <c r="D16" s="0" t="s">
        <v>197</v>
      </c>
    </row>
    <row r="17" customFormat="false" ht="15" hidden="false" customHeight="false" outlineLevel="0" collapsed="false">
      <c r="A17" s="0" t="s">
        <v>198</v>
      </c>
      <c r="B17" s="0" t="s">
        <v>199</v>
      </c>
      <c r="C17" s="0" t="s">
        <v>199</v>
      </c>
      <c r="D17" s="0" t="s">
        <v>199</v>
      </c>
    </row>
    <row r="18" customFormat="false" ht="15" hidden="false" customHeight="false" outlineLevel="0" collapsed="false">
      <c r="A18" s="0" t="s">
        <v>200</v>
      </c>
      <c r="B18" s="0" t="s">
        <v>201</v>
      </c>
      <c r="C18" s="0" t="s">
        <v>201</v>
      </c>
      <c r="D18" s="0" t="s">
        <v>201</v>
      </c>
    </row>
    <row r="19" customFormat="false" ht="15" hidden="false" customHeight="false" outlineLevel="0" collapsed="false">
      <c r="A19" s="0" t="s">
        <v>202</v>
      </c>
      <c r="B19" s="0" t="s">
        <v>203</v>
      </c>
      <c r="C19" s="0" t="s">
        <v>203</v>
      </c>
      <c r="D19" s="0" t="s">
        <v>203</v>
      </c>
    </row>
    <row r="20" customFormat="false" ht="15" hidden="false" customHeight="false" outlineLevel="0" collapsed="false">
      <c r="A20" s="0" t="s">
        <v>204</v>
      </c>
      <c r="B20" s="0" t="s">
        <v>205</v>
      </c>
      <c r="C20" s="0" t="s">
        <v>206</v>
      </c>
      <c r="D20" s="0" t="s">
        <v>206</v>
      </c>
    </row>
    <row r="21" customFormat="false" ht="15" hidden="false" customHeight="false" outlineLevel="0" collapsed="false">
      <c r="A21" s="0" t="s">
        <v>207</v>
      </c>
      <c r="B21" s="0" t="s">
        <v>208</v>
      </c>
      <c r="C21" s="0" t="s">
        <v>206</v>
      </c>
      <c r="D21" s="0" t="s">
        <v>206</v>
      </c>
    </row>
    <row r="22" customFormat="false" ht="15" hidden="false" customHeight="false" outlineLevel="0" collapsed="false">
      <c r="A22" s="0" t="s">
        <v>209</v>
      </c>
      <c r="B22" s="0" t="s">
        <v>210</v>
      </c>
      <c r="C22" s="0" t="s">
        <v>210</v>
      </c>
      <c r="D22" s="0" t="s">
        <v>210</v>
      </c>
    </row>
    <row r="23" customFormat="false" ht="15" hidden="false" customHeight="false" outlineLevel="0" collapsed="false">
      <c r="A23" s="0" t="s">
        <v>211</v>
      </c>
      <c r="B23" s="0" t="s">
        <v>212</v>
      </c>
      <c r="C23" s="0" t="s">
        <v>212</v>
      </c>
      <c r="D23" s="0" t="s">
        <v>212</v>
      </c>
    </row>
    <row r="24" customFormat="false" ht="15" hidden="false" customHeight="false" outlineLevel="0" collapsed="false">
      <c r="A24" s="0" t="s">
        <v>213</v>
      </c>
      <c r="B24" s="0" t="s">
        <v>214</v>
      </c>
      <c r="C24" s="0" t="s">
        <v>214</v>
      </c>
      <c r="D24" s="0" t="s">
        <v>214</v>
      </c>
    </row>
    <row r="25" customFormat="false" ht="15" hidden="false" customHeight="false" outlineLevel="0" collapsed="false">
      <c r="A25" s="0" t="s">
        <v>215</v>
      </c>
      <c r="B25" s="0" t="s">
        <v>216</v>
      </c>
      <c r="C25" s="0" t="s">
        <v>216</v>
      </c>
      <c r="D25" s="0" t="s">
        <v>216</v>
      </c>
    </row>
    <row r="26" customFormat="false" ht="15" hidden="false" customHeight="false" outlineLevel="0" collapsed="false">
      <c r="A26" s="0" t="s">
        <v>217</v>
      </c>
      <c r="B26" s="0" t="s">
        <v>218</v>
      </c>
      <c r="C26" s="0" t="s">
        <v>218</v>
      </c>
      <c r="D26" s="0" t="s">
        <v>218</v>
      </c>
    </row>
    <row r="27" customFormat="false" ht="15" hidden="false" customHeight="false" outlineLevel="0" collapsed="false">
      <c r="A27" s="0" t="s">
        <v>219</v>
      </c>
      <c r="B27" s="0" t="s">
        <v>220</v>
      </c>
      <c r="C27" s="0" t="s">
        <v>220</v>
      </c>
      <c r="D27" s="0" t="s">
        <v>220</v>
      </c>
    </row>
    <row r="28" customFormat="false" ht="15" hidden="false" customHeight="false" outlineLevel="0" collapsed="false">
      <c r="A28" s="0" t="s">
        <v>221</v>
      </c>
      <c r="B28" s="0" t="s">
        <v>222</v>
      </c>
      <c r="C28" s="0" t="s">
        <v>222</v>
      </c>
      <c r="D28" s="0" t="s">
        <v>222</v>
      </c>
    </row>
    <row r="29" customFormat="false" ht="15" hidden="false" customHeight="false" outlineLevel="0" collapsed="false">
      <c r="A29" s="0" t="s">
        <v>223</v>
      </c>
      <c r="B29" s="0" t="s">
        <v>224</v>
      </c>
      <c r="C29" s="0" t="s">
        <v>224</v>
      </c>
      <c r="D29" s="0" t="s">
        <v>224</v>
      </c>
    </row>
    <row r="30" customFormat="false" ht="15" hidden="false" customHeight="false" outlineLevel="0" collapsed="false">
      <c r="A30" s="0" t="s">
        <v>225</v>
      </c>
      <c r="B30" s="0" t="s">
        <v>79</v>
      </c>
      <c r="C30" s="0" t="s">
        <v>79</v>
      </c>
      <c r="D30" s="0" t="s">
        <v>79</v>
      </c>
    </row>
    <row r="31" customFormat="false" ht="15" hidden="false" customHeight="false" outlineLevel="0" collapsed="false">
      <c r="A31" s="0" t="s">
        <v>226</v>
      </c>
      <c r="B31" s="0" t="s">
        <v>227</v>
      </c>
      <c r="C31" s="0" t="s">
        <v>227</v>
      </c>
      <c r="D31" s="0" t="s">
        <v>227</v>
      </c>
    </row>
    <row r="32" customFormat="false" ht="15" hidden="false" customHeight="false" outlineLevel="0" collapsed="false">
      <c r="A32" s="0" t="s">
        <v>228</v>
      </c>
      <c r="B32" s="0" t="s">
        <v>229</v>
      </c>
      <c r="C32" s="0" t="s">
        <v>229</v>
      </c>
      <c r="D32" s="0" t="s">
        <v>229</v>
      </c>
    </row>
    <row r="33" customFormat="false" ht="15" hidden="false" customHeight="false" outlineLevel="0" collapsed="false">
      <c r="A33" s="0" t="s">
        <v>230</v>
      </c>
      <c r="B33" s="0" t="s">
        <v>231</v>
      </c>
      <c r="C33" s="0" t="s">
        <v>231</v>
      </c>
      <c r="D33" s="0" t="s">
        <v>231</v>
      </c>
    </row>
    <row r="34" customFormat="false" ht="15" hidden="false" customHeight="false" outlineLevel="0" collapsed="false">
      <c r="A34" s="0" t="s">
        <v>232</v>
      </c>
      <c r="B34" s="0" t="s">
        <v>233</v>
      </c>
      <c r="C34" s="0" t="s">
        <v>233</v>
      </c>
      <c r="D34" s="0" t="s">
        <v>233</v>
      </c>
    </row>
    <row r="35" customFormat="false" ht="15" hidden="false" customHeight="false" outlineLevel="0" collapsed="false">
      <c r="A35" s="0" t="s">
        <v>234</v>
      </c>
      <c r="B35" s="0" t="s">
        <v>235</v>
      </c>
      <c r="C35" s="0" t="s">
        <v>235</v>
      </c>
      <c r="D35" s="0" t="s">
        <v>235</v>
      </c>
    </row>
    <row r="36" customFormat="false" ht="15" hidden="false" customHeight="false" outlineLevel="0" collapsed="false">
      <c r="A36" s="0" t="s">
        <v>236</v>
      </c>
      <c r="B36" s="0" t="s">
        <v>237</v>
      </c>
      <c r="C36" s="0" t="s">
        <v>237</v>
      </c>
      <c r="D36" s="0" t="s">
        <v>237</v>
      </c>
    </row>
    <row r="37" customFormat="false" ht="15" hidden="false" customHeight="false" outlineLevel="0" collapsed="false">
      <c r="A37" s="0" t="s">
        <v>238</v>
      </c>
      <c r="B37" s="0" t="s">
        <v>239</v>
      </c>
      <c r="C37" s="0" t="s">
        <v>239</v>
      </c>
      <c r="D37" s="0" t="s">
        <v>239</v>
      </c>
    </row>
    <row r="38" customFormat="false" ht="15" hidden="false" customHeight="false" outlineLevel="0" collapsed="false">
      <c r="A38" s="0" t="s">
        <v>240</v>
      </c>
      <c r="B38" s="0" t="s">
        <v>241</v>
      </c>
      <c r="C38" s="0" t="s">
        <v>241</v>
      </c>
      <c r="D38" s="0" t="s">
        <v>241</v>
      </c>
    </row>
    <row r="39" customFormat="false" ht="15" hidden="false" customHeight="false" outlineLevel="0" collapsed="false">
      <c r="A39" s="0" t="s">
        <v>242</v>
      </c>
      <c r="B39" s="0" t="s">
        <v>243</v>
      </c>
      <c r="C39" s="0" t="s">
        <v>243</v>
      </c>
      <c r="D39" s="0" t="s">
        <v>243</v>
      </c>
    </row>
    <row r="40" customFormat="false" ht="15" hidden="false" customHeight="false" outlineLevel="0" collapsed="false">
      <c r="A40" s="0" t="s">
        <v>244</v>
      </c>
      <c r="B40" s="0" t="s">
        <v>245</v>
      </c>
      <c r="C40" s="0" t="s">
        <v>245</v>
      </c>
      <c r="D40" s="0" t="s">
        <v>245</v>
      </c>
    </row>
    <row r="41" customFormat="false" ht="15" hidden="false" customHeight="false" outlineLevel="0" collapsed="false">
      <c r="A41" s="0" t="s">
        <v>246</v>
      </c>
      <c r="B41" s="0" t="s">
        <v>247</v>
      </c>
      <c r="C41" s="0" t="s">
        <v>247</v>
      </c>
      <c r="D41" s="0" t="s">
        <v>247</v>
      </c>
    </row>
    <row r="42" customFormat="false" ht="15" hidden="false" customHeight="false" outlineLevel="0" collapsed="false">
      <c r="A42" s="0" t="s">
        <v>248</v>
      </c>
      <c r="B42" s="0" t="s">
        <v>206</v>
      </c>
      <c r="C42" s="0" t="s">
        <v>206</v>
      </c>
      <c r="D42" s="0" t="s">
        <v>206</v>
      </c>
    </row>
    <row r="43" customFormat="false" ht="15" hidden="false" customHeight="false" outlineLevel="0" collapsed="false">
      <c r="A43" s="0" t="s">
        <v>249</v>
      </c>
      <c r="B43" s="0" t="s">
        <v>250</v>
      </c>
      <c r="C43" s="0" t="s">
        <v>250</v>
      </c>
      <c r="D43" s="0" t="s">
        <v>250</v>
      </c>
    </row>
    <row r="44" customFormat="false" ht="15" hidden="false" customHeight="false" outlineLevel="0" collapsed="false">
      <c r="A44" s="0" t="s">
        <v>251</v>
      </c>
      <c r="B44" s="0" t="s">
        <v>206</v>
      </c>
      <c r="C44" s="0" t="s">
        <v>206</v>
      </c>
      <c r="D44" s="0" t="s">
        <v>206</v>
      </c>
    </row>
    <row r="45" customFormat="false" ht="15" hidden="false" customHeight="false" outlineLevel="0" collapsed="false">
      <c r="A45" s="0" t="s">
        <v>252</v>
      </c>
      <c r="B45" s="0" t="s">
        <v>253</v>
      </c>
      <c r="C45" s="0" t="s">
        <v>253</v>
      </c>
      <c r="D45" s="0" t="s">
        <v>253</v>
      </c>
    </row>
    <row r="46" customFormat="false" ht="15" hidden="false" customHeight="false" outlineLevel="0" collapsed="false">
      <c r="A46" s="0" t="s">
        <v>254</v>
      </c>
      <c r="B46" s="0" t="s">
        <v>255</v>
      </c>
      <c r="C46" s="0" t="s">
        <v>255</v>
      </c>
      <c r="D46" s="0" t="s">
        <v>255</v>
      </c>
    </row>
    <row r="47" customFormat="false" ht="15" hidden="false" customHeight="false" outlineLevel="0" collapsed="false">
      <c r="A47" s="0" t="s">
        <v>256</v>
      </c>
      <c r="B47" s="0" t="s">
        <v>206</v>
      </c>
      <c r="C47" s="0" t="s">
        <v>206</v>
      </c>
      <c r="D47" s="0" t="s">
        <v>206</v>
      </c>
    </row>
    <row r="48" customFormat="false" ht="15" hidden="false" customHeight="false" outlineLevel="0" collapsed="false">
      <c r="A48" s="0" t="s">
        <v>257</v>
      </c>
      <c r="B48" s="0" t="s">
        <v>258</v>
      </c>
      <c r="C48" s="0" t="s">
        <v>258</v>
      </c>
      <c r="D48" s="0" t="s">
        <v>258</v>
      </c>
    </row>
    <row r="49" customFormat="false" ht="15" hidden="false" customHeight="false" outlineLevel="0" collapsed="false">
      <c r="A49" s="0" t="s">
        <v>259</v>
      </c>
      <c r="B49" s="0" t="s">
        <v>260</v>
      </c>
      <c r="C49" s="0" t="s">
        <v>260</v>
      </c>
      <c r="D49" s="0" t="s">
        <v>260</v>
      </c>
    </row>
    <row r="50" customFormat="false" ht="15" hidden="false" customHeight="false" outlineLevel="0" collapsed="false">
      <c r="A50" s="0" t="s">
        <v>261</v>
      </c>
      <c r="B50" s="0" t="s">
        <v>262</v>
      </c>
      <c r="C50" s="0" t="s">
        <v>262</v>
      </c>
      <c r="D50" s="0" t="s">
        <v>262</v>
      </c>
    </row>
    <row r="51" customFormat="false" ht="15" hidden="false" customHeight="false" outlineLevel="0" collapsed="false">
      <c r="A51" s="0" t="s">
        <v>263</v>
      </c>
      <c r="B51" s="0" t="s">
        <v>264</v>
      </c>
      <c r="C51" s="0" t="s">
        <v>264</v>
      </c>
      <c r="D51" s="0" t="s">
        <v>264</v>
      </c>
    </row>
    <row r="52" customFormat="false" ht="15" hidden="false" customHeight="false" outlineLevel="0" collapsed="false">
      <c r="A52" s="0" t="s">
        <v>265</v>
      </c>
      <c r="B52" s="0" t="s">
        <v>266</v>
      </c>
      <c r="C52" s="0" t="s">
        <v>266</v>
      </c>
      <c r="D52" s="0" t="s">
        <v>266</v>
      </c>
    </row>
    <row r="53" customFormat="false" ht="15" hidden="false" customHeight="false" outlineLevel="0" collapsed="false">
      <c r="A53" s="0" t="s">
        <v>267</v>
      </c>
      <c r="B53" s="0" t="s">
        <v>268</v>
      </c>
      <c r="C53" s="0" t="s">
        <v>268</v>
      </c>
      <c r="D53" s="0" t="s">
        <v>268</v>
      </c>
    </row>
    <row r="54" customFormat="false" ht="15" hidden="false" customHeight="false" outlineLevel="0" collapsed="false">
      <c r="A54" s="0" t="s">
        <v>269</v>
      </c>
      <c r="B54" s="0" t="s">
        <v>270</v>
      </c>
      <c r="C54" s="0" t="s">
        <v>270</v>
      </c>
      <c r="D54" s="0" t="s">
        <v>270</v>
      </c>
    </row>
    <row r="55" customFormat="false" ht="15" hidden="false" customHeight="false" outlineLevel="0" collapsed="false">
      <c r="A55" s="0" t="s">
        <v>271</v>
      </c>
      <c r="B55" s="0" t="s">
        <v>272</v>
      </c>
      <c r="C55" s="0" t="s">
        <v>272</v>
      </c>
      <c r="D55" s="0" t="s">
        <v>272</v>
      </c>
    </row>
    <row r="56" customFormat="false" ht="15" hidden="false" customHeight="false" outlineLevel="0" collapsed="false">
      <c r="A56" s="0" t="s">
        <v>273</v>
      </c>
      <c r="B56" s="0" t="s">
        <v>274</v>
      </c>
      <c r="C56" s="0" t="s">
        <v>274</v>
      </c>
      <c r="D56" s="0" t="s">
        <v>274</v>
      </c>
    </row>
    <row r="57" customFormat="false" ht="15" hidden="false" customHeight="false" outlineLevel="0" collapsed="false">
      <c r="A57" s="0" t="s">
        <v>275</v>
      </c>
      <c r="B57" s="0" t="s">
        <v>276</v>
      </c>
      <c r="C57" s="0" t="s">
        <v>276</v>
      </c>
      <c r="D57" s="0" t="s">
        <v>276</v>
      </c>
    </row>
    <row r="58" customFormat="false" ht="15" hidden="false" customHeight="false" outlineLevel="0" collapsed="false">
      <c r="A58" s="0" t="s">
        <v>277</v>
      </c>
      <c r="B58" s="0" t="s">
        <v>278</v>
      </c>
      <c r="C58" s="0" t="s">
        <v>278</v>
      </c>
      <c r="D58" s="0" t="s">
        <v>278</v>
      </c>
    </row>
    <row r="59" customFormat="false" ht="15" hidden="false" customHeight="false" outlineLevel="0" collapsed="false">
      <c r="A59" s="0" t="s">
        <v>279</v>
      </c>
      <c r="B59" s="0" t="s">
        <v>280</v>
      </c>
      <c r="C59" s="0" t="s">
        <v>280</v>
      </c>
      <c r="D59" s="0" t="s">
        <v>280</v>
      </c>
    </row>
    <row r="60" customFormat="false" ht="15" hidden="false" customHeight="false" outlineLevel="0" collapsed="false">
      <c r="A60" s="0" t="s">
        <v>281</v>
      </c>
      <c r="B60" s="0" t="s">
        <v>282</v>
      </c>
      <c r="C60" s="0" t="s">
        <v>282</v>
      </c>
      <c r="D60" s="0" t="s">
        <v>282</v>
      </c>
    </row>
    <row r="61" customFormat="false" ht="15" hidden="false" customHeight="false" outlineLevel="0" collapsed="false">
      <c r="A61" s="0" t="s">
        <v>283</v>
      </c>
      <c r="B61" s="0" t="s">
        <v>247</v>
      </c>
      <c r="C61" s="0" t="s">
        <v>247</v>
      </c>
      <c r="D61" s="0" t="s">
        <v>247</v>
      </c>
    </row>
    <row r="62" customFormat="false" ht="15" hidden="false" customHeight="false" outlineLevel="0" collapsed="false">
      <c r="A62" s="0" t="s">
        <v>284</v>
      </c>
      <c r="B62" s="0" t="s">
        <v>285</v>
      </c>
      <c r="C62" s="0" t="s">
        <v>285</v>
      </c>
      <c r="D62" s="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2026-10-01T21:00:02Z</dcterms:created>
  <dc:creator>Three-Statement Model</dc:creator>
  <dc:description/>
  <dc:language>en-US</dc:language>
  <cp:lastModifiedBy/>
  <dcterms:modified xsi:type="dcterms:W3CDTF">2026-10-02T00:00:04Z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