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3"/>
  </sheets>
  <calcPr iterateCount="1000" refMode="A1" iterate="true" iterateDelta="1E-00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<sst xmlns="http://schemas.openxmlformats.org/spreadsheetml/2006/main" count="53" uniqueCount="52">
  <si>
    <t xml:space="preserve">Hands-on exercise: a linked three-statement model</t>
  </si>
  <si>
    <t xml:space="preserve">Assumptions</t>
  </si>
  <si>
    <t xml:space="preserve">Revenue growth</t>
  </si>
  <si>
    <t xml:space="preserve">Gross margin</t>
  </si>
  <si>
    <t xml:space="preserve">SG&amp;A % of revenue</t>
  </si>
  <si>
    <t xml:space="preserve">D&amp;A % of beginning PP&amp;E</t>
  </si>
  <si>
    <t xml:space="preserve">Capex % of revenue</t>
  </si>
  <si>
    <t xml:space="preserve">Tax rate</t>
  </si>
  <si>
    <t xml:space="preserve">Interest rate (on beginning debt)</t>
  </si>
  <si>
    <t xml:space="preserve">DSO (days)</t>
  </si>
  <si>
    <t xml:space="preserve">DIO (days)</t>
  </si>
  <si>
    <t xml:space="preserve">DPO (days)</t>
  </si>
  <si>
    <t xml:space="preserve">Debt repayment per year</t>
  </si>
  <si>
    <t xml:space="preserve">Dividend payout (% of NI)</t>
  </si>
  <si>
    <t xml:space="preserve">Year</t>
  </si>
  <si>
    <t xml:space="preserve">Year 0</t>
  </si>
  <si>
    <t xml:space="preserve">Year 1</t>
  </si>
  <si>
    <t xml:space="preserve">Year 2</t>
  </si>
  <si>
    <t xml:space="preserve">Year 3</t>
  </si>
  <si>
    <t xml:space="preserve">INCOME STATEMENT</t>
  </si>
  <si>
    <t xml:space="preserve">Revenue</t>
  </si>
  <si>
    <t xml:space="preserve">COGS</t>
  </si>
  <si>
    <t xml:space="preserve">Gross profit</t>
  </si>
  <si>
    <t xml:space="preserve">SG&amp;A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</si>
  <si>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</si>
  <si>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</si>
  <si>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</si>
  <si>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</si>
  <si>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</si>
  <si>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</si>
  <si>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BALANCE SHEET</t>
  </si>
  <si>
    <t xml:space="preserve">Cash</t>
  </si>
  <si>
    <t xml:space="preserve">Accounts receivable</t>
  </si>
  <si>
    <t xml:space="preserve">Inventory</t>
  </si>
  <si>
    <t xml:space="preserve">Net PP&amp;E</t>
  </si>
  <si>
    <t xml:space="preserve">Total assets</t>
  </si>
  <si>
    <t xml:space="preserve">Accounts payable</t>
  </si>
  <si>
    <t xml:space="preserve">Debt</t>
  </si>
  <si>
    <t xml:space="preserve">Common stock</t>
  </si>
  <si>
    <t xml:space="preserve">Retained earnings</t>
  </si>
  <si>
    <t xml:space="preserve">Total liabilities &amp; equity</t>
  </si>
  <si>
    <t xml:space="preserve">Balance check (must be 0)</t>
  </si>
  <si>
    <t xml:space="preserve">CASH-FLOW STATEMENT</t>
  </si>
  <si>
    <t xml:space="preserve">+ D&amp;A</t>
  </si>
  <si>
    <t xml:space="preserve">- Increase in AR</t>
  </si>
  <si>
    <t xml:space="preserve">- Increase in inventory</t>
  </si>
  <si>
    <t xml:space="preserve">+ Increase in AP</t>
  </si>
  <si>
    <t xml:space="preserve">Cash from operations</t>
  </si>
  <si>
    <t xml:space="preserve">Capex</t>
  </si>
  <si>
    <t xml:space="preserve">Debt repayment</t>
  </si>
  <si>
    <t xml:space="preserve">Dividends</t>
  </si>
  <si>
    <t xml:space="preserve">Net change in cash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</si>
</sst>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#,##0.0;\(#,##0.0\);\-"/>
    <numFmt numFmtId="168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CC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n">
        <v>0.1</v>
      </c>
    </row>
    <row r="5" customFormat="false" ht="15" hidden="false" customHeight="false" outlineLevel="0" collapsed="false">
      <c r="A5" s="0" t="s">
        <v>3</v>
      </c>
      <c r="B5" s="3" t="n">
        <v>0.4</v>
      </c>
    </row>
    <row r="6" customFormat="false" ht="15" hidden="false" customHeight="false" outlineLevel="0" collapsed="false">
      <c r="A6" s="0" t="s">
        <v>4</v>
      </c>
      <c r="B6" s="3" t="n">
        <v>0.2</v>
      </c>
    </row>
    <row r="7" customFormat="false" ht="15" hidden="false" customHeight="false" outlineLevel="0" collapsed="false">
      <c r="A7" s="0" t="s">
        <v>5</v>
      </c>
      <c r="B7" s="3" t="n">
        <v>0.1</v>
      </c>
    </row>
    <row r="8" customFormat="false" ht="15" hidden="false" customHeight="false" outlineLevel="0" collapsed="false">
      <c r="A8" s="0" t="s">
        <v>6</v>
      </c>
      <c r="B8" s="3" t="n">
        <v>0.08</v>
      </c>
    </row>
    <row r="9" customFormat="false" ht="15" hidden="false" customHeight="false" outlineLevel="0" collapsed="false">
      <c r="A9" s="0" t="s">
        <v>7</v>
      </c>
      <c r="B9" s="3" t="n">
        <v>0.25</v>
      </c>
    </row>
    <row r="10" customFormat="false" ht="15" hidden="false" customHeight="false" outlineLevel="0" collapsed="false">
      <c r="A10" s="0" t="s">
        <v>8</v>
      </c>
      <c r="B10" s="3" t="n">
        <v>0.06</v>
      </c>
    </row>
    <row r="11" customFormat="false" ht="15" hidden="false" customHeight="false" outlineLevel="0" collapsed="false">
      <c r="A11" s="0" t="s">
        <v>9</v>
      </c>
      <c r="B11" s="4" t="n">
        <v>30</v>
      </c>
    </row>
    <row r="12" customFormat="false" ht="15" hidden="false" customHeight="false" outlineLevel="0" collapsed="false">
      <c r="A12" s="0" t="s">
        <v>10</v>
      </c>
      <c r="B12" s="4" t="n">
        <v>45</v>
      </c>
    </row>
    <row r="13" customFormat="false" ht="15" hidden="false" customHeight="false" outlineLevel="0" collapsed="false">
      <c r="A13" s="0" t="s">
        <v>11</v>
      </c>
      <c r="B13" s="4" t="n">
        <v>40</v>
      </c>
    </row>
    <row r="14" customFormat="false" ht="15" hidden="false" customHeight="false" outlineLevel="0" collapsed="false">
      <c r="A14" s="0" t="s">
        <v>12</v>
      </c>
      <c r="B14" s="4" t="n">
        <v>20</v>
      </c>
    </row>
    <row r="15" customFormat="false" ht="15" hidden="false" customHeight="false" outlineLevel="0" collapsed="false">
      <c r="A15" s="0" t="s">
        <v>13</v>
      </c>
      <c r="B15" s="3" t="n">
        <v>0.3</v>
      </c>
    </row>
    <row r="18" customFormat="false" ht="15" hidden="false" customHeight="false" outlineLevel="0" collapsed="false">
      <c r="A18" s="0" t="s">
        <v>14</v>
      </c>
      <c r="B18" s="2" t="s">
        <v>15</v>
      </c>
      <c r="C18" s="2" t="s">
        <v>16</v>
      </c>
      <c r="D18" s="2" t="s">
        <v>17</v>
      </c>
      <c r="E18" s="2" t="s">
        <v>18</v>
      </c>
    </row>
    <row r="19" customFormat="false" ht="15" hidden="false" customHeight="false" outlineLevel="0" collapsed="false">
      <c r="A19" s="2" t="s">
        <v>19</v>
      </c>
      <c r="B19" s="5"/>
      <c r="C19" s="5"/>
      <c r="D19" s="5"/>
      <c r="E19" s="5"/>
    </row>
    <row r="20" customFormat="false" ht="15" hidden="false" customHeight="false" outlineLevel="0" collapsed="false">
      <c r="A20" s="0" t="s">
        <v>20</v>
      </c>
      <c r="B20" s="6" t="n">
        <v>1000</v>
      </c>
      <c r="C20" s="5" t="n">
        <f aca="false">B20*(1+$B$4)</f>
        <v>1100</v>
      </c>
      <c r="D20" s="5" t="n">
        <f aca="false">C20*(1+$B$4)</f>
        <v>1210</v>
      </c>
      <c r="E20" s="5" t="n">
        <f aca="false">D20*(1+$B$4)</f>
        <v>1331</v>
      </c>
    </row>
    <row r="21" customFormat="false" ht="15" hidden="false" customHeight="false" outlineLevel="0" collapsed="false">
      <c r="A21" s="0" t="s">
        <v>21</v>
      </c>
      <c r="B21" s="5"/>
      <c r="C21" s="5" t="n">
        <f aca="false">C20*(1-$B$5)</f>
        <v>660</v>
      </c>
      <c r="D21" s="5" t="n">
        <f aca="false">D20*(1-$B$5)</f>
        <v>726</v>
      </c>
      <c r="E21" s="5" t="n">
        <f aca="false">E20*(1-$B$5)</f>
        <v>798.6</v>
      </c>
    </row>
    <row r="22" customFormat="false" ht="15" hidden="false" customHeight="false" outlineLevel="0" collapsed="false">
      <c r="A22" s="2" t="s">
        <v>22</v>
      </c>
      <c r="B22" s="5"/>
      <c r="C22" s="5" t="n">
        <f aca="false">C20-C21</f>
        <v>440</v>
      </c>
      <c r="D22" s="5" t="n">
        <f aca="false">D20-D21</f>
        <v>484</v>
      </c>
      <c r="E22" s="5" t="n">
        <f aca="false">E20-E21</f>
        <v>532.4</v>
      </c>
    </row>
    <row r="23" customFormat="false" ht="15" hidden="false" customHeight="false" outlineLevel="0" collapsed="false">
      <c r="A23" s="0" t="s">
        <v>23</v>
      </c>
      <c r="B23" s="5"/>
      <c r="C23" s="5" t="n">
        <f aca="false">C20*$B$6</f>
        <v>220</v>
      </c>
      <c r="D23" s="5" t="n">
        <f aca="false">D20*$B$6</f>
        <v>242</v>
      </c>
      <c r="E23" s="5" t="n">
        <f aca="false">E20*$B$6</f>
        <v>266.2</v>
      </c>
    </row>
    <row r="24" customFormat="false" ht="15" hidden="false" customHeight="false" outlineLevel="0" collapsed="false">
      <c r="A24" s="0" t="s">
        <v>24</v>
      </c>
      <c r="B24" s="5"/>
      <c r="C24" s="5" t="n">
        <f aca="false">B35*$B$7</f>
        <v>30</v>
      </c>
      <c r="D24" s="5" t="n">
        <f aca="false">C35*$B$7</f>
        <v>35.8</v>
      </c>
      <c r="E24" s="5" t="n">
        <f aca="false">D35*$B$7</f>
        <v>41.9</v>
      </c>
    </row>
    <row r="25" customFormat="false" ht="15" hidden="false" customHeight="false" outlineLevel="0" collapsed="false">
      <c r="A25" s="2" t="s">
        <v>25</v>
      </c>
      <c r="B25" s="5"/>
      <c r="C25" s="5" t="n">
        <f aca="false">C22-C23-C24</f>
        <v>190</v>
      </c>
      <c r="D25" s="5" t="n">
        <f aca="false">D22-D23-D24</f>
        <v>206.2</v>
      </c>
      <c r="E25" s="5" t="n">
        <f aca="false">E22-E23-E24</f>
        <v>224.3</v>
      </c>
    </row>
    <row r="26" customFormat="false" ht="15" hidden="false" customHeight="false" outlineLevel="0" collapsed="false">
      <c r="A26" s="0" t="s">
        <v>26</v>
      </c>
      <c r="B26" s="5"/>
      <c r="C26" s="5" t="n">
        <f aca="false">B38*$B$10</f>
        <v>12</v>
      </c>
      <c r="D26" s="5" t="n">
        <f aca="false">C38*$B$10</f>
        <v>10.8</v>
      </c>
      <c r="E26" s="5" t="n">
        <f aca="false">D38*$B$10</f>
        <v>9.6</v>
      </c>
    </row>
    <row r="27" customFormat="false" ht="15" hidden="false" customHeight="false" outlineLevel="0" collapsed="false">
      <c r="A27" s="0" t="s">
        <v>27</v>
      </c>
      <c r="B27" s="5"/>
      <c r="C27" s="5" t="n">
        <f aca="false">C25-C26</f>
        <v>178</v>
      </c>
      <c r="D27" s="5" t="n">
        <f aca="false">D25-D26</f>
        <v>195.4</v>
      </c>
      <c r="E27" s="5" t="n">
        <f aca="false">E25-E26</f>
        <v>214.7</v>
      </c>
    </row>
    <row r="28" customFormat="false" ht="15" hidden="false" customHeight="false" outlineLevel="0" collapsed="false">
      <c r="A28" s="0" t="s">
        <v>28</v>
      </c>
      <c r="B28" s="5"/>
      <c r="C28" s="5" t="n">
        <f aca="false">MAX(0,C27*$B$9)</f>
        <v>44.5</v>
      </c>
      <c r="D28" s="5" t="n">
        <f aca="false">MAX(0,D27*$B$9)</f>
        <v>48.85</v>
      </c>
      <c r="E28" s="5" t="n">
        <f aca="false">MAX(0,E27*$B$9)</f>
        <v>53.675</v>
      </c>
    </row>
    <row r="29" customFormat="false" ht="15" hidden="false" customHeight="false" outlineLevel="0" collapsed="false">
      <c r="A29" s="2" t="s">
        <v>29</v>
      </c>
      <c r="B29" s="5"/>
      <c r="C29" s="5" t="n">
        <f aca="false">C27-C28</f>
        <v>133.5</v>
      </c>
      <c r="D29" s="5" t="n">
        <f aca="false">D27-D28</f>
        <v>146.55</v>
      </c>
      <c r="E29" s="5" t="n">
        <f aca="false">E27-E28</f>
        <v>161.025</v>
      </c>
    </row>
    <row r="30" customFormat="false" ht="15" hidden="false" customHeight="false" outlineLevel="0" collapsed="false">
      <c r="B30" s="5"/>
      <c r="C30" s="5"/>
      <c r="D30" s="5"/>
      <c r="E30" s="5"/>
    </row>
    <row r="31" customFormat="false" ht="15" hidden="false" customHeight="false" outlineLevel="0" collapsed="false">
      <c r="A31" s="2" t="s">
        <v>30</v>
      </c>
      <c r="B31" s="5"/>
      <c r="C31" s="5"/>
      <c r="D31" s="5"/>
      <c r="E31" s="5"/>
    </row>
    <row r="32" customFormat="false" ht="15" hidden="false" customHeight="false" outlineLevel="0" collapsed="false">
      <c r="A32" s="0" t="s">
        <v>31</v>
      </c>
      <c r="B32" s="6" t="n">
        <v>100</v>
      </c>
      <c r="C32" s="5" t="n">
        <f aca="false">B32+C54</f>
        <v>105.997945205479</v>
      </c>
      <c r="D32" s="5" t="n">
        <f aca="false">C32+D54</f>
        <v>117.637739726027</v>
      </c>
      <c r="E32" s="5" t="n">
        <f aca="false">D32+E54</f>
        <v>134.83551369863</v>
      </c>
    </row>
    <row r="33" customFormat="false" ht="15" hidden="false" customHeight="false" outlineLevel="0" collapsed="false">
      <c r="A33" s="0" t="s">
        <v>32</v>
      </c>
      <c r="B33" s="6" t="n">
        <v>80</v>
      </c>
      <c r="C33" s="5" t="n">
        <f aca="false">$B$11/365*C20</f>
        <v>90.4109589041096</v>
      </c>
      <c r="D33" s="5" t="n">
        <f aca="false">$B$11/365*D20</f>
        <v>99.4520547945206</v>
      </c>
      <c r="E33" s="5" t="n">
        <f aca="false">$B$11/365*E20</f>
        <v>109.397260273973</v>
      </c>
    </row>
    <row r="34" customFormat="false" ht="15" hidden="false" customHeight="false" outlineLevel="0" collapsed="false">
      <c r="A34" s="0" t="s">
        <v>33</v>
      </c>
      <c r="B34" s="6" t="n">
        <v>60</v>
      </c>
      <c r="C34" s="5" t="n">
        <f aca="false">$B$12/365*C21</f>
        <v>81.3698630136986</v>
      </c>
      <c r="D34" s="5" t="n">
        <f aca="false">$B$12/365*D21</f>
        <v>89.5068493150685</v>
      </c>
      <c r="E34" s="5" t="n">
        <f aca="false">$B$12/365*E21</f>
        <v>98.4575342465753</v>
      </c>
    </row>
    <row r="35" customFormat="false" ht="15" hidden="false" customHeight="false" outlineLevel="0" collapsed="false">
      <c r="A35" s="0" t="s">
        <v>34</v>
      </c>
      <c r="B35" s="6" t="n">
        <v>300</v>
      </c>
      <c r="C35" s="5" t="n">
        <f aca="false">B35-C51-C24</f>
        <v>358</v>
      </c>
      <c r="D35" s="5" t="n">
        <f aca="false">C35-D51-D24</f>
        <v>419</v>
      </c>
      <c r="E35" s="5" t="n">
        <f aca="false">D35-E51-E24</f>
        <v>483.58</v>
      </c>
    </row>
    <row r="36" customFormat="false" ht="15" hidden="false" customHeight="false" outlineLevel="0" collapsed="false">
      <c r="A36" s="2" t="s">
        <v>35</v>
      </c>
      <c r="B36" s="5" t="n">
        <f aca="false">SUM(B32:B35)</f>
        <v>540</v>
      </c>
      <c r="C36" s="5" t="n">
        <f aca="false">SUM(C32:C35)</f>
        <v>635.778767123288</v>
      </c>
      <c r="D36" s="5" t="n">
        <f aca="false">SUM(D32:D35)</f>
        <v>725.596643835616</v>
      </c>
      <c r="E36" s="5" t="n">
        <f aca="false">SUM(E32:E35)</f>
        <v>826.270308219178</v>
      </c>
    </row>
    <row r="37" customFormat="false" ht="15" hidden="false" customHeight="false" outlineLevel="0" collapsed="false">
      <c r="A37" s="0" t="s">
        <v>36</v>
      </c>
      <c r="B37" s="6" t="n">
        <v>50</v>
      </c>
      <c r="C37" s="5" t="n">
        <f aca="false">$B$13/365*C21</f>
        <v>72.3287671232877</v>
      </c>
      <c r="D37" s="5" t="n">
        <f aca="false">$B$13/365*D21</f>
        <v>79.5616438356164</v>
      </c>
      <c r="E37" s="5" t="n">
        <f aca="false">$B$13/365*E21</f>
        <v>87.5178082191781</v>
      </c>
    </row>
    <row r="38" customFormat="false" ht="15" hidden="false" customHeight="false" outlineLevel="0" collapsed="false">
      <c r="A38" s="0" t="s">
        <v>37</v>
      </c>
      <c r="B38" s="6" t="n">
        <v>200</v>
      </c>
      <c r="C38" s="5" t="n">
        <f aca="false">B38+C52</f>
        <v>180</v>
      </c>
      <c r="D38" s="5" t="n">
        <f aca="false">C38+D52</f>
        <v>160</v>
      </c>
      <c r="E38" s="5" t="n">
        <f aca="false">D38+E52</f>
        <v>140</v>
      </c>
    </row>
    <row r="39" customFormat="false" ht="15" hidden="false" customHeight="false" outlineLevel="0" collapsed="false">
      <c r="A39" s="0" t="s">
        <v>38</v>
      </c>
      <c r="B39" s="6" t="n">
        <v>150</v>
      </c>
      <c r="C39" s="5" t="n">
        <f aca="false">B39</f>
        <v>150</v>
      </c>
      <c r="D39" s="5" t="n">
        <f aca="false">C39</f>
        <v>150</v>
      </c>
      <c r="E39" s="5" t="n">
        <f aca="false">D39</f>
        <v>150</v>
      </c>
    </row>
    <row r="40" customFormat="false" ht="15" hidden="false" customHeight="false" outlineLevel="0" collapsed="false">
      <c r="A40" s="0" t="s">
        <v>39</v>
      </c>
      <c r="B40" s="6" t="n">
        <v>140</v>
      </c>
      <c r="C40" s="5" t="n">
        <f aca="false">B40+C29+C53</f>
        <v>233.45</v>
      </c>
      <c r="D40" s="5" t="n">
        <f aca="false">C40+D29+D53</f>
        <v>336.035</v>
      </c>
      <c r="E40" s="5" t="n">
        <f aca="false">D40+E29+E53</f>
        <v>448.7525</v>
      </c>
    </row>
    <row r="41" customFormat="false" ht="15" hidden="false" customHeight="false" outlineLevel="0" collapsed="false">
      <c r="A41" s="2" t="s">
        <v>40</v>
      </c>
      <c r="B41" s="5" t="n">
        <f aca="false">SUM(B37:B40)</f>
        <v>540</v>
      </c>
      <c r="C41" s="5" t="n">
        <f aca="false">SUM(C37:C40)</f>
        <v>635.778767123288</v>
      </c>
      <c r="D41" s="5" t="n">
        <f aca="false">SUM(D37:D40)</f>
        <v>725.596643835617</v>
      </c>
      <c r="E41" s="5" t="n">
        <f aca="false">SUM(E37:E40)</f>
        <v>826.270308219178</v>
      </c>
    </row>
    <row r="42" customFormat="false" ht="15" hidden="false" customHeight="false" outlineLevel="0" collapsed="false">
      <c r="A42" s="2" t="s">
        <v>41</v>
      </c>
      <c r="B42" s="7" t="n">
        <f aca="false">ROUND(B36-B41,6)</f>
        <v>0</v>
      </c>
      <c r="C42" s="7" t="n">
        <f aca="false">ROUND(C36-C41,6)</f>
        <v>0</v>
      </c>
      <c r="D42" s="7" t="n">
        <f aca="false">ROUND(D36-D41,6)</f>
        <v>0</v>
      </c>
      <c r="E42" s="7" t="n">
        <f aca="false">ROUND(E36-E41,6)</f>
        <v>0</v>
      </c>
    </row>
    <row r="43" customFormat="false" ht="15" hidden="false" customHeight="false" outlineLevel="0" collapsed="false">
      <c r="B43" s="5"/>
      <c r="C43" s="5"/>
      <c r="D43" s="5"/>
      <c r="E43" s="5"/>
    </row>
    <row r="44" customFormat="false" ht="15" hidden="false" customHeight="false" outlineLevel="0" collapsed="false">
      <c r="A44" s="2" t="s">
        <v>42</v>
      </c>
      <c r="B44" s="5"/>
      <c r="C44" s="5"/>
      <c r="D44" s="5"/>
      <c r="E44" s="5"/>
    </row>
    <row r="45" customFormat="false" ht="15" hidden="false" customHeight="false" outlineLevel="0" collapsed="false">
      <c r="A45" s="0" t="s">
        <v>29</v>
      </c>
      <c r="B45" s="5"/>
      <c r="C45" s="5" t="n">
        <f aca="false">C29</f>
        <v>133.5</v>
      </c>
      <c r="D45" s="5" t="n">
        <f aca="false">D29</f>
        <v>146.55</v>
      </c>
      <c r="E45" s="5" t="n">
        <f aca="false">E29</f>
        <v>161.025</v>
      </c>
    </row>
    <row r="46" customFormat="false" ht="15" hidden="false" customHeight="false" outlineLevel="0" collapsed="false">
      <c r="A46" s="0" t="s">
        <v>43</v>
      </c>
      <c r="B46" s="5"/>
      <c r="C46" s="5" t="n">
        <f aca="false">C24</f>
        <v>30</v>
      </c>
      <c r="D46" s="5" t="n">
        <f aca="false">D24</f>
        <v>35.8</v>
      </c>
      <c r="E46" s="5" t="n">
        <f aca="false">E24</f>
        <v>41.9</v>
      </c>
    </row>
    <row r="47" customFormat="false" ht="15" hidden="false" customHeight="false" outlineLevel="0" collapsed="false">
      <c r="A47" s="0" t="s">
        <v>44</v>
      </c>
      <c r="B47" s="5"/>
      <c r="C47" s="5" t="n">
        <f aca="false">-(C33-B33)</f>
        <v>-10.4109589041096</v>
      </c>
      <c r="D47" s="5" t="n">
        <f aca="false">-(D33-C33)</f>
        <v>-9.04109589041097</v>
      </c>
      <c r="E47" s="5" t="n">
        <f aca="false">-(E33-D33)</f>
        <v>-9.94520547945204</v>
      </c>
    </row>
    <row r="48" customFormat="false" ht="15" hidden="false" customHeight="false" outlineLevel="0" collapsed="false">
      <c r="A48" s="0" t="s">
        <v>45</v>
      </c>
      <c r="B48" s="5"/>
      <c r="C48" s="5" t="n">
        <f aca="false">-(C34-B34)</f>
        <v>-21.3698630136986</v>
      </c>
      <c r="D48" s="5" t="n">
        <f aca="false">-(D34-C34)</f>
        <v>-8.13698630136987</v>
      </c>
      <c r="E48" s="5" t="n">
        <f aca="false">-(E34-D34)</f>
        <v>-8.95068493150684</v>
      </c>
    </row>
    <row r="49" customFormat="false" ht="15" hidden="false" customHeight="false" outlineLevel="0" collapsed="false">
      <c r="A49" s="0" t="s">
        <v>46</v>
      </c>
      <c r="B49" s="5"/>
      <c r="C49" s="5" t="n">
        <f aca="false">C37-B37</f>
        <v>22.3287671232877</v>
      </c>
      <c r="D49" s="5" t="n">
        <f aca="false">D37-C37</f>
        <v>7.23287671232878</v>
      </c>
      <c r="E49" s="5" t="n">
        <f aca="false">E37-D37</f>
        <v>7.95616438356164</v>
      </c>
    </row>
    <row r="50" customFormat="false" ht="15" hidden="false" customHeight="false" outlineLevel="0" collapsed="false">
      <c r="A50" s="2" t="s">
        <v>47</v>
      </c>
      <c r="B50" s="5"/>
      <c r="C50" s="5" t="n">
        <f aca="false">SUM(C45:C49)</f>
        <v>154.047945205479</v>
      </c>
      <c r="D50" s="5" t="n">
        <f aca="false">SUM(D45:D49)</f>
        <v>172.404794520548</v>
      </c>
      <c r="E50" s="5" t="n">
        <f aca="false">SUM(E45:E49)</f>
        <v>191.985273972603</v>
      </c>
    </row>
    <row r="51" customFormat="false" ht="15" hidden="false" customHeight="false" outlineLevel="0" collapsed="false">
      <c r="A51" s="0" t="s">
        <v>48</v>
      </c>
      <c r="B51" s="5"/>
      <c r="C51" s="5" t="n">
        <f aca="false">-C20*$B$8</f>
        <v>-88</v>
      </c>
      <c r="D51" s="5" t="n">
        <f aca="false">-D20*$B$8</f>
        <v>-96.8</v>
      </c>
      <c r="E51" s="5" t="n">
        <f aca="false">-E20*$B$8</f>
        <v>-106.48</v>
      </c>
    </row>
    <row r="52" customFormat="false" ht="15" hidden="false" customHeight="false" outlineLevel="0" collapsed="false">
      <c r="A52" s="0" t="s">
        <v>49</v>
      </c>
      <c r="B52" s="5"/>
      <c r="C52" s="5" t="n">
        <f aca="false">-MIN($B$14,B38)</f>
        <v>-20</v>
      </c>
      <c r="D52" s="5" t="n">
        <f aca="false">-MIN($B$14,C38)</f>
        <v>-20</v>
      </c>
      <c r="E52" s="5" t="n">
        <f aca="false">-MIN($B$14,D38)</f>
        <v>-20</v>
      </c>
    </row>
    <row r="53" customFormat="false" ht="15" hidden="false" customHeight="false" outlineLevel="0" collapsed="false">
      <c r="A53" s="0" t="s">
        <v>50</v>
      </c>
      <c r="B53" s="5"/>
      <c r="C53" s="5" t="n">
        <f aca="false">-$B$15*MAX(0,C29)</f>
        <v>-40.05</v>
      </c>
      <c r="D53" s="5" t="n">
        <f aca="false">-$B$15*MAX(0,D29)</f>
        <v>-43.965</v>
      </c>
      <c r="E53" s="5" t="n">
        <f aca="false">-$B$15*MAX(0,E29)</f>
        <v>-48.3075</v>
      </c>
    </row>
    <row r="54" customFormat="false" ht="15" hidden="false" customHeight="false" outlineLevel="0" collapsed="false">
      <c r="A54" s="0" t="s">
        <v>51</v>
      </c>
      <c r="B54" s="5"/>
      <c r="C54" s="5" t="n">
        <f aca="false">C50+C51+C52+C53</f>
        <v>5.99794520547947</v>
      </c>
      <c r="D54" s="5" t="n">
        <f aca="false">D50+D51+D52+D53</f>
        <v>11.6397945205479</v>
      </c>
      <c r="E54" s="5" t="n">
        <f aca="false">E50+E51+E52+E53</f>
        <v>17.1977739726027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2026-10-01T21:04:34Z</dcterms:created>
  <dc:creator>openpyxl</dc:creator>
  <dc:description/>
  <dc:language>en-US</dc:language>
  <cp:lastModifiedBy/>
  <dcterms:modified xsi:type="dcterms:W3CDTF">2026-10-02T00:04:35Z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