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Schedules" sheetId="5" state="visible" r:id="rId7"/>
    <sheet name="Checks" sheetId="6" state="visible" r:id="rId8"/>
    <sheet name="Data Sources" sheetId="7" state="visible" r:id="rId9"/>
  </sheets>
  <calcPr iterateCount="1000" refMode="A1" iterate="true" iterateDelta="1E-00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<sst xmlns="http://schemas.openxmlformats.org/spreadsheetml/2006/main" count="443" uniqueCount="293">
  <si>
    <t xml:space="preserve">Ford Motor Company (F) - Assumptions</t>
  </si>
  <si>
    <t xml:space="preserve">Blue cells on yellow are inputs. Columns C:E show the historical value of each driver for reference.</t>
  </si>
  <si>
    <t xml:space="preserve">Millions</t>
  </si>
  <si>
    <t xml:space="preserve">FY2023</t>
  </si>
  <si>
    <t xml:space="preserve">FY2024</t>
  </si>
  <si>
    <t xml:space="preserve">FY2025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</si>
  <si>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</si>
  <si>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</si>
  <si>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</si>
  <si>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</si>
  <si>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</si>
  <si>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Switches and single inputs (column C)</t>
  </si>
  <si>
    <t xml:space="preserve">Minimum cash balance</t>
  </si>
  <si>
    <t xml:space="preserve">Revolver capacity</t>
  </si>
  <si>
    <t xml:space="preserve">Interest on average balances (1 = average, 0 = beginning)</t>
  </si>
  <si>
    <t xml:space="preserve">Circuit breaker (1 = force beginning balances, no circularity)</t>
  </si>
  <si>
    <t xml:space="preserve">D&amp;A basis (1 = % of beginning net PP&amp;E, 0 = % of revenue)</t>
  </si>
  <si>
    <t xml:space="preserve">Forecast drivers (columns F:J)</t>
  </si>
  <si>
    <t xml:space="preserve">Revenue growth</t>
  </si>
  <si>
    <t xml:space="preserve">vs prior year</t>
  </si>
  <si>
    <t xml:space="preserve">Gross margin</t>
  </si>
  <si>
    <t xml:space="preserve">gross profit / revenue (COGS as reported)</t>
  </si>
  <si>
    <t xml:space="preserve">SG&amp;A % of revenue</t>
  </si>
  <si>
    <t xml:space="preserve">R&amp;D % of revenue</t>
  </si>
  <si>
    <t xml:space="preserve">Other operating items % of revenue</t>
  </si>
  <si>
    <t xml:space="preserve">incl. the D&amp;A reclassification</t>
  </si>
  <si>
    <t xml:space="preserve">D&amp;A % of beginning net PP&amp;E (or of revenue)</t>
  </si>
  <si>
    <t xml:space="preserve">Capex % of revenue</t>
  </si>
  <si>
    <t xml:space="preserve">Tax rate on EBT</t>
  </si>
  <si>
    <t xml:space="preserve">no tax credit on losses</t>
  </si>
  <si>
    <t xml:space="preserve">DSO (days, on revenue)</t>
  </si>
  <si>
    <t xml:space="preserve">AR = DSO/365 x revenue</t>
  </si>
  <si>
    <t xml:space="preserve">DIO (days, on COGS)</t>
  </si>
  <si>
    <t xml:space="preserve">Inventory = DIO/365 x COGS</t>
  </si>
  <si>
    <t xml:space="preserve">DPO (days, on COGS)</t>
  </si>
  <si>
    <t xml:space="preserve">AP = DPO/365 x COGS</t>
  </si>
  <si>
    <t xml:space="preserve">Other current assets % of revenue</t>
  </si>
  <si>
    <t xml:space="preserve">Other current liabilities % of revenue</t>
  </si>
  <si>
    <t xml:space="preserve">Dividend payout (% of NI to common)</t>
  </si>
  <si>
    <t xml:space="preserve">Buybacks (% of NI to common)</t>
  </si>
  <si>
    <t xml:space="preserve">Additional buybacks (amount)</t>
  </si>
  <si>
    <t xml:space="preserve">NCI share of net income</t>
  </si>
  <si>
    <t xml:space="preserve">distributed to NCI holders</t>
  </si>
  <si>
    <t xml:space="preserve">Other non-operating income (amount)</t>
  </si>
  <si>
    <t xml:space="preserve">Term debt issuance (amount)</t>
  </si>
  <si>
    <t xml:space="preserve">Term debt mandatory repayment (amount)</t>
  </si>
  <si>
    <t xml:space="preserve">Interest rate on term debt</t>
  </si>
  <si>
    <t xml:space="preserve">Interest rate on cash &amp; ST investments</t>
  </si>
  <si>
    <t xml:space="preserve">Interest rate on revolver</t>
  </si>
  <si>
    <t xml:space="preserve">Ford Motor Company (F) - Income Statement</t>
  </si>
  <si>
    <t xml:space="preserve">Historical columns: reported data. Forecast columns: formulas.</t>
  </si>
  <si>
    <t xml:space="preserve">Operating</t>
  </si>
  <si>
    <t xml:space="preserve">Revenue</t>
  </si>
  <si>
    <t xml:space="preserve">Cost of goods sold (-)</t>
  </si>
  <si>
    <t xml:space="preserve">Gross profit</t>
  </si>
  <si>
    <t xml:space="preserve">SG&amp;A (-)</t>
  </si>
  <si>
    <t xml:space="preserve">R&amp;D (-)</t>
  </si>
  <si>
    <t xml:space="preserve">Other operating items / D&amp;A reclassification (-)</t>
  </si>
  <si>
    <t xml:space="preserve">EBITDA</t>
  </si>
  <si>
    <t xml:space="preserve">Depreciation &amp; amortization (-)</t>
  </si>
  <si>
    <t xml:space="preserve">Operating income (EBIT, as reported)</t>
  </si>
  <si>
    <t xml:space="preserve">Below operating income</t>
  </si>
  <si>
    <t xml:space="preserve">Interest expense - term debt (-)</t>
  </si>
  <si>
    <t xml:space="preserve">Interest expense - revolver (-)</t>
  </si>
  <si>
    <t xml:space="preserve">Interest income</t>
  </si>
  <si>
    <t xml:space="preserve">Other non-operating income / (expense)</t>
  </si>
  <si>
    <t xml:space="preserve">Pre-tax income (EBT)</t>
  </si>
  <si>
    <t xml:space="preserve">Income tax (-)</t>
  </si>
  <si>
    <t xml:space="preserve">Discontinued operations &amp; other (after tax)</t>
  </si>
  <si>
    <t xml:space="preserve">Net income</t>
  </si>
  <si>
    <t xml:space="preserve">Net income (consolidated)</t>
  </si>
  <si>
    <t xml:space="preserve">Attributable to NCI &amp; preferred (-)</t>
  </si>
  <si>
    <t xml:space="preserve">Net income to common shareholders</t>
  </si>
  <si>
    <t xml:space="preserve">Ford Motor Company (F) - Balance Sheet</t>
  </si>
  <si>
    <t xml:space="preserve">Cash comes only from the Cash Flow sheet; the balance check must be 0.</t>
  </si>
  <si>
    <t xml:space="preserve">Assets</t>
  </si>
  <si>
    <t xml:space="preserve">Cash &amp; cash equivalents</t>
  </si>
  <si>
    <t xml:space="preserve">Short-term investments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</si>
  <si>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</si>
  <si>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</si>
  <si>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</si>
  <si>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</si>
  <si>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Gross PP&amp;E</t>
  </si>
  <si>
    <t xml:space="preserve">Accumulated depreciation (-)</t>
  </si>
  <si>
    <t xml:space="preserve">Net PP&amp;E</t>
  </si>
  <si>
    <t xml:space="preserve">Other non-current assets</t>
  </si>
  <si>
    <t xml:space="preserve">TOTAL ASSETS</t>
  </si>
  <si>
    <t xml:space="preserve">Liabilities</t>
  </si>
  <si>
    <t xml:space="preserve">Accounts payable</t>
  </si>
  <si>
    <t xml:space="preserve">Other current liabilities</t>
  </si>
  <si>
    <t xml:space="preserve">Revolver</t>
  </si>
  <si>
    <t xml:space="preserve">Current liabilities (excl. term debt)</t>
  </si>
  <si>
    <t xml:space="preserve">Term debt (incl. current portion)</t>
  </si>
  <si>
    <t xml:space="preserve">Other non-current liabilities</t>
  </si>
  <si>
    <t xml:space="preserve">TOTAL LIABILITIES</t>
  </si>
  <si>
    <t xml:space="preserve">Equity</t>
  </si>
  <si>
    <t xml:space="preserve">Common stock &amp; APIC</t>
  </si>
  <si>
    <t xml:space="preserve">Retained earnings</t>
  </si>
  <si>
    <t xml:space="preserve">Treasury stock (-)</t>
  </si>
  <si>
    <t xml:space="preserve">AOCI &amp; other equity</t>
  </si>
  <si>
    <t xml:space="preserve">Shareholders' equity</t>
  </si>
  <si>
    <t xml:space="preserve">Non-controlling interests</t>
  </si>
  <si>
    <t xml:space="preserve">TOTAL EQUITY</t>
  </si>
  <si>
    <t xml:space="preserve">TOTAL LIABILITIES &amp; EQUITY</t>
  </si>
  <si>
    <t xml:space="preserve">Check</t>
  </si>
  <si>
    <t xml:space="preserve">Balance check (A - L - E)</t>
  </si>
  <si>
    <t xml:space="preserve">Ford Motor Company (F) - Cash Flow</t>
  </si>
  <si>
    <t xml:space="preserve">Indirect method. Historical columns: reported, with disclosed 'other' lines.</t>
  </si>
  <si>
    <t xml:space="preserve">Operating activities</t>
  </si>
  <si>
    <t xml:space="preserve">Depreciation &amp; amortization</t>
  </si>
  <si>
    <t xml:space="preserve">(Increase) / decrease in receivables</t>
  </si>
  <si>
    <t xml:space="preserve">(Increase) / decrease in inventory</t>
  </si>
  <si>
    <t xml:space="preserve">(Increase) / decrease in other current assets</t>
  </si>
  <si>
    <t xml:space="preserve">Increase / (decrease) in payables</t>
  </si>
  <si>
    <t xml:space="preserve">Increase / (decrease) in other current liabilities</t>
  </si>
  <si>
    <t xml:space="preserve">Change in working capital</t>
  </si>
  <si>
    <t xml:space="preserve">Other operating items (reported)</t>
  </si>
  <si>
    <t xml:space="preserve">Cash from operations (CFO)</t>
  </si>
  <si>
    <t xml:space="preserve">Investing activities</t>
  </si>
  <si>
    <t xml:space="preserve">Capital expenditure</t>
  </si>
  <si>
    <t xml:space="preserve">Other investing (reported)</t>
  </si>
  <si>
    <t xml:space="preserve">Cash from investing (CFI)</t>
  </si>
  <si>
    <t xml:space="preserve">Financing activities</t>
  </si>
  <si>
    <t xml:space="preserve">Term debt issued</t>
  </si>
  <si>
    <t xml:space="preserve">Term debt repaid</t>
  </si>
  <si>
    <t xml:space="preserve">Revolver draw / (repayment)</t>
  </si>
  <si>
    <t xml:space="preserve">Dividends</t>
  </si>
  <si>
    <t xml:space="preserve">Share buybacks</t>
  </si>
  <si>
    <t xml:space="preserve">Distributions to NCI</t>
  </si>
  <si>
    <t xml:space="preserve">Other financing (reported)</t>
  </si>
  <si>
    <t xml:space="preserve">Cash from financing (CFF)</t>
  </si>
  <si>
    <t xml:space="preserve">Cash</t>
  </si>
  <si>
    <t xml:space="preserve">FX &amp; other (reported)</t>
  </si>
  <si>
    <t xml:space="preserve">Net change in cash</t>
  </si>
  <si>
    <t xml:space="preserve">Beginning cash</t>
  </si>
  <si>
    <t xml:space="preserve">Ending cash</t>
  </si>
  <si>
    <t xml:space="preserve">Memo</t>
  </si>
  <si>
    <t xml:space="preserve">Free cash flow (CFO - capex)</t>
  </si>
  <si>
    <t xml:space="preserve">Historical ending cash is the cash-flow statement figure, which can include restricted cash; the forecast starts from balance-sheet cash.</t>
  </si>
  <si>
    <t xml:space="preserve">Ford Motor Company (F) - Schedules</t>
  </si>
  <si>
    <t xml:space="preserve">PP&amp;E, term debt, revolver and interest. Interest uses average balances unless the circuit breaker is on.</t>
  </si>
  <si>
    <t xml:space="preserve">PP&amp;E roll-forward</t>
  </si>
  <si>
    <t xml:space="preserve">Beginning net PP&amp;E</t>
  </si>
  <si>
    <t xml:space="preserve">Capex</t>
  </si>
  <si>
    <t xml:space="preserve">Ending net PP&amp;E</t>
  </si>
  <si>
    <t xml:space="preserve">Term debt</t>
  </si>
  <si>
    <t xml:space="preserve">Beginning term debt</t>
  </si>
  <si>
    <t xml:space="preserve">Issuance</t>
  </si>
  <si>
    <t xml:space="preserve">Mandatory repayment (capped at balance)</t>
  </si>
  <si>
    <t xml:space="preserve">Ending term debt</t>
  </si>
  <si>
    <t xml:space="preserve">Beginning revolver</t>
  </si>
  <si>
    <t xml:space="preserve">Cash from operations</t>
  </si>
  <si>
    <t xml:space="preserve">Cash from investing</t>
  </si>
  <si>
    <t xml:space="preserve">Financing before revolver</t>
  </si>
  <si>
    <t xml:space="preserve">Cash before revolver</t>
  </si>
  <si>
    <t xml:space="preserve">Minimum cash</t>
  </si>
  <si>
    <t xml:space="preserve">Undrawn revolver capacity</t>
  </si>
  <si>
    <t xml:space="preserve">Revolver draw</t>
  </si>
  <si>
    <t xml:space="preserve">Revolver repayment</t>
  </si>
  <si>
    <t xml:space="preserve">Ending revolver</t>
  </si>
  <si>
    <t xml:space="preserve">Interest (circular when average balances are used)</t>
  </si>
  <si>
    <t xml:space="preserve">Average balances in use (1 = yes)</t>
  </si>
  <si>
    <t xml:space="preserve">Interest expense - term debt</t>
  </si>
  <si>
    <t xml:space="preserve">Interest expense - revolver</t>
  </si>
  <si>
    <t xml:space="preserve">Interest income on cash &amp; ST investments</t>
  </si>
  <si>
    <t xml:space="preserve">Ford Motor Company (F) - Checks</t>
  </si>
  <si>
    <t xml:space="preserve">Every forecast check must be 0 after recalculation.</t>
  </si>
  <si>
    <t xml:space="preserve">Integrity checks</t>
  </si>
  <si>
    <t xml:space="preserve">Balance check: assets - liabilities - equity</t>
  </si>
  <si>
    <t xml:space="preserve">Cash: balance sheet - cash-flow ending cash</t>
  </si>
  <si>
    <t xml:space="preserve">Retained earnings roll-forward</t>
  </si>
  <si>
    <t xml:space="preserve">Net PP&amp;E roll-forward</t>
  </si>
  <si>
    <t xml:space="preserve">Debt roll-forward (term + revolver)</t>
  </si>
  <si>
    <t xml:space="preserve">Largest absolute check (all years) - must be 0</t>
  </si>
  <si>
    <t xml:space="preserve">Revolver capacity exhausted (cash below minimum)?</t>
  </si>
  <si>
    <t xml:space="preserve">How the circularity works: interest depends on the average debt and cash balances, which depend on net income, which depends on interest. Excel solves it with iterative calculation (File &gt; Options &gt; Formulas &gt; Enable iterative calculation, saved on in this file).</t>
  </si>
  <si>
    <t xml:space="preserve">If the file ever shows errors (#VALUE!, #REF!) spreading through the circular loop, set the circuit breaker on the Assumptions sheet to 1, let it recalculate, then set it back to 0.</t>
  </si>
  <si>
    <t xml:space="preserve">Data sources, mapping and warnings</t>
  </si>
  <si>
    <t xml:space="preserve">Source</t>
  </si>
  <si>
    <t xml:space="preserve">Yahoo Finance snapshot downloaded 2026-10-01</t>
  </si>
  <si>
    <t xml:space="preserve">Warnings and assumptions</t>
  </si>
  <si>
    <t xml:space="preserve">FY2023: cash-flow statement ending cash 25,110.0 differs from balance-sheet cash 24,862.0 by 248.0 (usually restricted cash or cash held for sale). The forecast starts from balance-sheet cash.</t>
  </si>
  <si>
    <t xml:space="preserve">FY2024: cash-flow statement ending cash 23,190.0 differs from balance-sheet cash 22,935.0 by 255.0 (usually restricted cash or cash held for sale). The forecast starts from balance-sheet cash.</t>
  </si>
  <si>
    <t xml:space="preserve">FY2025: cash-flow statement ending cash 23,750.0 differs from balance-sheet cash 23,356.0 by 394.0 (usually restricted cash or cash held for sale). The forecast starts from balance-sheet cash.</t>
  </si>
  <si>
    <t xml:space="preserve">Not reported by Yahoo (shown as n/a or 0): rd.</t>
  </si>
  <si>
    <t xml:space="preserve">Interest rate on debt from the history is only 0.8%: reported interest expense may exclude interest shown elsewhere (e.g. a finance arm's interest inside cost of sales). Review it.</t>
  </si>
  <si>
    <t xml:space="preserve">Minimum cash: 50% of the latest cash balance (assumption). Revolver capacity: 10% of latest revenue (assumption).</t>
  </si>
  <si>
    <t xml:space="preserve">2028E: revolver capacity exhausted - cash is 662.1 below the minimum.</t>
  </si>
  <si>
    <t xml:space="preserve">2029E: revolver capacity exhausted - cash is 7,596.1 below the minimum.</t>
  </si>
  <si>
    <t xml:space="preserve">2030E: revolver capacity exhausted - cash is 14,714.0 below the minimum and negative.</t>
  </si>
  <si>
    <t xml:space="preserve">Model item</t>
  </si>
  <si>
    <t xml:space="preserve">Yahoo line used (FY2023)</t>
  </si>
  <si>
    <t xml:space="preserve">Yahoo line used (FY2024)</t>
  </si>
  <si>
    <t xml:space="preserve">Yahoo line used (FY2025)</t>
  </si>
  <si>
    <t xml:space="preserve">revenue</t>
  </si>
  <si>
    <t xml:space="preserve">Total Revenue</t>
  </si>
  <si>
    <t xml:space="preserve">cogs</t>
  </si>
  <si>
    <t xml:space="preserve">Cost Of Revenue</t>
  </si>
  <si>
    <t xml:space="preserve">gross_profit_reported</t>
  </si>
  <si>
    <t xml:space="preserve">Gross Profit</t>
  </si>
  <si>
    <t xml:space="preserve">sga</t>
  </si>
  <si>
    <t xml:space="preserve">Selling General And Administration</t>
  </si>
  <si>
    <t xml:space="preserve">rd</t>
  </si>
  <si>
    <t xml:space="preserve">(not reported)</t>
  </si>
  <si>
    <t xml:space="preserve">da</t>
  </si>
  <si>
    <t xml:space="preserve">Reconciled Depreciation</t>
  </si>
  <si>
    <t xml:space="preserve">ebit</t>
  </si>
  <si>
    <t xml:space="preserve">Operating Income</t>
  </si>
  <si>
    <t xml:space="preserve">interest_expense</t>
  </si>
  <si>
    <t xml:space="preserve">Interest Expense</t>
  </si>
  <si>
    <t xml:space="preserve">interest_income</t>
  </si>
  <si>
    <t xml:space="preserve">Interest Income</t>
  </si>
  <si>
    <t xml:space="preserve">ebt</t>
  </si>
  <si>
    <t xml:space="preserve">Pretax Income</t>
  </si>
  <si>
    <t xml:space="preserve">tax</t>
  </si>
  <si>
    <t xml:space="preserve">Tax Provision</t>
  </si>
  <si>
    <t xml:space="preserve">ni_consolidated</t>
  </si>
  <si>
    <t xml:space="preserve">Net Income Including Noncontrolling Interests</t>
  </si>
  <si>
    <t xml:space="preserve">ni_common</t>
  </si>
  <si>
    <t xml:space="preserve">Net Income Common Stockholders</t>
  </si>
  <si>
    <t xml:space="preserve">cash</t>
  </si>
  <si>
    <t xml:space="preserve">Cash And Cash Equivalents</t>
  </si>
  <si>
    <t xml:space="preserve">cash_and_sti</t>
  </si>
  <si>
    <t xml:space="preserve">Cash Cash Equivalents And Short Term Investments</t>
  </si>
  <si>
    <t xml:space="preserve">sti_line</t>
  </si>
  <si>
    <t xml:space="preserve">Other Short Term Investments</t>
  </si>
  <si>
    <t xml:space="preserve">ar</t>
  </si>
  <si>
    <t xml:space="preserve">Accounts Receivable</t>
  </si>
  <si>
    <t xml:space="preserve">inventory</t>
  </si>
  <si>
    <t xml:space="preserve">current_assets</t>
  </si>
  <si>
    <t xml:space="preserve">Current Assets</t>
  </si>
  <si>
    <t xml:space="preserve">gross_ppe</t>
  </si>
  <si>
    <t xml:space="preserve">Gross PPE</t>
  </si>
  <si>
    <t xml:space="preserve">acc_dep</t>
  </si>
  <si>
    <t xml:space="preserve">Accumulated Depreciation</t>
  </si>
  <si>
    <t xml:space="preserve">net_ppe</t>
  </si>
  <si>
    <t xml:space="preserve">Net PPE</t>
  </si>
  <si>
    <t xml:space="preserve">total_assets</t>
  </si>
  <si>
    <t xml:space="preserve">Total Assets</t>
  </si>
  <si>
    <t xml:space="preserve">ap</t>
  </si>
  <si>
    <t xml:space="preserve">Accounts Payable</t>
  </si>
  <si>
    <t xml:space="preserve">current_liabilities</t>
  </si>
  <si>
    <t xml:space="preserve">Current Liabilities</t>
  </si>
  <si>
    <t xml:space="preserve">current_debt</t>
  </si>
  <si>
    <t xml:space="preserve">Current Debt</t>
  </si>
  <si>
    <t xml:space="preserve">lt_debt</t>
  </si>
  <si>
    <t xml:space="preserve">Long Term Debt</t>
  </si>
  <si>
    <t xml:space="preserve">total_liabilities</t>
  </si>
  <si>
    <t xml:space="preserve">Total Liabilities Net Minority Interest</t>
  </si>
  <si>
    <t xml:space="preserve">common_stock_par</t>
  </si>
  <si>
    <t xml:space="preserve">Common Stock</t>
  </si>
  <si>
    <t xml:space="preserve">apic</t>
  </si>
  <si>
    <t xml:space="preserve">Additional Paid In Capital</t>
  </si>
  <si>
    <t xml:space="preserve">retained_earnings</t>
  </si>
  <si>
    <t xml:space="preserve">Retained Earnings</t>
  </si>
  <si>
    <t xml:space="preserve">treasury_stock</t>
  </si>
  <si>
    <t xml:space="preserve">Treasury Stock</t>
  </si>
  <si>
    <t xml:space="preserve">shareholders_equity</t>
  </si>
  <si>
    <t xml:space="preserve">Stockholders Equity</t>
  </si>
  <si>
    <t xml:space="preserve">total_equity_gross</t>
  </si>
  <si>
    <t xml:space="preserve">Total Equity Gross Minority Interest</t>
  </si>
  <si>
    <t xml:space="preserve">nci_line</t>
  </si>
  <si>
    <t xml:space="preserve">Minority Interest</t>
  </si>
  <si>
    <t xml:space="preserve">cfo</t>
  </si>
  <si>
    <t xml:space="preserve">Operating Cash Flow</t>
  </si>
  <si>
    <t xml:space="preserve">change_wc</t>
  </si>
  <si>
    <t xml:space="preserve">Change In Working Capital</t>
  </si>
  <si>
    <t xml:space="preserve">da_cf</t>
  </si>
  <si>
    <t xml:space="preserve">Depreciation And Amortization</t>
  </si>
  <si>
    <t xml:space="preserve">capex</t>
  </si>
  <si>
    <t xml:space="preserve">Capital Expenditure</t>
  </si>
  <si>
    <t xml:space="preserve">cfi</t>
  </si>
  <si>
    <t xml:space="preserve">Investing Cash Flow</t>
  </si>
  <si>
    <t xml:space="preserve">debt_issued</t>
  </si>
  <si>
    <t xml:space="preserve">Issuance Of Debt</t>
  </si>
  <si>
    <t xml:space="preserve">debt_repaid</t>
  </si>
  <si>
    <t xml:space="preserve">Repayment Of Debt</t>
  </si>
  <si>
    <t xml:space="preserve">dividends</t>
  </si>
  <si>
    <t xml:space="preserve">Cash Dividends Paid</t>
  </si>
  <si>
    <t xml:space="preserve">buybacks</t>
  </si>
  <si>
    <t xml:space="preserve">Repurchase Of Capital Stock</t>
  </si>
  <si>
    <t xml:space="preserve">cff</t>
  </si>
  <si>
    <t xml:space="preserve">Financing Cash Flow</t>
  </si>
  <si>
    <t xml:space="preserve">beginning_cash</t>
  </si>
  <si>
    <t xml:space="preserve">Beginning Cash Position</t>
  </si>
  <si>
    <t xml:space="preserve">ending_cash</t>
  </si>
  <si>
    <t xml:space="preserve">End Cash Position</t>
  </si>
  <si>
    <t xml:space="preserve">st_investments</t>
  </si>
  <si>
    <t xml:space="preserve">Cash Cash Equivalents And Short Term Investments - Cash And Cash Equivalents</t>
  </si>
  <si>
    <t xml:space="preserve">common_stock</t>
  </si>
  <si>
    <t xml:space="preserve">Common Stock + Additional Paid In Capital</t>
  </si>
  <si>
    <t xml:space="preserve">nci</t>
  </si>
  <si>
    <t xml:space="preserve">Total Equity Gross Minority Interest - Stockholders Equity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</si>
</sst>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"/>
    <numFmt numFmtId="167" formatCode="0.0%"/>
    <numFmt numFmtId="168" formatCode="0.0"/>
    <numFmt numFmtId="169" formatCode="0.000000;\-0.000000;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11"/>
      <color rgb="FF0000CC"/>
      <name val="Cambria"/>
      <family val="0"/>
      <charset val="1"/>
    </font>
    <font>
      <i val="true"/>
      <sz val="8"/>
      <color rgb="FF888888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F2F7FC"/>
        <bgColor rgb="FFFFFFFF"/>
      </patternFill>
    </fill>
    <fill>
      <patternFill patternType="solid">
        <fgColor rgb="FFE2EFDA"/>
        <bgColor rgb="FFF2F7F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F2F7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11</v>
      </c>
    </row>
    <row r="7" customFormat="false" ht="15" hidden="false" customHeight="false" outlineLevel="0" collapsed="false">
      <c r="A7" s="0" t="s">
        <v>12</v>
      </c>
      <c r="C7" s="7" t="n">
        <v>11678</v>
      </c>
    </row>
    <row r="8" customFormat="false" ht="15" hidden="false" customHeight="false" outlineLevel="0" collapsed="false">
      <c r="A8" s="0" t="s">
        <v>13</v>
      </c>
      <c r="C8" s="7" t="n">
        <v>18726.7</v>
      </c>
    </row>
    <row r="9" customFormat="false" ht="15" hidden="false" customHeight="false" outlineLevel="0" collapsed="false">
      <c r="A9" s="0" t="s">
        <v>14</v>
      </c>
      <c r="C9" s="8" t="n">
        <v>1</v>
      </c>
    </row>
    <row r="10" customFormat="false" ht="15" hidden="false" customHeight="false" outlineLevel="0" collapsed="false">
      <c r="A10" s="0" t="s">
        <v>15</v>
      </c>
      <c r="C10" s="8" t="n">
        <v>0</v>
      </c>
    </row>
    <row r="11" customFormat="false" ht="15" hidden="false" customHeight="false" outlineLevel="0" collapsed="false">
      <c r="A11" s="0" t="s">
        <v>16</v>
      </c>
      <c r="C11" s="8" t="n">
        <v>1</v>
      </c>
    </row>
    <row r="13" customFormat="false" ht="15" hidden="false" customHeight="false" outlineLevel="0" collapsed="false">
      <c r="A13" s="6" t="s">
        <v>17</v>
      </c>
    </row>
    <row r="14" customFormat="false" ht="15" hidden="false" customHeight="false" outlineLevel="0" collapsed="false">
      <c r="A14" s="0" t="s">
        <v>18</v>
      </c>
      <c r="B14" s="9" t="s">
        <v>19</v>
      </c>
      <c r="C14" s="10"/>
      <c r="D14" s="10" t="n">
        <v>0.0499514731172421</v>
      </c>
      <c r="E14" s="10" t="n">
        <v>0.0122978290953122</v>
      </c>
      <c r="F14" s="11" t="n">
        <v>-0.0188753488937229</v>
      </c>
      <c r="G14" s="11" t="n">
        <v>-0.0219878140043506</v>
      </c>
      <c r="H14" s="11" t="n">
        <v>-0.0251002791149783</v>
      </c>
      <c r="I14" s="11" t="n">
        <v>-0.0266565116702921</v>
      </c>
      <c r="J14" s="11" t="n">
        <v>-0.0266565116702921</v>
      </c>
    </row>
    <row r="15" customFormat="false" ht="15" hidden="false" customHeight="false" outlineLevel="0" collapsed="false">
      <c r="A15" s="0" t="s">
        <v>20</v>
      </c>
      <c r="B15" s="9" t="s">
        <v>21</v>
      </c>
      <c r="C15" s="10" t="n">
        <v>0.0917186462418625</v>
      </c>
      <c r="D15" s="10" t="n">
        <v>0.0838198408579831</v>
      </c>
      <c r="E15" s="10" t="n">
        <v>0.00897114814676371</v>
      </c>
      <c r="F15" s="11" t="n">
        <v>0.0415032117488698</v>
      </c>
      <c r="G15" s="11" t="n">
        <v>0.0415032117488698</v>
      </c>
      <c r="H15" s="11" t="n">
        <v>0.0415032117488698</v>
      </c>
      <c r="I15" s="11" t="n">
        <v>0.0415032117488698</v>
      </c>
      <c r="J15" s="11" t="n">
        <v>0.0415032117488698</v>
      </c>
    </row>
    <row r="16" customFormat="false" ht="15" hidden="false" customHeight="false" outlineLevel="0" collapsed="false">
      <c r="A16" s="0" t="s">
        <v>22</v>
      </c>
      <c r="C16" s="10" t="n">
        <v>0.0607409005000255</v>
      </c>
      <c r="D16" s="10" t="n">
        <v>0.0556078100674624</v>
      </c>
      <c r="E16" s="10" t="n">
        <v>0.0579333251453807</v>
      </c>
      <c r="F16" s="11" t="n">
        <v>0.0680940119042895</v>
      </c>
      <c r="G16" s="11" t="n">
        <v>0.0680940119042895</v>
      </c>
      <c r="H16" s="11" t="n">
        <v>0.0680940119042895</v>
      </c>
      <c r="I16" s="11" t="n">
        <v>0.0680940119042895</v>
      </c>
      <c r="J16" s="11" t="n">
        <v>0.0680940119042895</v>
      </c>
    </row>
    <row r="17" customFormat="false" ht="15" hidden="false" customHeight="false" outlineLevel="0" collapsed="false">
      <c r="A17" s="0" t="s">
        <v>23</v>
      </c>
      <c r="C17" s="10" t="n">
        <v>0</v>
      </c>
      <c r="D17" s="10" t="n">
        <v>0</v>
      </c>
      <c r="E17" s="10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</row>
    <row r="18" customFormat="false" ht="15" hidden="false" customHeight="false" outlineLevel="0" collapsed="false">
      <c r="A18" s="0" t="s">
        <v>24</v>
      </c>
      <c r="B18" s="9" t="s">
        <v>25</v>
      </c>
      <c r="C18" s="10" t="n">
        <v>-0.0370223223660686</v>
      </c>
      <c r="D18" s="10" t="n">
        <v>-0.0317148849679986</v>
      </c>
      <c r="E18" s="10" t="n">
        <v>-0.0754804637229197</v>
      </c>
      <c r="F18" s="11" t="n">
        <v>-0.0480725570189957</v>
      </c>
      <c r="G18" s="11" t="n">
        <v>-0.0480725570189957</v>
      </c>
      <c r="H18" s="11" t="n">
        <v>-0.0480725570189957</v>
      </c>
      <c r="I18" s="11" t="n">
        <v>-0.0480725570189957</v>
      </c>
      <c r="J18" s="11" t="n">
        <v>-0.0480725570189957</v>
      </c>
    </row>
    <row r="19" customFormat="false" ht="15" hidden="false" customHeight="false" outlineLevel="0" collapsed="false">
      <c r="A19" s="0" t="s">
        <v>26</v>
      </c>
      <c r="C19" s="10"/>
      <c r="D19" s="10" t="n">
        <v>0.0943171770757978</v>
      </c>
      <c r="E19" s="10" t="n">
        <v>0.217880539499037</v>
      </c>
      <c r="F19" s="11" t="n">
        <v>0.156098858287417</v>
      </c>
      <c r="G19" s="11" t="n">
        <v>0.156098858287417</v>
      </c>
      <c r="H19" s="11" t="n">
        <v>0.156098858287417</v>
      </c>
      <c r="I19" s="11" t="n">
        <v>0.156098858287417</v>
      </c>
      <c r="J19" s="11" t="n">
        <v>0.156098858287417</v>
      </c>
    </row>
    <row r="20" customFormat="false" ht="15" hidden="false" customHeight="false" outlineLevel="0" collapsed="false">
      <c r="A20" s="0" t="s">
        <v>27</v>
      </c>
      <c r="C20" s="10" t="n">
        <v>0.0467447258940582</v>
      </c>
      <c r="D20" s="10" t="n">
        <v>0.0469425704895347</v>
      </c>
      <c r="E20" s="10" t="n">
        <v>0.0470718279248346</v>
      </c>
      <c r="F20" s="11" t="n">
        <v>0.0469197081028091</v>
      </c>
      <c r="G20" s="11" t="n">
        <v>0.0469197081028091</v>
      </c>
      <c r="H20" s="11" t="n">
        <v>0.0469197081028091</v>
      </c>
      <c r="I20" s="11" t="n">
        <v>0.0469197081028091</v>
      </c>
      <c r="J20" s="11" t="n">
        <v>0.0469197081028091</v>
      </c>
    </row>
    <row r="21" customFormat="false" ht="15" hidden="false" customHeight="false" outlineLevel="0" collapsed="false">
      <c r="A21" s="0" t="s">
        <v>28</v>
      </c>
      <c r="B21" s="9" t="s">
        <v>29</v>
      </c>
      <c r="C21" s="10" t="n">
        <v>-0.0912528358961432</v>
      </c>
      <c r="D21" s="10" t="n">
        <v>0.185123738421125</v>
      </c>
      <c r="E21" s="10" t="n">
        <v>0.310059171597633</v>
      </c>
      <c r="F21" s="11" t="n">
        <v>0.185123738421125</v>
      </c>
      <c r="G21" s="11" t="n">
        <v>0.185123738421125</v>
      </c>
      <c r="H21" s="11" t="n">
        <v>0.185123738421125</v>
      </c>
      <c r="I21" s="11" t="n">
        <v>0.185123738421125</v>
      </c>
      <c r="J21" s="11" t="n">
        <v>0.185123738421125</v>
      </c>
    </row>
    <row r="22" customFormat="false" ht="15" hidden="false" customHeight="false" outlineLevel="0" collapsed="false">
      <c r="A22" s="0" t="s">
        <v>30</v>
      </c>
      <c r="B22" s="9" t="s">
        <v>31</v>
      </c>
      <c r="C22" s="12" t="n">
        <v>128.494020693452</v>
      </c>
      <c r="D22" s="12" t="n">
        <v>131.352409833939</v>
      </c>
      <c r="E22" s="12" t="n">
        <v>125.770797844789</v>
      </c>
      <c r="F22" s="13" t="n">
        <v>133.53907612406</v>
      </c>
      <c r="G22" s="13" t="n">
        <v>133.53907612406</v>
      </c>
      <c r="H22" s="13" t="n">
        <v>133.53907612406</v>
      </c>
      <c r="I22" s="13" t="n">
        <v>133.53907612406</v>
      </c>
      <c r="J22" s="13" t="n">
        <v>133.53907612406</v>
      </c>
    </row>
    <row r="23" customFormat="false" ht="15" hidden="false" customHeight="false" outlineLevel="0" collapsed="false">
      <c r="A23" s="0" t="s">
        <v>32</v>
      </c>
      <c r="B23" s="9" t="s">
        <v>33</v>
      </c>
      <c r="C23" s="12" t="n">
        <v>35.6969274703026</v>
      </c>
      <c r="D23" s="12" t="n">
        <v>32.1980281557179</v>
      </c>
      <c r="E23" s="12" t="n">
        <v>30.0615075409377</v>
      </c>
      <c r="F23" s="13" t="n">
        <v>37.6521543889861</v>
      </c>
      <c r="G23" s="13" t="n">
        <v>37.6521543889861</v>
      </c>
      <c r="H23" s="13" t="n">
        <v>37.6521543889861</v>
      </c>
      <c r="I23" s="13" t="n">
        <v>37.6521543889861</v>
      </c>
      <c r="J23" s="13" t="n">
        <v>37.6521543889861</v>
      </c>
    </row>
    <row r="24" customFormat="false" ht="15" hidden="false" customHeight="false" outlineLevel="0" collapsed="false">
      <c r="A24" s="0" t="s">
        <v>34</v>
      </c>
      <c r="B24" s="9" t="s">
        <v>35</v>
      </c>
      <c r="C24" s="12" t="n">
        <v>59.2827639644819</v>
      </c>
      <c r="D24" s="12" t="n">
        <v>51.9613419397472</v>
      </c>
      <c r="E24" s="12" t="n">
        <v>50.7594012511652</v>
      </c>
      <c r="F24" s="13" t="n">
        <v>49.0011690517981</v>
      </c>
      <c r="G24" s="13" t="n">
        <v>49.0011690517981</v>
      </c>
      <c r="H24" s="13" t="n">
        <v>49.0011690517981</v>
      </c>
      <c r="I24" s="13" t="n">
        <v>49.0011690517981</v>
      </c>
      <c r="J24" s="13" t="n">
        <v>49.0011690517981</v>
      </c>
    </row>
    <row r="25" customFormat="false" ht="15" hidden="false" customHeight="false" outlineLevel="0" collapsed="false">
      <c r="A25" s="0" t="s">
        <v>36</v>
      </c>
      <c r="C25" s="10" t="n">
        <v>0.0206196684280128</v>
      </c>
      <c r="D25" s="10" t="n">
        <v>0.0248767514270887</v>
      </c>
      <c r="E25" s="10" t="n">
        <v>0.027698419903133</v>
      </c>
      <c r="F25" s="11" t="n">
        <v>0.0243982799194115</v>
      </c>
      <c r="G25" s="11" t="n">
        <v>0.0243982799194115</v>
      </c>
      <c r="H25" s="11" t="n">
        <v>0.0243982799194115</v>
      </c>
      <c r="I25" s="11" t="n">
        <v>0.0243982799194115</v>
      </c>
      <c r="J25" s="11" t="n">
        <v>0.0243982799194115</v>
      </c>
    </row>
    <row r="26" customFormat="false" ht="15" hidden="false" customHeight="false" outlineLevel="0" collapsed="false">
      <c r="A26" s="0" t="s">
        <v>37</v>
      </c>
      <c r="C26" s="10" t="n">
        <v>0.146829293210209</v>
      </c>
      <c r="D26" s="10" t="n">
        <v>0.150179467220204</v>
      </c>
      <c r="E26" s="10" t="n">
        <v>0.169698879140479</v>
      </c>
      <c r="F26" s="11" t="n">
        <v>0.155569213190297</v>
      </c>
      <c r="G26" s="11" t="n">
        <v>0.155569213190297</v>
      </c>
      <c r="H26" s="11" t="n">
        <v>0.155569213190297</v>
      </c>
      <c r="I26" s="11" t="n">
        <v>0.155569213190297</v>
      </c>
      <c r="J26" s="11" t="n">
        <v>0.155569213190297</v>
      </c>
    </row>
    <row r="27" customFormat="false" ht="15" hidden="false" customHeight="false" outlineLevel="0" collapsed="false">
      <c r="A27" s="0" t="s">
        <v>38</v>
      </c>
      <c r="C27" s="10" t="n">
        <v>1.14906832298137</v>
      </c>
      <c r="D27" s="10" t="n">
        <v>0.530362306514713</v>
      </c>
      <c r="E27" s="10"/>
      <c r="F27" s="11" t="n">
        <v>0.83971531474804</v>
      </c>
      <c r="G27" s="11" t="n">
        <v>0.83971531474804</v>
      </c>
      <c r="H27" s="11" t="n">
        <v>0.83971531474804</v>
      </c>
      <c r="I27" s="11" t="n">
        <v>0.83971531474804</v>
      </c>
      <c r="J27" s="11" t="n">
        <v>0.83971531474804</v>
      </c>
    </row>
    <row r="28" customFormat="false" ht="15" hidden="false" customHeight="false" outlineLevel="0" collapsed="false">
      <c r="A28" s="0" t="s">
        <v>39</v>
      </c>
      <c r="C28" s="10" t="n">
        <v>0.0770646422820336</v>
      </c>
      <c r="D28" s="10" t="n">
        <v>0.0724613029426773</v>
      </c>
      <c r="E28" s="10"/>
      <c r="F28" s="11" t="n">
        <v>0.0747629726123555</v>
      </c>
      <c r="G28" s="11" t="n">
        <v>0.0747629726123555</v>
      </c>
      <c r="H28" s="11" t="n">
        <v>0.0747629726123555</v>
      </c>
      <c r="I28" s="11" t="n">
        <v>0.0747629726123555</v>
      </c>
      <c r="J28" s="11" t="n">
        <v>0.0747629726123555</v>
      </c>
    </row>
    <row r="29" customFormat="false" ht="15" hidden="false" customHeight="false" outlineLevel="0" collapsed="false">
      <c r="A29" s="0" t="s">
        <v>40</v>
      </c>
      <c r="C29" s="14"/>
      <c r="D29" s="14"/>
      <c r="E29" s="14"/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</row>
    <row r="30" customFormat="false" ht="15" hidden="false" customHeight="false" outlineLevel="0" collapsed="false">
      <c r="A30" s="0" t="s">
        <v>41</v>
      </c>
      <c r="B30" s="9" t="s">
        <v>42</v>
      </c>
      <c r="C30" s="10" t="n">
        <v>-0.00415800415800416</v>
      </c>
      <c r="D30" s="10" t="n">
        <v>0.00254496097726502</v>
      </c>
      <c r="E30" s="10" t="n">
        <v>-0.00245037980887038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</row>
    <row r="31" customFormat="false" ht="15" hidden="false" customHeight="false" outlineLevel="0" collapsed="false">
      <c r="A31" s="0" t="s">
        <v>43</v>
      </c>
      <c r="C31" s="14"/>
      <c r="D31" s="14"/>
      <c r="E31" s="14"/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</row>
    <row r="32" customFormat="false" ht="15" hidden="false" customHeight="false" outlineLevel="0" collapsed="false">
      <c r="A32" s="0" t="s">
        <v>44</v>
      </c>
      <c r="C32" s="14"/>
      <c r="D32" s="14"/>
      <c r="E32" s="14"/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</row>
    <row r="33" customFormat="false" ht="15" hidden="false" customHeight="false" outlineLevel="0" collapsed="false">
      <c r="A33" s="0" t="s">
        <v>45</v>
      </c>
      <c r="C33" s="14"/>
      <c r="D33" s="14"/>
      <c r="E33" s="14"/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</row>
    <row r="34" customFormat="false" ht="15" hidden="false" customHeight="false" outlineLevel="0" collapsed="false">
      <c r="A34" s="0" t="s">
        <v>46</v>
      </c>
      <c r="C34" s="10"/>
      <c r="D34" s="10"/>
      <c r="E34" s="10"/>
      <c r="F34" s="11" t="n">
        <v>0.022832849859571</v>
      </c>
      <c r="G34" s="11" t="n">
        <v>0.022832849859571</v>
      </c>
      <c r="H34" s="11" t="n">
        <v>0.022832849859571</v>
      </c>
      <c r="I34" s="11" t="n">
        <v>0.022832849859571</v>
      </c>
      <c r="J34" s="11" t="n">
        <v>0.022832849859571</v>
      </c>
    </row>
    <row r="35" customFormat="false" ht="15" hidden="false" customHeight="false" outlineLevel="0" collapsed="false">
      <c r="A35" s="0" t="s">
        <v>47</v>
      </c>
      <c r="C35" s="10"/>
      <c r="D35" s="10"/>
      <c r="E35" s="10"/>
      <c r="F35" s="11" t="n">
        <v>0.0390052913519027</v>
      </c>
      <c r="G35" s="11" t="n">
        <v>0.0390052913519027</v>
      </c>
      <c r="H35" s="11" t="n">
        <v>0.0390052913519027</v>
      </c>
      <c r="I35" s="11" t="n">
        <v>0.0390052913519027</v>
      </c>
      <c r="J35" s="11" t="n">
        <v>0.0390052913519027</v>
      </c>
    </row>
    <row r="36" customFormat="false" ht="15" hidden="false" customHeight="false" outlineLevel="0" collapsed="false">
      <c r="A36" s="0" t="s">
        <v>48</v>
      </c>
      <c r="C36" s="10"/>
      <c r="D36" s="10"/>
      <c r="E36" s="10"/>
      <c r="F36" s="11" t="n">
        <v>0.037832849859571</v>
      </c>
      <c r="G36" s="11" t="n">
        <v>0.037832849859571</v>
      </c>
      <c r="H36" s="11" t="n">
        <v>0.037832849859571</v>
      </c>
      <c r="I36" s="11" t="n">
        <v>0.037832849859571</v>
      </c>
      <c r="J36" s="11" t="n">
        <v>0.037832849859571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51</v>
      </c>
    </row>
    <row r="7" customFormat="false" ht="15" hidden="false" customHeight="false" outlineLevel="0" collapsed="false">
      <c r="A7" s="15" t="s">
        <v>52</v>
      </c>
      <c r="C7" s="16" t="n">
        <v>176191</v>
      </c>
      <c r="D7" s="16" t="n">
        <v>184992</v>
      </c>
      <c r="E7" s="16" t="n">
        <v>187267</v>
      </c>
      <c r="F7" s="17" t="n">
        <f aca="false">E7*(1+Assumptions!F14)</f>
        <v>183732.270038719</v>
      </c>
      <c r="G7" s="17" t="n">
        <f aca="false">F7*(1+Assumptions!G14)</f>
        <v>179692.399058511</v>
      </c>
      <c r="H7" s="17" t="n">
        <f aca="false">G7*(1+Assumptions!H14)</f>
        <v>175182.069687302</v>
      </c>
      <c r="I7" s="17" t="n">
        <f aca="false">H7*(1+Assumptions!I14)</f>
        <v>170512.326802257</v>
      </c>
      <c r="J7" s="17" t="n">
        <f aca="false">I7*(1+Assumptions!J14)</f>
        <v>165967.062972924</v>
      </c>
    </row>
    <row r="8" customFormat="false" ht="15" hidden="false" customHeight="false" outlineLevel="0" collapsed="false">
      <c r="A8" s="0" t="s">
        <v>53</v>
      </c>
      <c r="C8" s="18" t="n">
        <v>160031</v>
      </c>
      <c r="D8" s="18" t="n">
        <v>169486</v>
      </c>
      <c r="E8" s="18" t="n">
        <v>185587</v>
      </c>
      <c r="F8" s="19" t="n">
        <f aca="false">F7*(1-Assumptions!F15)</f>
        <v>176106.790730202</v>
      </c>
      <c r="G8" s="19" t="n">
        <f aca="false">G7*(1-Assumptions!G15)</f>
        <v>172234.587370723</v>
      </c>
      <c r="H8" s="19" t="n">
        <f aca="false">H7*(1-Assumptions!H15)</f>
        <v>167911.451154465</v>
      </c>
      <c r="I8" s="19" t="n">
        <f aca="false">I7*(1-Assumptions!I15)</f>
        <v>163435.51759719</v>
      </c>
      <c r="J8" s="19" t="n">
        <f aca="false">J7*(1-Assumptions!J15)</f>
        <v>159078.89681502</v>
      </c>
    </row>
    <row r="9" customFormat="false" ht="15" hidden="false" customHeight="false" outlineLevel="0" collapsed="false">
      <c r="A9" s="15" t="s">
        <v>54</v>
      </c>
      <c r="C9" s="16" t="n">
        <v>16160</v>
      </c>
      <c r="D9" s="16" t="n">
        <v>15506</v>
      </c>
      <c r="E9" s="16" t="n">
        <v>1680</v>
      </c>
      <c r="F9" s="17" t="n">
        <f aca="false">F7-F8</f>
        <v>7625.47930851748</v>
      </c>
      <c r="G9" s="17" t="n">
        <f aca="false">G7-G8</f>
        <v>7457.81168778776</v>
      </c>
      <c r="H9" s="17" t="n">
        <f aca="false">H7-H8</f>
        <v>7270.61853283734</v>
      </c>
      <c r="I9" s="17" t="n">
        <f aca="false">I7-I8</f>
        <v>7076.80920506653</v>
      </c>
      <c r="J9" s="17" t="n">
        <f aca="false">J7-J8</f>
        <v>6888.16615790324</v>
      </c>
    </row>
    <row r="10" customFormat="false" ht="15" hidden="false" customHeight="false" outlineLevel="0" collapsed="false">
      <c r="A10" s="0" t="s">
        <v>55</v>
      </c>
      <c r="C10" s="18" t="n">
        <v>10702</v>
      </c>
      <c r="D10" s="18" t="n">
        <v>10287</v>
      </c>
      <c r="E10" s="18" t="n">
        <v>10849</v>
      </c>
      <c r="F10" s="19" t="n">
        <f aca="false">F7*Assumptions!F16</f>
        <v>12511.0673832187</v>
      </c>
      <c r="G10" s="19" t="n">
        <f aca="false">G7*Assumptions!G16</f>
        <v>12235.9763606006</v>
      </c>
      <c r="H10" s="19" t="n">
        <f aca="false">H7*Assumptions!H16</f>
        <v>11928.8499387052</v>
      </c>
      <c r="I10" s="19" t="n">
        <f aca="false">I7*Assumptions!I16</f>
        <v>11610.868411101</v>
      </c>
      <c r="J10" s="19" t="n">
        <f aca="false">J7*Assumptions!J16</f>
        <v>11301.3631617982</v>
      </c>
    </row>
    <row r="11" customFormat="false" ht="15" hidden="false" customHeight="false" outlineLevel="0" collapsed="false">
      <c r="A11" s="0" t="s">
        <v>56</v>
      </c>
      <c r="C11" s="18"/>
      <c r="D11" s="18"/>
      <c r="E11" s="18"/>
      <c r="F11" s="19" t="n">
        <f aca="false">F7*Assumptions!F17</f>
        <v>0</v>
      </c>
      <c r="G11" s="19" t="n">
        <f aca="false">G7*Assumptions!G17</f>
        <v>0</v>
      </c>
      <c r="H11" s="19" t="n">
        <f aca="false">H7*Assumptions!H17</f>
        <v>0</v>
      </c>
      <c r="I11" s="19" t="n">
        <f aca="false">I7*Assumptions!I17</f>
        <v>0</v>
      </c>
      <c r="J11" s="19" t="n">
        <f aca="false">J7*Assumptions!J17</f>
        <v>0</v>
      </c>
    </row>
    <row r="12" customFormat="false" ht="15" hidden="false" customHeight="false" outlineLevel="0" collapsed="false">
      <c r="A12" s="0" t="s">
        <v>57</v>
      </c>
      <c r="C12" s="18" t="n">
        <v>-6523</v>
      </c>
      <c r="D12" s="18" t="n">
        <v>-5867</v>
      </c>
      <c r="E12" s="18" t="n">
        <v>-14135</v>
      </c>
      <c r="F12" s="19" t="n">
        <f aca="false">F7*Assumptions!F18</f>
        <v>-8832.48002766584</v>
      </c>
      <c r="G12" s="19" t="n">
        <f aca="false">G7*Assumptions!G18</f>
        <v>-8638.27309962038</v>
      </c>
      <c r="H12" s="19" t="n">
        <f aca="false">H7*Assumptions!H18</f>
        <v>-8421.4500337485</v>
      </c>
      <c r="I12" s="19" t="n">
        <f aca="false">I7*Assumptions!I18</f>
        <v>-8196.9635526431</v>
      </c>
      <c r="J12" s="19" t="n">
        <f aca="false">J7*Assumptions!J18</f>
        <v>-7978.46109804111</v>
      </c>
    </row>
    <row r="13" customFormat="false" ht="15" hidden="false" customHeight="false" outlineLevel="0" collapsed="false">
      <c r="A13" s="15" t="s">
        <v>58</v>
      </c>
      <c r="C13" s="16" t="n">
        <v>11981</v>
      </c>
      <c r="D13" s="16" t="n">
        <v>11086</v>
      </c>
      <c r="E13" s="16" t="n">
        <v>4966</v>
      </c>
      <c r="F13" s="17" t="n">
        <f aca="false">F9-F10-F11-F12</f>
        <v>3946.89195296463</v>
      </c>
      <c r="G13" s="17" t="n">
        <f aca="false">G9-G10-G11-G12</f>
        <v>3860.10842680756</v>
      </c>
      <c r="H13" s="17" t="n">
        <f aca="false">H9-H10-H11-H12</f>
        <v>3763.21862788061</v>
      </c>
      <c r="I13" s="17" t="n">
        <f aca="false">I9-I10-I11-I12</f>
        <v>3662.90434660866</v>
      </c>
      <c r="J13" s="17" t="n">
        <f aca="false">J9-J10-J11-J12</f>
        <v>3565.26409414612</v>
      </c>
    </row>
    <row r="14" customFormat="false" ht="15" hidden="false" customHeight="false" outlineLevel="0" collapsed="false">
      <c r="A14" s="0" t="s">
        <v>59</v>
      </c>
      <c r="C14" s="18" t="n">
        <v>6523</v>
      </c>
      <c r="D14" s="18" t="n">
        <v>5867</v>
      </c>
      <c r="E14" s="18" t="n">
        <v>14135</v>
      </c>
      <c r="F14" s="19" t="n">
        <f aca="false">Schedules!F9</f>
        <v>10275.6756433441</v>
      </c>
      <c r="G14" s="19" t="n">
        <f aca="false">Schedules!G9</f>
        <v>10017.3302901813</v>
      </c>
      <c r="H14" s="19" t="n">
        <f aca="false">Schedules!H9</f>
        <v>9769.72388066777</v>
      </c>
      <c r="I14" s="19" t="n">
        <f aca="false">Schedules!I9</f>
        <v>9527.73438760629</v>
      </c>
      <c r="J14" s="19" t="n">
        <f aca="false">Schedules!J9</f>
        <v>9289.31745418386</v>
      </c>
    </row>
    <row r="15" customFormat="false" ht="15" hidden="false" customHeight="false" outlineLevel="0" collapsed="false">
      <c r="A15" s="15" t="s">
        <v>60</v>
      </c>
      <c r="C15" s="16" t="n">
        <v>5458</v>
      </c>
      <c r="D15" s="16" t="n">
        <v>5219</v>
      </c>
      <c r="E15" s="16" t="n">
        <v>-9169</v>
      </c>
      <c r="F15" s="17" t="n">
        <f aca="false">F13-F14</f>
        <v>-6328.78369037947</v>
      </c>
      <c r="G15" s="17" t="n">
        <f aca="false">G13-G14</f>
        <v>-6157.2218633737</v>
      </c>
      <c r="H15" s="17" t="n">
        <f aca="false">H13-H14</f>
        <v>-6006.50525278716</v>
      </c>
      <c r="I15" s="17" t="n">
        <f aca="false">I13-I14</f>
        <v>-5864.83004099763</v>
      </c>
      <c r="J15" s="17" t="n">
        <f aca="false">J13-J14</f>
        <v>-5724.05336003774</v>
      </c>
    </row>
    <row r="17" customFormat="false" ht="15" hidden="false" customHeight="false" outlineLevel="0" collapsed="false">
      <c r="A17" s="6" t="s">
        <v>61</v>
      </c>
    </row>
    <row r="18" customFormat="false" ht="15" hidden="false" customHeight="false" outlineLevel="0" collapsed="false">
      <c r="A18" s="0" t="s">
        <v>62</v>
      </c>
      <c r="C18" s="18" t="n">
        <v>1318</v>
      </c>
      <c r="D18" s="18" t="n">
        <v>1136</v>
      </c>
      <c r="E18" s="18" t="n">
        <v>1333</v>
      </c>
      <c r="F18" s="19" t="n">
        <f aca="false">Schedules!F33</f>
        <v>3729.42636466289</v>
      </c>
      <c r="G18" s="19" t="n">
        <f aca="false">Schedules!G33</f>
        <v>3729.42636466289</v>
      </c>
      <c r="H18" s="19" t="n">
        <f aca="false">Schedules!H33</f>
        <v>3729.42636466289</v>
      </c>
      <c r="I18" s="19" t="n">
        <f aca="false">Schedules!I33</f>
        <v>3729.42636466289</v>
      </c>
      <c r="J18" s="19" t="n">
        <f aca="false">Schedules!J33</f>
        <v>3729.42636466289</v>
      </c>
    </row>
    <row r="19" customFormat="false" ht="15" hidden="false" customHeight="false" outlineLevel="0" collapsed="false">
      <c r="A19" s="0" t="s">
        <v>63</v>
      </c>
      <c r="C19" s="18" t="n">
        <v>0</v>
      </c>
      <c r="D19" s="18" t="n">
        <v>0</v>
      </c>
      <c r="E19" s="18" t="n">
        <v>0</v>
      </c>
      <c r="F19" s="19" t="n">
        <f aca="false">Schedules!F34</f>
        <v>109.595547670485</v>
      </c>
      <c r="G19" s="19" t="n">
        <f aca="false">Schedules!G34</f>
        <v>347.337795117691</v>
      </c>
      <c r="H19" s="19" t="n">
        <f aca="false">Schedules!H34</f>
        <v>591.984462179821</v>
      </c>
      <c r="I19" s="19" t="n">
        <f aca="false">Schedules!I34</f>
        <v>708.484429465228</v>
      </c>
      <c r="J19" s="19" t="n">
        <f aca="false">Schedules!J34</f>
        <v>708.484429465228</v>
      </c>
    </row>
    <row r="20" customFormat="false" ht="15" hidden="false" customHeight="false" outlineLevel="0" collapsed="false">
      <c r="A20" s="0" t="s">
        <v>64</v>
      </c>
      <c r="C20" s="18" t="n">
        <v>1567</v>
      </c>
      <c r="D20" s="18" t="n">
        <v>1540</v>
      </c>
      <c r="E20" s="18" t="n">
        <v>1490</v>
      </c>
      <c r="F20" s="19" t="n">
        <f aca="false">Schedules!F35</f>
        <v>1273.44475205692</v>
      </c>
      <c r="G20" s="19" t="n">
        <f aca="false">Schedules!G35</f>
        <v>1045.69285585316</v>
      </c>
      <c r="H20" s="19" t="n">
        <f aca="false">Schedules!H35</f>
        <v>1032.77957193683</v>
      </c>
      <c r="I20" s="19" t="n">
        <f aca="false">Schedules!I35</f>
        <v>884.635115760139</v>
      </c>
      <c r="J20" s="19" t="n">
        <f aca="false">Schedules!J35</f>
        <v>610.585622070448</v>
      </c>
    </row>
    <row r="21" customFormat="false" ht="15" hidden="false" customHeight="false" outlineLevel="0" collapsed="false">
      <c r="A21" s="0" t="s">
        <v>65</v>
      </c>
      <c r="C21" s="18" t="n">
        <v>-1740</v>
      </c>
      <c r="D21" s="18" t="n">
        <v>1610</v>
      </c>
      <c r="E21" s="18" t="n">
        <v>-2818</v>
      </c>
      <c r="F21" s="19" t="n">
        <f aca="false">Assumptions!F31</f>
        <v>0</v>
      </c>
      <c r="G21" s="19" t="n">
        <f aca="false">Assumptions!G31</f>
        <v>0</v>
      </c>
      <c r="H21" s="19" t="n">
        <f aca="false">Assumptions!H31</f>
        <v>0</v>
      </c>
      <c r="I21" s="19" t="n">
        <f aca="false">Assumptions!I31</f>
        <v>0</v>
      </c>
      <c r="J21" s="19" t="n">
        <f aca="false">Assumptions!J31</f>
        <v>0</v>
      </c>
    </row>
    <row r="22" customFormat="false" ht="15" hidden="false" customHeight="false" outlineLevel="0" collapsed="false">
      <c r="A22" s="15" t="s">
        <v>66</v>
      </c>
      <c r="C22" s="16" t="n">
        <v>3967</v>
      </c>
      <c r="D22" s="16" t="n">
        <v>7233</v>
      </c>
      <c r="E22" s="16" t="n">
        <v>-11830</v>
      </c>
      <c r="F22" s="17" t="n">
        <f aca="false">F15-F18-F19+F20+F21</f>
        <v>-8894.36085065593</v>
      </c>
      <c r="G22" s="17" t="n">
        <f aca="false">G15-G18-G19+G20+G21</f>
        <v>-9188.29316730112</v>
      </c>
      <c r="H22" s="17" t="n">
        <f aca="false">H15-H18-H19+H20+H21</f>
        <v>-9295.13650769304</v>
      </c>
      <c r="I22" s="17" t="n">
        <f aca="false">I15-I18-I19+I20+I21</f>
        <v>-9418.10571936561</v>
      </c>
      <c r="J22" s="17" t="n">
        <f aca="false">J15-J18-J19+J20+J21</f>
        <v>-9551.37853209541</v>
      </c>
    </row>
    <row r="23" customFormat="false" ht="15" hidden="false" customHeight="false" outlineLevel="0" collapsed="false">
      <c r="A23" s="0" t="s">
        <v>67</v>
      </c>
      <c r="C23" s="18" t="n">
        <v>-362</v>
      </c>
      <c r="D23" s="18" t="n">
        <v>1339</v>
      </c>
      <c r="E23" s="18" t="n">
        <v>-3668</v>
      </c>
      <c r="F23" s="19" t="n">
        <f aca="false">MAX(0,F22*Assumptions!F21)</f>
        <v>0</v>
      </c>
      <c r="G23" s="19" t="n">
        <f aca="false">MAX(0,G22*Assumptions!G21)</f>
        <v>0</v>
      </c>
      <c r="H23" s="19" t="n">
        <f aca="false">MAX(0,H22*Assumptions!H21)</f>
        <v>0</v>
      </c>
      <c r="I23" s="19" t="n">
        <f aca="false">MAX(0,I22*Assumptions!I21)</f>
        <v>0</v>
      </c>
      <c r="J23" s="19" t="n">
        <f aca="false">MAX(0,J22*Assumptions!J21)</f>
        <v>0</v>
      </c>
    </row>
    <row r="24" customFormat="false" ht="15" hidden="false" customHeight="false" outlineLevel="0" collapsed="false">
      <c r="A24" s="0" t="s">
        <v>68</v>
      </c>
      <c r="C24" s="18" t="n">
        <v>0</v>
      </c>
      <c r="D24" s="18" t="n">
        <v>0</v>
      </c>
      <c r="E24" s="18" t="n">
        <v>0</v>
      </c>
      <c r="F24" s="19" t="n">
        <f aca="false">0</f>
        <v>0</v>
      </c>
      <c r="G24" s="19" t="n">
        <f aca="false">0</f>
        <v>0</v>
      </c>
      <c r="H24" s="19" t="n">
        <f aca="false">0</f>
        <v>0</v>
      </c>
      <c r="I24" s="19" t="n">
        <f aca="false">0</f>
        <v>0</v>
      </c>
      <c r="J24" s="19" t="n">
        <f aca="false">0</f>
        <v>0</v>
      </c>
    </row>
    <row r="26" customFormat="false" ht="15" hidden="false" customHeight="false" outlineLevel="0" collapsed="false">
      <c r="A26" s="6" t="s">
        <v>69</v>
      </c>
    </row>
    <row r="27" customFormat="false" ht="15" hidden="false" customHeight="false" outlineLevel="0" collapsed="false">
      <c r="A27" s="15" t="s">
        <v>70</v>
      </c>
      <c r="C27" s="16" t="n">
        <v>4329</v>
      </c>
      <c r="D27" s="16" t="n">
        <v>5894</v>
      </c>
      <c r="E27" s="16" t="n">
        <v>-8162</v>
      </c>
      <c r="F27" s="17" t="n">
        <f aca="false">F22-F23+F24</f>
        <v>-8894.36085065593</v>
      </c>
      <c r="G27" s="17" t="n">
        <f aca="false">G22-G23+G24</f>
        <v>-9188.29316730112</v>
      </c>
      <c r="H27" s="17" t="n">
        <f aca="false">H22-H23+H24</f>
        <v>-9295.13650769304</v>
      </c>
      <c r="I27" s="17" t="n">
        <f aca="false">I22-I23+I24</f>
        <v>-9418.10571936561</v>
      </c>
      <c r="J27" s="17" t="n">
        <f aca="false">J22-J23+J24</f>
        <v>-9551.37853209541</v>
      </c>
    </row>
    <row r="28" customFormat="false" ht="15" hidden="false" customHeight="false" outlineLevel="0" collapsed="false">
      <c r="A28" s="0" t="s">
        <v>71</v>
      </c>
      <c r="C28" s="18" t="n">
        <v>-18</v>
      </c>
      <c r="D28" s="18" t="n">
        <v>15</v>
      </c>
      <c r="E28" s="18" t="n">
        <v>20</v>
      </c>
      <c r="F28" s="19" t="n">
        <f aca="false">F27*Assumptions!F30</f>
        <v>-0</v>
      </c>
      <c r="G28" s="19" t="n">
        <f aca="false">G27*Assumptions!G30</f>
        <v>-0</v>
      </c>
      <c r="H28" s="19" t="n">
        <f aca="false">H27*Assumptions!H30</f>
        <v>-0</v>
      </c>
      <c r="I28" s="19" t="n">
        <f aca="false">I27*Assumptions!I30</f>
        <v>-0</v>
      </c>
      <c r="J28" s="19" t="n">
        <f aca="false">J27*Assumptions!J30</f>
        <v>-0</v>
      </c>
    </row>
    <row r="29" customFormat="false" ht="15" hidden="false" customHeight="false" outlineLevel="0" collapsed="false">
      <c r="A29" s="15" t="s">
        <v>72</v>
      </c>
      <c r="C29" s="20" t="n">
        <v>4347</v>
      </c>
      <c r="D29" s="20" t="n">
        <v>5879</v>
      </c>
      <c r="E29" s="20" t="n">
        <v>-8182</v>
      </c>
      <c r="F29" s="21" t="n">
        <f aca="false">F27-F28</f>
        <v>-8894.36085065593</v>
      </c>
      <c r="G29" s="21" t="n">
        <f aca="false">G27-G28</f>
        <v>-9188.29316730112</v>
      </c>
      <c r="H29" s="21" t="n">
        <f aca="false">H27-H28</f>
        <v>-9295.13650769304</v>
      </c>
      <c r="I29" s="21" t="n">
        <f aca="false">I27-I28</f>
        <v>-9418.10571936561</v>
      </c>
      <c r="J29" s="21" t="n">
        <f aca="false">J27-J28</f>
        <v>-9551.37853209541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75</v>
      </c>
    </row>
    <row r="7" customFormat="false" ht="15" hidden="false" customHeight="false" outlineLevel="0" collapsed="false">
      <c r="A7" s="0" t="s">
        <v>76</v>
      </c>
      <c r="C7" s="18" t="n">
        <v>24862</v>
      </c>
      <c r="D7" s="18" t="n">
        <v>22935</v>
      </c>
      <c r="E7" s="18" t="n">
        <v>23356</v>
      </c>
      <c r="F7" s="19" t="n">
        <f aca="false">'Cash Flow'!F37</f>
        <v>11678</v>
      </c>
      <c r="G7" s="19" t="n">
        <f aca="false">'Cash Flow'!G37</f>
        <v>11678</v>
      </c>
      <c r="H7" s="19" t="n">
        <f aca="false">'Cash Flow'!H37</f>
        <v>11015.8701469074</v>
      </c>
      <c r="I7" s="19" t="n">
        <f aca="false">'Cash Flow'!I37</f>
        <v>4081.8790101508</v>
      </c>
      <c r="J7" s="19" t="n">
        <f aca="false">'Cash Flow'!J37</f>
        <v>-3036.04353922501</v>
      </c>
    </row>
    <row r="8" customFormat="false" ht="15" hidden="false" customHeight="false" outlineLevel="0" collapsed="false">
      <c r="A8" s="0" t="s">
        <v>77</v>
      </c>
      <c r="C8" s="18" t="n">
        <v>15309</v>
      </c>
      <c r="D8" s="18" t="n">
        <v>15413</v>
      </c>
      <c r="E8" s="18" t="n">
        <v>15131</v>
      </c>
      <c r="F8" s="19" t="n">
        <f aca="false">E8</f>
        <v>15131</v>
      </c>
      <c r="G8" s="19" t="n">
        <f aca="false">F8</f>
        <v>15131</v>
      </c>
      <c r="H8" s="19" t="n">
        <f aca="false">G8</f>
        <v>15131</v>
      </c>
      <c r="I8" s="19" t="n">
        <f aca="false">H8</f>
        <v>15131</v>
      </c>
      <c r="J8" s="19" t="n">
        <f aca="false">I8</f>
        <v>15131</v>
      </c>
    </row>
    <row r="9" customFormat="false" ht="15" hidden="false" customHeight="false" outlineLevel="0" collapsed="false">
      <c r="A9" s="0" t="s">
        <v>78</v>
      </c>
      <c r="C9" s="18" t="n">
        <v>62026</v>
      </c>
      <c r="D9" s="18" t="n">
        <v>66573</v>
      </c>
      <c r="E9" s="18" t="n">
        <v>64528</v>
      </c>
      <c r="F9" s="19" t="n">
        <f aca="false">Assumptions!F22/365*'Income Statement'!F7</f>
        <v>67220.376973005</v>
      </c>
      <c r="G9" s="19" t="n">
        <f aca="false">Assumptions!G22/365*'Income Statement'!G7</f>
        <v>65742.3478268203</v>
      </c>
      <c r="H9" s="19" t="n">
        <f aca="false">Assumptions!H22/365*'Income Statement'!H7</f>
        <v>64092.1965466931</v>
      </c>
      <c r="I9" s="19" t="n">
        <f aca="false">Assumptions!I22/365*'Income Statement'!I7</f>
        <v>62383.7221614715</v>
      </c>
      <c r="J9" s="19" t="n">
        <f aca="false">Assumptions!J22/365*'Income Statement'!J7</f>
        <v>60720.789743638</v>
      </c>
    </row>
    <row r="10" customFormat="false" ht="15" hidden="false" customHeight="false" outlineLevel="0" collapsed="false">
      <c r="A10" s="0" t="s">
        <v>79</v>
      </c>
      <c r="C10" s="18" t="n">
        <v>15651</v>
      </c>
      <c r="D10" s="18" t="n">
        <v>14951</v>
      </c>
      <c r="E10" s="18" t="n">
        <v>15285</v>
      </c>
      <c r="F10" s="19" t="n">
        <f aca="false">Assumptions!F23/365*'Income Statement'!F8</f>
        <v>18166.575543897</v>
      </c>
      <c r="G10" s="19" t="n">
        <f aca="false">Assumptions!G23/365*'Income Statement'!G8</f>
        <v>17767.1322597418</v>
      </c>
      <c r="H10" s="19" t="n">
        <f aca="false">Assumptions!H23/365*'Income Statement'!H8</f>
        <v>17321.1722809496</v>
      </c>
      <c r="I10" s="19" t="n">
        <f aca="false">Assumptions!I23/365*'Income Statement'!I8</f>
        <v>16859.4502498993</v>
      </c>
      <c r="J10" s="19" t="n">
        <f aca="false">Assumptions!J23/365*'Income Statement'!J8</f>
        <v>16410.0361175582</v>
      </c>
    </row>
    <row r="11" customFormat="false" ht="15" hidden="false" customHeight="false" outlineLevel="0" collapsed="false">
      <c r="A11" s="0" t="s">
        <v>80</v>
      </c>
      <c r="C11" s="18" t="n">
        <v>3633</v>
      </c>
      <c r="D11" s="18" t="n">
        <v>4602</v>
      </c>
      <c r="E11" s="18" t="n">
        <v>5187</v>
      </c>
      <c r="F11" s="19" t="n">
        <f aca="false">Assumptions!F25*'Income Statement'!F7</f>
        <v>4482.75135463357</v>
      </c>
      <c r="G11" s="19" t="n">
        <f aca="false">Assumptions!G25*'Income Statement'!G7</f>
        <v>4384.18545162014</v>
      </c>
      <c r="H11" s="19" t="n">
        <f aca="false">Assumptions!H25*'Income Statement'!H7</f>
        <v>4274.14117309265</v>
      </c>
      <c r="I11" s="19" t="n">
        <f aca="false">Assumptions!I25*'Income Statement'!I7</f>
        <v>4160.20747903163</v>
      </c>
      <c r="J11" s="19" t="n">
        <f aca="false">Assumptions!J25*'Income Statement'!J7</f>
        <v>4049.31085981598</v>
      </c>
    </row>
    <row r="12" customFormat="false" ht="15" hidden="false" customHeight="false" outlineLevel="0" collapsed="false">
      <c r="A12" s="15" t="s">
        <v>81</v>
      </c>
      <c r="C12" s="16" t="n">
        <v>121481</v>
      </c>
      <c r="D12" s="16" t="n">
        <v>124474</v>
      </c>
      <c r="E12" s="16" t="n">
        <v>123487</v>
      </c>
      <c r="F12" s="17" t="n">
        <f aca="false">SUM(F7:F11)</f>
        <v>116678.703871536</v>
      </c>
      <c r="G12" s="17" t="n">
        <f aca="false">SUM(G7:G11)</f>
        <v>114702.665538182</v>
      </c>
      <c r="H12" s="17" t="n">
        <f aca="false">SUM(H7:H11)</f>
        <v>111834.380147643</v>
      </c>
      <c r="I12" s="17" t="n">
        <f aca="false">SUM(I7:I11)</f>
        <v>102616.258900553</v>
      </c>
      <c r="J12" s="17" t="n">
        <f aca="false">SUM(J7:J11)</f>
        <v>93275.0931817871</v>
      </c>
    </row>
    <row r="13" customFormat="false" ht="15" hidden="false" customHeight="false" outlineLevel="0" collapsed="false">
      <c r="A13" s="0" t="s">
        <v>82</v>
      </c>
      <c r="C13" s="18" t="n">
        <v>99734</v>
      </c>
      <c r="D13" s="18" t="n">
        <v>102135</v>
      </c>
      <c r="E13" s="18" t="n">
        <v>106270</v>
      </c>
      <c r="F13" s="19" t="n">
        <f aca="false">IF(ISNUMBER(E13),E13+Schedules!F8,"")</f>
        <v>114890.664479283</v>
      </c>
      <c r="G13" s="19" t="n">
        <f aca="false">IF(ISNUMBER(F13),F13+Schedules!G8,"")</f>
        <v>123321.779391402</v>
      </c>
      <c r="H13" s="19" t="n">
        <f aca="false">IF(ISNUMBER(G13),G13+Schedules!H8,"")</f>
        <v>131541.270965976</v>
      </c>
      <c r="I13" s="19" t="n">
        <f aca="false">IF(ISNUMBER(H13),H13+Schedules!I8,"")</f>
        <v>139541.659567469</v>
      </c>
      <c r="J13" s="19" t="n">
        <f aca="false">IF(ISNUMBER(I13),I13+Schedules!J8,"")</f>
        <v>147328.785716839</v>
      </c>
    </row>
    <row r="14" customFormat="false" ht="15" hidden="false" customHeight="false" outlineLevel="0" collapsed="false">
      <c r="A14" s="0" t="s">
        <v>83</v>
      </c>
      <c r="C14" s="18" t="n">
        <v>37529</v>
      </c>
      <c r="D14" s="18" t="n">
        <v>37260</v>
      </c>
      <c r="E14" s="18" t="n">
        <v>40442</v>
      </c>
      <c r="F14" s="19" t="n">
        <f aca="false">IF(ISNUMBER(E14),E14+Schedules!F9,"")</f>
        <v>50717.6756433441</v>
      </c>
      <c r="G14" s="19" t="n">
        <f aca="false">IF(ISNUMBER(F14),F14+Schedules!G9,"")</f>
        <v>60735.0059335254</v>
      </c>
      <c r="H14" s="19" t="n">
        <f aca="false">IF(ISNUMBER(G14),G14+Schedules!H9,"")</f>
        <v>70504.7298141931</v>
      </c>
      <c r="I14" s="19" t="n">
        <f aca="false">IF(ISNUMBER(H14),H14+Schedules!I9,"")</f>
        <v>80032.4642017994</v>
      </c>
      <c r="J14" s="19" t="n">
        <f aca="false">IF(ISNUMBER(I14),I14+Schedules!J9,"")</f>
        <v>89321.7816559833</v>
      </c>
    </row>
    <row r="15" customFormat="false" ht="15" hidden="false" customHeight="false" outlineLevel="0" collapsed="false">
      <c r="A15" s="0" t="s">
        <v>84</v>
      </c>
      <c r="C15" s="18" t="n">
        <v>62205</v>
      </c>
      <c r="D15" s="18" t="n">
        <v>64875</v>
      </c>
      <c r="E15" s="18" t="n">
        <v>65828</v>
      </c>
      <c r="F15" s="19" t="n">
        <f aca="false">Schedules!F10</f>
        <v>64172.9888359391</v>
      </c>
      <c r="G15" s="19" t="n">
        <f aca="false">Schedules!G10</f>
        <v>62586.7734578767</v>
      </c>
      <c r="H15" s="19" t="n">
        <f aca="false">Schedules!H10</f>
        <v>61036.5411517831</v>
      </c>
      <c r="I15" s="19" t="n">
        <f aca="false">Schedules!I10</f>
        <v>59509.1953656694</v>
      </c>
      <c r="J15" s="19" t="n">
        <f aca="false">Schedules!J10</f>
        <v>58007.0040608557</v>
      </c>
    </row>
    <row r="16" customFormat="false" ht="15" hidden="false" customHeight="false" outlineLevel="0" collapsed="false">
      <c r="A16" s="0" t="s">
        <v>85</v>
      </c>
      <c r="C16" s="18" t="n">
        <v>89624</v>
      </c>
      <c r="D16" s="18" t="n">
        <v>95847</v>
      </c>
      <c r="E16" s="18" t="n">
        <v>99845</v>
      </c>
      <c r="F16" s="19" t="n">
        <f aca="false">E16</f>
        <v>99845</v>
      </c>
      <c r="G16" s="19" t="n">
        <f aca="false">F16</f>
        <v>99845</v>
      </c>
      <c r="H16" s="19" t="n">
        <f aca="false">G16</f>
        <v>99845</v>
      </c>
      <c r="I16" s="19" t="n">
        <f aca="false">H16</f>
        <v>99845</v>
      </c>
      <c r="J16" s="19" t="n">
        <f aca="false">I16</f>
        <v>99845</v>
      </c>
    </row>
    <row r="17" customFormat="false" ht="15" hidden="false" customHeight="false" outlineLevel="0" collapsed="false">
      <c r="A17" s="15" t="s">
        <v>86</v>
      </c>
      <c r="C17" s="20" t="n">
        <v>273310</v>
      </c>
      <c r="D17" s="20" t="n">
        <v>285196</v>
      </c>
      <c r="E17" s="20" t="n">
        <v>289160</v>
      </c>
      <c r="F17" s="21" t="n">
        <f aca="false">F12+F15+F16</f>
        <v>280696.692707475</v>
      </c>
      <c r="G17" s="21" t="n">
        <f aca="false">G12+G15+G16</f>
        <v>277134.438996059</v>
      </c>
      <c r="H17" s="21" t="n">
        <f aca="false">H12+H15+H16</f>
        <v>272715.921299426</v>
      </c>
      <c r="I17" s="21" t="n">
        <f aca="false">I12+I15+I16</f>
        <v>261970.454266223</v>
      </c>
      <c r="J17" s="21" t="n">
        <f aca="false">J12+J15+J16</f>
        <v>251127.097242643</v>
      </c>
    </row>
    <row r="19" customFormat="false" ht="15" hidden="false" customHeight="false" outlineLevel="0" collapsed="false">
      <c r="A19" s="6" t="s">
        <v>87</v>
      </c>
    </row>
    <row r="20" customFormat="false" ht="15" hidden="false" customHeight="false" outlineLevel="0" collapsed="false">
      <c r="A20" s="0" t="s">
        <v>88</v>
      </c>
      <c r="C20" s="18" t="n">
        <v>25992</v>
      </c>
      <c r="D20" s="18" t="n">
        <v>24128</v>
      </c>
      <c r="E20" s="18" t="n">
        <v>25809</v>
      </c>
      <c r="F20" s="19" t="n">
        <f aca="false">Assumptions!F24/365*'Income Statement'!F8</f>
        <v>23642.2975992884</v>
      </c>
      <c r="G20" s="19" t="n">
        <f aca="false">Assumptions!G24/365*'Income Statement'!G8</f>
        <v>23122.4551570397</v>
      </c>
      <c r="H20" s="19" t="n">
        <f aca="false">Assumptions!H24/365*'Income Statement'!H8</f>
        <v>22542.0750787744</v>
      </c>
      <c r="I20" s="19" t="n">
        <f aca="false">Assumptions!I24/365*'Income Statement'!I8</f>
        <v>21941.1819913645</v>
      </c>
      <c r="J20" s="19" t="n">
        <f aca="false">Assumptions!J24/365*'Income Statement'!J8</f>
        <v>21356.3066175517</v>
      </c>
    </row>
    <row r="21" customFormat="false" ht="15" hidden="false" customHeight="false" outlineLevel="0" collapsed="false">
      <c r="A21" s="0" t="s">
        <v>89</v>
      </c>
      <c r="C21" s="18" t="n">
        <v>25870</v>
      </c>
      <c r="D21" s="18" t="n">
        <v>27782</v>
      </c>
      <c r="E21" s="18" t="n">
        <v>31779</v>
      </c>
      <c r="F21" s="19" t="n">
        <f aca="false">Assumptions!F26*'Income Statement'!F7</f>
        <v>28583.0846875908</v>
      </c>
      <c r="G21" s="19" t="n">
        <f aca="false">Assumptions!G26*'Income Statement'!G7</f>
        <v>27954.6051378094</v>
      </c>
      <c r="H21" s="19" t="n">
        <f aca="false">Assumptions!H26*'Income Statement'!H7</f>
        <v>27252.9367463014</v>
      </c>
      <c r="I21" s="19" t="n">
        <f aca="false">Assumptions!I26*'Income Statement'!I7</f>
        <v>26526.4685198739</v>
      </c>
      <c r="J21" s="19" t="n">
        <f aca="false">Assumptions!J26*'Income Statement'!J7</f>
        <v>25819.3654022022</v>
      </c>
    </row>
    <row r="22" customFormat="false" ht="15" hidden="false" customHeight="false" outlineLevel="0" collapsed="false">
      <c r="A22" s="0" t="s">
        <v>90</v>
      </c>
      <c r="C22" s="18" t="n">
        <v>0</v>
      </c>
      <c r="D22" s="18" t="n">
        <v>0</v>
      </c>
      <c r="E22" s="18" t="n">
        <v>0</v>
      </c>
      <c r="F22" s="19" t="n">
        <f aca="false">Schedules!F29</f>
        <v>5793.67127125153</v>
      </c>
      <c r="G22" s="19" t="n">
        <f aca="false">Schedules!G29</f>
        <v>12568.0327191668</v>
      </c>
      <c r="H22" s="19" t="n">
        <f aca="false">Schedules!H29</f>
        <v>18726.7</v>
      </c>
      <c r="I22" s="19" t="n">
        <f aca="false">Schedules!I29</f>
        <v>18726.7</v>
      </c>
      <c r="J22" s="19" t="n">
        <f aca="false">Schedules!J29</f>
        <v>18726.7</v>
      </c>
    </row>
    <row r="23" customFormat="false" ht="15" hidden="false" customHeight="false" outlineLevel="0" collapsed="false">
      <c r="A23" s="15" t="s">
        <v>91</v>
      </c>
      <c r="C23" s="16" t="n">
        <v>51862</v>
      </c>
      <c r="D23" s="16" t="n">
        <v>51910</v>
      </c>
      <c r="E23" s="16" t="n">
        <v>57588</v>
      </c>
      <c r="F23" s="17" t="n">
        <f aca="false">SUM(F20:F22)</f>
        <v>58019.0535581307</v>
      </c>
      <c r="G23" s="17" t="n">
        <f aca="false">SUM(G20:G22)</f>
        <v>63645.0930140159</v>
      </c>
      <c r="H23" s="17" t="n">
        <f aca="false">SUM(H20:H22)</f>
        <v>68521.7118250758</v>
      </c>
      <c r="I23" s="17" t="n">
        <f aca="false">SUM(I20:I22)</f>
        <v>67194.3505112384</v>
      </c>
      <c r="J23" s="17" t="n">
        <f aca="false">SUM(J20:J22)</f>
        <v>65902.3720197539</v>
      </c>
    </row>
    <row r="24" customFormat="false" ht="15" hidden="false" customHeight="false" outlineLevel="0" collapsed="false">
      <c r="A24" s="0" t="s">
        <v>92</v>
      </c>
      <c r="C24" s="18" t="n">
        <v>149231</v>
      </c>
      <c r="D24" s="18" t="n">
        <v>158522</v>
      </c>
      <c r="E24" s="18" t="n">
        <v>163336</v>
      </c>
      <c r="F24" s="19" t="n">
        <f aca="false">Schedules!F16</f>
        <v>163336</v>
      </c>
      <c r="G24" s="19" t="n">
        <f aca="false">Schedules!G16</f>
        <v>163336</v>
      </c>
      <c r="H24" s="19" t="n">
        <f aca="false">Schedules!H16</f>
        <v>163336</v>
      </c>
      <c r="I24" s="19" t="n">
        <f aca="false">Schedules!I16</f>
        <v>163336</v>
      </c>
      <c r="J24" s="19" t="n">
        <f aca="false">Schedules!J16</f>
        <v>163336</v>
      </c>
    </row>
    <row r="25" customFormat="false" ht="15" hidden="false" customHeight="false" outlineLevel="0" collapsed="false">
      <c r="A25" s="0" t="s">
        <v>93</v>
      </c>
      <c r="C25" s="18" t="n">
        <v>29419</v>
      </c>
      <c r="D25" s="18" t="n">
        <v>29906</v>
      </c>
      <c r="E25" s="18" t="n">
        <v>32256</v>
      </c>
      <c r="F25" s="19" t="n">
        <f aca="false">E25</f>
        <v>32256</v>
      </c>
      <c r="G25" s="19" t="n">
        <f aca="false">F25</f>
        <v>32256</v>
      </c>
      <c r="H25" s="19" t="n">
        <f aca="false">G25</f>
        <v>32256</v>
      </c>
      <c r="I25" s="19" t="n">
        <f aca="false">H25</f>
        <v>32256</v>
      </c>
      <c r="J25" s="19" t="n">
        <f aca="false">I25</f>
        <v>32256</v>
      </c>
    </row>
    <row r="26" customFormat="false" ht="15" hidden="false" customHeight="false" outlineLevel="0" collapsed="false">
      <c r="A26" s="15" t="s">
        <v>94</v>
      </c>
      <c r="C26" s="16" t="n">
        <v>230512</v>
      </c>
      <c r="D26" s="16" t="n">
        <v>240338</v>
      </c>
      <c r="E26" s="16" t="n">
        <v>253180</v>
      </c>
      <c r="F26" s="17" t="n">
        <f aca="false">F23+F24+F25</f>
        <v>253611.053558131</v>
      </c>
      <c r="G26" s="17" t="n">
        <f aca="false">G23+G24+G25</f>
        <v>259237.093014016</v>
      </c>
      <c r="H26" s="17" t="n">
        <f aca="false">H23+H24+H25</f>
        <v>264113.711825076</v>
      </c>
      <c r="I26" s="17" t="n">
        <f aca="false">I23+I24+I25</f>
        <v>262786.350511238</v>
      </c>
      <c r="J26" s="17" t="n">
        <f aca="false">J23+J24+J25</f>
        <v>261494.372019754</v>
      </c>
    </row>
    <row r="28" customFormat="false" ht="15" hidden="false" customHeight="false" outlineLevel="0" collapsed="false">
      <c r="A28" s="6" t="s">
        <v>95</v>
      </c>
    </row>
    <row r="29" customFormat="false" ht="15" hidden="false" customHeight="false" outlineLevel="0" collapsed="false">
      <c r="A29" s="0" t="s">
        <v>96</v>
      </c>
      <c r="C29" s="18" t="n">
        <v>23170</v>
      </c>
      <c r="D29" s="18" t="n">
        <v>23544</v>
      </c>
      <c r="E29" s="18" t="n">
        <v>23964</v>
      </c>
      <c r="F29" s="19" t="n">
        <f aca="false">E29</f>
        <v>23964</v>
      </c>
      <c r="G29" s="19" t="n">
        <f aca="false">F29</f>
        <v>23964</v>
      </c>
      <c r="H29" s="19" t="n">
        <f aca="false">G29</f>
        <v>23964</v>
      </c>
      <c r="I29" s="19" t="n">
        <f aca="false">H29</f>
        <v>23964</v>
      </c>
      <c r="J29" s="19" t="n">
        <f aca="false">I29</f>
        <v>23964</v>
      </c>
    </row>
    <row r="30" customFormat="false" ht="15" hidden="false" customHeight="false" outlineLevel="0" collapsed="false">
      <c r="A30" s="0" t="s">
        <v>97</v>
      </c>
      <c r="C30" s="18" t="n">
        <v>31029</v>
      </c>
      <c r="D30" s="18" t="n">
        <v>33740</v>
      </c>
      <c r="E30" s="18" t="n">
        <v>22508</v>
      </c>
      <c r="F30" s="19" t="n">
        <f aca="false">E30+'Income Statement'!F29+'Cash Flow'!F27</f>
        <v>13613.6391493441</v>
      </c>
      <c r="G30" s="19" t="n">
        <f aca="false">F30+'Income Statement'!G29+'Cash Flow'!G27</f>
        <v>4425.34598204295</v>
      </c>
      <c r="H30" s="19" t="n">
        <f aca="false">G30+'Income Statement'!H29+'Cash Flow'!H27</f>
        <v>-4869.79052565009</v>
      </c>
      <c r="I30" s="19" t="n">
        <f aca="false">H30+'Income Statement'!I29+'Cash Flow'!I27</f>
        <v>-14287.8962450157</v>
      </c>
      <c r="J30" s="19" t="n">
        <f aca="false">I30+'Income Statement'!J29+'Cash Flow'!J27</f>
        <v>-23839.2747771111</v>
      </c>
    </row>
    <row r="31" customFormat="false" ht="15" hidden="false" customHeight="false" outlineLevel="0" collapsed="false">
      <c r="A31" s="0" t="s">
        <v>98</v>
      </c>
      <c r="C31" s="18" t="n">
        <v>2384</v>
      </c>
      <c r="D31" s="18" t="n">
        <v>2810</v>
      </c>
      <c r="E31" s="18" t="n">
        <v>2810</v>
      </c>
      <c r="F31" s="19" t="n">
        <f aca="false">E31-'Cash Flow'!F28</f>
        <v>2810</v>
      </c>
      <c r="G31" s="19" t="n">
        <f aca="false">F31-'Cash Flow'!G28</f>
        <v>2810</v>
      </c>
      <c r="H31" s="19" t="n">
        <f aca="false">G31-'Cash Flow'!H28</f>
        <v>2810</v>
      </c>
      <c r="I31" s="19" t="n">
        <f aca="false">H31-'Cash Flow'!I28</f>
        <v>2810</v>
      </c>
      <c r="J31" s="19" t="n">
        <f aca="false">I31-'Cash Flow'!J28</f>
        <v>2810</v>
      </c>
    </row>
    <row r="32" customFormat="false" ht="15" hidden="false" customHeight="false" outlineLevel="0" collapsed="false">
      <c r="A32" s="0" t="s">
        <v>99</v>
      </c>
      <c r="C32" s="18" t="n">
        <v>-9042</v>
      </c>
      <c r="D32" s="18" t="n">
        <v>-9639</v>
      </c>
      <c r="E32" s="18" t="n">
        <v>-7710</v>
      </c>
      <c r="F32" s="19" t="n">
        <f aca="false">E32</f>
        <v>-7710</v>
      </c>
      <c r="G32" s="19" t="n">
        <f aca="false">F32</f>
        <v>-7710</v>
      </c>
      <c r="H32" s="19" t="n">
        <f aca="false">G32</f>
        <v>-7710</v>
      </c>
      <c r="I32" s="19" t="n">
        <f aca="false">H32</f>
        <v>-7710</v>
      </c>
      <c r="J32" s="19" t="n">
        <f aca="false">I32</f>
        <v>-7710</v>
      </c>
    </row>
    <row r="33" customFormat="false" ht="15" hidden="false" customHeight="false" outlineLevel="0" collapsed="false">
      <c r="A33" s="15" t="s">
        <v>100</v>
      </c>
      <c r="C33" s="16" t="n">
        <v>42773</v>
      </c>
      <c r="D33" s="16" t="n">
        <v>44835</v>
      </c>
      <c r="E33" s="16" t="n">
        <v>35952</v>
      </c>
      <c r="F33" s="17" t="n">
        <f aca="false">F29+F30-F31+F32</f>
        <v>27057.6391493441</v>
      </c>
      <c r="G33" s="17" t="n">
        <f aca="false">G29+G30-G31+G32</f>
        <v>17869.345982043</v>
      </c>
      <c r="H33" s="17" t="n">
        <f aca="false">H29+H30-H31+H32</f>
        <v>8574.20947434991</v>
      </c>
      <c r="I33" s="17" t="n">
        <f aca="false">I29+I30-I31+I32</f>
        <v>-843.896245015701</v>
      </c>
      <c r="J33" s="17" t="n">
        <f aca="false">J29+J30-J31+J32</f>
        <v>-10395.2747771111</v>
      </c>
    </row>
    <row r="34" customFormat="false" ht="15" hidden="false" customHeight="false" outlineLevel="0" collapsed="false">
      <c r="A34" s="0" t="s">
        <v>101</v>
      </c>
      <c r="C34" s="18" t="n">
        <v>25</v>
      </c>
      <c r="D34" s="18" t="n">
        <v>23</v>
      </c>
      <c r="E34" s="18" t="n">
        <v>28</v>
      </c>
      <c r="F34" s="19" t="n">
        <f aca="false">E34+'Income Statement'!F28+'Cash Flow'!F29</f>
        <v>28</v>
      </c>
      <c r="G34" s="19" t="n">
        <f aca="false">F34+'Income Statement'!G28+'Cash Flow'!G29</f>
        <v>28</v>
      </c>
      <c r="H34" s="19" t="n">
        <f aca="false">G34+'Income Statement'!H28+'Cash Flow'!H29</f>
        <v>28</v>
      </c>
      <c r="I34" s="19" t="n">
        <f aca="false">H34+'Income Statement'!I28+'Cash Flow'!I29</f>
        <v>28</v>
      </c>
      <c r="J34" s="19" t="n">
        <f aca="false">I34+'Income Statement'!J28+'Cash Flow'!J29</f>
        <v>28</v>
      </c>
    </row>
    <row r="35" customFormat="false" ht="15" hidden="false" customHeight="false" outlineLevel="0" collapsed="false">
      <c r="A35" s="15" t="s">
        <v>102</v>
      </c>
      <c r="C35" s="16" t="n">
        <v>42798</v>
      </c>
      <c r="D35" s="16" t="n">
        <v>44858</v>
      </c>
      <c r="E35" s="16" t="n">
        <v>35980</v>
      </c>
      <c r="F35" s="17" t="n">
        <f aca="false">F33+F34</f>
        <v>27085.6391493441</v>
      </c>
      <c r="G35" s="17" t="n">
        <f aca="false">G33+G34</f>
        <v>17897.345982043</v>
      </c>
      <c r="H35" s="17" t="n">
        <f aca="false">H33+H34</f>
        <v>8602.20947434991</v>
      </c>
      <c r="I35" s="17" t="n">
        <f aca="false">I33+I34</f>
        <v>-815.896245015701</v>
      </c>
      <c r="J35" s="17" t="n">
        <f aca="false">J33+J34</f>
        <v>-10367.2747771111</v>
      </c>
    </row>
    <row r="36" customFormat="false" ht="15" hidden="false" customHeight="false" outlineLevel="0" collapsed="false">
      <c r="A36" s="15" t="s">
        <v>103</v>
      </c>
      <c r="C36" s="20" t="n">
        <v>273310</v>
      </c>
      <c r="D36" s="20" t="n">
        <v>285196</v>
      </c>
      <c r="E36" s="20" t="n">
        <v>289160</v>
      </c>
      <c r="F36" s="21" t="n">
        <f aca="false">F26+F35</f>
        <v>280696.692707475</v>
      </c>
      <c r="G36" s="21" t="n">
        <f aca="false">G26+G35</f>
        <v>277134.438996059</v>
      </c>
      <c r="H36" s="21" t="n">
        <f aca="false">H26+H35</f>
        <v>272715.921299426</v>
      </c>
      <c r="I36" s="21" t="n">
        <f aca="false">I26+I35</f>
        <v>261970.454266223</v>
      </c>
      <c r="J36" s="21" t="n">
        <f aca="false">J26+J35</f>
        <v>251127.097242643</v>
      </c>
    </row>
    <row r="38" customFormat="false" ht="15" hidden="false" customHeight="false" outlineLevel="0" collapsed="false">
      <c r="A38" s="6" t="s">
        <v>104</v>
      </c>
    </row>
    <row r="39" customFormat="false" ht="15" hidden="false" customHeight="false" outlineLevel="0" collapsed="false">
      <c r="A39" s="22" t="s">
        <v>105</v>
      </c>
      <c r="C39" s="23" t="n">
        <f aca="false">ROUND(C17-C36,6)</f>
        <v>0</v>
      </c>
      <c r="D39" s="23" t="n">
        <f aca="false">ROUND(D17-D36,6)</f>
        <v>0</v>
      </c>
      <c r="E39" s="23" t="n">
        <f aca="false">ROUND(E17-E36,6)</f>
        <v>0</v>
      </c>
      <c r="F39" s="23" t="n">
        <f aca="false">ROUND(F17-F36,6)</f>
        <v>0</v>
      </c>
      <c r="G39" s="23" t="n">
        <f aca="false">ROUND(G17-G36,6)</f>
        <v>0</v>
      </c>
      <c r="H39" s="23" t="n">
        <f aca="false">ROUND(H17-H36,6)</f>
        <v>0</v>
      </c>
      <c r="I39" s="23" t="n">
        <f aca="false">ROUND(I17-I36,6)</f>
        <v>0</v>
      </c>
      <c r="J39" s="23" t="n">
        <f aca="false">ROUND(J17-J36,6)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108</v>
      </c>
    </row>
    <row r="7" customFormat="false" ht="15" hidden="false" customHeight="false" outlineLevel="0" collapsed="false">
      <c r="A7" s="0" t="s">
        <v>70</v>
      </c>
      <c r="C7" s="18" t="n">
        <v>4329</v>
      </c>
      <c r="D7" s="18" t="n">
        <v>5894</v>
      </c>
      <c r="E7" s="18" t="n">
        <v>-8162</v>
      </c>
      <c r="F7" s="19" t="n">
        <f aca="false">'Income Statement'!F27</f>
        <v>-8894.36085065593</v>
      </c>
      <c r="G7" s="19" t="n">
        <f aca="false">'Income Statement'!G27</f>
        <v>-9188.29316730112</v>
      </c>
      <c r="H7" s="19" t="n">
        <f aca="false">'Income Statement'!H27</f>
        <v>-9295.13650769304</v>
      </c>
      <c r="I7" s="19" t="n">
        <f aca="false">'Income Statement'!I27</f>
        <v>-9418.10571936561</v>
      </c>
      <c r="J7" s="19" t="n">
        <f aca="false">'Income Statement'!J27</f>
        <v>-9551.37853209541</v>
      </c>
    </row>
    <row r="8" customFormat="false" ht="15" hidden="false" customHeight="false" outlineLevel="0" collapsed="false">
      <c r="A8" s="0" t="s">
        <v>109</v>
      </c>
      <c r="C8" s="18" t="n">
        <v>6523</v>
      </c>
      <c r="D8" s="18" t="n">
        <v>5867</v>
      </c>
      <c r="E8" s="18" t="n">
        <v>14135</v>
      </c>
      <c r="F8" s="19" t="n">
        <f aca="false">'Income Statement'!F14</f>
        <v>10275.6756433441</v>
      </c>
      <c r="G8" s="19" t="n">
        <f aca="false">'Income Statement'!G14</f>
        <v>10017.3302901813</v>
      </c>
      <c r="H8" s="19" t="n">
        <f aca="false">'Income Statement'!H14</f>
        <v>9769.72388066777</v>
      </c>
      <c r="I8" s="19" t="n">
        <f aca="false">'Income Statement'!I14</f>
        <v>9527.73438760629</v>
      </c>
      <c r="J8" s="19" t="n">
        <f aca="false">'Income Statement'!J14</f>
        <v>9289.31745418386</v>
      </c>
    </row>
    <row r="9" customFormat="false" ht="15" hidden="false" customHeight="false" outlineLevel="0" collapsed="false">
      <c r="A9" s="0" t="s">
        <v>110</v>
      </c>
      <c r="C9" s="18"/>
      <c r="D9" s="18"/>
      <c r="E9" s="18"/>
      <c r="F9" s="19" t="n">
        <f aca="false">'Balance Sheet'!E9-'Balance Sheet'!F9</f>
        <v>-2692.37697300503</v>
      </c>
      <c r="G9" s="19" t="n">
        <f aca="false">'Balance Sheet'!F9-'Balance Sheet'!G9</f>
        <v>1478.02914618478</v>
      </c>
      <c r="H9" s="19" t="n">
        <f aca="false">'Balance Sheet'!G9-'Balance Sheet'!H9</f>
        <v>1650.15128012717</v>
      </c>
      <c r="I9" s="19" t="n">
        <f aca="false">'Balance Sheet'!H9-'Balance Sheet'!I9</f>
        <v>1708.47438522158</v>
      </c>
      <c r="J9" s="19" t="n">
        <f aca="false">'Balance Sheet'!I9-'Balance Sheet'!J9</f>
        <v>1662.93241783352</v>
      </c>
    </row>
    <row r="10" customFormat="false" ht="15" hidden="false" customHeight="false" outlineLevel="0" collapsed="false">
      <c r="A10" s="0" t="s">
        <v>111</v>
      </c>
      <c r="C10" s="18"/>
      <c r="D10" s="18"/>
      <c r="E10" s="18"/>
      <c r="F10" s="19" t="n">
        <f aca="false">'Balance Sheet'!E10-'Balance Sheet'!F10</f>
        <v>-2881.57554389703</v>
      </c>
      <c r="G10" s="19" t="n">
        <f aca="false">'Balance Sheet'!F10-'Balance Sheet'!G10</f>
        <v>399.44328415519</v>
      </c>
      <c r="H10" s="19" t="n">
        <f aca="false">'Balance Sheet'!G10-'Balance Sheet'!H10</f>
        <v>445.959978792256</v>
      </c>
      <c r="I10" s="19" t="n">
        <f aca="false">'Balance Sheet'!H10-'Balance Sheet'!I10</f>
        <v>461.722031050274</v>
      </c>
      <c r="J10" s="19" t="n">
        <f aca="false">'Balance Sheet'!I10-'Balance Sheet'!J10</f>
        <v>449.41413234115</v>
      </c>
    </row>
    <row r="11" customFormat="false" ht="15" hidden="false" customHeight="false" outlineLevel="0" collapsed="false">
      <c r="A11" s="0" t="s">
        <v>112</v>
      </c>
      <c r="C11" s="18"/>
      <c r="D11" s="18"/>
      <c r="E11" s="18"/>
      <c r="F11" s="19" t="n">
        <f aca="false">'Balance Sheet'!E11-'Balance Sheet'!F11</f>
        <v>704.248645366426</v>
      </c>
      <c r="G11" s="19" t="n">
        <f aca="false">'Balance Sheet'!F11-'Balance Sheet'!G11</f>
        <v>98.5659030134339</v>
      </c>
      <c r="H11" s="19" t="n">
        <f aca="false">'Balance Sheet'!G11-'Balance Sheet'!H11</f>
        <v>110.044278527493</v>
      </c>
      <c r="I11" s="19" t="n">
        <f aca="false">'Balance Sheet'!H11-'Balance Sheet'!I11</f>
        <v>113.93369406102</v>
      </c>
      <c r="J11" s="19" t="n">
        <f aca="false">'Balance Sheet'!I11-'Balance Sheet'!J11</f>
        <v>110.896619215643</v>
      </c>
    </row>
    <row r="12" customFormat="false" ht="15" hidden="false" customHeight="false" outlineLevel="0" collapsed="false">
      <c r="A12" s="0" t="s">
        <v>113</v>
      </c>
      <c r="C12" s="18"/>
      <c r="D12" s="18"/>
      <c r="E12" s="18"/>
      <c r="F12" s="19" t="n">
        <f aca="false">'Balance Sheet'!F20-'Balance Sheet'!E20</f>
        <v>-2166.70240071165</v>
      </c>
      <c r="G12" s="19" t="n">
        <f aca="false">'Balance Sheet'!G20-'Balance Sheet'!F20</f>
        <v>-519.842442248657</v>
      </c>
      <c r="H12" s="19" t="n">
        <f aca="false">'Balance Sheet'!H20-'Balance Sheet'!G20</f>
        <v>-580.380078265265</v>
      </c>
      <c r="I12" s="19" t="n">
        <f aca="false">'Balance Sheet'!I20-'Balance Sheet'!H20</f>
        <v>-600.893087409953</v>
      </c>
      <c r="J12" s="19" t="n">
        <f aca="false">'Balance Sheet'!J20-'Balance Sheet'!I20</f>
        <v>-584.875373812811</v>
      </c>
    </row>
    <row r="13" customFormat="false" ht="15" hidden="false" customHeight="false" outlineLevel="0" collapsed="false">
      <c r="A13" s="0" t="s">
        <v>114</v>
      </c>
      <c r="C13" s="18"/>
      <c r="D13" s="18"/>
      <c r="E13" s="18"/>
      <c r="F13" s="19" t="n">
        <f aca="false">'Balance Sheet'!F21-'Balance Sheet'!E21</f>
        <v>-3195.91531240922</v>
      </c>
      <c r="G13" s="19" t="n">
        <f aca="false">'Balance Sheet'!G21-'Balance Sheet'!F21</f>
        <v>-628.479549781347</v>
      </c>
      <c r="H13" s="19" t="n">
        <f aca="false">'Balance Sheet'!H21-'Balance Sheet'!G21</f>
        <v>-701.668391508021</v>
      </c>
      <c r="I13" s="19" t="n">
        <f aca="false">'Balance Sheet'!I21-'Balance Sheet'!H21</f>
        <v>-726.468226427518</v>
      </c>
      <c r="J13" s="19" t="n">
        <f aca="false">'Balance Sheet'!J21-'Balance Sheet'!I21</f>
        <v>-707.103117671653</v>
      </c>
    </row>
    <row r="14" customFormat="false" ht="15" hidden="false" customHeight="false" outlineLevel="0" collapsed="false">
      <c r="A14" s="0" t="s">
        <v>115</v>
      </c>
      <c r="C14" s="18" t="n">
        <v>1163</v>
      </c>
      <c r="D14" s="18" t="n">
        <v>1656</v>
      </c>
      <c r="E14" s="18" t="n">
        <v>12843</v>
      </c>
      <c r="F14" s="19" t="n">
        <f aca="false">SUM(F9:F13)</f>
        <v>-10232.3215846565</v>
      </c>
      <c r="G14" s="19" t="n">
        <f aca="false">SUM(G9:G13)</f>
        <v>827.716341323401</v>
      </c>
      <c r="H14" s="19" t="n">
        <f aca="false">SUM(H9:H13)</f>
        <v>924.10706767363</v>
      </c>
      <c r="I14" s="19" t="n">
        <f aca="false">SUM(I9:I13)</f>
        <v>956.768796495407</v>
      </c>
      <c r="J14" s="19" t="n">
        <f aca="false">SUM(J9:J13)</f>
        <v>931.264677905851</v>
      </c>
    </row>
    <row r="15" customFormat="false" ht="15" hidden="false" customHeight="false" outlineLevel="0" collapsed="false">
      <c r="A15" s="0" t="s">
        <v>116</v>
      </c>
      <c r="C15" s="18" t="n">
        <v>2903</v>
      </c>
      <c r="D15" s="18" t="n">
        <v>2006</v>
      </c>
      <c r="E15" s="18" t="n">
        <v>2466</v>
      </c>
      <c r="F15" s="19" t="n">
        <f aca="false">0</f>
        <v>0</v>
      </c>
      <c r="G15" s="19" t="n">
        <f aca="false">0</f>
        <v>0</v>
      </c>
      <c r="H15" s="19" t="n">
        <f aca="false">0</f>
        <v>0</v>
      </c>
      <c r="I15" s="19" t="n">
        <f aca="false">0</f>
        <v>0</v>
      </c>
      <c r="J15" s="19" t="n">
        <f aca="false">0</f>
        <v>0</v>
      </c>
    </row>
    <row r="16" customFormat="false" ht="15" hidden="false" customHeight="false" outlineLevel="0" collapsed="false">
      <c r="A16" s="15" t="s">
        <v>117</v>
      </c>
      <c r="C16" s="16" t="n">
        <v>14918</v>
      </c>
      <c r="D16" s="16" t="n">
        <v>15423</v>
      </c>
      <c r="E16" s="16" t="n">
        <v>21282</v>
      </c>
      <c r="F16" s="17" t="n">
        <f aca="false">F7+F8+F14+F15</f>
        <v>-8851.00679196832</v>
      </c>
      <c r="G16" s="17" t="n">
        <f aca="false">G7+G8+G14+G15</f>
        <v>1656.75346420354</v>
      </c>
      <c r="H16" s="17" t="n">
        <f aca="false">H7+H8+H14+H15</f>
        <v>1398.69444064836</v>
      </c>
      <c r="I16" s="17" t="n">
        <f aca="false">I7+I8+I14+I15</f>
        <v>1066.39746473609</v>
      </c>
      <c r="J16" s="17" t="n">
        <f aca="false">J7+J8+J14+J15</f>
        <v>669.203599994303</v>
      </c>
    </row>
    <row r="18" customFormat="false" ht="15" hidden="false" customHeight="false" outlineLevel="0" collapsed="false">
      <c r="A18" s="6" t="s">
        <v>118</v>
      </c>
    </row>
    <row r="19" customFormat="false" ht="15" hidden="false" customHeight="false" outlineLevel="0" collapsed="false">
      <c r="A19" s="0" t="s">
        <v>119</v>
      </c>
      <c r="C19" s="18" t="n">
        <v>-8236</v>
      </c>
      <c r="D19" s="18" t="n">
        <v>-8684</v>
      </c>
      <c r="E19" s="18" t="n">
        <v>-8815</v>
      </c>
      <c r="F19" s="19" t="n">
        <f aca="false">-Schedules!F8</f>
        <v>-8620.66447928321</v>
      </c>
      <c r="G19" s="19" t="n">
        <f aca="false">-Schedules!G8</f>
        <v>-8431.11491211882</v>
      </c>
      <c r="H19" s="19" t="n">
        <f aca="false">-Schedules!H8</f>
        <v>-8219.49157457418</v>
      </c>
      <c r="I19" s="19" t="n">
        <f aca="false">-Schedules!I8</f>
        <v>-8000.38860149268</v>
      </c>
      <c r="J19" s="19" t="n">
        <f aca="false">-Schedules!J8</f>
        <v>-7787.12614937011</v>
      </c>
    </row>
    <row r="20" customFormat="false" ht="15" hidden="false" customHeight="false" outlineLevel="0" collapsed="false">
      <c r="A20" s="0" t="s">
        <v>120</v>
      </c>
      <c r="C20" s="18" t="n">
        <v>-9392</v>
      </c>
      <c r="D20" s="18" t="n">
        <v>-15686</v>
      </c>
      <c r="E20" s="18" t="n">
        <v>-9234</v>
      </c>
      <c r="F20" s="19" t="n">
        <f aca="false">0</f>
        <v>0</v>
      </c>
      <c r="G20" s="19" t="n">
        <f aca="false">0</f>
        <v>0</v>
      </c>
      <c r="H20" s="19" t="n">
        <f aca="false">0</f>
        <v>0</v>
      </c>
      <c r="I20" s="19" t="n">
        <f aca="false">0</f>
        <v>0</v>
      </c>
      <c r="J20" s="19" t="n">
        <f aca="false">0</f>
        <v>0</v>
      </c>
    </row>
    <row r="21" customFormat="false" ht="15" hidden="false" customHeight="false" outlineLevel="0" collapsed="false">
      <c r="A21" s="15" t="s">
        <v>121</v>
      </c>
      <c r="C21" s="16" t="n">
        <v>-17628</v>
      </c>
      <c r="D21" s="16" t="n">
        <v>-24370</v>
      </c>
      <c r="E21" s="16" t="n">
        <v>-18049</v>
      </c>
      <c r="F21" s="17" t="n">
        <f aca="false">F19+F20</f>
        <v>-8620.66447928321</v>
      </c>
      <c r="G21" s="17" t="n">
        <f aca="false">G19+G20</f>
        <v>-8431.11491211882</v>
      </c>
      <c r="H21" s="17" t="n">
        <f aca="false">H19+H20</f>
        <v>-8219.49157457418</v>
      </c>
      <c r="I21" s="17" t="n">
        <f aca="false">I19+I20</f>
        <v>-8000.38860149268</v>
      </c>
      <c r="J21" s="17" t="n">
        <f aca="false">J19+J20</f>
        <v>-7787.12614937011</v>
      </c>
    </row>
    <row r="23" customFormat="false" ht="15" hidden="false" customHeight="false" outlineLevel="0" collapsed="false">
      <c r="A23" s="6" t="s">
        <v>122</v>
      </c>
    </row>
    <row r="24" customFormat="false" ht="15" hidden="false" customHeight="false" outlineLevel="0" collapsed="false">
      <c r="A24" s="0" t="s">
        <v>123</v>
      </c>
      <c r="C24" s="18" t="n">
        <v>51659</v>
      </c>
      <c r="D24" s="18" t="n">
        <v>57312</v>
      </c>
      <c r="E24" s="18" t="n">
        <v>49688</v>
      </c>
      <c r="F24" s="19" t="n">
        <f aca="false">Schedules!F14</f>
        <v>0</v>
      </c>
      <c r="G24" s="19" t="n">
        <f aca="false">Schedules!G14</f>
        <v>0</v>
      </c>
      <c r="H24" s="19" t="n">
        <f aca="false">Schedules!H14</f>
        <v>0</v>
      </c>
      <c r="I24" s="19" t="n">
        <f aca="false">Schedules!I14</f>
        <v>0</v>
      </c>
      <c r="J24" s="19" t="n">
        <f aca="false">Schedules!J14</f>
        <v>0</v>
      </c>
    </row>
    <row r="25" customFormat="false" ht="15" hidden="false" customHeight="false" outlineLevel="0" collapsed="false">
      <c r="A25" s="0" t="s">
        <v>124</v>
      </c>
      <c r="C25" s="18" t="n">
        <v>-41965</v>
      </c>
      <c r="D25" s="18" t="n">
        <v>-45680</v>
      </c>
      <c r="E25" s="18" t="n">
        <v>-50303</v>
      </c>
      <c r="F25" s="19" t="n">
        <f aca="false">-Schedules!F15</f>
        <v>-0</v>
      </c>
      <c r="G25" s="19" t="n">
        <f aca="false">-Schedules!G15</f>
        <v>-0</v>
      </c>
      <c r="H25" s="19" t="n">
        <f aca="false">-Schedules!H15</f>
        <v>-0</v>
      </c>
      <c r="I25" s="19" t="n">
        <f aca="false">-Schedules!I15</f>
        <v>-0</v>
      </c>
      <c r="J25" s="19" t="n">
        <f aca="false">-Schedules!J15</f>
        <v>-0</v>
      </c>
    </row>
    <row r="26" customFormat="false" ht="15" hidden="false" customHeight="false" outlineLevel="0" collapsed="false">
      <c r="A26" s="0" t="s">
        <v>125</v>
      </c>
      <c r="C26" s="18" t="n">
        <v>0</v>
      </c>
      <c r="D26" s="18" t="n">
        <v>0</v>
      </c>
      <c r="E26" s="18" t="n">
        <v>0</v>
      </c>
      <c r="F26" s="19" t="n">
        <f aca="false">Schedules!F27-Schedules!F28</f>
        <v>5793.67127125153</v>
      </c>
      <c r="G26" s="19" t="n">
        <f aca="false">Schedules!G27-Schedules!G28</f>
        <v>6774.36144791527</v>
      </c>
      <c r="H26" s="19" t="n">
        <f aca="false">Schedules!H27-Schedules!H28</f>
        <v>6158.6672808332</v>
      </c>
      <c r="I26" s="19" t="n">
        <f aca="false">Schedules!I27-Schedules!I28</f>
        <v>0</v>
      </c>
      <c r="J26" s="19" t="n">
        <f aca="false">Schedules!J27-Schedules!J28</f>
        <v>0</v>
      </c>
    </row>
    <row r="27" customFormat="false" ht="15" hidden="false" customHeight="false" outlineLevel="0" collapsed="false">
      <c r="A27" s="0" t="s">
        <v>126</v>
      </c>
      <c r="C27" s="18" t="n">
        <v>-4995</v>
      </c>
      <c r="D27" s="18" t="n">
        <v>-3118</v>
      </c>
      <c r="E27" s="18" t="n">
        <v>-2989</v>
      </c>
      <c r="F27" s="19" t="n">
        <f aca="false">-Assumptions!F27*MAX(0,'Income Statement'!F29)</f>
        <v>-0</v>
      </c>
      <c r="G27" s="19" t="n">
        <f aca="false">-Assumptions!G27*MAX(0,'Income Statement'!G29)</f>
        <v>-0</v>
      </c>
      <c r="H27" s="19" t="n">
        <f aca="false">-Assumptions!H27*MAX(0,'Income Statement'!H29)</f>
        <v>-0</v>
      </c>
      <c r="I27" s="19" t="n">
        <f aca="false">-Assumptions!I27*MAX(0,'Income Statement'!I29)</f>
        <v>-0</v>
      </c>
      <c r="J27" s="19" t="n">
        <f aca="false">-Assumptions!J27*MAX(0,'Income Statement'!J29)</f>
        <v>-0</v>
      </c>
    </row>
    <row r="28" customFormat="false" ht="15" hidden="false" customHeight="false" outlineLevel="0" collapsed="false">
      <c r="A28" s="0" t="s">
        <v>127</v>
      </c>
      <c r="C28" s="18" t="n">
        <v>-335</v>
      </c>
      <c r="D28" s="18" t="n">
        <v>-426</v>
      </c>
      <c r="E28" s="18" t="n">
        <v>0</v>
      </c>
      <c r="F28" s="19" t="n">
        <f aca="false">-(Assumptions!F28*MAX(0,'Income Statement'!F29)+Assumptions!F29)</f>
        <v>-0</v>
      </c>
      <c r="G28" s="19" t="n">
        <f aca="false">-(Assumptions!G28*MAX(0,'Income Statement'!G29)+Assumptions!G29)</f>
        <v>-0</v>
      </c>
      <c r="H28" s="19" t="n">
        <f aca="false">-(Assumptions!H28*MAX(0,'Income Statement'!H29)+Assumptions!H29)</f>
        <v>-0</v>
      </c>
      <c r="I28" s="19" t="n">
        <f aca="false">-(Assumptions!I28*MAX(0,'Income Statement'!I29)+Assumptions!I29)</f>
        <v>-0</v>
      </c>
      <c r="J28" s="19" t="n">
        <f aca="false">-(Assumptions!J28*MAX(0,'Income Statement'!J29)+Assumptions!J29)</f>
        <v>-0</v>
      </c>
    </row>
    <row r="29" customFormat="false" ht="15" hidden="false" customHeight="false" outlineLevel="0" collapsed="false">
      <c r="A29" s="0" t="s">
        <v>128</v>
      </c>
      <c r="C29" s="18" t="n">
        <v>0</v>
      </c>
      <c r="D29" s="18" t="n">
        <v>0</v>
      </c>
      <c r="E29" s="18" t="n">
        <v>0</v>
      </c>
      <c r="F29" s="19" t="n">
        <f aca="false">-MAX(0,'Income Statement'!F28)</f>
        <v>0</v>
      </c>
      <c r="G29" s="19" t="n">
        <f aca="false">-MAX(0,'Income Statement'!G28)</f>
        <v>0</v>
      </c>
      <c r="H29" s="19" t="n">
        <f aca="false">-MAX(0,'Income Statement'!H28)</f>
        <v>0</v>
      </c>
      <c r="I29" s="19" t="n">
        <f aca="false">-MAX(0,'Income Statement'!I28)</f>
        <v>0</v>
      </c>
      <c r="J29" s="19" t="n">
        <f aca="false">-MAX(0,'Income Statement'!J28)</f>
        <v>0</v>
      </c>
    </row>
    <row r="30" customFormat="false" ht="15" hidden="false" customHeight="false" outlineLevel="0" collapsed="false">
      <c r="A30" s="0" t="s">
        <v>129</v>
      </c>
      <c r="C30" s="18" t="n">
        <v>-1780</v>
      </c>
      <c r="D30" s="18" t="n">
        <v>-603</v>
      </c>
      <c r="E30" s="18" t="n">
        <v>399</v>
      </c>
      <c r="F30" s="19" t="n">
        <f aca="false">0</f>
        <v>0</v>
      </c>
      <c r="G30" s="19" t="n">
        <f aca="false">0</f>
        <v>0</v>
      </c>
      <c r="H30" s="19" t="n">
        <f aca="false">0</f>
        <v>0</v>
      </c>
      <c r="I30" s="19" t="n">
        <f aca="false">0</f>
        <v>0</v>
      </c>
      <c r="J30" s="19" t="n">
        <f aca="false">0</f>
        <v>0</v>
      </c>
    </row>
    <row r="31" customFormat="false" ht="15" hidden="false" customHeight="false" outlineLevel="0" collapsed="false">
      <c r="A31" s="15" t="s">
        <v>130</v>
      </c>
      <c r="C31" s="16" t="n">
        <v>2584</v>
      </c>
      <c r="D31" s="16" t="n">
        <v>7485</v>
      </c>
      <c r="E31" s="16" t="n">
        <v>-3205</v>
      </c>
      <c r="F31" s="17" t="n">
        <f aca="false">SUM(F24:F30)</f>
        <v>5793.67127125153</v>
      </c>
      <c r="G31" s="17" t="n">
        <f aca="false">SUM(G24:G30)</f>
        <v>6774.36144791527</v>
      </c>
      <c r="H31" s="17" t="n">
        <f aca="false">SUM(H24:H30)</f>
        <v>6158.6672808332</v>
      </c>
      <c r="I31" s="17" t="n">
        <f aca="false">SUM(I24:I30)</f>
        <v>0</v>
      </c>
      <c r="J31" s="17" t="n">
        <f aca="false">SUM(J24:J30)</f>
        <v>0</v>
      </c>
    </row>
    <row r="33" customFormat="false" ht="15" hidden="false" customHeight="false" outlineLevel="0" collapsed="false">
      <c r="A33" s="6" t="s">
        <v>131</v>
      </c>
    </row>
    <row r="34" customFormat="false" ht="15" hidden="false" customHeight="false" outlineLevel="0" collapsed="false">
      <c r="A34" s="0" t="s">
        <v>132</v>
      </c>
      <c r="C34" s="18" t="n">
        <v>-104</v>
      </c>
      <c r="D34" s="18" t="n">
        <v>-458</v>
      </c>
      <c r="E34" s="18" t="n">
        <v>532</v>
      </c>
      <c r="F34" s="19" t="n">
        <f aca="false">0</f>
        <v>0</v>
      </c>
      <c r="G34" s="19" t="n">
        <f aca="false">0</f>
        <v>0</v>
      </c>
      <c r="H34" s="19" t="n">
        <f aca="false">0</f>
        <v>0</v>
      </c>
      <c r="I34" s="19" t="n">
        <f aca="false">0</f>
        <v>0</v>
      </c>
      <c r="J34" s="19" t="n">
        <f aca="false">0</f>
        <v>0</v>
      </c>
    </row>
    <row r="35" customFormat="false" ht="15" hidden="false" customHeight="false" outlineLevel="0" collapsed="false">
      <c r="A35" s="15" t="s">
        <v>133</v>
      </c>
      <c r="C35" s="16" t="n">
        <v>-230</v>
      </c>
      <c r="D35" s="16" t="n">
        <v>-1920</v>
      </c>
      <c r="E35" s="16" t="n">
        <v>560</v>
      </c>
      <c r="F35" s="17" t="n">
        <f aca="false">F16+F21+F31+F34</f>
        <v>-11678</v>
      </c>
      <c r="G35" s="17" t="n">
        <f aca="false">G16+G21+G31+G34</f>
        <v>0</v>
      </c>
      <c r="H35" s="17" t="n">
        <f aca="false">H16+H21+H31+H34</f>
        <v>-662.129853092619</v>
      </c>
      <c r="I35" s="17" t="n">
        <f aca="false">I16+I21+I31+I34</f>
        <v>-6933.99113675658</v>
      </c>
      <c r="J35" s="17" t="n">
        <f aca="false">J16+J21+J31+J34</f>
        <v>-7117.92254937581</v>
      </c>
    </row>
    <row r="36" customFormat="false" ht="15" hidden="false" customHeight="false" outlineLevel="0" collapsed="false">
      <c r="A36" s="0" t="s">
        <v>134</v>
      </c>
      <c r="C36" s="18" t="n">
        <v>25340</v>
      </c>
      <c r="D36" s="18" t="n">
        <v>25110</v>
      </c>
      <c r="E36" s="18" t="n">
        <v>23190</v>
      </c>
      <c r="F36" s="19" t="n">
        <f aca="false">'Balance Sheet'!E7</f>
        <v>23356</v>
      </c>
      <c r="G36" s="19" t="n">
        <f aca="false">'Balance Sheet'!F7</f>
        <v>11678</v>
      </c>
      <c r="H36" s="19" t="n">
        <f aca="false">'Balance Sheet'!G7</f>
        <v>11678</v>
      </c>
      <c r="I36" s="19" t="n">
        <f aca="false">'Balance Sheet'!H7</f>
        <v>11015.8701469074</v>
      </c>
      <c r="J36" s="19" t="n">
        <f aca="false">'Balance Sheet'!I7</f>
        <v>4081.8790101508</v>
      </c>
    </row>
    <row r="37" customFormat="false" ht="15" hidden="false" customHeight="false" outlineLevel="0" collapsed="false">
      <c r="A37" s="15" t="s">
        <v>135</v>
      </c>
      <c r="C37" s="20" t="n">
        <v>25110</v>
      </c>
      <c r="D37" s="20" t="n">
        <v>23190</v>
      </c>
      <c r="E37" s="20" t="n">
        <v>23750</v>
      </c>
      <c r="F37" s="21" t="n">
        <f aca="false">F36+F35</f>
        <v>11678</v>
      </c>
      <c r="G37" s="21" t="n">
        <f aca="false">G36+G35</f>
        <v>11678</v>
      </c>
      <c r="H37" s="21" t="n">
        <f aca="false">H36+H35</f>
        <v>11015.8701469074</v>
      </c>
      <c r="I37" s="21" t="n">
        <f aca="false">I36+I35</f>
        <v>4081.8790101508</v>
      </c>
      <c r="J37" s="21" t="n">
        <f aca="false">J36+J35</f>
        <v>-3036.04353922501</v>
      </c>
    </row>
    <row r="39" customFormat="false" ht="15" hidden="false" customHeight="false" outlineLevel="0" collapsed="false">
      <c r="A39" s="6" t="s">
        <v>136</v>
      </c>
    </row>
    <row r="40" customFormat="false" ht="15" hidden="false" customHeight="false" outlineLevel="0" collapsed="false">
      <c r="A40" s="0" t="s">
        <v>137</v>
      </c>
      <c r="C40" s="18" t="n">
        <v>6682</v>
      </c>
      <c r="D40" s="18" t="n">
        <v>6739</v>
      </c>
      <c r="E40" s="18" t="n">
        <v>12467</v>
      </c>
      <c r="F40" s="19" t="n">
        <f aca="false">F16+F19</f>
        <v>-17471.6712712515</v>
      </c>
      <c r="G40" s="19" t="n">
        <f aca="false">G16+G19</f>
        <v>-6774.36144791527</v>
      </c>
      <c r="H40" s="19" t="n">
        <f aca="false">H16+H19</f>
        <v>-6820.79713392582</v>
      </c>
      <c r="I40" s="19" t="n">
        <f aca="false">I16+I19</f>
        <v>-6933.99113675658</v>
      </c>
      <c r="J40" s="19" t="n">
        <f aca="false">J16+J19</f>
        <v>-7117.92254937581</v>
      </c>
    </row>
    <row r="42" customFormat="false" ht="15" hidden="false" customHeight="false" outlineLevel="0" collapsed="false">
      <c r="A42" s="9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141</v>
      </c>
    </row>
    <row r="7" customFormat="false" ht="15" hidden="false" customHeight="false" outlineLevel="0" collapsed="false">
      <c r="A7" s="0" t="s">
        <v>142</v>
      </c>
      <c r="C7" s="18"/>
      <c r="D7" s="18"/>
      <c r="E7" s="18"/>
      <c r="F7" s="19" t="n">
        <f aca="false">'Balance Sheet'!E15</f>
        <v>65828</v>
      </c>
      <c r="G7" s="19" t="n">
        <f aca="false">'Balance Sheet'!F15</f>
        <v>64172.9888359391</v>
      </c>
      <c r="H7" s="19" t="n">
        <f aca="false">'Balance Sheet'!G15</f>
        <v>62586.7734578767</v>
      </c>
      <c r="I7" s="19" t="n">
        <f aca="false">'Balance Sheet'!H15</f>
        <v>61036.5411517831</v>
      </c>
      <c r="J7" s="19" t="n">
        <f aca="false">'Balance Sheet'!I15</f>
        <v>59509.1953656694</v>
      </c>
    </row>
    <row r="8" customFormat="false" ht="15" hidden="false" customHeight="false" outlineLevel="0" collapsed="false">
      <c r="A8" s="0" t="s">
        <v>143</v>
      </c>
      <c r="C8" s="18" t="n">
        <v>8236</v>
      </c>
      <c r="D8" s="18" t="n">
        <v>8684</v>
      </c>
      <c r="E8" s="18" t="n">
        <v>8815</v>
      </c>
      <c r="F8" s="19" t="n">
        <f aca="false">Assumptions!F20*'Income Statement'!F7</f>
        <v>8620.66447928321</v>
      </c>
      <c r="G8" s="19" t="n">
        <f aca="false">Assumptions!G20*'Income Statement'!G7</f>
        <v>8431.11491211882</v>
      </c>
      <c r="H8" s="19" t="n">
        <f aca="false">Assumptions!H20*'Income Statement'!H7</f>
        <v>8219.49157457418</v>
      </c>
      <c r="I8" s="19" t="n">
        <f aca="false">Assumptions!I20*'Income Statement'!I7</f>
        <v>8000.38860149268</v>
      </c>
      <c r="J8" s="19" t="n">
        <f aca="false">Assumptions!J20*'Income Statement'!J7</f>
        <v>7787.12614937011</v>
      </c>
    </row>
    <row r="9" customFormat="false" ht="15" hidden="false" customHeight="false" outlineLevel="0" collapsed="false">
      <c r="A9" s="0" t="s">
        <v>109</v>
      </c>
      <c r="C9" s="18" t="n">
        <v>6523</v>
      </c>
      <c r="D9" s="18" t="n">
        <v>5867</v>
      </c>
      <c r="E9" s="18" t="n">
        <v>14135</v>
      </c>
      <c r="F9" s="19" t="n">
        <f aca="false">MIN(MAX(0,IF(Assumptions!$C$11=1,F7*Assumptions!F19,'Income Statement'!F7*Assumptions!F19)),MAX(0,F7+F8))</f>
        <v>10275.6756433441</v>
      </c>
      <c r="G9" s="19" t="n">
        <f aca="false">MIN(MAX(0,IF(Assumptions!$C$11=1,G7*Assumptions!G19,'Income Statement'!G7*Assumptions!G19)),MAX(0,G7+G8))</f>
        <v>10017.3302901813</v>
      </c>
      <c r="H9" s="19" t="n">
        <f aca="false">MIN(MAX(0,IF(Assumptions!$C$11=1,H7*Assumptions!H19,'Income Statement'!H7*Assumptions!H19)),MAX(0,H7+H8))</f>
        <v>9769.72388066777</v>
      </c>
      <c r="I9" s="19" t="n">
        <f aca="false">MIN(MAX(0,IF(Assumptions!$C$11=1,I7*Assumptions!I19,'Income Statement'!I7*Assumptions!I19)),MAX(0,I7+I8))</f>
        <v>9527.73438760629</v>
      </c>
      <c r="J9" s="19" t="n">
        <f aca="false">MIN(MAX(0,IF(Assumptions!$C$11=1,J7*Assumptions!J19,'Income Statement'!J7*Assumptions!J19)),MAX(0,J7+J8))</f>
        <v>9289.31745418386</v>
      </c>
    </row>
    <row r="10" customFormat="false" ht="15" hidden="false" customHeight="false" outlineLevel="0" collapsed="false">
      <c r="A10" s="15" t="s">
        <v>144</v>
      </c>
      <c r="C10" s="16" t="n">
        <v>62205</v>
      </c>
      <c r="D10" s="16" t="n">
        <v>64875</v>
      </c>
      <c r="E10" s="16" t="n">
        <v>65828</v>
      </c>
      <c r="F10" s="17" t="n">
        <f aca="false">F7+F8-F9</f>
        <v>64172.9888359391</v>
      </c>
      <c r="G10" s="17" t="n">
        <f aca="false">G7+G8-G9</f>
        <v>62586.7734578767</v>
      </c>
      <c r="H10" s="17" t="n">
        <f aca="false">H7+H8-H9</f>
        <v>61036.5411517831</v>
      </c>
      <c r="I10" s="17" t="n">
        <f aca="false">I7+I8-I9</f>
        <v>59509.1953656694</v>
      </c>
      <c r="J10" s="17" t="n">
        <f aca="false">J7+J8-J9</f>
        <v>58007.0040608557</v>
      </c>
    </row>
    <row r="12" customFormat="false" ht="15" hidden="false" customHeight="false" outlineLevel="0" collapsed="false">
      <c r="A12" s="6" t="s">
        <v>145</v>
      </c>
    </row>
    <row r="13" customFormat="false" ht="15" hidden="false" customHeight="false" outlineLevel="0" collapsed="false">
      <c r="A13" s="0" t="s">
        <v>146</v>
      </c>
      <c r="C13" s="18"/>
      <c r="D13" s="18"/>
      <c r="E13" s="18"/>
      <c r="F13" s="19" t="n">
        <f aca="false">'Balance Sheet'!E24</f>
        <v>163336</v>
      </c>
      <c r="G13" s="19" t="n">
        <f aca="false">'Balance Sheet'!F24</f>
        <v>163336</v>
      </c>
      <c r="H13" s="19" t="n">
        <f aca="false">'Balance Sheet'!G24</f>
        <v>163336</v>
      </c>
      <c r="I13" s="19" t="n">
        <f aca="false">'Balance Sheet'!H24</f>
        <v>163336</v>
      </c>
      <c r="J13" s="19" t="n">
        <f aca="false">'Balance Sheet'!I24</f>
        <v>163336</v>
      </c>
    </row>
    <row r="14" customFormat="false" ht="15" hidden="false" customHeight="false" outlineLevel="0" collapsed="false">
      <c r="A14" s="0" t="s">
        <v>147</v>
      </c>
      <c r="C14" s="18"/>
      <c r="D14" s="18"/>
      <c r="E14" s="18"/>
      <c r="F14" s="19" t="n">
        <f aca="false">Assumptions!F32</f>
        <v>0</v>
      </c>
      <c r="G14" s="19" t="n">
        <f aca="false">Assumptions!G32</f>
        <v>0</v>
      </c>
      <c r="H14" s="19" t="n">
        <f aca="false">Assumptions!H32</f>
        <v>0</v>
      </c>
      <c r="I14" s="19" t="n">
        <f aca="false">Assumptions!I32</f>
        <v>0</v>
      </c>
      <c r="J14" s="19" t="n">
        <f aca="false">Assumptions!J32</f>
        <v>0</v>
      </c>
    </row>
    <row r="15" customFormat="false" ht="15" hidden="false" customHeight="false" outlineLevel="0" collapsed="false">
      <c r="A15" s="0" t="s">
        <v>148</v>
      </c>
      <c r="C15" s="18"/>
      <c r="D15" s="18"/>
      <c r="E15" s="18"/>
      <c r="F15" s="19" t="n">
        <f aca="false">MIN(Assumptions!F33,F13+F14)</f>
        <v>0</v>
      </c>
      <c r="G15" s="19" t="n">
        <f aca="false">MIN(Assumptions!G33,G13+G14)</f>
        <v>0</v>
      </c>
      <c r="H15" s="19" t="n">
        <f aca="false">MIN(Assumptions!H33,H13+H14)</f>
        <v>0</v>
      </c>
      <c r="I15" s="19" t="n">
        <f aca="false">MIN(Assumptions!I33,I13+I14)</f>
        <v>0</v>
      </c>
      <c r="J15" s="19" t="n">
        <f aca="false">MIN(Assumptions!J33,J13+J14)</f>
        <v>0</v>
      </c>
    </row>
    <row r="16" customFormat="false" ht="15" hidden="false" customHeight="false" outlineLevel="0" collapsed="false">
      <c r="A16" s="15" t="s">
        <v>149</v>
      </c>
      <c r="C16" s="16" t="n">
        <v>149231</v>
      </c>
      <c r="D16" s="16" t="n">
        <v>158522</v>
      </c>
      <c r="E16" s="16" t="n">
        <v>163336</v>
      </c>
      <c r="F16" s="17" t="n">
        <f aca="false">F13+F14-F15</f>
        <v>163336</v>
      </c>
      <c r="G16" s="17" t="n">
        <f aca="false">G13+G14-G15</f>
        <v>163336</v>
      </c>
      <c r="H16" s="17" t="n">
        <f aca="false">H13+H14-H15</f>
        <v>163336</v>
      </c>
      <c r="I16" s="17" t="n">
        <f aca="false">I13+I14-I15</f>
        <v>163336</v>
      </c>
      <c r="J16" s="17" t="n">
        <f aca="false">J13+J14-J15</f>
        <v>163336</v>
      </c>
    </row>
    <row r="18" customFormat="false" ht="15" hidden="false" customHeight="false" outlineLevel="0" collapsed="false">
      <c r="A18" s="6" t="s">
        <v>90</v>
      </c>
    </row>
    <row r="19" customFormat="false" ht="15" hidden="false" customHeight="false" outlineLevel="0" collapsed="false">
      <c r="A19" s="0" t="s">
        <v>150</v>
      </c>
      <c r="C19" s="18"/>
      <c r="D19" s="18"/>
      <c r="E19" s="18"/>
      <c r="F19" s="19" t="n">
        <f aca="false">'Balance Sheet'!E22</f>
        <v>0</v>
      </c>
      <c r="G19" s="19" t="n">
        <f aca="false">'Balance Sheet'!F22</f>
        <v>5793.67127125153</v>
      </c>
      <c r="H19" s="19" t="n">
        <f aca="false">'Balance Sheet'!G22</f>
        <v>12568.0327191668</v>
      </c>
      <c r="I19" s="19" t="n">
        <f aca="false">'Balance Sheet'!H22</f>
        <v>18726.7</v>
      </c>
      <c r="J19" s="19" t="n">
        <f aca="false">'Balance Sheet'!I22</f>
        <v>18726.7</v>
      </c>
    </row>
    <row r="20" customFormat="false" ht="15" hidden="false" customHeight="false" outlineLevel="0" collapsed="false">
      <c r="A20" s="0" t="s">
        <v>134</v>
      </c>
      <c r="C20" s="18"/>
      <c r="D20" s="18"/>
      <c r="E20" s="18"/>
      <c r="F20" s="19" t="n">
        <f aca="false">'Balance Sheet'!E7</f>
        <v>23356</v>
      </c>
      <c r="G20" s="19" t="n">
        <f aca="false">'Balance Sheet'!F7</f>
        <v>11678</v>
      </c>
      <c r="H20" s="19" t="n">
        <f aca="false">'Balance Sheet'!G7</f>
        <v>11678</v>
      </c>
      <c r="I20" s="19" t="n">
        <f aca="false">'Balance Sheet'!H7</f>
        <v>11015.8701469074</v>
      </c>
      <c r="J20" s="19" t="n">
        <f aca="false">'Balance Sheet'!I7</f>
        <v>4081.8790101508</v>
      </c>
    </row>
    <row r="21" customFormat="false" ht="15" hidden="false" customHeight="false" outlineLevel="0" collapsed="false">
      <c r="A21" s="0" t="s">
        <v>151</v>
      </c>
      <c r="C21" s="18"/>
      <c r="D21" s="18"/>
      <c r="E21" s="18"/>
      <c r="F21" s="19" t="n">
        <f aca="false">'Cash Flow'!F16</f>
        <v>-8851.00679196832</v>
      </c>
      <c r="G21" s="19" t="n">
        <f aca="false">'Cash Flow'!G16</f>
        <v>1656.75346420354</v>
      </c>
      <c r="H21" s="19" t="n">
        <f aca="false">'Cash Flow'!H16</f>
        <v>1398.69444064836</v>
      </c>
      <c r="I21" s="19" t="n">
        <f aca="false">'Cash Flow'!I16</f>
        <v>1066.39746473609</v>
      </c>
      <c r="J21" s="19" t="n">
        <f aca="false">'Cash Flow'!J16</f>
        <v>669.203599994303</v>
      </c>
    </row>
    <row r="22" customFormat="false" ht="15" hidden="false" customHeight="false" outlineLevel="0" collapsed="false">
      <c r="A22" s="0" t="s">
        <v>152</v>
      </c>
      <c r="C22" s="18"/>
      <c r="D22" s="18"/>
      <c r="E22" s="18"/>
      <c r="F22" s="19" t="n">
        <f aca="false">'Cash Flow'!F21</f>
        <v>-8620.66447928321</v>
      </c>
      <c r="G22" s="19" t="n">
        <f aca="false">'Cash Flow'!G21</f>
        <v>-8431.11491211882</v>
      </c>
      <c r="H22" s="19" t="n">
        <f aca="false">'Cash Flow'!H21</f>
        <v>-8219.49157457418</v>
      </c>
      <c r="I22" s="19" t="n">
        <f aca="false">'Cash Flow'!I21</f>
        <v>-8000.38860149268</v>
      </c>
      <c r="J22" s="19" t="n">
        <f aca="false">'Cash Flow'!J21</f>
        <v>-7787.12614937011</v>
      </c>
    </row>
    <row r="23" customFormat="false" ht="15" hidden="false" customHeight="false" outlineLevel="0" collapsed="false">
      <c r="A23" s="0" t="s">
        <v>153</v>
      </c>
      <c r="C23" s="18"/>
      <c r="D23" s="18"/>
      <c r="E23" s="18"/>
      <c r="F23" s="19" t="n">
        <f aca="false">'Cash Flow'!F24+'Cash Flow'!F25+'Cash Flow'!F27+'Cash Flow'!F28+'Cash Flow'!F29</f>
        <v>0</v>
      </c>
      <c r="G23" s="19" t="n">
        <f aca="false">'Cash Flow'!G24+'Cash Flow'!G25+'Cash Flow'!G27+'Cash Flow'!G28+'Cash Flow'!G29</f>
        <v>0</v>
      </c>
      <c r="H23" s="19" t="n">
        <f aca="false">'Cash Flow'!H24+'Cash Flow'!H25+'Cash Flow'!H27+'Cash Flow'!H28+'Cash Flow'!H29</f>
        <v>0</v>
      </c>
      <c r="I23" s="19" t="n">
        <f aca="false">'Cash Flow'!I24+'Cash Flow'!I25+'Cash Flow'!I27+'Cash Flow'!I28+'Cash Flow'!I29</f>
        <v>0</v>
      </c>
      <c r="J23" s="19" t="n">
        <f aca="false">'Cash Flow'!J24+'Cash Flow'!J25+'Cash Flow'!J27+'Cash Flow'!J28+'Cash Flow'!J29</f>
        <v>0</v>
      </c>
    </row>
    <row r="24" customFormat="false" ht="15" hidden="false" customHeight="false" outlineLevel="0" collapsed="false">
      <c r="A24" s="0" t="s">
        <v>154</v>
      </c>
      <c r="C24" s="18"/>
      <c r="D24" s="18"/>
      <c r="E24" s="18"/>
      <c r="F24" s="19" t="n">
        <f aca="false">F20+F21+F22+F23</f>
        <v>5884.32872874847</v>
      </c>
      <c r="G24" s="19" t="n">
        <f aca="false">G20+G21+G22+G23</f>
        <v>4903.63855208473</v>
      </c>
      <c r="H24" s="19" t="n">
        <f aca="false">H20+H21+H22+H23</f>
        <v>4857.20286607419</v>
      </c>
      <c r="I24" s="19" t="n">
        <f aca="false">I20+I21+I22+I23</f>
        <v>4081.8790101508</v>
      </c>
      <c r="J24" s="19" t="n">
        <f aca="false">J20+J21+J22+J23</f>
        <v>-3036.04353922501</v>
      </c>
    </row>
    <row r="25" customFormat="false" ht="15" hidden="false" customHeight="false" outlineLevel="0" collapsed="false">
      <c r="A25" s="0" t="s">
        <v>155</v>
      </c>
      <c r="C25" s="18"/>
      <c r="D25" s="18"/>
      <c r="E25" s="18"/>
      <c r="F25" s="19" t="n">
        <f aca="false">Assumptions!$C$7</f>
        <v>11678</v>
      </c>
      <c r="G25" s="19" t="n">
        <f aca="false">Assumptions!$C$7</f>
        <v>11678</v>
      </c>
      <c r="H25" s="19" t="n">
        <f aca="false">Assumptions!$C$7</f>
        <v>11678</v>
      </c>
      <c r="I25" s="19" t="n">
        <f aca="false">Assumptions!$C$7</f>
        <v>11678</v>
      </c>
      <c r="J25" s="19" t="n">
        <f aca="false">Assumptions!$C$7</f>
        <v>11678</v>
      </c>
    </row>
    <row r="26" customFormat="false" ht="15" hidden="false" customHeight="false" outlineLevel="0" collapsed="false">
      <c r="A26" s="0" t="s">
        <v>156</v>
      </c>
      <c r="C26" s="18"/>
      <c r="D26" s="18"/>
      <c r="E26" s="18"/>
      <c r="F26" s="19" t="n">
        <f aca="false">MAX(0,Assumptions!$C$8-F19)</f>
        <v>18726.7</v>
      </c>
      <c r="G26" s="19" t="n">
        <f aca="false">MAX(0,Assumptions!$C$8-G19)</f>
        <v>12933.0287287485</v>
      </c>
      <c r="H26" s="19" t="n">
        <f aca="false">MAX(0,Assumptions!$C$8-H19)</f>
        <v>6158.6672808332</v>
      </c>
      <c r="I26" s="19" t="n">
        <f aca="false">MAX(0,Assumptions!$C$8-I19)</f>
        <v>0</v>
      </c>
      <c r="J26" s="19" t="n">
        <f aca="false">MAX(0,Assumptions!$C$8-J19)</f>
        <v>0</v>
      </c>
    </row>
    <row r="27" customFormat="false" ht="15" hidden="false" customHeight="false" outlineLevel="0" collapsed="false">
      <c r="A27" s="0" t="s">
        <v>157</v>
      </c>
      <c r="C27" s="18"/>
      <c r="D27" s="18"/>
      <c r="E27" s="18"/>
      <c r="F27" s="19" t="n">
        <f aca="false">IF(F24&lt;F25,MIN(F25-F24,F26),0)</f>
        <v>5793.67127125153</v>
      </c>
      <c r="G27" s="19" t="n">
        <f aca="false">IF(G24&lt;G25,MIN(G25-G24,G26),0)</f>
        <v>6774.36144791527</v>
      </c>
      <c r="H27" s="19" t="n">
        <f aca="false">IF(H24&lt;H25,MIN(H25-H24,H26),0)</f>
        <v>6158.6672808332</v>
      </c>
      <c r="I27" s="19" t="n">
        <f aca="false">IF(I24&lt;I25,MIN(I25-I24,I26),0)</f>
        <v>0</v>
      </c>
      <c r="J27" s="19" t="n">
        <f aca="false">IF(J24&lt;J25,MIN(J25-J24,J26),0)</f>
        <v>0</v>
      </c>
    </row>
    <row r="28" customFormat="false" ht="15" hidden="false" customHeight="false" outlineLevel="0" collapsed="false">
      <c r="A28" s="0" t="s">
        <v>158</v>
      </c>
      <c r="C28" s="18"/>
      <c r="D28" s="18"/>
      <c r="E28" s="18"/>
      <c r="F28" s="19" t="n">
        <f aca="false">IF(F24&lt;F25,0,MIN(F19,F24-F25))</f>
        <v>0</v>
      </c>
      <c r="G28" s="19" t="n">
        <f aca="false">IF(G24&lt;G25,0,MIN(G19,G24-G25))</f>
        <v>0</v>
      </c>
      <c r="H28" s="19" t="n">
        <f aca="false">IF(H24&lt;H25,0,MIN(H19,H24-H25))</f>
        <v>0</v>
      </c>
      <c r="I28" s="19" t="n">
        <f aca="false">IF(I24&lt;I25,0,MIN(I19,I24-I25))</f>
        <v>0</v>
      </c>
      <c r="J28" s="19" t="n">
        <f aca="false">IF(J24&lt;J25,0,MIN(J19,J24-J25))</f>
        <v>0</v>
      </c>
    </row>
    <row r="29" customFormat="false" ht="15" hidden="false" customHeight="false" outlineLevel="0" collapsed="false">
      <c r="A29" s="15" t="s">
        <v>159</v>
      </c>
      <c r="C29" s="16" t="n">
        <v>0</v>
      </c>
      <c r="D29" s="16" t="n">
        <v>0</v>
      </c>
      <c r="E29" s="16" t="n">
        <v>0</v>
      </c>
      <c r="F29" s="17" t="n">
        <f aca="false">F19+F27-F28</f>
        <v>5793.67127125153</v>
      </c>
      <c r="G29" s="17" t="n">
        <f aca="false">G19+G27-G28</f>
        <v>12568.0327191668</v>
      </c>
      <c r="H29" s="17" t="n">
        <f aca="false">H19+H27-H28</f>
        <v>18726.7</v>
      </c>
      <c r="I29" s="17" t="n">
        <f aca="false">I19+I27-I28</f>
        <v>18726.7</v>
      </c>
      <c r="J29" s="17" t="n">
        <f aca="false">J19+J27-J28</f>
        <v>18726.7</v>
      </c>
    </row>
    <row r="31" customFormat="false" ht="15" hidden="false" customHeight="false" outlineLevel="0" collapsed="false">
      <c r="A31" s="6" t="s">
        <v>160</v>
      </c>
    </row>
    <row r="32" customFormat="false" ht="15" hidden="false" customHeight="false" outlineLevel="0" collapsed="false">
      <c r="A32" s="0" t="s">
        <v>161</v>
      </c>
      <c r="C32" s="24"/>
      <c r="D32" s="24"/>
      <c r="E32" s="24"/>
      <c r="F32" s="25" t="n">
        <f aca="false">IF(AND(Assumptions!$C$9=1,Assumptions!$C$10=0),1,0)</f>
        <v>1</v>
      </c>
      <c r="G32" s="25" t="n">
        <f aca="false">IF(AND(Assumptions!$C$9=1,Assumptions!$C$10=0),1,0)</f>
        <v>1</v>
      </c>
      <c r="H32" s="25" t="n">
        <f aca="false">IF(AND(Assumptions!$C$9=1,Assumptions!$C$10=0),1,0)</f>
        <v>1</v>
      </c>
      <c r="I32" s="25" t="n">
        <f aca="false">IF(AND(Assumptions!$C$9=1,Assumptions!$C$10=0),1,0)</f>
        <v>1</v>
      </c>
      <c r="J32" s="25" t="n">
        <f aca="false">IF(AND(Assumptions!$C$9=1,Assumptions!$C$10=0),1,0)</f>
        <v>1</v>
      </c>
    </row>
    <row r="33" customFormat="false" ht="15" hidden="false" customHeight="false" outlineLevel="0" collapsed="false">
      <c r="A33" s="0" t="s">
        <v>162</v>
      </c>
      <c r="C33" s="18"/>
      <c r="D33" s="18"/>
      <c r="E33" s="18"/>
      <c r="F33" s="19" t="n">
        <f aca="false">Assumptions!F34*IF(F32=1,(F13+F16)/2,F13)</f>
        <v>3729.42636466289</v>
      </c>
      <c r="G33" s="19" t="n">
        <f aca="false">Assumptions!G34*IF(G32=1,(G13+G16)/2,G13)</f>
        <v>3729.42636466289</v>
      </c>
      <c r="H33" s="19" t="n">
        <f aca="false">Assumptions!H34*IF(H32=1,(H13+H16)/2,H13)</f>
        <v>3729.42636466289</v>
      </c>
      <c r="I33" s="19" t="n">
        <f aca="false">Assumptions!I34*IF(I32=1,(I13+I16)/2,I13)</f>
        <v>3729.42636466289</v>
      </c>
      <c r="J33" s="19" t="n">
        <f aca="false">Assumptions!J34*IF(J32=1,(J13+J16)/2,J13)</f>
        <v>3729.42636466289</v>
      </c>
    </row>
    <row r="34" customFormat="false" ht="15" hidden="false" customHeight="false" outlineLevel="0" collapsed="false">
      <c r="A34" s="0" t="s">
        <v>163</v>
      </c>
      <c r="C34" s="18"/>
      <c r="D34" s="18"/>
      <c r="E34" s="18"/>
      <c r="F34" s="19" t="n">
        <f aca="false">Assumptions!F36*IF(F32=1,(F19+F29)/2,F19)</f>
        <v>109.595547670485</v>
      </c>
      <c r="G34" s="19" t="n">
        <f aca="false">Assumptions!G36*IF(G32=1,(G19+G29)/2,G19)</f>
        <v>347.337795117691</v>
      </c>
      <c r="H34" s="19" t="n">
        <f aca="false">Assumptions!H36*IF(H32=1,(H19+H29)/2,H19)</f>
        <v>591.984462179821</v>
      </c>
      <c r="I34" s="19" t="n">
        <f aca="false">Assumptions!I36*IF(I32=1,(I19+I29)/2,I19)</f>
        <v>708.484429465228</v>
      </c>
      <c r="J34" s="19" t="n">
        <f aca="false">Assumptions!J36*IF(J32=1,(J19+J29)/2,J19)</f>
        <v>708.484429465228</v>
      </c>
    </row>
    <row r="35" customFormat="false" ht="15" hidden="false" customHeight="false" outlineLevel="0" collapsed="false">
      <c r="A35" s="0" t="s">
        <v>164</v>
      </c>
      <c r="C35" s="18"/>
      <c r="D35" s="18"/>
      <c r="E35" s="18"/>
      <c r="F35" s="19" t="n">
        <f aca="false">Assumptions!F35*MAX(0,IF(F32=1,('Balance Sheet'!E7+'Balance Sheet'!E8+'Balance Sheet'!F7+'Balance Sheet'!F8)/2,'Balance Sheet'!E7+'Balance Sheet'!E8))</f>
        <v>1273.44475205692</v>
      </c>
      <c r="G35" s="19" t="n">
        <f aca="false">Assumptions!G35*MAX(0,IF(G32=1,('Balance Sheet'!F7+'Balance Sheet'!F8+'Balance Sheet'!G7+'Balance Sheet'!G8)/2,'Balance Sheet'!F7+'Balance Sheet'!F8))</f>
        <v>1045.69285585316</v>
      </c>
      <c r="H35" s="19" t="n">
        <f aca="false">Assumptions!H35*MAX(0,IF(H32=1,('Balance Sheet'!G7+'Balance Sheet'!G8+'Balance Sheet'!H7+'Balance Sheet'!H8)/2,'Balance Sheet'!G7+'Balance Sheet'!G8))</f>
        <v>1032.77957193683</v>
      </c>
      <c r="I35" s="19" t="n">
        <f aca="false">Assumptions!I35*MAX(0,IF(I32=1,('Balance Sheet'!H7+'Balance Sheet'!H8+'Balance Sheet'!I7+'Balance Sheet'!I8)/2,'Balance Sheet'!H7+'Balance Sheet'!H8))</f>
        <v>884.635115760139</v>
      </c>
      <c r="J35" s="19" t="n">
        <f aca="false">Assumptions!J35*MAX(0,IF(J32=1,('Balance Sheet'!I7+'Balance Sheet'!I8+'Balance Sheet'!J7+'Balance Sheet'!J8)/2,'Balance Sheet'!I7+'Balance Sheet'!I8))</f>
        <v>610.585622070448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6" customFormat="false" ht="15" hidden="false" customHeight="false" outlineLevel="0" collapsed="false">
      <c r="A6" s="6" t="s">
        <v>167</v>
      </c>
    </row>
    <row r="7" customFormat="false" ht="15" hidden="false" customHeight="false" outlineLevel="0" collapsed="false">
      <c r="A7" s="22" t="s">
        <v>168</v>
      </c>
      <c r="C7" s="23" t="n">
        <f aca="false">'Balance Sheet'!C39</f>
        <v>0</v>
      </c>
      <c r="D7" s="23" t="n">
        <f aca="false">'Balance Sheet'!D39</f>
        <v>0</v>
      </c>
      <c r="E7" s="23" t="n">
        <f aca="false">'Balance Sheet'!E39</f>
        <v>0</v>
      </c>
      <c r="F7" s="23" t="n">
        <f aca="false">'Balance Sheet'!F39</f>
        <v>0</v>
      </c>
      <c r="G7" s="23" t="n">
        <f aca="false">'Balance Sheet'!G39</f>
        <v>0</v>
      </c>
      <c r="H7" s="23" t="n">
        <f aca="false">'Balance Sheet'!H39</f>
        <v>0</v>
      </c>
      <c r="I7" s="23" t="n">
        <f aca="false">'Balance Sheet'!I39</f>
        <v>0</v>
      </c>
      <c r="J7" s="23" t="n">
        <f aca="false">'Balance Sheet'!J39</f>
        <v>0</v>
      </c>
    </row>
    <row r="8" customFormat="false" ht="15" hidden="false" customHeight="false" outlineLevel="0" collapsed="false">
      <c r="A8" s="0" t="s">
        <v>169</v>
      </c>
      <c r="C8" s="26"/>
      <c r="D8" s="26"/>
      <c r="E8" s="26"/>
      <c r="F8" s="27" t="n">
        <f aca="false">ROUND('Balance Sheet'!F7-'Cash Flow'!F37,6)</f>
        <v>0</v>
      </c>
      <c r="G8" s="27" t="n">
        <f aca="false">ROUND('Balance Sheet'!G7-'Cash Flow'!G37,6)</f>
        <v>0</v>
      </c>
      <c r="H8" s="27" t="n">
        <f aca="false">ROUND('Balance Sheet'!H7-'Cash Flow'!H37,6)</f>
        <v>0</v>
      </c>
      <c r="I8" s="27" t="n">
        <f aca="false">ROUND('Balance Sheet'!I7-'Cash Flow'!I37,6)</f>
        <v>0</v>
      </c>
      <c r="J8" s="27" t="n">
        <f aca="false">ROUND('Balance Sheet'!J7-'Cash Flow'!J37,6)</f>
        <v>0</v>
      </c>
    </row>
    <row r="9" customFormat="false" ht="15" hidden="false" customHeight="false" outlineLevel="0" collapsed="false">
      <c r="A9" s="0" t="s">
        <v>170</v>
      </c>
      <c r="C9" s="26"/>
      <c r="D9" s="26"/>
      <c r="E9" s="26"/>
      <c r="F9" s="27" t="n">
        <f aca="false">ROUND('Balance Sheet'!F30-('Balance Sheet'!E30+'Income Statement'!F29+'Cash Flow'!F27),6)</f>
        <v>0</v>
      </c>
      <c r="G9" s="27" t="n">
        <f aca="false">ROUND('Balance Sheet'!G30-('Balance Sheet'!F30+'Income Statement'!G29+'Cash Flow'!G27),6)</f>
        <v>0</v>
      </c>
      <c r="H9" s="27" t="n">
        <f aca="false">ROUND('Balance Sheet'!H30-('Balance Sheet'!G30+'Income Statement'!H29+'Cash Flow'!H27),6)</f>
        <v>0</v>
      </c>
      <c r="I9" s="27" t="n">
        <f aca="false">ROUND('Balance Sheet'!I30-('Balance Sheet'!H30+'Income Statement'!I29+'Cash Flow'!I27),6)</f>
        <v>0</v>
      </c>
      <c r="J9" s="27" t="n">
        <f aca="false">ROUND('Balance Sheet'!J30-('Balance Sheet'!I30+'Income Statement'!J29+'Cash Flow'!J27),6)</f>
        <v>0</v>
      </c>
    </row>
    <row r="10" customFormat="false" ht="15" hidden="false" customHeight="false" outlineLevel="0" collapsed="false">
      <c r="A10" s="0" t="s">
        <v>171</v>
      </c>
      <c r="C10" s="26"/>
      <c r="D10" s="26"/>
      <c r="E10" s="26"/>
      <c r="F10" s="27" t="n">
        <f aca="false">ROUND('Balance Sheet'!F15-('Balance Sheet'!E15-'Cash Flow'!F19-'Income Statement'!F14),6)</f>
        <v>0</v>
      </c>
      <c r="G10" s="27" t="n">
        <f aca="false">ROUND('Balance Sheet'!G15-('Balance Sheet'!F15-'Cash Flow'!G19-'Income Statement'!G14),6)</f>
        <v>0</v>
      </c>
      <c r="H10" s="27" t="n">
        <f aca="false">ROUND('Balance Sheet'!H15-('Balance Sheet'!G15-'Cash Flow'!H19-'Income Statement'!H14),6)</f>
        <v>0</v>
      </c>
      <c r="I10" s="27" t="n">
        <f aca="false">ROUND('Balance Sheet'!I15-('Balance Sheet'!H15-'Cash Flow'!I19-'Income Statement'!I14),6)</f>
        <v>0</v>
      </c>
      <c r="J10" s="27" t="n">
        <f aca="false">ROUND('Balance Sheet'!J15-('Balance Sheet'!I15-'Cash Flow'!J19-'Income Statement'!J14),6)</f>
        <v>0</v>
      </c>
    </row>
    <row r="11" customFormat="false" ht="15" hidden="false" customHeight="false" outlineLevel="0" collapsed="false">
      <c r="A11" s="0" t="s">
        <v>172</v>
      </c>
      <c r="C11" s="26"/>
      <c r="D11" s="26"/>
      <c r="E11" s="26"/>
      <c r="F11" s="27" t="n">
        <f aca="false">ROUND(('Balance Sheet'!F24+'Balance Sheet'!F22)-('Balance Sheet'!E24+'Balance Sheet'!E22+'Cash Flow'!F24+'Cash Flow'!F25+'Cash Flow'!F26),6)</f>
        <v>0</v>
      </c>
      <c r="G11" s="27" t="n">
        <f aca="false">ROUND(('Balance Sheet'!G24+'Balance Sheet'!G22)-('Balance Sheet'!F24+'Balance Sheet'!F22+'Cash Flow'!G24+'Cash Flow'!G25+'Cash Flow'!G26),6)</f>
        <v>0</v>
      </c>
      <c r="H11" s="27" t="n">
        <f aca="false">ROUND(('Balance Sheet'!H24+'Balance Sheet'!H22)-('Balance Sheet'!G24+'Balance Sheet'!G22+'Cash Flow'!H24+'Cash Flow'!H25+'Cash Flow'!H26),6)</f>
        <v>0</v>
      </c>
      <c r="I11" s="27" t="n">
        <f aca="false">ROUND(('Balance Sheet'!I24+'Balance Sheet'!I22)-('Balance Sheet'!H24+'Balance Sheet'!H22+'Cash Flow'!I24+'Cash Flow'!I25+'Cash Flow'!I26),6)</f>
        <v>0</v>
      </c>
      <c r="J11" s="27" t="n">
        <f aca="false">ROUND(('Balance Sheet'!J24+'Balance Sheet'!J22)-('Balance Sheet'!I24+'Balance Sheet'!I22+'Cash Flow'!J24+'Cash Flow'!J25+'Cash Flow'!J26),6)</f>
        <v>0</v>
      </c>
    </row>
    <row r="13" customFormat="false" ht="15" hidden="false" customHeight="false" outlineLevel="0" collapsed="false">
      <c r="A13" s="15" t="s">
        <v>173</v>
      </c>
      <c r="C13" s="23" t="n">
        <f aca="false">MAX(MAX(C7:J7,C8:J8,C9:J9,C10:J10,C11:J11),-MIN(C7:J7,C8:J8,C9:J9,C10:J10,C11:J11))</f>
        <v>-0</v>
      </c>
    </row>
    <row r="15" customFormat="false" ht="15" hidden="false" customHeight="false" outlineLevel="0" collapsed="false">
      <c r="A15" s="0" t="s">
        <v>174</v>
      </c>
      <c r="F15" s="0" t="str">
        <f aca="false">IF(Schedules!F24+Schedules!F27&lt;Schedules!F25-0.005,"SHORTFALL","ok")</f>
        <v>ok</v>
      </c>
      <c r="G15" s="0" t="str">
        <f aca="false">IF(Schedules!G24+Schedules!G27&lt;Schedules!G25-0.005,"SHORTFALL","ok")</f>
        <v>ok</v>
      </c>
      <c r="H15" s="0" t="str">
        <f aca="false">IF(Schedules!H24+Schedules!H27&lt;Schedules!H25-0.005,"SHORTFALL","ok")</f>
        <v>SHORTFALL</v>
      </c>
      <c r="I15" s="0" t="str">
        <f aca="false">IF(Schedules!I24+Schedules!I27&lt;Schedules!I25-0.005,"SHORTFALL","ok")</f>
        <v>SHORTFALL</v>
      </c>
      <c r="J15" s="0" t="str">
        <f aca="false">IF(Schedules!J24+Schedules!J27&lt;Schedules!J25-0.005,"SHORTFALL","ok")</f>
        <v>SHORTFALL</v>
      </c>
    </row>
    <row r="17" customFormat="false" ht="45" hidden="false" customHeight="true" outlineLevel="0" collapsed="false">
      <c r="A17" s="28" t="s">
        <v>175</v>
      </c>
    </row>
    <row r="18" customFormat="false" ht="45" hidden="false" customHeight="true" outlineLevel="0" collapsed="false">
      <c r="A18" s="28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48"/>
  </cols>
  <sheetData>
    <row r="1" customFormat="false" ht="17.35" hidden="false" customHeight="false" outlineLevel="0" collapsed="false">
      <c r="A1" s="1" t="s">
        <v>177</v>
      </c>
    </row>
    <row r="3" customFormat="false" ht="15" hidden="false" customHeight="false" outlineLevel="0" collapsed="false">
      <c r="A3" s="0" t="s">
        <v>178</v>
      </c>
      <c r="B3" s="0" t="s">
        <v>179</v>
      </c>
    </row>
    <row r="5" customFormat="false" ht="15" hidden="false" customHeight="false" outlineLevel="0" collapsed="false">
      <c r="A5" s="15" t="s">
        <v>180</v>
      </c>
    </row>
    <row r="6" customFormat="false" ht="15" hidden="false" customHeight="false" outlineLevel="0" collapsed="false">
      <c r="A6" s="0" t="s">
        <v>181</v>
      </c>
    </row>
    <row r="7" customFormat="false" ht="15" hidden="false" customHeight="false" outlineLevel="0" collapsed="false">
      <c r="A7" s="0" t="s">
        <v>182</v>
      </c>
    </row>
    <row r="8" customFormat="false" ht="15" hidden="false" customHeight="false" outlineLevel="0" collapsed="false">
      <c r="A8" s="0" t="s">
        <v>183</v>
      </c>
    </row>
    <row r="9" customFormat="false" ht="15" hidden="false" customHeight="false" outlineLevel="0" collapsed="false">
      <c r="A9" s="0" t="s">
        <v>184</v>
      </c>
    </row>
    <row r="10" customFormat="false" ht="15" hidden="false" customHeight="false" outlineLevel="0" collapsed="false">
      <c r="A10" s="0" t="s">
        <v>185</v>
      </c>
    </row>
    <row r="11" customFormat="false" ht="15" hidden="false" customHeight="false" outlineLevel="0" collapsed="false">
      <c r="A11" s="0" t="s">
        <v>186</v>
      </c>
    </row>
    <row r="12" customFormat="false" ht="15" hidden="false" customHeight="false" outlineLevel="0" collapsed="false">
      <c r="A12" s="0" t="s">
        <v>187</v>
      </c>
    </row>
    <row r="13" customFormat="false" ht="15" hidden="false" customHeight="false" outlineLevel="0" collapsed="false">
      <c r="A13" s="0" t="s">
        <v>188</v>
      </c>
    </row>
    <row r="14" customFormat="false" ht="15" hidden="false" customHeight="false" outlineLevel="0" collapsed="false">
      <c r="A14" s="0" t="s">
        <v>189</v>
      </c>
    </row>
    <row r="16" customFormat="false" ht="15" hidden="false" customHeight="false" outlineLevel="0" collapsed="false">
      <c r="A16" s="15" t="s">
        <v>190</v>
      </c>
      <c r="B16" s="15" t="s">
        <v>191</v>
      </c>
      <c r="C16" s="15" t="s">
        <v>192</v>
      </c>
      <c r="D16" s="15" t="s">
        <v>193</v>
      </c>
    </row>
    <row r="17" customFormat="false" ht="15" hidden="false" customHeight="false" outlineLevel="0" collapsed="false">
      <c r="A17" s="0" t="s">
        <v>194</v>
      </c>
      <c r="B17" s="0" t="s">
        <v>195</v>
      </c>
      <c r="C17" s="0" t="s">
        <v>195</v>
      </c>
      <c r="D17" s="0" t="s">
        <v>195</v>
      </c>
    </row>
    <row r="18" customFormat="false" ht="15" hidden="false" customHeight="false" outlineLevel="0" collapsed="false">
      <c r="A18" s="0" t="s">
        <v>196</v>
      </c>
      <c r="B18" s="0" t="s">
        <v>197</v>
      </c>
      <c r="C18" s="0" t="s">
        <v>197</v>
      </c>
      <c r="D18" s="0" t="s">
        <v>197</v>
      </c>
    </row>
    <row r="19" customFormat="false" ht="15" hidden="false" customHeight="false" outlineLevel="0" collapsed="false">
      <c r="A19" s="0" t="s">
        <v>198</v>
      </c>
      <c r="B19" s="0" t="s">
        <v>199</v>
      </c>
      <c r="C19" s="0" t="s">
        <v>199</v>
      </c>
      <c r="D19" s="0" t="s">
        <v>199</v>
      </c>
    </row>
    <row r="20" customFormat="false" ht="15" hidden="false" customHeight="false" outlineLevel="0" collapsed="false">
      <c r="A20" s="0" t="s">
        <v>200</v>
      </c>
      <c r="B20" s="0" t="s">
        <v>201</v>
      </c>
      <c r="C20" s="0" t="s">
        <v>201</v>
      </c>
      <c r="D20" s="0" t="s">
        <v>201</v>
      </c>
    </row>
    <row r="21" customFormat="false" ht="15" hidden="false" customHeight="false" outlineLevel="0" collapsed="false">
      <c r="A21" s="0" t="s">
        <v>202</v>
      </c>
      <c r="B21" s="0" t="s">
        <v>203</v>
      </c>
      <c r="C21" s="0" t="s">
        <v>203</v>
      </c>
      <c r="D21" s="0" t="s">
        <v>203</v>
      </c>
    </row>
    <row r="22" customFormat="false" ht="15" hidden="false" customHeight="false" outlineLevel="0" collapsed="false">
      <c r="A22" s="0" t="s">
        <v>204</v>
      </c>
      <c r="B22" s="0" t="s">
        <v>205</v>
      </c>
      <c r="C22" s="0" t="s">
        <v>205</v>
      </c>
      <c r="D22" s="0" t="s">
        <v>205</v>
      </c>
    </row>
    <row r="23" customFormat="false" ht="15" hidden="false" customHeight="false" outlineLevel="0" collapsed="false">
      <c r="A23" s="0" t="s">
        <v>206</v>
      </c>
      <c r="B23" s="0" t="s">
        <v>207</v>
      </c>
      <c r="C23" s="0" t="s">
        <v>207</v>
      </c>
      <c r="D23" s="0" t="s">
        <v>207</v>
      </c>
    </row>
    <row r="24" customFormat="false" ht="15" hidden="false" customHeight="false" outlineLevel="0" collapsed="false">
      <c r="A24" s="0" t="s">
        <v>208</v>
      </c>
      <c r="B24" s="0" t="s">
        <v>209</v>
      </c>
      <c r="C24" s="0" t="s">
        <v>209</v>
      </c>
      <c r="D24" s="0" t="s">
        <v>209</v>
      </c>
    </row>
    <row r="25" customFormat="false" ht="15" hidden="false" customHeight="false" outlineLevel="0" collapsed="false">
      <c r="A25" s="0" t="s">
        <v>210</v>
      </c>
      <c r="B25" s="0" t="s">
        <v>211</v>
      </c>
      <c r="C25" s="0" t="s">
        <v>211</v>
      </c>
      <c r="D25" s="0" t="s">
        <v>211</v>
      </c>
    </row>
    <row r="26" customFormat="false" ht="15" hidden="false" customHeight="false" outlineLevel="0" collapsed="false">
      <c r="A26" s="0" t="s">
        <v>212</v>
      </c>
      <c r="B26" s="0" t="s">
        <v>213</v>
      </c>
      <c r="C26" s="0" t="s">
        <v>213</v>
      </c>
      <c r="D26" s="0" t="s">
        <v>213</v>
      </c>
    </row>
    <row r="27" customFormat="false" ht="15" hidden="false" customHeight="false" outlineLevel="0" collapsed="false">
      <c r="A27" s="0" t="s">
        <v>214</v>
      </c>
      <c r="B27" s="0" t="s">
        <v>215</v>
      </c>
      <c r="C27" s="0" t="s">
        <v>215</v>
      </c>
      <c r="D27" s="0" t="s">
        <v>215</v>
      </c>
    </row>
    <row r="28" customFormat="false" ht="15" hidden="false" customHeight="false" outlineLevel="0" collapsed="false">
      <c r="A28" s="0" t="s">
        <v>216</v>
      </c>
      <c r="B28" s="0" t="s">
        <v>217</v>
      </c>
      <c r="C28" s="0" t="s">
        <v>217</v>
      </c>
      <c r="D28" s="0" t="s">
        <v>217</v>
      </c>
    </row>
    <row r="29" customFormat="false" ht="15" hidden="false" customHeight="false" outlineLevel="0" collapsed="false">
      <c r="A29" s="0" t="s">
        <v>218</v>
      </c>
      <c r="B29" s="0" t="s">
        <v>219</v>
      </c>
      <c r="C29" s="0" t="s">
        <v>219</v>
      </c>
      <c r="D29" s="0" t="s">
        <v>219</v>
      </c>
    </row>
    <row r="30" customFormat="false" ht="15" hidden="false" customHeight="false" outlineLevel="0" collapsed="false">
      <c r="A30" s="0" t="s">
        <v>220</v>
      </c>
      <c r="B30" s="0" t="s">
        <v>221</v>
      </c>
      <c r="C30" s="0" t="s">
        <v>221</v>
      </c>
      <c r="D30" s="0" t="s">
        <v>221</v>
      </c>
    </row>
    <row r="31" customFormat="false" ht="15" hidden="false" customHeight="false" outlineLevel="0" collapsed="false">
      <c r="A31" s="0" t="s">
        <v>222</v>
      </c>
      <c r="B31" s="0" t="s">
        <v>223</v>
      </c>
      <c r="C31" s="0" t="s">
        <v>223</v>
      </c>
      <c r="D31" s="0" t="s">
        <v>223</v>
      </c>
    </row>
    <row r="32" customFormat="false" ht="15" hidden="false" customHeight="false" outlineLevel="0" collapsed="false">
      <c r="A32" s="0" t="s">
        <v>224</v>
      </c>
      <c r="B32" s="0" t="s">
        <v>225</v>
      </c>
      <c r="C32" s="0" t="s">
        <v>225</v>
      </c>
      <c r="D32" s="0" t="s">
        <v>225</v>
      </c>
    </row>
    <row r="33" customFormat="false" ht="15" hidden="false" customHeight="false" outlineLevel="0" collapsed="false">
      <c r="A33" s="0" t="s">
        <v>226</v>
      </c>
      <c r="B33" s="0" t="s">
        <v>227</v>
      </c>
      <c r="C33" s="0" t="s">
        <v>227</v>
      </c>
      <c r="D33" s="0" t="s">
        <v>227</v>
      </c>
    </row>
    <row r="34" customFormat="false" ht="15" hidden="false" customHeight="false" outlineLevel="0" collapsed="false">
      <c r="A34" s="0" t="s">
        <v>228</v>
      </c>
      <c r="B34" s="0" t="s">
        <v>79</v>
      </c>
      <c r="C34" s="0" t="s">
        <v>79</v>
      </c>
      <c r="D34" s="0" t="s">
        <v>79</v>
      </c>
    </row>
    <row r="35" customFormat="false" ht="15" hidden="false" customHeight="false" outlineLevel="0" collapsed="false">
      <c r="A35" s="0" t="s">
        <v>229</v>
      </c>
      <c r="B35" s="0" t="s">
        <v>230</v>
      </c>
      <c r="C35" s="0" t="s">
        <v>230</v>
      </c>
      <c r="D35" s="0" t="s">
        <v>230</v>
      </c>
    </row>
    <row r="36" customFormat="false" ht="15" hidden="false" customHeight="false" outlineLevel="0" collapsed="false">
      <c r="A36" s="0" t="s">
        <v>231</v>
      </c>
      <c r="B36" s="0" t="s">
        <v>232</v>
      </c>
      <c r="C36" s="0" t="s">
        <v>232</v>
      </c>
      <c r="D36" s="0" t="s">
        <v>232</v>
      </c>
    </row>
    <row r="37" customFormat="false" ht="15" hidden="false" customHeight="false" outlineLevel="0" collapsed="false">
      <c r="A37" s="0" t="s">
        <v>233</v>
      </c>
      <c r="B37" s="0" t="s">
        <v>234</v>
      </c>
      <c r="C37" s="0" t="s">
        <v>234</v>
      </c>
      <c r="D37" s="0" t="s">
        <v>234</v>
      </c>
    </row>
    <row r="38" customFormat="false" ht="15" hidden="false" customHeight="false" outlineLevel="0" collapsed="false">
      <c r="A38" s="0" t="s">
        <v>235</v>
      </c>
      <c r="B38" s="0" t="s">
        <v>236</v>
      </c>
      <c r="C38" s="0" t="s">
        <v>236</v>
      </c>
      <c r="D38" s="0" t="s">
        <v>236</v>
      </c>
    </row>
    <row r="39" customFormat="false" ht="15" hidden="false" customHeight="false" outlineLevel="0" collapsed="false">
      <c r="A39" s="0" t="s">
        <v>237</v>
      </c>
      <c r="B39" s="0" t="s">
        <v>238</v>
      </c>
      <c r="C39" s="0" t="s">
        <v>238</v>
      </c>
      <c r="D39" s="0" t="s">
        <v>238</v>
      </c>
    </row>
    <row r="40" customFormat="false" ht="15" hidden="false" customHeight="false" outlineLevel="0" collapsed="false">
      <c r="A40" s="0" t="s">
        <v>239</v>
      </c>
      <c r="B40" s="0" t="s">
        <v>240</v>
      </c>
      <c r="C40" s="0" t="s">
        <v>240</v>
      </c>
      <c r="D40" s="0" t="s">
        <v>240</v>
      </c>
    </row>
    <row r="41" customFormat="false" ht="15" hidden="false" customHeight="false" outlineLevel="0" collapsed="false">
      <c r="A41" s="0" t="s">
        <v>241</v>
      </c>
      <c r="B41" s="0" t="s">
        <v>242</v>
      </c>
      <c r="C41" s="0" t="s">
        <v>242</v>
      </c>
      <c r="D41" s="0" t="s">
        <v>242</v>
      </c>
    </row>
    <row r="42" customFormat="false" ht="15" hidden="false" customHeight="false" outlineLevel="0" collapsed="false">
      <c r="A42" s="0" t="s">
        <v>243</v>
      </c>
      <c r="B42" s="0" t="s">
        <v>244</v>
      </c>
      <c r="C42" s="0" t="s">
        <v>244</v>
      </c>
      <c r="D42" s="0" t="s">
        <v>244</v>
      </c>
    </row>
    <row r="43" customFormat="false" ht="15" hidden="false" customHeight="false" outlineLevel="0" collapsed="false">
      <c r="A43" s="0" t="s">
        <v>245</v>
      </c>
      <c r="B43" s="0" t="s">
        <v>246</v>
      </c>
      <c r="C43" s="0" t="s">
        <v>246</v>
      </c>
      <c r="D43" s="0" t="s">
        <v>246</v>
      </c>
    </row>
    <row r="44" customFormat="false" ht="15" hidden="false" customHeight="false" outlineLevel="0" collapsed="false">
      <c r="A44" s="0" t="s">
        <v>247</v>
      </c>
      <c r="B44" s="0" t="s">
        <v>248</v>
      </c>
      <c r="C44" s="0" t="s">
        <v>248</v>
      </c>
      <c r="D44" s="0" t="s">
        <v>248</v>
      </c>
    </row>
    <row r="45" customFormat="false" ht="15" hidden="false" customHeight="false" outlineLevel="0" collapsed="false">
      <c r="A45" s="0" t="s">
        <v>249</v>
      </c>
      <c r="B45" s="0" t="s">
        <v>250</v>
      </c>
      <c r="C45" s="0" t="s">
        <v>250</v>
      </c>
      <c r="D45" s="0" t="s">
        <v>250</v>
      </c>
    </row>
    <row r="46" customFormat="false" ht="15" hidden="false" customHeight="false" outlineLevel="0" collapsed="false">
      <c r="A46" s="0" t="s">
        <v>251</v>
      </c>
      <c r="B46" s="0" t="s">
        <v>252</v>
      </c>
      <c r="C46" s="0" t="s">
        <v>252</v>
      </c>
      <c r="D46" s="0" t="s">
        <v>252</v>
      </c>
    </row>
    <row r="47" customFormat="false" ht="15" hidden="false" customHeight="false" outlineLevel="0" collapsed="false">
      <c r="A47" s="0" t="s">
        <v>253</v>
      </c>
      <c r="B47" s="0" t="s">
        <v>254</v>
      </c>
      <c r="C47" s="0" t="s">
        <v>254</v>
      </c>
      <c r="D47" s="0" t="s">
        <v>254</v>
      </c>
    </row>
    <row r="48" customFormat="false" ht="15" hidden="false" customHeight="false" outlineLevel="0" collapsed="false">
      <c r="A48" s="0" t="s">
        <v>255</v>
      </c>
      <c r="B48" s="0" t="s">
        <v>256</v>
      </c>
      <c r="C48" s="0" t="s">
        <v>256</v>
      </c>
      <c r="D48" s="0" t="s">
        <v>256</v>
      </c>
    </row>
    <row r="49" customFormat="false" ht="15" hidden="false" customHeight="false" outlineLevel="0" collapsed="false">
      <c r="A49" s="0" t="s">
        <v>257</v>
      </c>
      <c r="B49" s="0" t="s">
        <v>258</v>
      </c>
      <c r="C49" s="0" t="s">
        <v>258</v>
      </c>
      <c r="D49" s="0" t="s">
        <v>258</v>
      </c>
    </row>
    <row r="50" customFormat="false" ht="15" hidden="false" customHeight="false" outlineLevel="0" collapsed="false">
      <c r="A50" s="0" t="s">
        <v>259</v>
      </c>
      <c r="B50" s="0" t="s">
        <v>260</v>
      </c>
      <c r="C50" s="0" t="s">
        <v>260</v>
      </c>
      <c r="D50" s="0" t="s">
        <v>260</v>
      </c>
    </row>
    <row r="51" customFormat="false" ht="15" hidden="false" customHeight="false" outlineLevel="0" collapsed="false">
      <c r="A51" s="0" t="s">
        <v>261</v>
      </c>
      <c r="B51" s="0" t="s">
        <v>262</v>
      </c>
      <c r="C51" s="0" t="s">
        <v>262</v>
      </c>
      <c r="D51" s="0" t="s">
        <v>262</v>
      </c>
    </row>
    <row r="52" customFormat="false" ht="15" hidden="false" customHeight="false" outlineLevel="0" collapsed="false">
      <c r="A52" s="0" t="s">
        <v>263</v>
      </c>
      <c r="B52" s="0" t="s">
        <v>264</v>
      </c>
      <c r="C52" s="0" t="s">
        <v>264</v>
      </c>
      <c r="D52" s="0" t="s">
        <v>264</v>
      </c>
    </row>
    <row r="53" customFormat="false" ht="15" hidden="false" customHeight="false" outlineLevel="0" collapsed="false">
      <c r="A53" s="0" t="s">
        <v>265</v>
      </c>
      <c r="B53" s="0" t="s">
        <v>266</v>
      </c>
      <c r="C53" s="0" t="s">
        <v>266</v>
      </c>
      <c r="D53" s="0" t="s">
        <v>266</v>
      </c>
    </row>
    <row r="54" customFormat="false" ht="15" hidden="false" customHeight="false" outlineLevel="0" collapsed="false">
      <c r="A54" s="0" t="s">
        <v>267</v>
      </c>
      <c r="B54" s="0" t="s">
        <v>268</v>
      </c>
      <c r="C54" s="0" t="s">
        <v>268</v>
      </c>
      <c r="D54" s="0" t="s">
        <v>268</v>
      </c>
    </row>
    <row r="55" customFormat="false" ht="15" hidden="false" customHeight="false" outlineLevel="0" collapsed="false">
      <c r="A55" s="0" t="s">
        <v>269</v>
      </c>
      <c r="B55" s="0" t="s">
        <v>270</v>
      </c>
      <c r="C55" s="0" t="s">
        <v>270</v>
      </c>
      <c r="D55" s="0" t="s">
        <v>270</v>
      </c>
    </row>
    <row r="56" customFormat="false" ht="15" hidden="false" customHeight="false" outlineLevel="0" collapsed="false">
      <c r="A56" s="0" t="s">
        <v>271</v>
      </c>
      <c r="B56" s="0" t="s">
        <v>272</v>
      </c>
      <c r="C56" s="0" t="s">
        <v>272</v>
      </c>
      <c r="D56" s="0" t="s">
        <v>272</v>
      </c>
    </row>
    <row r="57" customFormat="false" ht="15" hidden="false" customHeight="false" outlineLevel="0" collapsed="false">
      <c r="A57" s="0" t="s">
        <v>273</v>
      </c>
      <c r="B57" s="0" t="s">
        <v>274</v>
      </c>
      <c r="C57" s="0" t="s">
        <v>274</v>
      </c>
      <c r="D57" s="0" t="s">
        <v>274</v>
      </c>
    </row>
    <row r="58" customFormat="false" ht="15" hidden="false" customHeight="false" outlineLevel="0" collapsed="false">
      <c r="A58" s="0" t="s">
        <v>275</v>
      </c>
      <c r="B58" s="0" t="s">
        <v>276</v>
      </c>
      <c r="C58" s="0" t="s">
        <v>276</v>
      </c>
      <c r="D58" s="0" t="s">
        <v>276</v>
      </c>
    </row>
    <row r="59" customFormat="false" ht="15" hidden="false" customHeight="false" outlineLevel="0" collapsed="false">
      <c r="A59" s="0" t="s">
        <v>277</v>
      </c>
      <c r="B59" s="0" t="s">
        <v>278</v>
      </c>
      <c r="C59" s="0" t="s">
        <v>278</v>
      </c>
      <c r="D59" s="0" t="s">
        <v>278</v>
      </c>
    </row>
    <row r="60" customFormat="false" ht="15" hidden="false" customHeight="false" outlineLevel="0" collapsed="false">
      <c r="A60" s="0" t="s">
        <v>279</v>
      </c>
      <c r="B60" s="0" t="s">
        <v>280</v>
      </c>
      <c r="C60" s="0" t="s">
        <v>280</v>
      </c>
      <c r="D60" s="0" t="s">
        <v>280</v>
      </c>
    </row>
    <row r="61" customFormat="false" ht="15" hidden="false" customHeight="false" outlineLevel="0" collapsed="false">
      <c r="A61" s="0" t="s">
        <v>281</v>
      </c>
      <c r="B61" s="0" t="s">
        <v>282</v>
      </c>
      <c r="C61" s="0" t="s">
        <v>282</v>
      </c>
      <c r="D61" s="0" t="s">
        <v>282</v>
      </c>
    </row>
    <row r="62" customFormat="false" ht="15" hidden="false" customHeight="false" outlineLevel="0" collapsed="false">
      <c r="A62" s="0" t="s">
        <v>283</v>
      </c>
      <c r="B62" s="0" t="s">
        <v>284</v>
      </c>
      <c r="C62" s="0" t="s">
        <v>284</v>
      </c>
      <c r="D62" s="0" t="s">
        <v>284</v>
      </c>
    </row>
    <row r="63" customFormat="false" ht="15" hidden="false" customHeight="false" outlineLevel="0" collapsed="false">
      <c r="A63" s="0" t="s">
        <v>285</v>
      </c>
      <c r="B63" s="0" t="s">
        <v>286</v>
      </c>
      <c r="C63" s="0" t="s">
        <v>286</v>
      </c>
      <c r="D63" s="0" t="s">
        <v>286</v>
      </c>
    </row>
    <row r="64" customFormat="false" ht="15" hidden="false" customHeight="false" outlineLevel="0" collapsed="false">
      <c r="A64" s="0" t="s">
        <v>287</v>
      </c>
      <c r="B64" s="0" t="s">
        <v>288</v>
      </c>
      <c r="C64" s="0" t="s">
        <v>288</v>
      </c>
      <c r="D64" s="0" t="s">
        <v>288</v>
      </c>
    </row>
    <row r="65" customFormat="false" ht="15" hidden="false" customHeight="false" outlineLevel="0" collapsed="false">
      <c r="A65" s="0" t="s">
        <v>289</v>
      </c>
      <c r="B65" s="0" t="s">
        <v>290</v>
      </c>
      <c r="C65" s="0" t="s">
        <v>290</v>
      </c>
      <c r="D65" s="0" t="s">
        <v>290</v>
      </c>
    </row>
    <row r="66" customFormat="false" ht="15" hidden="false" customHeight="false" outlineLevel="0" collapsed="false">
      <c r="A66" s="0" t="s">
        <v>291</v>
      </c>
      <c r="B66" s="0" t="s">
        <v>292</v>
      </c>
      <c r="C66" s="0" t="s">
        <v>292</v>
      </c>
      <c r="D66" s="0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2026-10-01T21:00:05Z</dcterms:created>
  <dc:creator>Three-Statement Model</dc:creator>
  <dc:description/>
  <dc:language>en-US</dc:language>
  <cp:lastModifiedBy/>
  <dcterms:modified xsi:type="dcterms:W3CDTF">2026-10-02T00:00:07Z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