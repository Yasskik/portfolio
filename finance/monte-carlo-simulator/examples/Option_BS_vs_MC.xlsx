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lack-Scholes" sheetId="1" state="visible" r:id="rId3"/>
    <sheet name="Monte Carlo" sheetId="2" state="visible" r:id="rId4"/>
    <sheet name="Converg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<sst xmlns="http://schemas.openxmlformats.org/spreadsheetml/2006/main" count="78" uniqueCount="69">
  <si>
    <t xml:space="preserve">European option: Black-Scholes formulas and Greeks</t>
  </si>
  <si>
    <t xml:space="preserve">Blue cells are inputs; every value below them is a live formula (NORM.S.DIST, LN, EXP, SQRT).</t>
  </si>
  <si>
    <t xml:space="preserve">Inputs</t>
  </si>
  <si>
    <t xml:space="preserve">Check: Excel vs Python</t>
  </si>
  <si>
    <t xml:space="preserve">Excel</t>
  </si>
  <si>
    <t xml:space="preserve">Python</t>
  </si>
  <si>
    <t xml:space="preserve">Difference</t>
  </si>
  <si>
    <t xml:space="preserve">Spot price S</t>
  </si>
  <si>
    <t xml:space="preserve">Call price</t>
  </si>
  <si>
    <t xml:space="preserve">Strike K</t>
  </si>
  <si>
    <t xml:space="preserve">Put price</t>
  </si>
  <si>
    <t xml:space="preserve">Years to expiry T</t>
  </si>
  <si>
    <t xml:space="preserve">Delta call</t>
  </si>
  <si>
    <t xml:space="preserve">Risk-free rate r (continuous)</t>
  </si>
  <si>
    <t xml:space="preserve">Delta put</t>
  </si>
  <si>
    <t xml:space="preserve">Volatility σ</t>
  </si>
  <si>
    <t xml:space="preserve">Monte Carlo price (mean of pair averages)</t>
  </si>
  <si>
    <t xml:space="preserve">Dividend yield q (continuous)</t>
  </si>
  <si>
    <t xml:space="preserve">95% CI lower</t>
  </si>
  <si>
    <t xml:space="preserve">Option type (call / put)</t>
  </si>
  <si>
    <t xml:space="preserve">call</t>
  </si>
  <si>
    <t xml:space="preserve">95% CI upper</t>
  </si>
  <si>
    <t xml:space="preserve">Black-Scholes</t>
  </si>
  <si>
    <t xml:space="preserve">d1</t>
  </si>
  <si>
    <t xml:space="preserve">d2</t>
  </si>
  <si>
    <t xml:space="preserve">N(d1)</t>
  </si>
  <si>
    <t xml:space="preserve">N(d2)</t>
  </si>
  <si>
    <t xml:space="preserve">Put-call parity check: C - P - (S e^-qT - K e^-rT)</t>
  </si>
  <si>
    <t xml:space="preserve">Price of the chosen option</t>
  </si>
  <si>
    <t xml:space="preserve">Greeks</t>
  </si>
  <si>
    <t xml:space="preserve">Greek</t>
  </si>
  <si>
    <t xml:space="preserve">Call</t>
  </si>
  <si>
    <t xml:space="preserve">Put</t>
  </si>
  <si>
    <t xml:space="preserve">Unit</t>
  </si>
  <si>
    <t xml:space="preserve">Formula (call)</t>
  </si>
  <si>
    <t xml:space="preserve">Delta</t>
  </si>
  <si>
    <t xml:space="preserve">per $1 of S</t>
  </si>
  <si>
    <t xml:space="preserve">e^-qT N(d1)</t>
  </si>
  <si>
    <t xml:space="preserve">Gamma</t>
  </si>
  <si>
    <t xml:space="preserve">e^-qT φ(d1) / (S σ √T)</t>
  </si>
  <si>
    <t xml:space="preserve">Vega (per 1 vol point)</t>
  </si>
  <si>
    <t xml:space="preserve">per 1% of σ</t>
  </si>
  <si>
    <t xml:space="preserve">S e^-qT φ(d1) √T / 100</t>
  </si>
  <si>
    <t xml:space="preserve">Theta (per year)</t>
  </si>
  <si>
    <t xml:space="preserve">per year</t>
  </si>
  <si>
    <t xml:space="preserve">Theta (per calendar day)</t>
  </si>
  <si>
    <t xml:space="preserve">per day</t>
  </si>
  <si>
    <t xml:space="preserve">theta / 365</t>
  </si>
  <si>
    <t xml:space="preserve">Rho (per 1% rate)</t>
  </si>
  <si>
    <t xml:space="preserve">per 1% of r</t>
  </si>
  <si>
    <t xml:space="preserve">K T e^-rT N(d2) / 100</t>
  </si>
  <si>
    <t xml:space="preserve">Notes</t>
  </si>
  <si>
    <t xml:space="preserve">Textbook check (S = K = 100, r = 5%, σ = 20%, T = 1, q = 0): call 10.4506, put 5.5735,</t>
  </si>
  <si>
    <t xml:space="preserve">delta 0.6368 / -0.3632, gamma 0.0188, vega 0.3752 per vol point, theta -6.414 / -1.658 per year, rho 0.5323 / -0.4189 per 1%.</t>
  </si>
  <si>
    <t xml:space="preserve">Monte Carlo with antithetic variates (live formulas)</t>
  </si>
  <si>
    <t xml:space="preserve">5,000 standard-normal draws z (data) -&gt; S_T for z and -z -&gt; discounted payoffs -&gt; pair average. Seed 42.</t>
  </si>
  <si>
    <t xml:space="preserve">Antithetic pairs</t>
  </si>
  <si>
    <t xml:space="preserve">Standard error  STDEV.S / √pairs</t>
  </si>
  <si>
    <t xml:space="preserve">Black-Scholes price</t>
  </si>
  <si>
    <t xml:space="preserve">Black-Scholes inside the 95% CI?</t>
  </si>
  <si>
    <t xml:space="preserve">Draw</t>
  </si>
  <si>
    <t xml:space="preserve">z</t>
  </si>
  <si>
    <t xml:space="preserve">S_T (z)</t>
  </si>
  <si>
    <t xml:space="preserve">S_T (-z)</t>
  </si>
  <si>
    <t xml:space="preserve">Payoff (z)</t>
  </si>
  <si>
    <t xml:space="preserve">Pair average</t>
  </si>
  <si>
    <t xml:space="preserve">Payoff (-z)</t>
  </si>
  <si>
    <t xml:space="preserve">Payoffs used (2 x pairs)</t>
  </si>
  <si>
    <t xml:space="preserve">MC estimate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</si>
</sst>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00"/>
    <numFmt numFmtId="167" formatCode="0.0E+00"/>
    <numFmt numFmtId="168" formatCode="0.0000"/>
    <numFmt numFmtId="169" formatCode="0.00%"/>
    <numFmt numFmtId="170" formatCode="\$#,##0.0000"/>
    <numFmt numFmtId="171" formatCode="0.000000"/>
    <numFmt numFmtId="172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3"/>
    <col collapsed="false" customWidth="true" hidden="false" outlineLevel="0" max="7" min="7" style="0" width="40"/>
    <col collapsed="false" customWidth="true" hidden="false" outlineLevel="0" max="9" min="8" style="0" width="13"/>
    <col collapsed="false" customWidth="true" hidden="false" outlineLevel="0" max="10" min="10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G4" s="4" t="s">
        <v>3</v>
      </c>
      <c r="H4" s="4" t="s">
        <v>4</v>
      </c>
      <c r="I4" s="4" t="s">
        <v>5</v>
      </c>
      <c r="J4" s="4" t="s">
        <v>6</v>
      </c>
    </row>
    <row r="5" customFormat="false" ht="15" hidden="false" customHeight="false" outlineLevel="0" collapsed="false">
      <c r="A5" s="5" t="s">
        <v>7</v>
      </c>
      <c r="B5" s="6" t="n">
        <v>100</v>
      </c>
      <c r="G5" s="5" t="s">
        <v>8</v>
      </c>
      <c r="H5" s="7" t="n">
        <f aca="false">B18</f>
        <v>10.4505835721856</v>
      </c>
      <c r="I5" s="7" t="n">
        <v>10.4505835721856</v>
      </c>
      <c r="J5" s="8" t="n">
        <f aca="false">IFERROR(H5-I5,"n/a")</f>
        <v>0</v>
      </c>
    </row>
    <row r="6" customFormat="false" ht="15" hidden="false" customHeight="false" outlineLevel="0" collapsed="false">
      <c r="A6" s="5" t="s">
        <v>9</v>
      </c>
      <c r="B6" s="6" t="n">
        <v>100</v>
      </c>
      <c r="G6" s="5" t="s">
        <v>10</v>
      </c>
      <c r="H6" s="7" t="n">
        <f aca="false">B19</f>
        <v>5.57352602225697</v>
      </c>
      <c r="I6" s="7" t="n">
        <v>5.57352602225697</v>
      </c>
      <c r="J6" s="8" t="n">
        <f aca="false">IFERROR(H6-I6,"n/a")</f>
        <v>0</v>
      </c>
    </row>
    <row r="7" customFormat="false" ht="15" hidden="false" customHeight="false" outlineLevel="0" collapsed="false">
      <c r="A7" s="5" t="s">
        <v>11</v>
      </c>
      <c r="B7" s="9" t="n">
        <v>1</v>
      </c>
      <c r="G7" s="5" t="s">
        <v>12</v>
      </c>
      <c r="H7" s="7" t="n">
        <f aca="false">B25</f>
        <v>0.636830651175619</v>
      </c>
      <c r="I7" s="7" t="n">
        <v>0.636830651175619</v>
      </c>
      <c r="J7" s="8" t="n">
        <f aca="false">IFERROR(H7-I7,"n/a")</f>
        <v>0</v>
      </c>
    </row>
    <row r="8" customFormat="false" ht="15" hidden="false" customHeight="false" outlineLevel="0" collapsed="false">
      <c r="A8" s="5" t="s">
        <v>13</v>
      </c>
      <c r="B8" s="10" t="n">
        <v>0.05</v>
      </c>
      <c r="G8" s="5" t="s">
        <v>14</v>
      </c>
      <c r="H8" s="7" t="n">
        <f aca="false">C25</f>
        <v>-0.363169348824381</v>
      </c>
      <c r="I8" s="7" t="n">
        <v>-0.363169348824381</v>
      </c>
      <c r="J8" s="8" t="n">
        <f aca="false">IFERROR(H8-I8,"n/a")</f>
        <v>0</v>
      </c>
    </row>
    <row r="9" customFormat="false" ht="15" hidden="false" customHeight="false" outlineLevel="0" collapsed="false">
      <c r="A9" s="5" t="s">
        <v>15</v>
      </c>
      <c r="B9" s="10" t="n">
        <v>0.2</v>
      </c>
      <c r="G9" s="5" t="s">
        <v>16</v>
      </c>
      <c r="H9" s="7" t="n">
        <f aca="false">'Monte Carlo'!B5</f>
        <v>10.3424823994076</v>
      </c>
      <c r="I9" s="7" t="n">
        <v>10.3424823994077</v>
      </c>
      <c r="J9" s="8" t="n">
        <f aca="false">IFERROR(H9-I9,"n/a")</f>
        <v>0</v>
      </c>
    </row>
    <row r="10" customFormat="false" ht="15" hidden="false" customHeight="false" outlineLevel="0" collapsed="false">
      <c r="A10" s="5" t="s">
        <v>17</v>
      </c>
      <c r="B10" s="10" t="n">
        <v>0</v>
      </c>
      <c r="G10" s="5" t="s">
        <v>18</v>
      </c>
      <c r="H10" s="7" t="n">
        <f aca="false">'Monte Carlo'!B7</f>
        <v>10.1375678087034</v>
      </c>
      <c r="I10" s="7" t="n">
        <v>10.1375678087034</v>
      </c>
      <c r="J10" s="8" t="n">
        <f aca="false">IFERROR(H10-I10,"n/a")</f>
        <v>0</v>
      </c>
    </row>
    <row r="11" customFormat="false" ht="15" hidden="false" customHeight="false" outlineLevel="0" collapsed="false">
      <c r="A11" s="5" t="s">
        <v>19</v>
      </c>
      <c r="B11" s="11" t="s">
        <v>20</v>
      </c>
      <c r="G11" s="5" t="s">
        <v>21</v>
      </c>
      <c r="H11" s="7" t="n">
        <f aca="false">'Monte Carlo'!B8</f>
        <v>10.5473969901119</v>
      </c>
      <c r="I11" s="7" t="n">
        <v>10.5473969901119</v>
      </c>
      <c r="J11" s="8" t="n">
        <f aca="false">IFERROR(H11-I11,"n/a")</f>
        <v>0</v>
      </c>
    </row>
    <row r="13" customFormat="false" ht="15" hidden="false" customHeight="false" outlineLevel="0" collapsed="false">
      <c r="A13" s="3" t="s">
        <v>22</v>
      </c>
      <c r="B13" s="3"/>
      <c r="C13" s="3"/>
    </row>
    <row r="14" customFormat="false" ht="15" hidden="false" customHeight="false" outlineLevel="0" collapsed="false">
      <c r="A14" s="5" t="s">
        <v>23</v>
      </c>
      <c r="B14" s="12" t="n">
        <f aca="false">(LN(B5/B6)+(B8-B10+B9^2/2)*B7)/(B9*SQRT(B7))</f>
        <v>0.35</v>
      </c>
    </row>
    <row r="15" customFormat="false" ht="15" hidden="false" customHeight="false" outlineLevel="0" collapsed="false">
      <c r="A15" s="5" t="s">
        <v>24</v>
      </c>
      <c r="B15" s="12" t="n">
        <f aca="false">B14-B9*SQRT(B7)</f>
        <v>0.15</v>
      </c>
    </row>
    <row r="16" customFormat="false" ht="15" hidden="false" customHeight="false" outlineLevel="0" collapsed="false">
      <c r="A16" s="5" t="s">
        <v>25</v>
      </c>
      <c r="B16" s="12" t="n">
        <f aca="false">_xlfn.NORM.S.DIST(B14,TRUE())</f>
        <v>0.636830651175619</v>
      </c>
    </row>
    <row r="17" customFormat="false" ht="15" hidden="false" customHeight="false" outlineLevel="0" collapsed="false">
      <c r="A17" s="5" t="s">
        <v>26</v>
      </c>
      <c r="B17" s="12" t="n">
        <f aca="false">_xlfn.NORM.S.DIST(B15,TRUE())</f>
        <v>0.559617692370243</v>
      </c>
    </row>
    <row r="18" customFormat="false" ht="15" hidden="false" customHeight="false" outlineLevel="0" collapsed="false">
      <c r="A18" s="5" t="s">
        <v>8</v>
      </c>
      <c r="B18" s="13" t="n">
        <f aca="false">B5*EXP(-B10*B7)*B16-B6*EXP(-B8*B7)*B17</f>
        <v>10.4505835721856</v>
      </c>
    </row>
    <row r="19" customFormat="false" ht="15" hidden="false" customHeight="false" outlineLevel="0" collapsed="false">
      <c r="A19" s="5" t="s">
        <v>10</v>
      </c>
      <c r="B19" s="13" t="n">
        <f aca="false">B6*EXP(-B8*B7)*_xlfn.NORM.S.DIST(-B15,TRUE())-B5*EXP(-B10*B7)*_xlfn.NORM.S.DIST(-B14,TRUE())</f>
        <v>5.57352602225697</v>
      </c>
    </row>
    <row r="20" customFormat="false" ht="15" hidden="false" customHeight="false" outlineLevel="0" collapsed="false">
      <c r="A20" s="5" t="s">
        <v>27</v>
      </c>
      <c r="B20" s="14" t="n">
        <f aca="false">B18-B19-(B5*EXP(-B10*B7)-B6*EXP(-B8*B7))</f>
        <v>0</v>
      </c>
    </row>
    <row r="21" customFormat="false" ht="15" hidden="false" customHeight="false" outlineLevel="0" collapsed="false">
      <c r="A21" s="5" t="s">
        <v>28</v>
      </c>
      <c r="B21" s="13" t="n">
        <f aca="false">IF(LOWER(B11)="put",B19,B18)</f>
        <v>10.4505835721856</v>
      </c>
    </row>
    <row r="23" customFormat="false" ht="15" hidden="false" customHeight="false" outlineLevel="0" collapsed="false">
      <c r="A23" s="3" t="s">
        <v>29</v>
      </c>
      <c r="B23" s="3"/>
      <c r="C23" s="3"/>
      <c r="D23" s="3"/>
      <c r="E23" s="3"/>
    </row>
    <row r="24" customFormat="false" ht="15" hidden="false" customHeight="false" outlineLevel="0" collapsed="false">
      <c r="A24" s="4" t="s">
        <v>30</v>
      </c>
      <c r="B24" s="4" t="s">
        <v>31</v>
      </c>
      <c r="C24" s="4" t="s">
        <v>32</v>
      </c>
      <c r="D24" s="4" t="s">
        <v>33</v>
      </c>
      <c r="E24" s="4" t="s">
        <v>34</v>
      </c>
    </row>
    <row r="25" customFormat="false" ht="15" hidden="false" customHeight="false" outlineLevel="0" collapsed="false">
      <c r="A25" s="5" t="s">
        <v>35</v>
      </c>
      <c r="B25" s="15" t="n">
        <f aca="false">EXP(-B10*B7)*B16</f>
        <v>0.636830651175619</v>
      </c>
      <c r="C25" s="15" t="n">
        <f aca="false">-EXP(-B10*B7)*_xlfn.NORM.S.DIST(-B14,TRUE())</f>
        <v>-0.363169348824381</v>
      </c>
      <c r="D25" s="2" t="s">
        <v>36</v>
      </c>
      <c r="E25" s="2" t="s">
        <v>37</v>
      </c>
    </row>
    <row r="26" customFormat="false" ht="15" hidden="false" customHeight="false" outlineLevel="0" collapsed="false">
      <c r="A26" s="5" t="s">
        <v>38</v>
      </c>
      <c r="B26" s="15" t="n">
        <f aca="false">EXP(-B10*B7)*_xlfn.NORM.S.DIST($B$14,FALSE())/(B5*B9*SQRT(B7))</f>
        <v>0.0187620173458469</v>
      </c>
      <c r="C26" s="15" t="n">
        <f aca="false">B26</f>
        <v>0.0187620173458469</v>
      </c>
      <c r="D26" s="2" t="s">
        <v>36</v>
      </c>
      <c r="E26" s="2" t="s">
        <v>39</v>
      </c>
    </row>
    <row r="27" customFormat="false" ht="15" hidden="false" customHeight="false" outlineLevel="0" collapsed="false">
      <c r="A27" s="5" t="s">
        <v>40</v>
      </c>
      <c r="B27" s="15" t="n">
        <f aca="false">B5*EXP(-B10*B7)*_xlfn.NORM.S.DIST($B$14,FALSE())*SQRT(B7)/100</f>
        <v>0.375240346916938</v>
      </c>
      <c r="C27" s="15" t="n">
        <f aca="false">B27</f>
        <v>0.375240346916938</v>
      </c>
      <c r="D27" s="2" t="s">
        <v>41</v>
      </c>
      <c r="E27" s="2" t="s">
        <v>42</v>
      </c>
    </row>
    <row r="28" customFormat="false" ht="15" hidden="false" customHeight="false" outlineLevel="0" collapsed="false">
      <c r="A28" s="5" t="s">
        <v>43</v>
      </c>
      <c r="B28" s="15" t="n">
        <f aca="false">-B5*EXP(-B10*B7)*_xlfn.NORM.S.DIST($B$14,FALSE())*B9/(2*SQRT(B7))-B8*B6*EXP(-B8*B7)*B17+B10*B5*EXP(-B10*B7)*B16</f>
        <v>-6.4140275464382</v>
      </c>
      <c r="C28" s="15" t="n">
        <f aca="false">-B5*EXP(-B10*B7)*_xlfn.NORM.S.DIST($B$14,FALSE())*B9/(2*SQRT(B7))+B8*B6*EXP(-B8*B7)*_xlfn.NORM.S.DIST(-B15,TRUE())-B10*B5*EXP(-B10*B7)*_xlfn.NORM.S.DIST(-B14,TRUE())</f>
        <v>-1.65788042393463</v>
      </c>
      <c r="D28" s="2" t="s">
        <v>44</v>
      </c>
      <c r="E28" s="2"/>
    </row>
    <row r="29" customFormat="false" ht="15" hidden="false" customHeight="false" outlineLevel="0" collapsed="false">
      <c r="A29" s="5" t="s">
        <v>45</v>
      </c>
      <c r="B29" s="15" t="n">
        <f aca="false">B28/365</f>
        <v>-0.0175726782094197</v>
      </c>
      <c r="C29" s="15" t="n">
        <f aca="false">C28/365</f>
        <v>-0.0045421381477661</v>
      </c>
      <c r="D29" s="2" t="s">
        <v>46</v>
      </c>
      <c r="E29" s="2" t="s">
        <v>47</v>
      </c>
    </row>
    <row r="30" customFormat="false" ht="15" hidden="false" customHeight="false" outlineLevel="0" collapsed="false">
      <c r="A30" s="5" t="s">
        <v>48</v>
      </c>
      <c r="B30" s="15" t="n">
        <f aca="false">B6*B7*EXP(-B8*B7)*B17/100</f>
        <v>0.532324815453763</v>
      </c>
      <c r="C30" s="15" t="n">
        <f aca="false">-B6*B7*EXP(-B8*B7)*_xlfn.NORM.S.DIST(-B15,TRUE())/100</f>
        <v>-0.418904609046951</v>
      </c>
      <c r="D30" s="2" t="s">
        <v>49</v>
      </c>
      <c r="E30" s="2" t="s">
        <v>50</v>
      </c>
    </row>
    <row r="32" customFormat="false" ht="15" hidden="false" customHeight="false" outlineLevel="0" collapsed="false">
      <c r="A32" s="16" t="s">
        <v>51</v>
      </c>
    </row>
    <row r="33" customFormat="false" ht="15" hidden="false" customHeight="false" outlineLevel="0" collapsed="false">
      <c r="A33" s="2" t="s">
        <v>52</v>
      </c>
    </row>
    <row r="34" customFormat="false" ht="15" hidden="false" customHeight="false" outlineLevel="0" collapsed="false">
      <c r="A34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5" t="s">
        <v>56</v>
      </c>
      <c r="B4" s="17" t="n">
        <f aca="false">COUNT($F$12:$F$5011)</f>
        <v>5000</v>
      </c>
    </row>
    <row r="5" customFormat="false" ht="15" hidden="false" customHeight="false" outlineLevel="0" collapsed="false">
      <c r="A5" s="5" t="s">
        <v>16</v>
      </c>
      <c r="B5" s="13" t="n">
        <f aca="false">AVERAGE($F$12:$F$5011)</f>
        <v>10.3424823994076</v>
      </c>
    </row>
    <row r="6" customFormat="false" ht="15" hidden="false" customHeight="false" outlineLevel="0" collapsed="false">
      <c r="A6" s="5" t="s">
        <v>57</v>
      </c>
      <c r="B6" s="13" t="n">
        <f aca="false">_xlfn.STDEV.S($F$12:$F$5011)/SQRT(B4)</f>
        <v>0.104550181697528</v>
      </c>
    </row>
    <row r="7" customFormat="false" ht="15" hidden="false" customHeight="false" outlineLevel="0" collapsed="false">
      <c r="A7" s="5" t="s">
        <v>18</v>
      </c>
      <c r="B7" s="13" t="n">
        <f aca="false">B5-_xlfn.NORM.S.INV(0.975)*B6</f>
        <v>10.1375678087034</v>
      </c>
    </row>
    <row r="8" customFormat="false" ht="15" hidden="false" customHeight="false" outlineLevel="0" collapsed="false">
      <c r="A8" s="5" t="s">
        <v>21</v>
      </c>
      <c r="B8" s="13" t="n">
        <f aca="false">B5+_xlfn.NORM.S.INV(0.975)*B6</f>
        <v>10.5473969901119</v>
      </c>
    </row>
    <row r="9" customFormat="false" ht="15" hidden="false" customHeight="false" outlineLevel="0" collapsed="false">
      <c r="A9" s="5" t="s">
        <v>58</v>
      </c>
      <c r="B9" s="13" t="n">
        <f aca="false">'Black-Scholes'!B21</f>
        <v>10.4505835721856</v>
      </c>
    </row>
    <row r="10" customFormat="false" ht="15" hidden="false" customHeight="false" outlineLevel="0" collapsed="false">
      <c r="A10" s="5" t="s">
        <v>59</v>
      </c>
      <c r="B10" s="5" t="str">
        <f aca="false">IF(AND(B9&gt;=B7,B9&lt;=B8),"yes","no")</f>
        <v>yes</v>
      </c>
    </row>
    <row r="11" customFormat="false" ht="15" hidden="false" customHeight="false" outlineLevel="0" collapsed="false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</row>
    <row r="12" customFormat="false" ht="15" hidden="false" customHeight="false" outlineLevel="0" collapsed="false">
      <c r="A12" s="0" t="n">
        <v>1</v>
      </c>
      <c r="B12" s="15" t="n">
        <v>0.418329965324378</v>
      </c>
      <c r="C12" s="18" t="n">
        <f aca="false">'Black-Scholes'!$B$5*EXP(('Black-Scholes'!$B$8-'Black-Scholes'!$B$10-'Black-Scholes'!$B$9^2/2)*'Black-Scholes'!$B$7+'Black-Scholes'!$B$9*SQRT('Black-Scholes'!$B$7)*B12)</f>
        <v>112.037784841083</v>
      </c>
      <c r="D12" s="18" t="n">
        <f aca="false">'Black-Scholes'!$B$5*EXP(('Black-Scholes'!$B$8-'Black-Scholes'!$B$10-'Black-Scholes'!$B$9^2/2)*'Black-Scholes'!$B$7-'Black-Scholes'!$B$9*SQRT('Black-Scholes'!$B$7)*B12)</f>
        <v>94.7748608249877</v>
      </c>
      <c r="E12" s="18" t="n">
        <f aca="false">EXP(-'Black-Scholes'!$B$8*'Black-Scholes'!$B$7)*IF(LOWER('Black-Scholes'!$B$11)="put",MAX('Black-Scholes'!$B$6-C12,0),MAX(C12-'Black-Scholes'!$B$6,0))</f>
        <v>11.4506951466472</v>
      </c>
      <c r="F12" s="18" t="n">
        <f aca="false">(E12+G12)/2</f>
        <v>5.72534757332362</v>
      </c>
      <c r="G12" s="18" t="n">
        <f aca="false">EXP(-'Black-Scholes'!$B$8*'Black-Scholes'!$B$7)*IF(LOWER('Black-Scholes'!$B$11)="put",MAX('Black-Scholes'!$B$6-D12,0),MAX(D12-'Black-Scholes'!$B$6,0))</f>
        <v>0</v>
      </c>
    </row>
    <row r="13" customFormat="false" ht="15" hidden="false" customHeight="false" outlineLevel="0" collapsed="false">
      <c r="A13" s="0" t="n">
        <v>2</v>
      </c>
      <c r="B13" s="15" t="n">
        <v>0.605576173763466</v>
      </c>
      <c r="C13" s="18" t="n">
        <f aca="false">'Black-Scholes'!$B$5*EXP(('Black-Scholes'!$B$8-'Black-Scholes'!$B$10-'Black-Scholes'!$B$9^2/2)*'Black-Scholes'!$B$7+'Black-Scholes'!$B$9*SQRT('Black-Scholes'!$B$7)*B13)</f>
        <v>116.313068343614</v>
      </c>
      <c r="D13" s="18" t="n">
        <f aca="false">'Black-Scholes'!$B$5*EXP(('Black-Scholes'!$B$8-'Black-Scholes'!$B$10-'Black-Scholes'!$B$9^2/2)*'Black-Scholes'!$B$7-'Black-Scholes'!$B$9*SQRT('Black-Scholes'!$B$7)*B13)</f>
        <v>91.2912505590916</v>
      </c>
      <c r="E13" s="18" t="n">
        <f aca="false">EXP(-'Black-Scholes'!$B$8*'Black-Scholes'!$B$7)*IF(LOWER('Black-Scholes'!$B$11)="put",MAX('Black-Scholes'!$B$6-C13,0),MAX(C13-'Black-Scholes'!$B$6,0))</f>
        <v>15.5174706123366</v>
      </c>
      <c r="F13" s="18" t="n">
        <f aca="false">(E13+G13)/2</f>
        <v>7.7587353061683</v>
      </c>
      <c r="G13" s="18" t="n">
        <f aca="false">EXP(-'Black-Scholes'!$B$8*'Black-Scholes'!$B$7)*IF(LOWER('Black-Scholes'!$B$11)="put",MAX('Black-Scholes'!$B$6-D13,0),MAX(D13-'Black-Scholes'!$B$6,0))</f>
        <v>0</v>
      </c>
    </row>
    <row r="14" customFormat="false" ht="15" hidden="false" customHeight="false" outlineLevel="0" collapsed="false">
      <c r="A14" s="0" t="n">
        <v>3</v>
      </c>
      <c r="B14" s="15" t="n">
        <v>0.0287878599251413</v>
      </c>
      <c r="C14" s="18" t="n">
        <f aca="false">'Black-Scholes'!$B$5*EXP(('Black-Scholes'!$B$8-'Black-Scholes'!$B$10-'Black-Scholes'!$B$9^2/2)*'Black-Scholes'!$B$7+'Black-Scholes'!$B$9*SQRT('Black-Scholes'!$B$7)*B14)</f>
        <v>103.640456253222</v>
      </c>
      <c r="D14" s="18" t="n">
        <f aca="false">'Black-Scholes'!$B$5*EXP(('Black-Scholes'!$B$8-'Black-Scholes'!$B$10-'Black-Scholes'!$B$9^2/2)*'Black-Scholes'!$B$7-'Black-Scholes'!$B$9*SQRT('Black-Scholes'!$B$7)*B14)</f>
        <v>102.453866466103</v>
      </c>
      <c r="E14" s="18" t="n">
        <f aca="false">EXP(-'Black-Scholes'!$B$8*'Black-Scholes'!$B$7)*IF(LOWER('Black-Scholes'!$B$11)="put",MAX('Black-Scholes'!$B$6-C14,0),MAX(C14-'Black-Scholes'!$B$6,0))</f>
        <v>3.46290910667205</v>
      </c>
      <c r="F14" s="18" t="n">
        <f aca="false">(E14+G14)/2</f>
        <v>2.89854954651257</v>
      </c>
      <c r="G14" s="18" t="n">
        <f aca="false">EXP(-'Black-Scholes'!$B$8*'Black-Scholes'!$B$7)*IF(LOWER('Black-Scholes'!$B$11)="put",MAX('Black-Scholes'!$B$6-D14,0),MAX(D14-'Black-Scholes'!$B$6,0))</f>
        <v>2.33418998635309</v>
      </c>
    </row>
    <row r="15" customFormat="false" ht="15" hidden="false" customHeight="false" outlineLevel="0" collapsed="false">
      <c r="A15" s="0" t="n">
        <v>4</v>
      </c>
      <c r="B15" s="15" t="n">
        <v>-1.0842459992219</v>
      </c>
      <c r="C15" s="18" t="n">
        <f aca="false">'Black-Scholes'!$B$5*EXP(('Black-Scholes'!$B$8-'Black-Scholes'!$B$10-'Black-Scholes'!$B$9^2/2)*'Black-Scholes'!$B$7+'Black-Scholes'!$B$9*SQRT('Black-Scholes'!$B$7)*B15)</f>
        <v>82.9568826061463</v>
      </c>
      <c r="D15" s="18" t="n">
        <f aca="false">'Black-Scholes'!$B$5*EXP(('Black-Scholes'!$B$8-'Black-Scholes'!$B$10-'Black-Scholes'!$B$9^2/2)*'Black-Scholes'!$B$7-'Black-Scholes'!$B$9*SQRT('Black-Scholes'!$B$7)*B15)</f>
        <v>127.998607612419</v>
      </c>
      <c r="E15" s="18" t="n">
        <f aca="false">EXP(-'Black-Scholes'!$B$8*'Black-Scholes'!$B$7)*IF(LOWER('Black-Scholes'!$B$11)="put",MAX('Black-Scholes'!$B$6-C15,0),MAX(C15-'Black-Scholes'!$B$6,0))</f>
        <v>0</v>
      </c>
      <c r="F15" s="18" t="n">
        <f aca="false">(E15+G15)/2</f>
        <v>13.3165497029912</v>
      </c>
      <c r="G15" s="18" t="n">
        <f aca="false">EXP(-'Black-Scholes'!$B$8*'Black-Scholes'!$B$7)*IF(LOWER('Black-Scholes'!$B$11)="put",MAX('Black-Scholes'!$B$6-D15,0),MAX(D15-'Black-Scholes'!$B$6,0))</f>
        <v>26.6330994059823</v>
      </c>
    </row>
    <row r="16" customFormat="false" ht="15" hidden="false" customHeight="false" outlineLevel="0" collapsed="false">
      <c r="A16" s="0" t="n">
        <v>5</v>
      </c>
      <c r="B16" s="15" t="n">
        <v>1.46422097657372</v>
      </c>
      <c r="C16" s="18" t="n">
        <f aca="false">'Black-Scholes'!$B$5*EXP(('Black-Scholes'!$B$8-'Black-Scholes'!$B$10-'Black-Scholes'!$B$9^2/2)*'Black-Scholes'!$B$7+'Black-Scholes'!$B$9*SQRT('Black-Scholes'!$B$7)*B16)</f>
        <v>138.105016005668</v>
      </c>
      <c r="D16" s="18" t="n">
        <f aca="false">'Black-Scholes'!$B$5*EXP(('Black-Scholes'!$B$8-'Black-Scholes'!$B$10-'Black-Scholes'!$B$9^2/2)*'Black-Scholes'!$B$7-'Black-Scholes'!$B$9*SQRT('Black-Scholes'!$B$7)*B16)</f>
        <v>76.8861680231642</v>
      </c>
      <c r="E16" s="18" t="n">
        <f aca="false">EXP(-'Black-Scholes'!$B$8*'Black-Scholes'!$B$7)*IF(LOWER('Black-Scholes'!$B$11)="put",MAX('Black-Scholes'!$B$6-C16,0),MAX(C16-'Black-Scholes'!$B$6,0))</f>
        <v>36.2466124456623</v>
      </c>
      <c r="F16" s="18" t="n">
        <f aca="false">(E16+G16)/2</f>
        <v>18.1233062228312</v>
      </c>
      <c r="G16" s="18" t="n">
        <f aca="false">EXP(-'Black-Scholes'!$B$8*'Black-Scholes'!$B$7)*IF(LOWER('Black-Scholes'!$B$11)="put",MAX('Black-Scholes'!$B$6-D16,0),MAX(D16-'Black-Scholes'!$B$6,0))</f>
        <v>0</v>
      </c>
    </row>
    <row r="17" customFormat="false" ht="15" hidden="false" customHeight="false" outlineLevel="0" collapsed="false">
      <c r="A17" s="0" t="n">
        <v>6</v>
      </c>
      <c r="B17" s="15" t="n">
        <v>0.290727355342223</v>
      </c>
      <c r="C17" s="18" t="n">
        <f aca="false">'Black-Scholes'!$B$5*EXP(('Black-Scholes'!$B$8-'Black-Scholes'!$B$10-'Black-Scholes'!$B$9^2/2)*'Black-Scholes'!$B$7+'Black-Scholes'!$B$9*SQRT('Black-Scholes'!$B$7)*B17)</f>
        <v>109.214698626183</v>
      </c>
      <c r="D17" s="18" t="n">
        <f aca="false">'Black-Scholes'!$B$5*EXP(('Black-Scholes'!$B$8-'Black-Scholes'!$B$10-'Black-Scholes'!$B$9^2/2)*'Black-Scholes'!$B$7-'Black-Scholes'!$B$9*SQRT('Black-Scholes'!$B$7)*B17)</f>
        <v>97.2246922714846</v>
      </c>
      <c r="E17" s="18" t="n">
        <f aca="false">EXP(-'Black-Scholes'!$B$8*'Black-Scholes'!$B$7)*IF(LOWER('Black-Scholes'!$B$11)="put",MAX('Black-Scholes'!$B$6-C17,0),MAX(C17-'Black-Scholes'!$B$6,0))</f>
        <v>8.76529247113181</v>
      </c>
      <c r="F17" s="18" t="n">
        <f aca="false">(E17+G17)/2</f>
        <v>4.38264623556591</v>
      </c>
      <c r="G17" s="18" t="n">
        <f aca="false">EXP(-'Black-Scholes'!$B$8*'Black-Scholes'!$B$7)*IF(LOWER('Black-Scholes'!$B$11)="put",MAX('Black-Scholes'!$B$6-D17,0),MAX(D17-'Black-Scholes'!$B$6,0))</f>
        <v>0</v>
      </c>
    </row>
    <row r="18" customFormat="false" ht="15" hidden="false" customHeight="false" outlineLevel="0" collapsed="false">
      <c r="A18" s="0" t="n">
        <v>7</v>
      </c>
      <c r="B18" s="15" t="n">
        <v>-1.33075642044823</v>
      </c>
      <c r="C18" s="18" t="n">
        <f aca="false">'Black-Scholes'!$B$5*EXP(('Black-Scholes'!$B$8-'Black-Scholes'!$B$10-'Black-Scholes'!$B$9^2/2)*'Black-Scholes'!$B$7+'Black-Scholes'!$B$9*SQRT('Black-Scholes'!$B$7)*B18)</f>
        <v>78.9661201719877</v>
      </c>
      <c r="D18" s="18" t="n">
        <f aca="false">'Black-Scholes'!$B$5*EXP(('Black-Scholes'!$B$8-'Black-Scholes'!$B$10-'Black-Scholes'!$B$9^2/2)*'Black-Scholes'!$B$7-'Black-Scholes'!$B$9*SQRT('Black-Scholes'!$B$7)*B18)</f>
        <v>134.467356916192</v>
      </c>
      <c r="E18" s="18" t="n">
        <f aca="false">EXP(-'Black-Scholes'!$B$8*'Black-Scholes'!$B$7)*IF(LOWER('Black-Scholes'!$B$11)="put",MAX('Black-Scholes'!$B$6-C18,0),MAX(C18-'Black-Scholes'!$B$6,0))</f>
        <v>0</v>
      </c>
      <c r="F18" s="18" t="n">
        <f aca="false">(E18+G18)/2</f>
        <v>16.3931820417251</v>
      </c>
      <c r="G18" s="18" t="n">
        <f aca="false">EXP(-'Black-Scholes'!$B$8*'Black-Scholes'!$B$7)*IF(LOWER('Black-Scholes'!$B$11)="put",MAX('Black-Scholes'!$B$6-D18,0),MAX(D18-'Black-Scholes'!$B$6,0))</f>
        <v>32.7863640834503</v>
      </c>
    </row>
    <row r="19" customFormat="false" ht="15" hidden="false" customHeight="false" outlineLevel="0" collapsed="false">
      <c r="A19" s="0" t="n">
        <v>8</v>
      </c>
      <c r="B19" s="15" t="n">
        <v>-0.0347234622103839</v>
      </c>
      <c r="C19" s="18" t="n">
        <f aca="false">'Black-Scholes'!$B$5*EXP(('Black-Scholes'!$B$8-'Black-Scholes'!$B$10-'Black-Scholes'!$B$9^2/2)*'Black-Scholes'!$B$7+'Black-Scholes'!$B$9*SQRT('Black-Scholes'!$B$7)*B19)</f>
        <v>102.33231354857</v>
      </c>
      <c r="D19" s="18" t="n">
        <f aca="false">'Black-Scholes'!$B$5*EXP(('Black-Scholes'!$B$8-'Black-Scholes'!$B$10-'Black-Scholes'!$B$9^2/2)*'Black-Scholes'!$B$7-'Black-Scholes'!$B$9*SQRT('Black-Scholes'!$B$7)*B19)</f>
        <v>103.763563015838</v>
      </c>
      <c r="E19" s="18" t="n">
        <f aca="false">EXP(-'Black-Scholes'!$B$8*'Black-Scholes'!$B$7)*IF(LOWER('Black-Scholes'!$B$11)="put",MAX('Black-Scholes'!$B$6-C19,0),MAX(C19-'Black-Scholes'!$B$6,0))</f>
        <v>2.21856527456161</v>
      </c>
      <c r="F19" s="18" t="n">
        <f aca="false">(E19+G19)/2</f>
        <v>2.89928857809489</v>
      </c>
      <c r="G19" s="18" t="n">
        <f aca="false">EXP(-'Black-Scholes'!$B$8*'Black-Scholes'!$B$7)*IF(LOWER('Black-Scholes'!$B$11)="put",MAX('Black-Scholes'!$B$6-D19,0),MAX(D19-'Black-Scholes'!$B$6,0))</f>
        <v>3.58001188162817</v>
      </c>
    </row>
    <row r="20" customFormat="false" ht="15" hidden="false" customHeight="false" outlineLevel="0" collapsed="false">
      <c r="A20" s="0" t="n">
        <v>9</v>
      </c>
      <c r="B20" s="15" t="n">
        <v>0.280418474566284</v>
      </c>
      <c r="C20" s="18" t="n">
        <f aca="false">'Black-Scholes'!$B$5*EXP(('Black-Scholes'!$B$8-'Black-Scholes'!$B$10-'Black-Scholes'!$B$9^2/2)*'Black-Scholes'!$B$7+'Black-Scholes'!$B$9*SQRT('Black-Scholes'!$B$7)*B20)</f>
        <v>108.989754336831</v>
      </c>
      <c r="D20" s="18" t="n">
        <f aca="false">'Black-Scholes'!$B$5*EXP(('Black-Scholes'!$B$8-'Black-Scholes'!$B$10-'Black-Scholes'!$B$9^2/2)*'Black-Scholes'!$B$7-'Black-Scholes'!$B$9*SQRT('Black-Scholes'!$B$7)*B20)</f>
        <v>97.4253546130376</v>
      </c>
      <c r="E20" s="18" t="n">
        <f aca="false">EXP(-'Black-Scholes'!$B$8*'Black-Scholes'!$B$7)*IF(LOWER('Black-Scholes'!$B$11)="put",MAX('Black-Scholes'!$B$6-C20,0),MAX(C20-'Black-Scholes'!$B$6,0))</f>
        <v>8.55131884422636</v>
      </c>
      <c r="F20" s="18" t="n">
        <f aca="false">(E20+G20)/2</f>
        <v>4.27565942211318</v>
      </c>
      <c r="G20" s="18" t="n">
        <f aca="false">EXP(-'Black-Scholes'!$B$8*'Black-Scholes'!$B$7)*IF(LOWER('Black-Scholes'!$B$11)="put",MAX('Black-Scholes'!$B$6-D20,0),MAX(D20-'Black-Scholes'!$B$6,0))</f>
        <v>0</v>
      </c>
    </row>
    <row r="21" customFormat="false" ht="15" hidden="false" customHeight="false" outlineLevel="0" collapsed="false">
      <c r="A21" s="0" t="n">
        <v>10</v>
      </c>
      <c r="B21" s="15" t="n">
        <v>0.107493071346282</v>
      </c>
      <c r="C21" s="18" t="n">
        <f aca="false">'Black-Scholes'!$B$5*EXP(('Black-Scholes'!$B$8-'Black-Scholes'!$B$10-'Black-Scholes'!$B$9^2/2)*'Black-Scholes'!$B$7+'Black-Scholes'!$B$9*SQRT('Black-Scholes'!$B$7)*B21)</f>
        <v>105.284772732766</v>
      </c>
      <c r="D21" s="18" t="n">
        <f aca="false">'Black-Scholes'!$B$5*EXP(('Black-Scholes'!$B$8-'Black-Scholes'!$B$10-'Black-Scholes'!$B$9^2/2)*'Black-Scholes'!$B$7-'Black-Scholes'!$B$9*SQRT('Black-Scholes'!$B$7)*B21)</f>
        <v>100.853762513266</v>
      </c>
      <c r="E21" s="18" t="n">
        <f aca="false">EXP(-'Black-Scholes'!$B$8*'Black-Scholes'!$B$7)*IF(LOWER('Black-Scholes'!$B$11)="put",MAX('Black-Scholes'!$B$6-C21,0),MAX(C21-'Black-Scholes'!$B$6,0))</f>
        <v>5.02703132520592</v>
      </c>
      <c r="F21" s="18" t="n">
        <f aca="false">(E21+G21)/2</f>
        <v>2.91957767468032</v>
      </c>
      <c r="G21" s="18" t="n">
        <f aca="false">EXP(-'Black-Scholes'!$B$8*'Black-Scholes'!$B$7)*IF(LOWER('Black-Scholes'!$B$11)="put",MAX('Black-Scholes'!$B$6-D21,0),MAX(D21-'Black-Scholes'!$B$6,0))</f>
        <v>0.812124024154711</v>
      </c>
    </row>
    <row r="22" customFormat="false" ht="15" hidden="false" customHeight="false" outlineLevel="0" collapsed="false">
      <c r="A22" s="0" t="n">
        <v>11</v>
      </c>
      <c r="B22" s="15" t="n">
        <v>-1.92080085520367</v>
      </c>
      <c r="C22" s="18" t="n">
        <f aca="false">'Black-Scholes'!$B$5*EXP(('Black-Scholes'!$B$8-'Black-Scholes'!$B$10-'Black-Scholes'!$B$9^2/2)*'Black-Scholes'!$B$7+'Black-Scholes'!$B$9*SQRT('Black-Scholes'!$B$7)*B22)</f>
        <v>70.1762556314144</v>
      </c>
      <c r="D22" s="18" t="n">
        <f aca="false">'Black-Scholes'!$B$5*EXP(('Black-Scholes'!$B$8-'Black-Scholes'!$B$10-'Black-Scholes'!$B$9^2/2)*'Black-Scholes'!$B$7-'Black-Scholes'!$B$9*SQRT('Black-Scholes'!$B$7)*B22)</f>
        <v>151.309946219192</v>
      </c>
      <c r="E22" s="18" t="n">
        <f aca="false">EXP(-'Black-Scholes'!$B$8*'Black-Scholes'!$B$7)*IF(LOWER('Black-Scholes'!$B$11)="put",MAX('Black-Scholes'!$B$6-C22,0),MAX(C22-'Black-Scholes'!$B$6,0))</f>
        <v>0</v>
      </c>
      <c r="F22" s="18" t="n">
        <f aca="false">(E22+G22)/2</f>
        <v>24.4037653066224</v>
      </c>
      <c r="G22" s="18" t="n">
        <f aca="false">EXP(-'Black-Scholes'!$B$8*'Black-Scholes'!$B$7)*IF(LOWER('Black-Scholes'!$B$11)="put",MAX('Black-Scholes'!$B$6-D22,0),MAX(D22-'Black-Scholes'!$B$6,0))</f>
        <v>48.8075306132447</v>
      </c>
    </row>
    <row r="23" customFormat="false" ht="15" hidden="false" customHeight="false" outlineLevel="0" collapsed="false">
      <c r="A23" s="0" t="n">
        <v>12</v>
      </c>
      <c r="B23" s="15" t="n">
        <v>1.57864498768818</v>
      </c>
      <c r="C23" s="18" t="n">
        <f aca="false">'Black-Scholes'!$B$5*EXP(('Black-Scholes'!$B$8-'Black-Scholes'!$B$10-'Black-Scholes'!$B$9^2/2)*'Black-Scholes'!$B$7+'Black-Scholes'!$B$9*SQRT('Black-Scholes'!$B$7)*B23)</f>
        <v>141.301963212558</v>
      </c>
      <c r="D23" s="18" t="n">
        <f aca="false">'Black-Scholes'!$B$5*EXP(('Black-Scholes'!$B$8-'Black-Scholes'!$B$10-'Black-Scholes'!$B$9^2/2)*'Black-Scholes'!$B$7-'Black-Scholes'!$B$9*SQRT('Black-Scholes'!$B$7)*B23)</f>
        <v>75.1466237555423</v>
      </c>
      <c r="E23" s="18" t="n">
        <f aca="false">EXP(-'Black-Scholes'!$B$8*'Black-Scholes'!$B$7)*IF(LOWER('Black-Scholes'!$B$11)="put",MAX('Black-Scholes'!$B$6-C23,0),MAX(C23-'Black-Scholes'!$B$6,0))</f>
        <v>39.2876426974316</v>
      </c>
      <c r="F23" s="18" t="n">
        <f aca="false">(E23+G23)/2</f>
        <v>19.6438213487158</v>
      </c>
      <c r="G23" s="18" t="n">
        <f aca="false">EXP(-'Black-Scholes'!$B$8*'Black-Scholes'!$B$7)*IF(LOWER('Black-Scholes'!$B$11)="put",MAX('Black-Scholes'!$B$6-D23,0),MAX(D23-'Black-Scholes'!$B$6,0))</f>
        <v>0</v>
      </c>
    </row>
    <row r="24" customFormat="false" ht="15" hidden="false" customHeight="false" outlineLevel="0" collapsed="false">
      <c r="A24" s="0" t="n">
        <v>13</v>
      </c>
      <c r="B24" s="15" t="n">
        <v>1.00595719094622</v>
      </c>
      <c r="C24" s="18" t="n">
        <f aca="false">'Black-Scholes'!$B$5*EXP(('Black-Scholes'!$B$8-'Black-Scholes'!$B$10-'Black-Scholes'!$B$9^2/2)*'Black-Scholes'!$B$7+'Black-Scholes'!$B$9*SQRT('Black-Scholes'!$B$7)*B24)</f>
        <v>126.010044770823</v>
      </c>
      <c r="D24" s="18" t="n">
        <f aca="false">'Black-Scholes'!$B$5*EXP(('Black-Scholes'!$B$8-'Black-Scholes'!$B$10-'Black-Scholes'!$B$9^2/2)*'Black-Scholes'!$B$7-'Black-Scholes'!$B$9*SQRT('Black-Scholes'!$B$7)*B24)</f>
        <v>84.266024067886</v>
      </c>
      <c r="E24" s="18" t="n">
        <f aca="false">EXP(-'Black-Scholes'!$B$8*'Black-Scholes'!$B$7)*IF(LOWER('Black-Scholes'!$B$11)="put",MAX('Black-Scholes'!$B$6-C24,0),MAX(C24-'Black-Scholes'!$B$6,0))</f>
        <v>24.7415199185881</v>
      </c>
      <c r="F24" s="18" t="n">
        <f aca="false">(E24+G24)/2</f>
        <v>12.370759959294</v>
      </c>
      <c r="G24" s="18" t="n">
        <f aca="false">EXP(-'Black-Scholes'!$B$8*'Black-Scholes'!$B$7)*IF(LOWER('Black-Scholes'!$B$11)="put",MAX('Black-Scholes'!$B$6-D24,0),MAX(D24-'Black-Scholes'!$B$6,0))</f>
        <v>0</v>
      </c>
    </row>
    <row r="25" customFormat="false" ht="15" hidden="false" customHeight="false" outlineLevel="0" collapsed="false">
      <c r="A25" s="0" t="n">
        <v>14</v>
      </c>
      <c r="B25" s="15" t="n">
        <v>0.451215046808752</v>
      </c>
      <c r="C25" s="18" t="n">
        <f aca="false">'Black-Scholes'!$B$5*EXP(('Black-Scholes'!$B$8-'Black-Scholes'!$B$10-'Black-Scholes'!$B$9^2/2)*'Black-Scholes'!$B$7+'Black-Scholes'!$B$9*SQRT('Black-Scholes'!$B$7)*B25)</f>
        <v>112.77708771637</v>
      </c>
      <c r="D25" s="18" t="n">
        <f aca="false">'Black-Scholes'!$B$5*EXP(('Black-Scholes'!$B$8-'Black-Scholes'!$B$10-'Black-Scholes'!$B$9^2/2)*'Black-Scholes'!$B$7-'Black-Scholes'!$B$9*SQRT('Black-Scholes'!$B$7)*B25)</f>
        <v>94.153570379104</v>
      </c>
      <c r="E25" s="18" t="n">
        <f aca="false">EXP(-'Black-Scholes'!$B$8*'Black-Scholes'!$B$7)*IF(LOWER('Black-Scholes'!$B$11)="put",MAX('Black-Scholes'!$B$6-C25,0),MAX(C25-'Black-Scholes'!$B$6,0))</f>
        <v>12.1539417952374</v>
      </c>
      <c r="F25" s="18" t="n">
        <f aca="false">(E25+G25)/2</f>
        <v>6.0769708976187</v>
      </c>
      <c r="G25" s="18" t="n">
        <f aca="false">EXP(-'Black-Scholes'!$B$8*'Black-Scholes'!$B$7)*IF(LOWER('Black-Scholes'!$B$11)="put",MAX('Black-Scholes'!$B$6-D25,0),MAX(D25-'Black-Scholes'!$B$6,0))</f>
        <v>0</v>
      </c>
    </row>
    <row r="26" customFormat="false" ht="15" hidden="false" customHeight="false" outlineLevel="0" collapsed="false">
      <c r="A26" s="0" t="n">
        <v>15</v>
      </c>
      <c r="B26" s="15" t="n">
        <v>-0.593433670573076</v>
      </c>
      <c r="C26" s="18" t="n">
        <f aca="false">'Black-Scholes'!$B$5*EXP(('Black-Scholes'!$B$8-'Black-Scholes'!$B$10-'Black-Scholes'!$B$9^2/2)*'Black-Scholes'!$B$7+'Black-Scholes'!$B$9*SQRT('Black-Scholes'!$B$7)*B26)</f>
        <v>91.5132208377157</v>
      </c>
      <c r="D26" s="18" t="n">
        <f aca="false">'Black-Scholes'!$B$5*EXP(('Black-Scholes'!$B$8-'Black-Scholes'!$B$10-'Black-Scholes'!$B$9^2/2)*'Black-Scholes'!$B$7-'Black-Scholes'!$B$9*SQRT('Black-Scholes'!$B$7)*B26)</f>
        <v>116.030944690315</v>
      </c>
      <c r="E26" s="18" t="n">
        <f aca="false">EXP(-'Black-Scholes'!$B$8*'Black-Scholes'!$B$7)*IF(LOWER('Black-Scholes'!$B$11)="put",MAX('Black-Scholes'!$B$6-C26,0),MAX(C26-'Black-Scholes'!$B$6,0))</f>
        <v>0</v>
      </c>
      <c r="F26" s="18" t="n">
        <f aca="false">(E26+G26)/2</f>
        <v>7.6245531459857</v>
      </c>
      <c r="G26" s="18" t="n">
        <f aca="false">EXP(-'Black-Scholes'!$B$8*'Black-Scholes'!$B$7)*IF(LOWER('Black-Scholes'!$B$11)="put",MAX('Black-Scholes'!$B$6-D26,0),MAX(D26-'Black-Scholes'!$B$6,0))</f>
        <v>15.2491062919714</v>
      </c>
    </row>
    <row r="27" customFormat="false" ht="15" hidden="false" customHeight="false" outlineLevel="0" collapsed="false">
      <c r="A27" s="0" t="n">
        <v>16</v>
      </c>
      <c r="B27" s="15" t="n">
        <v>0.0938211204293909</v>
      </c>
      <c r="C27" s="18" t="n">
        <f aca="false">'Black-Scholes'!$B$5*EXP(('Black-Scholes'!$B$8-'Black-Scholes'!$B$10-'Black-Scholes'!$B$9^2/2)*'Black-Scholes'!$B$7+'Black-Scholes'!$B$9*SQRT('Black-Scholes'!$B$7)*B27)</f>
        <v>104.997276326553</v>
      </c>
      <c r="D27" s="18" t="n">
        <f aca="false">'Black-Scholes'!$B$5*EXP(('Black-Scholes'!$B$8-'Black-Scholes'!$B$10-'Black-Scholes'!$B$9^2/2)*'Black-Scholes'!$B$7-'Black-Scholes'!$B$9*SQRT('Black-Scholes'!$B$7)*B27)</f>
        <v>101.129913431557</v>
      </c>
      <c r="E27" s="18" t="n">
        <f aca="false">EXP(-'Black-Scholes'!$B$8*'Black-Scholes'!$B$7)*IF(LOWER('Black-Scholes'!$B$11)="put",MAX('Black-Scholes'!$B$6-C27,0),MAX(C27-'Black-Scholes'!$B$6,0))</f>
        <v>4.75355628417821</v>
      </c>
      <c r="F27" s="18" t="n">
        <f aca="false">(E27+G27)/2</f>
        <v>2.91418159370693</v>
      </c>
      <c r="G27" s="18" t="n">
        <f aca="false">EXP(-'Black-Scholes'!$B$8*'Black-Scholes'!$B$7)*IF(LOWER('Black-Scholes'!$B$11)="put",MAX('Black-Scholes'!$B$6-D27,0),MAX(D27-'Black-Scholes'!$B$6,0))</f>
        <v>1.07480690323565</v>
      </c>
    </row>
    <row r="28" customFormat="false" ht="15" hidden="false" customHeight="false" outlineLevel="0" collapsed="false">
      <c r="A28" s="0" t="n">
        <v>17</v>
      </c>
      <c r="B28" s="15" t="n">
        <v>1.851958668615</v>
      </c>
      <c r="C28" s="18" t="n">
        <f aca="false">'Black-Scholes'!$B$5*EXP(('Black-Scholes'!$B$8-'Black-Scholes'!$B$10-'Black-Scholes'!$B$9^2/2)*'Black-Scholes'!$B$7+'Black-Scholes'!$B$9*SQRT('Black-Scholes'!$B$7)*B28)</f>
        <v>149.24092101633</v>
      </c>
      <c r="D28" s="18" t="n">
        <f aca="false">'Black-Scholes'!$B$5*EXP(('Black-Scholes'!$B$8-'Black-Scholes'!$B$10-'Black-Scholes'!$B$9^2/2)*'Black-Scholes'!$B$7-'Black-Scholes'!$B$9*SQRT('Black-Scholes'!$B$7)*B28)</f>
        <v>71.1491552929491</v>
      </c>
      <c r="E28" s="18" t="n">
        <f aca="false">EXP(-'Black-Scholes'!$B$8*'Black-Scholes'!$B$7)*IF(LOWER('Black-Scholes'!$B$11)="put",MAX('Black-Scholes'!$B$6-C28,0),MAX(C28-'Black-Scholes'!$B$6,0))</f>
        <v>46.8394129602485</v>
      </c>
      <c r="F28" s="18" t="n">
        <f aca="false">(E28+G28)/2</f>
        <v>23.4197064801242</v>
      </c>
      <c r="G28" s="18" t="n">
        <f aca="false">EXP(-'Black-Scholes'!$B$8*'Black-Scholes'!$B$7)*IF(LOWER('Black-Scholes'!$B$11)="put",MAX('Black-Scholes'!$B$6-D28,0),MAX(D28-'Black-Scholes'!$B$6,0))</f>
        <v>0</v>
      </c>
    </row>
    <row r="29" customFormat="false" ht="15" hidden="false" customHeight="false" outlineLevel="0" collapsed="false">
      <c r="A29" s="0" t="n">
        <v>18</v>
      </c>
      <c r="B29" s="15" t="n">
        <v>-0.255904747742656</v>
      </c>
      <c r="C29" s="18" t="n">
        <f aca="false">'Black-Scholes'!$B$5*EXP(('Black-Scholes'!$B$8-'Black-Scholes'!$B$10-'Black-Scholes'!$B$9^2/2)*'Black-Scholes'!$B$7+'Black-Scholes'!$B$9*SQRT('Black-Scholes'!$B$7)*B29)</f>
        <v>97.9041791370096</v>
      </c>
      <c r="D29" s="18" t="n">
        <f aca="false">'Black-Scholes'!$B$5*EXP(('Black-Scholes'!$B$8-'Black-Scholes'!$B$10-'Black-Scholes'!$B$9^2/2)*'Black-Scholes'!$B$7-'Black-Scholes'!$B$9*SQRT('Black-Scholes'!$B$7)*B29)</f>
        <v>108.456713074464</v>
      </c>
      <c r="E29" s="18" t="n">
        <f aca="false">EXP(-'Black-Scholes'!$B$8*'Black-Scholes'!$B$7)*IF(LOWER('Black-Scholes'!$B$11)="put",MAX('Black-Scholes'!$B$6-C29,0),MAX(C29-'Black-Scholes'!$B$6,0))</f>
        <v>0</v>
      </c>
      <c r="F29" s="18" t="n">
        <f aca="false">(E29+G29)/2</f>
        <v>4.02213715549512</v>
      </c>
      <c r="G29" s="18" t="n">
        <f aca="false">EXP(-'Black-Scholes'!$B$8*'Black-Scholes'!$B$7)*IF(LOWER('Black-Scholes'!$B$11)="put",MAX('Black-Scholes'!$B$6-D29,0),MAX(D29-'Black-Scholes'!$B$6,0))</f>
        <v>8.04427431099024</v>
      </c>
    </row>
    <row r="30" customFormat="false" ht="15" hidden="false" customHeight="false" outlineLevel="0" collapsed="false">
      <c r="A30" s="0" t="n">
        <v>19</v>
      </c>
      <c r="B30" s="15" t="n">
        <v>-0.282986373429588</v>
      </c>
      <c r="C30" s="18" t="n">
        <f aca="false">'Black-Scholes'!$B$5*EXP(('Black-Scholes'!$B$8-'Black-Scholes'!$B$10-'Black-Scholes'!$B$9^2/2)*'Black-Scholes'!$B$7+'Black-Scholes'!$B$9*SQRT('Black-Scholes'!$B$7)*B30)</f>
        <v>97.3753317680243</v>
      </c>
      <c r="D30" s="18" t="n">
        <f aca="false">'Black-Scholes'!$B$5*EXP(('Black-Scholes'!$B$8-'Black-Scholes'!$B$10-'Black-Scholes'!$B$9^2/2)*'Black-Scholes'!$B$7-'Black-Scholes'!$B$9*SQRT('Black-Scholes'!$B$7)*B30)</f>
        <v>109.045743646343</v>
      </c>
      <c r="E30" s="18" t="n">
        <f aca="false">EXP(-'Black-Scholes'!$B$8*'Black-Scholes'!$B$7)*IF(LOWER('Black-Scholes'!$B$11)="put",MAX('Black-Scholes'!$B$6-C30,0),MAX(C30-'Black-Scholes'!$B$6,0))</f>
        <v>0</v>
      </c>
      <c r="F30" s="18" t="n">
        <f aca="false">(E30+G30)/2</f>
        <v>4.30228876144603</v>
      </c>
      <c r="G30" s="18" t="n">
        <f aca="false">EXP(-'Black-Scholes'!$B$8*'Black-Scholes'!$B$7)*IF(LOWER('Black-Scholes'!$B$11)="put",MAX('Black-Scholes'!$B$6-D30,0),MAX(D30-'Black-Scholes'!$B$6,0))</f>
        <v>8.60457752289206</v>
      </c>
    </row>
    <row r="31" customFormat="false" ht="15" hidden="false" customHeight="false" outlineLevel="0" collapsed="false">
      <c r="A31" s="0" t="n">
        <v>20</v>
      </c>
      <c r="B31" s="15" t="n">
        <v>0.415816003193026</v>
      </c>
      <c r="C31" s="18" t="n">
        <f aca="false">'Black-Scholes'!$B$5*EXP(('Black-Scholes'!$B$8-'Black-Scholes'!$B$10-'Black-Scholes'!$B$9^2/2)*'Black-Scholes'!$B$7+'Black-Scholes'!$B$9*SQRT('Black-Scholes'!$B$7)*B31)</f>
        <v>111.981467250625</v>
      </c>
      <c r="D31" s="18" t="n">
        <f aca="false">'Black-Scholes'!$B$5*EXP(('Black-Scholes'!$B$8-'Black-Scholes'!$B$10-'Black-Scholes'!$B$9^2/2)*'Black-Scholes'!$B$7-'Black-Scholes'!$B$9*SQRT('Black-Scholes'!$B$7)*B31)</f>
        <v>94.8225248887723</v>
      </c>
      <c r="E31" s="18" t="n">
        <f aca="false">EXP(-'Black-Scholes'!$B$8*'Black-Scholes'!$B$7)*IF(LOWER('Black-Scholes'!$B$11)="put",MAX('Black-Scholes'!$B$6-C31,0),MAX(C31-'Black-Scholes'!$B$6,0))</f>
        <v>11.3971241974858</v>
      </c>
      <c r="F31" s="18" t="n">
        <f aca="false">(E31+G31)/2</f>
        <v>5.69856209874292</v>
      </c>
      <c r="G31" s="18" t="n">
        <f aca="false">EXP(-'Black-Scholes'!$B$8*'Black-Scholes'!$B$7)*IF(LOWER('Black-Scholes'!$B$11)="put",MAX('Black-Scholes'!$B$6-D31,0),MAX(D31-'Black-Scholes'!$B$6,0))</f>
        <v>0</v>
      </c>
    </row>
    <row r="32" customFormat="false" ht="15" hidden="false" customHeight="false" outlineLevel="0" collapsed="false">
      <c r="A32" s="0" t="n">
        <v>21</v>
      </c>
      <c r="B32" s="15" t="n">
        <v>-1.08877401379663</v>
      </c>
      <c r="C32" s="18" t="n">
        <f aca="false">'Black-Scholes'!$B$5*EXP(('Black-Scholes'!$B$8-'Black-Scholes'!$B$10-'Black-Scholes'!$B$9^2/2)*'Black-Scholes'!$B$7+'Black-Scholes'!$B$9*SQRT('Black-Scholes'!$B$7)*B32)</f>
        <v>82.8817906183368</v>
      </c>
      <c r="D32" s="18" t="n">
        <f aca="false">'Black-Scholes'!$B$5*EXP(('Black-Scholes'!$B$8-'Black-Scholes'!$B$10-'Black-Scholes'!$B$9^2/2)*'Black-Scholes'!$B$7-'Black-Scholes'!$B$9*SQRT('Black-Scholes'!$B$7)*B32)</f>
        <v>128.114576027323</v>
      </c>
      <c r="E32" s="18" t="n">
        <f aca="false">EXP(-'Black-Scholes'!$B$8*'Black-Scholes'!$B$7)*IF(LOWER('Black-Scholes'!$B$11)="put",MAX('Black-Scholes'!$B$6-C32,0),MAX(C32-'Black-Scholes'!$B$6,0))</f>
        <v>0</v>
      </c>
      <c r="F32" s="18" t="n">
        <f aca="false">(E32+G32)/2</f>
        <v>13.3717059872761</v>
      </c>
      <c r="G32" s="18" t="n">
        <f aca="false">EXP(-'Black-Scholes'!$B$8*'Black-Scholes'!$B$7)*IF(LOWER('Black-Scholes'!$B$11)="put",MAX('Black-Scholes'!$B$6-D32,0),MAX(D32-'Black-Scholes'!$B$6,0))</f>
        <v>26.7434119745522</v>
      </c>
    </row>
    <row r="33" customFormat="false" ht="15" hidden="false" customHeight="false" outlineLevel="0" collapsed="false">
      <c r="A33" s="0" t="n">
        <v>22</v>
      </c>
      <c r="B33" s="15" t="n">
        <v>-1.96729164779503</v>
      </c>
      <c r="C33" s="18" t="n">
        <f aca="false">'Black-Scholes'!$B$5*EXP(('Black-Scholes'!$B$8-'Black-Scholes'!$B$10-'Black-Scholes'!$B$9^2/2)*'Black-Scholes'!$B$7+'Black-Scholes'!$B$9*SQRT('Black-Scholes'!$B$7)*B33)</f>
        <v>69.5267698724143</v>
      </c>
      <c r="D33" s="18" t="n">
        <f aca="false">'Black-Scholes'!$B$5*EXP(('Black-Scholes'!$B$8-'Black-Scholes'!$B$10-'Black-Scholes'!$B$9^2/2)*'Black-Scholes'!$B$7-'Black-Scholes'!$B$9*SQRT('Black-Scholes'!$B$7)*B33)</f>
        <v>152.72341121181</v>
      </c>
      <c r="E33" s="18" t="n">
        <f aca="false">EXP(-'Black-Scholes'!$B$8*'Black-Scholes'!$B$7)*IF(LOWER('Black-Scholes'!$B$11)="put",MAX('Black-Scholes'!$B$6-C33,0),MAX(C33-'Black-Scholes'!$B$6,0))</f>
        <v>0</v>
      </c>
      <c r="F33" s="18" t="n">
        <f aca="false">(E33+G33)/2</f>
        <v>25.0760300523622</v>
      </c>
      <c r="G33" s="18" t="n">
        <f aca="false">EXP(-'Black-Scholes'!$B$8*'Black-Scholes'!$B$7)*IF(LOWER('Black-Scholes'!$B$11)="put",MAX('Black-Scholes'!$B$6-D33,0),MAX(D33-'Black-Scholes'!$B$6,0))</f>
        <v>50.1520601047243</v>
      </c>
    </row>
    <row r="34" customFormat="false" ht="15" hidden="false" customHeight="false" outlineLevel="0" collapsed="false">
      <c r="A34" s="0" t="n">
        <v>23</v>
      </c>
      <c r="B34" s="15" t="n">
        <v>0.887378458104591</v>
      </c>
      <c r="C34" s="18" t="n">
        <f aca="false">'Black-Scholes'!$B$5*EXP(('Black-Scholes'!$B$8-'Black-Scholes'!$B$10-'Black-Scholes'!$B$9^2/2)*'Black-Scholes'!$B$7+'Black-Scholes'!$B$9*SQRT('Black-Scholes'!$B$7)*B34)</f>
        <v>123.056780336787</v>
      </c>
      <c r="D34" s="18" t="n">
        <f aca="false">'Black-Scholes'!$B$5*EXP(('Black-Scholes'!$B$8-'Black-Scholes'!$B$10-'Black-Scholes'!$B$9^2/2)*'Black-Scholes'!$B$7-'Black-Scholes'!$B$9*SQRT('Black-Scholes'!$B$7)*B34)</f>
        <v>86.2883413363555</v>
      </c>
      <c r="E34" s="18" t="n">
        <f aca="false">EXP(-'Black-Scholes'!$B$8*'Black-Scholes'!$B$7)*IF(LOWER('Black-Scholes'!$B$11)="put",MAX('Black-Scholes'!$B$6-C34,0),MAX(C34-'Black-Scholes'!$B$6,0))</f>
        <v>21.9322878906013</v>
      </c>
      <c r="F34" s="18" t="n">
        <f aca="false">(E34+G34)/2</f>
        <v>10.9661439453006</v>
      </c>
      <c r="G34" s="18" t="n">
        <f aca="false">EXP(-'Black-Scholes'!$B$8*'Black-Scholes'!$B$7)*IF(LOWER('Black-Scholes'!$B$11)="put",MAX('Black-Scholes'!$B$6-D34,0),MAX(D34-'Black-Scholes'!$B$6,0))</f>
        <v>0</v>
      </c>
    </row>
    <row r="35" customFormat="false" ht="15" hidden="false" customHeight="false" outlineLevel="0" collapsed="false">
      <c r="A35" s="0" t="n">
        <v>24</v>
      </c>
      <c r="B35" s="15" t="n">
        <v>-1.32823784078652</v>
      </c>
      <c r="C35" s="18" t="n">
        <f aca="false">'Black-Scholes'!$B$5*EXP(('Black-Scholes'!$B$8-'Black-Scholes'!$B$10-'Black-Scholes'!$B$9^2/2)*'Black-Scholes'!$B$7+'Black-Scholes'!$B$9*SQRT('Black-Scholes'!$B$7)*B35)</f>
        <v>79.0059066845425</v>
      </c>
      <c r="D35" s="18" t="n">
        <f aca="false">'Black-Scholes'!$B$5*EXP(('Black-Scholes'!$B$8-'Black-Scholes'!$B$10-'Black-Scholes'!$B$9^2/2)*'Black-Scholes'!$B$7-'Black-Scholes'!$B$9*SQRT('Black-Scholes'!$B$7)*B35)</f>
        <v>134.399640622453</v>
      </c>
      <c r="E35" s="18" t="n">
        <f aca="false">EXP(-'Black-Scholes'!$B$8*'Black-Scholes'!$B$7)*IF(LOWER('Black-Scholes'!$B$11)="put",MAX('Black-Scholes'!$B$6-C35,0),MAX(C35-'Black-Scholes'!$B$6,0))</f>
        <v>0</v>
      </c>
      <c r="F35" s="18" t="n">
        <f aca="false">(E35+G35)/2</f>
        <v>16.3609751761638</v>
      </c>
      <c r="G35" s="18" t="n">
        <f aca="false">EXP(-'Black-Scholes'!$B$8*'Black-Scholes'!$B$7)*IF(LOWER('Black-Scholes'!$B$11)="put",MAX('Black-Scholes'!$B$6-D35,0),MAX(D35-'Black-Scholes'!$B$6,0))</f>
        <v>32.7219503523276</v>
      </c>
    </row>
    <row r="36" customFormat="false" ht="15" hidden="false" customHeight="false" outlineLevel="0" collapsed="false">
      <c r="A36" s="0" t="n">
        <v>25</v>
      </c>
      <c r="B36" s="15" t="n">
        <v>-0.131579806955026</v>
      </c>
      <c r="C36" s="18" t="n">
        <f aca="false">'Black-Scholes'!$B$5*EXP(('Black-Scholes'!$B$8-'Black-Scholes'!$B$10-'Black-Scholes'!$B$9^2/2)*'Black-Scholes'!$B$7+'Black-Scholes'!$B$9*SQRT('Black-Scholes'!$B$7)*B36)</f>
        <v>100.369083302029</v>
      </c>
      <c r="D36" s="18" t="n">
        <f aca="false">'Black-Scholes'!$B$5*EXP(('Black-Scholes'!$B$8-'Black-Scholes'!$B$10-'Black-Scholes'!$B$9^2/2)*'Black-Scholes'!$B$7-'Black-Scholes'!$B$9*SQRT('Black-Scholes'!$B$7)*B36)</f>
        <v>105.793189656828</v>
      </c>
      <c r="E36" s="18" t="n">
        <f aca="false">EXP(-'Black-Scholes'!$B$8*'Black-Scholes'!$B$7)*IF(LOWER('Black-Scholes'!$B$11)="put",MAX('Black-Scholes'!$B$6-C36,0),MAX(C36-'Black-Scholes'!$B$6,0))</f>
        <v>0.351082896982218</v>
      </c>
      <c r="F36" s="18" t="n">
        <f aca="false">(E36+G36)/2</f>
        <v>2.93086768013527</v>
      </c>
      <c r="G36" s="18" t="n">
        <f aca="false">EXP(-'Black-Scholes'!$B$8*'Black-Scholes'!$B$7)*IF(LOWER('Black-Scholes'!$B$11)="put",MAX('Black-Scholes'!$B$6-D36,0),MAX(D36-'Black-Scholes'!$B$6,0))</f>
        <v>5.51065246328833</v>
      </c>
    </row>
    <row r="37" customFormat="false" ht="15" hidden="false" customHeight="false" outlineLevel="0" collapsed="false">
      <c r="A37" s="0" t="n">
        <v>26</v>
      </c>
      <c r="B37" s="15" t="n">
        <v>-0.361969292717315</v>
      </c>
      <c r="C37" s="18" t="n">
        <f aca="false">'Black-Scholes'!$B$5*EXP(('Black-Scholes'!$B$8-'Black-Scholes'!$B$10-'Black-Scholes'!$B$9^2/2)*'Black-Scholes'!$B$7+'Black-Scholes'!$B$9*SQRT('Black-Scholes'!$B$7)*B37)</f>
        <v>95.8492195879697</v>
      </c>
      <c r="D37" s="18" t="n">
        <f aca="false">'Black-Scholes'!$B$5*EXP(('Black-Scholes'!$B$8-'Black-Scholes'!$B$10-'Black-Scholes'!$B$9^2/2)*'Black-Scholes'!$B$7-'Black-Scholes'!$B$9*SQRT('Black-Scholes'!$B$7)*B37)</f>
        <v>110.781971007162</v>
      </c>
      <c r="E37" s="18" t="n">
        <f aca="false">EXP(-'Black-Scholes'!$B$8*'Black-Scholes'!$B$7)*IF(LOWER('Black-Scholes'!$B$11)="put",MAX('Black-Scholes'!$B$6-C37,0),MAX(C37-'Black-Scholes'!$B$6,0))</f>
        <v>0</v>
      </c>
      <c r="F37" s="18" t="n">
        <f aca="false">(E37+G37)/2</f>
        <v>5.12806403806319</v>
      </c>
      <c r="G37" s="18" t="n">
        <f aca="false">EXP(-'Black-Scholes'!$B$8*'Black-Scholes'!$B$7)*IF(LOWER('Black-Scholes'!$B$11)="put",MAX('Black-Scholes'!$B$6-D37,0),MAX(D37-'Black-Scholes'!$B$6,0))</f>
        <v>10.2561280761264</v>
      </c>
    </row>
    <row r="38" customFormat="false" ht="15" hidden="false" customHeight="false" outlineLevel="0" collapsed="false">
      <c r="A38" s="0" t="n">
        <v>27</v>
      </c>
      <c r="B38" s="15" t="n">
        <v>0.782031104518053</v>
      </c>
      <c r="C38" s="18" t="n">
        <f aca="false">'Black-Scholes'!$B$5*EXP(('Black-Scholes'!$B$8-'Black-Scholes'!$B$10-'Black-Scholes'!$B$9^2/2)*'Black-Scholes'!$B$7+'Black-Scholes'!$B$9*SQRT('Black-Scholes'!$B$7)*B38)</f>
        <v>120.491162126415</v>
      </c>
      <c r="D38" s="18" t="n">
        <f aca="false">'Black-Scholes'!$B$5*EXP(('Black-Scholes'!$B$8-'Black-Scholes'!$B$10-'Black-Scholes'!$B$9^2/2)*'Black-Scholes'!$B$7-'Black-Scholes'!$B$9*SQRT('Black-Scholes'!$B$7)*B38)</f>
        <v>88.1256789133894</v>
      </c>
      <c r="E38" s="18" t="n">
        <f aca="false">EXP(-'Black-Scholes'!$B$8*'Black-Scholes'!$B$7)*IF(LOWER('Black-Scholes'!$B$11)="put",MAX('Black-Scholes'!$B$6-C38,0),MAX(C38-'Black-Scholes'!$B$6,0))</f>
        <v>19.4917963568606</v>
      </c>
      <c r="F38" s="18" t="n">
        <f aca="false">(E38+G38)/2</f>
        <v>9.74589817843031</v>
      </c>
      <c r="G38" s="18" t="n">
        <f aca="false">EXP(-'Black-Scholes'!$B$8*'Black-Scholes'!$B$7)*IF(LOWER('Black-Scholes'!$B$11)="put",MAX('Black-Scholes'!$B$6-D38,0),MAX(D38-'Black-Scholes'!$B$6,0))</f>
        <v>0</v>
      </c>
    </row>
    <row r="39" customFormat="false" ht="15" hidden="false" customHeight="false" outlineLevel="0" collapsed="false">
      <c r="A39" s="0" t="n">
        <v>28</v>
      </c>
      <c r="B39" s="15" t="n">
        <v>0.28266398669007</v>
      </c>
      <c r="C39" s="18" t="n">
        <f aca="false">'Black-Scholes'!$B$5*EXP(('Black-Scholes'!$B$8-'Black-Scholes'!$B$10-'Black-Scholes'!$B$9^2/2)*'Black-Scholes'!$B$7+'Black-Scholes'!$B$9*SQRT('Black-Scholes'!$B$7)*B39)</f>
        <v>109.038712892657</v>
      </c>
      <c r="D39" s="18" t="n">
        <f aca="false">'Black-Scholes'!$B$5*EXP(('Black-Scholes'!$B$8-'Black-Scholes'!$B$10-'Black-Scholes'!$B$9^2/2)*'Black-Scholes'!$B$7-'Black-Scholes'!$B$9*SQRT('Black-Scholes'!$B$7)*B39)</f>
        <v>97.3816104735829</v>
      </c>
      <c r="E39" s="18" t="n">
        <f aca="false">EXP(-'Black-Scholes'!$B$8*'Black-Scholes'!$B$7)*IF(LOWER('Black-Scholes'!$B$11)="put",MAX('Black-Scholes'!$B$6-C39,0),MAX(C39-'Black-Scholes'!$B$6,0))</f>
        <v>8.59788966310963</v>
      </c>
      <c r="F39" s="18" t="n">
        <f aca="false">(E39+G39)/2</f>
        <v>4.29894483155482</v>
      </c>
      <c r="G39" s="18" t="n">
        <f aca="false">EXP(-'Black-Scholes'!$B$8*'Black-Scholes'!$B$7)*IF(LOWER('Black-Scholes'!$B$11)="put",MAX('Black-Scholes'!$B$6-D39,0),MAX(D39-'Black-Scholes'!$B$6,0))</f>
        <v>0</v>
      </c>
    </row>
    <row r="40" customFormat="false" ht="15" hidden="false" customHeight="false" outlineLevel="0" collapsed="false">
      <c r="A40" s="0" t="n">
        <v>29</v>
      </c>
      <c r="B40" s="15" t="n">
        <v>-1.00595013331123</v>
      </c>
      <c r="C40" s="18" t="n">
        <f aca="false">'Black-Scholes'!$B$5*EXP(('Black-Scholes'!$B$8-'Black-Scholes'!$B$10-'Black-Scholes'!$B$9^2/2)*'Black-Scholes'!$B$7+'Black-Scholes'!$B$9*SQRT('Black-Scholes'!$B$7)*B40)</f>
        <v>84.266143011738</v>
      </c>
      <c r="D40" s="18" t="n">
        <f aca="false">'Black-Scholes'!$B$5*EXP(('Black-Scholes'!$B$8-'Black-Scholes'!$B$10-'Black-Scholes'!$B$9^2/2)*'Black-Scholes'!$B$7-'Black-Scholes'!$B$9*SQRT('Black-Scholes'!$B$7)*B40)</f>
        <v>126.009866904369</v>
      </c>
      <c r="E40" s="18" t="n">
        <f aca="false">EXP(-'Black-Scholes'!$B$8*'Black-Scholes'!$B$7)*IF(LOWER('Black-Scholes'!$B$11)="put",MAX('Black-Scholes'!$B$6-C40,0),MAX(C40-'Black-Scholes'!$B$6,0))</f>
        <v>0</v>
      </c>
      <c r="F40" s="18" t="n">
        <f aca="false">(E40+G40)/2</f>
        <v>12.3706753633913</v>
      </c>
      <c r="G40" s="18" t="n">
        <f aca="false">EXP(-'Black-Scholes'!$B$8*'Black-Scholes'!$B$7)*IF(LOWER('Black-Scholes'!$B$11)="put",MAX('Black-Scholes'!$B$6-D40,0),MAX(D40-'Black-Scholes'!$B$6,0))</f>
        <v>24.7413507267827</v>
      </c>
    </row>
    <row r="41" customFormat="false" ht="15" hidden="false" customHeight="false" outlineLevel="0" collapsed="false">
      <c r="A41" s="0" t="n">
        <v>30</v>
      </c>
      <c r="B41" s="15" t="n">
        <v>0.0185121356718837</v>
      </c>
      <c r="C41" s="18" t="n">
        <f aca="false">'Black-Scholes'!$B$5*EXP(('Black-Scholes'!$B$8-'Black-Scholes'!$B$10-'Black-Scholes'!$B$9^2/2)*'Black-Scholes'!$B$7+'Black-Scholes'!$B$9*SQRT('Black-Scholes'!$B$7)*B41)</f>
        <v>103.427678822345</v>
      </c>
      <c r="D41" s="18" t="n">
        <f aca="false">'Black-Scholes'!$B$5*EXP(('Black-Scholes'!$B$8-'Black-Scholes'!$B$10-'Black-Scholes'!$B$9^2/2)*'Black-Scholes'!$B$7-'Black-Scholes'!$B$9*SQRT('Black-Scholes'!$B$7)*B41)</f>
        <v>102.664640513614</v>
      </c>
      <c r="E41" s="18" t="n">
        <f aca="false">EXP(-'Black-Scholes'!$B$8*'Black-Scholes'!$B$7)*IF(LOWER('Black-Scholes'!$B$11)="put",MAX('Black-Scholes'!$B$6-C41,0),MAX(C41-'Black-Scholes'!$B$6,0))</f>
        <v>3.26050895355278</v>
      </c>
      <c r="F41" s="18" t="n">
        <f aca="false">(E41+G41)/2</f>
        <v>2.89759670790951</v>
      </c>
      <c r="G41" s="18" t="n">
        <f aca="false">EXP(-'Black-Scholes'!$B$8*'Black-Scholes'!$B$7)*IF(LOWER('Black-Scholes'!$B$11)="put",MAX('Black-Scholes'!$B$6-D41,0),MAX(D41-'Black-Scholes'!$B$6,0))</f>
        <v>2.53468446226624</v>
      </c>
    </row>
    <row r="42" customFormat="false" ht="15" hidden="false" customHeight="false" outlineLevel="0" collapsed="false">
      <c r="A42" s="0" t="n">
        <v>31</v>
      </c>
      <c r="B42" s="15" t="n">
        <v>-1.24315952511211</v>
      </c>
      <c r="C42" s="18" t="n">
        <f aca="false">'Black-Scholes'!$B$5*EXP(('Black-Scholes'!$B$8-'Black-Scholes'!$B$10-'Black-Scholes'!$B$9^2/2)*'Black-Scholes'!$B$7+'Black-Scholes'!$B$9*SQRT('Black-Scholes'!$B$7)*B42)</f>
        <v>80.3617471272738</v>
      </c>
      <c r="D42" s="18" t="n">
        <f aca="false">'Black-Scholes'!$B$5*EXP(('Black-Scholes'!$B$8-'Black-Scholes'!$B$10-'Black-Scholes'!$B$9^2/2)*'Black-Scholes'!$B$7-'Black-Scholes'!$B$9*SQRT('Black-Scholes'!$B$7)*B42)</f>
        <v>132.132088276237</v>
      </c>
      <c r="E42" s="18" t="n">
        <f aca="false">EXP(-'Black-Scholes'!$B$8*'Black-Scholes'!$B$7)*IF(LOWER('Black-Scholes'!$B$11)="put",MAX('Black-Scholes'!$B$6-C42,0),MAX(C42-'Black-Scholes'!$B$6,0))</f>
        <v>0</v>
      </c>
      <c r="F42" s="18" t="n">
        <f aca="false">(E42+G42)/2</f>
        <v>15.2824939195057</v>
      </c>
      <c r="G42" s="18" t="n">
        <f aca="false">EXP(-'Black-Scholes'!$B$8*'Black-Scholes'!$B$7)*IF(LOWER('Black-Scholes'!$B$11)="put",MAX('Black-Scholes'!$B$6-D42,0),MAX(D42-'Black-Scholes'!$B$6,0))</f>
        <v>30.5649878390113</v>
      </c>
    </row>
    <row r="43" customFormat="false" ht="15" hidden="false" customHeight="false" outlineLevel="0" collapsed="false">
      <c r="A43" s="0" t="n">
        <v>32</v>
      </c>
      <c r="B43" s="15" t="n">
        <v>2.60337585436867</v>
      </c>
      <c r="C43" s="18" t="n">
        <f aca="false">'Black-Scholes'!$B$5*EXP(('Black-Scholes'!$B$8-'Black-Scholes'!$B$10-'Black-Scholes'!$B$9^2/2)*'Black-Scholes'!$B$7+'Black-Scholes'!$B$9*SQRT('Black-Scholes'!$B$7)*B43)</f>
        <v>173.442365496744</v>
      </c>
      <c r="D43" s="18" t="n">
        <f aca="false">'Black-Scholes'!$B$5*EXP(('Black-Scholes'!$B$8-'Black-Scholes'!$B$10-'Black-Scholes'!$B$9^2/2)*'Black-Scholes'!$B$7-'Black-Scholes'!$B$9*SQRT('Black-Scholes'!$B$7)*B43)</f>
        <v>61.2212906289781</v>
      </c>
      <c r="E43" s="18" t="n">
        <f aca="false">EXP(-'Black-Scholes'!$B$8*'Black-Scholes'!$B$7)*IF(LOWER('Black-Scholes'!$B$11)="put",MAX('Black-Scholes'!$B$6-C43,0),MAX(C43-'Black-Scholes'!$B$6,0))</f>
        <v>69.8605390654386</v>
      </c>
      <c r="F43" s="18" t="n">
        <f aca="false">(E43+G43)/2</f>
        <v>34.9302695327193</v>
      </c>
      <c r="G43" s="18" t="n">
        <f aca="false">EXP(-'Black-Scholes'!$B$8*'Black-Scholes'!$B$7)*IF(LOWER('Black-Scholes'!$B$11)="put",MAX('Black-Scholes'!$B$6-D43,0),MAX(D43-'Black-Scholes'!$B$6,0))</f>
        <v>0</v>
      </c>
    </row>
    <row r="44" customFormat="false" ht="15" hidden="false" customHeight="false" outlineLevel="0" collapsed="false">
      <c r="A44" s="0" t="n">
        <v>33</v>
      </c>
      <c r="B44" s="15" t="n">
        <v>0.151392231864724</v>
      </c>
      <c r="C44" s="18" t="n">
        <f aca="false">'Black-Scholes'!$B$5*EXP(('Black-Scholes'!$B$8-'Black-Scholes'!$B$10-'Black-Scholes'!$B$9^2/2)*'Black-Scholes'!$B$7+'Black-Scholes'!$B$9*SQRT('Black-Scholes'!$B$7)*B44)</f>
        <v>106.213225224758</v>
      </c>
      <c r="D44" s="18" t="n">
        <f aca="false">'Black-Scholes'!$B$5*EXP(('Black-Scholes'!$B$8-'Black-Scholes'!$B$10-'Black-Scholes'!$B$9^2/2)*'Black-Scholes'!$B$7-'Black-Scholes'!$B$9*SQRT('Black-Scholes'!$B$7)*B44)</f>
        <v>99.9721592389649</v>
      </c>
      <c r="E44" s="18" t="n">
        <f aca="false">EXP(-'Black-Scholes'!$B$8*'Black-Scholes'!$B$7)*IF(LOWER('Black-Scholes'!$B$11)="put",MAX('Black-Scholes'!$B$6-C44,0),MAX(C44-'Black-Scholes'!$B$6,0))</f>
        <v>5.91020265484034</v>
      </c>
      <c r="F44" s="18" t="n">
        <f aca="false">(E44+G44)/2</f>
        <v>2.95510132742017</v>
      </c>
      <c r="G44" s="18" t="n">
        <f aca="false">EXP(-'Black-Scholes'!$B$8*'Black-Scholes'!$B$7)*IF(LOWER('Black-Scholes'!$B$11)="put",MAX('Black-Scholes'!$B$6-D44,0),MAX(D44-'Black-Scholes'!$B$6,0))</f>
        <v>0</v>
      </c>
    </row>
    <row r="45" customFormat="false" ht="15" hidden="false" customHeight="false" outlineLevel="0" collapsed="false">
      <c r="A45" s="0" t="n">
        <v>34</v>
      </c>
      <c r="B45" s="15" t="n">
        <v>-0.515530617067386</v>
      </c>
      <c r="C45" s="18" t="n">
        <f aca="false">'Black-Scholes'!$B$5*EXP(('Black-Scholes'!$B$8-'Black-Scholes'!$B$10-'Black-Scholes'!$B$9^2/2)*'Black-Scholes'!$B$7+'Black-Scholes'!$B$9*SQRT('Black-Scholes'!$B$7)*B45)</f>
        <v>92.950218284702</v>
      </c>
      <c r="D45" s="18" t="n">
        <f aca="false">'Black-Scholes'!$B$5*EXP(('Black-Scholes'!$B$8-'Black-Scholes'!$B$10-'Black-Scholes'!$B$9^2/2)*'Black-Scholes'!$B$7-'Black-Scholes'!$B$9*SQRT('Black-Scholes'!$B$7)*B45)</f>
        <v>114.23712242321</v>
      </c>
      <c r="E45" s="18" t="n">
        <f aca="false">EXP(-'Black-Scholes'!$B$8*'Black-Scholes'!$B$7)*IF(LOWER('Black-Scholes'!$B$11)="put",MAX('Black-Scholes'!$B$6-C45,0),MAX(C45-'Black-Scholes'!$B$6,0))</f>
        <v>0</v>
      </c>
      <c r="F45" s="18" t="n">
        <f aca="false">(E45+G45)/2</f>
        <v>6.77138488458818</v>
      </c>
      <c r="G45" s="18" t="n">
        <f aca="false">EXP(-'Black-Scholes'!$B$8*'Black-Scholes'!$B$7)*IF(LOWER('Black-Scholes'!$B$11)="put",MAX('Black-Scholes'!$B$6-D45,0),MAX(D45-'Black-Scholes'!$B$6,0))</f>
        <v>13.5427697691764</v>
      </c>
    </row>
    <row r="46" customFormat="false" ht="15" hidden="false" customHeight="false" outlineLevel="0" collapsed="false">
      <c r="A46" s="0" t="n">
        <v>35</v>
      </c>
      <c r="B46" s="15" t="n">
        <v>-0.219637397991046</v>
      </c>
      <c r="C46" s="18" t="n">
        <f aca="false">'Black-Scholes'!$B$5*EXP(('Black-Scholes'!$B$8-'Black-Scholes'!$B$10-'Black-Scholes'!$B$9^2/2)*'Black-Scholes'!$B$7+'Black-Scholes'!$B$9*SQRT('Black-Scholes'!$B$7)*B46)</f>
        <v>98.6169059046086</v>
      </c>
      <c r="D46" s="18" t="n">
        <f aca="false">'Black-Scholes'!$B$5*EXP(('Black-Scholes'!$B$8-'Black-Scholes'!$B$10-'Black-Scholes'!$B$9^2/2)*'Black-Scholes'!$B$7-'Black-Scholes'!$B$9*SQRT('Black-Scholes'!$B$7)*B46)</f>
        <v>107.672871786554</v>
      </c>
      <c r="E46" s="18" t="n">
        <f aca="false">EXP(-'Black-Scholes'!$B$8*'Black-Scholes'!$B$7)*IF(LOWER('Black-Scholes'!$B$11)="put",MAX('Black-Scholes'!$B$6-C46,0),MAX(C46-'Black-Scholes'!$B$6,0))</f>
        <v>0</v>
      </c>
      <c r="F46" s="18" t="n">
        <f aca="false">(E46+G46)/2</f>
        <v>3.64933070689584</v>
      </c>
      <c r="G46" s="18" t="n">
        <f aca="false">EXP(-'Black-Scholes'!$B$8*'Black-Scholes'!$B$7)*IF(LOWER('Black-Scholes'!$B$11)="put",MAX('Black-Scholes'!$B$6-D46,0),MAX(D46-'Black-Scholes'!$B$6,0))</f>
        <v>7.29866141379167</v>
      </c>
    </row>
    <row r="47" customFormat="false" ht="15" hidden="false" customHeight="false" outlineLevel="0" collapsed="false">
      <c r="A47" s="0" t="n">
        <v>36</v>
      </c>
      <c r="B47" s="15" t="n">
        <v>0.402345911968507</v>
      </c>
      <c r="C47" s="18" t="n">
        <f aca="false">'Black-Scholes'!$B$5*EXP(('Black-Scholes'!$B$8-'Black-Scholes'!$B$10-'Black-Scholes'!$B$9^2/2)*'Black-Scholes'!$B$7+'Black-Scholes'!$B$9*SQRT('Black-Scholes'!$B$7)*B47)</f>
        <v>111.680193135955</v>
      </c>
      <c r="D47" s="18" t="n">
        <f aca="false">'Black-Scholes'!$B$5*EXP(('Black-Scholes'!$B$8-'Black-Scholes'!$B$10-'Black-Scholes'!$B$9^2/2)*'Black-Scholes'!$B$7-'Black-Scholes'!$B$9*SQRT('Black-Scholes'!$B$7)*B47)</f>
        <v>95.078322908407</v>
      </c>
      <c r="E47" s="18" t="n">
        <f aca="false">EXP(-'Black-Scholes'!$B$8*'Black-Scholes'!$B$7)*IF(LOWER('Black-Scholes'!$B$11)="put",MAX('Black-Scholes'!$B$6-C47,0),MAX(C47-'Black-Scholes'!$B$6,0))</f>
        <v>11.1105433947718</v>
      </c>
      <c r="F47" s="18" t="n">
        <f aca="false">(E47+G47)/2</f>
        <v>5.55527169738589</v>
      </c>
      <c r="G47" s="18" t="n">
        <f aca="false">EXP(-'Black-Scholes'!$B$8*'Black-Scholes'!$B$7)*IF(LOWER('Black-Scholes'!$B$11)="put",MAX('Black-Scholes'!$B$6-D47,0),MAX(D47-'Black-Scholes'!$B$6,0))</f>
        <v>0</v>
      </c>
    </row>
    <row r="48" customFormat="false" ht="15" hidden="false" customHeight="false" outlineLevel="0" collapsed="false">
      <c r="A48" s="0" t="n">
        <v>37</v>
      </c>
      <c r="B48" s="15" t="n">
        <v>1.361288284793</v>
      </c>
      <c r="C48" s="18" t="n">
        <f aca="false">'Black-Scholes'!$B$5*EXP(('Black-Scholes'!$B$8-'Black-Scholes'!$B$10-'Black-Scholes'!$B$9^2/2)*'Black-Scholes'!$B$7+'Black-Scholes'!$B$9*SQRT('Black-Scholes'!$B$7)*B48)</f>
        <v>135.290976842165</v>
      </c>
      <c r="D48" s="18" t="n">
        <f aca="false">'Black-Scholes'!$B$5*EXP(('Black-Scholes'!$B$8-'Black-Scholes'!$B$10-'Black-Scholes'!$B$9^2/2)*'Black-Scholes'!$B$7-'Black-Scholes'!$B$9*SQRT('Black-Scholes'!$B$7)*B48)</f>
        <v>78.4853928421358</v>
      </c>
      <c r="E48" s="18" t="n">
        <f aca="false">EXP(-'Black-Scholes'!$B$8*'Black-Scholes'!$B$7)*IF(LOWER('Black-Scholes'!$B$11)="put",MAX('Black-Scholes'!$B$6-C48,0),MAX(C48-'Black-Scholes'!$B$6,0))</f>
        <v>33.5698155916405</v>
      </c>
      <c r="F48" s="18" t="n">
        <f aca="false">(E48+G48)/2</f>
        <v>16.7849077958202</v>
      </c>
      <c r="G48" s="18" t="n">
        <f aca="false">EXP(-'Black-Scholes'!$B$8*'Black-Scholes'!$B$7)*IF(LOWER('Black-Scholes'!$B$11)="put",MAX('Black-Scholes'!$B$6-D48,0),MAX(D48-'Black-Scholes'!$B$6,0))</f>
        <v>0</v>
      </c>
    </row>
    <row r="49" customFormat="false" ht="15" hidden="false" customHeight="false" outlineLevel="0" collapsed="false">
      <c r="A49" s="0" t="n">
        <v>38</v>
      </c>
      <c r="B49" s="15" t="n">
        <v>0.74287736763827</v>
      </c>
      <c r="C49" s="18" t="n">
        <f aca="false">'Black-Scholes'!$B$5*EXP(('Black-Scholes'!$B$8-'Black-Scholes'!$B$10-'Black-Scholes'!$B$9^2/2)*'Black-Scholes'!$B$7+'Black-Scholes'!$B$9*SQRT('Black-Scholes'!$B$7)*B49)</f>
        <v>119.551310946032</v>
      </c>
      <c r="D49" s="18" t="n">
        <f aca="false">'Black-Scholes'!$B$5*EXP(('Black-Scholes'!$B$8-'Black-Scholes'!$B$10-'Black-Scholes'!$B$9^2/2)*'Black-Scholes'!$B$7-'Black-Scholes'!$B$9*SQRT('Black-Scholes'!$B$7)*B49)</f>
        <v>88.8184778688622</v>
      </c>
      <c r="E49" s="18" t="n">
        <f aca="false">EXP(-'Black-Scholes'!$B$8*'Black-Scholes'!$B$7)*IF(LOWER('Black-Scholes'!$B$11)="put",MAX('Black-Scholes'!$B$6-C49,0),MAX(C49-'Black-Scholes'!$B$6,0))</f>
        <v>18.5977822594284</v>
      </c>
      <c r="F49" s="18" t="n">
        <f aca="false">(E49+G49)/2</f>
        <v>9.29889112971422</v>
      </c>
      <c r="G49" s="18" t="n">
        <f aca="false">EXP(-'Black-Scholes'!$B$8*'Black-Scholes'!$B$7)*IF(LOWER('Black-Scholes'!$B$11)="put",MAX('Black-Scholes'!$B$6-D49,0),MAX(D49-'Black-Scholes'!$B$6,0))</f>
        <v>0</v>
      </c>
    </row>
    <row r="50" customFormat="false" ht="15" hidden="false" customHeight="false" outlineLevel="0" collapsed="false">
      <c r="A50" s="0" t="n">
        <v>39</v>
      </c>
      <c r="B50" s="15" t="n">
        <v>0.936852176291882</v>
      </c>
      <c r="C50" s="18" t="n">
        <f aca="false">'Black-Scholes'!$B$5*EXP(('Black-Scholes'!$B$8-'Black-Scholes'!$B$10-'Black-Scholes'!$B$9^2/2)*'Black-Scholes'!$B$7+'Black-Scholes'!$B$9*SQRT('Black-Scholes'!$B$7)*B50)</f>
        <v>124.28043954454</v>
      </c>
      <c r="D50" s="18" t="n">
        <f aca="false">'Black-Scholes'!$B$5*EXP(('Black-Scholes'!$B$8-'Black-Scholes'!$B$10-'Black-Scholes'!$B$9^2/2)*'Black-Scholes'!$B$7-'Black-Scholes'!$B$9*SQRT('Black-Scholes'!$B$7)*B50)</f>
        <v>85.4387504933801</v>
      </c>
      <c r="E50" s="18" t="n">
        <f aca="false">EXP(-'Black-Scholes'!$B$8*'Black-Scholes'!$B$7)*IF(LOWER('Black-Scholes'!$B$11)="put",MAX('Black-Scholes'!$B$6-C50,0),MAX(C50-'Black-Scholes'!$B$6,0))</f>
        <v>23.0962685345775</v>
      </c>
      <c r="F50" s="18" t="n">
        <f aca="false">(E50+G50)/2</f>
        <v>11.5481342672887</v>
      </c>
      <c r="G50" s="18" t="n">
        <f aca="false">EXP(-'Black-Scholes'!$B$8*'Black-Scholes'!$B$7)*IF(LOWER('Black-Scholes'!$B$11)="put",MAX('Black-Scholes'!$B$6-D50,0),MAX(D50-'Black-Scholes'!$B$6,0))</f>
        <v>0</v>
      </c>
    </row>
    <row r="51" customFormat="false" ht="15" hidden="false" customHeight="false" outlineLevel="0" collapsed="false">
      <c r="A51" s="0" t="n">
        <v>40</v>
      </c>
      <c r="B51" s="15" t="n">
        <v>0.175470311365551</v>
      </c>
      <c r="C51" s="18" t="n">
        <f aca="false">'Black-Scholes'!$B$5*EXP(('Black-Scholes'!$B$8-'Black-Scholes'!$B$10-'Black-Scholes'!$B$9^2/2)*'Black-Scholes'!$B$7+'Black-Scholes'!$B$9*SQRT('Black-Scholes'!$B$7)*B51)</f>
        <v>106.72594085089</v>
      </c>
      <c r="D51" s="18" t="n">
        <f aca="false">'Black-Scholes'!$B$5*EXP(('Black-Scholes'!$B$8-'Black-Scholes'!$B$10-'Black-Scholes'!$B$9^2/2)*'Black-Scholes'!$B$7-'Black-Scholes'!$B$9*SQRT('Black-Scholes'!$B$7)*B51)</f>
        <v>99.491889045877</v>
      </c>
      <c r="E51" s="18" t="n">
        <f aca="false">EXP(-'Black-Scholes'!$B$8*'Black-Scholes'!$B$7)*IF(LOWER('Black-Scholes'!$B$11)="put",MAX('Black-Scholes'!$B$6-C51,0),MAX(C51-'Black-Scholes'!$B$6,0))</f>
        <v>6.39791284481811</v>
      </c>
      <c r="F51" s="18" t="n">
        <f aca="false">(E51+G51)/2</f>
        <v>3.19895642240906</v>
      </c>
      <c r="G51" s="18" t="n">
        <f aca="false">EXP(-'Black-Scholes'!$B$8*'Black-Scholes'!$B$7)*IF(LOWER('Black-Scholes'!$B$11)="put",MAX('Black-Scholes'!$B$6-D51,0),MAX(D51-'Black-Scholes'!$B$6,0))</f>
        <v>0</v>
      </c>
    </row>
    <row r="52" customFormat="false" ht="15" hidden="false" customHeight="false" outlineLevel="0" collapsed="false">
      <c r="A52" s="0" t="n">
        <v>41</v>
      </c>
      <c r="B52" s="15" t="n">
        <v>1.52520418314312</v>
      </c>
      <c r="C52" s="18" t="n">
        <f aca="false">'Black-Scholes'!$B$5*EXP(('Black-Scholes'!$B$8-'Black-Scholes'!$B$10-'Black-Scholes'!$B$9^2/2)*'Black-Scholes'!$B$7+'Black-Scholes'!$B$9*SQRT('Black-Scholes'!$B$7)*B52)</f>
        <v>139.799747356046</v>
      </c>
      <c r="D52" s="18" t="n">
        <f aca="false">'Black-Scholes'!$B$5*EXP(('Black-Scholes'!$B$8-'Black-Scholes'!$B$10-'Black-Scholes'!$B$9^2/2)*'Black-Scholes'!$B$7-'Black-Scholes'!$B$9*SQRT('Black-Scholes'!$B$7)*B52)</f>
        <v>75.9541105493594</v>
      </c>
      <c r="E52" s="18" t="n">
        <f aca="false">EXP(-'Black-Scholes'!$B$8*'Black-Scholes'!$B$7)*IF(LOWER('Black-Scholes'!$B$11)="put",MAX('Black-Scholes'!$B$6-C52,0),MAX(C52-'Black-Scholes'!$B$6,0))</f>
        <v>37.858690772765</v>
      </c>
      <c r="F52" s="18" t="n">
        <f aca="false">(E52+G52)/2</f>
        <v>18.9293453863825</v>
      </c>
      <c r="G52" s="18" t="n">
        <f aca="false">EXP(-'Black-Scholes'!$B$8*'Black-Scholes'!$B$7)*IF(LOWER('Black-Scholes'!$B$11)="put",MAX('Black-Scholes'!$B$6-D52,0),MAX(D52-'Black-Scholes'!$B$6,0))</f>
        <v>0</v>
      </c>
    </row>
    <row r="53" customFormat="false" ht="15" hidden="false" customHeight="false" outlineLevel="0" collapsed="false">
      <c r="A53" s="0" t="n">
        <v>42</v>
      </c>
      <c r="B53" s="15" t="n">
        <v>0.098214472674443</v>
      </c>
      <c r="C53" s="18" t="n">
        <f aca="false">'Black-Scholes'!$B$5*EXP(('Black-Scholes'!$B$8-'Black-Scholes'!$B$10-'Black-Scholes'!$B$9^2/2)*'Black-Scholes'!$B$7+'Black-Scholes'!$B$9*SQRT('Black-Scholes'!$B$7)*B53)</f>
        <v>105.089574874553</v>
      </c>
      <c r="D53" s="18" t="n">
        <f aca="false">'Black-Scholes'!$B$5*EXP(('Black-Scholes'!$B$8-'Black-Scholes'!$B$10-'Black-Scholes'!$B$9^2/2)*'Black-Scholes'!$B$7-'Black-Scholes'!$B$9*SQRT('Black-Scholes'!$B$7)*B53)</f>
        <v>101.041092592951</v>
      </c>
      <c r="E53" s="18" t="n">
        <f aca="false">EXP(-'Black-Scholes'!$B$8*'Black-Scholes'!$B$7)*IF(LOWER('Black-Scholes'!$B$11)="put",MAX('Black-Scholes'!$B$6-C53,0),MAX(C53-'Black-Scholes'!$B$6,0))</f>
        <v>4.84135337887419</v>
      </c>
      <c r="F53" s="18" t="n">
        <f aca="false">(E53+G53)/2</f>
        <v>2.91583564345967</v>
      </c>
      <c r="G53" s="18" t="n">
        <f aca="false">EXP(-'Black-Scholes'!$B$8*'Black-Scholes'!$B$7)*IF(LOWER('Black-Scholes'!$B$11)="put",MAX('Black-Scholes'!$B$6-D53,0),MAX(D53-'Black-Scholes'!$B$6,0))</f>
        <v>0.990317908045158</v>
      </c>
    </row>
    <row r="54" customFormat="false" ht="15" hidden="false" customHeight="false" outlineLevel="0" collapsed="false">
      <c r="A54" s="0" t="n">
        <v>43</v>
      </c>
      <c r="B54" s="15" t="n">
        <v>-1.1649035653888</v>
      </c>
      <c r="C54" s="18" t="n">
        <f aca="false">'Black-Scholes'!$B$5*EXP(('Black-Scholes'!$B$8-'Black-Scholes'!$B$10-'Black-Scholes'!$B$9^2/2)*'Black-Scholes'!$B$7+'Black-Scholes'!$B$9*SQRT('Black-Scholes'!$B$7)*B54)</f>
        <v>81.6293985072402</v>
      </c>
      <c r="D54" s="18" t="n">
        <f aca="false">'Black-Scholes'!$B$5*EXP(('Black-Scholes'!$B$8-'Black-Scholes'!$B$10-'Black-Scholes'!$B$9^2/2)*'Black-Scholes'!$B$7-'Black-Scholes'!$B$9*SQRT('Black-Scholes'!$B$7)*B54)</f>
        <v>130.080163024989</v>
      </c>
      <c r="E54" s="18" t="n">
        <f aca="false">EXP(-'Black-Scholes'!$B$8*'Black-Scholes'!$B$7)*IF(LOWER('Black-Scholes'!$B$11)="put",MAX('Black-Scholes'!$B$6-C54,0),MAX(C54-'Black-Scholes'!$B$6,0))</f>
        <v>0</v>
      </c>
      <c r="F54" s="18" t="n">
        <f aca="false">(E54+G54)/2</f>
        <v>14.306568081574</v>
      </c>
      <c r="G54" s="18" t="n">
        <f aca="false">EXP(-'Black-Scholes'!$B$8*'Black-Scholes'!$B$7)*IF(LOWER('Black-Scholes'!$B$11)="put",MAX('Black-Scholes'!$B$6-D54,0),MAX(D54-'Black-Scholes'!$B$6,0))</f>
        <v>28.613136163148</v>
      </c>
    </row>
    <row r="55" customFormat="false" ht="15" hidden="false" customHeight="false" outlineLevel="0" collapsed="false">
      <c r="A55" s="0" t="n">
        <v>44</v>
      </c>
      <c r="B55" s="15" t="n">
        <v>0.523587907096779</v>
      </c>
      <c r="C55" s="18" t="n">
        <f aca="false">'Black-Scholes'!$B$5*EXP(('Black-Scholes'!$B$8-'Black-Scholes'!$B$10-'Black-Scholes'!$B$9^2/2)*'Black-Scholes'!$B$7+'Black-Scholes'!$B$9*SQRT('Black-Scholes'!$B$7)*B55)</f>
        <v>114.421359153716</v>
      </c>
      <c r="D55" s="18" t="n">
        <f aca="false">'Black-Scholes'!$B$5*EXP(('Black-Scholes'!$B$8-'Black-Scholes'!$B$10-'Black-Scholes'!$B$9^2/2)*'Black-Scholes'!$B$7-'Black-Scholes'!$B$9*SQRT('Black-Scholes'!$B$7)*B55)</f>
        <v>92.8005535329176</v>
      </c>
      <c r="E55" s="18" t="n">
        <f aca="false">EXP(-'Black-Scholes'!$B$8*'Black-Scholes'!$B$7)*IF(LOWER('Black-Scholes'!$B$11)="put",MAX('Black-Scholes'!$B$6-C55,0),MAX(C55-'Black-Scholes'!$B$6,0))</f>
        <v>13.7180211683073</v>
      </c>
      <c r="F55" s="18" t="n">
        <f aca="false">(E55+G55)/2</f>
        <v>6.85901058415364</v>
      </c>
      <c r="G55" s="18" t="n">
        <f aca="false">EXP(-'Black-Scholes'!$B$8*'Black-Scholes'!$B$7)*IF(LOWER('Black-Scholes'!$B$11)="put",MAX('Black-Scholes'!$B$6-D55,0),MAX(D55-'Black-Scholes'!$B$6,0))</f>
        <v>0</v>
      </c>
    </row>
    <row r="56" customFormat="false" ht="15" hidden="false" customHeight="false" outlineLevel="0" collapsed="false">
      <c r="A56" s="0" t="n">
        <v>45</v>
      </c>
      <c r="B56" s="15" t="n">
        <v>-1.06559789045746</v>
      </c>
      <c r="C56" s="18" t="n">
        <f aca="false">'Black-Scholes'!$B$5*EXP(('Black-Scholes'!$B$8-'Black-Scholes'!$B$10-'Black-Scholes'!$B$9^2/2)*'Black-Scholes'!$B$7+'Black-Scholes'!$B$9*SQRT('Black-Scholes'!$B$7)*B56)</f>
        <v>83.2668580863978</v>
      </c>
      <c r="D56" s="18" t="n">
        <f aca="false">'Black-Scholes'!$B$5*EXP(('Black-Scholes'!$B$8-'Black-Scholes'!$B$10-'Black-Scholes'!$B$9^2/2)*'Black-Scholes'!$B$7-'Black-Scholes'!$B$9*SQRT('Black-Scholes'!$B$7)*B56)</f>
        <v>127.522110350747</v>
      </c>
      <c r="E56" s="18" t="n">
        <f aca="false">EXP(-'Black-Scholes'!$B$8*'Black-Scholes'!$B$7)*IF(LOWER('Black-Scholes'!$B$11)="put",MAX('Black-Scholes'!$B$6-C56,0),MAX(C56-'Black-Scholes'!$B$6,0))</f>
        <v>0</v>
      </c>
      <c r="F56" s="18" t="n">
        <f aca="false">(E56+G56)/2</f>
        <v>13.0899205949931</v>
      </c>
      <c r="G56" s="18" t="n">
        <f aca="false">EXP(-'Black-Scholes'!$B$8*'Black-Scholes'!$B$7)*IF(LOWER('Black-Scholes'!$B$11)="put",MAX('Black-Scholes'!$B$6-D56,0),MAX(D56-'Black-Scholes'!$B$6,0))</f>
        <v>26.1798411899861</v>
      </c>
    </row>
    <row r="57" customFormat="false" ht="15" hidden="false" customHeight="false" outlineLevel="0" collapsed="false">
      <c r="A57" s="0" t="n">
        <v>46</v>
      </c>
      <c r="B57" s="15" t="n">
        <v>-0.310791133823113</v>
      </c>
      <c r="C57" s="18" t="n">
        <f aca="false">'Black-Scholes'!$B$5*EXP(('Black-Scholes'!$B$8-'Black-Scholes'!$B$10-'Black-Scholes'!$B$9^2/2)*'Black-Scholes'!$B$7+'Black-Scholes'!$B$9*SQRT('Black-Scholes'!$B$7)*B57)</f>
        <v>96.8353350539184</v>
      </c>
      <c r="D57" s="18" t="n">
        <f aca="false">'Black-Scholes'!$B$5*EXP(('Black-Scholes'!$B$8-'Black-Scholes'!$B$10-'Black-Scholes'!$B$9^2/2)*'Black-Scholes'!$B$7-'Black-Scholes'!$B$9*SQRT('Black-Scholes'!$B$7)*B57)</f>
        <v>109.653831006432</v>
      </c>
      <c r="E57" s="18" t="n">
        <f aca="false">EXP(-'Black-Scholes'!$B$8*'Black-Scholes'!$B$7)*IF(LOWER('Black-Scholes'!$B$11)="put",MAX('Black-Scholes'!$B$6-C57,0),MAX(C57-'Black-Scholes'!$B$6,0))</f>
        <v>0</v>
      </c>
      <c r="F57" s="18" t="n">
        <f aca="false">(E57+G57)/2</f>
        <v>4.59150405623774</v>
      </c>
      <c r="G57" s="18" t="n">
        <f aca="false">EXP(-'Black-Scholes'!$B$8*'Black-Scholes'!$B$7)*IF(LOWER('Black-Scholes'!$B$11)="put",MAX('Black-Scholes'!$B$6-D57,0),MAX(D57-'Black-Scholes'!$B$6,0))</f>
        <v>9.18300811247549</v>
      </c>
    </row>
    <row r="58" customFormat="false" ht="15" hidden="false" customHeight="false" outlineLevel="0" collapsed="false">
      <c r="A58" s="0" t="n">
        <v>47</v>
      </c>
      <c r="B58" s="15" t="n">
        <v>0.555952398264874</v>
      </c>
      <c r="C58" s="18" t="n">
        <f aca="false">'Black-Scholes'!$B$5*EXP(('Black-Scholes'!$B$8-'Black-Scholes'!$B$10-'Black-Scholes'!$B$9^2/2)*'Black-Scholes'!$B$7+'Black-Scholes'!$B$9*SQRT('Black-Scholes'!$B$7)*B58)</f>
        <v>115.164399184173</v>
      </c>
      <c r="D58" s="18" t="n">
        <f aca="false">'Black-Scholes'!$B$5*EXP(('Black-Scholes'!$B$8-'Black-Scholes'!$B$10-'Black-Scholes'!$B$9^2/2)*'Black-Scholes'!$B$7-'Black-Scholes'!$B$9*SQRT('Black-Scholes'!$B$7)*B58)</f>
        <v>92.2018049038969</v>
      </c>
      <c r="E58" s="18" t="n">
        <f aca="false">EXP(-'Black-Scholes'!$B$8*'Black-Scholes'!$B$7)*IF(LOWER('Black-Scholes'!$B$11)="put",MAX('Black-Scholes'!$B$6-C58,0),MAX(C58-'Black-Scholes'!$B$6,0))</f>
        <v>14.4248227088597</v>
      </c>
      <c r="F58" s="18" t="n">
        <f aca="false">(E58+G58)/2</f>
        <v>7.21241135442983</v>
      </c>
      <c r="G58" s="18" t="n">
        <f aca="false">EXP(-'Black-Scholes'!$B$8*'Black-Scholes'!$B$7)*IF(LOWER('Black-Scholes'!$B$11)="put",MAX('Black-Scholes'!$B$6-D58,0),MAX(D58-'Black-Scholes'!$B$6,0))</f>
        <v>0</v>
      </c>
    </row>
    <row r="59" customFormat="false" ht="15" hidden="false" customHeight="false" outlineLevel="0" collapsed="false">
      <c r="A59" s="0" t="n">
        <v>48</v>
      </c>
      <c r="B59" s="15" t="n">
        <v>-0.0996347615579163</v>
      </c>
      <c r="C59" s="18" t="n">
        <f aca="false">'Black-Scholes'!$B$5*EXP(('Black-Scholes'!$B$8-'Black-Scholes'!$B$10-'Black-Scholes'!$B$9^2/2)*'Black-Scholes'!$B$7+'Black-Scholes'!$B$9*SQRT('Black-Scholes'!$B$7)*B59)</f>
        <v>101.012395160892</v>
      </c>
      <c r="D59" s="18" t="n">
        <f aca="false">'Black-Scholes'!$B$5*EXP(('Black-Scholes'!$B$8-'Black-Scholes'!$B$10-'Black-Scholes'!$B$9^2/2)*'Black-Scholes'!$B$7-'Black-Scholes'!$B$9*SQRT('Black-Scholes'!$B$7)*B59)</f>
        <v>105.119430625724</v>
      </c>
      <c r="E59" s="18" t="n">
        <f aca="false">EXP(-'Black-Scholes'!$B$8*'Black-Scholes'!$B$7)*IF(LOWER('Black-Scholes'!$B$11)="put",MAX('Black-Scholes'!$B$6-C59,0),MAX(C59-'Black-Scholes'!$B$6,0))</f>
        <v>0.96302006626263</v>
      </c>
      <c r="F59" s="18" t="n">
        <f aca="false">(E59+G59)/2</f>
        <v>2.91638655707064</v>
      </c>
      <c r="G59" s="18" t="n">
        <f aca="false">EXP(-'Black-Scholes'!$B$8*'Black-Scholes'!$B$7)*IF(LOWER('Black-Scholes'!$B$11)="put",MAX('Black-Scholes'!$B$6-D59,0),MAX(D59-'Black-Scholes'!$B$6,0))</f>
        <v>4.86975304787866</v>
      </c>
    </row>
    <row r="60" customFormat="false" ht="15" hidden="false" customHeight="false" outlineLevel="0" collapsed="false">
      <c r="A60" s="0" t="n">
        <v>49</v>
      </c>
      <c r="B60" s="15" t="n">
        <v>-0.257690782109837</v>
      </c>
      <c r="C60" s="18" t="n">
        <f aca="false">'Black-Scholes'!$B$5*EXP(('Black-Scholes'!$B$8-'Black-Scholes'!$B$10-'Black-Scholes'!$B$9^2/2)*'Black-Scholes'!$B$7+'Black-Scholes'!$B$9*SQRT('Black-Scholes'!$B$7)*B60)</f>
        <v>97.8692133366677</v>
      </c>
      <c r="D60" s="18" t="n">
        <f aca="false">'Black-Scholes'!$B$5*EXP(('Black-Scholes'!$B$8-'Black-Scholes'!$B$10-'Black-Scholes'!$B$9^2/2)*'Black-Scholes'!$B$7-'Black-Scholes'!$B$9*SQRT('Black-Scholes'!$B$7)*B60)</f>
        <v>108.495461478031</v>
      </c>
      <c r="E60" s="18" t="n">
        <f aca="false">EXP(-'Black-Scholes'!$B$8*'Black-Scholes'!$B$7)*IF(LOWER('Black-Scholes'!$B$11)="put",MAX('Black-Scholes'!$B$6-C60,0),MAX(C60-'Black-Scholes'!$B$6,0))</f>
        <v>0</v>
      </c>
      <c r="F60" s="18" t="n">
        <f aca="false">(E60+G60)/2</f>
        <v>4.04056646630758</v>
      </c>
      <c r="G60" s="18" t="n">
        <f aca="false">EXP(-'Black-Scholes'!$B$8*'Black-Scholes'!$B$7)*IF(LOWER('Black-Scholes'!$B$11)="put",MAX('Black-Scholes'!$B$6-D60,0),MAX(D60-'Black-Scholes'!$B$6,0))</f>
        <v>8.08113293261516</v>
      </c>
    </row>
    <row r="61" customFormat="false" ht="15" hidden="false" customHeight="false" outlineLevel="0" collapsed="false">
      <c r="A61" s="0" t="n">
        <v>50</v>
      </c>
      <c r="B61" s="15" t="n">
        <v>-1.58951869187802</v>
      </c>
      <c r="C61" s="18" t="n">
        <f aca="false">'Black-Scholes'!$B$5*EXP(('Black-Scholes'!$B$8-'Black-Scholes'!$B$10-'Black-Scholes'!$B$9^2/2)*'Black-Scholes'!$B$7+'Black-Scholes'!$B$9*SQRT('Black-Scholes'!$B$7)*B61)</f>
        <v>74.983376898169</v>
      </c>
      <c r="D61" s="18" t="n">
        <f aca="false">'Black-Scholes'!$B$5*EXP(('Black-Scholes'!$B$8-'Black-Scholes'!$B$10-'Black-Scholes'!$B$9^2/2)*'Black-Scholes'!$B$7-'Black-Scholes'!$B$9*SQRT('Black-Scholes'!$B$7)*B61)</f>
        <v>141.609592748455</v>
      </c>
      <c r="E61" s="18" t="n">
        <f aca="false">EXP(-'Black-Scholes'!$B$8*'Black-Scholes'!$B$7)*IF(LOWER('Black-Scholes'!$B$11)="put",MAX('Black-Scholes'!$B$6-C61,0),MAX(C61-'Black-Scholes'!$B$6,0))</f>
        <v>0</v>
      </c>
      <c r="F61" s="18" t="n">
        <f aca="false">(E61+G61)/2</f>
        <v>19.7901344819108</v>
      </c>
      <c r="G61" s="18" t="n">
        <f aca="false">EXP(-'Black-Scholes'!$B$8*'Black-Scholes'!$B$7)*IF(LOWER('Black-Scholes'!$B$11)="put",MAX('Black-Scholes'!$B$6-D61,0),MAX(D61-'Black-Scholes'!$B$6,0))</f>
        <v>39.5802689638217</v>
      </c>
    </row>
    <row r="62" customFormat="false" ht="15" hidden="false" customHeight="false" outlineLevel="0" collapsed="false">
      <c r="A62" s="0" t="n">
        <v>51</v>
      </c>
      <c r="B62" s="15" t="n">
        <v>-1.81491228567808</v>
      </c>
      <c r="C62" s="18" t="n">
        <f aca="false">'Black-Scholes'!$B$5*EXP(('Black-Scholes'!$B$8-'Black-Scholes'!$B$10-'Black-Scholes'!$B$9^2/2)*'Black-Scholes'!$B$7+'Black-Scholes'!$B$9*SQRT('Black-Scholes'!$B$7)*B62)</f>
        <v>71.6782768468304</v>
      </c>
      <c r="D62" s="18" t="n">
        <f aca="false">'Black-Scholes'!$B$5*EXP(('Black-Scholes'!$B$8-'Black-Scholes'!$B$10-'Black-Scholes'!$B$9^2/2)*'Black-Scholes'!$B$7-'Black-Scholes'!$B$9*SQRT('Black-Scholes'!$B$7)*B62)</f>
        <v>148.139240123532</v>
      </c>
      <c r="E62" s="18" t="n">
        <f aca="false">EXP(-'Black-Scholes'!$B$8*'Black-Scholes'!$B$7)*IF(LOWER('Black-Scholes'!$B$11)="put",MAX('Black-Scholes'!$B$6-C62,0),MAX(C62-'Black-Scholes'!$B$6,0))</f>
        <v>0</v>
      </c>
      <c r="F62" s="18" t="n">
        <f aca="false">(E62+G62)/2</f>
        <v>22.8957308393044</v>
      </c>
      <c r="G62" s="18" t="n">
        <f aca="false">EXP(-'Black-Scholes'!$B$8*'Black-Scholes'!$B$7)*IF(LOWER('Black-Scholes'!$B$11)="put",MAX('Black-Scholes'!$B$6-D62,0),MAX(D62-'Black-Scholes'!$B$6,0))</f>
        <v>45.7914616786088</v>
      </c>
    </row>
    <row r="63" customFormat="false" ht="15" hidden="false" customHeight="false" outlineLevel="0" collapsed="false">
      <c r="A63" s="0" t="n">
        <v>52</v>
      </c>
      <c r="B63" s="15" t="n">
        <v>0.536173047197039</v>
      </c>
      <c r="C63" s="18" t="n">
        <f aca="false">'Black-Scholes'!$B$5*EXP(('Black-Scholes'!$B$8-'Black-Scholes'!$B$10-'Black-Scholes'!$B$9^2/2)*'Black-Scholes'!$B$7+'Black-Scholes'!$B$9*SQRT('Black-Scholes'!$B$7)*B63)</f>
        <v>114.709723679351</v>
      </c>
      <c r="D63" s="18" t="n">
        <f aca="false">'Black-Scholes'!$B$5*EXP(('Black-Scholes'!$B$8-'Black-Scholes'!$B$10-'Black-Scholes'!$B$9^2/2)*'Black-Scholes'!$B$7-'Black-Scholes'!$B$9*SQRT('Black-Scholes'!$B$7)*B63)</f>
        <v>92.5672656586219</v>
      </c>
      <c r="E63" s="18" t="n">
        <f aca="false">EXP(-'Black-Scholes'!$B$8*'Black-Scholes'!$B$7)*IF(LOWER('Black-Scholes'!$B$11)="put",MAX('Black-Scholes'!$B$6-C63,0),MAX(C63-'Black-Scholes'!$B$6,0))</f>
        <v>13.9923219900736</v>
      </c>
      <c r="F63" s="18" t="n">
        <f aca="false">(E63+G63)/2</f>
        <v>6.99616099503679</v>
      </c>
      <c r="G63" s="18" t="n">
        <f aca="false">EXP(-'Black-Scholes'!$B$8*'Black-Scholes'!$B$7)*IF(LOWER('Black-Scholes'!$B$11)="put",MAX('Black-Scholes'!$B$6-D63,0),MAX(D63-'Black-Scholes'!$B$6,0))</f>
        <v>0</v>
      </c>
    </row>
    <row r="64" customFormat="false" ht="15" hidden="false" customHeight="false" outlineLevel="0" collapsed="false">
      <c r="A64" s="0" t="n">
        <v>53</v>
      </c>
      <c r="B64" s="15" t="n">
        <v>1.27138978734411</v>
      </c>
      <c r="C64" s="18" t="n">
        <f aca="false">'Black-Scholes'!$B$5*EXP(('Black-Scholes'!$B$8-'Black-Scholes'!$B$10-'Black-Scholes'!$B$9^2/2)*'Black-Scholes'!$B$7+'Black-Scholes'!$B$9*SQRT('Black-Scholes'!$B$7)*B64)</f>
        <v>132.880222993008</v>
      </c>
      <c r="D64" s="18" t="n">
        <f aca="false">'Black-Scholes'!$B$5*EXP(('Black-Scholes'!$B$8-'Black-Scholes'!$B$10-'Black-Scholes'!$B$9^2/2)*'Black-Scholes'!$B$7-'Black-Scholes'!$B$9*SQRT('Black-Scholes'!$B$7)*B64)</f>
        <v>79.9092989632649</v>
      </c>
      <c r="E64" s="18" t="n">
        <f aca="false">EXP(-'Black-Scholes'!$B$8*'Black-Scholes'!$B$7)*IF(LOWER('Black-Scholes'!$B$11)="put",MAX('Black-Scholes'!$B$6-C64,0),MAX(C64-'Black-Scholes'!$B$6,0))</f>
        <v>31.2766355950943</v>
      </c>
      <c r="F64" s="18" t="n">
        <f aca="false">(E64+G64)/2</f>
        <v>15.6383177975472</v>
      </c>
      <c r="G64" s="18" t="n">
        <f aca="false">EXP(-'Black-Scholes'!$B$8*'Black-Scholes'!$B$7)*IF(LOWER('Black-Scholes'!$B$11)="put",MAX('Black-Scholes'!$B$6-D64,0),MAX(D64-'Black-Scholes'!$B$6,0))</f>
        <v>0</v>
      </c>
    </row>
    <row r="65" customFormat="false" ht="15" hidden="false" customHeight="false" outlineLevel="0" collapsed="false">
      <c r="A65" s="0" t="n">
        <v>54</v>
      </c>
      <c r="B65" s="15" t="n">
        <v>-0.554038908085735</v>
      </c>
      <c r="C65" s="18" t="n">
        <f aca="false">'Black-Scholes'!$B$5*EXP(('Black-Scholes'!$B$8-'Black-Scholes'!$B$10-'Black-Scholes'!$B$9^2/2)*'Black-Scholes'!$B$7+'Black-Scholes'!$B$9*SQRT('Black-Scholes'!$B$7)*B65)</f>
        <v>92.237097106231</v>
      </c>
      <c r="D65" s="18" t="n">
        <f aca="false">'Black-Scholes'!$B$5*EXP(('Black-Scholes'!$B$8-'Black-Scholes'!$B$10-'Black-Scholes'!$B$9^2/2)*'Black-Scholes'!$B$7-'Black-Scholes'!$B$9*SQRT('Black-Scholes'!$B$7)*B65)</f>
        <v>115.120334427093</v>
      </c>
      <c r="E65" s="18" t="n">
        <f aca="false">EXP(-'Black-Scholes'!$B$8*'Black-Scholes'!$B$7)*IF(LOWER('Black-Scholes'!$B$11)="put",MAX('Black-Scholes'!$B$6-C65,0),MAX(C65-'Black-Scholes'!$B$6,0))</f>
        <v>0</v>
      </c>
      <c r="F65" s="18" t="n">
        <f aca="false">(E65+G65)/2</f>
        <v>7.19145350767118</v>
      </c>
      <c r="G65" s="18" t="n">
        <f aca="false">EXP(-'Black-Scholes'!$B$8*'Black-Scholes'!$B$7)*IF(LOWER('Black-Scholes'!$B$11)="put",MAX('Black-Scholes'!$B$6-D65,0),MAX(D65-'Black-Scholes'!$B$6,0))</f>
        <v>14.3829070153424</v>
      </c>
    </row>
    <row r="66" customFormat="false" ht="15" hidden="false" customHeight="false" outlineLevel="0" collapsed="false">
      <c r="A66" s="0" t="n">
        <v>55</v>
      </c>
      <c r="B66" s="15" t="n">
        <v>1.72433064048265</v>
      </c>
      <c r="C66" s="18" t="n">
        <f aca="false">'Black-Scholes'!$B$5*EXP(('Black-Scholes'!$B$8-'Black-Scholes'!$B$10-'Black-Scholes'!$B$9^2/2)*'Black-Scholes'!$B$7+'Black-Scholes'!$B$9*SQRT('Black-Scholes'!$B$7)*B66)</f>
        <v>145.479664518536</v>
      </c>
      <c r="D66" s="18" t="n">
        <f aca="false">'Black-Scholes'!$B$5*EXP(('Black-Scholes'!$B$8-'Black-Scholes'!$B$10-'Black-Scholes'!$B$9^2/2)*'Black-Scholes'!$B$7-'Black-Scholes'!$B$9*SQRT('Black-Scholes'!$B$7)*B66)</f>
        <v>72.9886579034602</v>
      </c>
      <c r="E66" s="18" t="n">
        <f aca="false">EXP(-'Black-Scholes'!$B$8*'Black-Scholes'!$B$7)*IF(LOWER('Black-Scholes'!$B$11)="put",MAX('Black-Scholes'!$B$6-C66,0),MAX(C66-'Black-Scholes'!$B$6,0))</f>
        <v>43.2615951064528</v>
      </c>
      <c r="F66" s="18" t="n">
        <f aca="false">(E66+G66)/2</f>
        <v>21.6307975532264</v>
      </c>
      <c r="G66" s="18" t="n">
        <f aca="false">EXP(-'Black-Scholes'!$B$8*'Black-Scholes'!$B$7)*IF(LOWER('Black-Scholes'!$B$11)="put",MAX('Black-Scholes'!$B$6-D66,0),MAX(D66-'Black-Scholes'!$B$6,0))</f>
        <v>0</v>
      </c>
    </row>
    <row r="67" customFormat="false" ht="15" hidden="false" customHeight="false" outlineLevel="0" collapsed="false">
      <c r="A67" s="0" t="n">
        <v>56</v>
      </c>
      <c r="B67" s="15" t="n">
        <v>-0.311785690798948</v>
      </c>
      <c r="C67" s="18" t="n">
        <f aca="false">'Black-Scholes'!$B$5*EXP(('Black-Scholes'!$B$8-'Black-Scholes'!$B$10-'Black-Scholes'!$B$9^2/2)*'Black-Scholes'!$B$7+'Black-Scholes'!$B$9*SQRT('Black-Scholes'!$B$7)*B67)</f>
        <v>96.8160753178754</v>
      </c>
      <c r="D67" s="18" t="n">
        <f aca="false">'Black-Scholes'!$B$5*EXP(('Black-Scholes'!$B$8-'Black-Scholes'!$B$10-'Black-Scholes'!$B$9^2/2)*'Black-Scholes'!$B$7-'Black-Scholes'!$B$9*SQRT('Black-Scholes'!$B$7)*B67)</f>
        <v>109.675644572354</v>
      </c>
      <c r="E67" s="18" t="n">
        <f aca="false">EXP(-'Black-Scholes'!$B$8*'Black-Scholes'!$B$7)*IF(LOWER('Black-Scholes'!$B$11)="put",MAX('Black-Scholes'!$B$6-C67,0),MAX(C67-'Black-Scholes'!$B$6,0))</f>
        <v>0</v>
      </c>
      <c r="F67" s="18" t="n">
        <f aca="false">(E67+G67)/2</f>
        <v>4.60187890911706</v>
      </c>
      <c r="G67" s="18" t="n">
        <f aca="false">EXP(-'Black-Scholes'!$B$8*'Black-Scholes'!$B$7)*IF(LOWER('Black-Scholes'!$B$11)="put",MAX('Black-Scholes'!$B$6-D67,0),MAX(D67-'Black-Scholes'!$B$6,0))</f>
        <v>9.20375781823412</v>
      </c>
    </row>
    <row r="68" customFormat="false" ht="15" hidden="false" customHeight="false" outlineLevel="0" collapsed="false">
      <c r="A68" s="0" t="n">
        <v>57</v>
      </c>
      <c r="B68" s="15" t="n">
        <v>0.063318370312376</v>
      </c>
      <c r="C68" s="18" t="n">
        <f aca="false">'Black-Scholes'!$B$5*EXP(('Black-Scholes'!$B$8-'Black-Scholes'!$B$10-'Black-Scholes'!$B$9^2/2)*'Black-Scholes'!$B$7+'Black-Scholes'!$B$9*SQRT('Black-Scholes'!$B$7)*B68)</f>
        <v>104.358685049538</v>
      </c>
      <c r="D68" s="18" t="n">
        <f aca="false">'Black-Scholes'!$B$5*EXP(('Black-Scholes'!$B$8-'Black-Scholes'!$B$10-'Black-Scholes'!$B$9^2/2)*'Black-Scholes'!$B$7-'Black-Scholes'!$B$9*SQRT('Black-Scholes'!$B$7)*B68)</f>
        <v>101.748747221309</v>
      </c>
      <c r="E68" s="18" t="n">
        <f aca="false">EXP(-'Black-Scholes'!$B$8*'Black-Scholes'!$B$7)*IF(LOWER('Black-Scholes'!$B$11)="put",MAX('Black-Scholes'!$B$6-C68,0),MAX(C68-'Black-Scholes'!$B$6,0))</f>
        <v>4.14610947125184</v>
      </c>
      <c r="F68" s="18" t="n">
        <f aca="false">(E68+G68)/2</f>
        <v>2.90478464208724</v>
      </c>
      <c r="G68" s="18" t="n">
        <f aca="false">EXP(-'Black-Scholes'!$B$8*'Black-Scholes'!$B$7)*IF(LOWER('Black-Scholes'!$B$11)="put",MAX('Black-Scholes'!$B$6-D68,0),MAX(D68-'Black-Scholes'!$B$6,0))</f>
        <v>1.66345981292265</v>
      </c>
    </row>
    <row r="69" customFormat="false" ht="15" hidden="false" customHeight="false" outlineLevel="0" collapsed="false">
      <c r="A69" s="0" t="n">
        <v>58</v>
      </c>
      <c r="B69" s="15" t="n">
        <v>1.3821276483809</v>
      </c>
      <c r="C69" s="18" t="n">
        <f aca="false">'Black-Scholes'!$B$5*EXP(('Black-Scholes'!$B$8-'Black-Scholes'!$B$10-'Black-Scholes'!$B$9^2/2)*'Black-Scholes'!$B$7+'Black-Scholes'!$B$9*SQRT('Black-Scholes'!$B$7)*B69)</f>
        <v>135.856029128516</v>
      </c>
      <c r="D69" s="18" t="n">
        <f aca="false">'Black-Scholes'!$B$5*EXP(('Black-Scholes'!$B$8-'Black-Scholes'!$B$10-'Black-Scholes'!$B$9^2/2)*'Black-Scholes'!$B$7-'Black-Scholes'!$B$9*SQRT('Black-Scholes'!$B$7)*B69)</f>
        <v>78.1589564597747</v>
      </c>
      <c r="E69" s="18" t="n">
        <f aca="false">EXP(-'Black-Scholes'!$B$8*'Black-Scholes'!$B$7)*IF(LOWER('Black-Scholes'!$B$11)="put",MAX('Black-Scholes'!$B$6-C69,0),MAX(C69-'Black-Scholes'!$B$6,0))</f>
        <v>34.1073099527995</v>
      </c>
      <c r="F69" s="18" t="n">
        <f aca="false">(E69+G69)/2</f>
        <v>17.0536549763998</v>
      </c>
      <c r="G69" s="18" t="n">
        <f aca="false">EXP(-'Black-Scholes'!$B$8*'Black-Scholes'!$B$7)*IF(LOWER('Black-Scholes'!$B$11)="put",MAX('Black-Scholes'!$B$6-D69,0),MAX(D69-'Black-Scholes'!$B$6,0))</f>
        <v>0</v>
      </c>
    </row>
    <row r="70" customFormat="false" ht="15" hidden="false" customHeight="false" outlineLevel="0" collapsed="false">
      <c r="A70" s="0" t="n">
        <v>59</v>
      </c>
      <c r="B70" s="15" t="n">
        <v>0.584728126188904</v>
      </c>
      <c r="C70" s="18" t="n">
        <f aca="false">'Black-Scholes'!$B$5*EXP(('Black-Scholes'!$B$8-'Black-Scholes'!$B$10-'Black-Scholes'!$B$9^2/2)*'Black-Scholes'!$B$7+'Black-Scholes'!$B$9*SQRT('Black-Scholes'!$B$7)*B70)</f>
        <v>115.829097952092</v>
      </c>
      <c r="D70" s="18" t="n">
        <f aca="false">'Black-Scholes'!$B$5*EXP(('Black-Scholes'!$B$8-'Black-Scholes'!$B$10-'Black-Scholes'!$B$9^2/2)*'Black-Scholes'!$B$7-'Black-Scholes'!$B$9*SQRT('Black-Scholes'!$B$7)*B70)</f>
        <v>91.6726941087414</v>
      </c>
      <c r="E70" s="18" t="n">
        <f aca="false">EXP(-'Black-Scholes'!$B$8*'Black-Scholes'!$B$7)*IF(LOWER('Black-Scholes'!$B$11)="put",MAX('Black-Scholes'!$B$6-C70,0),MAX(C70-'Black-Scholes'!$B$6,0))</f>
        <v>15.0571037353341</v>
      </c>
      <c r="F70" s="18" t="n">
        <f aca="false">(E70+G70)/2</f>
        <v>7.52855186766705</v>
      </c>
      <c r="G70" s="18" t="n">
        <f aca="false">EXP(-'Black-Scholes'!$B$8*'Black-Scholes'!$B$7)*IF(LOWER('Black-Scholes'!$B$11)="put",MAX('Black-Scholes'!$B$6-D70,0),MAX(D70-'Black-Scholes'!$B$6,0))</f>
        <v>0</v>
      </c>
    </row>
    <row r="71" customFormat="false" ht="15" hidden="false" customHeight="false" outlineLevel="0" collapsed="false">
      <c r="A71" s="0" t="n">
        <v>60</v>
      </c>
      <c r="B71" s="15" t="n">
        <v>-0.509750138485735</v>
      </c>
      <c r="C71" s="18" t="n">
        <f aca="false">'Black-Scholes'!$B$5*EXP(('Black-Scholes'!$B$8-'Black-Scholes'!$B$10-'Black-Scholes'!$B$9^2/2)*'Black-Scholes'!$B$7+'Black-Scholes'!$B$9*SQRT('Black-Scholes'!$B$7)*B71)</f>
        <v>93.057739774484</v>
      </c>
      <c r="D71" s="18" t="n">
        <f aca="false">'Black-Scholes'!$B$5*EXP(('Black-Scholes'!$B$8-'Black-Scholes'!$B$10-'Black-Scholes'!$B$9^2/2)*'Black-Scholes'!$B$7-'Black-Scholes'!$B$9*SQRT('Black-Scholes'!$B$7)*B71)</f>
        <v>114.10512968815</v>
      </c>
      <c r="E71" s="18" t="n">
        <f aca="false">EXP(-'Black-Scholes'!$B$8*'Black-Scholes'!$B$7)*IF(LOWER('Black-Scholes'!$B$11)="put",MAX('Black-Scholes'!$B$6-C71,0),MAX(C71-'Black-Scholes'!$B$6,0))</f>
        <v>0</v>
      </c>
      <c r="F71" s="18" t="n">
        <f aca="false">(E71+G71)/2</f>
        <v>6.70860719788335</v>
      </c>
      <c r="G71" s="18" t="n">
        <f aca="false">EXP(-'Black-Scholes'!$B$8*'Black-Scholes'!$B$7)*IF(LOWER('Black-Scholes'!$B$11)="put",MAX('Black-Scholes'!$B$6-D71,0),MAX(D71-'Black-Scholes'!$B$6,0))</f>
        <v>13.4172143957667</v>
      </c>
    </row>
    <row r="72" customFormat="false" ht="15" hidden="false" customHeight="false" outlineLevel="0" collapsed="false">
      <c r="A72" s="0" t="n">
        <v>61</v>
      </c>
      <c r="B72" s="15" t="n">
        <v>0.251333497840779</v>
      </c>
      <c r="C72" s="18" t="n">
        <f aca="false">'Black-Scholes'!$B$5*EXP(('Black-Scholes'!$B$8-'Black-Scholes'!$B$10-'Black-Scholes'!$B$9^2/2)*'Black-Scholes'!$B$7+'Black-Scholes'!$B$9*SQRT('Black-Scholes'!$B$7)*B72)</f>
        <v>108.35760183979</v>
      </c>
      <c r="D72" s="18" t="n">
        <f aca="false">'Black-Scholes'!$B$5*EXP(('Black-Scholes'!$B$8-'Black-Scholes'!$B$10-'Black-Scholes'!$B$9^2/2)*'Black-Scholes'!$B$7-'Black-Scholes'!$B$9*SQRT('Black-Scholes'!$B$7)*B72)</f>
        <v>97.9937289600888</v>
      </c>
      <c r="E72" s="18" t="n">
        <f aca="false">EXP(-'Black-Scholes'!$B$8*'Black-Scholes'!$B$7)*IF(LOWER('Black-Scholes'!$B$11)="put",MAX('Black-Scholes'!$B$6-C72,0),MAX(C72-'Black-Scholes'!$B$6,0))</f>
        <v>7.94999678826954</v>
      </c>
      <c r="F72" s="18" t="n">
        <f aca="false">(E72+G72)/2</f>
        <v>3.97499839413477</v>
      </c>
      <c r="G72" s="18" t="n">
        <f aca="false">EXP(-'Black-Scholes'!$B$8*'Black-Scholes'!$B$7)*IF(LOWER('Black-Scholes'!$B$11)="put",MAX('Black-Scholes'!$B$6-D72,0),MAX(D72-'Black-Scholes'!$B$6,0))</f>
        <v>0</v>
      </c>
    </row>
    <row r="73" customFormat="false" ht="15" hidden="false" customHeight="false" outlineLevel="0" collapsed="false">
      <c r="A73" s="0" t="n">
        <v>62</v>
      </c>
      <c r="B73" s="15" t="n">
        <v>0.406217238040146</v>
      </c>
      <c r="C73" s="18" t="n">
        <f aca="false">'Black-Scholes'!$B$5*EXP(('Black-Scholes'!$B$8-'Black-Scholes'!$B$10-'Black-Scholes'!$B$9^2/2)*'Black-Scholes'!$B$7+'Black-Scholes'!$B$9*SQRT('Black-Scholes'!$B$7)*B73)</f>
        <v>111.766696708662</v>
      </c>
      <c r="D73" s="18" t="n">
        <f aca="false">'Black-Scholes'!$B$5*EXP(('Black-Scholes'!$B$8-'Black-Scholes'!$B$10-'Black-Scholes'!$B$9^2/2)*'Black-Scholes'!$B$7-'Black-Scholes'!$B$9*SQRT('Black-Scholes'!$B$7)*B73)</f>
        <v>95.0047355620798</v>
      </c>
      <c r="E73" s="18" t="n">
        <f aca="false">EXP(-'Black-Scholes'!$B$8*'Black-Scholes'!$B$7)*IF(LOWER('Black-Scholes'!$B$11)="put",MAX('Black-Scholes'!$B$6-C73,0),MAX(C73-'Black-Scholes'!$B$6,0))</f>
        <v>11.1928281384549</v>
      </c>
      <c r="F73" s="18" t="n">
        <f aca="false">(E73+G73)/2</f>
        <v>5.59641406922744</v>
      </c>
      <c r="G73" s="18" t="n">
        <f aca="false">EXP(-'Black-Scholes'!$B$8*'Black-Scholes'!$B$7)*IF(LOWER('Black-Scholes'!$B$11)="put",MAX('Black-Scholes'!$B$6-D73,0),MAX(D73-'Black-Scholes'!$B$6,0))</f>
        <v>0</v>
      </c>
    </row>
    <row r="74" customFormat="false" ht="15" hidden="false" customHeight="false" outlineLevel="0" collapsed="false">
      <c r="A74" s="0" t="n">
        <v>63</v>
      </c>
      <c r="B74" s="15" t="n">
        <v>0.865637603014093</v>
      </c>
      <c r="C74" s="18" t="n">
        <f aca="false">'Black-Scholes'!$B$5*EXP(('Black-Scholes'!$B$8-'Black-Scholes'!$B$10-'Black-Scholes'!$B$9^2/2)*'Black-Scholes'!$B$7+'Black-Scholes'!$B$9*SQRT('Black-Scholes'!$B$7)*B74)</f>
        <v>122.522870018833</v>
      </c>
      <c r="D74" s="18" t="n">
        <f aca="false">'Black-Scholes'!$B$5*EXP(('Black-Scholes'!$B$8-'Black-Scholes'!$B$10-'Black-Scholes'!$B$9^2/2)*'Black-Scholes'!$B$7-'Black-Scholes'!$B$9*SQRT('Black-Scholes'!$B$7)*B74)</f>
        <v>86.6643546941191</v>
      </c>
      <c r="E74" s="18" t="n">
        <f aca="false">EXP(-'Black-Scholes'!$B$8*'Black-Scholes'!$B$7)*IF(LOWER('Black-Scholes'!$B$11)="put",MAX('Black-Scholes'!$B$6-C74,0),MAX(C74-'Black-Scholes'!$B$6,0))</f>
        <v>21.4244166861189</v>
      </c>
      <c r="F74" s="18" t="n">
        <f aca="false">(E74+G74)/2</f>
        <v>10.7122083430595</v>
      </c>
      <c r="G74" s="18" t="n">
        <f aca="false">EXP(-'Black-Scholes'!$B$8*'Black-Scholes'!$B$7)*IF(LOWER('Black-Scholes'!$B$11)="put",MAX('Black-Scholes'!$B$6-D74,0),MAX(D74-'Black-Scholes'!$B$6,0))</f>
        <v>0</v>
      </c>
    </row>
    <row r="75" customFormat="false" ht="15" hidden="false" customHeight="false" outlineLevel="0" collapsed="false">
      <c r="A75" s="0" t="n">
        <v>64</v>
      </c>
      <c r="B75" s="15" t="n">
        <v>-0.533925179763999</v>
      </c>
      <c r="C75" s="18" t="n">
        <f aca="false">'Black-Scholes'!$B$5*EXP(('Black-Scholes'!$B$8-'Black-Scholes'!$B$10-'Black-Scholes'!$B$9^2/2)*'Black-Scholes'!$B$7+'Black-Scholes'!$B$9*SQRT('Black-Scholes'!$B$7)*B75)</f>
        <v>92.6088908030694</v>
      </c>
      <c r="D75" s="18" t="n">
        <f aca="false">'Black-Scholes'!$B$5*EXP(('Black-Scholes'!$B$8-'Black-Scholes'!$B$10-'Black-Scholes'!$B$9^2/2)*'Black-Scholes'!$B$7-'Black-Scholes'!$B$9*SQRT('Black-Scholes'!$B$7)*B75)</f>
        <v>114.658164819545</v>
      </c>
      <c r="E75" s="18" t="n">
        <f aca="false">EXP(-'Black-Scholes'!$B$8*'Black-Scholes'!$B$7)*IF(LOWER('Black-Scholes'!$B$11)="put",MAX('Black-Scholes'!$B$6-C75,0),MAX(C75-'Black-Scholes'!$B$6,0))</f>
        <v>0</v>
      </c>
      <c r="F75" s="18" t="n">
        <f aca="false">(E75+G75)/2</f>
        <v>6.9716388427663</v>
      </c>
      <c r="G75" s="18" t="n">
        <f aca="false">EXP(-'Black-Scholes'!$B$8*'Black-Scholes'!$B$7)*IF(LOWER('Black-Scholes'!$B$11)="put",MAX('Black-Scholes'!$B$6-D75,0),MAX(D75-'Black-Scholes'!$B$6,0))</f>
        <v>13.9432776855326</v>
      </c>
    </row>
    <row r="76" customFormat="false" ht="15" hidden="false" customHeight="false" outlineLevel="0" collapsed="false">
      <c r="A76" s="0" t="n">
        <v>65</v>
      </c>
      <c r="B76" s="15" t="n">
        <v>-0.0387782860755536</v>
      </c>
      <c r="C76" s="18" t="n">
        <f aca="false">'Black-Scholes'!$B$5*EXP(('Black-Scholes'!$B$8-'Black-Scholes'!$B$10-'Black-Scholes'!$B$9^2/2)*'Black-Scholes'!$B$7+'Black-Scholes'!$B$9*SQRT('Black-Scholes'!$B$7)*B76)</f>
        <v>102.249359288177</v>
      </c>
      <c r="D76" s="18" t="n">
        <f aca="false">'Black-Scholes'!$B$5*EXP(('Black-Scholes'!$B$8-'Black-Scholes'!$B$10-'Black-Scholes'!$B$9^2/2)*'Black-Scholes'!$B$7-'Black-Scholes'!$B$9*SQRT('Black-Scholes'!$B$7)*B76)</f>
        <v>103.847745740167</v>
      </c>
      <c r="E76" s="18" t="n">
        <f aca="false">EXP(-'Black-Scholes'!$B$8*'Black-Scholes'!$B$7)*IF(LOWER('Black-Scholes'!$B$11)="put",MAX('Black-Scholes'!$B$6-C76,0),MAX(C76-'Black-Scholes'!$B$6,0))</f>
        <v>2.13965674118795</v>
      </c>
      <c r="F76" s="18" t="n">
        <f aca="false">(E76+G76)/2</f>
        <v>2.89987285361607</v>
      </c>
      <c r="G76" s="18" t="n">
        <f aca="false">EXP(-'Black-Scholes'!$B$8*'Black-Scholes'!$B$7)*IF(LOWER('Black-Scholes'!$B$11)="put",MAX('Black-Scholes'!$B$6-D76,0),MAX(D76-'Black-Scholes'!$B$6,0))</f>
        <v>3.66008896604418</v>
      </c>
    </row>
    <row r="77" customFormat="false" ht="15" hidden="false" customHeight="false" outlineLevel="0" collapsed="false">
      <c r="A77" s="0" t="n">
        <v>66</v>
      </c>
      <c r="B77" s="15" t="n">
        <v>1.14263415727772</v>
      </c>
      <c r="C77" s="18" t="n">
        <f aca="false">'Black-Scholes'!$B$5*EXP(('Black-Scholes'!$B$8-'Black-Scholes'!$B$10-'Black-Scholes'!$B$9^2/2)*'Black-Scholes'!$B$7+'Black-Scholes'!$B$9*SQRT('Black-Scholes'!$B$7)*B77)</f>
        <v>129.502089668233</v>
      </c>
      <c r="D77" s="18" t="n">
        <f aca="false">'Black-Scholes'!$B$5*EXP(('Black-Scholes'!$B$8-'Black-Scholes'!$B$10-'Black-Scholes'!$B$9^2/2)*'Black-Scholes'!$B$7-'Black-Scholes'!$B$9*SQRT('Black-Scholes'!$B$7)*B77)</f>
        <v>81.9937770321421</v>
      </c>
      <c r="E77" s="18" t="n">
        <f aca="false">EXP(-'Black-Scholes'!$B$8*'Black-Scholes'!$B$7)*IF(LOWER('Black-Scholes'!$B$11)="put",MAX('Black-Scholes'!$B$6-C77,0),MAX(C77-'Black-Scholes'!$B$6,0))</f>
        <v>28.0632557766821</v>
      </c>
      <c r="F77" s="18" t="n">
        <f aca="false">(E77+G77)/2</f>
        <v>14.031627888341</v>
      </c>
      <c r="G77" s="18" t="n">
        <f aca="false">EXP(-'Black-Scholes'!$B$8*'Black-Scholes'!$B$7)*IF(LOWER('Black-Scholes'!$B$11)="put",MAX('Black-Scholes'!$B$6-D77,0),MAX(D77-'Black-Scholes'!$B$6,0))</f>
        <v>0</v>
      </c>
    </row>
    <row r="78" customFormat="false" ht="15" hidden="false" customHeight="false" outlineLevel="0" collapsed="false">
      <c r="A78" s="0" t="n">
        <v>67</v>
      </c>
      <c r="B78" s="15" t="n">
        <v>-0.463506282187513</v>
      </c>
      <c r="C78" s="18" t="n">
        <f aca="false">'Black-Scholes'!$B$5*EXP(('Black-Scholes'!$B$8-'Black-Scholes'!$B$10-'Black-Scholes'!$B$9^2/2)*'Black-Scholes'!$B$7+'Black-Scholes'!$B$9*SQRT('Black-Scholes'!$B$7)*B78)</f>
        <v>93.92240189109</v>
      </c>
      <c r="D78" s="18" t="n">
        <f aca="false">'Black-Scholes'!$B$5*EXP(('Black-Scholes'!$B$8-'Black-Scholes'!$B$10-'Black-Scholes'!$B$9^2/2)*'Black-Scholes'!$B$7-'Black-Scholes'!$B$9*SQRT('Black-Scholes'!$B$7)*B78)</f>
        <v>113.05466269662</v>
      </c>
      <c r="E78" s="18" t="n">
        <f aca="false">EXP(-'Black-Scholes'!$B$8*'Black-Scholes'!$B$7)*IF(LOWER('Black-Scholes'!$B$11)="put",MAX('Black-Scholes'!$B$6-C78,0),MAX(C78-'Black-Scholes'!$B$6,0))</f>
        <v>0</v>
      </c>
      <c r="F78" s="18" t="n">
        <f aca="false">(E78+G78)/2</f>
        <v>6.20898964197857</v>
      </c>
      <c r="G78" s="18" t="n">
        <f aca="false">EXP(-'Black-Scholes'!$B$8*'Black-Scholes'!$B$7)*IF(LOWER('Black-Scholes'!$B$11)="put",MAX('Black-Scholes'!$B$6-D78,0),MAX(D78-'Black-Scholes'!$B$6,0))</f>
        <v>12.4179792839571</v>
      </c>
    </row>
    <row r="79" customFormat="false" ht="15" hidden="false" customHeight="false" outlineLevel="0" collapsed="false">
      <c r="A79" s="0" t="n">
        <v>68</v>
      </c>
      <c r="B79" s="15" t="n">
        <v>2.26692259358377</v>
      </c>
      <c r="C79" s="18" t="n">
        <f aca="false">'Black-Scholes'!$B$5*EXP(('Black-Scholes'!$B$8-'Black-Scholes'!$B$10-'Black-Scholes'!$B$9^2/2)*'Black-Scholes'!$B$7+'Black-Scholes'!$B$9*SQRT('Black-Scholes'!$B$7)*B79)</f>
        <v>162.155330274546</v>
      </c>
      <c r="D79" s="18" t="n">
        <f aca="false">'Black-Scholes'!$B$5*EXP(('Black-Scholes'!$B$8-'Black-Scholes'!$B$10-'Black-Scholes'!$B$9^2/2)*'Black-Scholes'!$B$7-'Black-Scholes'!$B$9*SQRT('Black-Scholes'!$B$7)*B79)</f>
        <v>65.4826791538432</v>
      </c>
      <c r="E79" s="18" t="n">
        <f aca="false">EXP(-'Black-Scholes'!$B$8*'Black-Scholes'!$B$7)*IF(LOWER('Black-Scholes'!$B$11)="put",MAX('Black-Scholes'!$B$6-C79,0),MAX(C79-'Black-Scholes'!$B$6,0))</f>
        <v>59.1239790467086</v>
      </c>
      <c r="F79" s="18" t="n">
        <f aca="false">(E79+G79)/2</f>
        <v>29.5619895233543</v>
      </c>
      <c r="G79" s="18" t="n">
        <f aca="false">EXP(-'Black-Scholes'!$B$8*'Black-Scholes'!$B$7)*IF(LOWER('Black-Scholes'!$B$11)="put",MAX('Black-Scholes'!$B$6-D79,0),MAX(D79-'Black-Scholes'!$B$6,0))</f>
        <v>0</v>
      </c>
    </row>
    <row r="80" customFormat="false" ht="15" hidden="false" customHeight="false" outlineLevel="0" collapsed="false">
      <c r="A80" s="0" t="n">
        <v>69</v>
      </c>
      <c r="B80" s="15" t="n">
        <v>-0.528739200435618</v>
      </c>
      <c r="C80" s="18" t="n">
        <f aca="false">'Black-Scholes'!$B$5*EXP(('Black-Scholes'!$B$8-'Black-Scholes'!$B$10-'Black-Scholes'!$B$9^2/2)*'Black-Scholes'!$B$7+'Black-Scholes'!$B$9*SQRT('Black-Scholes'!$B$7)*B80)</f>
        <v>92.7049941921386</v>
      </c>
      <c r="D80" s="18" t="n">
        <f aca="false">'Black-Scholes'!$B$5*EXP(('Black-Scholes'!$B$8-'Black-Scholes'!$B$10-'Black-Scholes'!$B$9^2/2)*'Black-Scholes'!$B$7-'Black-Scholes'!$B$9*SQRT('Black-Scholes'!$B$7)*B80)</f>
        <v>114.53930349692</v>
      </c>
      <c r="E80" s="18" t="n">
        <f aca="false">EXP(-'Black-Scholes'!$B$8*'Black-Scholes'!$B$7)*IF(LOWER('Black-Scholes'!$B$11)="put",MAX('Black-Scholes'!$B$6-C80,0),MAX(C80-'Black-Scholes'!$B$6,0))</f>
        <v>0</v>
      </c>
      <c r="F80" s="18" t="n">
        <f aca="false">(E80+G80)/2</f>
        <v>6.91510664900832</v>
      </c>
      <c r="G80" s="18" t="n">
        <f aca="false">EXP(-'Black-Scholes'!$B$8*'Black-Scholes'!$B$7)*IF(LOWER('Black-Scholes'!$B$11)="put",MAX('Black-Scholes'!$B$6-D80,0),MAX(D80-'Black-Scholes'!$B$6,0))</f>
        <v>13.8302132980166</v>
      </c>
    </row>
    <row r="81" customFormat="false" ht="15" hidden="false" customHeight="false" outlineLevel="0" collapsed="false">
      <c r="A81" s="0" t="n">
        <v>70</v>
      </c>
      <c r="B81" s="15" t="n">
        <v>0.324615855458995</v>
      </c>
      <c r="C81" s="18" t="n">
        <f aca="false">'Black-Scholes'!$B$5*EXP(('Black-Scholes'!$B$8-'Black-Scholes'!$B$10-'Black-Scholes'!$B$9^2/2)*'Black-Scholes'!$B$7+'Black-Scholes'!$B$9*SQRT('Black-Scholes'!$B$7)*B81)</f>
        <v>109.957437278225</v>
      </c>
      <c r="D81" s="18" t="n">
        <f aca="false">'Black-Scholes'!$B$5*EXP(('Black-Scholes'!$B$8-'Black-Scholes'!$B$10-'Black-Scholes'!$B$9^2/2)*'Black-Scholes'!$B$7-'Black-Scholes'!$B$9*SQRT('Black-Scholes'!$B$7)*B81)</f>
        <v>96.5679605517354</v>
      </c>
      <c r="E81" s="18" t="n">
        <f aca="false">EXP(-'Black-Scholes'!$B$8*'Black-Scholes'!$B$7)*IF(LOWER('Black-Scholes'!$B$11)="put",MAX('Black-Scholes'!$B$6-C81,0),MAX(C81-'Black-Scholes'!$B$6,0))</f>
        <v>9.47180733166838</v>
      </c>
      <c r="F81" s="18" t="n">
        <f aca="false">(E81+G81)/2</f>
        <v>4.73590366583419</v>
      </c>
      <c r="G81" s="18" t="n">
        <f aca="false">EXP(-'Black-Scholes'!$B$8*'Black-Scholes'!$B$7)*IF(LOWER('Black-Scholes'!$B$11)="put",MAX('Black-Scholes'!$B$6-D81,0),MAX(D81-'Black-Scholes'!$B$6,0))</f>
        <v>0</v>
      </c>
    </row>
    <row r="82" customFormat="false" ht="15" hidden="false" customHeight="false" outlineLevel="0" collapsed="false">
      <c r="A82" s="0" t="n">
        <v>71</v>
      </c>
      <c r="B82" s="15" t="n">
        <v>-0.15441649962344</v>
      </c>
      <c r="C82" s="18" t="n">
        <f aca="false">'Black-Scholes'!$B$5*EXP(('Black-Scholes'!$B$8-'Black-Scholes'!$B$10-'Black-Scholes'!$B$9^2/2)*'Black-Scholes'!$B$7+'Black-Scholes'!$B$9*SQRT('Black-Scholes'!$B$7)*B82)</f>
        <v>99.9117090069855</v>
      </c>
      <c r="D82" s="18" t="n">
        <f aca="false">'Black-Scholes'!$B$5*EXP(('Black-Scholes'!$B$8-'Black-Scholes'!$B$10-'Black-Scholes'!$B$9^2/2)*'Black-Scholes'!$B$7-'Black-Scholes'!$B$9*SQRT('Black-Scholes'!$B$7)*B82)</f>
        <v>106.277488104134</v>
      </c>
      <c r="E82" s="18" t="n">
        <f aca="false">EXP(-'Black-Scholes'!$B$8*'Black-Scholes'!$B$7)*IF(LOWER('Black-Scholes'!$B$11)="put",MAX('Black-Scholes'!$B$6-C82,0),MAX(C82-'Black-Scholes'!$B$6,0))</f>
        <v>0</v>
      </c>
      <c r="F82" s="18" t="n">
        <f aca="false">(E82+G82)/2</f>
        <v>2.98566569830273</v>
      </c>
      <c r="G82" s="18" t="n">
        <f aca="false">EXP(-'Black-Scholes'!$B$8*'Black-Scholes'!$B$7)*IF(LOWER('Black-Scholes'!$B$11)="put",MAX('Black-Scholes'!$B$6-D82,0),MAX(D82-'Black-Scholes'!$B$6,0))</f>
        <v>5.97133139660546</v>
      </c>
    </row>
    <row r="83" customFormat="false" ht="15" hidden="false" customHeight="false" outlineLevel="0" collapsed="false">
      <c r="A83" s="0" t="n">
        <v>72</v>
      </c>
      <c r="B83" s="15" t="n">
        <v>-0.819607712652382</v>
      </c>
      <c r="C83" s="18" t="n">
        <f aca="false">'Black-Scholes'!$B$5*EXP(('Black-Scholes'!$B$8-'Black-Scholes'!$B$10-'Black-Scholes'!$B$9^2/2)*'Black-Scholes'!$B$7+'Black-Scholes'!$B$9*SQRT('Black-Scholes'!$B$7)*B83)</f>
        <v>87.4658685418546</v>
      </c>
      <c r="D83" s="18" t="n">
        <f aca="false">'Black-Scholes'!$B$5*EXP(('Black-Scholes'!$B$8-'Black-Scholes'!$B$10-'Black-Scholes'!$B$9^2/2)*'Black-Scholes'!$B$7-'Black-Scholes'!$B$9*SQRT('Black-Scholes'!$B$7)*B83)</f>
        <v>121.400103177075</v>
      </c>
      <c r="E83" s="18" t="n">
        <f aca="false">EXP(-'Black-Scholes'!$B$8*'Black-Scholes'!$B$7)*IF(LOWER('Black-Scholes'!$B$11)="put",MAX('Black-Scholes'!$B$6-C83,0),MAX(C83-'Black-Scholes'!$B$6,0))</f>
        <v>0</v>
      </c>
      <c r="F83" s="18" t="n">
        <f aca="false">(E83+G83)/2</f>
        <v>10.1782039146923</v>
      </c>
      <c r="G83" s="18" t="n">
        <f aca="false">EXP(-'Black-Scholes'!$B$8*'Black-Scholes'!$B$7)*IF(LOWER('Black-Scholes'!$B$11)="put",MAX('Black-Scholes'!$B$6-D83,0),MAX(D83-'Black-Scholes'!$B$6,0))</f>
        <v>20.3564078293847</v>
      </c>
    </row>
    <row r="84" customFormat="false" ht="15" hidden="false" customHeight="false" outlineLevel="0" collapsed="false">
      <c r="A84" s="0" t="n">
        <v>73</v>
      </c>
      <c r="B84" s="15" t="n">
        <v>-1.202935725399</v>
      </c>
      <c r="C84" s="18" t="n">
        <f aca="false">'Black-Scholes'!$B$5*EXP(('Black-Scholes'!$B$8-'Black-Scholes'!$B$10-'Black-Scholes'!$B$9^2/2)*'Black-Scholes'!$B$7+'Black-Scholes'!$B$9*SQRT('Black-Scholes'!$B$7)*B84)</f>
        <v>81.0108455111203</v>
      </c>
      <c r="D84" s="18" t="n">
        <f aca="false">'Black-Scholes'!$B$5*EXP(('Black-Scholes'!$B$8-'Black-Scholes'!$B$10-'Black-Scholes'!$B$9^2/2)*'Black-Scholes'!$B$7-'Black-Scholes'!$B$9*SQRT('Black-Scholes'!$B$7)*B84)</f>
        <v>131.073381575755</v>
      </c>
      <c r="E84" s="18" t="n">
        <f aca="false">EXP(-'Black-Scholes'!$B$8*'Black-Scholes'!$B$7)*IF(LOWER('Black-Scholes'!$B$11)="put",MAX('Black-Scholes'!$B$6-C84,0),MAX(C84-'Black-Scholes'!$B$6,0))</f>
        <v>0</v>
      </c>
      <c r="F84" s="18" t="n">
        <f aca="false">(E84+G84)/2</f>
        <v>14.7789574367982</v>
      </c>
      <c r="G84" s="18" t="n">
        <f aca="false">EXP(-'Black-Scholes'!$B$8*'Black-Scholes'!$B$7)*IF(LOWER('Black-Scholes'!$B$11)="put",MAX('Black-Scholes'!$B$6-D84,0),MAX(D84-'Black-Scholes'!$B$6,0))</f>
        <v>29.5579148735964</v>
      </c>
    </row>
    <row r="85" customFormat="false" ht="15" hidden="false" customHeight="false" outlineLevel="0" collapsed="false">
      <c r="A85" s="0" t="n">
        <v>74</v>
      </c>
      <c r="B85" s="15" t="n">
        <v>0.0954483749182791</v>
      </c>
      <c r="C85" s="18" t="n">
        <f aca="false">'Black-Scholes'!$B$5*EXP(('Black-Scholes'!$B$8-'Black-Scholes'!$B$10-'Black-Scholes'!$B$9^2/2)*'Black-Scholes'!$B$7+'Black-Scholes'!$B$9*SQRT('Black-Scholes'!$B$7)*B85)</f>
        <v>105.031453345567</v>
      </c>
      <c r="D85" s="18" t="n">
        <f aca="false">'Black-Scholes'!$B$5*EXP(('Black-Scholes'!$B$8-'Black-Scholes'!$B$10-'Black-Scholes'!$B$9^2/2)*'Black-Scholes'!$B$7-'Black-Scholes'!$B$9*SQRT('Black-Scholes'!$B$7)*B85)</f>
        <v>101.097005965611</v>
      </c>
      <c r="E85" s="18" t="n">
        <f aca="false">EXP(-'Black-Scholes'!$B$8*'Black-Scholes'!$B$7)*IF(LOWER('Black-Scholes'!$B$11)="put",MAX('Black-Scholes'!$B$6-C85,0),MAX(C85-'Black-Scholes'!$B$6,0))</f>
        <v>4.78606647030584</v>
      </c>
      <c r="F85" s="18" t="n">
        <f aca="false">(E85+G85)/2</f>
        <v>2.91478541182402</v>
      </c>
      <c r="G85" s="18" t="n">
        <f aca="false">EXP(-'Black-Scholes'!$B$8*'Black-Scholes'!$B$7)*IF(LOWER('Black-Scholes'!$B$11)="put",MAX('Black-Scholes'!$B$6-D85,0),MAX(D85-'Black-Scholes'!$B$6,0))</f>
        <v>1.04350435334219</v>
      </c>
    </row>
    <row r="86" customFormat="false" ht="15" hidden="false" customHeight="false" outlineLevel="0" collapsed="false">
      <c r="A86" s="0" t="n">
        <v>75</v>
      </c>
      <c r="B86" s="15" t="n">
        <v>-1.36174340239123</v>
      </c>
      <c r="C86" s="18" t="n">
        <f aca="false">'Black-Scholes'!$B$5*EXP(('Black-Scholes'!$B$8-'Black-Scholes'!$B$10-'Black-Scholes'!$B$9^2/2)*'Black-Scholes'!$B$7+'Black-Scholes'!$B$9*SQRT('Black-Scholes'!$B$7)*B86)</f>
        <v>78.4782491505654</v>
      </c>
      <c r="D86" s="18" t="n">
        <f aca="false">'Black-Scholes'!$B$5*EXP(('Black-Scholes'!$B$8-'Black-Scholes'!$B$10-'Black-Scholes'!$B$9^2/2)*'Black-Scholes'!$B$7-'Black-Scholes'!$B$9*SQRT('Black-Scholes'!$B$7)*B86)</f>
        <v>135.303292063532</v>
      </c>
      <c r="E86" s="18" t="n">
        <f aca="false">EXP(-'Black-Scholes'!$B$8*'Black-Scholes'!$B$7)*IF(LOWER('Black-Scholes'!$B$11)="put",MAX('Black-Scholes'!$B$6-C86,0),MAX(C86-'Black-Scholes'!$B$6,0))</f>
        <v>0</v>
      </c>
      <c r="F86" s="18" t="n">
        <f aca="false">(E86+G86)/2</f>
        <v>16.7907650962872</v>
      </c>
      <c r="G86" s="18" t="n">
        <f aca="false">EXP(-'Black-Scholes'!$B$8*'Black-Scholes'!$B$7)*IF(LOWER('Black-Scholes'!$B$11)="put",MAX('Black-Scholes'!$B$6-D86,0),MAX(D86-'Black-Scholes'!$B$6,0))</f>
        <v>33.5815301925744</v>
      </c>
    </row>
    <row r="87" customFormat="false" ht="15" hidden="false" customHeight="false" outlineLevel="0" collapsed="false">
      <c r="A87" s="0" t="n">
        <v>76</v>
      </c>
      <c r="B87" s="15" t="n">
        <v>0.277370159371182</v>
      </c>
      <c r="C87" s="18" t="n">
        <f aca="false">'Black-Scholes'!$B$5*EXP(('Black-Scholes'!$B$8-'Black-Scholes'!$B$10-'Black-Scholes'!$B$9^2/2)*'Black-Scholes'!$B$7+'Black-Scholes'!$B$9*SQRT('Black-Scholes'!$B$7)*B87)</f>
        <v>108.923327563012</v>
      </c>
      <c r="D87" s="18" t="n">
        <f aca="false">'Black-Scholes'!$B$5*EXP(('Black-Scholes'!$B$8-'Black-Scholes'!$B$10-'Black-Scholes'!$B$9^2/2)*'Black-Scholes'!$B$7-'Black-Scholes'!$B$9*SQRT('Black-Scholes'!$B$7)*B87)</f>
        <v>97.4847693604561</v>
      </c>
      <c r="E87" s="18" t="n">
        <f aca="false">EXP(-'Black-Scholes'!$B$8*'Black-Scholes'!$B$7)*IF(LOWER('Black-Scholes'!$B$11)="put",MAX('Black-Scholes'!$B$6-C87,0),MAX(C87-'Black-Scholes'!$B$6,0))</f>
        <v>8.48813174239492</v>
      </c>
      <c r="F87" s="18" t="n">
        <f aca="false">(E87+G87)/2</f>
        <v>4.24406587119746</v>
      </c>
      <c r="G87" s="18" t="n">
        <f aca="false">EXP(-'Black-Scholes'!$B$8*'Black-Scholes'!$B$7)*IF(LOWER('Black-Scholes'!$B$11)="put",MAX('Black-Scholes'!$B$6-D87,0),MAX(D87-'Black-Scholes'!$B$6,0))</f>
        <v>0</v>
      </c>
    </row>
    <row r="88" customFormat="false" ht="15" hidden="false" customHeight="false" outlineLevel="0" collapsed="false">
      <c r="A88" s="0" t="n">
        <v>77</v>
      </c>
      <c r="B88" s="15" t="n">
        <v>0.306659167800631</v>
      </c>
      <c r="C88" s="18" t="n">
        <f aca="false">'Black-Scholes'!$B$5*EXP(('Black-Scholes'!$B$8-'Black-Scholes'!$B$10-'Black-Scholes'!$B$9^2/2)*'Black-Scholes'!$B$7+'Black-Scholes'!$B$9*SQRT('Black-Scholes'!$B$7)*B88)</f>
        <v>109.563251258041</v>
      </c>
      <c r="D88" s="18" t="n">
        <f aca="false">'Black-Scholes'!$B$5*EXP(('Black-Scholes'!$B$8-'Black-Scholes'!$B$10-'Black-Scholes'!$B$9^2/2)*'Black-Scholes'!$B$7-'Black-Scholes'!$B$9*SQRT('Black-Scholes'!$B$7)*B88)</f>
        <v>96.9153921915433</v>
      </c>
      <c r="E88" s="18" t="n">
        <f aca="false">EXP(-'Black-Scholes'!$B$8*'Black-Scholes'!$B$7)*IF(LOWER('Black-Scholes'!$B$11)="put",MAX('Black-Scholes'!$B$6-C88,0),MAX(C88-'Black-Scholes'!$B$6,0))</f>
        <v>9.09684599054159</v>
      </c>
      <c r="F88" s="18" t="n">
        <f aca="false">(E88+G88)/2</f>
        <v>4.5484229952708</v>
      </c>
      <c r="G88" s="18" t="n">
        <f aca="false">EXP(-'Black-Scholes'!$B$8*'Black-Scholes'!$B$7)*IF(LOWER('Black-Scholes'!$B$11)="put",MAX('Black-Scholes'!$B$6-D88,0),MAX(D88-'Black-Scholes'!$B$6,0))</f>
        <v>0</v>
      </c>
    </row>
    <row r="89" customFormat="false" ht="15" hidden="false" customHeight="false" outlineLevel="0" collapsed="false">
      <c r="A89" s="0" t="n">
        <v>78</v>
      </c>
      <c r="B89" s="15" t="n">
        <v>-1.40419209017342</v>
      </c>
      <c r="C89" s="18" t="n">
        <f aca="false">'Black-Scholes'!$B$5*EXP(('Black-Scholes'!$B$8-'Black-Scholes'!$B$10-'Black-Scholes'!$B$9^2/2)*'Black-Scholes'!$B$7+'Black-Scholes'!$B$9*SQRT('Black-Scholes'!$B$7)*B89)</f>
        <v>77.8148096099949</v>
      </c>
      <c r="D89" s="18" t="n">
        <f aca="false">'Black-Scholes'!$B$5*EXP(('Black-Scholes'!$B$8-'Black-Scholes'!$B$10-'Black-Scholes'!$B$9^2/2)*'Black-Scholes'!$B$7-'Black-Scholes'!$B$9*SQRT('Black-Scholes'!$B$7)*B89)</f>
        <v>136.456871367706</v>
      </c>
      <c r="E89" s="18" t="n">
        <f aca="false">EXP(-'Black-Scholes'!$B$8*'Black-Scholes'!$B$7)*IF(LOWER('Black-Scholes'!$B$11)="put",MAX('Black-Scholes'!$B$6-C89,0),MAX(C89-'Black-Scholes'!$B$6,0))</f>
        <v>0</v>
      </c>
      <c r="F89" s="18" t="n">
        <f aca="false">(E89+G89)/2</f>
        <v>17.3394243850997</v>
      </c>
      <c r="G89" s="18" t="n">
        <f aca="false">EXP(-'Black-Scholes'!$B$8*'Black-Scholes'!$B$7)*IF(LOWER('Black-Scholes'!$B$11)="put",MAX('Black-Scholes'!$B$6-D89,0),MAX(D89-'Black-Scholes'!$B$6,0))</f>
        <v>34.6788487701995</v>
      </c>
    </row>
    <row r="90" customFormat="false" ht="15" hidden="false" customHeight="false" outlineLevel="0" collapsed="false">
      <c r="A90" s="0" t="n">
        <v>79</v>
      </c>
      <c r="B90" s="15" t="n">
        <v>-1.53897175648</v>
      </c>
      <c r="C90" s="18" t="n">
        <f aca="false">'Black-Scholes'!$B$5*EXP(('Black-Scholes'!$B$8-'Black-Scholes'!$B$10-'Black-Scholes'!$B$9^2/2)*'Black-Scholes'!$B$7+'Black-Scholes'!$B$9*SQRT('Black-Scholes'!$B$7)*B90)</f>
        <v>75.7452574638889</v>
      </c>
      <c r="D90" s="18" t="n">
        <f aca="false">'Black-Scholes'!$B$5*EXP(('Black-Scholes'!$B$8-'Black-Scholes'!$B$10-'Black-Scholes'!$B$9^2/2)*'Black-Scholes'!$B$7-'Black-Scholes'!$B$9*SQRT('Black-Scholes'!$B$7)*B90)</f>
        <v>140.185218467517</v>
      </c>
      <c r="E90" s="18" t="n">
        <f aca="false">EXP(-'Black-Scholes'!$B$8*'Black-Scholes'!$B$7)*IF(LOWER('Black-Scholes'!$B$11)="put",MAX('Black-Scholes'!$B$6-C90,0),MAX(C90-'Black-Scholes'!$B$6,0))</f>
        <v>0</v>
      </c>
      <c r="F90" s="18" t="n">
        <f aca="false">(E90+G90)/2</f>
        <v>19.1126811181459</v>
      </c>
      <c r="G90" s="18" t="n">
        <f aca="false">EXP(-'Black-Scholes'!$B$8*'Black-Scholes'!$B$7)*IF(LOWER('Black-Scholes'!$B$11)="put",MAX('Black-Scholes'!$B$6-D90,0),MAX(D90-'Black-Scholes'!$B$6,0))</f>
        <v>38.2253622362917</v>
      </c>
    </row>
    <row r="91" customFormat="false" ht="15" hidden="false" customHeight="false" outlineLevel="0" collapsed="false">
      <c r="A91" s="0" t="n">
        <v>80</v>
      </c>
      <c r="B91" s="15" t="n">
        <v>1.59692718913055</v>
      </c>
      <c r="C91" s="18" t="n">
        <f aca="false">'Black-Scholes'!$B$5*EXP(('Black-Scholes'!$B$8-'Black-Scholes'!$B$10-'Black-Scholes'!$B$9^2/2)*'Black-Scholes'!$B$7+'Black-Scholes'!$B$9*SQRT('Black-Scholes'!$B$7)*B91)</f>
        <v>141.819571128225</v>
      </c>
      <c r="D91" s="18" t="n">
        <f aca="false">'Black-Scholes'!$B$5*EXP(('Black-Scholes'!$B$8-'Black-Scholes'!$B$10-'Black-Scholes'!$B$9^2/2)*'Black-Scholes'!$B$7-'Black-Scholes'!$B$9*SQRT('Black-Scholes'!$B$7)*B91)</f>
        <v>74.8723563396836</v>
      </c>
      <c r="E91" s="18" t="n">
        <f aca="false">EXP(-'Black-Scholes'!$B$8*'Black-Scholes'!$B$7)*IF(LOWER('Black-Scholes'!$B$11)="put",MAX('Black-Scholes'!$B$6-C91,0),MAX(C91-'Black-Scholes'!$B$6,0))</f>
        <v>39.7800065771685</v>
      </c>
      <c r="F91" s="18" t="n">
        <f aca="false">(E91+G91)/2</f>
        <v>19.8900032885843</v>
      </c>
      <c r="G91" s="18" t="n">
        <f aca="false">EXP(-'Black-Scholes'!$B$8*'Black-Scholes'!$B$7)*IF(LOWER('Black-Scholes'!$B$11)="put",MAX('Black-Scholes'!$B$6-D91,0),MAX(D91-'Black-Scholes'!$B$6,0))</f>
        <v>0</v>
      </c>
    </row>
    <row r="92" customFormat="false" ht="15" hidden="false" customHeight="false" outlineLevel="0" collapsed="false">
      <c r="A92" s="0" t="n">
        <v>81</v>
      </c>
      <c r="B92" s="15" t="n">
        <v>1.26835705785925</v>
      </c>
      <c r="C92" s="18" t="n">
        <f aca="false">'Black-Scholes'!$B$5*EXP(('Black-Scholes'!$B$8-'Black-Scholes'!$B$10-'Black-Scholes'!$B$9^2/2)*'Black-Scholes'!$B$7+'Black-Scholes'!$B$9*SQRT('Black-Scholes'!$B$7)*B92)</f>
        <v>132.799649477201</v>
      </c>
      <c r="D92" s="18" t="n">
        <f aca="false">'Black-Scholes'!$B$5*EXP(('Black-Scholes'!$B$8-'Black-Scholes'!$B$10-'Black-Scholes'!$B$9^2/2)*'Black-Scholes'!$B$7-'Black-Scholes'!$B$9*SQRT('Black-Scholes'!$B$7)*B92)</f>
        <v>79.957782322886</v>
      </c>
      <c r="E92" s="18" t="n">
        <f aca="false">EXP(-'Black-Scholes'!$B$8*'Black-Scholes'!$B$7)*IF(LOWER('Black-Scholes'!$B$11)="put",MAX('Black-Scholes'!$B$6-C92,0),MAX(C92-'Black-Scholes'!$B$6,0))</f>
        <v>31.1999916960231</v>
      </c>
      <c r="F92" s="18" t="n">
        <f aca="false">(E92+G92)/2</f>
        <v>15.5999958480115</v>
      </c>
      <c r="G92" s="18" t="n">
        <f aca="false">EXP(-'Black-Scholes'!$B$8*'Black-Scholes'!$B$7)*IF(LOWER('Black-Scholes'!$B$11)="put",MAX('Black-Scholes'!$B$6-D92,0),MAX(D92-'Black-Scholes'!$B$6,0))</f>
        <v>0</v>
      </c>
    </row>
    <row r="93" customFormat="false" ht="15" hidden="false" customHeight="false" outlineLevel="0" collapsed="false">
      <c r="A93" s="0" t="n">
        <v>82</v>
      </c>
      <c r="B93" s="15" t="n">
        <v>-0.744444533331027</v>
      </c>
      <c r="C93" s="18" t="n">
        <f aca="false">'Black-Scholes'!$B$5*EXP(('Black-Scholes'!$B$8-'Black-Scholes'!$B$10-'Black-Scholes'!$B$9^2/2)*'Black-Scholes'!$B$7+'Black-Scholes'!$B$9*SQRT('Black-Scholes'!$B$7)*B93)</f>
        <v>88.790643576905</v>
      </c>
      <c r="D93" s="18" t="n">
        <f aca="false">'Black-Scholes'!$B$5*EXP(('Black-Scholes'!$B$8-'Black-Scholes'!$B$10-'Black-Scholes'!$B$9^2/2)*'Black-Scholes'!$B$7-'Black-Scholes'!$B$9*SQRT('Black-Scholes'!$B$7)*B93)</f>
        <v>119.588788161634</v>
      </c>
      <c r="E93" s="18" t="n">
        <f aca="false">EXP(-'Black-Scholes'!$B$8*'Black-Scholes'!$B$7)*IF(LOWER('Black-Scholes'!$B$11)="put",MAX('Black-Scholes'!$B$6-C93,0),MAX(C93-'Black-Scholes'!$B$6,0))</f>
        <v>0</v>
      </c>
      <c r="F93" s="18" t="n">
        <f aca="false">(E93+G93)/2</f>
        <v>9.31671584482852</v>
      </c>
      <c r="G93" s="18" t="n">
        <f aca="false">EXP(-'Black-Scholes'!$B$8*'Black-Scholes'!$B$7)*IF(LOWER('Black-Scholes'!$B$11)="put",MAX('Black-Scholes'!$B$6-D93,0),MAX(D93-'Black-Scholes'!$B$6,0))</f>
        <v>18.633431689657</v>
      </c>
    </row>
    <row r="94" customFormat="false" ht="15" hidden="false" customHeight="false" outlineLevel="0" collapsed="false">
      <c r="A94" s="0" t="n">
        <v>83</v>
      </c>
      <c r="B94" s="15" t="n">
        <v>-1.37903328451509</v>
      </c>
      <c r="C94" s="18" t="n">
        <f aca="false">'Black-Scholes'!$B$5*EXP(('Black-Scholes'!$B$8-'Black-Scholes'!$B$10-'Black-Scholes'!$B$9^2/2)*'Black-Scholes'!$B$7+'Black-Scholes'!$B$9*SQRT('Black-Scholes'!$B$7)*B94)</f>
        <v>78.2073418805719</v>
      </c>
      <c r="D94" s="18" t="n">
        <f aca="false">'Black-Scholes'!$B$5*EXP(('Black-Scholes'!$B$8-'Black-Scholes'!$B$10-'Black-Scholes'!$B$9^2/2)*'Black-Scholes'!$B$7-'Black-Scholes'!$B$9*SQRT('Black-Scholes'!$B$7)*B94)</f>
        <v>135.771977542321</v>
      </c>
      <c r="E94" s="18" t="n">
        <f aca="false">EXP(-'Black-Scholes'!$B$8*'Black-Scholes'!$B$7)*IF(LOWER('Black-Scholes'!$B$11)="put",MAX('Black-Scholes'!$B$6-C94,0),MAX(C94-'Black-Scholes'!$B$6,0))</f>
        <v>0</v>
      </c>
      <c r="F94" s="18" t="n">
        <f aca="false">(E94+G94)/2</f>
        <v>17.013678805417</v>
      </c>
      <c r="G94" s="18" t="n">
        <f aca="false">EXP(-'Black-Scholes'!$B$8*'Black-Scholes'!$B$7)*IF(LOWER('Black-Scholes'!$B$11)="put",MAX('Black-Scholes'!$B$6-D94,0),MAX(D94-'Black-Scholes'!$B$6,0))</f>
        <v>34.027357610834</v>
      </c>
    </row>
    <row r="95" customFormat="false" ht="15" hidden="false" customHeight="false" outlineLevel="0" collapsed="false">
      <c r="A95" s="0" t="n">
        <v>84</v>
      </c>
      <c r="B95" s="15" t="n">
        <v>-0.372894177105706</v>
      </c>
      <c r="C95" s="18" t="n">
        <f aca="false">'Black-Scholes'!$B$5*EXP(('Black-Scholes'!$B$8-'Black-Scholes'!$B$10-'Black-Scholes'!$B$9^2/2)*'Black-Scholes'!$B$7+'Black-Scholes'!$B$9*SQRT('Black-Scholes'!$B$7)*B95)</f>
        <v>95.6400198909057</v>
      </c>
      <c r="D95" s="18" t="n">
        <f aca="false">'Black-Scholes'!$B$5*EXP(('Black-Scholes'!$B$8-'Black-Scholes'!$B$10-'Black-Scholes'!$B$9^2/2)*'Black-Scholes'!$B$7-'Black-Scholes'!$B$9*SQRT('Black-Scholes'!$B$7)*B95)</f>
        <v>111.024291688414</v>
      </c>
      <c r="E95" s="18" t="n">
        <f aca="false">EXP(-'Black-Scholes'!$B$8*'Black-Scholes'!$B$7)*IF(LOWER('Black-Scholes'!$B$11)="put",MAX('Black-Scholes'!$B$6-C95,0),MAX(C95-'Black-Scholes'!$B$6,0))</f>
        <v>0</v>
      </c>
      <c r="F95" s="18" t="n">
        <f aca="false">(E95+G95)/2</f>
        <v>5.24331531914883</v>
      </c>
      <c r="G95" s="18" t="n">
        <f aca="false">EXP(-'Black-Scholes'!$B$8*'Black-Scholes'!$B$7)*IF(LOWER('Black-Scholes'!$B$11)="put",MAX('Black-Scholes'!$B$6-D95,0),MAX(D95-'Black-Scholes'!$B$6,0))</f>
        <v>10.4866306382977</v>
      </c>
    </row>
    <row r="96" customFormat="false" ht="15" hidden="false" customHeight="false" outlineLevel="0" collapsed="false">
      <c r="A96" s="0" t="n">
        <v>85</v>
      </c>
      <c r="B96" s="15" t="n">
        <v>0.225219043898993</v>
      </c>
      <c r="C96" s="18" t="n">
        <f aca="false">'Black-Scholes'!$B$5*EXP(('Black-Scholes'!$B$8-'Black-Scholes'!$B$10-'Black-Scholes'!$B$9^2/2)*'Black-Scholes'!$B$7+'Black-Scholes'!$B$9*SQRT('Black-Scholes'!$B$7)*B96)</f>
        <v>107.79313727084</v>
      </c>
      <c r="D96" s="18" t="n">
        <f aca="false">'Black-Scholes'!$B$5*EXP(('Black-Scholes'!$B$8-'Black-Scholes'!$B$10-'Black-Scholes'!$B$9^2/2)*'Black-Scholes'!$B$7-'Black-Scholes'!$B$9*SQRT('Black-Scholes'!$B$7)*B96)</f>
        <v>98.5068783996328</v>
      </c>
      <c r="E96" s="18" t="n">
        <f aca="false">EXP(-'Black-Scholes'!$B$8*'Black-Scholes'!$B$7)*IF(LOWER('Black-Scholes'!$B$11)="put",MAX('Black-Scholes'!$B$6-C96,0),MAX(C96-'Black-Scholes'!$B$6,0))</f>
        <v>7.41306148119654</v>
      </c>
      <c r="F96" s="18" t="n">
        <f aca="false">(E96+G96)/2</f>
        <v>3.70653074059827</v>
      </c>
      <c r="G96" s="18" t="n">
        <f aca="false">EXP(-'Black-Scholes'!$B$8*'Black-Scholes'!$B$7)*IF(LOWER('Black-Scholes'!$B$11)="put",MAX('Black-Scholes'!$B$6-D96,0),MAX(D96-'Black-Scholes'!$B$6,0))</f>
        <v>0</v>
      </c>
    </row>
    <row r="97" customFormat="false" ht="15" hidden="false" customHeight="false" outlineLevel="0" collapsed="false">
      <c r="A97" s="0" t="n">
        <v>86</v>
      </c>
      <c r="B97" s="15" t="n">
        <v>-0.796899897923219</v>
      </c>
      <c r="C97" s="18" t="n">
        <f aca="false">'Black-Scholes'!$B$5*EXP(('Black-Scholes'!$B$8-'Black-Scholes'!$B$10-'Black-Scholes'!$B$9^2/2)*'Black-Scholes'!$B$7+'Black-Scholes'!$B$9*SQRT('Black-Scholes'!$B$7)*B97)</f>
        <v>87.8640036830308</v>
      </c>
      <c r="D97" s="18" t="n">
        <f aca="false">'Black-Scholes'!$B$5*EXP(('Black-Scholes'!$B$8-'Black-Scholes'!$B$10-'Black-Scholes'!$B$9^2/2)*'Black-Scholes'!$B$7-'Black-Scholes'!$B$9*SQRT('Black-Scholes'!$B$7)*B97)</f>
        <v>120.850007060449</v>
      </c>
      <c r="E97" s="18" t="n">
        <f aca="false">EXP(-'Black-Scholes'!$B$8*'Black-Scholes'!$B$7)*IF(LOWER('Black-Scholes'!$B$11)="put",MAX('Black-Scholes'!$B$6-C97,0),MAX(C97-'Black-Scholes'!$B$6,0))</f>
        <v>0</v>
      </c>
      <c r="F97" s="18" t="n">
        <f aca="false">(E97+G97)/2</f>
        <v>9.91657010847342</v>
      </c>
      <c r="G97" s="18" t="n">
        <f aca="false">EXP(-'Black-Scholes'!$B$8*'Black-Scholes'!$B$7)*IF(LOWER('Black-Scholes'!$B$11)="put",MAX('Black-Scholes'!$B$6-D97,0),MAX(D97-'Black-Scholes'!$B$6,0))</f>
        <v>19.8331402169469</v>
      </c>
    </row>
    <row r="98" customFormat="false" ht="15" hidden="false" customHeight="false" outlineLevel="0" collapsed="false">
      <c r="A98" s="0" t="n">
        <v>87</v>
      </c>
      <c r="B98" s="15" t="n">
        <v>-0.190032879799414</v>
      </c>
      <c r="C98" s="18" t="n">
        <f aca="false">'Black-Scholes'!$B$5*EXP(('Black-Scholes'!$B$8-'Black-Scholes'!$B$10-'Black-Scholes'!$B$9^2/2)*'Black-Scholes'!$B$7+'Black-Scholes'!$B$9*SQRT('Black-Scholes'!$B$7)*B98)</f>
        <v>99.2025391296436</v>
      </c>
      <c r="D98" s="18" t="n">
        <f aca="false">'Black-Scholes'!$B$5*EXP(('Black-Scholes'!$B$8-'Black-Scholes'!$B$10-'Black-Scholes'!$B$9^2/2)*'Black-Scholes'!$B$7-'Black-Scholes'!$B$9*SQRT('Black-Scholes'!$B$7)*B98)</f>
        <v>107.037234718125</v>
      </c>
      <c r="E98" s="18" t="n">
        <f aca="false">EXP(-'Black-Scholes'!$B$8*'Black-Scholes'!$B$7)*IF(LOWER('Black-Scholes'!$B$11)="put",MAX('Black-Scholes'!$B$6-C98,0),MAX(C98-'Black-Scholes'!$B$6,0))</f>
        <v>0</v>
      </c>
      <c r="F98" s="18" t="n">
        <f aca="false">(E98+G98)/2</f>
        <v>3.34701236549904</v>
      </c>
      <c r="G98" s="18" t="n">
        <f aca="false">EXP(-'Black-Scholes'!$B$8*'Black-Scholes'!$B$7)*IF(LOWER('Black-Scholes'!$B$11)="put",MAX('Black-Scholes'!$B$6-D98,0),MAX(D98-'Black-Scholes'!$B$6,0))</f>
        <v>6.69402473099809</v>
      </c>
    </row>
    <row r="99" customFormat="false" ht="15" hidden="false" customHeight="false" outlineLevel="0" collapsed="false">
      <c r="A99" s="0" t="n">
        <v>88</v>
      </c>
      <c r="B99" s="15" t="n">
        <v>0.40520818093494</v>
      </c>
      <c r="C99" s="18" t="n">
        <f aca="false">'Black-Scholes'!$B$5*EXP(('Black-Scholes'!$B$8-'Black-Scholes'!$B$10-'Black-Scholes'!$B$9^2/2)*'Black-Scholes'!$B$7+'Black-Scholes'!$B$9*SQRT('Black-Scholes'!$B$7)*B99)</f>
        <v>111.74414318863</v>
      </c>
      <c r="D99" s="18" t="n">
        <f aca="false">'Black-Scholes'!$B$5*EXP(('Black-Scholes'!$B$8-'Black-Scholes'!$B$10-'Black-Scholes'!$B$9^2/2)*'Black-Scholes'!$B$7-'Black-Scholes'!$B$9*SQRT('Black-Scholes'!$B$7)*B99)</f>
        <v>95.0239105375687</v>
      </c>
      <c r="E99" s="18" t="n">
        <f aca="false">EXP(-'Black-Scholes'!$B$8*'Black-Scholes'!$B$7)*IF(LOWER('Black-Scholes'!$B$11)="put",MAX('Black-Scholes'!$B$6-C99,0),MAX(C99-'Black-Scholes'!$B$6,0))</f>
        <v>11.171374566574</v>
      </c>
      <c r="F99" s="18" t="n">
        <f aca="false">(E99+G99)/2</f>
        <v>5.58568728328701</v>
      </c>
      <c r="G99" s="18" t="n">
        <f aca="false">EXP(-'Black-Scholes'!$B$8*'Black-Scholes'!$B$7)*IF(LOWER('Black-Scholes'!$B$11)="put",MAX('Black-Scholes'!$B$6-D99,0),MAX(D99-'Black-Scholes'!$B$6,0))</f>
        <v>0</v>
      </c>
    </row>
    <row r="100" customFormat="false" ht="15" hidden="false" customHeight="false" outlineLevel="0" collapsed="false">
      <c r="A100" s="0" t="n">
        <v>89</v>
      </c>
      <c r="B100" s="15" t="n">
        <v>-1.56670600616719</v>
      </c>
      <c r="C100" s="18" t="n">
        <f aca="false">'Black-Scholes'!$B$5*EXP(('Black-Scholes'!$B$8-'Black-Scholes'!$B$10-'Black-Scholes'!$B$9^2/2)*'Black-Scholes'!$B$7+'Black-Scholes'!$B$9*SQRT('Black-Scholes'!$B$7)*B100)</f>
        <v>75.3262729835432</v>
      </c>
      <c r="D100" s="18" t="n">
        <f aca="false">'Black-Scholes'!$B$5*EXP(('Black-Scholes'!$B$8-'Black-Scholes'!$B$10-'Black-Scholes'!$B$9^2/2)*'Black-Scholes'!$B$7-'Black-Scholes'!$B$9*SQRT('Black-Scholes'!$B$7)*B100)</f>
        <v>140.964965408197</v>
      </c>
      <c r="E100" s="18" t="n">
        <f aca="false">EXP(-'Black-Scholes'!$B$8*'Black-Scholes'!$B$7)*IF(LOWER('Black-Scholes'!$B$11)="put",MAX('Black-Scholes'!$B$6-C100,0),MAX(C100-'Black-Scholes'!$B$6,0))</f>
        <v>0</v>
      </c>
      <c r="F100" s="18" t="n">
        <f aca="false">(E100+G100)/2</f>
        <v>19.4835402349656</v>
      </c>
      <c r="G100" s="18" t="n">
        <f aca="false">EXP(-'Black-Scholes'!$B$8*'Black-Scholes'!$B$7)*IF(LOWER('Black-Scholes'!$B$11)="put",MAX('Black-Scholes'!$B$6-D100,0),MAX(D100-'Black-Scholes'!$B$6,0))</f>
        <v>38.9670804699313</v>
      </c>
    </row>
    <row r="101" customFormat="false" ht="15" hidden="false" customHeight="false" outlineLevel="0" collapsed="false">
      <c r="A101" s="0" t="n">
        <v>90</v>
      </c>
      <c r="B101" s="15" t="n">
        <v>1.62226235641548</v>
      </c>
      <c r="C101" s="18" t="n">
        <f aca="false">'Black-Scholes'!$B$5*EXP(('Black-Scholes'!$B$8-'Black-Scholes'!$B$10-'Black-Scholes'!$B$9^2/2)*'Black-Scholes'!$B$7+'Black-Scholes'!$B$9*SQRT('Black-Scholes'!$B$7)*B101)</f>
        <v>142.539999315446</v>
      </c>
      <c r="D101" s="18" t="n">
        <f aca="false">'Black-Scholes'!$B$5*EXP(('Black-Scholes'!$B$8-'Black-Scholes'!$B$10-'Black-Scholes'!$B$9^2/2)*'Black-Scholes'!$B$7-'Black-Scholes'!$B$9*SQRT('Black-Scholes'!$B$7)*B101)</f>
        <v>74.4939351511765</v>
      </c>
      <c r="E101" s="18" t="n">
        <f aca="false">EXP(-'Black-Scholes'!$B$8*'Black-Scholes'!$B$7)*IF(LOWER('Black-Scholes'!$B$11)="put",MAX('Black-Scholes'!$B$6-C101,0),MAX(C101-'Black-Scholes'!$B$6,0))</f>
        <v>40.4652990670928</v>
      </c>
      <c r="F101" s="18" t="n">
        <f aca="false">(E101+G101)/2</f>
        <v>20.2326495335464</v>
      </c>
      <c r="G101" s="18" t="n">
        <f aca="false">EXP(-'Black-Scholes'!$B$8*'Black-Scholes'!$B$7)*IF(LOWER('Black-Scholes'!$B$11)="put",MAX('Black-Scholes'!$B$6-D101,0),MAX(D101-'Black-Scholes'!$B$6,0))</f>
        <v>0</v>
      </c>
    </row>
    <row r="102" customFormat="false" ht="15" hidden="false" customHeight="false" outlineLevel="0" collapsed="false">
      <c r="A102" s="0" t="n">
        <v>91</v>
      </c>
      <c r="B102" s="15" t="n">
        <v>-0.558645305227963</v>
      </c>
      <c r="C102" s="18" t="n">
        <f aca="false">'Black-Scholes'!$B$5*EXP(('Black-Scholes'!$B$8-'Black-Scholes'!$B$10-'Black-Scholes'!$B$9^2/2)*'Black-Scholes'!$B$7+'Black-Scholes'!$B$9*SQRT('Black-Scholes'!$B$7)*B102)</f>
        <v>92.1521600974944</v>
      </c>
      <c r="D102" s="18" t="n">
        <f aca="false">'Black-Scholes'!$B$5*EXP(('Black-Scholes'!$B$8-'Black-Scholes'!$B$10-'Black-Scholes'!$B$9^2/2)*'Black-Scholes'!$B$7-'Black-Scholes'!$B$9*SQRT('Black-Scholes'!$B$7)*B102)</f>
        <v>115.226441292528</v>
      </c>
      <c r="E102" s="18" t="n">
        <f aca="false">EXP(-'Black-Scholes'!$B$8*'Black-Scholes'!$B$7)*IF(LOWER('Black-Scholes'!$B$11)="put",MAX('Black-Scholes'!$B$6-C102,0),MAX(C102-'Black-Scholes'!$B$6,0))</f>
        <v>0</v>
      </c>
      <c r="F102" s="18" t="n">
        <f aca="false">(E102+G102)/2</f>
        <v>7.24191949394271</v>
      </c>
      <c r="G102" s="18" t="n">
        <f aca="false">EXP(-'Black-Scholes'!$B$8*'Black-Scholes'!$B$7)*IF(LOWER('Black-Scholes'!$B$11)="put",MAX('Black-Scholes'!$B$6-D102,0),MAX(D102-'Black-Scholes'!$B$6,0))</f>
        <v>14.4838389878854</v>
      </c>
    </row>
    <row r="103" customFormat="false" ht="15" hidden="false" customHeight="false" outlineLevel="0" collapsed="false">
      <c r="A103" s="0" t="n">
        <v>92</v>
      </c>
      <c r="B103" s="15" t="n">
        <v>1.2850270026797</v>
      </c>
      <c r="C103" s="18" t="n">
        <f aca="false">'Black-Scholes'!$B$5*EXP(('Black-Scholes'!$B$8-'Black-Scholes'!$B$10-'Black-Scholes'!$B$9^2/2)*'Black-Scholes'!$B$7+'Black-Scholes'!$B$9*SQRT('Black-Scholes'!$B$7)*B103)</f>
        <v>133.243140929996</v>
      </c>
      <c r="D103" s="18" t="n">
        <f aca="false">'Black-Scholes'!$B$5*EXP(('Black-Scholes'!$B$8-'Black-Scholes'!$B$10-'Black-Scholes'!$B$9^2/2)*'Black-Scholes'!$B$7-'Black-Scholes'!$B$9*SQRT('Black-Scholes'!$B$7)*B103)</f>
        <v>79.6916478502435</v>
      </c>
      <c r="E103" s="18" t="n">
        <f aca="false">EXP(-'Black-Scholes'!$B$8*'Black-Scholes'!$B$7)*IF(LOWER('Black-Scholes'!$B$11)="put",MAX('Black-Scholes'!$B$6-C103,0),MAX(C103-'Black-Scholes'!$B$6,0))</f>
        <v>31.6218538154361</v>
      </c>
      <c r="F103" s="18" t="n">
        <f aca="false">(E103+G103)/2</f>
        <v>15.810926907718</v>
      </c>
      <c r="G103" s="18" t="n">
        <f aca="false">EXP(-'Black-Scholes'!$B$8*'Black-Scholes'!$B$7)*IF(LOWER('Black-Scholes'!$B$11)="put",MAX('Black-Scholes'!$B$6-D103,0),MAX(D103-'Black-Scholes'!$B$6,0))</f>
        <v>0</v>
      </c>
    </row>
    <row r="104" customFormat="false" ht="15" hidden="false" customHeight="false" outlineLevel="0" collapsed="false">
      <c r="A104" s="0" t="n">
        <v>93</v>
      </c>
      <c r="B104" s="15" t="n">
        <v>-0.648879916639367</v>
      </c>
      <c r="C104" s="18" t="n">
        <f aca="false">'Black-Scholes'!$B$5*EXP(('Black-Scholes'!$B$8-'Black-Scholes'!$B$10-'Black-Scholes'!$B$9^2/2)*'Black-Scholes'!$B$7+'Black-Scholes'!$B$9*SQRT('Black-Scholes'!$B$7)*B104)</f>
        <v>90.50401394088</v>
      </c>
      <c r="D104" s="18" t="n">
        <f aca="false">'Black-Scholes'!$B$5*EXP(('Black-Scholes'!$B$8-'Black-Scholes'!$B$10-'Black-Scholes'!$B$9^2/2)*'Black-Scholes'!$B$7-'Black-Scholes'!$B$9*SQRT('Black-Scholes'!$B$7)*B104)</f>
        <v>117.324801443501</v>
      </c>
      <c r="E104" s="18" t="n">
        <f aca="false">EXP(-'Black-Scholes'!$B$8*'Black-Scholes'!$B$7)*IF(LOWER('Black-Scholes'!$B$11)="put",MAX('Black-Scholes'!$B$6-C104,0),MAX(C104-'Black-Scholes'!$B$6,0))</f>
        <v>0</v>
      </c>
      <c r="F104" s="18" t="n">
        <f aca="false">(E104+G104)/2</f>
        <v>8.23993045334535</v>
      </c>
      <c r="G104" s="18" t="n">
        <f aca="false">EXP(-'Black-Scholes'!$B$8*'Black-Scholes'!$B$7)*IF(LOWER('Black-Scholes'!$B$11)="put",MAX('Black-Scholes'!$B$6-D104,0),MAX(D104-'Black-Scholes'!$B$6,0))</f>
        <v>16.4798609066907</v>
      </c>
    </row>
    <row r="105" customFormat="false" ht="15" hidden="false" customHeight="false" outlineLevel="0" collapsed="false">
      <c r="A105" s="0" t="n">
        <v>94</v>
      </c>
      <c r="B105" s="15" t="n">
        <v>0.642422686500038</v>
      </c>
      <c r="C105" s="18" t="n">
        <f aca="false">'Black-Scholes'!$B$5*EXP(('Black-Scholes'!$B$8-'Black-Scholes'!$B$10-'Black-Scholes'!$B$9^2/2)*'Black-Scholes'!$B$7+'Black-Scholes'!$B$9*SQRT('Black-Scholes'!$B$7)*B105)</f>
        <v>117.173380591681</v>
      </c>
      <c r="D105" s="18" t="n">
        <f aca="false">'Black-Scholes'!$B$5*EXP(('Black-Scholes'!$B$8-'Black-Scholes'!$B$10-'Black-Scholes'!$B$9^2/2)*'Black-Scholes'!$B$7-'Black-Scholes'!$B$9*SQRT('Black-Scholes'!$B$7)*B105)</f>
        <v>90.6209704954734</v>
      </c>
      <c r="E105" s="18" t="n">
        <f aca="false">EXP(-'Black-Scholes'!$B$8*'Black-Scholes'!$B$7)*IF(LOWER('Black-Scholes'!$B$11)="put",MAX('Black-Scholes'!$B$6-C105,0),MAX(C105-'Black-Scholes'!$B$6,0))</f>
        <v>16.3358249369564</v>
      </c>
      <c r="F105" s="18" t="n">
        <f aca="false">(E105+G105)/2</f>
        <v>8.16791246847821</v>
      </c>
      <c r="G105" s="18" t="n">
        <f aca="false">EXP(-'Black-Scholes'!$B$8*'Black-Scholes'!$B$7)*IF(LOWER('Black-Scholes'!$B$11)="put",MAX('Black-Scholes'!$B$6-D105,0),MAX(D105-'Black-Scholes'!$B$6,0))</f>
        <v>0</v>
      </c>
    </row>
    <row r="106" customFormat="false" ht="15" hidden="false" customHeight="false" outlineLevel="0" collapsed="false">
      <c r="A106" s="0" t="n">
        <v>95</v>
      </c>
      <c r="B106" s="15" t="n">
        <v>2.17043333927688</v>
      </c>
      <c r="C106" s="18" t="n">
        <f aca="false">'Black-Scholes'!$B$5*EXP(('Black-Scholes'!$B$8-'Black-Scholes'!$B$10-'Black-Scholes'!$B$9^2/2)*'Black-Scholes'!$B$7+'Black-Scholes'!$B$9*SQRT('Black-Scholes'!$B$7)*B106)</f>
        <v>159.056081496128</v>
      </c>
      <c r="D106" s="18" t="n">
        <f aca="false">'Black-Scholes'!$B$5*EXP(('Black-Scholes'!$B$8-'Black-Scholes'!$B$10-'Black-Scholes'!$B$9^2/2)*'Black-Scholes'!$B$7-'Black-Scholes'!$B$9*SQRT('Black-Scholes'!$B$7)*B106)</f>
        <v>66.7586260492156</v>
      </c>
      <c r="E106" s="18" t="n">
        <f aca="false">EXP(-'Black-Scholes'!$B$8*'Black-Scholes'!$B$7)*IF(LOWER('Black-Scholes'!$B$11)="put",MAX('Black-Scholes'!$B$6-C106,0),MAX(C106-'Black-Scholes'!$B$6,0))</f>
        <v>56.1758824148296</v>
      </c>
      <c r="F106" s="18" t="n">
        <f aca="false">(E106+G106)/2</f>
        <v>28.0879412074148</v>
      </c>
      <c r="G106" s="18" t="n">
        <f aca="false">EXP(-'Black-Scholes'!$B$8*'Black-Scholes'!$B$7)*IF(LOWER('Black-Scholes'!$B$11)="put",MAX('Black-Scholes'!$B$6-D106,0),MAX(D106-'Black-Scholes'!$B$6,0))</f>
        <v>0</v>
      </c>
    </row>
    <row r="107" customFormat="false" ht="15" hidden="false" customHeight="false" outlineLevel="0" collapsed="false">
      <c r="A107" s="0" t="n">
        <v>96</v>
      </c>
      <c r="B107" s="15" t="n">
        <v>-0.549192446762314</v>
      </c>
      <c r="C107" s="18" t="n">
        <f aca="false">'Black-Scholes'!$B$5*EXP(('Black-Scholes'!$B$8-'Black-Scholes'!$B$10-'Black-Scholes'!$B$9^2/2)*'Black-Scholes'!$B$7+'Black-Scholes'!$B$9*SQRT('Black-Scholes'!$B$7)*B107)</f>
        <v>92.3265451546204</v>
      </c>
      <c r="D107" s="18" t="n">
        <f aca="false">'Black-Scholes'!$B$5*EXP(('Black-Scholes'!$B$8-'Black-Scholes'!$B$10-'Black-Scholes'!$B$9^2/2)*'Black-Scholes'!$B$7-'Black-Scholes'!$B$9*SQRT('Black-Scholes'!$B$7)*B107)</f>
        <v>115.008803239316</v>
      </c>
      <c r="E107" s="18" t="n">
        <f aca="false">EXP(-'Black-Scholes'!$B$8*'Black-Scholes'!$B$7)*IF(LOWER('Black-Scholes'!$B$11)="put",MAX('Black-Scholes'!$B$6-C107,0),MAX(C107-'Black-Scholes'!$B$6,0))</f>
        <v>0</v>
      </c>
      <c r="F107" s="18" t="n">
        <f aca="false">(E107+G107)/2</f>
        <v>7.13840763388967</v>
      </c>
      <c r="G107" s="18" t="n">
        <f aca="false">EXP(-'Black-Scholes'!$B$8*'Black-Scholes'!$B$7)*IF(LOWER('Black-Scholes'!$B$11)="put",MAX('Black-Scholes'!$B$6-D107,0),MAX(D107-'Black-Scholes'!$B$6,0))</f>
        <v>14.2768152677793</v>
      </c>
    </row>
    <row r="108" customFormat="false" ht="15" hidden="false" customHeight="false" outlineLevel="0" collapsed="false">
      <c r="A108" s="0" t="n">
        <v>97</v>
      </c>
      <c r="B108" s="15" t="n">
        <v>0.0319242278225498</v>
      </c>
      <c r="C108" s="18" t="n">
        <f aca="false">'Black-Scholes'!$B$5*EXP(('Black-Scholes'!$B$8-'Black-Scholes'!$B$10-'Black-Scholes'!$B$9^2/2)*'Black-Scholes'!$B$7+'Black-Scholes'!$B$9*SQRT('Black-Scholes'!$B$7)*B108)</f>
        <v>103.705487567275</v>
      </c>
      <c r="D108" s="18" t="n">
        <f aca="false">'Black-Scholes'!$B$5*EXP(('Black-Scholes'!$B$8-'Black-Scholes'!$B$10-'Black-Scholes'!$B$9^2/2)*'Black-Scholes'!$B$7-'Black-Scholes'!$B$9*SQRT('Black-Scholes'!$B$7)*B108)</f>
        <v>102.389620014711</v>
      </c>
      <c r="E108" s="18" t="n">
        <f aca="false">EXP(-'Black-Scholes'!$B$8*'Black-Scholes'!$B$7)*IF(LOWER('Black-Scholes'!$B$11)="put",MAX('Black-Scholes'!$B$6-C108,0),MAX(C108-'Black-Scholes'!$B$6,0))</f>
        <v>3.52476880611351</v>
      </c>
      <c r="F108" s="18" t="n">
        <f aca="false">(E108+G108)/2</f>
        <v>2.89892283874112</v>
      </c>
      <c r="G108" s="18" t="n">
        <f aca="false">EXP(-'Black-Scholes'!$B$8*'Black-Scholes'!$B$7)*IF(LOWER('Black-Scholes'!$B$11)="put",MAX('Black-Scholes'!$B$6-D108,0),MAX(D108-'Black-Scholes'!$B$6,0))</f>
        <v>2.27307687136873</v>
      </c>
    </row>
    <row r="109" customFormat="false" ht="15" hidden="false" customHeight="false" outlineLevel="0" collapsed="false">
      <c r="A109" s="0" t="n">
        <v>98</v>
      </c>
      <c r="B109" s="15" t="n">
        <v>-0.744391487812573</v>
      </c>
      <c r="C109" s="18" t="n">
        <f aca="false">'Black-Scholes'!$B$5*EXP(('Black-Scholes'!$B$8-'Black-Scholes'!$B$10-'Black-Scholes'!$B$9^2/2)*'Black-Scholes'!$B$7+'Black-Scholes'!$B$9*SQRT('Black-Scholes'!$B$7)*B109)</f>
        <v>88.7915855710463</v>
      </c>
      <c r="D109" s="18" t="n">
        <f aca="false">'Black-Scholes'!$B$5*EXP(('Black-Scholes'!$B$8-'Black-Scholes'!$B$10-'Black-Scholes'!$B$9^2/2)*'Black-Scholes'!$B$7-'Black-Scholes'!$B$9*SQRT('Black-Scholes'!$B$7)*B109)</f>
        <v>119.58751943851</v>
      </c>
      <c r="E109" s="18" t="n">
        <f aca="false">EXP(-'Black-Scholes'!$B$8*'Black-Scholes'!$B$7)*IF(LOWER('Black-Scholes'!$B$11)="put",MAX('Black-Scholes'!$B$6-C109,0),MAX(C109-'Black-Scholes'!$B$6,0))</f>
        <v>0</v>
      </c>
      <c r="F109" s="18" t="n">
        <f aca="false">(E109+G109)/2</f>
        <v>9.31611242144504</v>
      </c>
      <c r="G109" s="18" t="n">
        <f aca="false">EXP(-'Black-Scholes'!$B$8*'Black-Scholes'!$B$7)*IF(LOWER('Black-Scholes'!$B$11)="put",MAX('Black-Scholes'!$B$6-D109,0),MAX(D109-'Black-Scholes'!$B$6,0))</f>
        <v>18.6322248428901</v>
      </c>
    </row>
    <row r="110" customFormat="false" ht="15" hidden="false" customHeight="false" outlineLevel="0" collapsed="false">
      <c r="A110" s="0" t="n">
        <v>99</v>
      </c>
      <c r="B110" s="15" t="n">
        <v>1.30574660962839</v>
      </c>
      <c r="C110" s="18" t="n">
        <f aca="false">'Black-Scholes'!$B$5*EXP(('Black-Scholes'!$B$8-'Black-Scholes'!$B$10-'Black-Scholes'!$B$9^2/2)*'Black-Scholes'!$B$7+'Black-Scholes'!$B$9*SQRT('Black-Scholes'!$B$7)*B110)</f>
        <v>133.796435644865</v>
      </c>
      <c r="D110" s="18" t="n">
        <f aca="false">'Black-Scholes'!$B$5*EXP(('Black-Scholes'!$B$8-'Black-Scholes'!$B$10-'Black-Scholes'!$B$9^2/2)*'Black-Scholes'!$B$7-'Black-Scholes'!$B$9*SQRT('Black-Scholes'!$B$7)*B110)</f>
        <v>79.3620952178266</v>
      </c>
      <c r="E110" s="18" t="n">
        <f aca="false">EXP(-'Black-Scholes'!$B$8*'Black-Scholes'!$B$7)*IF(LOWER('Black-Scholes'!$B$11)="put",MAX('Black-Scholes'!$B$6-C110,0),MAX(C110-'Black-Scholes'!$B$6,0))</f>
        <v>32.1481640286405</v>
      </c>
      <c r="F110" s="18" t="n">
        <f aca="false">(E110+G110)/2</f>
        <v>16.0740820143202</v>
      </c>
      <c r="G110" s="18" t="n">
        <f aca="false">EXP(-'Black-Scholes'!$B$8*'Black-Scholes'!$B$7)*IF(LOWER('Black-Scholes'!$B$11)="put",MAX('Black-Scholes'!$B$6-D110,0),MAX(D110-'Black-Scholes'!$B$6,0))</f>
        <v>0</v>
      </c>
    </row>
    <row r="111" customFormat="false" ht="15" hidden="false" customHeight="false" outlineLevel="0" collapsed="false">
      <c r="A111" s="0" t="n">
        <v>100</v>
      </c>
      <c r="B111" s="15" t="n">
        <v>0.87000250837898</v>
      </c>
      <c r="C111" s="18" t="n">
        <f aca="false">'Black-Scholes'!$B$5*EXP(('Black-Scholes'!$B$8-'Black-Scholes'!$B$10-'Black-Scholes'!$B$9^2/2)*'Black-Scholes'!$B$7+'Black-Scholes'!$B$9*SQRT('Black-Scholes'!$B$7)*B111)</f>
        <v>122.629876866047</v>
      </c>
      <c r="D111" s="18" t="n">
        <f aca="false">'Black-Scholes'!$B$5*EXP(('Black-Scholes'!$B$8-'Black-Scholes'!$B$10-'Black-Scholes'!$B$9^2/2)*'Black-Scholes'!$B$7-'Black-Scholes'!$B$9*SQRT('Black-Scholes'!$B$7)*B111)</f>
        <v>86.5887313664389</v>
      </c>
      <c r="E111" s="18" t="n">
        <f aca="false">EXP(-'Black-Scholes'!$B$8*'Black-Scholes'!$B$7)*IF(LOWER('Black-Scholes'!$B$11)="put",MAX('Black-Scholes'!$B$6-C111,0),MAX(C111-'Black-Scholes'!$B$6,0))</f>
        <v>21.5262047478116</v>
      </c>
      <c r="F111" s="18" t="n">
        <f aca="false">(E111+G111)/2</f>
        <v>10.7631023739058</v>
      </c>
      <c r="G111" s="18" t="n">
        <f aca="false">EXP(-'Black-Scholes'!$B$8*'Black-Scholes'!$B$7)*IF(LOWER('Black-Scholes'!$B$11)="put",MAX('Black-Scholes'!$B$6-D111,0),MAX(D111-'Black-Scholes'!$B$6,0))</f>
        <v>0</v>
      </c>
    </row>
    <row r="112" customFormat="false" ht="15" hidden="false" customHeight="false" outlineLevel="0" collapsed="false">
      <c r="A112" s="0" t="n">
        <v>101</v>
      </c>
      <c r="B112" s="15" t="n">
        <v>0.798495651403997</v>
      </c>
      <c r="C112" s="18" t="n">
        <f aca="false">'Black-Scholes'!$B$5*EXP(('Black-Scholes'!$B$8-'Black-Scholes'!$B$10-'Black-Scholes'!$B$9^2/2)*'Black-Scholes'!$B$7+'Black-Scholes'!$B$9*SQRT('Black-Scholes'!$B$7)*B112)</f>
        <v>120.888582579707</v>
      </c>
      <c r="D112" s="18" t="n">
        <f aca="false">'Black-Scholes'!$B$5*EXP(('Black-Scholes'!$B$8-'Black-Scholes'!$B$10-'Black-Scholes'!$B$9^2/2)*'Black-Scholes'!$B$7-'Black-Scholes'!$B$9*SQRT('Black-Scholes'!$B$7)*B112)</f>
        <v>87.8359662994015</v>
      </c>
      <c r="E112" s="18" t="n">
        <f aca="false">EXP(-'Black-Scholes'!$B$8*'Black-Scholes'!$B$7)*IF(LOWER('Black-Scholes'!$B$11)="put",MAX('Black-Scholes'!$B$6-C112,0),MAX(C112-'Black-Scholes'!$B$6,0))</f>
        <v>19.8698343859307</v>
      </c>
      <c r="F112" s="18" t="n">
        <f aca="false">(E112+G112)/2</f>
        <v>9.93491719296535</v>
      </c>
      <c r="G112" s="18" t="n">
        <f aca="false">EXP(-'Black-Scholes'!$B$8*'Black-Scholes'!$B$7)*IF(LOWER('Black-Scholes'!$B$11)="put",MAX('Black-Scholes'!$B$6-D112,0),MAX(D112-'Black-Scholes'!$B$6,0))</f>
        <v>0</v>
      </c>
    </row>
    <row r="113" customFormat="false" ht="15" hidden="false" customHeight="false" outlineLevel="0" collapsed="false">
      <c r="A113" s="0" t="n">
        <v>102</v>
      </c>
      <c r="B113" s="15" t="n">
        <v>0.83417812712758</v>
      </c>
      <c r="C113" s="18" t="n">
        <f aca="false">'Black-Scholes'!$B$5*EXP(('Black-Scholes'!$B$8-'Black-Scholes'!$B$10-'Black-Scholes'!$B$9^2/2)*'Black-Scholes'!$B$7+'Black-Scholes'!$B$9*SQRT('Black-Scholes'!$B$7)*B113)</f>
        <v>121.75438909976</v>
      </c>
      <c r="D113" s="18" t="n">
        <f aca="false">'Black-Scholes'!$B$5*EXP(('Black-Scholes'!$B$8-'Black-Scholes'!$B$10-'Black-Scholes'!$B$9^2/2)*'Black-Scholes'!$B$7-'Black-Scholes'!$B$9*SQRT('Black-Scholes'!$B$7)*B113)</f>
        <v>87.211356764752</v>
      </c>
      <c r="E113" s="18" t="n">
        <f aca="false">EXP(-'Black-Scholes'!$B$8*'Black-Scholes'!$B$7)*IF(LOWER('Black-Scholes'!$B$11)="put",MAX('Black-Scholes'!$B$6-C113,0),MAX(C113-'Black-Scholes'!$B$6,0))</f>
        <v>20.6934150237292</v>
      </c>
      <c r="F113" s="18" t="n">
        <f aca="false">(E113+G113)/2</f>
        <v>10.3467075118646</v>
      </c>
      <c r="G113" s="18" t="n">
        <f aca="false">EXP(-'Black-Scholes'!$B$8*'Black-Scholes'!$B$7)*IF(LOWER('Black-Scholes'!$B$11)="put",MAX('Black-Scholes'!$B$6-D113,0),MAX(D113-'Black-Scholes'!$B$6,0))</f>
        <v>0</v>
      </c>
    </row>
    <row r="114" customFormat="false" ht="15" hidden="false" customHeight="false" outlineLevel="0" collapsed="false">
      <c r="A114" s="0" t="n">
        <v>103</v>
      </c>
      <c r="B114" s="15" t="n">
        <v>-0.370993552796988</v>
      </c>
      <c r="C114" s="18" t="n">
        <f aca="false">'Black-Scholes'!$B$5*EXP(('Black-Scholes'!$B$8-'Black-Scholes'!$B$10-'Black-Scholes'!$B$9^2/2)*'Black-Scholes'!$B$7+'Black-Scholes'!$B$9*SQRT('Black-Scholes'!$B$7)*B114)</f>
        <v>95.6763819508676</v>
      </c>
      <c r="D114" s="18" t="n">
        <f aca="false">'Black-Scholes'!$B$5*EXP(('Black-Scholes'!$B$8-'Black-Scholes'!$B$10-'Black-Scholes'!$B$9^2/2)*'Black-Scholes'!$B$7-'Black-Scholes'!$B$9*SQRT('Black-Scholes'!$B$7)*B114)</f>
        <v>110.982096615092</v>
      </c>
      <c r="E114" s="18" t="n">
        <f aca="false">EXP(-'Black-Scholes'!$B$8*'Black-Scholes'!$B$7)*IF(LOWER('Black-Scholes'!$B$11)="put",MAX('Black-Scholes'!$B$6-C114,0),MAX(C114-'Black-Scholes'!$B$6,0))</f>
        <v>0</v>
      </c>
      <c r="F114" s="18" t="n">
        <f aca="false">(E114+G114)/2</f>
        <v>5.22324672149243</v>
      </c>
      <c r="G114" s="18" t="n">
        <f aca="false">EXP(-'Black-Scholes'!$B$8*'Black-Scholes'!$B$7)*IF(LOWER('Black-Scholes'!$B$11)="put",MAX('Black-Scholes'!$B$6-D114,0),MAX(D114-'Black-Scholes'!$B$6,0))</f>
        <v>10.4464934429849</v>
      </c>
    </row>
    <row r="115" customFormat="false" ht="15" hidden="false" customHeight="false" outlineLevel="0" collapsed="false">
      <c r="A115" s="0" t="n">
        <v>104</v>
      </c>
      <c r="B115" s="15" t="n">
        <v>-0.676910759334636</v>
      </c>
      <c r="C115" s="18" t="n">
        <f aca="false">'Black-Scholes'!$B$5*EXP(('Black-Scholes'!$B$8-'Black-Scholes'!$B$10-'Black-Scholes'!$B$9^2/2)*'Black-Scholes'!$B$7+'Black-Scholes'!$B$9*SQRT('Black-Scholes'!$B$7)*B115)</f>
        <v>89.9980527622464</v>
      </c>
      <c r="D115" s="18" t="n">
        <f aca="false">'Black-Scholes'!$B$5*EXP(('Black-Scholes'!$B$8-'Black-Scholes'!$B$10-'Black-Scholes'!$B$9^2/2)*'Black-Scholes'!$B$7-'Black-Scholes'!$B$9*SQRT('Black-Scholes'!$B$7)*B115)</f>
        <v>117.984391212383</v>
      </c>
      <c r="E115" s="18" t="n">
        <f aca="false">EXP(-'Black-Scholes'!$B$8*'Black-Scholes'!$B$7)*IF(LOWER('Black-Scholes'!$B$11)="put",MAX('Black-Scholes'!$B$6-C115,0),MAX(C115-'Black-Scholes'!$B$6,0))</f>
        <v>0</v>
      </c>
      <c r="F115" s="18" t="n">
        <f aca="false">(E115+G115)/2</f>
        <v>8.55364105147554</v>
      </c>
      <c r="G115" s="18" t="n">
        <f aca="false">EXP(-'Black-Scholes'!$B$8*'Black-Scholes'!$B$7)*IF(LOWER('Black-Scholes'!$B$11)="put",MAX('Black-Scholes'!$B$6-D115,0),MAX(D115-'Black-Scholes'!$B$6,0))</f>
        <v>17.1072821029511</v>
      </c>
    </row>
    <row r="116" customFormat="false" ht="15" hidden="false" customHeight="false" outlineLevel="0" collapsed="false">
      <c r="A116" s="0" t="n">
        <v>105</v>
      </c>
      <c r="B116" s="15" t="n">
        <v>-0.514723820686419</v>
      </c>
      <c r="C116" s="18" t="n">
        <f aca="false">'Black-Scholes'!$B$5*EXP(('Black-Scholes'!$B$8-'Black-Scholes'!$B$10-'Black-Scholes'!$B$9^2/2)*'Black-Scholes'!$B$7+'Black-Scholes'!$B$9*SQRT('Black-Scholes'!$B$7)*B116)</f>
        <v>92.9652178747753</v>
      </c>
      <c r="D116" s="18" t="n">
        <f aca="false">'Black-Scholes'!$B$5*EXP(('Black-Scholes'!$B$8-'Black-Scholes'!$B$10-'Black-Scholes'!$B$9^2/2)*'Black-Scholes'!$B$7-'Black-Scholes'!$B$9*SQRT('Black-Scholes'!$B$7)*B116)</f>
        <v>114.218690690927</v>
      </c>
      <c r="E116" s="18" t="n">
        <f aca="false">EXP(-'Black-Scholes'!$B$8*'Black-Scholes'!$B$7)*IF(LOWER('Black-Scholes'!$B$11)="put",MAX('Black-Scholes'!$B$6-C116,0),MAX(C116-'Black-Scholes'!$B$6,0))</f>
        <v>0</v>
      </c>
      <c r="F116" s="18" t="n">
        <f aca="false">(E116+G116)/2</f>
        <v>6.76261848154206</v>
      </c>
      <c r="G116" s="18" t="n">
        <f aca="false">EXP(-'Black-Scholes'!$B$8*'Black-Scholes'!$B$7)*IF(LOWER('Black-Scholes'!$B$11)="put",MAX('Black-Scholes'!$B$6-D116,0),MAX(D116-'Black-Scholes'!$B$6,0))</f>
        <v>13.5252369630841</v>
      </c>
    </row>
    <row r="117" customFormat="false" ht="15" hidden="false" customHeight="false" outlineLevel="0" collapsed="false">
      <c r="A117" s="0" t="n">
        <v>106</v>
      </c>
      <c r="B117" s="15" t="n">
        <v>-1.67062394649305</v>
      </c>
      <c r="C117" s="18" t="n">
        <f aca="false">'Black-Scholes'!$B$5*EXP(('Black-Scholes'!$B$8-'Black-Scholes'!$B$10-'Black-Scholes'!$B$9^2/2)*'Black-Scholes'!$B$7+'Black-Scholes'!$B$9*SQRT('Black-Scholes'!$B$7)*B117)</f>
        <v>73.7768795055477</v>
      </c>
      <c r="D117" s="18" t="n">
        <f aca="false">'Black-Scholes'!$B$5*EXP(('Black-Scholes'!$B$8-'Black-Scholes'!$B$10-'Black-Scholes'!$B$9^2/2)*'Black-Scholes'!$B$7-'Black-Scholes'!$B$9*SQRT('Black-Scholes'!$B$7)*B117)</f>
        <v>143.925380642524</v>
      </c>
      <c r="E117" s="18" t="n">
        <f aca="false">EXP(-'Black-Scholes'!$B$8*'Black-Scholes'!$B$7)*IF(LOWER('Black-Scholes'!$B$11)="put",MAX('Black-Scholes'!$B$6-C117,0),MAX(C117-'Black-Scholes'!$B$6,0))</f>
        <v>0</v>
      </c>
      <c r="F117" s="18" t="n">
        <f aca="false">(E117+G117)/2</f>
        <v>20.8915572747816</v>
      </c>
      <c r="G117" s="18" t="n">
        <f aca="false">EXP(-'Black-Scholes'!$B$8*'Black-Scholes'!$B$7)*IF(LOWER('Black-Scholes'!$B$11)="put",MAX('Black-Scholes'!$B$6-D117,0),MAX(D117-'Black-Scholes'!$B$6,0))</f>
        <v>41.7831145495632</v>
      </c>
    </row>
    <row r="118" customFormat="false" ht="15" hidden="false" customHeight="false" outlineLevel="0" collapsed="false">
      <c r="A118" s="0" t="n">
        <v>107</v>
      </c>
      <c r="B118" s="15" t="n">
        <v>1.15948922236566</v>
      </c>
      <c r="C118" s="18" t="n">
        <f aca="false">'Black-Scholes'!$B$5*EXP(('Black-Scholes'!$B$8-'Black-Scholes'!$B$10-'Black-Scholes'!$B$9^2/2)*'Black-Scholes'!$B$7+'Black-Scholes'!$B$9*SQRT('Black-Scholes'!$B$7)*B118)</f>
        <v>129.93937953913</v>
      </c>
      <c r="D118" s="18" t="n">
        <f aca="false">'Black-Scholes'!$B$5*EXP(('Black-Scholes'!$B$8-'Black-Scholes'!$B$10-'Black-Scholes'!$B$9^2/2)*'Black-Scholes'!$B$7-'Black-Scholes'!$B$9*SQRT('Black-Scholes'!$B$7)*B118)</f>
        <v>81.7178402968748</v>
      </c>
      <c r="E118" s="18" t="n">
        <f aca="false">EXP(-'Black-Scholes'!$B$8*'Black-Scholes'!$B$7)*IF(LOWER('Black-Scholes'!$B$11)="put",MAX('Black-Scholes'!$B$6-C118,0),MAX(C118-'Black-Scholes'!$B$6,0))</f>
        <v>28.4792187689148</v>
      </c>
      <c r="F118" s="18" t="n">
        <f aca="false">(E118+G118)/2</f>
        <v>14.2396093844574</v>
      </c>
      <c r="G118" s="18" t="n">
        <f aca="false">EXP(-'Black-Scholes'!$B$8*'Black-Scholes'!$B$7)*IF(LOWER('Black-Scholes'!$B$11)="put",MAX('Black-Scholes'!$B$6-D118,0),MAX(D118-'Black-Scholes'!$B$6,0))</f>
        <v>0</v>
      </c>
    </row>
    <row r="119" customFormat="false" ht="15" hidden="false" customHeight="false" outlineLevel="0" collapsed="false">
      <c r="A119" s="0" t="n">
        <v>108</v>
      </c>
      <c r="B119" s="15" t="n">
        <v>0.57182887437213</v>
      </c>
      <c r="C119" s="18" t="n">
        <f aca="false">'Black-Scholes'!$B$5*EXP(('Black-Scholes'!$B$8-'Black-Scholes'!$B$10-'Black-Scholes'!$B$9^2/2)*'Black-Scholes'!$B$7+'Black-Scholes'!$B$9*SQRT('Black-Scholes'!$B$7)*B119)</f>
        <v>115.530661338081</v>
      </c>
      <c r="D119" s="18" t="n">
        <f aca="false">'Black-Scholes'!$B$5*EXP(('Black-Scholes'!$B$8-'Black-Scholes'!$B$10-'Black-Scholes'!$B$9^2/2)*'Black-Scholes'!$B$7-'Black-Scholes'!$B$9*SQRT('Black-Scholes'!$B$7)*B119)</f>
        <v>91.9095012741317</v>
      </c>
      <c r="E119" s="18" t="n">
        <f aca="false">EXP(-'Black-Scholes'!$B$8*'Black-Scholes'!$B$7)*IF(LOWER('Black-Scholes'!$B$11)="put",MAX('Black-Scholes'!$B$6-C119,0),MAX(C119-'Black-Scholes'!$B$6,0))</f>
        <v>14.7732220467379</v>
      </c>
      <c r="F119" s="18" t="n">
        <f aca="false">(E119+G119)/2</f>
        <v>7.38661102336893</v>
      </c>
      <c r="G119" s="18" t="n">
        <f aca="false">EXP(-'Black-Scholes'!$B$8*'Black-Scholes'!$B$7)*IF(LOWER('Black-Scholes'!$B$11)="put",MAX('Black-Scholes'!$B$6-D119,0),MAX(D119-'Black-Scholes'!$B$6,0))</f>
        <v>0</v>
      </c>
    </row>
    <row r="120" customFormat="false" ht="15" hidden="false" customHeight="false" outlineLevel="0" collapsed="false">
      <c r="A120" s="0" t="n">
        <v>109</v>
      </c>
      <c r="B120" s="15" t="n">
        <v>-0.744794293350072</v>
      </c>
      <c r="C120" s="18" t="n">
        <f aca="false">'Black-Scholes'!$B$5*EXP(('Black-Scholes'!$B$8-'Black-Scholes'!$B$10-'Black-Scholes'!$B$9^2/2)*'Black-Scholes'!$B$7+'Black-Scholes'!$B$9*SQRT('Black-Scholes'!$B$7)*B120)</f>
        <v>88.7844327107011</v>
      </c>
      <c r="D120" s="18" t="n">
        <f aca="false">'Black-Scholes'!$B$5*EXP(('Black-Scholes'!$B$8-'Black-Scholes'!$B$10-'Black-Scholes'!$B$9^2/2)*'Black-Scholes'!$B$7-'Black-Scholes'!$B$9*SQRT('Black-Scholes'!$B$7)*B120)</f>
        <v>119.597153929596</v>
      </c>
      <c r="E120" s="18" t="n">
        <f aca="false">EXP(-'Black-Scholes'!$B$8*'Black-Scholes'!$B$7)*IF(LOWER('Black-Scholes'!$B$11)="put",MAX('Black-Scholes'!$B$6-C120,0),MAX(C120-'Black-Scholes'!$B$6,0))</f>
        <v>0</v>
      </c>
      <c r="F120" s="18" t="n">
        <f aca="false">(E120+G120)/2</f>
        <v>9.32069472715085</v>
      </c>
      <c r="G120" s="18" t="n">
        <f aca="false">EXP(-'Black-Scholes'!$B$8*'Black-Scholes'!$B$7)*IF(LOWER('Black-Scholes'!$B$11)="put",MAX('Black-Scholes'!$B$6-D120,0),MAX(D120-'Black-Scholes'!$B$6,0))</f>
        <v>18.6413894543017</v>
      </c>
    </row>
    <row r="121" customFormat="false" ht="15" hidden="false" customHeight="false" outlineLevel="0" collapsed="false">
      <c r="A121" s="0" t="n">
        <v>110</v>
      </c>
      <c r="B121" s="15" t="n">
        <v>-0.297437257889097</v>
      </c>
      <c r="C121" s="18" t="n">
        <f aca="false">'Black-Scholes'!$B$5*EXP(('Black-Scholes'!$B$8-'Black-Scholes'!$B$10-'Black-Scholes'!$B$9^2/2)*'Black-Scholes'!$B$7+'Black-Scholes'!$B$9*SQRT('Black-Scholes'!$B$7)*B121)</f>
        <v>97.0943061368198</v>
      </c>
      <c r="D121" s="18" t="n">
        <f aca="false">'Black-Scholes'!$B$5*EXP(('Black-Scholes'!$B$8-'Black-Scholes'!$B$10-'Black-Scholes'!$B$9^2/2)*'Black-Scholes'!$B$7-'Black-Scholes'!$B$9*SQRT('Black-Scholes'!$B$7)*B121)</f>
        <v>109.361361010097</v>
      </c>
      <c r="E121" s="18" t="n">
        <f aca="false">EXP(-'Black-Scholes'!$B$8*'Black-Scholes'!$B$7)*IF(LOWER('Black-Scholes'!$B$11)="put",MAX('Black-Scholes'!$B$6-C121,0),MAX(C121-'Black-Scholes'!$B$6,0))</f>
        <v>0</v>
      </c>
      <c r="F121" s="18" t="n">
        <f aca="false">(E121+G121)/2</f>
        <v>4.45240102308883</v>
      </c>
      <c r="G121" s="18" t="n">
        <f aca="false">EXP(-'Black-Scholes'!$B$8*'Black-Scholes'!$B$7)*IF(LOWER('Black-Scholes'!$B$11)="put",MAX('Black-Scholes'!$B$6-D121,0),MAX(D121-'Black-Scholes'!$B$6,0))</f>
        <v>8.90480204617767</v>
      </c>
    </row>
    <row r="122" customFormat="false" ht="15" hidden="false" customHeight="false" outlineLevel="0" collapsed="false">
      <c r="A122" s="0" t="n">
        <v>111</v>
      </c>
      <c r="B122" s="15" t="n">
        <v>-1.31841886870493</v>
      </c>
      <c r="C122" s="18" t="n">
        <f aca="false">'Black-Scholes'!$B$5*EXP(('Black-Scholes'!$B$8-'Black-Scholes'!$B$10-'Black-Scholes'!$B$9^2/2)*'Black-Scholes'!$B$7+'Black-Scholes'!$B$9*SQRT('Black-Scholes'!$B$7)*B122)</f>
        <v>79.1612104854035</v>
      </c>
      <c r="D122" s="18" t="n">
        <f aca="false">'Black-Scholes'!$B$5*EXP(('Black-Scholes'!$B$8-'Black-Scholes'!$B$10-'Black-Scholes'!$B$9^2/2)*'Black-Scholes'!$B$7-'Black-Scholes'!$B$9*SQRT('Black-Scholes'!$B$7)*B122)</f>
        <v>134.135966344419</v>
      </c>
      <c r="E122" s="18" t="n">
        <f aca="false">EXP(-'Black-Scholes'!$B$8*'Black-Scholes'!$B$7)*IF(LOWER('Black-Scholes'!$B$11)="put",MAX('Black-Scholes'!$B$6-C122,0),MAX(C122-'Black-Scholes'!$B$6,0))</f>
        <v>0</v>
      </c>
      <c r="F122" s="18" t="n">
        <f aca="false">(E122+G122)/2</f>
        <v>16.2355678102889</v>
      </c>
      <c r="G122" s="18" t="n">
        <f aca="false">EXP(-'Black-Scholes'!$B$8*'Black-Scholes'!$B$7)*IF(LOWER('Black-Scholes'!$B$11)="put",MAX('Black-Scholes'!$B$6-D122,0),MAX(D122-'Black-Scholes'!$B$6,0))</f>
        <v>32.4711356205779</v>
      </c>
    </row>
    <row r="123" customFormat="false" ht="15" hidden="false" customHeight="false" outlineLevel="0" collapsed="false">
      <c r="A123" s="0" t="n">
        <v>112</v>
      </c>
      <c r="B123" s="15" t="n">
        <v>-0.253374464987839</v>
      </c>
      <c r="C123" s="18" t="n">
        <f aca="false">'Black-Scholes'!$B$5*EXP(('Black-Scholes'!$B$8-'Black-Scholes'!$B$10-'Black-Scholes'!$B$9^2/2)*'Black-Scholes'!$B$7+'Black-Scholes'!$B$9*SQRT('Black-Scholes'!$B$7)*B123)</f>
        <v>97.9537367266424</v>
      </c>
      <c r="D123" s="18" t="n">
        <f aca="false">'Black-Scholes'!$B$5*EXP(('Black-Scholes'!$B$8-'Black-Scholes'!$B$10-'Black-Scholes'!$B$9^2/2)*'Black-Scholes'!$B$7-'Black-Scholes'!$B$9*SQRT('Black-Scholes'!$B$7)*B123)</f>
        <v>108.40184172949</v>
      </c>
      <c r="E123" s="18" t="n">
        <f aca="false">EXP(-'Black-Scholes'!$B$8*'Black-Scholes'!$B$7)*IF(LOWER('Black-Scholes'!$B$11)="put",MAX('Black-Scholes'!$B$6-C123,0),MAX(C123-'Black-Scholes'!$B$6,0))</f>
        <v>0</v>
      </c>
      <c r="F123" s="18" t="n">
        <f aca="false">(E123+G123)/2</f>
        <v>3.99603953654429</v>
      </c>
      <c r="G123" s="18" t="n">
        <f aca="false">EXP(-'Black-Scholes'!$B$8*'Black-Scholes'!$B$7)*IF(LOWER('Black-Scholes'!$B$11)="put",MAX('Black-Scholes'!$B$6-D123,0),MAX(D123-'Black-Scholes'!$B$6,0))</f>
        <v>7.99207907308858</v>
      </c>
    </row>
    <row r="124" customFormat="false" ht="15" hidden="false" customHeight="false" outlineLevel="0" collapsed="false">
      <c r="A124" s="0" t="n">
        <v>113</v>
      </c>
      <c r="B124" s="15" t="n">
        <v>-1.33318094457859</v>
      </c>
      <c r="C124" s="18" t="n">
        <f aca="false">'Black-Scholes'!$B$5*EXP(('Black-Scholes'!$B$8-'Black-Scholes'!$B$10-'Black-Scholes'!$B$9^2/2)*'Black-Scholes'!$B$7+'Black-Scholes'!$B$9*SQRT('Black-Scholes'!$B$7)*B124)</f>
        <v>78.9278384014778</v>
      </c>
      <c r="D124" s="18" t="n">
        <f aca="false">'Black-Scholes'!$B$5*EXP(('Black-Scholes'!$B$8-'Black-Scholes'!$B$10-'Black-Scholes'!$B$9^2/2)*'Black-Scholes'!$B$7-'Black-Scholes'!$B$9*SQRT('Black-Scholes'!$B$7)*B124)</f>
        <v>134.532576597901</v>
      </c>
      <c r="E124" s="18" t="n">
        <f aca="false">EXP(-'Black-Scholes'!$B$8*'Black-Scholes'!$B$7)*IF(LOWER('Black-Scholes'!$B$11)="put",MAX('Black-Scholes'!$B$6-C124,0),MAX(C124-'Black-Scholes'!$B$6,0))</f>
        <v>0</v>
      </c>
      <c r="F124" s="18" t="n">
        <f aca="false">(E124+G124)/2</f>
        <v>16.4242014818742</v>
      </c>
      <c r="G124" s="18" t="n">
        <f aca="false">EXP(-'Black-Scholes'!$B$8*'Black-Scholes'!$B$7)*IF(LOWER('Black-Scholes'!$B$11)="put",MAX('Black-Scholes'!$B$6-D124,0),MAX(D124-'Black-Scholes'!$B$6,0))</f>
        <v>32.8484029637485</v>
      </c>
    </row>
    <row r="125" customFormat="false" ht="15" hidden="false" customHeight="false" outlineLevel="0" collapsed="false">
      <c r="A125" s="0" t="n">
        <v>114</v>
      </c>
      <c r="B125" s="15" t="n">
        <v>1.54212890147415</v>
      </c>
      <c r="C125" s="18" t="n">
        <f aca="false">'Black-Scholes'!$B$5*EXP(('Black-Scholes'!$B$8-'Black-Scholes'!$B$10-'Black-Scholes'!$B$9^2/2)*'Black-Scholes'!$B$7+'Black-Scholes'!$B$9*SQRT('Black-Scholes'!$B$7)*B125)</f>
        <v>140.273763431652</v>
      </c>
      <c r="D125" s="18" t="n">
        <f aca="false">'Black-Scholes'!$B$5*EXP(('Black-Scholes'!$B$8-'Black-Scholes'!$B$10-'Black-Scholes'!$B$9^2/2)*'Black-Scholes'!$B$7-'Black-Scholes'!$B$9*SQRT('Black-Scholes'!$B$7)*B125)</f>
        <v>75.6974448085395</v>
      </c>
      <c r="E125" s="18" t="n">
        <f aca="false">EXP(-'Black-Scholes'!$B$8*'Black-Scholes'!$B$7)*IF(LOWER('Black-Scholes'!$B$11)="put",MAX('Black-Scholes'!$B$6-C125,0),MAX(C125-'Black-Scholes'!$B$6,0))</f>
        <v>38.3095888115682</v>
      </c>
      <c r="F125" s="18" t="n">
        <f aca="false">(E125+G125)/2</f>
        <v>19.1547944057841</v>
      </c>
      <c r="G125" s="18" t="n">
        <f aca="false">EXP(-'Black-Scholes'!$B$8*'Black-Scholes'!$B$7)*IF(LOWER('Black-Scholes'!$B$11)="put",MAX('Black-Scholes'!$B$6-D125,0),MAX(D125-'Black-Scholes'!$B$6,0))</f>
        <v>0</v>
      </c>
    </row>
    <row r="126" customFormat="false" ht="15" hidden="false" customHeight="false" outlineLevel="0" collapsed="false">
      <c r="A126" s="0" t="n">
        <v>115</v>
      </c>
      <c r="B126" s="15" t="n">
        <v>-0.305719971961093</v>
      </c>
      <c r="C126" s="18" t="n">
        <f aca="false">'Black-Scholes'!$B$5*EXP(('Black-Scholes'!$B$8-'Black-Scholes'!$B$10-'Black-Scholes'!$B$9^2/2)*'Black-Scholes'!$B$7+'Black-Scholes'!$B$9*SQRT('Black-Scholes'!$B$7)*B126)</f>
        <v>96.9335984080367</v>
      </c>
      <c r="D126" s="18" t="n">
        <f aca="false">'Black-Scholes'!$B$5*EXP(('Black-Scholes'!$B$8-'Black-Scholes'!$B$10-'Black-Scholes'!$B$9^2/2)*'Black-Scholes'!$B$7-'Black-Scholes'!$B$9*SQRT('Black-Scholes'!$B$7)*B126)</f>
        <v>109.54267292086</v>
      </c>
      <c r="E126" s="18" t="n">
        <f aca="false">EXP(-'Black-Scholes'!$B$8*'Black-Scholes'!$B$7)*IF(LOWER('Black-Scholes'!$B$11)="put",MAX('Black-Scholes'!$B$6-C126,0),MAX(C126-'Black-Scholes'!$B$6,0))</f>
        <v>0</v>
      </c>
      <c r="F126" s="18" t="n">
        <f aca="false">(E126+G126)/2</f>
        <v>4.53863563535426</v>
      </c>
      <c r="G126" s="18" t="n">
        <f aca="false">EXP(-'Black-Scholes'!$B$8*'Black-Scholes'!$B$7)*IF(LOWER('Black-Scholes'!$B$11)="put",MAX('Black-Scholes'!$B$6-D126,0),MAX(D126-'Black-Scholes'!$B$6,0))</f>
        <v>9.07727127070852</v>
      </c>
    </row>
    <row r="127" customFormat="false" ht="15" hidden="false" customHeight="false" outlineLevel="0" collapsed="false">
      <c r="A127" s="0" t="n">
        <v>116</v>
      </c>
      <c r="B127" s="15" t="n">
        <v>-1.00505008046505</v>
      </c>
      <c r="C127" s="18" t="n">
        <f aca="false">'Black-Scholes'!$B$5*EXP(('Black-Scholes'!$B$8-'Black-Scholes'!$B$10-'Black-Scholes'!$B$9^2/2)*'Black-Scholes'!$B$7+'Black-Scholes'!$B$9*SQRT('Black-Scholes'!$B$7)*B127)</f>
        <v>84.2813131734627</v>
      </c>
      <c r="D127" s="18" t="n">
        <f aca="false">'Black-Scholes'!$B$5*EXP(('Black-Scholes'!$B$8-'Black-Scholes'!$B$10-'Black-Scholes'!$B$9^2/2)*'Black-Scholes'!$B$7-'Black-Scholes'!$B$9*SQRT('Black-Scholes'!$B$7)*B127)</f>
        <v>125.987185837975</v>
      </c>
      <c r="E127" s="18" t="n">
        <f aca="false">EXP(-'Black-Scholes'!$B$8*'Black-Scholes'!$B$7)*IF(LOWER('Black-Scholes'!$B$11)="put",MAX('Black-Scholes'!$B$6-C127,0),MAX(C127-'Black-Scholes'!$B$6,0))</f>
        <v>0</v>
      </c>
      <c r="F127" s="18" t="n">
        <f aca="false">(E127+G127)/2</f>
        <v>12.3598879145249</v>
      </c>
      <c r="G127" s="18" t="n">
        <f aca="false">EXP(-'Black-Scholes'!$B$8*'Black-Scholes'!$B$7)*IF(LOWER('Black-Scholes'!$B$11)="put",MAX('Black-Scholes'!$B$6-D127,0),MAX(D127-'Black-Scholes'!$B$6,0))</f>
        <v>24.7197758290499</v>
      </c>
    </row>
    <row r="128" customFormat="false" ht="15" hidden="false" customHeight="false" outlineLevel="0" collapsed="false">
      <c r="A128" s="0" t="n">
        <v>117</v>
      </c>
      <c r="B128" s="15" t="n">
        <v>1.12605808876834</v>
      </c>
      <c r="C128" s="18" t="n">
        <f aca="false">'Black-Scholes'!$B$5*EXP(('Black-Scholes'!$B$8-'Black-Scholes'!$B$10-'Black-Scholes'!$B$9^2/2)*'Black-Scholes'!$B$7+'Black-Scholes'!$B$9*SQRT('Black-Scholes'!$B$7)*B128)</f>
        <v>129.073473435911</v>
      </c>
      <c r="D128" s="18" t="n">
        <f aca="false">'Black-Scholes'!$B$5*EXP(('Black-Scholes'!$B$8-'Black-Scholes'!$B$10-'Black-Scholes'!$B$9^2/2)*'Black-Scholes'!$B$7-'Black-Scholes'!$B$9*SQRT('Black-Scholes'!$B$7)*B128)</f>
        <v>82.2660550056862</v>
      </c>
      <c r="E128" s="18" t="n">
        <f aca="false">EXP(-'Black-Scholes'!$B$8*'Black-Scholes'!$B$7)*IF(LOWER('Black-Scholes'!$B$11)="put",MAX('Black-Scholes'!$B$6-C128,0),MAX(C128-'Black-Scholes'!$B$6,0))</f>
        <v>27.6555434046779</v>
      </c>
      <c r="F128" s="18" t="n">
        <f aca="false">(E128+G128)/2</f>
        <v>13.827771702339</v>
      </c>
      <c r="G128" s="18" t="n">
        <f aca="false">EXP(-'Black-Scholes'!$B$8*'Black-Scholes'!$B$7)*IF(LOWER('Black-Scholes'!$B$11)="put",MAX('Black-Scholes'!$B$6-D128,0),MAX(D128-'Black-Scholes'!$B$6,0))</f>
        <v>0</v>
      </c>
    </row>
    <row r="129" customFormat="false" ht="15" hidden="false" customHeight="false" outlineLevel="0" collapsed="false">
      <c r="A129" s="0" t="n">
        <v>118</v>
      </c>
      <c r="B129" s="15" t="n">
        <v>-0.139515935162013</v>
      </c>
      <c r="C129" s="18" t="n">
        <f aca="false">'Black-Scholes'!$B$5*EXP(('Black-Scholes'!$B$8-'Black-Scholes'!$B$10-'Black-Scholes'!$B$9^2/2)*'Black-Scholes'!$B$7+'Black-Scholes'!$B$9*SQRT('Black-Scholes'!$B$7)*B129)</f>
        <v>100.20990128172</v>
      </c>
      <c r="D129" s="18" t="n">
        <f aca="false">'Black-Scholes'!$B$5*EXP(('Black-Scholes'!$B$8-'Black-Scholes'!$B$10-'Black-Scholes'!$B$9^2/2)*'Black-Scholes'!$B$7-'Black-Scholes'!$B$9*SQRT('Black-Scholes'!$B$7)*B129)</f>
        <v>105.961240652281</v>
      </c>
      <c r="E129" s="18" t="n">
        <f aca="false">EXP(-'Black-Scholes'!$B$8*'Black-Scholes'!$B$7)*IF(LOWER('Black-Scholes'!$B$11)="put",MAX('Black-Scholes'!$B$6-C129,0),MAX(C129-'Black-Scholes'!$B$6,0))</f>
        <v>0.199664275412188</v>
      </c>
      <c r="F129" s="18" t="n">
        <f aca="false">(E129+G129)/2</f>
        <v>2.93508589519572</v>
      </c>
      <c r="G129" s="18" t="n">
        <f aca="false">EXP(-'Black-Scholes'!$B$8*'Black-Scholes'!$B$7)*IF(LOWER('Black-Scholes'!$B$11)="put",MAX('Black-Scholes'!$B$6-D129,0),MAX(D129-'Black-Scholes'!$B$6,0))</f>
        <v>5.67050751497925</v>
      </c>
    </row>
    <row r="130" customFormat="false" ht="15" hidden="false" customHeight="false" outlineLevel="0" collapsed="false">
      <c r="A130" s="0" t="n">
        <v>119</v>
      </c>
      <c r="B130" s="15" t="n">
        <v>0.207909040315124</v>
      </c>
      <c r="C130" s="18" t="n">
        <f aca="false">'Black-Scholes'!$B$5*EXP(('Black-Scholes'!$B$8-'Black-Scholes'!$B$10-'Black-Scholes'!$B$9^2/2)*'Black-Scholes'!$B$7+'Black-Scholes'!$B$9*SQRT('Black-Scholes'!$B$7)*B130)</f>
        <v>107.420602582108</v>
      </c>
      <c r="D130" s="18" t="n">
        <f aca="false">'Black-Scholes'!$B$5*EXP(('Black-Scholes'!$B$8-'Black-Scholes'!$B$10-'Black-Scholes'!$B$9^2/2)*'Black-Scholes'!$B$7-'Black-Scholes'!$B$9*SQRT('Black-Scholes'!$B$7)*B130)</f>
        <v>98.848500289666</v>
      </c>
      <c r="E130" s="18" t="n">
        <f aca="false">EXP(-'Black-Scholes'!$B$8*'Black-Scholes'!$B$7)*IF(LOWER('Black-Scholes'!$B$11)="put",MAX('Black-Scholes'!$B$6-C130,0),MAX(C130-'Black-Scholes'!$B$6,0))</f>
        <v>7.05869552362712</v>
      </c>
      <c r="F130" s="18" t="n">
        <f aca="false">(E130+G130)/2</f>
        <v>3.52934776181356</v>
      </c>
      <c r="G130" s="18" t="n">
        <f aca="false">EXP(-'Black-Scholes'!$B$8*'Black-Scholes'!$B$7)*IF(LOWER('Black-Scholes'!$B$11)="put",MAX('Black-Scholes'!$B$6-D130,0),MAX(D130-'Black-Scholes'!$B$6,0))</f>
        <v>0</v>
      </c>
    </row>
    <row r="131" customFormat="false" ht="15" hidden="false" customHeight="false" outlineLevel="0" collapsed="false">
      <c r="A131" s="0" t="n">
        <v>120</v>
      </c>
      <c r="B131" s="15" t="n">
        <v>-0.529118240849265</v>
      </c>
      <c r="C131" s="18" t="n">
        <f aca="false">'Black-Scholes'!$B$5*EXP(('Black-Scholes'!$B$8-'Black-Scholes'!$B$10-'Black-Scholes'!$B$9^2/2)*'Black-Scholes'!$B$7+'Black-Scholes'!$B$9*SQRT('Black-Scholes'!$B$7)*B131)</f>
        <v>92.6979666706443</v>
      </c>
      <c r="D131" s="18" t="n">
        <f aca="false">'Black-Scholes'!$B$5*EXP(('Black-Scholes'!$B$8-'Black-Scholes'!$B$10-'Black-Scholes'!$B$9^2/2)*'Black-Scholes'!$B$7-'Black-Scholes'!$B$9*SQRT('Black-Scholes'!$B$7)*B131)</f>
        <v>114.547986831045</v>
      </c>
      <c r="E131" s="18" t="n">
        <f aca="false">EXP(-'Black-Scholes'!$B$8*'Black-Scholes'!$B$7)*IF(LOWER('Black-Scholes'!$B$11)="put",MAX('Black-Scholes'!$B$6-C131,0),MAX(C131-'Black-Scholes'!$B$6,0))</f>
        <v>0</v>
      </c>
      <c r="F131" s="18" t="n">
        <f aca="false">(E131+G131)/2</f>
        <v>6.91923657046936</v>
      </c>
      <c r="G131" s="18" t="n">
        <f aca="false">EXP(-'Black-Scholes'!$B$8*'Black-Scholes'!$B$7)*IF(LOWER('Black-Scholes'!$B$11)="put",MAX('Black-Scholes'!$B$6-D131,0),MAX(D131-'Black-Scholes'!$B$6,0))</f>
        <v>13.8384731409387</v>
      </c>
    </row>
    <row r="132" customFormat="false" ht="15" hidden="false" customHeight="false" outlineLevel="0" collapsed="false">
      <c r="A132" s="0" t="n">
        <v>121</v>
      </c>
      <c r="B132" s="15" t="n">
        <v>0.367476900170124</v>
      </c>
      <c r="C132" s="18" t="n">
        <f aca="false">'Black-Scholes'!$B$5*EXP(('Black-Scholes'!$B$8-'Black-Scholes'!$B$10-'Black-Scholes'!$B$9^2/2)*'Black-Scholes'!$B$7+'Black-Scholes'!$B$9*SQRT('Black-Scholes'!$B$7)*B132)</f>
        <v>110.904066962307</v>
      </c>
      <c r="D132" s="18" t="n">
        <f aca="false">'Black-Scholes'!$B$5*EXP(('Black-Scholes'!$B$8-'Black-Scholes'!$B$10-'Black-Scholes'!$B$9^2/2)*'Black-Scholes'!$B$7-'Black-Scholes'!$B$9*SQRT('Black-Scholes'!$B$7)*B132)</f>
        <v>95.7436977407008</v>
      </c>
      <c r="E132" s="18" t="n">
        <f aca="false">EXP(-'Black-Scholes'!$B$8*'Black-Scholes'!$B$7)*IF(LOWER('Black-Scholes'!$B$11)="put",MAX('Black-Scholes'!$B$6-C132,0),MAX(C132-'Black-Scholes'!$B$6,0))</f>
        <v>10.3722693412728</v>
      </c>
      <c r="F132" s="18" t="n">
        <f aca="false">(E132+G132)/2</f>
        <v>5.18613467063642</v>
      </c>
      <c r="G132" s="18" t="n">
        <f aca="false">EXP(-'Black-Scholes'!$B$8*'Black-Scholes'!$B$7)*IF(LOWER('Black-Scholes'!$B$11)="put",MAX('Black-Scholes'!$B$6-D132,0),MAX(D132-'Black-Scholes'!$B$6,0))</f>
        <v>0</v>
      </c>
    </row>
    <row r="133" customFormat="false" ht="15" hidden="false" customHeight="false" outlineLevel="0" collapsed="false">
      <c r="A133" s="0" t="n">
        <v>122</v>
      </c>
      <c r="B133" s="15" t="n">
        <v>1.55241718464506</v>
      </c>
      <c r="C133" s="18" t="n">
        <f aca="false">'Black-Scholes'!$B$5*EXP(('Black-Scholes'!$B$8-'Black-Scholes'!$B$10-'Black-Scholes'!$B$9^2/2)*'Black-Scholes'!$B$7+'Black-Scholes'!$B$9*SQRT('Black-Scholes'!$B$7)*B133)</f>
        <v>140.56269583147</v>
      </c>
      <c r="D133" s="18" t="n">
        <f aca="false">'Black-Scholes'!$B$5*EXP(('Black-Scholes'!$B$8-'Black-Scholes'!$B$10-'Black-Scholes'!$B$9^2/2)*'Black-Scholes'!$B$7-'Black-Scholes'!$B$9*SQRT('Black-Scholes'!$B$7)*B133)</f>
        <v>75.5418455988116</v>
      </c>
      <c r="E133" s="18" t="n">
        <f aca="false">EXP(-'Black-Scholes'!$B$8*'Black-Scholes'!$B$7)*IF(LOWER('Black-Scholes'!$B$11)="put",MAX('Black-Scholes'!$B$6-C133,0),MAX(C133-'Black-Scholes'!$B$6,0))</f>
        <v>38.5844298119663</v>
      </c>
      <c r="F133" s="18" t="n">
        <f aca="false">(E133+G133)/2</f>
        <v>19.2922149059832</v>
      </c>
      <c r="G133" s="18" t="n">
        <f aca="false">EXP(-'Black-Scholes'!$B$8*'Black-Scholes'!$B$7)*IF(LOWER('Black-Scholes'!$B$11)="put",MAX('Black-Scholes'!$B$6-D133,0),MAX(D133-'Black-Scholes'!$B$6,0))</f>
        <v>0</v>
      </c>
    </row>
    <row r="134" customFormat="false" ht="15" hidden="false" customHeight="false" outlineLevel="0" collapsed="false">
      <c r="A134" s="0" t="n">
        <v>123</v>
      </c>
      <c r="B134" s="15" t="n">
        <v>0.820714274435058</v>
      </c>
      <c r="C134" s="18" t="n">
        <f aca="false">'Black-Scholes'!$B$5*EXP(('Black-Scholes'!$B$8-'Black-Scholes'!$B$10-'Black-Scholes'!$B$9^2/2)*'Black-Scholes'!$B$7+'Black-Scholes'!$B$9*SQRT('Black-Scholes'!$B$7)*B134)</f>
        <v>121.426973493249</v>
      </c>
      <c r="D134" s="18" t="n">
        <f aca="false">'Black-Scholes'!$B$5*EXP(('Black-Scholes'!$B$8-'Black-Scholes'!$B$10-'Black-Scholes'!$B$9^2/2)*'Black-Scholes'!$B$7-'Black-Scholes'!$B$9*SQRT('Black-Scholes'!$B$7)*B134)</f>
        <v>87.4465134062155</v>
      </c>
      <c r="E134" s="18" t="n">
        <f aca="false">EXP(-'Black-Scholes'!$B$8*'Black-Scholes'!$B$7)*IF(LOWER('Black-Scholes'!$B$11)="put",MAX('Black-Scholes'!$B$6-C134,0),MAX(C134-'Black-Scholes'!$B$6,0))</f>
        <v>20.3819676647755</v>
      </c>
      <c r="F134" s="18" t="n">
        <f aca="false">(E134+G134)/2</f>
        <v>10.1909838323878</v>
      </c>
      <c r="G134" s="18" t="n">
        <f aca="false">EXP(-'Black-Scholes'!$B$8*'Black-Scholes'!$B$7)*IF(LOWER('Black-Scholes'!$B$11)="put",MAX('Black-Scholes'!$B$6-D134,0),MAX(D134-'Black-Scholes'!$B$6,0))</f>
        <v>0</v>
      </c>
    </row>
    <row r="135" customFormat="false" ht="15" hidden="false" customHeight="false" outlineLevel="0" collapsed="false">
      <c r="A135" s="0" t="n">
        <v>124</v>
      </c>
      <c r="B135" s="15" t="n">
        <v>0.145600008507185</v>
      </c>
      <c r="C135" s="18" t="n">
        <f aca="false">'Black-Scholes'!$B$5*EXP(('Black-Scholes'!$B$8-'Black-Scholes'!$B$10-'Black-Scholes'!$B$9^2/2)*'Black-Scholes'!$B$7+'Black-Scholes'!$B$9*SQRT('Black-Scholes'!$B$7)*B135)</f>
        <v>106.090254321199</v>
      </c>
      <c r="D135" s="18" t="n">
        <f aca="false">'Black-Scholes'!$B$5*EXP(('Black-Scholes'!$B$8-'Black-Scholes'!$B$10-'Black-Scholes'!$B$9^2/2)*'Black-Scholes'!$B$7-'Black-Scholes'!$B$9*SQRT('Black-Scholes'!$B$7)*B135)</f>
        <v>100.088038561067</v>
      </c>
      <c r="E135" s="18" t="n">
        <f aca="false">EXP(-'Black-Scholes'!$B$8*'Black-Scholes'!$B$7)*IF(LOWER('Black-Scholes'!$B$11)="put",MAX('Black-Scholes'!$B$6-C135,0),MAX(C135-'Black-Scholes'!$B$6,0))</f>
        <v>5.79322911301748</v>
      </c>
      <c r="F135" s="18" t="n">
        <f aca="false">(E135+G135)/2</f>
        <v>2.9384869913975</v>
      </c>
      <c r="G135" s="18" t="n">
        <f aca="false">EXP(-'Black-Scholes'!$B$8*'Black-Scholes'!$B$7)*IF(LOWER('Black-Scholes'!$B$11)="put",MAX('Black-Scholes'!$B$6-D135,0),MAX(D135-'Black-Scholes'!$B$6,0))</f>
        <v>0.0837448697775337</v>
      </c>
    </row>
    <row r="136" customFormat="false" ht="15" hidden="false" customHeight="false" outlineLevel="0" collapsed="false">
      <c r="A136" s="0" t="n">
        <v>125</v>
      </c>
      <c r="B136" s="15" t="n">
        <v>0.191051392332409</v>
      </c>
      <c r="C136" s="18" t="n">
        <f aca="false">'Black-Scholes'!$B$5*EXP(('Black-Scholes'!$B$8-'Black-Scholes'!$B$10-'Black-Scholes'!$B$9^2/2)*'Black-Scholes'!$B$7+'Black-Scholes'!$B$9*SQRT('Black-Scholes'!$B$7)*B136)</f>
        <v>107.059040692026</v>
      </c>
      <c r="D136" s="18" t="n">
        <f aca="false">'Black-Scholes'!$B$5*EXP(('Black-Scholes'!$B$8-'Black-Scholes'!$B$10-'Black-Scholes'!$B$9^2/2)*'Black-Scholes'!$B$7-'Black-Scholes'!$B$9*SQRT('Black-Scholes'!$B$7)*B136)</f>
        <v>99.1823333818125</v>
      </c>
      <c r="E136" s="18" t="n">
        <f aca="false">EXP(-'Black-Scholes'!$B$8*'Black-Scholes'!$B$7)*IF(LOWER('Black-Scholes'!$B$11)="put",MAX('Black-Scholes'!$B$6-C136,0),MAX(C136-'Black-Scholes'!$B$6,0))</f>
        <v>6.71476721500346</v>
      </c>
      <c r="F136" s="18" t="n">
        <f aca="false">(E136+G136)/2</f>
        <v>3.35738360750173</v>
      </c>
      <c r="G136" s="18" t="n">
        <f aca="false">EXP(-'Black-Scholes'!$B$8*'Black-Scholes'!$B$7)*IF(LOWER('Black-Scholes'!$B$11)="put",MAX('Black-Scholes'!$B$6-D136,0),MAX(D136-'Black-Scholes'!$B$6,0))</f>
        <v>0</v>
      </c>
    </row>
    <row r="137" customFormat="false" ht="15" hidden="false" customHeight="false" outlineLevel="0" collapsed="false">
      <c r="A137" s="0" t="n">
        <v>126</v>
      </c>
      <c r="B137" s="15" t="n">
        <v>1.4753464689414</v>
      </c>
      <c r="C137" s="18" t="n">
        <f aca="false">'Black-Scholes'!$B$5*EXP(('Black-Scholes'!$B$8-'Black-Scholes'!$B$10-'Black-Scholes'!$B$9^2/2)*'Black-Scholes'!$B$7+'Black-Scholes'!$B$9*SQRT('Black-Scholes'!$B$7)*B137)</f>
        <v>138.412655403019</v>
      </c>
      <c r="D137" s="18" t="n">
        <f aca="false">'Black-Scholes'!$B$5*EXP(('Black-Scholes'!$B$8-'Black-Scholes'!$B$10-'Black-Scholes'!$B$9^2/2)*'Black-Scholes'!$B$7-'Black-Scholes'!$B$9*SQRT('Black-Scholes'!$B$7)*B137)</f>
        <v>76.7152789211067</v>
      </c>
      <c r="E137" s="18" t="n">
        <f aca="false">EXP(-'Black-Scholes'!$B$8*'Black-Scholes'!$B$7)*IF(LOWER('Black-Scholes'!$B$11)="put",MAX('Black-Scholes'!$B$6-C137,0),MAX(C137-'Black-Scholes'!$B$6,0))</f>
        <v>36.5392480925575</v>
      </c>
      <c r="F137" s="18" t="n">
        <f aca="false">(E137+G137)/2</f>
        <v>18.2696240462788</v>
      </c>
      <c r="G137" s="18" t="n">
        <f aca="false">EXP(-'Black-Scholes'!$B$8*'Black-Scholes'!$B$7)*IF(LOWER('Black-Scholes'!$B$11)="put",MAX('Black-Scholes'!$B$6-D137,0),MAX(D137-'Black-Scholes'!$B$6,0))</f>
        <v>0</v>
      </c>
    </row>
    <row r="138" customFormat="false" ht="15" hidden="false" customHeight="false" outlineLevel="0" collapsed="false">
      <c r="A138" s="0" t="n">
        <v>127</v>
      </c>
      <c r="B138" s="15" t="n">
        <v>0.110342974744929</v>
      </c>
      <c r="C138" s="18" t="n">
        <f aca="false">'Black-Scholes'!$B$5*EXP(('Black-Scholes'!$B$8-'Black-Scholes'!$B$10-'Black-Scholes'!$B$9^2/2)*'Black-Scholes'!$B$7+'Black-Scholes'!$B$9*SQRT('Black-Scholes'!$B$7)*B138)</f>
        <v>105.344800124695</v>
      </c>
      <c r="D138" s="18" t="n">
        <f aca="false">'Black-Scholes'!$B$5*EXP(('Black-Scholes'!$B$8-'Black-Scholes'!$B$10-'Black-Scholes'!$B$9^2/2)*'Black-Scholes'!$B$7-'Black-Scholes'!$B$9*SQRT('Black-Scholes'!$B$7)*B138)</f>
        <v>100.796294196627</v>
      </c>
      <c r="E138" s="18" t="n">
        <f aca="false">EXP(-'Black-Scholes'!$B$8*'Black-Scholes'!$B$7)*IF(LOWER('Black-Scholes'!$B$11)="put",MAX('Black-Scholes'!$B$6-C138,0),MAX(C138-'Black-Scholes'!$B$6,0))</f>
        <v>5.08413114668489</v>
      </c>
      <c r="F138" s="18" t="n">
        <f aca="false">(E138+G138)/2</f>
        <v>2.92079480853774</v>
      </c>
      <c r="G138" s="18" t="n">
        <f aca="false">EXP(-'Black-Scholes'!$B$8*'Black-Scholes'!$B$7)*IF(LOWER('Black-Scholes'!$B$11)="put",MAX('Black-Scholes'!$B$6-D138,0),MAX(D138-'Black-Scholes'!$B$6,0))</f>
        <v>0.757458470390586</v>
      </c>
    </row>
    <row r="139" customFormat="false" ht="15" hidden="false" customHeight="false" outlineLevel="0" collapsed="false">
      <c r="A139" s="0" t="n">
        <v>128</v>
      </c>
      <c r="B139" s="15" t="n">
        <v>-1.12803854116924</v>
      </c>
      <c r="C139" s="18" t="n">
        <f aca="false">'Black-Scholes'!$B$5*EXP(('Black-Scholes'!$B$8-'Black-Scholes'!$B$10-'Black-Scholes'!$B$9^2/2)*'Black-Scholes'!$B$7+'Black-Scholes'!$B$9*SQRT('Black-Scholes'!$B$7)*B139)</f>
        <v>82.2334766568694</v>
      </c>
      <c r="D139" s="18" t="n">
        <f aca="false">'Black-Scholes'!$B$5*EXP(('Black-Scholes'!$B$8-'Black-Scholes'!$B$10-'Black-Scholes'!$B$9^2/2)*'Black-Scholes'!$B$7-'Black-Scholes'!$B$9*SQRT('Black-Scholes'!$B$7)*B139)</f>
        <v>129.124608336337</v>
      </c>
      <c r="E139" s="18" t="n">
        <f aca="false">EXP(-'Black-Scholes'!$B$8*'Black-Scholes'!$B$7)*IF(LOWER('Black-Scholes'!$B$11)="put",MAX('Black-Scholes'!$B$6-C139,0),MAX(C139-'Black-Scholes'!$B$6,0))</f>
        <v>0</v>
      </c>
      <c r="F139" s="18" t="n">
        <f aca="false">(E139+G139)/2</f>
        <v>13.8520922132914</v>
      </c>
      <c r="G139" s="18" t="n">
        <f aca="false">EXP(-'Black-Scholes'!$B$8*'Black-Scholes'!$B$7)*IF(LOWER('Black-Scholes'!$B$11)="put",MAX('Black-Scholes'!$B$6-D139,0),MAX(D139-'Black-Scholes'!$B$6,0))</f>
        <v>27.7041844265829</v>
      </c>
    </row>
    <row r="140" customFormat="false" ht="15" hidden="false" customHeight="false" outlineLevel="0" collapsed="false">
      <c r="A140" s="0" t="n">
        <v>129</v>
      </c>
      <c r="B140" s="15" t="n">
        <v>0.559524084615838</v>
      </c>
      <c r="C140" s="18" t="n">
        <f aca="false">'Black-Scholes'!$B$5*EXP(('Black-Scholes'!$B$8-'Black-Scholes'!$B$10-'Black-Scholes'!$B$9^2/2)*'Black-Scholes'!$B$7+'Black-Scholes'!$B$9*SQRT('Black-Scholes'!$B$7)*B140)</f>
        <v>115.246694796621</v>
      </c>
      <c r="D140" s="18" t="n">
        <f aca="false">'Black-Scholes'!$B$5*EXP(('Black-Scholes'!$B$8-'Black-Scholes'!$B$10-'Black-Scholes'!$B$9^2/2)*'Black-Scholes'!$B$7-'Black-Scholes'!$B$9*SQRT('Black-Scholes'!$B$7)*B140)</f>
        <v>92.1359652369387</v>
      </c>
      <c r="E140" s="18" t="n">
        <f aca="false">EXP(-'Black-Scholes'!$B$8*'Black-Scholes'!$B$7)*IF(LOWER('Black-Scholes'!$B$11)="put",MAX('Black-Scholes'!$B$6-C140,0),MAX(C140-'Black-Scholes'!$B$6,0))</f>
        <v>14.5031047169282</v>
      </c>
      <c r="F140" s="18" t="n">
        <f aca="false">(E140+G140)/2</f>
        <v>7.2515523584641</v>
      </c>
      <c r="G140" s="18" t="n">
        <f aca="false">EXP(-'Black-Scholes'!$B$8*'Black-Scholes'!$B$7)*IF(LOWER('Black-Scholes'!$B$11)="put",MAX('Black-Scholes'!$B$6-D140,0),MAX(D140-'Black-Scholes'!$B$6,0))</f>
        <v>0</v>
      </c>
    </row>
    <row r="141" customFormat="false" ht="15" hidden="false" customHeight="false" outlineLevel="0" collapsed="false">
      <c r="A141" s="0" t="n">
        <v>130</v>
      </c>
      <c r="B141" s="15" t="n">
        <v>0.643564377052594</v>
      </c>
      <c r="C141" s="18" t="n">
        <f aca="false">'Black-Scholes'!$B$5*EXP(('Black-Scholes'!$B$8-'Black-Scholes'!$B$10-'Black-Scholes'!$B$9^2/2)*'Black-Scholes'!$B$7+'Black-Scholes'!$B$9*SQRT('Black-Scholes'!$B$7)*B141)</f>
        <v>117.20013879485</v>
      </c>
      <c r="D141" s="18" t="n">
        <f aca="false">'Black-Scholes'!$B$5*EXP(('Black-Scholes'!$B$8-'Black-Scholes'!$B$10-'Black-Scholes'!$B$9^2/2)*'Black-Scholes'!$B$7-'Black-Scholes'!$B$9*SQRT('Black-Scholes'!$B$7)*B141)</f>
        <v>90.6002806365293</v>
      </c>
      <c r="E141" s="18" t="n">
        <f aca="false">EXP(-'Black-Scholes'!$B$8*'Black-Scholes'!$B$7)*IF(LOWER('Black-Scholes'!$B$11)="put",MAX('Black-Scholes'!$B$6-C141,0),MAX(C141-'Black-Scholes'!$B$6,0))</f>
        <v>16.3612781271575</v>
      </c>
      <c r="F141" s="18" t="n">
        <f aca="false">(E141+G141)/2</f>
        <v>8.18063906357877</v>
      </c>
      <c r="G141" s="18" t="n">
        <f aca="false">EXP(-'Black-Scholes'!$B$8*'Black-Scholes'!$B$7)*IF(LOWER('Black-Scholes'!$B$11)="put",MAX('Black-Scholes'!$B$6-D141,0),MAX(D141-'Black-Scholes'!$B$6,0))</f>
        <v>0</v>
      </c>
    </row>
    <row r="142" customFormat="false" ht="15" hidden="false" customHeight="false" outlineLevel="0" collapsed="false">
      <c r="A142" s="0" t="n">
        <v>131</v>
      </c>
      <c r="B142" s="15" t="n">
        <v>-0.958975947157605</v>
      </c>
      <c r="C142" s="18" t="n">
        <f aca="false">'Black-Scholes'!$B$5*EXP(('Black-Scholes'!$B$8-'Black-Scholes'!$B$10-'Black-Scholes'!$B$9^2/2)*'Black-Scholes'!$B$7+'Black-Scholes'!$B$9*SQRT('Black-Scholes'!$B$7)*B142)</f>
        <v>85.0615401724896</v>
      </c>
      <c r="D142" s="18" t="n">
        <f aca="false">'Black-Scholes'!$B$5*EXP(('Black-Scholes'!$B$8-'Black-Scholes'!$B$10-'Black-Scholes'!$B$9^2/2)*'Black-Scholes'!$B$7-'Black-Scholes'!$B$9*SQRT('Black-Scholes'!$B$7)*B142)</f>
        <v>124.831568343595</v>
      </c>
      <c r="E142" s="18" t="n">
        <f aca="false">EXP(-'Black-Scholes'!$B$8*'Black-Scholes'!$B$7)*IF(LOWER('Black-Scholes'!$B$11)="put",MAX('Black-Scholes'!$B$6-C142,0),MAX(C142-'Black-Scholes'!$B$6,0))</f>
        <v>0</v>
      </c>
      <c r="F142" s="18" t="n">
        <f aca="false">(E142+G142)/2</f>
        <v>11.810259232464</v>
      </c>
      <c r="G142" s="18" t="n">
        <f aca="false">EXP(-'Black-Scholes'!$B$8*'Black-Scholes'!$B$7)*IF(LOWER('Black-Scholes'!$B$11)="put",MAX('Black-Scholes'!$B$6-D142,0),MAX(D142-'Black-Scholes'!$B$6,0))</f>
        <v>23.6205184649281</v>
      </c>
    </row>
    <row r="143" customFormat="false" ht="15" hidden="false" customHeight="false" outlineLevel="0" collapsed="false">
      <c r="A143" s="0" t="n">
        <v>132</v>
      </c>
      <c r="B143" s="15" t="n">
        <v>0.250669907241628</v>
      </c>
      <c r="C143" s="18" t="n">
        <f aca="false">'Black-Scholes'!$B$5*EXP(('Black-Scholes'!$B$8-'Black-Scholes'!$B$10-'Black-Scholes'!$B$9^2/2)*'Black-Scholes'!$B$7+'Black-Scholes'!$B$9*SQRT('Black-Scholes'!$B$7)*B143)</f>
        <v>108.343221776873</v>
      </c>
      <c r="D143" s="18" t="n">
        <f aca="false">'Black-Scholes'!$B$5*EXP(('Black-Scholes'!$B$8-'Black-Scholes'!$B$10-'Black-Scholes'!$B$9^2/2)*'Black-Scholes'!$B$7-'Black-Scholes'!$B$9*SQRT('Black-Scholes'!$B$7)*B143)</f>
        <v>98.0067353666253</v>
      </c>
      <c r="E143" s="18" t="n">
        <f aca="false">EXP(-'Black-Scholes'!$B$8*'Black-Scholes'!$B$7)*IF(LOWER('Black-Scholes'!$B$11)="put",MAX('Black-Scholes'!$B$6-C143,0),MAX(C143-'Black-Scholes'!$B$6,0))</f>
        <v>7.9363180492968</v>
      </c>
      <c r="F143" s="18" t="n">
        <f aca="false">(E143+G143)/2</f>
        <v>3.9681590246484</v>
      </c>
      <c r="G143" s="18" t="n">
        <f aca="false">EXP(-'Black-Scholes'!$B$8*'Black-Scholes'!$B$7)*IF(LOWER('Black-Scholes'!$B$11)="put",MAX('Black-Scholes'!$B$6-D143,0),MAX(D143-'Black-Scholes'!$B$6,0))</f>
        <v>0</v>
      </c>
    </row>
    <row r="144" customFormat="false" ht="15" hidden="false" customHeight="false" outlineLevel="0" collapsed="false">
      <c r="A144" s="0" t="n">
        <v>133</v>
      </c>
      <c r="B144" s="15" t="n">
        <v>-0.0119998422040349</v>
      </c>
      <c r="C144" s="18" t="n">
        <f aca="false">'Black-Scholes'!$B$5*EXP(('Black-Scholes'!$B$8-'Black-Scholes'!$B$10-'Black-Scholes'!$B$9^2/2)*'Black-Scholes'!$B$7+'Black-Scholes'!$B$9*SQRT('Black-Scholes'!$B$7)*B144)</f>
        <v>102.79844408507</v>
      </c>
      <c r="D144" s="18" t="n">
        <f aca="false">'Black-Scholes'!$B$5*EXP(('Black-Scholes'!$B$8-'Black-Scholes'!$B$10-'Black-Scholes'!$B$9^2/2)*'Black-Scholes'!$B$7-'Black-Scholes'!$B$9*SQRT('Black-Scholes'!$B$7)*B144)</f>
        <v>103.29305623212</v>
      </c>
      <c r="E144" s="18" t="n">
        <f aca="false">EXP(-'Black-Scholes'!$B$8*'Black-Scholes'!$B$7)*IF(LOWER('Black-Scholes'!$B$11)="put",MAX('Black-Scholes'!$B$6-C144,0),MAX(C144-'Black-Scholes'!$B$6,0))</f>
        <v>2.66196235653873</v>
      </c>
      <c r="F144" s="18" t="n">
        <f aca="false">(E144+G144)/2</f>
        <v>2.89720717053336</v>
      </c>
      <c r="G144" s="18" t="n">
        <f aca="false">EXP(-'Black-Scholes'!$B$8*'Black-Scholes'!$B$7)*IF(LOWER('Black-Scholes'!$B$11)="put",MAX('Black-Scholes'!$B$6-D144,0),MAX(D144-'Black-Scholes'!$B$6,0))</f>
        <v>3.13245198452799</v>
      </c>
    </row>
    <row r="145" customFormat="false" ht="15" hidden="false" customHeight="false" outlineLevel="0" collapsed="false">
      <c r="A145" s="0" t="n">
        <v>134</v>
      </c>
      <c r="B145" s="15" t="n">
        <v>0.408764934370364</v>
      </c>
      <c r="C145" s="18" t="n">
        <f aca="false">'Black-Scholes'!$B$5*EXP(('Black-Scholes'!$B$8-'Black-Scholes'!$B$10-'Black-Scholes'!$B$9^2/2)*'Black-Scholes'!$B$7+'Black-Scholes'!$B$9*SQRT('Black-Scholes'!$B$7)*B145)</f>
        <v>111.823660740744</v>
      </c>
      <c r="D145" s="18" t="n">
        <f aca="false">'Black-Scholes'!$B$5*EXP(('Black-Scholes'!$B$8-'Black-Scholes'!$B$10-'Black-Scholes'!$B$9^2/2)*'Black-Scholes'!$B$7-'Black-Scholes'!$B$9*SQRT('Black-Scholes'!$B$7)*B145)</f>
        <v>94.9563392498087</v>
      </c>
      <c r="E145" s="18" t="n">
        <f aca="false">EXP(-'Black-Scholes'!$B$8*'Black-Scholes'!$B$7)*IF(LOWER('Black-Scholes'!$B$11)="put",MAX('Black-Scholes'!$B$6-C145,0),MAX(C145-'Black-Scholes'!$B$6,0))</f>
        <v>11.2470140019096</v>
      </c>
      <c r="F145" s="18" t="n">
        <f aca="false">(E145+G145)/2</f>
        <v>5.62350700095481</v>
      </c>
      <c r="G145" s="18" t="n">
        <f aca="false">EXP(-'Black-Scholes'!$B$8*'Black-Scholes'!$B$7)*IF(LOWER('Black-Scholes'!$B$11)="put",MAX('Black-Scholes'!$B$6-D145,0),MAX(D145-'Black-Scholes'!$B$6,0))</f>
        <v>0</v>
      </c>
    </row>
    <row r="146" customFormat="false" ht="15" hidden="false" customHeight="false" outlineLevel="0" collapsed="false">
      <c r="A146" s="0" t="n">
        <v>135</v>
      </c>
      <c r="B146" s="15" t="n">
        <v>-0.285084876388545</v>
      </c>
      <c r="C146" s="18" t="n">
        <f aca="false">'Black-Scholes'!$B$5*EXP(('Black-Scholes'!$B$8-'Black-Scholes'!$B$10-'Black-Scholes'!$B$9^2/2)*'Black-Scholes'!$B$7+'Black-Scholes'!$B$9*SQRT('Black-Scholes'!$B$7)*B146)</f>
        <v>97.3344718587192</v>
      </c>
      <c r="D146" s="18" t="n">
        <f aca="false">'Black-Scholes'!$B$5*EXP(('Black-Scholes'!$B$8-'Black-Scholes'!$B$10-'Black-Scholes'!$B$9^2/2)*'Black-Scholes'!$B$7-'Black-Scholes'!$B$9*SQRT('Black-Scholes'!$B$7)*B146)</f>
        <v>109.091519814955</v>
      </c>
      <c r="E146" s="18" t="n">
        <f aca="false">EXP(-'Black-Scholes'!$B$8*'Black-Scholes'!$B$7)*IF(LOWER('Black-Scholes'!$B$11)="put",MAX('Black-Scholes'!$B$6-C146,0),MAX(C146-'Black-Scholes'!$B$6,0))</f>
        <v>0</v>
      </c>
      <c r="F146" s="18" t="n">
        <f aca="false">(E146+G146)/2</f>
        <v>4.32406058070801</v>
      </c>
      <c r="G146" s="18" t="n">
        <f aca="false">EXP(-'Black-Scholes'!$B$8*'Black-Scholes'!$B$7)*IF(LOWER('Black-Scholes'!$B$11)="put",MAX('Black-Scholes'!$B$6-D146,0),MAX(D146-'Black-Scholes'!$B$6,0))</f>
        <v>8.64812116141602</v>
      </c>
    </row>
    <row r="147" customFormat="false" ht="15" hidden="false" customHeight="false" outlineLevel="0" collapsed="false">
      <c r="A147" s="0" t="n">
        <v>136</v>
      </c>
      <c r="B147" s="15" t="n">
        <v>-0.425474014657114</v>
      </c>
      <c r="C147" s="18" t="n">
        <f aca="false">'Black-Scholes'!$B$5*EXP(('Black-Scholes'!$B$8-'Black-Scholes'!$B$10-'Black-Scholes'!$B$9^2/2)*'Black-Scholes'!$B$7+'Black-Scholes'!$B$9*SQRT('Black-Scholes'!$B$7)*B147)</f>
        <v>94.6395422640088</v>
      </c>
      <c r="D147" s="18" t="n">
        <f aca="false">'Black-Scholes'!$B$5*EXP(('Black-Scholes'!$B$8-'Black-Scholes'!$B$10-'Black-Scholes'!$B$9^2/2)*'Black-Scholes'!$B$7-'Black-Scholes'!$B$9*SQRT('Black-Scholes'!$B$7)*B147)</f>
        <v>112.197979950414</v>
      </c>
      <c r="E147" s="18" t="n">
        <f aca="false">EXP(-'Black-Scholes'!$B$8*'Black-Scholes'!$B$7)*IF(LOWER('Black-Scholes'!$B$11)="put",MAX('Black-Scholes'!$B$6-C147,0),MAX(C147-'Black-Scholes'!$B$6,0))</f>
        <v>0</v>
      </c>
      <c r="F147" s="18" t="n">
        <f aca="false">(E147+G147)/2</f>
        <v>5.80153872415165</v>
      </c>
      <c r="G147" s="18" t="n">
        <f aca="false">EXP(-'Black-Scholes'!$B$8*'Black-Scholes'!$B$7)*IF(LOWER('Black-Scholes'!$B$11)="put",MAX('Black-Scholes'!$B$6-D147,0),MAX(D147-'Black-Scholes'!$B$6,0))</f>
        <v>11.6030774483033</v>
      </c>
    </row>
    <row r="148" customFormat="false" ht="15" hidden="false" customHeight="false" outlineLevel="0" collapsed="false">
      <c r="A148" s="0" t="n">
        <v>137</v>
      </c>
      <c r="B148" s="15" t="n">
        <v>0.642889364224841</v>
      </c>
      <c r="C148" s="18" t="n">
        <f aca="false">'Black-Scholes'!$B$5*EXP(('Black-Scholes'!$B$8-'Black-Scholes'!$B$10-'Black-Scholes'!$B$9^2/2)*'Black-Scholes'!$B$7+'Black-Scholes'!$B$9*SQRT('Black-Scholes'!$B$7)*B148)</f>
        <v>117.184317543409</v>
      </c>
      <c r="D148" s="18" t="n">
        <f aca="false">'Black-Scholes'!$B$5*EXP(('Black-Scholes'!$B$8-'Black-Scholes'!$B$10-'Black-Scholes'!$B$9^2/2)*'Black-Scholes'!$B$7-'Black-Scholes'!$B$9*SQRT('Black-Scholes'!$B$7)*B148)</f>
        <v>90.6125127325185</v>
      </c>
      <c r="E148" s="18" t="n">
        <f aca="false">EXP(-'Black-Scholes'!$B$8*'Black-Scholes'!$B$7)*IF(LOWER('Black-Scholes'!$B$11)="put",MAX('Black-Scholes'!$B$6-C148,0),MAX(C148-'Black-Scholes'!$B$6,0))</f>
        <v>16.3462284872541</v>
      </c>
      <c r="F148" s="18" t="n">
        <f aca="false">(E148+G148)/2</f>
        <v>8.17311424362703</v>
      </c>
      <c r="G148" s="18" t="n">
        <f aca="false">EXP(-'Black-Scholes'!$B$8*'Black-Scholes'!$B$7)*IF(LOWER('Black-Scholes'!$B$11)="put",MAX('Black-Scholes'!$B$6-D148,0),MAX(D148-'Black-Scholes'!$B$6,0))</f>
        <v>0</v>
      </c>
    </row>
    <row r="149" customFormat="false" ht="15" hidden="false" customHeight="false" outlineLevel="0" collapsed="false">
      <c r="A149" s="0" t="n">
        <v>138</v>
      </c>
      <c r="B149" s="15" t="n">
        <v>0.157681443345821</v>
      </c>
      <c r="C149" s="18" t="n">
        <f aca="false">'Black-Scholes'!$B$5*EXP(('Black-Scholes'!$B$8-'Black-Scholes'!$B$10-'Black-Scholes'!$B$9^2/2)*'Black-Scholes'!$B$7+'Black-Scholes'!$B$9*SQRT('Black-Scholes'!$B$7)*B149)</f>
        <v>106.346908770647</v>
      </c>
      <c r="D149" s="18" t="n">
        <f aca="false">'Black-Scholes'!$B$5*EXP(('Black-Scholes'!$B$8-'Black-Scholes'!$B$10-'Black-Scholes'!$B$9^2/2)*'Black-Scholes'!$B$7-'Black-Scholes'!$B$9*SQRT('Black-Scholes'!$B$7)*B149)</f>
        <v>99.8464890818185</v>
      </c>
      <c r="E149" s="18" t="n">
        <f aca="false">EXP(-'Black-Scholes'!$B$8*'Black-Scholes'!$B$7)*IF(LOWER('Black-Scholes'!$B$11)="put",MAX('Black-Scholes'!$B$6-C149,0),MAX(C149-'Black-Scholes'!$B$6,0))</f>
        <v>6.03736637726149</v>
      </c>
      <c r="F149" s="18" t="n">
        <f aca="false">(E149+G149)/2</f>
        <v>3.01868318863075</v>
      </c>
      <c r="G149" s="18" t="n">
        <f aca="false">EXP(-'Black-Scholes'!$B$8*'Black-Scholes'!$B$7)*IF(LOWER('Black-Scholes'!$B$11)="put",MAX('Black-Scholes'!$B$6-D149,0),MAX(D149-'Black-Scholes'!$B$6,0))</f>
        <v>0</v>
      </c>
    </row>
    <row r="150" customFormat="false" ht="15" hidden="false" customHeight="false" outlineLevel="0" collapsed="false">
      <c r="A150" s="0" t="n">
        <v>139</v>
      </c>
      <c r="B150" s="15" t="n">
        <v>-1.2667752298719</v>
      </c>
      <c r="C150" s="18" t="n">
        <f aca="false">'Black-Scholes'!$B$5*EXP(('Black-Scholes'!$B$8-'Black-Scholes'!$B$10-'Black-Scholes'!$B$9^2/2)*'Black-Scholes'!$B$7+'Black-Scholes'!$B$9*SQRT('Black-Scholes'!$B$7)*B150)</f>
        <v>79.98308221626</v>
      </c>
      <c r="D150" s="18" t="n">
        <f aca="false">'Black-Scholes'!$B$5*EXP(('Black-Scholes'!$B$8-'Black-Scholes'!$B$10-'Black-Scholes'!$B$9^2/2)*'Black-Scholes'!$B$7-'Black-Scholes'!$B$9*SQRT('Black-Scholes'!$B$7)*B150)</f>
        <v>132.757642881821</v>
      </c>
      <c r="E150" s="18" t="n">
        <f aca="false">EXP(-'Black-Scholes'!$B$8*'Black-Scholes'!$B$7)*IF(LOWER('Black-Scholes'!$B$11)="put",MAX('Black-Scholes'!$B$6-C150,0),MAX(C150-'Black-Scholes'!$B$6,0))</f>
        <v>0</v>
      </c>
      <c r="F150" s="18" t="n">
        <f aca="false">(E150+G150)/2</f>
        <v>15.5800168932374</v>
      </c>
      <c r="G150" s="18" t="n">
        <f aca="false">EXP(-'Black-Scholes'!$B$8*'Black-Scholes'!$B$7)*IF(LOWER('Black-Scholes'!$B$11)="put",MAX('Black-Scholes'!$B$6-D150,0),MAX(D150-'Black-Scholes'!$B$6,0))</f>
        <v>31.1600337864748</v>
      </c>
    </row>
    <row r="151" customFormat="false" ht="15" hidden="false" customHeight="false" outlineLevel="0" collapsed="false">
      <c r="A151" s="0" t="n">
        <v>140</v>
      </c>
      <c r="B151" s="15" t="n">
        <v>0.254595978566876</v>
      </c>
      <c r="C151" s="18" t="n">
        <f aca="false">'Black-Scholes'!$B$5*EXP(('Black-Scholes'!$B$8-'Black-Scholes'!$B$10-'Black-Scholes'!$B$9^2/2)*'Black-Scholes'!$B$7+'Black-Scholes'!$B$9*SQRT('Black-Scholes'!$B$7)*B151)</f>
        <v>108.428327829004</v>
      </c>
      <c r="D151" s="18" t="n">
        <f aca="false">'Black-Scholes'!$B$5*EXP(('Black-Scholes'!$B$8-'Black-Scholes'!$B$10-'Black-Scholes'!$B$9^2/2)*'Black-Scholes'!$B$7-'Black-Scholes'!$B$9*SQRT('Black-Scholes'!$B$7)*B151)</f>
        <v>97.929809285625</v>
      </c>
      <c r="E151" s="18" t="n">
        <f aca="false">EXP(-'Black-Scholes'!$B$8*'Black-Scholes'!$B$7)*IF(LOWER('Black-Scholes'!$B$11)="put",MAX('Black-Scholes'!$B$6-C151,0),MAX(C151-'Black-Scholes'!$B$6,0))</f>
        <v>8.01727343028685</v>
      </c>
      <c r="F151" s="18" t="n">
        <f aca="false">(E151+G151)/2</f>
        <v>4.00863671514342</v>
      </c>
      <c r="G151" s="18" t="n">
        <f aca="false">EXP(-'Black-Scholes'!$B$8*'Black-Scholes'!$B$7)*IF(LOWER('Black-Scholes'!$B$11)="put",MAX('Black-Scholes'!$B$6-D151,0),MAX(D151-'Black-Scholes'!$B$6,0))</f>
        <v>0</v>
      </c>
    </row>
    <row r="152" customFormat="false" ht="15" hidden="false" customHeight="false" outlineLevel="0" collapsed="false">
      <c r="A152" s="0" t="n">
        <v>141</v>
      </c>
      <c r="B152" s="15" t="n">
        <v>0.748400431882035</v>
      </c>
      <c r="C152" s="18" t="n">
        <f aca="false">'Black-Scholes'!$B$5*EXP(('Black-Scholes'!$B$8-'Black-Scholes'!$B$10-'Black-Scholes'!$B$9^2/2)*'Black-Scholes'!$B$7+'Black-Scholes'!$B$9*SQRT('Black-Scholes'!$B$7)*B152)</f>
        <v>119.683441823485</v>
      </c>
      <c r="D152" s="18" t="n">
        <f aca="false">'Black-Scholes'!$B$5*EXP(('Black-Scholes'!$B$8-'Black-Scholes'!$B$10-'Black-Scholes'!$B$9^2/2)*'Black-Scholes'!$B$7-'Black-Scholes'!$B$9*SQRT('Black-Scholes'!$B$7)*B152)</f>
        <v>88.7204220038561</v>
      </c>
      <c r="E152" s="18" t="n">
        <f aca="false">EXP(-'Black-Scholes'!$B$8*'Black-Scholes'!$B$7)*IF(LOWER('Black-Scholes'!$B$11)="put",MAX('Black-Scholes'!$B$6-C152,0),MAX(C152-'Black-Scholes'!$B$6,0))</f>
        <v>18.7234690379474</v>
      </c>
      <c r="F152" s="18" t="n">
        <f aca="false">(E152+G152)/2</f>
        <v>9.36173451897368</v>
      </c>
      <c r="G152" s="18" t="n">
        <f aca="false">EXP(-'Black-Scholes'!$B$8*'Black-Scholes'!$B$7)*IF(LOWER('Black-Scholes'!$B$11)="put",MAX('Black-Scholes'!$B$6-D152,0),MAX(D152-'Black-Scholes'!$B$6,0))</f>
        <v>0</v>
      </c>
    </row>
    <row r="153" customFormat="false" ht="15" hidden="false" customHeight="false" outlineLevel="0" collapsed="false">
      <c r="A153" s="0" t="n">
        <v>142</v>
      </c>
      <c r="B153" s="15" t="n">
        <v>0.821423520561924</v>
      </c>
      <c r="C153" s="18" t="n">
        <f aca="false">'Black-Scholes'!$B$5*EXP(('Black-Scholes'!$B$8-'Black-Scholes'!$B$10-'Black-Scholes'!$B$9^2/2)*'Black-Scholes'!$B$7+'Black-Scholes'!$B$9*SQRT('Black-Scholes'!$B$7)*B153)</f>
        <v>121.444199037065</v>
      </c>
      <c r="D153" s="18" t="n">
        <f aca="false">'Black-Scholes'!$B$5*EXP(('Black-Scholes'!$B$8-'Black-Scholes'!$B$10-'Black-Scholes'!$B$9^2/2)*'Black-Scholes'!$B$7-'Black-Scholes'!$B$9*SQRT('Black-Scholes'!$B$7)*B153)</f>
        <v>87.4341100657502</v>
      </c>
      <c r="E153" s="18" t="n">
        <f aca="false">EXP(-'Black-Scholes'!$B$8*'Black-Scholes'!$B$7)*IF(LOWER('Black-Scholes'!$B$11)="put",MAX('Black-Scholes'!$B$6-C153,0),MAX(C153-'Black-Scholes'!$B$6,0))</f>
        <v>20.3983531089059</v>
      </c>
      <c r="F153" s="18" t="n">
        <f aca="false">(E153+G153)/2</f>
        <v>10.1991765544529</v>
      </c>
      <c r="G153" s="18" t="n">
        <f aca="false">EXP(-'Black-Scholes'!$B$8*'Black-Scholes'!$B$7)*IF(LOWER('Black-Scholes'!$B$11)="put",MAX('Black-Scholes'!$B$6-D153,0),MAX(D153-'Black-Scholes'!$B$6,0))</f>
        <v>0</v>
      </c>
    </row>
    <row r="154" customFormat="false" ht="15" hidden="false" customHeight="false" outlineLevel="0" collapsed="false">
      <c r="A154" s="0" t="n">
        <v>143</v>
      </c>
      <c r="B154" s="15" t="n">
        <v>-0.271998207688965</v>
      </c>
      <c r="C154" s="18" t="n">
        <f aca="false">'Black-Scholes'!$B$5*EXP(('Black-Scholes'!$B$8-'Black-Scholes'!$B$10-'Black-Scholes'!$B$9^2/2)*'Black-Scholes'!$B$7+'Black-Scholes'!$B$9*SQRT('Black-Scholes'!$B$7)*B154)</f>
        <v>97.5895623388087</v>
      </c>
      <c r="D154" s="18" t="n">
        <f aca="false">'Black-Scholes'!$B$5*EXP(('Black-Scholes'!$B$8-'Black-Scholes'!$B$10-'Black-Scholes'!$B$9^2/2)*'Black-Scholes'!$B$7-'Black-Scholes'!$B$9*SQRT('Black-Scholes'!$B$7)*B154)</f>
        <v>108.80636423585</v>
      </c>
      <c r="E154" s="18" t="n">
        <f aca="false">EXP(-'Black-Scholes'!$B$8*'Black-Scholes'!$B$7)*IF(LOWER('Black-Scholes'!$B$11)="put",MAX('Black-Scholes'!$B$6-C154,0),MAX(C154-'Black-Scholes'!$B$6,0))</f>
        <v>0</v>
      </c>
      <c r="F154" s="18" t="n">
        <f aca="false">(E154+G154)/2</f>
        <v>4.1884363920056</v>
      </c>
      <c r="G154" s="18" t="n">
        <f aca="false">EXP(-'Black-Scholes'!$B$8*'Black-Scholes'!$B$7)*IF(LOWER('Black-Scholes'!$B$11)="put",MAX('Black-Scholes'!$B$6-D154,0),MAX(D154-'Black-Scholes'!$B$6,0))</f>
        <v>8.3768727840112</v>
      </c>
    </row>
    <row r="155" customFormat="false" ht="15" hidden="false" customHeight="false" outlineLevel="0" collapsed="false">
      <c r="A155" s="0" t="n">
        <v>144</v>
      </c>
      <c r="B155" s="15" t="n">
        <v>0.876737831868663</v>
      </c>
      <c r="C155" s="18" t="n">
        <f aca="false">'Black-Scholes'!$B$5*EXP(('Black-Scholes'!$B$8-'Black-Scholes'!$B$10-'Black-Scholes'!$B$9^2/2)*'Black-Scholes'!$B$7+'Black-Scholes'!$B$9*SQRT('Black-Scholes'!$B$7)*B155)</f>
        <v>122.795178555124</v>
      </c>
      <c r="D155" s="18" t="n">
        <f aca="false">'Black-Scholes'!$B$5*EXP(('Black-Scholes'!$B$8-'Black-Scholes'!$B$10-'Black-Scholes'!$B$9^2/2)*'Black-Scholes'!$B$7-'Black-Scholes'!$B$9*SQRT('Black-Scholes'!$B$7)*B155)</f>
        <v>86.4721692691452</v>
      </c>
      <c r="E155" s="18" t="n">
        <f aca="false">EXP(-'Black-Scholes'!$B$8*'Black-Scholes'!$B$7)*IF(LOWER('Black-Scholes'!$B$11)="put",MAX('Black-Scholes'!$B$6-C155,0),MAX(C155-'Black-Scholes'!$B$6,0))</f>
        <v>21.6834445783817</v>
      </c>
      <c r="F155" s="18" t="n">
        <f aca="false">(E155+G155)/2</f>
        <v>10.8417222891908</v>
      </c>
      <c r="G155" s="18" t="n">
        <f aca="false">EXP(-'Black-Scholes'!$B$8*'Black-Scholes'!$B$7)*IF(LOWER('Black-Scholes'!$B$11)="put",MAX('Black-Scholes'!$B$6-D155,0),MAX(D155-'Black-Scholes'!$B$6,0))</f>
        <v>0</v>
      </c>
    </row>
    <row r="156" customFormat="false" ht="15" hidden="false" customHeight="false" outlineLevel="0" collapsed="false">
      <c r="A156" s="0" t="n">
        <v>145</v>
      </c>
      <c r="B156" s="15" t="n">
        <v>-0.961585387483144</v>
      </c>
      <c r="C156" s="18" t="n">
        <f aca="false">'Black-Scholes'!$B$5*EXP(('Black-Scholes'!$B$8-'Black-Scholes'!$B$10-'Black-Scholes'!$B$9^2/2)*'Black-Scholes'!$B$7+'Black-Scholes'!$B$9*SQRT('Black-Scholes'!$B$7)*B156)</f>
        <v>85.0171591518437</v>
      </c>
      <c r="D156" s="18" t="n">
        <f aca="false">'Black-Scholes'!$B$5*EXP(('Black-Scholes'!$B$8-'Black-Scholes'!$B$10-'Black-Scholes'!$B$9^2/2)*'Black-Scholes'!$B$7-'Black-Scholes'!$B$9*SQRT('Black-Scholes'!$B$7)*B156)</f>
        <v>124.896733452229</v>
      </c>
      <c r="E156" s="18" t="n">
        <f aca="false">EXP(-'Black-Scholes'!$B$8*'Black-Scholes'!$B$7)*IF(LOWER('Black-Scholes'!$B$11)="put",MAX('Black-Scholes'!$B$6-C156,0),MAX(C156-'Black-Scholes'!$B$6,0))</f>
        <v>0</v>
      </c>
      <c r="F156" s="18" t="n">
        <f aca="false">(E156+G156)/2</f>
        <v>11.8412527168559</v>
      </c>
      <c r="G156" s="18" t="n">
        <f aca="false">EXP(-'Black-Scholes'!$B$8*'Black-Scholes'!$B$7)*IF(LOWER('Black-Scholes'!$B$11)="put",MAX('Black-Scholes'!$B$6-D156,0),MAX(D156-'Black-Scholes'!$B$6,0))</f>
        <v>23.6825054337119</v>
      </c>
    </row>
    <row r="157" customFormat="false" ht="15" hidden="false" customHeight="false" outlineLevel="0" collapsed="false">
      <c r="A157" s="0" t="n">
        <v>146</v>
      </c>
      <c r="B157" s="15" t="n">
        <v>-1.96465654304875</v>
      </c>
      <c r="C157" s="18" t="n">
        <f aca="false">'Black-Scholes'!$B$5*EXP(('Black-Scholes'!$B$8-'Black-Scholes'!$B$10-'Black-Scholes'!$B$9^2/2)*'Black-Scholes'!$B$7+'Black-Scholes'!$B$9*SQRT('Black-Scholes'!$B$7)*B157)</f>
        <v>69.5634215939354</v>
      </c>
      <c r="D157" s="18" t="n">
        <f aca="false">'Black-Scholes'!$B$5*EXP(('Black-Scholes'!$B$8-'Black-Scholes'!$B$10-'Black-Scholes'!$B$9^2/2)*'Black-Scholes'!$B$7-'Black-Scholes'!$B$9*SQRT('Black-Scholes'!$B$7)*B157)</f>
        <v>152.64294398048</v>
      </c>
      <c r="E157" s="18" t="n">
        <f aca="false">EXP(-'Black-Scholes'!$B$8*'Black-Scholes'!$B$7)*IF(LOWER('Black-Scholes'!$B$11)="put",MAX('Black-Scholes'!$B$6-C157,0),MAX(C157-'Black-Scholes'!$B$6,0))</f>
        <v>0</v>
      </c>
      <c r="F157" s="18" t="n">
        <f aca="false">(E157+G157)/2</f>
        <v>25.0377586532877</v>
      </c>
      <c r="G157" s="18" t="n">
        <f aca="false">EXP(-'Black-Scholes'!$B$8*'Black-Scholes'!$B$7)*IF(LOWER('Black-Scholes'!$B$11)="put",MAX('Black-Scholes'!$B$6-D157,0),MAX(D157-'Black-Scholes'!$B$6,0))</f>
        <v>50.0755173065754</v>
      </c>
    </row>
    <row r="158" customFormat="false" ht="15" hidden="false" customHeight="false" outlineLevel="0" collapsed="false">
      <c r="A158" s="0" t="n">
        <v>147</v>
      </c>
      <c r="B158" s="15" t="n">
        <v>0.38113460317819</v>
      </c>
      <c r="C158" s="18" t="n">
        <f aca="false">'Black-Scholes'!$B$5*EXP(('Black-Scholes'!$B$8-'Black-Scholes'!$B$10-'Black-Scholes'!$B$9^2/2)*'Black-Scholes'!$B$7+'Black-Scholes'!$B$9*SQRT('Black-Scholes'!$B$7)*B158)</f>
        <v>111.207420046114</v>
      </c>
      <c r="D158" s="18" t="n">
        <f aca="false">'Black-Scholes'!$B$5*EXP(('Black-Scholes'!$B$8-'Black-Scholes'!$B$10-'Black-Scholes'!$B$9^2/2)*'Black-Scholes'!$B$7-'Black-Scholes'!$B$9*SQRT('Black-Scholes'!$B$7)*B158)</f>
        <v>95.4825268048709</v>
      </c>
      <c r="E158" s="18" t="n">
        <f aca="false">EXP(-'Black-Scholes'!$B$8*'Black-Scholes'!$B$7)*IF(LOWER('Black-Scholes'!$B$11)="put",MAX('Black-Scholes'!$B$6-C158,0),MAX(C158-'Black-Scholes'!$B$6,0))</f>
        <v>10.6608277206025</v>
      </c>
      <c r="F158" s="18" t="n">
        <f aca="false">(E158+G158)/2</f>
        <v>5.33041386030126</v>
      </c>
      <c r="G158" s="18" t="n">
        <f aca="false">EXP(-'Black-Scholes'!$B$8*'Black-Scholes'!$B$7)*IF(LOWER('Black-Scholes'!$B$11)="put",MAX('Black-Scholes'!$B$6-D158,0),MAX(D158-'Black-Scholes'!$B$6,0))</f>
        <v>0</v>
      </c>
    </row>
    <row r="159" customFormat="false" ht="15" hidden="false" customHeight="false" outlineLevel="0" collapsed="false">
      <c r="A159" s="0" t="n">
        <v>148</v>
      </c>
      <c r="B159" s="15" t="n">
        <v>-0.523003816373768</v>
      </c>
      <c r="C159" s="18" t="n">
        <f aca="false">'Black-Scholes'!$B$5*EXP(('Black-Scholes'!$B$8-'Black-Scholes'!$B$10-'Black-Scholes'!$B$9^2/2)*'Black-Scholes'!$B$7+'Black-Scholes'!$B$9*SQRT('Black-Scholes'!$B$7)*B159)</f>
        <v>92.8113949546244</v>
      </c>
      <c r="D159" s="18" t="n">
        <f aca="false">'Black-Scholes'!$B$5*EXP(('Black-Scholes'!$B$8-'Black-Scholes'!$B$10-'Black-Scholes'!$B$9^2/2)*'Black-Scholes'!$B$7-'Black-Scholes'!$B$9*SQRT('Black-Scholes'!$B$7)*B159)</f>
        <v>114.407993443531</v>
      </c>
      <c r="E159" s="18" t="n">
        <f aca="false">EXP(-'Black-Scholes'!$B$8*'Black-Scholes'!$B$7)*IF(LOWER('Black-Scholes'!$B$11)="put",MAX('Black-Scholes'!$B$6-C159,0),MAX(C159-'Black-Scholes'!$B$6,0))</f>
        <v>0</v>
      </c>
      <c r="F159" s="18" t="n">
        <f aca="false">(E159+G159)/2</f>
        <v>6.85265365574985</v>
      </c>
      <c r="G159" s="18" t="n">
        <f aca="false">EXP(-'Black-Scholes'!$B$8*'Black-Scholes'!$B$7)*IF(LOWER('Black-Scholes'!$B$11)="put",MAX('Black-Scholes'!$B$6-D159,0),MAX(D159-'Black-Scholes'!$B$6,0))</f>
        <v>13.7053073114997</v>
      </c>
    </row>
    <row r="160" customFormat="false" ht="15" hidden="false" customHeight="false" outlineLevel="0" collapsed="false">
      <c r="A160" s="0" t="n">
        <v>149</v>
      </c>
      <c r="B160" s="15" t="n">
        <v>1.83535089045901</v>
      </c>
      <c r="C160" s="18" t="n">
        <f aca="false">'Black-Scholes'!$B$5*EXP(('Black-Scholes'!$B$8-'Black-Scholes'!$B$10-'Black-Scholes'!$B$9^2/2)*'Black-Scholes'!$B$7+'Black-Scholes'!$B$9*SQRT('Black-Scholes'!$B$7)*B160)</f>
        <v>148.746031351498</v>
      </c>
      <c r="D160" s="18" t="n">
        <f aca="false">'Black-Scholes'!$B$5*EXP(('Black-Scholes'!$B$8-'Black-Scholes'!$B$10-'Black-Scholes'!$B$9^2/2)*'Black-Scholes'!$B$7-'Black-Scholes'!$B$9*SQRT('Black-Scholes'!$B$7)*B160)</f>
        <v>71.3858740900562</v>
      </c>
      <c r="E160" s="18" t="n">
        <f aca="false">EXP(-'Black-Scholes'!$B$8*'Black-Scholes'!$B$7)*IF(LOWER('Black-Scholes'!$B$11)="put",MAX('Black-Scholes'!$B$6-C160,0),MAX(C160-'Black-Scholes'!$B$6,0))</f>
        <v>46.3686593491793</v>
      </c>
      <c r="F160" s="18" t="n">
        <f aca="false">(E160+G160)/2</f>
        <v>23.1843296745896</v>
      </c>
      <c r="G160" s="18" t="n">
        <f aca="false">EXP(-'Black-Scholes'!$B$8*'Black-Scholes'!$B$7)*IF(LOWER('Black-Scholes'!$B$11)="put",MAX('Black-Scholes'!$B$6-D160,0),MAX(D160-'Black-Scholes'!$B$6,0))</f>
        <v>0</v>
      </c>
    </row>
    <row r="161" customFormat="false" ht="15" hidden="false" customHeight="false" outlineLevel="0" collapsed="false">
      <c r="A161" s="0" t="n">
        <v>150</v>
      </c>
      <c r="B161" s="15" t="n">
        <v>-1.43337649440724</v>
      </c>
      <c r="C161" s="18" t="n">
        <f aca="false">'Black-Scholes'!$B$5*EXP(('Black-Scholes'!$B$8-'Black-Scholes'!$B$10-'Black-Scholes'!$B$9^2/2)*'Black-Scholes'!$B$7+'Black-Scholes'!$B$9*SQRT('Black-Scholes'!$B$7)*B161)</f>
        <v>77.3619368062345</v>
      </c>
      <c r="D161" s="18" t="n">
        <f aca="false">'Black-Scholes'!$B$5*EXP(('Black-Scholes'!$B$8-'Black-Scholes'!$B$10-'Black-Scholes'!$B$9^2/2)*'Black-Scholes'!$B$7-'Black-Scholes'!$B$9*SQRT('Black-Scholes'!$B$7)*B161)</f>
        <v>137.255682882514</v>
      </c>
      <c r="E161" s="18" t="n">
        <f aca="false">EXP(-'Black-Scholes'!$B$8*'Black-Scholes'!$B$7)*IF(LOWER('Black-Scholes'!$B$11)="put",MAX('Black-Scholes'!$B$6-C161,0),MAX(C161-'Black-Scholes'!$B$6,0))</f>
        <v>0</v>
      </c>
      <c r="F161" s="18" t="n">
        <f aca="false">(E161+G161)/2</f>
        <v>17.7193508938574</v>
      </c>
      <c r="G161" s="18" t="n">
        <f aca="false">EXP(-'Black-Scholes'!$B$8*'Black-Scholes'!$B$7)*IF(LOWER('Black-Scholes'!$B$11)="put",MAX('Black-Scholes'!$B$6-D161,0),MAX(D161-'Black-Scholes'!$B$6,0))</f>
        <v>35.4387017877148</v>
      </c>
    </row>
    <row r="162" customFormat="false" ht="15" hidden="false" customHeight="false" outlineLevel="0" collapsed="false">
      <c r="A162" s="0" t="n">
        <v>151</v>
      </c>
      <c r="B162" s="15" t="n">
        <v>-0.597762657354851</v>
      </c>
      <c r="C162" s="18" t="n">
        <f aca="false">'Black-Scholes'!$B$5*EXP(('Black-Scholes'!$B$8-'Black-Scholes'!$B$10-'Black-Scholes'!$B$9^2/2)*'Black-Scholes'!$B$7+'Black-Scholes'!$B$9*SQRT('Black-Scholes'!$B$7)*B162)</f>
        <v>91.434023222533</v>
      </c>
      <c r="D162" s="18" t="n">
        <f aca="false">'Black-Scholes'!$B$5*EXP(('Black-Scholes'!$B$8-'Black-Scholes'!$B$10-'Black-Scholes'!$B$9^2/2)*'Black-Scholes'!$B$7-'Black-Scholes'!$B$9*SQRT('Black-Scholes'!$B$7)*B162)</f>
        <v>116.131447476729</v>
      </c>
      <c r="E162" s="18" t="n">
        <f aca="false">EXP(-'Black-Scholes'!$B$8*'Black-Scholes'!$B$7)*IF(LOWER('Black-Scholes'!$B$11)="put",MAX('Black-Scholes'!$B$6-C162,0),MAX(C162-'Black-Scholes'!$B$6,0))</f>
        <v>0</v>
      </c>
      <c r="F162" s="18" t="n">
        <f aca="false">(E162+G162)/2</f>
        <v>7.67235374982612</v>
      </c>
      <c r="G162" s="18" t="n">
        <f aca="false">EXP(-'Black-Scholes'!$B$8*'Black-Scholes'!$B$7)*IF(LOWER('Black-Scholes'!$B$11)="put",MAX('Black-Scholes'!$B$6-D162,0),MAX(D162-'Black-Scholes'!$B$6,0))</f>
        <v>15.3447074996522</v>
      </c>
    </row>
    <row r="163" customFormat="false" ht="15" hidden="false" customHeight="false" outlineLevel="0" collapsed="false">
      <c r="A163" s="0" t="n">
        <v>152</v>
      </c>
      <c r="B163" s="15" t="n">
        <v>-0.408709266971833</v>
      </c>
      <c r="C163" s="18" t="n">
        <f aca="false">'Black-Scholes'!$B$5*EXP(('Black-Scholes'!$B$8-'Black-Scholes'!$B$10-'Black-Scholes'!$B$9^2/2)*'Black-Scholes'!$B$7+'Black-Scholes'!$B$9*SQRT('Black-Scholes'!$B$7)*B163)</f>
        <v>94.9573964501698</v>
      </c>
      <c r="D163" s="18" t="n">
        <f aca="false">'Black-Scholes'!$B$5*EXP(('Black-Scholes'!$B$8-'Black-Scholes'!$B$10-'Black-Scholes'!$B$9^2/2)*'Black-Scholes'!$B$7-'Black-Scholes'!$B$9*SQRT('Black-Scholes'!$B$7)*B163)</f>
        <v>111.822415761217</v>
      </c>
      <c r="E163" s="18" t="n">
        <f aca="false">EXP(-'Black-Scholes'!$B$8*'Black-Scholes'!$B$7)*IF(LOWER('Black-Scholes'!$B$11)="put",MAX('Black-Scholes'!$B$6-C163,0),MAX(C163-'Black-Scholes'!$B$6,0))</f>
        <v>0</v>
      </c>
      <c r="F163" s="18" t="n">
        <f aca="false">(E163+G163)/2</f>
        <v>5.62291487037529</v>
      </c>
      <c r="G163" s="18" t="n">
        <f aca="false">EXP(-'Black-Scholes'!$B$8*'Black-Scholes'!$B$7)*IF(LOWER('Black-Scholes'!$B$11)="put",MAX('Black-Scholes'!$B$6-D163,0),MAX(D163-'Black-Scholes'!$B$6,0))</f>
        <v>11.2458297407506</v>
      </c>
    </row>
    <row r="164" customFormat="false" ht="15" hidden="false" customHeight="false" outlineLevel="0" collapsed="false">
      <c r="A164" s="0" t="n">
        <v>153</v>
      </c>
      <c r="B164" s="15" t="n">
        <v>0.683978155601469</v>
      </c>
      <c r="C164" s="18" t="n">
        <f aca="false">'Black-Scholes'!$B$5*EXP(('Black-Scholes'!$B$8-'Black-Scholes'!$B$10-'Black-Scholes'!$B$9^2/2)*'Black-Scholes'!$B$7+'Black-Scholes'!$B$9*SQRT('Black-Scholes'!$B$7)*B164)</f>
        <v>118.151277619034</v>
      </c>
      <c r="D164" s="18" t="n">
        <f aca="false">'Black-Scholes'!$B$5*EXP(('Black-Scholes'!$B$8-'Black-Scholes'!$B$10-'Black-Scholes'!$B$9^2/2)*'Black-Scholes'!$B$7-'Black-Scholes'!$B$9*SQRT('Black-Scholes'!$B$7)*B164)</f>
        <v>89.8709322440959</v>
      </c>
      <c r="E164" s="18" t="n">
        <f aca="false">EXP(-'Black-Scholes'!$B$8*'Black-Scholes'!$B$7)*IF(LOWER('Black-Scholes'!$B$11)="put",MAX('Black-Scholes'!$B$6-C164,0),MAX(C164-'Black-Scholes'!$B$6,0))</f>
        <v>17.2660293635067</v>
      </c>
      <c r="F164" s="18" t="n">
        <f aca="false">(E164+G164)/2</f>
        <v>8.63301468175335</v>
      </c>
      <c r="G164" s="18" t="n">
        <f aca="false">EXP(-'Black-Scholes'!$B$8*'Black-Scholes'!$B$7)*IF(LOWER('Black-Scholes'!$B$11)="put",MAX('Black-Scholes'!$B$6-D164,0),MAX(D164-'Black-Scholes'!$B$6,0))</f>
        <v>0</v>
      </c>
    </row>
    <row r="165" customFormat="false" ht="15" hidden="false" customHeight="false" outlineLevel="0" collapsed="false">
      <c r="A165" s="0" t="n">
        <v>154</v>
      </c>
      <c r="B165" s="15" t="n">
        <v>-0.422119493566133</v>
      </c>
      <c r="C165" s="18" t="n">
        <f aca="false">'Black-Scholes'!$B$5*EXP(('Black-Scholes'!$B$8-'Black-Scholes'!$B$10-'Black-Scholes'!$B$9^2/2)*'Black-Scholes'!$B$7+'Black-Scholes'!$B$9*SQRT('Black-Scholes'!$B$7)*B165)</f>
        <v>94.703057636105</v>
      </c>
      <c r="D165" s="18" t="n">
        <f aca="false">'Black-Scholes'!$B$5*EXP(('Black-Scholes'!$B$8-'Black-Scholes'!$B$10-'Black-Scholes'!$B$9^2/2)*'Black-Scholes'!$B$7-'Black-Scholes'!$B$9*SQRT('Black-Scholes'!$B$7)*B165)</f>
        <v>112.122731097601</v>
      </c>
      <c r="E165" s="18" t="n">
        <f aca="false">EXP(-'Black-Scholes'!$B$8*'Black-Scholes'!$B$7)*IF(LOWER('Black-Scholes'!$B$11)="put",MAX('Black-Scholes'!$B$6-C165,0),MAX(C165-'Black-Scholes'!$B$6,0))</f>
        <v>0</v>
      </c>
      <c r="F165" s="18" t="n">
        <f aca="false">(E165+G165)/2</f>
        <v>5.76574926267387</v>
      </c>
      <c r="G165" s="18" t="n">
        <f aca="false">EXP(-'Black-Scholes'!$B$8*'Black-Scholes'!$B$7)*IF(LOWER('Black-Scholes'!$B$11)="put",MAX('Black-Scholes'!$B$6-D165,0),MAX(D165-'Black-Scholes'!$B$6,0))</f>
        <v>11.5314985253477</v>
      </c>
    </row>
    <row r="166" customFormat="false" ht="15" hidden="false" customHeight="false" outlineLevel="0" collapsed="false">
      <c r="A166" s="0" t="n">
        <v>155</v>
      </c>
      <c r="B166" s="15" t="n">
        <v>-0.16504539501494</v>
      </c>
      <c r="C166" s="18" t="n">
        <f aca="false">'Black-Scholes'!$B$5*EXP(('Black-Scholes'!$B$8-'Black-Scholes'!$B$10-'Black-Scholes'!$B$9^2/2)*'Black-Scholes'!$B$7+'Black-Scholes'!$B$9*SQRT('Black-Scholes'!$B$7)*B166)</f>
        <v>99.699544373767</v>
      </c>
      <c r="D166" s="18" t="n">
        <f aca="false">'Black-Scholes'!$B$5*EXP(('Black-Scholes'!$B$8-'Black-Scholes'!$B$10-'Black-Scholes'!$B$9^2/2)*'Black-Scholes'!$B$7-'Black-Scholes'!$B$9*SQRT('Black-Scholes'!$B$7)*B166)</f>
        <v>106.503650865706</v>
      </c>
      <c r="E166" s="18" t="n">
        <f aca="false">EXP(-'Black-Scholes'!$B$8*'Black-Scholes'!$B$7)*IF(LOWER('Black-Scholes'!$B$11)="put",MAX('Black-Scholes'!$B$6-C166,0),MAX(C166-'Black-Scholes'!$B$6,0))</f>
        <v>0</v>
      </c>
      <c r="F166" s="18" t="n">
        <f aca="false">(E166+G166)/2</f>
        <v>3.09323203506933</v>
      </c>
      <c r="G166" s="18" t="n">
        <f aca="false">EXP(-'Black-Scholes'!$B$8*'Black-Scholes'!$B$7)*IF(LOWER('Black-Scholes'!$B$11)="put",MAX('Black-Scholes'!$B$6-D166,0),MAX(D166-'Black-Scholes'!$B$6,0))</f>
        <v>6.18646407013866</v>
      </c>
    </row>
    <row r="167" customFormat="false" ht="15" hidden="false" customHeight="false" outlineLevel="0" collapsed="false">
      <c r="A167" s="0" t="n">
        <v>156</v>
      </c>
      <c r="B167" s="15" t="n">
        <v>0.501124253191718</v>
      </c>
      <c r="C167" s="18" t="n">
        <f aca="false">'Black-Scholes'!$B$5*EXP(('Black-Scholes'!$B$8-'Black-Scholes'!$B$10-'Black-Scholes'!$B$9^2/2)*'Black-Scholes'!$B$7+'Black-Scholes'!$B$9*SQRT('Black-Scholes'!$B$7)*B167)</f>
        <v>113.908447840407</v>
      </c>
      <c r="D167" s="18" t="n">
        <f aca="false">'Black-Scholes'!$B$5*EXP(('Black-Scholes'!$B$8-'Black-Scholes'!$B$10-'Black-Scholes'!$B$9^2/2)*'Black-Scholes'!$B$7-'Black-Scholes'!$B$9*SQRT('Black-Scholes'!$B$7)*B167)</f>
        <v>93.2184194128483</v>
      </c>
      <c r="E167" s="18" t="n">
        <f aca="false">EXP(-'Black-Scholes'!$B$8*'Black-Scholes'!$B$7)*IF(LOWER('Black-Scholes'!$B$11)="put",MAX('Black-Scholes'!$B$6-C167,0),MAX(C167-'Black-Scholes'!$B$6,0))</f>
        <v>13.2301248349284</v>
      </c>
      <c r="F167" s="18" t="n">
        <f aca="false">(E167+G167)/2</f>
        <v>6.61506241746418</v>
      </c>
      <c r="G167" s="18" t="n">
        <f aca="false">EXP(-'Black-Scholes'!$B$8*'Black-Scholes'!$B$7)*IF(LOWER('Black-Scholes'!$B$11)="put",MAX('Black-Scholes'!$B$6-D167,0),MAX(D167-'Black-Scholes'!$B$6,0))</f>
        <v>0</v>
      </c>
    </row>
    <row r="168" customFormat="false" ht="15" hidden="false" customHeight="false" outlineLevel="0" collapsed="false">
      <c r="A168" s="0" t="n">
        <v>157</v>
      </c>
      <c r="B168" s="15" t="n">
        <v>-0.845328485550954</v>
      </c>
      <c r="C168" s="18" t="n">
        <f aca="false">'Black-Scholes'!$B$5*EXP(('Black-Scholes'!$B$8-'Black-Scholes'!$B$10-'Black-Scholes'!$B$9^2/2)*'Black-Scholes'!$B$7+'Black-Scholes'!$B$9*SQRT('Black-Scholes'!$B$7)*B168)</f>
        <v>87.0170858869534</v>
      </c>
      <c r="D168" s="18" t="n">
        <f aca="false">'Black-Scholes'!$B$5*EXP(('Black-Scholes'!$B$8-'Black-Scholes'!$B$10-'Black-Scholes'!$B$9^2/2)*'Black-Scholes'!$B$7-'Black-Scholes'!$B$9*SQRT('Black-Scholes'!$B$7)*B168)</f>
        <v>122.026213096222</v>
      </c>
      <c r="E168" s="18" t="n">
        <f aca="false">EXP(-'Black-Scholes'!$B$8*'Black-Scholes'!$B$7)*IF(LOWER('Black-Scholes'!$B$11)="put",MAX('Black-Scholes'!$B$6-C168,0),MAX(C168-'Black-Scholes'!$B$6,0))</f>
        <v>0</v>
      </c>
      <c r="F168" s="18" t="n">
        <f aca="false">(E168+G168)/2</f>
        <v>10.4759910037245</v>
      </c>
      <c r="G168" s="18" t="n">
        <f aca="false">EXP(-'Black-Scholes'!$B$8*'Black-Scholes'!$B$7)*IF(LOWER('Black-Scholes'!$B$11)="put",MAX('Black-Scholes'!$B$6-D168,0),MAX(D168-'Black-Scholes'!$B$6,0))</f>
        <v>20.951982007449</v>
      </c>
    </row>
    <row r="169" customFormat="false" ht="15" hidden="false" customHeight="false" outlineLevel="0" collapsed="false">
      <c r="A169" s="0" t="n">
        <v>158</v>
      </c>
      <c r="B169" s="15" t="n">
        <v>0.555899299638483</v>
      </c>
      <c r="C169" s="18" t="n">
        <f aca="false">'Black-Scholes'!$B$5*EXP(('Black-Scholes'!$B$8-'Black-Scholes'!$B$10-'Black-Scholes'!$B$9^2/2)*'Black-Scholes'!$B$7+'Black-Scholes'!$B$9*SQRT('Black-Scholes'!$B$7)*B169)</f>
        <v>115.163176176385</v>
      </c>
      <c r="D169" s="18" t="n">
        <f aca="false">'Black-Scholes'!$B$5*EXP(('Black-Scholes'!$B$8-'Black-Scholes'!$B$10-'Black-Scholes'!$B$9^2/2)*'Black-Scholes'!$B$7-'Black-Scholes'!$B$9*SQRT('Black-Scholes'!$B$7)*B169)</f>
        <v>92.2027840669344</v>
      </c>
      <c r="E169" s="18" t="n">
        <f aca="false">EXP(-'Black-Scholes'!$B$8*'Black-Scholes'!$B$7)*IF(LOWER('Black-Scholes'!$B$11)="put",MAX('Black-Scholes'!$B$6-C169,0),MAX(C169-'Black-Scholes'!$B$6,0))</f>
        <v>14.4236593478661</v>
      </c>
      <c r="F169" s="18" t="n">
        <f aca="false">(E169+G169)/2</f>
        <v>7.21182967393305</v>
      </c>
      <c r="G169" s="18" t="n">
        <f aca="false">EXP(-'Black-Scholes'!$B$8*'Black-Scholes'!$B$7)*IF(LOWER('Black-Scholes'!$B$11)="put",MAX('Black-Scholes'!$B$6-D169,0),MAX(D169-'Black-Scholes'!$B$6,0))</f>
        <v>0</v>
      </c>
    </row>
    <row r="170" customFormat="false" ht="15" hidden="false" customHeight="false" outlineLevel="0" collapsed="false">
      <c r="A170" s="0" t="n">
        <v>159</v>
      </c>
      <c r="B170" s="15" t="n">
        <v>2.06932321896058</v>
      </c>
      <c r="C170" s="18" t="n">
        <f aca="false">'Black-Scholes'!$B$5*EXP(('Black-Scholes'!$B$8-'Black-Scholes'!$B$10-'Black-Scholes'!$B$9^2/2)*'Black-Scholes'!$B$7+'Black-Scholes'!$B$9*SQRT('Black-Scholes'!$B$7)*B170)</f>
        <v>155.87194889832</v>
      </c>
      <c r="D170" s="18" t="n">
        <f aca="false">'Black-Scholes'!$B$5*EXP(('Black-Scholes'!$B$8-'Black-Scholes'!$B$10-'Black-Scholes'!$B$9^2/2)*'Black-Scholes'!$B$7-'Black-Scholes'!$B$9*SQRT('Black-Scholes'!$B$7)*B170)</f>
        <v>68.122362878649</v>
      </c>
      <c r="E170" s="18" t="n">
        <f aca="false">EXP(-'Black-Scholes'!$B$8*'Black-Scholes'!$B$7)*IF(LOWER('Black-Scholes'!$B$11)="put",MAX('Black-Scholes'!$B$6-C170,0),MAX(C170-'Black-Scholes'!$B$6,0))</f>
        <v>53.1470417962824</v>
      </c>
      <c r="F170" s="18" t="n">
        <f aca="false">(E170+G170)/2</f>
        <v>26.5735208981412</v>
      </c>
      <c r="G170" s="18" t="n">
        <f aca="false">EXP(-'Black-Scholes'!$B$8*'Black-Scholes'!$B$7)*IF(LOWER('Black-Scholes'!$B$11)="put",MAX('Black-Scholes'!$B$6-D170,0),MAX(D170-'Black-Scholes'!$B$6,0))</f>
        <v>0</v>
      </c>
    </row>
    <row r="171" customFormat="false" ht="15" hidden="false" customHeight="false" outlineLevel="0" collapsed="false">
      <c r="A171" s="0" t="n">
        <v>160</v>
      </c>
      <c r="B171" s="15" t="n">
        <v>0.14319520230898</v>
      </c>
      <c r="C171" s="18" t="n">
        <f aca="false">'Black-Scholes'!$B$5*EXP(('Black-Scholes'!$B$8-'Black-Scholes'!$B$10-'Black-Scholes'!$B$9^2/2)*'Black-Scholes'!$B$7+'Black-Scholes'!$B$9*SQRT('Black-Scholes'!$B$7)*B171)</f>
        <v>106.039241289596</v>
      </c>
      <c r="D171" s="18" t="n">
        <f aca="false">'Black-Scholes'!$B$5*EXP(('Black-Scholes'!$B$8-'Black-Scholes'!$B$10-'Black-Scholes'!$B$9^2/2)*'Black-Scholes'!$B$7-'Black-Scholes'!$B$9*SQRT('Black-Scholes'!$B$7)*B171)</f>
        <v>100.136188606391</v>
      </c>
      <c r="E171" s="18" t="n">
        <f aca="false">EXP(-'Black-Scholes'!$B$8*'Black-Scholes'!$B$7)*IF(LOWER('Black-Scholes'!$B$11)="put",MAX('Black-Scholes'!$B$6-C171,0),MAX(C171-'Black-Scholes'!$B$6,0))</f>
        <v>5.74470401632343</v>
      </c>
      <c r="F171" s="18" t="n">
        <f aca="false">(E171+G171)/2</f>
        <v>2.93712531300215</v>
      </c>
      <c r="G171" s="18" t="n">
        <f aca="false">EXP(-'Black-Scholes'!$B$8*'Black-Scholes'!$B$7)*IF(LOWER('Black-Scholes'!$B$11)="put",MAX('Black-Scholes'!$B$6-D171,0),MAX(D171-'Black-Scholes'!$B$6,0))</f>
        <v>0.129546609680867</v>
      </c>
    </row>
    <row r="172" customFormat="false" ht="15" hidden="false" customHeight="false" outlineLevel="0" collapsed="false">
      <c r="A172" s="0" t="n">
        <v>161</v>
      </c>
      <c r="B172" s="15" t="n">
        <v>0.663388631148869</v>
      </c>
      <c r="C172" s="18" t="n">
        <f aca="false">'Black-Scholes'!$B$5*EXP(('Black-Scholes'!$B$8-'Black-Scholes'!$B$10-'Black-Scholes'!$B$9^2/2)*'Black-Scholes'!$B$7+'Black-Scholes'!$B$9*SQRT('Black-Scholes'!$B$7)*B172)</f>
        <v>117.665742275396</v>
      </c>
      <c r="D172" s="18" t="n">
        <f aca="false">'Black-Scholes'!$B$5*EXP(('Black-Scholes'!$B$8-'Black-Scholes'!$B$10-'Black-Scholes'!$B$9^2/2)*'Black-Scholes'!$B$7-'Black-Scholes'!$B$9*SQRT('Black-Scholes'!$B$7)*B172)</f>
        <v>90.2417752195143</v>
      </c>
      <c r="E172" s="18" t="n">
        <f aca="false">EXP(-'Black-Scholes'!$B$8*'Black-Scholes'!$B$7)*IF(LOWER('Black-Scholes'!$B$11)="put",MAX('Black-Scholes'!$B$6-C172,0),MAX(C172-'Black-Scholes'!$B$6,0))</f>
        <v>16.804173858003</v>
      </c>
      <c r="F172" s="18" t="n">
        <f aca="false">(E172+G172)/2</f>
        <v>8.4020869290015</v>
      </c>
      <c r="G172" s="18" t="n">
        <f aca="false">EXP(-'Black-Scholes'!$B$8*'Black-Scholes'!$B$7)*IF(LOWER('Black-Scholes'!$B$11)="put",MAX('Black-Scholes'!$B$6-D172,0),MAX(D172-'Black-Scholes'!$B$6,0))</f>
        <v>0</v>
      </c>
    </row>
    <row r="173" customFormat="false" ht="15" hidden="false" customHeight="false" outlineLevel="0" collapsed="false">
      <c r="A173" s="0" t="n">
        <v>162</v>
      </c>
      <c r="B173" s="15" t="n">
        <v>1.06152373689313</v>
      </c>
      <c r="C173" s="18" t="n">
        <f aca="false">'Black-Scholes'!$B$5*EXP(('Black-Scholes'!$B$8-'Black-Scholes'!$B$10-'Black-Scholes'!$B$9^2/2)*'Black-Scholes'!$B$7+'Black-Scholes'!$B$9*SQRT('Black-Scholes'!$B$7)*B173)</f>
        <v>127.418243741262</v>
      </c>
      <c r="D173" s="18" t="n">
        <f aca="false">'Black-Scholes'!$B$5*EXP(('Black-Scholes'!$B$8-'Black-Scholes'!$B$10-'Black-Scholes'!$B$9^2/2)*'Black-Scholes'!$B$7-'Black-Scholes'!$B$9*SQRT('Black-Scholes'!$B$7)*B173)</f>
        <v>83.3347341297173</v>
      </c>
      <c r="E173" s="18" t="n">
        <f aca="false">EXP(-'Black-Scholes'!$B$8*'Black-Scholes'!$B$7)*IF(LOWER('Black-Scholes'!$B$11)="put",MAX('Black-Scholes'!$B$6-C173,0),MAX(C173-'Black-Scholes'!$B$6,0))</f>
        <v>26.0810402148211</v>
      </c>
      <c r="F173" s="18" t="n">
        <f aca="false">(E173+G173)/2</f>
        <v>13.0405201074106</v>
      </c>
      <c r="G173" s="18" t="n">
        <f aca="false">EXP(-'Black-Scholes'!$B$8*'Black-Scholes'!$B$7)*IF(LOWER('Black-Scholes'!$B$11)="put",MAX('Black-Scholes'!$B$6-D173,0),MAX(D173-'Black-Scholes'!$B$6,0))</f>
        <v>0</v>
      </c>
    </row>
    <row r="174" customFormat="false" ht="15" hidden="false" customHeight="false" outlineLevel="0" collapsed="false">
      <c r="A174" s="0" t="n">
        <v>163</v>
      </c>
      <c r="B174" s="15" t="n">
        <v>0.209708694885511</v>
      </c>
      <c r="C174" s="18" t="n">
        <f aca="false">'Black-Scholes'!$B$5*EXP(('Black-Scholes'!$B$8-'Black-Scholes'!$B$10-'Black-Scholes'!$B$9^2/2)*'Black-Scholes'!$B$7+'Black-Scholes'!$B$9*SQRT('Black-Scholes'!$B$7)*B174)</f>
        <v>107.459273536805</v>
      </c>
      <c r="D174" s="18" t="n">
        <f aca="false">'Black-Scholes'!$B$5*EXP(('Black-Scholes'!$B$8-'Black-Scholes'!$B$10-'Black-Scholes'!$B$9^2/2)*'Black-Scholes'!$B$7-'Black-Scholes'!$B$9*SQRT('Black-Scholes'!$B$7)*B174)</f>
        <v>98.812928060758</v>
      </c>
      <c r="E174" s="18" t="n">
        <f aca="false">EXP(-'Black-Scholes'!$B$8*'Black-Scholes'!$B$7)*IF(LOWER('Black-Scholes'!$B$11)="put",MAX('Black-Scholes'!$B$6-C174,0),MAX(C174-'Black-Scholes'!$B$6,0))</f>
        <v>7.09548047360813</v>
      </c>
      <c r="F174" s="18" t="n">
        <f aca="false">(E174+G174)/2</f>
        <v>3.54774023680406</v>
      </c>
      <c r="G174" s="18" t="n">
        <f aca="false">EXP(-'Black-Scholes'!$B$8*'Black-Scholes'!$B$7)*IF(LOWER('Black-Scholes'!$B$11)="put",MAX('Black-Scholes'!$B$6-D174,0),MAX(D174-'Black-Scholes'!$B$6,0))</f>
        <v>0</v>
      </c>
    </row>
    <row r="175" customFormat="false" ht="15" hidden="false" customHeight="false" outlineLevel="0" collapsed="false">
      <c r="A175" s="0" t="n">
        <v>164</v>
      </c>
      <c r="B175" s="15" t="n">
        <v>-0.104670295416283</v>
      </c>
      <c r="C175" s="18" t="n">
        <f aca="false">'Black-Scholes'!$B$5*EXP(('Black-Scholes'!$B$8-'Black-Scholes'!$B$10-'Black-Scholes'!$B$9^2/2)*'Black-Scholes'!$B$7+'Black-Scholes'!$B$9*SQRT('Black-Scholes'!$B$7)*B175)</f>
        <v>100.91071610313</v>
      </c>
      <c r="D175" s="18" t="n">
        <f aca="false">'Black-Scholes'!$B$5*EXP(('Black-Scholes'!$B$8-'Black-Scholes'!$B$10-'Black-Scholes'!$B$9^2/2)*'Black-Scholes'!$B$7-'Black-Scholes'!$B$9*SQRT('Black-Scholes'!$B$7)*B175)</f>
        <v>105.225350443472</v>
      </c>
      <c r="E175" s="18" t="n">
        <f aca="false">EXP(-'Black-Scholes'!$B$8*'Black-Scholes'!$B$7)*IF(LOWER('Black-Scholes'!$B$11)="put",MAX('Black-Scholes'!$B$6-C175,0),MAX(C175-'Black-Scholes'!$B$6,0))</f>
        <v>0.866299954664315</v>
      </c>
      <c r="F175" s="18" t="n">
        <f aca="false">(E175+G175)/2</f>
        <v>2.91840352491128</v>
      </c>
      <c r="G175" s="18" t="n">
        <f aca="false">EXP(-'Black-Scholes'!$B$8*'Black-Scholes'!$B$7)*IF(LOWER('Black-Scholes'!$B$11)="put",MAX('Black-Scholes'!$B$6-D175,0),MAX(D175-'Black-Scholes'!$B$6,0))</f>
        <v>4.97050709515824</v>
      </c>
    </row>
    <row r="176" customFormat="false" ht="15" hidden="false" customHeight="false" outlineLevel="0" collapsed="false">
      <c r="A176" s="0" t="n">
        <v>165</v>
      </c>
      <c r="B176" s="15" t="n">
        <v>-0.114301369870316</v>
      </c>
      <c r="C176" s="18" t="n">
        <f aca="false">'Black-Scholes'!$B$5*EXP(('Black-Scholes'!$B$8-'Black-Scholes'!$B$10-'Black-Scholes'!$B$9^2/2)*'Black-Scholes'!$B$7+'Black-Scholes'!$B$9*SQRT('Black-Scholes'!$B$7)*B176)</f>
        <v>100.716527463697</v>
      </c>
      <c r="D176" s="18" t="n">
        <f aca="false">'Black-Scholes'!$B$5*EXP(('Black-Scholes'!$B$8-'Black-Scholes'!$B$10-'Black-Scholes'!$B$9^2/2)*'Black-Scholes'!$B$7-'Black-Scholes'!$B$9*SQRT('Black-Scholes'!$B$7)*B176)</f>
        <v>105.428232414794</v>
      </c>
      <c r="E176" s="18" t="n">
        <f aca="false">EXP(-'Black-Scholes'!$B$8*'Black-Scholes'!$B$7)*IF(LOWER('Black-Scholes'!$B$11)="put",MAX('Black-Scholes'!$B$6-C176,0),MAX(C176-'Black-Scholes'!$B$6,0))</f>
        <v>0.681582006931134</v>
      </c>
      <c r="F176" s="18" t="n">
        <f aca="false">(E176+G176)/2</f>
        <v>2.92253820145589</v>
      </c>
      <c r="G176" s="18" t="n">
        <f aca="false">EXP(-'Black-Scholes'!$B$8*'Black-Scholes'!$B$7)*IF(LOWER('Black-Scholes'!$B$11)="put",MAX('Black-Scholes'!$B$6-D176,0),MAX(D176-'Black-Scholes'!$B$6,0))</f>
        <v>5.16349439598064</v>
      </c>
    </row>
    <row r="177" customFormat="false" ht="15" hidden="false" customHeight="false" outlineLevel="0" collapsed="false">
      <c r="A177" s="0" t="n">
        <v>166</v>
      </c>
      <c r="B177" s="15" t="n">
        <v>0.313757357763471</v>
      </c>
      <c r="C177" s="18" t="n">
        <f aca="false">'Black-Scholes'!$B$5*EXP(('Black-Scholes'!$B$8-'Black-Scholes'!$B$10-'Black-Scholes'!$B$9^2/2)*'Black-Scholes'!$B$7+'Black-Scholes'!$B$9*SQRT('Black-Scholes'!$B$7)*B177)</f>
        <v>109.718901869736</v>
      </c>
      <c r="D177" s="18" t="n">
        <f aca="false">'Black-Scholes'!$B$5*EXP(('Black-Scholes'!$B$8-'Black-Scholes'!$B$10-'Black-Scholes'!$B$9^2/2)*'Black-Scholes'!$B$7-'Black-Scholes'!$B$9*SQRT('Black-Scholes'!$B$7)*B177)</f>
        <v>96.7779050328112</v>
      </c>
      <c r="E177" s="18" t="n">
        <f aca="false">EXP(-'Black-Scholes'!$B$8*'Black-Scholes'!$B$7)*IF(LOWER('Black-Scholes'!$B$11)="put",MAX('Black-Scholes'!$B$6-C177,0),MAX(C177-'Black-Scholes'!$B$6,0))</f>
        <v>9.24490543232742</v>
      </c>
      <c r="F177" s="18" t="n">
        <f aca="false">(E177+G177)/2</f>
        <v>4.62245271616371</v>
      </c>
      <c r="G177" s="18" t="n">
        <f aca="false">EXP(-'Black-Scholes'!$B$8*'Black-Scholes'!$B$7)*IF(LOWER('Black-Scholes'!$B$11)="put",MAX('Black-Scholes'!$B$6-D177,0),MAX(D177-'Black-Scholes'!$B$6,0))</f>
        <v>0</v>
      </c>
    </row>
    <row r="178" customFormat="false" ht="15" hidden="false" customHeight="false" outlineLevel="0" collapsed="false">
      <c r="A178" s="0" t="n">
        <v>167</v>
      </c>
      <c r="B178" s="15" t="n">
        <v>-1.29794828668774</v>
      </c>
      <c r="C178" s="18" t="n">
        <f aca="false">'Black-Scholes'!$B$5*EXP(('Black-Scholes'!$B$8-'Black-Scholes'!$B$10-'Black-Scholes'!$B$9^2/2)*'Black-Scholes'!$B$7+'Black-Scholes'!$B$9*SQRT('Black-Scholes'!$B$7)*B178)</f>
        <v>79.4859700438564</v>
      </c>
      <c r="D178" s="18" t="n">
        <f aca="false">'Black-Scholes'!$B$5*EXP(('Black-Scholes'!$B$8-'Black-Scholes'!$B$10-'Black-Scholes'!$B$9^2/2)*'Black-Scholes'!$B$7-'Black-Scholes'!$B$9*SQRT('Black-Scholes'!$B$7)*B178)</f>
        <v>133.587920731104</v>
      </c>
      <c r="E178" s="18" t="n">
        <f aca="false">EXP(-'Black-Scholes'!$B$8*'Black-Scholes'!$B$7)*IF(LOWER('Black-Scholes'!$B$11)="put",MAX('Black-Scholes'!$B$6-C178,0),MAX(C178-'Black-Scholes'!$B$6,0))</f>
        <v>0</v>
      </c>
      <c r="F178" s="18" t="n">
        <f aca="false">(E178+G178)/2</f>
        <v>15.9749092536118</v>
      </c>
      <c r="G178" s="18" t="n">
        <f aca="false">EXP(-'Black-Scholes'!$B$8*'Black-Scholes'!$B$7)*IF(LOWER('Black-Scholes'!$B$11)="put",MAX('Black-Scholes'!$B$6-D178,0),MAX(D178-'Black-Scholes'!$B$6,0))</f>
        <v>31.9498185072237</v>
      </c>
    </row>
    <row r="179" customFormat="false" ht="15" hidden="false" customHeight="false" outlineLevel="0" collapsed="false">
      <c r="A179" s="0" t="n">
        <v>168</v>
      </c>
      <c r="B179" s="15" t="n">
        <v>0.716234329205174</v>
      </c>
      <c r="C179" s="18" t="n">
        <f aca="false">'Black-Scholes'!$B$5*EXP(('Black-Scholes'!$B$8-'Black-Scholes'!$B$10-'Black-Scholes'!$B$9^2/2)*'Black-Scholes'!$B$7+'Black-Scholes'!$B$9*SQRT('Black-Scholes'!$B$7)*B179)</f>
        <v>118.91596317443</v>
      </c>
      <c r="D179" s="18" t="n">
        <f aca="false">'Black-Scholes'!$B$5*EXP(('Black-Scholes'!$B$8-'Black-Scholes'!$B$10-'Black-Scholes'!$B$9^2/2)*'Black-Scholes'!$B$7-'Black-Scholes'!$B$9*SQRT('Black-Scholes'!$B$7)*B179)</f>
        <v>89.2930198940422</v>
      </c>
      <c r="E179" s="18" t="n">
        <f aca="false">EXP(-'Black-Scholes'!$B$8*'Black-Scholes'!$B$7)*IF(LOWER('Black-Scholes'!$B$11)="put",MAX('Black-Scholes'!$B$6-C179,0),MAX(C179-'Black-Scholes'!$B$6,0))</f>
        <v>17.9934207642901</v>
      </c>
      <c r="F179" s="18" t="n">
        <f aca="false">(E179+G179)/2</f>
        <v>8.99671038214505</v>
      </c>
      <c r="G179" s="18" t="n">
        <f aca="false">EXP(-'Black-Scholes'!$B$8*'Black-Scholes'!$B$7)*IF(LOWER('Black-Scholes'!$B$11)="put",MAX('Black-Scholes'!$B$6-D179,0),MAX(D179-'Black-Scholes'!$B$6,0))</f>
        <v>0</v>
      </c>
    </row>
    <row r="180" customFormat="false" ht="15" hidden="false" customHeight="false" outlineLevel="0" collapsed="false">
      <c r="A180" s="0" t="n">
        <v>169</v>
      </c>
      <c r="B180" s="15" t="n">
        <v>0.45682495141948</v>
      </c>
      <c r="C180" s="18" t="n">
        <f aca="false">'Black-Scholes'!$B$5*EXP(('Black-Scholes'!$B$8-'Black-Scholes'!$B$10-'Black-Scholes'!$B$9^2/2)*'Black-Scholes'!$B$7+'Black-Scholes'!$B$9*SQRT('Black-Scholes'!$B$7)*B180)</f>
        <v>112.903692468019</v>
      </c>
      <c r="D180" s="18" t="n">
        <f aca="false">'Black-Scholes'!$B$5*EXP(('Black-Scholes'!$B$8-'Black-Scholes'!$B$10-'Black-Scholes'!$B$9^2/2)*'Black-Scholes'!$B$7-'Black-Scholes'!$B$9*SQRT('Black-Scholes'!$B$7)*B180)</f>
        <v>94.0479911094256</v>
      </c>
      <c r="E180" s="18" t="n">
        <f aca="false">EXP(-'Black-Scholes'!$B$8*'Black-Scholes'!$B$7)*IF(LOWER('Black-Scholes'!$B$11)="put",MAX('Black-Scholes'!$B$6-C180,0),MAX(C180-'Black-Scholes'!$B$6,0))</f>
        <v>12.2743719602882</v>
      </c>
      <c r="F180" s="18" t="n">
        <f aca="false">(E180+G180)/2</f>
        <v>6.13718598014408</v>
      </c>
      <c r="G180" s="18" t="n">
        <f aca="false">EXP(-'Black-Scholes'!$B$8*'Black-Scholes'!$B$7)*IF(LOWER('Black-Scholes'!$B$11)="put",MAX('Black-Scholes'!$B$6-D180,0),MAX(D180-'Black-Scholes'!$B$6,0))</f>
        <v>0</v>
      </c>
    </row>
    <row r="181" customFormat="false" ht="15" hidden="false" customHeight="false" outlineLevel="0" collapsed="false">
      <c r="A181" s="0" t="n">
        <v>170</v>
      </c>
      <c r="B181" s="15" t="n">
        <v>-0.0632107426933564</v>
      </c>
      <c r="C181" s="18" t="n">
        <f aca="false">'Black-Scholes'!$B$5*EXP(('Black-Scholes'!$B$8-'Black-Scholes'!$B$10-'Black-Scholes'!$B$9^2/2)*'Black-Scholes'!$B$7+'Black-Scholes'!$B$9*SQRT('Black-Scholes'!$B$7)*B181)</f>
        <v>101.750937439962</v>
      </c>
      <c r="D181" s="18" t="n">
        <f aca="false">'Black-Scholes'!$B$5*EXP(('Black-Scholes'!$B$8-'Black-Scholes'!$B$10-'Black-Scholes'!$B$9^2/2)*'Black-Scholes'!$B$7-'Black-Scholes'!$B$9*SQRT('Black-Scholes'!$B$7)*B181)</f>
        <v>104.356438698356</v>
      </c>
      <c r="E181" s="18" t="n">
        <f aca="false">EXP(-'Black-Scholes'!$B$8*'Black-Scholes'!$B$7)*IF(LOWER('Black-Scholes'!$B$11)="put",MAX('Black-Scholes'!$B$6-C181,0),MAX(C181-'Black-Scholes'!$B$6,0))</f>
        <v>1.66554321335151</v>
      </c>
      <c r="F181" s="18" t="n">
        <f aca="false">(E181+G181)/2</f>
        <v>2.90475794463056</v>
      </c>
      <c r="G181" s="18" t="n">
        <f aca="false">EXP(-'Black-Scholes'!$B$8*'Black-Scholes'!$B$7)*IF(LOWER('Black-Scholes'!$B$11)="put",MAX('Black-Scholes'!$B$6-D181,0),MAX(D181-'Black-Scholes'!$B$6,0))</f>
        <v>4.1439726759096</v>
      </c>
    </row>
    <row r="182" customFormat="false" ht="15" hidden="false" customHeight="false" outlineLevel="0" collapsed="false">
      <c r="A182" s="0" t="n">
        <v>171</v>
      </c>
      <c r="B182" s="15" t="n">
        <v>0.0587133079904761</v>
      </c>
      <c r="C182" s="18" t="n">
        <f aca="false">'Black-Scholes'!$B$5*EXP(('Black-Scholes'!$B$8-'Black-Scholes'!$B$10-'Black-Scholes'!$B$9^2/2)*'Black-Scholes'!$B$7+'Black-Scholes'!$B$9*SQRT('Black-Scholes'!$B$7)*B182)</f>
        <v>104.262613648111</v>
      </c>
      <c r="D182" s="18" t="n">
        <f aca="false">'Black-Scholes'!$B$5*EXP(('Black-Scholes'!$B$8-'Black-Scholes'!$B$10-'Black-Scholes'!$B$9^2/2)*'Black-Scholes'!$B$7-'Black-Scholes'!$B$9*SQRT('Black-Scholes'!$B$7)*B182)</f>
        <v>101.842502253884</v>
      </c>
      <c r="E182" s="18" t="n">
        <f aca="false">EXP(-'Black-Scholes'!$B$8*'Black-Scholes'!$B$7)*IF(LOWER('Black-Scholes'!$B$11)="put",MAX('Black-Scholes'!$B$6-C182,0),MAX(C182-'Black-Scholes'!$B$6,0))</f>
        <v>4.05472352736175</v>
      </c>
      <c r="F182" s="18" t="n">
        <f aca="false">(E182+G182)/2</f>
        <v>2.90368294298249</v>
      </c>
      <c r="G182" s="18" t="n">
        <f aca="false">EXP(-'Black-Scholes'!$B$8*'Black-Scholes'!$B$7)*IF(LOWER('Black-Scholes'!$B$11)="put",MAX('Black-Scholes'!$B$6-D182,0),MAX(D182-'Black-Scholes'!$B$6,0))</f>
        <v>1.75264235860324</v>
      </c>
    </row>
    <row r="183" customFormat="false" ht="15" hidden="false" customHeight="false" outlineLevel="0" collapsed="false">
      <c r="A183" s="0" t="n">
        <v>172</v>
      </c>
      <c r="B183" s="15" t="n">
        <v>-0.210054929449977</v>
      </c>
      <c r="C183" s="18" t="n">
        <f aca="false">'Black-Scholes'!$B$5*EXP(('Black-Scholes'!$B$8-'Black-Scholes'!$B$10-'Black-Scholes'!$B$9^2/2)*'Black-Scholes'!$B$7+'Black-Scholes'!$B$9*SQRT('Black-Scholes'!$B$7)*B183)</f>
        <v>98.806085807441</v>
      </c>
      <c r="D183" s="18" t="n">
        <f aca="false">'Black-Scholes'!$B$5*EXP(('Black-Scholes'!$B$8-'Black-Scholes'!$B$10-'Black-Scholes'!$B$9^2/2)*'Black-Scholes'!$B$7-'Black-Scholes'!$B$9*SQRT('Black-Scholes'!$B$7)*B183)</f>
        <v>107.466715017406</v>
      </c>
      <c r="E183" s="18" t="n">
        <f aca="false">EXP(-'Black-Scholes'!$B$8*'Black-Scholes'!$B$7)*IF(LOWER('Black-Scholes'!$B$11)="put",MAX('Black-Scholes'!$B$6-C183,0),MAX(C183-'Black-Scholes'!$B$6,0))</f>
        <v>0</v>
      </c>
      <c r="F183" s="18" t="n">
        <f aca="false">(E183+G183)/2</f>
        <v>3.55127951445882</v>
      </c>
      <c r="G183" s="18" t="n">
        <f aca="false">EXP(-'Black-Scholes'!$B$8*'Black-Scholes'!$B$7)*IF(LOWER('Black-Scholes'!$B$11)="put",MAX('Black-Scholes'!$B$6-D183,0),MAX(D183-'Black-Scholes'!$B$6,0))</f>
        <v>7.10255902891764</v>
      </c>
    </row>
    <row r="184" customFormat="false" ht="15" hidden="false" customHeight="false" outlineLevel="0" collapsed="false">
      <c r="A184" s="0" t="n">
        <v>173</v>
      </c>
      <c r="B184" s="15" t="n">
        <v>-0.480182526139607</v>
      </c>
      <c r="C184" s="18" t="n">
        <f aca="false">'Black-Scholes'!$B$5*EXP(('Black-Scholes'!$B$8-'Black-Scholes'!$B$10-'Black-Scholes'!$B$9^2/2)*'Black-Scholes'!$B$7+'Black-Scholes'!$B$9*SQRT('Black-Scholes'!$B$7)*B184)</f>
        <v>93.6096691244805</v>
      </c>
      <c r="D184" s="18" t="n">
        <f aca="false">'Black-Scholes'!$B$5*EXP(('Black-Scholes'!$B$8-'Black-Scholes'!$B$10-'Black-Scholes'!$B$9^2/2)*'Black-Scholes'!$B$7-'Black-Scholes'!$B$9*SQRT('Black-Scholes'!$B$7)*B184)</f>
        <v>113.43235762679</v>
      </c>
      <c r="E184" s="18" t="n">
        <f aca="false">EXP(-'Black-Scholes'!$B$8*'Black-Scholes'!$B$7)*IF(LOWER('Black-Scholes'!$B$11)="put",MAX('Black-Scholes'!$B$6-C184,0),MAX(C184-'Black-Scholes'!$B$6,0))</f>
        <v>0</v>
      </c>
      <c r="F184" s="18" t="n">
        <f aca="false">(E184+G184)/2</f>
        <v>6.38862690750983</v>
      </c>
      <c r="G184" s="18" t="n">
        <f aca="false">EXP(-'Black-Scholes'!$B$8*'Black-Scholes'!$B$7)*IF(LOWER('Black-Scholes'!$B$11)="put",MAX('Black-Scholes'!$B$6-D184,0),MAX(D184-'Black-Scholes'!$B$6,0))</f>
        <v>12.7772538150197</v>
      </c>
    </row>
    <row r="185" customFormat="false" ht="15" hidden="false" customHeight="false" outlineLevel="0" collapsed="false">
      <c r="A185" s="0" t="n">
        <v>174</v>
      </c>
      <c r="B185" s="15" t="n">
        <v>-1.0227079648062</v>
      </c>
      <c r="C185" s="18" t="n">
        <f aca="false">'Black-Scholes'!$B$5*EXP(('Black-Scholes'!$B$8-'Black-Scholes'!$B$10-'Black-Scholes'!$B$9^2/2)*'Black-Scholes'!$B$7+'Black-Scholes'!$B$9*SQRT('Black-Scholes'!$B$7)*B185)</f>
        <v>83.9841921990239</v>
      </c>
      <c r="D185" s="18" t="n">
        <f aca="false">'Black-Scholes'!$B$5*EXP(('Black-Scholes'!$B$8-'Black-Scholes'!$B$10-'Black-Scholes'!$B$9^2/2)*'Black-Scholes'!$B$7-'Black-Scholes'!$B$9*SQRT('Black-Scholes'!$B$7)*B185)</f>
        <v>126.432905853168</v>
      </c>
      <c r="E185" s="18" t="n">
        <f aca="false">EXP(-'Black-Scholes'!$B$8*'Black-Scholes'!$B$7)*IF(LOWER('Black-Scholes'!$B$11)="put",MAX('Black-Scholes'!$B$6-C185,0),MAX(C185-'Black-Scholes'!$B$6,0))</f>
        <v>0</v>
      </c>
      <c r="F185" s="18" t="n">
        <f aca="false">(E185+G185)/2</f>
        <v>12.5718789112955</v>
      </c>
      <c r="G185" s="18" t="n">
        <f aca="false">EXP(-'Black-Scholes'!$B$8*'Black-Scholes'!$B$7)*IF(LOWER('Black-Scholes'!$B$11)="put",MAX('Black-Scholes'!$B$6-D185,0),MAX(D185-'Black-Scholes'!$B$6,0))</f>
        <v>25.143757822591</v>
      </c>
    </row>
    <row r="186" customFormat="false" ht="15" hidden="false" customHeight="false" outlineLevel="0" collapsed="false">
      <c r="A186" s="0" t="n">
        <v>175</v>
      </c>
      <c r="B186" s="15" t="n">
        <v>-4.09288747340685</v>
      </c>
      <c r="C186" s="18" t="n">
        <f aca="false">'Black-Scholes'!$B$5*EXP(('Black-Scholes'!$B$8-'Black-Scholes'!$B$10-'Black-Scholes'!$B$9^2/2)*'Black-Scholes'!$B$7+'Black-Scholes'!$B$9*SQRT('Black-Scholes'!$B$7)*B186)</f>
        <v>45.4490851317608</v>
      </c>
      <c r="D186" s="18" t="n">
        <f aca="false">'Black-Scholes'!$B$5*EXP(('Black-Scholes'!$B$8-'Black-Scholes'!$B$10-'Black-Scholes'!$B$9^2/2)*'Black-Scholes'!$B$7-'Black-Scholes'!$B$9*SQRT('Black-Scholes'!$B$7)*B186)</f>
        <v>233.632105787609</v>
      </c>
      <c r="E186" s="18" t="n">
        <f aca="false">EXP(-'Black-Scholes'!$B$8*'Black-Scholes'!$B$7)*IF(LOWER('Black-Scholes'!$B$11)="put",MAX('Black-Scholes'!$B$6-C186,0),MAX(C186-'Black-Scholes'!$B$6,0))</f>
        <v>0</v>
      </c>
      <c r="F186" s="18" t="n">
        <f aca="false">(E186+G186)/2</f>
        <v>63.557395541583</v>
      </c>
      <c r="G186" s="18" t="n">
        <f aca="false">EXP(-'Black-Scholes'!$B$8*'Black-Scholes'!$B$7)*IF(LOWER('Black-Scholes'!$B$11)="put",MAX('Black-Scholes'!$B$6-D186,0),MAX(D186-'Black-Scholes'!$B$6,0))</f>
        <v>127.114791083166</v>
      </c>
    </row>
    <row r="187" customFormat="false" ht="15" hidden="false" customHeight="false" outlineLevel="0" collapsed="false">
      <c r="A187" s="0" t="n">
        <v>176</v>
      </c>
      <c r="B187" s="15" t="n">
        <v>-1.06758198096125</v>
      </c>
      <c r="C187" s="18" t="n">
        <f aca="false">'Black-Scholes'!$B$5*EXP(('Black-Scholes'!$B$8-'Black-Scholes'!$B$10-'Black-Scholes'!$B$9^2/2)*'Black-Scholes'!$B$7+'Black-Scholes'!$B$9*SQRT('Black-Scholes'!$B$7)*B187)</f>
        <v>83.2338228448403</v>
      </c>
      <c r="D187" s="18" t="n">
        <f aca="false">'Black-Scholes'!$B$5*EXP(('Black-Scholes'!$B$8-'Black-Scholes'!$B$10-'Black-Scholes'!$B$9^2/2)*'Black-Scholes'!$B$7-'Black-Scholes'!$B$9*SQRT('Black-Scholes'!$B$7)*B187)</f>
        <v>127.572723473818</v>
      </c>
      <c r="E187" s="18" t="n">
        <f aca="false">EXP(-'Black-Scholes'!$B$8*'Black-Scholes'!$B$7)*IF(LOWER('Black-Scholes'!$B$11)="put",MAX('Black-Scholes'!$B$6-C187,0),MAX(C187-'Black-Scholes'!$B$6,0))</f>
        <v>0</v>
      </c>
      <c r="F187" s="18" t="n">
        <f aca="false">(E187+G187)/2</f>
        <v>13.1139929409588</v>
      </c>
      <c r="G187" s="18" t="n">
        <f aca="false">EXP(-'Black-Scholes'!$B$8*'Black-Scholes'!$B$7)*IF(LOWER('Black-Scholes'!$B$11)="put",MAX('Black-Scholes'!$B$6-D187,0),MAX(D187-'Black-Scholes'!$B$6,0))</f>
        <v>26.2279858819176</v>
      </c>
    </row>
    <row r="188" customFormat="false" ht="15" hidden="false" customHeight="false" outlineLevel="0" collapsed="false">
      <c r="A188" s="0" t="n">
        <v>177</v>
      </c>
      <c r="B188" s="15" t="n">
        <v>1.38375059984089</v>
      </c>
      <c r="C188" s="18" t="n">
        <f aca="false">'Black-Scholes'!$B$5*EXP(('Black-Scholes'!$B$8-'Black-Scholes'!$B$10-'Black-Scholes'!$B$9^2/2)*'Black-Scholes'!$B$7+'Black-Scholes'!$B$9*SQRT('Black-Scholes'!$B$7)*B188)</f>
        <v>135.900133834273</v>
      </c>
      <c r="D188" s="18" t="n">
        <f aca="false">'Black-Scholes'!$B$5*EXP(('Black-Scholes'!$B$8-'Black-Scholes'!$B$10-'Black-Scholes'!$B$9^2/2)*'Black-Scholes'!$B$7-'Black-Scholes'!$B$9*SQRT('Black-Scholes'!$B$7)*B188)</f>
        <v>78.1335909381989</v>
      </c>
      <c r="E188" s="18" t="n">
        <f aca="false">EXP(-'Black-Scholes'!$B$8*'Black-Scholes'!$B$7)*IF(LOWER('Black-Scholes'!$B$11)="put",MAX('Black-Scholes'!$B$6-C188,0),MAX(C188-'Black-Scholes'!$B$6,0))</f>
        <v>34.1492636466744</v>
      </c>
      <c r="F188" s="18" t="n">
        <f aca="false">(E188+G188)/2</f>
        <v>17.0746318233372</v>
      </c>
      <c r="G188" s="18" t="n">
        <f aca="false">EXP(-'Black-Scholes'!$B$8*'Black-Scholes'!$B$7)*IF(LOWER('Black-Scholes'!$B$11)="put",MAX('Black-Scholes'!$B$6-D188,0),MAX(D188-'Black-Scholes'!$B$6,0))</f>
        <v>0</v>
      </c>
    </row>
    <row r="189" customFormat="false" ht="15" hidden="false" customHeight="false" outlineLevel="0" collapsed="false">
      <c r="A189" s="0" t="n">
        <v>178</v>
      </c>
      <c r="B189" s="15" t="n">
        <v>0.548850244401716</v>
      </c>
      <c r="C189" s="18" t="n">
        <f aca="false">'Black-Scholes'!$B$5*EXP(('Black-Scholes'!$B$8-'Black-Scholes'!$B$10-'Black-Scholes'!$B$9^2/2)*'Black-Scholes'!$B$7+'Black-Scholes'!$B$9*SQRT('Black-Scholes'!$B$7)*B189)</f>
        <v>115.000932251875</v>
      </c>
      <c r="D189" s="18" t="n">
        <f aca="false">'Black-Scholes'!$B$5*EXP(('Black-Scholes'!$B$8-'Black-Scholes'!$B$10-'Black-Scholes'!$B$9^2/2)*'Black-Scholes'!$B$7-'Black-Scholes'!$B$9*SQRT('Black-Scholes'!$B$7)*B189)</f>
        <v>92.3328642431982</v>
      </c>
      <c r="E189" s="18" t="n">
        <f aca="false">EXP(-'Black-Scholes'!$B$8*'Black-Scholes'!$B$7)*IF(LOWER('Black-Scholes'!$B$11)="put",MAX('Black-Scholes'!$B$6-C189,0),MAX(C189-'Black-Scholes'!$B$6,0))</f>
        <v>14.2693281529251</v>
      </c>
      <c r="F189" s="18" t="n">
        <f aca="false">(E189+G189)/2</f>
        <v>7.13466407646257</v>
      </c>
      <c r="G189" s="18" t="n">
        <f aca="false">EXP(-'Black-Scholes'!$B$8*'Black-Scholes'!$B$7)*IF(LOWER('Black-Scholes'!$B$11)="put",MAX('Black-Scholes'!$B$6-D189,0),MAX(D189-'Black-Scholes'!$B$6,0))</f>
        <v>0</v>
      </c>
    </row>
    <row r="190" customFormat="false" ht="15" hidden="false" customHeight="false" outlineLevel="0" collapsed="false">
      <c r="A190" s="0" t="n">
        <v>179</v>
      </c>
      <c r="B190" s="15" t="n">
        <v>-0.445823652937424</v>
      </c>
      <c r="C190" s="18" t="n">
        <f aca="false">'Black-Scholes'!$B$5*EXP(('Black-Scholes'!$B$8-'Black-Scholes'!$B$10-'Black-Scholes'!$B$9^2/2)*'Black-Scholes'!$B$7+'Black-Scholes'!$B$9*SQRT('Black-Scholes'!$B$7)*B190)</f>
        <v>94.2551489307212</v>
      </c>
      <c r="D190" s="18" t="n">
        <f aca="false">'Black-Scholes'!$B$5*EXP(('Black-Scholes'!$B$8-'Black-Scholes'!$B$10-'Black-Scholes'!$B$9^2/2)*'Black-Scholes'!$B$7-'Black-Scholes'!$B$9*SQRT('Black-Scholes'!$B$7)*B190)</f>
        <v>112.655548115024</v>
      </c>
      <c r="E190" s="18" t="n">
        <f aca="false">EXP(-'Black-Scholes'!$B$8*'Black-Scholes'!$B$7)*IF(LOWER('Black-Scholes'!$B$11)="put",MAX('Black-Scholes'!$B$6-C190,0),MAX(C190-'Black-Scholes'!$B$6,0))</f>
        <v>0</v>
      </c>
      <c r="F190" s="18" t="n">
        <f aca="false">(E190+G190)/2</f>
        <v>6.01916487509759</v>
      </c>
      <c r="G190" s="18" t="n">
        <f aca="false">EXP(-'Black-Scholes'!$B$8*'Black-Scholes'!$B$7)*IF(LOWER('Black-Scholes'!$B$11)="put",MAX('Black-Scholes'!$B$6-D190,0),MAX(D190-'Black-Scholes'!$B$6,0))</f>
        <v>12.0383297501952</v>
      </c>
    </row>
    <row r="191" customFormat="false" ht="15" hidden="false" customHeight="false" outlineLevel="0" collapsed="false">
      <c r="A191" s="0" t="n">
        <v>180</v>
      </c>
      <c r="B191" s="15" t="n">
        <v>0.274668965731639</v>
      </c>
      <c r="C191" s="18" t="n">
        <f aca="false">'Black-Scholes'!$B$5*EXP(('Black-Scholes'!$B$8-'Black-Scholes'!$B$10-'Black-Scholes'!$B$9^2/2)*'Black-Scholes'!$B$7+'Black-Scholes'!$B$9*SQRT('Black-Scholes'!$B$7)*B191)</f>
        <v>108.864498855293</v>
      </c>
      <c r="D191" s="18" t="n">
        <f aca="false">'Black-Scholes'!$B$5*EXP(('Black-Scholes'!$B$8-'Black-Scholes'!$B$10-'Black-Scholes'!$B$9^2/2)*'Black-Scholes'!$B$7-'Black-Scholes'!$B$9*SQRT('Black-Scholes'!$B$7)*B191)</f>
        <v>97.5374486366572</v>
      </c>
      <c r="E191" s="18" t="n">
        <f aca="false">EXP(-'Black-Scholes'!$B$8*'Black-Scholes'!$B$7)*IF(LOWER('Black-Scholes'!$B$11)="put",MAX('Black-Scholes'!$B$6-C191,0),MAX(C191-'Black-Scholes'!$B$6,0))</f>
        <v>8.4321721446079</v>
      </c>
      <c r="F191" s="18" t="n">
        <f aca="false">(E191+G191)/2</f>
        <v>4.21608607230395</v>
      </c>
      <c r="G191" s="18" t="n">
        <f aca="false">EXP(-'Black-Scholes'!$B$8*'Black-Scholes'!$B$7)*IF(LOWER('Black-Scholes'!$B$11)="put",MAX('Black-Scholes'!$B$6-D191,0),MAX(D191-'Black-Scholes'!$B$6,0))</f>
        <v>0</v>
      </c>
    </row>
    <row r="192" customFormat="false" ht="15" hidden="false" customHeight="false" outlineLevel="0" collapsed="false">
      <c r="A192" s="0" t="n">
        <v>181</v>
      </c>
      <c r="B192" s="15" t="n">
        <v>0.330428490628253</v>
      </c>
      <c r="C192" s="18" t="n">
        <f aca="false">'Black-Scholes'!$B$5*EXP(('Black-Scholes'!$B$8-'Black-Scholes'!$B$10-'Black-Scholes'!$B$9^2/2)*'Black-Scholes'!$B$7+'Black-Scholes'!$B$9*SQRT('Black-Scholes'!$B$7)*B192)</f>
        <v>110.085340102475</v>
      </c>
      <c r="D192" s="18" t="n">
        <f aca="false">'Black-Scholes'!$B$5*EXP(('Black-Scholes'!$B$8-'Black-Scholes'!$B$10-'Black-Scholes'!$B$9^2/2)*'Black-Scholes'!$B$7-'Black-Scholes'!$B$9*SQRT('Black-Scholes'!$B$7)*B192)</f>
        <v>96.4557629160184</v>
      </c>
      <c r="E192" s="18" t="n">
        <f aca="false">EXP(-'Black-Scholes'!$B$8*'Black-Scholes'!$B$7)*IF(LOWER('Black-Scholes'!$B$11)="put",MAX('Black-Scholes'!$B$6-C192,0),MAX(C192-'Black-Scholes'!$B$6,0))</f>
        <v>9.59347226157143</v>
      </c>
      <c r="F192" s="18" t="n">
        <f aca="false">(E192+G192)/2</f>
        <v>4.79673613078572</v>
      </c>
      <c r="G192" s="18" t="n">
        <f aca="false">EXP(-'Black-Scholes'!$B$8*'Black-Scholes'!$B$7)*IF(LOWER('Black-Scholes'!$B$11)="put",MAX('Black-Scholes'!$B$6-D192,0),MAX(D192-'Black-Scholes'!$B$6,0))</f>
        <v>0</v>
      </c>
    </row>
    <row r="193" customFormat="false" ht="15" hidden="false" customHeight="false" outlineLevel="0" collapsed="false">
      <c r="A193" s="0" t="n">
        <v>182</v>
      </c>
      <c r="B193" s="15" t="n">
        <v>0.205241287452526</v>
      </c>
      <c r="C193" s="18" t="n">
        <f aca="false">'Black-Scholes'!$B$5*EXP(('Black-Scholes'!$B$8-'Black-Scholes'!$B$10-'Black-Scholes'!$B$9^2/2)*'Black-Scholes'!$B$7+'Black-Scholes'!$B$9*SQRT('Black-Scholes'!$B$7)*B193)</f>
        <v>107.363303545426</v>
      </c>
      <c r="D193" s="18" t="n">
        <f aca="false">'Black-Scholes'!$B$5*EXP(('Black-Scholes'!$B$8-'Black-Scholes'!$B$10-'Black-Scholes'!$B$9^2/2)*'Black-Scholes'!$B$7-'Black-Scholes'!$B$9*SQRT('Black-Scholes'!$B$7)*B193)</f>
        <v>98.9012550359993</v>
      </c>
      <c r="E193" s="18" t="n">
        <f aca="false">EXP(-'Black-Scholes'!$B$8*'Black-Scholes'!$B$7)*IF(LOWER('Black-Scholes'!$B$11)="put",MAX('Black-Scholes'!$B$6-C193,0),MAX(C193-'Black-Scholes'!$B$6,0))</f>
        <v>7.00419099393977</v>
      </c>
      <c r="F193" s="18" t="n">
        <f aca="false">(E193+G193)/2</f>
        <v>3.50209549696988</v>
      </c>
      <c r="G193" s="18" t="n">
        <f aca="false">EXP(-'Black-Scholes'!$B$8*'Black-Scholes'!$B$7)*IF(LOWER('Black-Scholes'!$B$11)="put",MAX('Black-Scholes'!$B$6-D193,0),MAX(D193-'Black-Scholes'!$B$6,0))</f>
        <v>0</v>
      </c>
    </row>
    <row r="194" customFormat="false" ht="15" hidden="false" customHeight="false" outlineLevel="0" collapsed="false">
      <c r="A194" s="0" t="n">
        <v>183</v>
      </c>
      <c r="B194" s="15" t="n">
        <v>1.16451196735912</v>
      </c>
      <c r="C194" s="18" t="n">
        <f aca="false">'Black-Scholes'!$B$5*EXP(('Black-Scholes'!$B$8-'Black-Scholes'!$B$10-'Black-Scholes'!$B$9^2/2)*'Black-Scholes'!$B$7+'Black-Scholes'!$B$9*SQRT('Black-Scholes'!$B$7)*B194)</f>
        <v>130.069975596824</v>
      </c>
      <c r="D194" s="18" t="n">
        <f aca="false">'Black-Scholes'!$B$5*EXP(('Black-Scholes'!$B$8-'Black-Scholes'!$B$10-'Black-Scholes'!$B$9^2/2)*'Black-Scholes'!$B$7-'Black-Scholes'!$B$9*SQRT('Black-Scholes'!$B$7)*B194)</f>
        <v>81.6357919399263</v>
      </c>
      <c r="E194" s="18" t="n">
        <f aca="false">EXP(-'Black-Scholes'!$B$8*'Black-Scholes'!$B$7)*IF(LOWER('Black-Scholes'!$B$11)="put",MAX('Black-Scholes'!$B$6-C194,0),MAX(C194-'Black-Scholes'!$B$6,0))</f>
        <v>28.6034455817173</v>
      </c>
      <c r="F194" s="18" t="n">
        <f aca="false">(E194+G194)/2</f>
        <v>14.3017227908586</v>
      </c>
      <c r="G194" s="18" t="n">
        <f aca="false">EXP(-'Black-Scholes'!$B$8*'Black-Scholes'!$B$7)*IF(LOWER('Black-Scholes'!$B$11)="put",MAX('Black-Scholes'!$B$6-D194,0),MAX(D194-'Black-Scholes'!$B$6,0))</f>
        <v>0</v>
      </c>
    </row>
    <row r="195" customFormat="false" ht="15" hidden="false" customHeight="false" outlineLevel="0" collapsed="false">
      <c r="A195" s="0" t="n">
        <v>184</v>
      </c>
      <c r="B195" s="15" t="n">
        <v>-0.476499841209058</v>
      </c>
      <c r="C195" s="18" t="n">
        <f aca="false">'Black-Scholes'!$B$5*EXP(('Black-Scholes'!$B$8-'Black-Scholes'!$B$10-'Black-Scholes'!$B$9^2/2)*'Black-Scholes'!$B$7+'Black-Scholes'!$B$9*SQRT('Black-Scholes'!$B$7)*B195)</f>
        <v>93.6786415052849</v>
      </c>
      <c r="D195" s="18" t="n">
        <f aca="false">'Black-Scholes'!$B$5*EXP(('Black-Scholes'!$B$8-'Black-Scholes'!$B$10-'Black-Scholes'!$B$9^2/2)*'Black-Scholes'!$B$7-'Black-Scholes'!$B$9*SQRT('Black-Scholes'!$B$7)*B195)</f>
        <v>113.348841260199</v>
      </c>
      <c r="E195" s="18" t="n">
        <f aca="false">EXP(-'Black-Scholes'!$B$8*'Black-Scholes'!$B$7)*IF(LOWER('Black-Scholes'!$B$11)="put",MAX('Black-Scholes'!$B$6-C195,0),MAX(C195-'Black-Scholes'!$B$6,0))</f>
        <v>0</v>
      </c>
      <c r="F195" s="18" t="n">
        <f aca="false">(E195+G195)/2</f>
        <v>6.3489052948451</v>
      </c>
      <c r="G195" s="18" t="n">
        <f aca="false">EXP(-'Black-Scholes'!$B$8*'Black-Scholes'!$B$7)*IF(LOWER('Black-Scholes'!$B$11)="put",MAX('Black-Scholes'!$B$6-D195,0),MAX(D195-'Black-Scholes'!$B$6,0))</f>
        <v>12.6978105896902</v>
      </c>
    </row>
    <row r="196" customFormat="false" ht="15" hidden="false" customHeight="false" outlineLevel="0" collapsed="false">
      <c r="A196" s="0" t="n">
        <v>185</v>
      </c>
      <c r="B196" s="15" t="n">
        <v>-1.20177990360087</v>
      </c>
      <c r="C196" s="18" t="n">
        <f aca="false">'Black-Scholes'!$B$5*EXP(('Black-Scholes'!$B$8-'Black-Scholes'!$B$10-'Black-Scholes'!$B$9^2/2)*'Black-Scholes'!$B$7+'Black-Scholes'!$B$9*SQRT('Black-Scholes'!$B$7)*B196)</f>
        <v>81.029574495999</v>
      </c>
      <c r="D196" s="18" t="n">
        <f aca="false">'Black-Scholes'!$B$5*EXP(('Black-Scholes'!$B$8-'Black-Scholes'!$B$10-'Black-Scholes'!$B$9^2/2)*'Black-Scholes'!$B$7-'Black-Scholes'!$B$9*SQRT('Black-Scholes'!$B$7)*B196)</f>
        <v>131.043085583251</v>
      </c>
      <c r="E196" s="18" t="n">
        <f aca="false">EXP(-'Black-Scholes'!$B$8*'Black-Scholes'!$B$7)*IF(LOWER('Black-Scholes'!$B$11)="put",MAX('Black-Scholes'!$B$6-C196,0),MAX(C196-'Black-Scholes'!$B$6,0))</f>
        <v>0</v>
      </c>
      <c r="F196" s="18" t="n">
        <f aca="false">(E196+G196)/2</f>
        <v>14.764548217041</v>
      </c>
      <c r="G196" s="18" t="n">
        <f aca="false">EXP(-'Black-Scholes'!$B$8*'Black-Scholes'!$B$7)*IF(LOWER('Black-Scholes'!$B$11)="put",MAX('Black-Scholes'!$B$6-D196,0),MAX(D196-'Black-Scholes'!$B$6,0))</f>
        <v>29.5290964340821</v>
      </c>
    </row>
    <row r="197" customFormat="false" ht="15" hidden="false" customHeight="false" outlineLevel="0" collapsed="false">
      <c r="A197" s="0" t="n">
        <v>186</v>
      </c>
      <c r="B197" s="15" t="n">
        <v>0.0558425061075897</v>
      </c>
      <c r="C197" s="18" t="n">
        <f aca="false">'Black-Scholes'!$B$5*EXP(('Black-Scholes'!$B$8-'Black-Scholes'!$B$10-'Black-Scholes'!$B$9^2/2)*'Black-Scholes'!$B$7+'Black-Scholes'!$B$9*SQRT('Black-Scholes'!$B$7)*B197)</f>
        <v>104.202767368921</v>
      </c>
      <c r="D197" s="18" t="n">
        <f aca="false">'Black-Scholes'!$B$5*EXP(('Black-Scholes'!$B$8-'Black-Scholes'!$B$10-'Black-Scholes'!$B$9^2/2)*'Black-Scholes'!$B$7-'Black-Scholes'!$B$9*SQRT('Black-Scholes'!$B$7)*B197)</f>
        <v>101.900992973249</v>
      </c>
      <c r="E197" s="18" t="n">
        <f aca="false">EXP(-'Black-Scholes'!$B$8*'Black-Scholes'!$B$7)*IF(LOWER('Black-Scholes'!$B$11)="put",MAX('Black-Scholes'!$B$6-C197,0),MAX(C197-'Black-Scholes'!$B$6,0))</f>
        <v>3.99779598564938</v>
      </c>
      <c r="F197" s="18" t="n">
        <f aca="false">(E197+G197)/2</f>
        <v>2.90303821878668</v>
      </c>
      <c r="G197" s="18" t="n">
        <f aca="false">EXP(-'Black-Scholes'!$B$8*'Black-Scholes'!$B$7)*IF(LOWER('Black-Scholes'!$B$11)="put",MAX('Black-Scholes'!$B$6-D197,0),MAX(D197-'Black-Scholes'!$B$6,0))</f>
        <v>1.80828045192398</v>
      </c>
    </row>
    <row r="198" customFormat="false" ht="15" hidden="false" customHeight="false" outlineLevel="0" collapsed="false">
      <c r="A198" s="0" t="n">
        <v>187</v>
      </c>
      <c r="B198" s="15" t="n">
        <v>-0.980951153982675</v>
      </c>
      <c r="C198" s="18" t="n">
        <f aca="false">'Black-Scholes'!$B$5*EXP(('Black-Scholes'!$B$8-'Black-Scholes'!$B$10-'Black-Scholes'!$B$9^2/2)*'Black-Scholes'!$B$7+'Black-Scholes'!$B$9*SQRT('Black-Scholes'!$B$7)*B198)</f>
        <v>84.6885115234947</v>
      </c>
      <c r="D198" s="18" t="n">
        <f aca="false">'Black-Scholes'!$B$5*EXP(('Black-Scholes'!$B$8-'Black-Scholes'!$B$10-'Black-Scholes'!$B$9^2/2)*'Black-Scholes'!$B$7-'Black-Scholes'!$B$9*SQRT('Black-Scholes'!$B$7)*B198)</f>
        <v>125.381415665899</v>
      </c>
      <c r="E198" s="18" t="n">
        <f aca="false">EXP(-'Black-Scholes'!$B$8*'Black-Scholes'!$B$7)*IF(LOWER('Black-Scholes'!$B$11)="put",MAX('Black-Scholes'!$B$6-C198,0),MAX(C198-'Black-Scholes'!$B$6,0))</f>
        <v>0</v>
      </c>
      <c r="F198" s="18" t="n">
        <f aca="false">(E198+G198)/2</f>
        <v>12.0717747084434</v>
      </c>
      <c r="G198" s="18" t="n">
        <f aca="false">EXP(-'Black-Scholes'!$B$8*'Black-Scholes'!$B$7)*IF(LOWER('Black-Scholes'!$B$11)="put",MAX('Black-Scholes'!$B$6-D198,0),MAX(D198-'Black-Scholes'!$B$6,0))</f>
        <v>24.1435494168868</v>
      </c>
    </row>
    <row r="199" customFormat="false" ht="15" hidden="false" customHeight="false" outlineLevel="0" collapsed="false">
      <c r="A199" s="0" t="n">
        <v>188</v>
      </c>
      <c r="B199" s="15" t="n">
        <v>-0.2047315201724</v>
      </c>
      <c r="C199" s="18" t="n">
        <f aca="false">'Black-Scholes'!$B$5*EXP(('Black-Scholes'!$B$8-'Black-Scholes'!$B$10-'Black-Scholes'!$B$9^2/2)*'Black-Scholes'!$B$7+'Black-Scholes'!$B$9*SQRT('Black-Scholes'!$B$7)*B199)</f>
        <v>98.9113388747878</v>
      </c>
      <c r="D199" s="18" t="n">
        <f aca="false">'Black-Scholes'!$B$5*EXP(('Black-Scholes'!$B$8-'Black-Scholes'!$B$10-'Black-Scholes'!$B$9^2/2)*'Black-Scholes'!$B$7-'Black-Scholes'!$B$9*SQRT('Black-Scholes'!$B$7)*B199)</f>
        <v>107.352358043555</v>
      </c>
      <c r="E199" s="18" t="n">
        <f aca="false">EXP(-'Black-Scholes'!$B$8*'Black-Scholes'!$B$7)*IF(LOWER('Black-Scholes'!$B$11)="put",MAX('Black-Scholes'!$B$6-C199,0),MAX(C199-'Black-Scholes'!$B$6,0))</f>
        <v>0</v>
      </c>
      <c r="F199" s="18" t="n">
        <f aca="false">(E199+G199)/2</f>
        <v>3.49688965524689</v>
      </c>
      <c r="G199" s="18" t="n">
        <f aca="false">EXP(-'Black-Scholes'!$B$8*'Black-Scholes'!$B$7)*IF(LOWER('Black-Scholes'!$B$11)="put",MAX('Black-Scholes'!$B$6-D199,0),MAX(D199-'Black-Scholes'!$B$6,0))</f>
        <v>6.99377931049379</v>
      </c>
    </row>
    <row r="200" customFormat="false" ht="15" hidden="false" customHeight="false" outlineLevel="0" collapsed="false">
      <c r="A200" s="0" t="n">
        <v>189</v>
      </c>
      <c r="B200" s="15" t="n">
        <v>0.260265597309057</v>
      </c>
      <c r="C200" s="18" t="n">
        <f aca="false">'Black-Scholes'!$B$5*EXP(('Black-Scholes'!$B$8-'Black-Scholes'!$B$10-'Black-Scholes'!$B$9^2/2)*'Black-Scholes'!$B$7+'Black-Scholes'!$B$9*SQRT('Black-Scholes'!$B$7)*B200)</f>
        <v>108.551347018942</v>
      </c>
      <c r="D200" s="18" t="n">
        <f aca="false">'Black-Scholes'!$B$5*EXP(('Black-Scholes'!$B$8-'Black-Scholes'!$B$10-'Black-Scholes'!$B$9^2/2)*'Black-Scholes'!$B$7-'Black-Scholes'!$B$9*SQRT('Black-Scholes'!$B$7)*B200)</f>
        <v>97.8188272836517</v>
      </c>
      <c r="E200" s="18" t="n">
        <f aca="false">EXP(-'Black-Scholes'!$B$8*'Black-Scholes'!$B$7)*IF(LOWER('Black-Scholes'!$B$11)="put",MAX('Black-Scholes'!$B$6-C200,0),MAX(C200-'Black-Scholes'!$B$6,0))</f>
        <v>8.13429290353385</v>
      </c>
      <c r="F200" s="18" t="n">
        <f aca="false">(E200+G200)/2</f>
        <v>4.06714645176692</v>
      </c>
      <c r="G200" s="18" t="n">
        <f aca="false">EXP(-'Black-Scholes'!$B$8*'Black-Scholes'!$B$7)*IF(LOWER('Black-Scholes'!$B$11)="put",MAX('Black-Scholes'!$B$6-D200,0),MAX(D200-'Black-Scholes'!$B$6,0))</f>
        <v>0</v>
      </c>
    </row>
    <row r="201" customFormat="false" ht="15" hidden="false" customHeight="false" outlineLevel="0" collapsed="false">
      <c r="A201" s="0" t="n">
        <v>190</v>
      </c>
      <c r="B201" s="15" t="n">
        <v>0.0537023903406026</v>
      </c>
      <c r="C201" s="18" t="n">
        <f aca="false">'Black-Scholes'!$B$5*EXP(('Black-Scholes'!$B$8-'Black-Scholes'!$B$10-'Black-Scholes'!$B$9^2/2)*'Black-Scholes'!$B$7+'Black-Scholes'!$B$9*SQRT('Black-Scholes'!$B$7)*B201)</f>
        <v>104.15817571565</v>
      </c>
      <c r="D201" s="18" t="n">
        <f aca="false">'Black-Scholes'!$B$5*EXP(('Black-Scholes'!$B$8-'Black-Scholes'!$B$10-'Black-Scholes'!$B$9^2/2)*'Black-Scholes'!$B$7-'Black-Scholes'!$B$9*SQRT('Black-Scholes'!$B$7)*B201)</f>
        <v>101.944618293254</v>
      </c>
      <c r="E201" s="18" t="n">
        <f aca="false">EXP(-'Black-Scholes'!$B$8*'Black-Scholes'!$B$7)*IF(LOWER('Black-Scholes'!$B$11)="put",MAX('Black-Scholes'!$B$6-C201,0),MAX(C201-'Black-Scholes'!$B$6,0))</f>
        <v>3.95537909297071</v>
      </c>
      <c r="F201" s="18" t="n">
        <f aca="false">(E201+G201)/2</f>
        <v>2.90257861646798</v>
      </c>
      <c r="G201" s="18" t="n">
        <f aca="false">EXP(-'Black-Scholes'!$B$8*'Black-Scholes'!$B$7)*IF(LOWER('Black-Scholes'!$B$11)="put",MAX('Black-Scholes'!$B$6-D201,0),MAX(D201-'Black-Scholes'!$B$6,0))</f>
        <v>1.84977813996525</v>
      </c>
    </row>
    <row r="202" customFormat="false" ht="15" hidden="false" customHeight="false" outlineLevel="0" collapsed="false">
      <c r="A202" s="0" t="n">
        <v>191</v>
      </c>
      <c r="B202" s="15" t="n">
        <v>-1.63822222600794</v>
      </c>
      <c r="C202" s="18" t="n">
        <f aca="false">'Black-Scholes'!$B$5*EXP(('Black-Scholes'!$B$8-'Black-Scholes'!$B$10-'Black-Scholes'!$B$9^2/2)*'Black-Scholes'!$B$7+'Black-Scholes'!$B$9*SQRT('Black-Scholes'!$B$7)*B202)</f>
        <v>74.2565315477127</v>
      </c>
      <c r="D202" s="18" t="n">
        <f aca="false">'Black-Scholes'!$B$5*EXP(('Black-Scholes'!$B$8-'Black-Scholes'!$B$10-'Black-Scholes'!$B$9^2/2)*'Black-Scholes'!$B$7-'Black-Scholes'!$B$9*SQRT('Black-Scholes'!$B$7)*B202)</f>
        <v>142.995710197303</v>
      </c>
      <c r="E202" s="18" t="n">
        <f aca="false">EXP(-'Black-Scholes'!$B$8*'Black-Scholes'!$B$7)*IF(LOWER('Black-Scholes'!$B$11)="put",MAX('Black-Scholes'!$B$6-C202,0),MAX(C202-'Black-Scholes'!$B$6,0))</f>
        <v>0</v>
      </c>
      <c r="F202" s="18" t="n">
        <f aca="false">(E202+G202)/2</f>
        <v>20.4493923334899</v>
      </c>
      <c r="G202" s="18" t="n">
        <f aca="false">EXP(-'Black-Scholes'!$B$8*'Black-Scholes'!$B$7)*IF(LOWER('Black-Scholes'!$B$11)="put",MAX('Black-Scholes'!$B$6-D202,0),MAX(D202-'Black-Scholes'!$B$6,0))</f>
        <v>40.8987846669798</v>
      </c>
    </row>
    <row r="203" customFormat="false" ht="15" hidden="false" customHeight="false" outlineLevel="0" collapsed="false">
      <c r="A203" s="0" t="n">
        <v>192</v>
      </c>
      <c r="B203" s="15" t="n">
        <v>0.0274167402030328</v>
      </c>
      <c r="C203" s="18" t="n">
        <f aca="false">'Black-Scholes'!$B$5*EXP(('Black-Scholes'!$B$8-'Black-Scholes'!$B$10-'Black-Scholes'!$B$9^2/2)*'Black-Scholes'!$B$7+'Black-Scholes'!$B$9*SQRT('Black-Scholes'!$B$7)*B203)</f>
        <v>103.612039454968</v>
      </c>
      <c r="D203" s="18" t="n">
        <f aca="false">'Black-Scholes'!$B$5*EXP(('Black-Scholes'!$B$8-'Black-Scholes'!$B$10-'Black-Scholes'!$B$9^2/2)*'Black-Scholes'!$B$7-'Black-Scholes'!$B$9*SQRT('Black-Scholes'!$B$7)*B203)</f>
        <v>102.481965622042</v>
      </c>
      <c r="E203" s="18" t="n">
        <f aca="false">EXP(-'Black-Scholes'!$B$8*'Black-Scholes'!$B$7)*IF(LOWER('Black-Scholes'!$B$11)="put",MAX('Black-Scholes'!$B$6-C203,0),MAX(C203-'Black-Scholes'!$B$6,0))</f>
        <v>3.43587821202266</v>
      </c>
      <c r="F203" s="18" t="n">
        <f aca="false">(E203+G203)/2</f>
        <v>2.8983984711539</v>
      </c>
      <c r="G203" s="18" t="n">
        <f aca="false">EXP(-'Black-Scholes'!$B$8*'Black-Scholes'!$B$7)*IF(LOWER('Black-Scholes'!$B$11)="put",MAX('Black-Scholes'!$B$6-D203,0),MAX(D203-'Black-Scholes'!$B$6,0))</f>
        <v>2.36091873028513</v>
      </c>
    </row>
    <row r="204" customFormat="false" ht="15" hidden="false" customHeight="false" outlineLevel="0" collapsed="false">
      <c r="A204" s="0" t="n">
        <v>193</v>
      </c>
      <c r="B204" s="15" t="n">
        <v>1.77715335784556</v>
      </c>
      <c r="C204" s="18" t="n">
        <f aca="false">'Black-Scholes'!$B$5*EXP(('Black-Scholes'!$B$8-'Black-Scholes'!$B$10-'Black-Scholes'!$B$9^2/2)*'Black-Scholes'!$B$7+'Black-Scholes'!$B$9*SQRT('Black-Scholes'!$B$7)*B204)</f>
        <v>147.024737885708</v>
      </c>
      <c r="D204" s="18" t="n">
        <f aca="false">'Black-Scholes'!$B$5*EXP(('Black-Scholes'!$B$8-'Black-Scholes'!$B$10-'Black-Scholes'!$B$9^2/2)*'Black-Scholes'!$B$7-'Black-Scholes'!$B$9*SQRT('Black-Scholes'!$B$7)*B204)</f>
        <v>72.2216248649799</v>
      </c>
      <c r="E204" s="18" t="n">
        <f aca="false">EXP(-'Black-Scholes'!$B$8*'Black-Scholes'!$B$7)*IF(LOWER('Black-Scholes'!$B$11)="put",MAX('Black-Scholes'!$B$6-C204,0),MAX(C204-'Black-Scholes'!$B$6,0))</f>
        <v>44.7313143563189</v>
      </c>
      <c r="F204" s="18" t="n">
        <f aca="false">(E204+G204)/2</f>
        <v>22.3656571781595</v>
      </c>
      <c r="G204" s="18" t="n">
        <f aca="false">EXP(-'Black-Scholes'!$B$8*'Black-Scholes'!$B$7)*IF(LOWER('Black-Scholes'!$B$11)="put",MAX('Black-Scholes'!$B$6-D204,0),MAX(D204-'Black-Scholes'!$B$6,0))</f>
        <v>0</v>
      </c>
    </row>
    <row r="205" customFormat="false" ht="15" hidden="false" customHeight="false" outlineLevel="0" collapsed="false">
      <c r="A205" s="0" t="n">
        <v>194</v>
      </c>
      <c r="B205" s="15" t="n">
        <v>-0.280632853038868</v>
      </c>
      <c r="C205" s="18" t="n">
        <f aca="false">'Black-Scholes'!$B$5*EXP(('Black-Scholes'!$B$8-'Black-Scholes'!$B$10-'Black-Scholes'!$B$9^2/2)*'Black-Scholes'!$B$7+'Black-Scholes'!$B$9*SQRT('Black-Scholes'!$B$7)*B205)</f>
        <v>97.4211775228435</v>
      </c>
      <c r="D205" s="18" t="n">
        <f aca="false">'Black-Scholes'!$B$5*EXP(('Black-Scholes'!$B$8-'Black-Scholes'!$B$10-'Black-Scholes'!$B$9^2/2)*'Black-Scholes'!$B$7-'Black-Scholes'!$B$9*SQRT('Black-Scholes'!$B$7)*B205)</f>
        <v>108.994427448424</v>
      </c>
      <c r="E205" s="18" t="n">
        <f aca="false">EXP(-'Black-Scholes'!$B$8*'Black-Scholes'!$B$7)*IF(LOWER('Black-Scholes'!$B$11)="put",MAX('Black-Scholes'!$B$6-C205,0),MAX(C205-'Black-Scholes'!$B$6,0))</f>
        <v>0</v>
      </c>
      <c r="F205" s="18" t="n">
        <f aca="false">(E205+G205)/2</f>
        <v>4.27788202273888</v>
      </c>
      <c r="G205" s="18" t="n">
        <f aca="false">EXP(-'Black-Scholes'!$B$8*'Black-Scholes'!$B$7)*IF(LOWER('Black-Scholes'!$B$11)="put",MAX('Black-Scholes'!$B$6-D205,0),MAX(D205-'Black-Scholes'!$B$6,0))</f>
        <v>8.55576404547775</v>
      </c>
    </row>
    <row r="206" customFormat="false" ht="15" hidden="false" customHeight="false" outlineLevel="0" collapsed="false">
      <c r="A206" s="0" t="n">
        <v>195</v>
      </c>
      <c r="B206" s="15" t="n">
        <v>0.807059898787651</v>
      </c>
      <c r="C206" s="18" t="n">
        <f aca="false">'Black-Scholes'!$B$5*EXP(('Black-Scholes'!$B$8-'Black-Scholes'!$B$10-'Black-Scholes'!$B$9^2/2)*'Black-Scholes'!$B$7+'Black-Scholes'!$B$9*SQRT('Black-Scholes'!$B$7)*B206)</f>
        <v>121.0958239611</v>
      </c>
      <c r="D206" s="18" t="n">
        <f aca="false">'Black-Scholes'!$B$5*EXP(('Black-Scholes'!$B$8-'Black-Scholes'!$B$10-'Black-Scholes'!$B$9^2/2)*'Black-Scholes'!$B$7-'Black-Scholes'!$B$9*SQRT('Black-Scholes'!$B$7)*B206)</f>
        <v>87.6856452858738</v>
      </c>
      <c r="E206" s="18" t="n">
        <f aca="false">EXP(-'Black-Scholes'!$B$8*'Black-Scholes'!$B$7)*IF(LOWER('Black-Scholes'!$B$11)="put",MAX('Black-Scholes'!$B$6-C206,0),MAX(C206-'Black-Scholes'!$B$6,0))</f>
        <v>20.0669684858852</v>
      </c>
      <c r="F206" s="18" t="n">
        <f aca="false">(E206+G206)/2</f>
        <v>10.0334842429426</v>
      </c>
      <c r="G206" s="18" t="n">
        <f aca="false">EXP(-'Black-Scholes'!$B$8*'Black-Scholes'!$B$7)*IF(LOWER('Black-Scholes'!$B$11)="put",MAX('Black-Scholes'!$B$6-D206,0),MAX(D206-'Black-Scholes'!$B$6,0))</f>
        <v>0</v>
      </c>
    </row>
    <row r="207" customFormat="false" ht="15" hidden="false" customHeight="false" outlineLevel="0" collapsed="false">
      <c r="A207" s="0" t="n">
        <v>196</v>
      </c>
      <c r="B207" s="15" t="n">
        <v>0.0489958753765988</v>
      </c>
      <c r="C207" s="18" t="n">
        <f aca="false">'Black-Scholes'!$B$5*EXP(('Black-Scholes'!$B$8-'Black-Scholes'!$B$10-'Black-Scholes'!$B$9^2/2)*'Black-Scholes'!$B$7+'Black-Scholes'!$B$9*SQRT('Black-Scholes'!$B$7)*B207)</f>
        <v>104.060177443394</v>
      </c>
      <c r="D207" s="18" t="n">
        <f aca="false">'Black-Scholes'!$B$5*EXP(('Black-Scholes'!$B$8-'Black-Scholes'!$B$10-'Black-Scholes'!$B$9^2/2)*'Black-Scholes'!$B$7-'Black-Scholes'!$B$9*SQRT('Black-Scholes'!$B$7)*B207)</f>
        <v>102.040624245809</v>
      </c>
      <c r="E207" s="18" t="n">
        <f aca="false">EXP(-'Black-Scholes'!$B$8*'Black-Scholes'!$B$7)*IF(LOWER('Black-Scholes'!$B$11)="put",MAX('Black-Scholes'!$B$6-C207,0),MAX(C207-'Black-Scholes'!$B$6,0))</f>
        <v>3.86216025285022</v>
      </c>
      <c r="F207" s="18" t="n">
        <f aca="false">(E207+G207)/2</f>
        <v>2.90163103990687</v>
      </c>
      <c r="G207" s="18" t="n">
        <f aca="false">EXP(-'Black-Scholes'!$B$8*'Black-Scholes'!$B$7)*IF(LOWER('Black-Scholes'!$B$11)="put",MAX('Black-Scholes'!$B$6-D207,0),MAX(D207-'Black-Scholes'!$B$6,0))</f>
        <v>1.94110182696352</v>
      </c>
    </row>
    <row r="208" customFormat="false" ht="15" hidden="false" customHeight="false" outlineLevel="0" collapsed="false">
      <c r="A208" s="0" t="n">
        <v>197</v>
      </c>
      <c r="B208" s="15" t="n">
        <v>0.7108537698255</v>
      </c>
      <c r="C208" s="18" t="n">
        <f aca="false">'Black-Scholes'!$B$5*EXP(('Black-Scholes'!$B$8-'Black-Scholes'!$B$10-'Black-Scholes'!$B$9^2/2)*'Black-Scholes'!$B$7+'Black-Scholes'!$B$9*SQRT('Black-Scholes'!$B$7)*B208)</f>
        <v>118.788065122869</v>
      </c>
      <c r="D208" s="18" t="n">
        <f aca="false">'Black-Scholes'!$B$5*EXP(('Black-Scholes'!$B$8-'Black-Scholes'!$B$10-'Black-Scholes'!$B$9^2/2)*'Black-Scholes'!$B$7-'Black-Scholes'!$B$9*SQRT('Black-Scholes'!$B$7)*B208)</f>
        <v>89.3891608931459</v>
      </c>
      <c r="E208" s="18" t="n">
        <f aca="false">EXP(-'Black-Scholes'!$B$8*'Black-Scholes'!$B$7)*IF(LOWER('Black-Scholes'!$B$11)="put",MAX('Black-Scholes'!$B$6-C208,0),MAX(C208-'Black-Scholes'!$B$6,0))</f>
        <v>17.8717603743082</v>
      </c>
      <c r="F208" s="18" t="n">
        <f aca="false">(E208+G208)/2</f>
        <v>8.93588018715411</v>
      </c>
      <c r="G208" s="18" t="n">
        <f aca="false">EXP(-'Black-Scholes'!$B$8*'Black-Scholes'!$B$7)*IF(LOWER('Black-Scholes'!$B$11)="put",MAX('Black-Scholes'!$B$6-D208,0),MAX(D208-'Black-Scholes'!$B$6,0))</f>
        <v>0</v>
      </c>
    </row>
    <row r="209" customFormat="false" ht="15" hidden="false" customHeight="false" outlineLevel="0" collapsed="false">
      <c r="A209" s="0" t="n">
        <v>198</v>
      </c>
      <c r="B209" s="15" t="n">
        <v>1.32883486382046</v>
      </c>
      <c r="C209" s="18" t="n">
        <f aca="false">'Black-Scholes'!$B$5*EXP(('Black-Scholes'!$B$8-'Black-Scholes'!$B$10-'Black-Scholes'!$B$9^2/2)*'Black-Scholes'!$B$7+'Black-Scholes'!$B$9*SQRT('Black-Scholes'!$B$7)*B209)</f>
        <v>134.415689516831</v>
      </c>
      <c r="D209" s="18" t="n">
        <f aca="false">'Black-Scholes'!$B$5*EXP(('Black-Scholes'!$B$8-'Black-Scholes'!$B$10-'Black-Scholes'!$B$9^2/2)*'Black-Scholes'!$B$7-'Black-Scholes'!$B$9*SQRT('Black-Scholes'!$B$7)*B209)</f>
        <v>78.9964735785102</v>
      </c>
      <c r="E209" s="18" t="n">
        <f aca="false">EXP(-'Black-Scholes'!$B$8*'Black-Scholes'!$B$7)*IF(LOWER('Black-Scholes'!$B$11)="put",MAX('Black-Scholes'!$B$6-C209,0),MAX(C209-'Black-Scholes'!$B$6,0))</f>
        <v>32.7372165328907</v>
      </c>
      <c r="F209" s="18" t="n">
        <f aca="false">(E209+G209)/2</f>
        <v>16.3686082664454</v>
      </c>
      <c r="G209" s="18" t="n">
        <f aca="false">EXP(-'Black-Scholes'!$B$8*'Black-Scholes'!$B$7)*IF(LOWER('Black-Scholes'!$B$11)="put",MAX('Black-Scholes'!$B$6-D209,0),MAX(D209-'Black-Scholes'!$B$6,0))</f>
        <v>0</v>
      </c>
    </row>
    <row r="210" customFormat="false" ht="15" hidden="false" customHeight="false" outlineLevel="0" collapsed="false">
      <c r="A210" s="0" t="n">
        <v>199</v>
      </c>
      <c r="B210" s="15" t="n">
        <v>0.275958259008395</v>
      </c>
      <c r="C210" s="18" t="n">
        <f aca="false">'Black-Scholes'!$B$5*EXP(('Black-Scholes'!$B$8-'Black-Scholes'!$B$10-'Black-Scholes'!$B$9^2/2)*'Black-Scholes'!$B$7+'Black-Scholes'!$B$9*SQRT('Black-Scholes'!$B$7)*B210)</f>
        <v>108.892574128154</v>
      </c>
      <c r="D210" s="18" t="n">
        <f aca="false">'Black-Scholes'!$B$5*EXP(('Black-Scholes'!$B$8-'Black-Scholes'!$B$10-'Black-Scholes'!$B$9^2/2)*'Black-Scholes'!$B$7-'Black-Scholes'!$B$9*SQRT('Black-Scholes'!$B$7)*B210)</f>
        <v>97.5123010037121</v>
      </c>
      <c r="E210" s="18" t="n">
        <f aca="false">EXP(-'Black-Scholes'!$B$8*'Black-Scholes'!$B$7)*IF(LOWER('Black-Scholes'!$B$11)="put",MAX('Black-Scholes'!$B$6-C210,0),MAX(C210-'Black-Scholes'!$B$6,0))</f>
        <v>8.45887817025399</v>
      </c>
      <c r="F210" s="18" t="n">
        <f aca="false">(E210+G210)/2</f>
        <v>4.22943908512699</v>
      </c>
      <c r="G210" s="18" t="n">
        <f aca="false">EXP(-'Black-Scholes'!$B$8*'Black-Scholes'!$B$7)*IF(LOWER('Black-Scholes'!$B$11)="put",MAX('Black-Scholes'!$B$6-D210,0),MAX(D210-'Black-Scholes'!$B$6,0))</f>
        <v>0</v>
      </c>
    </row>
    <row r="211" customFormat="false" ht="15" hidden="false" customHeight="false" outlineLevel="0" collapsed="false">
      <c r="A211" s="0" t="n">
        <v>200</v>
      </c>
      <c r="B211" s="15" t="n">
        <v>2.20806877613897</v>
      </c>
      <c r="C211" s="18" t="n">
        <f aca="false">'Black-Scholes'!$B$5*EXP(('Black-Scholes'!$B$8-'Black-Scholes'!$B$10-'Black-Scholes'!$B$9^2/2)*'Black-Scholes'!$B$7+'Black-Scholes'!$B$9*SQRT('Black-Scholes'!$B$7)*B211)</f>
        <v>160.257827668942</v>
      </c>
      <c r="D211" s="18" t="n">
        <f aca="false">'Black-Scholes'!$B$5*EXP(('Black-Scholes'!$B$8-'Black-Scholes'!$B$10-'Black-Scholes'!$B$9^2/2)*'Black-Scholes'!$B$7-'Black-Scholes'!$B$9*SQRT('Black-Scholes'!$B$7)*B211)</f>
        <v>66.2580144752046</v>
      </c>
      <c r="E211" s="18" t="n">
        <f aca="false">EXP(-'Black-Scholes'!$B$8*'Black-Scholes'!$B$7)*IF(LOWER('Black-Scholes'!$B$11)="put",MAX('Black-Scholes'!$B$6-C211,0),MAX(C211-'Black-Scholes'!$B$6,0))</f>
        <v>57.3190187351909</v>
      </c>
      <c r="F211" s="18" t="n">
        <f aca="false">(E211+G211)/2</f>
        <v>28.6595093675954</v>
      </c>
      <c r="G211" s="18" t="n">
        <f aca="false">EXP(-'Black-Scholes'!$B$8*'Black-Scholes'!$B$7)*IF(LOWER('Black-Scholes'!$B$11)="put",MAX('Black-Scholes'!$B$6-D211,0),MAX(D211-'Black-Scholes'!$B$6,0))</f>
        <v>0</v>
      </c>
    </row>
    <row r="212" customFormat="false" ht="15" hidden="false" customHeight="false" outlineLevel="0" collapsed="false">
      <c r="A212" s="0" t="n">
        <v>201</v>
      </c>
      <c r="B212" s="15" t="n">
        <v>-0.515884889667566</v>
      </c>
      <c r="C212" s="18" t="n">
        <f aca="false">'Black-Scholes'!$B$5*EXP(('Black-Scholes'!$B$8-'Black-Scholes'!$B$10-'Black-Scholes'!$B$9^2/2)*'Black-Scholes'!$B$7+'Black-Scholes'!$B$9*SQRT('Black-Scholes'!$B$7)*B212)</f>
        <v>92.9436325749146</v>
      </c>
      <c r="D212" s="18" t="n">
        <f aca="false">'Black-Scholes'!$B$5*EXP(('Black-Scholes'!$B$8-'Black-Scholes'!$B$10-'Black-Scholes'!$B$9^2/2)*'Black-Scholes'!$B$7-'Black-Scholes'!$B$9*SQRT('Black-Scholes'!$B$7)*B212)</f>
        <v>114.245216926452</v>
      </c>
      <c r="E212" s="18" t="n">
        <f aca="false">EXP(-'Black-Scholes'!$B$8*'Black-Scholes'!$B$7)*IF(LOWER('Black-Scholes'!$B$11)="put",MAX('Black-Scholes'!$B$6-C212,0),MAX(C212-'Black-Scholes'!$B$6,0))</f>
        <v>0</v>
      </c>
      <c r="F212" s="18" t="n">
        <f aca="false">(E212+G212)/2</f>
        <v>6.77523474941855</v>
      </c>
      <c r="G212" s="18" t="n">
        <f aca="false">EXP(-'Black-Scholes'!$B$8*'Black-Scholes'!$B$7)*IF(LOWER('Black-Scholes'!$B$11)="put",MAX('Black-Scholes'!$B$6-D212,0),MAX(D212-'Black-Scholes'!$B$6,0))</f>
        <v>13.5504694988371</v>
      </c>
    </row>
    <row r="213" customFormat="false" ht="15" hidden="false" customHeight="false" outlineLevel="0" collapsed="false">
      <c r="A213" s="0" t="n">
        <v>202</v>
      </c>
      <c r="B213" s="15" t="n">
        <v>0.819524514595809</v>
      </c>
      <c r="C213" s="18" t="n">
        <f aca="false">'Black-Scholes'!$B$5*EXP(('Black-Scholes'!$B$8-'Black-Scholes'!$B$10-'Black-Scholes'!$B$9^2/2)*'Black-Scholes'!$B$7+'Black-Scholes'!$B$9*SQRT('Black-Scholes'!$B$7)*B213)</f>
        <v>121.398083143351</v>
      </c>
      <c r="D213" s="18" t="n">
        <f aca="false">'Black-Scholes'!$B$5*EXP(('Black-Scholes'!$B$8-'Black-Scholes'!$B$10-'Black-Scholes'!$B$9^2/2)*'Black-Scholes'!$B$7-'Black-Scholes'!$B$9*SQRT('Black-Scholes'!$B$7)*B213)</f>
        <v>87.4673239520191</v>
      </c>
      <c r="E213" s="18" t="n">
        <f aca="false">EXP(-'Black-Scholes'!$B$8*'Black-Scholes'!$B$7)*IF(LOWER('Black-Scholes'!$B$11)="put",MAX('Black-Scholes'!$B$6-C213,0),MAX(C213-'Black-Scholes'!$B$6,0))</f>
        <v>20.3544863138678</v>
      </c>
      <c r="F213" s="18" t="n">
        <f aca="false">(E213+G213)/2</f>
        <v>10.1772431569339</v>
      </c>
      <c r="G213" s="18" t="n">
        <f aca="false">EXP(-'Black-Scholes'!$B$8*'Black-Scholes'!$B$7)*IF(LOWER('Black-Scholes'!$B$11)="put",MAX('Black-Scholes'!$B$6-D213,0),MAX(D213-'Black-Scholes'!$B$6,0))</f>
        <v>0</v>
      </c>
    </row>
    <row r="214" customFormat="false" ht="15" hidden="false" customHeight="false" outlineLevel="0" collapsed="false">
      <c r="A214" s="0" t="n">
        <v>203</v>
      </c>
      <c r="B214" s="15" t="n">
        <v>-0.834995873138593</v>
      </c>
      <c r="C214" s="18" t="n">
        <f aca="false">'Black-Scholes'!$B$5*EXP(('Black-Scholes'!$B$8-'Black-Scholes'!$B$10-'Black-Scholes'!$B$9^2/2)*'Black-Scholes'!$B$7+'Black-Scholes'!$B$9*SQRT('Black-Scholes'!$B$7)*B214)</f>
        <v>87.1970945832461</v>
      </c>
      <c r="D214" s="18" t="n">
        <f aca="false">'Black-Scholes'!$B$5*EXP(('Black-Scholes'!$B$8-'Black-Scholes'!$B$10-'Black-Scholes'!$B$9^2/2)*'Black-Scholes'!$B$7-'Black-Scholes'!$B$9*SQRT('Black-Scholes'!$B$7)*B214)</f>
        <v>121.774303561415</v>
      </c>
      <c r="E214" s="18" t="n">
        <f aca="false">EXP(-'Black-Scholes'!$B$8*'Black-Scholes'!$B$7)*IF(LOWER('Black-Scholes'!$B$11)="put",MAX('Black-Scholes'!$B$6-C214,0),MAX(C214-'Black-Scholes'!$B$6,0))</f>
        <v>0</v>
      </c>
      <c r="F214" s="18" t="n">
        <f aca="false">(E214+G214)/2</f>
        <v>10.3561791228141</v>
      </c>
      <c r="G214" s="18" t="n">
        <f aca="false">EXP(-'Black-Scholes'!$B$8*'Black-Scholes'!$B$7)*IF(LOWER('Black-Scholes'!$B$11)="put",MAX('Black-Scholes'!$B$6-D214,0),MAX(D214-'Black-Scholes'!$B$6,0))</f>
        <v>20.7123582456283</v>
      </c>
    </row>
    <row r="215" customFormat="false" ht="15" hidden="false" customHeight="false" outlineLevel="0" collapsed="false">
      <c r="A215" s="0" t="n">
        <v>204</v>
      </c>
      <c r="B215" s="15" t="n">
        <v>-0.0458968622749226</v>
      </c>
      <c r="C215" s="18" t="n">
        <f aca="false">'Black-Scholes'!$B$5*EXP(('Black-Scholes'!$B$8-'Black-Scholes'!$B$10-'Black-Scholes'!$B$9^2/2)*'Black-Scholes'!$B$7+'Black-Scholes'!$B$9*SQRT('Black-Scholes'!$B$7)*B215)</f>
        <v>102.10388889587</v>
      </c>
      <c r="D215" s="18" t="n">
        <f aca="false">'Black-Scholes'!$B$5*EXP(('Black-Scholes'!$B$8-'Black-Scholes'!$B$10-'Black-Scholes'!$B$9^2/2)*'Black-Scholes'!$B$7-'Black-Scholes'!$B$9*SQRT('Black-Scholes'!$B$7)*B215)</f>
        <v>103.995700656247</v>
      </c>
      <c r="E215" s="18" t="n">
        <f aca="false">EXP(-'Black-Scholes'!$B$8*'Black-Scholes'!$B$7)*IF(LOWER('Black-Scholes'!$B$11)="put",MAX('Black-Scholes'!$B$6-C215,0),MAX(C215-'Black-Scholes'!$B$6,0))</f>
        <v>2.00128102363215</v>
      </c>
      <c r="F215" s="18" t="n">
        <f aca="false">(E215+G215)/2</f>
        <v>2.9010545296754</v>
      </c>
      <c r="G215" s="18" t="n">
        <f aca="false">EXP(-'Black-Scholes'!$B$8*'Black-Scholes'!$B$7)*IF(LOWER('Black-Scholes'!$B$11)="put",MAX('Black-Scholes'!$B$6-D215,0),MAX(D215-'Black-Scholes'!$B$6,0))</f>
        <v>3.80082803571866</v>
      </c>
    </row>
    <row r="216" customFormat="false" ht="15" hidden="false" customHeight="false" outlineLevel="0" collapsed="false">
      <c r="A216" s="0" t="n">
        <v>205</v>
      </c>
      <c r="B216" s="15" t="n">
        <v>-0.567979507284734</v>
      </c>
      <c r="C216" s="18" t="n">
        <f aca="false">'Black-Scholes'!$B$5*EXP(('Black-Scholes'!$B$8-'Black-Scholes'!$B$10-'Black-Scholes'!$B$9^2/2)*'Black-Scholes'!$B$7+'Black-Scholes'!$B$9*SQRT('Black-Scholes'!$B$7)*B216)</f>
        <v>91.9802872005817</v>
      </c>
      <c r="D216" s="18" t="n">
        <f aca="false">'Black-Scholes'!$B$5*EXP(('Black-Scholes'!$B$8-'Black-Scholes'!$B$10-'Black-Scholes'!$B$9^2/2)*'Black-Scholes'!$B$7-'Black-Scholes'!$B$9*SQRT('Black-Scholes'!$B$7)*B216)</f>
        <v>115.441751582033</v>
      </c>
      <c r="E216" s="18" t="n">
        <f aca="false">EXP(-'Black-Scholes'!$B$8*'Black-Scholes'!$B$7)*IF(LOWER('Black-Scholes'!$B$11)="put",MAX('Black-Scholes'!$B$6-C216,0),MAX(C216-'Black-Scholes'!$B$6,0))</f>
        <v>0</v>
      </c>
      <c r="F216" s="18" t="n">
        <f aca="false">(E216+G216)/2</f>
        <v>7.34432423533007</v>
      </c>
      <c r="G216" s="18" t="n">
        <f aca="false">EXP(-'Black-Scholes'!$B$8*'Black-Scholes'!$B$7)*IF(LOWER('Black-Scholes'!$B$11)="put",MAX('Black-Scholes'!$B$6-D216,0),MAX(D216-'Black-Scholes'!$B$6,0))</f>
        <v>14.6886484706601</v>
      </c>
    </row>
    <row r="217" customFormat="false" ht="15" hidden="false" customHeight="false" outlineLevel="0" collapsed="false">
      <c r="A217" s="0" t="n">
        <v>206</v>
      </c>
      <c r="B217" s="15" t="n">
        <v>-0.628358714110104</v>
      </c>
      <c r="C217" s="18" t="n">
        <f aca="false">'Black-Scholes'!$B$5*EXP(('Black-Scholes'!$B$8-'Black-Scholes'!$B$10-'Black-Scholes'!$B$9^2/2)*'Black-Scholes'!$B$7+'Black-Scholes'!$B$9*SQRT('Black-Scholes'!$B$7)*B217)</f>
        <v>90.8762274853032</v>
      </c>
      <c r="D217" s="18" t="n">
        <f aca="false">'Black-Scholes'!$B$5*EXP(('Black-Scholes'!$B$8-'Black-Scholes'!$B$10-'Black-Scholes'!$B$9^2/2)*'Black-Scholes'!$B$7-'Black-Scholes'!$B$9*SQRT('Black-Scholes'!$B$7)*B217)</f>
        <v>116.844259046414</v>
      </c>
      <c r="E217" s="18" t="n">
        <f aca="false">EXP(-'Black-Scholes'!$B$8*'Black-Scholes'!$B$7)*IF(LOWER('Black-Scholes'!$B$11)="put",MAX('Black-Scholes'!$B$6-C217,0),MAX(C217-'Black-Scholes'!$B$6,0))</f>
        <v>0</v>
      </c>
      <c r="F217" s="18" t="n">
        <f aca="false">(E217+G217)/2</f>
        <v>8.01137741943058</v>
      </c>
      <c r="G217" s="18" t="n">
        <f aca="false">EXP(-'Black-Scholes'!$B$8*'Black-Scholes'!$B$7)*IF(LOWER('Black-Scholes'!$B$11)="put",MAX('Black-Scholes'!$B$6-D217,0),MAX(D217-'Black-Scholes'!$B$6,0))</f>
        <v>16.0227548388612</v>
      </c>
    </row>
    <row r="218" customFormat="false" ht="15" hidden="false" customHeight="false" outlineLevel="0" collapsed="false">
      <c r="A218" s="0" t="n">
        <v>207</v>
      </c>
      <c r="B218" s="15" t="n">
        <v>0.0707192643450949</v>
      </c>
      <c r="C218" s="18" t="n">
        <f aca="false">'Black-Scholes'!$B$5*EXP(('Black-Scholes'!$B$8-'Black-Scholes'!$B$10-'Black-Scholes'!$B$9^2/2)*'Black-Scholes'!$B$7+'Black-Scholes'!$B$9*SQRT('Black-Scholes'!$B$7)*B218)</f>
        <v>104.513268941104</v>
      </c>
      <c r="D218" s="18" t="n">
        <f aca="false">'Black-Scholes'!$B$5*EXP(('Black-Scholes'!$B$8-'Black-Scholes'!$B$10-'Black-Scholes'!$B$9^2/2)*'Black-Scholes'!$B$7-'Black-Scholes'!$B$9*SQRT('Black-Scholes'!$B$7)*B218)</f>
        <v>101.598252289261</v>
      </c>
      <c r="E218" s="18" t="n">
        <f aca="false">EXP(-'Black-Scholes'!$B$8*'Black-Scholes'!$B$7)*IF(LOWER('Black-Scholes'!$B$11)="put",MAX('Black-Scholes'!$B$6-C218,0),MAX(C218-'Black-Scholes'!$B$6,0))</f>
        <v>4.29315421746287</v>
      </c>
      <c r="F218" s="18" t="n">
        <f aca="false">(E218+G218)/2</f>
        <v>2.90672941139165</v>
      </c>
      <c r="G218" s="18" t="n">
        <f aca="false">EXP(-'Black-Scholes'!$B$8*'Black-Scholes'!$B$7)*IF(LOWER('Black-Scholes'!$B$11)="put",MAX('Black-Scholes'!$B$6-D218,0),MAX(D218-'Black-Scholes'!$B$6,0))</f>
        <v>1.52030460532042</v>
      </c>
    </row>
    <row r="219" customFormat="false" ht="15" hidden="false" customHeight="false" outlineLevel="0" collapsed="false">
      <c r="A219" s="0" t="n">
        <v>208</v>
      </c>
      <c r="B219" s="15" t="n">
        <v>-0.881269876066027</v>
      </c>
      <c r="C219" s="18" t="n">
        <f aca="false">'Black-Scholes'!$B$5*EXP(('Black-Scholes'!$B$8-'Black-Scholes'!$B$10-'Black-Scholes'!$B$9^2/2)*'Black-Scholes'!$B$7+'Black-Scholes'!$B$9*SQRT('Black-Scholes'!$B$7)*B219)</f>
        <v>86.3938256415933</v>
      </c>
      <c r="D219" s="18" t="n">
        <f aca="false">'Black-Scholes'!$B$5*EXP(('Black-Scholes'!$B$8-'Black-Scholes'!$B$10-'Black-Scholes'!$B$9^2/2)*'Black-Scholes'!$B$7-'Black-Scholes'!$B$9*SQRT('Black-Scholes'!$B$7)*B219)</f>
        <v>122.906531648501</v>
      </c>
      <c r="E219" s="18" t="n">
        <f aca="false">EXP(-'Black-Scholes'!$B$8*'Black-Scholes'!$B$7)*IF(LOWER('Black-Scholes'!$B$11)="put",MAX('Black-Scholes'!$B$6-C219,0),MAX(C219-'Black-Scholes'!$B$6,0))</f>
        <v>0</v>
      </c>
      <c r="F219" s="18" t="n">
        <f aca="false">(E219+G219)/2</f>
        <v>10.8946834586557</v>
      </c>
      <c r="G219" s="18" t="n">
        <f aca="false">EXP(-'Black-Scholes'!$B$8*'Black-Scholes'!$B$7)*IF(LOWER('Black-Scholes'!$B$11)="put",MAX('Black-Scholes'!$B$6-D219,0),MAX(D219-'Black-Scholes'!$B$6,0))</f>
        <v>21.7893669173114</v>
      </c>
    </row>
    <row r="220" customFormat="false" ht="15" hidden="false" customHeight="false" outlineLevel="0" collapsed="false">
      <c r="A220" s="0" t="n">
        <v>209</v>
      </c>
      <c r="B220" s="15" t="n">
        <v>2.52843728365538</v>
      </c>
      <c r="C220" s="18" t="n">
        <f aca="false">'Black-Scholes'!$B$5*EXP(('Black-Scholes'!$B$8-'Black-Scholes'!$B$10-'Black-Scholes'!$B$9^2/2)*'Black-Scholes'!$B$7+'Black-Scholes'!$B$9*SQRT('Black-Scholes'!$B$7)*B220)</f>
        <v>170.862244260103</v>
      </c>
      <c r="D220" s="18" t="n">
        <f aca="false">'Black-Scholes'!$B$5*EXP(('Black-Scholes'!$B$8-'Black-Scholes'!$B$10-'Black-Scholes'!$B$9^2/2)*'Black-Scholes'!$B$7-'Black-Scholes'!$B$9*SQRT('Black-Scholes'!$B$7)*B220)</f>
        <v>62.145768431376</v>
      </c>
      <c r="E220" s="18" t="n">
        <f aca="false">EXP(-'Black-Scholes'!$B$8*'Black-Scholes'!$B$7)*IF(LOWER('Black-Scholes'!$B$11)="put",MAX('Black-Scholes'!$B$6-C220,0),MAX(C220-'Black-Scholes'!$B$6,0))</f>
        <v>67.4062518263672</v>
      </c>
      <c r="F220" s="18" t="n">
        <f aca="false">(E220+G220)/2</f>
        <v>33.7031259131836</v>
      </c>
      <c r="G220" s="18" t="n">
        <f aca="false">EXP(-'Black-Scholes'!$B$8*'Black-Scholes'!$B$7)*IF(LOWER('Black-Scholes'!$B$11)="put",MAX('Black-Scholes'!$B$6-D220,0),MAX(D220-'Black-Scholes'!$B$6,0))</f>
        <v>0</v>
      </c>
    </row>
    <row r="221" customFormat="false" ht="15" hidden="false" customHeight="false" outlineLevel="0" collapsed="false">
      <c r="A221" s="0" t="n">
        <v>210</v>
      </c>
      <c r="B221" s="15" t="n">
        <v>0.423370007571583</v>
      </c>
      <c r="C221" s="18" t="n">
        <f aca="false">'Black-Scholes'!$B$5*EXP(('Black-Scholes'!$B$8-'Black-Scholes'!$B$10-'Black-Scholes'!$B$9^2/2)*'Black-Scholes'!$B$7+'Black-Scholes'!$B$9*SQRT('Black-Scholes'!$B$7)*B221)</f>
        <v>112.150776813724</v>
      </c>
      <c r="D221" s="18" t="n">
        <f aca="false">'Black-Scholes'!$B$5*EXP(('Black-Scholes'!$B$8-'Black-Scholes'!$B$10-'Black-Scholes'!$B$9^2/2)*'Black-Scholes'!$B$7-'Black-Scholes'!$B$9*SQRT('Black-Scholes'!$B$7)*B221)</f>
        <v>94.6793750977765</v>
      </c>
      <c r="E221" s="18" t="n">
        <f aca="false">EXP(-'Black-Scholes'!$B$8*'Black-Scholes'!$B$7)*IF(LOWER('Black-Scholes'!$B$11)="put",MAX('Black-Scholes'!$B$6-C221,0),MAX(C221-'Black-Scholes'!$B$6,0))</f>
        <v>11.5581764357554</v>
      </c>
      <c r="F221" s="18" t="n">
        <f aca="false">(E221+G221)/2</f>
        <v>5.77908821787769</v>
      </c>
      <c r="G221" s="18" t="n">
        <f aca="false">EXP(-'Black-Scholes'!$B$8*'Black-Scholes'!$B$7)*IF(LOWER('Black-Scholes'!$B$11)="put",MAX('Black-Scholes'!$B$6-D221,0),MAX(D221-'Black-Scholes'!$B$6,0))</f>
        <v>0</v>
      </c>
    </row>
    <row r="222" customFormat="false" ht="15" hidden="false" customHeight="false" outlineLevel="0" collapsed="false">
      <c r="A222" s="0" t="n">
        <v>211</v>
      </c>
      <c r="B222" s="15" t="n">
        <v>-0.841218908789152</v>
      </c>
      <c r="C222" s="18" t="n">
        <f aca="false">'Black-Scholes'!$B$5*EXP(('Black-Scholes'!$B$8-'Black-Scholes'!$B$10-'Black-Scholes'!$B$9^2/2)*'Black-Scholes'!$B$7+'Black-Scholes'!$B$9*SQRT('Black-Scholes'!$B$7)*B222)</f>
        <v>87.0886359657877</v>
      </c>
      <c r="D222" s="18" t="n">
        <f aca="false">'Black-Scholes'!$B$5*EXP(('Black-Scholes'!$B$8-'Black-Scholes'!$B$10-'Black-Scholes'!$B$9^2/2)*'Black-Scholes'!$B$7-'Black-Scholes'!$B$9*SQRT('Black-Scholes'!$B$7)*B222)</f>
        <v>121.925959084087</v>
      </c>
      <c r="E222" s="18" t="n">
        <f aca="false">EXP(-'Black-Scholes'!$B$8*'Black-Scholes'!$B$7)*IF(LOWER('Black-Scholes'!$B$11)="put",MAX('Black-Scholes'!$B$6-C222,0),MAX(C222-'Black-Scholes'!$B$6,0))</f>
        <v>0</v>
      </c>
      <c r="F222" s="18" t="n">
        <f aca="false">(E222+G222)/2</f>
        <v>10.4283087205912</v>
      </c>
      <c r="G222" s="18" t="n">
        <f aca="false">EXP(-'Black-Scholes'!$B$8*'Black-Scholes'!$B$7)*IF(LOWER('Black-Scholes'!$B$11)="put",MAX('Black-Scholes'!$B$6-D222,0),MAX(D222-'Black-Scholes'!$B$6,0))</f>
        <v>20.8566174411825</v>
      </c>
    </row>
    <row r="223" customFormat="false" ht="15" hidden="false" customHeight="false" outlineLevel="0" collapsed="false">
      <c r="A223" s="0" t="n">
        <v>212</v>
      </c>
      <c r="B223" s="15" t="n">
        <v>-0.684727187144094</v>
      </c>
      <c r="C223" s="18" t="n">
        <f aca="false">'Black-Scholes'!$B$5*EXP(('Black-Scholes'!$B$8-'Black-Scholes'!$B$10-'Black-Scholes'!$B$9^2/2)*'Black-Scholes'!$B$7+'Black-Scholes'!$B$9*SQRT('Black-Scholes'!$B$7)*B223)</f>
        <v>89.8574700198809</v>
      </c>
      <c r="D223" s="18" t="n">
        <f aca="false">'Black-Scholes'!$B$5*EXP(('Black-Scholes'!$B$8-'Black-Scholes'!$B$10-'Black-Scholes'!$B$9^2/2)*'Black-Scholes'!$B$7-'Black-Scholes'!$B$9*SQRT('Black-Scholes'!$B$7)*B223)</f>
        <v>118.168978751619</v>
      </c>
      <c r="E223" s="18" t="n">
        <f aca="false">EXP(-'Black-Scholes'!$B$8*'Black-Scholes'!$B$7)*IF(LOWER('Black-Scholes'!$B$11)="put",MAX('Black-Scholes'!$B$6-C223,0),MAX(C223-'Black-Scholes'!$B$6,0))</f>
        <v>0</v>
      </c>
      <c r="F223" s="18" t="n">
        <f aca="false">(E223+G223)/2</f>
        <v>8.64143360083436</v>
      </c>
      <c r="G223" s="18" t="n">
        <f aca="false">EXP(-'Black-Scholes'!$B$8*'Black-Scholes'!$B$7)*IF(LOWER('Black-Scholes'!$B$11)="put",MAX('Black-Scholes'!$B$6-D223,0),MAX(D223-'Black-Scholes'!$B$6,0))</f>
        <v>17.2828672016687</v>
      </c>
    </row>
    <row r="224" customFormat="false" ht="15" hidden="false" customHeight="false" outlineLevel="0" collapsed="false">
      <c r="A224" s="0" t="n">
        <v>213</v>
      </c>
      <c r="B224" s="15" t="n">
        <v>1.20186868222051</v>
      </c>
      <c r="C224" s="18" t="n">
        <f aca="false">'Black-Scholes'!$B$5*EXP(('Black-Scholes'!$B$8-'Black-Scholes'!$B$10-'Black-Scholes'!$B$9^2/2)*'Black-Scholes'!$B$7+'Black-Scholes'!$B$9*SQRT('Black-Scholes'!$B$7)*B224)</f>
        <v>131.045412368758</v>
      </c>
      <c r="D224" s="18" t="n">
        <f aca="false">'Black-Scholes'!$B$5*EXP(('Black-Scholes'!$B$8-'Black-Scholes'!$B$10-'Black-Scholes'!$B$9^2/2)*'Black-Scholes'!$B$7-'Black-Scholes'!$B$9*SQRT('Black-Scholes'!$B$7)*B224)</f>
        <v>81.028135770017</v>
      </c>
      <c r="E224" s="18" t="n">
        <f aca="false">EXP(-'Black-Scholes'!$B$8*'Black-Scholes'!$B$7)*IF(LOWER('Black-Scholes'!$B$11)="put",MAX('Black-Scholes'!$B$6-C224,0),MAX(C224-'Black-Scholes'!$B$6,0))</f>
        <v>29.531309740921</v>
      </c>
      <c r="F224" s="18" t="n">
        <f aca="false">(E224+G224)/2</f>
        <v>14.7656548704605</v>
      </c>
      <c r="G224" s="18" t="n">
        <f aca="false">EXP(-'Black-Scholes'!$B$8*'Black-Scholes'!$B$7)*IF(LOWER('Black-Scholes'!$B$11)="put",MAX('Black-Scholes'!$B$6-D224,0),MAX(D224-'Black-Scholes'!$B$6,0))</f>
        <v>0</v>
      </c>
    </row>
    <row r="225" customFormat="false" ht="15" hidden="false" customHeight="false" outlineLevel="0" collapsed="false">
      <c r="A225" s="0" t="n">
        <v>214</v>
      </c>
      <c r="B225" s="15" t="n">
        <v>-0.713225648652301</v>
      </c>
      <c r="C225" s="18" t="n">
        <f aca="false">'Black-Scholes'!$B$5*EXP(('Black-Scholes'!$B$8-'Black-Scholes'!$B$10-'Black-Scholes'!$B$9^2/2)*'Black-Scholes'!$B$7+'Black-Scholes'!$B$9*SQRT('Black-Scholes'!$B$7)*B225)</f>
        <v>89.3467668976694</v>
      </c>
      <c r="D225" s="18" t="n">
        <f aca="false">'Black-Scholes'!$B$5*EXP(('Black-Scholes'!$B$8-'Black-Scholes'!$B$10-'Black-Scholes'!$B$9^2/2)*'Black-Scholes'!$B$7-'Black-Scholes'!$B$9*SQRT('Black-Scholes'!$B$7)*B225)</f>
        <v>118.84442866987</v>
      </c>
      <c r="E225" s="18" t="n">
        <f aca="false">EXP(-'Black-Scholes'!$B$8*'Black-Scholes'!$B$7)*IF(LOWER('Black-Scholes'!$B$11)="put",MAX('Black-Scholes'!$B$6-C225,0),MAX(C225-'Black-Scholes'!$B$6,0))</f>
        <v>0</v>
      </c>
      <c r="F225" s="18" t="n">
        <f aca="false">(E225+G225)/2</f>
        <v>8.96268751934275</v>
      </c>
      <c r="G225" s="18" t="n">
        <f aca="false">EXP(-'Black-Scholes'!$B$8*'Black-Scholes'!$B$7)*IF(LOWER('Black-Scholes'!$B$11)="put",MAX('Black-Scholes'!$B$6-D225,0),MAX(D225-'Black-Scholes'!$B$6,0))</f>
        <v>17.9253750386855</v>
      </c>
    </row>
    <row r="226" customFormat="false" ht="15" hidden="false" customHeight="false" outlineLevel="0" collapsed="false">
      <c r="A226" s="0" t="n">
        <v>215</v>
      </c>
      <c r="B226" s="15" t="n">
        <v>-0.945926880452734</v>
      </c>
      <c r="C226" s="18" t="n">
        <f aca="false">'Black-Scholes'!$B$5*EXP(('Black-Scholes'!$B$8-'Black-Scholes'!$B$10-'Black-Scholes'!$B$9^2/2)*'Black-Scholes'!$B$7+'Black-Scholes'!$B$9*SQRT('Black-Scholes'!$B$7)*B226)</f>
        <v>85.2838248494259</v>
      </c>
      <c r="D226" s="18" t="n">
        <f aca="false">'Black-Scholes'!$B$5*EXP(('Black-Scholes'!$B$8-'Black-Scholes'!$B$10-'Black-Scholes'!$B$9^2/2)*'Black-Scholes'!$B$7-'Black-Scholes'!$B$9*SQRT('Black-Scholes'!$B$7)*B226)</f>
        <v>124.506206003319</v>
      </c>
      <c r="E226" s="18" t="n">
        <f aca="false">EXP(-'Black-Scholes'!$B$8*'Black-Scholes'!$B$7)*IF(LOWER('Black-Scholes'!$B$11)="put",MAX('Black-Scholes'!$B$6-C226,0),MAX(C226-'Black-Scholes'!$B$6,0))</f>
        <v>0</v>
      </c>
      <c r="F226" s="18" t="n">
        <f aca="false">(E226+G226)/2</f>
        <v>11.6555121166166</v>
      </c>
      <c r="G226" s="18" t="n">
        <f aca="false">EXP(-'Black-Scholes'!$B$8*'Black-Scholes'!$B$7)*IF(LOWER('Black-Scholes'!$B$11)="put",MAX('Black-Scholes'!$B$6-D226,0),MAX(D226-'Black-Scholes'!$B$6,0))</f>
        <v>23.3110242332331</v>
      </c>
    </row>
    <row r="227" customFormat="false" ht="15" hidden="false" customHeight="false" outlineLevel="0" collapsed="false">
      <c r="A227" s="0" t="n">
        <v>216</v>
      </c>
      <c r="B227" s="15" t="n">
        <v>0.342911277601588</v>
      </c>
      <c r="C227" s="18" t="n">
        <f aca="false">'Black-Scholes'!$B$5*EXP(('Black-Scholes'!$B$8-'Black-Scholes'!$B$10-'Black-Scholes'!$B$9^2/2)*'Black-Scholes'!$B$7+'Black-Scholes'!$B$9*SQRT('Black-Scholes'!$B$7)*B227)</f>
        <v>110.360517827918</v>
      </c>
      <c r="D227" s="18" t="n">
        <f aca="false">'Black-Scholes'!$B$5*EXP(('Black-Scholes'!$B$8-'Black-Scholes'!$B$10-'Black-Scholes'!$B$9^2/2)*'Black-Scholes'!$B$7-'Black-Scholes'!$B$9*SQRT('Black-Scholes'!$B$7)*B227)</f>
        <v>96.2152559125405</v>
      </c>
      <c r="E227" s="18" t="n">
        <f aca="false">EXP(-'Black-Scholes'!$B$8*'Black-Scholes'!$B$7)*IF(LOWER('Black-Scholes'!$B$11)="put",MAX('Black-Scholes'!$B$6-C227,0),MAX(C227-'Black-Scholes'!$B$6,0))</f>
        <v>9.85522941097964</v>
      </c>
      <c r="F227" s="18" t="n">
        <f aca="false">(E227+G227)/2</f>
        <v>4.92761470548982</v>
      </c>
      <c r="G227" s="18" t="n">
        <f aca="false">EXP(-'Black-Scholes'!$B$8*'Black-Scholes'!$B$7)*IF(LOWER('Black-Scholes'!$B$11)="put",MAX('Black-Scholes'!$B$6-D227,0),MAX(D227-'Black-Scholes'!$B$6,0))</f>
        <v>0</v>
      </c>
    </row>
    <row r="228" customFormat="false" ht="15" hidden="false" customHeight="false" outlineLevel="0" collapsed="false">
      <c r="A228" s="0" t="n">
        <v>217</v>
      </c>
      <c r="B228" s="15" t="n">
        <v>-0.217114300907856</v>
      </c>
      <c r="C228" s="18" t="n">
        <f aca="false">'Black-Scholes'!$B$5*EXP(('Black-Scholes'!$B$8-'Black-Scholes'!$B$10-'Black-Scholes'!$B$9^2/2)*'Black-Scholes'!$B$7+'Black-Scholes'!$B$9*SQRT('Black-Scholes'!$B$7)*B228)</f>
        <v>98.6666824681908</v>
      </c>
      <c r="D228" s="18" t="n">
        <f aca="false">'Black-Scholes'!$B$5*EXP(('Black-Scholes'!$B$8-'Black-Scholes'!$B$10-'Black-Scholes'!$B$9^2/2)*'Black-Scholes'!$B$7-'Black-Scholes'!$B$9*SQRT('Black-Scholes'!$B$7)*B228)</f>
        <v>107.618551671451</v>
      </c>
      <c r="E228" s="18" t="n">
        <f aca="false">EXP(-'Black-Scholes'!$B$8*'Black-Scholes'!$B$7)*IF(LOWER('Black-Scholes'!$B$11)="put",MAX('Black-Scholes'!$B$6-C228,0),MAX(C228-'Black-Scholes'!$B$6,0))</f>
        <v>0</v>
      </c>
      <c r="F228" s="18" t="n">
        <f aca="false">(E228+G228)/2</f>
        <v>3.62349526098144</v>
      </c>
      <c r="G228" s="18" t="n">
        <f aca="false">EXP(-'Black-Scholes'!$B$8*'Black-Scholes'!$B$7)*IF(LOWER('Black-Scholes'!$B$11)="put",MAX('Black-Scholes'!$B$6-D228,0),MAX(D228-'Black-Scholes'!$B$6,0))</f>
        <v>7.24699052196288</v>
      </c>
    </row>
    <row r="229" customFormat="false" ht="15" hidden="false" customHeight="false" outlineLevel="0" collapsed="false">
      <c r="A229" s="0" t="n">
        <v>218</v>
      </c>
      <c r="B229" s="15" t="n">
        <v>0.616876804028402</v>
      </c>
      <c r="C229" s="18" t="n">
        <f aca="false">'Black-Scholes'!$B$5*EXP(('Black-Scholes'!$B$8-'Black-Scholes'!$B$10-'Black-Scholes'!$B$9^2/2)*'Black-Scholes'!$B$7+'Black-Scholes'!$B$9*SQRT('Black-Scholes'!$B$7)*B229)</f>
        <v>116.576247837065</v>
      </c>
      <c r="D229" s="18" t="n">
        <f aca="false">'Black-Scholes'!$B$5*EXP(('Black-Scholes'!$B$8-'Black-Scholes'!$B$10-'Black-Scholes'!$B$9^2/2)*'Black-Scholes'!$B$7-'Black-Scholes'!$B$9*SQRT('Black-Scholes'!$B$7)*B229)</f>
        <v>91.0851538153346</v>
      </c>
      <c r="E229" s="18" t="n">
        <f aca="false">EXP(-'Black-Scholes'!$B$8*'Black-Scholes'!$B$7)*IF(LOWER('Black-Scholes'!$B$11)="put",MAX('Black-Scholes'!$B$6-C229,0),MAX(C229-'Black-Scholes'!$B$6,0))</f>
        <v>15.7678146904321</v>
      </c>
      <c r="F229" s="18" t="n">
        <f aca="false">(E229+G229)/2</f>
        <v>7.88390734521606</v>
      </c>
      <c r="G229" s="18" t="n">
        <f aca="false">EXP(-'Black-Scholes'!$B$8*'Black-Scholes'!$B$7)*IF(LOWER('Black-Scholes'!$B$11)="put",MAX('Black-Scholes'!$B$6-D229,0),MAX(D229-'Black-Scholes'!$B$6,0))</f>
        <v>0</v>
      </c>
    </row>
    <row r="230" customFormat="false" ht="15" hidden="false" customHeight="false" outlineLevel="0" collapsed="false">
      <c r="A230" s="0" t="n">
        <v>219</v>
      </c>
      <c r="B230" s="15" t="n">
        <v>-1.3397576387736</v>
      </c>
      <c r="C230" s="18" t="n">
        <f aca="false">'Black-Scholes'!$B$5*EXP(('Black-Scholes'!$B$8-'Black-Scholes'!$B$10-'Black-Scholes'!$B$9^2/2)*'Black-Scholes'!$B$7+'Black-Scholes'!$B$9*SQRT('Black-Scholes'!$B$7)*B230)</f>
        <v>78.8240897973922</v>
      </c>
      <c r="D230" s="18" t="n">
        <f aca="false">'Black-Scholes'!$B$5*EXP(('Black-Scholes'!$B$8-'Black-Scholes'!$B$10-'Black-Scholes'!$B$9^2/2)*'Black-Scholes'!$B$7-'Black-Scholes'!$B$9*SQRT('Black-Scholes'!$B$7)*B230)</f>
        <v>134.709648950553</v>
      </c>
      <c r="E230" s="18" t="n">
        <f aca="false">EXP(-'Black-Scholes'!$B$8*'Black-Scholes'!$B$7)*IF(LOWER('Black-Scholes'!$B$11)="put",MAX('Black-Scholes'!$B$6-C230,0),MAX(C230-'Black-Scholes'!$B$6,0))</f>
        <v>0</v>
      </c>
      <c r="F230" s="18" t="n">
        <f aca="false">(E230+G230)/2</f>
        <v>16.5084196979283</v>
      </c>
      <c r="G230" s="18" t="n">
        <f aca="false">EXP(-'Black-Scholes'!$B$8*'Black-Scholes'!$B$7)*IF(LOWER('Black-Scholes'!$B$11)="put",MAX('Black-Scholes'!$B$6-D230,0),MAX(D230-'Black-Scholes'!$B$6,0))</f>
        <v>33.0168393958566</v>
      </c>
    </row>
    <row r="231" customFormat="false" ht="15" hidden="false" customHeight="false" outlineLevel="0" collapsed="false">
      <c r="A231" s="0" t="n">
        <v>220</v>
      </c>
      <c r="B231" s="15" t="n">
        <v>-0.117938833804821</v>
      </c>
      <c r="C231" s="18" t="n">
        <f aca="false">'Black-Scholes'!$B$5*EXP(('Black-Scholes'!$B$8-'Black-Scholes'!$B$10-'Black-Scholes'!$B$9^2/2)*'Black-Scholes'!$B$7+'Black-Scholes'!$B$9*SQRT('Black-Scholes'!$B$7)*B231)</f>
        <v>100.643283561881</v>
      </c>
      <c r="D231" s="18" t="n">
        <f aca="false">'Black-Scholes'!$B$5*EXP(('Black-Scholes'!$B$8-'Black-Scholes'!$B$10-'Black-Scholes'!$B$9^2/2)*'Black-Scholes'!$B$7-'Black-Scholes'!$B$9*SQRT('Black-Scholes'!$B$7)*B231)</f>
        <v>105.5049585989</v>
      </c>
      <c r="E231" s="18" t="n">
        <f aca="false">EXP(-'Black-Scholes'!$B$8*'Black-Scholes'!$B$7)*IF(LOWER('Black-Scholes'!$B$11)="put",MAX('Black-Scholes'!$B$6-C231,0),MAX(C231-'Black-Scholes'!$B$6,0))</f>
        <v>0.611910252358447</v>
      </c>
      <c r="F231" s="18" t="n">
        <f aca="false">(E231+G231)/2</f>
        <v>2.92419442614533</v>
      </c>
      <c r="G231" s="18" t="n">
        <f aca="false">EXP(-'Black-Scholes'!$B$8*'Black-Scholes'!$B$7)*IF(LOWER('Black-Scholes'!$B$11)="put",MAX('Black-Scholes'!$B$6-D231,0),MAX(D231-'Black-Scholes'!$B$6,0))</f>
        <v>5.23647859993221</v>
      </c>
    </row>
    <row r="232" customFormat="false" ht="15" hidden="false" customHeight="false" outlineLevel="0" collapsed="false">
      <c r="A232" s="0" t="n">
        <v>221</v>
      </c>
      <c r="B232" s="15" t="n">
        <v>-0.0132514697377572</v>
      </c>
      <c r="C232" s="18" t="n">
        <f aca="false">'Black-Scholes'!$B$5*EXP(('Black-Scholes'!$B$8-'Black-Scholes'!$B$10-'Black-Scholes'!$B$9^2/2)*'Black-Scholes'!$B$7+'Black-Scholes'!$B$9*SQRT('Black-Scholes'!$B$7)*B232)</f>
        <v>102.772714233016</v>
      </c>
      <c r="D232" s="18" t="n">
        <f aca="false">'Black-Scholes'!$B$5*EXP(('Black-Scholes'!$B$8-'Black-Scholes'!$B$10-'Black-Scholes'!$B$9^2/2)*'Black-Scholes'!$B$7-'Black-Scholes'!$B$9*SQRT('Black-Scholes'!$B$7)*B232)</f>
        <v>103.318916355354</v>
      </c>
      <c r="E232" s="18" t="n">
        <f aca="false">EXP(-'Black-Scholes'!$B$8*'Black-Scholes'!$B$7)*IF(LOWER('Black-Scholes'!$B$11)="put",MAX('Black-Scholes'!$B$6-C232,0),MAX(C232-'Black-Scholes'!$B$6,0))</f>
        <v>2.63748736417628</v>
      </c>
      <c r="F232" s="18" t="n">
        <f aca="false">(E232+G232)/2</f>
        <v>2.89726912942268</v>
      </c>
      <c r="G232" s="18" t="n">
        <f aca="false">EXP(-'Black-Scholes'!$B$8*'Black-Scholes'!$B$7)*IF(LOWER('Black-Scholes'!$B$11)="put",MAX('Black-Scholes'!$B$6-D232,0),MAX(D232-'Black-Scholes'!$B$6,0))</f>
        <v>3.15705089466909</v>
      </c>
    </row>
    <row r="233" customFormat="false" ht="15" hidden="false" customHeight="false" outlineLevel="0" collapsed="false">
      <c r="A233" s="0" t="n">
        <v>222</v>
      </c>
      <c r="B233" s="15" t="n">
        <v>-1.58992986230243</v>
      </c>
      <c r="C233" s="18" t="n">
        <f aca="false">'Black-Scholes'!$B$5*EXP(('Black-Scholes'!$B$8-'Black-Scholes'!$B$10-'Black-Scholes'!$B$9^2/2)*'Black-Scholes'!$B$7+'Black-Scholes'!$B$9*SQRT('Black-Scholes'!$B$7)*B233)</f>
        <v>74.9772109623169</v>
      </c>
      <c r="D233" s="18" t="n">
        <f aca="false">'Black-Scholes'!$B$5*EXP(('Black-Scholes'!$B$8-'Black-Scholes'!$B$10-'Black-Scholes'!$B$9^2/2)*'Black-Scholes'!$B$7-'Black-Scholes'!$B$9*SQRT('Black-Scholes'!$B$7)*B233)</f>
        <v>141.621238362552</v>
      </c>
      <c r="E233" s="18" t="n">
        <f aca="false">EXP(-'Black-Scholes'!$B$8*'Black-Scholes'!$B$7)*IF(LOWER('Black-Scholes'!$B$11)="put",MAX('Black-Scholes'!$B$6-C233,0),MAX(C233-'Black-Scholes'!$B$6,0))</f>
        <v>0</v>
      </c>
      <c r="F233" s="18" t="n">
        <f aca="false">(E233+G233)/2</f>
        <v>19.7956733073085</v>
      </c>
      <c r="G233" s="18" t="n">
        <f aca="false">EXP(-'Black-Scholes'!$B$8*'Black-Scholes'!$B$7)*IF(LOWER('Black-Scholes'!$B$11)="put",MAX('Black-Scholes'!$B$6-D233,0),MAX(D233-'Black-Scholes'!$B$6,0))</f>
        <v>39.5913466146171</v>
      </c>
    </row>
    <row r="234" customFormat="false" ht="15" hidden="false" customHeight="false" outlineLevel="0" collapsed="false">
      <c r="A234" s="0" t="n">
        <v>223</v>
      </c>
      <c r="B234" s="15" t="n">
        <v>1.97251807995861</v>
      </c>
      <c r="C234" s="18" t="n">
        <f aca="false">'Black-Scholes'!$B$5*EXP(('Black-Scholes'!$B$8-'Black-Scholes'!$B$10-'Black-Scholes'!$B$9^2/2)*'Black-Scholes'!$B$7+'Black-Scholes'!$B$9*SQRT('Black-Scholes'!$B$7)*B234)</f>
        <v>152.883134385198</v>
      </c>
      <c r="D234" s="18" t="n">
        <f aca="false">'Black-Scholes'!$B$5*EXP(('Black-Scholes'!$B$8-'Black-Scholes'!$B$10-'Black-Scholes'!$B$9^2/2)*'Black-Scholes'!$B$7-'Black-Scholes'!$B$9*SQRT('Black-Scholes'!$B$7)*B234)</f>
        <v>69.4541324532243</v>
      </c>
      <c r="E234" s="18" t="n">
        <f aca="false">EXP(-'Black-Scholes'!$B$8*'Black-Scholes'!$B$7)*IF(LOWER('Black-Scholes'!$B$11)="put",MAX('Black-Scholes'!$B$6-C234,0),MAX(C234-'Black-Scholes'!$B$6,0))</f>
        <v>50.3039934870254</v>
      </c>
      <c r="F234" s="18" t="n">
        <f aca="false">(E234+G234)/2</f>
        <v>25.1519967435127</v>
      </c>
      <c r="G234" s="18" t="n">
        <f aca="false">EXP(-'Black-Scholes'!$B$8*'Black-Scholes'!$B$7)*IF(LOWER('Black-Scholes'!$B$11)="put",MAX('Black-Scholes'!$B$6-D234,0),MAX(D234-'Black-Scholes'!$B$6,0))</f>
        <v>0</v>
      </c>
    </row>
    <row r="235" customFormat="false" ht="15" hidden="false" customHeight="false" outlineLevel="0" collapsed="false">
      <c r="A235" s="0" t="n">
        <v>224</v>
      </c>
      <c r="B235" s="15" t="n">
        <v>1.97324821225138</v>
      </c>
      <c r="C235" s="18" t="n">
        <f aca="false">'Black-Scholes'!$B$5*EXP(('Black-Scholes'!$B$8-'Black-Scholes'!$B$10-'Black-Scholes'!$B$9^2/2)*'Black-Scholes'!$B$7+'Black-Scholes'!$B$9*SQRT('Black-Scholes'!$B$7)*B235)</f>
        <v>152.905460997983</v>
      </c>
      <c r="D235" s="18" t="n">
        <f aca="false">'Black-Scholes'!$B$5*EXP(('Black-Scholes'!$B$8-'Black-Scholes'!$B$10-'Black-Scholes'!$B$9^2/2)*'Black-Scholes'!$B$7-'Black-Scholes'!$B$9*SQRT('Black-Scholes'!$B$7)*B235)</f>
        <v>69.4439910527046</v>
      </c>
      <c r="E235" s="18" t="n">
        <f aca="false">EXP(-'Black-Scholes'!$B$8*'Black-Scholes'!$B$7)*IF(LOWER('Black-Scholes'!$B$11)="put",MAX('Black-Scholes'!$B$6-C235,0),MAX(C235-'Black-Scholes'!$B$6,0))</f>
        <v>50.3252312180563</v>
      </c>
      <c r="F235" s="18" t="n">
        <f aca="false">(E235+G235)/2</f>
        <v>25.1626156090281</v>
      </c>
      <c r="G235" s="18" t="n">
        <f aca="false">EXP(-'Black-Scholes'!$B$8*'Black-Scholes'!$B$7)*IF(LOWER('Black-Scholes'!$B$11)="put",MAX('Black-Scholes'!$B$6-D235,0),MAX(D235-'Black-Scholes'!$B$6,0))</f>
        <v>0</v>
      </c>
    </row>
    <row r="236" customFormat="false" ht="15" hidden="false" customHeight="false" outlineLevel="0" collapsed="false">
      <c r="A236" s="0" t="n">
        <v>225</v>
      </c>
      <c r="B236" s="15" t="n">
        <v>0.794606591253085</v>
      </c>
      <c r="C236" s="18" t="n">
        <f aca="false">'Black-Scholes'!$B$5*EXP(('Black-Scholes'!$B$8-'Black-Scholes'!$B$10-'Black-Scholes'!$B$9^2/2)*'Black-Scholes'!$B$7+'Black-Scholes'!$B$9*SQRT('Black-Scholes'!$B$7)*B236)</f>
        <v>120.794590544672</v>
      </c>
      <c r="D236" s="18" t="n">
        <f aca="false">'Black-Scholes'!$B$5*EXP(('Black-Scholes'!$B$8-'Black-Scholes'!$B$10-'Black-Scholes'!$B$9^2/2)*'Black-Scholes'!$B$7-'Black-Scholes'!$B$9*SQRT('Black-Scholes'!$B$7)*B236)</f>
        <v>87.904312747571</v>
      </c>
      <c r="E236" s="18" t="n">
        <f aca="false">EXP(-'Black-Scholes'!$B$8*'Black-Scholes'!$B$7)*IF(LOWER('Black-Scholes'!$B$11)="put",MAX('Black-Scholes'!$B$6-C236,0),MAX(C236-'Black-Scholes'!$B$6,0))</f>
        <v>19.780426396536</v>
      </c>
      <c r="F236" s="18" t="n">
        <f aca="false">(E236+G236)/2</f>
        <v>9.89021319826802</v>
      </c>
      <c r="G236" s="18" t="n">
        <f aca="false">EXP(-'Black-Scholes'!$B$8*'Black-Scholes'!$B$7)*IF(LOWER('Black-Scholes'!$B$11)="put",MAX('Black-Scholes'!$B$6-D236,0),MAX(D236-'Black-Scholes'!$B$6,0))</f>
        <v>0</v>
      </c>
    </row>
    <row r="237" customFormat="false" ht="15" hidden="false" customHeight="false" outlineLevel="0" collapsed="false">
      <c r="A237" s="0" t="n">
        <v>226</v>
      </c>
      <c r="B237" s="15" t="n">
        <v>-0.951319419746106</v>
      </c>
      <c r="C237" s="18" t="n">
        <f aca="false">'Black-Scholes'!$B$5*EXP(('Black-Scholes'!$B$8-'Black-Scholes'!$B$10-'Black-Scholes'!$B$9^2/2)*'Black-Scholes'!$B$7+'Black-Scholes'!$B$9*SQRT('Black-Scholes'!$B$7)*B237)</f>
        <v>85.191895156467</v>
      </c>
      <c r="D237" s="18" t="n">
        <f aca="false">'Black-Scholes'!$B$5*EXP(('Black-Scholes'!$B$8-'Black-Scholes'!$B$10-'Black-Scholes'!$B$9^2/2)*'Black-Scholes'!$B$7-'Black-Scholes'!$B$9*SQRT('Black-Scholes'!$B$7)*B237)</f>
        <v>124.640559362501</v>
      </c>
      <c r="E237" s="18" t="n">
        <f aca="false">EXP(-'Black-Scholes'!$B$8*'Black-Scholes'!$B$7)*IF(LOWER('Black-Scholes'!$B$11)="put",MAX('Black-Scholes'!$B$6-C237,0),MAX(C237-'Black-Scholes'!$B$6,0))</f>
        <v>0</v>
      </c>
      <c r="F237" s="18" t="n">
        <f aca="false">(E237+G237)/2</f>
        <v>11.7194125508838</v>
      </c>
      <c r="G237" s="18" t="n">
        <f aca="false">EXP(-'Black-Scholes'!$B$8*'Black-Scholes'!$B$7)*IF(LOWER('Black-Scholes'!$B$11)="put",MAX('Black-Scholes'!$B$6-D237,0),MAX(D237-'Black-Scholes'!$B$6,0))</f>
        <v>23.4388251017676</v>
      </c>
    </row>
    <row r="238" customFormat="false" ht="15" hidden="false" customHeight="false" outlineLevel="0" collapsed="false">
      <c r="A238" s="0" t="n">
        <v>227</v>
      </c>
      <c r="B238" s="15" t="n">
        <v>-0.621241432929148</v>
      </c>
      <c r="C238" s="18" t="n">
        <f aca="false">'Black-Scholes'!$B$5*EXP(('Black-Scholes'!$B$8-'Black-Scholes'!$B$10-'Black-Scholes'!$B$9^2/2)*'Black-Scholes'!$B$7+'Black-Scholes'!$B$9*SQRT('Black-Scholes'!$B$7)*B238)</f>
        <v>91.0056779297018</v>
      </c>
      <c r="D238" s="18" t="n">
        <f aca="false">'Black-Scholes'!$B$5*EXP(('Black-Scholes'!$B$8-'Black-Scholes'!$B$10-'Black-Scholes'!$B$9^2/2)*'Black-Scholes'!$B$7-'Black-Scholes'!$B$9*SQRT('Black-Scholes'!$B$7)*B238)</f>
        <v>116.678054677598</v>
      </c>
      <c r="E238" s="18" t="n">
        <f aca="false">EXP(-'Black-Scholes'!$B$8*'Black-Scholes'!$B$7)*IF(LOWER('Black-Scholes'!$B$11)="put",MAX('Black-Scholes'!$B$6-C238,0),MAX(C238-'Black-Scholes'!$B$6,0))</f>
        <v>0</v>
      </c>
      <c r="F238" s="18" t="n">
        <f aca="false">(E238+G238)/2</f>
        <v>7.93232817638134</v>
      </c>
      <c r="G238" s="18" t="n">
        <f aca="false">EXP(-'Black-Scholes'!$B$8*'Black-Scholes'!$B$7)*IF(LOWER('Black-Scholes'!$B$11)="put",MAX('Black-Scholes'!$B$6-D238,0),MAX(D238-'Black-Scholes'!$B$6,0))</f>
        <v>15.8646563527627</v>
      </c>
    </row>
    <row r="239" customFormat="false" ht="15" hidden="false" customHeight="false" outlineLevel="0" collapsed="false">
      <c r="A239" s="0" t="n">
        <v>228</v>
      </c>
      <c r="B239" s="15" t="n">
        <v>-0.464285597266238</v>
      </c>
      <c r="C239" s="18" t="n">
        <f aca="false">'Black-Scholes'!$B$5*EXP(('Black-Scholes'!$B$8-'Black-Scholes'!$B$10-'Black-Scholes'!$B$9^2/2)*'Black-Scholes'!$B$7+'Black-Scholes'!$B$9*SQRT('Black-Scholes'!$B$7)*B239)</f>
        <v>93.9077640030676</v>
      </c>
      <c r="D239" s="18" t="n">
        <f aca="false">'Black-Scholes'!$B$5*EXP(('Black-Scholes'!$B$8-'Black-Scholes'!$B$10-'Black-Scholes'!$B$9^2/2)*'Black-Scholes'!$B$7-'Black-Scholes'!$B$9*SQRT('Black-Scholes'!$B$7)*B239)</f>
        <v>113.072285110598</v>
      </c>
      <c r="E239" s="18" t="n">
        <f aca="false">EXP(-'Black-Scholes'!$B$8*'Black-Scholes'!$B$7)*IF(LOWER('Black-Scholes'!$B$11)="put",MAX('Black-Scholes'!$B$6-C239,0),MAX(C239-'Black-Scholes'!$B$6,0))</f>
        <v>0</v>
      </c>
      <c r="F239" s="18" t="n">
        <f aca="false">(E239+G239)/2</f>
        <v>6.21737112133165</v>
      </c>
      <c r="G239" s="18" t="n">
        <f aca="false">EXP(-'Black-Scholes'!$B$8*'Black-Scholes'!$B$7)*IF(LOWER('Black-Scholes'!$B$11)="put",MAX('Black-Scholes'!$B$6-D239,0),MAX(D239-'Black-Scholes'!$B$6,0))</f>
        <v>12.4347422426633</v>
      </c>
    </row>
    <row r="240" customFormat="false" ht="15" hidden="false" customHeight="false" outlineLevel="0" collapsed="false">
      <c r="A240" s="0" t="n">
        <v>229</v>
      </c>
      <c r="B240" s="15" t="n">
        <v>0.154978542056708</v>
      </c>
      <c r="C240" s="18" t="n">
        <f aca="false">'Black-Scholes'!$B$5*EXP(('Black-Scholes'!$B$8-'Black-Scholes'!$B$10-'Black-Scholes'!$B$9^2/2)*'Black-Scholes'!$B$7+'Black-Scholes'!$B$9*SQRT('Black-Scholes'!$B$7)*B240)</f>
        <v>106.289435267206</v>
      </c>
      <c r="D240" s="18" t="n">
        <f aca="false">'Black-Scholes'!$B$5*EXP(('Black-Scholes'!$B$8-'Black-Scholes'!$B$10-'Black-Scholes'!$B$9^2/2)*'Black-Scholes'!$B$7-'Black-Scholes'!$B$9*SQRT('Black-Scholes'!$B$7)*B240)</f>
        <v>99.9004787141789</v>
      </c>
      <c r="E240" s="18" t="n">
        <f aca="false">EXP(-'Black-Scholes'!$B$8*'Black-Scholes'!$B$7)*IF(LOWER('Black-Scholes'!$B$11)="put",MAX('Black-Scholes'!$B$6-C240,0),MAX(C240-'Black-Scholes'!$B$6,0))</f>
        <v>5.98269588965868</v>
      </c>
      <c r="F240" s="18" t="n">
        <f aca="false">(E240+G240)/2</f>
        <v>2.99134794482934</v>
      </c>
      <c r="G240" s="18" t="n">
        <f aca="false">EXP(-'Black-Scholes'!$B$8*'Black-Scholes'!$B$7)*IF(LOWER('Black-Scholes'!$B$11)="put",MAX('Black-Scholes'!$B$6-D240,0),MAX(D240-'Black-Scholes'!$B$6,0))</f>
        <v>0</v>
      </c>
    </row>
    <row r="241" customFormat="false" ht="15" hidden="false" customHeight="false" outlineLevel="0" collapsed="false">
      <c r="A241" s="0" t="n">
        <v>230</v>
      </c>
      <c r="B241" s="15" t="n">
        <v>-1.07938865617858</v>
      </c>
      <c r="C241" s="18" t="n">
        <f aca="false">'Black-Scholes'!$B$5*EXP(('Black-Scholes'!$B$8-'Black-Scholes'!$B$10-'Black-Scholes'!$B$9^2/2)*'Black-Scholes'!$B$7+'Black-Scholes'!$B$9*SQRT('Black-Scholes'!$B$7)*B241)</f>
        <v>83.0375117714813</v>
      </c>
      <c r="D241" s="18" t="n">
        <f aca="false">'Black-Scholes'!$B$5*EXP(('Black-Scholes'!$B$8-'Black-Scholes'!$B$10-'Black-Scholes'!$B$9^2/2)*'Black-Scholes'!$B$7-'Black-Scholes'!$B$9*SQRT('Black-Scholes'!$B$7)*B241)</f>
        <v>127.87432136304</v>
      </c>
      <c r="E241" s="18" t="n">
        <f aca="false">EXP(-'Black-Scholes'!$B$8*'Black-Scholes'!$B$7)*IF(LOWER('Black-Scholes'!$B$11)="put",MAX('Black-Scholes'!$B$6-C241,0),MAX(C241-'Black-Scholes'!$B$6,0))</f>
        <v>0</v>
      </c>
      <c r="F241" s="18" t="n">
        <f aca="false">(E241+G241)/2</f>
        <v>13.2574373342562</v>
      </c>
      <c r="G241" s="18" t="n">
        <f aca="false">EXP(-'Black-Scholes'!$B$8*'Black-Scholes'!$B$7)*IF(LOWER('Black-Scholes'!$B$11)="put",MAX('Black-Scholes'!$B$6-D241,0),MAX(D241-'Black-Scholes'!$B$6,0))</f>
        <v>26.5148746685123</v>
      </c>
    </row>
    <row r="242" customFormat="false" ht="15" hidden="false" customHeight="false" outlineLevel="0" collapsed="false">
      <c r="A242" s="0" t="n">
        <v>231</v>
      </c>
      <c r="B242" s="15" t="n">
        <v>0.333527866144525</v>
      </c>
      <c r="C242" s="18" t="n">
        <f aca="false">'Black-Scholes'!$B$5*EXP(('Black-Scholes'!$B$8-'Black-Scholes'!$B$10-'Black-Scholes'!$B$9^2/2)*'Black-Scholes'!$B$7+'Black-Scholes'!$B$9*SQRT('Black-Scholes'!$B$7)*B242)</f>
        <v>110.153600418287</v>
      </c>
      <c r="D242" s="18" t="n">
        <f aca="false">'Black-Scholes'!$B$5*EXP(('Black-Scholes'!$B$8-'Black-Scholes'!$B$10-'Black-Scholes'!$B$9^2/2)*'Black-Scholes'!$B$7-'Black-Scholes'!$B$9*SQRT('Black-Scholes'!$B$7)*B242)</f>
        <v>96.3959909175221</v>
      </c>
      <c r="E242" s="18" t="n">
        <f aca="false">EXP(-'Black-Scholes'!$B$8*'Black-Scholes'!$B$7)*IF(LOWER('Black-Scholes'!$B$11)="put",MAX('Black-Scholes'!$B$6-C242,0),MAX(C242-'Black-Scholes'!$B$6,0))</f>
        <v>9.65840348249774</v>
      </c>
      <c r="F242" s="18" t="n">
        <f aca="false">(E242+G242)/2</f>
        <v>4.82920174124887</v>
      </c>
      <c r="G242" s="18" t="n">
        <f aca="false">EXP(-'Black-Scholes'!$B$8*'Black-Scholes'!$B$7)*IF(LOWER('Black-Scholes'!$B$11)="put",MAX('Black-Scholes'!$B$6-D242,0),MAX(D242-'Black-Scholes'!$B$6,0))</f>
        <v>0</v>
      </c>
    </row>
    <row r="243" customFormat="false" ht="15" hidden="false" customHeight="false" outlineLevel="0" collapsed="false">
      <c r="A243" s="0" t="n">
        <v>232</v>
      </c>
      <c r="B243" s="15" t="n">
        <v>1.24106591784148</v>
      </c>
      <c r="C243" s="18" t="n">
        <f aca="false">'Black-Scholes'!$B$5*EXP(('Black-Scholes'!$B$8-'Black-Scholes'!$B$10-'Black-Scholes'!$B$9^2/2)*'Black-Scholes'!$B$7+'Black-Scholes'!$B$9*SQRT('Black-Scholes'!$B$7)*B243)</f>
        <v>132.076773317686</v>
      </c>
      <c r="D243" s="18" t="n">
        <f aca="false">'Black-Scholes'!$B$5*EXP(('Black-Scholes'!$B$8-'Black-Scholes'!$B$10-'Black-Scholes'!$B$9^2/2)*'Black-Scholes'!$B$7-'Black-Scholes'!$B$9*SQRT('Black-Scholes'!$B$7)*B243)</f>
        <v>80.3954033606888</v>
      </c>
      <c r="E243" s="18" t="n">
        <f aca="false">EXP(-'Black-Scholes'!$B$8*'Black-Scholes'!$B$7)*IF(LOWER('Black-Scholes'!$B$11)="put",MAX('Black-Scholes'!$B$6-C243,0),MAX(C243-'Black-Scholes'!$B$6,0))</f>
        <v>30.512370622822</v>
      </c>
      <c r="F243" s="18" t="n">
        <f aca="false">(E243+G243)/2</f>
        <v>15.256185311411</v>
      </c>
      <c r="G243" s="18" t="n">
        <f aca="false">EXP(-'Black-Scholes'!$B$8*'Black-Scholes'!$B$7)*IF(LOWER('Black-Scholes'!$B$11)="put",MAX('Black-Scholes'!$B$6-D243,0),MAX(D243-'Black-Scholes'!$B$6,0))</f>
        <v>0</v>
      </c>
    </row>
    <row r="244" customFormat="false" ht="15" hidden="false" customHeight="false" outlineLevel="0" collapsed="false">
      <c r="A244" s="0" t="n">
        <v>233</v>
      </c>
      <c r="B244" s="15" t="n">
        <v>0.745990756069244</v>
      </c>
      <c r="C244" s="18" t="n">
        <f aca="false">'Black-Scholes'!$B$5*EXP(('Black-Scholes'!$B$8-'Black-Scholes'!$B$10-'Black-Scholes'!$B$9^2/2)*'Black-Scholes'!$B$7+'Black-Scholes'!$B$9*SQRT('Black-Scholes'!$B$7)*B244)</f>
        <v>119.62577606119</v>
      </c>
      <c r="D244" s="18" t="n">
        <f aca="false">'Black-Scholes'!$B$5*EXP(('Black-Scholes'!$B$8-'Black-Scholes'!$B$10-'Black-Scholes'!$B$9^2/2)*'Black-Scholes'!$B$7-'Black-Scholes'!$B$9*SQRT('Black-Scholes'!$B$7)*B244)</f>
        <v>88.7631897996814</v>
      </c>
      <c r="E244" s="18" t="n">
        <f aca="false">EXP(-'Black-Scholes'!$B$8*'Black-Scholes'!$B$7)*IF(LOWER('Black-Scholes'!$B$11)="put",MAX('Black-Scholes'!$B$6-C244,0),MAX(C244-'Black-Scholes'!$B$6,0))</f>
        <v>18.6686156680658</v>
      </c>
      <c r="F244" s="18" t="n">
        <f aca="false">(E244+G244)/2</f>
        <v>9.33430783403288</v>
      </c>
      <c r="G244" s="18" t="n">
        <f aca="false">EXP(-'Black-Scholes'!$B$8*'Black-Scholes'!$B$7)*IF(LOWER('Black-Scholes'!$B$11)="put",MAX('Black-Scholes'!$B$6-D244,0),MAX(D244-'Black-Scholes'!$B$6,0))</f>
        <v>0</v>
      </c>
    </row>
    <row r="245" customFormat="false" ht="15" hidden="false" customHeight="false" outlineLevel="0" collapsed="false">
      <c r="A245" s="0" t="n">
        <v>234</v>
      </c>
      <c r="B245" s="15" t="n">
        <v>-0.260034854341301</v>
      </c>
      <c r="C245" s="18" t="n">
        <f aca="false">'Black-Scholes'!$B$5*EXP(('Black-Scholes'!$B$8-'Black-Scholes'!$B$10-'Black-Scholes'!$B$9^2/2)*'Black-Scholes'!$B$7+'Black-Scholes'!$B$9*SQRT('Black-Scholes'!$B$7)*B245)</f>
        <v>97.8233415891173</v>
      </c>
      <c r="D245" s="18" t="n">
        <f aca="false">'Black-Scholes'!$B$5*EXP(('Black-Scholes'!$B$8-'Black-Scholes'!$B$10-'Black-Scholes'!$B$9^2/2)*'Black-Scholes'!$B$7-'Black-Scholes'!$B$9*SQRT('Black-Scholes'!$B$7)*B245)</f>
        <v>108.546337642537</v>
      </c>
      <c r="E245" s="18" t="n">
        <f aca="false">EXP(-'Black-Scholes'!$B$8*'Black-Scholes'!$B$7)*IF(LOWER('Black-Scholes'!$B$11)="put",MAX('Black-Scholes'!$B$6-C245,0),MAX(C245-'Black-Scholes'!$B$6,0))</f>
        <v>0</v>
      </c>
      <c r="F245" s="18" t="n">
        <f aca="false">(E245+G245)/2</f>
        <v>4.06476391864984</v>
      </c>
      <c r="G245" s="18" t="n">
        <f aca="false">EXP(-'Black-Scholes'!$B$8*'Black-Scholes'!$B$7)*IF(LOWER('Black-Scholes'!$B$11)="put",MAX('Black-Scholes'!$B$6-D245,0),MAX(D245-'Black-Scholes'!$B$6,0))</f>
        <v>8.12952783729969</v>
      </c>
    </row>
    <row r="246" customFormat="false" ht="15" hidden="false" customHeight="false" outlineLevel="0" collapsed="false">
      <c r="A246" s="0" t="n">
        <v>235</v>
      </c>
      <c r="B246" s="15" t="n">
        <v>2.16047719969595</v>
      </c>
      <c r="C246" s="18" t="n">
        <f aca="false">'Black-Scholes'!$B$5*EXP(('Black-Scholes'!$B$8-'Black-Scholes'!$B$10-'Black-Scholes'!$B$9^2/2)*'Black-Scholes'!$B$7+'Black-Scholes'!$B$9*SQRT('Black-Scholes'!$B$7)*B246)</f>
        <v>158.739679704998</v>
      </c>
      <c r="D246" s="18" t="n">
        <f aca="false">'Black-Scholes'!$B$5*EXP(('Black-Scholes'!$B$8-'Black-Scholes'!$B$10-'Black-Scholes'!$B$9^2/2)*'Black-Scholes'!$B$7-'Black-Scholes'!$B$9*SQRT('Black-Scholes'!$B$7)*B246)</f>
        <v>66.8916901255361</v>
      </c>
      <c r="E246" s="18" t="n">
        <f aca="false">EXP(-'Black-Scholes'!$B$8*'Black-Scholes'!$B$7)*IF(LOWER('Black-Scholes'!$B$11)="put",MAX('Black-Scholes'!$B$6-C246,0),MAX(C246-'Black-Scholes'!$B$6,0))</f>
        <v>55.8749117211417</v>
      </c>
      <c r="F246" s="18" t="n">
        <f aca="false">(E246+G246)/2</f>
        <v>27.9374558605709</v>
      </c>
      <c r="G246" s="18" t="n">
        <f aca="false">EXP(-'Black-Scholes'!$B$8*'Black-Scholes'!$B$7)*IF(LOWER('Black-Scholes'!$B$11)="put",MAX('Black-Scholes'!$B$6-D246,0),MAX(D246-'Black-Scholes'!$B$6,0))</f>
        <v>0</v>
      </c>
    </row>
    <row r="247" customFormat="false" ht="15" hidden="false" customHeight="false" outlineLevel="0" collapsed="false">
      <c r="A247" s="0" t="n">
        <v>236</v>
      </c>
      <c r="B247" s="15" t="n">
        <v>-0.492527746324152</v>
      </c>
      <c r="C247" s="18" t="n">
        <f aca="false">'Black-Scholes'!$B$5*EXP(('Black-Scholes'!$B$8-'Black-Scholes'!$B$10-'Black-Scholes'!$B$9^2/2)*'Black-Scholes'!$B$7+'Black-Scholes'!$B$9*SQRT('Black-Scholes'!$B$7)*B247)</f>
        <v>93.3788278250694</v>
      </c>
      <c r="D247" s="18" t="n">
        <f aca="false">'Black-Scholes'!$B$5*EXP(('Black-Scholes'!$B$8-'Black-Scholes'!$B$10-'Black-Scholes'!$B$9^2/2)*'Black-Scholes'!$B$7-'Black-Scholes'!$B$9*SQRT('Black-Scholes'!$B$7)*B247)</f>
        <v>113.712773149663</v>
      </c>
      <c r="E247" s="18" t="n">
        <f aca="false">EXP(-'Black-Scholes'!$B$8*'Black-Scholes'!$B$7)*IF(LOWER('Black-Scholes'!$B$11)="put",MAX('Black-Scholes'!$B$6-C247,0),MAX(C247-'Black-Scholes'!$B$6,0))</f>
        <v>0</v>
      </c>
      <c r="F247" s="18" t="n">
        <f aca="false">(E247+G247)/2</f>
        <v>6.52199665573162</v>
      </c>
      <c r="G247" s="18" t="n">
        <f aca="false">EXP(-'Black-Scholes'!$B$8*'Black-Scholes'!$B$7)*IF(LOWER('Black-Scholes'!$B$11)="put",MAX('Black-Scholes'!$B$6-D247,0),MAX(D247-'Black-Scholes'!$B$6,0))</f>
        <v>13.0439933114632</v>
      </c>
    </row>
    <row r="248" customFormat="false" ht="15" hidden="false" customHeight="false" outlineLevel="0" collapsed="false">
      <c r="A248" s="0" t="n">
        <v>237</v>
      </c>
      <c r="B248" s="15" t="n">
        <v>0.138553928412058</v>
      </c>
      <c r="C248" s="18" t="n">
        <f aca="false">'Black-Scholes'!$B$5*EXP(('Black-Scholes'!$B$8-'Black-Scholes'!$B$10-'Black-Scholes'!$B$9^2/2)*'Black-Scholes'!$B$7+'Black-Scholes'!$B$9*SQRT('Black-Scholes'!$B$7)*B248)</f>
        <v>105.940855527658</v>
      </c>
      <c r="D248" s="18" t="n">
        <f aca="false">'Black-Scholes'!$B$5*EXP(('Black-Scholes'!$B$8-'Black-Scholes'!$B$10-'Black-Scholes'!$B$9^2/2)*'Black-Scholes'!$B$7-'Black-Scholes'!$B$9*SQRT('Black-Scholes'!$B$7)*B248)</f>
        <v>100.229183656927</v>
      </c>
      <c r="E248" s="18" t="n">
        <f aca="false">EXP(-'Black-Scholes'!$B$8*'Black-Scholes'!$B$7)*IF(LOWER('Black-Scholes'!$B$11)="put",MAX('Black-Scholes'!$B$6-C248,0),MAX(C248-'Black-Scholes'!$B$6,0))</f>
        <v>5.65111658461616</v>
      </c>
      <c r="F248" s="18" t="n">
        <f aca="false">(E248+G248)/2</f>
        <v>2.9345614113498</v>
      </c>
      <c r="G248" s="18" t="n">
        <f aca="false">EXP(-'Black-Scholes'!$B$8*'Black-Scholes'!$B$7)*IF(LOWER('Black-Scholes'!$B$11)="put",MAX('Black-Scholes'!$B$6-D248,0),MAX(D248-'Black-Scholes'!$B$6,0))</f>
        <v>0.218006238083442</v>
      </c>
    </row>
    <row r="249" customFormat="false" ht="15" hidden="false" customHeight="false" outlineLevel="0" collapsed="false">
      <c r="A249" s="0" t="n">
        <v>238</v>
      </c>
      <c r="B249" s="15" t="n">
        <v>0.042638641292361</v>
      </c>
      <c r="C249" s="18" t="n">
        <f aca="false">'Black-Scholes'!$B$5*EXP(('Black-Scholes'!$B$8-'Black-Scholes'!$B$10-'Black-Scholes'!$B$9^2/2)*'Black-Scholes'!$B$7+'Black-Scholes'!$B$9*SQRT('Black-Scholes'!$B$7)*B249)</f>
        <v>103.927954537032</v>
      </c>
      <c r="D249" s="18" t="n">
        <f aca="false">'Black-Scholes'!$B$5*EXP(('Black-Scholes'!$B$8-'Black-Scholes'!$B$10-'Black-Scholes'!$B$9^2/2)*'Black-Scholes'!$B$7-'Black-Scholes'!$B$9*SQRT('Black-Scholes'!$B$7)*B249)</f>
        <v>102.170445985926</v>
      </c>
      <c r="E249" s="18" t="n">
        <f aca="false">EXP(-'Black-Scholes'!$B$8*'Black-Scholes'!$B$7)*IF(LOWER('Black-Scholes'!$B$11)="put",MAX('Black-Scholes'!$B$6-C249,0),MAX(C249-'Black-Scholes'!$B$6,0))</f>
        <v>3.73638593372576</v>
      </c>
      <c r="F249" s="18" t="n">
        <f aca="false">(E249+G249)/2</f>
        <v>2.90048900991408</v>
      </c>
      <c r="G249" s="18" t="n">
        <f aca="false">EXP(-'Black-Scholes'!$B$8*'Black-Scholes'!$B$7)*IF(LOWER('Black-Scholes'!$B$11)="put",MAX('Black-Scholes'!$B$6-D249,0),MAX(D249-'Black-Scholes'!$B$6,0))</f>
        <v>2.06459208610239</v>
      </c>
    </row>
    <row r="250" customFormat="false" ht="15" hidden="false" customHeight="false" outlineLevel="0" collapsed="false">
      <c r="A250" s="0" t="n">
        <v>239</v>
      </c>
      <c r="B250" s="15" t="n">
        <v>-0.383091912034826</v>
      </c>
      <c r="C250" s="18" t="n">
        <f aca="false">'Black-Scholes'!$B$5*EXP(('Black-Scholes'!$B$8-'Black-Scholes'!$B$10-'Black-Scholes'!$B$9^2/2)*'Black-Scholes'!$B$7+'Black-Scholes'!$B$9*SQRT('Black-Scholes'!$B$7)*B250)</f>
        <v>95.4451563608245</v>
      </c>
      <c r="D250" s="18" t="n">
        <f aca="false">'Black-Scholes'!$B$5*EXP(('Black-Scholes'!$B$8-'Black-Scholes'!$B$10-'Black-Scholes'!$B$9^2/2)*'Black-Scholes'!$B$7-'Black-Scholes'!$B$9*SQRT('Black-Scholes'!$B$7)*B250)</f>
        <v>111.250962021703</v>
      </c>
      <c r="E250" s="18" t="n">
        <f aca="false">EXP(-'Black-Scholes'!$B$8*'Black-Scholes'!$B$7)*IF(LOWER('Black-Scholes'!$B$11)="put",MAX('Black-Scholes'!$B$6-C250,0),MAX(C250-'Black-Scholes'!$B$6,0))</f>
        <v>0</v>
      </c>
      <c r="F250" s="18" t="n">
        <f aca="false">(E250+G250)/2</f>
        <v>5.35112306449202</v>
      </c>
      <c r="G250" s="18" t="n">
        <f aca="false">EXP(-'Black-Scholes'!$B$8*'Black-Scholes'!$B$7)*IF(LOWER('Black-Scholes'!$B$11)="put",MAX('Black-Scholes'!$B$6-D250,0),MAX(D250-'Black-Scholes'!$B$6,0))</f>
        <v>10.702246128984</v>
      </c>
    </row>
    <row r="251" customFormat="false" ht="15" hidden="false" customHeight="false" outlineLevel="0" collapsed="false">
      <c r="A251" s="0" t="n">
        <v>240</v>
      </c>
      <c r="B251" s="15" t="n">
        <v>1.79375069407979</v>
      </c>
      <c r="C251" s="18" t="n">
        <f aca="false">'Black-Scholes'!$B$5*EXP(('Black-Scholes'!$B$8-'Black-Scholes'!$B$10-'Black-Scholes'!$B$9^2/2)*'Black-Scholes'!$B$7+'Black-Scholes'!$B$9*SQRT('Black-Scholes'!$B$7)*B251)</f>
        <v>147.513592607329</v>
      </c>
      <c r="D251" s="18" t="n">
        <f aca="false">'Black-Scholes'!$B$5*EXP(('Black-Scholes'!$B$8-'Black-Scholes'!$B$10-'Black-Scholes'!$B$9^2/2)*'Black-Scholes'!$B$7-'Black-Scholes'!$B$9*SQRT('Black-Scholes'!$B$7)*B251)</f>
        <v>71.9822850069075</v>
      </c>
      <c r="E251" s="18" t="n">
        <f aca="false">EXP(-'Black-Scholes'!$B$8*'Black-Scholes'!$B$7)*IF(LOWER('Black-Scholes'!$B$11)="put",MAX('Black-Scholes'!$B$6-C251,0),MAX(C251-'Black-Scholes'!$B$6,0))</f>
        <v>45.1963273518309</v>
      </c>
      <c r="F251" s="18" t="n">
        <f aca="false">(E251+G251)/2</f>
        <v>22.5981636759154</v>
      </c>
      <c r="G251" s="18" t="n">
        <f aca="false">EXP(-'Black-Scholes'!$B$8*'Black-Scholes'!$B$7)*IF(LOWER('Black-Scholes'!$B$11)="put",MAX('Black-Scholes'!$B$6-D251,0),MAX(D251-'Black-Scholes'!$B$6,0))</f>
        <v>0</v>
      </c>
    </row>
    <row r="252" customFormat="false" ht="15" hidden="false" customHeight="false" outlineLevel="0" collapsed="false">
      <c r="A252" s="0" t="n">
        <v>241</v>
      </c>
      <c r="B252" s="15" t="n">
        <v>1.88481867993043</v>
      </c>
      <c r="C252" s="18" t="n">
        <f aca="false">'Black-Scholes'!$B$5*EXP(('Black-Scholes'!$B$8-'Black-Scholes'!$B$10-'Black-Scholes'!$B$9^2/2)*'Black-Scholes'!$B$7+'Black-Scholes'!$B$9*SQRT('Black-Scholes'!$B$7)*B252)</f>
        <v>150.224962707277</v>
      </c>
      <c r="D252" s="18" t="n">
        <f aca="false">'Black-Scholes'!$B$5*EXP(('Black-Scholes'!$B$8-'Black-Scholes'!$B$10-'Black-Scholes'!$B$9^2/2)*'Black-Scholes'!$B$7-'Black-Scholes'!$B$9*SQRT('Black-Scholes'!$B$7)*B252)</f>
        <v>70.6830960320767</v>
      </c>
      <c r="E252" s="18" t="n">
        <f aca="false">EXP(-'Black-Scholes'!$B$8*'Black-Scholes'!$B$7)*IF(LOWER('Black-Scholes'!$B$11)="put",MAX('Black-Scholes'!$B$6-C252,0),MAX(C252-'Black-Scholes'!$B$6,0))</f>
        <v>47.775462371613</v>
      </c>
      <c r="F252" s="18" t="n">
        <f aca="false">(E252+G252)/2</f>
        <v>23.8877311858065</v>
      </c>
      <c r="G252" s="18" t="n">
        <f aca="false">EXP(-'Black-Scholes'!$B$8*'Black-Scholes'!$B$7)*IF(LOWER('Black-Scholes'!$B$11)="put",MAX('Black-Scholes'!$B$6-D252,0),MAX(D252-'Black-Scholes'!$B$6,0))</f>
        <v>0</v>
      </c>
    </row>
    <row r="253" customFormat="false" ht="15" hidden="false" customHeight="false" outlineLevel="0" collapsed="false">
      <c r="A253" s="0" t="n">
        <v>242</v>
      </c>
      <c r="B253" s="15" t="n">
        <v>-0.0695583006506023</v>
      </c>
      <c r="C253" s="18" t="n">
        <f aca="false">'Black-Scholes'!$B$5*EXP(('Black-Scholes'!$B$8-'Black-Scholes'!$B$10-'Black-Scholes'!$B$9^2/2)*'Black-Scholes'!$B$7+'Black-Scholes'!$B$9*SQRT('Black-Scholes'!$B$7)*B253)</f>
        <v>101.621845404696</v>
      </c>
      <c r="D253" s="18" t="n">
        <f aca="false">'Black-Scholes'!$B$5*EXP(('Black-Scholes'!$B$8-'Black-Scholes'!$B$10-'Black-Scholes'!$B$9^2/2)*'Black-Scholes'!$B$7-'Black-Scholes'!$B$9*SQRT('Black-Scholes'!$B$7)*B253)</f>
        <v>104.489004536055</v>
      </c>
      <c r="E253" s="18" t="n">
        <f aca="false">EXP(-'Black-Scholes'!$B$8*'Black-Scholes'!$B$7)*IF(LOWER('Black-Scholes'!$B$11)="put",MAX('Black-Scholes'!$B$6-C253,0),MAX(C253-'Black-Scholes'!$B$6,0))</f>
        <v>1.54274707093822</v>
      </c>
      <c r="F253" s="18" t="n">
        <f aca="false">(E253+G253)/2</f>
        <v>2.90641013617556</v>
      </c>
      <c r="G253" s="18" t="n">
        <f aca="false">EXP(-'Black-Scholes'!$B$8*'Black-Scholes'!$B$7)*IF(LOWER('Black-Scholes'!$B$11)="put",MAX('Black-Scholes'!$B$6-D253,0),MAX(D253-'Black-Scholes'!$B$6,0))</f>
        <v>4.27007320141292</v>
      </c>
    </row>
    <row r="254" customFormat="false" ht="15" hidden="false" customHeight="false" outlineLevel="0" collapsed="false">
      <c r="A254" s="0" t="n">
        <v>243</v>
      </c>
      <c r="B254" s="15" t="n">
        <v>-0.606413805530767</v>
      </c>
      <c r="C254" s="18" t="n">
        <f aca="false">'Black-Scholes'!$B$5*EXP(('Black-Scholes'!$B$8-'Black-Scholes'!$B$10-'Black-Scholes'!$B$9^2/2)*'Black-Scholes'!$B$7+'Black-Scholes'!$B$9*SQRT('Black-Scholes'!$B$7)*B254)</f>
        <v>91.2759581497592</v>
      </c>
      <c r="D254" s="18" t="n">
        <f aca="false">'Black-Scholes'!$B$5*EXP(('Black-Scholes'!$B$8-'Black-Scholes'!$B$10-'Black-Scholes'!$B$9^2/2)*'Black-Scholes'!$B$7-'Black-Scholes'!$B$9*SQRT('Black-Scholes'!$B$7)*B254)</f>
        <v>116.332555480072</v>
      </c>
      <c r="E254" s="18" t="n">
        <f aca="false">EXP(-'Black-Scholes'!$B$8*'Black-Scholes'!$B$7)*IF(LOWER('Black-Scholes'!$B$11)="put",MAX('Black-Scholes'!$B$6-C254,0),MAX(C254-'Black-Scholes'!$B$6,0))</f>
        <v>0</v>
      </c>
      <c r="F254" s="18" t="n">
        <f aca="false">(E254+G254)/2</f>
        <v>7.76800367496746</v>
      </c>
      <c r="G254" s="18" t="n">
        <f aca="false">EXP(-'Black-Scholes'!$B$8*'Black-Scholes'!$B$7)*IF(LOWER('Black-Scholes'!$B$11)="put",MAX('Black-Scholes'!$B$6-D254,0),MAX(D254-'Black-Scholes'!$B$6,0))</f>
        <v>15.5360073499349</v>
      </c>
    </row>
    <row r="255" customFormat="false" ht="15" hidden="false" customHeight="false" outlineLevel="0" collapsed="false">
      <c r="A255" s="0" t="n">
        <v>244</v>
      </c>
      <c r="B255" s="15" t="n">
        <v>0.903023322012396</v>
      </c>
      <c r="C255" s="18" t="n">
        <f aca="false">'Black-Scholes'!$B$5*EXP(('Black-Scholes'!$B$8-'Black-Scholes'!$B$10-'Black-Scholes'!$B$9^2/2)*'Black-Scholes'!$B$7+'Black-Scholes'!$B$9*SQRT('Black-Scholes'!$B$7)*B255)</f>
        <v>123.442424673728</v>
      </c>
      <c r="D255" s="18" t="n">
        <f aca="false">'Black-Scholes'!$B$5*EXP(('Black-Scholes'!$B$8-'Black-Scholes'!$B$10-'Black-Scholes'!$B$9^2/2)*'Black-Scholes'!$B$7-'Black-Scholes'!$B$9*SQRT('Black-Scholes'!$B$7)*B255)</f>
        <v>86.0187694264687</v>
      </c>
      <c r="E255" s="18" t="n">
        <f aca="false">EXP(-'Black-Scholes'!$B$8*'Black-Scholes'!$B$7)*IF(LOWER('Black-Scholes'!$B$11)="put",MAX('Black-Scholes'!$B$6-C255,0),MAX(C255-'Black-Scholes'!$B$6,0))</f>
        <v>22.2991241312912</v>
      </c>
      <c r="F255" s="18" t="n">
        <f aca="false">(E255+G255)/2</f>
        <v>11.1495620656456</v>
      </c>
      <c r="G255" s="18" t="n">
        <f aca="false">EXP(-'Black-Scholes'!$B$8*'Black-Scholes'!$B$7)*IF(LOWER('Black-Scholes'!$B$11)="put",MAX('Black-Scholes'!$B$6-D255,0),MAX(D255-'Black-Scholes'!$B$6,0))</f>
        <v>0</v>
      </c>
    </row>
    <row r="256" customFormat="false" ht="15" hidden="false" customHeight="false" outlineLevel="0" collapsed="false">
      <c r="A256" s="0" t="n">
        <v>245</v>
      </c>
      <c r="B256" s="15" t="n">
        <v>0.417248135753931</v>
      </c>
      <c r="C256" s="18" t="n">
        <f aca="false">'Black-Scholes'!$B$5*EXP(('Black-Scholes'!$B$8-'Black-Scholes'!$B$10-'Black-Scholes'!$B$9^2/2)*'Black-Scholes'!$B$7+'Black-Scholes'!$B$9*SQRT('Black-Scholes'!$B$7)*B256)</f>
        <v>112.013546305645</v>
      </c>
      <c r="D256" s="18" t="n">
        <f aca="false">'Black-Scholes'!$B$5*EXP(('Black-Scholes'!$B$8-'Black-Scholes'!$B$10-'Black-Scholes'!$B$9^2/2)*'Black-Scholes'!$B$7-'Black-Scholes'!$B$9*SQRT('Black-Scholes'!$B$7)*B256)</f>
        <v>94.7953690929478</v>
      </c>
      <c r="E256" s="18" t="n">
        <f aca="false">EXP(-'Black-Scholes'!$B$8*'Black-Scholes'!$B$7)*IF(LOWER('Black-Scholes'!$B$11)="put",MAX('Black-Scholes'!$B$6-C256,0),MAX(C256-'Black-Scholes'!$B$6,0))</f>
        <v>11.4276387385312</v>
      </c>
      <c r="F256" s="18" t="n">
        <f aca="false">(E256+G256)/2</f>
        <v>5.71381936926558</v>
      </c>
      <c r="G256" s="18" t="n">
        <f aca="false">EXP(-'Black-Scholes'!$B$8*'Black-Scholes'!$B$7)*IF(LOWER('Black-Scholes'!$B$11)="put",MAX('Black-Scholes'!$B$6-D256,0),MAX(D256-'Black-Scholes'!$B$6,0))</f>
        <v>0</v>
      </c>
    </row>
    <row r="257" customFormat="false" ht="15" hidden="false" customHeight="false" outlineLevel="0" collapsed="false">
      <c r="A257" s="0" t="n">
        <v>246</v>
      </c>
      <c r="B257" s="15" t="n">
        <v>0.664471032558611</v>
      </c>
      <c r="C257" s="18" t="n">
        <f aca="false">'Black-Scholes'!$B$5*EXP(('Black-Scholes'!$B$8-'Black-Scholes'!$B$10-'Black-Scholes'!$B$9^2/2)*'Black-Scholes'!$B$7+'Black-Scholes'!$B$9*SQRT('Black-Scholes'!$B$7)*B257)</f>
        <v>117.691217345785</v>
      </c>
      <c r="D257" s="18" t="n">
        <f aca="false">'Black-Scholes'!$B$5*EXP(('Black-Scholes'!$B$8-'Black-Scholes'!$B$10-'Black-Scholes'!$B$9^2/2)*'Black-Scholes'!$B$7-'Black-Scholes'!$B$9*SQRT('Black-Scholes'!$B$7)*B257)</f>
        <v>90.2222417689509</v>
      </c>
      <c r="E257" s="18" t="n">
        <f aca="false">EXP(-'Black-Scholes'!$B$8*'Black-Scholes'!$B$7)*IF(LOWER('Black-Scholes'!$B$11)="put",MAX('Black-Scholes'!$B$6-C257,0),MAX(C257-'Black-Scholes'!$B$6,0))</f>
        <v>16.8284064945484</v>
      </c>
      <c r="F257" s="18" t="n">
        <f aca="false">(E257+G257)/2</f>
        <v>8.41420324727422</v>
      </c>
      <c r="G257" s="18" t="n">
        <f aca="false">EXP(-'Black-Scholes'!$B$8*'Black-Scholes'!$B$7)*IF(LOWER('Black-Scholes'!$B$11)="put",MAX('Black-Scholes'!$B$6-D257,0),MAX(D257-'Black-Scholes'!$B$6,0))</f>
        <v>0</v>
      </c>
    </row>
    <row r="258" customFormat="false" ht="15" hidden="false" customHeight="false" outlineLevel="0" collapsed="false">
      <c r="A258" s="0" t="n">
        <v>247</v>
      </c>
      <c r="B258" s="15" t="n">
        <v>-0.160092069763958</v>
      </c>
      <c r="C258" s="18" t="n">
        <f aca="false">'Black-Scholes'!$B$5*EXP(('Black-Scholes'!$B$8-'Black-Scholes'!$B$10-'Black-Scholes'!$B$9^2/2)*'Black-Scholes'!$B$7+'Black-Scholes'!$B$9*SQRT('Black-Scholes'!$B$7)*B258)</f>
        <v>99.7983621674841</v>
      </c>
      <c r="D258" s="18" t="n">
        <f aca="false">'Black-Scholes'!$B$5*EXP(('Black-Scholes'!$B$8-'Black-Scholes'!$B$10-'Black-Scholes'!$B$9^2/2)*'Black-Scholes'!$B$7-'Black-Scholes'!$B$9*SQRT('Black-Scholes'!$B$7)*B258)</f>
        <v>106.39819366608</v>
      </c>
      <c r="E258" s="18" t="n">
        <f aca="false">EXP(-'Black-Scholes'!$B$8*'Black-Scholes'!$B$7)*IF(LOWER('Black-Scholes'!$B$11)="put",MAX('Black-Scholes'!$B$6-C258,0),MAX(C258-'Black-Scholes'!$B$6,0))</f>
        <v>0</v>
      </c>
      <c r="F258" s="18" t="n">
        <f aca="false">(E258+G258)/2</f>
        <v>3.04307503941486</v>
      </c>
      <c r="G258" s="18" t="n">
        <f aca="false">EXP(-'Black-Scholes'!$B$8*'Black-Scholes'!$B$7)*IF(LOWER('Black-Scholes'!$B$11)="put",MAX('Black-Scholes'!$B$6-D258,0),MAX(D258-'Black-Scholes'!$B$6,0))</f>
        <v>6.08615007882972</v>
      </c>
    </row>
    <row r="259" customFormat="false" ht="15" hidden="false" customHeight="false" outlineLevel="0" collapsed="false">
      <c r="A259" s="0" t="n">
        <v>248</v>
      </c>
      <c r="B259" s="15" t="n">
        <v>-1.67700053290862</v>
      </c>
      <c r="C259" s="18" t="n">
        <f aca="false">'Black-Scholes'!$B$5*EXP(('Black-Scholes'!$B$8-'Black-Scholes'!$B$10-'Black-Scholes'!$B$9^2/2)*'Black-Scholes'!$B$7+'Black-Scholes'!$B$9*SQRT('Black-Scholes'!$B$7)*B259)</f>
        <v>73.6828505471422</v>
      </c>
      <c r="D259" s="18" t="n">
        <f aca="false">'Black-Scholes'!$B$5*EXP(('Black-Scholes'!$B$8-'Black-Scholes'!$B$10-'Black-Scholes'!$B$9^2/2)*'Black-Scholes'!$B$7-'Black-Scholes'!$B$9*SQRT('Black-Scholes'!$B$7)*B259)</f>
        <v>144.109048260287</v>
      </c>
      <c r="E259" s="18" t="n">
        <f aca="false">EXP(-'Black-Scholes'!$B$8*'Black-Scholes'!$B$7)*IF(LOWER('Black-Scholes'!$B$11)="put",MAX('Black-Scholes'!$B$6-C259,0),MAX(C259-'Black-Scholes'!$B$6,0))</f>
        <v>0</v>
      </c>
      <c r="F259" s="18" t="n">
        <f aca="false">(E259+G259)/2</f>
        <v>20.9789122959533</v>
      </c>
      <c r="G259" s="18" t="n">
        <f aca="false">EXP(-'Black-Scholes'!$B$8*'Black-Scholes'!$B$7)*IF(LOWER('Black-Scholes'!$B$11)="put",MAX('Black-Scholes'!$B$6-D259,0),MAX(D259-'Black-Scholes'!$B$6,0))</f>
        <v>41.9578245919066</v>
      </c>
    </row>
    <row r="260" customFormat="false" ht="15" hidden="false" customHeight="false" outlineLevel="0" collapsed="false">
      <c r="A260" s="0" t="n">
        <v>249</v>
      </c>
      <c r="B260" s="15" t="n">
        <v>0.38689290587105</v>
      </c>
      <c r="C260" s="18" t="n">
        <f aca="false">'Black-Scholes'!$B$5*EXP(('Black-Scholes'!$B$8-'Black-Scholes'!$B$10-'Black-Scholes'!$B$9^2/2)*'Black-Scholes'!$B$7+'Black-Scholes'!$B$9*SQRT('Black-Scholes'!$B$7)*B260)</f>
        <v>111.33556702012</v>
      </c>
      <c r="D260" s="18" t="n">
        <f aca="false">'Black-Scholes'!$B$5*EXP(('Black-Scholes'!$B$8-'Black-Scholes'!$B$10-'Black-Scholes'!$B$9^2/2)*'Black-Scholes'!$B$7-'Black-Scholes'!$B$9*SQRT('Black-Scholes'!$B$7)*B260)</f>
        <v>95.3726266426136</v>
      </c>
      <c r="E260" s="18" t="n">
        <f aca="false">EXP(-'Black-Scholes'!$B$8*'Black-Scholes'!$B$7)*IF(LOWER('Black-Scholes'!$B$11)="put",MAX('Black-Scholes'!$B$6-C260,0),MAX(C260-'Black-Scholes'!$B$6,0))</f>
        <v>10.7827248929381</v>
      </c>
      <c r="F260" s="18" t="n">
        <f aca="false">(E260+G260)/2</f>
        <v>5.39136244646906</v>
      </c>
      <c r="G260" s="18" t="n">
        <f aca="false">EXP(-'Black-Scholes'!$B$8*'Black-Scholes'!$B$7)*IF(LOWER('Black-Scholes'!$B$11)="put",MAX('Black-Scholes'!$B$6-D260,0),MAX(D260-'Black-Scholes'!$B$6,0))</f>
        <v>0</v>
      </c>
    </row>
    <row r="261" customFormat="false" ht="15" hidden="false" customHeight="false" outlineLevel="0" collapsed="false">
      <c r="A261" s="0" t="n">
        <v>250</v>
      </c>
      <c r="B261" s="15" t="n">
        <v>-1.09365389626553</v>
      </c>
      <c r="C261" s="18" t="n">
        <f aca="false">'Black-Scholes'!$B$5*EXP(('Black-Scholes'!$B$8-'Black-Scholes'!$B$10-'Black-Scholes'!$B$9^2/2)*'Black-Scholes'!$B$7+'Black-Scholes'!$B$9*SQRT('Black-Scholes'!$B$7)*B261)</f>
        <v>82.8009393997932</v>
      </c>
      <c r="D261" s="18" t="n">
        <f aca="false">'Black-Scholes'!$B$5*EXP(('Black-Scholes'!$B$8-'Black-Scholes'!$B$10-'Black-Scholes'!$B$9^2/2)*'Black-Scholes'!$B$7-'Black-Scholes'!$B$9*SQRT('Black-Scholes'!$B$7)*B261)</f>
        <v>128.239673878387</v>
      </c>
      <c r="E261" s="18" t="n">
        <f aca="false">EXP(-'Black-Scholes'!$B$8*'Black-Scholes'!$B$7)*IF(LOWER('Black-Scholes'!$B$11)="put",MAX('Black-Scholes'!$B$6-C261,0),MAX(C261-'Black-Scholes'!$B$6,0))</f>
        <v>0</v>
      </c>
      <c r="F261" s="18" t="n">
        <f aca="false">(E261+G261)/2</f>
        <v>13.4312043657131</v>
      </c>
      <c r="G261" s="18" t="n">
        <f aca="false">EXP(-'Black-Scholes'!$B$8*'Black-Scholes'!$B$7)*IF(LOWER('Black-Scholes'!$B$11)="put",MAX('Black-Scholes'!$B$6-D261,0),MAX(D261-'Black-Scholes'!$B$6,0))</f>
        <v>26.8624087314263</v>
      </c>
    </row>
    <row r="262" customFormat="false" ht="15" hidden="false" customHeight="false" outlineLevel="0" collapsed="false">
      <c r="A262" s="0" t="n">
        <v>251</v>
      </c>
      <c r="B262" s="15" t="n">
        <v>-0.132634039243175</v>
      </c>
      <c r="C262" s="18" t="n">
        <f aca="false">'Black-Scholes'!$B$5*EXP(('Black-Scholes'!$B$8-'Black-Scholes'!$B$10-'Black-Scholes'!$B$9^2/2)*'Black-Scholes'!$B$7+'Black-Scholes'!$B$9*SQRT('Black-Scholes'!$B$7)*B262)</f>
        <v>100.347923067218</v>
      </c>
      <c r="D262" s="18" t="n">
        <f aca="false">'Black-Scholes'!$B$5*EXP(('Black-Scholes'!$B$8-'Black-Scholes'!$B$10-'Black-Scholes'!$B$9^2/2)*'Black-Scholes'!$B$7-'Black-Scholes'!$B$9*SQRT('Black-Scholes'!$B$7)*B262)</f>
        <v>105.815498127857</v>
      </c>
      <c r="E262" s="18" t="n">
        <f aca="false">EXP(-'Black-Scholes'!$B$8*'Black-Scholes'!$B$7)*IF(LOWER('Black-Scholes'!$B$11)="put",MAX('Black-Scholes'!$B$6-C262,0),MAX(C262-'Black-Scholes'!$B$6,0))</f>
        <v>0.330954659000523</v>
      </c>
      <c r="F262" s="18" t="n">
        <f aca="false">(E262+G262)/2</f>
        <v>2.93141379817359</v>
      </c>
      <c r="G262" s="18" t="n">
        <f aca="false">EXP(-'Black-Scholes'!$B$8*'Black-Scholes'!$B$7)*IF(LOWER('Black-Scholes'!$B$11)="put",MAX('Black-Scholes'!$B$6-D262,0),MAX(D262-'Black-Scholes'!$B$6,0))</f>
        <v>5.53187293734665</v>
      </c>
    </row>
    <row r="263" customFormat="false" ht="15" hidden="false" customHeight="false" outlineLevel="0" collapsed="false">
      <c r="A263" s="0" t="n">
        <v>252</v>
      </c>
      <c r="B263" s="15" t="n">
        <v>1.46114905107443</v>
      </c>
      <c r="C263" s="18" t="n">
        <f aca="false">'Black-Scholes'!$B$5*EXP(('Black-Scholes'!$B$8-'Black-Scholes'!$B$10-'Black-Scholes'!$B$9^2/2)*'Black-Scholes'!$B$7+'Black-Scholes'!$B$9*SQRT('Black-Scholes'!$B$7)*B263)</f>
        <v>138.020192401466</v>
      </c>
      <c r="D263" s="18" t="n">
        <f aca="false">'Black-Scholes'!$B$5*EXP(('Black-Scholes'!$B$8-'Black-Scholes'!$B$10-'Black-Scholes'!$B$9^2/2)*'Black-Scholes'!$B$7-'Black-Scholes'!$B$9*SQRT('Black-Scholes'!$B$7)*B263)</f>
        <v>76.9334202532294</v>
      </c>
      <c r="E263" s="18" t="n">
        <f aca="false">EXP(-'Black-Scholes'!$B$8*'Black-Scholes'!$B$7)*IF(LOWER('Black-Scholes'!$B$11)="put",MAX('Black-Scholes'!$B$6-C263,0),MAX(C263-'Black-Scholes'!$B$6,0))</f>
        <v>36.1659257374533</v>
      </c>
      <c r="F263" s="18" t="n">
        <f aca="false">(E263+G263)/2</f>
        <v>18.0829628687267</v>
      </c>
      <c r="G263" s="18" t="n">
        <f aca="false">EXP(-'Black-Scholes'!$B$8*'Black-Scholes'!$B$7)*IF(LOWER('Black-Scholes'!$B$11)="put",MAX('Black-Scholes'!$B$6-D263,0),MAX(D263-'Black-Scholes'!$B$6,0))</f>
        <v>0</v>
      </c>
    </row>
    <row r="264" customFormat="false" ht="15" hidden="false" customHeight="false" outlineLevel="0" collapsed="false">
      <c r="A264" s="0" t="n">
        <v>253</v>
      </c>
      <c r="B264" s="15" t="n">
        <v>0.122816966512736</v>
      </c>
      <c r="C264" s="18" t="n">
        <f aca="false">'Black-Scholes'!$B$5*EXP(('Black-Scholes'!$B$8-'Black-Scholes'!$B$10-'Black-Scholes'!$B$9^2/2)*'Black-Scholes'!$B$7+'Black-Scholes'!$B$9*SQRT('Black-Scholes'!$B$7)*B264)</f>
        <v>105.607942265409</v>
      </c>
      <c r="D264" s="18" t="n">
        <f aca="false">'Black-Scholes'!$B$5*EXP(('Black-Scholes'!$B$8-'Black-Scholes'!$B$10-'Black-Scholes'!$B$9^2/2)*'Black-Scholes'!$B$7-'Black-Scholes'!$B$9*SQRT('Black-Scholes'!$B$7)*B264)</f>
        <v>100.545141186144</v>
      </c>
      <c r="E264" s="18" t="n">
        <f aca="false">EXP(-'Black-Scholes'!$B$8*'Black-Scholes'!$B$7)*IF(LOWER('Black-Scholes'!$B$11)="put",MAX('Black-Scholes'!$B$6-C264,0),MAX(C264-'Black-Scholes'!$B$6,0))</f>
        <v>5.33443969375777</v>
      </c>
      <c r="F264" s="18" t="n">
        <f aca="false">(E264+G264)/2</f>
        <v>2.92649701526238</v>
      </c>
      <c r="G264" s="18" t="n">
        <f aca="false">EXP(-'Black-Scholes'!$B$8*'Black-Scholes'!$B$7)*IF(LOWER('Black-Scholes'!$B$11)="put",MAX('Black-Scholes'!$B$6-D264,0),MAX(D264-'Black-Scholes'!$B$6,0))</f>
        <v>0.518554336766982</v>
      </c>
    </row>
    <row r="265" customFormat="false" ht="15" hidden="false" customHeight="false" outlineLevel="0" collapsed="false">
      <c r="A265" s="0" t="n">
        <v>254</v>
      </c>
      <c r="B265" s="15" t="n">
        <v>1.31833095096653</v>
      </c>
      <c r="C265" s="18" t="n">
        <f aca="false">'Black-Scholes'!$B$5*EXP(('Black-Scholes'!$B$8-'Black-Scholes'!$B$10-'Black-Scholes'!$B$9^2/2)*'Black-Scholes'!$B$7+'Black-Scholes'!$B$9*SQRT('Black-Scholes'!$B$7)*B265)</f>
        <v>134.133607778996</v>
      </c>
      <c r="D265" s="18" t="n">
        <f aca="false">'Black-Scholes'!$B$5*EXP(('Black-Scholes'!$B$8-'Black-Scholes'!$B$10-'Black-Scholes'!$B$9^2/2)*'Black-Scholes'!$B$7-'Black-Scholes'!$B$9*SQRT('Black-Scholes'!$B$7)*B265)</f>
        <v>79.1626024325602</v>
      </c>
      <c r="E265" s="18" t="n">
        <f aca="false">EXP(-'Black-Scholes'!$B$8*'Black-Scholes'!$B$7)*IF(LOWER('Black-Scholes'!$B$11)="put",MAX('Black-Scholes'!$B$6-C265,0),MAX(C265-'Black-Scholes'!$B$6,0))</f>
        <v>32.4688920837471</v>
      </c>
      <c r="F265" s="18" t="n">
        <f aca="false">(E265+G265)/2</f>
        <v>16.2344460418735</v>
      </c>
      <c r="G265" s="18" t="n">
        <f aca="false">EXP(-'Black-Scholes'!$B$8*'Black-Scholes'!$B$7)*IF(LOWER('Black-Scholes'!$B$11)="put",MAX('Black-Scholes'!$B$6-D265,0),MAX(D265-'Black-Scholes'!$B$6,0))</f>
        <v>0</v>
      </c>
    </row>
    <row r="266" customFormat="false" ht="15" hidden="false" customHeight="false" outlineLevel="0" collapsed="false">
      <c r="A266" s="0" t="n">
        <v>255</v>
      </c>
      <c r="B266" s="15" t="n">
        <v>1.8366874300198</v>
      </c>
      <c r="C266" s="18" t="n">
        <f aca="false">'Black-Scholes'!$B$5*EXP(('Black-Scholes'!$B$8-'Black-Scholes'!$B$10-'Black-Scholes'!$B$9^2/2)*'Black-Scholes'!$B$7+'Black-Scholes'!$B$9*SQRT('Black-Scholes'!$B$7)*B266)</f>
        <v>148.785797657268</v>
      </c>
      <c r="D266" s="18" t="n">
        <f aca="false">'Black-Scholes'!$B$5*EXP(('Black-Scholes'!$B$8-'Black-Scholes'!$B$10-'Black-Scholes'!$B$9^2/2)*'Black-Scholes'!$B$7-'Black-Scholes'!$B$9*SQRT('Black-Scholes'!$B$7)*B266)</f>
        <v>71.3667946312544</v>
      </c>
      <c r="E266" s="18" t="n">
        <f aca="false">EXP(-'Black-Scholes'!$B$8*'Black-Scholes'!$B$7)*IF(LOWER('Black-Scholes'!$B$11)="put",MAX('Black-Scholes'!$B$6-C266,0),MAX(C266-'Black-Scholes'!$B$6,0))</f>
        <v>46.406486229331</v>
      </c>
      <c r="F266" s="18" t="n">
        <f aca="false">(E266+G266)/2</f>
        <v>23.2032431146655</v>
      </c>
      <c r="G266" s="18" t="n">
        <f aca="false">EXP(-'Black-Scholes'!$B$8*'Black-Scholes'!$B$7)*IF(LOWER('Black-Scholes'!$B$11)="put",MAX('Black-Scholes'!$B$6-D266,0),MAX(D266-'Black-Scholes'!$B$6,0))</f>
        <v>0</v>
      </c>
    </row>
    <row r="267" customFormat="false" ht="15" hidden="false" customHeight="false" outlineLevel="0" collapsed="false">
      <c r="A267" s="0" t="n">
        <v>256</v>
      </c>
      <c r="B267" s="15" t="n">
        <v>-0.141302992550796</v>
      </c>
      <c r="C267" s="18" t="n">
        <f aca="false">'Black-Scholes'!$B$5*EXP(('Black-Scholes'!$B$8-'Black-Scholes'!$B$10-'Black-Scholes'!$B$9^2/2)*'Black-Scholes'!$B$7+'Black-Scholes'!$B$9*SQRT('Black-Scholes'!$B$7)*B267)</f>
        <v>100.174091512609</v>
      </c>
      <c r="D267" s="18" t="n">
        <f aca="false">'Black-Scholes'!$B$5*EXP(('Black-Scholes'!$B$8-'Black-Scholes'!$B$10-'Black-Scholes'!$B$9^2/2)*'Black-Scholes'!$B$7-'Black-Scholes'!$B$9*SQRT('Black-Scholes'!$B$7)*B267)</f>
        <v>105.999119184595</v>
      </c>
      <c r="E267" s="18" t="n">
        <f aca="false">EXP(-'Black-Scholes'!$B$8*'Black-Scholes'!$B$7)*IF(LOWER('Black-Scholes'!$B$11)="put",MAX('Black-Scholes'!$B$6-C267,0),MAX(C267-'Black-Scholes'!$B$6,0))</f>
        <v>0.165600969349717</v>
      </c>
      <c r="F267" s="18" t="n">
        <f aca="false">(E267+G267)/2</f>
        <v>2.93606982941165</v>
      </c>
      <c r="G267" s="18" t="n">
        <f aca="false">EXP(-'Black-Scholes'!$B$8*'Black-Scholes'!$B$7)*IF(LOWER('Black-Scholes'!$B$11)="put",MAX('Black-Scholes'!$B$6-D267,0),MAX(D267-'Black-Scholes'!$B$6,0))</f>
        <v>5.70653868947358</v>
      </c>
    </row>
    <row r="268" customFormat="false" ht="15" hidden="false" customHeight="false" outlineLevel="0" collapsed="false">
      <c r="A268" s="0" t="n">
        <v>257</v>
      </c>
      <c r="B268" s="15" t="n">
        <v>-0.312271638711627</v>
      </c>
      <c r="C268" s="18" t="n">
        <f aca="false">'Black-Scholes'!$B$5*EXP(('Black-Scholes'!$B$8-'Black-Scholes'!$B$10-'Black-Scholes'!$B$9^2/2)*'Black-Scholes'!$B$7+'Black-Scholes'!$B$9*SQRT('Black-Scholes'!$B$7)*B268)</f>
        <v>96.8066662611711</v>
      </c>
      <c r="D268" s="18" t="n">
        <f aca="false">'Black-Scholes'!$B$5*EXP(('Black-Scholes'!$B$8-'Black-Scholes'!$B$10-'Black-Scholes'!$B$9^2/2)*'Black-Scholes'!$B$7-'Black-Scholes'!$B$9*SQRT('Black-Scholes'!$B$7)*B268)</f>
        <v>109.686304420469</v>
      </c>
      <c r="E268" s="18" t="n">
        <f aca="false">EXP(-'Black-Scholes'!$B$8*'Black-Scholes'!$B$7)*IF(LOWER('Black-Scholes'!$B$11)="put",MAX('Black-Scholes'!$B$6-C268,0),MAX(C268-'Black-Scholes'!$B$6,0))</f>
        <v>0</v>
      </c>
      <c r="F268" s="18" t="n">
        <f aca="false">(E268+G268)/2</f>
        <v>4.60694888971093</v>
      </c>
      <c r="G268" s="18" t="n">
        <f aca="false">EXP(-'Black-Scholes'!$B$8*'Black-Scholes'!$B$7)*IF(LOWER('Black-Scholes'!$B$11)="put",MAX('Black-Scholes'!$B$6-D268,0),MAX(D268-'Black-Scholes'!$B$6,0))</f>
        <v>9.21389777942185</v>
      </c>
    </row>
    <row r="269" customFormat="false" ht="15" hidden="false" customHeight="false" outlineLevel="0" collapsed="false">
      <c r="A269" s="0" t="n">
        <v>258</v>
      </c>
      <c r="B269" s="15" t="n">
        <v>0.774199360148798</v>
      </c>
      <c r="C269" s="18" t="n">
        <f aca="false">'Black-Scholes'!$B$5*EXP(('Black-Scholes'!$B$8-'Black-Scholes'!$B$10-'Black-Scholes'!$B$9^2/2)*'Black-Scholes'!$B$7+'Black-Scholes'!$B$9*SQRT('Black-Scholes'!$B$7)*B269)</f>
        <v>120.302578662614</v>
      </c>
      <c r="D269" s="18" t="n">
        <f aca="false">'Black-Scholes'!$B$5*EXP(('Black-Scholes'!$B$8-'Black-Scholes'!$B$10-'Black-Scholes'!$B$9^2/2)*'Black-Scholes'!$B$7-'Black-Scholes'!$B$9*SQRT('Black-Scholes'!$B$7)*B269)</f>
        <v>88.2638226336991</v>
      </c>
      <c r="E269" s="18" t="n">
        <f aca="false">EXP(-'Black-Scholes'!$B$8*'Black-Scholes'!$B$7)*IF(LOWER('Black-Scholes'!$B$11)="put",MAX('Black-Scholes'!$B$6-C269,0),MAX(C269-'Black-Scholes'!$B$6,0))</f>
        <v>19.3124102171189</v>
      </c>
      <c r="F269" s="18" t="n">
        <f aca="false">(E269+G269)/2</f>
        <v>9.65620510855943</v>
      </c>
      <c r="G269" s="18" t="n">
        <f aca="false">EXP(-'Black-Scholes'!$B$8*'Black-Scholes'!$B$7)*IF(LOWER('Black-Scholes'!$B$11)="put",MAX('Black-Scholes'!$B$6-D269,0),MAX(D269-'Black-Scholes'!$B$6,0))</f>
        <v>0</v>
      </c>
    </row>
    <row r="270" customFormat="false" ht="15" hidden="false" customHeight="false" outlineLevel="0" collapsed="false">
      <c r="A270" s="0" t="n">
        <v>259</v>
      </c>
      <c r="B270" s="15" t="n">
        <v>0.134902316513434</v>
      </c>
      <c r="C270" s="18" t="n">
        <f aca="false">'Black-Scholes'!$B$5*EXP(('Black-Scholes'!$B$8-'Black-Scholes'!$B$10-'Black-Scholes'!$B$9^2/2)*'Black-Scholes'!$B$7+'Black-Scholes'!$B$9*SQRT('Black-Scholes'!$B$7)*B270)</f>
        <v>105.863512795941</v>
      </c>
      <c r="D270" s="18" t="n">
        <f aca="false">'Black-Scholes'!$B$5*EXP(('Black-Scholes'!$B$8-'Black-Scholes'!$B$10-'Black-Scholes'!$B$9^2/2)*'Black-Scholes'!$B$7-'Black-Scholes'!$B$9*SQRT('Black-Scholes'!$B$7)*B270)</f>
        <v>100.30241000902</v>
      </c>
      <c r="E270" s="18" t="n">
        <f aca="false">EXP(-'Black-Scholes'!$B$8*'Black-Scholes'!$B$7)*IF(LOWER('Black-Scholes'!$B$11)="put",MAX('Black-Scholes'!$B$6-C270,0),MAX(C270-'Black-Scholes'!$B$6,0))</f>
        <v>5.57754590243527</v>
      </c>
      <c r="F270" s="18" t="n">
        <f aca="false">(E270+G270)/2</f>
        <v>2.93260360063937</v>
      </c>
      <c r="G270" s="18" t="n">
        <f aca="false">EXP(-'Black-Scholes'!$B$8*'Black-Scholes'!$B$7)*IF(LOWER('Black-Scholes'!$B$11)="put",MAX('Black-Scholes'!$B$6-D270,0),MAX(D270-'Black-Scholes'!$B$6,0))</f>
        <v>0.287661298843466</v>
      </c>
    </row>
    <row r="271" customFormat="false" ht="15" hidden="false" customHeight="false" outlineLevel="0" collapsed="false">
      <c r="A271" s="0" t="n">
        <v>260</v>
      </c>
      <c r="B271" s="15" t="n">
        <v>0.371904199690938</v>
      </c>
      <c r="C271" s="18" t="n">
        <f aca="false">'Black-Scholes'!$B$5*EXP(('Black-Scholes'!$B$8-'Black-Scholes'!$B$10-'Black-Scholes'!$B$9^2/2)*'Black-Scholes'!$B$7+'Black-Scholes'!$B$9*SQRT('Black-Scholes'!$B$7)*B271)</f>
        <v>111.002311556216</v>
      </c>
      <c r="D271" s="18" t="n">
        <f aca="false">'Black-Scholes'!$B$5*EXP(('Black-Scholes'!$B$8-'Black-Scholes'!$B$10-'Black-Scholes'!$B$9^2/2)*'Black-Scholes'!$B$7-'Black-Scholes'!$B$9*SQRT('Black-Scholes'!$B$7)*B271)</f>
        <v>95.6589580576076</v>
      </c>
      <c r="E271" s="18" t="n">
        <f aca="false">EXP(-'Black-Scholes'!$B$8*'Black-Scholes'!$B$7)*IF(LOWER('Black-Scholes'!$B$11)="put",MAX('Black-Scholes'!$B$6-C271,0),MAX(C271-'Black-Scholes'!$B$6,0))</f>
        <v>10.4657224897973</v>
      </c>
      <c r="F271" s="18" t="n">
        <f aca="false">(E271+G271)/2</f>
        <v>5.23286124489864</v>
      </c>
      <c r="G271" s="18" t="n">
        <f aca="false">EXP(-'Black-Scholes'!$B$8*'Black-Scholes'!$B$7)*IF(LOWER('Black-Scholes'!$B$11)="put",MAX('Black-Scholes'!$B$6-D271,0),MAX(D271-'Black-Scholes'!$B$6,0))</f>
        <v>0</v>
      </c>
    </row>
    <row r="272" customFormat="false" ht="15" hidden="false" customHeight="false" outlineLevel="0" collapsed="false">
      <c r="A272" s="0" t="n">
        <v>261</v>
      </c>
      <c r="B272" s="15" t="n">
        <v>-0.776191158862184</v>
      </c>
      <c r="C272" s="18" t="n">
        <f aca="false">'Black-Scholes'!$B$5*EXP(('Black-Scholes'!$B$8-'Black-Scholes'!$B$10-'Black-Scholes'!$B$9^2/2)*'Black-Scholes'!$B$7+'Black-Scholes'!$B$9*SQRT('Black-Scholes'!$B$7)*B272)</f>
        <v>88.2286688824115</v>
      </c>
      <c r="D272" s="18" t="n">
        <f aca="false">'Black-Scholes'!$B$5*EXP(('Black-Scholes'!$B$8-'Black-Scholes'!$B$10-'Black-Scholes'!$B$9^2/2)*'Black-Scholes'!$B$7-'Black-Scholes'!$B$9*SQRT('Black-Scholes'!$B$7)*B272)</f>
        <v>120.350511913598</v>
      </c>
      <c r="E272" s="18" t="n">
        <f aca="false">EXP(-'Black-Scholes'!$B$8*'Black-Scholes'!$B$7)*IF(LOWER('Black-Scholes'!$B$11)="put",MAX('Black-Scholes'!$B$6-C272,0),MAX(C272-'Black-Scholes'!$B$6,0))</f>
        <v>0</v>
      </c>
      <c r="F272" s="18" t="n">
        <f aca="false">(E272+G272)/2</f>
        <v>9.67900286793356</v>
      </c>
      <c r="G272" s="18" t="n">
        <f aca="false">EXP(-'Black-Scholes'!$B$8*'Black-Scholes'!$B$7)*IF(LOWER('Black-Scholes'!$B$11)="put",MAX('Black-Scholes'!$B$6-D272,0),MAX(D272-'Black-Scholes'!$B$6,0))</f>
        <v>19.3580057358671</v>
      </c>
    </row>
    <row r="273" customFormat="false" ht="15" hidden="false" customHeight="false" outlineLevel="0" collapsed="false">
      <c r="A273" s="0" t="n">
        <v>262</v>
      </c>
      <c r="B273" s="15" t="n">
        <v>1.05731633237451</v>
      </c>
      <c r="C273" s="18" t="n">
        <f aca="false">'Black-Scholes'!$B$5*EXP(('Black-Scholes'!$B$8-'Black-Scholes'!$B$10-'Black-Scholes'!$B$9^2/2)*'Black-Scholes'!$B$7+'Black-Scholes'!$B$9*SQRT('Black-Scholes'!$B$7)*B273)</f>
        <v>127.311068821516</v>
      </c>
      <c r="D273" s="18" t="n">
        <f aca="false">'Black-Scholes'!$B$5*EXP(('Black-Scholes'!$B$8-'Black-Scholes'!$B$10-'Black-Scholes'!$B$9^2/2)*'Black-Scholes'!$B$7-'Black-Scholes'!$B$9*SQRT('Black-Scholes'!$B$7)*B273)</f>
        <v>83.4048882296324</v>
      </c>
      <c r="E273" s="18" t="n">
        <f aca="false">EXP(-'Black-Scholes'!$B$8*'Black-Scholes'!$B$7)*IF(LOWER('Black-Scholes'!$B$11)="put",MAX('Black-Scholes'!$B$6-C273,0),MAX(C273-'Black-Scholes'!$B$6,0))</f>
        <v>25.9790922775903</v>
      </c>
      <c r="F273" s="18" t="n">
        <f aca="false">(E273+G273)/2</f>
        <v>12.9895461387951</v>
      </c>
      <c r="G273" s="18" t="n">
        <f aca="false">EXP(-'Black-Scholes'!$B$8*'Black-Scholes'!$B$7)*IF(LOWER('Black-Scholes'!$B$11)="put",MAX('Black-Scholes'!$B$6-D273,0),MAX(D273-'Black-Scholes'!$B$6,0))</f>
        <v>0</v>
      </c>
    </row>
    <row r="274" customFormat="false" ht="15" hidden="false" customHeight="false" outlineLevel="0" collapsed="false">
      <c r="A274" s="0" t="n">
        <v>263</v>
      </c>
      <c r="B274" s="15" t="n">
        <v>0.146627343004182</v>
      </c>
      <c r="C274" s="18" t="n">
        <f aca="false">'Black-Scholes'!$B$5*EXP(('Black-Scholes'!$B$8-'Black-Scholes'!$B$10-'Black-Scholes'!$B$9^2/2)*'Black-Scholes'!$B$7+'Black-Scholes'!$B$9*SQRT('Black-Scholes'!$B$7)*B274)</f>
        <v>106.112054596352</v>
      </c>
      <c r="D274" s="18" t="n">
        <f aca="false">'Black-Scholes'!$B$5*EXP(('Black-Scholes'!$B$8-'Black-Scholes'!$B$10-'Black-Scholes'!$B$9^2/2)*'Black-Scholes'!$B$7-'Black-Scholes'!$B$9*SQRT('Black-Scholes'!$B$7)*B274)</f>
        <v>100.067475894663</v>
      </c>
      <c r="E274" s="18" t="n">
        <f aca="false">EXP(-'Black-Scholes'!$B$8*'Black-Scholes'!$B$7)*IF(LOWER('Black-Scholes'!$B$11)="put",MAX('Black-Scholes'!$B$6-C274,0),MAX(C274-'Black-Scholes'!$B$6,0))</f>
        <v>5.81396617620489</v>
      </c>
      <c r="F274" s="18" t="n">
        <f aca="false">(E274+G274)/2</f>
        <v>2.93907561632631</v>
      </c>
      <c r="G274" s="18" t="n">
        <f aca="false">EXP(-'Black-Scholes'!$B$8*'Black-Scholes'!$B$7)*IF(LOWER('Black-Scholes'!$B$11)="put",MAX('Black-Scholes'!$B$6-D274,0),MAX(D274-'Black-Scholes'!$B$6,0))</f>
        <v>0.0641850564477312</v>
      </c>
    </row>
    <row r="275" customFormat="false" ht="15" hidden="false" customHeight="false" outlineLevel="0" collapsed="false">
      <c r="A275" s="0" t="n">
        <v>264</v>
      </c>
      <c r="B275" s="15" t="n">
        <v>0.882910950797091</v>
      </c>
      <c r="C275" s="18" t="n">
        <f aca="false">'Black-Scholes'!$B$5*EXP(('Black-Scholes'!$B$8-'Black-Scholes'!$B$10-'Black-Scholes'!$B$9^2/2)*'Black-Scholes'!$B$7+'Black-Scholes'!$B$9*SQRT('Black-Scholes'!$B$7)*B275)</f>
        <v>122.946878029956</v>
      </c>
      <c r="D275" s="18" t="n">
        <f aca="false">'Black-Scholes'!$B$5*EXP(('Black-Scholes'!$B$8-'Black-Scholes'!$B$10-'Black-Scholes'!$B$9^2/2)*'Black-Scholes'!$B$7-'Black-Scholes'!$B$9*SQRT('Black-Scholes'!$B$7)*B275)</f>
        <v>86.3654745496378</v>
      </c>
      <c r="E275" s="18" t="n">
        <f aca="false">EXP(-'Black-Scholes'!$B$8*'Black-Scholes'!$B$7)*IF(LOWER('Black-Scholes'!$B$11)="put",MAX('Black-Scholes'!$B$6-C275,0),MAX(C275-'Black-Scholes'!$B$6,0))</f>
        <v>21.8277455825232</v>
      </c>
      <c r="F275" s="18" t="n">
        <f aca="false">(E275+G275)/2</f>
        <v>10.9138727912616</v>
      </c>
      <c r="G275" s="18" t="n">
        <f aca="false">EXP(-'Black-Scholes'!$B$8*'Black-Scholes'!$B$7)*IF(LOWER('Black-Scholes'!$B$11)="put",MAX('Black-Scholes'!$B$6-D275,0),MAX(D275-'Black-Scholes'!$B$6,0))</f>
        <v>0</v>
      </c>
    </row>
    <row r="276" customFormat="false" ht="15" hidden="false" customHeight="false" outlineLevel="0" collapsed="false">
      <c r="A276" s="0" t="n">
        <v>265</v>
      </c>
      <c r="B276" s="15" t="n">
        <v>-0.672150562112032</v>
      </c>
      <c r="C276" s="18" t="n">
        <f aca="false">'Black-Scholes'!$B$5*EXP(('Black-Scholes'!$B$8-'Black-Scholes'!$B$10-'Black-Scholes'!$B$9^2/2)*'Black-Scholes'!$B$7+'Black-Scholes'!$B$9*SQRT('Black-Scholes'!$B$7)*B276)</f>
        <v>90.0837752575298</v>
      </c>
      <c r="D276" s="18" t="n">
        <f aca="false">'Black-Scholes'!$B$5*EXP(('Black-Scholes'!$B$8-'Black-Scholes'!$B$10-'Black-Scholes'!$B$9^2/2)*'Black-Scholes'!$B$7-'Black-Scholes'!$B$9*SQRT('Black-Scholes'!$B$7)*B276)</f>
        <v>117.87211887044</v>
      </c>
      <c r="E276" s="18" t="n">
        <f aca="false">EXP(-'Black-Scholes'!$B$8*'Black-Scholes'!$B$7)*IF(LOWER('Black-Scholes'!$B$11)="put",MAX('Black-Scholes'!$B$6-C276,0),MAX(C276-'Black-Scholes'!$B$6,0))</f>
        <v>0</v>
      </c>
      <c r="F276" s="18" t="n">
        <f aca="false">(E276+G276)/2</f>
        <v>8.50024267386873</v>
      </c>
      <c r="G276" s="18" t="n">
        <f aca="false">EXP(-'Black-Scholes'!$B$8*'Black-Scholes'!$B$7)*IF(LOWER('Black-Scholes'!$B$11)="put",MAX('Black-Scholes'!$B$6-D276,0),MAX(D276-'Black-Scholes'!$B$6,0))</f>
        <v>17.0004853477375</v>
      </c>
    </row>
    <row r="277" customFormat="false" ht="15" hidden="false" customHeight="false" outlineLevel="0" collapsed="false">
      <c r="A277" s="0" t="n">
        <v>266</v>
      </c>
      <c r="B277" s="15" t="n">
        <v>0.055710726493767</v>
      </c>
      <c r="C277" s="18" t="n">
        <f aca="false">'Black-Scholes'!$B$5*EXP(('Black-Scholes'!$B$8-'Black-Scholes'!$B$10-'Black-Scholes'!$B$9^2/2)*'Black-Scholes'!$B$7+'Black-Scholes'!$B$9*SQRT('Black-Scholes'!$B$7)*B277)</f>
        <v>104.200021045024</v>
      </c>
      <c r="D277" s="18" t="n">
        <f aca="false">'Black-Scholes'!$B$5*EXP(('Black-Scholes'!$B$8-'Black-Scholes'!$B$10-'Black-Scholes'!$B$9^2/2)*'Black-Scholes'!$B$7-'Black-Scholes'!$B$9*SQRT('Black-Scholes'!$B$7)*B277)</f>
        <v>101.903678703342</v>
      </c>
      <c r="E277" s="18" t="n">
        <f aca="false">EXP(-'Black-Scholes'!$B$8*'Black-Scholes'!$B$7)*IF(LOWER('Black-Scholes'!$B$11)="put",MAX('Black-Scholes'!$B$6-C277,0),MAX(C277-'Black-Scholes'!$B$6,0))</f>
        <v>3.99518360154885</v>
      </c>
      <c r="F277" s="18" t="n">
        <f aca="false">(E277+G277)/2</f>
        <v>2.90300939948165</v>
      </c>
      <c r="G277" s="18" t="n">
        <f aca="false">EXP(-'Black-Scholes'!$B$8*'Black-Scholes'!$B$7)*IF(LOWER('Black-Scholes'!$B$11)="put",MAX('Black-Scholes'!$B$6-D277,0),MAX(D277-'Black-Scholes'!$B$6,0))</f>
        <v>1.81083519741445</v>
      </c>
    </row>
    <row r="278" customFormat="false" ht="15" hidden="false" customHeight="false" outlineLevel="0" collapsed="false">
      <c r="A278" s="0" t="n">
        <v>267</v>
      </c>
      <c r="B278" s="15" t="n">
        <v>-1.03576911635996</v>
      </c>
      <c r="C278" s="18" t="n">
        <f aca="false">'Black-Scholes'!$B$5*EXP(('Black-Scholes'!$B$8-'Black-Scholes'!$B$10-'Black-Scholes'!$B$9^2/2)*'Black-Scholes'!$B$7+'Black-Scholes'!$B$9*SQRT('Black-Scholes'!$B$7)*B278)</f>
        <v>83.7650924406426</v>
      </c>
      <c r="D278" s="18" t="n">
        <f aca="false">'Black-Scholes'!$B$5*EXP(('Black-Scholes'!$B$8-'Black-Scholes'!$B$10-'Black-Scholes'!$B$9^2/2)*'Black-Scholes'!$B$7-'Black-Scholes'!$B$9*SQRT('Black-Scholes'!$B$7)*B278)</f>
        <v>126.763609471069</v>
      </c>
      <c r="E278" s="18" t="n">
        <f aca="false">EXP(-'Black-Scholes'!$B$8*'Black-Scholes'!$B$7)*IF(LOWER('Black-Scholes'!$B$11)="put",MAX('Black-Scholes'!$B$6-C278,0),MAX(C278-'Black-Scholes'!$B$6,0))</f>
        <v>0</v>
      </c>
      <c r="F278" s="18" t="n">
        <f aca="false">(E278+G278)/2</f>
        <v>12.7291664173633</v>
      </c>
      <c r="G278" s="18" t="n">
        <f aca="false">EXP(-'Black-Scholes'!$B$8*'Black-Scholes'!$B$7)*IF(LOWER('Black-Scholes'!$B$11)="put",MAX('Black-Scholes'!$B$6-D278,0),MAX(D278-'Black-Scholes'!$B$6,0))</f>
        <v>25.4583328347266</v>
      </c>
    </row>
    <row r="279" customFormat="false" ht="15" hidden="false" customHeight="false" outlineLevel="0" collapsed="false">
      <c r="A279" s="0" t="n">
        <v>268</v>
      </c>
      <c r="B279" s="15" t="n">
        <v>-1.28441133485456</v>
      </c>
      <c r="C279" s="18" t="n">
        <f aca="false">'Black-Scholes'!$B$5*EXP(('Black-Scholes'!$B$8-'Black-Scholes'!$B$10-'Black-Scholes'!$B$9^2/2)*'Black-Scholes'!$B$7+'Black-Scholes'!$B$9*SQRT('Black-Scholes'!$B$7)*B279)</f>
        <v>79.7014611711085</v>
      </c>
      <c r="D279" s="18" t="n">
        <f aca="false">'Black-Scholes'!$B$5*EXP(('Black-Scholes'!$B$8-'Black-Scholes'!$B$10-'Black-Scholes'!$B$9^2/2)*'Black-Scholes'!$B$7-'Black-Scholes'!$B$9*SQRT('Black-Scholes'!$B$7)*B279)</f>
        <v>133.226735237104</v>
      </c>
      <c r="E279" s="18" t="n">
        <f aca="false">EXP(-'Black-Scholes'!$B$8*'Black-Scholes'!$B$7)*IF(LOWER('Black-Scholes'!$B$11)="put",MAX('Black-Scholes'!$B$6-C279,0),MAX(C279-'Black-Scholes'!$B$6,0))</f>
        <v>0</v>
      </c>
      <c r="F279" s="18" t="n">
        <f aca="false">(E279+G279)/2</f>
        <v>15.803124118814</v>
      </c>
      <c r="G279" s="18" t="n">
        <f aca="false">EXP(-'Black-Scholes'!$B$8*'Black-Scholes'!$B$7)*IF(LOWER('Black-Scholes'!$B$11)="put",MAX('Black-Scholes'!$B$6-D279,0),MAX(D279-'Black-Scholes'!$B$6,0))</f>
        <v>31.6062482376281</v>
      </c>
    </row>
    <row r="280" customFormat="false" ht="15" hidden="false" customHeight="false" outlineLevel="0" collapsed="false">
      <c r="A280" s="0" t="n">
        <v>269</v>
      </c>
      <c r="B280" s="15" t="n">
        <v>-1.33272378719792</v>
      </c>
      <c r="C280" s="18" t="n">
        <f aca="false">'Black-Scholes'!$B$5*EXP(('Black-Scholes'!$B$8-'Black-Scholes'!$B$10-'Black-Scholes'!$B$9^2/2)*'Black-Scholes'!$B$7+'Black-Scholes'!$B$9*SQRT('Black-Scholes'!$B$7)*B280)</f>
        <v>78.9350552201682</v>
      </c>
      <c r="D280" s="18" t="n">
        <f aca="false">'Black-Scholes'!$B$5*EXP(('Black-Scholes'!$B$8-'Black-Scholes'!$B$10-'Black-Scholes'!$B$9^2/2)*'Black-Scholes'!$B$7-'Black-Scholes'!$B$9*SQRT('Black-Scholes'!$B$7)*B280)</f>
        <v>134.520276648145</v>
      </c>
      <c r="E280" s="18" t="n">
        <f aca="false">EXP(-'Black-Scholes'!$B$8*'Black-Scholes'!$B$7)*IF(LOWER('Black-Scholes'!$B$11)="put",MAX('Black-Scholes'!$B$6-C280,0),MAX(C280-'Black-Scholes'!$B$6,0))</f>
        <v>0</v>
      </c>
      <c r="F280" s="18" t="n">
        <f aca="false">(E280+G280)/2</f>
        <v>16.41835144481</v>
      </c>
      <c r="G280" s="18" t="n">
        <f aca="false">EXP(-'Black-Scholes'!$B$8*'Black-Scholes'!$B$7)*IF(LOWER('Black-Scholes'!$B$11)="put",MAX('Black-Scholes'!$B$6-D280,0),MAX(D280-'Black-Scholes'!$B$6,0))</f>
        <v>32.83670288962</v>
      </c>
    </row>
    <row r="281" customFormat="false" ht="15" hidden="false" customHeight="false" outlineLevel="0" collapsed="false">
      <c r="A281" s="0" t="n">
        <v>270</v>
      </c>
      <c r="B281" s="15" t="n">
        <v>0.742708924938606</v>
      </c>
      <c r="C281" s="18" t="n">
        <f aca="false">'Black-Scholes'!$B$5*EXP(('Black-Scholes'!$B$8-'Black-Scholes'!$B$10-'Black-Scholes'!$B$9^2/2)*'Black-Scholes'!$B$7+'Black-Scholes'!$B$9*SQRT('Black-Scholes'!$B$7)*B281)</f>
        <v>119.547283504759</v>
      </c>
      <c r="D281" s="18" t="n">
        <f aca="false">'Black-Scholes'!$B$5*EXP(('Black-Scholes'!$B$8-'Black-Scholes'!$B$10-'Black-Scholes'!$B$9^2/2)*'Black-Scholes'!$B$7-'Black-Scholes'!$B$9*SQRT('Black-Scholes'!$B$7)*B281)</f>
        <v>88.821470084102</v>
      </c>
      <c r="E281" s="18" t="n">
        <f aca="false">EXP(-'Black-Scholes'!$B$8*'Black-Scholes'!$B$7)*IF(LOWER('Black-Scholes'!$B$11)="put",MAX('Black-Scholes'!$B$6-C281,0),MAX(C281-'Black-Scholes'!$B$6,0))</f>
        <v>18.593951238784</v>
      </c>
      <c r="F281" s="18" t="n">
        <f aca="false">(E281+G281)/2</f>
        <v>9.29697561939199</v>
      </c>
      <c r="G281" s="18" t="n">
        <f aca="false">EXP(-'Black-Scholes'!$B$8*'Black-Scholes'!$B$7)*IF(LOWER('Black-Scholes'!$B$11)="put",MAX('Black-Scholes'!$B$6-D281,0),MAX(D281-'Black-Scholes'!$B$6,0))</f>
        <v>0</v>
      </c>
    </row>
    <row r="282" customFormat="false" ht="15" hidden="false" customHeight="false" outlineLevel="0" collapsed="false">
      <c r="A282" s="0" t="n">
        <v>271</v>
      </c>
      <c r="B282" s="15" t="n">
        <v>-0.812990069521299</v>
      </c>
      <c r="C282" s="18" t="n">
        <f aca="false">'Black-Scholes'!$B$5*EXP(('Black-Scholes'!$B$8-'Black-Scholes'!$B$10-'Black-Scholes'!$B$9^2/2)*'Black-Scholes'!$B$7+'Black-Scholes'!$B$9*SQRT('Black-Scholes'!$B$7)*B282)</f>
        <v>87.5817087647021</v>
      </c>
      <c r="D282" s="18" t="n">
        <f aca="false">'Black-Scholes'!$B$5*EXP(('Black-Scholes'!$B$8-'Black-Scholes'!$B$10-'Black-Scholes'!$B$9^2/2)*'Black-Scholes'!$B$7-'Black-Scholes'!$B$9*SQRT('Black-Scholes'!$B$7)*B282)</f>
        <v>121.239532948381</v>
      </c>
      <c r="E282" s="18" t="n">
        <f aca="false">EXP(-'Black-Scholes'!$B$8*'Black-Scholes'!$B$7)*IF(LOWER('Black-Scholes'!$B$11)="put",MAX('Black-Scholes'!$B$6-C282,0),MAX(C282-'Black-Scholes'!$B$6,0))</f>
        <v>0</v>
      </c>
      <c r="F282" s="18" t="n">
        <f aca="false">(E282+G282)/2</f>
        <v>10.1018343515762</v>
      </c>
      <c r="G282" s="18" t="n">
        <f aca="false">EXP(-'Black-Scholes'!$B$8*'Black-Scholes'!$B$7)*IF(LOWER('Black-Scholes'!$B$11)="put",MAX('Black-Scholes'!$B$6-D282,0),MAX(D282-'Black-Scholes'!$B$6,0))</f>
        <v>20.2036687031523</v>
      </c>
    </row>
    <row r="283" customFormat="false" ht="15" hidden="false" customHeight="false" outlineLevel="0" collapsed="false">
      <c r="A283" s="0" t="n">
        <v>272</v>
      </c>
      <c r="B283" s="15" t="n">
        <v>-0.27344780848405</v>
      </c>
      <c r="C283" s="18" t="n">
        <f aca="false">'Black-Scholes'!$B$5*EXP(('Black-Scholes'!$B$8-'Black-Scholes'!$B$10-'Black-Scholes'!$B$9^2/2)*'Black-Scholes'!$B$7+'Black-Scholes'!$B$9*SQRT('Black-Scholes'!$B$7)*B283)</f>
        <v>97.5612732583625</v>
      </c>
      <c r="D283" s="18" t="n">
        <f aca="false">'Black-Scholes'!$B$5*EXP(('Black-Scholes'!$B$8-'Black-Scholes'!$B$10-'Black-Scholes'!$B$9^2/2)*'Black-Scholes'!$B$7-'Black-Scholes'!$B$9*SQRT('Black-Scholes'!$B$7)*B283)</f>
        <v>108.837913967502</v>
      </c>
      <c r="E283" s="18" t="n">
        <f aca="false">EXP(-'Black-Scholes'!$B$8*'Black-Scholes'!$B$7)*IF(LOWER('Black-Scholes'!$B$11)="put",MAX('Black-Scholes'!$B$6-C283,0),MAX(C283-'Black-Scholes'!$B$6,0))</f>
        <v>0</v>
      </c>
      <c r="F283" s="18" t="n">
        <f aca="false">(E283+G283)/2</f>
        <v>4.20344190854681</v>
      </c>
      <c r="G283" s="18" t="n">
        <f aca="false">EXP(-'Black-Scholes'!$B$8*'Black-Scholes'!$B$7)*IF(LOWER('Black-Scholes'!$B$11)="put",MAX('Black-Scholes'!$B$6-D283,0),MAX(D283-'Black-Scholes'!$B$6,0))</f>
        <v>8.40688381709362</v>
      </c>
    </row>
    <row r="284" customFormat="false" ht="15" hidden="false" customHeight="false" outlineLevel="0" collapsed="false">
      <c r="A284" s="0" t="n">
        <v>273</v>
      </c>
      <c r="B284" s="15" t="n">
        <v>-0.895129600324097</v>
      </c>
      <c r="C284" s="18" t="n">
        <f aca="false">'Black-Scholes'!$B$5*EXP(('Black-Scholes'!$B$8-'Black-Scholes'!$B$10-'Black-Scholes'!$B$9^2/2)*'Black-Scholes'!$B$7+'Black-Scholes'!$B$9*SQRT('Black-Scholes'!$B$7)*B284)</f>
        <v>86.1546783261074</v>
      </c>
      <c r="D284" s="18" t="n">
        <f aca="false">'Black-Scholes'!$B$5*EXP(('Black-Scholes'!$B$8-'Black-Scholes'!$B$10-'Black-Scholes'!$B$9^2/2)*'Black-Scholes'!$B$7-'Black-Scholes'!$B$9*SQRT('Black-Scholes'!$B$7)*B284)</f>
        <v>123.247694399852</v>
      </c>
      <c r="E284" s="18" t="n">
        <f aca="false">EXP(-'Black-Scholes'!$B$8*'Black-Scholes'!$B$7)*IF(LOWER('Black-Scholes'!$B$11)="put",MAX('Black-Scholes'!$B$6-C284,0),MAX(C284-'Black-Scholes'!$B$6,0))</f>
        <v>0</v>
      </c>
      <c r="F284" s="18" t="n">
        <f aca="false">(E284+G284)/2</f>
        <v>11.0569454824696</v>
      </c>
      <c r="G284" s="18" t="n">
        <f aca="false">EXP(-'Black-Scholes'!$B$8*'Black-Scholes'!$B$7)*IF(LOWER('Black-Scholes'!$B$11)="put",MAX('Black-Scholes'!$B$6-D284,0),MAX(D284-'Black-Scholes'!$B$6,0))</f>
        <v>22.1138909649393</v>
      </c>
    </row>
    <row r="285" customFormat="false" ht="15" hidden="false" customHeight="false" outlineLevel="0" collapsed="false">
      <c r="A285" s="0" t="n">
        <v>274</v>
      </c>
      <c r="B285" s="15" t="n">
        <v>1.26369746888069</v>
      </c>
      <c r="C285" s="18" t="n">
        <f aca="false">'Black-Scholes'!$B$5*EXP(('Black-Scholes'!$B$8-'Black-Scholes'!$B$10-'Black-Scholes'!$B$9^2/2)*'Black-Scholes'!$B$7+'Black-Scholes'!$B$9*SQRT('Black-Scholes'!$B$7)*B285)</f>
        <v>132.675948768987</v>
      </c>
      <c r="D285" s="18" t="n">
        <f aca="false">'Black-Scholes'!$B$5*EXP(('Black-Scholes'!$B$8-'Black-Scholes'!$B$10-'Black-Scholes'!$B$9^2/2)*'Black-Scholes'!$B$7-'Black-Scholes'!$B$9*SQRT('Black-Scholes'!$B$7)*B285)</f>
        <v>80.0323311344251</v>
      </c>
      <c r="E285" s="18" t="n">
        <f aca="false">EXP(-'Black-Scholes'!$B$8*'Black-Scholes'!$B$7)*IF(LOWER('Black-Scholes'!$B$11)="put",MAX('Black-Scholes'!$B$6-C285,0),MAX(C285-'Black-Scholes'!$B$6,0))</f>
        <v>31.0823239425384</v>
      </c>
      <c r="F285" s="18" t="n">
        <f aca="false">(E285+G285)/2</f>
        <v>15.5411619712692</v>
      </c>
      <c r="G285" s="18" t="n">
        <f aca="false">EXP(-'Black-Scholes'!$B$8*'Black-Scholes'!$B$7)*IF(LOWER('Black-Scholes'!$B$11)="put",MAX('Black-Scholes'!$B$6-D285,0),MAX(D285-'Black-Scholes'!$B$6,0))</f>
        <v>0</v>
      </c>
    </row>
    <row r="286" customFormat="false" ht="15" hidden="false" customHeight="false" outlineLevel="0" collapsed="false">
      <c r="A286" s="0" t="n">
        <v>275</v>
      </c>
      <c r="B286" s="15" t="n">
        <v>2.24931228697646</v>
      </c>
      <c r="C286" s="18" t="n">
        <f aca="false">'Black-Scholes'!$B$5*EXP(('Black-Scholes'!$B$8-'Black-Scholes'!$B$10-'Black-Scholes'!$B$9^2/2)*'Black-Scholes'!$B$7+'Black-Scholes'!$B$9*SQRT('Black-Scholes'!$B$7)*B286)</f>
        <v>161.585213839593</v>
      </c>
      <c r="D286" s="18" t="n">
        <f aca="false">'Black-Scholes'!$B$5*EXP(('Black-Scholes'!$B$8-'Black-Scholes'!$B$10-'Black-Scholes'!$B$9^2/2)*'Black-Scholes'!$B$7-'Black-Scholes'!$B$9*SQRT('Black-Scholes'!$B$7)*B286)</f>
        <v>65.713719796135</v>
      </c>
      <c r="E286" s="18" t="n">
        <f aca="false">EXP(-'Black-Scholes'!$B$8*'Black-Scholes'!$B$7)*IF(LOWER('Black-Scholes'!$B$11)="put",MAX('Black-Scholes'!$B$6-C286,0),MAX(C286-'Black-Scholes'!$B$6,0))</f>
        <v>58.5816675183899</v>
      </c>
      <c r="F286" s="18" t="n">
        <f aca="false">(E286+G286)/2</f>
        <v>29.2908337591949</v>
      </c>
      <c r="G286" s="18" t="n">
        <f aca="false">EXP(-'Black-Scholes'!$B$8*'Black-Scholes'!$B$7)*IF(LOWER('Black-Scholes'!$B$11)="put",MAX('Black-Scholes'!$B$6-D286,0),MAX(D286-'Black-Scholes'!$B$6,0))</f>
        <v>0</v>
      </c>
    </row>
    <row r="287" customFormat="false" ht="15" hidden="false" customHeight="false" outlineLevel="0" collapsed="false">
      <c r="A287" s="0" t="n">
        <v>276</v>
      </c>
      <c r="B287" s="15" t="n">
        <v>-0.829150178960672</v>
      </c>
      <c r="C287" s="18" t="n">
        <f aca="false">'Black-Scholes'!$B$5*EXP(('Black-Scholes'!$B$8-'Black-Scholes'!$B$10-'Black-Scholes'!$B$9^2/2)*'Black-Scholes'!$B$7+'Black-Scholes'!$B$9*SQRT('Black-Scholes'!$B$7)*B287)</f>
        <v>87.2990997103321</v>
      </c>
      <c r="D287" s="18" t="n">
        <f aca="false">'Black-Scholes'!$B$5*EXP(('Black-Scholes'!$B$8-'Black-Scholes'!$B$10-'Black-Scholes'!$B$9^2/2)*'Black-Scholes'!$B$7-'Black-Scholes'!$B$9*SQRT('Black-Scholes'!$B$7)*B287)</f>
        <v>121.632015687292</v>
      </c>
      <c r="E287" s="18" t="n">
        <f aca="false">EXP(-'Black-Scholes'!$B$8*'Black-Scholes'!$B$7)*IF(LOWER('Black-Scholes'!$B$11)="put",MAX('Black-Scholes'!$B$6-C287,0),MAX(C287-'Black-Scholes'!$B$6,0))</f>
        <v>0</v>
      </c>
      <c r="F287" s="18" t="n">
        <f aca="false">(E287+G287)/2</f>
        <v>10.2885049165066</v>
      </c>
      <c r="G287" s="18" t="n">
        <f aca="false">EXP(-'Black-Scholes'!$B$8*'Black-Scholes'!$B$7)*IF(LOWER('Black-Scholes'!$B$11)="put",MAX('Black-Scholes'!$B$6-D287,0),MAX(D287-'Black-Scholes'!$B$6,0))</f>
        <v>20.5770098330133</v>
      </c>
    </row>
    <row r="288" customFormat="false" ht="15" hidden="false" customHeight="false" outlineLevel="0" collapsed="false">
      <c r="A288" s="0" t="n">
        <v>277</v>
      </c>
      <c r="B288" s="15" t="n">
        <v>1.78783197503375</v>
      </c>
      <c r="C288" s="18" t="n">
        <f aca="false">'Black-Scholes'!$B$5*EXP(('Black-Scholes'!$B$8-'Black-Scholes'!$B$10-'Black-Scholes'!$B$9^2/2)*'Black-Scholes'!$B$7+'Black-Scholes'!$B$9*SQRT('Black-Scholes'!$B$7)*B288)</f>
        <v>147.339077616205</v>
      </c>
      <c r="D288" s="18" t="n">
        <f aca="false">'Black-Scholes'!$B$5*EXP(('Black-Scholes'!$B$8-'Black-Scholes'!$B$10-'Black-Scholes'!$B$9^2/2)*'Black-Scholes'!$B$7-'Black-Scholes'!$B$9*SQRT('Black-Scholes'!$B$7)*B288)</f>
        <v>72.0675440436297</v>
      </c>
      <c r="E288" s="18" t="n">
        <f aca="false">EXP(-'Black-Scholes'!$B$8*'Black-Scholes'!$B$7)*IF(LOWER('Black-Scholes'!$B$11)="put",MAX('Black-Scholes'!$B$6-C288,0),MAX(C288-'Black-Scholes'!$B$6,0))</f>
        <v>45.0303235572569</v>
      </c>
      <c r="F288" s="18" t="n">
        <f aca="false">(E288+G288)/2</f>
        <v>22.5151617786284</v>
      </c>
      <c r="G288" s="18" t="n">
        <f aca="false">EXP(-'Black-Scholes'!$B$8*'Black-Scholes'!$B$7)*IF(LOWER('Black-Scholes'!$B$11)="put",MAX('Black-Scholes'!$B$6-D288,0),MAX(D288-'Black-Scholes'!$B$6,0))</f>
        <v>0</v>
      </c>
    </row>
    <row r="289" customFormat="false" ht="15" hidden="false" customHeight="false" outlineLevel="0" collapsed="false">
      <c r="A289" s="0" t="n">
        <v>278</v>
      </c>
      <c r="B289" s="15" t="n">
        <v>0.0222525336099104</v>
      </c>
      <c r="C289" s="18" t="n">
        <f aca="false">'Black-Scholes'!$B$5*EXP(('Black-Scholes'!$B$8-'Black-Scholes'!$B$10-'Black-Scholes'!$B$9^2/2)*'Black-Scholes'!$B$7+'Black-Scholes'!$B$9*SQRT('Black-Scholes'!$B$7)*B289)</f>
        <v>103.505079905141</v>
      </c>
      <c r="D289" s="18" t="n">
        <f aca="false">'Black-Scholes'!$B$5*EXP(('Black-Scholes'!$B$8-'Black-Scholes'!$B$10-'Black-Scholes'!$B$9^2/2)*'Black-Scholes'!$B$7-'Black-Scholes'!$B$9*SQRT('Black-Scholes'!$B$7)*B289)</f>
        <v>102.587867911265</v>
      </c>
      <c r="E289" s="18" t="n">
        <f aca="false">EXP(-'Black-Scholes'!$B$8*'Black-Scholes'!$B$7)*IF(LOWER('Black-Scholes'!$B$11)="put",MAX('Black-Scholes'!$B$6-C289,0),MAX(C289-'Black-Scholes'!$B$6,0))</f>
        <v>3.33413514099639</v>
      </c>
      <c r="F289" s="18" t="n">
        <f aca="false">(E289+G289)/2</f>
        <v>2.89789562245666</v>
      </c>
      <c r="G289" s="18" t="n">
        <f aca="false">EXP(-'Black-Scholes'!$B$8*'Black-Scholes'!$B$7)*IF(LOWER('Black-Scholes'!$B$11)="put",MAX('Black-Scholes'!$B$6-D289,0),MAX(D289-'Black-Scholes'!$B$6,0))</f>
        <v>2.46165610391694</v>
      </c>
    </row>
    <row r="290" customFormat="false" ht="15" hidden="false" customHeight="false" outlineLevel="0" collapsed="false">
      <c r="A290" s="0" t="n">
        <v>279</v>
      </c>
      <c r="B290" s="15" t="n">
        <v>1.71827060748954</v>
      </c>
      <c r="C290" s="18" t="n">
        <f aca="false">'Black-Scholes'!$B$5*EXP(('Black-Scholes'!$B$8-'Black-Scholes'!$B$10-'Black-Scholes'!$B$9^2/2)*'Black-Scholes'!$B$7+'Black-Scholes'!$B$9*SQRT('Black-Scholes'!$B$7)*B290)</f>
        <v>145.303449013923</v>
      </c>
      <c r="D290" s="18" t="n">
        <f aca="false">'Black-Scholes'!$B$5*EXP(('Black-Scholes'!$B$8-'Black-Scholes'!$B$10-'Black-Scholes'!$B$9^2/2)*'Black-Scholes'!$B$7-'Black-Scholes'!$B$9*SQRT('Black-Scholes'!$B$7)*B290)</f>
        <v>73.0771742688376</v>
      </c>
      <c r="E290" s="18" t="n">
        <f aca="false">EXP(-'Black-Scholes'!$B$8*'Black-Scholes'!$B$7)*IF(LOWER('Black-Scholes'!$B$11)="put",MAX('Black-Scholes'!$B$6-C290,0),MAX(C290-'Black-Scholes'!$B$6,0))</f>
        <v>43.0939737334113</v>
      </c>
      <c r="F290" s="18" t="n">
        <f aca="false">(E290+G290)/2</f>
        <v>21.5469868667056</v>
      </c>
      <c r="G290" s="18" t="n">
        <f aca="false">EXP(-'Black-Scholes'!$B$8*'Black-Scholes'!$B$7)*IF(LOWER('Black-Scholes'!$B$11)="put",MAX('Black-Scholes'!$B$6-D290,0),MAX(D290-'Black-Scholes'!$B$6,0))</f>
        <v>0</v>
      </c>
    </row>
    <row r="291" customFormat="false" ht="15" hidden="false" customHeight="false" outlineLevel="0" collapsed="false">
      <c r="A291" s="0" t="n">
        <v>280</v>
      </c>
      <c r="B291" s="15" t="n">
        <v>-0.722478239499961</v>
      </c>
      <c r="C291" s="18" t="n">
        <f aca="false">'Black-Scholes'!$B$5*EXP(('Black-Scholes'!$B$8-'Black-Scholes'!$B$10-'Black-Scholes'!$B$9^2/2)*'Black-Scholes'!$B$7+'Black-Scholes'!$B$9*SQRT('Black-Scholes'!$B$7)*B291)</f>
        <v>89.1815819681315</v>
      </c>
      <c r="D291" s="18" t="n">
        <f aca="false">'Black-Scholes'!$B$5*EXP(('Black-Scholes'!$B$8-'Black-Scholes'!$B$10-'Black-Scholes'!$B$9^2/2)*'Black-Scholes'!$B$7-'Black-Scholes'!$B$9*SQRT('Black-Scholes'!$B$7)*B291)</f>
        <v>119.064556056519</v>
      </c>
      <c r="E291" s="18" t="n">
        <f aca="false">EXP(-'Black-Scholes'!$B$8*'Black-Scholes'!$B$7)*IF(LOWER('Black-Scholes'!$B$11)="put",MAX('Black-Scholes'!$B$6-C291,0),MAX(C291-'Black-Scholes'!$B$6,0))</f>
        <v>0</v>
      </c>
      <c r="F291" s="18" t="n">
        <f aca="false">(E291+G291)/2</f>
        <v>9.06738334300185</v>
      </c>
      <c r="G291" s="18" t="n">
        <f aca="false">EXP(-'Black-Scholes'!$B$8*'Black-Scholes'!$B$7)*IF(LOWER('Black-Scholes'!$B$11)="put",MAX('Black-Scholes'!$B$6-D291,0),MAX(D291-'Black-Scholes'!$B$6,0))</f>
        <v>18.1347666860037</v>
      </c>
    </row>
    <row r="292" customFormat="false" ht="15" hidden="false" customHeight="false" outlineLevel="0" collapsed="false">
      <c r="A292" s="0" t="n">
        <v>281</v>
      </c>
      <c r="B292" s="15" t="n">
        <v>-1.4183388471539</v>
      </c>
      <c r="C292" s="18" t="n">
        <f aca="false">'Black-Scholes'!$B$5*EXP(('Black-Scholes'!$B$8-'Black-Scholes'!$B$10-'Black-Scholes'!$B$9^2/2)*'Black-Scholes'!$B$7+'Black-Scholes'!$B$9*SQRT('Black-Scholes'!$B$7)*B292)</f>
        <v>77.5949553389476</v>
      </c>
      <c r="D292" s="18" t="n">
        <f aca="false">'Black-Scholes'!$B$5*EXP(('Black-Scholes'!$B$8-'Black-Scholes'!$B$10-'Black-Scholes'!$B$9^2/2)*'Black-Scholes'!$B$7-'Black-Scholes'!$B$9*SQRT('Black-Scholes'!$B$7)*B292)</f>
        <v>136.843502506971</v>
      </c>
      <c r="E292" s="18" t="n">
        <f aca="false">EXP(-'Black-Scholes'!$B$8*'Black-Scholes'!$B$7)*IF(LOWER('Black-Scholes'!$B$11)="put",MAX('Black-Scholes'!$B$6-C292,0),MAX(C292-'Black-Scholes'!$B$6,0))</f>
        <v>0</v>
      </c>
      <c r="F292" s="18" t="n">
        <f aca="false">(E292+G292)/2</f>
        <v>17.5233118431484</v>
      </c>
      <c r="G292" s="18" t="n">
        <f aca="false">EXP(-'Black-Scholes'!$B$8*'Black-Scholes'!$B$7)*IF(LOWER('Black-Scholes'!$B$11)="put",MAX('Black-Scholes'!$B$6-D292,0),MAX(D292-'Black-Scholes'!$B$6,0))</f>
        <v>35.0466236862968</v>
      </c>
    </row>
    <row r="293" customFormat="false" ht="15" hidden="false" customHeight="false" outlineLevel="0" collapsed="false">
      <c r="A293" s="0" t="n">
        <v>282</v>
      </c>
      <c r="B293" s="15" t="n">
        <v>-0.172834261390178</v>
      </c>
      <c r="C293" s="18" t="n">
        <f aca="false">'Black-Scholes'!$B$5*EXP(('Black-Scholes'!$B$8-'Black-Scholes'!$B$10-'Black-Scholes'!$B$9^2/2)*'Black-Scholes'!$B$7+'Black-Scholes'!$B$9*SQRT('Black-Scholes'!$B$7)*B293)</f>
        <v>99.5443559935452</v>
      </c>
      <c r="D293" s="18" t="n">
        <f aca="false">'Black-Scholes'!$B$5*EXP(('Black-Scholes'!$B$8-'Black-Scholes'!$B$10-'Black-Scholes'!$B$9^2/2)*'Black-Scholes'!$B$7-'Black-Scholes'!$B$9*SQRT('Black-Scholes'!$B$7)*B293)</f>
        <v>106.669688697791</v>
      </c>
      <c r="E293" s="18" t="n">
        <f aca="false">EXP(-'Black-Scholes'!$B$8*'Black-Scholes'!$B$7)*IF(LOWER('Black-Scholes'!$B$11)="put",MAX('Black-Scholes'!$B$6-C293,0),MAX(C293-'Black-Scholes'!$B$6,0))</f>
        <v>0</v>
      </c>
      <c r="F293" s="18" t="n">
        <f aca="false">(E293+G293)/2</f>
        <v>3.17220207079954</v>
      </c>
      <c r="G293" s="18" t="n">
        <f aca="false">EXP(-'Black-Scholes'!$B$8*'Black-Scholes'!$B$7)*IF(LOWER('Black-Scholes'!$B$11)="put",MAX('Black-Scholes'!$B$6-D293,0),MAX(D293-'Black-Scholes'!$B$6,0))</f>
        <v>6.34440414159908</v>
      </c>
    </row>
    <row r="294" customFormat="false" ht="15" hidden="false" customHeight="false" outlineLevel="0" collapsed="false">
      <c r="A294" s="0" t="n">
        <v>283</v>
      </c>
      <c r="B294" s="15" t="n">
        <v>0.232161753267035</v>
      </c>
      <c r="C294" s="18" t="n">
        <f aca="false">'Black-Scholes'!$B$5*EXP(('Black-Scholes'!$B$8-'Black-Scholes'!$B$10-'Black-Scholes'!$B$9^2/2)*'Black-Scholes'!$B$7+'Black-Scholes'!$B$9*SQRT('Black-Scholes'!$B$7)*B294)</f>
        <v>107.942916518942</v>
      </c>
      <c r="D294" s="18" t="n">
        <f aca="false">'Black-Scholes'!$B$5*EXP(('Black-Scholes'!$B$8-'Black-Scholes'!$B$10-'Black-Scholes'!$B$9^2/2)*'Black-Scholes'!$B$7-'Black-Scholes'!$B$9*SQRT('Black-Scholes'!$B$7)*B294)</f>
        <v>98.3701923932196</v>
      </c>
      <c r="E294" s="18" t="n">
        <f aca="false">EXP(-'Black-Scholes'!$B$8*'Black-Scholes'!$B$7)*IF(LOWER('Black-Scholes'!$B$11)="put",MAX('Black-Scholes'!$B$6-C294,0),MAX(C294-'Black-Scholes'!$B$6,0))</f>
        <v>7.5555359091707</v>
      </c>
      <c r="F294" s="18" t="n">
        <f aca="false">(E294+G294)/2</f>
        <v>3.77776795458535</v>
      </c>
      <c r="G294" s="18" t="n">
        <f aca="false">EXP(-'Black-Scholes'!$B$8*'Black-Scholes'!$B$7)*IF(LOWER('Black-Scholes'!$B$11)="put",MAX('Black-Scholes'!$B$6-D294,0),MAX(D294-'Black-Scholes'!$B$6,0))</f>
        <v>0</v>
      </c>
    </row>
    <row r="295" customFormat="false" ht="15" hidden="false" customHeight="false" outlineLevel="0" collapsed="false">
      <c r="A295" s="0" t="n">
        <v>284</v>
      </c>
      <c r="B295" s="15" t="n">
        <v>0.63922095859507</v>
      </c>
      <c r="C295" s="18" t="n">
        <f aca="false">'Black-Scholes'!$B$5*EXP(('Black-Scholes'!$B$8-'Black-Scholes'!$B$10-'Black-Scholes'!$B$9^2/2)*'Black-Scholes'!$B$7+'Black-Scholes'!$B$9*SQRT('Black-Scholes'!$B$7)*B295)</f>
        <v>117.098373153113</v>
      </c>
      <c r="D295" s="18" t="n">
        <f aca="false">'Black-Scholes'!$B$5*EXP(('Black-Scholes'!$B$8-'Black-Scholes'!$B$10-'Black-Scholes'!$B$9^2/2)*'Black-Scholes'!$B$7-'Black-Scholes'!$B$9*SQRT('Black-Scholes'!$B$7)*B295)</f>
        <v>90.6790178166649</v>
      </c>
      <c r="E295" s="18" t="n">
        <f aca="false">EXP(-'Black-Scholes'!$B$8*'Black-Scholes'!$B$7)*IF(LOWER('Black-Scholes'!$B$11)="put",MAX('Black-Scholes'!$B$6-C295,0),MAX(C295-'Black-Scholes'!$B$6,0))</f>
        <v>16.2644756543341</v>
      </c>
      <c r="F295" s="18" t="n">
        <f aca="false">(E295+G295)/2</f>
        <v>8.13223782716703</v>
      </c>
      <c r="G295" s="18" t="n">
        <f aca="false">EXP(-'Black-Scholes'!$B$8*'Black-Scholes'!$B$7)*IF(LOWER('Black-Scholes'!$B$11)="put",MAX('Black-Scholes'!$B$6-D295,0),MAX(D295-'Black-Scholes'!$B$6,0))</f>
        <v>0</v>
      </c>
    </row>
    <row r="296" customFormat="false" ht="15" hidden="false" customHeight="false" outlineLevel="0" collapsed="false">
      <c r="A296" s="0" t="n">
        <v>285</v>
      </c>
      <c r="B296" s="15" t="n">
        <v>-0.533342213389687</v>
      </c>
      <c r="C296" s="18" t="n">
        <f aca="false">'Black-Scholes'!$B$5*EXP(('Black-Scholes'!$B$8-'Black-Scholes'!$B$10-'Black-Scholes'!$B$9^2/2)*'Black-Scholes'!$B$7+'Black-Scholes'!$B$9*SQRT('Black-Scholes'!$B$7)*B296)</f>
        <v>92.6196890064162</v>
      </c>
      <c r="D296" s="18" t="n">
        <f aca="false">'Black-Scholes'!$B$5*EXP(('Black-Scholes'!$B$8-'Black-Scholes'!$B$10-'Black-Scholes'!$B$9^2/2)*'Black-Scholes'!$B$7-'Black-Scholes'!$B$9*SQRT('Black-Scholes'!$B$7)*B296)</f>
        <v>114.64479722792</v>
      </c>
      <c r="E296" s="18" t="n">
        <f aca="false">EXP(-'Black-Scholes'!$B$8*'Black-Scholes'!$B$7)*IF(LOWER('Black-Scholes'!$B$11)="put",MAX('Black-Scholes'!$B$6-C296,0),MAX(C296-'Black-Scholes'!$B$6,0))</f>
        <v>0</v>
      </c>
      <c r="F296" s="18" t="n">
        <f aca="false">(E296+G296)/2</f>
        <v>6.96528101952197</v>
      </c>
      <c r="G296" s="18" t="n">
        <f aca="false">EXP(-'Black-Scholes'!$B$8*'Black-Scholes'!$B$7)*IF(LOWER('Black-Scholes'!$B$11)="put",MAX('Black-Scholes'!$B$6-D296,0),MAX(D296-'Black-Scholes'!$B$6,0))</f>
        <v>13.9305620390439</v>
      </c>
    </row>
    <row r="297" customFormat="false" ht="15" hidden="false" customHeight="false" outlineLevel="0" collapsed="false">
      <c r="A297" s="0" t="n">
        <v>286</v>
      </c>
      <c r="B297" s="15" t="n">
        <v>0.564168890548806</v>
      </c>
      <c r="C297" s="18" t="n">
        <f aca="false">'Black-Scholes'!$B$5*EXP(('Black-Scholes'!$B$8-'Black-Scholes'!$B$10-'Black-Scholes'!$B$9^2/2)*'Black-Scholes'!$B$7+'Black-Scholes'!$B$9*SQRT('Black-Scholes'!$B$7)*B297)</f>
        <v>115.353804245528</v>
      </c>
      <c r="D297" s="18" t="n">
        <f aca="false">'Black-Scholes'!$B$5*EXP(('Black-Scholes'!$B$8-'Black-Scholes'!$B$10-'Black-Scholes'!$B$9^2/2)*'Black-Scholes'!$B$7-'Black-Scholes'!$B$9*SQRT('Black-Scholes'!$B$7)*B297)</f>
        <v>92.0504142442724</v>
      </c>
      <c r="E297" s="18" t="n">
        <f aca="false">EXP(-'Black-Scholes'!$B$8*'Black-Scholes'!$B$7)*IF(LOWER('Black-Scholes'!$B$11)="put",MAX('Black-Scholes'!$B$6-C297,0),MAX(C297-'Black-Scholes'!$B$6,0))</f>
        <v>14.6049903763705</v>
      </c>
      <c r="F297" s="18" t="n">
        <f aca="false">(E297+G297)/2</f>
        <v>7.30249518818526</v>
      </c>
      <c r="G297" s="18" t="n">
        <f aca="false">EXP(-'Black-Scholes'!$B$8*'Black-Scholes'!$B$7)*IF(LOWER('Black-Scholes'!$B$11)="put",MAX('Black-Scholes'!$B$6-D297,0),MAX(D297-'Black-Scholes'!$B$6,0))</f>
        <v>0</v>
      </c>
    </row>
    <row r="298" customFormat="false" ht="15" hidden="false" customHeight="false" outlineLevel="0" collapsed="false">
      <c r="A298" s="0" t="n">
        <v>287</v>
      </c>
      <c r="B298" s="15" t="n">
        <v>0.649773181566184</v>
      </c>
      <c r="C298" s="18" t="n">
        <f aca="false">'Black-Scholes'!$B$5*EXP(('Black-Scholes'!$B$8-'Black-Scholes'!$B$10-'Black-Scholes'!$B$9^2/2)*'Black-Scholes'!$B$7+'Black-Scholes'!$B$9*SQRT('Black-Scholes'!$B$7)*B298)</f>
        <v>117.345763741969</v>
      </c>
      <c r="D298" s="18" t="n">
        <f aca="false">'Black-Scholes'!$B$5*EXP(('Black-Scholes'!$B$8-'Black-Scholes'!$B$10-'Black-Scholes'!$B$9^2/2)*'Black-Scholes'!$B$7-'Black-Scholes'!$B$9*SQRT('Black-Scholes'!$B$7)*B298)</f>
        <v>90.4878465728193</v>
      </c>
      <c r="E298" s="18" t="n">
        <f aca="false">EXP(-'Black-Scholes'!$B$8*'Black-Scholes'!$B$7)*IF(LOWER('Black-Scholes'!$B$11)="put",MAX('Black-Scholes'!$B$6-C298,0),MAX(C298-'Black-Scholes'!$B$6,0))</f>
        <v>16.4998008617985</v>
      </c>
      <c r="F298" s="18" t="n">
        <f aca="false">(E298+G298)/2</f>
        <v>8.24990043089926</v>
      </c>
      <c r="G298" s="18" t="n">
        <f aca="false">EXP(-'Black-Scholes'!$B$8*'Black-Scholes'!$B$7)*IF(LOWER('Black-Scholes'!$B$11)="put",MAX('Black-Scholes'!$B$6-D298,0),MAX(D298-'Black-Scholes'!$B$6,0))</f>
        <v>0</v>
      </c>
    </row>
    <row r="299" customFormat="false" ht="15" hidden="false" customHeight="false" outlineLevel="0" collapsed="false">
      <c r="A299" s="0" t="n">
        <v>288</v>
      </c>
      <c r="B299" s="15" t="n">
        <v>-0.697706021189741</v>
      </c>
      <c r="C299" s="18" t="n">
        <f aca="false">'Black-Scholes'!$B$5*EXP(('Black-Scholes'!$B$8-'Black-Scholes'!$B$10-'Black-Scholes'!$B$9^2/2)*'Black-Scholes'!$B$7+'Black-Scholes'!$B$9*SQRT('Black-Scholes'!$B$7)*B299)</f>
        <v>89.6245234499379</v>
      </c>
      <c r="D299" s="18" t="n">
        <f aca="false">'Black-Scholes'!$B$5*EXP(('Black-Scholes'!$B$8-'Black-Scholes'!$B$10-'Black-Scholes'!$B$9^2/2)*'Black-Scholes'!$B$7-'Black-Scholes'!$B$9*SQRT('Black-Scholes'!$B$7)*B299)</f>
        <v>118.476116320828</v>
      </c>
      <c r="E299" s="18" t="n">
        <f aca="false">EXP(-'Black-Scholes'!$B$8*'Black-Scholes'!$B$7)*IF(LOWER('Black-Scholes'!$B$11)="put",MAX('Black-Scholes'!$B$6-C299,0),MAX(C299-'Black-Scholes'!$B$6,0))</f>
        <v>0</v>
      </c>
      <c r="F299" s="18" t="n">
        <f aca="false">(E299+G299)/2</f>
        <v>8.78751274743464</v>
      </c>
      <c r="G299" s="18" t="n">
        <f aca="false">EXP(-'Black-Scholes'!$B$8*'Black-Scholes'!$B$7)*IF(LOWER('Black-Scholes'!$B$11)="put",MAX('Black-Scholes'!$B$6-D299,0),MAX(D299-'Black-Scholes'!$B$6,0))</f>
        <v>17.5750254948693</v>
      </c>
    </row>
    <row r="300" customFormat="false" ht="15" hidden="false" customHeight="false" outlineLevel="0" collapsed="false">
      <c r="A300" s="0" t="n">
        <v>289</v>
      </c>
      <c r="B300" s="15" t="n">
        <v>1.34170007782793</v>
      </c>
      <c r="C300" s="18" t="n">
        <f aca="false">'Black-Scholes'!$B$5*EXP(('Black-Scholes'!$B$8-'Black-Scholes'!$B$10-'Black-Scholes'!$B$9^2/2)*'Black-Scholes'!$B$7+'Black-Scholes'!$B$9*SQRT('Black-Scholes'!$B$7)*B300)</f>
        <v>134.76199217387</v>
      </c>
      <c r="D300" s="18" t="n">
        <f aca="false">'Black-Scholes'!$B$5*EXP(('Black-Scholes'!$B$8-'Black-Scholes'!$B$10-'Black-Scholes'!$B$9^2/2)*'Black-Scholes'!$B$7-'Black-Scholes'!$B$9*SQRT('Black-Scholes'!$B$7)*B300)</f>
        <v>78.7934735467085</v>
      </c>
      <c r="E300" s="18" t="n">
        <f aca="false">EXP(-'Black-Scholes'!$B$8*'Black-Scholes'!$B$7)*IF(LOWER('Black-Scholes'!$B$11)="put",MAX('Black-Scholes'!$B$6-C300,0),MAX(C300-'Black-Scholes'!$B$6,0))</f>
        <v>33.0666298100491</v>
      </c>
      <c r="F300" s="18" t="n">
        <f aca="false">(E300+G300)/2</f>
        <v>16.5333149050245</v>
      </c>
      <c r="G300" s="18" t="n">
        <f aca="false">EXP(-'Black-Scholes'!$B$8*'Black-Scholes'!$B$7)*IF(LOWER('Black-Scholes'!$B$11)="put",MAX('Black-Scholes'!$B$6-D300,0),MAX(D300-'Black-Scholes'!$B$6,0))</f>
        <v>0</v>
      </c>
    </row>
    <row r="301" customFormat="false" ht="15" hidden="false" customHeight="false" outlineLevel="0" collapsed="false">
      <c r="A301" s="0" t="n">
        <v>290</v>
      </c>
      <c r="B301" s="15" t="n">
        <v>-0.021437908841752</v>
      </c>
      <c r="C301" s="18" t="n">
        <f aca="false">'Black-Scholes'!$B$5*EXP(('Black-Scholes'!$B$8-'Black-Scholes'!$B$10-'Black-Scholes'!$B$9^2/2)*'Black-Scholes'!$B$7+'Black-Scholes'!$B$9*SQRT('Black-Scholes'!$B$7)*B301)</f>
        <v>102.604583396536</v>
      </c>
      <c r="D301" s="18" t="n">
        <f aca="false">'Black-Scholes'!$B$5*EXP(('Black-Scholes'!$B$8-'Black-Scholes'!$B$10-'Black-Scholes'!$B$9^2/2)*'Black-Scholes'!$B$7-'Black-Scholes'!$B$9*SQRT('Black-Scholes'!$B$7)*B301)</f>
        <v>103.48821771847</v>
      </c>
      <c r="E301" s="18" t="n">
        <f aca="false">EXP(-'Black-Scholes'!$B$8*'Black-Scholes'!$B$7)*IF(LOWER('Black-Scholes'!$B$11)="put",MAX('Black-Scholes'!$B$6-C301,0),MAX(C301-'Black-Scholes'!$B$6,0))</f>
        <v>2.47755636535103</v>
      </c>
      <c r="F301" s="18" t="n">
        <f aca="false">(E301+G301)/2</f>
        <v>2.89782584911208</v>
      </c>
      <c r="G301" s="18" t="n">
        <f aca="false">EXP(-'Black-Scholes'!$B$8*'Black-Scholes'!$B$7)*IF(LOWER('Black-Scholes'!$B$11)="put",MAX('Black-Scholes'!$B$6-D301,0),MAX(D301-'Black-Scholes'!$B$6,0))</f>
        <v>3.31809533287313</v>
      </c>
    </row>
    <row r="302" customFormat="false" ht="15" hidden="false" customHeight="false" outlineLevel="0" collapsed="false">
      <c r="A302" s="0" t="n">
        <v>291</v>
      </c>
      <c r="B302" s="15" t="n">
        <v>1.16329067895971</v>
      </c>
      <c r="C302" s="18" t="n">
        <f aca="false">'Black-Scholes'!$B$5*EXP(('Black-Scholes'!$B$8-'Black-Scholes'!$B$10-'Black-Scholes'!$B$9^2/2)*'Black-Scholes'!$B$7+'Black-Scholes'!$B$9*SQRT('Black-Scholes'!$B$7)*B302)</f>
        <v>130.038208886152</v>
      </c>
      <c r="D302" s="18" t="n">
        <f aca="false">'Black-Scholes'!$B$5*EXP(('Black-Scholes'!$B$8-'Black-Scholes'!$B$10-'Black-Scholes'!$B$9^2/2)*'Black-Scholes'!$B$7-'Black-Scholes'!$B$9*SQRT('Black-Scholes'!$B$7)*B302)</f>
        <v>81.6557345445289</v>
      </c>
      <c r="E302" s="18" t="n">
        <f aca="false">EXP(-'Black-Scholes'!$B$8*'Black-Scholes'!$B$7)*IF(LOWER('Black-Scholes'!$B$11)="put",MAX('Black-Scholes'!$B$6-C302,0),MAX(C302-'Black-Scholes'!$B$6,0))</f>
        <v>28.5732281518063</v>
      </c>
      <c r="F302" s="18" t="n">
        <f aca="false">(E302+G302)/2</f>
        <v>14.2866140759031</v>
      </c>
      <c r="G302" s="18" t="n">
        <f aca="false">EXP(-'Black-Scholes'!$B$8*'Black-Scholes'!$B$7)*IF(LOWER('Black-Scholes'!$B$11)="put",MAX('Black-Scholes'!$B$6-D302,0),MAX(D302-'Black-Scholes'!$B$6,0))</f>
        <v>0</v>
      </c>
    </row>
    <row r="303" customFormat="false" ht="15" hidden="false" customHeight="false" outlineLevel="0" collapsed="false">
      <c r="A303" s="0" t="n">
        <v>292</v>
      </c>
      <c r="B303" s="15" t="n">
        <v>-1.4577418641639</v>
      </c>
      <c r="C303" s="18" t="n">
        <f aca="false">'Black-Scholes'!$B$5*EXP(('Black-Scholes'!$B$8-'Black-Scholes'!$B$10-'Black-Scholes'!$B$9^2/2)*'Black-Scholes'!$B$7+'Black-Scholes'!$B$9*SQRT('Black-Scholes'!$B$7)*B303)</f>
        <v>76.9858634280638</v>
      </c>
      <c r="D303" s="18" t="n">
        <f aca="false">'Black-Scholes'!$B$5*EXP(('Black-Scholes'!$B$8-'Black-Scholes'!$B$10-'Black-Scholes'!$B$9^2/2)*'Black-Scholes'!$B$7-'Black-Scholes'!$B$9*SQRT('Black-Scholes'!$B$7)*B303)</f>
        <v>137.926172320915</v>
      </c>
      <c r="E303" s="18" t="n">
        <f aca="false">EXP(-'Black-Scholes'!$B$8*'Black-Scholes'!$B$7)*IF(LOWER('Black-Scholes'!$B$11)="put",MAX('Black-Scholes'!$B$6-C303,0),MAX(C303-'Black-Scholes'!$B$6,0))</f>
        <v>0</v>
      </c>
      <c r="F303" s="18" t="n">
        <f aca="false">(E303+G303)/2</f>
        <v>18.0382455351697</v>
      </c>
      <c r="G303" s="18" t="n">
        <f aca="false">EXP(-'Black-Scholes'!$B$8*'Black-Scholes'!$B$7)*IF(LOWER('Black-Scholes'!$B$11)="put",MAX('Black-Scholes'!$B$6-D303,0),MAX(D303-'Black-Scholes'!$B$6,0))</f>
        <v>36.0764910703393</v>
      </c>
    </row>
    <row r="304" customFormat="false" ht="15" hidden="false" customHeight="false" outlineLevel="0" collapsed="false">
      <c r="A304" s="0" t="n">
        <v>293</v>
      </c>
      <c r="B304" s="15" t="n">
        <v>0.773429212627644</v>
      </c>
      <c r="C304" s="18" t="n">
        <f aca="false">'Black-Scholes'!$B$5*EXP(('Black-Scholes'!$B$8-'Black-Scholes'!$B$10-'Black-Scholes'!$B$9^2/2)*'Black-Scholes'!$B$7+'Black-Scholes'!$B$9*SQRT('Black-Scholes'!$B$7)*B304)</f>
        <v>120.284049943086</v>
      </c>
      <c r="D304" s="18" t="n">
        <f aca="false">'Black-Scholes'!$B$5*EXP(('Black-Scholes'!$B$8-'Black-Scholes'!$B$10-'Black-Scholes'!$B$9^2/2)*'Black-Scholes'!$B$7-'Black-Scholes'!$B$9*SQRT('Black-Scholes'!$B$7)*B304)</f>
        <v>88.2774189136281</v>
      </c>
      <c r="E304" s="18" t="n">
        <f aca="false">EXP(-'Black-Scholes'!$B$8*'Black-Scholes'!$B$7)*IF(LOWER('Black-Scholes'!$B$11)="put",MAX('Black-Scholes'!$B$6-C304,0),MAX(C304-'Black-Scholes'!$B$6,0))</f>
        <v>19.2947851539058</v>
      </c>
      <c r="F304" s="18" t="n">
        <f aca="false">(E304+G304)/2</f>
        <v>9.64739257695288</v>
      </c>
      <c r="G304" s="18" t="n">
        <f aca="false">EXP(-'Black-Scholes'!$B$8*'Black-Scholes'!$B$7)*IF(LOWER('Black-Scholes'!$B$11)="put",MAX('Black-Scholes'!$B$6-D304,0),MAX(D304-'Black-Scholes'!$B$6,0))</f>
        <v>0</v>
      </c>
    </row>
    <row r="305" customFormat="false" ht="15" hidden="false" customHeight="false" outlineLevel="0" collapsed="false">
      <c r="A305" s="0" t="n">
        <v>294</v>
      </c>
      <c r="B305" s="15" t="n">
        <v>0.456298511961811</v>
      </c>
      <c r="C305" s="18" t="n">
        <f aca="false">'Black-Scholes'!$B$5*EXP(('Black-Scholes'!$B$8-'Black-Scholes'!$B$10-'Black-Scholes'!$B$9^2/2)*'Black-Scholes'!$B$7+'Black-Scholes'!$B$9*SQRT('Black-Scholes'!$B$7)*B305)</f>
        <v>112.89180570207</v>
      </c>
      <c r="D305" s="18" t="n">
        <f aca="false">'Black-Scholes'!$B$5*EXP(('Black-Scholes'!$B$8-'Black-Scholes'!$B$10-'Black-Scholes'!$B$9^2/2)*'Black-Scholes'!$B$7-'Black-Scholes'!$B$9*SQRT('Black-Scholes'!$B$7)*B305)</f>
        <v>94.0578937454172</v>
      </c>
      <c r="E305" s="18" t="n">
        <f aca="false">EXP(-'Black-Scholes'!$B$8*'Black-Scholes'!$B$7)*IF(LOWER('Black-Scholes'!$B$11)="put",MAX('Black-Scholes'!$B$6-C305,0),MAX(C305-'Black-Scholes'!$B$6,0))</f>
        <v>12.2630649187552</v>
      </c>
      <c r="F305" s="18" t="n">
        <f aca="false">(E305+G305)/2</f>
        <v>6.13153245937762</v>
      </c>
      <c r="G305" s="18" t="n">
        <f aca="false">EXP(-'Black-Scholes'!$B$8*'Black-Scholes'!$B$7)*IF(LOWER('Black-Scholes'!$B$11)="put",MAX('Black-Scholes'!$B$6-D305,0),MAX(D305-'Black-Scholes'!$B$6,0))</f>
        <v>0</v>
      </c>
    </row>
    <row r="306" customFormat="false" ht="15" hidden="false" customHeight="false" outlineLevel="0" collapsed="false">
      <c r="A306" s="0" t="n">
        <v>295</v>
      </c>
      <c r="B306" s="15" t="n">
        <v>-0.579591240025197</v>
      </c>
      <c r="C306" s="18" t="n">
        <f aca="false">'Black-Scholes'!$B$5*EXP(('Black-Scholes'!$B$8-'Black-Scholes'!$B$10-'Black-Scholes'!$B$9^2/2)*'Black-Scholes'!$B$7+'Black-Scholes'!$B$9*SQRT('Black-Scholes'!$B$7)*B306)</f>
        <v>91.7669249445521</v>
      </c>
      <c r="D306" s="18" t="n">
        <f aca="false">'Black-Scholes'!$B$5*EXP(('Black-Scholes'!$B$8-'Black-Scholes'!$B$10-'Black-Scholes'!$B$9^2/2)*'Black-Scholes'!$B$7-'Black-Scholes'!$B$9*SQRT('Black-Scholes'!$B$7)*B306)</f>
        <v>115.710158882075</v>
      </c>
      <c r="E306" s="18" t="n">
        <f aca="false">EXP(-'Black-Scholes'!$B$8*'Black-Scholes'!$B$7)*IF(LOWER('Black-Scholes'!$B$11)="put",MAX('Black-Scholes'!$B$6-C306,0),MAX(C306-'Black-Scholes'!$B$6,0))</f>
        <v>0</v>
      </c>
      <c r="F306" s="18" t="n">
        <f aca="false">(E306+G306)/2</f>
        <v>7.47198269610562</v>
      </c>
      <c r="G306" s="18" t="n">
        <f aca="false">EXP(-'Black-Scholes'!$B$8*'Black-Scholes'!$B$7)*IF(LOWER('Black-Scholes'!$B$11)="put",MAX('Black-Scholes'!$B$6-D306,0),MAX(D306-'Black-Scholes'!$B$6,0))</f>
        <v>14.9439653922112</v>
      </c>
    </row>
    <row r="307" customFormat="false" ht="15" hidden="false" customHeight="false" outlineLevel="0" collapsed="false">
      <c r="A307" s="0" t="n">
        <v>296</v>
      </c>
      <c r="B307" s="15" t="n">
        <v>1.35134186062746</v>
      </c>
      <c r="C307" s="18" t="n">
        <f aca="false">'Black-Scholes'!$B$5*EXP(('Black-Scholes'!$B$8-'Black-Scholes'!$B$10-'Black-Scholes'!$B$9^2/2)*'Black-Scholes'!$B$7+'Black-Scholes'!$B$9*SQRT('Black-Scholes'!$B$7)*B307)</f>
        <v>135.02211206685</v>
      </c>
      <c r="D307" s="18" t="n">
        <f aca="false">'Black-Scholes'!$B$5*EXP(('Black-Scholes'!$B$8-'Black-Scholes'!$B$10-'Black-Scholes'!$B$9^2/2)*'Black-Scholes'!$B$7-'Black-Scholes'!$B$9*SQRT('Black-Scholes'!$B$7)*B307)</f>
        <v>78.6416780400858</v>
      </c>
      <c r="E307" s="18" t="n">
        <f aca="false">EXP(-'Black-Scholes'!$B$8*'Black-Scholes'!$B$7)*IF(LOWER('Black-Scholes'!$B$11)="put",MAX('Black-Scholes'!$B$6-C307,0),MAX(C307-'Black-Scholes'!$B$6,0))</f>
        <v>33.3140635061491</v>
      </c>
      <c r="F307" s="18" t="n">
        <f aca="false">(E307+G307)/2</f>
        <v>16.6570317530746</v>
      </c>
      <c r="G307" s="18" t="n">
        <f aca="false">EXP(-'Black-Scholes'!$B$8*'Black-Scholes'!$B$7)*IF(LOWER('Black-Scholes'!$B$11)="put",MAX('Black-Scholes'!$B$6-D307,0),MAX(D307-'Black-Scholes'!$B$6,0))</f>
        <v>0</v>
      </c>
    </row>
    <row r="308" customFormat="false" ht="15" hidden="false" customHeight="false" outlineLevel="0" collapsed="false">
      <c r="A308" s="0" t="n">
        <v>297</v>
      </c>
      <c r="B308" s="15" t="n">
        <v>-0.339268038894512</v>
      </c>
      <c r="C308" s="18" t="n">
        <f aca="false">'Black-Scholes'!$B$5*EXP(('Black-Scholes'!$B$8-'Black-Scholes'!$B$10-'Black-Scholes'!$B$9^2/2)*'Black-Scholes'!$B$7+'Black-Scholes'!$B$9*SQRT('Black-Scholes'!$B$7)*B308)</f>
        <v>96.2853884893197</v>
      </c>
      <c r="D308" s="18" t="n">
        <f aca="false">'Black-Scholes'!$B$5*EXP(('Black-Scholes'!$B$8-'Black-Scholes'!$B$10-'Black-Scholes'!$B$9^2/2)*'Black-Scholes'!$B$7-'Black-Scholes'!$B$9*SQRT('Black-Scholes'!$B$7)*B308)</f>
        <v>110.280133175465</v>
      </c>
      <c r="E308" s="18" t="n">
        <f aca="false">EXP(-'Black-Scholes'!$B$8*'Black-Scholes'!$B$7)*IF(LOWER('Black-Scholes'!$B$11)="put",MAX('Black-Scholes'!$B$6-C308,0),MAX(C308-'Black-Scholes'!$B$6,0))</f>
        <v>0</v>
      </c>
      <c r="F308" s="18" t="n">
        <f aca="false">(E308+G308)/2</f>
        <v>4.88938258214431</v>
      </c>
      <c r="G308" s="18" t="n">
        <f aca="false">EXP(-'Black-Scholes'!$B$8*'Black-Scholes'!$B$7)*IF(LOWER('Black-Scholes'!$B$11)="put",MAX('Black-Scholes'!$B$6-D308,0),MAX(D308-'Black-Scholes'!$B$6,0))</f>
        <v>9.77876516428862</v>
      </c>
    </row>
    <row r="309" customFormat="false" ht="15" hidden="false" customHeight="false" outlineLevel="0" collapsed="false">
      <c r="A309" s="0" t="n">
        <v>298</v>
      </c>
      <c r="B309" s="15" t="n">
        <v>-0.29612722865848</v>
      </c>
      <c r="C309" s="18" t="n">
        <f aca="false">'Black-Scholes'!$B$5*EXP(('Black-Scholes'!$B$8-'Black-Scholes'!$B$10-'Black-Scholes'!$B$9^2/2)*'Black-Scholes'!$B$7+'Black-Scholes'!$B$9*SQRT('Black-Scholes'!$B$7)*B309)</f>
        <v>97.1197487455635</v>
      </c>
      <c r="D309" s="18" t="n">
        <f aca="false">'Black-Scholes'!$B$5*EXP(('Black-Scholes'!$B$8-'Black-Scholes'!$B$10-'Black-Scholes'!$B$9^2/2)*'Black-Scholes'!$B$7-'Black-Scholes'!$B$9*SQRT('Black-Scholes'!$B$7)*B309)</f>
        <v>109.332711447512</v>
      </c>
      <c r="E309" s="18" t="n">
        <f aca="false">EXP(-'Black-Scholes'!$B$8*'Black-Scholes'!$B$7)*IF(LOWER('Black-Scholes'!$B$11)="put",MAX('Black-Scholes'!$B$6-C309,0),MAX(C309-'Black-Scholes'!$B$6,0))</f>
        <v>0</v>
      </c>
      <c r="F309" s="18" t="n">
        <f aca="false">(E309+G309)/2</f>
        <v>4.43877486962419</v>
      </c>
      <c r="G309" s="18" t="n">
        <f aca="false">EXP(-'Black-Scholes'!$B$8*'Black-Scholes'!$B$7)*IF(LOWER('Black-Scholes'!$B$11)="put",MAX('Black-Scholes'!$B$6-D309,0),MAX(D309-'Black-Scholes'!$B$6,0))</f>
        <v>8.87754973924839</v>
      </c>
    </row>
    <row r="310" customFormat="false" ht="15" hidden="false" customHeight="false" outlineLevel="0" collapsed="false">
      <c r="A310" s="0" t="n">
        <v>299</v>
      </c>
      <c r="B310" s="15" t="n">
        <v>-0.0358533476697173</v>
      </c>
      <c r="C310" s="18" t="n">
        <f aca="false">'Black-Scholes'!$B$5*EXP(('Black-Scholes'!$B$8-'Black-Scholes'!$B$10-'Black-Scholes'!$B$9^2/2)*'Black-Scholes'!$B$7+'Black-Scholes'!$B$9*SQRT('Black-Scholes'!$B$7)*B310)</f>
        <v>102.309191402586</v>
      </c>
      <c r="D310" s="18" t="n">
        <f aca="false">'Black-Scholes'!$B$5*EXP(('Black-Scholes'!$B$8-'Black-Scholes'!$B$10-'Black-Scholes'!$B$9^2/2)*'Black-Scholes'!$B$7-'Black-Scholes'!$B$9*SQRT('Black-Scholes'!$B$7)*B310)</f>
        <v>103.787013853627</v>
      </c>
      <c r="E310" s="18" t="n">
        <f aca="false">EXP(-'Black-Scholes'!$B$8*'Black-Scholes'!$B$7)*IF(LOWER('Black-Scholes'!$B$11)="put",MAX('Black-Scholes'!$B$6-C310,0),MAX(C310-'Black-Scholes'!$B$6,0))</f>
        <v>2.19657080894435</v>
      </c>
      <c r="F310" s="18" t="n">
        <f aca="false">(E310+G310)/2</f>
        <v>2.89944490875297</v>
      </c>
      <c r="G310" s="18" t="n">
        <f aca="false">EXP(-'Black-Scholes'!$B$8*'Black-Scholes'!$B$7)*IF(LOWER('Black-Scholes'!$B$11)="put",MAX('Black-Scholes'!$B$6-D310,0),MAX(D310-'Black-Scholes'!$B$6,0))</f>
        <v>3.6023190085616</v>
      </c>
    </row>
    <row r="311" customFormat="false" ht="15" hidden="false" customHeight="false" outlineLevel="0" collapsed="false">
      <c r="A311" s="0" t="n">
        <v>300</v>
      </c>
      <c r="B311" s="15" t="n">
        <v>-1.89036141780964</v>
      </c>
      <c r="C311" s="18" t="n">
        <f aca="false">'Black-Scholes'!$B$5*EXP(('Black-Scholes'!$B$8-'Black-Scholes'!$B$10-'Black-Scholes'!$B$9^2/2)*'Black-Scholes'!$B$7+'Black-Scholes'!$B$9*SQRT('Black-Scholes'!$B$7)*B311)</f>
        <v>70.6047838717146</v>
      </c>
      <c r="D311" s="18" t="n">
        <f aca="false">'Black-Scholes'!$B$5*EXP(('Black-Scholes'!$B$8-'Black-Scholes'!$B$10-'Black-Scholes'!$B$9^2/2)*'Black-Scholes'!$B$7-'Black-Scholes'!$B$9*SQRT('Black-Scholes'!$B$7)*B311)</f>
        <v>150.39158656369</v>
      </c>
      <c r="E311" s="18" t="n">
        <f aca="false">EXP(-'Black-Scholes'!$B$8*'Black-Scholes'!$B$7)*IF(LOWER('Black-Scholes'!$B$11)="put",MAX('Black-Scholes'!$B$6-C311,0),MAX(C311-'Black-Scholes'!$B$6,0))</f>
        <v>0</v>
      </c>
      <c r="F311" s="18" t="n">
        <f aca="false">(E311+G311)/2</f>
        <v>23.9669799433284</v>
      </c>
      <c r="G311" s="18" t="n">
        <f aca="false">EXP(-'Black-Scholes'!$B$8*'Black-Scholes'!$B$7)*IF(LOWER('Black-Scholes'!$B$11)="put",MAX('Black-Scholes'!$B$6-D311,0),MAX(D311-'Black-Scholes'!$B$6,0))</f>
        <v>47.9339598866568</v>
      </c>
    </row>
    <row r="312" customFormat="false" ht="15" hidden="false" customHeight="false" outlineLevel="0" collapsed="false">
      <c r="A312" s="0" t="n">
        <v>301</v>
      </c>
      <c r="B312" s="15" t="n">
        <v>-1.18933748545804</v>
      </c>
      <c r="C312" s="18" t="n">
        <f aca="false">'Black-Scholes'!$B$5*EXP(('Black-Scholes'!$B$8-'Black-Scholes'!$B$10-'Black-Scholes'!$B$9^2/2)*'Black-Scholes'!$B$7+'Black-Scholes'!$B$9*SQRT('Black-Scholes'!$B$7)*B312)</f>
        <v>81.2314663636803</v>
      </c>
      <c r="D312" s="18" t="n">
        <f aca="false">'Black-Scholes'!$B$5*EXP(('Black-Scholes'!$B$8-'Black-Scholes'!$B$10-'Black-Scholes'!$B$9^2/2)*'Black-Scholes'!$B$7-'Black-Scholes'!$B$9*SQRT('Black-Scholes'!$B$7)*B312)</f>
        <v>130.717392419266</v>
      </c>
      <c r="E312" s="18" t="n">
        <f aca="false">EXP(-'Black-Scholes'!$B$8*'Black-Scholes'!$B$7)*IF(LOWER('Black-Scholes'!$B$11)="put",MAX('Black-Scholes'!$B$6-C312,0),MAX(C312-'Black-Scholes'!$B$6,0))</f>
        <v>0</v>
      </c>
      <c r="F312" s="18" t="n">
        <f aca="false">(E312+G312)/2</f>
        <v>14.6096437565705</v>
      </c>
      <c r="G312" s="18" t="n">
        <f aca="false">EXP(-'Black-Scholes'!$B$8*'Black-Scholes'!$B$7)*IF(LOWER('Black-Scholes'!$B$11)="put",MAX('Black-Scholes'!$B$6-D312,0),MAX(D312-'Black-Scholes'!$B$6,0))</f>
        <v>29.2192875131409</v>
      </c>
    </row>
    <row r="313" customFormat="false" ht="15" hidden="false" customHeight="false" outlineLevel="0" collapsed="false">
      <c r="A313" s="0" t="n">
        <v>302</v>
      </c>
      <c r="B313" s="15" t="n">
        <v>0.212424471339914</v>
      </c>
      <c r="C313" s="18" t="n">
        <f aca="false">'Black-Scholes'!$B$5*EXP(('Black-Scholes'!$B$8-'Black-Scholes'!$B$10-'Black-Scholes'!$B$9^2/2)*'Black-Scholes'!$B$7+'Black-Scholes'!$B$9*SQRT('Black-Scholes'!$B$7)*B313)</f>
        <v>107.517656463843</v>
      </c>
      <c r="D313" s="18" t="n">
        <f aca="false">'Black-Scholes'!$B$5*EXP(('Black-Scholes'!$B$8-'Black-Scholes'!$B$10-'Black-Scholes'!$B$9^2/2)*'Black-Scholes'!$B$7-'Black-Scholes'!$B$9*SQRT('Black-Scholes'!$B$7)*B313)</f>
        <v>98.7592718692157</v>
      </c>
      <c r="E313" s="18" t="n">
        <f aca="false">EXP(-'Black-Scholes'!$B$8*'Black-Scholes'!$B$7)*IF(LOWER('Black-Scholes'!$B$11)="put",MAX('Black-Scholes'!$B$6-C313,0),MAX(C313-'Black-Scholes'!$B$6,0))</f>
        <v>7.15101603169538</v>
      </c>
      <c r="F313" s="18" t="n">
        <f aca="false">(E313+G313)/2</f>
        <v>3.57550801584769</v>
      </c>
      <c r="G313" s="18" t="n">
        <f aca="false">EXP(-'Black-Scholes'!$B$8*'Black-Scholes'!$B$7)*IF(LOWER('Black-Scholes'!$B$11)="put",MAX('Black-Scholes'!$B$6-D313,0),MAX(D313-'Black-Scholes'!$B$6,0))</f>
        <v>0</v>
      </c>
    </row>
    <row r="314" customFormat="false" ht="15" hidden="false" customHeight="false" outlineLevel="0" collapsed="false">
      <c r="A314" s="0" t="n">
        <v>303</v>
      </c>
      <c r="B314" s="15" t="n">
        <v>0.0265226711273008</v>
      </c>
      <c r="C314" s="18" t="n">
        <f aca="false">'Black-Scholes'!$B$5*EXP(('Black-Scholes'!$B$8-'Black-Scholes'!$B$10-'Black-Scholes'!$B$9^2/2)*'Black-Scholes'!$B$7+'Black-Scholes'!$B$9*SQRT('Black-Scholes'!$B$7)*B314)</f>
        <v>103.593513847264</v>
      </c>
      <c r="D314" s="18" t="n">
        <f aca="false">'Black-Scholes'!$B$5*EXP(('Black-Scholes'!$B$8-'Black-Scholes'!$B$10-'Black-Scholes'!$B$9^2/2)*'Black-Scholes'!$B$7-'Black-Scholes'!$B$9*SQRT('Black-Scholes'!$B$7)*B314)</f>
        <v>102.500292451794</v>
      </c>
      <c r="E314" s="18" t="n">
        <f aca="false">EXP(-'Black-Scholes'!$B$8*'Black-Scholes'!$B$7)*IF(LOWER('Black-Scholes'!$B$11)="put",MAX('Black-Scholes'!$B$6-C314,0),MAX(C314-'Black-Scholes'!$B$6,0))</f>
        <v>3.41825610886844</v>
      </c>
      <c r="F314" s="18" t="n">
        <f aca="false">(E314+G314)/2</f>
        <v>2.89830392943618</v>
      </c>
      <c r="G314" s="18" t="n">
        <f aca="false">EXP(-'Black-Scholes'!$B$8*'Black-Scholes'!$B$7)*IF(LOWER('Black-Scholes'!$B$11)="put",MAX('Black-Scholes'!$B$6-D314,0),MAX(D314-'Black-Scholes'!$B$6,0))</f>
        <v>2.37835175000393</v>
      </c>
    </row>
    <row r="315" customFormat="false" ht="15" hidden="false" customHeight="false" outlineLevel="0" collapsed="false">
      <c r="A315" s="0" t="n">
        <v>304</v>
      </c>
      <c r="B315" s="15" t="n">
        <v>-0.276301533275192</v>
      </c>
      <c r="C315" s="18" t="n">
        <f aca="false">'Black-Scholes'!$B$5*EXP(('Black-Scholes'!$B$8-'Black-Scholes'!$B$10-'Black-Scholes'!$B$9^2/2)*'Black-Scholes'!$B$7+'Black-Scholes'!$B$9*SQRT('Black-Scholes'!$B$7)*B315)</f>
        <v>97.5056065407923</v>
      </c>
      <c r="D315" s="18" t="n">
        <f aca="false">'Black-Scholes'!$B$5*EXP(('Black-Scholes'!$B$8-'Black-Scholes'!$B$10-'Black-Scholes'!$B$9^2/2)*'Black-Scholes'!$B$7-'Black-Scholes'!$B$9*SQRT('Black-Scholes'!$B$7)*B315)</f>
        <v>108.900050388501</v>
      </c>
      <c r="E315" s="18" t="n">
        <f aca="false">EXP(-'Black-Scholes'!$B$8*'Black-Scholes'!$B$7)*IF(LOWER('Black-Scholes'!$B$11)="put",MAX('Black-Scholes'!$B$6-C315,0),MAX(C315-'Black-Scholes'!$B$6,0))</f>
        <v>0</v>
      </c>
      <c r="F315" s="18" t="n">
        <f aca="false">(E315+G315)/2</f>
        <v>4.23299490454042</v>
      </c>
      <c r="G315" s="18" t="n">
        <f aca="false">EXP(-'Black-Scholes'!$B$8*'Black-Scholes'!$B$7)*IF(LOWER('Black-Scholes'!$B$11)="put",MAX('Black-Scholes'!$B$6-D315,0),MAX(D315-'Black-Scholes'!$B$6,0))</f>
        <v>8.46598980908084</v>
      </c>
    </row>
    <row r="316" customFormat="false" ht="15" hidden="false" customHeight="false" outlineLevel="0" collapsed="false">
      <c r="A316" s="0" t="n">
        <v>305</v>
      </c>
      <c r="B316" s="15" t="n">
        <v>1.54389241787129</v>
      </c>
      <c r="C316" s="18" t="n">
        <f aca="false">'Black-Scholes'!$B$5*EXP(('Black-Scholes'!$B$8-'Black-Scholes'!$B$10-'Black-Scholes'!$B$9^2/2)*'Black-Scholes'!$B$7+'Black-Scholes'!$B$9*SQRT('Black-Scholes'!$B$7)*B316)</f>
        <v>140.323247174058</v>
      </c>
      <c r="D316" s="18" t="n">
        <f aca="false">'Black-Scholes'!$B$5*EXP(('Black-Scholes'!$B$8-'Black-Scholes'!$B$10-'Black-Scholes'!$B$9^2/2)*'Black-Scholes'!$B$7-'Black-Scholes'!$B$9*SQRT('Black-Scholes'!$B$7)*B316)</f>
        <v>75.6707507793237</v>
      </c>
      <c r="E316" s="18" t="n">
        <f aca="false">EXP(-'Black-Scholes'!$B$8*'Black-Scholes'!$B$7)*IF(LOWER('Black-Scholes'!$B$11)="put",MAX('Black-Scholes'!$B$6-C316,0),MAX(C316-'Black-Scholes'!$B$6,0))</f>
        <v>38.3566592033794</v>
      </c>
      <c r="F316" s="18" t="n">
        <f aca="false">(E316+G316)/2</f>
        <v>19.1783296016897</v>
      </c>
      <c r="G316" s="18" t="n">
        <f aca="false">EXP(-'Black-Scholes'!$B$8*'Black-Scholes'!$B$7)*IF(LOWER('Black-Scholes'!$B$11)="put",MAX('Black-Scholes'!$B$6-D316,0),MAX(D316-'Black-Scholes'!$B$6,0))</f>
        <v>0</v>
      </c>
    </row>
    <row r="317" customFormat="false" ht="15" hidden="false" customHeight="false" outlineLevel="0" collapsed="false">
      <c r="A317" s="0" t="n">
        <v>306</v>
      </c>
      <c r="B317" s="15" t="n">
        <v>-0.464397934312852</v>
      </c>
      <c r="C317" s="18" t="n">
        <f aca="false">'Black-Scholes'!$B$5*EXP(('Black-Scholes'!$B$8-'Black-Scholes'!$B$10-'Black-Scholes'!$B$9^2/2)*'Black-Scholes'!$B$7+'Black-Scholes'!$B$9*SQRT('Black-Scholes'!$B$7)*B317)</f>
        <v>93.9056541625965</v>
      </c>
      <c r="D317" s="18" t="n">
        <f aca="false">'Black-Scholes'!$B$5*EXP(('Black-Scholes'!$B$8-'Black-Scholes'!$B$10-'Black-Scholes'!$B$9^2/2)*'Black-Scholes'!$B$7-'Black-Scholes'!$B$9*SQRT('Black-Scholes'!$B$7)*B317)</f>
        <v>113.074825580449</v>
      </c>
      <c r="E317" s="18" t="n">
        <f aca="false">EXP(-'Black-Scholes'!$B$8*'Black-Scholes'!$B$7)*IF(LOWER('Black-Scholes'!$B$11)="put",MAX('Black-Scholes'!$B$6-C317,0),MAX(C317-'Black-Scholes'!$B$6,0))</f>
        <v>0</v>
      </c>
      <c r="F317" s="18" t="n">
        <f aca="false">(E317+G317)/2</f>
        <v>6.21857940616902</v>
      </c>
      <c r="G317" s="18" t="n">
        <f aca="false">EXP(-'Black-Scholes'!$B$8*'Black-Scholes'!$B$7)*IF(LOWER('Black-Scholes'!$B$11)="put",MAX('Black-Scholes'!$B$6-D317,0),MAX(D317-'Black-Scholes'!$B$6,0))</f>
        <v>12.437158812338</v>
      </c>
    </row>
    <row r="318" customFormat="false" ht="15" hidden="false" customHeight="false" outlineLevel="0" collapsed="false">
      <c r="A318" s="0" t="n">
        <v>307</v>
      </c>
      <c r="B318" s="15" t="n">
        <v>-0.0386354582364092</v>
      </c>
      <c r="C318" s="18" t="n">
        <f aca="false">'Black-Scholes'!$B$5*EXP(('Black-Scholes'!$B$8-'Black-Scholes'!$B$10-'Black-Scholes'!$B$9^2/2)*'Black-Scholes'!$B$7+'Black-Scholes'!$B$9*SQRT('Black-Scholes'!$B$7)*B318)</f>
        <v>102.252280140903</v>
      </c>
      <c r="D318" s="18" t="n">
        <f aca="false">'Black-Scholes'!$B$5*EXP(('Black-Scholes'!$B$8-'Black-Scholes'!$B$10-'Black-Scholes'!$B$9^2/2)*'Black-Scholes'!$B$7-'Black-Scholes'!$B$9*SQRT('Black-Scholes'!$B$7)*B318)</f>
        <v>103.844779312711</v>
      </c>
      <c r="E318" s="18" t="n">
        <f aca="false">EXP(-'Black-Scholes'!$B$8*'Black-Scholes'!$B$7)*IF(LOWER('Black-Scholes'!$B$11)="put",MAX('Black-Scholes'!$B$6-C318,0),MAX(C318-'Black-Scholes'!$B$6,0))</f>
        <v>2.14243514224548</v>
      </c>
      <c r="F318" s="18" t="n">
        <f aca="false">(E318+G318)/2</f>
        <v>2.89985117760405</v>
      </c>
      <c r="G318" s="18" t="n">
        <f aca="false">EXP(-'Black-Scholes'!$B$8*'Black-Scholes'!$B$7)*IF(LOWER('Black-Scholes'!$B$11)="put",MAX('Black-Scholes'!$B$6-D318,0),MAX(D318-'Black-Scholes'!$B$6,0))</f>
        <v>3.65726721296262</v>
      </c>
    </row>
    <row r="319" customFormat="false" ht="15" hidden="false" customHeight="false" outlineLevel="0" collapsed="false">
      <c r="A319" s="0" t="n">
        <v>308</v>
      </c>
      <c r="B319" s="15" t="n">
        <v>-2.16611661310468</v>
      </c>
      <c r="C319" s="18" t="n">
        <f aca="false">'Black-Scholes'!$B$5*EXP(('Black-Scholes'!$B$8-'Black-Scholes'!$B$10-'Black-Scholes'!$B$9^2/2)*'Black-Scholes'!$B$7+'Black-Scholes'!$B$9*SQRT('Black-Scholes'!$B$7)*B319)</f>
        <v>66.8162866778058</v>
      </c>
      <c r="D319" s="18" t="n">
        <f aca="false">'Black-Scholes'!$B$5*EXP(('Black-Scholes'!$B$8-'Black-Scholes'!$B$10-'Black-Scholes'!$B$9^2/2)*'Black-Scholes'!$B$7-'Black-Scholes'!$B$9*SQRT('Black-Scholes'!$B$7)*B319)</f>
        <v>158.918820446523</v>
      </c>
      <c r="E319" s="18" t="n">
        <f aca="false">EXP(-'Black-Scholes'!$B$8*'Black-Scholes'!$B$7)*IF(LOWER('Black-Scholes'!$B$11)="put",MAX('Black-Scholes'!$B$6-C319,0),MAX(C319-'Black-Scholes'!$B$6,0))</f>
        <v>0</v>
      </c>
      <c r="F319" s="18" t="n">
        <f aca="false">(E319+G319)/2</f>
        <v>28.0226578328033</v>
      </c>
      <c r="G319" s="18" t="n">
        <f aca="false">EXP(-'Black-Scholes'!$B$8*'Black-Scholes'!$B$7)*IF(LOWER('Black-Scholes'!$B$11)="put",MAX('Black-Scholes'!$B$6-D319,0),MAX(D319-'Black-Scholes'!$B$6,0))</f>
        <v>56.0453156656067</v>
      </c>
    </row>
    <row r="320" customFormat="false" ht="15" hidden="false" customHeight="false" outlineLevel="0" collapsed="false">
      <c r="A320" s="0" t="n">
        <v>309</v>
      </c>
      <c r="B320" s="15" t="n">
        <v>-1.64557185961933</v>
      </c>
      <c r="C320" s="18" t="n">
        <f aca="false">'Black-Scholes'!$B$5*EXP(('Black-Scholes'!$B$8-'Black-Scholes'!$B$10-'Black-Scholes'!$B$9^2/2)*'Black-Scholes'!$B$7+'Black-Scholes'!$B$9*SQRT('Black-Scholes'!$B$7)*B320)</f>
        <v>74.1474600708654</v>
      </c>
      <c r="D320" s="18" t="n">
        <f aca="false">'Black-Scholes'!$B$5*EXP(('Black-Scholes'!$B$8-'Black-Scholes'!$B$10-'Black-Scholes'!$B$9^2/2)*'Black-Scholes'!$B$7-'Black-Scholes'!$B$9*SQRT('Black-Scholes'!$B$7)*B320)</f>
        <v>143.206057972926</v>
      </c>
      <c r="E320" s="18" t="n">
        <f aca="false">EXP(-'Black-Scholes'!$B$8*'Black-Scholes'!$B$7)*IF(LOWER('Black-Scholes'!$B$11)="put",MAX('Black-Scholes'!$B$6-C320,0),MAX(C320-'Black-Scholes'!$B$6,0))</f>
        <v>0</v>
      </c>
      <c r="F320" s="18" t="n">
        <f aca="false">(E320+G320)/2</f>
        <v>20.5494368302656</v>
      </c>
      <c r="G320" s="18" t="n">
        <f aca="false">EXP(-'Black-Scholes'!$B$8*'Black-Scholes'!$B$7)*IF(LOWER('Black-Scholes'!$B$11)="put",MAX('Black-Scholes'!$B$6-D320,0),MAX(D320-'Black-Scholes'!$B$6,0))</f>
        <v>41.0988736605312</v>
      </c>
    </row>
    <row r="321" customFormat="false" ht="15" hidden="false" customHeight="false" outlineLevel="0" collapsed="false">
      <c r="A321" s="0" t="n">
        <v>310</v>
      </c>
      <c r="B321" s="15" t="n">
        <v>-1.37941788513565</v>
      </c>
      <c r="C321" s="18" t="n">
        <f aca="false">'Black-Scholes'!$B$5*EXP(('Black-Scholes'!$B$8-'Black-Scholes'!$B$10-'Black-Scholes'!$B$9^2/2)*'Black-Scholes'!$B$7+'Black-Scholes'!$B$9*SQRT('Black-Scholes'!$B$7)*B321)</f>
        <v>78.2013263934869</v>
      </c>
      <c r="D321" s="18" t="n">
        <f aca="false">'Black-Scholes'!$B$5*EXP(('Black-Scholes'!$B$8-'Black-Scholes'!$B$10-'Black-Scholes'!$B$9^2/2)*'Black-Scholes'!$B$7-'Black-Scholes'!$B$9*SQRT('Black-Scholes'!$B$7)*B321)</f>
        <v>135.782421541356</v>
      </c>
      <c r="E321" s="18" t="n">
        <f aca="false">EXP(-'Black-Scholes'!$B$8*'Black-Scholes'!$B$7)*IF(LOWER('Black-Scholes'!$B$11)="put",MAX('Black-Scholes'!$B$6-C321,0),MAX(C321-'Black-Scholes'!$B$6,0))</f>
        <v>0</v>
      </c>
      <c r="F321" s="18" t="n">
        <f aca="false">(E321+G321)/2</f>
        <v>17.018646125013</v>
      </c>
      <c r="G321" s="18" t="n">
        <f aca="false">EXP(-'Black-Scholes'!$B$8*'Black-Scholes'!$B$7)*IF(LOWER('Black-Scholes'!$B$11)="put",MAX('Black-Scholes'!$B$6-D321,0),MAX(D321-'Black-Scholes'!$B$6,0))</f>
        <v>34.0372922500259</v>
      </c>
    </row>
    <row r="322" customFormat="false" ht="15" hidden="false" customHeight="false" outlineLevel="0" collapsed="false">
      <c r="A322" s="0" t="n">
        <v>311</v>
      </c>
      <c r="B322" s="15" t="n">
        <v>-0.0226237065145881</v>
      </c>
      <c r="C322" s="18" t="n">
        <f aca="false">'Black-Scholes'!$B$5*EXP(('Black-Scholes'!$B$8-'Black-Scholes'!$B$10-'Black-Scholes'!$B$9^2/2)*'Black-Scholes'!$B$7+'Black-Scholes'!$B$9*SQRT('Black-Scholes'!$B$7)*B322)</f>
        <v>102.580252626544</v>
      </c>
      <c r="D322" s="18" t="n">
        <f aca="false">'Black-Scholes'!$B$5*EXP(('Black-Scholes'!$B$8-'Black-Scholes'!$B$10-'Black-Scholes'!$B$9^2/2)*'Black-Scholes'!$B$7-'Black-Scholes'!$B$9*SQRT('Black-Scholes'!$B$7)*B322)</f>
        <v>103.512763846576</v>
      </c>
      <c r="E322" s="18" t="n">
        <f aca="false">EXP(-'Black-Scholes'!$B$8*'Black-Scholes'!$B$7)*IF(LOWER('Black-Scholes'!$B$11)="put",MAX('Black-Scholes'!$B$6-C322,0),MAX(C322-'Black-Scholes'!$B$6,0))</f>
        <v>2.45441222101416</v>
      </c>
      <c r="F322" s="18" t="n">
        <f aca="false">(E322+G322)/2</f>
        <v>2.89792827659984</v>
      </c>
      <c r="G322" s="18" t="n">
        <f aca="false">EXP(-'Black-Scholes'!$B$8*'Black-Scholes'!$B$7)*IF(LOWER('Black-Scholes'!$B$11)="put",MAX('Black-Scholes'!$B$6-D322,0),MAX(D322-'Black-Scholes'!$B$6,0))</f>
        <v>3.34144433218552</v>
      </c>
    </row>
    <row r="323" customFormat="false" ht="15" hidden="false" customHeight="false" outlineLevel="0" collapsed="false">
      <c r="A323" s="0" t="n">
        <v>312</v>
      </c>
      <c r="B323" s="15" t="n">
        <v>1.24117564741556</v>
      </c>
      <c r="C323" s="18" t="n">
        <f aca="false">'Black-Scholes'!$B$5*EXP(('Black-Scholes'!$B$8-'Black-Scholes'!$B$10-'Black-Scholes'!$B$9^2/2)*'Black-Scholes'!$B$7+'Black-Scholes'!$B$9*SQRT('Black-Scholes'!$B$7)*B323)</f>
        <v>132.079671895108</v>
      </c>
      <c r="D323" s="18" t="n">
        <f aca="false">'Black-Scholes'!$B$5*EXP(('Black-Scholes'!$B$8-'Black-Scholes'!$B$10-'Black-Scholes'!$B$9^2/2)*'Black-Scholes'!$B$7-'Black-Scholes'!$B$9*SQRT('Black-Scholes'!$B$7)*B323)</f>
        <v>80.393639029375</v>
      </c>
      <c r="E323" s="18" t="n">
        <f aca="false">EXP(-'Black-Scholes'!$B$8*'Black-Scholes'!$B$7)*IF(LOWER('Black-Scholes'!$B$11)="put",MAX('Black-Scholes'!$B$6-C323,0),MAX(C323-'Black-Scholes'!$B$6,0))</f>
        <v>30.5151278349553</v>
      </c>
      <c r="F323" s="18" t="n">
        <f aca="false">(E323+G323)/2</f>
        <v>15.2575639174777</v>
      </c>
      <c r="G323" s="18" t="n">
        <f aca="false">EXP(-'Black-Scholes'!$B$8*'Black-Scholes'!$B$7)*IF(LOWER('Black-Scholes'!$B$11)="put",MAX('Black-Scholes'!$B$6-D323,0),MAX(D323-'Black-Scholes'!$B$6,0))</f>
        <v>0</v>
      </c>
    </row>
    <row r="324" customFormat="false" ht="15" hidden="false" customHeight="false" outlineLevel="0" collapsed="false">
      <c r="A324" s="0" t="n">
        <v>313</v>
      </c>
      <c r="B324" s="15" t="n">
        <v>-0.383683128917596</v>
      </c>
      <c r="C324" s="18" t="n">
        <f aca="false">'Black-Scholes'!$B$5*EXP(('Black-Scholes'!$B$8-'Black-Scholes'!$B$10-'Black-Scholes'!$B$9^2/2)*'Black-Scholes'!$B$7+'Black-Scholes'!$B$9*SQRT('Black-Scholes'!$B$7)*B324)</f>
        <v>95.4338712704674</v>
      </c>
      <c r="D324" s="18" t="n">
        <f aca="false">'Black-Scholes'!$B$5*EXP(('Black-Scholes'!$B$8-'Black-Scholes'!$B$10-'Black-Scholes'!$B$9^2/2)*'Black-Scholes'!$B$7-'Black-Scholes'!$B$9*SQRT('Black-Scholes'!$B$7)*B324)</f>
        <v>111.264117488856</v>
      </c>
      <c r="E324" s="18" t="n">
        <f aca="false">EXP(-'Black-Scholes'!$B$8*'Black-Scholes'!$B$7)*IF(LOWER('Black-Scholes'!$B$11)="put",MAX('Black-Scholes'!$B$6-C324,0),MAX(C324-'Black-Scholes'!$B$6,0))</f>
        <v>0</v>
      </c>
      <c r="F324" s="18" t="n">
        <f aca="false">(E324+G324)/2</f>
        <v>5.35737999821625</v>
      </c>
      <c r="G324" s="18" t="n">
        <f aca="false">EXP(-'Black-Scholes'!$B$8*'Black-Scholes'!$B$7)*IF(LOWER('Black-Scholes'!$B$11)="put",MAX('Black-Scholes'!$B$6-D324,0),MAX(D324-'Black-Scholes'!$B$6,0))</f>
        <v>10.7147599964325</v>
      </c>
    </row>
    <row r="325" customFormat="false" ht="15" hidden="false" customHeight="false" outlineLevel="0" collapsed="false">
      <c r="A325" s="0" t="n">
        <v>314</v>
      </c>
      <c r="B325" s="15" t="n">
        <v>0.624332561059626</v>
      </c>
      <c r="C325" s="18" t="n">
        <f aca="false">'Black-Scholes'!$B$5*EXP(('Black-Scholes'!$B$8-'Black-Scholes'!$B$10-'Black-Scholes'!$B$9^2/2)*'Black-Scholes'!$B$7+'Black-Scholes'!$B$9*SQRT('Black-Scholes'!$B$7)*B325)</f>
        <v>116.750210342945</v>
      </c>
      <c r="D325" s="18" t="n">
        <f aca="false">'Black-Scholes'!$B$5*EXP(('Black-Scholes'!$B$8-'Black-Scholes'!$B$10-'Black-Scholes'!$B$9^2/2)*'Black-Scholes'!$B$7-'Black-Scholes'!$B$9*SQRT('Black-Scholes'!$B$7)*B325)</f>
        <v>90.9494332752203</v>
      </c>
      <c r="E325" s="18" t="n">
        <f aca="false">EXP(-'Black-Scholes'!$B$8*'Black-Scholes'!$B$7)*IF(LOWER('Black-Scholes'!$B$11)="put",MAX('Black-Scholes'!$B$6-C325,0),MAX(C325-'Black-Scholes'!$B$6,0))</f>
        <v>15.9332929447854</v>
      </c>
      <c r="F325" s="18" t="n">
        <f aca="false">(E325+G325)/2</f>
        <v>7.96664647239268</v>
      </c>
      <c r="G325" s="18" t="n">
        <f aca="false">EXP(-'Black-Scholes'!$B$8*'Black-Scholes'!$B$7)*IF(LOWER('Black-Scholes'!$B$11)="put",MAX('Black-Scholes'!$B$6-D325,0),MAX(D325-'Black-Scholes'!$B$6,0))</f>
        <v>0</v>
      </c>
    </row>
    <row r="326" customFormat="false" ht="15" hidden="false" customHeight="false" outlineLevel="0" collapsed="false">
      <c r="A326" s="0" t="n">
        <v>315</v>
      </c>
      <c r="B326" s="15" t="n">
        <v>0.697224793244381</v>
      </c>
      <c r="C326" s="18" t="n">
        <f aca="false">'Black-Scholes'!$B$5*EXP(('Black-Scholes'!$B$8-'Black-Scholes'!$B$10-'Black-Scholes'!$B$9^2/2)*'Black-Scholes'!$B$7+'Black-Scholes'!$B$9*SQRT('Black-Scholes'!$B$7)*B326)</f>
        <v>118.464714065939</v>
      </c>
      <c r="D326" s="18" t="n">
        <f aca="false">'Black-Scholes'!$B$5*EXP(('Black-Scholes'!$B$8-'Black-Scholes'!$B$10-'Black-Scholes'!$B$9^2/2)*'Black-Scholes'!$B$7-'Black-Scholes'!$B$9*SQRT('Black-Scholes'!$B$7)*B326)</f>
        <v>89.6331498301115</v>
      </c>
      <c r="E326" s="18" t="n">
        <f aca="false">EXP(-'Black-Scholes'!$B$8*'Black-Scholes'!$B$7)*IF(LOWER('Black-Scholes'!$B$11)="put",MAX('Black-Scholes'!$B$6-C326,0),MAX(C326-'Black-Scholes'!$B$6,0))</f>
        <v>17.5641793345131</v>
      </c>
      <c r="F326" s="18" t="n">
        <f aca="false">(E326+G326)/2</f>
        <v>8.78208966725657</v>
      </c>
      <c r="G326" s="18" t="n">
        <f aca="false">EXP(-'Black-Scholes'!$B$8*'Black-Scholes'!$B$7)*IF(LOWER('Black-Scholes'!$B$11)="put",MAX('Black-Scholes'!$B$6-D326,0),MAX(D326-'Black-Scholes'!$B$6,0))</f>
        <v>0</v>
      </c>
    </row>
    <row r="327" customFormat="false" ht="15" hidden="false" customHeight="false" outlineLevel="0" collapsed="false">
      <c r="A327" s="0" t="n">
        <v>316</v>
      </c>
      <c r="B327" s="15" t="n">
        <v>1.05139839764162</v>
      </c>
      <c r="C327" s="18" t="n">
        <f aca="false">'Black-Scholes'!$B$5*EXP(('Black-Scholes'!$B$8-'Black-Scholes'!$B$10-'Black-Scholes'!$B$9^2/2)*'Black-Scholes'!$B$7+'Black-Scholes'!$B$9*SQRT('Black-Scholes'!$B$7)*B327)</f>
        <v>127.160474240775</v>
      </c>
      <c r="D327" s="18" t="n">
        <f aca="false">'Black-Scholes'!$B$5*EXP(('Black-Scholes'!$B$8-'Black-Scholes'!$B$10-'Black-Scholes'!$B$9^2/2)*'Black-Scholes'!$B$7-'Black-Scholes'!$B$9*SQRT('Black-Scholes'!$B$7)*B327)</f>
        <v>83.503663609716</v>
      </c>
      <c r="E327" s="18" t="n">
        <f aca="false">EXP(-'Black-Scholes'!$B$8*'Black-Scholes'!$B$7)*IF(LOWER('Black-Scholes'!$B$11)="put",MAX('Black-Scholes'!$B$6-C327,0),MAX(C327-'Black-Scholes'!$B$6,0))</f>
        <v>25.8358422812184</v>
      </c>
      <c r="F327" s="18" t="n">
        <f aca="false">(E327+G327)/2</f>
        <v>12.9179211406092</v>
      </c>
      <c r="G327" s="18" t="n">
        <f aca="false">EXP(-'Black-Scholes'!$B$8*'Black-Scholes'!$B$7)*IF(LOWER('Black-Scholes'!$B$11)="put",MAX('Black-Scholes'!$B$6-D327,0),MAX(D327-'Black-Scholes'!$B$6,0))</f>
        <v>0</v>
      </c>
    </row>
    <row r="328" customFormat="false" ht="15" hidden="false" customHeight="false" outlineLevel="0" collapsed="false">
      <c r="A328" s="0" t="n">
        <v>317</v>
      </c>
      <c r="B328" s="15" t="n">
        <v>-0.734188817187026</v>
      </c>
      <c r="C328" s="18" t="n">
        <f aca="false">'Black-Scholes'!$B$5*EXP(('Black-Scholes'!$B$8-'Black-Scholes'!$B$10-'Black-Scholes'!$B$9^2/2)*'Black-Scholes'!$B$7+'Black-Scholes'!$B$9*SQRT('Black-Scholes'!$B$7)*B328)</f>
        <v>88.9729528115172</v>
      </c>
      <c r="D328" s="18" t="n">
        <f aca="false">'Black-Scholes'!$B$5*EXP(('Black-Scholes'!$B$8-'Black-Scholes'!$B$10-'Black-Scholes'!$B$9^2/2)*'Black-Scholes'!$B$7-'Black-Scholes'!$B$9*SQRT('Black-Scholes'!$B$7)*B328)</f>
        <v>119.343745822934</v>
      </c>
      <c r="E328" s="18" t="n">
        <f aca="false">EXP(-'Black-Scholes'!$B$8*'Black-Scholes'!$B$7)*IF(LOWER('Black-Scholes'!$B$11)="put",MAX('Black-Scholes'!$B$6-C328,0),MAX(C328-'Black-Scholes'!$B$6,0))</f>
        <v>0</v>
      </c>
      <c r="F328" s="18" t="n">
        <f aca="false">(E328+G328)/2</f>
        <v>9.20017010341873</v>
      </c>
      <c r="G328" s="18" t="n">
        <f aca="false">EXP(-'Black-Scholes'!$B$8*'Black-Scholes'!$B$7)*IF(LOWER('Black-Scholes'!$B$11)="put",MAX('Black-Scholes'!$B$6-D328,0),MAX(D328-'Black-Scholes'!$B$6,0))</f>
        <v>18.4003402068375</v>
      </c>
    </row>
    <row r="329" customFormat="false" ht="15" hidden="false" customHeight="false" outlineLevel="0" collapsed="false">
      <c r="A329" s="0" t="n">
        <v>318</v>
      </c>
      <c r="B329" s="15" t="n">
        <v>-0.232992853340653</v>
      </c>
      <c r="C329" s="18" t="n">
        <f aca="false">'Black-Scholes'!$B$5*EXP(('Black-Scholes'!$B$8-'Black-Scholes'!$B$10-'Black-Scholes'!$B$9^2/2)*'Black-Scholes'!$B$7+'Black-Scholes'!$B$9*SQRT('Black-Scholes'!$B$7)*B329)</f>
        <v>98.353842657256</v>
      </c>
      <c r="D329" s="18" t="n">
        <f aca="false">'Black-Scholes'!$B$5*EXP(('Black-Scholes'!$B$8-'Black-Scholes'!$B$10-'Black-Scholes'!$B$9^2/2)*'Black-Scholes'!$B$7-'Black-Scholes'!$B$9*SQRT('Black-Scholes'!$B$7)*B329)</f>
        <v>107.96086028338</v>
      </c>
      <c r="E329" s="18" t="n">
        <f aca="false">EXP(-'Black-Scholes'!$B$8*'Black-Scholes'!$B$7)*IF(LOWER('Black-Scholes'!$B$11)="put",MAX('Black-Scholes'!$B$6-C329,0),MAX(C329-'Black-Scholes'!$B$6,0))</f>
        <v>0</v>
      </c>
      <c r="F329" s="18" t="n">
        <f aca="false">(E329+G329)/2</f>
        <v>3.7863022729453</v>
      </c>
      <c r="G329" s="18" t="n">
        <f aca="false">EXP(-'Black-Scholes'!$B$8*'Black-Scholes'!$B$7)*IF(LOWER('Black-Scholes'!$B$11)="put",MAX('Black-Scholes'!$B$6-D329,0),MAX(D329-'Black-Scholes'!$B$6,0))</f>
        <v>7.57260454589061</v>
      </c>
    </row>
    <row r="330" customFormat="false" ht="15" hidden="false" customHeight="false" outlineLevel="0" collapsed="false">
      <c r="A330" s="0" t="n">
        <v>319</v>
      </c>
      <c r="B330" s="15" t="n">
        <v>-0.754392929209325</v>
      </c>
      <c r="C330" s="18" t="n">
        <f aca="false">'Black-Scholes'!$B$5*EXP(('Black-Scholes'!$B$8-'Black-Scholes'!$B$10-'Black-Scholes'!$B$9^2/2)*'Black-Scholes'!$B$7+'Black-Scholes'!$B$9*SQRT('Black-Scholes'!$B$7)*B330)</f>
        <v>88.6141543191113</v>
      </c>
      <c r="D330" s="18" t="n">
        <f aca="false">'Black-Scholes'!$B$5*EXP(('Black-Scholes'!$B$8-'Black-Scholes'!$B$10-'Black-Scholes'!$B$9^2/2)*'Black-Scholes'!$B$7-'Black-Scholes'!$B$9*SQRT('Black-Scholes'!$B$7)*B330)</f>
        <v>119.826968355591</v>
      </c>
      <c r="E330" s="18" t="n">
        <f aca="false">EXP(-'Black-Scholes'!$B$8*'Black-Scholes'!$B$7)*IF(LOWER('Black-Scholes'!$B$11)="put",MAX('Black-Scholes'!$B$6-C330,0),MAX(C330-'Black-Scholes'!$B$6,0))</f>
        <v>0</v>
      </c>
      <c r="F330" s="18" t="n">
        <f aca="false">(E330+G330)/2</f>
        <v>9.42999784924132</v>
      </c>
      <c r="G330" s="18" t="n">
        <f aca="false">EXP(-'Black-Scholes'!$B$8*'Black-Scholes'!$B$7)*IF(LOWER('Black-Scholes'!$B$11)="put",MAX('Black-Scholes'!$B$6-D330,0),MAX(D330-'Black-Scholes'!$B$6,0))</f>
        <v>18.8599956984826</v>
      </c>
    </row>
    <row r="331" customFormat="false" ht="15" hidden="false" customHeight="false" outlineLevel="0" collapsed="false">
      <c r="A331" s="0" t="n">
        <v>320</v>
      </c>
      <c r="B331" s="15" t="n">
        <v>0.179534544639256</v>
      </c>
      <c r="C331" s="18" t="n">
        <f aca="false">'Black-Scholes'!$B$5*EXP(('Black-Scholes'!$B$8-'Black-Scholes'!$B$10-'Black-Scholes'!$B$9^2/2)*'Black-Scholes'!$B$7+'Black-Scholes'!$B$9*SQRT('Black-Scholes'!$B$7)*B331)</f>
        <v>106.812727942405</v>
      </c>
      <c r="D331" s="18" t="n">
        <f aca="false">'Black-Scholes'!$B$5*EXP(('Black-Scholes'!$B$8-'Black-Scholes'!$B$10-'Black-Scholes'!$B$9^2/2)*'Black-Scholes'!$B$7-'Black-Scholes'!$B$9*SQRT('Black-Scholes'!$B$7)*B331)</f>
        <v>99.4110502559132</v>
      </c>
      <c r="E331" s="18" t="n">
        <f aca="false">EXP(-'Black-Scholes'!$B$8*'Black-Scholes'!$B$7)*IF(LOWER('Black-Scholes'!$B$11)="put",MAX('Black-Scholes'!$B$6-C331,0),MAX(C331-'Black-Scholes'!$B$6,0))</f>
        <v>6.48046727993378</v>
      </c>
      <c r="F331" s="18" t="n">
        <f aca="false">(E331+G331)/2</f>
        <v>3.24023363996689</v>
      </c>
      <c r="G331" s="18" t="n">
        <f aca="false">EXP(-'Black-Scholes'!$B$8*'Black-Scholes'!$B$7)*IF(LOWER('Black-Scholes'!$B$11)="put",MAX('Black-Scholes'!$B$6-D331,0),MAX(D331-'Black-Scholes'!$B$6,0))</f>
        <v>0</v>
      </c>
    </row>
    <row r="332" customFormat="false" ht="15" hidden="false" customHeight="false" outlineLevel="0" collapsed="false">
      <c r="A332" s="0" t="n">
        <v>321</v>
      </c>
      <c r="B332" s="15" t="n">
        <v>0.0587758372392481</v>
      </c>
      <c r="C332" s="18" t="n">
        <f aca="false">'Black-Scholes'!$B$5*EXP(('Black-Scholes'!$B$8-'Black-Scholes'!$B$10-'Black-Scholes'!$B$9^2/2)*'Black-Scholes'!$B$7+'Black-Scholes'!$B$9*SQRT('Black-Scholes'!$B$7)*B332)</f>
        <v>104.263917548846</v>
      </c>
      <c r="D332" s="18" t="n">
        <f aca="false">'Black-Scholes'!$B$5*EXP(('Black-Scholes'!$B$8-'Black-Scholes'!$B$10-'Black-Scholes'!$B$9^2/2)*'Black-Scholes'!$B$7-'Black-Scholes'!$B$9*SQRT('Black-Scholes'!$B$7)*B332)</f>
        <v>101.841228634816</v>
      </c>
      <c r="E332" s="18" t="n">
        <f aca="false">EXP(-'Black-Scholes'!$B$8*'Black-Scholes'!$B$7)*IF(LOWER('Black-Scholes'!$B$11)="put",MAX('Black-Scholes'!$B$6-C332,0),MAX(C332-'Black-Scholes'!$B$6,0))</f>
        <v>4.05596383610702</v>
      </c>
      <c r="F332" s="18" t="n">
        <f aca="false">(E332+G332)/2</f>
        <v>2.90369734538863</v>
      </c>
      <c r="G332" s="18" t="n">
        <f aca="false">EXP(-'Black-Scholes'!$B$8*'Black-Scholes'!$B$7)*IF(LOWER('Black-Scholes'!$B$11)="put",MAX('Black-Scholes'!$B$6-D332,0),MAX(D332-'Black-Scholes'!$B$6,0))</f>
        <v>1.75143085467024</v>
      </c>
    </row>
    <row r="333" customFormat="false" ht="15" hidden="false" customHeight="false" outlineLevel="0" collapsed="false">
      <c r="A333" s="0" t="n">
        <v>322</v>
      </c>
      <c r="B333" s="15" t="n">
        <v>-1.41417105897615</v>
      </c>
      <c r="C333" s="18" t="n">
        <f aca="false">'Black-Scholes'!$B$5*EXP(('Black-Scholes'!$B$8-'Black-Scholes'!$B$10-'Black-Scholes'!$B$9^2/2)*'Black-Scholes'!$B$7+'Black-Scholes'!$B$9*SQRT('Black-Scholes'!$B$7)*B333)</f>
        <v>77.6596621711409</v>
      </c>
      <c r="D333" s="18" t="n">
        <f aca="false">'Black-Scholes'!$B$5*EXP(('Black-Scholes'!$B$8-'Black-Scholes'!$B$10-'Black-Scholes'!$B$9^2/2)*'Black-Scholes'!$B$7-'Black-Scholes'!$B$9*SQRT('Black-Scholes'!$B$7)*B333)</f>
        <v>136.729483088062</v>
      </c>
      <c r="E333" s="18" t="n">
        <f aca="false">EXP(-'Black-Scholes'!$B$8*'Black-Scholes'!$B$7)*IF(LOWER('Black-Scholes'!$B$11)="put",MAX('Black-Scholes'!$B$6-C333,0),MAX(C333-'Black-Scholes'!$B$6,0))</f>
        <v>0</v>
      </c>
      <c r="F333" s="18" t="n">
        <f aca="false">(E333+G333)/2</f>
        <v>17.4690825300328</v>
      </c>
      <c r="G333" s="18" t="n">
        <f aca="false">EXP(-'Black-Scholes'!$B$8*'Black-Scholes'!$B$7)*IF(LOWER('Black-Scholes'!$B$11)="put",MAX('Black-Scholes'!$B$6-D333,0),MAX(D333-'Black-Scholes'!$B$6,0))</f>
        <v>34.9381650600657</v>
      </c>
    </row>
    <row r="334" customFormat="false" ht="15" hidden="false" customHeight="false" outlineLevel="0" collapsed="false">
      <c r="A334" s="0" t="n">
        <v>323</v>
      </c>
      <c r="B334" s="15" t="n">
        <v>-0.116336390732255</v>
      </c>
      <c r="C334" s="18" t="n">
        <f aca="false">'Black-Scholes'!$B$5*EXP(('Black-Scholes'!$B$8-'Black-Scholes'!$B$10-'Black-Scholes'!$B$9^2/2)*'Black-Scholes'!$B$7+'Black-Scholes'!$B$9*SQRT('Black-Scholes'!$B$7)*B334)</f>
        <v>100.675543757626</v>
      </c>
      <c r="D334" s="18" t="n">
        <f aca="false">'Black-Scholes'!$B$5*EXP(('Black-Scholes'!$B$8-'Black-Scholes'!$B$10-'Black-Scholes'!$B$9^2/2)*'Black-Scholes'!$B$7-'Black-Scholes'!$B$9*SQRT('Black-Scholes'!$B$7)*B334)</f>
        <v>105.471150878679</v>
      </c>
      <c r="E334" s="18" t="n">
        <f aca="false">EXP(-'Black-Scholes'!$B$8*'Black-Scholes'!$B$7)*IF(LOWER('Black-Scholes'!$B$11)="put",MAX('Black-Scholes'!$B$6-C334,0),MAX(C334-'Black-Scholes'!$B$6,0))</f>
        <v>0.642597099791605</v>
      </c>
      <c r="F334" s="18" t="n">
        <f aca="false">(E334+G334)/2</f>
        <v>2.92345840073689</v>
      </c>
      <c r="G334" s="18" t="n">
        <f aca="false">EXP(-'Black-Scholes'!$B$8*'Black-Scholes'!$B$7)*IF(LOWER('Black-Scholes'!$B$11)="put",MAX('Black-Scholes'!$B$6-D334,0),MAX(D334-'Black-Scholes'!$B$6,0))</f>
        <v>5.20431970168218</v>
      </c>
    </row>
    <row r="335" customFormat="false" ht="15" hidden="false" customHeight="false" outlineLevel="0" collapsed="false">
      <c r="A335" s="0" t="n">
        <v>324</v>
      </c>
      <c r="B335" s="15" t="n">
        <v>-0.264644873713258</v>
      </c>
      <c r="C335" s="18" t="n">
        <f aca="false">'Black-Scholes'!$B$5*EXP(('Black-Scholes'!$B$8-'Black-Scholes'!$B$10-'Black-Scholes'!$B$9^2/2)*'Black-Scholes'!$B$7+'Black-Scholes'!$B$9*SQRT('Black-Scholes'!$B$7)*B335)</f>
        <v>97.7331896557685</v>
      </c>
      <c r="D335" s="18" t="n">
        <f aca="false">'Black-Scholes'!$B$5*EXP(('Black-Scholes'!$B$8-'Black-Scholes'!$B$10-'Black-Scholes'!$B$9^2/2)*'Black-Scholes'!$B$7-'Black-Scholes'!$B$9*SQRT('Black-Scholes'!$B$7)*B335)</f>
        <v>108.646463937718</v>
      </c>
      <c r="E335" s="18" t="n">
        <f aca="false">EXP(-'Black-Scholes'!$B$8*'Black-Scholes'!$B$7)*IF(LOWER('Black-Scholes'!$B$11)="put",MAX('Black-Scholes'!$B$6-C335,0),MAX(C335-'Black-Scholes'!$B$6,0))</f>
        <v>0</v>
      </c>
      <c r="F335" s="18" t="n">
        <f aca="false">(E335+G335)/2</f>
        <v>4.11238545772077</v>
      </c>
      <c r="G335" s="18" t="n">
        <f aca="false">EXP(-'Black-Scholes'!$B$8*'Black-Scholes'!$B$7)*IF(LOWER('Black-Scholes'!$B$11)="put",MAX('Black-Scholes'!$B$6-D335,0),MAX(D335-'Black-Scholes'!$B$6,0))</f>
        <v>8.22477091544155</v>
      </c>
    </row>
    <row r="336" customFormat="false" ht="15" hidden="false" customHeight="false" outlineLevel="0" collapsed="false">
      <c r="A336" s="0" t="n">
        <v>325</v>
      </c>
      <c r="B336" s="15" t="n">
        <v>-2.8443132824625</v>
      </c>
      <c r="C336" s="18" t="n">
        <f aca="false">'Black-Scholes'!$B$5*EXP(('Black-Scholes'!$B$8-'Black-Scholes'!$B$10-'Black-Scholes'!$B$9^2/2)*'Black-Scholes'!$B$7+'Black-Scholes'!$B$9*SQRT('Black-Scholes'!$B$7)*B336)</f>
        <v>58.3411414365341</v>
      </c>
      <c r="D336" s="18" t="n">
        <f aca="false">'Black-Scholes'!$B$5*EXP(('Black-Scholes'!$B$8-'Black-Scholes'!$B$10-'Black-Scholes'!$B$9^2/2)*'Black-Scholes'!$B$7-'Black-Scholes'!$B$9*SQRT('Black-Scholes'!$B$7)*B336)</f>
        <v>182.004760345745</v>
      </c>
      <c r="E336" s="18" t="n">
        <f aca="false">EXP(-'Black-Scholes'!$B$8*'Black-Scholes'!$B$7)*IF(LOWER('Black-Scholes'!$B$11)="put",MAX('Black-Scholes'!$B$6-C336,0),MAX(C336-'Black-Scholes'!$B$6,0))</f>
        <v>0</v>
      </c>
      <c r="F336" s="18" t="n">
        <f aca="false">(E336+G336)/2</f>
        <v>39.002670495001</v>
      </c>
      <c r="G336" s="18" t="n">
        <f aca="false">EXP(-'Black-Scholes'!$B$8*'Black-Scholes'!$B$7)*IF(LOWER('Black-Scholes'!$B$11)="put",MAX('Black-Scholes'!$B$6-D336,0),MAX(D336-'Black-Scholes'!$B$6,0))</f>
        <v>78.0053409900019</v>
      </c>
    </row>
    <row r="337" customFormat="false" ht="15" hidden="false" customHeight="false" outlineLevel="0" collapsed="false">
      <c r="A337" s="0" t="n">
        <v>326</v>
      </c>
      <c r="B337" s="15" t="n">
        <v>1.90038606247429</v>
      </c>
      <c r="C337" s="18" t="n">
        <f aca="false">'Black-Scholes'!$B$5*EXP(('Black-Scholes'!$B$8-'Black-Scholes'!$B$10-'Black-Scholes'!$B$9^2/2)*'Black-Scholes'!$B$7+'Black-Scholes'!$B$9*SQRT('Black-Scholes'!$B$7)*B337)</f>
        <v>150.69341347651</v>
      </c>
      <c r="D337" s="18" t="n">
        <f aca="false">'Black-Scholes'!$B$5*EXP(('Black-Scholes'!$B$8-'Black-Scholes'!$B$10-'Black-Scholes'!$B$9^2/2)*'Black-Scholes'!$B$7-'Black-Scholes'!$B$9*SQRT('Black-Scholes'!$B$7)*B337)</f>
        <v>70.463368109375</v>
      </c>
      <c r="E337" s="18" t="n">
        <f aca="false">EXP(-'Black-Scholes'!$B$8*'Black-Scholes'!$B$7)*IF(LOWER('Black-Scholes'!$B$11)="put",MAX('Black-Scholes'!$B$6-C337,0),MAX(C337-'Black-Scholes'!$B$6,0))</f>
        <v>48.2210665272377</v>
      </c>
      <c r="F337" s="18" t="n">
        <f aca="false">(E337+G337)/2</f>
        <v>24.1105332636188</v>
      </c>
      <c r="G337" s="18" t="n">
        <f aca="false">EXP(-'Black-Scholes'!$B$8*'Black-Scholes'!$B$7)*IF(LOWER('Black-Scholes'!$B$11)="put",MAX('Black-Scholes'!$B$6-D337,0),MAX(D337-'Black-Scholes'!$B$6,0))</f>
        <v>0</v>
      </c>
    </row>
    <row r="338" customFormat="false" ht="15" hidden="false" customHeight="false" outlineLevel="0" collapsed="false">
      <c r="A338" s="0" t="n">
        <v>327</v>
      </c>
      <c r="B338" s="15" t="n">
        <v>0.255127323959846</v>
      </c>
      <c r="C338" s="18" t="n">
        <f aca="false">'Black-Scholes'!$B$5*EXP(('Black-Scholes'!$B$8-'Black-Scholes'!$B$10-'Black-Scholes'!$B$9^2/2)*'Black-Scholes'!$B$7+'Black-Scholes'!$B$9*SQRT('Black-Scholes'!$B$7)*B338)</f>
        <v>108.439851019765</v>
      </c>
      <c r="D338" s="18" t="n">
        <f aca="false">'Black-Scholes'!$B$5*EXP(('Black-Scholes'!$B$8-'Black-Scholes'!$B$10-'Black-Scholes'!$B$9^2/2)*'Black-Scholes'!$B$7-'Black-Scholes'!$B$9*SQRT('Black-Scholes'!$B$7)*B338)</f>
        <v>97.9194029279722</v>
      </c>
      <c r="E338" s="18" t="n">
        <f aca="false">EXP(-'Black-Scholes'!$B$8*'Black-Scholes'!$B$7)*IF(LOWER('Black-Scholes'!$B$11)="put",MAX('Black-Scholes'!$B$6-C338,0),MAX(C338-'Black-Scholes'!$B$6,0))</f>
        <v>8.02823462840235</v>
      </c>
      <c r="F338" s="18" t="n">
        <f aca="false">(E338+G338)/2</f>
        <v>4.01411731420118</v>
      </c>
      <c r="G338" s="18" t="n">
        <f aca="false">EXP(-'Black-Scholes'!$B$8*'Black-Scholes'!$B$7)*IF(LOWER('Black-Scholes'!$B$11)="put",MAX('Black-Scholes'!$B$6-D338,0),MAX(D338-'Black-Scholes'!$B$6,0))</f>
        <v>0</v>
      </c>
    </row>
    <row r="339" customFormat="false" ht="15" hidden="false" customHeight="false" outlineLevel="0" collapsed="false">
      <c r="A339" s="0" t="n">
        <v>328</v>
      </c>
      <c r="B339" s="15" t="n">
        <v>-1.40045800566689</v>
      </c>
      <c r="C339" s="18" t="n">
        <f aca="false">'Black-Scholes'!$B$5*EXP(('Black-Scholes'!$B$8-'Black-Scholes'!$B$10-'Black-Scholes'!$B$9^2/2)*'Black-Scholes'!$B$7+'Black-Scholes'!$B$9*SQRT('Black-Scholes'!$B$7)*B339)</f>
        <v>77.8729447304269</v>
      </c>
      <c r="D339" s="18" t="n">
        <f aca="false">'Black-Scholes'!$B$5*EXP(('Black-Scholes'!$B$8-'Black-Scholes'!$B$10-'Black-Scholes'!$B$9^2/2)*'Black-Scholes'!$B$7-'Black-Scholes'!$B$9*SQRT('Black-Scholes'!$B$7)*B339)</f>
        <v>136.355001113817</v>
      </c>
      <c r="E339" s="18" t="n">
        <f aca="false">EXP(-'Black-Scholes'!$B$8*'Black-Scholes'!$B$7)*IF(LOWER('Black-Scholes'!$B$11)="put",MAX('Black-Scholes'!$B$6-C339,0),MAX(C339-'Black-Scholes'!$B$6,0))</f>
        <v>0</v>
      </c>
      <c r="F339" s="18" t="n">
        <f aca="false">(E339+G339)/2</f>
        <v>17.2909733936096</v>
      </c>
      <c r="G339" s="18" t="n">
        <f aca="false">EXP(-'Black-Scholes'!$B$8*'Black-Scholes'!$B$7)*IF(LOWER('Black-Scholes'!$B$11)="put",MAX('Black-Scholes'!$B$6-D339,0),MAX(D339-'Black-Scholes'!$B$6,0))</f>
        <v>34.5819467872193</v>
      </c>
    </row>
    <row r="340" customFormat="false" ht="15" hidden="false" customHeight="false" outlineLevel="0" collapsed="false">
      <c r="A340" s="0" t="n">
        <v>329</v>
      </c>
      <c r="B340" s="15" t="n">
        <v>1.64707771522886</v>
      </c>
      <c r="C340" s="18" t="n">
        <f aca="false">'Black-Scholes'!$B$5*EXP(('Black-Scholes'!$B$8-'Black-Scholes'!$B$10-'Black-Scholes'!$B$9^2/2)*'Black-Scholes'!$B$7+'Black-Scholes'!$B$9*SQRT('Black-Scholes'!$B$7)*B340)</f>
        <v>143.249193997406</v>
      </c>
      <c r="D340" s="18" t="n">
        <f aca="false">'Black-Scholes'!$B$5*EXP(('Black-Scholes'!$B$8-'Black-Scholes'!$B$10-'Black-Scholes'!$B$9^2/2)*'Black-Scholes'!$B$7-'Black-Scholes'!$B$9*SQRT('Black-Scholes'!$B$7)*B340)</f>
        <v>74.1251323595291</v>
      </c>
      <c r="E340" s="18" t="n">
        <f aca="false">EXP(-'Black-Scholes'!$B$8*'Black-Scholes'!$B$7)*IF(LOWER('Black-Scholes'!$B$11)="put",MAX('Black-Scholes'!$B$6-C340,0),MAX(C340-'Black-Scholes'!$B$6,0))</f>
        <v>41.1399059162725</v>
      </c>
      <c r="F340" s="18" t="n">
        <f aca="false">(E340+G340)/2</f>
        <v>20.5699529581362</v>
      </c>
      <c r="G340" s="18" t="n">
        <f aca="false">EXP(-'Black-Scholes'!$B$8*'Black-Scholes'!$B$7)*IF(LOWER('Black-Scholes'!$B$11)="put",MAX('Black-Scholes'!$B$6-D340,0),MAX(D340-'Black-Scholes'!$B$6,0))</f>
        <v>0</v>
      </c>
    </row>
    <row r="341" customFormat="false" ht="15" hidden="false" customHeight="false" outlineLevel="0" collapsed="false">
      <c r="A341" s="0" t="n">
        <v>330</v>
      </c>
      <c r="B341" s="15" t="n">
        <v>-0.815997753745455</v>
      </c>
      <c r="C341" s="18" t="n">
        <f aca="false">'Black-Scholes'!$B$5*EXP(('Black-Scholes'!$B$8-'Black-Scholes'!$B$10-'Black-Scholes'!$B$9^2/2)*'Black-Scholes'!$B$7+'Black-Scholes'!$B$9*SQRT('Black-Scholes'!$B$7)*B341)</f>
        <v>87.5290409823408</v>
      </c>
      <c r="D341" s="18" t="n">
        <f aca="false">'Black-Scholes'!$B$5*EXP(('Black-Scholes'!$B$8-'Black-Scholes'!$B$10-'Black-Scholes'!$B$9^2/2)*'Black-Scholes'!$B$7-'Black-Scholes'!$B$9*SQRT('Black-Scholes'!$B$7)*B341)</f>
        <v>121.312484933953</v>
      </c>
      <c r="E341" s="18" t="n">
        <f aca="false">EXP(-'Black-Scholes'!$B$8*'Black-Scholes'!$B$7)*IF(LOWER('Black-Scholes'!$B$11)="put",MAX('Black-Scholes'!$B$6-C341,0),MAX(C341-'Black-Scholes'!$B$6,0))</f>
        <v>0</v>
      </c>
      <c r="F341" s="18" t="n">
        <f aca="false">(E341+G341)/2</f>
        <v>10.1365313892022</v>
      </c>
      <c r="G341" s="18" t="n">
        <f aca="false">EXP(-'Black-Scholes'!$B$8*'Black-Scholes'!$B$7)*IF(LOWER('Black-Scholes'!$B$11)="put",MAX('Black-Scholes'!$B$6-D341,0),MAX(D341-'Black-Scholes'!$B$6,0))</f>
        <v>20.2730627784045</v>
      </c>
    </row>
    <row r="342" customFormat="false" ht="15" hidden="false" customHeight="false" outlineLevel="0" collapsed="false">
      <c r="A342" s="0" t="n">
        <v>331</v>
      </c>
      <c r="B342" s="15" t="n">
        <v>1.37779590426111</v>
      </c>
      <c r="C342" s="18" t="n">
        <f aca="false">'Black-Scholes'!$B$5*EXP(('Black-Scholes'!$B$8-'Black-Scholes'!$B$10-'Black-Scholes'!$B$9^2/2)*'Black-Scholes'!$B$7+'Black-Scholes'!$B$9*SQRT('Black-Scholes'!$B$7)*B342)</f>
        <v>135.738381386803</v>
      </c>
      <c r="D342" s="18" t="n">
        <f aca="false">'Black-Scholes'!$B$5*EXP(('Black-Scholes'!$B$8-'Black-Scholes'!$B$10-'Black-Scholes'!$B$9^2/2)*'Black-Scholes'!$B$7-'Black-Scholes'!$B$9*SQRT('Black-Scholes'!$B$7)*B342)</f>
        <v>78.2266987197621</v>
      </c>
      <c r="E342" s="18" t="n">
        <f aca="false">EXP(-'Black-Scholes'!$B$8*'Black-Scholes'!$B$7)*IF(LOWER('Black-Scholes'!$B$11)="put",MAX('Black-Scholes'!$B$6-C342,0),MAX(C342-'Black-Scholes'!$B$6,0))</f>
        <v>33.9953999591556</v>
      </c>
      <c r="F342" s="18" t="n">
        <f aca="false">(E342+G342)/2</f>
        <v>16.9976999795778</v>
      </c>
      <c r="G342" s="18" t="n">
        <f aca="false">EXP(-'Black-Scholes'!$B$8*'Black-Scholes'!$B$7)*IF(LOWER('Black-Scholes'!$B$11)="put",MAX('Black-Scholes'!$B$6-D342,0),MAX(D342-'Black-Scholes'!$B$6,0))</f>
        <v>0</v>
      </c>
    </row>
    <row r="343" customFormat="false" ht="15" hidden="false" customHeight="false" outlineLevel="0" collapsed="false">
      <c r="A343" s="0" t="n">
        <v>332</v>
      </c>
      <c r="B343" s="15" t="n">
        <v>0.840164916907522</v>
      </c>
      <c r="C343" s="18" t="n">
        <f aca="false">'Black-Scholes'!$B$5*EXP(('Black-Scholes'!$B$8-'Black-Scholes'!$B$10-'Black-Scholes'!$B$9^2/2)*'Black-Scholes'!$B$7+'Black-Scholes'!$B$9*SQRT('Black-Scholes'!$B$7)*B343)</f>
        <v>121.900259998638</v>
      </c>
      <c r="D343" s="18" t="n">
        <f aca="false">'Black-Scholes'!$B$5*EXP(('Black-Scholes'!$B$8-'Black-Scholes'!$B$10-'Black-Scholes'!$B$9^2/2)*'Black-Scholes'!$B$7-'Black-Scholes'!$B$9*SQRT('Black-Scholes'!$B$7)*B343)</f>
        <v>87.1069960439151</v>
      </c>
      <c r="E343" s="18" t="n">
        <f aca="false">EXP(-'Black-Scholes'!$B$8*'Black-Scholes'!$B$7)*IF(LOWER('Black-Scholes'!$B$11)="put",MAX('Black-Scholes'!$B$6-C343,0),MAX(C343-'Black-Scholes'!$B$6,0))</f>
        <v>20.8321717149206</v>
      </c>
      <c r="F343" s="18" t="n">
        <f aca="false">(E343+G343)/2</f>
        <v>10.4160858574603</v>
      </c>
      <c r="G343" s="18" t="n">
        <f aca="false">EXP(-'Black-Scholes'!$B$8*'Black-Scholes'!$B$7)*IF(LOWER('Black-Scholes'!$B$11)="put",MAX('Black-Scholes'!$B$6-D343,0),MAX(D343-'Black-Scholes'!$B$6,0))</f>
        <v>0</v>
      </c>
    </row>
    <row r="344" customFormat="false" ht="15" hidden="false" customHeight="false" outlineLevel="0" collapsed="false">
      <c r="A344" s="0" t="n">
        <v>333</v>
      </c>
      <c r="B344" s="15" t="n">
        <v>-0.533262951027308</v>
      </c>
      <c r="C344" s="18" t="n">
        <f aca="false">'Black-Scholes'!$B$5*EXP(('Black-Scholes'!$B$8-'Black-Scholes'!$B$10-'Black-Scholes'!$B$9^2/2)*'Black-Scholes'!$B$7+'Black-Scholes'!$B$9*SQRT('Black-Scholes'!$B$7)*B344)</f>
        <v>92.6211572691247</v>
      </c>
      <c r="D344" s="18" t="n">
        <f aca="false">'Black-Scholes'!$B$5*EXP(('Black-Scholes'!$B$8-'Black-Scholes'!$B$10-'Black-Scholes'!$B$9^2/2)*'Black-Scholes'!$B$7-'Black-Scholes'!$B$9*SQRT('Black-Scholes'!$B$7)*B344)</f>
        <v>114.642979838833</v>
      </c>
      <c r="E344" s="18" t="n">
        <f aca="false">EXP(-'Black-Scholes'!$B$8*'Black-Scholes'!$B$7)*IF(LOWER('Black-Scholes'!$B$11)="put",MAX('Black-Scholes'!$B$6-C344,0),MAX(C344-'Black-Scholes'!$B$6,0))</f>
        <v>0</v>
      </c>
      <c r="F344" s="18" t="n">
        <f aca="false">(E344+G344)/2</f>
        <v>6.96441664253411</v>
      </c>
      <c r="G344" s="18" t="n">
        <f aca="false">EXP(-'Black-Scholes'!$B$8*'Black-Scholes'!$B$7)*IF(LOWER('Black-Scholes'!$B$11)="put",MAX('Black-Scholes'!$B$6-D344,0),MAX(D344-'Black-Scholes'!$B$6,0))</f>
        <v>13.9288332850682</v>
      </c>
    </row>
    <row r="345" customFormat="false" ht="15" hidden="false" customHeight="false" outlineLevel="0" collapsed="false">
      <c r="A345" s="0" t="n">
        <v>334</v>
      </c>
      <c r="B345" s="15" t="n">
        <v>0.371303533737974</v>
      </c>
      <c r="C345" s="18" t="n">
        <f aca="false">'Black-Scholes'!$B$5*EXP(('Black-Scholes'!$B$8-'Black-Scholes'!$B$10-'Black-Scholes'!$B$9^2/2)*'Black-Scholes'!$B$7+'Black-Scholes'!$B$9*SQRT('Black-Scholes'!$B$7)*B345)</f>
        <v>110.988977295326</v>
      </c>
      <c r="D345" s="18" t="n">
        <f aca="false">'Black-Scholes'!$B$5*EXP(('Black-Scholes'!$B$8-'Black-Scholes'!$B$10-'Black-Scholes'!$B$9^2/2)*'Black-Scholes'!$B$7-'Black-Scholes'!$B$9*SQRT('Black-Scholes'!$B$7)*B345)</f>
        <v>95.6704505637497</v>
      </c>
      <c r="E345" s="18" t="n">
        <f aca="false">EXP(-'Black-Scholes'!$B$8*'Black-Scholes'!$B$7)*IF(LOWER('Black-Scholes'!$B$11)="put",MAX('Black-Scholes'!$B$6-C345,0),MAX(C345-'Black-Scholes'!$B$6,0))</f>
        <v>10.4530385484841</v>
      </c>
      <c r="F345" s="18" t="n">
        <f aca="false">(E345+G345)/2</f>
        <v>5.22651927424203</v>
      </c>
      <c r="G345" s="18" t="n">
        <f aca="false">EXP(-'Black-Scholes'!$B$8*'Black-Scholes'!$B$7)*IF(LOWER('Black-Scholes'!$B$11)="put",MAX('Black-Scholes'!$B$6-D345,0),MAX(D345-'Black-Scholes'!$B$6,0))</f>
        <v>0</v>
      </c>
    </row>
    <row r="346" customFormat="false" ht="15" hidden="false" customHeight="false" outlineLevel="0" collapsed="false">
      <c r="A346" s="0" t="n">
        <v>335</v>
      </c>
      <c r="B346" s="15" t="n">
        <v>0.713515206633767</v>
      </c>
      <c r="C346" s="18" t="n">
        <f aca="false">'Black-Scholes'!$B$5*EXP(('Black-Scholes'!$B$8-'Black-Scholes'!$B$10-'Black-Scholes'!$B$9^2/2)*'Black-Scholes'!$B$7+'Black-Scholes'!$B$9*SQRT('Black-Scholes'!$B$7)*B346)</f>
        <v>118.851311339736</v>
      </c>
      <c r="D346" s="18" t="n">
        <f aca="false">'Black-Scholes'!$B$5*EXP(('Black-Scholes'!$B$8-'Black-Scholes'!$B$10-'Black-Scholes'!$B$9^2/2)*'Black-Scholes'!$B$7-'Black-Scholes'!$B$9*SQRT('Black-Scholes'!$B$7)*B346)</f>
        <v>89.3415928335953</v>
      </c>
      <c r="E346" s="18" t="n">
        <f aca="false">EXP(-'Black-Scholes'!$B$8*'Black-Scholes'!$B$7)*IF(LOWER('Black-Scholes'!$B$11)="put",MAX('Black-Scholes'!$B$6-C346,0),MAX(C346-'Black-Scholes'!$B$6,0))</f>
        <v>17.9319220367813</v>
      </c>
      <c r="F346" s="18" t="n">
        <f aca="false">(E346+G346)/2</f>
        <v>8.96596101839063</v>
      </c>
      <c r="G346" s="18" t="n">
        <f aca="false">EXP(-'Black-Scholes'!$B$8*'Black-Scholes'!$B$7)*IF(LOWER('Black-Scholes'!$B$11)="put",MAX('Black-Scholes'!$B$6-D346,0),MAX(D346-'Black-Scholes'!$B$6,0))</f>
        <v>0</v>
      </c>
    </row>
    <row r="347" customFormat="false" ht="15" hidden="false" customHeight="false" outlineLevel="0" collapsed="false">
      <c r="A347" s="0" t="n">
        <v>336</v>
      </c>
      <c r="B347" s="15" t="n">
        <v>-0.188912971979735</v>
      </c>
      <c r="C347" s="18" t="n">
        <f aca="false">'Black-Scholes'!$B$5*EXP(('Black-Scholes'!$B$8-'Black-Scholes'!$B$10-'Black-Scholes'!$B$9^2/2)*'Black-Scholes'!$B$7+'Black-Scholes'!$B$9*SQRT('Black-Scholes'!$B$7)*B347)</f>
        <v>99.2247611580736</v>
      </c>
      <c r="D347" s="18" t="n">
        <f aca="false">'Black-Scholes'!$B$5*EXP(('Black-Scholes'!$B$8-'Black-Scholes'!$B$10-'Black-Scholes'!$B$9^2/2)*'Black-Scholes'!$B$7-'Black-Scholes'!$B$9*SQRT('Black-Scholes'!$B$7)*B347)</f>
        <v>107.013263035601</v>
      </c>
      <c r="E347" s="18" t="n">
        <f aca="false">EXP(-'Black-Scholes'!$B$8*'Black-Scholes'!$B$7)*IF(LOWER('Black-Scholes'!$B$11)="put",MAX('Black-Scholes'!$B$6-C347,0),MAX(C347-'Black-Scholes'!$B$6,0))</f>
        <v>0</v>
      </c>
      <c r="F347" s="18" t="n">
        <f aca="false">(E347+G347)/2</f>
        <v>3.33561108061333</v>
      </c>
      <c r="G347" s="18" t="n">
        <f aca="false">EXP(-'Black-Scholes'!$B$8*'Black-Scholes'!$B$7)*IF(LOWER('Black-Scholes'!$B$11)="put",MAX('Black-Scholes'!$B$6-D347,0),MAX(D347-'Black-Scholes'!$B$6,0))</f>
        <v>6.67122216122665</v>
      </c>
    </row>
    <row r="348" customFormat="false" ht="15" hidden="false" customHeight="false" outlineLevel="0" collapsed="false">
      <c r="A348" s="0" t="n">
        <v>337</v>
      </c>
      <c r="B348" s="15" t="n">
        <v>-1.52825933600333</v>
      </c>
      <c r="C348" s="18" t="n">
        <f aca="false">'Black-Scholes'!$B$5*EXP(('Black-Scholes'!$B$8-'Black-Scholes'!$B$10-'Black-Scholes'!$B$9^2/2)*'Black-Scholes'!$B$7+'Black-Scholes'!$B$9*SQRT('Black-Scholes'!$B$7)*B348)</f>
        <v>75.907714441905</v>
      </c>
      <c r="D348" s="18" t="n">
        <f aca="false">'Black-Scholes'!$B$5*EXP(('Black-Scholes'!$B$8-'Black-Scholes'!$B$10-'Black-Scholes'!$B$9^2/2)*'Black-Scholes'!$B$7-'Black-Scholes'!$B$9*SQRT('Black-Scholes'!$B$7)*B348)</f>
        <v>139.885195378662</v>
      </c>
      <c r="E348" s="18" t="n">
        <f aca="false">EXP(-'Black-Scholes'!$B$8*'Black-Scholes'!$B$7)*IF(LOWER('Black-Scholes'!$B$11)="put",MAX('Black-Scholes'!$B$6-C348,0),MAX(C348-'Black-Scholes'!$B$6,0))</f>
        <v>0</v>
      </c>
      <c r="F348" s="18" t="n">
        <f aca="false">(E348+G348)/2</f>
        <v>18.9699857230718</v>
      </c>
      <c r="G348" s="18" t="n">
        <f aca="false">EXP(-'Black-Scholes'!$B$8*'Black-Scholes'!$B$7)*IF(LOWER('Black-Scholes'!$B$11)="put",MAX('Black-Scholes'!$B$6-D348,0),MAX(D348-'Black-Scholes'!$B$6,0))</f>
        <v>37.9399714461436</v>
      </c>
    </row>
    <row r="349" customFormat="false" ht="15" hidden="false" customHeight="false" outlineLevel="0" collapsed="false">
      <c r="A349" s="0" t="n">
        <v>338</v>
      </c>
      <c r="B349" s="15" t="n">
        <v>-0.489242169089568</v>
      </c>
      <c r="C349" s="18" t="n">
        <f aca="false">'Black-Scholes'!$B$5*EXP(('Black-Scholes'!$B$8-'Black-Scholes'!$B$10-'Black-Scholes'!$B$9^2/2)*'Black-Scholes'!$B$7+'Black-Scholes'!$B$9*SQRT('Black-Scholes'!$B$7)*B349)</f>
        <v>93.4402086601869</v>
      </c>
      <c r="D349" s="18" t="n">
        <f aca="false">'Black-Scholes'!$B$5*EXP(('Black-Scholes'!$B$8-'Black-Scholes'!$B$10-'Black-Scholes'!$B$9^2/2)*'Black-Scholes'!$B$7-'Black-Scholes'!$B$9*SQRT('Black-Scholes'!$B$7)*B349)</f>
        <v>113.638075275167</v>
      </c>
      <c r="E349" s="18" t="n">
        <f aca="false">EXP(-'Black-Scholes'!$B$8*'Black-Scholes'!$B$7)*IF(LOWER('Black-Scholes'!$B$11)="put",MAX('Black-Scholes'!$B$6-C349,0),MAX(C349-'Black-Scholes'!$B$6,0))</f>
        <v>0</v>
      </c>
      <c r="F349" s="18" t="n">
        <f aca="false">(E349+G349)/2</f>
        <v>6.48646924764706</v>
      </c>
      <c r="G349" s="18" t="n">
        <f aca="false">EXP(-'Black-Scholes'!$B$8*'Black-Scholes'!$B$7)*IF(LOWER('Black-Scholes'!$B$11)="put",MAX('Black-Scholes'!$B$6-D349,0),MAX(D349-'Black-Scholes'!$B$6,0))</f>
        <v>12.9729384952941</v>
      </c>
    </row>
    <row r="350" customFormat="false" ht="15" hidden="false" customHeight="false" outlineLevel="0" collapsed="false">
      <c r="A350" s="0" t="n">
        <v>339</v>
      </c>
      <c r="B350" s="15" t="n">
        <v>-1.53611576731526</v>
      </c>
      <c r="C350" s="18" t="n">
        <f aca="false">'Black-Scholes'!$B$5*EXP(('Black-Scholes'!$B$8-'Black-Scholes'!$B$10-'Black-Scholes'!$B$9^2/2)*'Black-Scholes'!$B$7+'Black-Scholes'!$B$9*SQRT('Black-Scholes'!$B$7)*B350)</f>
        <v>75.788535349749</v>
      </c>
      <c r="D350" s="18" t="n">
        <f aca="false">'Black-Scholes'!$B$5*EXP(('Black-Scholes'!$B$8-'Black-Scholes'!$B$10-'Black-Scholes'!$B$9^2/2)*'Black-Scholes'!$B$7-'Black-Scholes'!$B$9*SQRT('Black-Scholes'!$B$7)*B350)</f>
        <v>140.105167839066</v>
      </c>
      <c r="E350" s="18" t="n">
        <f aca="false">EXP(-'Black-Scholes'!$B$8*'Black-Scholes'!$B$7)*IF(LOWER('Black-Scholes'!$B$11)="put",MAX('Black-Scholes'!$B$6-C350,0),MAX(C350-'Black-Scholes'!$B$6,0))</f>
        <v>0</v>
      </c>
      <c r="F350" s="18" t="n">
        <f aca="false">(E350+G350)/2</f>
        <v>19.0746078615298</v>
      </c>
      <c r="G350" s="18" t="n">
        <f aca="false">EXP(-'Black-Scholes'!$B$8*'Black-Scholes'!$B$7)*IF(LOWER('Black-Scholes'!$B$11)="put",MAX('Black-Scholes'!$B$6-D350,0),MAX(D350-'Black-Scholes'!$B$6,0))</f>
        <v>38.1492157230597</v>
      </c>
    </row>
    <row r="351" customFormat="false" ht="15" hidden="false" customHeight="false" outlineLevel="0" collapsed="false">
      <c r="A351" s="0" t="n">
        <v>340</v>
      </c>
      <c r="B351" s="15" t="n">
        <v>-0.956774161829672</v>
      </c>
      <c r="C351" s="18" t="n">
        <f aca="false">'Black-Scholes'!$B$5*EXP(('Black-Scholes'!$B$8-'Black-Scholes'!$B$10-'Black-Scholes'!$B$9^2/2)*'Black-Scholes'!$B$7+'Black-Scholes'!$B$9*SQRT('Black-Scholes'!$B$7)*B351)</f>
        <v>85.0990058712514</v>
      </c>
      <c r="D351" s="18" t="n">
        <f aca="false">'Black-Scholes'!$B$5*EXP(('Black-Scholes'!$B$8-'Black-Scholes'!$B$10-'Black-Scholes'!$B$9^2/2)*'Black-Scholes'!$B$7-'Black-Scholes'!$B$9*SQRT('Black-Scholes'!$B$7)*B351)</f>
        <v>124.776609982006</v>
      </c>
      <c r="E351" s="18" t="n">
        <f aca="false">EXP(-'Black-Scholes'!$B$8*'Black-Scholes'!$B$7)*IF(LOWER('Black-Scholes'!$B$11)="put",MAX('Black-Scholes'!$B$6-C351,0),MAX(C351-'Black-Scholes'!$B$6,0))</f>
        <v>0</v>
      </c>
      <c r="F351" s="18" t="n">
        <f aca="false">(E351+G351)/2</f>
        <v>11.7841202271312</v>
      </c>
      <c r="G351" s="18" t="n">
        <f aca="false">EXP(-'Black-Scholes'!$B$8*'Black-Scholes'!$B$7)*IF(LOWER('Black-Scholes'!$B$11)="put",MAX('Black-Scholes'!$B$6-D351,0),MAX(D351-'Black-Scholes'!$B$6,0))</f>
        <v>23.5682404542625</v>
      </c>
    </row>
    <row r="352" customFormat="false" ht="15" hidden="false" customHeight="false" outlineLevel="0" collapsed="false">
      <c r="A352" s="0" t="n">
        <v>341</v>
      </c>
      <c r="B352" s="15" t="n">
        <v>-1.21581794312008</v>
      </c>
      <c r="C352" s="18" t="n">
        <f aca="false">'Black-Scholes'!$B$5*EXP(('Black-Scholes'!$B$8-'Black-Scholes'!$B$10-'Black-Scholes'!$B$9^2/2)*'Black-Scholes'!$B$7+'Black-Scholes'!$B$9*SQRT('Black-Scholes'!$B$7)*B352)</f>
        <v>80.8023942879051</v>
      </c>
      <c r="D352" s="18" t="n">
        <f aca="false">'Black-Scholes'!$B$5*EXP(('Black-Scholes'!$B$8-'Black-Scholes'!$B$10-'Black-Scholes'!$B$9^2/2)*'Black-Scholes'!$B$7-'Black-Scholes'!$B$9*SQRT('Black-Scholes'!$B$7)*B352)</f>
        <v>131.411520153964</v>
      </c>
      <c r="E352" s="18" t="n">
        <f aca="false">EXP(-'Black-Scholes'!$B$8*'Black-Scholes'!$B$7)*IF(LOWER('Black-Scholes'!$B$11)="put",MAX('Black-Scholes'!$B$6-C352,0),MAX(C352-'Black-Scholes'!$B$6,0))</f>
        <v>0</v>
      </c>
      <c r="F352" s="18" t="n">
        <f aca="false">(E352+G352)/2</f>
        <v>14.9397811193739</v>
      </c>
      <c r="G352" s="18" t="n">
        <f aca="false">EXP(-'Black-Scholes'!$B$8*'Black-Scholes'!$B$7)*IF(LOWER('Black-Scholes'!$B$11)="put",MAX('Black-Scholes'!$B$6-D352,0),MAX(D352-'Black-Scholes'!$B$6,0))</f>
        <v>29.8795622387479</v>
      </c>
    </row>
    <row r="353" customFormat="false" ht="15" hidden="false" customHeight="false" outlineLevel="0" collapsed="false">
      <c r="A353" s="0" t="n">
        <v>342</v>
      </c>
      <c r="B353" s="15" t="n">
        <v>-0.401688640709272</v>
      </c>
      <c r="C353" s="18" t="n">
        <f aca="false">'Black-Scholes'!$B$5*EXP(('Black-Scholes'!$B$8-'Black-Scholes'!$B$10-'Black-Scholes'!$B$9^2/2)*'Black-Scholes'!$B$7+'Black-Scholes'!$B$9*SQRT('Black-Scholes'!$B$7)*B353)</f>
        <v>95.0908221797349</v>
      </c>
      <c r="D353" s="18" t="n">
        <f aca="false">'Black-Scholes'!$B$5*EXP(('Black-Scholes'!$B$8-'Black-Scholes'!$B$10-'Black-Scholes'!$B$9^2/2)*'Black-Scholes'!$B$7-'Black-Scholes'!$B$9*SQRT('Black-Scholes'!$B$7)*B353)</f>
        <v>111.665513264607</v>
      </c>
      <c r="E353" s="18" t="n">
        <f aca="false">EXP(-'Black-Scholes'!$B$8*'Black-Scholes'!$B$7)*IF(LOWER('Black-Scholes'!$B$11)="put",MAX('Black-Scholes'!$B$6-C353,0),MAX(C353-'Black-Scholes'!$B$6,0))</f>
        <v>0</v>
      </c>
      <c r="F353" s="18" t="n">
        <f aca="false">(E353+G353)/2</f>
        <v>5.54828973459888</v>
      </c>
      <c r="G353" s="18" t="n">
        <f aca="false">EXP(-'Black-Scholes'!$B$8*'Black-Scholes'!$B$7)*IF(LOWER('Black-Scholes'!$B$11)="put",MAX('Black-Scholes'!$B$6-D353,0),MAX(D353-'Black-Scholes'!$B$6,0))</f>
        <v>11.0965794691978</v>
      </c>
    </row>
    <row r="354" customFormat="false" ht="15" hidden="false" customHeight="false" outlineLevel="0" collapsed="false">
      <c r="A354" s="0" t="n">
        <v>343</v>
      </c>
      <c r="B354" s="15" t="n">
        <v>-0.0330581606796005</v>
      </c>
      <c r="C354" s="18" t="n">
        <f aca="false">'Black-Scholes'!$B$5*EXP(('Black-Scholes'!$B$8-'Black-Scholes'!$B$10-'Black-Scholes'!$B$9^2/2)*'Black-Scholes'!$B$7+'Black-Scholes'!$B$9*SQRT('Black-Scholes'!$B$7)*B354)</f>
        <v>102.3664020567</v>
      </c>
      <c r="D354" s="18" t="n">
        <f aca="false">'Black-Scholes'!$B$5*EXP(('Black-Scholes'!$B$8-'Black-Scholes'!$B$10-'Black-Scholes'!$B$9^2/2)*'Black-Scholes'!$B$7-'Black-Scholes'!$B$9*SQRT('Black-Scholes'!$B$7)*B354)</f>
        <v>103.729009246336</v>
      </c>
      <c r="E354" s="18" t="n">
        <f aca="false">EXP(-'Black-Scholes'!$B$8*'Black-Scholes'!$B$7)*IF(LOWER('Black-Scholes'!$B$11)="put",MAX('Black-Scholes'!$B$6-C354,0),MAX(C354-'Black-Scholes'!$B$6,0))</f>
        <v>2.25099126653177</v>
      </c>
      <c r="F354" s="18" t="n">
        <f aca="false">(E354+G354)/2</f>
        <v>2.8990672929411</v>
      </c>
      <c r="G354" s="18" t="n">
        <f aca="false">EXP(-'Black-Scholes'!$B$8*'Black-Scholes'!$B$7)*IF(LOWER('Black-Scholes'!$B$11)="put",MAX('Black-Scholes'!$B$6-D354,0),MAX(D354-'Black-Scholes'!$B$6,0))</f>
        <v>3.54714331935043</v>
      </c>
    </row>
    <row r="355" customFormat="false" ht="15" hidden="false" customHeight="false" outlineLevel="0" collapsed="false">
      <c r="A355" s="0" t="n">
        <v>344</v>
      </c>
      <c r="B355" s="15" t="n">
        <v>-0.0468785502257949</v>
      </c>
      <c r="C355" s="18" t="n">
        <f aca="false">'Black-Scholes'!$B$5*EXP(('Black-Scholes'!$B$8-'Black-Scholes'!$B$10-'Black-Scholes'!$B$9^2/2)*'Black-Scholes'!$B$7+'Black-Scholes'!$B$9*SQRT('Black-Scholes'!$B$7)*B355)</f>
        <v>102.083844032222</v>
      </c>
      <c r="D355" s="18" t="n">
        <f aca="false">'Black-Scholes'!$B$5*EXP(('Black-Scholes'!$B$8-'Black-Scholes'!$B$10-'Black-Scholes'!$B$9^2/2)*'Black-Scholes'!$B$7-'Black-Scholes'!$B$9*SQRT('Black-Scholes'!$B$7)*B355)</f>
        <v>104.01612092607</v>
      </c>
      <c r="E355" s="18" t="n">
        <f aca="false">EXP(-'Black-Scholes'!$B$8*'Black-Scholes'!$B$7)*IF(LOWER('Black-Scholes'!$B$11)="put",MAX('Black-Scholes'!$B$6-C355,0),MAX(C355-'Black-Scholes'!$B$6,0))</f>
        <v>1.98221375951932</v>
      </c>
      <c r="F355" s="18" t="n">
        <f aca="false">(E355+G355)/2</f>
        <v>2.90123307837496</v>
      </c>
      <c r="G355" s="18" t="n">
        <f aca="false">EXP(-'Black-Scholes'!$B$8*'Black-Scholes'!$B$7)*IF(LOWER('Black-Scholes'!$B$11)="put",MAX('Black-Scholes'!$B$6-D355,0),MAX(D355-'Black-Scholes'!$B$6,0))</f>
        <v>3.82025239723059</v>
      </c>
    </row>
    <row r="356" customFormat="false" ht="15" hidden="false" customHeight="false" outlineLevel="0" collapsed="false">
      <c r="A356" s="0" t="n">
        <v>345</v>
      </c>
      <c r="B356" s="15" t="n">
        <v>0.787384593938633</v>
      </c>
      <c r="C356" s="18" t="n">
        <f aca="false">'Black-Scholes'!$B$5*EXP(('Black-Scholes'!$B$8-'Black-Scholes'!$B$10-'Black-Scholes'!$B$9^2/2)*'Black-Scholes'!$B$7+'Black-Scholes'!$B$9*SQRT('Black-Scholes'!$B$7)*B356)</f>
        <v>120.620240848585</v>
      </c>
      <c r="D356" s="18" t="n">
        <f aca="false">'Black-Scholes'!$B$5*EXP(('Black-Scholes'!$B$8-'Black-Scholes'!$B$10-'Black-Scholes'!$B$9^2/2)*'Black-Scholes'!$B$7-'Black-Scholes'!$B$9*SQRT('Black-Scholes'!$B$7)*B356)</f>
        <v>88.0313734307901</v>
      </c>
      <c r="E356" s="18" t="n">
        <f aca="false">EXP(-'Black-Scholes'!$B$8*'Black-Scholes'!$B$7)*IF(LOWER('Black-Scholes'!$B$11)="put",MAX('Black-Scholes'!$B$6-C356,0),MAX(C356-'Black-Scholes'!$B$6,0))</f>
        <v>19.6145798354652</v>
      </c>
      <c r="F356" s="18" t="n">
        <f aca="false">(E356+G356)/2</f>
        <v>9.80728991773262</v>
      </c>
      <c r="G356" s="18" t="n">
        <f aca="false">EXP(-'Black-Scholes'!$B$8*'Black-Scholes'!$B$7)*IF(LOWER('Black-Scholes'!$B$11)="put",MAX('Black-Scholes'!$B$6-D356,0),MAX(D356-'Black-Scholes'!$B$6,0))</f>
        <v>0</v>
      </c>
    </row>
    <row r="357" customFormat="false" ht="15" hidden="false" customHeight="false" outlineLevel="0" collapsed="false">
      <c r="A357" s="0" t="n">
        <v>346</v>
      </c>
      <c r="B357" s="15" t="n">
        <v>-0.580634646604593</v>
      </c>
      <c r="C357" s="18" t="n">
        <f aca="false">'Black-Scholes'!$B$5*EXP(('Black-Scholes'!$B$8-'Black-Scholes'!$B$10-'Black-Scholes'!$B$9^2/2)*'Black-Scholes'!$B$7+'Black-Scholes'!$B$9*SQRT('Black-Scholes'!$B$7)*B357)</f>
        <v>91.7477768998895</v>
      </c>
      <c r="D357" s="18" t="n">
        <f aca="false">'Black-Scholes'!$B$5*EXP(('Black-Scholes'!$B$8-'Black-Scholes'!$B$10-'Black-Scholes'!$B$9^2/2)*'Black-Scholes'!$B$7-'Black-Scholes'!$B$9*SQRT('Black-Scholes'!$B$7)*B357)</f>
        <v>115.734307949933</v>
      </c>
      <c r="E357" s="18" t="n">
        <f aca="false">EXP(-'Black-Scholes'!$B$8*'Black-Scholes'!$B$7)*IF(LOWER('Black-Scholes'!$B$11)="put",MAX('Black-Scholes'!$B$6-C357,0),MAX(C357-'Black-Scholes'!$B$6,0))</f>
        <v>0</v>
      </c>
      <c r="F357" s="18" t="n">
        <f aca="false">(E357+G357)/2</f>
        <v>7.48346834806607</v>
      </c>
      <c r="G357" s="18" t="n">
        <f aca="false">EXP(-'Black-Scholes'!$B$8*'Black-Scholes'!$B$7)*IF(LOWER('Black-Scholes'!$B$11)="put",MAX('Black-Scholes'!$B$6-D357,0),MAX(D357-'Black-Scholes'!$B$6,0))</f>
        <v>14.9669366961321</v>
      </c>
    </row>
    <row r="358" customFormat="false" ht="15" hidden="false" customHeight="false" outlineLevel="0" collapsed="false">
      <c r="A358" s="0" t="n">
        <v>347</v>
      </c>
      <c r="B358" s="15" t="n">
        <v>-0.0264552480733826</v>
      </c>
      <c r="C358" s="18" t="n">
        <f aca="false">'Black-Scholes'!$B$5*EXP(('Black-Scholes'!$B$8-'Black-Scholes'!$B$10-'Black-Scholes'!$B$9^2/2)*'Black-Scholes'!$B$7+'Black-Scholes'!$B$9*SQRT('Black-Scholes'!$B$7)*B358)</f>
        <v>102.501674637662</v>
      </c>
      <c r="D358" s="18" t="n">
        <f aca="false">'Black-Scholes'!$B$5*EXP(('Black-Scholes'!$B$8-'Black-Scholes'!$B$10-'Black-Scholes'!$B$9^2/2)*'Black-Scholes'!$B$7-'Black-Scholes'!$B$9*SQRT('Black-Scholes'!$B$7)*B358)</f>
        <v>103.592116938469</v>
      </c>
      <c r="E358" s="18" t="n">
        <f aca="false">EXP(-'Black-Scholes'!$B$8*'Black-Scholes'!$B$7)*IF(LOWER('Black-Scholes'!$B$11)="put",MAX('Black-Scholes'!$B$6-C358,0),MAX(C358-'Black-Scholes'!$B$6,0))</f>
        <v>2.37966652587172</v>
      </c>
      <c r="F358" s="18" t="n">
        <f aca="false">(E358+G358)/2</f>
        <v>2.89829692699525</v>
      </c>
      <c r="G358" s="18" t="n">
        <f aca="false">EXP(-'Black-Scholes'!$B$8*'Black-Scholes'!$B$7)*IF(LOWER('Black-Scholes'!$B$11)="put",MAX('Black-Scholes'!$B$6-D358,0),MAX(D358-'Black-Scholes'!$B$6,0))</f>
        <v>3.41692732811879</v>
      </c>
    </row>
    <row r="359" customFormat="false" ht="15" hidden="false" customHeight="false" outlineLevel="0" collapsed="false">
      <c r="A359" s="0" t="n">
        <v>348</v>
      </c>
      <c r="B359" s="15" t="n">
        <v>-0.764793727089004</v>
      </c>
      <c r="C359" s="18" t="n">
        <f aca="false">'Black-Scholes'!$B$5*EXP(('Black-Scholes'!$B$8-'Black-Scholes'!$B$10-'Black-Scholes'!$B$9^2/2)*'Black-Scholes'!$B$7+'Black-Scholes'!$B$9*SQRT('Black-Scholes'!$B$7)*B359)</f>
        <v>88.4300143241266</v>
      </c>
      <c r="D359" s="18" t="n">
        <f aca="false">'Black-Scholes'!$B$5*EXP(('Black-Scholes'!$B$8-'Black-Scholes'!$B$10-'Black-Scholes'!$B$9^2/2)*'Black-Scholes'!$B$7-'Black-Scholes'!$B$9*SQRT('Black-Scholes'!$B$7)*B359)</f>
        <v>120.076487000597</v>
      </c>
      <c r="E359" s="18" t="n">
        <f aca="false">EXP(-'Black-Scholes'!$B$8*'Black-Scholes'!$B$7)*IF(LOWER('Black-Scholes'!$B$11)="put",MAX('Black-Scholes'!$B$6-C359,0),MAX(C359-'Black-Scholes'!$B$6,0))</f>
        <v>0</v>
      </c>
      <c r="F359" s="18" t="n">
        <f aca="false">(E359+G359)/2</f>
        <v>9.54867258778697</v>
      </c>
      <c r="G359" s="18" t="n">
        <f aca="false">EXP(-'Black-Scholes'!$B$8*'Black-Scholes'!$B$7)*IF(LOWER('Black-Scholes'!$B$11)="put",MAX('Black-Scholes'!$B$6-D359,0),MAX(D359-'Black-Scholes'!$B$6,0))</f>
        <v>19.0973451755739</v>
      </c>
    </row>
    <row r="360" customFormat="false" ht="15" hidden="false" customHeight="false" outlineLevel="0" collapsed="false">
      <c r="A360" s="0" t="n">
        <v>349</v>
      </c>
      <c r="B360" s="15" t="n">
        <v>-0.714022489233489</v>
      </c>
      <c r="C360" s="18" t="n">
        <f aca="false">'Black-Scholes'!$B$5*EXP(('Black-Scholes'!$B$8-'Black-Scholes'!$B$10-'Black-Scholes'!$B$9^2/2)*'Black-Scholes'!$B$7+'Black-Scholes'!$B$9*SQRT('Black-Scholes'!$B$7)*B360)</f>
        <v>89.3325290063001</v>
      </c>
      <c r="D360" s="18" t="n">
        <f aca="false">'Black-Scholes'!$B$5*EXP(('Black-Scholes'!$B$8-'Black-Scholes'!$B$10-'Black-Scholes'!$B$9^2/2)*'Black-Scholes'!$B$7-'Black-Scholes'!$B$9*SQRT('Black-Scholes'!$B$7)*B360)</f>
        <v>118.86337019189</v>
      </c>
      <c r="E360" s="18" t="n">
        <f aca="false">EXP(-'Black-Scholes'!$B$8*'Black-Scholes'!$B$7)*IF(LOWER('Black-Scholes'!$B$11)="put",MAX('Black-Scholes'!$B$6-C360,0),MAX(C360-'Black-Scholes'!$B$6,0))</f>
        <v>0</v>
      </c>
      <c r="F360" s="18" t="n">
        <f aca="false">(E360+G360)/2</f>
        <v>8.97169638588773</v>
      </c>
      <c r="G360" s="18" t="n">
        <f aca="false">EXP(-'Black-Scholes'!$B$8*'Black-Scholes'!$B$7)*IF(LOWER('Black-Scholes'!$B$11)="put",MAX('Black-Scholes'!$B$6-D360,0),MAX(D360-'Black-Scholes'!$B$6,0))</f>
        <v>17.9433927717755</v>
      </c>
    </row>
    <row r="361" customFormat="false" ht="15" hidden="false" customHeight="false" outlineLevel="0" collapsed="false">
      <c r="A361" s="0" t="n">
        <v>350</v>
      </c>
      <c r="B361" s="15" t="n">
        <v>0.339550492050365</v>
      </c>
      <c r="C361" s="18" t="n">
        <f aca="false">'Black-Scholes'!$B$5*EXP(('Black-Scholes'!$B$8-'Black-Scholes'!$B$10-'Black-Scholes'!$B$9^2/2)*'Black-Scholes'!$B$7+'Black-Scholes'!$B$9*SQRT('Black-Scholes'!$B$7)*B361)</f>
        <v>110.28636314576</v>
      </c>
      <c r="D361" s="18" t="n">
        <f aca="false">'Black-Scholes'!$B$5*EXP(('Black-Scholes'!$B$8-'Black-Scholes'!$B$10-'Black-Scholes'!$B$9^2/2)*'Black-Scholes'!$B$7-'Black-Scholes'!$B$9*SQRT('Black-Scholes'!$B$7)*B361)</f>
        <v>96.2799494205811</v>
      </c>
      <c r="E361" s="18" t="n">
        <f aca="false">EXP(-'Black-Scholes'!$B$8*'Black-Scholes'!$B$7)*IF(LOWER('Black-Scholes'!$B$11)="put",MAX('Black-Scholes'!$B$6-C361,0),MAX(C361-'Black-Scholes'!$B$6,0))</f>
        <v>9.78469129534648</v>
      </c>
      <c r="F361" s="18" t="n">
        <f aca="false">(E361+G361)/2</f>
        <v>4.89234564767324</v>
      </c>
      <c r="G361" s="18" t="n">
        <f aca="false">EXP(-'Black-Scholes'!$B$8*'Black-Scholes'!$B$7)*IF(LOWER('Black-Scholes'!$B$11)="put",MAX('Black-Scholes'!$B$6-D361,0),MAX(D361-'Black-Scholes'!$B$6,0))</f>
        <v>0</v>
      </c>
    </row>
    <row r="362" customFormat="false" ht="15" hidden="false" customHeight="false" outlineLevel="0" collapsed="false">
      <c r="A362" s="0" t="n">
        <v>351</v>
      </c>
      <c r="B362" s="15" t="n">
        <v>-1.33190650933475</v>
      </c>
      <c r="C362" s="18" t="n">
        <f aca="false">'Black-Scholes'!$B$5*EXP(('Black-Scholes'!$B$8-'Black-Scholes'!$B$10-'Black-Scholes'!$B$9^2/2)*'Black-Scholes'!$B$7+'Black-Scholes'!$B$9*SQRT('Black-Scholes'!$B$7)*B362)</f>
        <v>78.9479586493601</v>
      </c>
      <c r="D362" s="18" t="n">
        <f aca="false">'Black-Scholes'!$B$5*EXP(('Black-Scholes'!$B$8-'Black-Scholes'!$B$10-'Black-Scholes'!$B$9^2/2)*'Black-Scholes'!$B$7-'Black-Scholes'!$B$9*SQRT('Black-Scholes'!$B$7)*B362)</f>
        <v>134.498290356234</v>
      </c>
      <c r="E362" s="18" t="n">
        <f aca="false">EXP(-'Black-Scholes'!$B$8*'Black-Scholes'!$B$7)*IF(LOWER('Black-Scholes'!$B$11)="put",MAX('Black-Scholes'!$B$6-C362,0),MAX(C362-'Black-Scholes'!$B$6,0))</f>
        <v>0</v>
      </c>
      <c r="F362" s="18" t="n">
        <f aca="false">(E362+G362)/2</f>
        <v>16.4078944409095</v>
      </c>
      <c r="G362" s="18" t="n">
        <f aca="false">EXP(-'Black-Scholes'!$B$8*'Black-Scholes'!$B$7)*IF(LOWER('Black-Scholes'!$B$11)="put",MAX('Black-Scholes'!$B$6-D362,0),MAX(D362-'Black-Scholes'!$B$6,0))</f>
        <v>32.8157888818191</v>
      </c>
    </row>
    <row r="363" customFormat="false" ht="15" hidden="false" customHeight="false" outlineLevel="0" collapsed="false">
      <c r="A363" s="0" t="n">
        <v>352</v>
      </c>
      <c r="B363" s="15" t="n">
        <v>0.0447110033922637</v>
      </c>
      <c r="C363" s="18" t="n">
        <f aca="false">'Black-Scholes'!$B$5*EXP(('Black-Scholes'!$B$8-'Black-Scholes'!$B$10-'Black-Scholes'!$B$9^2/2)*'Black-Scholes'!$B$7+'Black-Scholes'!$B$9*SQRT('Black-Scholes'!$B$7)*B363)</f>
        <v>103.971038735842</v>
      </c>
      <c r="D363" s="18" t="n">
        <f aca="false">'Black-Scholes'!$B$5*EXP(('Black-Scholes'!$B$8-'Black-Scholes'!$B$10-'Black-Scholes'!$B$9^2/2)*'Black-Scholes'!$B$7-'Black-Scholes'!$B$9*SQRT('Black-Scholes'!$B$7)*B363)</f>
        <v>102.128107928513</v>
      </c>
      <c r="E363" s="18" t="n">
        <f aca="false">EXP(-'Black-Scholes'!$B$8*'Black-Scholes'!$B$7)*IF(LOWER('Black-Scholes'!$B$11)="put",MAX('Black-Scholes'!$B$6-C363,0),MAX(C363-'Black-Scholes'!$B$6,0))</f>
        <v>3.77736889136477</v>
      </c>
      <c r="F363" s="18" t="n">
        <f aca="false">(E363+G363)/2</f>
        <v>2.90084388573957</v>
      </c>
      <c r="G363" s="18" t="n">
        <f aca="false">EXP(-'Black-Scholes'!$B$8*'Black-Scholes'!$B$7)*IF(LOWER('Black-Scholes'!$B$11)="put",MAX('Black-Scholes'!$B$6-D363,0),MAX(D363-'Black-Scholes'!$B$6,0))</f>
        <v>2.02431888011436</v>
      </c>
    </row>
    <row r="364" customFormat="false" ht="15" hidden="false" customHeight="false" outlineLevel="0" collapsed="false">
      <c r="A364" s="0" t="n">
        <v>353</v>
      </c>
      <c r="B364" s="15" t="n">
        <v>-0.020084869829391</v>
      </c>
      <c r="C364" s="18" t="n">
        <f aca="false">'Black-Scholes'!$B$5*EXP(('Black-Scholes'!$B$8-'Black-Scholes'!$B$10-'Black-Scholes'!$B$9^2/2)*'Black-Scholes'!$B$7+'Black-Scholes'!$B$9*SQRT('Black-Scholes'!$B$7)*B364)</f>
        <v>102.632352754505</v>
      </c>
      <c r="D364" s="18" t="n">
        <f aca="false">'Black-Scholes'!$B$5*EXP(('Black-Scholes'!$B$8-'Black-Scholes'!$B$10-'Black-Scholes'!$B$9^2/2)*'Black-Scholes'!$B$7-'Black-Scholes'!$B$9*SQRT('Black-Scholes'!$B$7)*B364)</f>
        <v>103.460216788097</v>
      </c>
      <c r="E364" s="18" t="n">
        <f aca="false">EXP(-'Black-Scholes'!$B$8*'Black-Scholes'!$B$7)*IF(LOWER('Black-Scholes'!$B$11)="put",MAX('Black-Scholes'!$B$6-C364,0),MAX(C364-'Black-Scholes'!$B$6,0))</f>
        <v>2.50397139575113</v>
      </c>
      <c r="F364" s="18" t="n">
        <f aca="false">(E364+G364)/2</f>
        <v>2.89771570987024</v>
      </c>
      <c r="G364" s="18" t="n">
        <f aca="false">EXP(-'Black-Scholes'!$B$8*'Black-Scholes'!$B$7)*IF(LOWER('Black-Scholes'!$B$11)="put",MAX('Black-Scholes'!$B$6-D364,0),MAX(D364-'Black-Scholes'!$B$6,0))</f>
        <v>3.29146002398935</v>
      </c>
    </row>
    <row r="365" customFormat="false" ht="15" hidden="false" customHeight="false" outlineLevel="0" collapsed="false">
      <c r="A365" s="0" t="n">
        <v>354</v>
      </c>
      <c r="B365" s="15" t="n">
        <v>0.98077791598941</v>
      </c>
      <c r="C365" s="18" t="n">
        <f aca="false">'Black-Scholes'!$B$5*EXP(('Black-Scholes'!$B$8-'Black-Scholes'!$B$10-'Black-Scholes'!$B$9^2/2)*'Black-Scholes'!$B$7+'Black-Scholes'!$B$9*SQRT('Black-Scholes'!$B$7)*B365)</f>
        <v>125.377071576187</v>
      </c>
      <c r="D365" s="18" t="n">
        <f aca="false">'Black-Scholes'!$B$5*EXP(('Black-Scholes'!$B$8-'Black-Scholes'!$B$10-'Black-Scholes'!$B$9^2/2)*'Black-Scholes'!$B$7-'Black-Scholes'!$B$9*SQRT('Black-Scholes'!$B$7)*B365)</f>
        <v>84.6914458278855</v>
      </c>
      <c r="E365" s="18" t="n">
        <f aca="false">EXP(-'Black-Scholes'!$B$8*'Black-Scholes'!$B$7)*IF(LOWER('Black-Scholes'!$B$11)="put",MAX('Black-Scholes'!$B$6-C365,0),MAX(C365-'Black-Scholes'!$B$6,0))</f>
        <v>24.1394171909301</v>
      </c>
      <c r="F365" s="18" t="n">
        <f aca="false">(E365+G365)/2</f>
        <v>12.0697085954651</v>
      </c>
      <c r="G365" s="18" t="n">
        <f aca="false">EXP(-'Black-Scholes'!$B$8*'Black-Scholes'!$B$7)*IF(LOWER('Black-Scholes'!$B$11)="put",MAX('Black-Scholes'!$B$6-D365,0),MAX(D365-'Black-Scholes'!$B$6,0))</f>
        <v>0</v>
      </c>
    </row>
    <row r="366" customFormat="false" ht="15" hidden="false" customHeight="false" outlineLevel="0" collapsed="false">
      <c r="A366" s="0" t="n">
        <v>355</v>
      </c>
      <c r="B366" s="15" t="n">
        <v>1.86851419518132</v>
      </c>
      <c r="C366" s="18" t="n">
        <f aca="false">'Black-Scholes'!$B$5*EXP(('Black-Scholes'!$B$8-'Black-Scholes'!$B$10-'Black-Scholes'!$B$9^2/2)*'Black-Scholes'!$B$7+'Black-Scholes'!$B$9*SQRT('Black-Scholes'!$B$7)*B366)</f>
        <v>149.735892421874</v>
      </c>
      <c r="D366" s="18" t="n">
        <f aca="false">'Black-Scholes'!$B$5*EXP(('Black-Scholes'!$B$8-'Black-Scholes'!$B$10-'Black-Scholes'!$B$9^2/2)*'Black-Scholes'!$B$7-'Black-Scholes'!$B$9*SQRT('Black-Scholes'!$B$7)*B366)</f>
        <v>70.9139625356948</v>
      </c>
      <c r="E366" s="18" t="n">
        <f aca="false">EXP(-'Black-Scholes'!$B$8*'Black-Scholes'!$B$7)*IF(LOWER('Black-Scholes'!$B$11)="put",MAX('Black-Scholes'!$B$6-C366,0),MAX(C366-'Black-Scholes'!$B$6,0))</f>
        <v>47.3102443254886</v>
      </c>
      <c r="F366" s="18" t="n">
        <f aca="false">(E366+G366)/2</f>
        <v>23.6551221627443</v>
      </c>
      <c r="G366" s="18" t="n">
        <f aca="false">EXP(-'Black-Scholes'!$B$8*'Black-Scholes'!$B$7)*IF(LOWER('Black-Scholes'!$B$11)="put",MAX('Black-Scholes'!$B$6-D366,0),MAX(D366-'Black-Scholes'!$B$6,0))</f>
        <v>0</v>
      </c>
    </row>
    <row r="367" customFormat="false" ht="15" hidden="false" customHeight="false" outlineLevel="0" collapsed="false">
      <c r="A367" s="0" t="n">
        <v>356</v>
      </c>
      <c r="B367" s="15" t="n">
        <v>0.141063841780024</v>
      </c>
      <c r="C367" s="18" t="n">
        <f aca="false">'Black-Scholes'!$B$5*EXP(('Black-Scholes'!$B$8-'Black-Scholes'!$B$10-'Black-Scholes'!$B$9^2/2)*'Black-Scholes'!$B$7+'Black-Scholes'!$B$9*SQRT('Black-Scholes'!$B$7)*B367)</f>
        <v>105.994049351631</v>
      </c>
      <c r="D367" s="18" t="n">
        <f aca="false">'Black-Scholes'!$B$5*EXP(('Black-Scholes'!$B$8-'Black-Scholes'!$B$10-'Black-Scholes'!$B$9^2/2)*'Black-Scholes'!$B$7-'Black-Scholes'!$B$9*SQRT('Black-Scholes'!$B$7)*B367)</f>
        <v>100.178882969436</v>
      </c>
      <c r="E367" s="18" t="n">
        <f aca="false">EXP(-'Black-Scholes'!$B$8*'Black-Scholes'!$B$7)*IF(LOWER('Black-Scholes'!$B$11)="put",MAX('Black-Scholes'!$B$6-C367,0),MAX(C367-'Black-Scholes'!$B$6,0))</f>
        <v>5.70171611518049</v>
      </c>
      <c r="F367" s="18" t="n">
        <f aca="false">(E367+G367)/2</f>
        <v>2.93593742962488</v>
      </c>
      <c r="G367" s="18" t="n">
        <f aca="false">EXP(-'Black-Scholes'!$B$8*'Black-Scholes'!$B$7)*IF(LOWER('Black-Scholes'!$B$11)="put",MAX('Black-Scholes'!$B$6-D367,0),MAX(D367-'Black-Scholes'!$B$6,0))</f>
        <v>0.170158744069264</v>
      </c>
    </row>
    <row r="368" customFormat="false" ht="15" hidden="false" customHeight="false" outlineLevel="0" collapsed="false">
      <c r="A368" s="0" t="n">
        <v>357</v>
      </c>
      <c r="B368" s="15" t="n">
        <v>-0.542734229464154</v>
      </c>
      <c r="C368" s="18" t="n">
        <f aca="false">'Black-Scholes'!$B$5*EXP(('Black-Scholes'!$B$8-'Black-Scholes'!$B$10-'Black-Scholes'!$B$9^2/2)*'Black-Scholes'!$B$7+'Black-Scholes'!$B$9*SQRT('Black-Scholes'!$B$7)*B368)</f>
        <v>92.4458751821543</v>
      </c>
      <c r="D368" s="18" t="n">
        <f aca="false">'Black-Scholes'!$B$5*EXP(('Black-Scholes'!$B$8-'Black-Scholes'!$B$10-'Black-Scholes'!$B$9^2/2)*'Black-Scholes'!$B$7-'Black-Scholes'!$B$9*SQRT('Black-Scholes'!$B$7)*B368)</f>
        <v>114.860348766576</v>
      </c>
      <c r="E368" s="18" t="n">
        <f aca="false">EXP(-'Black-Scholes'!$B$8*'Black-Scholes'!$B$7)*IF(LOWER('Black-Scholes'!$B$11)="put",MAX('Black-Scholes'!$B$6-C368,0),MAX(C368-'Black-Scholes'!$B$6,0))</f>
        <v>0</v>
      </c>
      <c r="F368" s="18" t="n">
        <f aca="false">(E368+G368)/2</f>
        <v>7.06780050255498</v>
      </c>
      <c r="G368" s="18" t="n">
        <f aca="false">EXP(-'Black-Scholes'!$B$8*'Black-Scholes'!$B$7)*IF(LOWER('Black-Scholes'!$B$11)="put",MAX('Black-Scholes'!$B$6-D368,0),MAX(D368-'Black-Scholes'!$B$6,0))</f>
        <v>14.13560100511</v>
      </c>
    </row>
    <row r="369" customFormat="false" ht="15" hidden="false" customHeight="false" outlineLevel="0" collapsed="false">
      <c r="A369" s="0" t="n">
        <v>358</v>
      </c>
      <c r="B369" s="15" t="n">
        <v>1.75408100916969</v>
      </c>
      <c r="C369" s="18" t="n">
        <f aca="false">'Black-Scholes'!$B$5*EXP(('Black-Scholes'!$B$8-'Black-Scholes'!$B$10-'Black-Scholes'!$B$9^2/2)*'Black-Scholes'!$B$7+'Black-Scholes'!$B$9*SQRT('Black-Scholes'!$B$7)*B369)</f>
        <v>146.347859600675</v>
      </c>
      <c r="D369" s="18" t="n">
        <f aca="false">'Black-Scholes'!$B$5*EXP(('Black-Scholes'!$B$8-'Black-Scholes'!$B$10-'Black-Scholes'!$B$9^2/2)*'Black-Scholes'!$B$7-'Black-Scholes'!$B$9*SQRT('Black-Scholes'!$B$7)*B369)</f>
        <v>72.5556594707081</v>
      </c>
      <c r="E369" s="18" t="n">
        <f aca="false">EXP(-'Black-Scholes'!$B$8*'Black-Scholes'!$B$7)*IF(LOWER('Black-Scholes'!$B$11)="put",MAX('Black-Scholes'!$B$6-C369,0),MAX(C369-'Black-Scholes'!$B$6,0))</f>
        <v>44.0874478147902</v>
      </c>
      <c r="F369" s="18" t="n">
        <f aca="false">(E369+G369)/2</f>
        <v>22.0437239073951</v>
      </c>
      <c r="G369" s="18" t="n">
        <f aca="false">EXP(-'Black-Scholes'!$B$8*'Black-Scholes'!$B$7)*IF(LOWER('Black-Scholes'!$B$11)="put",MAX('Black-Scholes'!$B$6-D369,0),MAX(D369-'Black-Scholes'!$B$6,0))</f>
        <v>0</v>
      </c>
    </row>
    <row r="370" customFormat="false" ht="15" hidden="false" customHeight="false" outlineLevel="0" collapsed="false">
      <c r="A370" s="0" t="n">
        <v>359</v>
      </c>
      <c r="B370" s="15" t="n">
        <v>2.09132258238577</v>
      </c>
      <c r="C370" s="18" t="n">
        <f aca="false">'Black-Scholes'!$B$5*EXP(('Black-Scholes'!$B$8-'Black-Scholes'!$B$10-'Black-Scholes'!$B$9^2/2)*'Black-Scholes'!$B$7+'Black-Scholes'!$B$9*SQRT('Black-Scholes'!$B$7)*B370)</f>
        <v>156.559276597001</v>
      </c>
      <c r="D370" s="18" t="n">
        <f aca="false">'Black-Scholes'!$B$5*EXP(('Black-Scholes'!$B$8-'Black-Scholes'!$B$10-'Black-Scholes'!$B$9^2/2)*'Black-Scholes'!$B$7-'Black-Scholes'!$B$9*SQRT('Black-Scholes'!$B$7)*B370)</f>
        <v>67.823291575282</v>
      </c>
      <c r="E370" s="18" t="n">
        <f aca="false">EXP(-'Black-Scholes'!$B$8*'Black-Scholes'!$B$7)*IF(LOWER('Black-Scholes'!$B$11)="put",MAX('Black-Scholes'!$B$6-C370,0),MAX(C370-'Black-Scholes'!$B$6,0))</f>
        <v>53.8008481275417</v>
      </c>
      <c r="F370" s="18" t="n">
        <f aca="false">(E370+G370)/2</f>
        <v>26.9004240637709</v>
      </c>
      <c r="G370" s="18" t="n">
        <f aca="false">EXP(-'Black-Scholes'!$B$8*'Black-Scholes'!$B$7)*IF(LOWER('Black-Scholes'!$B$11)="put",MAX('Black-Scholes'!$B$6-D370,0),MAX(D370-'Black-Scholes'!$B$6,0))</f>
        <v>0</v>
      </c>
    </row>
    <row r="371" customFormat="false" ht="15" hidden="false" customHeight="false" outlineLevel="0" collapsed="false">
      <c r="A371" s="0" t="n">
        <v>360</v>
      </c>
      <c r="B371" s="15" t="n">
        <v>-0.016787767684981</v>
      </c>
      <c r="C371" s="18" t="n">
        <f aca="false">'Black-Scholes'!$B$5*EXP(('Black-Scholes'!$B$8-'Black-Scholes'!$B$10-'Black-Scholes'!$B$9^2/2)*'Black-Scholes'!$B$7+'Black-Scholes'!$B$9*SQRT('Black-Scholes'!$B$7)*B371)</f>
        <v>102.700052943567</v>
      </c>
      <c r="D371" s="18" t="n">
        <f aca="false">'Black-Scholes'!$B$5*EXP(('Black-Scholes'!$B$8-'Black-Scholes'!$B$10-'Black-Scholes'!$B$9^2/2)*'Black-Scholes'!$B$7-'Black-Scholes'!$B$9*SQRT('Black-Scholes'!$B$7)*B371)</f>
        <v>103.392015496704</v>
      </c>
      <c r="E371" s="18" t="n">
        <f aca="false">EXP(-'Black-Scholes'!$B$8*'Black-Scholes'!$B$7)*IF(LOWER('Black-Scholes'!$B$11)="put",MAX('Black-Scholes'!$B$6-C371,0),MAX(C371-'Black-Scholes'!$B$6,0))</f>
        <v>2.56836980763039</v>
      </c>
      <c r="F371" s="18" t="n">
        <f aca="false">(E371+G371)/2</f>
        <v>2.89747737822895</v>
      </c>
      <c r="G371" s="18" t="n">
        <f aca="false">EXP(-'Black-Scholes'!$B$8*'Black-Scholes'!$B$7)*IF(LOWER('Black-Scholes'!$B$11)="put",MAX('Black-Scholes'!$B$6-D371,0),MAX(D371-'Black-Scholes'!$B$6,0))</f>
        <v>3.22658494882751</v>
      </c>
    </row>
    <row r="372" customFormat="false" ht="15" hidden="false" customHeight="false" outlineLevel="0" collapsed="false">
      <c r="A372" s="0" t="n">
        <v>361</v>
      </c>
      <c r="B372" s="15" t="n">
        <v>0.0333392126919164</v>
      </c>
      <c r="C372" s="18" t="n">
        <f aca="false">'Black-Scholes'!$B$5*EXP(('Black-Scholes'!$B$8-'Black-Scholes'!$B$10-'Black-Scholes'!$B$9^2/2)*'Black-Scholes'!$B$7+'Black-Scholes'!$B$9*SQRT('Black-Scholes'!$B$7)*B372)</f>
        <v>103.734840059568</v>
      </c>
      <c r="D372" s="18" t="n">
        <f aca="false">'Black-Scholes'!$B$5*EXP(('Black-Scholes'!$B$8-'Black-Scholes'!$B$10-'Black-Scholes'!$B$9^2/2)*'Black-Scholes'!$B$7-'Black-Scholes'!$B$9*SQRT('Black-Scholes'!$B$7)*B372)</f>
        <v>102.360648161757</v>
      </c>
      <c r="E372" s="18" t="n">
        <f aca="false">EXP(-'Black-Scholes'!$B$8*'Black-Scholes'!$B$7)*IF(LOWER('Black-Scholes'!$B$11)="put",MAX('Black-Scholes'!$B$6-C372,0),MAX(C372-'Black-Scholes'!$B$6,0))</f>
        <v>3.55268976046499</v>
      </c>
      <c r="F372" s="18" t="n">
        <f aca="false">(E372+G372)/2</f>
        <v>2.89910387641102</v>
      </c>
      <c r="G372" s="18" t="n">
        <f aca="false">EXP(-'Black-Scholes'!$B$8*'Black-Scholes'!$B$7)*IF(LOWER('Black-Scholes'!$B$11)="put",MAX('Black-Scholes'!$B$6-D372,0),MAX(D372-'Black-Scholes'!$B$6,0))</f>
        <v>2.24551799235706</v>
      </c>
    </row>
    <row r="373" customFormat="false" ht="15" hidden="false" customHeight="false" outlineLevel="0" collapsed="false">
      <c r="A373" s="0" t="n">
        <v>362</v>
      </c>
      <c r="B373" s="15" t="n">
        <v>1.61852048459153</v>
      </c>
      <c r="C373" s="18" t="n">
        <f aca="false">'Black-Scholes'!$B$5*EXP(('Black-Scholes'!$B$8-'Black-Scholes'!$B$10-'Black-Scholes'!$B$9^2/2)*'Black-Scholes'!$B$7+'Black-Scholes'!$B$9*SQRT('Black-Scholes'!$B$7)*B373)</f>
        <v>142.433365939821</v>
      </c>
      <c r="D373" s="18" t="n">
        <f aca="false">'Black-Scholes'!$B$5*EXP(('Black-Scholes'!$B$8-'Black-Scholes'!$B$10-'Black-Scholes'!$B$9^2/2)*'Black-Scholes'!$B$7-'Black-Scholes'!$B$9*SQRT('Black-Scholes'!$B$7)*B373)</f>
        <v>74.5497053684735</v>
      </c>
      <c r="E373" s="18" t="n">
        <f aca="false">EXP(-'Black-Scholes'!$B$8*'Black-Scholes'!$B$7)*IF(LOWER('Black-Scholes'!$B$11)="put",MAX('Black-Scholes'!$B$6-C373,0),MAX(C373-'Black-Scholes'!$B$6,0))</f>
        <v>40.3638662625637</v>
      </c>
      <c r="F373" s="18" t="n">
        <f aca="false">(E373+G373)/2</f>
        <v>20.1819331312819</v>
      </c>
      <c r="G373" s="18" t="n">
        <f aca="false">EXP(-'Black-Scholes'!$B$8*'Black-Scholes'!$B$7)*IF(LOWER('Black-Scholes'!$B$11)="put",MAX('Black-Scholes'!$B$6-D373,0),MAX(D373-'Black-Scholes'!$B$6,0))</f>
        <v>0</v>
      </c>
    </row>
    <row r="374" customFormat="false" ht="15" hidden="false" customHeight="false" outlineLevel="0" collapsed="false">
      <c r="A374" s="0" t="n">
        <v>363</v>
      </c>
      <c r="B374" s="15" t="n">
        <v>-0.463280895603677</v>
      </c>
      <c r="C374" s="18" t="n">
        <f aca="false">'Black-Scholes'!$B$5*EXP(('Black-Scholes'!$B$8-'Black-Scholes'!$B$10-'Black-Scholes'!$B$9^2/2)*'Black-Scholes'!$B$7+'Black-Scholes'!$B$9*SQRT('Black-Scholes'!$B$7)*B374)</f>
        <v>93.9266357563765</v>
      </c>
      <c r="D374" s="18" t="n">
        <f aca="false">'Black-Scholes'!$B$5*EXP(('Black-Scholes'!$B$8-'Black-Scholes'!$B$10-'Black-Scholes'!$B$9^2/2)*'Black-Scholes'!$B$7-'Black-Scholes'!$B$9*SQRT('Black-Scholes'!$B$7)*B374)</f>
        <v>113.049566610638</v>
      </c>
      <c r="E374" s="18" t="n">
        <f aca="false">EXP(-'Black-Scholes'!$B$8*'Black-Scholes'!$B$7)*IF(LOWER('Black-Scholes'!$B$11)="put",MAX('Black-Scholes'!$B$6-C374,0),MAX(C374-'Black-Scholes'!$B$6,0))</f>
        <v>0</v>
      </c>
      <c r="F374" s="18" t="n">
        <f aca="false">(E374+G374)/2</f>
        <v>6.20656586851036</v>
      </c>
      <c r="G374" s="18" t="n">
        <f aca="false">EXP(-'Black-Scholes'!$B$8*'Black-Scholes'!$B$7)*IF(LOWER('Black-Scholes'!$B$11)="put",MAX('Black-Scholes'!$B$6-D374,0),MAX(D374-'Black-Scholes'!$B$6,0))</f>
        <v>12.4131317370207</v>
      </c>
    </row>
    <row r="375" customFormat="false" ht="15" hidden="false" customHeight="false" outlineLevel="0" collapsed="false">
      <c r="A375" s="0" t="n">
        <v>364</v>
      </c>
      <c r="B375" s="15" t="n">
        <v>0.257989946218847</v>
      </c>
      <c r="C375" s="18" t="n">
        <f aca="false">'Black-Scholes'!$B$5*EXP(('Black-Scholes'!$B$8-'Black-Scholes'!$B$10-'Black-Scholes'!$B$9^2/2)*'Black-Scholes'!$B$7+'Black-Scholes'!$B$9*SQRT('Black-Scholes'!$B$7)*B375)</f>
        <v>108.501953261853</v>
      </c>
      <c r="D375" s="18" t="n">
        <f aca="false">'Black-Scholes'!$B$5*EXP(('Black-Scholes'!$B$8-'Black-Scholes'!$B$10-'Black-Scholes'!$B$9^2/2)*'Black-Scholes'!$B$7-'Black-Scholes'!$B$9*SQRT('Black-Scholes'!$B$7)*B375)</f>
        <v>97.8633577206469</v>
      </c>
      <c r="E375" s="18" t="n">
        <f aca="false">EXP(-'Black-Scholes'!$B$8*'Black-Scholes'!$B$7)*IF(LOWER('Black-Scholes'!$B$11)="put",MAX('Black-Scholes'!$B$6-C375,0),MAX(C375-'Black-Scholes'!$B$6,0))</f>
        <v>8.08730810840401</v>
      </c>
      <c r="F375" s="18" t="n">
        <f aca="false">(E375+G375)/2</f>
        <v>4.04365405420201</v>
      </c>
      <c r="G375" s="18" t="n">
        <f aca="false">EXP(-'Black-Scholes'!$B$8*'Black-Scholes'!$B$7)*IF(LOWER('Black-Scholes'!$B$11)="put",MAX('Black-Scholes'!$B$6-D375,0),MAX(D375-'Black-Scholes'!$B$6,0))</f>
        <v>0</v>
      </c>
    </row>
    <row r="376" customFormat="false" ht="15" hidden="false" customHeight="false" outlineLevel="0" collapsed="false">
      <c r="A376" s="0" t="n">
        <v>365</v>
      </c>
      <c r="B376" s="15" t="n">
        <v>0.822371616945102</v>
      </c>
      <c r="C376" s="18" t="n">
        <f aca="false">'Black-Scholes'!$B$5*EXP(('Black-Scholes'!$B$8-'Black-Scholes'!$B$10-'Black-Scholes'!$B$9^2/2)*'Black-Scholes'!$B$7+'Black-Scholes'!$B$9*SQRT('Black-Scholes'!$B$7)*B376)</f>
        <v>121.467229381667</v>
      </c>
      <c r="D376" s="18" t="n">
        <f aca="false">'Black-Scholes'!$B$5*EXP(('Black-Scholes'!$B$8-'Black-Scholes'!$B$10-'Black-Scholes'!$B$9^2/2)*'Black-Scholes'!$B$7-'Black-Scholes'!$B$9*SQRT('Black-Scholes'!$B$7)*B376)</f>
        <v>87.4175324448142</v>
      </c>
      <c r="E376" s="18" t="n">
        <f aca="false">EXP(-'Black-Scholes'!$B$8*'Black-Scholes'!$B$7)*IF(LOWER('Black-Scholes'!$B$11)="put",MAX('Black-Scholes'!$B$6-C376,0),MAX(C376-'Black-Scholes'!$B$6,0))</f>
        <v>20.4202602503483</v>
      </c>
      <c r="F376" s="18" t="n">
        <f aca="false">(E376+G376)/2</f>
        <v>10.2101301251742</v>
      </c>
      <c r="G376" s="18" t="n">
        <f aca="false">EXP(-'Black-Scholes'!$B$8*'Black-Scholes'!$B$7)*IF(LOWER('Black-Scholes'!$B$11)="put",MAX('Black-Scholes'!$B$6-D376,0),MAX(D376-'Black-Scholes'!$B$6,0))</f>
        <v>0</v>
      </c>
    </row>
    <row r="377" customFormat="false" ht="15" hidden="false" customHeight="false" outlineLevel="0" collapsed="false">
      <c r="A377" s="0" t="n">
        <v>366</v>
      </c>
      <c r="B377" s="15" t="n">
        <v>0.315472188845654</v>
      </c>
      <c r="C377" s="18" t="n">
        <f aca="false">'Black-Scholes'!$B$5*EXP(('Black-Scholes'!$B$8-'Black-Scholes'!$B$10-'Black-Scholes'!$B$9^2/2)*'Black-Scholes'!$B$7+'Black-Scholes'!$B$9*SQRT('Black-Scholes'!$B$7)*B377)</f>
        <v>109.756538200007</v>
      </c>
      <c r="D377" s="18" t="n">
        <f aca="false">'Black-Scholes'!$B$5*EXP(('Black-Scholes'!$B$8-'Black-Scholes'!$B$10-'Black-Scholes'!$B$9^2/2)*'Black-Scholes'!$B$7-'Black-Scholes'!$B$9*SQRT('Black-Scholes'!$B$7)*B377)</f>
        <v>96.7447191720273</v>
      </c>
      <c r="E377" s="18" t="n">
        <f aca="false">EXP(-'Black-Scholes'!$B$8*'Black-Scholes'!$B$7)*IF(LOWER('Black-Scholes'!$B$11)="put",MAX('Black-Scholes'!$B$6-C377,0),MAX(C377-'Black-Scholes'!$B$6,0))</f>
        <v>9.2807062171122</v>
      </c>
      <c r="F377" s="18" t="n">
        <f aca="false">(E377+G377)/2</f>
        <v>4.6403531085561</v>
      </c>
      <c r="G377" s="18" t="n">
        <f aca="false">EXP(-'Black-Scholes'!$B$8*'Black-Scholes'!$B$7)*IF(LOWER('Black-Scholes'!$B$11)="put",MAX('Black-Scholes'!$B$6-D377,0),MAX(D377-'Black-Scholes'!$B$6,0))</f>
        <v>0</v>
      </c>
    </row>
    <row r="378" customFormat="false" ht="15" hidden="false" customHeight="false" outlineLevel="0" collapsed="false">
      <c r="A378" s="0" t="n">
        <v>367</v>
      </c>
      <c r="B378" s="15" t="n">
        <v>-1.56309635444321</v>
      </c>
      <c r="C378" s="18" t="n">
        <f aca="false">'Black-Scholes'!$B$5*EXP(('Black-Scholes'!$B$8-'Black-Scholes'!$B$10-'Black-Scholes'!$B$9^2/2)*'Black-Scholes'!$B$7+'Black-Scholes'!$B$9*SQRT('Black-Scholes'!$B$7)*B378)</f>
        <v>75.3806729398972</v>
      </c>
      <c r="D378" s="18" t="n">
        <f aca="false">'Black-Scholes'!$B$5*EXP(('Black-Scholes'!$B$8-'Black-Scholes'!$B$10-'Black-Scholes'!$B$9^2/2)*'Black-Scholes'!$B$7-'Black-Scholes'!$B$9*SQRT('Black-Scholes'!$B$7)*B378)</f>
        <v>140.86323524758</v>
      </c>
      <c r="E378" s="18" t="n">
        <f aca="false">EXP(-'Black-Scholes'!$B$8*'Black-Scholes'!$B$7)*IF(LOWER('Black-Scholes'!$B$11)="put",MAX('Black-Scholes'!$B$6-C378,0),MAX(C378-'Black-Scholes'!$B$6,0))</f>
        <v>0</v>
      </c>
      <c r="F378" s="18" t="n">
        <f aca="false">(E378+G378)/2</f>
        <v>19.4351558738963</v>
      </c>
      <c r="G378" s="18" t="n">
        <f aca="false">EXP(-'Black-Scholes'!$B$8*'Black-Scholes'!$B$7)*IF(LOWER('Black-Scholes'!$B$11)="put",MAX('Black-Scholes'!$B$6-D378,0),MAX(D378-'Black-Scholes'!$B$6,0))</f>
        <v>38.8703117477925</v>
      </c>
    </row>
    <row r="379" customFormat="false" ht="15" hidden="false" customHeight="false" outlineLevel="0" collapsed="false">
      <c r="A379" s="0" t="n">
        <v>368</v>
      </c>
      <c r="B379" s="15" t="n">
        <v>-0.715301980756912</v>
      </c>
      <c r="C379" s="18" t="n">
        <f aca="false">'Black-Scholes'!$B$5*EXP(('Black-Scholes'!$B$8-'Black-Scholes'!$B$10-'Black-Scholes'!$B$9^2/2)*'Black-Scholes'!$B$7+'Black-Scholes'!$B$9*SQRT('Black-Scholes'!$B$7)*B379)</f>
        <v>89.3096718882478</v>
      </c>
      <c r="D379" s="18" t="n">
        <f aca="false">'Black-Scholes'!$B$5*EXP(('Black-Scholes'!$B$8-'Black-Scholes'!$B$10-'Black-Scholes'!$B$9^2/2)*'Black-Scholes'!$B$7-'Black-Scholes'!$B$9*SQRT('Black-Scholes'!$B$7)*B379)</f>
        <v>118.893791018964</v>
      </c>
      <c r="E379" s="18" t="n">
        <f aca="false">EXP(-'Black-Scholes'!$B$8*'Black-Scholes'!$B$7)*IF(LOWER('Black-Scholes'!$B$11)="put",MAX('Black-Scholes'!$B$6-C379,0),MAX(C379-'Black-Scholes'!$B$6,0))</f>
        <v>0</v>
      </c>
      <c r="F379" s="18" t="n">
        <f aca="false">(E379+G379)/2</f>
        <v>8.98616497880306</v>
      </c>
      <c r="G379" s="18" t="n">
        <f aca="false">EXP(-'Black-Scholes'!$B$8*'Black-Scholes'!$B$7)*IF(LOWER('Black-Scholes'!$B$11)="put",MAX('Black-Scholes'!$B$6-D379,0),MAX(D379-'Black-Scholes'!$B$6,0))</f>
        <v>17.9723299576061</v>
      </c>
    </row>
    <row r="380" customFormat="false" ht="15" hidden="false" customHeight="false" outlineLevel="0" collapsed="false">
      <c r="A380" s="0" t="n">
        <v>369</v>
      </c>
      <c r="B380" s="15" t="n">
        <v>0.126162293326527</v>
      </c>
      <c r="C380" s="18" t="n">
        <f aca="false">'Black-Scholes'!$B$5*EXP(('Black-Scholes'!$B$8-'Black-Scholes'!$B$10-'Black-Scholes'!$B$9^2/2)*'Black-Scholes'!$B$7+'Black-Scholes'!$B$9*SQRT('Black-Scholes'!$B$7)*B380)</f>
        <v>105.678624524499</v>
      </c>
      <c r="D380" s="18" t="n">
        <f aca="false">'Black-Scholes'!$B$5*EXP(('Black-Scholes'!$B$8-'Black-Scholes'!$B$10-'Black-Scholes'!$B$9^2/2)*'Black-Scholes'!$B$7-'Black-Scholes'!$B$9*SQRT('Black-Scholes'!$B$7)*B380)</f>
        <v>100.477892414203</v>
      </c>
      <c r="E380" s="18" t="n">
        <f aca="false">EXP(-'Black-Scholes'!$B$8*'Black-Scholes'!$B$7)*IF(LOWER('Black-Scholes'!$B$11)="put",MAX('Black-Scholes'!$B$6-C380,0),MAX(C380-'Black-Scholes'!$B$6,0))</f>
        <v>5.40167473839519</v>
      </c>
      <c r="F380" s="18" t="n">
        <f aca="false">(E380+G380)/2</f>
        <v>2.92813003226535</v>
      </c>
      <c r="G380" s="18" t="n">
        <f aca="false">EXP(-'Black-Scholes'!$B$8*'Black-Scholes'!$B$7)*IF(LOWER('Black-Scholes'!$B$11)="put",MAX('Black-Scholes'!$B$6-D380,0),MAX(D380-'Black-Scholes'!$B$6,0))</f>
        <v>0.454585326135507</v>
      </c>
    </row>
    <row r="381" customFormat="false" ht="15" hidden="false" customHeight="false" outlineLevel="0" collapsed="false">
      <c r="A381" s="0" t="n">
        <v>370</v>
      </c>
      <c r="B381" s="15" t="n">
        <v>0.243062652373598</v>
      </c>
      <c r="C381" s="18" t="n">
        <f aca="false">'Black-Scholes'!$B$5*EXP(('Black-Scholes'!$B$8-'Black-Scholes'!$B$10-'Black-Scholes'!$B$9^2/2)*'Black-Scholes'!$B$7+'Black-Scholes'!$B$9*SQRT('Black-Scholes'!$B$7)*B381)</f>
        <v>108.178508210199</v>
      </c>
      <c r="D381" s="18" t="n">
        <f aca="false">'Black-Scholes'!$B$5*EXP(('Black-Scholes'!$B$8-'Black-Scholes'!$B$10-'Black-Scholes'!$B$9^2/2)*'Black-Scholes'!$B$7-'Black-Scholes'!$B$9*SQRT('Black-Scholes'!$B$7)*B381)</f>
        <v>98.1559613007543</v>
      </c>
      <c r="E381" s="18" t="n">
        <f aca="false">EXP(-'Black-Scholes'!$B$8*'Black-Scholes'!$B$7)*IF(LOWER('Black-Scholes'!$B$11)="put",MAX('Black-Scholes'!$B$6-C381,0),MAX(C381-'Black-Scholes'!$B$6,0))</f>
        <v>7.77963765806165</v>
      </c>
      <c r="F381" s="18" t="n">
        <f aca="false">(E381+G381)/2</f>
        <v>3.88981882903082</v>
      </c>
      <c r="G381" s="18" t="n">
        <f aca="false">EXP(-'Black-Scholes'!$B$8*'Black-Scholes'!$B$7)*IF(LOWER('Black-Scholes'!$B$11)="put",MAX('Black-Scholes'!$B$6-D381,0),MAX(D381-'Black-Scholes'!$B$6,0))</f>
        <v>0</v>
      </c>
    </row>
    <row r="382" customFormat="false" ht="15" hidden="false" customHeight="false" outlineLevel="0" collapsed="false">
      <c r="A382" s="0" t="n">
        <v>371</v>
      </c>
      <c r="B382" s="15" t="n">
        <v>-1.21393030743697</v>
      </c>
      <c r="C382" s="18" t="n">
        <f aca="false">'Black-Scholes'!$B$5*EXP(('Black-Scholes'!$B$8-'Black-Scholes'!$B$10-'Black-Scholes'!$B$9^2/2)*'Black-Scholes'!$B$7+'Black-Scholes'!$B$9*SQRT('Black-Scholes'!$B$7)*B382)</f>
        <v>80.8329051434284</v>
      </c>
      <c r="D382" s="18" t="n">
        <f aca="false">'Black-Scholes'!$B$5*EXP(('Black-Scholes'!$B$8-'Black-Scholes'!$B$10-'Black-Scholes'!$B$9^2/2)*'Black-Scholes'!$B$7-'Black-Scholes'!$B$9*SQRT('Black-Scholes'!$B$7)*B382)</f>
        <v>131.361918102691</v>
      </c>
      <c r="E382" s="18" t="n">
        <f aca="false">EXP(-'Black-Scholes'!$B$8*'Black-Scholes'!$B$7)*IF(LOWER('Black-Scholes'!$B$11)="put",MAX('Black-Scholes'!$B$6-C382,0),MAX(C382-'Black-Scholes'!$B$6,0))</f>
        <v>0</v>
      </c>
      <c r="F382" s="18" t="n">
        <f aca="false">(E382+G382)/2</f>
        <v>14.9161896540304</v>
      </c>
      <c r="G382" s="18" t="n">
        <f aca="false">EXP(-'Black-Scholes'!$B$8*'Black-Scholes'!$B$7)*IF(LOWER('Black-Scholes'!$B$11)="put",MAX('Black-Scholes'!$B$6-D382,0),MAX(D382-'Black-Scholes'!$B$6,0))</f>
        <v>29.8323793080609</v>
      </c>
    </row>
    <row r="383" customFormat="false" ht="15" hidden="false" customHeight="false" outlineLevel="0" collapsed="false">
      <c r="A383" s="0" t="n">
        <v>372</v>
      </c>
      <c r="B383" s="15" t="n">
        <v>-0.0332617346213769</v>
      </c>
      <c r="C383" s="18" t="n">
        <f aca="false">'Black-Scholes'!$B$5*EXP(('Black-Scholes'!$B$8-'Black-Scholes'!$B$10-'Black-Scholes'!$B$9^2/2)*'Black-Scholes'!$B$7+'Black-Scholes'!$B$9*SQRT('Black-Scholes'!$B$7)*B383)</f>
        <v>102.36223431515</v>
      </c>
      <c r="D383" s="18" t="n">
        <f aca="false">'Black-Scholes'!$B$5*EXP(('Black-Scholes'!$B$8-'Black-Scholes'!$B$10-'Black-Scholes'!$B$9^2/2)*'Black-Scholes'!$B$7-'Black-Scholes'!$B$9*SQRT('Black-Scholes'!$B$7)*B383)</f>
        <v>103.733232636971</v>
      </c>
      <c r="E383" s="18" t="n">
        <f aca="false">EXP(-'Black-Scholes'!$B$8*'Black-Scholes'!$B$7)*IF(LOWER('Black-Scholes'!$B$11)="put",MAX('Black-Scholes'!$B$6-C383,0),MAX(C383-'Black-Scholes'!$B$6,0))</f>
        <v>2.24702678813618</v>
      </c>
      <c r="F383" s="18" t="n">
        <f aca="false">(E383+G383)/2</f>
        <v>2.89909376046461</v>
      </c>
      <c r="G383" s="18" t="n">
        <f aca="false">EXP(-'Black-Scholes'!$B$8*'Black-Scholes'!$B$7)*IF(LOWER('Black-Scholes'!$B$11)="put",MAX('Black-Scholes'!$B$6-D383,0),MAX(D383-'Black-Scholes'!$B$6,0))</f>
        <v>3.55116073279304</v>
      </c>
    </row>
    <row r="384" customFormat="false" ht="15" hidden="false" customHeight="false" outlineLevel="0" collapsed="false">
      <c r="A384" s="0" t="n">
        <v>373</v>
      </c>
      <c r="B384" s="15" t="n">
        <v>-1.5621168118977</v>
      </c>
      <c r="C384" s="18" t="n">
        <f aca="false">'Black-Scholes'!$B$5*EXP(('Black-Scholes'!$B$8-'Black-Scholes'!$B$10-'Black-Scholes'!$B$9^2/2)*'Black-Scholes'!$B$7+'Black-Scholes'!$B$9*SQRT('Black-Scholes'!$B$7)*B384)</f>
        <v>75.395442101803</v>
      </c>
      <c r="D384" s="18" t="n">
        <f aca="false">'Black-Scholes'!$B$5*EXP(('Black-Scholes'!$B$8-'Black-Scholes'!$B$10-'Black-Scholes'!$B$9^2/2)*'Black-Scholes'!$B$7-'Black-Scholes'!$B$9*SQRT('Black-Scholes'!$B$7)*B384)</f>
        <v>140.835641644174</v>
      </c>
      <c r="E384" s="18" t="n">
        <f aca="false">EXP(-'Black-Scholes'!$B$8*'Black-Scholes'!$B$7)*IF(LOWER('Black-Scholes'!$B$11)="put",MAX('Black-Scholes'!$B$6-C384,0),MAX(C384-'Black-Scholes'!$B$6,0))</f>
        <v>0</v>
      </c>
      <c r="F384" s="18" t="n">
        <f aca="false">(E384+G384)/2</f>
        <v>19.4220319501525</v>
      </c>
      <c r="G384" s="18" t="n">
        <f aca="false">EXP(-'Black-Scholes'!$B$8*'Black-Scholes'!$B$7)*IF(LOWER('Black-Scholes'!$B$11)="put",MAX('Black-Scholes'!$B$6-D384,0),MAX(D384-'Black-Scholes'!$B$6,0))</f>
        <v>38.8440639003051</v>
      </c>
    </row>
    <row r="385" customFormat="false" ht="15" hidden="false" customHeight="false" outlineLevel="0" collapsed="false">
      <c r="A385" s="0" t="n">
        <v>374</v>
      </c>
      <c r="B385" s="15" t="n">
        <v>0.6117148118194</v>
      </c>
      <c r="C385" s="18" t="n">
        <f aca="false">'Black-Scholes'!$B$5*EXP(('Black-Scholes'!$B$8-'Black-Scholes'!$B$10-'Black-Scholes'!$B$9^2/2)*'Black-Scholes'!$B$7+'Black-Scholes'!$B$9*SQRT('Black-Scholes'!$B$7)*B385)</f>
        <v>116.455956805268</v>
      </c>
      <c r="D385" s="18" t="n">
        <f aca="false">'Black-Scholes'!$B$5*EXP(('Black-Scholes'!$B$8-'Black-Scholes'!$B$10-'Black-Scholes'!$B$9^2/2)*'Black-Scholes'!$B$7-'Black-Scholes'!$B$9*SQRT('Black-Scholes'!$B$7)*B385)</f>
        <v>91.1792385443119</v>
      </c>
      <c r="E385" s="18" t="n">
        <f aca="false">EXP(-'Black-Scholes'!$B$8*'Black-Scholes'!$B$7)*IF(LOWER('Black-Scholes'!$B$11)="put",MAX('Black-Scholes'!$B$6-C385,0),MAX(C385-'Black-Scholes'!$B$6,0))</f>
        <v>15.6533903214835</v>
      </c>
      <c r="F385" s="18" t="n">
        <f aca="false">(E385+G385)/2</f>
        <v>7.82669516074176</v>
      </c>
      <c r="G385" s="18" t="n">
        <f aca="false">EXP(-'Black-Scholes'!$B$8*'Black-Scholes'!$B$7)*IF(LOWER('Black-Scholes'!$B$11)="put",MAX('Black-Scholes'!$B$6-D385,0),MAX(D385-'Black-Scholes'!$B$6,0))</f>
        <v>0</v>
      </c>
    </row>
    <row r="386" customFormat="false" ht="15" hidden="false" customHeight="false" outlineLevel="0" collapsed="false">
      <c r="A386" s="0" t="n">
        <v>375</v>
      </c>
      <c r="B386" s="15" t="n">
        <v>-0.104850629022673</v>
      </c>
      <c r="C386" s="18" t="n">
        <f aca="false">'Black-Scholes'!$B$5*EXP(('Black-Scholes'!$B$8-'Black-Scholes'!$B$10-'Black-Scholes'!$B$9^2/2)*'Black-Scholes'!$B$7+'Black-Scholes'!$B$9*SQRT('Black-Scholes'!$B$7)*B386)</f>
        <v>100.907076650091</v>
      </c>
      <c r="D386" s="18" t="n">
        <f aca="false">'Black-Scholes'!$B$5*EXP(('Black-Scholes'!$B$8-'Black-Scholes'!$B$10-'Black-Scholes'!$B$9^2/2)*'Black-Scholes'!$B$7-'Black-Scholes'!$B$9*SQRT('Black-Scholes'!$B$7)*B386)</f>
        <v>105.229145645297</v>
      </c>
      <c r="E386" s="18" t="n">
        <f aca="false">EXP(-'Black-Scholes'!$B$8*'Black-Scholes'!$B$7)*IF(LOWER('Black-Scholes'!$B$11)="put",MAX('Black-Scholes'!$B$6-C386,0),MAX(C386-'Black-Scholes'!$B$6,0))</f>
        <v>0.862837999843881</v>
      </c>
      <c r="F386" s="18" t="n">
        <f aca="false">(E386+G386)/2</f>
        <v>2.9184776013253</v>
      </c>
      <c r="G386" s="18" t="n">
        <f aca="false">EXP(-'Black-Scholes'!$B$8*'Black-Scholes'!$B$7)*IF(LOWER('Black-Scholes'!$B$11)="put",MAX('Black-Scholes'!$B$6-D386,0),MAX(D386-'Black-Scholes'!$B$6,0))</f>
        <v>4.97411720280672</v>
      </c>
    </row>
    <row r="387" customFormat="false" ht="15" hidden="false" customHeight="false" outlineLevel="0" collapsed="false">
      <c r="A387" s="0" t="n">
        <v>376</v>
      </c>
      <c r="B387" s="15" t="n">
        <v>1.25027403406251</v>
      </c>
      <c r="C387" s="18" t="n">
        <f aca="false">'Black-Scholes'!$B$5*EXP(('Black-Scholes'!$B$8-'Black-Scholes'!$B$10-'Black-Scholes'!$B$9^2/2)*'Black-Scholes'!$B$7+'Black-Scholes'!$B$9*SQRT('Black-Scholes'!$B$7)*B387)</f>
        <v>132.320233085221</v>
      </c>
      <c r="D387" s="18" t="n">
        <f aca="false">'Black-Scholes'!$B$5*EXP(('Black-Scholes'!$B$8-'Black-Scholes'!$B$10-'Black-Scholes'!$B$9^2/2)*'Black-Scholes'!$B$7-'Black-Scholes'!$B$9*SQRT('Black-Scholes'!$B$7)*B387)</f>
        <v>80.2474815670465</v>
      </c>
      <c r="E387" s="18" t="n">
        <f aca="false">EXP(-'Black-Scholes'!$B$8*'Black-Scholes'!$B$7)*IF(LOWER('Black-Scholes'!$B$11)="put",MAX('Black-Scholes'!$B$6-C387,0),MAX(C387-'Black-Scholes'!$B$6,0))</f>
        <v>30.743956717384</v>
      </c>
      <c r="F387" s="18" t="n">
        <f aca="false">(E387+G387)/2</f>
        <v>15.371978358692</v>
      </c>
      <c r="G387" s="18" t="n">
        <f aca="false">EXP(-'Black-Scholes'!$B$8*'Black-Scholes'!$B$7)*IF(LOWER('Black-Scholes'!$B$11)="put",MAX('Black-Scholes'!$B$6-D387,0),MAX(D387-'Black-Scholes'!$B$6,0))</f>
        <v>0</v>
      </c>
    </row>
    <row r="388" customFormat="false" ht="15" hidden="false" customHeight="false" outlineLevel="0" collapsed="false">
      <c r="A388" s="0" t="n">
        <v>377</v>
      </c>
      <c r="B388" s="15" t="n">
        <v>0.825659292187973</v>
      </c>
      <c r="C388" s="18" t="n">
        <f aca="false">'Black-Scholes'!$B$5*EXP(('Black-Scholes'!$B$8-'Black-Scholes'!$B$10-'Black-Scholes'!$B$9^2/2)*'Black-Scholes'!$B$7+'Black-Scholes'!$B$9*SQRT('Black-Scholes'!$B$7)*B388)</f>
        <v>121.547124606316</v>
      </c>
      <c r="D388" s="18" t="n">
        <f aca="false">'Black-Scholes'!$B$5*EXP(('Black-Scholes'!$B$8-'Black-Scholes'!$B$10-'Black-Scholes'!$B$9^2/2)*'Black-Scholes'!$B$7-'Black-Scholes'!$B$9*SQRT('Black-Scholes'!$B$7)*B388)</f>
        <v>87.3600712468179</v>
      </c>
      <c r="E388" s="18" t="n">
        <f aca="false">EXP(-'Black-Scholes'!$B$8*'Black-Scholes'!$B$7)*IF(LOWER('Black-Scholes'!$B$11)="put",MAX('Black-Scholes'!$B$6-C388,0),MAX(C388-'Black-Scholes'!$B$6,0))</f>
        <v>20.4962589389109</v>
      </c>
      <c r="F388" s="18" t="n">
        <f aca="false">(E388+G388)/2</f>
        <v>10.2481294694554</v>
      </c>
      <c r="G388" s="18" t="n">
        <f aca="false">EXP(-'Black-Scholes'!$B$8*'Black-Scholes'!$B$7)*IF(LOWER('Black-Scholes'!$B$11)="put",MAX('Black-Scholes'!$B$6-D388,0),MAX(D388-'Black-Scholes'!$B$6,0))</f>
        <v>0</v>
      </c>
    </row>
    <row r="389" customFormat="false" ht="15" hidden="false" customHeight="false" outlineLevel="0" collapsed="false">
      <c r="A389" s="0" t="n">
        <v>378</v>
      </c>
      <c r="B389" s="15" t="n">
        <v>0.0361208876818523</v>
      </c>
      <c r="C389" s="18" t="n">
        <f aca="false">'Black-Scholes'!$B$5*EXP(('Black-Scholes'!$B$8-'Black-Scholes'!$B$10-'Black-Scholes'!$B$9^2/2)*'Black-Scholes'!$B$7+'Black-Scholes'!$B$9*SQRT('Black-Scholes'!$B$7)*B389)</f>
        <v>103.792567437995</v>
      </c>
      <c r="D389" s="18" t="n">
        <f aca="false">'Black-Scholes'!$B$5*EXP(('Black-Scholes'!$B$8-'Black-Scholes'!$B$10-'Black-Scholes'!$B$9^2/2)*'Black-Scholes'!$B$7-'Black-Scholes'!$B$9*SQRT('Black-Scholes'!$B$7)*B389)</f>
        <v>102.303717188583</v>
      </c>
      <c r="E389" s="18" t="n">
        <f aca="false">EXP(-'Black-Scholes'!$B$8*'Black-Scholes'!$B$7)*IF(LOWER('Black-Scholes'!$B$11)="put",MAX('Black-Scholes'!$B$6-C389,0),MAX(C389-'Black-Scholes'!$B$6,0))</f>
        <v>3.60760174142431</v>
      </c>
      <c r="F389" s="18" t="n">
        <f aca="false">(E389+G389)/2</f>
        <v>2.89948265846629</v>
      </c>
      <c r="G389" s="18" t="n">
        <f aca="false">EXP(-'Black-Scholes'!$B$8*'Black-Scholes'!$B$7)*IF(LOWER('Black-Scholes'!$B$11)="put",MAX('Black-Scholes'!$B$6-D389,0),MAX(D389-'Black-Scholes'!$B$6,0))</f>
        <v>2.19136357550827</v>
      </c>
    </row>
    <row r="390" customFormat="false" ht="15" hidden="false" customHeight="false" outlineLevel="0" collapsed="false">
      <c r="A390" s="0" t="n">
        <v>379</v>
      </c>
      <c r="B390" s="15" t="n">
        <v>-0.378633100596479</v>
      </c>
      <c r="C390" s="18" t="n">
        <f aca="false">'Black-Scholes'!$B$5*EXP(('Black-Scholes'!$B$8-'Black-Scholes'!$B$10-'Black-Scholes'!$B$9^2/2)*'Black-Scholes'!$B$7+'Black-Scholes'!$B$9*SQRT('Black-Scholes'!$B$7)*B390)</f>
        <v>95.5303087139933</v>
      </c>
      <c r="D390" s="18" t="n">
        <f aca="false">'Black-Scholes'!$B$5*EXP(('Black-Scholes'!$B$8-'Black-Scholes'!$B$10-'Black-Scholes'!$B$9^2/2)*'Black-Scholes'!$B$7-'Black-Scholes'!$B$9*SQRT('Black-Scholes'!$B$7)*B390)</f>
        <v>111.151796831765</v>
      </c>
      <c r="E390" s="18" t="n">
        <f aca="false">EXP(-'Black-Scholes'!$B$8*'Black-Scholes'!$B$7)*IF(LOWER('Black-Scholes'!$B$11)="put",MAX('Black-Scholes'!$B$6-C390,0),MAX(C390-'Black-Scholes'!$B$6,0))</f>
        <v>0</v>
      </c>
      <c r="F390" s="18" t="n">
        <f aca="false">(E390+G390)/2</f>
        <v>5.30395864121445</v>
      </c>
      <c r="G390" s="18" t="n">
        <f aca="false">EXP(-'Black-Scholes'!$B$8*'Black-Scholes'!$B$7)*IF(LOWER('Black-Scholes'!$B$11)="put",MAX('Black-Scholes'!$B$6-D390,0),MAX(D390-'Black-Scholes'!$B$6,0))</f>
        <v>10.6079172824289</v>
      </c>
    </row>
    <row r="391" customFormat="false" ht="15" hidden="false" customHeight="false" outlineLevel="0" collapsed="false">
      <c r="A391" s="0" t="n">
        <v>380</v>
      </c>
      <c r="B391" s="15" t="n">
        <v>-2.45768323171954</v>
      </c>
      <c r="C391" s="18" t="n">
        <f aca="false">'Black-Scholes'!$B$5*EXP(('Black-Scholes'!$B$8-'Black-Scholes'!$B$10-'Black-Scholes'!$B$9^2/2)*'Black-Scholes'!$B$7+'Black-Scholes'!$B$9*SQRT('Black-Scholes'!$B$7)*B391)</f>
        <v>63.0314330738821</v>
      </c>
      <c r="D391" s="18" t="n">
        <f aca="false">'Black-Scholes'!$B$5*EXP(('Black-Scholes'!$B$8-'Black-Scholes'!$B$10-'Black-Scholes'!$B$9^2/2)*'Black-Scholes'!$B$7-'Black-Scholes'!$B$9*SQRT('Black-Scholes'!$B$7)*B391)</f>
        <v>168.461431822553</v>
      </c>
      <c r="E391" s="18" t="n">
        <f aca="false">EXP(-'Black-Scholes'!$B$8*'Black-Scholes'!$B$7)*IF(LOWER('Black-Scholes'!$B$11)="put",MAX('Black-Scholes'!$B$6-C391,0),MAX(C391-'Black-Scholes'!$B$6,0))</f>
        <v>0</v>
      </c>
      <c r="F391" s="18" t="n">
        <f aca="false">(E391+G391)/2</f>
        <v>32.5612641965309</v>
      </c>
      <c r="G391" s="18" t="n">
        <f aca="false">EXP(-'Black-Scholes'!$B$8*'Black-Scholes'!$B$7)*IF(LOWER('Black-Scholes'!$B$11)="put",MAX('Black-Scholes'!$B$6-D391,0),MAX(D391-'Black-Scholes'!$B$6,0))</f>
        <v>65.1225283930618</v>
      </c>
    </row>
    <row r="392" customFormat="false" ht="15" hidden="false" customHeight="false" outlineLevel="0" collapsed="false">
      <c r="A392" s="0" t="n">
        <v>381</v>
      </c>
      <c r="B392" s="15" t="n">
        <v>0.555577403537683</v>
      </c>
      <c r="C392" s="18" t="n">
        <f aca="false">'Black-Scholes'!$B$5*EXP(('Black-Scholes'!$B$8-'Black-Scholes'!$B$10-'Black-Scholes'!$B$9^2/2)*'Black-Scholes'!$B$7+'Black-Scholes'!$B$9*SQRT('Black-Scholes'!$B$7)*B392)</f>
        <v>115.155762299565</v>
      </c>
      <c r="D392" s="18" t="n">
        <f aca="false">'Black-Scholes'!$B$5*EXP(('Black-Scholes'!$B$8-'Black-Scholes'!$B$10-'Black-Scholes'!$B$9^2/2)*'Black-Scholes'!$B$7-'Black-Scholes'!$B$9*SQRT('Black-Scholes'!$B$7)*B392)</f>
        <v>92.208720201349</v>
      </c>
      <c r="E392" s="18" t="n">
        <f aca="false">EXP(-'Black-Scholes'!$B$8*'Black-Scholes'!$B$7)*IF(LOWER('Black-Scholes'!$B$11)="put",MAX('Black-Scholes'!$B$6-C392,0),MAX(C392-'Black-Scholes'!$B$6,0))</f>
        <v>14.4166070500844</v>
      </c>
      <c r="F392" s="18" t="n">
        <f aca="false">(E392+G392)/2</f>
        <v>7.20830352504218</v>
      </c>
      <c r="G392" s="18" t="n">
        <f aca="false">EXP(-'Black-Scholes'!$B$8*'Black-Scholes'!$B$7)*IF(LOWER('Black-Scholes'!$B$11)="put",MAX('Black-Scholes'!$B$6-D392,0),MAX(D392-'Black-Scholes'!$B$6,0))</f>
        <v>0</v>
      </c>
    </row>
    <row r="393" customFormat="false" ht="15" hidden="false" customHeight="false" outlineLevel="0" collapsed="false">
      <c r="A393" s="0" t="n">
        <v>382</v>
      </c>
      <c r="B393" s="15" t="n">
        <v>0.0566610104278436</v>
      </c>
      <c r="C393" s="18" t="n">
        <f aca="false">'Black-Scholes'!$B$5*EXP(('Black-Scholes'!$B$8-'Black-Scholes'!$B$10-'Black-Scholes'!$B$9^2/2)*'Black-Scholes'!$B$7+'Black-Scholes'!$B$9*SQRT('Black-Scholes'!$B$7)*B393)</f>
        <v>104.219826848264</v>
      </c>
      <c r="D393" s="18" t="n">
        <f aca="false">'Black-Scholes'!$B$5*EXP(('Black-Scholes'!$B$8-'Black-Scholes'!$B$10-'Black-Scholes'!$B$9^2/2)*'Black-Scholes'!$B$7-'Black-Scholes'!$B$9*SQRT('Black-Scholes'!$B$7)*B393)</f>
        <v>101.884313057948</v>
      </c>
      <c r="E393" s="18" t="n">
        <f aca="false">EXP(-'Black-Scholes'!$B$8*'Black-Scholes'!$B$7)*IF(LOWER('Black-Scholes'!$B$11)="put",MAX('Black-Scholes'!$B$6-C393,0),MAX(C393-'Black-Scholes'!$B$6,0))</f>
        <v>4.01402346436656</v>
      </c>
      <c r="F393" s="18" t="n">
        <f aca="false">(E393+G393)/2</f>
        <v>2.90321874502863</v>
      </c>
      <c r="G393" s="18" t="n">
        <f aca="false">EXP(-'Black-Scholes'!$B$8*'Black-Scholes'!$B$7)*IF(LOWER('Black-Scholes'!$B$11)="put",MAX('Black-Scholes'!$B$6-D393,0),MAX(D393-'Black-Scholes'!$B$6,0))</f>
        <v>1.7924140256907</v>
      </c>
    </row>
    <row r="394" customFormat="false" ht="15" hidden="false" customHeight="false" outlineLevel="0" collapsed="false">
      <c r="A394" s="0" t="n">
        <v>383</v>
      </c>
      <c r="B394" s="15" t="n">
        <v>-0.962645261313289</v>
      </c>
      <c r="C394" s="18" t="n">
        <f aca="false">'Black-Scholes'!$B$5*EXP(('Black-Scholes'!$B$8-'Black-Scholes'!$B$10-'Black-Scholes'!$B$9^2/2)*'Black-Scholes'!$B$7+'Black-Scholes'!$B$9*SQRT('Black-Scholes'!$B$7)*B394)</f>
        <v>84.9991395693399</v>
      </c>
      <c r="D394" s="18" t="n">
        <f aca="false">'Black-Scholes'!$B$5*EXP(('Black-Scholes'!$B$8-'Black-Scholes'!$B$10-'Black-Scholes'!$B$9^2/2)*'Black-Scholes'!$B$7-'Black-Scholes'!$B$9*SQRT('Black-Scholes'!$B$7)*B394)</f>
        <v>124.92321121429</v>
      </c>
      <c r="E394" s="18" t="n">
        <f aca="false">EXP(-'Black-Scholes'!$B$8*'Black-Scholes'!$B$7)*IF(LOWER('Black-Scholes'!$B$11)="put",MAX('Black-Scholes'!$B$6-C394,0),MAX(C394-'Black-Scholes'!$B$6,0))</f>
        <v>0</v>
      </c>
      <c r="F394" s="18" t="n">
        <f aca="false">(E394+G394)/2</f>
        <v>11.8538459300396</v>
      </c>
      <c r="G394" s="18" t="n">
        <f aca="false">EXP(-'Black-Scholes'!$B$8*'Black-Scholes'!$B$7)*IF(LOWER('Black-Scholes'!$B$11)="put",MAX('Black-Scholes'!$B$6-D394,0),MAX(D394-'Black-Scholes'!$B$6,0))</f>
        <v>23.7076918600791</v>
      </c>
    </row>
    <row r="395" customFormat="false" ht="15" hidden="false" customHeight="false" outlineLevel="0" collapsed="false">
      <c r="A395" s="0" t="n">
        <v>384</v>
      </c>
      <c r="B395" s="15" t="n">
        <v>-1.4966290345057</v>
      </c>
      <c r="C395" s="18" t="n">
        <f aca="false">'Black-Scholes'!$B$5*EXP(('Black-Scholes'!$B$8-'Black-Scholes'!$B$10-'Black-Scholes'!$B$9^2/2)*'Black-Scholes'!$B$7+'Black-Scholes'!$B$9*SQRT('Black-Scholes'!$B$7)*B395)</f>
        <v>76.38943330546</v>
      </c>
      <c r="D395" s="18" t="n">
        <f aca="false">'Black-Scholes'!$B$5*EXP(('Black-Scholes'!$B$8-'Black-Scholes'!$B$10-'Black-Scholes'!$B$9^2/2)*'Black-Scholes'!$B$7-'Black-Scholes'!$B$9*SQRT('Black-Scholes'!$B$7)*B395)</f>
        <v>139.003066340258</v>
      </c>
      <c r="E395" s="18" t="n">
        <f aca="false">EXP(-'Black-Scholes'!$B$8*'Black-Scholes'!$B$7)*IF(LOWER('Black-Scholes'!$B$11)="put",MAX('Black-Scholes'!$B$6-C395,0),MAX(C395-'Black-Scholes'!$B$6,0))</f>
        <v>0</v>
      </c>
      <c r="F395" s="18" t="n">
        <f aca="false">(E395+G395)/2</f>
        <v>18.5504321743036</v>
      </c>
      <c r="G395" s="18" t="n">
        <f aca="false">EXP(-'Black-Scholes'!$B$8*'Black-Scholes'!$B$7)*IF(LOWER('Black-Scholes'!$B$11)="put",MAX('Black-Scholes'!$B$6-D395,0),MAX(D395-'Black-Scholes'!$B$6,0))</f>
        <v>37.1008643486071</v>
      </c>
    </row>
    <row r="396" customFormat="false" ht="15" hidden="false" customHeight="false" outlineLevel="0" collapsed="false">
      <c r="A396" s="0" t="n">
        <v>385</v>
      </c>
      <c r="B396" s="15" t="n">
        <v>0.861813190314145</v>
      </c>
      <c r="C396" s="18" t="n">
        <f aca="false">'Black-Scholes'!$B$5*EXP(('Black-Scholes'!$B$8-'Black-Scholes'!$B$10-'Black-Scholes'!$B$9^2/2)*'Black-Scholes'!$B$7+'Black-Scholes'!$B$9*SQRT('Black-Scholes'!$B$7)*B396)</f>
        <v>122.429190246385</v>
      </c>
      <c r="D396" s="18" t="n">
        <f aca="false">'Black-Scholes'!$B$5*EXP(('Black-Scholes'!$B$8-'Black-Scholes'!$B$10-'Black-Scholes'!$B$9^2/2)*'Black-Scholes'!$B$7-'Black-Scholes'!$B$9*SQRT('Black-Scholes'!$B$7)*B396)</f>
        <v>86.7306681036156</v>
      </c>
      <c r="E396" s="18" t="n">
        <f aca="false">EXP(-'Black-Scholes'!$B$8*'Black-Scholes'!$B$7)*IF(LOWER('Black-Scholes'!$B$11)="put",MAX('Black-Scholes'!$B$6-C396,0),MAX(C396-'Black-Scholes'!$B$6,0))</f>
        <v>21.3353057300855</v>
      </c>
      <c r="F396" s="18" t="n">
        <f aca="false">(E396+G396)/2</f>
        <v>10.6676528650427</v>
      </c>
      <c r="G396" s="18" t="n">
        <f aca="false">EXP(-'Black-Scholes'!$B$8*'Black-Scholes'!$B$7)*IF(LOWER('Black-Scholes'!$B$11)="put",MAX('Black-Scholes'!$B$6-D396,0),MAX(D396-'Black-Scholes'!$B$6,0))</f>
        <v>0</v>
      </c>
    </row>
    <row r="397" customFormat="false" ht="15" hidden="false" customHeight="false" outlineLevel="0" collapsed="false">
      <c r="A397" s="0" t="n">
        <v>386</v>
      </c>
      <c r="B397" s="15" t="n">
        <v>-0.39336792351273</v>
      </c>
      <c r="C397" s="18" t="n">
        <f aca="false">'Black-Scholes'!$B$5*EXP(('Black-Scholes'!$B$8-'Black-Scholes'!$B$10-'Black-Scholes'!$B$9^2/2)*'Black-Scholes'!$B$7+'Black-Scholes'!$B$9*SQRT('Black-Scholes'!$B$7)*B397)</f>
        <v>95.2491986916701</v>
      </c>
      <c r="D397" s="18" t="n">
        <f aca="false">'Black-Scholes'!$B$5*EXP(('Black-Scholes'!$B$8-'Black-Scholes'!$B$10-'Black-Scholes'!$B$9^2/2)*'Black-Scholes'!$B$7-'Black-Scholes'!$B$9*SQRT('Black-Scholes'!$B$7)*B397)</f>
        <v>111.479840369326</v>
      </c>
      <c r="E397" s="18" t="n">
        <f aca="false">EXP(-'Black-Scholes'!$B$8*'Black-Scholes'!$B$7)*IF(LOWER('Black-Scholes'!$B$11)="put",MAX('Black-Scholes'!$B$6-C397,0),MAX(C397-'Black-Scholes'!$B$6,0))</f>
        <v>0</v>
      </c>
      <c r="F397" s="18" t="n">
        <f aca="false">(E397+G397)/2</f>
        <v>5.459980973937</v>
      </c>
      <c r="G397" s="18" t="n">
        <f aca="false">EXP(-'Black-Scholes'!$B$8*'Black-Scholes'!$B$7)*IF(LOWER('Black-Scholes'!$B$11)="put",MAX('Black-Scholes'!$B$6-D397,0),MAX(D397-'Black-Scholes'!$B$6,0))</f>
        <v>10.919961947874</v>
      </c>
    </row>
    <row r="398" customFormat="false" ht="15" hidden="false" customHeight="false" outlineLevel="0" collapsed="false">
      <c r="A398" s="0" t="n">
        <v>387</v>
      </c>
      <c r="B398" s="15" t="n">
        <v>-0.210880536488277</v>
      </c>
      <c r="C398" s="18" t="n">
        <f aca="false">'Black-Scholes'!$B$5*EXP(('Black-Scholes'!$B$8-'Black-Scholes'!$B$10-'Black-Scholes'!$B$9^2/2)*'Black-Scholes'!$B$7+'Black-Scholes'!$B$9*SQRT('Black-Scholes'!$B$7)*B398)</f>
        <v>98.7897721543709</v>
      </c>
      <c r="D398" s="18" t="n">
        <f aca="false">'Black-Scholes'!$B$5*EXP(('Black-Scholes'!$B$8-'Black-Scholes'!$B$10-'Black-Scholes'!$B$9^2/2)*'Black-Scholes'!$B$7-'Black-Scholes'!$B$9*SQRT('Black-Scholes'!$B$7)*B398)</f>
        <v>107.484461537791</v>
      </c>
      <c r="E398" s="18" t="n">
        <f aca="false">EXP(-'Black-Scholes'!$B$8*'Black-Scholes'!$B$7)*IF(LOWER('Black-Scholes'!$B$11)="put",MAX('Black-Scholes'!$B$6-C398,0),MAX(C398-'Black-Scholes'!$B$6,0))</f>
        <v>0</v>
      </c>
      <c r="F398" s="18" t="n">
        <f aca="false">(E398+G398)/2</f>
        <v>3.55972002064524</v>
      </c>
      <c r="G398" s="18" t="n">
        <f aca="false">EXP(-'Black-Scholes'!$B$8*'Black-Scholes'!$B$7)*IF(LOWER('Black-Scholes'!$B$11)="put",MAX('Black-Scholes'!$B$6-D398,0),MAX(D398-'Black-Scholes'!$B$6,0))</f>
        <v>7.11944004129048</v>
      </c>
    </row>
    <row r="399" customFormat="false" ht="15" hidden="false" customHeight="false" outlineLevel="0" collapsed="false">
      <c r="A399" s="0" t="n">
        <v>388</v>
      </c>
      <c r="B399" s="15" t="n">
        <v>-1.52093029310777</v>
      </c>
      <c r="C399" s="18" t="n">
        <f aca="false">'Black-Scholes'!$B$5*EXP(('Black-Scholes'!$B$8-'Black-Scholes'!$B$10-'Black-Scholes'!$B$9^2/2)*'Black-Scholes'!$B$7+'Black-Scholes'!$B$9*SQRT('Black-Scholes'!$B$7)*B399)</f>
        <v>76.0190622082736</v>
      </c>
      <c r="D399" s="18" t="n">
        <f aca="false">'Black-Scholes'!$B$5*EXP(('Black-Scholes'!$B$8-'Black-Scholes'!$B$10-'Black-Scholes'!$B$9^2/2)*'Black-Scholes'!$B$7-'Black-Scholes'!$B$9*SQRT('Black-Scholes'!$B$7)*B399)</f>
        <v>139.680300664087</v>
      </c>
      <c r="E399" s="18" t="n">
        <f aca="false">EXP(-'Black-Scholes'!$B$8*'Black-Scholes'!$B$7)*IF(LOWER('Black-Scholes'!$B$11)="put",MAX('Black-Scholes'!$B$6-C399,0),MAX(C399-'Black-Scholes'!$B$6,0))</f>
        <v>0</v>
      </c>
      <c r="F399" s="18" t="n">
        <f aca="false">(E399+G399)/2</f>
        <v>18.8725347823575</v>
      </c>
      <c r="G399" s="18" t="n">
        <f aca="false">EXP(-'Black-Scholes'!$B$8*'Black-Scholes'!$B$7)*IF(LOWER('Black-Scholes'!$B$11)="put",MAX('Black-Scholes'!$B$6-D399,0),MAX(D399-'Black-Scholes'!$B$6,0))</f>
        <v>37.745069564715</v>
      </c>
    </row>
    <row r="400" customFormat="false" ht="15" hidden="false" customHeight="false" outlineLevel="0" collapsed="false">
      <c r="A400" s="0" t="n">
        <v>389</v>
      </c>
      <c r="B400" s="15" t="n">
        <v>-0.686590094525356</v>
      </c>
      <c r="C400" s="18" t="n">
        <f aca="false">'Black-Scholes'!$B$5*EXP(('Black-Scholes'!$B$8-'Black-Scholes'!$B$10-'Black-Scholes'!$B$9^2/2)*'Black-Scholes'!$B$7+'Black-Scholes'!$B$9*SQRT('Black-Scholes'!$B$7)*B400)</f>
        <v>89.8239970271444</v>
      </c>
      <c r="D400" s="18" t="n">
        <f aca="false">'Black-Scholes'!$B$5*EXP(('Black-Scholes'!$B$8-'Black-Scholes'!$B$10-'Black-Scholes'!$B$9^2/2)*'Black-Scholes'!$B$7-'Black-Scholes'!$B$9*SQRT('Black-Scholes'!$B$7)*B400)</f>
        <v>118.213014527118</v>
      </c>
      <c r="E400" s="18" t="n">
        <f aca="false">EXP(-'Black-Scholes'!$B$8*'Black-Scholes'!$B$7)*IF(LOWER('Black-Scholes'!$B$11)="put",MAX('Black-Scholes'!$B$6-C400,0),MAX(C400-'Black-Scholes'!$B$6,0))</f>
        <v>0</v>
      </c>
      <c r="F400" s="18" t="n">
        <f aca="false">(E400+G400)/2</f>
        <v>8.66237766352668</v>
      </c>
      <c r="G400" s="18" t="n">
        <f aca="false">EXP(-'Black-Scholes'!$B$8*'Black-Scholes'!$B$7)*IF(LOWER('Black-Scholes'!$B$11)="put",MAX('Black-Scholes'!$B$6-D400,0),MAX(D400-'Black-Scholes'!$B$6,0))</f>
        <v>17.3247553270534</v>
      </c>
    </row>
    <row r="401" customFormat="false" ht="15" hidden="false" customHeight="false" outlineLevel="0" collapsed="false">
      <c r="A401" s="0" t="n">
        <v>390</v>
      </c>
      <c r="B401" s="15" t="n">
        <v>-0.0478519373668924</v>
      </c>
      <c r="C401" s="18" t="n">
        <f aca="false">'Black-Scholes'!$B$5*EXP(('Black-Scholes'!$B$8-'Black-Scholes'!$B$10-'Black-Scholes'!$B$9^2/2)*'Black-Scholes'!$B$7+'Black-Scholes'!$B$9*SQRT('Black-Scholes'!$B$7)*B401)</f>
        <v>102.06397254633</v>
      </c>
      <c r="D401" s="18" t="n">
        <f aca="false">'Black-Scholes'!$B$5*EXP(('Black-Scholes'!$B$8-'Black-Scholes'!$B$10-'Black-Scholes'!$B$9^2/2)*'Black-Scholes'!$B$7-'Black-Scholes'!$B$9*SQRT('Black-Scholes'!$B$7)*B401)</f>
        <v>104.036372488182</v>
      </c>
      <c r="E401" s="18" t="n">
        <f aca="false">EXP(-'Black-Scholes'!$B$8*'Black-Scholes'!$B$7)*IF(LOWER('Black-Scholes'!$B$11)="put",MAX('Black-Scholes'!$B$6-C401,0),MAX(C401-'Black-Scholes'!$B$6,0))</f>
        <v>1.96331141743097</v>
      </c>
      <c r="F401" s="18" t="n">
        <f aca="false">(E401+G401)/2</f>
        <v>2.90141384821744</v>
      </c>
      <c r="G401" s="18" t="n">
        <f aca="false">EXP(-'Black-Scholes'!$B$8*'Black-Scholes'!$B$7)*IF(LOWER('Black-Scholes'!$B$11)="put",MAX('Black-Scholes'!$B$6-D401,0),MAX(D401-'Black-Scholes'!$B$6,0))</f>
        <v>3.8395162790039</v>
      </c>
    </row>
    <row r="402" customFormat="false" ht="15" hidden="false" customHeight="false" outlineLevel="0" collapsed="false">
      <c r="A402" s="0" t="n">
        <v>391</v>
      </c>
      <c r="B402" s="15" t="n">
        <v>-0.049653640481695</v>
      </c>
      <c r="C402" s="18" t="n">
        <f aca="false">'Black-Scholes'!$B$5*EXP(('Black-Scholes'!$B$8-'Black-Scholes'!$B$10-'Black-Scholes'!$B$9^2/2)*'Black-Scholes'!$B$7+'Black-Scholes'!$B$9*SQRT('Black-Scholes'!$B$7)*B402)</f>
        <v>102.027201376352</v>
      </c>
      <c r="D402" s="18" t="n">
        <f aca="false">'Black-Scholes'!$B$5*EXP(('Black-Scholes'!$B$8-'Black-Scholes'!$B$10-'Black-Scholes'!$B$9^2/2)*'Black-Scholes'!$B$7-'Black-Scholes'!$B$9*SQRT('Black-Scholes'!$B$7)*B402)</f>
        <v>104.073867774587</v>
      </c>
      <c r="E402" s="18" t="n">
        <f aca="false">EXP(-'Black-Scholes'!$B$8*'Black-Scholes'!$B$7)*IF(LOWER('Black-Scholes'!$B$11)="put",MAX('Black-Scholes'!$B$6-C402,0),MAX(C402-'Black-Scholes'!$B$6,0))</f>
        <v>1.92833359857445</v>
      </c>
      <c r="F402" s="18" t="n">
        <f aca="false">(E402+G402)/2</f>
        <v>2.90175824864327</v>
      </c>
      <c r="G402" s="18" t="n">
        <f aca="false">EXP(-'Black-Scholes'!$B$8*'Black-Scholes'!$B$7)*IF(LOWER('Black-Scholes'!$B$11)="put",MAX('Black-Scholes'!$B$6-D402,0),MAX(D402-'Black-Scholes'!$B$6,0))</f>
        <v>3.8751828987121</v>
      </c>
    </row>
    <row r="403" customFormat="false" ht="15" hidden="false" customHeight="false" outlineLevel="0" collapsed="false">
      <c r="A403" s="0" t="n">
        <v>392</v>
      </c>
      <c r="B403" s="15" t="n">
        <v>-0.0827554485122381</v>
      </c>
      <c r="C403" s="18" t="n">
        <f aca="false">'Black-Scholes'!$B$5*EXP(('Black-Scholes'!$B$8-'Black-Scholes'!$B$10-'Black-Scholes'!$B$9^2/2)*'Black-Scholes'!$B$7+'Black-Scholes'!$B$9*SQRT('Black-Scholes'!$B$7)*B403)</f>
        <v>101.3539753683</v>
      </c>
      <c r="D403" s="18" t="n">
        <f aca="false">'Black-Scholes'!$B$5*EXP(('Black-Scholes'!$B$8-'Black-Scholes'!$B$10-'Black-Scholes'!$B$9^2/2)*'Black-Scholes'!$B$7-'Black-Scholes'!$B$9*SQRT('Black-Scholes'!$B$7)*B403)</f>
        <v>104.76516019099</v>
      </c>
      <c r="E403" s="18" t="n">
        <f aca="false">EXP(-'Black-Scholes'!$B$8*'Black-Scholes'!$B$7)*IF(LOWER('Black-Scholes'!$B$11)="put",MAX('Black-Scholes'!$B$6-C403,0),MAX(C403-'Black-Scholes'!$B$6,0))</f>
        <v>1.28794121037612</v>
      </c>
      <c r="F403" s="18" t="n">
        <f aca="false">(E403+G403)/2</f>
        <v>2.91035089825261</v>
      </c>
      <c r="G403" s="18" t="n">
        <f aca="false">EXP(-'Black-Scholes'!$B$8*'Black-Scholes'!$B$7)*IF(LOWER('Black-Scholes'!$B$11)="put",MAX('Black-Scholes'!$B$6-D403,0),MAX(D403-'Black-Scholes'!$B$6,0))</f>
        <v>4.53276058612909</v>
      </c>
    </row>
    <row r="404" customFormat="false" ht="15" hidden="false" customHeight="false" outlineLevel="0" collapsed="false">
      <c r="A404" s="0" t="n">
        <v>393</v>
      </c>
      <c r="B404" s="15" t="n">
        <v>-1.11921376335937</v>
      </c>
      <c r="C404" s="18" t="n">
        <f aca="false">'Black-Scholes'!$B$5*EXP(('Black-Scholes'!$B$8-'Black-Scholes'!$B$10-'Black-Scholes'!$B$9^2/2)*'Black-Scholes'!$B$7+'Black-Scholes'!$B$9*SQRT('Black-Scholes'!$B$7)*B404)</f>
        <v>82.3787432457026</v>
      </c>
      <c r="D404" s="18" t="n">
        <f aca="false">'Black-Scholes'!$B$5*EXP(('Black-Scholes'!$B$8-'Black-Scholes'!$B$10-'Black-Scholes'!$B$9^2/2)*'Black-Scholes'!$B$7-'Black-Scholes'!$B$9*SQRT('Black-Scholes'!$B$7)*B404)</f>
        <v>128.896910138375</v>
      </c>
      <c r="E404" s="18" t="n">
        <f aca="false">EXP(-'Black-Scholes'!$B$8*'Black-Scholes'!$B$7)*IF(LOWER('Black-Scholes'!$B$11)="put",MAX('Black-Scholes'!$B$6-C404,0),MAX(C404-'Black-Scholes'!$B$6,0))</f>
        <v>0</v>
      </c>
      <c r="F404" s="18" t="n">
        <f aca="false">(E404+G404)/2</f>
        <v>13.7437956003877</v>
      </c>
      <c r="G404" s="18" t="n">
        <f aca="false">EXP(-'Black-Scholes'!$B$8*'Black-Scholes'!$B$7)*IF(LOWER('Black-Scholes'!$B$11)="put",MAX('Black-Scholes'!$B$6-D404,0),MAX(D404-'Black-Scholes'!$B$6,0))</f>
        <v>27.4875912007753</v>
      </c>
    </row>
    <row r="405" customFormat="false" ht="15" hidden="false" customHeight="false" outlineLevel="0" collapsed="false">
      <c r="A405" s="0" t="n">
        <v>394</v>
      </c>
      <c r="B405" s="15" t="n">
        <v>1.35283861425455</v>
      </c>
      <c r="C405" s="18" t="n">
        <f aca="false">'Black-Scholes'!$B$5*EXP(('Black-Scholes'!$B$8-'Black-Scholes'!$B$10-'Black-Scholes'!$B$9^2/2)*'Black-Scholes'!$B$7+'Black-Scholes'!$B$9*SQRT('Black-Scholes'!$B$7)*B405)</f>
        <v>135.062537084372</v>
      </c>
      <c r="D405" s="18" t="n">
        <f aca="false">'Black-Scholes'!$B$5*EXP(('Black-Scholes'!$B$8-'Black-Scholes'!$B$10-'Black-Scholes'!$B$9^2/2)*'Black-Scholes'!$B$7-'Black-Scholes'!$B$9*SQRT('Black-Scholes'!$B$7)*B405)</f>
        <v>78.6181401199389</v>
      </c>
      <c r="E405" s="18" t="n">
        <f aca="false">EXP(-'Black-Scholes'!$B$8*'Black-Scholes'!$B$7)*IF(LOWER('Black-Scholes'!$B$11)="put",MAX('Black-Scholes'!$B$6-C405,0),MAX(C405-'Black-Scholes'!$B$6,0))</f>
        <v>33.3525169723021</v>
      </c>
      <c r="F405" s="18" t="n">
        <f aca="false">(E405+G405)/2</f>
        <v>16.676258486151</v>
      </c>
      <c r="G405" s="18" t="n">
        <f aca="false">EXP(-'Black-Scholes'!$B$8*'Black-Scholes'!$B$7)*IF(LOWER('Black-Scholes'!$B$11)="put",MAX('Black-Scholes'!$B$6-D405,0),MAX(D405-'Black-Scholes'!$B$6,0))</f>
        <v>0</v>
      </c>
    </row>
    <row r="406" customFormat="false" ht="15" hidden="false" customHeight="false" outlineLevel="0" collapsed="false">
      <c r="A406" s="0" t="n">
        <v>395</v>
      </c>
      <c r="B406" s="15" t="n">
        <v>1.16737392032569</v>
      </c>
      <c r="C406" s="18" t="n">
        <f aca="false">'Black-Scholes'!$B$5*EXP(('Black-Scholes'!$B$8-'Black-Scholes'!$B$10-'Black-Scholes'!$B$9^2/2)*'Black-Scholes'!$B$7+'Black-Scholes'!$B$9*SQRT('Black-Scholes'!$B$7)*B406)</f>
        <v>130.144447738871</v>
      </c>
      <c r="D406" s="18" t="n">
        <f aca="false">'Black-Scholes'!$B$5*EXP(('Black-Scholes'!$B$8-'Black-Scholes'!$B$10-'Black-Scholes'!$B$9^2/2)*'Black-Scholes'!$B$7-'Black-Scholes'!$B$9*SQRT('Black-Scholes'!$B$7)*B406)</f>
        <v>81.5890777511987</v>
      </c>
      <c r="E406" s="18" t="n">
        <f aca="false">EXP(-'Black-Scholes'!$B$8*'Black-Scholes'!$B$7)*IF(LOWER('Black-Scholes'!$B$11)="put",MAX('Black-Scholes'!$B$6-C406,0),MAX(C406-'Black-Scholes'!$B$6,0))</f>
        <v>28.6742856745385</v>
      </c>
      <c r="F406" s="18" t="n">
        <f aca="false">(E406+G406)/2</f>
        <v>14.3371428372692</v>
      </c>
      <c r="G406" s="18" t="n">
        <f aca="false">EXP(-'Black-Scholes'!$B$8*'Black-Scholes'!$B$7)*IF(LOWER('Black-Scholes'!$B$11)="put",MAX('Black-Scholes'!$B$6-D406,0),MAX(D406-'Black-Scholes'!$B$6,0))</f>
        <v>0</v>
      </c>
    </row>
    <row r="407" customFormat="false" ht="15" hidden="false" customHeight="false" outlineLevel="0" collapsed="false">
      <c r="A407" s="0" t="n">
        <v>396</v>
      </c>
      <c r="B407" s="15" t="n">
        <v>-0.164952800852689</v>
      </c>
      <c r="C407" s="18" t="n">
        <f aca="false">'Black-Scholes'!$B$5*EXP(('Black-Scholes'!$B$8-'Black-Scholes'!$B$10-'Black-Scholes'!$B$9^2/2)*'Black-Scholes'!$B$7+'Black-Scholes'!$B$9*SQRT('Black-Scholes'!$B$7)*B407)</f>
        <v>99.7013907100205</v>
      </c>
      <c r="D407" s="18" t="n">
        <f aca="false">'Black-Scholes'!$B$5*EXP(('Black-Scholes'!$B$8-'Black-Scholes'!$B$10-'Black-Scholes'!$B$9^2/2)*'Black-Scholes'!$B$7-'Black-Scholes'!$B$9*SQRT('Black-Scholes'!$B$7)*B407)</f>
        <v>106.501678560702</v>
      </c>
      <c r="E407" s="18" t="n">
        <f aca="false">EXP(-'Black-Scholes'!$B$8*'Black-Scholes'!$B$7)*IF(LOWER('Black-Scholes'!$B$11)="put",MAX('Black-Scholes'!$B$6-C407,0),MAX(C407-'Black-Scholes'!$B$6,0))</f>
        <v>0</v>
      </c>
      <c r="F407" s="18" t="n">
        <f aca="false">(E407+G407)/2</f>
        <v>3.09229397779273</v>
      </c>
      <c r="G407" s="18" t="n">
        <f aca="false">EXP(-'Black-Scholes'!$B$8*'Black-Scholes'!$B$7)*IF(LOWER('Black-Scholes'!$B$11)="put",MAX('Black-Scholes'!$B$6-D407,0),MAX(D407-'Black-Scholes'!$B$6,0))</f>
        <v>6.18458795558547</v>
      </c>
    </row>
    <row r="408" customFormat="false" ht="15" hidden="false" customHeight="false" outlineLevel="0" collapsed="false">
      <c r="A408" s="0" t="n">
        <v>397</v>
      </c>
      <c r="B408" s="15" t="n">
        <v>0.416318269149728</v>
      </c>
      <c r="C408" s="18" t="n">
        <f aca="false">'Black-Scholes'!$B$5*EXP(('Black-Scholes'!$B$8-'Black-Scholes'!$B$10-'Black-Scholes'!$B$9^2/2)*'Black-Scholes'!$B$7+'Black-Scholes'!$B$9*SQRT('Black-Scholes'!$B$7)*B408)</f>
        <v>111.992716711394</v>
      </c>
      <c r="D408" s="18" t="n">
        <f aca="false">'Black-Scholes'!$B$5*EXP(('Black-Scholes'!$B$8-'Black-Scholes'!$B$10-'Black-Scholes'!$B$9^2/2)*'Black-Scholes'!$B$7-'Black-Scholes'!$B$9*SQRT('Black-Scholes'!$B$7)*B408)</f>
        <v>94.8130001419399</v>
      </c>
      <c r="E408" s="18" t="n">
        <f aca="false">EXP(-'Black-Scholes'!$B$8*'Black-Scholes'!$B$7)*IF(LOWER('Black-Scholes'!$B$11)="put",MAX('Black-Scholes'!$B$6-C408,0),MAX(C408-'Black-Scholes'!$B$6,0))</f>
        <v>11.4078250155791</v>
      </c>
      <c r="F408" s="18" t="n">
        <f aca="false">(E408+G408)/2</f>
        <v>5.70391250778953</v>
      </c>
      <c r="G408" s="18" t="n">
        <f aca="false">EXP(-'Black-Scholes'!$B$8*'Black-Scholes'!$B$7)*IF(LOWER('Black-Scholes'!$B$11)="put",MAX('Black-Scholes'!$B$6-D408,0),MAX(D408-'Black-Scholes'!$B$6,0))</f>
        <v>0</v>
      </c>
    </row>
    <row r="409" customFormat="false" ht="15" hidden="false" customHeight="false" outlineLevel="0" collapsed="false">
      <c r="A409" s="0" t="n">
        <v>398</v>
      </c>
      <c r="B409" s="15" t="n">
        <v>-0.478443568284322</v>
      </c>
      <c r="C409" s="18" t="n">
        <f aca="false">'Black-Scholes'!$B$5*EXP(('Black-Scholes'!$B$8-'Black-Scholes'!$B$10-'Black-Scholes'!$B$9^2/2)*'Black-Scholes'!$B$7+'Black-Scholes'!$B$9*SQRT('Black-Scholes'!$B$7)*B409)</f>
        <v>93.6422314404927</v>
      </c>
      <c r="D409" s="18" t="n">
        <f aca="false">'Black-Scholes'!$B$5*EXP(('Black-Scholes'!$B$8-'Black-Scholes'!$B$10-'Black-Scholes'!$B$9^2/2)*'Black-Scholes'!$B$7-'Black-Scholes'!$B$9*SQRT('Black-Scholes'!$B$7)*B409)</f>
        <v>113.392913668458</v>
      </c>
      <c r="E409" s="18" t="n">
        <f aca="false">EXP(-'Black-Scholes'!$B$8*'Black-Scholes'!$B$7)*IF(LOWER('Black-Scholes'!$B$11)="put",MAX('Black-Scholes'!$B$6-C409,0),MAX(C409-'Black-Scholes'!$B$6,0))</f>
        <v>0</v>
      </c>
      <c r="F409" s="18" t="n">
        <f aca="false">(E409+G409)/2</f>
        <v>6.36986678061775</v>
      </c>
      <c r="G409" s="18" t="n">
        <f aca="false">EXP(-'Black-Scholes'!$B$8*'Black-Scholes'!$B$7)*IF(LOWER('Black-Scholes'!$B$11)="put",MAX('Black-Scholes'!$B$6-D409,0),MAX(D409-'Black-Scholes'!$B$6,0))</f>
        <v>12.7397335612355</v>
      </c>
    </row>
    <row r="410" customFormat="false" ht="15" hidden="false" customHeight="false" outlineLevel="0" collapsed="false">
      <c r="A410" s="0" t="n">
        <v>399</v>
      </c>
      <c r="B410" s="15" t="n">
        <v>0.254671721996962</v>
      </c>
      <c r="C410" s="18" t="n">
        <f aca="false">'Black-Scholes'!$B$5*EXP(('Black-Scholes'!$B$8-'Black-Scholes'!$B$10-'Black-Scholes'!$B$9^2/2)*'Black-Scholes'!$B$7+'Black-Scholes'!$B$9*SQRT('Black-Scholes'!$B$7)*B410)</f>
        <v>108.429970388139</v>
      </c>
      <c r="D410" s="18" t="n">
        <f aca="false">'Black-Scholes'!$B$5*EXP(('Black-Scholes'!$B$8-'Black-Scholes'!$B$10-'Black-Scholes'!$B$9^2/2)*'Black-Scholes'!$B$7-'Black-Scholes'!$B$9*SQRT('Black-Scholes'!$B$7)*B410)</f>
        <v>97.928325788929</v>
      </c>
      <c r="E410" s="18" t="n">
        <f aca="false">EXP(-'Black-Scholes'!$B$8*'Black-Scholes'!$B$7)*IF(LOWER('Black-Scholes'!$B$11)="put",MAX('Black-Scholes'!$B$6-C410,0),MAX(C410-'Black-Scholes'!$B$6,0))</f>
        <v>8.01883588086749</v>
      </c>
      <c r="F410" s="18" t="n">
        <f aca="false">(E410+G410)/2</f>
        <v>4.00941794043375</v>
      </c>
      <c r="G410" s="18" t="n">
        <f aca="false">EXP(-'Black-Scholes'!$B$8*'Black-Scholes'!$B$7)*IF(LOWER('Black-Scholes'!$B$11)="put",MAX('Black-Scholes'!$B$6-D410,0),MAX(D410-'Black-Scholes'!$B$6,0))</f>
        <v>0</v>
      </c>
    </row>
    <row r="411" customFormat="false" ht="15" hidden="false" customHeight="false" outlineLevel="0" collapsed="false">
      <c r="A411" s="0" t="n">
        <v>400</v>
      </c>
      <c r="B411" s="15" t="n">
        <v>-0.204552537191431</v>
      </c>
      <c r="C411" s="18" t="n">
        <f aca="false">'Black-Scholes'!$B$5*EXP(('Black-Scholes'!$B$8-'Black-Scholes'!$B$10-'Black-Scholes'!$B$9^2/2)*'Black-Scholes'!$B$7+'Black-Scholes'!$B$9*SQRT('Black-Scholes'!$B$7)*B411)</f>
        <v>98.9148796274176</v>
      </c>
      <c r="D411" s="18" t="n">
        <f aca="false">'Black-Scholes'!$B$5*EXP(('Black-Scholes'!$B$8-'Black-Scholes'!$B$10-'Black-Scholes'!$B$9^2/2)*'Black-Scholes'!$B$7-'Black-Scholes'!$B$9*SQRT('Black-Scholes'!$B$7)*B411)</f>
        <v>107.348515263323</v>
      </c>
      <c r="E411" s="18" t="n">
        <f aca="false">EXP(-'Black-Scholes'!$B$8*'Black-Scholes'!$B$7)*IF(LOWER('Black-Scholes'!$B$11)="put",MAX('Black-Scholes'!$B$6-C411,0),MAX(C411-'Black-Scholes'!$B$6,0))</f>
        <v>0</v>
      </c>
      <c r="F411" s="18" t="n">
        <f aca="false">(E411+G411)/2</f>
        <v>3.49506197243276</v>
      </c>
      <c r="G411" s="18" t="n">
        <f aca="false">EXP(-'Black-Scholes'!$B$8*'Black-Scholes'!$B$7)*IF(LOWER('Black-Scholes'!$B$11)="put",MAX('Black-Scholes'!$B$6-D411,0),MAX(D411-'Black-Scholes'!$B$6,0))</f>
        <v>6.99012394486553</v>
      </c>
    </row>
    <row r="412" customFormat="false" ht="15" hidden="false" customHeight="false" outlineLevel="0" collapsed="false">
      <c r="A412" s="0" t="n">
        <v>401</v>
      </c>
      <c r="B412" s="15" t="n">
        <v>0.574869973894895</v>
      </c>
      <c r="C412" s="18" t="n">
        <f aca="false">'Black-Scholes'!$B$5*EXP(('Black-Scholes'!$B$8-'Black-Scholes'!$B$10-'Black-Scholes'!$B$9^2/2)*'Black-Scholes'!$B$7+'Black-Scholes'!$B$9*SQRT('Black-Scholes'!$B$7)*B412)</f>
        <v>115.600950759438</v>
      </c>
      <c r="D412" s="18" t="n">
        <f aca="false">'Black-Scholes'!$B$5*EXP(('Black-Scholes'!$B$8-'Black-Scholes'!$B$10-'Black-Scholes'!$B$9^2/2)*'Black-Scholes'!$B$7-'Black-Scholes'!$B$9*SQRT('Black-Scholes'!$B$7)*B412)</f>
        <v>91.8536170827008</v>
      </c>
      <c r="E412" s="18" t="n">
        <f aca="false">EXP(-'Black-Scholes'!$B$8*'Black-Scholes'!$B$7)*IF(LOWER('Black-Scholes'!$B$11)="put",MAX('Black-Scholes'!$B$6-C412,0),MAX(C412-'Black-Scholes'!$B$6,0))</f>
        <v>14.8400834125645</v>
      </c>
      <c r="F412" s="18" t="n">
        <f aca="false">(E412+G412)/2</f>
        <v>7.42004170628223</v>
      </c>
      <c r="G412" s="18" t="n">
        <f aca="false">EXP(-'Black-Scholes'!$B$8*'Black-Scholes'!$B$7)*IF(LOWER('Black-Scholes'!$B$11)="put",MAX('Black-Scholes'!$B$6-D412,0),MAX(D412-'Black-Scholes'!$B$6,0))</f>
        <v>0</v>
      </c>
    </row>
    <row r="413" customFormat="false" ht="15" hidden="false" customHeight="false" outlineLevel="0" collapsed="false">
      <c r="A413" s="0" t="n">
        <v>402</v>
      </c>
      <c r="B413" s="15" t="n">
        <v>1.05275918777012</v>
      </c>
      <c r="C413" s="18" t="n">
        <f aca="false">'Black-Scholes'!$B$5*EXP(('Black-Scholes'!$B$8-'Black-Scholes'!$B$10-'Black-Scholes'!$B$9^2/2)*'Black-Scholes'!$B$7+'Black-Scholes'!$B$9*SQRT('Black-Scholes'!$B$7)*B413)</f>
        <v>127.195086694206</v>
      </c>
      <c r="D413" s="18" t="n">
        <f aca="false">'Black-Scholes'!$B$5*EXP(('Black-Scholes'!$B$8-'Black-Scholes'!$B$10-'Black-Scholes'!$B$9^2/2)*'Black-Scholes'!$B$7-'Black-Scholes'!$B$9*SQRT('Black-Scholes'!$B$7)*B413)</f>
        <v>83.4809405097666</v>
      </c>
      <c r="E413" s="18" t="n">
        <f aca="false">EXP(-'Black-Scholes'!$B$8*'Black-Scholes'!$B$7)*IF(LOWER('Black-Scholes'!$B$11)="put",MAX('Black-Scholes'!$B$6-C413,0),MAX(C413-'Black-Scholes'!$B$6,0))</f>
        <v>25.8687666653764</v>
      </c>
      <c r="F413" s="18" t="n">
        <f aca="false">(E413+G413)/2</f>
        <v>12.9343833326882</v>
      </c>
      <c r="G413" s="18" t="n">
        <f aca="false">EXP(-'Black-Scholes'!$B$8*'Black-Scholes'!$B$7)*IF(LOWER('Black-Scholes'!$B$11)="put",MAX('Black-Scholes'!$B$6-D413,0),MAX(D413-'Black-Scholes'!$B$6,0))</f>
        <v>0</v>
      </c>
    </row>
    <row r="414" customFormat="false" ht="15" hidden="false" customHeight="false" outlineLevel="0" collapsed="false">
      <c r="A414" s="0" t="n">
        <v>403</v>
      </c>
      <c r="B414" s="15" t="n">
        <v>0.970195014634508</v>
      </c>
      <c r="C414" s="18" t="n">
        <f aca="false">'Black-Scholes'!$B$5*EXP(('Black-Scholes'!$B$8-'Black-Scholes'!$B$10-'Black-Scholes'!$B$9^2/2)*'Black-Scholes'!$B$7+'Black-Scholes'!$B$9*SQRT('Black-Scholes'!$B$7)*B414)</f>
        <v>125.111981581148</v>
      </c>
      <c r="D414" s="18" t="n">
        <f aca="false">'Black-Scholes'!$B$5*EXP(('Black-Scholes'!$B$8-'Black-Scholes'!$B$10-'Black-Scholes'!$B$9^2/2)*'Black-Scholes'!$B$7-'Black-Scholes'!$B$9*SQRT('Black-Scholes'!$B$7)*B414)</f>
        <v>84.8708919102726</v>
      </c>
      <c r="E414" s="18" t="n">
        <f aca="false">EXP(-'Black-Scholes'!$B$8*'Black-Scholes'!$B$7)*IF(LOWER('Black-Scholes'!$B$11)="put",MAX('Black-Scholes'!$B$6-C414,0),MAX(C414-'Black-Scholes'!$B$6,0))</f>
        <v>23.8872557875076</v>
      </c>
      <c r="F414" s="18" t="n">
        <f aca="false">(E414+G414)/2</f>
        <v>11.9436278937538</v>
      </c>
      <c r="G414" s="18" t="n">
        <f aca="false">EXP(-'Black-Scholes'!$B$8*'Black-Scholes'!$B$7)*IF(LOWER('Black-Scholes'!$B$11)="put",MAX('Black-Scholes'!$B$6-D414,0),MAX(D414-'Black-Scholes'!$B$6,0))</f>
        <v>0</v>
      </c>
    </row>
    <row r="415" customFormat="false" ht="15" hidden="false" customHeight="false" outlineLevel="0" collapsed="false">
      <c r="A415" s="0" t="n">
        <v>404</v>
      </c>
      <c r="B415" s="15" t="n">
        <v>0.134596304105382</v>
      </c>
      <c r="C415" s="18" t="n">
        <f aca="false">'Black-Scholes'!$B$5*EXP(('Black-Scholes'!$B$8-'Black-Scholes'!$B$10-'Black-Scholes'!$B$9^2/2)*'Black-Scholes'!$B$7+'Black-Scholes'!$B$9*SQRT('Black-Scholes'!$B$7)*B415)</f>
        <v>105.85703388451</v>
      </c>
      <c r="D415" s="18" t="n">
        <f aca="false">'Black-Scholes'!$B$5*EXP(('Black-Scholes'!$B$8-'Black-Scholes'!$B$10-'Black-Scholes'!$B$9^2/2)*'Black-Scholes'!$B$7-'Black-Scholes'!$B$9*SQRT('Black-Scholes'!$B$7)*B415)</f>
        <v>100.308548953282</v>
      </c>
      <c r="E415" s="18" t="n">
        <f aca="false">EXP(-'Black-Scholes'!$B$8*'Black-Scholes'!$B$7)*IF(LOWER('Black-Scholes'!$B$11)="put",MAX('Black-Scholes'!$B$6-C415,0),MAX(C415-'Black-Scholes'!$B$6,0))</f>
        <v>5.57138297124401</v>
      </c>
      <c r="F415" s="18" t="n">
        <f aca="false">(E415+G415)/2</f>
        <v>2.93244190725216</v>
      </c>
      <c r="G415" s="18" t="n">
        <f aca="false">EXP(-'Black-Scholes'!$B$8*'Black-Scholes'!$B$7)*IF(LOWER('Black-Scholes'!$B$11)="put",MAX('Black-Scholes'!$B$6-D415,0),MAX(D415-'Black-Scholes'!$B$6,0))</f>
        <v>0.293500843260315</v>
      </c>
    </row>
    <row r="416" customFormat="false" ht="15" hidden="false" customHeight="false" outlineLevel="0" collapsed="false">
      <c r="A416" s="0" t="n">
        <v>405</v>
      </c>
      <c r="B416" s="15" t="n">
        <v>-0.995226976140235</v>
      </c>
      <c r="C416" s="18" t="n">
        <f aca="false">'Black-Scholes'!$B$5*EXP(('Black-Scholes'!$B$8-'Black-Scholes'!$B$10-'Black-Scholes'!$B$9^2/2)*'Black-Scholes'!$B$7+'Black-Scholes'!$B$9*SQRT('Black-Scholes'!$B$7)*B416)</f>
        <v>84.4470567581915</v>
      </c>
      <c r="D416" s="18" t="n">
        <f aca="false">'Black-Scholes'!$B$5*EXP(('Black-Scholes'!$B$8-'Black-Scholes'!$B$10-'Black-Scholes'!$B$9^2/2)*'Black-Scholes'!$B$7-'Black-Scholes'!$B$9*SQRT('Black-Scholes'!$B$7)*B416)</f>
        <v>125.739911763397</v>
      </c>
      <c r="E416" s="18" t="n">
        <f aca="false">EXP(-'Black-Scholes'!$B$8*'Black-Scholes'!$B$7)*IF(LOWER('Black-Scholes'!$B$11)="put",MAX('Black-Scholes'!$B$6-C416,0),MAX(C416-'Black-Scholes'!$B$6,0))</f>
        <v>0</v>
      </c>
      <c r="F416" s="18" t="n">
        <f aca="false">(E416+G416)/2</f>
        <v>12.2422807266977</v>
      </c>
      <c r="G416" s="18" t="n">
        <f aca="false">EXP(-'Black-Scholes'!$B$8*'Black-Scholes'!$B$7)*IF(LOWER('Black-Scholes'!$B$11)="put",MAX('Black-Scholes'!$B$6-D416,0),MAX(D416-'Black-Scholes'!$B$6,0))</f>
        <v>24.4845614533955</v>
      </c>
    </row>
    <row r="417" customFormat="false" ht="15" hidden="false" customHeight="false" outlineLevel="0" collapsed="false">
      <c r="A417" s="0" t="n">
        <v>406</v>
      </c>
      <c r="B417" s="15" t="n">
        <v>0.373105248023525</v>
      </c>
      <c r="C417" s="18" t="n">
        <f aca="false">'Black-Scholes'!$B$5*EXP(('Black-Scholes'!$B$8-'Black-Scholes'!$B$10-'Black-Scholes'!$B$9^2/2)*'Black-Scholes'!$B$7+'Black-Scholes'!$B$9*SQRT('Black-Scholes'!$B$7)*B417)</f>
        <v>111.028978587169</v>
      </c>
      <c r="D417" s="18" t="n">
        <f aca="false">'Black-Scholes'!$B$5*EXP(('Black-Scholes'!$B$8-'Black-Scholes'!$B$10-'Black-Scholes'!$B$9^2/2)*'Black-Scholes'!$B$7-'Black-Scholes'!$B$9*SQRT('Black-Scholes'!$B$7)*B417)</f>
        <v>95.6359826107659</v>
      </c>
      <c r="E417" s="18" t="n">
        <f aca="false">EXP(-'Black-Scholes'!$B$8*'Black-Scholes'!$B$7)*IF(LOWER('Black-Scholes'!$B$11)="put",MAX('Black-Scholes'!$B$6-C417,0),MAX(C417-'Black-Scholes'!$B$6,0))</f>
        <v>10.4910889543036</v>
      </c>
      <c r="F417" s="18" t="n">
        <f aca="false">(E417+G417)/2</f>
        <v>5.24554447715178</v>
      </c>
      <c r="G417" s="18" t="n">
        <f aca="false">EXP(-'Black-Scholes'!$B$8*'Black-Scholes'!$B$7)*IF(LOWER('Black-Scholes'!$B$11)="put",MAX('Black-Scholes'!$B$6-D417,0),MAX(D417-'Black-Scholes'!$B$6,0))</f>
        <v>0</v>
      </c>
    </row>
    <row r="418" customFormat="false" ht="15" hidden="false" customHeight="false" outlineLevel="0" collapsed="false">
      <c r="A418" s="0" t="n">
        <v>407</v>
      </c>
      <c r="B418" s="15" t="n">
        <v>-0.15596329239207</v>
      </c>
      <c r="C418" s="18" t="n">
        <f aca="false">'Black-Scholes'!$B$5*EXP(('Black-Scholes'!$B$8-'Black-Scholes'!$B$10-'Black-Scholes'!$B$9^2/2)*'Black-Scholes'!$B$7+'Black-Scholes'!$B$9*SQRT('Black-Scholes'!$B$7)*B418)</f>
        <v>99.8808052456047</v>
      </c>
      <c r="D418" s="18" t="n">
        <f aca="false">'Black-Scholes'!$B$5*EXP(('Black-Scholes'!$B$8-'Black-Scholes'!$B$10-'Black-Scholes'!$B$9^2/2)*'Black-Scholes'!$B$7-'Black-Scholes'!$B$9*SQRT('Black-Scholes'!$B$7)*B418)</f>
        <v>106.310371040194</v>
      </c>
      <c r="E418" s="18" t="n">
        <f aca="false">EXP(-'Black-Scholes'!$B$8*'Black-Scholes'!$B$7)*IF(LOWER('Black-Scholes'!$B$11)="put",MAX('Black-Scholes'!$B$6-C418,0),MAX(C418-'Black-Scholes'!$B$6,0))</f>
        <v>0</v>
      </c>
      <c r="F418" s="18" t="n">
        <f aca="false">(E418+G418)/2</f>
        <v>3.00130530647488</v>
      </c>
      <c r="G418" s="18" t="n">
        <f aca="false">EXP(-'Black-Scholes'!$B$8*'Black-Scholes'!$B$7)*IF(LOWER('Black-Scholes'!$B$11)="put",MAX('Black-Scholes'!$B$6-D418,0),MAX(D418-'Black-Scholes'!$B$6,0))</f>
        <v>6.00261061294976</v>
      </c>
    </row>
    <row r="419" customFormat="false" ht="15" hidden="false" customHeight="false" outlineLevel="0" collapsed="false">
      <c r="A419" s="0" t="n">
        <v>408</v>
      </c>
      <c r="B419" s="15" t="n">
        <v>0.922550255712104</v>
      </c>
      <c r="C419" s="18" t="n">
        <f aca="false">'Black-Scholes'!$B$5*EXP(('Black-Scholes'!$B$8-'Black-Scholes'!$B$10-'Black-Scholes'!$B$9^2/2)*'Black-Scholes'!$B$7+'Black-Scholes'!$B$9*SQRT('Black-Scholes'!$B$7)*B419)</f>
        <v>123.925457683614</v>
      </c>
      <c r="D419" s="18" t="n">
        <f aca="false">'Black-Scholes'!$B$5*EXP(('Black-Scholes'!$B$8-'Black-Scholes'!$B$10-'Black-Scholes'!$B$9^2/2)*'Black-Scholes'!$B$7-'Black-Scholes'!$B$9*SQRT('Black-Scholes'!$B$7)*B419)</f>
        <v>85.6834879929406</v>
      </c>
      <c r="E419" s="18" t="n">
        <f aca="false">EXP(-'Black-Scholes'!$B$8*'Black-Scholes'!$B$7)*IF(LOWER('Black-Scholes'!$B$11)="put",MAX('Black-Scholes'!$B$6-C419,0),MAX(C419-'Black-Scholes'!$B$6,0))</f>
        <v>22.7585993433002</v>
      </c>
      <c r="F419" s="18" t="n">
        <f aca="false">(E419+G419)/2</f>
        <v>11.3792996716501</v>
      </c>
      <c r="G419" s="18" t="n">
        <f aca="false">EXP(-'Black-Scholes'!$B$8*'Black-Scholes'!$B$7)*IF(LOWER('Black-Scholes'!$B$11)="put",MAX('Black-Scholes'!$B$6-D419,0),MAX(D419-'Black-Scholes'!$B$6,0))</f>
        <v>0</v>
      </c>
    </row>
    <row r="420" customFormat="false" ht="15" hidden="false" customHeight="false" outlineLevel="0" collapsed="false">
      <c r="A420" s="0" t="n">
        <v>409</v>
      </c>
      <c r="B420" s="15" t="n">
        <v>0.398146047140519</v>
      </c>
      <c r="C420" s="18" t="n">
        <f aca="false">'Black-Scholes'!$B$5*EXP(('Black-Scholes'!$B$8-'Black-Scholes'!$B$10-'Black-Scholes'!$B$9^2/2)*'Black-Scholes'!$B$7+'Black-Scholes'!$B$9*SQRT('Black-Scholes'!$B$7)*B420)</f>
        <v>111.586424180135</v>
      </c>
      <c r="D420" s="18" t="n">
        <f aca="false">'Black-Scholes'!$B$5*EXP(('Black-Scholes'!$B$8-'Black-Scholes'!$B$10-'Black-Scholes'!$B$9^2/2)*'Black-Scholes'!$B$7-'Black-Scholes'!$B$9*SQRT('Black-Scholes'!$B$7)*B420)</f>
        <v>95.1582196801309</v>
      </c>
      <c r="E420" s="18" t="n">
        <f aca="false">EXP(-'Black-Scholes'!$B$8*'Black-Scholes'!$B$7)*IF(LOWER('Black-Scholes'!$B$11)="put",MAX('Black-Scholes'!$B$6-C420,0),MAX(C420-'Black-Scholes'!$B$6,0))</f>
        <v>11.0213476048914</v>
      </c>
      <c r="F420" s="18" t="n">
        <f aca="false">(E420+G420)/2</f>
        <v>5.51067380244569</v>
      </c>
      <c r="G420" s="18" t="n">
        <f aca="false">EXP(-'Black-Scholes'!$B$8*'Black-Scholes'!$B$7)*IF(LOWER('Black-Scholes'!$B$11)="put",MAX('Black-Scholes'!$B$6-D420,0),MAX(D420-'Black-Scholes'!$B$6,0))</f>
        <v>0</v>
      </c>
    </row>
    <row r="421" customFormat="false" ht="15" hidden="false" customHeight="false" outlineLevel="0" collapsed="false">
      <c r="A421" s="0" t="n">
        <v>410</v>
      </c>
      <c r="B421" s="15" t="n">
        <v>1.30281330990978</v>
      </c>
      <c r="C421" s="18" t="n">
        <f aca="false">'Black-Scholes'!$B$5*EXP(('Black-Scholes'!$B$8-'Black-Scholes'!$B$10-'Black-Scholes'!$B$9^2/2)*'Black-Scholes'!$B$7+'Black-Scholes'!$B$9*SQRT('Black-Scholes'!$B$7)*B421)</f>
        <v>133.71796565531</v>
      </c>
      <c r="D421" s="18" t="n">
        <f aca="false">'Black-Scholes'!$B$5*EXP(('Black-Scholes'!$B$8-'Black-Scholes'!$B$10-'Black-Scholes'!$B$9^2/2)*'Black-Scholes'!$B$7-'Black-Scholes'!$B$9*SQRT('Black-Scholes'!$B$7)*B421)</f>
        <v>79.4086674398337</v>
      </c>
      <c r="E421" s="18" t="n">
        <f aca="false">EXP(-'Black-Scholes'!$B$8*'Black-Scholes'!$B$7)*IF(LOWER('Black-Scholes'!$B$11)="put",MAX('Black-Scholes'!$B$6-C421,0),MAX(C421-'Black-Scholes'!$B$6,0))</f>
        <v>32.0735210656352</v>
      </c>
      <c r="F421" s="18" t="n">
        <f aca="false">(E421+G421)/2</f>
        <v>16.0367605328176</v>
      </c>
      <c r="G421" s="18" t="n">
        <f aca="false">EXP(-'Black-Scholes'!$B$8*'Black-Scholes'!$B$7)*IF(LOWER('Black-Scholes'!$B$11)="put",MAX('Black-Scholes'!$B$6-D421,0),MAX(D421-'Black-Scholes'!$B$6,0))</f>
        <v>0</v>
      </c>
    </row>
    <row r="422" customFormat="false" ht="15" hidden="false" customHeight="false" outlineLevel="0" collapsed="false">
      <c r="A422" s="0" t="n">
        <v>411</v>
      </c>
      <c r="B422" s="15" t="n">
        <v>1.41125228541886</v>
      </c>
      <c r="C422" s="18" t="n">
        <f aca="false">'Black-Scholes'!$B$5*EXP(('Black-Scholes'!$B$8-'Black-Scholes'!$B$10-'Black-Scholes'!$B$9^2/2)*'Black-Scholes'!$B$7+'Black-Scholes'!$B$9*SQRT('Black-Scholes'!$B$7)*B422)</f>
        <v>136.649689900204</v>
      </c>
      <c r="D422" s="18" t="n">
        <f aca="false">'Black-Scholes'!$B$5*EXP(('Black-Scholes'!$B$8-'Black-Scholes'!$B$10-'Black-Scholes'!$B$9^2/2)*'Black-Scholes'!$B$7-'Black-Scholes'!$B$9*SQRT('Black-Scholes'!$B$7)*B422)</f>
        <v>77.7050095994234</v>
      </c>
      <c r="E422" s="18" t="n">
        <f aca="false">EXP(-'Black-Scholes'!$B$8*'Black-Scholes'!$B$7)*IF(LOWER('Black-Scholes'!$B$11)="put",MAX('Black-Scholes'!$B$6-C422,0),MAX(C422-'Black-Scholes'!$B$6,0))</f>
        <v>34.8622634319009</v>
      </c>
      <c r="F422" s="18" t="n">
        <f aca="false">(E422+G422)/2</f>
        <v>17.4311317159505</v>
      </c>
      <c r="G422" s="18" t="n">
        <f aca="false">EXP(-'Black-Scholes'!$B$8*'Black-Scholes'!$B$7)*IF(LOWER('Black-Scholes'!$B$11)="put",MAX('Black-Scholes'!$B$6-D422,0),MAX(D422-'Black-Scholes'!$B$6,0))</f>
        <v>0</v>
      </c>
    </row>
    <row r="423" customFormat="false" ht="15" hidden="false" customHeight="false" outlineLevel="0" collapsed="false">
      <c r="A423" s="0" t="n">
        <v>412</v>
      </c>
      <c r="B423" s="15" t="n">
        <v>0.760974041295842</v>
      </c>
      <c r="C423" s="18" t="n">
        <f aca="false">'Black-Scholes'!$B$5*EXP(('Black-Scholes'!$B$8-'Black-Scholes'!$B$10-'Black-Scholes'!$B$9^2/2)*'Black-Scholes'!$B$7+'Black-Scholes'!$B$9*SQRT('Black-Scholes'!$B$7)*B423)</f>
        <v>119.984791139696</v>
      </c>
      <c r="D423" s="18" t="n">
        <f aca="false">'Black-Scholes'!$B$5*EXP(('Black-Scholes'!$B$8-'Black-Scholes'!$B$10-'Black-Scholes'!$B$9^2/2)*'Black-Scholes'!$B$7-'Black-Scholes'!$B$9*SQRT('Black-Scholes'!$B$7)*B423)</f>
        <v>88.4975951084567</v>
      </c>
      <c r="E423" s="18" t="n">
        <f aca="false">EXP(-'Black-Scholes'!$B$8*'Black-Scholes'!$B$7)*IF(LOWER('Black-Scholes'!$B$11)="put",MAX('Black-Scholes'!$B$6-C423,0),MAX(C423-'Black-Scholes'!$B$6,0))</f>
        <v>19.0101213745804</v>
      </c>
      <c r="F423" s="18" t="n">
        <f aca="false">(E423+G423)/2</f>
        <v>9.50506068729019</v>
      </c>
      <c r="G423" s="18" t="n">
        <f aca="false">EXP(-'Black-Scholes'!$B$8*'Black-Scholes'!$B$7)*IF(LOWER('Black-Scholes'!$B$11)="put",MAX('Black-Scholes'!$B$6-D423,0),MAX(D423-'Black-Scholes'!$B$6,0))</f>
        <v>0</v>
      </c>
    </row>
    <row r="424" customFormat="false" ht="15" hidden="false" customHeight="false" outlineLevel="0" collapsed="false">
      <c r="A424" s="0" t="n">
        <v>413</v>
      </c>
      <c r="B424" s="15" t="n">
        <v>0.517362352206041</v>
      </c>
      <c r="C424" s="18" t="n">
        <f aca="false">'Black-Scholes'!$B$5*EXP(('Black-Scholes'!$B$8-'Black-Scholes'!$B$10-'Black-Scholes'!$B$9^2/2)*'Black-Scholes'!$B$7+'Black-Scholes'!$B$9*SQRT('Black-Scholes'!$B$7)*B424)</f>
        <v>114.278980520293</v>
      </c>
      <c r="D424" s="18" t="n">
        <f aca="false">'Black-Scholes'!$B$5*EXP(('Black-Scholes'!$B$8-'Black-Scholes'!$B$10-'Black-Scholes'!$B$9^2/2)*'Black-Scholes'!$B$7-'Black-Scholes'!$B$9*SQRT('Black-Scholes'!$B$7)*B424)</f>
        <v>92.9161724851759</v>
      </c>
      <c r="E424" s="18" t="n">
        <f aca="false">EXP(-'Black-Scholes'!$B$8*'Black-Scholes'!$B$7)*IF(LOWER('Black-Scholes'!$B$11)="put",MAX('Black-Scholes'!$B$6-C424,0),MAX(C424-'Black-Scholes'!$B$6,0))</f>
        <v>13.5825864227752</v>
      </c>
      <c r="F424" s="18" t="n">
        <f aca="false">(E424+G424)/2</f>
        <v>6.79129321138758</v>
      </c>
      <c r="G424" s="18" t="n">
        <f aca="false">EXP(-'Black-Scholes'!$B$8*'Black-Scholes'!$B$7)*IF(LOWER('Black-Scholes'!$B$11)="put",MAX('Black-Scholes'!$B$6-D424,0),MAX(D424-'Black-Scholes'!$B$6,0))</f>
        <v>0</v>
      </c>
    </row>
    <row r="425" customFormat="false" ht="15" hidden="false" customHeight="false" outlineLevel="0" collapsed="false">
      <c r="A425" s="0" t="n">
        <v>414</v>
      </c>
      <c r="B425" s="15" t="n">
        <v>0.341347318100615</v>
      </c>
      <c r="C425" s="18" t="n">
        <f aca="false">'Black-Scholes'!$B$5*EXP(('Black-Scholes'!$B$8-'Black-Scholes'!$B$10-'Black-Scholes'!$B$9^2/2)*'Black-Scholes'!$B$7+'Black-Scholes'!$B$9*SQRT('Black-Scholes'!$B$7)*B425)</f>
        <v>110.326003350046</v>
      </c>
      <c r="D425" s="18" t="n">
        <f aca="false">'Black-Scholes'!$B$5*EXP(('Black-Scholes'!$B$8-'Black-Scholes'!$B$10-'Black-Scholes'!$B$9^2/2)*'Black-Scholes'!$B$7-'Black-Scholes'!$B$9*SQRT('Black-Scholes'!$B$7)*B425)</f>
        <v>96.2453559725471</v>
      </c>
      <c r="E425" s="18" t="n">
        <f aca="false">EXP(-'Black-Scholes'!$B$8*'Black-Scholes'!$B$7)*IF(LOWER('Black-Scholes'!$B$11)="put",MAX('Black-Scholes'!$B$6-C425,0),MAX(C425-'Black-Scholes'!$B$6,0))</f>
        <v>9.82239822405664</v>
      </c>
      <c r="F425" s="18" t="n">
        <f aca="false">(E425+G425)/2</f>
        <v>4.91119911202832</v>
      </c>
      <c r="G425" s="18" t="n">
        <f aca="false">EXP(-'Black-Scholes'!$B$8*'Black-Scholes'!$B$7)*IF(LOWER('Black-Scholes'!$B$11)="put",MAX('Black-Scholes'!$B$6-D425,0),MAX(D425-'Black-Scholes'!$B$6,0))</f>
        <v>0</v>
      </c>
    </row>
    <row r="426" customFormat="false" ht="15" hidden="false" customHeight="false" outlineLevel="0" collapsed="false">
      <c r="A426" s="0" t="n">
        <v>415</v>
      </c>
      <c r="B426" s="15" t="n">
        <v>1.68736855389682</v>
      </c>
      <c r="C426" s="18" t="n">
        <f aca="false">'Black-Scholes'!$B$5*EXP(('Black-Scholes'!$B$8-'Black-Scholes'!$B$10-'Black-Scholes'!$B$9^2/2)*'Black-Scholes'!$B$7+'Black-Scholes'!$B$9*SQRT('Black-Scholes'!$B$7)*B426)</f>
        <v>144.408183424457</v>
      </c>
      <c r="D426" s="18" t="n">
        <f aca="false">'Black-Scholes'!$B$5*EXP(('Black-Scholes'!$B$8-'Black-Scholes'!$B$10-'Black-Scholes'!$B$9^2/2)*'Black-Scholes'!$B$7-'Black-Scholes'!$B$9*SQRT('Black-Scholes'!$B$7)*B426)</f>
        <v>73.5302197815423</v>
      </c>
      <c r="E426" s="18" t="n">
        <f aca="false">EXP(-'Black-Scholes'!$B$8*'Black-Scholes'!$B$7)*IF(LOWER('Black-Scholes'!$B$11)="put",MAX('Black-Scholes'!$B$6-C426,0),MAX(C426-'Black-Scholes'!$B$6,0))</f>
        <v>42.2423707619683</v>
      </c>
      <c r="F426" s="18" t="n">
        <f aca="false">(E426+G426)/2</f>
        <v>21.1211853809842</v>
      </c>
      <c r="G426" s="18" t="n">
        <f aca="false">EXP(-'Black-Scholes'!$B$8*'Black-Scholes'!$B$7)*IF(LOWER('Black-Scholes'!$B$11)="put",MAX('Black-Scholes'!$B$6-D426,0),MAX(D426-'Black-Scholes'!$B$6,0))</f>
        <v>0</v>
      </c>
    </row>
    <row r="427" customFormat="false" ht="15" hidden="false" customHeight="false" outlineLevel="0" collapsed="false">
      <c r="A427" s="0" t="n">
        <v>416</v>
      </c>
      <c r="B427" s="15" t="n">
        <v>0.079489778737702</v>
      </c>
      <c r="C427" s="18" t="n">
        <f aca="false">'Black-Scholes'!$B$5*EXP(('Black-Scholes'!$B$8-'Black-Scholes'!$B$10-'Black-Scholes'!$B$9^2/2)*'Black-Scholes'!$B$7+'Black-Scholes'!$B$9*SQRT('Black-Scholes'!$B$7)*B427)</f>
        <v>104.696756848282</v>
      </c>
      <c r="D427" s="18" t="n">
        <f aca="false">'Black-Scholes'!$B$5*EXP(('Black-Scholes'!$B$8-'Black-Scholes'!$B$10-'Black-Scholes'!$B$9^2/2)*'Black-Scholes'!$B$7-'Black-Scholes'!$B$9*SQRT('Black-Scholes'!$B$7)*B427)</f>
        <v>101.420194713775</v>
      </c>
      <c r="E427" s="18" t="n">
        <f aca="false">EXP(-'Black-Scholes'!$B$8*'Black-Scholes'!$B$7)*IF(LOWER('Black-Scholes'!$B$11)="put",MAX('Black-Scholes'!$B$6-C427,0),MAX(C427-'Black-Scholes'!$B$6,0))</f>
        <v>4.46769331381149</v>
      </c>
      <c r="F427" s="18" t="n">
        <f aca="false">(E427+G427)/2</f>
        <v>2.90931215703748</v>
      </c>
      <c r="G427" s="18" t="n">
        <f aca="false">EXP(-'Black-Scholes'!$B$8*'Black-Scholes'!$B$7)*IF(LOWER('Black-Scholes'!$B$11)="put",MAX('Black-Scholes'!$B$6-D427,0),MAX(D427-'Black-Scholes'!$B$6,0))</f>
        <v>1.35093100026346</v>
      </c>
    </row>
    <row r="428" customFormat="false" ht="15" hidden="false" customHeight="false" outlineLevel="0" collapsed="false">
      <c r="A428" s="0" t="n">
        <v>417</v>
      </c>
      <c r="B428" s="15" t="n">
        <v>1.48196654908153</v>
      </c>
      <c r="C428" s="18" t="n">
        <f aca="false">'Black-Scholes'!$B$5*EXP(('Black-Scholes'!$B$8-'Black-Scholes'!$B$10-'Black-Scholes'!$B$9^2/2)*'Black-Scholes'!$B$7+'Black-Scholes'!$B$9*SQRT('Black-Scholes'!$B$7)*B428)</f>
        <v>138.596037350783</v>
      </c>
      <c r="D428" s="18" t="n">
        <f aca="false">'Black-Scholes'!$B$5*EXP(('Black-Scholes'!$B$8-'Black-Scholes'!$B$10-'Black-Scholes'!$B$9^2/2)*'Black-Scholes'!$B$7-'Black-Scholes'!$B$9*SQRT('Black-Scholes'!$B$7)*B428)</f>
        <v>76.6137738742036</v>
      </c>
      <c r="E428" s="18" t="n">
        <f aca="false">EXP(-'Black-Scholes'!$B$8*'Black-Scholes'!$B$7)*IF(LOWER('Black-Scholes'!$B$11)="put",MAX('Black-Scholes'!$B$6-C428,0),MAX(C428-'Black-Scholes'!$B$6,0))</f>
        <v>36.7136863971938</v>
      </c>
      <c r="F428" s="18" t="n">
        <f aca="false">(E428+G428)/2</f>
        <v>18.3568431985969</v>
      </c>
      <c r="G428" s="18" t="n">
        <f aca="false">EXP(-'Black-Scholes'!$B$8*'Black-Scholes'!$B$7)*IF(LOWER('Black-Scholes'!$B$11)="put",MAX('Black-Scholes'!$B$6-D428,0),MAX(D428-'Black-Scholes'!$B$6,0))</f>
        <v>0</v>
      </c>
    </row>
    <row r="429" customFormat="false" ht="15" hidden="false" customHeight="false" outlineLevel="0" collapsed="false">
      <c r="A429" s="0" t="n">
        <v>418</v>
      </c>
      <c r="B429" s="15" t="n">
        <v>0.417361734479381</v>
      </c>
      <c r="C429" s="18" t="n">
        <f aca="false">'Black-Scholes'!$B$5*EXP(('Black-Scholes'!$B$8-'Black-Scholes'!$B$10-'Black-Scholes'!$B$9^2/2)*'Black-Scholes'!$B$7+'Black-Scholes'!$B$9*SQRT('Black-Scholes'!$B$7)*B429)</f>
        <v>112.016091253774</v>
      </c>
      <c r="D429" s="18" t="n">
        <f aca="false">'Black-Scholes'!$B$5*EXP(('Black-Scholes'!$B$8-'Black-Scholes'!$B$10-'Black-Scholes'!$B$9^2/2)*'Black-Scholes'!$B$7-'Black-Scholes'!$B$9*SQRT('Black-Scholes'!$B$7)*B429)</f>
        <v>94.7932153907922</v>
      </c>
      <c r="E429" s="18" t="n">
        <f aca="false">EXP(-'Black-Scholes'!$B$8*'Black-Scholes'!$B$7)*IF(LOWER('Black-Scholes'!$B$11)="put",MAX('Black-Scholes'!$B$6-C429,0),MAX(C429-'Black-Scholes'!$B$6,0))</f>
        <v>11.4300595680752</v>
      </c>
      <c r="F429" s="18" t="n">
        <f aca="false">(E429+G429)/2</f>
        <v>5.71502978403759</v>
      </c>
      <c r="G429" s="18" t="n">
        <f aca="false">EXP(-'Black-Scholes'!$B$8*'Black-Scholes'!$B$7)*IF(LOWER('Black-Scholes'!$B$11)="put",MAX('Black-Scholes'!$B$6-D429,0),MAX(D429-'Black-Scholes'!$B$6,0))</f>
        <v>0</v>
      </c>
    </row>
    <row r="430" customFormat="false" ht="15" hidden="false" customHeight="false" outlineLevel="0" collapsed="false">
      <c r="A430" s="0" t="n">
        <v>419</v>
      </c>
      <c r="B430" s="15" t="n">
        <v>-2.08082563752299</v>
      </c>
      <c r="C430" s="18" t="n">
        <f aca="false">'Black-Scholes'!$B$5*EXP(('Black-Scholes'!$B$8-'Black-Scholes'!$B$10-'Black-Scholes'!$B$9^2/2)*'Black-Scholes'!$B$7+'Black-Scholes'!$B$9*SQRT('Black-Scholes'!$B$7)*B430)</f>
        <v>67.965828613689</v>
      </c>
      <c r="D430" s="18" t="n">
        <f aca="false">'Black-Scholes'!$B$5*EXP(('Black-Scholes'!$B$8-'Black-Scholes'!$B$10-'Black-Scholes'!$B$9^2/2)*'Black-Scholes'!$B$7-'Black-Scholes'!$B$9*SQRT('Black-Scholes'!$B$7)*B430)</f>
        <v>156.230942549194</v>
      </c>
      <c r="E430" s="18" t="n">
        <f aca="false">EXP(-'Black-Scholes'!$B$8*'Black-Scholes'!$B$7)*IF(LOWER('Black-Scholes'!$B$11)="put",MAX('Black-Scholes'!$B$6-C430,0),MAX(C430-'Black-Scholes'!$B$6,0))</f>
        <v>0</v>
      </c>
      <c r="F430" s="18" t="n">
        <f aca="false">(E430+G430)/2</f>
        <v>26.7442635601012</v>
      </c>
      <c r="G430" s="18" t="n">
        <f aca="false">EXP(-'Black-Scholes'!$B$8*'Black-Scholes'!$B$7)*IF(LOWER('Black-Scholes'!$B$11)="put",MAX('Black-Scholes'!$B$6-D430,0),MAX(D430-'Black-Scholes'!$B$6,0))</f>
        <v>53.4885271202024</v>
      </c>
    </row>
    <row r="431" customFormat="false" ht="15" hidden="false" customHeight="false" outlineLevel="0" collapsed="false">
      <c r="A431" s="0" t="n">
        <v>420</v>
      </c>
      <c r="B431" s="15" t="n">
        <v>-0.990101765244237</v>
      </c>
      <c r="C431" s="18" t="n">
        <f aca="false">'Black-Scholes'!$B$5*EXP(('Black-Scholes'!$B$8-'Black-Scholes'!$B$10-'Black-Scholes'!$B$9^2/2)*'Black-Scholes'!$B$7+'Black-Scholes'!$B$9*SQRT('Black-Scholes'!$B$7)*B431)</f>
        <v>84.5336629331859</v>
      </c>
      <c r="D431" s="18" t="n">
        <f aca="false">'Black-Scholes'!$B$5*EXP(('Black-Scholes'!$B$8-'Black-Scholes'!$B$10-'Black-Scholes'!$B$9^2/2)*'Black-Scholes'!$B$7-'Black-Scholes'!$B$9*SQRT('Black-Scholes'!$B$7)*B431)</f>
        <v>125.61108908585</v>
      </c>
      <c r="E431" s="18" t="n">
        <f aca="false">EXP(-'Black-Scholes'!$B$8*'Black-Scholes'!$B$7)*IF(LOWER('Black-Scholes'!$B$11)="put",MAX('Black-Scholes'!$B$6-C431,0),MAX(C431-'Black-Scholes'!$B$6,0))</f>
        <v>0</v>
      </c>
      <c r="F431" s="18" t="n">
        <f aca="false">(E431+G431)/2</f>
        <v>12.1810107659846</v>
      </c>
      <c r="G431" s="18" t="n">
        <f aca="false">EXP(-'Black-Scholes'!$B$8*'Black-Scholes'!$B$7)*IF(LOWER('Black-Scholes'!$B$11)="put",MAX('Black-Scholes'!$B$6-D431,0),MAX(D431-'Black-Scholes'!$B$6,0))</f>
        <v>24.3620215319692</v>
      </c>
    </row>
    <row r="432" customFormat="false" ht="15" hidden="false" customHeight="false" outlineLevel="0" collapsed="false">
      <c r="A432" s="0" t="n">
        <v>421</v>
      </c>
      <c r="B432" s="15" t="n">
        <v>0.490976490434527</v>
      </c>
      <c r="C432" s="18" t="n">
        <f aca="false">'Black-Scholes'!$B$5*EXP(('Black-Scholes'!$B$8-'Black-Scholes'!$B$10-'Black-Scholes'!$B$9^2/2)*'Black-Scholes'!$B$7+'Black-Scholes'!$B$9*SQRT('Black-Scholes'!$B$7)*B432)</f>
        <v>113.677499100039</v>
      </c>
      <c r="D432" s="18" t="n">
        <f aca="false">'Black-Scholes'!$B$5*EXP(('Black-Scholes'!$B$8-'Black-Scholes'!$B$10-'Black-Scholes'!$B$9^2/2)*'Black-Scholes'!$B$7-'Black-Scholes'!$B$9*SQRT('Black-Scholes'!$B$7)*B432)</f>
        <v>93.4078032109867</v>
      </c>
      <c r="E432" s="18" t="n">
        <f aca="false">EXP(-'Black-Scholes'!$B$8*'Black-Scholes'!$B$7)*IF(LOWER('Black-Scholes'!$B$11)="put",MAX('Black-Scholes'!$B$6-C432,0),MAX(C432-'Black-Scholes'!$B$6,0))</f>
        <v>13.0104395975395</v>
      </c>
      <c r="F432" s="18" t="n">
        <f aca="false">(E432+G432)/2</f>
        <v>6.50521979876973</v>
      </c>
      <c r="G432" s="18" t="n">
        <f aca="false">EXP(-'Black-Scholes'!$B$8*'Black-Scholes'!$B$7)*IF(LOWER('Black-Scholes'!$B$11)="put",MAX('Black-Scholes'!$B$6-D432,0),MAX(D432-'Black-Scholes'!$B$6,0))</f>
        <v>0</v>
      </c>
    </row>
    <row r="433" customFormat="false" ht="15" hidden="false" customHeight="false" outlineLevel="0" collapsed="false">
      <c r="A433" s="0" t="n">
        <v>422</v>
      </c>
      <c r="B433" s="15" t="n">
        <v>1.1982428107065</v>
      </c>
      <c r="C433" s="18" t="n">
        <f aca="false">'Black-Scholes'!$B$5*EXP(('Black-Scholes'!$B$8-'Black-Scholes'!$B$10-'Black-Scholes'!$B$9^2/2)*'Black-Scholes'!$B$7+'Black-Scholes'!$B$9*SQRT('Black-Scholes'!$B$7)*B433)</f>
        <v>130.950416051815</v>
      </c>
      <c r="D433" s="18" t="n">
        <f aca="false">'Black-Scholes'!$B$5*EXP(('Black-Scholes'!$B$8-'Black-Scholes'!$B$10-'Black-Scholes'!$B$9^2/2)*'Black-Scholes'!$B$7-'Black-Scholes'!$B$9*SQRT('Black-Scholes'!$B$7)*B433)</f>
        <v>81.0869166024801</v>
      </c>
      <c r="E433" s="18" t="n">
        <f aca="false">EXP(-'Black-Scholes'!$B$8*'Black-Scholes'!$B$7)*IF(LOWER('Black-Scholes'!$B$11)="put",MAX('Black-Scholes'!$B$6-C433,0),MAX(C433-'Black-Scholes'!$B$6,0))</f>
        <v>29.4409464490257</v>
      </c>
      <c r="F433" s="18" t="n">
        <f aca="false">(E433+G433)/2</f>
        <v>14.7204732245128</v>
      </c>
      <c r="G433" s="18" t="n">
        <f aca="false">EXP(-'Black-Scholes'!$B$8*'Black-Scholes'!$B$7)*IF(LOWER('Black-Scholes'!$B$11)="put",MAX('Black-Scholes'!$B$6-D433,0),MAX(D433-'Black-Scholes'!$B$6,0))</f>
        <v>0</v>
      </c>
    </row>
    <row r="434" customFormat="false" ht="15" hidden="false" customHeight="false" outlineLevel="0" collapsed="false">
      <c r="A434" s="0" t="n">
        <v>423</v>
      </c>
      <c r="B434" s="15" t="n">
        <v>-0.835880125204513</v>
      </c>
      <c r="C434" s="18" t="n">
        <f aca="false">'Black-Scholes'!$B$5*EXP(('Black-Scholes'!$B$8-'Black-Scholes'!$B$10-'Black-Scholes'!$B$9^2/2)*'Black-Scholes'!$B$7+'Black-Scholes'!$B$9*SQRT('Black-Scholes'!$B$7)*B434)</f>
        <v>87.1816751045514</v>
      </c>
      <c r="D434" s="18" t="n">
        <f aca="false">'Black-Scholes'!$B$5*EXP(('Black-Scholes'!$B$8-'Black-Scholes'!$B$10-'Black-Scholes'!$B$9^2/2)*'Black-Scholes'!$B$7-'Black-Scholes'!$B$9*SQRT('Black-Scholes'!$B$7)*B434)</f>
        <v>121.795841301738</v>
      </c>
      <c r="E434" s="18" t="n">
        <f aca="false">EXP(-'Black-Scholes'!$B$8*'Black-Scholes'!$B$7)*IF(LOWER('Black-Scholes'!$B$11)="put",MAX('Black-Scholes'!$B$6-C434,0),MAX(C434-'Black-Scholes'!$B$6,0))</f>
        <v>0</v>
      </c>
      <c r="F434" s="18" t="n">
        <f aca="false">(E434+G434)/2</f>
        <v>10.3664227889804</v>
      </c>
      <c r="G434" s="18" t="n">
        <f aca="false">EXP(-'Black-Scholes'!$B$8*'Black-Scholes'!$B$7)*IF(LOWER('Black-Scholes'!$B$11)="put",MAX('Black-Scholes'!$B$6-D434,0),MAX(D434-'Black-Scholes'!$B$6,0))</f>
        <v>20.7328455779608</v>
      </c>
    </row>
    <row r="435" customFormat="false" ht="15" hidden="false" customHeight="false" outlineLevel="0" collapsed="false">
      <c r="A435" s="0" t="n">
        <v>424</v>
      </c>
      <c r="B435" s="15" t="n">
        <v>-0.111188002916791</v>
      </c>
      <c r="C435" s="18" t="n">
        <f aca="false">'Black-Scholes'!$B$5*EXP(('Black-Scholes'!$B$8-'Black-Scholes'!$B$10-'Black-Scholes'!$B$9^2/2)*'Black-Scholes'!$B$7+'Black-Scholes'!$B$9*SQRT('Black-Scholes'!$B$7)*B435)</f>
        <v>100.77926049442</v>
      </c>
      <c r="D435" s="18" t="n">
        <f aca="false">'Black-Scholes'!$B$5*EXP(('Black-Scholes'!$B$8-'Black-Scholes'!$B$10-'Black-Scholes'!$B$9^2/2)*'Black-Scholes'!$B$7-'Black-Scholes'!$B$9*SQRT('Black-Scholes'!$B$7)*B435)</f>
        <v>105.362605494029</v>
      </c>
      <c r="E435" s="18" t="n">
        <f aca="false">EXP(-'Black-Scholes'!$B$8*'Black-Scholes'!$B$7)*IF(LOWER('Black-Scholes'!$B$11)="put",MAX('Black-Scholes'!$B$6-C435,0),MAX(C435-'Black-Scholes'!$B$6,0))</f>
        <v>0.741255511643374</v>
      </c>
      <c r="F435" s="18" t="n">
        <f aca="false">(E435+G435)/2</f>
        <v>2.92116182477661</v>
      </c>
      <c r="G435" s="18" t="n">
        <f aca="false">EXP(-'Black-Scholes'!$B$8*'Black-Scholes'!$B$7)*IF(LOWER('Black-Scholes'!$B$11)="put",MAX('Black-Scholes'!$B$6-D435,0),MAX(D435-'Black-Scholes'!$B$6,0))</f>
        <v>5.10106813790986</v>
      </c>
    </row>
    <row r="436" customFormat="false" ht="15" hidden="false" customHeight="false" outlineLevel="0" collapsed="false">
      <c r="A436" s="0" t="n">
        <v>425</v>
      </c>
      <c r="B436" s="15" t="n">
        <v>0.936692569158647</v>
      </c>
      <c r="C436" s="18" t="n">
        <f aca="false">'Black-Scholes'!$B$5*EXP(('Black-Scholes'!$B$8-'Black-Scholes'!$B$10-'Black-Scholes'!$B$9^2/2)*'Black-Scholes'!$B$7+'Black-Scholes'!$B$9*SQRT('Black-Scholes'!$B$7)*B436)</f>
        <v>124.276472398925</v>
      </c>
      <c r="D436" s="18" t="n">
        <f aca="false">'Black-Scholes'!$B$5*EXP(('Black-Scholes'!$B$8-'Black-Scholes'!$B$10-'Black-Scholes'!$B$9^2/2)*'Black-Scholes'!$B$7-'Black-Scholes'!$B$9*SQRT('Black-Scholes'!$B$7)*B436)</f>
        <v>85.4414778637174</v>
      </c>
      <c r="E436" s="18" t="n">
        <f aca="false">EXP(-'Black-Scholes'!$B$8*'Black-Scholes'!$B$7)*IF(LOWER('Black-Scholes'!$B$11)="put",MAX('Black-Scholes'!$B$6-C436,0),MAX(C436-'Black-Scholes'!$B$6,0))</f>
        <v>23.0924948689365</v>
      </c>
      <c r="F436" s="18" t="n">
        <f aca="false">(E436+G436)/2</f>
        <v>11.5462474344682</v>
      </c>
      <c r="G436" s="18" t="n">
        <f aca="false">EXP(-'Black-Scholes'!$B$8*'Black-Scholes'!$B$7)*IF(LOWER('Black-Scholes'!$B$11)="put",MAX('Black-Scholes'!$B$6-D436,0),MAX(D436-'Black-Scholes'!$B$6,0))</f>
        <v>0</v>
      </c>
    </row>
    <row r="437" customFormat="false" ht="15" hidden="false" customHeight="false" outlineLevel="0" collapsed="false">
      <c r="A437" s="0" t="n">
        <v>426</v>
      </c>
      <c r="B437" s="15" t="n">
        <v>1.00292714524483</v>
      </c>
      <c r="C437" s="18" t="n">
        <f aca="false">'Black-Scholes'!$B$5*EXP(('Black-Scholes'!$B$8-'Black-Scholes'!$B$10-'Black-Scholes'!$B$9^2/2)*'Black-Scholes'!$B$7+'Black-Scholes'!$B$9*SQRT('Black-Scholes'!$B$7)*B437)</f>
        <v>125.933704665662</v>
      </c>
      <c r="D437" s="18" t="n">
        <f aca="false">'Black-Scholes'!$B$5*EXP(('Black-Scholes'!$B$8-'Black-Scholes'!$B$10-'Black-Scholes'!$B$9^2/2)*'Black-Scholes'!$B$7-'Black-Scholes'!$B$9*SQRT('Black-Scholes'!$B$7)*B437)</f>
        <v>84.3171055250378</v>
      </c>
      <c r="E437" s="18" t="n">
        <f aca="false">EXP(-'Black-Scholes'!$B$8*'Black-Scholes'!$B$7)*IF(LOWER('Black-Scholes'!$B$11)="put",MAX('Black-Scholes'!$B$6-C437,0),MAX(C437-'Black-Scholes'!$B$6,0))</f>
        <v>24.6689029642895</v>
      </c>
      <c r="F437" s="18" t="n">
        <f aca="false">(E437+G437)/2</f>
        <v>12.3344514821448</v>
      </c>
      <c r="G437" s="18" t="n">
        <f aca="false">EXP(-'Black-Scholes'!$B$8*'Black-Scholes'!$B$7)*IF(LOWER('Black-Scholes'!$B$11)="put",MAX('Black-Scholes'!$B$6-D437,0),MAX(D437-'Black-Scholes'!$B$6,0))</f>
        <v>0</v>
      </c>
    </row>
    <row r="438" customFormat="false" ht="15" hidden="false" customHeight="false" outlineLevel="0" collapsed="false">
      <c r="A438" s="0" t="n">
        <v>427</v>
      </c>
      <c r="B438" s="15" t="n">
        <v>-1.15925089501172</v>
      </c>
      <c r="C438" s="18" t="n">
        <f aca="false">'Black-Scholes'!$B$5*EXP(('Black-Scholes'!$B$8-'Black-Scholes'!$B$10-'Black-Scholes'!$B$9^2/2)*'Black-Scholes'!$B$7+'Black-Scholes'!$B$9*SQRT('Black-Scholes'!$B$7)*B438)</f>
        <v>81.7217355090371</v>
      </c>
      <c r="D438" s="18" t="n">
        <f aca="false">'Black-Scholes'!$B$5*EXP(('Black-Scholes'!$B$8-'Black-Scholes'!$B$10-'Black-Scholes'!$B$9^2/2)*'Black-Scholes'!$B$7-'Black-Scholes'!$B$9*SQRT('Black-Scholes'!$B$7)*B438)</f>
        <v>129.933186065039</v>
      </c>
      <c r="E438" s="18" t="n">
        <f aca="false">EXP(-'Black-Scholes'!$B$8*'Black-Scholes'!$B$7)*IF(LOWER('Black-Scholes'!$B$11)="put",MAX('Black-Scholes'!$B$6-C438,0),MAX(C438-'Black-Scholes'!$B$6,0))</f>
        <v>0</v>
      </c>
      <c r="F438" s="18" t="n">
        <f aca="false">(E438+G438)/2</f>
        <v>14.2366636770598</v>
      </c>
      <c r="G438" s="18" t="n">
        <f aca="false">EXP(-'Black-Scholes'!$B$8*'Black-Scholes'!$B$7)*IF(LOWER('Black-Scholes'!$B$11)="put",MAX('Black-Scholes'!$B$6-D438,0),MAX(D438-'Black-Scholes'!$B$6,0))</f>
        <v>28.4733273541195</v>
      </c>
    </row>
    <row r="439" customFormat="false" ht="15" hidden="false" customHeight="false" outlineLevel="0" collapsed="false">
      <c r="A439" s="0" t="n">
        <v>428</v>
      </c>
      <c r="B439" s="15" t="n">
        <v>0.171651206070198</v>
      </c>
      <c r="C439" s="18" t="n">
        <f aca="false">'Black-Scholes'!$B$5*EXP(('Black-Scholes'!$B$8-'Black-Scholes'!$B$10-'Black-Scholes'!$B$9^2/2)*'Black-Scholes'!$B$7+'Black-Scholes'!$B$9*SQRT('Black-Scholes'!$B$7)*B439)</f>
        <v>106.644452454957</v>
      </c>
      <c r="D439" s="18" t="n">
        <f aca="false">'Black-Scholes'!$B$5*EXP(('Black-Scholes'!$B$8-'Black-Scholes'!$B$10-'Black-Scholes'!$B$9^2/2)*'Black-Scholes'!$B$7-'Black-Scholes'!$B$9*SQRT('Black-Scholes'!$B$7)*B439)</f>
        <v>99.5679120762366</v>
      </c>
      <c r="E439" s="18" t="n">
        <f aca="false">EXP(-'Black-Scholes'!$B$8*'Black-Scholes'!$B$7)*IF(LOWER('Black-Scholes'!$B$11)="put",MAX('Black-Scholes'!$B$6-C439,0),MAX(C439-'Black-Scholes'!$B$6,0))</f>
        <v>6.32039868485153</v>
      </c>
      <c r="F439" s="18" t="n">
        <f aca="false">(E439+G439)/2</f>
        <v>3.16019934242576</v>
      </c>
      <c r="G439" s="18" t="n">
        <f aca="false">EXP(-'Black-Scholes'!$B$8*'Black-Scholes'!$B$7)*IF(LOWER('Black-Scholes'!$B$11)="put",MAX('Black-Scholes'!$B$6-D439,0),MAX(D439-'Black-Scholes'!$B$6,0))</f>
        <v>0</v>
      </c>
    </row>
    <row r="440" customFormat="false" ht="15" hidden="false" customHeight="false" outlineLevel="0" collapsed="false">
      <c r="A440" s="0" t="n">
        <v>429</v>
      </c>
      <c r="B440" s="15" t="n">
        <v>-0.956724093760566</v>
      </c>
      <c r="C440" s="18" t="n">
        <f aca="false">'Black-Scholes'!$B$5*EXP(('Black-Scholes'!$B$8-'Black-Scholes'!$B$10-'Black-Scholes'!$B$9^2/2)*'Black-Scholes'!$B$7+'Black-Scholes'!$B$9*SQRT('Black-Scholes'!$B$7)*B440)</f>
        <v>85.0998580240993</v>
      </c>
      <c r="D440" s="18" t="n">
        <f aca="false">'Black-Scholes'!$B$5*EXP(('Black-Scholes'!$B$8-'Black-Scholes'!$B$10-'Black-Scholes'!$B$9^2/2)*'Black-Scholes'!$B$7-'Black-Scholes'!$B$9*SQRT('Black-Scholes'!$B$7)*B440)</f>
        <v>124.775360523476</v>
      </c>
      <c r="E440" s="18" t="n">
        <f aca="false">EXP(-'Black-Scholes'!$B$8*'Black-Scholes'!$B$7)*IF(LOWER('Black-Scholes'!$B$11)="put",MAX('Black-Scholes'!$B$6-C440,0),MAX(C440-'Black-Scholes'!$B$6,0))</f>
        <v>0</v>
      </c>
      <c r="F440" s="18" t="n">
        <f aca="false">(E440+G440)/2</f>
        <v>11.7835259662718</v>
      </c>
      <c r="G440" s="18" t="n">
        <f aca="false">EXP(-'Black-Scholes'!$B$8*'Black-Scholes'!$B$7)*IF(LOWER('Black-Scholes'!$B$11)="put",MAX('Black-Scholes'!$B$6-D440,0),MAX(D440-'Black-Scholes'!$B$6,0))</f>
        <v>23.5670519325436</v>
      </c>
    </row>
    <row r="441" customFormat="false" ht="15" hidden="false" customHeight="false" outlineLevel="0" collapsed="false">
      <c r="A441" s="0" t="n">
        <v>430</v>
      </c>
      <c r="B441" s="15" t="n">
        <v>0.444136369235803</v>
      </c>
      <c r="C441" s="18" t="n">
        <f aca="false">'Black-Scholes'!$B$5*EXP(('Black-Scholes'!$B$8-'Black-Scholes'!$B$10-'Black-Scholes'!$B$9^2/2)*'Black-Scholes'!$B$7+'Black-Scholes'!$B$9*SQRT('Black-Scholes'!$B$7)*B441)</f>
        <v>112.617538154697</v>
      </c>
      <c r="D441" s="18" t="n">
        <f aca="false">'Black-Scholes'!$B$5*EXP(('Black-Scholes'!$B$8-'Black-Scholes'!$B$10-'Black-Scholes'!$B$9^2/2)*'Black-Scholes'!$B$7-'Black-Scholes'!$B$9*SQRT('Black-Scholes'!$B$7)*B441)</f>
        <v>94.2869613333911</v>
      </c>
      <c r="E441" s="18" t="n">
        <f aca="false">EXP(-'Black-Scholes'!$B$8*'Black-Scholes'!$B$7)*IF(LOWER('Black-Scholes'!$B$11)="put",MAX('Black-Scholes'!$B$6-C441,0),MAX(C441-'Black-Scholes'!$B$6,0))</f>
        <v>12.002173557508</v>
      </c>
      <c r="F441" s="18" t="n">
        <f aca="false">(E441+G441)/2</f>
        <v>6.00108677875401</v>
      </c>
      <c r="G441" s="18" t="n">
        <f aca="false">EXP(-'Black-Scholes'!$B$8*'Black-Scholes'!$B$7)*IF(LOWER('Black-Scholes'!$B$11)="put",MAX('Black-Scholes'!$B$6-D441,0),MAX(D441-'Black-Scholes'!$B$6,0))</f>
        <v>0</v>
      </c>
    </row>
    <row r="442" customFormat="false" ht="15" hidden="false" customHeight="false" outlineLevel="0" collapsed="false">
      <c r="A442" s="0" t="n">
        <v>431</v>
      </c>
      <c r="B442" s="15" t="n">
        <v>-0.243743458346015</v>
      </c>
      <c r="C442" s="18" t="n">
        <f aca="false">'Black-Scholes'!$B$5*EXP(('Black-Scholes'!$B$8-'Black-Scholes'!$B$10-'Black-Scholes'!$B$9^2/2)*'Black-Scholes'!$B$7+'Black-Scholes'!$B$9*SQRT('Black-Scholes'!$B$7)*B442)</f>
        <v>98.1425971776761</v>
      </c>
      <c r="D442" s="18" t="n">
        <f aca="false">'Black-Scholes'!$B$5*EXP(('Black-Scholes'!$B$8-'Black-Scholes'!$B$10-'Black-Scholes'!$B$9^2/2)*'Black-Scholes'!$B$7-'Black-Scholes'!$B$9*SQRT('Black-Scholes'!$B$7)*B442)</f>
        <v>108.193238927947</v>
      </c>
      <c r="E442" s="18" t="n">
        <f aca="false">EXP(-'Black-Scholes'!$B$8*'Black-Scholes'!$B$7)*IF(LOWER('Black-Scholes'!$B$11)="put",MAX('Black-Scholes'!$B$6-C442,0),MAX(C442-'Black-Scholes'!$B$6,0))</f>
        <v>0</v>
      </c>
      <c r="F442" s="18" t="n">
        <f aca="false">(E442+G442)/2</f>
        <v>3.89682497511408</v>
      </c>
      <c r="G442" s="18" t="n">
        <f aca="false">EXP(-'Black-Scholes'!$B$8*'Black-Scholes'!$B$7)*IF(LOWER('Black-Scholes'!$B$11)="put",MAX('Black-Scholes'!$B$6-D442,0),MAX(D442-'Black-Scholes'!$B$6,0))</f>
        <v>7.79364995022816</v>
      </c>
    </row>
    <row r="443" customFormat="false" ht="15" hidden="false" customHeight="false" outlineLevel="0" collapsed="false">
      <c r="A443" s="0" t="n">
        <v>432</v>
      </c>
      <c r="B443" s="15" t="n">
        <v>1.45953641751464</v>
      </c>
      <c r="C443" s="18" t="n">
        <f aca="false">'Black-Scholes'!$B$5*EXP(('Black-Scholes'!$B$8-'Black-Scholes'!$B$10-'Black-Scholes'!$B$9^2/2)*'Black-Scholes'!$B$7+'Black-Scholes'!$B$9*SQRT('Black-Scholes'!$B$7)*B443)</f>
        <v>137.975684380526</v>
      </c>
      <c r="D443" s="18" t="n">
        <f aca="false">'Black-Scholes'!$B$5*EXP(('Black-Scholes'!$B$8-'Black-Scholes'!$B$10-'Black-Scholes'!$B$9^2/2)*'Black-Scholes'!$B$7-'Black-Scholes'!$B$9*SQRT('Black-Scholes'!$B$7)*B443)</f>
        <v>76.9582373381748</v>
      </c>
      <c r="E443" s="18" t="n">
        <f aca="false">EXP(-'Black-Scholes'!$B$8*'Black-Scholes'!$B$7)*IF(LOWER('Black-Scholes'!$B$11)="put",MAX('Black-Scholes'!$B$6-C443,0),MAX(C443-'Black-Scholes'!$B$6,0))</f>
        <v>36.1235883983083</v>
      </c>
      <c r="F443" s="18" t="n">
        <f aca="false">(E443+G443)/2</f>
        <v>18.0617941991542</v>
      </c>
      <c r="G443" s="18" t="n">
        <f aca="false">EXP(-'Black-Scholes'!$B$8*'Black-Scholes'!$B$7)*IF(LOWER('Black-Scholes'!$B$11)="put",MAX('Black-Scholes'!$B$6-D443,0),MAX(D443-'Black-Scholes'!$B$6,0))</f>
        <v>0</v>
      </c>
    </row>
    <row r="444" customFormat="false" ht="15" hidden="false" customHeight="false" outlineLevel="0" collapsed="false">
      <c r="A444" s="0" t="n">
        <v>433</v>
      </c>
      <c r="B444" s="15" t="n">
        <v>0.622667659166827</v>
      </c>
      <c r="C444" s="18" t="n">
        <f aca="false">'Black-Scholes'!$B$5*EXP(('Black-Scholes'!$B$8-'Black-Scholes'!$B$10-'Black-Scholes'!$B$9^2/2)*'Black-Scholes'!$B$7+'Black-Scholes'!$B$9*SQRT('Black-Scholes'!$B$7)*B444)</f>
        <v>116.711341285384</v>
      </c>
      <c r="D444" s="18" t="n">
        <f aca="false">'Black-Scholes'!$B$5*EXP(('Black-Scholes'!$B$8-'Black-Scholes'!$B$10-'Black-Scholes'!$B$9^2/2)*'Black-Scholes'!$B$7-'Black-Scholes'!$B$9*SQRT('Black-Scholes'!$B$7)*B444)</f>
        <v>90.9797226945534</v>
      </c>
      <c r="E444" s="18" t="n">
        <f aca="false">EXP(-'Black-Scholes'!$B$8*'Black-Scholes'!$B$7)*IF(LOWER('Black-Scholes'!$B$11)="put",MAX('Black-Scholes'!$B$6-C444,0),MAX(C444-'Black-Scholes'!$B$6,0))</f>
        <v>15.8963195535307</v>
      </c>
      <c r="F444" s="18" t="n">
        <f aca="false">(E444+G444)/2</f>
        <v>7.94815977676534</v>
      </c>
      <c r="G444" s="18" t="n">
        <f aca="false">EXP(-'Black-Scholes'!$B$8*'Black-Scholes'!$B$7)*IF(LOWER('Black-Scholes'!$B$11)="put",MAX('Black-Scholes'!$B$6-D444,0),MAX(D444-'Black-Scholes'!$B$6,0))</f>
        <v>0</v>
      </c>
    </row>
    <row r="445" customFormat="false" ht="15" hidden="false" customHeight="false" outlineLevel="0" collapsed="false">
      <c r="A445" s="0" t="n">
        <v>434</v>
      </c>
      <c r="B445" s="15" t="n">
        <v>0.347557046359347</v>
      </c>
      <c r="C445" s="18" t="n">
        <f aca="false">'Black-Scholes'!$B$5*EXP(('Black-Scholes'!$B$8-'Black-Scholes'!$B$10-'Black-Scholes'!$B$9^2/2)*'Black-Scholes'!$B$7+'Black-Scholes'!$B$9*SQRT('Black-Scholes'!$B$7)*B445)</f>
        <v>110.463107370429</v>
      </c>
      <c r="D445" s="18" t="n">
        <f aca="false">'Black-Scholes'!$B$5*EXP(('Black-Scholes'!$B$8-'Black-Scholes'!$B$10-'Black-Scholes'!$B$9^2/2)*'Black-Scholes'!$B$7-'Black-Scholes'!$B$9*SQRT('Black-Scholes'!$B$7)*B445)</f>
        <v>96.1258986662918</v>
      </c>
      <c r="E445" s="18" t="n">
        <f aca="false">EXP(-'Black-Scholes'!$B$8*'Black-Scholes'!$B$7)*IF(LOWER('Black-Scholes'!$B$11)="put",MAX('Black-Scholes'!$B$6-C445,0),MAX(C445-'Black-Scholes'!$B$6,0))</f>
        <v>9.95281560246263</v>
      </c>
      <c r="F445" s="18" t="n">
        <f aca="false">(E445+G445)/2</f>
        <v>4.97640780123131</v>
      </c>
      <c r="G445" s="18" t="n">
        <f aca="false">EXP(-'Black-Scholes'!$B$8*'Black-Scholes'!$B$7)*IF(LOWER('Black-Scholes'!$B$11)="put",MAX('Black-Scholes'!$B$6-D445,0),MAX(D445-'Black-Scholes'!$B$6,0))</f>
        <v>0</v>
      </c>
    </row>
    <row r="446" customFormat="false" ht="15" hidden="false" customHeight="false" outlineLevel="0" collapsed="false">
      <c r="A446" s="0" t="n">
        <v>435</v>
      </c>
      <c r="B446" s="15" t="n">
        <v>-0.483031480999865</v>
      </c>
      <c r="C446" s="18" t="n">
        <f aca="false">'Black-Scholes'!$B$5*EXP(('Black-Scholes'!$B$8-'Black-Scholes'!$B$10-'Black-Scholes'!$B$9^2/2)*'Black-Scholes'!$B$7+'Black-Scholes'!$B$9*SQRT('Black-Scholes'!$B$7)*B446)</f>
        <v>93.5563463729705</v>
      </c>
      <c r="D446" s="18" t="n">
        <f aca="false">'Black-Scholes'!$B$5*EXP(('Black-Scholes'!$B$8-'Black-Scholes'!$B$10-'Black-Scholes'!$B$9^2/2)*'Black-Scholes'!$B$7-'Black-Scholes'!$B$9*SQRT('Black-Scholes'!$B$7)*B446)</f>
        <v>113.497008777177</v>
      </c>
      <c r="E446" s="18" t="n">
        <f aca="false">EXP(-'Black-Scholes'!$B$8*'Black-Scholes'!$B$7)*IF(LOWER('Black-Scholes'!$B$11)="put",MAX('Black-Scholes'!$B$6-C446,0),MAX(C446-'Black-Scholes'!$B$6,0))</f>
        <v>0</v>
      </c>
      <c r="F446" s="18" t="n">
        <f aca="false">(E446+G446)/2</f>
        <v>6.41937594579735</v>
      </c>
      <c r="G446" s="18" t="n">
        <f aca="false">EXP(-'Black-Scholes'!$B$8*'Black-Scholes'!$B$7)*IF(LOWER('Black-Scholes'!$B$11)="put",MAX('Black-Scholes'!$B$6-D446,0),MAX(D446-'Black-Scholes'!$B$6,0))</f>
        <v>12.8387518915947</v>
      </c>
    </row>
    <row r="447" customFormat="false" ht="15" hidden="false" customHeight="false" outlineLevel="0" collapsed="false">
      <c r="A447" s="0" t="n">
        <v>436</v>
      </c>
      <c r="B447" s="15" t="n">
        <v>-1.09935182058359</v>
      </c>
      <c r="C447" s="18" t="n">
        <f aca="false">'Black-Scholes'!$B$5*EXP(('Black-Scholes'!$B$8-'Black-Scholes'!$B$10-'Black-Scholes'!$B$9^2/2)*'Black-Scholes'!$B$7+'Black-Scholes'!$B$9*SQRT('Black-Scholes'!$B$7)*B447)</f>
        <v>82.7066344470145</v>
      </c>
      <c r="D447" s="18" t="n">
        <f aca="false">'Black-Scholes'!$B$5*EXP(('Black-Scholes'!$B$8-'Black-Scholes'!$B$10-'Black-Scholes'!$B$9^2/2)*'Black-Scholes'!$B$7-'Black-Scholes'!$B$9*SQRT('Black-Scholes'!$B$7)*B447)</f>
        <v>128.385897170755</v>
      </c>
      <c r="E447" s="18" t="n">
        <f aca="false">EXP(-'Black-Scholes'!$B$8*'Black-Scholes'!$B$7)*IF(LOWER('Black-Scholes'!$B$11)="put",MAX('Black-Scholes'!$B$6-C447,0),MAX(C447-'Black-Scholes'!$B$6,0))</f>
        <v>0</v>
      </c>
      <c r="F447" s="18" t="n">
        <f aca="false">(E447+G447)/2</f>
        <v>13.5007503148367</v>
      </c>
      <c r="G447" s="18" t="n">
        <f aca="false">EXP(-'Black-Scholes'!$B$8*'Black-Scholes'!$B$7)*IF(LOWER('Black-Scholes'!$B$11)="put",MAX('Black-Scholes'!$B$6-D447,0),MAX(D447-'Black-Scholes'!$B$6,0))</f>
        <v>27.0015006296734</v>
      </c>
    </row>
    <row r="448" customFormat="false" ht="15" hidden="false" customHeight="false" outlineLevel="0" collapsed="false">
      <c r="A448" s="0" t="n">
        <v>437</v>
      </c>
      <c r="B448" s="15" t="n">
        <v>0.419257941864748</v>
      </c>
      <c r="C448" s="18" t="n">
        <f aca="false">'Black-Scholes'!$B$5*EXP(('Black-Scholes'!$B$8-'Black-Scholes'!$B$10-'Black-Scholes'!$B$9^2/2)*'Black-Scholes'!$B$7+'Black-Scholes'!$B$9*SQRT('Black-Scholes'!$B$7)*B448)</f>
        <v>112.058580458002</v>
      </c>
      <c r="D448" s="18" t="n">
        <f aca="false">'Black-Scholes'!$B$5*EXP(('Black-Scholes'!$B$8-'Black-Scholes'!$B$10-'Black-Scholes'!$B$9^2/2)*'Black-Scholes'!$B$7-'Black-Scholes'!$B$9*SQRT('Black-Scholes'!$B$7)*B448)</f>
        <v>94.7572726876835</v>
      </c>
      <c r="E448" s="18" t="n">
        <f aca="false">EXP(-'Black-Scholes'!$B$8*'Black-Scholes'!$B$7)*IF(LOWER('Black-Scholes'!$B$11)="put",MAX('Black-Scholes'!$B$6-C448,0),MAX(C448-'Black-Scholes'!$B$6,0))</f>
        <v>11.4704765493606</v>
      </c>
      <c r="F448" s="18" t="n">
        <f aca="false">(E448+G448)/2</f>
        <v>5.73523827468028</v>
      </c>
      <c r="G448" s="18" t="n">
        <f aca="false">EXP(-'Black-Scholes'!$B$8*'Black-Scholes'!$B$7)*IF(LOWER('Black-Scholes'!$B$11)="put",MAX('Black-Scholes'!$B$6-D448,0),MAX(D448-'Black-Scholes'!$B$6,0))</f>
        <v>0</v>
      </c>
    </row>
    <row r="449" customFormat="false" ht="15" hidden="false" customHeight="false" outlineLevel="0" collapsed="false">
      <c r="A449" s="0" t="n">
        <v>438</v>
      </c>
      <c r="B449" s="15" t="n">
        <v>1.06491402941129</v>
      </c>
      <c r="C449" s="18" t="n">
        <f aca="false">'Black-Scholes'!$B$5*EXP(('Black-Scholes'!$B$8-'Black-Scholes'!$B$10-'Black-Scholes'!$B$9^2/2)*'Black-Scholes'!$B$7+'Black-Scholes'!$B$9*SQRT('Black-Scholes'!$B$7)*B449)</f>
        <v>127.504670062688</v>
      </c>
      <c r="D449" s="18" t="n">
        <f aca="false">'Black-Scholes'!$B$5*EXP(('Black-Scholes'!$B$8-'Black-Scholes'!$B$10-'Black-Scholes'!$B$9^2/2)*'Black-Scholes'!$B$7-'Black-Scholes'!$B$9*SQRT('Black-Scholes'!$B$7)*B449)</f>
        <v>83.2782474573913</v>
      </c>
      <c r="E449" s="18" t="n">
        <f aca="false">EXP(-'Black-Scholes'!$B$8*'Black-Scholes'!$B$7)*IF(LOWER('Black-Scholes'!$B$11)="put",MAX('Black-Scholes'!$B$6-C449,0),MAX(C449-'Black-Scholes'!$B$6,0))</f>
        <v>26.1632514748131</v>
      </c>
      <c r="F449" s="18" t="n">
        <f aca="false">(E449+G449)/2</f>
        <v>13.0816257374066</v>
      </c>
      <c r="G449" s="18" t="n">
        <f aca="false">EXP(-'Black-Scholes'!$B$8*'Black-Scholes'!$B$7)*IF(LOWER('Black-Scholes'!$B$11)="put",MAX('Black-Scholes'!$B$6-D449,0),MAX(D449-'Black-Scholes'!$B$6,0))</f>
        <v>0</v>
      </c>
    </row>
    <row r="450" customFormat="false" ht="15" hidden="false" customHeight="false" outlineLevel="0" collapsed="false">
      <c r="A450" s="0" t="n">
        <v>439</v>
      </c>
      <c r="B450" s="15" t="n">
        <v>-0.414313407083022</v>
      </c>
      <c r="C450" s="18" t="n">
        <f aca="false">'Black-Scholes'!$B$5*EXP(('Black-Scholes'!$B$8-'Black-Scholes'!$B$10-'Black-Scholes'!$B$9^2/2)*'Black-Scholes'!$B$7+'Black-Scholes'!$B$9*SQRT('Black-Scholes'!$B$7)*B450)</f>
        <v>94.8510251624056</v>
      </c>
      <c r="D450" s="18" t="n">
        <f aca="false">'Black-Scholes'!$B$5*EXP(('Black-Scholes'!$B$8-'Black-Scholes'!$B$10-'Black-Scholes'!$B$9^2/2)*'Black-Scholes'!$B$7-'Black-Scholes'!$B$9*SQRT('Black-Scholes'!$B$7)*B450)</f>
        <v>111.947819723326</v>
      </c>
      <c r="E450" s="18" t="n">
        <f aca="false">EXP(-'Black-Scholes'!$B$8*'Black-Scholes'!$B$7)*IF(LOWER('Black-Scholes'!$B$11)="put",MAX('Black-Scholes'!$B$6-C450,0),MAX(C450-'Black-Scholes'!$B$6,0))</f>
        <v>0</v>
      </c>
      <c r="F450" s="18" t="n">
        <f aca="false">(E450+G450)/2</f>
        <v>5.68255883972864</v>
      </c>
      <c r="G450" s="18" t="n">
        <f aca="false">EXP(-'Black-Scholes'!$B$8*'Black-Scholes'!$B$7)*IF(LOWER('Black-Scholes'!$B$11)="put",MAX('Black-Scholes'!$B$6-D450,0),MAX(D450-'Black-Scholes'!$B$6,0))</f>
        <v>11.3651176794573</v>
      </c>
    </row>
    <row r="451" customFormat="false" ht="15" hidden="false" customHeight="false" outlineLevel="0" collapsed="false">
      <c r="A451" s="0" t="n">
        <v>440</v>
      </c>
      <c r="B451" s="15" t="n">
        <v>-1.57496431613422</v>
      </c>
      <c r="C451" s="18" t="n">
        <f aca="false">'Black-Scholes'!$B$5*EXP(('Black-Scholes'!$B$8-'Black-Scholes'!$B$10-'Black-Scholes'!$B$9^2/2)*'Black-Scholes'!$B$7+'Black-Scholes'!$B$9*SQRT('Black-Scholes'!$B$7)*B451)</f>
        <v>75.2019621293677</v>
      </c>
      <c r="D451" s="18" t="n">
        <f aca="false">'Black-Scholes'!$B$5*EXP(('Black-Scholes'!$B$8-'Black-Scholes'!$B$10-'Black-Scholes'!$B$9^2/2)*'Black-Scholes'!$B$7-'Black-Scholes'!$B$9*SQRT('Black-Scholes'!$B$7)*B451)</f>
        <v>141.197984265186</v>
      </c>
      <c r="E451" s="18" t="n">
        <f aca="false">EXP(-'Black-Scholes'!$B$8*'Black-Scholes'!$B$7)*IF(LOWER('Black-Scholes'!$B$11)="put",MAX('Black-Scholes'!$B$6-C451,0),MAX(C451-'Black-Scholes'!$B$6,0))</f>
        <v>0</v>
      </c>
      <c r="F451" s="18" t="n">
        <f aca="false">(E451+G451)/2</f>
        <v>19.5943674315813</v>
      </c>
      <c r="G451" s="18" t="n">
        <f aca="false">EXP(-'Black-Scholes'!$B$8*'Black-Scholes'!$B$7)*IF(LOWER('Black-Scholes'!$B$11)="put",MAX('Black-Scholes'!$B$6-D451,0),MAX(D451-'Black-Scholes'!$B$6,0))</f>
        <v>39.1887348631626</v>
      </c>
    </row>
    <row r="452" customFormat="false" ht="15" hidden="false" customHeight="false" outlineLevel="0" collapsed="false">
      <c r="A452" s="0" t="n">
        <v>441</v>
      </c>
      <c r="B452" s="15" t="n">
        <v>-1.51382363833113</v>
      </c>
      <c r="C452" s="18" t="n">
        <f aca="false">'Black-Scholes'!$B$5*EXP(('Black-Scholes'!$B$8-'Black-Scholes'!$B$10-'Black-Scholes'!$B$9^2/2)*'Black-Scholes'!$B$7+'Black-Scholes'!$B$9*SQRT('Black-Scholes'!$B$7)*B452)</f>
        <v>76.1271872771362</v>
      </c>
      <c r="D452" s="18" t="n">
        <f aca="false">'Black-Scholes'!$B$5*EXP(('Black-Scholes'!$B$8-'Black-Scholes'!$B$10-'Black-Scholes'!$B$9^2/2)*'Black-Scholes'!$B$7-'Black-Scholes'!$B$9*SQRT('Black-Scholes'!$B$7)*B452)</f>
        <v>139.481909751875</v>
      </c>
      <c r="E452" s="18" t="n">
        <f aca="false">EXP(-'Black-Scholes'!$B$8*'Black-Scholes'!$B$7)*IF(LOWER('Black-Scholes'!$B$11)="put",MAX('Black-Scholes'!$B$6-C452,0),MAX(C452-'Black-Scholes'!$B$6,0))</f>
        <v>0</v>
      </c>
      <c r="F452" s="18" t="n">
        <f aca="false">(E452+G452)/2</f>
        <v>18.7781771457326</v>
      </c>
      <c r="G452" s="18" t="n">
        <f aca="false">EXP(-'Black-Scholes'!$B$8*'Black-Scholes'!$B$7)*IF(LOWER('Black-Scholes'!$B$11)="put",MAX('Black-Scholes'!$B$6-D452,0),MAX(D452-'Black-Scholes'!$B$6,0))</f>
        <v>37.5563542914652</v>
      </c>
    </row>
    <row r="453" customFormat="false" ht="15" hidden="false" customHeight="false" outlineLevel="0" collapsed="false">
      <c r="A453" s="0" t="n">
        <v>442</v>
      </c>
      <c r="B453" s="15" t="n">
        <v>0.367088923033012</v>
      </c>
      <c r="C453" s="18" t="n">
        <f aca="false">'Black-Scholes'!$B$5*EXP(('Black-Scholes'!$B$8-'Black-Scholes'!$B$10-'Black-Scholes'!$B$9^2/2)*'Black-Scholes'!$B$7+'Black-Scholes'!$B$9*SQRT('Black-Scholes'!$B$7)*B453)</f>
        <v>110.895461647699</v>
      </c>
      <c r="D453" s="18" t="n">
        <f aca="false">'Black-Scholes'!$B$5*EXP(('Black-Scholes'!$B$8-'Black-Scholes'!$B$10-'Black-Scholes'!$B$9^2/2)*'Black-Scholes'!$B$7-'Black-Scholes'!$B$9*SQRT('Black-Scholes'!$B$7)*B453)</f>
        <v>95.7511273020963</v>
      </c>
      <c r="E453" s="18" t="n">
        <f aca="false">EXP(-'Black-Scholes'!$B$8*'Black-Scholes'!$B$7)*IF(LOWER('Black-Scholes'!$B$11)="put",MAX('Black-Scholes'!$B$6-C453,0),MAX(C453-'Black-Scholes'!$B$6,0))</f>
        <v>10.3640837128107</v>
      </c>
      <c r="F453" s="18" t="n">
        <f aca="false">(E453+G453)/2</f>
        <v>5.18204185640533</v>
      </c>
      <c r="G453" s="18" t="n">
        <f aca="false">EXP(-'Black-Scholes'!$B$8*'Black-Scholes'!$B$7)*IF(LOWER('Black-Scholes'!$B$11)="put",MAX('Black-Scholes'!$B$6-D453,0),MAX(D453-'Black-Scholes'!$B$6,0))</f>
        <v>0</v>
      </c>
    </row>
    <row r="454" customFormat="false" ht="15" hidden="false" customHeight="false" outlineLevel="0" collapsed="false">
      <c r="A454" s="0" t="n">
        <v>443</v>
      </c>
      <c r="B454" s="15" t="n">
        <v>-1.62472028592144</v>
      </c>
      <c r="C454" s="18" t="n">
        <f aca="false">'Black-Scholes'!$B$5*EXP(('Black-Scholes'!$B$8-'Black-Scholes'!$B$10-'Black-Scholes'!$B$9^2/2)*'Black-Scholes'!$B$7+'Black-Scholes'!$B$9*SQRT('Black-Scholes'!$B$7)*B454)</f>
        <v>74.4573239824362</v>
      </c>
      <c r="D454" s="18" t="n">
        <f aca="false">'Black-Scholes'!$B$5*EXP(('Black-Scholes'!$B$8-'Black-Scholes'!$B$10-'Black-Scholes'!$B$9^2/2)*'Black-Scholes'!$B$7-'Black-Scholes'!$B$9*SQRT('Black-Scholes'!$B$7)*B454)</f>
        <v>142.610087195161</v>
      </c>
      <c r="E454" s="18" t="n">
        <f aca="false">EXP(-'Black-Scholes'!$B$8*'Black-Scholes'!$B$7)*IF(LOWER('Black-Scholes'!$B$11)="put",MAX('Black-Scholes'!$B$6-C454,0),MAX(C454-'Black-Scholes'!$B$6,0))</f>
        <v>0</v>
      </c>
      <c r="F454" s="18" t="n">
        <f aca="false">(E454+G454)/2</f>
        <v>20.2659843602892</v>
      </c>
      <c r="G454" s="18" t="n">
        <f aca="false">EXP(-'Black-Scholes'!$B$8*'Black-Scholes'!$B$7)*IF(LOWER('Black-Scholes'!$B$11)="put",MAX('Black-Scholes'!$B$6-D454,0),MAX(D454-'Black-Scholes'!$B$6,0))</f>
        <v>40.5319687205784</v>
      </c>
    </row>
    <row r="455" customFormat="false" ht="15" hidden="false" customHeight="false" outlineLevel="0" collapsed="false">
      <c r="A455" s="0" t="n">
        <v>444</v>
      </c>
      <c r="B455" s="15" t="n">
        <v>1.67648859293196</v>
      </c>
      <c r="C455" s="18" t="n">
        <f aca="false">'Black-Scholes'!$B$5*EXP(('Black-Scholes'!$B$8-'Black-Scholes'!$B$10-'Black-Scholes'!$B$9^2/2)*'Black-Scholes'!$B$7+'Black-Scholes'!$B$9*SQRT('Black-Scholes'!$B$7)*B455)</f>
        <v>144.094293979069</v>
      </c>
      <c r="D455" s="18" t="n">
        <f aca="false">'Black-Scholes'!$B$5*EXP(('Black-Scholes'!$B$8-'Black-Scholes'!$B$10-'Black-Scholes'!$B$9^2/2)*'Black-Scholes'!$B$7-'Black-Scholes'!$B$9*SQRT('Black-Scholes'!$B$7)*B455)</f>
        <v>73.6903951727331</v>
      </c>
      <c r="E455" s="18" t="n">
        <f aca="false">EXP(-'Black-Scholes'!$B$8*'Black-Scholes'!$B$7)*IF(LOWER('Black-Scholes'!$B$11)="put",MAX('Black-Scholes'!$B$6-C455,0),MAX(C455-'Black-Scholes'!$B$6,0))</f>
        <v>41.9437898854754</v>
      </c>
      <c r="F455" s="18" t="n">
        <f aca="false">(E455+G455)/2</f>
        <v>20.9718949427377</v>
      </c>
      <c r="G455" s="18" t="n">
        <f aca="false">EXP(-'Black-Scholes'!$B$8*'Black-Scholes'!$B$7)*IF(LOWER('Black-Scholes'!$B$11)="put",MAX('Black-Scholes'!$B$6-D455,0),MAX(D455-'Black-Scholes'!$B$6,0))</f>
        <v>0</v>
      </c>
    </row>
    <row r="456" customFormat="false" ht="15" hidden="false" customHeight="false" outlineLevel="0" collapsed="false">
      <c r="A456" s="0" t="n">
        <v>445</v>
      </c>
      <c r="B456" s="15" t="n">
        <v>0.987603627564405</v>
      </c>
      <c r="C456" s="18" t="n">
        <f aca="false">'Black-Scholes'!$B$5*EXP(('Black-Scholes'!$B$8-'Black-Scholes'!$B$10-'Black-Scholes'!$B$9^2/2)*'Black-Scholes'!$B$7+'Black-Scholes'!$B$9*SQRT('Black-Scholes'!$B$7)*B456)</f>
        <v>125.548346002311</v>
      </c>
      <c r="D456" s="18" t="n">
        <f aca="false">'Black-Scholes'!$B$5*EXP(('Black-Scholes'!$B$8-'Black-Scholes'!$B$10-'Black-Scholes'!$B$9^2/2)*'Black-Scholes'!$B$7-'Black-Scholes'!$B$9*SQRT('Black-Scholes'!$B$7)*B456)</f>
        <v>84.5759088316317</v>
      </c>
      <c r="E456" s="18" t="n">
        <f aca="false">EXP(-'Black-Scholes'!$B$8*'Black-Scholes'!$B$7)*IF(LOWER('Black-Scholes'!$B$11)="put",MAX('Black-Scholes'!$B$6-C456,0),MAX(C456-'Black-Scholes'!$B$6,0))</f>
        <v>24.3023384647233</v>
      </c>
      <c r="F456" s="18" t="n">
        <f aca="false">(E456+G456)/2</f>
        <v>12.1511692323616</v>
      </c>
      <c r="G456" s="18" t="n">
        <f aca="false">EXP(-'Black-Scholes'!$B$8*'Black-Scholes'!$B$7)*IF(LOWER('Black-Scholes'!$B$11)="put",MAX('Black-Scholes'!$B$6-D456,0),MAX(D456-'Black-Scholes'!$B$6,0))</f>
        <v>0</v>
      </c>
    </row>
    <row r="457" customFormat="false" ht="15" hidden="false" customHeight="false" outlineLevel="0" collapsed="false">
      <c r="A457" s="0" t="n">
        <v>446</v>
      </c>
      <c r="B457" s="15" t="n">
        <v>-0.781629873649782</v>
      </c>
      <c r="C457" s="18" t="n">
        <f aca="false">'Black-Scholes'!$B$5*EXP(('Black-Scholes'!$B$8-'Black-Scholes'!$B$10-'Black-Scholes'!$B$9^2/2)*'Black-Scholes'!$B$7+'Black-Scholes'!$B$9*SQRT('Black-Scholes'!$B$7)*B457)</f>
        <v>88.1327509456708</v>
      </c>
      <c r="D457" s="18" t="n">
        <f aca="false">'Black-Scholes'!$B$5*EXP(('Black-Scholes'!$B$8-'Black-Scholes'!$B$10-'Black-Scholes'!$B$9^2/2)*'Black-Scholes'!$B$7-'Black-Scholes'!$B$9*SQRT('Black-Scholes'!$B$7)*B457)</f>
        <v>120.481493559633</v>
      </c>
      <c r="E457" s="18" t="n">
        <f aca="false">EXP(-'Black-Scholes'!$B$8*'Black-Scholes'!$B$7)*IF(LOWER('Black-Scholes'!$B$11)="put",MAX('Black-Scholes'!$B$6-C457,0),MAX(C457-'Black-Scholes'!$B$6,0))</f>
        <v>0</v>
      </c>
      <c r="F457" s="18" t="n">
        <f aca="false">(E457+G457)/2</f>
        <v>9.74129966582247</v>
      </c>
      <c r="G457" s="18" t="n">
        <f aca="false">EXP(-'Black-Scholes'!$B$8*'Black-Scholes'!$B$7)*IF(LOWER('Black-Scholes'!$B$11)="put",MAX('Black-Scholes'!$B$6-D457,0),MAX(D457-'Black-Scholes'!$B$6,0))</f>
        <v>19.482599331645</v>
      </c>
    </row>
    <row r="458" customFormat="false" ht="15" hidden="false" customHeight="false" outlineLevel="0" collapsed="false">
      <c r="A458" s="0" t="n">
        <v>447</v>
      </c>
      <c r="B458" s="15" t="n">
        <v>-0.634973338164731</v>
      </c>
      <c r="C458" s="18" t="n">
        <f aca="false">'Black-Scholes'!$B$5*EXP(('Black-Scholes'!$B$8-'Black-Scholes'!$B$10-'Black-Scholes'!$B$9^2/2)*'Black-Scholes'!$B$7+'Black-Scholes'!$B$9*SQRT('Black-Scholes'!$B$7)*B458)</f>
        <v>90.7560845567922</v>
      </c>
      <c r="D458" s="18" t="n">
        <f aca="false">'Black-Scholes'!$B$5*EXP(('Black-Scholes'!$B$8-'Black-Scholes'!$B$10-'Black-Scholes'!$B$9^2/2)*'Black-Scholes'!$B$7-'Black-Scholes'!$B$9*SQRT('Black-Scholes'!$B$7)*B458)</f>
        <v>116.998937507148</v>
      </c>
      <c r="E458" s="18" t="n">
        <f aca="false">EXP(-'Black-Scholes'!$B$8*'Black-Scholes'!$B$7)*IF(LOWER('Black-Scholes'!$B$11)="put",MAX('Black-Scholes'!$B$6-C458,0),MAX(C458-'Black-Scholes'!$B$6,0))</f>
        <v>0</v>
      </c>
      <c r="F458" s="18" t="n">
        <f aca="false">(E458+G458)/2</f>
        <v>8.08494477102413</v>
      </c>
      <c r="G458" s="18" t="n">
        <f aca="false">EXP(-'Black-Scholes'!$B$8*'Black-Scholes'!$B$7)*IF(LOWER('Black-Scholes'!$B$11)="put",MAX('Black-Scholes'!$B$6-D458,0),MAX(D458-'Black-Scholes'!$B$6,0))</f>
        <v>16.1698895420483</v>
      </c>
    </row>
    <row r="459" customFormat="false" ht="15" hidden="false" customHeight="false" outlineLevel="0" collapsed="false">
      <c r="A459" s="0" t="n">
        <v>448</v>
      </c>
      <c r="B459" s="15" t="n">
        <v>-0.629300637692794</v>
      </c>
      <c r="C459" s="18" t="n">
        <f aca="false">'Black-Scholes'!$B$5*EXP(('Black-Scholes'!$B$8-'Black-Scholes'!$B$10-'Black-Scholes'!$B$9^2/2)*'Black-Scholes'!$B$7+'Black-Scholes'!$B$9*SQRT('Black-Scholes'!$B$7)*B459)</f>
        <v>90.8591094053913</v>
      </c>
      <c r="D459" s="18" t="n">
        <f aca="false">'Black-Scholes'!$B$5*EXP(('Black-Scholes'!$B$8-'Black-Scholes'!$B$10-'Black-Scholes'!$B$9^2/2)*'Black-Scholes'!$B$7-'Black-Scholes'!$B$9*SQRT('Black-Scholes'!$B$7)*B459)</f>
        <v>116.866272792495</v>
      </c>
      <c r="E459" s="18" t="n">
        <f aca="false">EXP(-'Black-Scholes'!$B$8*'Black-Scholes'!$B$7)*IF(LOWER('Black-Scholes'!$B$11)="put",MAX('Black-Scholes'!$B$6-C459,0),MAX(C459-'Black-Scholes'!$B$6,0))</f>
        <v>0</v>
      </c>
      <c r="F459" s="18" t="n">
        <f aca="false">(E459+G459)/2</f>
        <v>8.0218474809385</v>
      </c>
      <c r="G459" s="18" t="n">
        <f aca="false">EXP(-'Black-Scholes'!$B$8*'Black-Scholes'!$B$7)*IF(LOWER('Black-Scholes'!$B$11)="put",MAX('Black-Scholes'!$B$6-D459,0),MAX(D459-'Black-Scholes'!$B$6,0))</f>
        <v>16.043694961877</v>
      </c>
    </row>
    <row r="460" customFormat="false" ht="15" hidden="false" customHeight="false" outlineLevel="0" collapsed="false">
      <c r="A460" s="0" t="n">
        <v>449</v>
      </c>
      <c r="B460" s="15" t="n">
        <v>-0.426590675319894</v>
      </c>
      <c r="C460" s="18" t="n">
        <f aca="false">'Black-Scholes'!$B$5*EXP(('Black-Scholes'!$B$8-'Black-Scholes'!$B$10-'Black-Scholes'!$B$9^2/2)*'Black-Scholes'!$B$7+'Black-Scholes'!$B$9*SQRT('Black-Scholes'!$B$7)*B460)</f>
        <v>94.6184085732149</v>
      </c>
      <c r="D460" s="18" t="n">
        <f aca="false">'Black-Scholes'!$B$5*EXP(('Black-Scholes'!$B$8-'Black-Scholes'!$B$10-'Black-Scholes'!$B$9^2/2)*'Black-Scholes'!$B$7-'Black-Scholes'!$B$9*SQRT('Black-Scholes'!$B$7)*B460)</f>
        <v>112.223040162816</v>
      </c>
      <c r="E460" s="18" t="n">
        <f aca="false">EXP(-'Black-Scholes'!$B$8*'Black-Scholes'!$B$7)*IF(LOWER('Black-Scholes'!$B$11)="put",MAX('Black-Scholes'!$B$6-C460,0),MAX(C460-'Black-Scholes'!$B$6,0))</f>
        <v>0</v>
      </c>
      <c r="F460" s="18" t="n">
        <f aca="false">(E460+G460)/2</f>
        <v>5.81345772986215</v>
      </c>
      <c r="G460" s="18" t="n">
        <f aca="false">EXP(-'Black-Scholes'!$B$8*'Black-Scholes'!$B$7)*IF(LOWER('Black-Scholes'!$B$11)="put",MAX('Black-Scholes'!$B$6-D460,0),MAX(D460-'Black-Scholes'!$B$6,0))</f>
        <v>11.6269154597243</v>
      </c>
    </row>
    <row r="461" customFormat="false" ht="15" hidden="false" customHeight="false" outlineLevel="0" collapsed="false">
      <c r="A461" s="0" t="n">
        <v>450</v>
      </c>
      <c r="B461" s="15" t="n">
        <v>1.32173847556906</v>
      </c>
      <c r="C461" s="18" t="n">
        <f aca="false">'Black-Scholes'!$B$5*EXP(('Black-Scholes'!$B$8-'Black-Scholes'!$B$10-'Black-Scholes'!$B$9^2/2)*'Black-Scholes'!$B$7+'Black-Scholes'!$B$9*SQRT('Black-Scholes'!$B$7)*B461)</f>
        <v>134.225051648887</v>
      </c>
      <c r="D461" s="18" t="n">
        <f aca="false">'Black-Scholes'!$B$5*EXP(('Black-Scholes'!$B$8-'Black-Scholes'!$B$10-'Black-Scholes'!$B$9^2/2)*'Black-Scholes'!$B$7-'Black-Scholes'!$B$9*SQRT('Black-Scholes'!$B$7)*B461)</f>
        <v>79.1086711088009</v>
      </c>
      <c r="E461" s="18" t="n">
        <f aca="false">EXP(-'Black-Scholes'!$B$8*'Black-Scholes'!$B$7)*IF(LOWER('Black-Scholes'!$B$11)="put",MAX('Black-Scholes'!$B$6-C461,0),MAX(C461-'Black-Scholes'!$B$6,0))</f>
        <v>32.5558761834777</v>
      </c>
      <c r="F461" s="18" t="n">
        <f aca="false">(E461+G461)/2</f>
        <v>16.2779380917389</v>
      </c>
      <c r="G461" s="18" t="n">
        <f aca="false">EXP(-'Black-Scholes'!$B$8*'Black-Scholes'!$B$7)*IF(LOWER('Black-Scholes'!$B$11)="put",MAX('Black-Scholes'!$B$6-D461,0),MAX(D461-'Black-Scholes'!$B$6,0))</f>
        <v>0</v>
      </c>
    </row>
    <row r="462" customFormat="false" ht="15" hidden="false" customHeight="false" outlineLevel="0" collapsed="false">
      <c r="A462" s="0" t="n">
        <v>451</v>
      </c>
      <c r="B462" s="15" t="n">
        <v>-0.0397885343412093</v>
      </c>
      <c r="C462" s="18" t="n">
        <f aca="false">'Black-Scholes'!$B$5*EXP(('Black-Scholes'!$B$8-'Black-Scholes'!$B$10-'Black-Scholes'!$B$9^2/2)*'Black-Scholes'!$B$7+'Black-Scholes'!$B$9*SQRT('Black-Scholes'!$B$7)*B462)</f>
        <v>102.228701927577</v>
      </c>
      <c r="D462" s="18" t="n">
        <f aca="false">'Black-Scholes'!$B$5*EXP(('Black-Scholes'!$B$8-'Black-Scholes'!$B$10-'Black-Scholes'!$B$9^2/2)*'Black-Scholes'!$B$7-'Black-Scholes'!$B$9*SQRT('Black-Scholes'!$B$7)*B462)</f>
        <v>103.868730261059</v>
      </c>
      <c r="E462" s="18" t="n">
        <f aca="false">EXP(-'Black-Scholes'!$B$8*'Black-Scholes'!$B$7)*IF(LOWER('Black-Scholes'!$B$11)="put",MAX('Black-Scholes'!$B$6-C462,0),MAX(C462-'Black-Scholes'!$B$6,0))</f>
        <v>2.12000685195222</v>
      </c>
      <c r="F462" s="18" t="n">
        <f aca="false">(E462+G462)/2</f>
        <v>2.90002845586371</v>
      </c>
      <c r="G462" s="18" t="n">
        <f aca="false">EXP(-'Black-Scholes'!$B$8*'Black-Scholes'!$B$7)*IF(LOWER('Black-Scholes'!$B$11)="put",MAX('Black-Scholes'!$B$6-D462,0),MAX(D462-'Black-Scholes'!$B$6,0))</f>
        <v>3.68005005977519</v>
      </c>
    </row>
    <row r="463" customFormat="false" ht="15" hidden="false" customHeight="false" outlineLevel="0" collapsed="false">
      <c r="A463" s="0" t="n">
        <v>452</v>
      </c>
      <c r="B463" s="15" t="n">
        <v>-0.104356588317304</v>
      </c>
      <c r="C463" s="18" t="n">
        <f aca="false">'Black-Scholes'!$B$5*EXP(('Black-Scholes'!$B$8-'Black-Scholes'!$B$10-'Black-Scholes'!$B$9^2/2)*'Black-Scholes'!$B$7+'Black-Scholes'!$B$9*SQRT('Black-Scholes'!$B$7)*B463)</f>
        <v>100.917047583352</v>
      </c>
      <c r="D463" s="18" t="n">
        <f aca="false">'Black-Scholes'!$B$5*EXP(('Black-Scholes'!$B$8-'Black-Scholes'!$B$10-'Black-Scholes'!$B$9^2/2)*'Black-Scholes'!$B$7-'Black-Scholes'!$B$9*SQRT('Black-Scholes'!$B$7)*B463)</f>
        <v>105.218748662691</v>
      </c>
      <c r="E463" s="18" t="n">
        <f aca="false">EXP(-'Black-Scholes'!$B$8*'Black-Scholes'!$B$7)*IF(LOWER('Black-Scholes'!$B$11)="put",MAX('Black-Scholes'!$B$6-C463,0),MAX(C463-'Black-Scholes'!$B$6,0))</f>
        <v>0.872322644952019</v>
      </c>
      <c r="F463" s="18" t="n">
        <f aca="false">(E463+G463)/2</f>
        <v>2.91827496598881</v>
      </c>
      <c r="G463" s="18" t="n">
        <f aca="false">EXP(-'Black-Scholes'!$B$8*'Black-Scholes'!$B$7)*IF(LOWER('Black-Scholes'!$B$11)="put",MAX('Black-Scholes'!$B$6-D463,0),MAX(D463-'Black-Scholes'!$B$6,0))</f>
        <v>4.96422728702561</v>
      </c>
    </row>
    <row r="464" customFormat="false" ht="15" hidden="false" customHeight="false" outlineLevel="0" collapsed="false">
      <c r="A464" s="0" t="n">
        <v>453</v>
      </c>
      <c r="B464" s="15" t="n">
        <v>0.037095255303338</v>
      </c>
      <c r="C464" s="18" t="n">
        <f aca="false">'Black-Scholes'!$B$5*EXP(('Black-Scholes'!$B$8-'Black-Scholes'!$B$10-'Black-Scholes'!$B$9^2/2)*'Black-Scholes'!$B$7+'Black-Scholes'!$B$9*SQRT('Black-Scholes'!$B$7)*B464)</f>
        <v>103.812795832333</v>
      </c>
      <c r="D464" s="18" t="n">
        <f aca="false">'Black-Scholes'!$B$5*EXP(('Black-Scholes'!$B$8-'Black-Scholes'!$B$10-'Black-Scholes'!$B$9^2/2)*'Black-Scholes'!$B$7-'Black-Scholes'!$B$9*SQRT('Black-Scholes'!$B$7)*B464)</f>
        <v>102.283782845067</v>
      </c>
      <c r="E464" s="18" t="n">
        <f aca="false">EXP(-'Black-Scholes'!$B$8*'Black-Scholes'!$B$7)*IF(LOWER('Black-Scholes'!$B$11)="put",MAX('Black-Scholes'!$B$6-C464,0),MAX(C464-'Black-Scholes'!$B$6,0))</f>
        <v>3.62684358532875</v>
      </c>
      <c r="F464" s="18" t="n">
        <f aca="false">(E464+G464)/2</f>
        <v>2.89962251336313</v>
      </c>
      <c r="G464" s="18" t="n">
        <f aca="false">EXP(-'Black-Scholes'!$B$8*'Black-Scholes'!$B$7)*IF(LOWER('Black-Scholes'!$B$11)="put",MAX('Black-Scholes'!$B$6-D464,0),MAX(D464-'Black-Scholes'!$B$6,0))</f>
        <v>2.17240144139751</v>
      </c>
    </row>
    <row r="465" customFormat="false" ht="15" hidden="false" customHeight="false" outlineLevel="0" collapsed="false">
      <c r="A465" s="0" t="n">
        <v>454</v>
      </c>
      <c r="B465" s="15" t="n">
        <v>-0.632542797553626</v>
      </c>
      <c r="C465" s="18" t="n">
        <f aca="false">'Black-Scholes'!$B$5*EXP(('Black-Scholes'!$B$8-'Black-Scholes'!$B$10-'Black-Scholes'!$B$9^2/2)*'Black-Scholes'!$B$7+'Black-Scholes'!$B$9*SQRT('Black-Scholes'!$B$7)*B465)</f>
        <v>90.8002125512555</v>
      </c>
      <c r="D465" s="18" t="n">
        <f aca="false">'Black-Scholes'!$B$5*EXP(('Black-Scholes'!$B$8-'Black-Scholes'!$B$10-'Black-Scholes'!$B$9^2/2)*'Black-Scholes'!$B$7-'Black-Scholes'!$B$9*SQRT('Black-Scholes'!$B$7)*B465)</f>
        <v>116.942077194584</v>
      </c>
      <c r="E465" s="18" t="n">
        <f aca="false">EXP(-'Black-Scholes'!$B$8*'Black-Scholes'!$B$7)*IF(LOWER('Black-Scholes'!$B$11)="put",MAX('Black-Scholes'!$B$6-C465,0),MAX(C465-'Black-Scholes'!$B$6,0))</f>
        <v>0</v>
      </c>
      <c r="F465" s="18" t="n">
        <f aca="false">(E465+G465)/2</f>
        <v>8.05790116982559</v>
      </c>
      <c r="G465" s="18" t="n">
        <f aca="false">EXP(-'Black-Scholes'!$B$8*'Black-Scholes'!$B$7)*IF(LOWER('Black-Scholes'!$B$11)="put",MAX('Black-Scholes'!$B$6-D465,0),MAX(D465-'Black-Scholes'!$B$6,0))</f>
        <v>16.1158023396512</v>
      </c>
    </row>
    <row r="466" customFormat="false" ht="15" hidden="false" customHeight="false" outlineLevel="0" collapsed="false">
      <c r="A466" s="0" t="n">
        <v>455</v>
      </c>
      <c r="B466" s="15" t="n">
        <v>-1.27154466370823</v>
      </c>
      <c r="C466" s="18" t="n">
        <f aca="false">'Black-Scholes'!$B$5*EXP(('Black-Scholes'!$B$8-'Black-Scholes'!$B$10-'Black-Scholes'!$B$9^2/2)*'Black-Scholes'!$B$7+'Black-Scholes'!$B$9*SQRT('Black-Scholes'!$B$7)*B466)</f>
        <v>79.9068237892631</v>
      </c>
      <c r="D466" s="18" t="n">
        <f aca="false">'Black-Scholes'!$B$5*EXP(('Black-Scholes'!$B$8-'Black-Scholes'!$B$10-'Black-Scholes'!$B$9^2/2)*'Black-Scholes'!$B$7-'Black-Scholes'!$B$9*SQRT('Black-Scholes'!$B$7)*B466)</f>
        <v>132.884339057916</v>
      </c>
      <c r="E466" s="18" t="n">
        <f aca="false">EXP(-'Black-Scholes'!$B$8*'Black-Scholes'!$B$7)*IF(LOWER('Black-Scholes'!$B$11)="put",MAX('Black-Scholes'!$B$6-C466,0),MAX(C466-'Black-Scholes'!$B$6,0))</f>
        <v>0</v>
      </c>
      <c r="F466" s="18" t="n">
        <f aca="false">(E466+G466)/2</f>
        <v>15.640275458574</v>
      </c>
      <c r="G466" s="18" t="n">
        <f aca="false">EXP(-'Black-Scholes'!$B$8*'Black-Scholes'!$B$7)*IF(LOWER('Black-Scholes'!$B$11)="put",MAX('Black-Scholes'!$B$6-D466,0),MAX(D466-'Black-Scholes'!$B$6,0))</f>
        <v>31.2805509171479</v>
      </c>
    </row>
    <row r="467" customFormat="false" ht="15" hidden="false" customHeight="false" outlineLevel="0" collapsed="false">
      <c r="A467" s="0" t="n">
        <v>456</v>
      </c>
      <c r="B467" s="15" t="n">
        <v>0.324219245541088</v>
      </c>
      <c r="C467" s="18" t="n">
        <f aca="false">'Black-Scholes'!$B$5*EXP(('Black-Scholes'!$B$8-'Black-Scholes'!$B$10-'Black-Scholes'!$B$9^2/2)*'Black-Scholes'!$B$7+'Black-Scholes'!$B$9*SQRT('Black-Scholes'!$B$7)*B467)</f>
        <v>109.948715582107</v>
      </c>
      <c r="D467" s="18" t="n">
        <f aca="false">'Black-Scholes'!$B$5*EXP(('Black-Scholes'!$B$8-'Black-Scholes'!$B$10-'Black-Scholes'!$B$9^2/2)*'Black-Scholes'!$B$7-'Black-Scholes'!$B$9*SQRT('Black-Scholes'!$B$7)*B467)</f>
        <v>96.5756208177265</v>
      </c>
      <c r="E467" s="18" t="n">
        <f aca="false">EXP(-'Black-Scholes'!$B$8*'Black-Scholes'!$B$7)*IF(LOWER('Black-Scholes'!$B$11)="put",MAX('Black-Scholes'!$B$6-C467,0),MAX(C467-'Black-Scholes'!$B$6,0))</f>
        <v>9.46351099768867</v>
      </c>
      <c r="F467" s="18" t="n">
        <f aca="false">(E467+G467)/2</f>
        <v>4.73175549884434</v>
      </c>
      <c r="G467" s="18" t="n">
        <f aca="false">EXP(-'Black-Scholes'!$B$8*'Black-Scholes'!$B$7)*IF(LOWER('Black-Scholes'!$B$11)="put",MAX('Black-Scholes'!$B$6-D467,0),MAX(D467-'Black-Scholes'!$B$6,0))</f>
        <v>0</v>
      </c>
    </row>
    <row r="468" customFormat="false" ht="15" hidden="false" customHeight="false" outlineLevel="0" collapsed="false">
      <c r="A468" s="0" t="n">
        <v>457</v>
      </c>
      <c r="B468" s="15" t="n">
        <v>0.273358333731955</v>
      </c>
      <c r="C468" s="18" t="n">
        <f aca="false">'Black-Scholes'!$B$5*EXP(('Black-Scholes'!$B$8-'Black-Scholes'!$B$10-'Black-Scholes'!$B$9^2/2)*'Black-Scholes'!$B$7+'Black-Scholes'!$B$9*SQRT('Black-Scholes'!$B$7)*B468)</f>
        <v>108.835966335854</v>
      </c>
      <c r="D468" s="18" t="n">
        <f aca="false">'Black-Scholes'!$B$5*EXP(('Black-Scholes'!$B$8-'Black-Scholes'!$B$10-'Black-Scholes'!$B$9^2/2)*'Black-Scholes'!$B$7-'Black-Scholes'!$B$9*SQRT('Black-Scholes'!$B$7)*B468)</f>
        <v>97.5630191281313</v>
      </c>
      <c r="E468" s="18" t="n">
        <f aca="false">EXP(-'Black-Scholes'!$B$8*'Black-Scholes'!$B$7)*IF(LOWER('Black-Scholes'!$B$11)="put",MAX('Black-Scholes'!$B$6-C468,0),MAX(C468-'Black-Scholes'!$B$6,0))</f>
        <v>8.4050311725622</v>
      </c>
      <c r="F468" s="18" t="n">
        <f aca="false">(E468+G468)/2</f>
        <v>4.2025155862811</v>
      </c>
      <c r="G468" s="18" t="n">
        <f aca="false">EXP(-'Black-Scholes'!$B$8*'Black-Scholes'!$B$7)*IF(LOWER('Black-Scholes'!$B$11)="put",MAX('Black-Scholes'!$B$6-D468,0),MAX(D468-'Black-Scholes'!$B$6,0))</f>
        <v>0</v>
      </c>
    </row>
    <row r="469" customFormat="false" ht="15" hidden="false" customHeight="false" outlineLevel="0" collapsed="false">
      <c r="A469" s="0" t="n">
        <v>458</v>
      </c>
      <c r="B469" s="15" t="n">
        <v>1.19676364788034</v>
      </c>
      <c r="C469" s="18" t="n">
        <f aca="false">'Black-Scholes'!$B$5*EXP(('Black-Scholes'!$B$8-'Black-Scholes'!$B$10-'Black-Scholes'!$B$9^2/2)*'Black-Scholes'!$B$7+'Black-Scholes'!$B$9*SQRT('Black-Scholes'!$B$7)*B469)</f>
        <v>130.911682383939</v>
      </c>
      <c r="D469" s="18" t="n">
        <f aca="false">'Black-Scholes'!$B$5*EXP(('Black-Scholes'!$B$8-'Black-Scholes'!$B$10-'Black-Scholes'!$B$9^2/2)*'Black-Scholes'!$B$7-'Black-Scholes'!$B$9*SQRT('Black-Scholes'!$B$7)*B469)</f>
        <v>81.1109083016134</v>
      </c>
      <c r="E469" s="18" t="n">
        <f aca="false">EXP(-'Black-Scholes'!$B$8*'Black-Scholes'!$B$7)*IF(LOWER('Black-Scholes'!$B$11)="put",MAX('Black-Scholes'!$B$6-C469,0),MAX(C469-'Black-Scholes'!$B$6,0))</f>
        <v>29.4041018444229</v>
      </c>
      <c r="F469" s="18" t="n">
        <f aca="false">(E469+G469)/2</f>
        <v>14.7020509222115</v>
      </c>
      <c r="G469" s="18" t="n">
        <f aca="false">EXP(-'Black-Scholes'!$B$8*'Black-Scholes'!$B$7)*IF(LOWER('Black-Scholes'!$B$11)="put",MAX('Black-Scholes'!$B$6-D469,0),MAX(D469-'Black-Scholes'!$B$6,0))</f>
        <v>0</v>
      </c>
    </row>
    <row r="470" customFormat="false" ht="15" hidden="false" customHeight="false" outlineLevel="0" collapsed="false">
      <c r="A470" s="0" t="n">
        <v>459</v>
      </c>
      <c r="B470" s="15" t="n">
        <v>0.653559095216923</v>
      </c>
      <c r="C470" s="18" t="n">
        <f aca="false">'Black-Scholes'!$B$5*EXP(('Black-Scholes'!$B$8-'Black-Scholes'!$B$10-'Black-Scholes'!$B$9^2/2)*'Black-Scholes'!$B$7+'Black-Scholes'!$B$9*SQRT('Black-Scholes'!$B$7)*B470)</f>
        <v>117.434649574893</v>
      </c>
      <c r="D470" s="18" t="n">
        <f aca="false">'Black-Scholes'!$B$5*EXP(('Black-Scholes'!$B$8-'Black-Scholes'!$B$10-'Black-Scholes'!$B$9^2/2)*'Black-Scholes'!$B$7-'Black-Scholes'!$B$9*SQRT('Black-Scholes'!$B$7)*B470)</f>
        <v>90.4193566710638</v>
      </c>
      <c r="E470" s="18" t="n">
        <f aca="false">EXP(-'Black-Scholes'!$B$8*'Black-Scholes'!$B$7)*IF(LOWER('Black-Scholes'!$B$11)="put",MAX('Black-Scholes'!$B$6-C470,0),MAX(C470-'Black-Scholes'!$B$6,0))</f>
        <v>16.5843516814966</v>
      </c>
      <c r="F470" s="18" t="n">
        <f aca="false">(E470+G470)/2</f>
        <v>8.29217584074832</v>
      </c>
      <c r="G470" s="18" t="n">
        <f aca="false">EXP(-'Black-Scholes'!$B$8*'Black-Scholes'!$B$7)*IF(LOWER('Black-Scholes'!$B$11)="put",MAX('Black-Scholes'!$B$6-D470,0),MAX(D470-'Black-Scholes'!$B$6,0))</f>
        <v>0</v>
      </c>
    </row>
    <row r="471" customFormat="false" ht="15" hidden="false" customHeight="false" outlineLevel="0" collapsed="false">
      <c r="A471" s="0" t="n">
        <v>460</v>
      </c>
      <c r="B471" s="15" t="n">
        <v>0.0858912909625655</v>
      </c>
      <c r="C471" s="18" t="n">
        <f aca="false">'Black-Scholes'!$B$5*EXP(('Black-Scholes'!$B$8-'Black-Scholes'!$B$10-'Black-Scholes'!$B$9^2/2)*'Black-Scholes'!$B$7+'Black-Scholes'!$B$9*SQRT('Black-Scholes'!$B$7)*B471)</f>
        <v>104.830886206807</v>
      </c>
      <c r="D471" s="18" t="n">
        <f aca="false">'Black-Scholes'!$B$5*EXP(('Black-Scholes'!$B$8-'Black-Scholes'!$B$10-'Black-Scholes'!$B$9^2/2)*'Black-Scholes'!$B$7-'Black-Scholes'!$B$9*SQRT('Black-Scholes'!$B$7)*B471)</f>
        <v>101.290429277742</v>
      </c>
      <c r="E471" s="18" t="n">
        <f aca="false">EXP(-'Black-Scholes'!$B$8*'Black-Scholes'!$B$7)*IF(LOWER('Black-Scholes'!$B$11)="put",MAX('Black-Scholes'!$B$6-C471,0),MAX(C471-'Black-Scholes'!$B$6,0))</f>
        <v>4.59528110632951</v>
      </c>
      <c r="F471" s="18" t="n">
        <f aca="false">(E471+G471)/2</f>
        <v>2.91138770277739</v>
      </c>
      <c r="G471" s="18" t="n">
        <f aca="false">EXP(-'Black-Scholes'!$B$8*'Black-Scholes'!$B$7)*IF(LOWER('Black-Scholes'!$B$11)="put",MAX('Black-Scholes'!$B$6-D471,0),MAX(D471-'Black-Scholes'!$B$6,0))</f>
        <v>1.22749429922528</v>
      </c>
    </row>
    <row r="472" customFormat="false" ht="15" hidden="false" customHeight="false" outlineLevel="0" collapsed="false">
      <c r="A472" s="0" t="n">
        <v>461</v>
      </c>
      <c r="B472" s="15" t="n">
        <v>0.478444039702306</v>
      </c>
      <c r="C472" s="18" t="n">
        <f aca="false">'Black-Scholes'!$B$5*EXP(('Black-Scholes'!$B$8-'Black-Scholes'!$B$10-'Black-Scholes'!$B$9^2/2)*'Black-Scholes'!$B$7+'Black-Scholes'!$B$9*SQRT('Black-Scholes'!$B$7)*B472)</f>
        <v>113.392924359551</v>
      </c>
      <c r="D472" s="18" t="n">
        <f aca="false">'Black-Scholes'!$B$5*EXP(('Black-Scholes'!$B$8-'Black-Scholes'!$B$10-'Black-Scholes'!$B$9^2/2)*'Black-Scholes'!$B$7-'Black-Scholes'!$B$9*SQRT('Black-Scholes'!$B$7)*B472)</f>
        <v>93.6422226115667</v>
      </c>
      <c r="E472" s="18" t="n">
        <f aca="false">EXP(-'Black-Scholes'!$B$8*'Black-Scholes'!$B$7)*IF(LOWER('Black-Scholes'!$B$11)="put",MAX('Black-Scholes'!$B$6-C472,0),MAX(C472-'Black-Scholes'!$B$6,0))</f>
        <v>12.739743730917</v>
      </c>
      <c r="F472" s="18" t="n">
        <f aca="false">(E472+G472)/2</f>
        <v>6.36987186545851</v>
      </c>
      <c r="G472" s="18" t="n">
        <f aca="false">EXP(-'Black-Scholes'!$B$8*'Black-Scholes'!$B$7)*IF(LOWER('Black-Scholes'!$B$11)="put",MAX('Black-Scholes'!$B$6-D472,0),MAX(D472-'Black-Scholes'!$B$6,0))</f>
        <v>0</v>
      </c>
    </row>
    <row r="473" customFormat="false" ht="15" hidden="false" customHeight="false" outlineLevel="0" collapsed="false">
      <c r="A473" s="0" t="n">
        <v>462</v>
      </c>
      <c r="B473" s="15" t="n">
        <v>0.221359001218945</v>
      </c>
      <c r="C473" s="18" t="n">
        <f aca="false">'Black-Scholes'!$B$5*EXP(('Black-Scholes'!$B$8-'Black-Scholes'!$B$10-'Black-Scholes'!$B$9^2/2)*'Black-Scholes'!$B$7+'Black-Scholes'!$B$9*SQRT('Black-Scholes'!$B$7)*B473)</f>
        <v>107.709952162682</v>
      </c>
      <c r="D473" s="18" t="n">
        <f aca="false">'Black-Scholes'!$B$5*EXP(('Black-Scholes'!$B$8-'Black-Scholes'!$B$10-'Black-Scholes'!$B$9^2/2)*'Black-Scholes'!$B$7-'Black-Scholes'!$B$9*SQRT('Black-Scholes'!$B$7)*B473)</f>
        <v>98.5829559130794</v>
      </c>
      <c r="E473" s="18" t="n">
        <f aca="false">EXP(-'Black-Scholes'!$B$8*'Black-Scholes'!$B$7)*IF(LOWER('Black-Scholes'!$B$11)="put",MAX('Black-Scholes'!$B$6-C473,0),MAX(C473-'Black-Scholes'!$B$6,0))</f>
        <v>7.33393335863633</v>
      </c>
      <c r="F473" s="18" t="n">
        <f aca="false">(E473+G473)/2</f>
        <v>3.66696667931817</v>
      </c>
      <c r="G473" s="18" t="n">
        <f aca="false">EXP(-'Black-Scholes'!$B$8*'Black-Scholes'!$B$7)*IF(LOWER('Black-Scholes'!$B$11)="put",MAX('Black-Scholes'!$B$6-D473,0),MAX(D473-'Black-Scholes'!$B$6,0))</f>
        <v>0</v>
      </c>
    </row>
    <row r="474" customFormat="false" ht="15" hidden="false" customHeight="false" outlineLevel="0" collapsed="false">
      <c r="A474" s="0" t="n">
        <v>463</v>
      </c>
      <c r="B474" s="15" t="n">
        <v>-0.192116508154636</v>
      </c>
      <c r="C474" s="18" t="n">
        <f aca="false">'Black-Scholes'!$B$5*EXP(('Black-Scholes'!$B$8-'Black-Scholes'!$B$10-'Black-Scholes'!$B$9^2/2)*'Black-Scholes'!$B$7+'Black-Scholes'!$B$9*SQRT('Black-Scholes'!$B$7)*B474)</f>
        <v>99.1612074975297</v>
      </c>
      <c r="D474" s="18" t="n">
        <f aca="false">'Black-Scholes'!$B$5*EXP(('Black-Scholes'!$B$8-'Black-Scholes'!$B$10-'Black-Scholes'!$B$9^2/2)*'Black-Scholes'!$B$7-'Black-Scholes'!$B$9*SQRT('Black-Scholes'!$B$7)*B474)</f>
        <v>107.081849176939</v>
      </c>
      <c r="E474" s="18" t="n">
        <f aca="false">EXP(-'Black-Scholes'!$B$8*'Black-Scholes'!$B$7)*IF(LOWER('Black-Scholes'!$B$11)="put",MAX('Black-Scholes'!$B$6-C474,0),MAX(C474-'Black-Scholes'!$B$6,0))</f>
        <v>0</v>
      </c>
      <c r="F474" s="18" t="n">
        <f aca="false">(E474+G474)/2</f>
        <v>3.36823165849015</v>
      </c>
      <c r="G474" s="18" t="n">
        <f aca="false">EXP(-'Black-Scholes'!$B$8*'Black-Scholes'!$B$7)*IF(LOWER('Black-Scholes'!$B$11)="put",MAX('Black-Scholes'!$B$6-D474,0),MAX(D474-'Black-Scholes'!$B$6,0))</f>
        <v>6.7364633169803</v>
      </c>
    </row>
    <row r="475" customFormat="false" ht="15" hidden="false" customHeight="false" outlineLevel="0" collapsed="false">
      <c r="A475" s="0" t="n">
        <v>464</v>
      </c>
      <c r="B475" s="15" t="n">
        <v>-0.233408239093138</v>
      </c>
      <c r="C475" s="18" t="n">
        <f aca="false">'Black-Scholes'!$B$5*EXP(('Black-Scholes'!$B$8-'Black-Scholes'!$B$10-'Black-Scholes'!$B$9^2/2)*'Black-Scholes'!$B$7+'Black-Scholes'!$B$9*SQRT('Black-Scholes'!$B$7)*B475)</f>
        <v>98.3456720396681</v>
      </c>
      <c r="D475" s="18" t="n">
        <f aca="false">'Black-Scholes'!$B$5*EXP(('Black-Scholes'!$B$8-'Black-Scholes'!$B$10-'Black-Scholes'!$B$9^2/2)*'Black-Scholes'!$B$7-'Black-Scholes'!$B$9*SQRT('Black-Scholes'!$B$7)*B475)</f>
        <v>107.969829736591</v>
      </c>
      <c r="E475" s="18" t="n">
        <f aca="false">EXP(-'Black-Scholes'!$B$8*'Black-Scholes'!$B$7)*IF(LOWER('Black-Scholes'!$B$11)="put",MAX('Black-Scholes'!$B$6-C475,0),MAX(C475-'Black-Scholes'!$B$6,0))</f>
        <v>0</v>
      </c>
      <c r="F475" s="18" t="n">
        <f aca="false">(E475+G475)/2</f>
        <v>3.79056827685315</v>
      </c>
      <c r="G475" s="18" t="n">
        <f aca="false">EXP(-'Black-Scholes'!$B$8*'Black-Scholes'!$B$7)*IF(LOWER('Black-Scholes'!$B$11)="put",MAX('Black-Scholes'!$B$6-D475,0),MAX(D475-'Black-Scholes'!$B$6,0))</f>
        <v>7.58113655370629</v>
      </c>
    </row>
    <row r="476" customFormat="false" ht="15" hidden="false" customHeight="false" outlineLevel="0" collapsed="false">
      <c r="A476" s="0" t="n">
        <v>465</v>
      </c>
      <c r="B476" s="15" t="n">
        <v>-0.495782103520531</v>
      </c>
      <c r="C476" s="18" t="n">
        <f aca="false">'Black-Scholes'!$B$5*EXP(('Black-Scholes'!$B$8-'Black-Scholes'!$B$10-'Black-Scholes'!$B$9^2/2)*'Black-Scholes'!$B$7+'Black-Scholes'!$B$9*SQRT('Black-Scholes'!$B$7)*B476)</f>
        <v>93.3180699879204</v>
      </c>
      <c r="D476" s="18" t="n">
        <f aca="false">'Black-Scholes'!$B$5*EXP(('Black-Scholes'!$B$8-'Black-Scholes'!$B$10-'Black-Scholes'!$B$9^2/2)*'Black-Scholes'!$B$7-'Black-Scholes'!$B$9*SQRT('Black-Scholes'!$B$7)*B476)</f>
        <v>113.786809637491</v>
      </c>
      <c r="E476" s="18" t="n">
        <f aca="false">EXP(-'Black-Scholes'!$B$8*'Black-Scholes'!$B$7)*IF(LOWER('Black-Scholes'!$B$11)="put",MAX('Black-Scholes'!$B$6-C476,0),MAX(C476-'Black-Scholes'!$B$6,0))</f>
        <v>0</v>
      </c>
      <c r="F476" s="18" t="n">
        <f aca="false">(E476+G476)/2</f>
        <v>6.55720949858595</v>
      </c>
      <c r="G476" s="18" t="n">
        <f aca="false">EXP(-'Black-Scholes'!$B$8*'Black-Scholes'!$B$7)*IF(LOWER('Black-Scholes'!$B$11)="put",MAX('Black-Scholes'!$B$6-D476,0),MAX(D476-'Black-Scholes'!$B$6,0))</f>
        <v>13.1144189971719</v>
      </c>
    </row>
    <row r="477" customFormat="false" ht="15" hidden="false" customHeight="false" outlineLevel="0" collapsed="false">
      <c r="A477" s="0" t="n">
        <v>466</v>
      </c>
      <c r="B477" s="15" t="n">
        <v>0.647998844290805</v>
      </c>
      <c r="C477" s="18" t="n">
        <f aca="false">'Black-Scholes'!$B$5*EXP(('Black-Scholes'!$B$8-'Black-Scholes'!$B$10-'Black-Scholes'!$B$9^2/2)*'Black-Scholes'!$B$7+'Black-Scholes'!$B$9*SQRT('Black-Scholes'!$B$7)*B477)</f>
        <v>117.304128937281</v>
      </c>
      <c r="D477" s="18" t="n">
        <f aca="false">'Black-Scholes'!$B$5*EXP(('Black-Scholes'!$B$8-'Black-Scholes'!$B$10-'Black-Scholes'!$B$9^2/2)*'Black-Scholes'!$B$7-'Black-Scholes'!$B$9*SQRT('Black-Scholes'!$B$7)*B477)</f>
        <v>90.5199634629304</v>
      </c>
      <c r="E477" s="18" t="n">
        <f aca="false">EXP(-'Black-Scholes'!$B$8*'Black-Scholes'!$B$7)*IF(LOWER('Black-Scholes'!$B$11)="put",MAX('Black-Scholes'!$B$6-C477,0),MAX(C477-'Black-Scholes'!$B$6,0))</f>
        <v>16.4601966104964</v>
      </c>
      <c r="F477" s="18" t="n">
        <f aca="false">(E477+G477)/2</f>
        <v>8.2300983052482</v>
      </c>
      <c r="G477" s="18" t="n">
        <f aca="false">EXP(-'Black-Scholes'!$B$8*'Black-Scholes'!$B$7)*IF(LOWER('Black-Scholes'!$B$11)="put",MAX('Black-Scholes'!$B$6-D477,0),MAX(D477-'Black-Scholes'!$B$6,0))</f>
        <v>0</v>
      </c>
    </row>
    <row r="478" customFormat="false" ht="15" hidden="false" customHeight="false" outlineLevel="0" collapsed="false">
      <c r="A478" s="0" t="n">
        <v>467</v>
      </c>
      <c r="B478" s="15" t="n">
        <v>0.342947359780126</v>
      </c>
      <c r="C478" s="18" t="n">
        <f aca="false">'Black-Scholes'!$B$5*EXP(('Black-Scholes'!$B$8-'Black-Scholes'!$B$10-'Black-Scholes'!$B$9^2/2)*'Black-Scholes'!$B$7+'Black-Scholes'!$B$9*SQRT('Black-Scholes'!$B$7)*B478)</f>
        <v>110.361314240373</v>
      </c>
      <c r="D478" s="18" t="n">
        <f aca="false">'Black-Scholes'!$B$5*EXP(('Black-Scholes'!$B$8-'Black-Scholes'!$B$10-'Black-Scholes'!$B$9^2/2)*'Black-Scholes'!$B$7-'Black-Scholes'!$B$9*SQRT('Black-Scholes'!$B$7)*B478)</f>
        <v>96.2145615838374</v>
      </c>
      <c r="E478" s="18" t="n">
        <f aca="false">EXP(-'Black-Scholes'!$B$8*'Black-Scholes'!$B$7)*IF(LOWER('Black-Scholes'!$B$11)="put",MAX('Black-Scholes'!$B$6-C478,0),MAX(C478-'Black-Scholes'!$B$6,0))</f>
        <v>9.85598698194107</v>
      </c>
      <c r="F478" s="18" t="n">
        <f aca="false">(E478+G478)/2</f>
        <v>4.92799349097053</v>
      </c>
      <c r="G478" s="18" t="n">
        <f aca="false">EXP(-'Black-Scholes'!$B$8*'Black-Scholes'!$B$7)*IF(LOWER('Black-Scholes'!$B$11)="put",MAX('Black-Scholes'!$B$6-D478,0),MAX(D478-'Black-Scholes'!$B$6,0))</f>
        <v>0</v>
      </c>
    </row>
    <row r="479" customFormat="false" ht="15" hidden="false" customHeight="false" outlineLevel="0" collapsed="false">
      <c r="A479" s="0" t="n">
        <v>468</v>
      </c>
      <c r="B479" s="15" t="n">
        <v>-0.460042242959525</v>
      </c>
      <c r="C479" s="18" t="n">
        <f aca="false">'Black-Scholes'!$B$5*EXP(('Black-Scholes'!$B$8-'Black-Scholes'!$B$10-'Black-Scholes'!$B$9^2/2)*'Black-Scholes'!$B$7+'Black-Scholes'!$B$9*SQRT('Black-Scholes'!$B$7)*B479)</f>
        <v>93.9874946137684</v>
      </c>
      <c r="D479" s="18" t="n">
        <f aca="false">'Black-Scholes'!$B$5*EXP(('Black-Scholes'!$B$8-'Black-Scholes'!$B$10-'Black-Scholes'!$B$9^2/2)*'Black-Scholes'!$B$7-'Black-Scholes'!$B$9*SQRT('Black-Scholes'!$B$7)*B479)</f>
        <v>112.9763646652</v>
      </c>
      <c r="E479" s="18" t="n">
        <f aca="false">EXP(-'Black-Scholes'!$B$8*'Black-Scholes'!$B$7)*IF(LOWER('Black-Scholes'!$B$11)="put",MAX('Black-Scholes'!$B$6-C479,0),MAX(C479-'Black-Scholes'!$B$6,0))</f>
        <v>0</v>
      </c>
      <c r="F479" s="18" t="n">
        <f aca="false">(E479+G479)/2</f>
        <v>6.17174994629469</v>
      </c>
      <c r="G479" s="18" t="n">
        <f aca="false">EXP(-'Black-Scholes'!$B$8*'Black-Scholes'!$B$7)*IF(LOWER('Black-Scholes'!$B$11)="put",MAX('Black-Scholes'!$B$6-D479,0),MAX(D479-'Black-Scholes'!$B$6,0))</f>
        <v>12.3434998925894</v>
      </c>
    </row>
    <row r="480" customFormat="false" ht="15" hidden="false" customHeight="false" outlineLevel="0" collapsed="false">
      <c r="A480" s="0" t="n">
        <v>469</v>
      </c>
      <c r="B480" s="15" t="n">
        <v>-0.0906253209352331</v>
      </c>
      <c r="C480" s="18" t="n">
        <f aca="false">'Black-Scholes'!$B$5*EXP(('Black-Scholes'!$B$8-'Black-Scholes'!$B$10-'Black-Scholes'!$B$9^2/2)*'Black-Scholes'!$B$7+'Black-Scholes'!$B$9*SQRT('Black-Scholes'!$B$7)*B480)</f>
        <v>101.194572278265</v>
      </c>
      <c r="D480" s="18" t="n">
        <f aca="false">'Black-Scholes'!$B$5*EXP(('Black-Scholes'!$B$8-'Black-Scholes'!$B$10-'Black-Scholes'!$B$9^2/2)*'Black-Scholes'!$B$7-'Black-Scholes'!$B$9*SQRT('Black-Scholes'!$B$7)*B480)</f>
        <v>104.930187720496</v>
      </c>
      <c r="E480" s="18" t="n">
        <f aca="false">EXP(-'Black-Scholes'!$B$8*'Black-Scholes'!$B$7)*IF(LOWER('Black-Scholes'!$B$11)="put",MAX('Black-Scholes'!$B$6-C480,0),MAX(C480-'Black-Scholes'!$B$6,0))</f>
        <v>1.13631230077809</v>
      </c>
      <c r="F480" s="18" t="n">
        <f aca="false">(E480+G480)/2</f>
        <v>2.91302596441298</v>
      </c>
      <c r="G480" s="18" t="n">
        <f aca="false">EXP(-'Black-Scholes'!$B$8*'Black-Scholes'!$B$7)*IF(LOWER('Black-Scholes'!$B$11)="put",MAX('Black-Scholes'!$B$6-D480,0),MAX(D480-'Black-Scholes'!$B$6,0))</f>
        <v>4.68973962804786</v>
      </c>
    </row>
    <row r="481" customFormat="false" ht="15" hidden="false" customHeight="false" outlineLevel="0" collapsed="false">
      <c r="A481" s="0" t="n">
        <v>470</v>
      </c>
      <c r="B481" s="15" t="n">
        <v>-0.26219847279921</v>
      </c>
      <c r="C481" s="18" t="n">
        <f aca="false">'Black-Scholes'!$B$5*EXP(('Black-Scholes'!$B$8-'Black-Scholes'!$B$10-'Black-Scholes'!$B$9^2/2)*'Black-Scholes'!$B$7+'Black-Scholes'!$B$9*SQRT('Black-Scholes'!$B$7)*B481)</f>
        <v>97.7810202690013</v>
      </c>
      <c r="D481" s="18" t="n">
        <f aca="false">'Black-Scholes'!$B$5*EXP(('Black-Scholes'!$B$8-'Black-Scholes'!$B$10-'Black-Scholes'!$B$9^2/2)*'Black-Scholes'!$B$7-'Black-Scholes'!$B$9*SQRT('Black-Scholes'!$B$7)*B481)</f>
        <v>108.593318378575</v>
      </c>
      <c r="E481" s="18" t="n">
        <f aca="false">EXP(-'Black-Scholes'!$B$8*'Black-Scholes'!$B$7)*IF(LOWER('Black-Scholes'!$B$11)="put",MAX('Black-Scholes'!$B$6-C481,0),MAX(C481-'Black-Scholes'!$B$6,0))</f>
        <v>0</v>
      </c>
      <c r="F481" s="18" t="n">
        <f aca="false">(E481+G481)/2</f>
        <v>4.08710864790189</v>
      </c>
      <c r="G481" s="18" t="n">
        <f aca="false">EXP(-'Black-Scholes'!$B$8*'Black-Scholes'!$B$7)*IF(LOWER('Black-Scholes'!$B$11)="put",MAX('Black-Scholes'!$B$6-D481,0),MAX(D481-'Black-Scholes'!$B$6,0))</f>
        <v>8.17421729580377</v>
      </c>
    </row>
    <row r="482" customFormat="false" ht="15" hidden="false" customHeight="false" outlineLevel="0" collapsed="false">
      <c r="A482" s="0" t="n">
        <v>471</v>
      </c>
      <c r="B482" s="15" t="n">
        <v>-1.07842501829189</v>
      </c>
      <c r="C482" s="18" t="n">
        <f aca="false">'Black-Scholes'!$B$5*EXP(('Black-Scholes'!$B$8-'Black-Scholes'!$B$10-'Black-Scholes'!$B$9^2/2)*'Black-Scholes'!$B$7+'Black-Scholes'!$B$9*SQRT('Black-Scholes'!$B$7)*B482)</f>
        <v>83.0535169322214</v>
      </c>
      <c r="D482" s="18" t="n">
        <f aca="false">'Black-Scholes'!$B$5*EXP(('Black-Scholes'!$B$8-'Black-Scholes'!$B$10-'Black-Scholes'!$B$9^2/2)*'Black-Scholes'!$B$7-'Black-Scholes'!$B$9*SQRT('Black-Scholes'!$B$7)*B482)</f>
        <v>127.849678829604</v>
      </c>
      <c r="E482" s="18" t="n">
        <f aca="false">EXP(-'Black-Scholes'!$B$8*'Black-Scholes'!$B$7)*IF(LOWER('Black-Scholes'!$B$11)="put",MAX('Black-Scholes'!$B$6-C482,0),MAX(C482-'Black-Scholes'!$B$6,0))</f>
        <v>0</v>
      </c>
      <c r="F482" s="18" t="n">
        <f aca="false">(E482+G482)/2</f>
        <v>13.245716982807</v>
      </c>
      <c r="G482" s="18" t="n">
        <f aca="false">EXP(-'Black-Scholes'!$B$8*'Black-Scholes'!$B$7)*IF(LOWER('Black-Scholes'!$B$11)="put",MAX('Black-Scholes'!$B$6-D482,0),MAX(D482-'Black-Scholes'!$B$6,0))</f>
        <v>26.4914339656141</v>
      </c>
    </row>
    <row r="483" customFormat="false" ht="15" hidden="false" customHeight="false" outlineLevel="0" collapsed="false">
      <c r="A483" s="0" t="n">
        <v>472</v>
      </c>
      <c r="B483" s="15" t="n">
        <v>-1.74451026593721</v>
      </c>
      <c r="C483" s="18" t="n">
        <f aca="false">'Black-Scholes'!$B$5*EXP(('Black-Scholes'!$B$8-'Black-Scholes'!$B$10-'Black-Scholes'!$B$9^2/2)*'Black-Scholes'!$B$7+'Black-Scholes'!$B$9*SQRT('Black-Scholes'!$B$7)*B483)</f>
        <v>72.6946747936302</v>
      </c>
      <c r="D483" s="18" t="n">
        <f aca="false">'Black-Scholes'!$B$5*EXP(('Black-Scholes'!$B$8-'Black-Scholes'!$B$10-'Black-Scholes'!$B$9^2/2)*'Black-Scholes'!$B$7-'Black-Scholes'!$B$9*SQRT('Black-Scholes'!$B$7)*B483)</f>
        <v>146.06799597904</v>
      </c>
      <c r="E483" s="18" t="n">
        <f aca="false">EXP(-'Black-Scholes'!$B$8*'Black-Scholes'!$B$7)*IF(LOWER('Black-Scholes'!$B$11)="put",MAX('Black-Scholes'!$B$6-C483,0),MAX(C483-'Black-Scholes'!$B$6,0))</f>
        <v>0</v>
      </c>
      <c r="F483" s="18" t="n">
        <f aca="false">(E483+G483)/2</f>
        <v>21.9106166515217</v>
      </c>
      <c r="G483" s="18" t="n">
        <f aca="false">EXP(-'Black-Scholes'!$B$8*'Black-Scholes'!$B$7)*IF(LOWER('Black-Scholes'!$B$11)="put",MAX('Black-Scholes'!$B$6-D483,0),MAX(D483-'Black-Scholes'!$B$6,0))</f>
        <v>43.8212333030435</v>
      </c>
    </row>
    <row r="484" customFormat="false" ht="15" hidden="false" customHeight="false" outlineLevel="0" collapsed="false">
      <c r="A484" s="0" t="n">
        <v>473</v>
      </c>
      <c r="B484" s="15" t="n">
        <v>-0.772022929963487</v>
      </c>
      <c r="C484" s="18" t="n">
        <f aca="false">'Black-Scholes'!$B$5*EXP(('Black-Scholes'!$B$8-'Black-Scholes'!$B$10-'Black-Scholes'!$B$9^2/2)*'Black-Scholes'!$B$7+'Black-Scholes'!$B$9*SQRT('Black-Scholes'!$B$7)*B484)</f>
        <v>88.3022510063295</v>
      </c>
      <c r="D484" s="18" t="n">
        <f aca="false">'Black-Scholes'!$B$5*EXP(('Black-Scholes'!$B$8-'Black-Scholes'!$B$10-'Black-Scholes'!$B$9^2/2)*'Black-Scholes'!$B$7-'Black-Scholes'!$B$9*SQRT('Black-Scholes'!$B$7)*B484)</f>
        <v>120.250224025348</v>
      </c>
      <c r="E484" s="18" t="n">
        <f aca="false">EXP(-'Black-Scholes'!$B$8*'Black-Scholes'!$B$7)*IF(LOWER('Black-Scholes'!$B$11)="put",MAX('Black-Scholes'!$B$6-C484,0),MAX(C484-'Black-Scholes'!$B$6,0))</f>
        <v>0</v>
      </c>
      <c r="F484" s="18" t="n">
        <f aca="false">(E484+G484)/2</f>
        <v>9.63130447282096</v>
      </c>
      <c r="G484" s="18" t="n">
        <f aca="false">EXP(-'Black-Scholes'!$B$8*'Black-Scholes'!$B$7)*IF(LOWER('Black-Scholes'!$B$11)="put",MAX('Black-Scholes'!$B$6-D484,0),MAX(D484-'Black-Scholes'!$B$6,0))</f>
        <v>19.2626089456419</v>
      </c>
    </row>
    <row r="485" customFormat="false" ht="15" hidden="false" customHeight="false" outlineLevel="0" collapsed="false">
      <c r="A485" s="0" t="n">
        <v>474</v>
      </c>
      <c r="B485" s="15" t="n">
        <v>-1.27249467135202</v>
      </c>
      <c r="C485" s="18" t="n">
        <f aca="false">'Black-Scholes'!$B$5*EXP(('Black-Scholes'!$B$8-'Black-Scholes'!$B$10-'Black-Scholes'!$B$9^2/2)*'Black-Scholes'!$B$7+'Black-Scholes'!$B$9*SQRT('Black-Scholes'!$B$7)*B485)</f>
        <v>79.891642812835</v>
      </c>
      <c r="D485" s="18" t="n">
        <f aca="false">'Black-Scholes'!$B$5*EXP(('Black-Scholes'!$B$8-'Black-Scholes'!$B$10-'Black-Scholes'!$B$9^2/2)*'Black-Scholes'!$B$7-'Black-Scholes'!$B$9*SQRT('Black-Scholes'!$B$7)*B485)</f>
        <v>132.909589684238</v>
      </c>
      <c r="E485" s="18" t="n">
        <f aca="false">EXP(-'Black-Scholes'!$B$8*'Black-Scholes'!$B$7)*IF(LOWER('Black-Scholes'!$B$11)="put",MAX('Black-Scholes'!$B$6-C485,0),MAX(C485-'Black-Scholes'!$B$6,0))</f>
        <v>0</v>
      </c>
      <c r="F485" s="18" t="n">
        <f aca="false">(E485+G485)/2</f>
        <v>15.6522850279461</v>
      </c>
      <c r="G485" s="18" t="n">
        <f aca="false">EXP(-'Black-Scholes'!$B$8*'Black-Scholes'!$B$7)*IF(LOWER('Black-Scholes'!$B$11)="put",MAX('Black-Scholes'!$B$6-D485,0),MAX(D485-'Black-Scholes'!$B$6,0))</f>
        <v>31.3045700558922</v>
      </c>
    </row>
    <row r="486" customFormat="false" ht="15" hidden="false" customHeight="false" outlineLevel="0" collapsed="false">
      <c r="A486" s="0" t="n">
        <v>475</v>
      </c>
      <c r="B486" s="15" t="n">
        <v>0.846912681557199</v>
      </c>
      <c r="C486" s="18" t="n">
        <f aca="false">'Black-Scholes'!$B$5*EXP(('Black-Scholes'!$B$8-'Black-Scholes'!$B$10-'Black-Scholes'!$B$9^2/2)*'Black-Scholes'!$B$7+'Black-Scholes'!$B$9*SQRT('Black-Scholes'!$B$7)*B486)</f>
        <v>122.064881909685</v>
      </c>
      <c r="D486" s="18" t="n">
        <f aca="false">'Black-Scholes'!$B$5*EXP(('Black-Scholes'!$B$8-'Black-Scholes'!$B$10-'Black-Scholes'!$B$9^2/2)*'Black-Scholes'!$B$7-'Black-Scholes'!$B$9*SQRT('Black-Scholes'!$B$7)*B486)</f>
        <v>86.9895198302003</v>
      </c>
      <c r="E486" s="18" t="n">
        <f aca="false">EXP(-'Black-Scholes'!$B$8*'Black-Scholes'!$B$7)*IF(LOWER('Black-Scholes'!$B$11)="put",MAX('Black-Scholes'!$B$6-C486,0),MAX(C486-'Black-Scholes'!$B$6,0))</f>
        <v>20.9887649206259</v>
      </c>
      <c r="F486" s="18" t="n">
        <f aca="false">(E486+G486)/2</f>
        <v>10.4943824603129</v>
      </c>
      <c r="G486" s="18" t="n">
        <f aca="false">EXP(-'Black-Scholes'!$B$8*'Black-Scholes'!$B$7)*IF(LOWER('Black-Scholes'!$B$11)="put",MAX('Black-Scholes'!$B$6-D486,0),MAX(D486-'Black-Scholes'!$B$6,0))</f>
        <v>0</v>
      </c>
    </row>
    <row r="487" customFormat="false" ht="15" hidden="false" customHeight="false" outlineLevel="0" collapsed="false">
      <c r="A487" s="0" t="n">
        <v>476</v>
      </c>
      <c r="B487" s="15" t="n">
        <v>-1.72488910727428</v>
      </c>
      <c r="C487" s="18" t="n">
        <f aca="false">'Black-Scholes'!$B$5*EXP(('Black-Scholes'!$B$8-'Black-Scholes'!$B$10-'Black-Scholes'!$B$9^2/2)*'Black-Scholes'!$B$7+'Black-Scholes'!$B$9*SQRT('Black-Scholes'!$B$7)*B487)</f>
        <v>72.9805060104039</v>
      </c>
      <c r="D487" s="18" t="n">
        <f aca="false">'Black-Scholes'!$B$5*EXP(('Black-Scholes'!$B$8-'Black-Scholes'!$B$10-'Black-Scholes'!$B$9^2/2)*'Black-Scholes'!$B$7-'Black-Scholes'!$B$9*SQRT('Black-Scholes'!$B$7)*B487)</f>
        <v>145.495914538327</v>
      </c>
      <c r="E487" s="18" t="n">
        <f aca="false">EXP(-'Black-Scholes'!$B$8*'Black-Scholes'!$B$7)*IF(LOWER('Black-Scholes'!$B$11)="put",MAX('Black-Scholes'!$B$6-C487,0),MAX(C487-'Black-Scholes'!$B$6,0))</f>
        <v>0</v>
      </c>
      <c r="F487" s="18" t="n">
        <f aca="false">(E487+G487)/2</f>
        <v>21.6385263017133</v>
      </c>
      <c r="G487" s="18" t="n">
        <f aca="false">EXP(-'Black-Scholes'!$B$8*'Black-Scholes'!$B$7)*IF(LOWER('Black-Scholes'!$B$11)="put",MAX('Black-Scholes'!$B$6-D487,0),MAX(D487-'Black-Scholes'!$B$6,0))</f>
        <v>43.2770526034266</v>
      </c>
    </row>
    <row r="488" customFormat="false" ht="15" hidden="false" customHeight="false" outlineLevel="0" collapsed="false">
      <c r="A488" s="0" t="n">
        <v>477</v>
      </c>
      <c r="B488" s="15" t="n">
        <v>0.998989354718703</v>
      </c>
      <c r="C488" s="18" t="n">
        <f aca="false">'Black-Scholes'!$B$5*EXP(('Black-Scholes'!$B$8-'Black-Scholes'!$B$10-'Black-Scholes'!$B$9^2/2)*'Black-Scholes'!$B$7+'Black-Scholes'!$B$9*SQRT('Black-Scholes'!$B$7)*B488)</f>
        <v>125.834563600631</v>
      </c>
      <c r="D488" s="18" t="n">
        <f aca="false">'Black-Scholes'!$B$5*EXP(('Black-Scholes'!$B$8-'Black-Scholes'!$B$10-'Black-Scholes'!$B$9^2/2)*'Black-Scholes'!$B$7-'Black-Scholes'!$B$9*SQRT('Black-Scholes'!$B$7)*B488)</f>
        <v>84.3835363005173</v>
      </c>
      <c r="E488" s="18" t="n">
        <f aca="false">EXP(-'Black-Scholes'!$B$8*'Black-Scholes'!$B$7)*IF(LOWER('Black-Scholes'!$B$11)="put",MAX('Black-Scholes'!$B$6-C488,0),MAX(C488-'Black-Scholes'!$B$6,0))</f>
        <v>24.5745970660553</v>
      </c>
      <c r="F488" s="18" t="n">
        <f aca="false">(E488+G488)/2</f>
        <v>12.2872985330276</v>
      </c>
      <c r="G488" s="18" t="n">
        <f aca="false">EXP(-'Black-Scholes'!$B$8*'Black-Scholes'!$B$7)*IF(LOWER('Black-Scholes'!$B$11)="put",MAX('Black-Scholes'!$B$6-D488,0),MAX(D488-'Black-Scholes'!$B$6,0))</f>
        <v>0</v>
      </c>
    </row>
    <row r="489" customFormat="false" ht="15" hidden="false" customHeight="false" outlineLevel="0" collapsed="false">
      <c r="A489" s="0" t="n">
        <v>478</v>
      </c>
      <c r="B489" s="15" t="n">
        <v>0.174279211117063</v>
      </c>
      <c r="C489" s="18" t="n">
        <f aca="false">'Black-Scholes'!$B$5*EXP(('Black-Scholes'!$B$8-'Black-Scholes'!$B$10-'Black-Scholes'!$B$9^2/2)*'Black-Scholes'!$B$7+'Black-Scholes'!$B$9*SQRT('Black-Scholes'!$B$7)*B489)</f>
        <v>106.70051962</v>
      </c>
      <c r="D489" s="18" t="n">
        <f aca="false">'Black-Scholes'!$B$5*EXP(('Black-Scholes'!$B$8-'Black-Scholes'!$B$10-'Black-Scholes'!$B$9^2/2)*'Black-Scholes'!$B$7-'Black-Scholes'!$B$9*SQRT('Black-Scholes'!$B$7)*B489)</f>
        <v>99.5155928318765</v>
      </c>
      <c r="E489" s="18" t="n">
        <f aca="false">EXP(-'Black-Scholes'!$B$8*'Black-Scholes'!$B$7)*IF(LOWER('Black-Scholes'!$B$11)="put",MAX('Black-Scholes'!$B$6-C489,0),MAX(C489-'Black-Scholes'!$B$6,0))</f>
        <v>6.37373142198864</v>
      </c>
      <c r="F489" s="18" t="n">
        <f aca="false">(E489+G489)/2</f>
        <v>3.18686571099432</v>
      </c>
      <c r="G489" s="18" t="n">
        <f aca="false">EXP(-'Black-Scholes'!$B$8*'Black-Scholes'!$B$7)*IF(LOWER('Black-Scholes'!$B$11)="put",MAX('Black-Scholes'!$B$6-D489,0),MAX(D489-'Black-Scholes'!$B$6,0))</f>
        <v>0</v>
      </c>
    </row>
    <row r="490" customFormat="false" ht="15" hidden="false" customHeight="false" outlineLevel="0" collapsed="false">
      <c r="A490" s="0" t="n">
        <v>479</v>
      </c>
      <c r="B490" s="15" t="n">
        <v>-0.718070754290536</v>
      </c>
      <c r="C490" s="18" t="n">
        <f aca="false">'Black-Scholes'!$B$5*EXP(('Black-Scholes'!$B$8-'Black-Scholes'!$B$10-'Black-Scholes'!$B$9^2/2)*'Black-Scholes'!$B$7+'Black-Scholes'!$B$9*SQRT('Black-Scholes'!$B$7)*B490)</f>
        <v>89.2602299277062</v>
      </c>
      <c r="D490" s="18" t="n">
        <f aca="false">'Black-Scholes'!$B$5*EXP(('Black-Scholes'!$B$8-'Black-Scholes'!$B$10-'Black-Scholes'!$B$9^2/2)*'Black-Scholes'!$B$7-'Black-Scholes'!$B$9*SQRT('Black-Scholes'!$B$7)*B490)</f>
        <v>118.959647247757</v>
      </c>
      <c r="E490" s="18" t="n">
        <f aca="false">EXP(-'Black-Scholes'!$B$8*'Black-Scholes'!$B$7)*IF(LOWER('Black-Scholes'!$B$11)="put",MAX('Black-Scholes'!$B$6-C490,0),MAX(C490-'Black-Scholes'!$B$6,0))</f>
        <v>0</v>
      </c>
      <c r="F490" s="18" t="n">
        <f aca="false">(E490+G490)/2</f>
        <v>9.01748717011013</v>
      </c>
      <c r="G490" s="18" t="n">
        <f aca="false">EXP(-'Black-Scholes'!$B$8*'Black-Scholes'!$B$7)*IF(LOWER('Black-Scholes'!$B$11)="put",MAX('Black-Scholes'!$B$6-D490,0),MAX(D490-'Black-Scholes'!$B$6,0))</f>
        <v>18.0349743402203</v>
      </c>
    </row>
    <row r="491" customFormat="false" ht="15" hidden="false" customHeight="false" outlineLevel="0" collapsed="false">
      <c r="A491" s="0" t="n">
        <v>480</v>
      </c>
      <c r="B491" s="15" t="n">
        <v>0.223663366763877</v>
      </c>
      <c r="C491" s="18" t="n">
        <f aca="false">'Black-Scholes'!$B$5*EXP(('Black-Scholes'!$B$8-'Black-Scholes'!$B$10-'Black-Scholes'!$B$9^2/2)*'Black-Scholes'!$B$7+'Black-Scholes'!$B$9*SQRT('Black-Scholes'!$B$7)*B491)</f>
        <v>107.759604223975</v>
      </c>
      <c r="D491" s="18" t="n">
        <f aca="false">'Black-Scholes'!$B$5*EXP(('Black-Scholes'!$B$8-'Black-Scholes'!$B$10-'Black-Scholes'!$B$9^2/2)*'Black-Scholes'!$B$7-'Black-Scholes'!$B$9*SQRT('Black-Scholes'!$B$7)*B491)</f>
        <v>98.5375321477946</v>
      </c>
      <c r="E491" s="18" t="n">
        <f aca="false">EXP(-'Black-Scholes'!$B$8*'Black-Scholes'!$B$7)*IF(LOWER('Black-Scholes'!$B$11)="put",MAX('Black-Scholes'!$B$6-C491,0),MAX(C491-'Black-Scholes'!$B$6,0))</f>
        <v>7.38116386032542</v>
      </c>
      <c r="F491" s="18" t="n">
        <f aca="false">(E491+G491)/2</f>
        <v>3.69058193016271</v>
      </c>
      <c r="G491" s="18" t="n">
        <f aca="false">EXP(-'Black-Scholes'!$B$8*'Black-Scholes'!$B$7)*IF(LOWER('Black-Scholes'!$B$11)="put",MAX('Black-Scholes'!$B$6-D491,0),MAX(D491-'Black-Scholes'!$B$6,0))</f>
        <v>0</v>
      </c>
    </row>
    <row r="492" customFormat="false" ht="15" hidden="false" customHeight="false" outlineLevel="0" collapsed="false">
      <c r="A492" s="0" t="n">
        <v>481</v>
      </c>
      <c r="B492" s="15" t="n">
        <v>-0.00701465414958778</v>
      </c>
      <c r="C492" s="18" t="n">
        <f aca="false">'Black-Scholes'!$B$5*EXP(('Black-Scholes'!$B$8-'Black-Scholes'!$B$10-'Black-Scholes'!$B$9^2/2)*'Black-Scholes'!$B$7+'Black-Scholes'!$B$9*SQRT('Black-Scholes'!$B$7)*B492)</f>
        <v>102.900989112294</v>
      </c>
      <c r="D492" s="18" t="n">
        <f aca="false">'Black-Scholes'!$B$5*EXP(('Black-Scholes'!$B$8-'Black-Scholes'!$B$10-'Black-Scholes'!$B$9^2/2)*'Black-Scholes'!$B$7-'Black-Scholes'!$B$9*SQRT('Black-Scholes'!$B$7)*B492)</f>
        <v>103.190120494041</v>
      </c>
      <c r="E492" s="18" t="n">
        <f aca="false">EXP(-'Black-Scholes'!$B$8*'Black-Scholes'!$B$7)*IF(LOWER('Black-Scholes'!$B$11)="put",MAX('Black-Scholes'!$B$6-C492,0),MAX(C492-'Black-Scholes'!$B$6,0))</f>
        <v>2.75950620376978</v>
      </c>
      <c r="F492" s="18" t="n">
        <f aca="false">(E492+G492)/2</f>
        <v>2.8970213427023</v>
      </c>
      <c r="G492" s="18" t="n">
        <f aca="false">EXP(-'Black-Scholes'!$B$8*'Black-Scholes'!$B$7)*IF(LOWER('Black-Scholes'!$B$11)="put",MAX('Black-Scholes'!$B$6-D492,0),MAX(D492-'Black-Scholes'!$B$6,0))</f>
        <v>3.03453648163482</v>
      </c>
    </row>
    <row r="493" customFormat="false" ht="15" hidden="false" customHeight="false" outlineLevel="0" collapsed="false">
      <c r="A493" s="0" t="n">
        <v>482</v>
      </c>
      <c r="B493" s="15" t="n">
        <v>-1.35254573488624</v>
      </c>
      <c r="C493" s="18" t="n">
        <f aca="false">'Black-Scholes'!$B$5*EXP(('Black-Scholes'!$B$8-'Black-Scholes'!$B$10-'Black-Scholes'!$B$9^2/2)*'Black-Scholes'!$B$7+'Black-Scholes'!$B$9*SQRT('Black-Scholes'!$B$7)*B493)</f>
        <v>78.6227453810594</v>
      </c>
      <c r="D493" s="18" t="n">
        <f aca="false">'Black-Scholes'!$B$5*EXP(('Black-Scholes'!$B$8-'Black-Scholes'!$B$10-'Black-Scholes'!$B$9^2/2)*'Black-Scholes'!$B$7-'Black-Scholes'!$B$9*SQRT('Black-Scholes'!$B$7)*B493)</f>
        <v>135.054625909967</v>
      </c>
      <c r="E493" s="18" t="n">
        <f aca="false">EXP(-'Black-Scholes'!$B$8*'Black-Scholes'!$B$7)*IF(LOWER('Black-Scholes'!$B$11)="put",MAX('Black-Scholes'!$B$6-C493,0),MAX(C493-'Black-Scholes'!$B$6,0))</f>
        <v>0</v>
      </c>
      <c r="F493" s="18" t="n">
        <f aca="false">(E493+G493)/2</f>
        <v>16.6724958152131</v>
      </c>
      <c r="G493" s="18" t="n">
        <f aca="false">EXP(-'Black-Scholes'!$B$8*'Black-Scholes'!$B$7)*IF(LOWER('Black-Scholes'!$B$11)="put",MAX('Black-Scholes'!$B$6-D493,0),MAX(D493-'Black-Scholes'!$B$6,0))</f>
        <v>33.3449916304261</v>
      </c>
    </row>
    <row r="494" customFormat="false" ht="15" hidden="false" customHeight="false" outlineLevel="0" collapsed="false">
      <c r="A494" s="0" t="n">
        <v>483</v>
      </c>
      <c r="B494" s="15" t="n">
        <v>0.553023969960396</v>
      </c>
      <c r="C494" s="18" t="n">
        <f aca="false">'Black-Scholes'!$B$5*EXP(('Black-Scholes'!$B$8-'Black-Scholes'!$B$10-'Black-Scholes'!$B$9^2/2)*'Black-Scholes'!$B$7+'Black-Scholes'!$B$9*SQRT('Black-Scholes'!$B$7)*B494)</f>
        <v>115.096968795358</v>
      </c>
      <c r="D494" s="18" t="n">
        <f aca="false">'Black-Scholes'!$B$5*EXP(('Black-Scholes'!$B$8-'Black-Scholes'!$B$10-'Black-Scholes'!$B$9^2/2)*'Black-Scholes'!$B$7-'Black-Scholes'!$B$9*SQRT('Black-Scholes'!$B$7)*B494)</f>
        <v>92.2558219959118</v>
      </c>
      <c r="E494" s="18" t="n">
        <f aca="false">EXP(-'Black-Scholes'!$B$8*'Black-Scholes'!$B$7)*IF(LOWER('Black-Scholes'!$B$11)="put",MAX('Black-Scholes'!$B$6-C494,0),MAX(C494-'Black-Scholes'!$B$6,0))</f>
        <v>14.3606809389139</v>
      </c>
      <c r="F494" s="18" t="n">
        <f aca="false">(E494+G494)/2</f>
        <v>7.18034046945695</v>
      </c>
      <c r="G494" s="18" t="n">
        <f aca="false">EXP(-'Black-Scholes'!$B$8*'Black-Scholes'!$B$7)*IF(LOWER('Black-Scholes'!$B$11)="put",MAX('Black-Scholes'!$B$6-D494,0),MAX(D494-'Black-Scholes'!$B$6,0))</f>
        <v>0</v>
      </c>
    </row>
    <row r="495" customFormat="false" ht="15" hidden="false" customHeight="false" outlineLevel="0" collapsed="false">
      <c r="A495" s="0" t="n">
        <v>484</v>
      </c>
      <c r="B495" s="15" t="n">
        <v>-1.0011153801564</v>
      </c>
      <c r="C495" s="18" t="n">
        <f aca="false">'Black-Scholes'!$B$5*EXP(('Black-Scholes'!$B$8-'Black-Scholes'!$B$10-'Black-Scholes'!$B$9^2/2)*'Black-Scholes'!$B$7+'Black-Scholes'!$B$9*SQRT('Black-Scholes'!$B$7)*B495)</f>
        <v>84.3476636187417</v>
      </c>
      <c r="D495" s="18" t="n">
        <f aca="false">'Black-Scholes'!$B$5*EXP(('Black-Scholes'!$B$8-'Black-Scholes'!$B$10-'Black-Scholes'!$B$9^2/2)*'Black-Scholes'!$B$7-'Black-Scholes'!$B$9*SQRT('Black-Scholes'!$B$7)*B495)</f>
        <v>125.888080474279</v>
      </c>
      <c r="E495" s="18" t="n">
        <f aca="false">EXP(-'Black-Scholes'!$B$8*'Black-Scholes'!$B$7)*IF(LOWER('Black-Scholes'!$B$11)="put",MAX('Black-Scholes'!$B$6-C495,0),MAX(C495-'Black-Scholes'!$B$6,0))</f>
        <v>0</v>
      </c>
      <c r="F495" s="18" t="n">
        <f aca="false">(E495+G495)/2</f>
        <v>12.3127519454885</v>
      </c>
      <c r="G495" s="18" t="n">
        <f aca="false">EXP(-'Black-Scholes'!$B$8*'Black-Scholes'!$B$7)*IF(LOWER('Black-Scholes'!$B$11)="put",MAX('Black-Scholes'!$B$6-D495,0),MAX(D495-'Black-Scholes'!$B$6,0))</f>
        <v>24.6255038909769</v>
      </c>
    </row>
    <row r="496" customFormat="false" ht="15" hidden="false" customHeight="false" outlineLevel="0" collapsed="false">
      <c r="A496" s="0" t="n">
        <v>485</v>
      </c>
      <c r="B496" s="15" t="n">
        <v>0.450867195080983</v>
      </c>
      <c r="C496" s="18" t="n">
        <f aca="false">'Black-Scholes'!$B$5*EXP(('Black-Scholes'!$B$8-'Black-Scholes'!$B$10-'Black-Scholes'!$B$9^2/2)*'Black-Scholes'!$B$7+'Black-Scholes'!$B$9*SQRT('Black-Scholes'!$B$7)*B496)</f>
        <v>112.769242048323</v>
      </c>
      <c r="D496" s="18" t="n">
        <f aca="false">'Black-Scholes'!$B$5*EXP(('Black-Scholes'!$B$8-'Black-Scholes'!$B$10-'Black-Scholes'!$B$9^2/2)*'Black-Scholes'!$B$7-'Black-Scholes'!$B$9*SQRT('Black-Scholes'!$B$7)*B496)</f>
        <v>94.1601209033889</v>
      </c>
      <c r="E496" s="18" t="n">
        <f aca="false">EXP(-'Black-Scholes'!$B$8*'Black-Scholes'!$B$7)*IF(LOWER('Black-Scholes'!$B$11)="put",MAX('Black-Scholes'!$B$6-C496,0),MAX(C496-'Black-Scholes'!$B$6,0))</f>
        <v>12.1464787649363</v>
      </c>
      <c r="F496" s="18" t="n">
        <f aca="false">(E496+G496)/2</f>
        <v>6.07323938246817</v>
      </c>
      <c r="G496" s="18" t="n">
        <f aca="false">EXP(-'Black-Scholes'!$B$8*'Black-Scholes'!$B$7)*IF(LOWER('Black-Scholes'!$B$11)="put",MAX('Black-Scholes'!$B$6-D496,0),MAX(D496-'Black-Scholes'!$B$6,0))</f>
        <v>0</v>
      </c>
    </row>
    <row r="497" customFormat="false" ht="15" hidden="false" customHeight="false" outlineLevel="0" collapsed="false">
      <c r="A497" s="0" t="n">
        <v>486</v>
      </c>
      <c r="B497" s="15" t="n">
        <v>-0.607161899263672</v>
      </c>
      <c r="C497" s="18" t="n">
        <f aca="false">'Black-Scholes'!$B$5*EXP(('Black-Scholes'!$B$8-'Black-Scholes'!$B$10-'Black-Scholes'!$B$9^2/2)*'Black-Scholes'!$B$7+'Black-Scholes'!$B$9*SQRT('Black-Scholes'!$B$7)*B497)</f>
        <v>91.2623025768982</v>
      </c>
      <c r="D497" s="18" t="n">
        <f aca="false">'Black-Scholes'!$B$5*EXP(('Black-Scholes'!$B$8-'Black-Scholes'!$B$10-'Black-Scholes'!$B$9^2/2)*'Black-Scholes'!$B$7-'Black-Scholes'!$B$9*SQRT('Black-Scholes'!$B$7)*B497)</f>
        <v>116.349962313371</v>
      </c>
      <c r="E497" s="18" t="n">
        <f aca="false">EXP(-'Black-Scholes'!$B$8*'Black-Scholes'!$B$7)*IF(LOWER('Black-Scholes'!$B$11)="put",MAX('Black-Scholes'!$B$6-C497,0),MAX(C497-'Black-Scholes'!$B$6,0))</f>
        <v>0</v>
      </c>
      <c r="F497" s="18" t="n">
        <f aca="false">(E497+G497)/2</f>
        <v>7.77628262097832</v>
      </c>
      <c r="G497" s="18" t="n">
        <f aca="false">EXP(-'Black-Scholes'!$B$8*'Black-Scholes'!$B$7)*IF(LOWER('Black-Scholes'!$B$11)="put",MAX('Black-Scholes'!$B$6-D497,0),MAX(D497-'Black-Scholes'!$B$6,0))</f>
        <v>15.5525652419566</v>
      </c>
    </row>
    <row r="498" customFormat="false" ht="15" hidden="false" customHeight="false" outlineLevel="0" collapsed="false">
      <c r="A498" s="0" t="n">
        <v>487</v>
      </c>
      <c r="B498" s="15" t="n">
        <v>-1.72811238706528</v>
      </c>
      <c r="C498" s="18" t="n">
        <f aca="false">'Black-Scholes'!$B$5*EXP(('Black-Scholes'!$B$8-'Black-Scholes'!$B$10-'Black-Scholes'!$B$9^2/2)*'Black-Scholes'!$B$7+'Black-Scholes'!$B$9*SQRT('Black-Scholes'!$B$7)*B498)</f>
        <v>72.9334738537806</v>
      </c>
      <c r="D498" s="18" t="n">
        <f aca="false">'Black-Scholes'!$B$5*EXP(('Black-Scholes'!$B$8-'Black-Scholes'!$B$10-'Black-Scholes'!$B$9^2/2)*'Black-Scholes'!$B$7-'Black-Scholes'!$B$9*SQRT('Black-Scholes'!$B$7)*B498)</f>
        <v>145.589739585717</v>
      </c>
      <c r="E498" s="18" t="n">
        <f aca="false">EXP(-'Black-Scholes'!$B$8*'Black-Scholes'!$B$7)*IF(LOWER('Black-Scholes'!$B$11)="put",MAX('Black-Scholes'!$B$6-C498,0),MAX(C498-'Black-Scholes'!$B$6,0))</f>
        <v>0</v>
      </c>
      <c r="F498" s="18" t="n">
        <f aca="false">(E498+G498)/2</f>
        <v>21.6831508746294</v>
      </c>
      <c r="G498" s="18" t="n">
        <f aca="false">EXP(-'Black-Scholes'!$B$8*'Black-Scholes'!$B$7)*IF(LOWER('Black-Scholes'!$B$11)="put",MAX('Black-Scholes'!$B$6-D498,0),MAX(D498-'Black-Scholes'!$B$6,0))</f>
        <v>43.3663017492587</v>
      </c>
    </row>
    <row r="499" customFormat="false" ht="15" hidden="false" customHeight="false" outlineLevel="0" collapsed="false">
      <c r="A499" s="0" t="n">
        <v>488</v>
      </c>
      <c r="B499" s="15" t="n">
        <v>0.385310246736783</v>
      </c>
      <c r="C499" s="18" t="n">
        <f aca="false">'Black-Scholes'!$B$5*EXP(('Black-Scholes'!$B$8-'Black-Scholes'!$B$10-'Black-Scholes'!$B$9^2/2)*'Black-Scholes'!$B$7+'Black-Scholes'!$B$9*SQRT('Black-Scholes'!$B$7)*B499)</f>
        <v>111.300331346598</v>
      </c>
      <c r="D499" s="18" t="n">
        <f aca="false">'Black-Scholes'!$B$5*EXP(('Black-Scholes'!$B$8-'Black-Scholes'!$B$10-'Black-Scholes'!$B$9^2/2)*'Black-Scholes'!$B$7-'Black-Scholes'!$B$9*SQRT('Black-Scholes'!$B$7)*B499)</f>
        <v>95.4028198926668</v>
      </c>
      <c r="E499" s="18" t="n">
        <f aca="false">EXP(-'Black-Scholes'!$B$8*'Black-Scholes'!$B$7)*IF(LOWER('Black-Scholes'!$B$11)="put",MAX('Black-Scholes'!$B$6-C499,0),MAX(C499-'Black-Scholes'!$B$6,0))</f>
        <v>10.7492076834915</v>
      </c>
      <c r="F499" s="18" t="n">
        <f aca="false">(E499+G499)/2</f>
        <v>5.37460384174576</v>
      </c>
      <c r="G499" s="18" t="n">
        <f aca="false">EXP(-'Black-Scholes'!$B$8*'Black-Scholes'!$B$7)*IF(LOWER('Black-Scholes'!$B$11)="put",MAX('Black-Scholes'!$B$6-D499,0),MAX(D499-'Black-Scholes'!$B$6,0))</f>
        <v>0</v>
      </c>
    </row>
    <row r="500" customFormat="false" ht="15" hidden="false" customHeight="false" outlineLevel="0" collapsed="false">
      <c r="A500" s="0" t="n">
        <v>489</v>
      </c>
      <c r="B500" s="15" t="n">
        <v>-1.09772060086025</v>
      </c>
      <c r="C500" s="18" t="n">
        <f aca="false">'Black-Scholes'!$B$5*EXP(('Black-Scholes'!$B$8-'Black-Scholes'!$B$10-'Black-Scholes'!$B$9^2/2)*'Black-Scholes'!$B$7+'Black-Scholes'!$B$9*SQRT('Black-Scholes'!$B$7)*B500)</f>
        <v>82.7336213876103</v>
      </c>
      <c r="D500" s="18" t="n">
        <f aca="false">'Black-Scholes'!$B$5*EXP(('Black-Scholes'!$B$8-'Black-Scholes'!$B$10-'Black-Scholes'!$B$9^2/2)*'Black-Scholes'!$B$7-'Black-Scholes'!$B$9*SQRT('Black-Scholes'!$B$7)*B500)</f>
        <v>128.344018880863</v>
      </c>
      <c r="E500" s="18" t="n">
        <f aca="false">EXP(-'Black-Scholes'!$B$8*'Black-Scholes'!$B$7)*IF(LOWER('Black-Scholes'!$B$11)="put",MAX('Black-Scholes'!$B$6-C500,0),MAX(C500-'Black-Scholes'!$B$6,0))</f>
        <v>0</v>
      </c>
      <c r="F500" s="18" t="n">
        <f aca="false">(E500+G500)/2</f>
        <v>13.4808323840402</v>
      </c>
      <c r="G500" s="18" t="n">
        <f aca="false">EXP(-'Black-Scholes'!$B$8*'Black-Scholes'!$B$7)*IF(LOWER('Black-Scholes'!$B$11)="put",MAX('Black-Scholes'!$B$6-D500,0),MAX(D500-'Black-Scholes'!$B$6,0))</f>
        <v>26.9616647680804</v>
      </c>
    </row>
    <row r="501" customFormat="false" ht="15" hidden="false" customHeight="false" outlineLevel="0" collapsed="false">
      <c r="A501" s="0" t="n">
        <v>490</v>
      </c>
      <c r="B501" s="15" t="n">
        <v>-1.21844911075984</v>
      </c>
      <c r="C501" s="18" t="n">
        <f aca="false">'Black-Scholes'!$B$5*EXP(('Black-Scholes'!$B$8-'Black-Scholes'!$B$10-'Black-Scholes'!$B$9^2/2)*'Black-Scholes'!$B$7+'Black-Scholes'!$B$9*SQRT('Black-Scholes'!$B$7)*B501)</f>
        <v>80.759884544899</v>
      </c>
      <c r="D501" s="18" t="n">
        <f aca="false">'Black-Scholes'!$B$5*EXP(('Black-Scholes'!$B$8-'Black-Scholes'!$B$10-'Black-Scholes'!$B$9^2/2)*'Black-Scholes'!$B$7-'Black-Scholes'!$B$9*SQRT('Black-Scholes'!$B$7)*B501)</f>
        <v>131.480691500373</v>
      </c>
      <c r="E501" s="18" t="n">
        <f aca="false">EXP(-'Black-Scholes'!$B$8*'Black-Scholes'!$B$7)*IF(LOWER('Black-Scholes'!$B$11)="put",MAX('Black-Scholes'!$B$6-C501,0),MAX(C501-'Black-Scholes'!$B$6,0))</f>
        <v>0</v>
      </c>
      <c r="F501" s="18" t="n">
        <f aca="false">(E501+G501)/2</f>
        <v>14.9726800293921</v>
      </c>
      <c r="G501" s="18" t="n">
        <f aca="false">EXP(-'Black-Scholes'!$B$8*'Black-Scholes'!$B$7)*IF(LOWER('Black-Scholes'!$B$11)="put",MAX('Black-Scholes'!$B$6-D501,0),MAX(D501-'Black-Scholes'!$B$6,0))</f>
        <v>29.9453600587843</v>
      </c>
    </row>
    <row r="502" customFormat="false" ht="15" hidden="false" customHeight="false" outlineLevel="0" collapsed="false">
      <c r="A502" s="0" t="n">
        <v>491</v>
      </c>
      <c r="B502" s="15" t="n">
        <v>-1.06808610343369</v>
      </c>
      <c r="C502" s="18" t="n">
        <f aca="false">'Black-Scholes'!$B$5*EXP(('Black-Scholes'!$B$8-'Black-Scholes'!$B$10-'Black-Scholes'!$B$9^2/2)*'Black-Scholes'!$B$7+'Black-Scholes'!$B$9*SQRT('Black-Scholes'!$B$7)*B502)</f>
        <v>83.2254312597734</v>
      </c>
      <c r="D502" s="18" t="n">
        <f aca="false">'Black-Scholes'!$B$5*EXP(('Black-Scholes'!$B$8-'Black-Scholes'!$B$10-'Black-Scholes'!$B$9^2/2)*'Black-Scholes'!$B$7-'Black-Scholes'!$B$9*SQRT('Black-Scholes'!$B$7)*B502)</f>
        <v>127.58558657762</v>
      </c>
      <c r="E502" s="18" t="n">
        <f aca="false">EXP(-'Black-Scholes'!$B$8*'Black-Scholes'!$B$7)*IF(LOWER('Black-Scholes'!$B$11)="put",MAX('Black-Scholes'!$B$6-C502,0),MAX(C502-'Black-Scholes'!$B$6,0))</f>
        <v>0</v>
      </c>
      <c r="F502" s="18" t="n">
        <f aca="false">(E502+G502)/2</f>
        <v>13.1201108223721</v>
      </c>
      <c r="G502" s="18" t="n">
        <f aca="false">EXP(-'Black-Scholes'!$B$8*'Black-Scholes'!$B$7)*IF(LOWER('Black-Scholes'!$B$11)="put",MAX('Black-Scholes'!$B$6-D502,0),MAX(D502-'Black-Scholes'!$B$6,0))</f>
        <v>26.2402216447442</v>
      </c>
    </row>
    <row r="503" customFormat="false" ht="15" hidden="false" customHeight="false" outlineLevel="0" collapsed="false">
      <c r="A503" s="0" t="n">
        <v>492</v>
      </c>
      <c r="B503" s="15" t="n">
        <v>-0.811580374432263</v>
      </c>
      <c r="C503" s="18" t="n">
        <f aca="false">'Black-Scholes'!$B$5*EXP(('Black-Scholes'!$B$8-'Black-Scholes'!$B$10-'Black-Scholes'!$B$9^2/2)*'Black-Scholes'!$B$7+'Black-Scholes'!$B$9*SQRT('Black-Scholes'!$B$7)*B503)</f>
        <v>87.6064049468942</v>
      </c>
      <c r="D503" s="18" t="n">
        <f aca="false">'Black-Scholes'!$B$5*EXP(('Black-Scholes'!$B$8-'Black-Scholes'!$B$10-'Black-Scholes'!$B$9^2/2)*'Black-Scholes'!$B$7-'Black-Scholes'!$B$9*SQRT('Black-Scholes'!$B$7)*B503)</f>
        <v>121.205355611731</v>
      </c>
      <c r="E503" s="18" t="n">
        <f aca="false">EXP(-'Black-Scholes'!$B$8*'Black-Scholes'!$B$7)*IF(LOWER('Black-Scholes'!$B$11)="put",MAX('Black-Scholes'!$B$6-C503,0),MAX(C503-'Black-Scholes'!$B$6,0))</f>
        <v>0</v>
      </c>
      <c r="F503" s="18" t="n">
        <f aca="false">(E503+G503)/2</f>
        <v>10.0855791074398</v>
      </c>
      <c r="G503" s="18" t="n">
        <f aca="false">EXP(-'Black-Scholes'!$B$8*'Black-Scholes'!$B$7)*IF(LOWER('Black-Scholes'!$B$11)="put",MAX('Black-Scholes'!$B$6-D503,0),MAX(D503-'Black-Scholes'!$B$6,0))</f>
        <v>20.1711582148796</v>
      </c>
    </row>
    <row r="504" customFormat="false" ht="15" hidden="false" customHeight="false" outlineLevel="0" collapsed="false">
      <c r="A504" s="0" t="n">
        <v>493</v>
      </c>
      <c r="B504" s="15" t="n">
        <v>0.883389458716129</v>
      </c>
      <c r="C504" s="18" t="n">
        <f aca="false">'Black-Scholes'!$B$5*EXP(('Black-Scholes'!$B$8-'Black-Scholes'!$B$10-'Black-Scholes'!$B$9^2/2)*'Black-Scholes'!$B$7+'Black-Scholes'!$B$9*SQRT('Black-Scholes'!$B$7)*B504)</f>
        <v>122.958644803948</v>
      </c>
      <c r="D504" s="18" t="n">
        <f aca="false">'Black-Scholes'!$B$5*EXP(('Black-Scholes'!$B$8-'Black-Scholes'!$B$10-'Black-Scholes'!$B$9^2/2)*'Black-Scholes'!$B$7-'Black-Scholes'!$B$9*SQRT('Black-Scholes'!$B$7)*B504)</f>
        <v>86.3572096324262</v>
      </c>
      <c r="E504" s="18" t="n">
        <f aca="false">EXP(-'Black-Scholes'!$B$8*'Black-Scholes'!$B$7)*IF(LOWER('Black-Scholes'!$B$11)="put",MAX('Black-Scholes'!$B$6-C504,0),MAX(C504-'Black-Scholes'!$B$6,0))</f>
        <v>21.838938484176</v>
      </c>
      <c r="F504" s="18" t="n">
        <f aca="false">(E504+G504)/2</f>
        <v>10.919469242088</v>
      </c>
      <c r="G504" s="18" t="n">
        <f aca="false">EXP(-'Black-Scholes'!$B$8*'Black-Scholes'!$B$7)*IF(LOWER('Black-Scholes'!$B$11)="put",MAX('Black-Scholes'!$B$6-D504,0),MAX(D504-'Black-Scholes'!$B$6,0))</f>
        <v>0</v>
      </c>
    </row>
    <row r="505" customFormat="false" ht="15" hidden="false" customHeight="false" outlineLevel="0" collapsed="false">
      <c r="A505" s="0" t="n">
        <v>494</v>
      </c>
      <c r="B505" s="15" t="n">
        <v>-0.615706694348456</v>
      </c>
      <c r="C505" s="18" t="n">
        <f aca="false">'Black-Scholes'!$B$5*EXP(('Black-Scholes'!$B$8-'Black-Scholes'!$B$10-'Black-Scholes'!$B$9^2/2)*'Black-Scholes'!$B$7+'Black-Scholes'!$B$9*SQRT('Black-Scholes'!$B$7)*B505)</f>
        <v>91.1064722337619</v>
      </c>
      <c r="D505" s="18" t="n">
        <f aca="false">'Black-Scholes'!$B$5*EXP(('Black-Scholes'!$B$8-'Black-Scholes'!$B$10-'Black-Scholes'!$B$9^2/2)*'Black-Scholes'!$B$7-'Black-Scholes'!$B$9*SQRT('Black-Scholes'!$B$7)*B505)</f>
        <v>116.548969629829</v>
      </c>
      <c r="E505" s="18" t="n">
        <f aca="false">EXP(-'Black-Scholes'!$B$8*'Black-Scholes'!$B$7)*IF(LOWER('Black-Scholes'!$B$11)="put",MAX('Black-Scholes'!$B$6-C505,0),MAX(C505-'Black-Scholes'!$B$6,0))</f>
        <v>0</v>
      </c>
      <c r="F505" s="18" t="n">
        <f aca="false">(E505+G505)/2</f>
        <v>7.87093342853115</v>
      </c>
      <c r="G505" s="18" t="n">
        <f aca="false">EXP(-'Black-Scholes'!$B$8*'Black-Scholes'!$B$7)*IF(LOWER('Black-Scholes'!$B$11)="put",MAX('Black-Scholes'!$B$6-D505,0),MAX(D505-'Black-Scholes'!$B$6,0))</f>
        <v>15.7418668570623</v>
      </c>
    </row>
    <row r="506" customFormat="false" ht="15" hidden="false" customHeight="false" outlineLevel="0" collapsed="false">
      <c r="A506" s="0" t="n">
        <v>495</v>
      </c>
      <c r="B506" s="15" t="n">
        <v>-0.0781181685703578</v>
      </c>
      <c r="C506" s="18" t="n">
        <f aca="false">'Black-Scholes'!$B$5*EXP(('Black-Scholes'!$B$8-'Black-Scholes'!$B$10-'Black-Scholes'!$B$9^2/2)*'Black-Scholes'!$B$7+'Black-Scholes'!$B$9*SQRT('Black-Scholes'!$B$7)*B506)</f>
        <v>101.448020324239</v>
      </c>
      <c r="D506" s="18" t="n">
        <f aca="false">'Black-Scholes'!$B$5*EXP(('Black-Scholes'!$B$8-'Black-Scholes'!$B$10-'Black-Scholes'!$B$9^2/2)*'Black-Scholes'!$B$7-'Black-Scholes'!$B$9*SQRT('Black-Scholes'!$B$7)*B506)</f>
        <v>104.668040160036</v>
      </c>
      <c r="E506" s="18" t="n">
        <f aca="false">EXP(-'Black-Scholes'!$B$8*'Black-Scholes'!$B$7)*IF(LOWER('Black-Scholes'!$B$11)="put",MAX('Black-Scholes'!$B$6-C506,0),MAX(C506-'Black-Scholes'!$B$6,0))</f>
        <v>1.37739953969077</v>
      </c>
      <c r="F506" s="18" t="n">
        <f aca="false">(E506+G506)/2</f>
        <v>2.90888834733425</v>
      </c>
      <c r="G506" s="18" t="n">
        <f aca="false">EXP(-'Black-Scholes'!$B$8*'Black-Scholes'!$B$7)*IF(LOWER('Black-Scholes'!$B$11)="put",MAX('Black-Scholes'!$B$6-D506,0),MAX(D506-'Black-Scholes'!$B$6,0))</f>
        <v>4.44037715497773</v>
      </c>
    </row>
    <row r="507" customFormat="false" ht="15" hidden="false" customHeight="false" outlineLevel="0" collapsed="false">
      <c r="A507" s="0" t="n">
        <v>496</v>
      </c>
      <c r="B507" s="15" t="n">
        <v>0.421061626317018</v>
      </c>
      <c r="C507" s="18" t="n">
        <f aca="false">'Black-Scholes'!$B$5*EXP(('Black-Scholes'!$B$8-'Black-Scholes'!$B$10-'Black-Scholes'!$B$9^2/2)*'Black-Scholes'!$B$7+'Black-Scholes'!$B$9*SQRT('Black-Scholes'!$B$7)*B507)</f>
        <v>112.099011413895</v>
      </c>
      <c r="D507" s="18" t="n">
        <f aca="false">'Black-Scholes'!$B$5*EXP(('Black-Scholes'!$B$8-'Black-Scholes'!$B$10-'Black-Scholes'!$B$9^2/2)*'Black-Scholes'!$B$7-'Black-Scholes'!$B$9*SQRT('Black-Scholes'!$B$7)*B507)</f>
        <v>94.7230964084792</v>
      </c>
      <c r="E507" s="18" t="n">
        <f aca="false">EXP(-'Black-Scholes'!$B$8*'Black-Scholes'!$B$7)*IF(LOWER('Black-Scholes'!$B$11)="put",MAX('Black-Scholes'!$B$6-C507,0),MAX(C507-'Black-Scholes'!$B$6,0))</f>
        <v>11.508935664267</v>
      </c>
      <c r="F507" s="18" t="n">
        <f aca="false">(E507+G507)/2</f>
        <v>5.75446783213349</v>
      </c>
      <c r="G507" s="18" t="n">
        <f aca="false">EXP(-'Black-Scholes'!$B$8*'Black-Scholes'!$B$7)*IF(LOWER('Black-Scholes'!$B$11)="put",MAX('Black-Scholes'!$B$6-D507,0),MAX(D507-'Black-Scholes'!$B$6,0))</f>
        <v>0</v>
      </c>
    </row>
    <row r="508" customFormat="false" ht="15" hidden="false" customHeight="false" outlineLevel="0" collapsed="false">
      <c r="A508" s="0" t="n">
        <v>497</v>
      </c>
      <c r="B508" s="15" t="n">
        <v>-1.1512422056086</v>
      </c>
      <c r="C508" s="18" t="n">
        <f aca="false">'Black-Scholes'!$B$5*EXP(('Black-Scholes'!$B$8-'Black-Scholes'!$B$10-'Black-Scholes'!$B$9^2/2)*'Black-Scholes'!$B$7+'Black-Scholes'!$B$9*SQRT('Black-Scholes'!$B$7)*B508)</f>
        <v>81.8527371956464</v>
      </c>
      <c r="D508" s="18" t="n">
        <f aca="false">'Black-Scholes'!$B$5*EXP(('Black-Scholes'!$B$8-'Black-Scholes'!$B$10-'Black-Scholes'!$B$9^2/2)*'Black-Scholes'!$B$7-'Black-Scholes'!$B$9*SQRT('Black-Scholes'!$B$7)*B508)</f>
        <v>129.725233745981</v>
      </c>
      <c r="E508" s="18" t="n">
        <f aca="false">EXP(-'Black-Scholes'!$B$8*'Black-Scholes'!$B$7)*IF(LOWER('Black-Scholes'!$B$11)="put",MAX('Black-Scholes'!$B$6-C508,0),MAX(C508-'Black-Scholes'!$B$6,0))</f>
        <v>0</v>
      </c>
      <c r="F508" s="18" t="n">
        <f aca="false">(E508+G508)/2</f>
        <v>14.1377584946694</v>
      </c>
      <c r="G508" s="18" t="n">
        <f aca="false">EXP(-'Black-Scholes'!$B$8*'Black-Scholes'!$B$7)*IF(LOWER('Black-Scholes'!$B$11)="put",MAX('Black-Scholes'!$B$6-D508,0),MAX(D508-'Black-Scholes'!$B$6,0))</f>
        <v>28.2755169893388</v>
      </c>
    </row>
    <row r="509" customFormat="false" ht="15" hidden="false" customHeight="false" outlineLevel="0" collapsed="false">
      <c r="A509" s="0" t="n">
        <v>498</v>
      </c>
      <c r="B509" s="15" t="n">
        <v>-0.641508384725373</v>
      </c>
      <c r="C509" s="18" t="n">
        <f aca="false">'Black-Scholes'!$B$5*EXP(('Black-Scholes'!$B$8-'Black-Scholes'!$B$10-'Black-Scholes'!$B$9^2/2)*'Black-Scholes'!$B$7+'Black-Scholes'!$B$9*SQRT('Black-Scholes'!$B$7)*B509)</f>
        <v>90.6375429934828</v>
      </c>
      <c r="D509" s="18" t="n">
        <f aca="false">'Black-Scholes'!$B$5*EXP(('Black-Scholes'!$B$8-'Black-Scholes'!$B$10-'Black-Scholes'!$B$9^2/2)*'Black-Scholes'!$B$7-'Black-Scholes'!$B$9*SQRT('Black-Scholes'!$B$7)*B509)</f>
        <v>117.151956184614</v>
      </c>
      <c r="E509" s="18" t="n">
        <f aca="false">EXP(-'Black-Scholes'!$B$8*'Black-Scholes'!$B$7)*IF(LOWER('Black-Scholes'!$B$11)="put",MAX('Black-Scholes'!$B$6-C509,0),MAX(C509-'Black-Scholes'!$B$6,0))</f>
        <v>0</v>
      </c>
      <c r="F509" s="18" t="n">
        <f aca="false">(E509+G509)/2</f>
        <v>8.15772270527607</v>
      </c>
      <c r="G509" s="18" t="n">
        <f aca="false">EXP(-'Black-Scholes'!$B$8*'Black-Scholes'!$B$7)*IF(LOWER('Black-Scholes'!$B$11)="put",MAX('Black-Scholes'!$B$6-D509,0),MAX(D509-'Black-Scholes'!$B$6,0))</f>
        <v>16.3154454105521</v>
      </c>
    </row>
    <row r="510" customFormat="false" ht="15" hidden="false" customHeight="false" outlineLevel="0" collapsed="false">
      <c r="A510" s="0" t="n">
        <v>499</v>
      </c>
      <c r="B510" s="15" t="n">
        <v>0.95555201346244</v>
      </c>
      <c r="C510" s="18" t="n">
        <f aca="false">'Black-Scholes'!$B$5*EXP(('Black-Scholes'!$B$8-'Black-Scholes'!$B$10-'Black-Scholes'!$B$9^2/2)*'Black-Scholes'!$B$7+'Black-Scholes'!$B$9*SQRT('Black-Scholes'!$B$7)*B510)</f>
        <v>124.746114603114</v>
      </c>
      <c r="D510" s="18" t="n">
        <f aca="false">'Black-Scholes'!$B$5*EXP(('Black-Scholes'!$B$8-'Black-Scholes'!$B$10-'Black-Scholes'!$B$9^2/2)*'Black-Scholes'!$B$7-'Black-Scholes'!$B$9*SQRT('Black-Scholes'!$B$7)*B510)</f>
        <v>85.1198091358311</v>
      </c>
      <c r="E510" s="18" t="n">
        <f aca="false">EXP(-'Black-Scholes'!$B$8*'Black-Scholes'!$B$7)*IF(LOWER('Black-Scholes'!$B$11)="put",MAX('Black-Scholes'!$B$6-C510,0),MAX(C510-'Black-Scholes'!$B$6,0))</f>
        <v>23.539232352549</v>
      </c>
      <c r="F510" s="18" t="n">
        <f aca="false">(E510+G510)/2</f>
        <v>11.7696161762745</v>
      </c>
      <c r="G510" s="18" t="n">
        <f aca="false">EXP(-'Black-Scholes'!$B$8*'Black-Scholes'!$B$7)*IF(LOWER('Black-Scholes'!$B$11)="put",MAX('Black-Scholes'!$B$6-D510,0),MAX(D510-'Black-Scholes'!$B$6,0))</f>
        <v>0</v>
      </c>
    </row>
    <row r="511" customFormat="false" ht="15" hidden="false" customHeight="false" outlineLevel="0" collapsed="false">
      <c r="A511" s="0" t="n">
        <v>500</v>
      </c>
      <c r="B511" s="15" t="n">
        <v>0.991418275830502</v>
      </c>
      <c r="C511" s="18" t="n">
        <f aca="false">'Black-Scholes'!$B$5*EXP(('Black-Scholes'!$B$8-'Black-Scholes'!$B$10-'Black-Scholes'!$B$9^2/2)*'Black-Scholes'!$B$7+'Black-Scholes'!$B$9*SQRT('Black-Scholes'!$B$7)*B511)</f>
        <v>125.644167106122</v>
      </c>
      <c r="D511" s="18" t="n">
        <f aca="false">'Black-Scholes'!$B$5*EXP(('Black-Scholes'!$B$8-'Black-Scholes'!$B$10-'Black-Scholes'!$B$9^2/2)*'Black-Scholes'!$B$7-'Black-Scholes'!$B$9*SQRT('Black-Scholes'!$B$7)*B511)</f>
        <v>84.5114079707744</v>
      </c>
      <c r="E511" s="18" t="n">
        <f aca="false">EXP(-'Black-Scholes'!$B$8*'Black-Scholes'!$B$7)*IF(LOWER('Black-Scholes'!$B$11)="put",MAX('Black-Scholes'!$B$6-C511,0),MAX(C511-'Black-Scholes'!$B$6,0))</f>
        <v>24.3934863181562</v>
      </c>
      <c r="F511" s="18" t="n">
        <f aca="false">(E511+G511)/2</f>
        <v>12.1967431590781</v>
      </c>
      <c r="G511" s="18" t="n">
        <f aca="false">EXP(-'Black-Scholes'!$B$8*'Black-Scholes'!$B$7)*IF(LOWER('Black-Scholes'!$B$11)="put",MAX('Black-Scholes'!$B$6-D511,0),MAX(D511-'Black-Scholes'!$B$6,0))</f>
        <v>0</v>
      </c>
    </row>
    <row r="512" customFormat="false" ht="15" hidden="false" customHeight="false" outlineLevel="0" collapsed="false">
      <c r="A512" s="0" t="n">
        <v>501</v>
      </c>
      <c r="B512" s="15" t="n">
        <v>-1.1842672170007</v>
      </c>
      <c r="C512" s="18" t="n">
        <f aca="false">'Black-Scholes'!$B$5*EXP(('Black-Scholes'!$B$8-'Black-Scholes'!$B$10-'Black-Scholes'!$B$9^2/2)*'Black-Scholes'!$B$7+'Black-Scholes'!$B$9*SQRT('Black-Scholes'!$B$7)*B512)</f>
        <v>81.3138812114877</v>
      </c>
      <c r="D512" s="18" t="n">
        <f aca="false">'Black-Scholes'!$B$5*EXP(('Black-Scholes'!$B$8-'Black-Scholes'!$B$10-'Black-Scholes'!$B$9^2/2)*'Black-Scholes'!$B$7-'Black-Scholes'!$B$9*SQRT('Black-Scholes'!$B$7)*B512)</f>
        <v>130.584905150899</v>
      </c>
      <c r="E512" s="18" t="n">
        <f aca="false">EXP(-'Black-Scholes'!$B$8*'Black-Scholes'!$B$7)*IF(LOWER('Black-Scholes'!$B$11)="put",MAX('Black-Scholes'!$B$6-C512,0),MAX(C512-'Black-Scholes'!$B$6,0))</f>
        <v>0</v>
      </c>
      <c r="F512" s="18" t="n">
        <f aca="false">(E512+G512)/2</f>
        <v>14.5466308625494</v>
      </c>
      <c r="G512" s="18" t="n">
        <f aca="false">EXP(-'Black-Scholes'!$B$8*'Black-Scholes'!$B$7)*IF(LOWER('Black-Scholes'!$B$11)="put",MAX('Black-Scholes'!$B$6-D512,0),MAX(D512-'Black-Scholes'!$B$6,0))</f>
        <v>29.0932617250987</v>
      </c>
    </row>
    <row r="513" customFormat="false" ht="15" hidden="false" customHeight="false" outlineLevel="0" collapsed="false">
      <c r="A513" s="0" t="n">
        <v>502</v>
      </c>
      <c r="B513" s="15" t="n">
        <v>0.782121121975508</v>
      </c>
      <c r="C513" s="18" t="n">
        <f aca="false">'Black-Scholes'!$B$5*EXP(('Black-Scholes'!$B$8-'Black-Scholes'!$B$10-'Black-Scholes'!$B$9^2/2)*'Black-Scholes'!$B$7+'Black-Scholes'!$B$9*SQRT('Black-Scholes'!$B$7)*B513)</f>
        <v>120.493331407554</v>
      </c>
      <c r="D513" s="18" t="n">
        <f aca="false">'Black-Scholes'!$B$5*EXP(('Black-Scholes'!$B$8-'Black-Scholes'!$B$10-'Black-Scholes'!$B$9^2/2)*'Black-Scholes'!$B$7-'Black-Scholes'!$B$9*SQRT('Black-Scholes'!$B$7)*B513)</f>
        <v>88.1240923577607</v>
      </c>
      <c r="E513" s="18" t="n">
        <f aca="false">EXP(-'Black-Scholes'!$B$8*'Black-Scholes'!$B$7)*IF(LOWER('Black-Scholes'!$B$11)="put",MAX('Black-Scholes'!$B$6-C513,0),MAX(C513-'Black-Scholes'!$B$6,0))</f>
        <v>19.4938598409104</v>
      </c>
      <c r="F513" s="18" t="n">
        <f aca="false">(E513+G513)/2</f>
        <v>9.74692992045518</v>
      </c>
      <c r="G513" s="18" t="n">
        <f aca="false">EXP(-'Black-Scholes'!$B$8*'Black-Scholes'!$B$7)*IF(LOWER('Black-Scholes'!$B$11)="put",MAX('Black-Scholes'!$B$6-D513,0),MAX(D513-'Black-Scholes'!$B$6,0))</f>
        <v>0</v>
      </c>
    </row>
    <row r="514" customFormat="false" ht="15" hidden="false" customHeight="false" outlineLevel="0" collapsed="false">
      <c r="A514" s="0" t="n">
        <v>503</v>
      </c>
      <c r="B514" s="15" t="n">
        <v>1.32653120190036</v>
      </c>
      <c r="C514" s="18" t="n">
        <f aca="false">'Black-Scholes'!$B$5*EXP(('Black-Scholes'!$B$8-'Black-Scholes'!$B$10-'Black-Scholes'!$B$9^2/2)*'Black-Scholes'!$B$7+'Black-Scholes'!$B$9*SQRT('Black-Scholes'!$B$7)*B514)</f>
        <v>134.35377412006</v>
      </c>
      <c r="D514" s="18" t="n">
        <f aca="false">'Black-Scholes'!$B$5*EXP(('Black-Scholes'!$B$8-'Black-Scholes'!$B$10-'Black-Scholes'!$B$9^2/2)*'Black-Scholes'!$B$7-'Black-Scholes'!$B$9*SQRT('Black-Scholes'!$B$7)*B514)</f>
        <v>79.0328781978607</v>
      </c>
      <c r="E514" s="18" t="n">
        <f aca="false">EXP(-'Black-Scholes'!$B$8*'Black-Scholes'!$B$7)*IF(LOWER('Black-Scholes'!$B$11)="put",MAX('Black-Scholes'!$B$6-C514,0),MAX(C514-'Black-Scholes'!$B$6,0))</f>
        <v>32.6783207856522</v>
      </c>
      <c r="F514" s="18" t="n">
        <f aca="false">(E514+G514)/2</f>
        <v>16.3391603928261</v>
      </c>
      <c r="G514" s="18" t="n">
        <f aca="false">EXP(-'Black-Scholes'!$B$8*'Black-Scholes'!$B$7)*IF(LOWER('Black-Scholes'!$B$11)="put",MAX('Black-Scholes'!$B$6-D514,0),MAX(D514-'Black-Scholes'!$B$6,0))</f>
        <v>0</v>
      </c>
    </row>
    <row r="515" customFormat="false" ht="15" hidden="false" customHeight="false" outlineLevel="0" collapsed="false">
      <c r="A515" s="0" t="n">
        <v>504</v>
      </c>
      <c r="B515" s="15" t="n">
        <v>-0.0262651259441796</v>
      </c>
      <c r="C515" s="18" t="n">
        <f aca="false">'Black-Scholes'!$B$5*EXP(('Black-Scholes'!$B$8-'Black-Scholes'!$B$10-'Black-Scholes'!$B$9^2/2)*'Black-Scholes'!$B$7+'Black-Scholes'!$B$9*SQRT('Black-Scholes'!$B$7)*B515)</f>
        <v>102.505572279091</v>
      </c>
      <c r="D515" s="18" t="n">
        <f aca="false">'Black-Scholes'!$B$5*EXP(('Black-Scholes'!$B$8-'Black-Scholes'!$B$10-'Black-Scholes'!$B$9^2/2)*'Black-Scholes'!$B$7-'Black-Scholes'!$B$9*SQRT('Black-Scholes'!$B$7)*B515)</f>
        <v>103.588177982589</v>
      </c>
      <c r="E515" s="18" t="n">
        <f aca="false">EXP(-'Black-Scholes'!$B$8*'Black-Scholes'!$B$7)*IF(LOWER('Black-Scholes'!$B$11)="put",MAX('Black-Scholes'!$B$6-C515,0),MAX(C515-'Black-Scholes'!$B$6,0))</f>
        <v>2.38337407708429</v>
      </c>
      <c r="F515" s="18" t="n">
        <f aca="false">(E515+G515)/2</f>
        <v>2.89827727723436</v>
      </c>
      <c r="G515" s="18" t="n">
        <f aca="false">EXP(-'Black-Scholes'!$B$8*'Black-Scholes'!$B$7)*IF(LOWER('Black-Scholes'!$B$11)="put",MAX('Black-Scholes'!$B$6-D515,0),MAX(D515-'Black-Scholes'!$B$6,0))</f>
        <v>3.41318047738443</v>
      </c>
    </row>
    <row r="516" customFormat="false" ht="15" hidden="false" customHeight="false" outlineLevel="0" collapsed="false">
      <c r="A516" s="0" t="n">
        <v>505</v>
      </c>
      <c r="B516" s="15" t="n">
        <v>-1.54744898268007</v>
      </c>
      <c r="C516" s="18" t="n">
        <f aca="false">'Black-Scholes'!$B$5*EXP(('Black-Scholes'!$B$8-'Black-Scholes'!$B$10-'Black-Scholes'!$B$9^2/2)*'Black-Scholes'!$B$7+'Black-Scholes'!$B$9*SQRT('Black-Scholes'!$B$7)*B516)</f>
        <v>75.6169443323488</v>
      </c>
      <c r="D516" s="18" t="n">
        <f aca="false">'Black-Scholes'!$B$5*EXP(('Black-Scholes'!$B$8-'Black-Scholes'!$B$10-'Black-Scholes'!$B$9^2/2)*'Black-Scholes'!$B$7-'Black-Scholes'!$B$9*SQRT('Black-Scholes'!$B$7)*B516)</f>
        <v>140.423096426433</v>
      </c>
      <c r="E516" s="18" t="n">
        <f aca="false">EXP(-'Black-Scholes'!$B$8*'Black-Scholes'!$B$7)*IF(LOWER('Black-Scholes'!$B$11)="put",MAX('Black-Scholes'!$B$6-C516,0),MAX(C516-'Black-Scholes'!$B$6,0))</f>
        <v>0</v>
      </c>
      <c r="F516" s="18" t="n">
        <f aca="false">(E516+G516)/2</f>
        <v>19.2258193751261</v>
      </c>
      <c r="G516" s="18" t="n">
        <f aca="false">EXP(-'Black-Scholes'!$B$8*'Black-Scholes'!$B$7)*IF(LOWER('Black-Scholes'!$B$11)="put",MAX('Black-Scholes'!$B$6-D516,0),MAX(D516-'Black-Scholes'!$B$6,0))</f>
        <v>38.4516387502523</v>
      </c>
    </row>
    <row r="517" customFormat="false" ht="15" hidden="false" customHeight="false" outlineLevel="0" collapsed="false">
      <c r="A517" s="0" t="n">
        <v>506</v>
      </c>
      <c r="B517" s="15" t="n">
        <v>0.252240547147884</v>
      </c>
      <c r="C517" s="18" t="n">
        <f aca="false">'Black-Scholes'!$B$5*EXP(('Black-Scholes'!$B$8-'Black-Scholes'!$B$10-'Black-Scholes'!$B$9^2/2)*'Black-Scholes'!$B$7+'Black-Scholes'!$B$9*SQRT('Black-Scholes'!$B$7)*B517)</f>
        <v>108.377260760431</v>
      </c>
      <c r="D517" s="18" t="n">
        <f aca="false">'Black-Scholes'!$B$5*EXP(('Black-Scholes'!$B$8-'Black-Scholes'!$B$10-'Black-Scholes'!$B$9^2/2)*'Black-Scholes'!$B$7-'Black-Scholes'!$B$9*SQRT('Black-Scholes'!$B$7)*B517)</f>
        <v>97.9759535436646</v>
      </c>
      <c r="E517" s="18" t="n">
        <f aca="false">EXP(-'Black-Scholes'!$B$8*'Black-Scholes'!$B$7)*IF(LOWER('Black-Scholes'!$B$11)="put",MAX('Black-Scholes'!$B$6-C517,0),MAX(C517-'Black-Scholes'!$B$6,0))</f>
        <v>7.968696932037</v>
      </c>
      <c r="F517" s="18" t="n">
        <f aca="false">(E517+G517)/2</f>
        <v>3.9843484660185</v>
      </c>
      <c r="G517" s="18" t="n">
        <f aca="false">EXP(-'Black-Scholes'!$B$8*'Black-Scholes'!$B$7)*IF(LOWER('Black-Scholes'!$B$11)="put",MAX('Black-Scholes'!$B$6-D517,0),MAX(D517-'Black-Scholes'!$B$6,0))</f>
        <v>0</v>
      </c>
    </row>
    <row r="518" customFormat="false" ht="15" hidden="false" customHeight="false" outlineLevel="0" collapsed="false">
      <c r="A518" s="0" t="n">
        <v>507</v>
      </c>
      <c r="B518" s="15" t="n">
        <v>-1.62104323600019</v>
      </c>
      <c r="C518" s="18" t="n">
        <f aca="false">'Black-Scholes'!$B$5*EXP(('Black-Scholes'!$B$8-'Black-Scholes'!$B$10-'Black-Scholes'!$B$9^2/2)*'Black-Scholes'!$B$7+'Black-Scholes'!$B$9*SQRT('Black-Scholes'!$B$7)*B518)</f>
        <v>74.5121007811271</v>
      </c>
      <c r="D518" s="18" t="n">
        <f aca="false">'Black-Scholes'!$B$5*EXP(('Black-Scholes'!$B$8-'Black-Scholes'!$B$10-'Black-Scholes'!$B$9^2/2)*'Black-Scholes'!$B$7-'Black-Scholes'!$B$9*SQRT('Black-Scholes'!$B$7)*B518)</f>
        <v>142.505248867484</v>
      </c>
      <c r="E518" s="18" t="n">
        <f aca="false">EXP(-'Black-Scholes'!$B$8*'Black-Scholes'!$B$7)*IF(LOWER('Black-Scholes'!$B$11)="put",MAX('Black-Scholes'!$B$6-C518,0),MAX(C518-'Black-Scholes'!$B$6,0))</f>
        <v>0</v>
      </c>
      <c r="F518" s="18" t="n">
        <f aca="false">(E518+G518)/2</f>
        <v>20.2161217092384</v>
      </c>
      <c r="G518" s="18" t="n">
        <f aca="false">EXP(-'Black-Scholes'!$B$8*'Black-Scholes'!$B$7)*IF(LOWER('Black-Scholes'!$B$11)="put",MAX('Black-Scholes'!$B$6-D518,0),MAX(D518-'Black-Scholes'!$B$6,0))</f>
        <v>40.4322434184768</v>
      </c>
    </row>
    <row r="519" customFormat="false" ht="15" hidden="false" customHeight="false" outlineLevel="0" collapsed="false">
      <c r="A519" s="0" t="n">
        <v>508</v>
      </c>
      <c r="B519" s="15" t="n">
        <v>-0.139779932081662</v>
      </c>
      <c r="C519" s="18" t="n">
        <f aca="false">'Black-Scholes'!$B$5*EXP(('Black-Scholes'!$B$8-'Black-Scholes'!$B$10-'Black-Scholes'!$B$9^2/2)*'Black-Scholes'!$B$7+'Black-Scholes'!$B$9*SQRT('Black-Scholes'!$B$7)*B519)</f>
        <v>100.204610400347</v>
      </c>
      <c r="D519" s="18" t="n">
        <f aca="false">'Black-Scholes'!$B$5*EXP(('Black-Scholes'!$B$8-'Black-Scholes'!$B$10-'Black-Scholes'!$B$9^2/2)*'Black-Scholes'!$B$7-'Black-Scholes'!$B$9*SQRT('Black-Scholes'!$B$7)*B519)</f>
        <v>105.966835488208</v>
      </c>
      <c r="E519" s="18" t="n">
        <f aca="false">EXP(-'Black-Scholes'!$B$8*'Black-Scholes'!$B$7)*IF(LOWER('Black-Scholes'!$B$11)="put",MAX('Black-Scholes'!$B$6-C519,0),MAX(C519-'Black-Scholes'!$B$6,0))</f>
        <v>0.194631433369148</v>
      </c>
      <c r="F519" s="18" t="n">
        <f aca="false">(E519+G519)/2</f>
        <v>2.93523046045396</v>
      </c>
      <c r="G519" s="18" t="n">
        <f aca="false">EXP(-'Black-Scholes'!$B$8*'Black-Scholes'!$B$7)*IF(LOWER('Black-Scholes'!$B$11)="put",MAX('Black-Scholes'!$B$6-D519,0),MAX(D519-'Black-Scholes'!$B$6,0))</f>
        <v>5.67582948753878</v>
      </c>
    </row>
    <row r="520" customFormat="false" ht="15" hidden="false" customHeight="false" outlineLevel="0" collapsed="false">
      <c r="A520" s="0" t="n">
        <v>509</v>
      </c>
      <c r="B520" s="15" t="n">
        <v>-0.0390906889018341</v>
      </c>
      <c r="C520" s="18" t="n">
        <f aca="false">'Black-Scholes'!$B$5*EXP(('Black-Scholes'!$B$8-'Black-Scholes'!$B$10-'Black-Scholes'!$B$9^2/2)*'Black-Scholes'!$B$7+'Black-Scholes'!$B$9*SQRT('Black-Scholes'!$B$7)*B520)</f>
        <v>102.242970889989</v>
      </c>
      <c r="D520" s="18" t="n">
        <f aca="false">'Black-Scholes'!$B$5*EXP(('Black-Scholes'!$B$8-'Black-Scholes'!$B$10-'Black-Scholes'!$B$9^2/2)*'Black-Scholes'!$B$7-'Black-Scholes'!$B$9*SQRT('Black-Scholes'!$B$7)*B520)</f>
        <v>103.854234408727</v>
      </c>
      <c r="E520" s="18" t="n">
        <f aca="false">EXP(-'Black-Scholes'!$B$8*'Black-Scholes'!$B$7)*IF(LOWER('Black-Scholes'!$B$11)="put",MAX('Black-Scholes'!$B$6-C520,0),MAX(C520-'Black-Scholes'!$B$6,0))</f>
        <v>2.13357990885615</v>
      </c>
      <c r="F520" s="18" t="n">
        <f aca="false">(E520+G520)/2</f>
        <v>2.89992054368029</v>
      </c>
      <c r="G520" s="18" t="n">
        <f aca="false">EXP(-'Black-Scholes'!$B$8*'Black-Scholes'!$B$7)*IF(LOWER('Black-Scholes'!$B$11)="put",MAX('Black-Scholes'!$B$6-D520,0),MAX(D520-'Black-Scholes'!$B$6,0))</f>
        <v>3.66626117850443</v>
      </c>
    </row>
    <row r="521" customFormat="false" ht="15" hidden="false" customHeight="false" outlineLevel="0" collapsed="false">
      <c r="A521" s="0" t="n">
        <v>510</v>
      </c>
      <c r="B521" s="15" t="n">
        <v>1.582487757538</v>
      </c>
      <c r="C521" s="18" t="n">
        <f aca="false">'Black-Scholes'!$B$5*EXP(('Black-Scholes'!$B$8-'Black-Scholes'!$B$10-'Black-Scholes'!$B$9^2/2)*'Black-Scholes'!$B$7+'Black-Scholes'!$B$9*SQRT('Black-Scholes'!$B$7)*B521)</f>
        <v>141.410603139825</v>
      </c>
      <c r="D521" s="18" t="n">
        <f aca="false">'Black-Scholes'!$B$5*EXP(('Black-Scholes'!$B$8-'Black-Scholes'!$B$10-'Black-Scholes'!$B$9^2/2)*'Black-Scholes'!$B$7-'Black-Scholes'!$B$9*SQRT('Black-Scholes'!$B$7)*B521)</f>
        <v>75.0888917074645</v>
      </c>
      <c r="E521" s="18" t="n">
        <f aca="false">EXP(-'Black-Scholes'!$B$8*'Black-Scholes'!$B$7)*IF(LOWER('Black-Scholes'!$B$11)="put",MAX('Black-Scholes'!$B$6-C521,0),MAX(C521-'Black-Scholes'!$B$6,0))</f>
        <v>39.3909841929236</v>
      </c>
      <c r="F521" s="18" t="n">
        <f aca="false">(E521+G521)/2</f>
        <v>19.6954920964618</v>
      </c>
      <c r="G521" s="18" t="n">
        <f aca="false">EXP(-'Black-Scholes'!$B$8*'Black-Scholes'!$B$7)*IF(LOWER('Black-Scholes'!$B$11)="put",MAX('Black-Scholes'!$B$6-D521,0),MAX(D521-'Black-Scholes'!$B$6,0))</f>
        <v>0</v>
      </c>
    </row>
    <row r="522" customFormat="false" ht="15" hidden="false" customHeight="false" outlineLevel="0" collapsed="false">
      <c r="A522" s="0" t="n">
        <v>511</v>
      </c>
      <c r="B522" s="15" t="n">
        <v>0.550742427994843</v>
      </c>
      <c r="C522" s="18" t="n">
        <f aca="false">'Black-Scholes'!$B$5*EXP(('Black-Scholes'!$B$8-'Black-Scholes'!$B$10-'Black-Scholes'!$B$9^2/2)*'Black-Scholes'!$B$7+'Black-Scholes'!$B$9*SQRT('Black-Scholes'!$B$7)*B522)</f>
        <v>115.044461063246</v>
      </c>
      <c r="D522" s="18" t="n">
        <f aca="false">'Black-Scholes'!$B$5*EXP(('Black-Scholes'!$B$8-'Black-Scholes'!$B$10-'Black-Scholes'!$B$9^2/2)*'Black-Scholes'!$B$7-'Black-Scholes'!$B$9*SQRT('Black-Scholes'!$B$7)*B522)</f>
        <v>92.2979287078943</v>
      </c>
      <c r="E522" s="18" t="n">
        <f aca="false">EXP(-'Black-Scholes'!$B$8*'Black-Scholes'!$B$7)*IF(LOWER('Black-Scholes'!$B$11)="put",MAX('Black-Scholes'!$B$6-C522,0),MAX(C522-'Black-Scholes'!$B$6,0))</f>
        <v>14.3107340391148</v>
      </c>
      <c r="F522" s="18" t="n">
        <f aca="false">(E522+G522)/2</f>
        <v>7.1553670195574</v>
      </c>
      <c r="G522" s="18" t="n">
        <f aca="false">EXP(-'Black-Scholes'!$B$8*'Black-Scholes'!$B$7)*IF(LOWER('Black-Scholes'!$B$11)="put",MAX('Black-Scholes'!$B$6-D522,0),MAX(D522-'Black-Scholes'!$B$6,0))</f>
        <v>0</v>
      </c>
    </row>
    <row r="523" customFormat="false" ht="15" hidden="false" customHeight="false" outlineLevel="0" collapsed="false">
      <c r="A523" s="0" t="n">
        <v>512</v>
      </c>
      <c r="B523" s="15" t="n">
        <v>0.609633537094164</v>
      </c>
      <c r="C523" s="18" t="n">
        <f aca="false">'Black-Scholes'!$B$5*EXP(('Black-Scholes'!$B$8-'Black-Scholes'!$B$10-'Black-Scholes'!$B$9^2/2)*'Black-Scholes'!$B$7+'Black-Scholes'!$B$9*SQRT('Black-Scholes'!$B$7)*B523)</f>
        <v>116.407491525024</v>
      </c>
      <c r="D523" s="18" t="n">
        <f aca="false">'Black-Scholes'!$B$5*EXP(('Black-Scholes'!$B$8-'Black-Scholes'!$B$10-'Black-Scholes'!$B$9^2/2)*'Black-Scholes'!$B$7-'Black-Scholes'!$B$9*SQRT('Black-Scholes'!$B$7)*B523)</f>
        <v>91.2172002535681</v>
      </c>
      <c r="E523" s="18" t="n">
        <f aca="false">EXP(-'Black-Scholes'!$B$8*'Black-Scholes'!$B$7)*IF(LOWER('Black-Scholes'!$B$11)="put",MAX('Black-Scholes'!$B$6-C523,0),MAX(C523-'Black-Scholes'!$B$6,0))</f>
        <v>15.6072887208484</v>
      </c>
      <c r="F523" s="18" t="n">
        <f aca="false">(E523+G523)/2</f>
        <v>7.80364436042422</v>
      </c>
      <c r="G523" s="18" t="n">
        <f aca="false">EXP(-'Black-Scholes'!$B$8*'Black-Scholes'!$B$7)*IF(LOWER('Black-Scholes'!$B$11)="put",MAX('Black-Scholes'!$B$6-D523,0),MAX(D523-'Black-Scholes'!$B$6,0))</f>
        <v>0</v>
      </c>
    </row>
    <row r="524" customFormat="false" ht="15" hidden="false" customHeight="false" outlineLevel="0" collapsed="false">
      <c r="A524" s="0" t="n">
        <v>513</v>
      </c>
      <c r="B524" s="15" t="n">
        <v>-0.491858967819869</v>
      </c>
      <c r="C524" s="18" t="n">
        <f aca="false">'Black-Scholes'!$B$5*EXP(('Black-Scholes'!$B$8-'Black-Scholes'!$B$10-'Black-Scholes'!$B$9^2/2)*'Black-Scholes'!$B$7+'Black-Scholes'!$B$9*SQRT('Black-Scholes'!$B$7)*B524)</f>
        <v>93.3913186109686</v>
      </c>
      <c r="D524" s="18" t="n">
        <f aca="false">'Black-Scholes'!$B$5*EXP(('Black-Scholes'!$B$8-'Black-Scholes'!$B$10-'Black-Scholes'!$B$9^2/2)*'Black-Scholes'!$B$7-'Black-Scholes'!$B$9*SQRT('Black-Scholes'!$B$7)*B524)</f>
        <v>113.697564435143</v>
      </c>
      <c r="E524" s="18" t="n">
        <f aca="false">EXP(-'Black-Scholes'!$B$8*'Black-Scholes'!$B$7)*IF(LOWER('Black-Scholes'!$B$11)="put",MAX('Black-Scholes'!$B$6-C524,0),MAX(C524-'Black-Scholes'!$B$6,0))</f>
        <v>0</v>
      </c>
      <c r="F524" s="18" t="n">
        <f aca="false">(E524+G524)/2</f>
        <v>6.51476316735141</v>
      </c>
      <c r="G524" s="18" t="n">
        <f aca="false">EXP(-'Black-Scholes'!$B$8*'Black-Scholes'!$B$7)*IF(LOWER('Black-Scholes'!$B$11)="put",MAX('Black-Scholes'!$B$6-D524,0),MAX(D524-'Black-Scholes'!$B$6,0))</f>
        <v>13.0295263347028</v>
      </c>
    </row>
    <row r="525" customFormat="false" ht="15" hidden="false" customHeight="false" outlineLevel="0" collapsed="false">
      <c r="A525" s="0" t="n">
        <v>514</v>
      </c>
      <c r="B525" s="15" t="n">
        <v>0.163160462115965</v>
      </c>
      <c r="C525" s="18" t="n">
        <f aca="false">'Black-Scholes'!$B$5*EXP(('Black-Scholes'!$B$8-'Black-Scholes'!$B$10-'Black-Scholes'!$B$9^2/2)*'Black-Scholes'!$B$7+'Black-Scholes'!$B$9*SQRT('Black-Scholes'!$B$7)*B525)</f>
        <v>106.463507985769</v>
      </c>
      <c r="D525" s="18" t="n">
        <f aca="false">'Black-Scholes'!$B$5*EXP(('Black-Scholes'!$B$8-'Black-Scholes'!$B$10-'Black-Scholes'!$B$9^2/2)*'Black-Scholes'!$B$7-'Black-Scholes'!$B$9*SQRT('Black-Scholes'!$B$7)*B525)</f>
        <v>99.7371368494918</v>
      </c>
      <c r="E525" s="18" t="n">
        <f aca="false">EXP(-'Black-Scholes'!$B$8*'Black-Scholes'!$B$7)*IF(LOWER('Black-Scholes'!$B$11)="put",MAX('Black-Scholes'!$B$6-C525,0),MAX(C525-'Black-Scholes'!$B$6,0))</f>
        <v>6.14827898155873</v>
      </c>
      <c r="F525" s="18" t="n">
        <f aca="false">(E525+G525)/2</f>
        <v>3.07413949077937</v>
      </c>
      <c r="G525" s="18" t="n">
        <f aca="false">EXP(-'Black-Scholes'!$B$8*'Black-Scholes'!$B$7)*IF(LOWER('Black-Scholes'!$B$11)="put",MAX('Black-Scholes'!$B$6-D525,0),MAX(D525-'Black-Scholes'!$B$6,0))</f>
        <v>0</v>
      </c>
    </row>
    <row r="526" customFormat="false" ht="15" hidden="false" customHeight="false" outlineLevel="0" collapsed="false">
      <c r="A526" s="0" t="n">
        <v>515</v>
      </c>
      <c r="B526" s="15" t="n">
        <v>0.0589221053667877</v>
      </c>
      <c r="C526" s="18" t="n">
        <f aca="false">'Black-Scholes'!$B$5*EXP(('Black-Scholes'!$B$8-'Black-Scholes'!$B$10-'Black-Scholes'!$B$9^2/2)*'Black-Scholes'!$B$7+'Black-Scholes'!$B$9*SQRT('Black-Scholes'!$B$7)*B526)</f>
        <v>104.266967691057</v>
      </c>
      <c r="D526" s="18" t="n">
        <f aca="false">'Black-Scholes'!$B$5*EXP(('Black-Scholes'!$B$8-'Black-Scholes'!$B$10-'Black-Scholes'!$B$9^2/2)*'Black-Scholes'!$B$7-'Black-Scholes'!$B$9*SQRT('Black-Scholes'!$B$7)*B526)</f>
        <v>101.838249453228</v>
      </c>
      <c r="E526" s="18" t="n">
        <f aca="false">EXP(-'Black-Scholes'!$B$8*'Black-Scholes'!$B$7)*IF(LOWER('Black-Scholes'!$B$11)="put",MAX('Black-Scholes'!$B$6-C526,0),MAX(C526-'Black-Scholes'!$B$6,0))</f>
        <v>4.05886522112759</v>
      </c>
      <c r="F526" s="18" t="n">
        <f aca="false">(E526+G526)/2</f>
        <v>2.90373109530537</v>
      </c>
      <c r="G526" s="18" t="n">
        <f aca="false">EXP(-'Black-Scholes'!$B$8*'Black-Scholes'!$B$7)*IF(LOWER('Black-Scholes'!$B$11)="put",MAX('Black-Scholes'!$B$6-D526,0),MAX(D526-'Black-Scholes'!$B$6,0))</f>
        <v>1.74859696948315</v>
      </c>
    </row>
    <row r="527" customFormat="false" ht="15" hidden="false" customHeight="false" outlineLevel="0" collapsed="false">
      <c r="A527" s="0" t="n">
        <v>516</v>
      </c>
      <c r="B527" s="15" t="n">
        <v>-0.633156718718252</v>
      </c>
      <c r="C527" s="18" t="n">
        <f aca="false">'Black-Scholes'!$B$5*EXP(('Black-Scholes'!$B$8-'Black-Scholes'!$B$10-'Black-Scholes'!$B$9^2/2)*'Black-Scholes'!$B$7+'Black-Scholes'!$B$9*SQRT('Black-Scholes'!$B$7)*B527)</f>
        <v>90.7890644012305</v>
      </c>
      <c r="D527" s="18" t="n">
        <f aca="false">'Black-Scholes'!$B$5*EXP(('Black-Scholes'!$B$8-'Black-Scholes'!$B$10-'Black-Scholes'!$B$9^2/2)*'Black-Scholes'!$B$7-'Black-Scholes'!$B$9*SQRT('Black-Scholes'!$B$7)*B527)</f>
        <v>116.956436719373</v>
      </c>
      <c r="E527" s="18" t="n">
        <f aca="false">EXP(-'Black-Scholes'!$B$8*'Black-Scholes'!$B$7)*IF(LOWER('Black-Scholes'!$B$11)="put",MAX('Black-Scholes'!$B$6-C527,0),MAX(C527-'Black-Scholes'!$B$6,0))</f>
        <v>0</v>
      </c>
      <c r="F527" s="18" t="n">
        <f aca="false">(E527+G527)/2</f>
        <v>8.06473077107597</v>
      </c>
      <c r="G527" s="18" t="n">
        <f aca="false">EXP(-'Black-Scholes'!$B$8*'Black-Scholes'!$B$7)*IF(LOWER('Black-Scholes'!$B$11)="put",MAX('Black-Scholes'!$B$6-D527,0),MAX(D527-'Black-Scholes'!$B$6,0))</f>
        <v>16.1294615421519</v>
      </c>
    </row>
    <row r="528" customFormat="false" ht="15" hidden="false" customHeight="false" outlineLevel="0" collapsed="false">
      <c r="A528" s="0" t="n">
        <v>517</v>
      </c>
      <c r="B528" s="15" t="n">
        <v>1.30455738988332</v>
      </c>
      <c r="C528" s="18" t="n">
        <f aca="false">'Black-Scholes'!$B$5*EXP(('Black-Scholes'!$B$8-'Black-Scholes'!$B$10-'Black-Scholes'!$B$9^2/2)*'Black-Scholes'!$B$7+'Black-Scholes'!$B$9*SQRT('Black-Scholes'!$B$7)*B528)</f>
        <v>133.764616756362</v>
      </c>
      <c r="D528" s="18" t="n">
        <f aca="false">'Black-Scholes'!$B$5*EXP(('Black-Scholes'!$B$8-'Black-Scholes'!$B$10-'Black-Scholes'!$B$9^2/2)*'Black-Scholes'!$B$7-'Black-Scholes'!$B$9*SQRT('Black-Scholes'!$B$7)*B528)</f>
        <v>79.38097325688</v>
      </c>
      <c r="E528" s="18" t="n">
        <f aca="false">EXP(-'Black-Scholes'!$B$8*'Black-Scholes'!$B$7)*IF(LOWER('Black-Scholes'!$B$11)="put",MAX('Black-Scholes'!$B$6-C528,0),MAX(C528-'Black-Scholes'!$B$6,0))</f>
        <v>32.1178969656417</v>
      </c>
      <c r="F528" s="18" t="n">
        <f aca="false">(E528+G528)/2</f>
        <v>16.0589484828209</v>
      </c>
      <c r="G528" s="18" t="n">
        <f aca="false">EXP(-'Black-Scholes'!$B$8*'Black-Scholes'!$B$7)*IF(LOWER('Black-Scholes'!$B$11)="put",MAX('Black-Scholes'!$B$6-D528,0),MAX(D528-'Black-Scholes'!$B$6,0))</f>
        <v>0</v>
      </c>
    </row>
    <row r="529" customFormat="false" ht="15" hidden="false" customHeight="false" outlineLevel="0" collapsed="false">
      <c r="A529" s="0" t="n">
        <v>518</v>
      </c>
      <c r="B529" s="15" t="n">
        <v>0.0207382444326202</v>
      </c>
      <c r="C529" s="18" t="n">
        <f aca="false">'Black-Scholes'!$B$5*EXP(('Black-Scholes'!$B$8-'Black-Scholes'!$B$10-'Black-Scholes'!$B$9^2/2)*'Black-Scholes'!$B$7+'Black-Scholes'!$B$9*SQRT('Black-Scholes'!$B$7)*B529)</f>
        <v>103.473737327094</v>
      </c>
      <c r="D529" s="18" t="n">
        <f aca="false">'Black-Scholes'!$B$5*EXP(('Black-Scholes'!$B$8-'Black-Scholes'!$B$10-'Black-Scholes'!$B$9^2/2)*'Black-Scholes'!$B$7-'Black-Scholes'!$B$9*SQRT('Black-Scholes'!$B$7)*B529)</f>
        <v>102.618942156187</v>
      </c>
      <c r="E529" s="18" t="n">
        <f aca="false">EXP(-'Black-Scholes'!$B$8*'Black-Scholes'!$B$7)*IF(LOWER('Black-Scholes'!$B$11)="put",MAX('Black-Scholes'!$B$6-C529,0),MAX(C529-'Black-Scholes'!$B$6,0))</f>
        <v>3.30432115851863</v>
      </c>
      <c r="F529" s="18" t="n">
        <f aca="false">(E529+G529)/2</f>
        <v>2.89776799927458</v>
      </c>
      <c r="G529" s="18" t="n">
        <f aca="false">EXP(-'Black-Scholes'!$B$8*'Black-Scholes'!$B$7)*IF(LOWER('Black-Scholes'!$B$11)="put",MAX('Black-Scholes'!$B$6-D529,0),MAX(D529-'Black-Scholes'!$B$6,0))</f>
        <v>2.49121484003053</v>
      </c>
    </row>
    <row r="530" customFormat="false" ht="15" hidden="false" customHeight="false" outlineLevel="0" collapsed="false">
      <c r="A530" s="0" t="n">
        <v>519</v>
      </c>
      <c r="B530" s="15" t="n">
        <v>0.323420075012714</v>
      </c>
      <c r="C530" s="18" t="n">
        <f aca="false">'Black-Scholes'!$B$5*EXP(('Black-Scholes'!$B$8-'Black-Scholes'!$B$10-'Black-Scholes'!$B$9^2/2)*'Black-Scholes'!$B$7+'Black-Scholes'!$B$9*SQRT('Black-Scholes'!$B$7)*B530)</f>
        <v>109.931143431833</v>
      </c>
      <c r="D530" s="18" t="n">
        <f aca="false">'Black-Scholes'!$B$5*EXP(('Black-Scholes'!$B$8-'Black-Scholes'!$B$10-'Black-Scholes'!$B$9^2/2)*'Black-Scholes'!$B$7-'Black-Scholes'!$B$9*SQRT('Black-Scholes'!$B$7)*B530)</f>
        <v>96.5910581293815</v>
      </c>
      <c r="E530" s="18" t="n">
        <f aca="false">EXP(-'Black-Scholes'!$B$8*'Black-Scholes'!$B$7)*IF(LOWER('Black-Scholes'!$B$11)="put",MAX('Black-Scholes'!$B$6-C530,0),MAX(C530-'Black-Scholes'!$B$6,0))</f>
        <v>9.44679585129696</v>
      </c>
      <c r="F530" s="18" t="n">
        <f aca="false">(E530+G530)/2</f>
        <v>4.72339792564848</v>
      </c>
      <c r="G530" s="18" t="n">
        <f aca="false">EXP(-'Black-Scholes'!$B$8*'Black-Scholes'!$B$7)*IF(LOWER('Black-Scholes'!$B$11)="put",MAX('Black-Scholes'!$B$6-D530,0),MAX(D530-'Black-Scholes'!$B$6,0))</f>
        <v>0</v>
      </c>
    </row>
    <row r="531" customFormat="false" ht="15" hidden="false" customHeight="false" outlineLevel="0" collapsed="false">
      <c r="A531" s="0" t="n">
        <v>520</v>
      </c>
      <c r="B531" s="15" t="n">
        <v>-0.771567562022568</v>
      </c>
      <c r="C531" s="18" t="n">
        <f aca="false">'Black-Scholes'!$B$5*EXP(('Black-Scholes'!$B$8-'Black-Scholes'!$B$10-'Black-Scholes'!$B$9^2/2)*'Black-Scholes'!$B$7+'Black-Scholes'!$B$9*SQRT('Black-Scholes'!$B$7)*B531)</f>
        <v>88.3102933753915</v>
      </c>
      <c r="D531" s="18" t="n">
        <f aca="false">'Black-Scholes'!$B$5*EXP(('Black-Scholes'!$B$8-'Black-Scholes'!$B$10-'Black-Scholes'!$B$9^2/2)*'Black-Scholes'!$B$7-'Black-Scholes'!$B$9*SQRT('Black-Scholes'!$B$7)*B531)</f>
        <v>120.239272904652</v>
      </c>
      <c r="E531" s="18" t="n">
        <f aca="false">EXP(-'Black-Scholes'!$B$8*'Black-Scholes'!$B$7)*IF(LOWER('Black-Scholes'!$B$11)="put",MAX('Black-Scholes'!$B$6-C531,0),MAX(C531-'Black-Scholes'!$B$6,0))</f>
        <v>0</v>
      </c>
      <c r="F531" s="18" t="n">
        <f aca="false">(E531+G531)/2</f>
        <v>9.62609595870261</v>
      </c>
      <c r="G531" s="18" t="n">
        <f aca="false">EXP(-'Black-Scholes'!$B$8*'Black-Scholes'!$B$7)*IF(LOWER('Black-Scholes'!$B$11)="put",MAX('Black-Scholes'!$B$6-D531,0),MAX(D531-'Black-Scholes'!$B$6,0))</f>
        <v>19.2521919174052</v>
      </c>
    </row>
    <row r="532" customFormat="false" ht="15" hidden="false" customHeight="false" outlineLevel="0" collapsed="false">
      <c r="A532" s="0" t="n">
        <v>521</v>
      </c>
      <c r="B532" s="15" t="n">
        <v>-0.293015343577742</v>
      </c>
      <c r="C532" s="18" t="n">
        <f aca="false">'Black-Scholes'!$B$5*EXP(('Black-Scholes'!$B$8-'Black-Scholes'!$B$10-'Black-Scholes'!$B$9^2/2)*'Black-Scholes'!$B$7+'Black-Scholes'!$B$9*SQRT('Black-Scholes'!$B$7)*B532)</f>
        <v>97.18021265872</v>
      </c>
      <c r="D532" s="18" t="n">
        <f aca="false">'Black-Scholes'!$B$5*EXP(('Black-Scholes'!$B$8-'Black-Scholes'!$B$10-'Black-Scholes'!$B$9^2/2)*'Black-Scholes'!$B$7-'Black-Scholes'!$B$9*SQRT('Black-Scholes'!$B$7)*B532)</f>
        <v>109.264686451587</v>
      </c>
      <c r="E532" s="18" t="n">
        <f aca="false">EXP(-'Black-Scholes'!$B$8*'Black-Scholes'!$B$7)*IF(LOWER('Black-Scholes'!$B$11)="put",MAX('Black-Scholes'!$B$6-C532,0),MAX(C532-'Black-Scholes'!$B$6,0))</f>
        <v>0</v>
      </c>
      <c r="F532" s="18" t="n">
        <f aca="false">(E532+G532)/2</f>
        <v>4.40642118076138</v>
      </c>
      <c r="G532" s="18" t="n">
        <f aca="false">EXP(-'Black-Scholes'!$B$8*'Black-Scholes'!$B$7)*IF(LOWER('Black-Scholes'!$B$11)="put",MAX('Black-Scholes'!$B$6-D532,0),MAX(D532-'Black-Scholes'!$B$6,0))</f>
        <v>8.81284236152277</v>
      </c>
    </row>
    <row r="533" customFormat="false" ht="15" hidden="false" customHeight="false" outlineLevel="0" collapsed="false">
      <c r="A533" s="0" t="n">
        <v>522</v>
      </c>
      <c r="B533" s="15" t="n">
        <v>-0.166654051808157</v>
      </c>
      <c r="C533" s="18" t="n">
        <f aca="false">'Black-Scholes'!$B$5*EXP(('Black-Scholes'!$B$8-'Black-Scholes'!$B$10-'Black-Scholes'!$B$9^2/2)*'Black-Scholes'!$B$7+'Black-Scholes'!$B$9*SQRT('Black-Scholes'!$B$7)*B533)</f>
        <v>99.6674730633493</v>
      </c>
      <c r="D533" s="18" t="n">
        <f aca="false">'Black-Scholes'!$B$5*EXP(('Black-Scholes'!$B$8-'Black-Scholes'!$B$10-'Black-Scholes'!$B$9^2/2)*'Black-Scholes'!$B$7-'Black-Scholes'!$B$9*SQRT('Black-Scholes'!$B$7)*B533)</f>
        <v>106.537921942744</v>
      </c>
      <c r="E533" s="18" t="n">
        <f aca="false">EXP(-'Black-Scholes'!$B$8*'Black-Scholes'!$B$7)*IF(LOWER('Black-Scholes'!$B$11)="put",MAX('Black-Scholes'!$B$6-C533,0),MAX(C533-'Black-Scholes'!$B$6,0))</f>
        <v>0</v>
      </c>
      <c r="F533" s="18" t="n">
        <f aca="false">(E533+G533)/2</f>
        <v>3.10953186351326</v>
      </c>
      <c r="G533" s="18" t="n">
        <f aca="false">EXP(-'Black-Scholes'!$B$8*'Black-Scholes'!$B$7)*IF(LOWER('Black-Scholes'!$B$11)="put",MAX('Black-Scholes'!$B$6-D533,0),MAX(D533-'Black-Scholes'!$B$6,0))</f>
        <v>6.21906372702651</v>
      </c>
    </row>
    <row r="534" customFormat="false" ht="15" hidden="false" customHeight="false" outlineLevel="0" collapsed="false">
      <c r="A534" s="0" t="n">
        <v>523</v>
      </c>
      <c r="B534" s="15" t="n">
        <v>0.0523262513868606</v>
      </c>
      <c r="C534" s="18" t="n">
        <f aca="false">'Black-Scholes'!$B$5*EXP(('Black-Scholes'!$B$8-'Black-Scholes'!$B$10-'Black-Scholes'!$B$9^2/2)*'Black-Scholes'!$B$7+'Black-Scholes'!$B$9*SQRT('Black-Scholes'!$B$7)*B534)</f>
        <v>104.129512435706</v>
      </c>
      <c r="D534" s="18" t="n">
        <f aca="false">'Black-Scholes'!$B$5*EXP(('Black-Scholes'!$B$8-'Black-Scholes'!$B$10-'Black-Scholes'!$B$9^2/2)*'Black-Scholes'!$B$7-'Black-Scholes'!$B$9*SQRT('Black-Scholes'!$B$7)*B534)</f>
        <v>101.972680146849</v>
      </c>
      <c r="E534" s="18" t="n">
        <f aca="false">EXP(-'Black-Scholes'!$B$8*'Black-Scholes'!$B$7)*IF(LOWER('Black-Scholes'!$B$11)="put",MAX('Black-Scholes'!$B$6-C534,0),MAX(C534-'Black-Scholes'!$B$6,0))</f>
        <v>3.92811373768521</v>
      </c>
      <c r="F534" s="18" t="n">
        <f aca="false">(E534+G534)/2</f>
        <v>2.90229256924821</v>
      </c>
      <c r="G534" s="18" t="n">
        <f aca="false">EXP(-'Black-Scholes'!$B$8*'Black-Scholes'!$B$7)*IF(LOWER('Black-Scholes'!$B$11)="put",MAX('Black-Scholes'!$B$6-D534,0),MAX(D534-'Black-Scholes'!$B$6,0))</f>
        <v>1.87647140081121</v>
      </c>
    </row>
    <row r="535" customFormat="false" ht="15" hidden="false" customHeight="false" outlineLevel="0" collapsed="false">
      <c r="A535" s="0" t="n">
        <v>524</v>
      </c>
      <c r="B535" s="15" t="n">
        <v>0.786903317398242</v>
      </c>
      <c r="C535" s="18" t="n">
        <f aca="false">'Black-Scholes'!$B$5*EXP(('Black-Scholes'!$B$8-'Black-Scholes'!$B$10-'Black-Scholes'!$B$9^2/2)*'Black-Scholes'!$B$7+'Black-Scholes'!$B$9*SQRT('Black-Scholes'!$B$7)*B535)</f>
        <v>120.608631068902</v>
      </c>
      <c r="D535" s="18" t="n">
        <f aca="false">'Black-Scholes'!$B$5*EXP(('Black-Scholes'!$B$8-'Black-Scholes'!$B$10-'Black-Scholes'!$B$9^2/2)*'Black-Scholes'!$B$7-'Black-Scholes'!$B$9*SQRT('Black-Scholes'!$B$7)*B535)</f>
        <v>88.0398473255824</v>
      </c>
      <c r="E535" s="18" t="n">
        <f aca="false">EXP(-'Black-Scholes'!$B$8*'Black-Scholes'!$B$7)*IF(LOWER('Black-Scholes'!$B$11)="put",MAX('Black-Scholes'!$B$6-C535,0),MAX(C535-'Black-Scholes'!$B$6,0))</f>
        <v>19.6035362714188</v>
      </c>
      <c r="F535" s="18" t="n">
        <f aca="false">(E535+G535)/2</f>
        <v>9.80176813570942</v>
      </c>
      <c r="G535" s="18" t="n">
        <f aca="false">EXP(-'Black-Scholes'!$B$8*'Black-Scholes'!$B$7)*IF(LOWER('Black-Scholes'!$B$11)="put",MAX('Black-Scholes'!$B$6-D535,0),MAX(D535-'Black-Scholes'!$B$6,0))</f>
        <v>0</v>
      </c>
    </row>
    <row r="536" customFormat="false" ht="15" hidden="false" customHeight="false" outlineLevel="0" collapsed="false">
      <c r="A536" s="0" t="n">
        <v>525</v>
      </c>
      <c r="B536" s="15" t="n">
        <v>0.752051099472234</v>
      </c>
      <c r="C536" s="18" t="n">
        <f aca="false">'Black-Scholes'!$B$5*EXP(('Black-Scholes'!$B$8-'Black-Scholes'!$B$10-'Black-Scholes'!$B$9^2/2)*'Black-Scholes'!$B$7+'Black-Scholes'!$B$9*SQRT('Black-Scholes'!$B$7)*B536)</f>
        <v>119.770858625</v>
      </c>
      <c r="D536" s="18" t="n">
        <f aca="false">'Black-Scholes'!$B$5*EXP(('Black-Scholes'!$B$8-'Black-Scholes'!$B$10-'Black-Scholes'!$B$9^2/2)*'Black-Scholes'!$B$7-'Black-Scholes'!$B$9*SQRT('Black-Scholes'!$B$7)*B536)</f>
        <v>88.6556678924668</v>
      </c>
      <c r="E536" s="18" t="n">
        <f aca="false">EXP(-'Black-Scholes'!$B$8*'Black-Scholes'!$B$7)*IF(LOWER('Black-Scholes'!$B$11)="put",MAX('Black-Scholes'!$B$6-C536,0),MAX(C536-'Black-Scholes'!$B$6,0))</f>
        <v>18.8066224717438</v>
      </c>
      <c r="F536" s="18" t="n">
        <f aca="false">(E536+G536)/2</f>
        <v>9.40331123587191</v>
      </c>
      <c r="G536" s="18" t="n">
        <f aca="false">EXP(-'Black-Scholes'!$B$8*'Black-Scholes'!$B$7)*IF(LOWER('Black-Scholes'!$B$11)="put",MAX('Black-Scholes'!$B$6-D536,0),MAX(D536-'Black-Scholes'!$B$6,0))</f>
        <v>0</v>
      </c>
    </row>
    <row r="537" customFormat="false" ht="15" hidden="false" customHeight="false" outlineLevel="0" collapsed="false">
      <c r="A537" s="0" t="n">
        <v>526</v>
      </c>
      <c r="B537" s="15" t="n">
        <v>-0.295494556339623</v>
      </c>
      <c r="C537" s="18" t="n">
        <f aca="false">'Black-Scholes'!$B$5*EXP(('Black-Scholes'!$B$8-'Black-Scholes'!$B$10-'Black-Scholes'!$B$9^2/2)*'Black-Scholes'!$B$7+'Black-Scholes'!$B$9*SQRT('Black-Scholes'!$B$7)*B537)</f>
        <v>97.1320385184162</v>
      </c>
      <c r="D537" s="18" t="n">
        <f aca="false">'Black-Scholes'!$B$5*EXP(('Black-Scholes'!$B$8-'Black-Scholes'!$B$10-'Black-Scholes'!$B$9^2/2)*'Black-Scholes'!$B$7-'Black-Scholes'!$B$9*SQRT('Black-Scholes'!$B$7)*B537)</f>
        <v>109.318877966721</v>
      </c>
      <c r="E537" s="18" t="n">
        <f aca="false">EXP(-'Black-Scholes'!$B$8*'Black-Scholes'!$B$7)*IF(LOWER('Black-Scholes'!$B$11)="put",MAX('Black-Scholes'!$B$6-C537,0),MAX(C537-'Black-Scholes'!$B$6,0))</f>
        <v>0</v>
      </c>
      <c r="F537" s="18" t="n">
        <f aca="false">(E537+G537)/2</f>
        <v>4.43219546263827</v>
      </c>
      <c r="G537" s="18" t="n">
        <f aca="false">EXP(-'Black-Scholes'!$B$8*'Black-Scholes'!$B$7)*IF(LOWER('Black-Scholes'!$B$11)="put",MAX('Black-Scholes'!$B$6-D537,0),MAX(D537-'Black-Scholes'!$B$6,0))</f>
        <v>8.86439092527654</v>
      </c>
    </row>
    <row r="538" customFormat="false" ht="15" hidden="false" customHeight="false" outlineLevel="0" collapsed="false">
      <c r="A538" s="0" t="n">
        <v>527</v>
      </c>
      <c r="B538" s="15" t="n">
        <v>1.38767438516561</v>
      </c>
      <c r="C538" s="18" t="n">
        <f aca="false">'Black-Scholes'!$B$5*EXP(('Black-Scholes'!$B$8-'Black-Scholes'!$B$10-'Black-Scholes'!$B$9^2/2)*'Black-Scholes'!$B$7+'Black-Scholes'!$B$9*SQRT('Black-Scholes'!$B$7)*B538)</f>
        <v>136.006824281993</v>
      </c>
      <c r="D538" s="18" t="n">
        <f aca="false">'Black-Scholes'!$B$5*EXP(('Black-Scholes'!$B$8-'Black-Scholes'!$B$10-'Black-Scholes'!$B$9^2/2)*'Black-Scholes'!$B$7-'Black-Scholes'!$B$9*SQRT('Black-Scholes'!$B$7)*B538)</f>
        <v>78.0722991034464</v>
      </c>
      <c r="E538" s="18" t="n">
        <f aca="false">EXP(-'Black-Scholes'!$B$8*'Black-Scholes'!$B$7)*IF(LOWER('Black-Scholes'!$B$11)="put",MAX('Black-Scholes'!$B$6-C538,0),MAX(C538-'Black-Scholes'!$B$6,0))</f>
        <v>34.2507507398581</v>
      </c>
      <c r="F538" s="18" t="n">
        <f aca="false">(E538+G538)/2</f>
        <v>17.1253753699291</v>
      </c>
      <c r="G538" s="18" t="n">
        <f aca="false">EXP(-'Black-Scholes'!$B$8*'Black-Scholes'!$B$7)*IF(LOWER('Black-Scholes'!$B$11)="put",MAX('Black-Scholes'!$B$6-D538,0),MAX(D538-'Black-Scholes'!$B$6,0))</f>
        <v>0</v>
      </c>
    </row>
    <row r="539" customFormat="false" ht="15" hidden="false" customHeight="false" outlineLevel="0" collapsed="false">
      <c r="A539" s="0" t="n">
        <v>528</v>
      </c>
      <c r="B539" s="15" t="n">
        <v>0.174734855667916</v>
      </c>
      <c r="C539" s="18" t="n">
        <f aca="false">'Black-Scholes'!$B$5*EXP(('Black-Scholes'!$B$8-'Black-Scholes'!$B$10-'Black-Scholes'!$B$9^2/2)*'Black-Scholes'!$B$7+'Black-Scholes'!$B$9*SQRT('Black-Scholes'!$B$7)*B539)</f>
        <v>106.710243565127</v>
      </c>
      <c r="D539" s="18" t="n">
        <f aca="false">'Black-Scholes'!$B$5*EXP(('Black-Scholes'!$B$8-'Black-Scholes'!$B$10-'Black-Scholes'!$B$9^2/2)*'Black-Scholes'!$B$7-'Black-Scholes'!$B$9*SQRT('Black-Scholes'!$B$7)*B539)</f>
        <v>99.5065244975567</v>
      </c>
      <c r="E539" s="18" t="n">
        <f aca="false">EXP(-'Black-Scholes'!$B$8*'Black-Scholes'!$B$7)*IF(LOWER('Black-Scholes'!$B$11)="put",MAX('Black-Scholes'!$B$6-C539,0),MAX(C539-'Black-Scholes'!$B$6,0))</f>
        <v>6.38298112471581</v>
      </c>
      <c r="F539" s="18" t="n">
        <f aca="false">(E539+G539)/2</f>
        <v>3.1914905623579</v>
      </c>
      <c r="G539" s="18" t="n">
        <f aca="false">EXP(-'Black-Scholes'!$B$8*'Black-Scholes'!$B$7)*IF(LOWER('Black-Scholes'!$B$11)="put",MAX('Black-Scholes'!$B$6-D539,0),MAX(D539-'Black-Scholes'!$B$6,0))</f>
        <v>0</v>
      </c>
    </row>
    <row r="540" customFormat="false" ht="15" hidden="false" customHeight="false" outlineLevel="0" collapsed="false">
      <c r="A540" s="0" t="n">
        <v>529</v>
      </c>
      <c r="B540" s="15" t="n">
        <v>0.79521857776668</v>
      </c>
      <c r="C540" s="18" t="n">
        <f aca="false">'Black-Scholes'!$B$5*EXP(('Black-Scholes'!$B$8-'Black-Scholes'!$B$10-'Black-Scholes'!$B$9^2/2)*'Black-Scholes'!$B$7+'Black-Scholes'!$B$9*SQRT('Black-Scholes'!$B$7)*B540)</f>
        <v>120.809376381592</v>
      </c>
      <c r="D540" s="18" t="n">
        <f aca="false">'Black-Scholes'!$B$5*EXP(('Black-Scholes'!$B$8-'Black-Scholes'!$B$10-'Black-Scholes'!$B$9^2/2)*'Black-Scholes'!$B$7-'Black-Scholes'!$B$9*SQRT('Black-Scholes'!$B$7)*B540)</f>
        <v>87.8935541552181</v>
      </c>
      <c r="E540" s="18" t="n">
        <f aca="false">EXP(-'Black-Scholes'!$B$8*'Black-Scholes'!$B$7)*IF(LOWER('Black-Scholes'!$B$11)="put",MAX('Black-Scholes'!$B$6-C540,0),MAX(C540-'Black-Scholes'!$B$6,0))</f>
        <v>19.7944911196807</v>
      </c>
      <c r="F540" s="18" t="n">
        <f aca="false">(E540+G540)/2</f>
        <v>9.89724555984034</v>
      </c>
      <c r="G540" s="18" t="n">
        <f aca="false">EXP(-'Black-Scholes'!$B$8*'Black-Scholes'!$B$7)*IF(LOWER('Black-Scholes'!$B$11)="put",MAX('Black-Scholes'!$B$6-D540,0),MAX(D540-'Black-Scholes'!$B$6,0))</f>
        <v>0</v>
      </c>
    </row>
    <row r="541" customFormat="false" ht="15" hidden="false" customHeight="false" outlineLevel="0" collapsed="false">
      <c r="A541" s="0" t="n">
        <v>530</v>
      </c>
      <c r="B541" s="15" t="n">
        <v>-0.267200605715314</v>
      </c>
      <c r="C541" s="18" t="n">
        <f aca="false">'Black-Scholes'!$B$5*EXP(('Black-Scholes'!$B$8-'Black-Scholes'!$B$10-'Black-Scholes'!$B$9^2/2)*'Black-Scholes'!$B$7+'Black-Scholes'!$B$9*SQRT('Black-Scholes'!$B$7)*B541)</f>
        <v>97.6832464529068</v>
      </c>
      <c r="D541" s="18" t="n">
        <f aca="false">'Black-Scholes'!$B$5*EXP(('Black-Scholes'!$B$8-'Black-Scholes'!$B$10-'Black-Scholes'!$B$9^2/2)*'Black-Scholes'!$B$7-'Black-Scholes'!$B$9*SQRT('Black-Scholes'!$B$7)*B541)</f>
        <v>108.702012382161</v>
      </c>
      <c r="E541" s="18" t="n">
        <f aca="false">EXP(-'Black-Scholes'!$B$8*'Black-Scholes'!$B$7)*IF(LOWER('Black-Scholes'!$B$11)="put",MAX('Black-Scholes'!$B$6-C541,0),MAX(C541-'Black-Scholes'!$B$6,0))</f>
        <v>0</v>
      </c>
      <c r="F541" s="18" t="n">
        <f aca="false">(E541+G541)/2</f>
        <v>4.1388051151407</v>
      </c>
      <c r="G541" s="18" t="n">
        <f aca="false">EXP(-'Black-Scholes'!$B$8*'Black-Scholes'!$B$7)*IF(LOWER('Black-Scholes'!$B$11)="put",MAX('Black-Scholes'!$B$6-D541,0),MAX(D541-'Black-Scholes'!$B$6,0))</f>
        <v>8.27761023028141</v>
      </c>
    </row>
    <row r="542" customFormat="false" ht="15" hidden="false" customHeight="false" outlineLevel="0" collapsed="false">
      <c r="A542" s="0" t="n">
        <v>531</v>
      </c>
      <c r="B542" s="15" t="n">
        <v>-0.105197352997986</v>
      </c>
      <c r="C542" s="18" t="n">
        <f aca="false">'Black-Scholes'!$B$5*EXP(('Black-Scholes'!$B$8-'Black-Scholes'!$B$10-'Black-Scholes'!$B$9^2/2)*'Black-Scholes'!$B$7+'Black-Scholes'!$B$9*SQRT('Black-Scholes'!$B$7)*B542)</f>
        <v>100.90007951215</v>
      </c>
      <c r="D542" s="18" t="n">
        <f aca="false">'Black-Scholes'!$B$5*EXP(('Black-Scholes'!$B$8-'Black-Scholes'!$B$10-'Black-Scholes'!$B$9^2/2)*'Black-Scholes'!$B$7-'Black-Scholes'!$B$9*SQRT('Black-Scholes'!$B$7)*B542)</f>
        <v>105.23644299185</v>
      </c>
      <c r="E542" s="18" t="n">
        <f aca="false">EXP(-'Black-Scholes'!$B$8*'Black-Scholes'!$B$7)*IF(LOWER('Black-Scholes'!$B$11)="put",MAX('Black-Scholes'!$B$6-C542,0),MAX(C542-'Black-Scholes'!$B$6,0))</f>
        <v>0.856182116347761</v>
      </c>
      <c r="F542" s="18" t="n">
        <f aca="false">(E542+G542)/2</f>
        <v>2.91862038495822</v>
      </c>
      <c r="G542" s="18" t="n">
        <f aca="false">EXP(-'Black-Scholes'!$B$8*'Black-Scholes'!$B$7)*IF(LOWER('Black-Scholes'!$B$11)="put",MAX('Black-Scholes'!$B$6-D542,0),MAX(D542-'Black-Scholes'!$B$6,0))</f>
        <v>4.98105865356868</v>
      </c>
    </row>
    <row r="543" customFormat="false" ht="15" hidden="false" customHeight="false" outlineLevel="0" collapsed="false">
      <c r="A543" s="0" t="n">
        <v>532</v>
      </c>
      <c r="B543" s="15" t="n">
        <v>-0.566335466364351</v>
      </c>
      <c r="C543" s="18" t="n">
        <f aca="false">'Black-Scholes'!$B$5*EXP(('Black-Scholes'!$B$8-'Black-Scholes'!$B$10-'Black-Scholes'!$B$9^2/2)*'Black-Scholes'!$B$7+'Black-Scholes'!$B$9*SQRT('Black-Scholes'!$B$7)*B543)</f>
        <v>92.0105360445482</v>
      </c>
      <c r="D543" s="18" t="n">
        <f aca="false">'Black-Scholes'!$B$5*EXP(('Black-Scholes'!$B$8-'Black-Scholes'!$B$10-'Black-Scholes'!$B$9^2/2)*'Black-Scholes'!$B$7-'Black-Scholes'!$B$9*SQRT('Black-Scholes'!$B$7)*B543)</f>
        <v>115.403799629127</v>
      </c>
      <c r="E543" s="18" t="n">
        <f aca="false">EXP(-'Black-Scholes'!$B$8*'Black-Scholes'!$B$7)*IF(LOWER('Black-Scholes'!$B$11)="put",MAX('Black-Scholes'!$B$6-C543,0),MAX(C543-'Black-Scholes'!$B$6,0))</f>
        <v>0</v>
      </c>
      <c r="F543" s="18" t="n">
        <f aca="false">(E543+G543)/2</f>
        <v>7.32627372816932</v>
      </c>
      <c r="G543" s="18" t="n">
        <f aca="false">EXP(-'Black-Scholes'!$B$8*'Black-Scholes'!$B$7)*IF(LOWER('Black-Scholes'!$B$11)="put",MAX('Black-Scholes'!$B$6-D543,0),MAX(D543-'Black-Scholes'!$B$6,0))</f>
        <v>14.6525474563386</v>
      </c>
    </row>
    <row r="544" customFormat="false" ht="15" hidden="false" customHeight="false" outlineLevel="0" collapsed="false">
      <c r="A544" s="0" t="n">
        <v>533</v>
      </c>
      <c r="B544" s="15" t="n">
        <v>-0.098715762015872</v>
      </c>
      <c r="C544" s="18" t="n">
        <f aca="false">'Black-Scholes'!$B$5*EXP(('Black-Scholes'!$B$8-'Black-Scholes'!$B$10-'Black-Scholes'!$B$9^2/2)*'Black-Scholes'!$B$7+'Black-Scholes'!$B$9*SQRT('Black-Scholes'!$B$7)*B544)</f>
        <v>101.030962936196</v>
      </c>
      <c r="D544" s="18" t="n">
        <f aca="false">'Black-Scholes'!$B$5*EXP(('Black-Scholes'!$B$8-'Black-Scholes'!$B$10-'Black-Scholes'!$B$9^2/2)*'Black-Scholes'!$B$7-'Black-Scholes'!$B$9*SQRT('Black-Scholes'!$B$7)*B544)</f>
        <v>105.100111459488</v>
      </c>
      <c r="E544" s="18" t="n">
        <f aca="false">EXP(-'Black-Scholes'!$B$8*'Black-Scholes'!$B$7)*IF(LOWER('Black-Scholes'!$B$11)="put",MAX('Black-Scholes'!$B$6-C544,0),MAX(C544-'Black-Scholes'!$B$6,0))</f>
        <v>0.980682280479454</v>
      </c>
      <c r="F544" s="18" t="n">
        <f aca="false">(E544+G544)/2</f>
        <v>2.91602918448875</v>
      </c>
      <c r="G544" s="18" t="n">
        <f aca="false">EXP(-'Black-Scholes'!$B$8*'Black-Scholes'!$B$7)*IF(LOWER('Black-Scholes'!$B$11)="put",MAX('Black-Scholes'!$B$6-D544,0),MAX(D544-'Black-Scholes'!$B$6,0))</f>
        <v>4.85137608849804</v>
      </c>
    </row>
    <row r="545" customFormat="false" ht="15" hidden="false" customHeight="false" outlineLevel="0" collapsed="false">
      <c r="A545" s="0" t="n">
        <v>534</v>
      </c>
      <c r="B545" s="15" t="n">
        <v>-1.46478991729922</v>
      </c>
      <c r="C545" s="18" t="n">
        <f aca="false">'Black-Scholes'!$B$5*EXP(('Black-Scholes'!$B$8-'Black-Scholes'!$B$10-'Black-Scholes'!$B$9^2/2)*'Black-Scholes'!$B$7+'Black-Scholes'!$B$9*SQRT('Black-Scholes'!$B$7)*B545)</f>
        <v>76.8774197864532</v>
      </c>
      <c r="D545" s="18" t="n">
        <f aca="false">'Black-Scholes'!$B$5*EXP(('Black-Scholes'!$B$8-'Black-Scholes'!$B$10-'Black-Scholes'!$B$9^2/2)*'Black-Scholes'!$B$7-'Black-Scholes'!$B$9*SQRT('Black-Scholes'!$B$7)*B545)</f>
        <v>138.120731613377</v>
      </c>
      <c r="E545" s="18" t="n">
        <f aca="false">EXP(-'Black-Scholes'!$B$8*'Black-Scholes'!$B$7)*IF(LOWER('Black-Scholes'!$B$11)="put",MAX('Black-Scholes'!$B$6-C545,0),MAX(C545-'Black-Scholes'!$B$6,0))</f>
        <v>0</v>
      </c>
      <c r="F545" s="18" t="n">
        <f aca="false">(E545+G545)/2</f>
        <v>18.1307807970692</v>
      </c>
      <c r="G545" s="18" t="n">
        <f aca="false">EXP(-'Black-Scholes'!$B$8*'Black-Scholes'!$B$7)*IF(LOWER('Black-Scholes'!$B$11)="put",MAX('Black-Scholes'!$B$6-D545,0),MAX(D545-'Black-Scholes'!$B$6,0))</f>
        <v>36.2615615941384</v>
      </c>
    </row>
    <row r="546" customFormat="false" ht="15" hidden="false" customHeight="false" outlineLevel="0" collapsed="false">
      <c r="A546" s="0" t="n">
        <v>535</v>
      </c>
      <c r="B546" s="15" t="n">
        <v>0.491513099180446</v>
      </c>
      <c r="C546" s="18" t="n">
        <f aca="false">'Black-Scholes'!$B$5*EXP(('Black-Scholes'!$B$8-'Black-Scholes'!$B$10-'Black-Scholes'!$B$9^2/2)*'Black-Scholes'!$B$7+'Black-Scholes'!$B$9*SQRT('Black-Scholes'!$B$7)*B546)</f>
        <v>113.689699822775</v>
      </c>
      <c r="D546" s="18" t="n">
        <f aca="false">'Black-Scholes'!$B$5*EXP(('Black-Scholes'!$B$8-'Black-Scholes'!$B$10-'Black-Scholes'!$B$9^2/2)*'Black-Scholes'!$B$7-'Black-Scholes'!$B$9*SQRT('Black-Scholes'!$B$7)*B546)</f>
        <v>93.397779060073</v>
      </c>
      <c r="E546" s="18" t="n">
        <f aca="false">EXP(-'Black-Scholes'!$B$8*'Black-Scholes'!$B$7)*IF(LOWER('Black-Scholes'!$B$11)="put",MAX('Black-Scholes'!$B$6-C546,0),MAX(C546-'Black-Scholes'!$B$6,0))</f>
        <v>13.0220452840061</v>
      </c>
      <c r="F546" s="18" t="n">
        <f aca="false">(E546+G546)/2</f>
        <v>6.51102264200307</v>
      </c>
      <c r="G546" s="18" t="n">
        <f aca="false">EXP(-'Black-Scholes'!$B$8*'Black-Scholes'!$B$7)*IF(LOWER('Black-Scholes'!$B$11)="put",MAX('Black-Scholes'!$B$6-D546,0),MAX(D546-'Black-Scholes'!$B$6,0))</f>
        <v>0</v>
      </c>
    </row>
    <row r="547" customFormat="false" ht="15" hidden="false" customHeight="false" outlineLevel="0" collapsed="false">
      <c r="A547" s="0" t="n">
        <v>536</v>
      </c>
      <c r="B547" s="15" t="n">
        <v>0.50935445810394</v>
      </c>
      <c r="C547" s="18" t="n">
        <f aca="false">'Black-Scholes'!$B$5*EXP(('Black-Scholes'!$B$8-'Black-Scholes'!$B$10-'Black-Scholes'!$B$9^2/2)*'Black-Scholes'!$B$7+'Black-Scholes'!$B$9*SQRT('Black-Scholes'!$B$7)*B547)</f>
        <v>114.096100213177</v>
      </c>
      <c r="D547" s="18" t="n">
        <f aca="false">'Black-Scholes'!$B$5*EXP(('Black-Scholes'!$B$8-'Black-Scholes'!$B$10-'Black-Scholes'!$B$9^2/2)*'Black-Scholes'!$B$7-'Black-Scholes'!$B$9*SQRT('Black-Scholes'!$B$7)*B547)</f>
        <v>93.0651042902802</v>
      </c>
      <c r="E547" s="18" t="n">
        <f aca="false">EXP(-'Black-Scholes'!$B$8*'Black-Scholes'!$B$7)*IF(LOWER('Black-Scholes'!$B$11)="put",MAX('Black-Scholes'!$B$6-C547,0),MAX(C547-'Black-Scholes'!$B$6,0))</f>
        <v>13.4086252934849</v>
      </c>
      <c r="F547" s="18" t="n">
        <f aca="false">(E547+G547)/2</f>
        <v>6.70431264674247</v>
      </c>
      <c r="G547" s="18" t="n">
        <f aca="false">EXP(-'Black-Scholes'!$B$8*'Black-Scholes'!$B$7)*IF(LOWER('Black-Scholes'!$B$11)="put",MAX('Black-Scholes'!$B$6-D547,0),MAX(D547-'Black-Scholes'!$B$6,0))</f>
        <v>0</v>
      </c>
    </row>
    <row r="548" customFormat="false" ht="15" hidden="false" customHeight="false" outlineLevel="0" collapsed="false">
      <c r="A548" s="0" t="n">
        <v>537</v>
      </c>
      <c r="B548" s="15" t="n">
        <v>0.755442352853289</v>
      </c>
      <c r="C548" s="18" t="n">
        <f aca="false">'Black-Scholes'!$B$5*EXP(('Black-Scholes'!$B$8-'Black-Scholes'!$B$10-'Black-Scholes'!$B$9^2/2)*'Black-Scholes'!$B$7+'Black-Scholes'!$B$9*SQRT('Black-Scholes'!$B$7)*B548)</f>
        <v>119.852120845816</v>
      </c>
      <c r="D548" s="18" t="n">
        <f aca="false">'Black-Scholes'!$B$5*EXP(('Black-Scholes'!$B$8-'Black-Scholes'!$B$10-'Black-Scholes'!$B$9^2/2)*'Black-Scholes'!$B$7-'Black-Scholes'!$B$9*SQRT('Black-Scholes'!$B$7)*B548)</f>
        <v>88.5955575130259</v>
      </c>
      <c r="E548" s="18" t="n">
        <f aca="false">EXP(-'Black-Scholes'!$B$8*'Black-Scholes'!$B$7)*IF(LOWER('Black-Scholes'!$B$11)="put",MAX('Black-Scholes'!$B$6-C548,0),MAX(C548-'Black-Scholes'!$B$6,0))</f>
        <v>18.883921487284</v>
      </c>
      <c r="F548" s="18" t="n">
        <f aca="false">(E548+G548)/2</f>
        <v>9.44196074364198</v>
      </c>
      <c r="G548" s="18" t="n">
        <f aca="false">EXP(-'Black-Scholes'!$B$8*'Black-Scholes'!$B$7)*IF(LOWER('Black-Scholes'!$B$11)="put",MAX('Black-Scholes'!$B$6-D548,0),MAX(D548-'Black-Scholes'!$B$6,0))</f>
        <v>0</v>
      </c>
    </row>
    <row r="549" customFormat="false" ht="15" hidden="false" customHeight="false" outlineLevel="0" collapsed="false">
      <c r="A549" s="0" t="n">
        <v>538</v>
      </c>
      <c r="B549" s="15" t="n">
        <v>1.77164134853537</v>
      </c>
      <c r="C549" s="18" t="n">
        <f aca="false">'Black-Scholes'!$B$5*EXP(('Black-Scholes'!$B$8-'Black-Scholes'!$B$10-'Black-Scholes'!$B$9^2/2)*'Black-Scholes'!$B$7+'Black-Scholes'!$B$9*SQRT('Black-Scholes'!$B$7)*B549)</f>
        <v>146.862746846914</v>
      </c>
      <c r="D549" s="18" t="n">
        <f aca="false">'Black-Scholes'!$B$5*EXP(('Black-Scholes'!$B$8-'Black-Scholes'!$B$10-'Black-Scholes'!$B$9^2/2)*'Black-Scholes'!$B$7-'Black-Scholes'!$B$9*SQRT('Black-Scholes'!$B$7)*B549)</f>
        <v>72.3012860199456</v>
      </c>
      <c r="E549" s="18" t="n">
        <f aca="false">EXP(-'Black-Scholes'!$B$8*'Black-Scholes'!$B$7)*IF(LOWER('Black-Scholes'!$B$11)="put",MAX('Black-Scholes'!$B$6-C549,0),MAX(C549-'Black-Scholes'!$B$6,0))</f>
        <v>44.5772237137127</v>
      </c>
      <c r="F549" s="18" t="n">
        <f aca="false">(E549+G549)/2</f>
        <v>22.2886118568564</v>
      </c>
      <c r="G549" s="18" t="n">
        <f aca="false">EXP(-'Black-Scholes'!$B$8*'Black-Scholes'!$B$7)*IF(LOWER('Black-Scholes'!$B$11)="put",MAX('Black-Scholes'!$B$6-D549,0),MAX(D549-'Black-Scholes'!$B$6,0))</f>
        <v>0</v>
      </c>
    </row>
    <row r="550" customFormat="false" ht="15" hidden="false" customHeight="false" outlineLevel="0" collapsed="false">
      <c r="A550" s="0" t="n">
        <v>539</v>
      </c>
      <c r="B550" s="15" t="n">
        <v>-1.22289024512291</v>
      </c>
      <c r="C550" s="18" t="n">
        <f aca="false">'Black-Scholes'!$B$5*EXP(('Black-Scholes'!$B$8-'Black-Scholes'!$B$10-'Black-Scholes'!$B$9^2/2)*'Black-Scholes'!$B$7+'Black-Scholes'!$B$9*SQRT('Black-Scholes'!$B$7)*B550)</f>
        <v>80.6881832934203</v>
      </c>
      <c r="D550" s="18" t="n">
        <f aca="false">'Black-Scholes'!$B$5*EXP(('Black-Scholes'!$B$8-'Black-Scholes'!$B$10-'Black-Scholes'!$B$9^2/2)*'Black-Scholes'!$B$7-'Black-Scholes'!$B$9*SQRT('Black-Scholes'!$B$7)*B550)</f>
        <v>131.5975280648</v>
      </c>
      <c r="E550" s="18" t="n">
        <f aca="false">EXP(-'Black-Scholes'!$B$8*'Black-Scholes'!$B$7)*IF(LOWER('Black-Scholes'!$B$11)="put",MAX('Black-Scholes'!$B$6-C550,0),MAX(C550-'Black-Scholes'!$B$6,0))</f>
        <v>0</v>
      </c>
      <c r="F550" s="18" t="n">
        <f aca="false">(E550+G550)/2</f>
        <v>15.0282492183624</v>
      </c>
      <c r="G550" s="18" t="n">
        <f aca="false">EXP(-'Black-Scholes'!$B$8*'Black-Scholes'!$B$7)*IF(LOWER('Black-Scholes'!$B$11)="put",MAX('Black-Scholes'!$B$6-D550,0),MAX(D550-'Black-Scholes'!$B$6,0))</f>
        <v>30.0564984367248</v>
      </c>
    </row>
    <row r="551" customFormat="false" ht="15" hidden="false" customHeight="false" outlineLevel="0" collapsed="false">
      <c r="A551" s="0" t="n">
        <v>540</v>
      </c>
      <c r="B551" s="15" t="n">
        <v>1.49047828085173</v>
      </c>
      <c r="C551" s="18" t="n">
        <f aca="false">'Black-Scholes'!$B$5*EXP(('Black-Scholes'!$B$8-'Black-Scholes'!$B$10-'Black-Scholes'!$B$9^2/2)*'Black-Scholes'!$B$7+'Black-Scholes'!$B$9*SQRT('Black-Scholes'!$B$7)*B551)</f>
        <v>138.832176748146</v>
      </c>
      <c r="D551" s="18" t="n">
        <f aca="false">'Black-Scholes'!$B$5*EXP(('Black-Scholes'!$B$8-'Black-Scholes'!$B$10-'Black-Scholes'!$B$9^2/2)*'Black-Scholes'!$B$7-'Black-Scholes'!$B$9*SQRT('Black-Scholes'!$B$7)*B551)</f>
        <v>76.4834616453237</v>
      </c>
      <c r="E551" s="18" t="n">
        <f aca="false">EXP(-'Black-Scholes'!$B$8*'Black-Scholes'!$B$7)*IF(LOWER('Black-Scholes'!$B$11)="put",MAX('Black-Scholes'!$B$6-C551,0),MAX(C551-'Black-Scholes'!$B$6,0))</f>
        <v>36.9383091402486</v>
      </c>
      <c r="F551" s="18" t="n">
        <f aca="false">(E551+G551)/2</f>
        <v>18.4691545701243</v>
      </c>
      <c r="G551" s="18" t="n">
        <f aca="false">EXP(-'Black-Scholes'!$B$8*'Black-Scholes'!$B$7)*IF(LOWER('Black-Scholes'!$B$11)="put",MAX('Black-Scholes'!$B$6-D551,0),MAX(D551-'Black-Scholes'!$B$6,0))</f>
        <v>0</v>
      </c>
    </row>
    <row r="552" customFormat="false" ht="15" hidden="false" customHeight="false" outlineLevel="0" collapsed="false">
      <c r="A552" s="0" t="n">
        <v>541</v>
      </c>
      <c r="B552" s="15" t="n">
        <v>0.121585508247256</v>
      </c>
      <c r="C552" s="18" t="n">
        <f aca="false">'Black-Scholes'!$B$5*EXP(('Black-Scholes'!$B$8-'Black-Scholes'!$B$10-'Black-Scholes'!$B$9^2/2)*'Black-Scholes'!$B$7+'Black-Scholes'!$B$9*SQRT('Black-Scholes'!$B$7)*B552)</f>
        <v>105.581935113532</v>
      </c>
      <c r="D552" s="18" t="n">
        <f aca="false">'Black-Scholes'!$B$5*EXP(('Black-Scholes'!$B$8-'Black-Scholes'!$B$10-'Black-Scholes'!$B$9^2/2)*'Black-Scholes'!$B$7-'Black-Scholes'!$B$9*SQRT('Black-Scholes'!$B$7)*B552)</f>
        <v>100.56990766494</v>
      </c>
      <c r="E552" s="18" t="n">
        <f aca="false">EXP(-'Black-Scholes'!$B$8*'Black-Scholes'!$B$7)*IF(LOWER('Black-Scholes'!$B$11)="put",MAX('Black-Scholes'!$B$6-C552,0),MAX(C552-'Black-Scholes'!$B$6,0))</f>
        <v>5.30970092564496</v>
      </c>
      <c r="F552" s="18" t="n">
        <f aca="false">(E552+G552)/2</f>
        <v>2.92590693289238</v>
      </c>
      <c r="G552" s="18" t="n">
        <f aca="false">EXP(-'Black-Scholes'!$B$8*'Black-Scholes'!$B$7)*IF(LOWER('Black-Scholes'!$B$11)="put",MAX('Black-Scholes'!$B$6-D552,0),MAX(D552-'Black-Scholes'!$B$6,0))</f>
        <v>0.542112940139791</v>
      </c>
    </row>
    <row r="553" customFormat="false" ht="15" hidden="false" customHeight="false" outlineLevel="0" collapsed="false">
      <c r="A553" s="0" t="n">
        <v>542</v>
      </c>
      <c r="B553" s="15" t="n">
        <v>-2.31867423515015</v>
      </c>
      <c r="C553" s="18" t="n">
        <f aca="false">'Black-Scholes'!$B$5*EXP(('Black-Scholes'!$B$8-'Black-Scholes'!$B$10-'Black-Scholes'!$B$9^2/2)*'Black-Scholes'!$B$7+'Black-Scholes'!$B$9*SQRT('Black-Scholes'!$B$7)*B553)</f>
        <v>64.8084074122277</v>
      </c>
      <c r="D553" s="18" t="n">
        <f aca="false">'Black-Scholes'!$B$5*EXP(('Black-Scholes'!$B$8-'Black-Scholes'!$B$10-'Black-Scholes'!$B$9^2/2)*'Black-Scholes'!$B$7-'Black-Scholes'!$B$9*SQRT('Black-Scholes'!$B$7)*B553)</f>
        <v>163.842407018479</v>
      </c>
      <c r="E553" s="18" t="n">
        <f aca="false">EXP(-'Black-Scholes'!$B$8*'Black-Scholes'!$B$7)*IF(LOWER('Black-Scholes'!$B$11)="put",MAX('Black-Scholes'!$B$6-C553,0),MAX(C553-'Black-Scholes'!$B$6,0))</f>
        <v>0</v>
      </c>
      <c r="F553" s="18" t="n">
        <f aca="false">(E553+G553)/2</f>
        <v>30.3643880434638</v>
      </c>
      <c r="G553" s="18" t="n">
        <f aca="false">EXP(-'Black-Scholes'!$B$8*'Black-Scholes'!$B$7)*IF(LOWER('Black-Scholes'!$B$11)="put",MAX('Black-Scholes'!$B$6-D553,0),MAX(D553-'Black-Scholes'!$B$6,0))</f>
        <v>60.7287760869277</v>
      </c>
    </row>
    <row r="554" customFormat="false" ht="15" hidden="false" customHeight="false" outlineLevel="0" collapsed="false">
      <c r="A554" s="0" t="n">
        <v>543</v>
      </c>
      <c r="B554" s="15" t="n">
        <v>0.0184882303270765</v>
      </c>
      <c r="C554" s="18" t="n">
        <f aca="false">'Black-Scholes'!$B$5*EXP(('Black-Scholes'!$B$8-'Black-Scholes'!$B$10-'Black-Scholes'!$B$9^2/2)*'Black-Scholes'!$B$7+'Black-Scholes'!$B$9*SQRT('Black-Scholes'!$B$7)*B554)</f>
        <v>103.427184328662</v>
      </c>
      <c r="D554" s="18" t="n">
        <f aca="false">'Black-Scholes'!$B$5*EXP(('Black-Scholes'!$B$8-'Black-Scholes'!$B$10-'Black-Scholes'!$B$9^2/2)*'Black-Scholes'!$B$7-'Black-Scholes'!$B$9*SQRT('Black-Scholes'!$B$7)*B554)</f>
        <v>102.665131361513</v>
      </c>
      <c r="E554" s="18" t="n">
        <f aca="false">EXP(-'Black-Scholes'!$B$8*'Black-Scholes'!$B$7)*IF(LOWER('Black-Scholes'!$B$11)="put",MAX('Black-Scholes'!$B$6-C554,0),MAX(C554-'Black-Scholes'!$B$6,0))</f>
        <v>3.26003857661141</v>
      </c>
      <c r="F554" s="18" t="n">
        <f aca="false">(E554+G554)/2</f>
        <v>2.89759497392134</v>
      </c>
      <c r="G554" s="18" t="n">
        <f aca="false">EXP(-'Black-Scholes'!$B$8*'Black-Scholes'!$B$7)*IF(LOWER('Black-Scholes'!$B$11)="put",MAX('Black-Scholes'!$B$6-D554,0),MAX(D554-'Black-Scholes'!$B$6,0))</f>
        <v>2.53515137123128</v>
      </c>
    </row>
    <row r="555" customFormat="false" ht="15" hidden="false" customHeight="false" outlineLevel="0" collapsed="false">
      <c r="A555" s="0" t="n">
        <v>544</v>
      </c>
      <c r="B555" s="15" t="n">
        <v>0.854835539461461</v>
      </c>
      <c r="C555" s="18" t="n">
        <f aca="false">'Black-Scholes'!$B$5*EXP(('Black-Scholes'!$B$8-'Black-Scholes'!$B$10-'Black-Scholes'!$B$9^2/2)*'Black-Scholes'!$B$7+'Black-Scholes'!$B$9*SQRT('Black-Scholes'!$B$7)*B555)</f>
        <v>122.258455777901</v>
      </c>
      <c r="D555" s="18" t="n">
        <f aca="false">'Black-Scholes'!$B$5*EXP(('Black-Scholes'!$B$8-'Black-Scholes'!$B$10-'Black-Scholes'!$B$9^2/2)*'Black-Scholes'!$B$7-'Black-Scholes'!$B$9*SQRT('Black-Scholes'!$B$7)*B555)</f>
        <v>86.8517878611462</v>
      </c>
      <c r="E555" s="18" t="n">
        <f aca="false">EXP(-'Black-Scholes'!$B$8*'Black-Scholes'!$B$7)*IF(LOWER('Black-Scholes'!$B$11)="put",MAX('Black-Scholes'!$B$6-C555,0),MAX(C555-'Black-Scholes'!$B$6,0))</f>
        <v>21.1728980798876</v>
      </c>
      <c r="F555" s="18" t="n">
        <f aca="false">(E555+G555)/2</f>
        <v>10.5864490399438</v>
      </c>
      <c r="G555" s="18" t="n">
        <f aca="false">EXP(-'Black-Scholes'!$B$8*'Black-Scholes'!$B$7)*IF(LOWER('Black-Scholes'!$B$11)="put",MAX('Black-Scholes'!$B$6-D555,0),MAX(D555-'Black-Scholes'!$B$6,0))</f>
        <v>0</v>
      </c>
    </row>
    <row r="556" customFormat="false" ht="15" hidden="false" customHeight="false" outlineLevel="0" collapsed="false">
      <c r="A556" s="0" t="n">
        <v>545</v>
      </c>
      <c r="B556" s="15" t="n">
        <v>0.722736800820463</v>
      </c>
      <c r="C556" s="18" t="n">
        <f aca="false">'Black-Scholes'!$B$5*EXP(('Black-Scholes'!$B$8-'Black-Scholes'!$B$10-'Black-Scholes'!$B$9^2/2)*'Black-Scholes'!$B$7+'Black-Scholes'!$B$9*SQRT('Black-Scholes'!$B$7)*B556)</f>
        <v>119.070713313488</v>
      </c>
      <c r="D556" s="18" t="n">
        <f aca="false">'Black-Scholes'!$B$5*EXP(('Black-Scholes'!$B$8-'Black-Scholes'!$B$10-'Black-Scholes'!$B$9^2/2)*'Black-Scholes'!$B$7-'Black-Scholes'!$B$9*SQRT('Black-Scholes'!$B$7)*B556)</f>
        <v>89.1769703058527</v>
      </c>
      <c r="E556" s="18" t="n">
        <f aca="false">EXP(-'Black-Scholes'!$B$8*'Black-Scholes'!$B$7)*IF(LOWER('Black-Scholes'!$B$11)="put",MAX('Black-Scholes'!$B$6-C556,0),MAX(C556-'Black-Scholes'!$B$6,0))</f>
        <v>18.1406236500071</v>
      </c>
      <c r="F556" s="18" t="n">
        <f aca="false">(E556+G556)/2</f>
        <v>9.07031182500355</v>
      </c>
      <c r="G556" s="18" t="n">
        <f aca="false">EXP(-'Black-Scholes'!$B$8*'Black-Scholes'!$B$7)*IF(LOWER('Black-Scholes'!$B$11)="put",MAX('Black-Scholes'!$B$6-D556,0),MAX(D556-'Black-Scholes'!$B$6,0))</f>
        <v>0</v>
      </c>
    </row>
    <row r="557" customFormat="false" ht="15" hidden="false" customHeight="false" outlineLevel="0" collapsed="false">
      <c r="A557" s="0" t="n">
        <v>546</v>
      </c>
      <c r="B557" s="15" t="n">
        <v>-0.225514893640413</v>
      </c>
      <c r="C557" s="18" t="n">
        <f aca="false">'Black-Scholes'!$B$5*EXP(('Black-Scholes'!$B$8-'Black-Scholes'!$B$10-'Black-Scholes'!$B$9^2/2)*'Black-Scholes'!$B$7+'Black-Scholes'!$B$9*SQRT('Black-Scholes'!$B$7)*B557)</f>
        <v>98.5010499251692</v>
      </c>
      <c r="D557" s="18" t="n">
        <f aca="false">'Black-Scholes'!$B$5*EXP(('Black-Scholes'!$B$8-'Black-Scholes'!$B$10-'Black-Scholes'!$B$9^2/2)*'Black-Scholes'!$B$7-'Black-Scholes'!$B$9*SQRT('Black-Scholes'!$B$7)*B557)</f>
        <v>107.799515573898</v>
      </c>
      <c r="E557" s="18" t="n">
        <f aca="false">EXP(-'Black-Scholes'!$B$8*'Black-Scholes'!$B$7)*IF(LOWER('Black-Scholes'!$B$11)="put",MAX('Black-Scholes'!$B$6-C557,0),MAX(C557-'Black-Scholes'!$B$6,0))</f>
        <v>0</v>
      </c>
      <c r="F557" s="18" t="n">
        <f aca="false">(E557+G557)/2</f>
        <v>3.70956435537174</v>
      </c>
      <c r="G557" s="18" t="n">
        <f aca="false">EXP(-'Black-Scholes'!$B$8*'Black-Scholes'!$B$7)*IF(LOWER('Black-Scholes'!$B$11)="put",MAX('Black-Scholes'!$B$6-D557,0),MAX(D557-'Black-Scholes'!$B$6,0))</f>
        <v>7.41912871074348</v>
      </c>
    </row>
    <row r="558" customFormat="false" ht="15" hidden="false" customHeight="false" outlineLevel="0" collapsed="false">
      <c r="A558" s="0" t="n">
        <v>547</v>
      </c>
      <c r="B558" s="15" t="n">
        <v>-0.488863901755589</v>
      </c>
      <c r="C558" s="18" t="n">
        <f aca="false">'Black-Scholes'!$B$5*EXP(('Black-Scholes'!$B$8-'Black-Scholes'!$B$10-'Black-Scholes'!$B$9^2/2)*'Black-Scholes'!$B$7+'Black-Scholes'!$B$9*SQRT('Black-Scholes'!$B$7)*B558)</f>
        <v>93.447278003317</v>
      </c>
      <c r="D558" s="18" t="n">
        <f aca="false">'Black-Scholes'!$B$5*EXP(('Black-Scholes'!$B$8-'Black-Scholes'!$B$10-'Black-Scholes'!$B$9^2/2)*'Black-Scholes'!$B$7-'Black-Scholes'!$B$9*SQRT('Black-Scholes'!$B$7)*B558)</f>
        <v>113.629478486005</v>
      </c>
      <c r="E558" s="18" t="n">
        <f aca="false">EXP(-'Black-Scholes'!$B$8*'Black-Scholes'!$B$7)*IF(LOWER('Black-Scholes'!$B$11)="put",MAX('Black-Scholes'!$B$6-C558,0),MAX(C558-'Black-Scholes'!$B$6,0))</f>
        <v>0</v>
      </c>
      <c r="F558" s="18" t="n">
        <f aca="false">(E558+G558)/2</f>
        <v>6.48238048824349</v>
      </c>
      <c r="G558" s="18" t="n">
        <f aca="false">EXP(-'Black-Scholes'!$B$8*'Black-Scholes'!$B$7)*IF(LOWER('Black-Scholes'!$B$11)="put",MAX('Black-Scholes'!$B$6-D558,0),MAX(D558-'Black-Scholes'!$B$6,0))</f>
        <v>12.964760976487</v>
      </c>
    </row>
    <row r="559" customFormat="false" ht="15" hidden="false" customHeight="false" outlineLevel="0" collapsed="false">
      <c r="A559" s="0" t="n">
        <v>548</v>
      </c>
      <c r="B559" s="15" t="n">
        <v>0.700667068395988</v>
      </c>
      <c r="C559" s="18" t="n">
        <f aca="false">'Black-Scholes'!$B$5*EXP(('Black-Scholes'!$B$8-'Black-Scholes'!$B$10-'Black-Scholes'!$B$9^2/2)*'Black-Scholes'!$B$7+'Black-Scholes'!$B$9*SQRT('Black-Scholes'!$B$7)*B559)</f>
        <v>118.546299775076</v>
      </c>
      <c r="D559" s="18" t="n">
        <f aca="false">'Black-Scholes'!$B$5*EXP(('Black-Scholes'!$B$8-'Black-Scholes'!$B$10-'Black-Scholes'!$B$9^2/2)*'Black-Scholes'!$B$7-'Black-Scholes'!$B$9*SQRT('Black-Scholes'!$B$7)*B559)</f>
        <v>89.5714626740803</v>
      </c>
      <c r="E559" s="18" t="n">
        <f aca="false">EXP(-'Black-Scholes'!$B$8*'Black-Scholes'!$B$7)*IF(LOWER('Black-Scholes'!$B$11)="put",MAX('Black-Scholes'!$B$6-C559,0),MAX(C559-'Black-Scholes'!$B$6,0))</f>
        <v>17.6417860616637</v>
      </c>
      <c r="F559" s="18" t="n">
        <f aca="false">(E559+G559)/2</f>
        <v>8.82089303083187</v>
      </c>
      <c r="G559" s="18" t="n">
        <f aca="false">EXP(-'Black-Scholes'!$B$8*'Black-Scholes'!$B$7)*IF(LOWER('Black-Scholes'!$B$11)="put",MAX('Black-Scholes'!$B$6-D559,0),MAX(D559-'Black-Scholes'!$B$6,0))</f>
        <v>0</v>
      </c>
    </row>
    <row r="560" customFormat="false" ht="15" hidden="false" customHeight="false" outlineLevel="0" collapsed="false">
      <c r="A560" s="0" t="n">
        <v>549</v>
      </c>
      <c r="B560" s="15" t="n">
        <v>-1.08746464963438</v>
      </c>
      <c r="C560" s="18" t="n">
        <f aca="false">'Black-Scholes'!$B$5*EXP(('Black-Scholes'!$B$8-'Black-Scholes'!$B$10-'Black-Scholes'!$B$9^2/2)*'Black-Scholes'!$B$7+'Black-Scholes'!$B$9*SQRT('Black-Scholes'!$B$7)*B560)</f>
        <v>82.9034979497608</v>
      </c>
      <c r="D560" s="18" t="n">
        <f aca="false">'Black-Scholes'!$B$5*EXP(('Black-Scholes'!$B$8-'Black-Scholes'!$B$10-'Black-Scholes'!$B$9^2/2)*'Black-Scholes'!$B$7-'Black-Scholes'!$B$9*SQRT('Black-Scholes'!$B$7)*B560)</f>
        <v>128.081030692918</v>
      </c>
      <c r="E560" s="18" t="n">
        <f aca="false">EXP(-'Black-Scholes'!$B$8*'Black-Scholes'!$B$7)*IF(LOWER('Black-Scholes'!$B$11)="put",MAX('Black-Scholes'!$B$6-C560,0),MAX(C560-'Black-Scholes'!$B$6,0))</f>
        <v>0</v>
      </c>
      <c r="F560" s="18" t="n">
        <f aca="false">(E560+G560)/2</f>
        <v>13.3557513327058</v>
      </c>
      <c r="G560" s="18" t="n">
        <f aca="false">EXP(-'Black-Scholes'!$B$8*'Black-Scholes'!$B$7)*IF(LOWER('Black-Scholes'!$B$11)="put",MAX('Black-Scholes'!$B$6-D560,0),MAX(D560-'Black-Scholes'!$B$6,0))</f>
        <v>26.7115026654116</v>
      </c>
    </row>
    <row r="561" customFormat="false" ht="15" hidden="false" customHeight="false" outlineLevel="0" collapsed="false">
      <c r="A561" s="0" t="n">
        <v>550</v>
      </c>
      <c r="B561" s="15" t="n">
        <v>-0.971585837665588</v>
      </c>
      <c r="C561" s="18" t="n">
        <f aca="false">'Black-Scholes'!$B$5*EXP(('Black-Scholes'!$B$8-'Black-Scholes'!$B$10-'Black-Scholes'!$B$9^2/2)*'Black-Scholes'!$B$7+'Black-Scholes'!$B$9*SQRT('Black-Scholes'!$B$7)*B561)</f>
        <v>84.8472871152066</v>
      </c>
      <c r="D561" s="18" t="n">
        <f aca="false">'Black-Scholes'!$B$5*EXP(('Black-Scholes'!$B$8-'Black-Scholes'!$B$10-'Black-Scholes'!$B$9^2/2)*'Black-Scholes'!$B$7-'Black-Scholes'!$B$9*SQRT('Black-Scholes'!$B$7)*B561)</f>
        <v>125.14678814699</v>
      </c>
      <c r="E561" s="18" t="n">
        <f aca="false">EXP(-'Black-Scholes'!$B$8*'Black-Scholes'!$B$7)*IF(LOWER('Black-Scholes'!$B$11)="put",MAX('Black-Scholes'!$B$6-C561,0),MAX(C561-'Black-Scholes'!$B$6,0))</f>
        <v>0</v>
      </c>
      <c r="F561" s="18" t="n">
        <f aca="false">(E561+G561)/2</f>
        <v>11.9601824085513</v>
      </c>
      <c r="G561" s="18" t="n">
        <f aca="false">EXP(-'Black-Scholes'!$B$8*'Black-Scholes'!$B$7)*IF(LOWER('Black-Scholes'!$B$11)="put",MAX('Black-Scholes'!$B$6-D561,0),MAX(D561-'Black-Scholes'!$B$6,0))</f>
        <v>23.9203648171027</v>
      </c>
    </row>
    <row r="562" customFormat="false" ht="15" hidden="false" customHeight="false" outlineLevel="0" collapsed="false">
      <c r="A562" s="0" t="n">
        <v>551</v>
      </c>
      <c r="B562" s="15" t="n">
        <v>0.852361440112109</v>
      </c>
      <c r="C562" s="18" t="n">
        <f aca="false">'Black-Scholes'!$B$5*EXP(('Black-Scholes'!$B$8-'Black-Scholes'!$B$10-'Black-Scholes'!$B$9^2/2)*'Black-Scholes'!$B$7+'Black-Scholes'!$B$9*SQRT('Black-Scholes'!$B$7)*B562)</f>
        <v>122.197974829544</v>
      </c>
      <c r="D562" s="18" t="n">
        <f aca="false">'Black-Scholes'!$B$5*EXP(('Black-Scholes'!$B$8-'Black-Scholes'!$B$10-'Black-Scholes'!$B$9^2/2)*'Black-Scholes'!$B$7-'Black-Scholes'!$B$9*SQRT('Black-Scholes'!$B$7)*B562)</f>
        <v>86.8947744859546</v>
      </c>
      <c r="E562" s="18" t="n">
        <f aca="false">EXP(-'Black-Scholes'!$B$8*'Black-Scholes'!$B$7)*IF(LOWER('Black-Scholes'!$B$11)="put",MAX('Black-Scholes'!$B$6-C562,0),MAX(C562-'Black-Scholes'!$B$6,0))</f>
        <v>21.1153668221886</v>
      </c>
      <c r="F562" s="18" t="n">
        <f aca="false">(E562+G562)/2</f>
        <v>10.5576834110943</v>
      </c>
      <c r="G562" s="18" t="n">
        <f aca="false">EXP(-'Black-Scholes'!$B$8*'Black-Scholes'!$B$7)*IF(LOWER('Black-Scholes'!$B$11)="put",MAX('Black-Scholes'!$B$6-D562,0),MAX(D562-'Black-Scholes'!$B$6,0))</f>
        <v>0</v>
      </c>
    </row>
    <row r="563" customFormat="false" ht="15" hidden="false" customHeight="false" outlineLevel="0" collapsed="false">
      <c r="A563" s="0" t="n">
        <v>552</v>
      </c>
      <c r="B563" s="15" t="n">
        <v>0.962698007366115</v>
      </c>
      <c r="C563" s="18" t="n">
        <f aca="false">'Black-Scholes'!$B$5*EXP(('Black-Scholes'!$B$8-'Black-Scholes'!$B$10-'Black-Scholes'!$B$9^2/2)*'Black-Scholes'!$B$7+'Black-Scholes'!$B$9*SQRT('Black-Scholes'!$B$7)*B563)</f>
        <v>124.924529062501</v>
      </c>
      <c r="D563" s="18" t="n">
        <f aca="false">'Black-Scholes'!$B$5*EXP(('Black-Scholes'!$B$8-'Black-Scholes'!$B$10-'Black-Scholes'!$B$9^2/2)*'Black-Scholes'!$B$7-'Black-Scholes'!$B$9*SQRT('Black-Scholes'!$B$7)*B563)</f>
        <v>84.9982429002483</v>
      </c>
      <c r="E563" s="18" t="n">
        <f aca="false">EXP(-'Black-Scholes'!$B$8*'Black-Scholes'!$B$7)*IF(LOWER('Black-Scholes'!$B$11)="put",MAX('Black-Scholes'!$B$6-C563,0),MAX(C563-'Black-Scholes'!$B$6,0))</f>
        <v>23.7089454360742</v>
      </c>
      <c r="F563" s="18" t="n">
        <f aca="false">(E563+G563)/2</f>
        <v>11.8544727180371</v>
      </c>
      <c r="G563" s="18" t="n">
        <f aca="false">EXP(-'Black-Scholes'!$B$8*'Black-Scholes'!$B$7)*IF(LOWER('Black-Scholes'!$B$11)="put",MAX('Black-Scholes'!$B$6-D563,0),MAX(D563-'Black-Scholes'!$B$6,0))</f>
        <v>0</v>
      </c>
    </row>
    <row r="564" customFormat="false" ht="15" hidden="false" customHeight="false" outlineLevel="0" collapsed="false">
      <c r="A564" s="0" t="n">
        <v>553</v>
      </c>
      <c r="B564" s="15" t="n">
        <v>0.329675500379435</v>
      </c>
      <c r="C564" s="18" t="n">
        <f aca="false">'Black-Scholes'!$B$5*EXP(('Black-Scholes'!$B$8-'Black-Scholes'!$B$10-'Black-Scholes'!$B$9^2/2)*'Black-Scholes'!$B$7+'Black-Scholes'!$B$9*SQRT('Black-Scholes'!$B$7)*B564)</f>
        <v>110.068762713241</v>
      </c>
      <c r="D564" s="18" t="n">
        <f aca="false">'Black-Scholes'!$B$5*EXP(('Black-Scholes'!$B$8-'Black-Scholes'!$B$10-'Black-Scholes'!$B$9^2/2)*'Black-Scholes'!$B$7-'Black-Scholes'!$B$9*SQRT('Black-Scholes'!$B$7)*B564)</f>
        <v>96.4702900596543</v>
      </c>
      <c r="E564" s="18" t="n">
        <f aca="false">EXP(-'Black-Scholes'!$B$8*'Black-Scholes'!$B$7)*IF(LOWER('Black-Scholes'!$B$11)="put",MAX('Black-Scholes'!$B$6-C564,0),MAX(C564-'Black-Scholes'!$B$6,0))</f>
        <v>9.57770336115025</v>
      </c>
      <c r="F564" s="18" t="n">
        <f aca="false">(E564+G564)/2</f>
        <v>4.78885168057513</v>
      </c>
      <c r="G564" s="18" t="n">
        <f aca="false">EXP(-'Black-Scholes'!$B$8*'Black-Scholes'!$B$7)*IF(LOWER('Black-Scholes'!$B$11)="put",MAX('Black-Scholes'!$B$6-D564,0),MAX(D564-'Black-Scholes'!$B$6,0))</f>
        <v>0</v>
      </c>
    </row>
    <row r="565" customFormat="false" ht="15" hidden="false" customHeight="false" outlineLevel="0" collapsed="false">
      <c r="A565" s="0" t="n">
        <v>554</v>
      </c>
      <c r="B565" s="15" t="n">
        <v>-0.914992165030917</v>
      </c>
      <c r="C565" s="18" t="n">
        <f aca="false">'Black-Scholes'!$B$5*EXP(('Black-Scholes'!$B$8-'Black-Scholes'!$B$10-'Black-Scholes'!$B$9^2/2)*'Black-Scholes'!$B$7+'Black-Scholes'!$B$9*SQRT('Black-Scholes'!$B$7)*B565)</f>
        <v>85.8131066496415</v>
      </c>
      <c r="D565" s="18" t="n">
        <f aca="false">'Black-Scholes'!$B$5*EXP(('Black-Scholes'!$B$8-'Black-Scholes'!$B$10-'Black-Scholes'!$B$9^2/2)*'Black-Scholes'!$B$7-'Black-Scholes'!$B$9*SQRT('Black-Scholes'!$B$7)*B565)</f>
        <v>123.738271227102</v>
      </c>
      <c r="E565" s="18" t="n">
        <f aca="false">EXP(-'Black-Scholes'!$B$8*'Black-Scholes'!$B$7)*IF(LOWER('Black-Scholes'!$B$11)="put",MAX('Black-Scholes'!$B$6-C565,0),MAX(C565-'Black-Scholes'!$B$6,0))</f>
        <v>0</v>
      </c>
      <c r="F565" s="18" t="n">
        <f aca="false">(E565+G565)/2</f>
        <v>11.2902710389992</v>
      </c>
      <c r="G565" s="18" t="n">
        <f aca="false">EXP(-'Black-Scholes'!$B$8*'Black-Scholes'!$B$7)*IF(LOWER('Black-Scholes'!$B$11)="put",MAX('Black-Scholes'!$B$6-D565,0),MAX(D565-'Black-Scholes'!$B$6,0))</f>
        <v>22.5805420779984</v>
      </c>
    </row>
    <row r="566" customFormat="false" ht="15" hidden="false" customHeight="false" outlineLevel="0" collapsed="false">
      <c r="A566" s="0" t="n">
        <v>555</v>
      </c>
      <c r="B566" s="15" t="n">
        <v>0.928294525584472</v>
      </c>
      <c r="C566" s="18" t="n">
        <f aca="false">'Black-Scholes'!$B$5*EXP(('Black-Scholes'!$B$8-'Black-Scholes'!$B$10-'Black-Scholes'!$B$9^2/2)*'Black-Scholes'!$B$7+'Black-Scholes'!$B$9*SQRT('Black-Scholes'!$B$7)*B566)</f>
        <v>124.067911752005</v>
      </c>
      <c r="D566" s="18" t="n">
        <f aca="false">'Black-Scholes'!$B$5*EXP(('Black-Scholes'!$B$8-'Black-Scholes'!$B$10-'Black-Scholes'!$B$9^2/2)*'Black-Scholes'!$B$7-'Black-Scholes'!$B$9*SQRT('Black-Scholes'!$B$7)*B566)</f>
        <v>85.5851067009032</v>
      </c>
      <c r="E566" s="18" t="n">
        <f aca="false">EXP(-'Black-Scholes'!$B$8*'Black-Scholes'!$B$7)*IF(LOWER('Black-Scholes'!$B$11)="put",MAX('Black-Scholes'!$B$6-C566,0),MAX(C566-'Black-Scholes'!$B$6,0))</f>
        <v>22.8941058447938</v>
      </c>
      <c r="F566" s="18" t="n">
        <f aca="false">(E566+G566)/2</f>
        <v>11.4470529223969</v>
      </c>
      <c r="G566" s="18" t="n">
        <f aca="false">EXP(-'Black-Scholes'!$B$8*'Black-Scholes'!$B$7)*IF(LOWER('Black-Scholes'!$B$11)="put",MAX('Black-Scholes'!$B$6-D566,0),MAX(D566-'Black-Scholes'!$B$6,0))</f>
        <v>0</v>
      </c>
    </row>
    <row r="567" customFormat="false" ht="15" hidden="false" customHeight="false" outlineLevel="0" collapsed="false">
      <c r="A567" s="0" t="n">
        <v>556</v>
      </c>
      <c r="B567" s="15" t="n">
        <v>1.42199597838026</v>
      </c>
      <c r="C567" s="18" t="n">
        <f aca="false">'Black-Scholes'!$B$5*EXP(('Black-Scholes'!$B$8-'Black-Scholes'!$B$10-'Black-Scholes'!$B$9^2/2)*'Black-Scholes'!$B$7+'Black-Scholes'!$B$9*SQRT('Black-Scholes'!$B$7)*B567)</f>
        <v>136.943630049692</v>
      </c>
      <c r="D567" s="18" t="n">
        <f aca="false">'Black-Scholes'!$B$5*EXP(('Black-Scholes'!$B$8-'Black-Scholes'!$B$10-'Black-Scholes'!$B$9^2/2)*'Black-Scholes'!$B$7-'Black-Scholes'!$B$9*SQRT('Black-Scholes'!$B$7)*B567)</f>
        <v>77.5382211030959</v>
      </c>
      <c r="E567" s="18" t="n">
        <f aca="false">EXP(-'Black-Scholes'!$B$8*'Black-Scholes'!$B$7)*IF(LOWER('Black-Scholes'!$B$11)="put",MAX('Black-Scholes'!$B$6-C567,0),MAX(C567-'Black-Scholes'!$B$6,0))</f>
        <v>35.141867951136</v>
      </c>
      <c r="F567" s="18" t="n">
        <f aca="false">(E567+G567)/2</f>
        <v>17.570933975568</v>
      </c>
      <c r="G567" s="18" t="n">
        <f aca="false">EXP(-'Black-Scholes'!$B$8*'Black-Scholes'!$B$7)*IF(LOWER('Black-Scholes'!$B$11)="put",MAX('Black-Scholes'!$B$6-D567,0),MAX(D567-'Black-Scholes'!$B$6,0))</f>
        <v>0</v>
      </c>
    </row>
    <row r="568" customFormat="false" ht="15" hidden="false" customHeight="false" outlineLevel="0" collapsed="false">
      <c r="A568" s="0" t="n">
        <v>557</v>
      </c>
      <c r="B568" s="15" t="n">
        <v>-1.99166230843142</v>
      </c>
      <c r="C568" s="18" t="n">
        <f aca="false">'Black-Scholes'!$B$5*EXP(('Black-Scholes'!$B$8-'Black-Scholes'!$B$10-'Black-Scholes'!$B$9^2/2)*'Black-Scholes'!$B$7+'Black-Scholes'!$B$9*SQRT('Black-Scholes'!$B$7)*B568)</f>
        <v>69.1887117489285</v>
      </c>
      <c r="D568" s="18" t="n">
        <f aca="false">'Black-Scholes'!$B$5*EXP(('Black-Scholes'!$B$8-'Black-Scholes'!$B$10-'Black-Scholes'!$B$9^2/2)*'Black-Scholes'!$B$7-'Black-Scholes'!$B$9*SQRT('Black-Scholes'!$B$7)*B568)</f>
        <v>153.469622385592</v>
      </c>
      <c r="E568" s="18" t="n">
        <f aca="false">EXP(-'Black-Scholes'!$B$8*'Black-Scholes'!$B$7)*IF(LOWER('Black-Scholes'!$B$11)="put",MAX('Black-Scholes'!$B$6-C568,0),MAX(C568-'Black-Scholes'!$B$6,0))</f>
        <v>0</v>
      </c>
      <c r="F568" s="18" t="n">
        <f aca="false">(E568+G568)/2</f>
        <v>25.4309390650584</v>
      </c>
      <c r="G568" s="18" t="n">
        <f aca="false">EXP(-'Black-Scholes'!$B$8*'Black-Scholes'!$B$7)*IF(LOWER('Black-Scholes'!$B$11)="put",MAX('Black-Scholes'!$B$6-D568,0),MAX(D568-'Black-Scholes'!$B$6,0))</f>
        <v>50.8618781301168</v>
      </c>
    </row>
    <row r="569" customFormat="false" ht="15" hidden="false" customHeight="false" outlineLevel="0" collapsed="false">
      <c r="A569" s="0" t="n">
        <v>558</v>
      </c>
      <c r="B569" s="15" t="n">
        <v>0.00747960219664851</v>
      </c>
      <c r="C569" s="18" t="n">
        <f aca="false">'Black-Scholes'!$B$5*EXP(('Black-Scholes'!$B$8-'Black-Scholes'!$B$10-'Black-Scholes'!$B$9^2/2)*'Black-Scholes'!$B$7+'Black-Scholes'!$B$9*SQRT('Black-Scholes'!$B$7)*B569)</f>
        <v>103.199716549201</v>
      </c>
      <c r="D569" s="18" t="n">
        <f aca="false">'Black-Scholes'!$B$5*EXP(('Black-Scholes'!$B$8-'Black-Scholes'!$B$10-'Black-Scholes'!$B$9^2/2)*'Black-Scholes'!$B$7-'Black-Scholes'!$B$9*SQRT('Black-Scholes'!$B$7)*B569)</f>
        <v>102.89142083439</v>
      </c>
      <c r="E569" s="18" t="n">
        <f aca="false">EXP(-'Black-Scholes'!$B$8*'Black-Scholes'!$B$7)*IF(LOWER('Black-Scholes'!$B$11)="put",MAX('Black-Scholes'!$B$6-C569,0),MAX(C569-'Black-Scholes'!$B$6,0))</f>
        <v>3.04366453166189</v>
      </c>
      <c r="F569" s="18" t="n">
        <f aca="false">(E569+G569)/2</f>
        <v>2.897034553974</v>
      </c>
      <c r="G569" s="18" t="n">
        <f aca="false">EXP(-'Black-Scholes'!$B$8*'Black-Scholes'!$B$7)*IF(LOWER('Black-Scholes'!$B$11)="put",MAX('Black-Scholes'!$B$6-D569,0),MAX(D569-'Black-Scholes'!$B$6,0))</f>
        <v>2.75040457628611</v>
      </c>
    </row>
    <row r="570" customFormat="false" ht="15" hidden="false" customHeight="false" outlineLevel="0" collapsed="false">
      <c r="A570" s="0" t="n">
        <v>559</v>
      </c>
      <c r="B570" s="15" t="n">
        <v>-0.949312432780548</v>
      </c>
      <c r="C570" s="18" t="n">
        <f aca="false">'Black-Scholes'!$B$5*EXP(('Black-Scholes'!$B$8-'Black-Scholes'!$B$10-'Black-Scholes'!$B$9^2/2)*'Black-Scholes'!$B$7+'Black-Scholes'!$B$9*SQRT('Black-Scholes'!$B$7)*B570)</f>
        <v>85.2260978250688</v>
      </c>
      <c r="D570" s="18" t="n">
        <f aca="false">'Black-Scholes'!$B$5*EXP(('Black-Scholes'!$B$8-'Black-Scholes'!$B$10-'Black-Scholes'!$B$9^2/2)*'Black-Scholes'!$B$7-'Black-Scholes'!$B$9*SQRT('Black-Scholes'!$B$7)*B570)</f>
        <v>124.590539006589</v>
      </c>
      <c r="E570" s="18" t="n">
        <f aca="false">EXP(-'Black-Scholes'!$B$8*'Black-Scholes'!$B$7)*IF(LOWER('Black-Scholes'!$B$11)="put",MAX('Black-Scholes'!$B$6-C570,0),MAX(C570-'Black-Scholes'!$B$6,0))</f>
        <v>0</v>
      </c>
      <c r="F570" s="18" t="n">
        <f aca="false">(E570+G570)/2</f>
        <v>11.6956221336999</v>
      </c>
      <c r="G570" s="18" t="n">
        <f aca="false">EXP(-'Black-Scholes'!$B$8*'Black-Scholes'!$B$7)*IF(LOWER('Black-Scholes'!$B$11)="put",MAX('Black-Scholes'!$B$6-D570,0),MAX(D570-'Black-Scholes'!$B$6,0))</f>
        <v>23.3912442673999</v>
      </c>
    </row>
    <row r="571" customFormat="false" ht="15" hidden="false" customHeight="false" outlineLevel="0" collapsed="false">
      <c r="A571" s="0" t="n">
        <v>560</v>
      </c>
      <c r="B571" s="15" t="n">
        <v>-1.12781257930803</v>
      </c>
      <c r="C571" s="18" t="n">
        <f aca="false">'Black-Scholes'!$B$5*EXP(('Black-Scholes'!$B$8-'Black-Scholes'!$B$10-'Black-Scholes'!$B$9^2/2)*'Black-Scholes'!$B$7+'Black-Scholes'!$B$9*SQRT('Black-Scholes'!$B$7)*B571)</f>
        <v>82.2371930667332</v>
      </c>
      <c r="D571" s="18" t="n">
        <f aca="false">'Black-Scholes'!$B$5*EXP(('Black-Scholes'!$B$8-'Black-Scholes'!$B$10-'Black-Scholes'!$B$9^2/2)*'Black-Scholes'!$B$7-'Black-Scholes'!$B$9*SQRT('Black-Scholes'!$B$7)*B571)</f>
        <v>129.118773020829</v>
      </c>
      <c r="E571" s="18" t="n">
        <f aca="false">EXP(-'Black-Scholes'!$B$8*'Black-Scholes'!$B$7)*IF(LOWER('Black-Scholes'!$B$11)="put",MAX('Black-Scholes'!$B$6-C571,0),MAX(C571-'Black-Scholes'!$B$6,0))</f>
        <v>0</v>
      </c>
      <c r="F571" s="18" t="n">
        <f aca="false">(E571+G571)/2</f>
        <v>13.8493168513849</v>
      </c>
      <c r="G571" s="18" t="n">
        <f aca="false">EXP(-'Black-Scholes'!$B$8*'Black-Scholes'!$B$7)*IF(LOWER('Black-Scholes'!$B$11)="put",MAX('Black-Scholes'!$B$6-D571,0),MAX(D571-'Black-Scholes'!$B$6,0))</f>
        <v>27.6986337027699</v>
      </c>
    </row>
    <row r="572" customFormat="false" ht="15" hidden="false" customHeight="false" outlineLevel="0" collapsed="false">
      <c r="A572" s="0" t="n">
        <v>561</v>
      </c>
      <c r="B572" s="15" t="n">
        <v>-0.283880041728704</v>
      </c>
      <c r="C572" s="18" t="n">
        <f aca="false">'Black-Scholes'!$B$5*EXP(('Black-Scholes'!$B$8-'Black-Scholes'!$B$10-'Black-Scholes'!$B$9^2/2)*'Black-Scholes'!$B$7+'Black-Scholes'!$B$9*SQRT('Black-Scholes'!$B$7)*B572)</f>
        <v>97.3579290738708</v>
      </c>
      <c r="D572" s="18" t="n">
        <f aca="false">'Black-Scholes'!$B$5*EXP(('Black-Scholes'!$B$8-'Black-Scholes'!$B$10-'Black-Scholes'!$B$9^2/2)*'Black-Scholes'!$B$7-'Black-Scholes'!$B$9*SQRT('Black-Scholes'!$B$7)*B572)</f>
        <v>109.06523553307</v>
      </c>
      <c r="E572" s="18" t="n">
        <f aca="false">EXP(-'Black-Scholes'!$B$8*'Black-Scholes'!$B$7)*IF(LOWER('Black-Scholes'!$B$11)="put",MAX('Black-Scholes'!$B$6-C572,0),MAX(C572-'Black-Scholes'!$B$6,0))</f>
        <v>0</v>
      </c>
      <c r="F572" s="18" t="n">
        <f aca="false">(E572+G572)/2</f>
        <v>4.31155938954257</v>
      </c>
      <c r="G572" s="18" t="n">
        <f aca="false">EXP(-'Black-Scholes'!$B$8*'Black-Scholes'!$B$7)*IF(LOWER('Black-Scholes'!$B$11)="put",MAX('Black-Scholes'!$B$6-D572,0),MAX(D572-'Black-Scholes'!$B$6,0))</f>
        <v>8.62311877908515</v>
      </c>
    </row>
    <row r="573" customFormat="false" ht="15" hidden="false" customHeight="false" outlineLevel="0" collapsed="false">
      <c r="A573" s="0" t="n">
        <v>562</v>
      </c>
      <c r="B573" s="15" t="n">
        <v>2.44399239238591</v>
      </c>
      <c r="C573" s="18" t="n">
        <f aca="false">'Black-Scholes'!$B$5*EXP(('Black-Scholes'!$B$8-'Black-Scholes'!$B$10-'Black-Scholes'!$B$9^2/2)*'Black-Scholes'!$B$7+'Black-Scholes'!$B$9*SQRT('Black-Scholes'!$B$7)*B573)</f>
        <v>168.000787092262</v>
      </c>
      <c r="D573" s="18" t="n">
        <f aca="false">'Black-Scholes'!$B$5*EXP(('Black-Scholes'!$B$8-'Black-Scholes'!$B$10-'Black-Scholes'!$B$9^2/2)*'Black-Scholes'!$B$7-'Black-Scholes'!$B$9*SQRT('Black-Scholes'!$B$7)*B573)</f>
        <v>63.2042602254133</v>
      </c>
      <c r="E573" s="18" t="n">
        <f aca="false">EXP(-'Black-Scholes'!$B$8*'Black-Scholes'!$B$7)*IF(LOWER('Black-Scholes'!$B$11)="put",MAX('Black-Scholes'!$B$6-C573,0),MAX(C573-'Black-Scholes'!$B$6,0))</f>
        <v>64.6843495713681</v>
      </c>
      <c r="F573" s="18" t="n">
        <f aca="false">(E573+G573)/2</f>
        <v>32.342174785684</v>
      </c>
      <c r="G573" s="18" t="n">
        <f aca="false">EXP(-'Black-Scholes'!$B$8*'Black-Scholes'!$B$7)*IF(LOWER('Black-Scholes'!$B$11)="put",MAX('Black-Scholes'!$B$6-D573,0),MAX(D573-'Black-Scholes'!$B$6,0))</f>
        <v>0</v>
      </c>
    </row>
    <row r="574" customFormat="false" ht="15" hidden="false" customHeight="false" outlineLevel="0" collapsed="false">
      <c r="A574" s="0" t="n">
        <v>563</v>
      </c>
      <c r="B574" s="15" t="n">
        <v>-0.230984409888614</v>
      </c>
      <c r="C574" s="18" t="n">
        <f aca="false">'Black-Scholes'!$B$5*EXP(('Black-Scholes'!$B$8-'Black-Scholes'!$B$10-'Black-Scholes'!$B$9^2/2)*'Black-Scholes'!$B$7+'Black-Scholes'!$B$9*SQRT('Black-Scholes'!$B$7)*B574)</f>
        <v>98.3933582194554</v>
      </c>
      <c r="D574" s="18" t="n">
        <f aca="false">'Black-Scholes'!$B$5*EXP(('Black-Scholes'!$B$8-'Black-Scholes'!$B$10-'Black-Scholes'!$B$9^2/2)*'Black-Scholes'!$B$7-'Black-Scholes'!$B$9*SQRT('Black-Scholes'!$B$7)*B574)</f>
        <v>107.91750233558</v>
      </c>
      <c r="E574" s="18" t="n">
        <f aca="false">EXP(-'Black-Scholes'!$B$8*'Black-Scholes'!$B$7)*IF(LOWER('Black-Scholes'!$B$11)="put",MAX('Black-Scholes'!$B$6-C574,0),MAX(C574-'Black-Scholes'!$B$6,0))</f>
        <v>0</v>
      </c>
      <c r="F574" s="18" t="n">
        <f aca="false">(E574+G574)/2</f>
        <v>3.76568059507821</v>
      </c>
      <c r="G574" s="18" t="n">
        <f aca="false">EXP(-'Black-Scholes'!$B$8*'Black-Scholes'!$B$7)*IF(LOWER('Black-Scholes'!$B$11)="put",MAX('Black-Scholes'!$B$6-D574,0),MAX(D574-'Black-Scholes'!$B$6,0))</f>
        <v>7.53136119015641</v>
      </c>
    </row>
    <row r="575" customFormat="false" ht="15" hidden="false" customHeight="false" outlineLevel="0" collapsed="false">
      <c r="A575" s="0" t="n">
        <v>564</v>
      </c>
      <c r="B575" s="15" t="n">
        <v>-1.59771318172989</v>
      </c>
      <c r="C575" s="18" t="n">
        <f aca="false">'Black-Scholes'!$B$5*EXP(('Black-Scholes'!$B$8-'Black-Scholes'!$B$10-'Black-Scholes'!$B$9^2/2)*'Black-Scholes'!$B$7+'Black-Scholes'!$B$9*SQRT('Black-Scholes'!$B$7)*B575)</f>
        <v>74.8605874411389</v>
      </c>
      <c r="D575" s="18" t="n">
        <f aca="false">'Black-Scholes'!$B$5*EXP(('Black-Scholes'!$B$8-'Black-Scholes'!$B$10-'Black-Scholes'!$B$9^2/2)*'Black-Scholes'!$B$7-'Black-Scholes'!$B$9*SQRT('Black-Scholes'!$B$7)*B575)</f>
        <v>141.841866707265</v>
      </c>
      <c r="E575" s="18" t="n">
        <f aca="false">EXP(-'Black-Scholes'!$B$8*'Black-Scholes'!$B$7)*IF(LOWER('Black-Scholes'!$B$11)="put",MAX('Black-Scholes'!$B$6-C575,0),MAX(C575-'Black-Scholes'!$B$6,0))</f>
        <v>0</v>
      </c>
      <c r="F575" s="18" t="n">
        <f aca="false">(E575+G575)/2</f>
        <v>19.9006073939937</v>
      </c>
      <c r="G575" s="18" t="n">
        <f aca="false">EXP(-'Black-Scholes'!$B$8*'Black-Scholes'!$B$7)*IF(LOWER('Black-Scholes'!$B$11)="put",MAX('Black-Scholes'!$B$6-D575,0),MAX(D575-'Black-Scholes'!$B$6,0))</f>
        <v>39.8012147879875</v>
      </c>
    </row>
    <row r="576" customFormat="false" ht="15" hidden="false" customHeight="false" outlineLevel="0" collapsed="false">
      <c r="A576" s="0" t="n">
        <v>565</v>
      </c>
      <c r="B576" s="15" t="n">
        <v>-2.56786834496906</v>
      </c>
      <c r="C576" s="18" t="n">
        <f aca="false">'Black-Scholes'!$B$5*EXP(('Black-Scholes'!$B$8-'Black-Scholes'!$B$10-'Black-Scholes'!$B$9^2/2)*'Black-Scholes'!$B$7+'Black-Scholes'!$B$9*SQRT('Black-Scholes'!$B$7)*B576)</f>
        <v>61.6576011357715</v>
      </c>
      <c r="D576" s="18" t="n">
        <f aca="false">'Black-Scholes'!$B$5*EXP(('Black-Scholes'!$B$8-'Black-Scholes'!$B$10-'Black-Scholes'!$B$9^2/2)*'Black-Scholes'!$B$7-'Black-Scholes'!$B$9*SQRT('Black-Scholes'!$B$7)*B576)</f>
        <v>172.215027342236</v>
      </c>
      <c r="E576" s="18" t="n">
        <f aca="false">EXP(-'Black-Scholes'!$B$8*'Black-Scholes'!$B$7)*IF(LOWER('Black-Scholes'!$B$11)="put",MAX('Black-Scholes'!$B$6-C576,0),MAX(C576-'Black-Scholes'!$B$6,0))</f>
        <v>0</v>
      </c>
      <c r="F576" s="18" t="n">
        <f aca="false">(E576+G576)/2</f>
        <v>34.3465294495294</v>
      </c>
      <c r="G576" s="18" t="n">
        <f aca="false">EXP(-'Black-Scholes'!$B$8*'Black-Scholes'!$B$7)*IF(LOWER('Black-Scholes'!$B$11)="put",MAX('Black-Scholes'!$B$6-D576,0),MAX(D576-'Black-Scholes'!$B$6,0))</f>
        <v>68.6930588990589</v>
      </c>
    </row>
    <row r="577" customFormat="false" ht="15" hidden="false" customHeight="false" outlineLevel="0" collapsed="false">
      <c r="A577" s="0" t="n">
        <v>566</v>
      </c>
      <c r="B577" s="15" t="n">
        <v>1.19074460017355</v>
      </c>
      <c r="C577" s="18" t="n">
        <f aca="false">'Black-Scholes'!$B$5*EXP(('Black-Scholes'!$B$8-'Black-Scholes'!$B$10-'Black-Scholes'!$B$9^2/2)*'Black-Scholes'!$B$7+'Black-Scholes'!$B$9*SQRT('Black-Scholes'!$B$7)*B577)</f>
        <v>130.754184469376</v>
      </c>
      <c r="D577" s="18" t="n">
        <f aca="false">'Black-Scholes'!$B$5*EXP(('Black-Scholes'!$B$8-'Black-Scholes'!$B$10-'Black-Scholes'!$B$9^2/2)*'Black-Scholes'!$B$7-'Black-Scholes'!$B$9*SQRT('Black-Scholes'!$B$7)*B577)</f>
        <v>81.2086091817623</v>
      </c>
      <c r="E577" s="18" t="n">
        <f aca="false">EXP(-'Black-Scholes'!$B$8*'Black-Scholes'!$B$7)*IF(LOWER('Black-Scholes'!$B$11)="put",MAX('Black-Scholes'!$B$6-C577,0),MAX(C577-'Black-Scholes'!$B$6,0))</f>
        <v>29.2542851937932</v>
      </c>
      <c r="F577" s="18" t="n">
        <f aca="false">(E577+G577)/2</f>
        <v>14.6271425968966</v>
      </c>
      <c r="G577" s="18" t="n">
        <f aca="false">EXP(-'Black-Scholes'!$B$8*'Black-Scholes'!$B$7)*IF(LOWER('Black-Scholes'!$B$11)="put",MAX('Black-Scholes'!$B$6-D577,0),MAX(D577-'Black-Scholes'!$B$6,0))</f>
        <v>0</v>
      </c>
    </row>
    <row r="578" customFormat="false" ht="15" hidden="false" customHeight="false" outlineLevel="0" collapsed="false">
      <c r="A578" s="0" t="n">
        <v>567</v>
      </c>
      <c r="B578" s="15" t="n">
        <v>1.49135772651567</v>
      </c>
      <c r="C578" s="18" t="n">
        <f aca="false">'Black-Scholes'!$B$5*EXP(('Black-Scholes'!$B$8-'Black-Scholes'!$B$10-'Black-Scholes'!$B$9^2/2)*'Black-Scholes'!$B$7+'Black-Scholes'!$B$9*SQRT('Black-Scholes'!$B$7)*B578)</f>
        <v>138.856597966967</v>
      </c>
      <c r="D578" s="18" t="n">
        <f aca="false">'Black-Scholes'!$B$5*EXP(('Black-Scholes'!$B$8-'Black-Scholes'!$B$10-'Black-Scholes'!$B$9^2/2)*'Black-Scholes'!$B$7-'Black-Scholes'!$B$9*SQRT('Black-Scholes'!$B$7)*B578)</f>
        <v>76.4700102185968</v>
      </c>
      <c r="E578" s="18" t="n">
        <f aca="false">EXP(-'Black-Scholes'!$B$8*'Black-Scholes'!$B$7)*IF(LOWER('Black-Scholes'!$B$11)="put",MAX('Black-Scholes'!$B$6-C578,0),MAX(C578-'Black-Scholes'!$B$6,0))</f>
        <v>36.9615393221741</v>
      </c>
      <c r="F578" s="18" t="n">
        <f aca="false">(E578+G578)/2</f>
        <v>18.4807696610871</v>
      </c>
      <c r="G578" s="18" t="n">
        <f aca="false">EXP(-'Black-Scholes'!$B$8*'Black-Scholes'!$B$7)*IF(LOWER('Black-Scholes'!$B$11)="put",MAX('Black-Scholes'!$B$6-D578,0),MAX(D578-'Black-Scholes'!$B$6,0))</f>
        <v>0</v>
      </c>
    </row>
    <row r="579" customFormat="false" ht="15" hidden="false" customHeight="false" outlineLevel="0" collapsed="false">
      <c r="A579" s="0" t="n">
        <v>568</v>
      </c>
      <c r="B579" s="15" t="n">
        <v>0.585394404897648</v>
      </c>
      <c r="C579" s="18" t="n">
        <f aca="false">'Black-Scholes'!$B$5*EXP(('Black-Scholes'!$B$8-'Black-Scholes'!$B$10-'Black-Scholes'!$B$9^2/2)*'Black-Scholes'!$B$7+'Black-Scholes'!$B$9*SQRT('Black-Scholes'!$B$7)*B579)</f>
        <v>115.844533872896</v>
      </c>
      <c r="D579" s="18" t="n">
        <f aca="false">'Black-Scholes'!$B$5*EXP(('Black-Scholes'!$B$8-'Black-Scholes'!$B$10-'Black-Scholes'!$B$9^2/2)*'Black-Scholes'!$B$7-'Black-Scholes'!$B$9*SQRT('Black-Scholes'!$B$7)*B579)</f>
        <v>91.660479009774</v>
      </c>
      <c r="E579" s="18" t="n">
        <f aca="false">EXP(-'Black-Scholes'!$B$8*'Black-Scholes'!$B$7)*IF(LOWER('Black-Scholes'!$B$11)="put",MAX('Black-Scholes'!$B$6-C579,0),MAX(C579-'Black-Scholes'!$B$6,0))</f>
        <v>15.0717868373965</v>
      </c>
      <c r="F579" s="18" t="n">
        <f aca="false">(E579+G579)/2</f>
        <v>7.53589341869827</v>
      </c>
      <c r="G579" s="18" t="n">
        <f aca="false">EXP(-'Black-Scholes'!$B$8*'Black-Scholes'!$B$7)*IF(LOWER('Black-Scholes'!$B$11)="put",MAX('Black-Scholes'!$B$6-D579,0),MAX(D579-'Black-Scholes'!$B$6,0))</f>
        <v>0</v>
      </c>
    </row>
    <row r="580" customFormat="false" ht="15" hidden="false" customHeight="false" outlineLevel="0" collapsed="false">
      <c r="A580" s="0" t="n">
        <v>569</v>
      </c>
      <c r="B580" s="15" t="n">
        <v>0.835762006793757</v>
      </c>
      <c r="C580" s="18" t="n">
        <f aca="false">'Black-Scholes'!$B$5*EXP(('Black-Scholes'!$B$8-'Black-Scholes'!$B$10-'Black-Scholes'!$B$9^2/2)*'Black-Scholes'!$B$7+'Black-Scholes'!$B$9*SQRT('Black-Scholes'!$B$7)*B580)</f>
        <v>121.792964069481</v>
      </c>
      <c r="D580" s="18" t="n">
        <f aca="false">'Black-Scholes'!$B$5*EXP(('Black-Scholes'!$B$8-'Black-Scholes'!$B$10-'Black-Scholes'!$B$9^2/2)*'Black-Scholes'!$B$7-'Black-Scholes'!$B$9*SQRT('Black-Scholes'!$B$7)*B580)</f>
        <v>87.1837346810608</v>
      </c>
      <c r="E580" s="18" t="n">
        <f aca="false">EXP(-'Black-Scholes'!$B$8*'Black-Scholes'!$B$7)*IF(LOWER('Black-Scholes'!$B$11)="put",MAX('Black-Scholes'!$B$6-C580,0),MAX(C580-'Black-Scholes'!$B$6,0))</f>
        <v>20.7301086699771</v>
      </c>
      <c r="F580" s="18" t="n">
        <f aca="false">(E580+G580)/2</f>
        <v>10.3650543349885</v>
      </c>
      <c r="G580" s="18" t="n">
        <f aca="false">EXP(-'Black-Scholes'!$B$8*'Black-Scholes'!$B$7)*IF(LOWER('Black-Scholes'!$B$11)="put",MAX('Black-Scholes'!$B$6-D580,0),MAX(D580-'Black-Scholes'!$B$6,0))</f>
        <v>0</v>
      </c>
    </row>
    <row r="581" customFormat="false" ht="15" hidden="false" customHeight="false" outlineLevel="0" collapsed="false">
      <c r="A581" s="0" t="n">
        <v>570</v>
      </c>
      <c r="B581" s="15" t="n">
        <v>2.15339075595736</v>
      </c>
      <c r="C581" s="18" t="n">
        <f aca="false">'Black-Scholes'!$B$5*EXP(('Black-Scholes'!$B$8-'Black-Scholes'!$B$10-'Black-Scholes'!$B$9^2/2)*'Black-Scholes'!$B$7+'Black-Scholes'!$B$9*SQRT('Black-Scholes'!$B$7)*B581)</f>
        <v>158.514859098627</v>
      </c>
      <c r="D581" s="18" t="n">
        <f aca="false">'Black-Scholes'!$B$5*EXP(('Black-Scholes'!$B$8-'Black-Scholes'!$B$10-'Black-Scholes'!$B$9^2/2)*'Black-Scholes'!$B$7-'Black-Scholes'!$B$9*SQRT('Black-Scholes'!$B$7)*B581)</f>
        <v>66.9865621799337</v>
      </c>
      <c r="E581" s="18" t="n">
        <f aca="false">EXP(-'Black-Scholes'!$B$8*'Black-Scholes'!$B$7)*IF(LOWER('Black-Scholes'!$B$11)="put",MAX('Black-Scholes'!$B$6-C581,0),MAX(C581-'Black-Scholes'!$B$6,0))</f>
        <v>55.6610557451272</v>
      </c>
      <c r="F581" s="18" t="n">
        <f aca="false">(E581+G581)/2</f>
        <v>27.8305278725636</v>
      </c>
      <c r="G581" s="18" t="n">
        <f aca="false">EXP(-'Black-Scholes'!$B$8*'Black-Scholes'!$B$7)*IF(LOWER('Black-Scholes'!$B$11)="put",MAX('Black-Scholes'!$B$6-D581,0),MAX(D581-'Black-Scholes'!$B$6,0))</f>
        <v>0</v>
      </c>
    </row>
    <row r="582" customFormat="false" ht="15" hidden="false" customHeight="false" outlineLevel="0" collapsed="false">
      <c r="A582" s="0" t="n">
        <v>571</v>
      </c>
      <c r="B582" s="15" t="n">
        <v>-0.806967930798774</v>
      </c>
      <c r="C582" s="18" t="n">
        <f aca="false">'Black-Scholes'!$B$5*EXP(('Black-Scholes'!$B$8-'Black-Scholes'!$B$10-'Black-Scholes'!$B$9^2/2)*'Black-Scholes'!$B$7+'Black-Scholes'!$B$9*SQRT('Black-Scholes'!$B$7)*B582)</f>
        <v>87.687258155197</v>
      </c>
      <c r="D582" s="18" t="n">
        <f aca="false">'Black-Scholes'!$B$5*EXP(('Black-Scholes'!$B$8-'Black-Scholes'!$B$10-'Black-Scholes'!$B$9^2/2)*'Black-Scholes'!$B$7-'Black-Scholes'!$B$9*SQRT('Black-Scholes'!$B$7)*B582)</f>
        <v>121.093596593706</v>
      </c>
      <c r="E582" s="18" t="n">
        <f aca="false">EXP(-'Black-Scholes'!$B$8*'Black-Scholes'!$B$7)*IF(LOWER('Black-Scholes'!$B$11)="put",MAX('Black-Scholes'!$B$6-C582,0),MAX(C582-'Black-Scholes'!$B$6,0))</f>
        <v>0</v>
      </c>
      <c r="F582" s="18" t="n">
        <f aca="false">(E582+G582)/2</f>
        <v>10.0324248742406</v>
      </c>
      <c r="G582" s="18" t="n">
        <f aca="false">EXP(-'Black-Scholes'!$B$8*'Black-Scholes'!$B$7)*IF(LOWER('Black-Scholes'!$B$11)="put",MAX('Black-Scholes'!$B$6-D582,0),MAX(D582-'Black-Scholes'!$B$6,0))</f>
        <v>20.0648497484813</v>
      </c>
    </row>
    <row r="583" customFormat="false" ht="15" hidden="false" customHeight="false" outlineLevel="0" collapsed="false">
      <c r="A583" s="0" t="n">
        <v>572</v>
      </c>
      <c r="B583" s="15" t="n">
        <v>0.247234955092029</v>
      </c>
      <c r="C583" s="18" t="n">
        <f aca="false">'Black-Scholes'!$B$5*EXP(('Black-Scholes'!$B$8-'Black-Scholes'!$B$10-'Black-Scholes'!$B$9^2/2)*'Black-Scholes'!$B$7+'Black-Scholes'!$B$9*SQRT('Black-Scholes'!$B$7)*B583)</f>
        <v>108.268816581121</v>
      </c>
      <c r="D583" s="18" t="n">
        <f aca="false">'Black-Scholes'!$B$5*EXP(('Black-Scholes'!$B$8-'Black-Scholes'!$B$10-'Black-Scholes'!$B$9^2/2)*'Black-Scholes'!$B$7-'Black-Scholes'!$B$9*SQRT('Black-Scholes'!$B$7)*B583)</f>
        <v>98.074088188613</v>
      </c>
      <c r="E583" s="18" t="n">
        <f aca="false">EXP(-'Black-Scholes'!$B$8*'Black-Scholes'!$B$7)*IF(LOWER('Black-Scholes'!$B$11)="put",MAX('Black-Scholes'!$B$6-C583,0),MAX(C583-'Black-Scholes'!$B$6,0))</f>
        <v>7.86554163776144</v>
      </c>
      <c r="F583" s="18" t="n">
        <f aca="false">(E583+G583)/2</f>
        <v>3.93277081888072</v>
      </c>
      <c r="G583" s="18" t="n">
        <f aca="false">EXP(-'Black-Scholes'!$B$8*'Black-Scholes'!$B$7)*IF(LOWER('Black-Scholes'!$B$11)="put",MAX('Black-Scholes'!$B$6-D583,0),MAX(D583-'Black-Scholes'!$B$6,0))</f>
        <v>0</v>
      </c>
    </row>
    <row r="584" customFormat="false" ht="15" hidden="false" customHeight="false" outlineLevel="0" collapsed="false">
      <c r="A584" s="0" t="n">
        <v>573</v>
      </c>
      <c r="B584" s="15" t="n">
        <v>0.48071583254243</v>
      </c>
      <c r="C584" s="18" t="n">
        <f aca="false">'Black-Scholes'!$B$5*EXP(('Black-Scholes'!$B$8-'Black-Scholes'!$B$10-'Black-Scholes'!$B$9^2/2)*'Black-Scholes'!$B$7+'Black-Scholes'!$B$9*SQRT('Black-Scholes'!$B$7)*B584)</f>
        <v>113.444457112574</v>
      </c>
      <c r="D584" s="18" t="n">
        <f aca="false">'Black-Scholes'!$B$5*EXP(('Black-Scholes'!$B$8-'Black-Scholes'!$B$10-'Black-Scholes'!$B$9^2/2)*'Black-Scholes'!$B$7-'Black-Scholes'!$B$9*SQRT('Black-Scholes'!$B$7)*B584)</f>
        <v>93.5996851297607</v>
      </c>
      <c r="E584" s="18" t="n">
        <f aca="false">EXP(-'Black-Scholes'!$B$8*'Black-Scholes'!$B$7)*IF(LOWER('Black-Scholes'!$B$11)="put",MAX('Black-Scholes'!$B$6-C584,0),MAX(C584-'Black-Scholes'!$B$6,0))</f>
        <v>12.7887632019185</v>
      </c>
      <c r="F584" s="18" t="n">
        <f aca="false">(E584+G584)/2</f>
        <v>6.39438160095926</v>
      </c>
      <c r="G584" s="18" t="n">
        <f aca="false">EXP(-'Black-Scholes'!$B$8*'Black-Scholes'!$B$7)*IF(LOWER('Black-Scholes'!$B$11)="put",MAX('Black-Scholes'!$B$6-D584,0),MAX(D584-'Black-Scholes'!$B$6,0))</f>
        <v>0</v>
      </c>
    </row>
    <row r="585" customFormat="false" ht="15" hidden="false" customHeight="false" outlineLevel="0" collapsed="false">
      <c r="A585" s="0" t="n">
        <v>574</v>
      </c>
      <c r="B585" s="15" t="n">
        <v>0.226380180117634</v>
      </c>
      <c r="C585" s="18" t="n">
        <f aca="false">'Black-Scholes'!$B$5*EXP(('Black-Scholes'!$B$8-'Black-Scholes'!$B$10-'Black-Scholes'!$B$9^2/2)*'Black-Scholes'!$B$7+'Black-Scholes'!$B$9*SQRT('Black-Scholes'!$B$7)*B585)</f>
        <v>107.818172680841</v>
      </c>
      <c r="D585" s="18" t="n">
        <f aca="false">'Black-Scholes'!$B$5*EXP(('Black-Scholes'!$B$8-'Black-Scholes'!$B$10-'Black-Scholes'!$B$9^2/2)*'Black-Scholes'!$B$7-'Black-Scholes'!$B$9*SQRT('Black-Scholes'!$B$7)*B585)</f>
        <v>98.4840050747812</v>
      </c>
      <c r="E585" s="18" t="n">
        <f aca="false">EXP(-'Black-Scholes'!$B$8*'Black-Scholes'!$B$7)*IF(LOWER('Black-Scholes'!$B$11)="put",MAX('Black-Scholes'!$B$6-C585,0),MAX(C585-'Black-Scholes'!$B$6,0))</f>
        <v>7.43687589984379</v>
      </c>
      <c r="F585" s="18" t="n">
        <f aca="false">(E585+G585)/2</f>
        <v>3.7184379499219</v>
      </c>
      <c r="G585" s="18" t="n">
        <f aca="false">EXP(-'Black-Scholes'!$B$8*'Black-Scholes'!$B$7)*IF(LOWER('Black-Scholes'!$B$11)="put",MAX('Black-Scholes'!$B$6-D585,0),MAX(D585-'Black-Scholes'!$B$6,0))</f>
        <v>0</v>
      </c>
    </row>
    <row r="586" customFormat="false" ht="15" hidden="false" customHeight="false" outlineLevel="0" collapsed="false">
      <c r="A586" s="0" t="n">
        <v>575</v>
      </c>
      <c r="B586" s="15" t="n">
        <v>0.999938020610318</v>
      </c>
      <c r="C586" s="18" t="n">
        <f aca="false">'Black-Scholes'!$B$5*EXP(('Black-Scholes'!$B$8-'Black-Scholes'!$B$10-'Black-Scholes'!$B$9^2/2)*'Black-Scholes'!$B$7+'Black-Scholes'!$B$9*SQRT('Black-Scholes'!$B$7)*B586)</f>
        <v>125.858440857408</v>
      </c>
      <c r="D586" s="18" t="n">
        <f aca="false">'Black-Scholes'!$B$5*EXP(('Black-Scholes'!$B$8-'Black-Scholes'!$B$10-'Black-Scholes'!$B$9^2/2)*'Black-Scholes'!$B$7-'Black-Scholes'!$B$9*SQRT('Black-Scholes'!$B$7)*B586)</f>
        <v>84.3675274627288</v>
      </c>
      <c r="E586" s="18" t="n">
        <f aca="false">EXP(-'Black-Scholes'!$B$8*'Black-Scholes'!$B$7)*IF(LOWER('Black-Scholes'!$B$11)="put",MAX('Black-Scholes'!$B$6-C586,0),MAX(C586-'Black-Scholes'!$B$6,0))</f>
        <v>24.597309815278</v>
      </c>
      <c r="F586" s="18" t="n">
        <f aca="false">(E586+G586)/2</f>
        <v>12.298654907639</v>
      </c>
      <c r="G586" s="18" t="n">
        <f aca="false">EXP(-'Black-Scholes'!$B$8*'Black-Scholes'!$B$7)*IF(LOWER('Black-Scholes'!$B$11)="put",MAX('Black-Scholes'!$B$6-D586,0),MAX(D586-'Black-Scholes'!$B$6,0))</f>
        <v>0</v>
      </c>
    </row>
    <row r="587" customFormat="false" ht="15" hidden="false" customHeight="false" outlineLevel="0" collapsed="false">
      <c r="A587" s="0" t="n">
        <v>576</v>
      </c>
      <c r="B587" s="15" t="n">
        <v>-0.17183673440819</v>
      </c>
      <c r="C587" s="18" t="n">
        <f aca="false">'Black-Scholes'!$B$5*EXP(('Black-Scholes'!$B$8-'Black-Scholes'!$B$10-'Black-Scholes'!$B$9^2/2)*'Black-Scholes'!$B$7+'Black-Scholes'!$B$9*SQRT('Black-Scholes'!$B$7)*B587)</f>
        <v>99.5642176109309</v>
      </c>
      <c r="D587" s="18" t="n">
        <f aca="false">'Black-Scholes'!$B$5*EXP(('Black-Scholes'!$B$8-'Black-Scholes'!$B$10-'Black-Scholes'!$B$9^2/2)*'Black-Scholes'!$B$7-'Black-Scholes'!$B$9*SQRT('Black-Scholes'!$B$7)*B587)</f>
        <v>106.648409641978</v>
      </c>
      <c r="E587" s="18" t="n">
        <f aca="false">EXP(-'Black-Scholes'!$B$8*'Black-Scholes'!$B$7)*IF(LOWER('Black-Scholes'!$B$11)="put",MAX('Black-Scholes'!$B$6-C587,0),MAX(C587-'Black-Scholes'!$B$6,0))</f>
        <v>0</v>
      </c>
      <c r="F587" s="18" t="n">
        <f aca="false">(E587+G587)/2</f>
        <v>3.16208143879188</v>
      </c>
      <c r="G587" s="18" t="n">
        <f aca="false">EXP(-'Black-Scholes'!$B$8*'Black-Scholes'!$B$7)*IF(LOWER('Black-Scholes'!$B$11)="put",MAX('Black-Scholes'!$B$6-D587,0),MAX(D587-'Black-Scholes'!$B$6,0))</f>
        <v>6.32416287758375</v>
      </c>
    </row>
    <row r="588" customFormat="false" ht="15" hidden="false" customHeight="false" outlineLevel="0" collapsed="false">
      <c r="A588" s="0" t="n">
        <v>577</v>
      </c>
      <c r="B588" s="15" t="n">
        <v>-1.72953585904695</v>
      </c>
      <c r="C588" s="18" t="n">
        <f aca="false">'Black-Scholes'!$B$5*EXP(('Black-Scholes'!$B$8-'Black-Scholes'!$B$10-'Black-Scholes'!$B$9^2/2)*'Black-Scholes'!$B$7+'Black-Scholes'!$B$9*SQRT('Black-Scholes'!$B$7)*B588)</f>
        <v>72.9127130578507</v>
      </c>
      <c r="D588" s="18" t="n">
        <f aca="false">'Black-Scholes'!$B$5*EXP(('Black-Scholes'!$B$8-'Black-Scholes'!$B$10-'Black-Scholes'!$B$9^2/2)*'Black-Scholes'!$B$7-'Black-Scholes'!$B$9*SQRT('Black-Scholes'!$B$7)*B588)</f>
        <v>145.63119406939</v>
      </c>
      <c r="E588" s="18" t="n">
        <f aca="false">EXP(-'Black-Scholes'!$B$8*'Black-Scholes'!$B$7)*IF(LOWER('Black-Scholes'!$B$11)="put",MAX('Black-Scholes'!$B$6-C588,0),MAX(C588-'Black-Scholes'!$B$6,0))</f>
        <v>0</v>
      </c>
      <c r="F588" s="18" t="n">
        <f aca="false">(E588+G588)/2</f>
        <v>21.7028672369531</v>
      </c>
      <c r="G588" s="18" t="n">
        <f aca="false">EXP(-'Black-Scholes'!$B$8*'Black-Scholes'!$B$7)*IF(LOWER('Black-Scholes'!$B$11)="put",MAX('Black-Scholes'!$B$6-D588,0),MAX(D588-'Black-Scholes'!$B$6,0))</f>
        <v>43.4057344739062</v>
      </c>
    </row>
    <row r="589" customFormat="false" ht="15" hidden="false" customHeight="false" outlineLevel="0" collapsed="false">
      <c r="A589" s="0" t="n">
        <v>578</v>
      </c>
      <c r="B589" s="15" t="n">
        <v>0.882420095331462</v>
      </c>
      <c r="C589" s="18" t="n">
        <f aca="false">'Black-Scholes'!$B$5*EXP(('Black-Scholes'!$B$8-'Black-Scholes'!$B$10-'Black-Scholes'!$B$9^2/2)*'Black-Scholes'!$B$7+'Black-Scholes'!$B$9*SQRT('Black-Scholes'!$B$7)*B589)</f>
        <v>122.934808792978</v>
      </c>
      <c r="D589" s="18" t="n">
        <f aca="false">'Black-Scholes'!$B$5*EXP(('Black-Scholes'!$B$8-'Black-Scholes'!$B$10-'Black-Scholes'!$B$9^2/2)*'Black-Scholes'!$B$7-'Black-Scholes'!$B$9*SQRT('Black-Scholes'!$B$7)*B589)</f>
        <v>86.3739535588727</v>
      </c>
      <c r="E589" s="18" t="n">
        <f aca="false">EXP(-'Black-Scholes'!$B$8*'Black-Scholes'!$B$7)*IF(LOWER('Black-Scholes'!$B$11)="put",MAX('Black-Scholes'!$B$6-C589,0),MAX(C589-'Black-Scholes'!$B$6,0))</f>
        <v>21.8162649691787</v>
      </c>
      <c r="F589" s="18" t="n">
        <f aca="false">(E589+G589)/2</f>
        <v>10.9081324845893</v>
      </c>
      <c r="G589" s="18" t="n">
        <f aca="false">EXP(-'Black-Scholes'!$B$8*'Black-Scholes'!$B$7)*IF(LOWER('Black-Scholes'!$B$11)="put",MAX('Black-Scholes'!$B$6-D589,0),MAX(D589-'Black-Scholes'!$B$6,0))</f>
        <v>0</v>
      </c>
    </row>
    <row r="590" customFormat="false" ht="15" hidden="false" customHeight="false" outlineLevel="0" collapsed="false">
      <c r="A590" s="0" t="n">
        <v>579</v>
      </c>
      <c r="B590" s="15" t="n">
        <v>0.942824635566155</v>
      </c>
      <c r="C590" s="18" t="n">
        <f aca="false">'Black-Scholes'!$B$5*EXP(('Black-Scholes'!$B$8-'Black-Scholes'!$B$10-'Black-Scholes'!$B$9^2/2)*'Black-Scholes'!$B$7+'Black-Scholes'!$B$9*SQRT('Black-Scholes'!$B$7)*B590)</f>
        <v>124.428980214943</v>
      </c>
      <c r="D590" s="18" t="n">
        <f aca="false">'Black-Scholes'!$B$5*EXP(('Black-Scholes'!$B$8-'Black-Scholes'!$B$10-'Black-Scholes'!$B$9^2/2)*'Black-Scholes'!$B$7-'Black-Scholes'!$B$9*SQRT('Black-Scholes'!$B$7)*B590)</f>
        <v>85.3367555300306</v>
      </c>
      <c r="E590" s="18" t="n">
        <f aca="false">EXP(-'Black-Scholes'!$B$8*'Black-Scholes'!$B$7)*IF(LOWER('Black-Scholes'!$B$11)="put",MAX('Black-Scholes'!$B$6-C590,0),MAX(C590-'Black-Scholes'!$B$6,0))</f>
        <v>23.2375647909994</v>
      </c>
      <c r="F590" s="18" t="n">
        <f aca="false">(E590+G590)/2</f>
        <v>11.6187823954997</v>
      </c>
      <c r="G590" s="18" t="n">
        <f aca="false">EXP(-'Black-Scholes'!$B$8*'Black-Scholes'!$B$7)*IF(LOWER('Black-Scholes'!$B$11)="put",MAX('Black-Scholes'!$B$6-D590,0),MAX(D590-'Black-Scholes'!$B$6,0))</f>
        <v>0</v>
      </c>
    </row>
    <row r="591" customFormat="false" ht="15" hidden="false" customHeight="false" outlineLevel="0" collapsed="false">
      <c r="A591" s="0" t="n">
        <v>580</v>
      </c>
      <c r="B591" s="15" t="n">
        <v>-1.49052868033103</v>
      </c>
      <c r="C591" s="18" t="n">
        <f aca="false">'Black-Scholes'!$B$5*EXP(('Black-Scholes'!$B$8-'Black-Scholes'!$B$10-'Black-Scholes'!$B$9^2/2)*'Black-Scholes'!$B$7+'Black-Scholes'!$B$9*SQRT('Black-Scholes'!$B$7)*B591)</f>
        <v>76.4826907038808</v>
      </c>
      <c r="D591" s="18" t="n">
        <f aca="false">'Black-Scholes'!$B$5*EXP(('Black-Scholes'!$B$8-'Black-Scholes'!$B$10-'Black-Scholes'!$B$9^2/2)*'Black-Scholes'!$B$7-'Black-Scholes'!$B$9*SQRT('Black-Scholes'!$B$7)*B591)</f>
        <v>138.833576169082</v>
      </c>
      <c r="E591" s="18" t="n">
        <f aca="false">EXP(-'Black-Scholes'!$B$8*'Black-Scholes'!$B$7)*IF(LOWER('Black-Scholes'!$B$11)="put",MAX('Black-Scholes'!$B$6-C591,0),MAX(C591-'Black-Scholes'!$B$6,0))</f>
        <v>0</v>
      </c>
      <c r="F591" s="18" t="n">
        <f aca="false">(E591+G591)/2</f>
        <v>18.4698201553104</v>
      </c>
      <c r="G591" s="18" t="n">
        <f aca="false">EXP(-'Black-Scholes'!$B$8*'Black-Scholes'!$B$7)*IF(LOWER('Black-Scholes'!$B$11)="put",MAX('Black-Scholes'!$B$6-D591,0),MAX(D591-'Black-Scholes'!$B$6,0))</f>
        <v>36.9396403106208</v>
      </c>
    </row>
    <row r="592" customFormat="false" ht="15" hidden="false" customHeight="false" outlineLevel="0" collapsed="false">
      <c r="A592" s="0" t="n">
        <v>581</v>
      </c>
      <c r="B592" s="15" t="n">
        <v>0.493630394141216</v>
      </c>
      <c r="C592" s="18" t="n">
        <f aca="false">'Black-Scholes'!$B$5*EXP(('Black-Scholes'!$B$8-'Black-Scholes'!$B$10-'Black-Scholes'!$B$9^2/2)*'Black-Scholes'!$B$7+'Black-Scholes'!$B$9*SQRT('Black-Scholes'!$B$7)*B592)</f>
        <v>113.737852943197</v>
      </c>
      <c r="D592" s="18" t="n">
        <f aca="false">'Black-Scholes'!$B$5*EXP(('Black-Scholes'!$B$8-'Black-Scholes'!$B$10-'Black-Scholes'!$B$9^2/2)*'Black-Scholes'!$B$7-'Black-Scholes'!$B$9*SQRT('Black-Scholes'!$B$7)*B592)</f>
        <v>93.3582373034299</v>
      </c>
      <c r="E592" s="18" t="n">
        <f aca="false">EXP(-'Black-Scholes'!$B$8*'Black-Scholes'!$B$7)*IF(LOWER('Black-Scholes'!$B$11)="put",MAX('Black-Scholes'!$B$6-C592,0),MAX(C592-'Black-Scholes'!$B$6,0))</f>
        <v>13.0678499490327</v>
      </c>
      <c r="F592" s="18" t="n">
        <f aca="false">(E592+G592)/2</f>
        <v>6.53392497451634</v>
      </c>
      <c r="G592" s="18" t="n">
        <f aca="false">EXP(-'Black-Scholes'!$B$8*'Black-Scholes'!$B$7)*IF(LOWER('Black-Scholes'!$B$11)="put",MAX('Black-Scholes'!$B$6-D592,0),MAX(D592-'Black-Scholes'!$B$6,0))</f>
        <v>0</v>
      </c>
    </row>
    <row r="593" customFormat="false" ht="15" hidden="false" customHeight="false" outlineLevel="0" collapsed="false">
      <c r="A593" s="0" t="n">
        <v>582</v>
      </c>
      <c r="B593" s="15" t="n">
        <v>1.02366010608958</v>
      </c>
      <c r="C593" s="18" t="n">
        <f aca="false">'Black-Scholes'!$B$5*EXP(('Black-Scholes'!$B$8-'Black-Scholes'!$B$10-'Black-Scholes'!$B$9^2/2)*'Black-Scholes'!$B$7+'Black-Scholes'!$B$9*SQRT('Black-Scholes'!$B$7)*B593)</f>
        <v>126.456984543575</v>
      </c>
      <c r="D593" s="18" t="n">
        <f aca="false">'Black-Scholes'!$B$5*EXP(('Black-Scholes'!$B$8-'Black-Scholes'!$B$10-'Black-Scholes'!$B$9^2/2)*'Black-Scholes'!$B$7-'Black-Scholes'!$B$9*SQRT('Black-Scholes'!$B$7)*B593)</f>
        <v>83.9682007583745</v>
      </c>
      <c r="E593" s="18" t="n">
        <f aca="false">EXP(-'Black-Scholes'!$B$8*'Black-Scholes'!$B$7)*IF(LOWER('Black-Scholes'!$B$11)="put",MAX('Black-Scholes'!$B$6-C593,0),MAX(C593-'Black-Scholes'!$B$6,0))</f>
        <v>25.1666621814095</v>
      </c>
      <c r="F593" s="18" t="n">
        <f aca="false">(E593+G593)/2</f>
        <v>12.5833310907048</v>
      </c>
      <c r="G593" s="18" t="n">
        <f aca="false">EXP(-'Black-Scholes'!$B$8*'Black-Scholes'!$B$7)*IF(LOWER('Black-Scholes'!$B$11)="put",MAX('Black-Scholes'!$B$6-D593,0),MAX(D593-'Black-Scholes'!$B$6,0))</f>
        <v>0</v>
      </c>
    </row>
    <row r="594" customFormat="false" ht="15" hidden="false" customHeight="false" outlineLevel="0" collapsed="false">
      <c r="A594" s="0" t="n">
        <v>583</v>
      </c>
      <c r="B594" s="15" t="n">
        <v>1.32193179575574</v>
      </c>
      <c r="C594" s="18" t="n">
        <f aca="false">'Black-Scholes'!$B$5*EXP(('Black-Scholes'!$B$8-'Black-Scholes'!$B$10-'Black-Scholes'!$B$9^2/2)*'Black-Scholes'!$B$7+'Black-Scholes'!$B$9*SQRT('Black-Scholes'!$B$7)*B594)</f>
        <v>134.230241431623</v>
      </c>
      <c r="D594" s="18" t="n">
        <f aca="false">'Black-Scholes'!$B$5*EXP(('Black-Scholes'!$B$8-'Black-Scholes'!$B$10-'Black-Scholes'!$B$9^2/2)*'Black-Scholes'!$B$7-'Black-Scholes'!$B$9*SQRT('Black-Scholes'!$B$7)*B594)</f>
        <v>79.105612507317</v>
      </c>
      <c r="E594" s="18" t="n">
        <f aca="false">EXP(-'Black-Scholes'!$B$8*'Black-Scholes'!$B$7)*IF(LOWER('Black-Scholes'!$B$11)="put",MAX('Black-Scholes'!$B$6-C594,0),MAX(C594-'Black-Scholes'!$B$6,0))</f>
        <v>32.5608128575235</v>
      </c>
      <c r="F594" s="18" t="n">
        <f aca="false">(E594+G594)/2</f>
        <v>16.2804064287618</v>
      </c>
      <c r="G594" s="18" t="n">
        <f aca="false">EXP(-'Black-Scholes'!$B$8*'Black-Scholes'!$B$7)*IF(LOWER('Black-Scholes'!$B$11)="put",MAX('Black-Scholes'!$B$6-D594,0),MAX(D594-'Black-Scholes'!$B$6,0))</f>
        <v>0</v>
      </c>
    </row>
    <row r="595" customFormat="false" ht="15" hidden="false" customHeight="false" outlineLevel="0" collapsed="false">
      <c r="A595" s="0" t="n">
        <v>584</v>
      </c>
      <c r="B595" s="15" t="n">
        <v>0.136566843335659</v>
      </c>
      <c r="C595" s="18" t="n">
        <f aca="false">'Black-Scholes'!$B$5*EXP(('Black-Scholes'!$B$8-'Black-Scholes'!$B$10-'Black-Scholes'!$B$9^2/2)*'Black-Scholes'!$B$7+'Black-Scholes'!$B$9*SQRT('Black-Scholes'!$B$7)*B595)</f>
        <v>105.898761194114</v>
      </c>
      <c r="D595" s="18" t="n">
        <f aca="false">'Black-Scholes'!$B$5*EXP(('Black-Scholes'!$B$8-'Black-Scholes'!$B$10-'Black-Scholes'!$B$9^2/2)*'Black-Scholes'!$B$7-'Black-Scholes'!$B$9*SQRT('Black-Scholes'!$B$7)*B595)</f>
        <v>100.269024356101</v>
      </c>
      <c r="E595" s="18" t="n">
        <f aca="false">EXP(-'Black-Scholes'!$B$8*'Black-Scholes'!$B$7)*IF(LOWER('Black-Scholes'!$B$11)="put",MAX('Black-Scholes'!$B$6-C595,0),MAX(C595-'Black-Scholes'!$B$6,0))</f>
        <v>5.61107521594457</v>
      </c>
      <c r="F595" s="18" t="n">
        <f aca="false">(E595+G595)/2</f>
        <v>2.93348954968768</v>
      </c>
      <c r="G595" s="18" t="n">
        <f aca="false">EXP(-'Black-Scholes'!$B$8*'Black-Scholes'!$B$7)*IF(LOWER('Black-Scholes'!$B$11)="put",MAX('Black-Scholes'!$B$6-D595,0),MAX(D595-'Black-Scholes'!$B$6,0))</f>
        <v>0.255903883430791</v>
      </c>
    </row>
    <row r="596" customFormat="false" ht="15" hidden="false" customHeight="false" outlineLevel="0" collapsed="false">
      <c r="A596" s="0" t="n">
        <v>585</v>
      </c>
      <c r="B596" s="15" t="n">
        <v>0.652586676509503</v>
      </c>
      <c r="C596" s="18" t="n">
        <f aca="false">'Black-Scholes'!$B$5*EXP(('Black-Scholes'!$B$8-'Black-Scholes'!$B$10-'Black-Scholes'!$B$9^2/2)*'Black-Scholes'!$B$7+'Black-Scholes'!$B$9*SQRT('Black-Scholes'!$B$7)*B596)</f>
        <v>117.411812665639</v>
      </c>
      <c r="D596" s="18" t="n">
        <f aca="false">'Black-Scholes'!$B$5*EXP(('Black-Scholes'!$B$8-'Black-Scholes'!$B$10-'Black-Scholes'!$B$9^2/2)*'Black-Scholes'!$B$7-'Black-Scholes'!$B$9*SQRT('Black-Scholes'!$B$7)*B596)</f>
        <v>90.4369434759701</v>
      </c>
      <c r="E596" s="18" t="n">
        <f aca="false">EXP(-'Black-Scholes'!$B$8*'Black-Scholes'!$B$7)*IF(LOWER('Black-Scholes'!$B$11)="put",MAX('Black-Scholes'!$B$6-C596,0),MAX(C596-'Black-Scholes'!$B$6,0))</f>
        <v>16.5626285414501</v>
      </c>
      <c r="F596" s="18" t="n">
        <f aca="false">(E596+G596)/2</f>
        <v>8.28131427072506</v>
      </c>
      <c r="G596" s="18" t="n">
        <f aca="false">EXP(-'Black-Scholes'!$B$8*'Black-Scholes'!$B$7)*IF(LOWER('Black-Scholes'!$B$11)="put",MAX('Black-Scholes'!$B$6-D596,0),MAX(D596-'Black-Scholes'!$B$6,0))</f>
        <v>0</v>
      </c>
    </row>
    <row r="597" customFormat="false" ht="15" hidden="false" customHeight="false" outlineLevel="0" collapsed="false">
      <c r="A597" s="0" t="n">
        <v>586</v>
      </c>
      <c r="B597" s="15" t="n">
        <v>0.222728425605206</v>
      </c>
      <c r="C597" s="18" t="n">
        <f aca="false">'Black-Scholes'!$B$5*EXP(('Black-Scholes'!$B$8-'Black-Scholes'!$B$10-'Black-Scholes'!$B$9^2/2)*'Black-Scholes'!$B$7+'Black-Scholes'!$B$9*SQRT('Black-Scholes'!$B$7)*B597)</f>
        <v>107.739456329897</v>
      </c>
      <c r="D597" s="18" t="n">
        <f aca="false">'Black-Scholes'!$B$5*EXP(('Black-Scholes'!$B$8-'Black-Scholes'!$B$10-'Black-Scholes'!$B$9^2/2)*'Black-Scholes'!$B$7-'Black-Scholes'!$B$9*SQRT('Black-Scholes'!$B$7)*B597)</f>
        <v>98.5559592294604</v>
      </c>
      <c r="E597" s="18" t="n">
        <f aca="false">EXP(-'Black-Scholes'!$B$8*'Black-Scholes'!$B$7)*IF(LOWER('Black-Scholes'!$B$11)="put",MAX('Black-Scholes'!$B$6-C597,0),MAX(C597-'Black-Scholes'!$B$6,0))</f>
        <v>7.36199859063672</v>
      </c>
      <c r="F597" s="18" t="n">
        <f aca="false">(E597+G597)/2</f>
        <v>3.68099929531836</v>
      </c>
      <c r="G597" s="18" t="n">
        <f aca="false">EXP(-'Black-Scholes'!$B$8*'Black-Scholes'!$B$7)*IF(LOWER('Black-Scholes'!$B$11)="put",MAX('Black-Scholes'!$B$6-D597,0),MAX(D597-'Black-Scholes'!$B$6,0))</f>
        <v>0</v>
      </c>
    </row>
    <row r="598" customFormat="false" ht="15" hidden="false" customHeight="false" outlineLevel="0" collapsed="false">
      <c r="A598" s="0" t="n">
        <v>587</v>
      </c>
      <c r="B598" s="15" t="n">
        <v>-0.377108618631529</v>
      </c>
      <c r="C598" s="18" t="n">
        <f aca="false">'Black-Scholes'!$B$5*EXP(('Black-Scholes'!$B$8-'Black-Scholes'!$B$10-'Black-Scholes'!$B$9^2/2)*'Black-Scholes'!$B$7+'Black-Scholes'!$B$9*SQRT('Black-Scholes'!$B$7)*B598)</f>
        <v>95.559440001328</v>
      </c>
      <c r="D598" s="18" t="n">
        <f aca="false">'Black-Scholes'!$B$5*EXP(('Black-Scholes'!$B$8-'Black-Scholes'!$B$10-'Black-Scholes'!$B$9^2/2)*'Black-Scholes'!$B$7-'Black-Scholes'!$B$9*SQRT('Black-Scholes'!$B$7)*B598)</f>
        <v>111.117912215748</v>
      </c>
      <c r="E598" s="18" t="n">
        <f aca="false">EXP(-'Black-Scholes'!$B$8*'Black-Scholes'!$B$7)*IF(LOWER('Black-Scholes'!$B$11)="put",MAX('Black-Scholes'!$B$6-C598,0),MAX(C598-'Black-Scholes'!$B$6,0))</f>
        <v>0</v>
      </c>
      <c r="F598" s="18" t="n">
        <f aca="false">(E598+G598)/2</f>
        <v>5.28784261931768</v>
      </c>
      <c r="G598" s="18" t="n">
        <f aca="false">EXP(-'Black-Scholes'!$B$8*'Black-Scholes'!$B$7)*IF(LOWER('Black-Scholes'!$B$11)="put",MAX('Black-Scholes'!$B$6-D598,0),MAX(D598-'Black-Scholes'!$B$6,0))</f>
        <v>10.5756852386354</v>
      </c>
    </row>
    <row r="599" customFormat="false" ht="15" hidden="false" customHeight="false" outlineLevel="0" collapsed="false">
      <c r="A599" s="0" t="n">
        <v>588</v>
      </c>
      <c r="B599" s="15" t="n">
        <v>-1.40051329878628</v>
      </c>
      <c r="C599" s="18" t="n">
        <f aca="false">'Black-Scholes'!$B$5*EXP(('Black-Scholes'!$B$8-'Black-Scholes'!$B$10-'Black-Scholes'!$B$9^2/2)*'Black-Scholes'!$B$7+'Black-Scholes'!$B$9*SQRT('Black-Scholes'!$B$7)*B599)</f>
        <v>77.8720835675825</v>
      </c>
      <c r="D599" s="18" t="n">
        <f aca="false">'Black-Scholes'!$B$5*EXP(('Black-Scholes'!$B$8-'Black-Scholes'!$B$10-'Black-Scholes'!$B$9^2/2)*'Black-Scholes'!$B$7-'Black-Scholes'!$B$9*SQRT('Black-Scholes'!$B$7)*B599)</f>
        <v>136.356509020826</v>
      </c>
      <c r="E599" s="18" t="n">
        <f aca="false">EXP(-'Black-Scholes'!$B$8*'Black-Scholes'!$B$7)*IF(LOWER('Black-Scholes'!$B$11)="put",MAX('Black-Scholes'!$B$6-C599,0),MAX(C599-'Black-Scholes'!$B$6,0))</f>
        <v>0</v>
      </c>
      <c r="F599" s="18" t="n">
        <f aca="false">(E599+G599)/2</f>
        <v>17.2916905763678</v>
      </c>
      <c r="G599" s="18" t="n">
        <f aca="false">EXP(-'Black-Scholes'!$B$8*'Black-Scholes'!$B$7)*IF(LOWER('Black-Scholes'!$B$11)="put",MAX('Black-Scholes'!$B$6-D599,0),MAX(D599-'Black-Scholes'!$B$6,0))</f>
        <v>34.5833811527356</v>
      </c>
    </row>
    <row r="600" customFormat="false" ht="15" hidden="false" customHeight="false" outlineLevel="0" collapsed="false">
      <c r="A600" s="0" t="n">
        <v>589</v>
      </c>
      <c r="B600" s="15" t="n">
        <v>-0.878199538962903</v>
      </c>
      <c r="C600" s="18" t="n">
        <f aca="false">'Black-Scholes'!$B$5*EXP(('Black-Scholes'!$B$8-'Black-Scholes'!$B$10-'Black-Scholes'!$B$9^2/2)*'Black-Scholes'!$B$7+'Black-Scholes'!$B$9*SQRT('Black-Scholes'!$B$7)*B600)</f>
        <v>86.4468935672375</v>
      </c>
      <c r="D600" s="18" t="n">
        <f aca="false">'Black-Scholes'!$B$5*EXP(('Black-Scholes'!$B$8-'Black-Scholes'!$B$10-'Black-Scholes'!$B$9^2/2)*'Black-Scholes'!$B$7-'Black-Scholes'!$B$9*SQRT('Black-Scholes'!$B$7)*B600)</f>
        <v>122.831081919615</v>
      </c>
      <c r="E600" s="18" t="n">
        <f aca="false">EXP(-'Black-Scholes'!$B$8*'Black-Scholes'!$B$7)*IF(LOWER('Black-Scholes'!$B$11)="put",MAX('Black-Scholes'!$B$6-C600,0),MAX(C600-'Black-Scholes'!$B$6,0))</f>
        <v>0</v>
      </c>
      <c r="F600" s="18" t="n">
        <f aca="false">(E600+G600)/2</f>
        <v>10.8587984575621</v>
      </c>
      <c r="G600" s="18" t="n">
        <f aca="false">EXP(-'Black-Scholes'!$B$8*'Black-Scholes'!$B$7)*IF(LOWER('Black-Scholes'!$B$11)="put",MAX('Black-Scholes'!$B$6-D600,0),MAX(D600-'Black-Scholes'!$B$6,0))</f>
        <v>21.7175969151242</v>
      </c>
    </row>
    <row r="601" customFormat="false" ht="15" hidden="false" customHeight="false" outlineLevel="0" collapsed="false">
      <c r="A601" s="0" t="n">
        <v>590</v>
      </c>
      <c r="B601" s="15" t="n">
        <v>1.06389014208571</v>
      </c>
      <c r="C601" s="18" t="n">
        <f aca="false">'Black-Scholes'!$B$5*EXP(('Black-Scholes'!$B$8-'Black-Scholes'!$B$10-'Black-Scholes'!$B$9^2/2)*'Black-Scholes'!$B$7+'Black-Scholes'!$B$9*SQRT('Black-Scholes'!$B$7)*B601)</f>
        <v>127.478562652759</v>
      </c>
      <c r="D601" s="18" t="n">
        <f aca="false">'Black-Scholes'!$B$5*EXP(('Black-Scholes'!$B$8-'Black-Scholes'!$B$10-'Black-Scholes'!$B$9^2/2)*'Black-Scholes'!$B$7-'Black-Scholes'!$B$9*SQRT('Black-Scholes'!$B$7)*B601)</f>
        <v>83.2953027120111</v>
      </c>
      <c r="E601" s="18" t="n">
        <f aca="false">EXP(-'Black-Scholes'!$B$8*'Black-Scholes'!$B$7)*IF(LOWER('Black-Scholes'!$B$11)="put",MAX('Black-Scholes'!$B$6-C601,0),MAX(C601-'Black-Scholes'!$B$6,0))</f>
        <v>26.1384173382904</v>
      </c>
      <c r="F601" s="18" t="n">
        <f aca="false">(E601+G601)/2</f>
        <v>13.0692086691452</v>
      </c>
      <c r="G601" s="18" t="n">
        <f aca="false">EXP(-'Black-Scholes'!$B$8*'Black-Scholes'!$B$7)*IF(LOWER('Black-Scholes'!$B$11)="put",MAX('Black-Scholes'!$B$6-D601,0),MAX(D601-'Black-Scholes'!$B$6,0))</f>
        <v>0</v>
      </c>
    </row>
    <row r="602" customFormat="false" ht="15" hidden="false" customHeight="false" outlineLevel="0" collapsed="false">
      <c r="A602" s="0" t="n">
        <v>591</v>
      </c>
      <c r="B602" s="15" t="n">
        <v>-2.67796997528245</v>
      </c>
      <c r="C602" s="18" t="n">
        <f aca="false">'Black-Scholes'!$B$5*EXP(('Black-Scholes'!$B$8-'Black-Scholes'!$B$10-'Black-Scholes'!$B$9^2/2)*'Black-Scholes'!$B$7+'Black-Scholes'!$B$9*SQRT('Black-Scholes'!$B$7)*B602)</f>
        <v>60.314720254507</v>
      </c>
      <c r="D602" s="18" t="n">
        <f aca="false">'Black-Scholes'!$B$5*EXP(('Black-Scholes'!$B$8-'Black-Scholes'!$B$10-'Black-Scholes'!$B$9^2/2)*'Black-Scholes'!$B$7-'Black-Scholes'!$B$9*SQRT('Black-Scholes'!$B$7)*B602)</f>
        <v>176.049319646146</v>
      </c>
      <c r="E602" s="18" t="n">
        <f aca="false">EXP(-'Black-Scholes'!$B$8*'Black-Scholes'!$B$7)*IF(LOWER('Black-Scholes'!$B$11)="put",MAX('Black-Scholes'!$B$6-C602,0),MAX(C602-'Black-Scholes'!$B$6,0))</f>
        <v>0</v>
      </c>
      <c r="F602" s="18" t="n">
        <f aca="false">(E602+G602)/2</f>
        <v>36.1701752803373</v>
      </c>
      <c r="G602" s="18" t="n">
        <f aca="false">EXP(-'Black-Scholes'!$B$8*'Black-Scholes'!$B$7)*IF(LOWER('Black-Scholes'!$B$11)="put",MAX('Black-Scholes'!$B$6-D602,0),MAX(D602-'Black-Scholes'!$B$6,0))</f>
        <v>72.3403505606745</v>
      </c>
    </row>
    <row r="603" customFormat="false" ht="15" hidden="false" customHeight="false" outlineLevel="0" collapsed="false">
      <c r="A603" s="0" t="n">
        <v>592</v>
      </c>
      <c r="B603" s="15" t="n">
        <v>1.16469057392488</v>
      </c>
      <c r="C603" s="18" t="n">
        <f aca="false">'Black-Scholes'!$B$5*EXP(('Black-Scholes'!$B$8-'Black-Scholes'!$B$10-'Black-Scholes'!$B$9^2/2)*'Black-Scholes'!$B$7+'Black-Scholes'!$B$9*SQRT('Black-Scholes'!$B$7)*B603)</f>
        <v>130.07462195014</v>
      </c>
      <c r="D603" s="18" t="n">
        <f aca="false">'Black-Scholes'!$B$5*EXP(('Black-Scholes'!$B$8-'Black-Scholes'!$B$10-'Black-Scholes'!$B$9^2/2)*'Black-Scholes'!$B$7-'Black-Scholes'!$B$9*SQRT('Black-Scholes'!$B$7)*B603)</f>
        <v>81.6328758543216</v>
      </c>
      <c r="E603" s="18" t="n">
        <f aca="false">EXP(-'Black-Scholes'!$B$8*'Black-Scholes'!$B$7)*IF(LOWER('Black-Scholes'!$B$11)="put",MAX('Black-Scholes'!$B$6-C603,0),MAX(C603-'Black-Scholes'!$B$6,0))</f>
        <v>28.6078653297083</v>
      </c>
      <c r="F603" s="18" t="n">
        <f aca="false">(E603+G603)/2</f>
        <v>14.3039326648541</v>
      </c>
      <c r="G603" s="18" t="n">
        <f aca="false">EXP(-'Black-Scholes'!$B$8*'Black-Scholes'!$B$7)*IF(LOWER('Black-Scholes'!$B$11)="put",MAX('Black-Scholes'!$B$6-D603,0),MAX(D603-'Black-Scholes'!$B$6,0))</f>
        <v>0</v>
      </c>
    </row>
    <row r="604" customFormat="false" ht="15" hidden="false" customHeight="false" outlineLevel="0" collapsed="false">
      <c r="A604" s="0" t="n">
        <v>593</v>
      </c>
      <c r="B604" s="15" t="n">
        <v>1.10930310713345</v>
      </c>
      <c r="C604" s="18" t="n">
        <f aca="false">'Black-Scholes'!$B$5*EXP(('Black-Scholes'!$B$8-'Black-Scholes'!$B$10-'Black-Scholes'!$B$9^2/2)*'Black-Scholes'!$B$7+'Black-Scholes'!$B$9*SQRT('Black-Scholes'!$B$7)*B604)</f>
        <v>128.641672586111</v>
      </c>
      <c r="D604" s="18" t="n">
        <f aca="false">'Black-Scholes'!$B$5*EXP(('Black-Scholes'!$B$8-'Black-Scholes'!$B$10-'Black-Scholes'!$B$9^2/2)*'Black-Scholes'!$B$7-'Black-Scholes'!$B$9*SQRT('Black-Scholes'!$B$7)*B604)</f>
        <v>82.5421906602294</v>
      </c>
      <c r="E604" s="18" t="n">
        <f aca="false">EXP(-'Black-Scholes'!$B$8*'Black-Scholes'!$B$7)*IF(LOWER('Black-Scholes'!$B$11)="put",MAX('Black-Scholes'!$B$6-C604,0),MAX(C604-'Black-Scholes'!$B$6,0))</f>
        <v>27.2448017308245</v>
      </c>
      <c r="F604" s="18" t="n">
        <f aca="false">(E604+G604)/2</f>
        <v>13.6224008654122</v>
      </c>
      <c r="G604" s="18" t="n">
        <f aca="false">EXP(-'Black-Scholes'!$B$8*'Black-Scholes'!$B$7)*IF(LOWER('Black-Scholes'!$B$11)="put",MAX('Black-Scholes'!$B$6-D604,0),MAX(D604-'Black-Scholes'!$B$6,0))</f>
        <v>0</v>
      </c>
    </row>
    <row r="605" customFormat="false" ht="15" hidden="false" customHeight="false" outlineLevel="0" collapsed="false">
      <c r="A605" s="0" t="n">
        <v>594</v>
      </c>
      <c r="B605" s="15" t="n">
        <v>0.967108753957429</v>
      </c>
      <c r="C605" s="18" t="n">
        <f aca="false">'Black-Scholes'!$B$5*EXP(('Black-Scholes'!$B$8-'Black-Scholes'!$B$10-'Black-Scholes'!$B$9^2/2)*'Black-Scholes'!$B$7+'Black-Scholes'!$B$9*SQRT('Black-Scholes'!$B$7)*B605)</f>
        <v>125.034779772292</v>
      </c>
      <c r="D605" s="18" t="n">
        <f aca="false">'Black-Scholes'!$B$5*EXP(('Black-Scholes'!$B$8-'Black-Scholes'!$B$10-'Black-Scholes'!$B$9^2/2)*'Black-Scholes'!$B$7-'Black-Scholes'!$B$9*SQRT('Black-Scholes'!$B$7)*B605)</f>
        <v>84.9232948207793</v>
      </c>
      <c r="E605" s="18" t="n">
        <f aca="false">EXP(-'Black-Scholes'!$B$8*'Black-Scholes'!$B$7)*IF(LOWER('Black-Scholes'!$B$11)="put",MAX('Black-Scholes'!$B$6-C605,0),MAX(C605-'Black-Scholes'!$B$6,0))</f>
        <v>23.8138191552998</v>
      </c>
      <c r="F605" s="18" t="n">
        <f aca="false">(E605+G605)/2</f>
        <v>11.9069095776499</v>
      </c>
      <c r="G605" s="18" t="n">
        <f aca="false">EXP(-'Black-Scholes'!$B$8*'Black-Scholes'!$B$7)*IF(LOWER('Black-Scholes'!$B$11)="put",MAX('Black-Scholes'!$B$6-D605,0),MAX(D605-'Black-Scholes'!$B$6,0))</f>
        <v>0</v>
      </c>
    </row>
    <row r="606" customFormat="false" ht="15" hidden="false" customHeight="false" outlineLevel="0" collapsed="false">
      <c r="A606" s="0" t="n">
        <v>595</v>
      </c>
      <c r="B606" s="15" t="n">
        <v>-0.184496319729397</v>
      </c>
      <c r="C606" s="18" t="n">
        <f aca="false">'Black-Scholes'!$B$5*EXP(('Black-Scholes'!$B$8-'Black-Scholes'!$B$10-'Black-Scholes'!$B$9^2/2)*'Black-Scholes'!$B$7+'Black-Scholes'!$B$9*SQRT('Black-Scholes'!$B$7)*B606)</f>
        <v>99.3124481335914</v>
      </c>
      <c r="D606" s="18" t="n">
        <f aca="false">'Black-Scholes'!$B$5*EXP(('Black-Scholes'!$B$8-'Black-Scholes'!$B$10-'Black-Scholes'!$B$9^2/2)*'Black-Scholes'!$B$7-'Black-Scholes'!$B$9*SQRT('Black-Scholes'!$B$7)*B606)</f>
        <v>106.918776699273</v>
      </c>
      <c r="E606" s="18" t="n">
        <f aca="false">EXP(-'Black-Scholes'!$B$8*'Black-Scholes'!$B$7)*IF(LOWER('Black-Scholes'!$B$11)="put",MAX('Black-Scholes'!$B$6-C606,0),MAX(C606-'Black-Scholes'!$B$6,0))</f>
        <v>0</v>
      </c>
      <c r="F606" s="18" t="n">
        <f aca="false">(E606+G606)/2</f>
        <v>3.29067198894924</v>
      </c>
      <c r="G606" s="18" t="n">
        <f aca="false">EXP(-'Black-Scholes'!$B$8*'Black-Scholes'!$B$7)*IF(LOWER('Black-Scholes'!$B$11)="put",MAX('Black-Scholes'!$B$6-D606,0),MAX(D606-'Black-Scholes'!$B$6,0))</f>
        <v>6.58134397789848</v>
      </c>
    </row>
    <row r="607" customFormat="false" ht="15" hidden="false" customHeight="false" outlineLevel="0" collapsed="false">
      <c r="A607" s="0" t="n">
        <v>596</v>
      </c>
      <c r="B607" s="15" t="n">
        <v>-2.19632474383959</v>
      </c>
      <c r="C607" s="18" t="n">
        <f aca="false">'Black-Scholes'!$B$5*EXP(('Black-Scholes'!$B$8-'Black-Scholes'!$B$10-'Black-Scholes'!$B$9^2/2)*'Black-Scholes'!$B$7+'Black-Scholes'!$B$9*SQRT('Black-Scholes'!$B$7)*B607)</f>
        <v>66.4138246399509</v>
      </c>
      <c r="D607" s="18" t="n">
        <f aca="false">'Black-Scholes'!$B$5*EXP(('Black-Scholes'!$B$8-'Black-Scholes'!$B$10-'Black-Scholes'!$B$9^2/2)*'Black-Scholes'!$B$7-'Black-Scholes'!$B$9*SQRT('Black-Scholes'!$B$7)*B607)</f>
        <v>159.881854764711</v>
      </c>
      <c r="E607" s="18" t="n">
        <f aca="false">EXP(-'Black-Scholes'!$B$8*'Black-Scholes'!$B$7)*IF(LOWER('Black-Scholes'!$B$11)="put",MAX('Black-Scholes'!$B$6-C607,0),MAX(C607-'Black-Scholes'!$B$6,0))</f>
        <v>0</v>
      </c>
      <c r="F607" s="18" t="n">
        <f aca="false">(E607+G607)/2</f>
        <v>28.4806911229355</v>
      </c>
      <c r="G607" s="18" t="n">
        <f aca="false">EXP(-'Black-Scholes'!$B$8*'Black-Scholes'!$B$7)*IF(LOWER('Black-Scholes'!$B$11)="put",MAX('Black-Scholes'!$B$6-D607,0),MAX(D607-'Black-Scholes'!$B$6,0))</f>
        <v>56.9613822458711</v>
      </c>
    </row>
    <row r="608" customFormat="false" ht="15" hidden="false" customHeight="false" outlineLevel="0" collapsed="false">
      <c r="A608" s="0" t="n">
        <v>597</v>
      </c>
      <c r="B608" s="15" t="n">
        <v>2.32847207086531</v>
      </c>
      <c r="C608" s="18" t="n">
        <f aca="false">'Black-Scholes'!$B$5*EXP(('Black-Scholes'!$B$8-'Black-Scholes'!$B$10-'Black-Scholes'!$B$9^2/2)*'Black-Scholes'!$B$7+'Black-Scholes'!$B$9*SQRT('Black-Scholes'!$B$7)*B608)</f>
        <v>164.163781990988</v>
      </c>
      <c r="D608" s="18" t="n">
        <f aca="false">'Black-Scholes'!$B$5*EXP(('Black-Scholes'!$B$8-'Black-Scholes'!$B$10-'Black-Scholes'!$B$9^2/2)*'Black-Scholes'!$B$7-'Black-Scholes'!$B$9*SQRT('Black-Scholes'!$B$7)*B608)</f>
        <v>64.6815353342463</v>
      </c>
      <c r="E608" s="18" t="n">
        <f aca="false">EXP(-'Black-Scholes'!$B$8*'Black-Scholes'!$B$7)*IF(LOWER('Black-Scholes'!$B$11)="put",MAX('Black-Scholes'!$B$6-C608,0),MAX(C608-'Black-Scholes'!$B$6,0))</f>
        <v>61.0344774170769</v>
      </c>
      <c r="F608" s="18" t="n">
        <f aca="false">(E608+G608)/2</f>
        <v>30.5172387085385</v>
      </c>
      <c r="G608" s="18" t="n">
        <f aca="false">EXP(-'Black-Scholes'!$B$8*'Black-Scholes'!$B$7)*IF(LOWER('Black-Scholes'!$B$11)="put",MAX('Black-Scholes'!$B$6-D608,0),MAX(D608-'Black-Scholes'!$B$6,0))</f>
        <v>0</v>
      </c>
    </row>
    <row r="609" customFormat="false" ht="15" hidden="false" customHeight="false" outlineLevel="0" collapsed="false">
      <c r="A609" s="0" t="n">
        <v>598</v>
      </c>
      <c r="B609" s="15" t="n">
        <v>-0.194639994616203</v>
      </c>
      <c r="C609" s="18" t="n">
        <f aca="false">'Black-Scholes'!$B$5*EXP(('Black-Scholes'!$B$8-'Black-Scholes'!$B$10-'Black-Scholes'!$B$9^2/2)*'Black-Scholes'!$B$7+'Black-Scholes'!$B$9*SQRT('Black-Scholes'!$B$7)*B609)</f>
        <v>99.1111737316182</v>
      </c>
      <c r="D609" s="18" t="n">
        <f aca="false">'Black-Scholes'!$B$5*EXP(('Black-Scholes'!$B$8-'Black-Scholes'!$B$10-'Black-Scholes'!$B$9^2/2)*'Black-Scholes'!$B$7-'Black-Scholes'!$B$9*SQRT('Black-Scholes'!$B$7)*B609)</f>
        <v>107.135906736479</v>
      </c>
      <c r="E609" s="18" t="n">
        <f aca="false">EXP(-'Black-Scholes'!$B$8*'Black-Scholes'!$B$7)*IF(LOWER('Black-Scholes'!$B$11)="put",MAX('Black-Scholes'!$B$6-C609,0),MAX(C609-'Black-Scholes'!$B$6,0))</f>
        <v>0</v>
      </c>
      <c r="F609" s="18" t="n">
        <f aca="false">(E609+G609)/2</f>
        <v>3.39394222911574</v>
      </c>
      <c r="G609" s="18" t="n">
        <f aca="false">EXP(-'Black-Scholes'!$B$8*'Black-Scholes'!$B$7)*IF(LOWER('Black-Scholes'!$B$11)="put",MAX('Black-Scholes'!$B$6-D609,0),MAX(D609-'Black-Scholes'!$B$6,0))</f>
        <v>6.78788445823147</v>
      </c>
    </row>
    <row r="610" customFormat="false" ht="15" hidden="false" customHeight="false" outlineLevel="0" collapsed="false">
      <c r="A610" s="0" t="n">
        <v>599</v>
      </c>
      <c r="B610" s="15" t="n">
        <v>0.94570235277467</v>
      </c>
      <c r="C610" s="18" t="n">
        <f aca="false">'Black-Scholes'!$B$5*EXP(('Black-Scholes'!$B$8-'Black-Scholes'!$B$10-'Black-Scholes'!$B$9^2/2)*'Black-Scholes'!$B$7+'Black-Scholes'!$B$9*SQRT('Black-Scholes'!$B$7)*B610)</f>
        <v>124.500615110983</v>
      </c>
      <c r="D610" s="18" t="n">
        <f aca="false">'Black-Scholes'!$B$5*EXP(('Black-Scholes'!$B$8-'Black-Scholes'!$B$10-'Black-Scholes'!$B$9^2/2)*'Black-Scholes'!$B$7-'Black-Scholes'!$B$9*SQRT('Black-Scholes'!$B$7)*B610)</f>
        <v>85.2876546512489</v>
      </c>
      <c r="E610" s="18" t="n">
        <f aca="false">EXP(-'Black-Scholes'!$B$8*'Black-Scholes'!$B$7)*IF(LOWER('Black-Scholes'!$B$11)="put",MAX('Black-Scholes'!$B$6-C610,0),MAX(C610-'Black-Scholes'!$B$6,0))</f>
        <v>23.3057060119341</v>
      </c>
      <c r="F610" s="18" t="n">
        <f aca="false">(E610+G610)/2</f>
        <v>11.652853005967</v>
      </c>
      <c r="G610" s="18" t="n">
        <f aca="false">EXP(-'Black-Scholes'!$B$8*'Black-Scholes'!$B$7)*IF(LOWER('Black-Scholes'!$B$11)="put",MAX('Black-Scholes'!$B$6-D610,0),MAX(D610-'Black-Scholes'!$B$6,0))</f>
        <v>0</v>
      </c>
    </row>
    <row r="611" customFormat="false" ht="15" hidden="false" customHeight="false" outlineLevel="0" collapsed="false">
      <c r="A611" s="0" t="n">
        <v>600</v>
      </c>
      <c r="B611" s="15" t="n">
        <v>0.432983855795943</v>
      </c>
      <c r="C611" s="18" t="n">
        <f aca="false">'Black-Scholes'!$B$5*EXP(('Black-Scholes'!$B$8-'Black-Scholes'!$B$10-'Black-Scholes'!$B$9^2/2)*'Black-Scholes'!$B$7+'Black-Scholes'!$B$9*SQRT('Black-Scholes'!$B$7)*B611)</f>
        <v>112.366624369094</v>
      </c>
      <c r="D611" s="18" t="n">
        <f aca="false">'Black-Scholes'!$B$5*EXP(('Black-Scholes'!$B$8-'Black-Scholes'!$B$10-'Black-Scholes'!$B$9^2/2)*'Black-Scholes'!$B$7-'Black-Scholes'!$B$9*SQRT('Black-Scholes'!$B$7)*B611)</f>
        <v>94.4975033740901</v>
      </c>
      <c r="E611" s="18" t="n">
        <f aca="false">EXP(-'Black-Scholes'!$B$8*'Black-Scholes'!$B$7)*IF(LOWER('Black-Scholes'!$B$11)="put",MAX('Black-Scholes'!$B$6-C611,0),MAX(C611-'Black-Scholes'!$B$6,0))</f>
        <v>11.76349698163</v>
      </c>
      <c r="F611" s="18" t="n">
        <f aca="false">(E611+G611)/2</f>
        <v>5.88174849081501</v>
      </c>
      <c r="G611" s="18" t="n">
        <f aca="false">EXP(-'Black-Scholes'!$B$8*'Black-Scholes'!$B$7)*IF(LOWER('Black-Scholes'!$B$11)="put",MAX('Black-Scholes'!$B$6-D611,0),MAX(D611-'Black-Scholes'!$B$6,0))</f>
        <v>0</v>
      </c>
    </row>
    <row r="612" customFormat="false" ht="15" hidden="false" customHeight="false" outlineLevel="0" collapsed="false">
      <c r="A612" s="0" t="n">
        <v>601</v>
      </c>
      <c r="B612" s="15" t="n">
        <v>-0.116034298052535</v>
      </c>
      <c r="C612" s="18" t="n">
        <f aca="false">'Black-Scholes'!$B$5*EXP(('Black-Scholes'!$B$8-'Black-Scholes'!$B$10-'Black-Scholes'!$B$9^2/2)*'Black-Scholes'!$B$7+'Black-Scholes'!$B$9*SQRT('Black-Scholes'!$B$7)*B612)</f>
        <v>100.681626610342</v>
      </c>
      <c r="D612" s="18" t="n">
        <f aca="false">'Black-Scholes'!$B$5*EXP(('Black-Scholes'!$B$8-'Black-Scholes'!$B$10-'Black-Scholes'!$B$9^2/2)*'Black-Scholes'!$B$7-'Black-Scholes'!$B$9*SQRT('Black-Scholes'!$B$7)*B612)</f>
        <v>105.46477865866</v>
      </c>
      <c r="E612" s="18" t="n">
        <f aca="false">EXP(-'Black-Scholes'!$B$8*'Black-Scholes'!$B$7)*IF(LOWER('Black-Scholes'!$B$11)="put",MAX('Black-Scholes'!$B$6-C612,0),MAX(C612-'Black-Scholes'!$B$6,0))</f>
        <v>0.648383288279852</v>
      </c>
      <c r="F612" s="18" t="n">
        <f aca="false">(E612+G612)/2</f>
        <v>2.92332077339057</v>
      </c>
      <c r="G612" s="18" t="n">
        <f aca="false">EXP(-'Black-Scholes'!$B$8*'Black-Scholes'!$B$7)*IF(LOWER('Black-Scholes'!$B$11)="put",MAX('Black-Scholes'!$B$6-D612,0),MAX(D612-'Black-Scholes'!$B$6,0))</f>
        <v>5.1982582585013</v>
      </c>
    </row>
    <row r="613" customFormat="false" ht="15" hidden="false" customHeight="false" outlineLevel="0" collapsed="false">
      <c r="A613" s="0" t="n">
        <v>602</v>
      </c>
      <c r="B613" s="15" t="n">
        <v>1.01658209071857</v>
      </c>
      <c r="C613" s="18" t="n">
        <f aca="false">'Black-Scholes'!$B$5*EXP(('Black-Scholes'!$B$8-'Black-Scholes'!$B$10-'Black-Scholes'!$B$9^2/2)*'Black-Scholes'!$B$7+'Black-Scholes'!$B$9*SQRT('Black-Scholes'!$B$7)*B613)</f>
        <v>126.278098293337</v>
      </c>
      <c r="D613" s="18" t="n">
        <f aca="false">'Black-Scholes'!$B$5*EXP(('Black-Scholes'!$B$8-'Black-Scholes'!$B$10-'Black-Scholes'!$B$9^2/2)*'Black-Scholes'!$B$7-'Black-Scholes'!$B$9*SQRT('Black-Scholes'!$B$7)*B613)</f>
        <v>84.0871505745021</v>
      </c>
      <c r="E613" s="18" t="n">
        <f aca="false">EXP(-'Black-Scholes'!$B$8*'Black-Scholes'!$B$7)*IF(LOWER('Black-Scholes'!$B$11)="put",MAX('Black-Scholes'!$B$6-C613,0),MAX(C613-'Black-Scholes'!$B$6,0))</f>
        <v>24.9965003165441</v>
      </c>
      <c r="F613" s="18" t="n">
        <f aca="false">(E613+G613)/2</f>
        <v>12.498250158272</v>
      </c>
      <c r="G613" s="18" t="n">
        <f aca="false">EXP(-'Black-Scholes'!$B$8*'Black-Scholes'!$B$7)*IF(LOWER('Black-Scholes'!$B$11)="put",MAX('Black-Scholes'!$B$6-D613,0),MAX(D613-'Black-Scholes'!$B$6,0))</f>
        <v>0</v>
      </c>
    </row>
    <row r="614" customFormat="false" ht="15" hidden="false" customHeight="false" outlineLevel="0" collapsed="false">
      <c r="A614" s="0" t="n">
        <v>603</v>
      </c>
      <c r="B614" s="15" t="n">
        <v>-1.79924617155009</v>
      </c>
      <c r="C614" s="18" t="n">
        <f aca="false">'Black-Scholes'!$B$5*EXP(('Black-Scholes'!$B$8-'Black-Scholes'!$B$10-'Black-Scholes'!$B$9^2/2)*'Black-Scholes'!$B$7+'Black-Scholes'!$B$9*SQRT('Black-Scholes'!$B$7)*B614)</f>
        <v>71.9032130635726</v>
      </c>
      <c r="D614" s="18" t="n">
        <f aca="false">'Black-Scholes'!$B$5*EXP(('Black-Scholes'!$B$8-'Black-Scholes'!$B$10-'Black-Scholes'!$B$9^2/2)*'Black-Scholes'!$B$7-'Black-Scholes'!$B$9*SQRT('Black-Scholes'!$B$7)*B614)</f>
        <v>147.675813263942</v>
      </c>
      <c r="E614" s="18" t="n">
        <f aca="false">EXP(-'Black-Scholes'!$B$8*'Black-Scholes'!$B$7)*IF(LOWER('Black-Scholes'!$B$11)="put",MAX('Black-Scholes'!$B$6-C614,0),MAX(C614-'Black-Scholes'!$B$6,0))</f>
        <v>0</v>
      </c>
      <c r="F614" s="18" t="n">
        <f aca="false">(E614+G614)/2</f>
        <v>22.6753182068317</v>
      </c>
      <c r="G614" s="18" t="n">
        <f aca="false">EXP(-'Black-Scholes'!$B$8*'Black-Scholes'!$B$7)*IF(LOWER('Black-Scholes'!$B$11)="put",MAX('Black-Scholes'!$B$6-D614,0),MAX(D614-'Black-Scholes'!$B$6,0))</f>
        <v>45.3506364136633</v>
      </c>
    </row>
    <row r="615" customFormat="false" ht="15" hidden="false" customHeight="false" outlineLevel="0" collapsed="false">
      <c r="A615" s="0" t="n">
        <v>604</v>
      </c>
      <c r="B615" s="15" t="n">
        <v>0.696738904625451</v>
      </c>
      <c r="C615" s="18" t="n">
        <f aca="false">'Black-Scholes'!$B$5*EXP(('Black-Scholes'!$B$8-'Black-Scholes'!$B$10-'Black-Scholes'!$B$9^2/2)*'Black-Scholes'!$B$7+'Black-Scholes'!$B$9*SQRT('Black-Scholes'!$B$7)*B615)</f>
        <v>118.45320249402</v>
      </c>
      <c r="D615" s="18" t="n">
        <f aca="false">'Black-Scholes'!$B$5*EXP(('Black-Scholes'!$B$8-'Black-Scholes'!$B$10-'Black-Scholes'!$B$9^2/2)*'Black-Scholes'!$B$7-'Black-Scholes'!$B$9*SQRT('Black-Scholes'!$B$7)*B615)</f>
        <v>89.6418605988272</v>
      </c>
      <c r="E615" s="18" t="n">
        <f aca="false">EXP(-'Black-Scholes'!$B$8*'Black-Scholes'!$B$7)*IF(LOWER('Black-Scholes'!$B$11)="put",MAX('Black-Scholes'!$B$6-C615,0),MAX(C615-'Black-Scholes'!$B$6,0))</f>
        <v>17.5532291885818</v>
      </c>
      <c r="F615" s="18" t="n">
        <f aca="false">(E615+G615)/2</f>
        <v>8.77661459429092</v>
      </c>
      <c r="G615" s="18" t="n">
        <f aca="false">EXP(-'Black-Scholes'!$B$8*'Black-Scholes'!$B$7)*IF(LOWER('Black-Scholes'!$B$11)="put",MAX('Black-Scholes'!$B$6-D615,0),MAX(D615-'Black-Scholes'!$B$6,0))</f>
        <v>0</v>
      </c>
    </row>
    <row r="616" customFormat="false" ht="15" hidden="false" customHeight="false" outlineLevel="0" collapsed="false">
      <c r="A616" s="0" t="n">
        <v>605</v>
      </c>
      <c r="B616" s="15" t="n">
        <v>1.53000806892446</v>
      </c>
      <c r="C616" s="18" t="n">
        <f aca="false">'Black-Scholes'!$B$5*EXP(('Black-Scholes'!$B$8-'Black-Scholes'!$B$10-'Black-Scholes'!$B$9^2/2)*'Black-Scholes'!$B$7+'Black-Scholes'!$B$9*SQRT('Black-Scholes'!$B$7)*B616)</f>
        <v>139.934128304493</v>
      </c>
      <c r="D616" s="18" t="n">
        <f aca="false">'Black-Scholes'!$B$5*EXP(('Black-Scholes'!$B$8-'Black-Scholes'!$B$10-'Black-Scholes'!$B$9^2/2)*'Black-Scholes'!$B$7-'Black-Scholes'!$B$9*SQRT('Black-Scholes'!$B$7)*B616)</f>
        <v>75.8811706201386</v>
      </c>
      <c r="E616" s="18" t="n">
        <f aca="false">EXP(-'Black-Scholes'!$B$8*'Black-Scholes'!$B$7)*IF(LOWER('Black-Scholes'!$B$11)="put",MAX('Black-Scholes'!$B$6-C616,0),MAX(C616-'Black-Scholes'!$B$6,0))</f>
        <v>37.9865178850206</v>
      </c>
      <c r="F616" s="18" t="n">
        <f aca="false">(E616+G616)/2</f>
        <v>18.9932589425103</v>
      </c>
      <c r="G616" s="18" t="n">
        <f aca="false">EXP(-'Black-Scholes'!$B$8*'Black-Scholes'!$B$7)*IF(LOWER('Black-Scholes'!$B$11)="put",MAX('Black-Scholes'!$B$6-D616,0),MAX(D616-'Black-Scholes'!$B$6,0))</f>
        <v>0</v>
      </c>
    </row>
    <row r="617" customFormat="false" ht="15" hidden="false" customHeight="false" outlineLevel="0" collapsed="false">
      <c r="A617" s="0" t="n">
        <v>606</v>
      </c>
      <c r="B617" s="15" t="n">
        <v>-0.914755135445559</v>
      </c>
      <c r="C617" s="18" t="n">
        <f aca="false">'Black-Scholes'!$B$5*EXP(('Black-Scholes'!$B$8-'Black-Scholes'!$B$10-'Black-Scholes'!$B$9^2/2)*'Black-Scholes'!$B$7+'Black-Scholes'!$B$9*SQRT('Black-Scholes'!$B$7)*B617)</f>
        <v>85.8171747950853</v>
      </c>
      <c r="D617" s="18" t="n">
        <f aca="false">'Black-Scholes'!$B$5*EXP(('Black-Scholes'!$B$8-'Black-Scholes'!$B$10-'Black-Scholes'!$B$9^2/2)*'Black-Scholes'!$B$7-'Black-Scholes'!$B$9*SQRT('Black-Scholes'!$B$7)*B617)</f>
        <v>123.732405439916</v>
      </c>
      <c r="E617" s="18" t="n">
        <f aca="false">EXP(-'Black-Scholes'!$B$8*'Black-Scholes'!$B$7)*IF(LOWER('Black-Scholes'!$B$11)="put",MAX('Black-Scholes'!$B$6-C617,0),MAX(C617-'Black-Scholes'!$B$6,0))</f>
        <v>0</v>
      </c>
      <c r="F617" s="18" t="n">
        <f aca="false">(E617+G617)/2</f>
        <v>11.2874811843142</v>
      </c>
      <c r="G617" s="18" t="n">
        <f aca="false">EXP(-'Black-Scholes'!$B$8*'Black-Scholes'!$B$7)*IF(LOWER('Black-Scholes'!$B$11)="put",MAX('Black-Scholes'!$B$6-D617,0),MAX(D617-'Black-Scholes'!$B$6,0))</f>
        <v>22.5749623686284</v>
      </c>
    </row>
    <row r="618" customFormat="false" ht="15" hidden="false" customHeight="false" outlineLevel="0" collapsed="false">
      <c r="A618" s="0" t="n">
        <v>607</v>
      </c>
      <c r="B618" s="15" t="n">
        <v>1.22643248239213</v>
      </c>
      <c r="C618" s="18" t="n">
        <f aca="false">'Black-Scholes'!$B$5*EXP(('Black-Scholes'!$B$8-'Black-Scholes'!$B$10-'Black-Scholes'!$B$9^2/2)*'Black-Scholes'!$B$7+'Black-Scholes'!$B$9*SQRT('Black-Scholes'!$B$7)*B618)</f>
        <v>131.690791030544</v>
      </c>
      <c r="D618" s="18" t="n">
        <f aca="false">'Black-Scholes'!$B$5*EXP(('Black-Scholes'!$B$8-'Black-Scholes'!$B$10-'Black-Scholes'!$B$9^2/2)*'Black-Scholes'!$B$7-'Black-Scholes'!$B$9*SQRT('Black-Scholes'!$B$7)*B618)</f>
        <v>80.6310401992406</v>
      </c>
      <c r="E618" s="18" t="n">
        <f aca="false">EXP(-'Black-Scholes'!$B$8*'Black-Scholes'!$B$7)*IF(LOWER('Black-Scholes'!$B$11)="put",MAX('Black-Scholes'!$B$6-C618,0),MAX(C618-'Black-Scholes'!$B$6,0))</f>
        <v>30.1452129139569</v>
      </c>
      <c r="F618" s="18" t="n">
        <f aca="false">(E618+G618)/2</f>
        <v>15.0726064569785</v>
      </c>
      <c r="G618" s="18" t="n">
        <f aca="false">EXP(-'Black-Scholes'!$B$8*'Black-Scholes'!$B$7)*IF(LOWER('Black-Scholes'!$B$11)="put",MAX('Black-Scholes'!$B$6-D618,0),MAX(D618-'Black-Scholes'!$B$6,0))</f>
        <v>0</v>
      </c>
    </row>
    <row r="619" customFormat="false" ht="15" hidden="false" customHeight="false" outlineLevel="0" collapsed="false">
      <c r="A619" s="0" t="n">
        <v>608</v>
      </c>
      <c r="B619" s="15" t="n">
        <v>1.18258538239887</v>
      </c>
      <c r="C619" s="18" t="n">
        <f aca="false">'Black-Scholes'!$B$5*EXP(('Black-Scholes'!$B$8-'Black-Scholes'!$B$10-'Black-Scholes'!$B$9^2/2)*'Black-Scholes'!$B$7+'Black-Scholes'!$B$9*SQRT('Black-Scholes'!$B$7)*B619)</f>
        <v>130.540988095044</v>
      </c>
      <c r="D619" s="18" t="n">
        <f aca="false">'Black-Scholes'!$B$5*EXP(('Black-Scholes'!$B$8-'Black-Scholes'!$B$10-'Black-Scholes'!$B$9^2/2)*'Black-Scholes'!$B$7-'Black-Scholes'!$B$9*SQRT('Black-Scholes'!$B$7)*B619)</f>
        <v>81.3412371118458</v>
      </c>
      <c r="E619" s="18" t="n">
        <f aca="false">EXP(-'Black-Scholes'!$B$8*'Black-Scholes'!$B$7)*IF(LOWER('Black-Scholes'!$B$11)="put",MAX('Black-Scholes'!$B$6-C619,0),MAX(C619-'Black-Scholes'!$B$6,0))</f>
        <v>29.0514865293316</v>
      </c>
      <c r="F619" s="18" t="n">
        <f aca="false">(E619+G619)/2</f>
        <v>14.5257432646658</v>
      </c>
      <c r="G619" s="18" t="n">
        <f aca="false">EXP(-'Black-Scholes'!$B$8*'Black-Scholes'!$B$7)*IF(LOWER('Black-Scholes'!$B$11)="put",MAX('Black-Scholes'!$B$6-D619,0),MAX(D619-'Black-Scholes'!$B$6,0))</f>
        <v>0</v>
      </c>
    </row>
    <row r="620" customFormat="false" ht="15" hidden="false" customHeight="false" outlineLevel="0" collapsed="false">
      <c r="A620" s="0" t="n">
        <v>609</v>
      </c>
      <c r="B620" s="15" t="n">
        <v>0.621193099457627</v>
      </c>
      <c r="C620" s="18" t="n">
        <f aca="false">'Black-Scholes'!$B$5*EXP(('Black-Scholes'!$B$8-'Black-Scholes'!$B$10-'Black-Scholes'!$B$9^2/2)*'Black-Scholes'!$B$7+'Black-Scholes'!$B$9*SQRT('Black-Scholes'!$B$7)*B620)</f>
        <v>116.676926791963</v>
      </c>
      <c r="D620" s="18" t="n">
        <f aca="false">'Black-Scholes'!$B$5*EXP(('Black-Scholes'!$B$8-'Black-Scholes'!$B$10-'Black-Scholes'!$B$9^2/2)*'Black-Scholes'!$B$7-'Black-Scholes'!$B$9*SQRT('Black-Scholes'!$B$7)*B620)</f>
        <v>91.0065576580223</v>
      </c>
      <c r="E620" s="18" t="n">
        <f aca="false">EXP(-'Black-Scholes'!$B$8*'Black-Scholes'!$B$7)*IF(LOWER('Black-Scholes'!$B$11)="put",MAX('Black-Scholes'!$B$6-C620,0),MAX(C620-'Black-Scholes'!$B$6,0))</f>
        <v>15.8635834747591</v>
      </c>
      <c r="F620" s="18" t="n">
        <f aca="false">(E620+G620)/2</f>
        <v>7.93179173737956</v>
      </c>
      <c r="G620" s="18" t="n">
        <f aca="false">EXP(-'Black-Scholes'!$B$8*'Black-Scholes'!$B$7)*IF(LOWER('Black-Scholes'!$B$11)="put",MAX('Black-Scholes'!$B$6-D620,0),MAX(D620-'Black-Scholes'!$B$6,0))</f>
        <v>0</v>
      </c>
    </row>
    <row r="621" customFormat="false" ht="15" hidden="false" customHeight="false" outlineLevel="0" collapsed="false">
      <c r="A621" s="0" t="n">
        <v>610</v>
      </c>
      <c r="B621" s="15" t="n">
        <v>-1.46372333486695</v>
      </c>
      <c r="C621" s="18" t="n">
        <f aca="false">'Black-Scholes'!$B$5*EXP(('Black-Scholes'!$B$8-'Black-Scholes'!$B$10-'Black-Scholes'!$B$9^2/2)*'Black-Scholes'!$B$7+'Black-Scholes'!$B$9*SQRT('Black-Scholes'!$B$7)*B621)</f>
        <v>76.8938207567662</v>
      </c>
      <c r="D621" s="18" t="n">
        <f aca="false">'Black-Scholes'!$B$5*EXP(('Black-Scholes'!$B$8-'Black-Scholes'!$B$10-'Black-Scholes'!$B$9^2/2)*'Black-Scholes'!$B$7-'Black-Scholes'!$B$9*SQRT('Black-Scholes'!$B$7)*B621)</f>
        <v>138.091271326497</v>
      </c>
      <c r="E621" s="18" t="n">
        <f aca="false">EXP(-'Black-Scholes'!$B$8*'Black-Scholes'!$B$7)*IF(LOWER('Black-Scholes'!$B$11)="put",MAX('Black-Scholes'!$B$6-C621,0),MAX(C621-'Black-Scholes'!$B$6,0))</f>
        <v>0</v>
      </c>
      <c r="F621" s="18" t="n">
        <f aca="false">(E621+G621)/2</f>
        <v>18.116769051202</v>
      </c>
      <c r="G621" s="18" t="n">
        <f aca="false">EXP(-'Black-Scholes'!$B$8*'Black-Scholes'!$B$7)*IF(LOWER('Black-Scholes'!$B$11)="put",MAX('Black-Scholes'!$B$6-D621,0),MAX(D621-'Black-Scholes'!$B$6,0))</f>
        <v>36.233538102404</v>
      </c>
    </row>
    <row r="622" customFormat="false" ht="15" hidden="false" customHeight="false" outlineLevel="0" collapsed="false">
      <c r="A622" s="0" t="n">
        <v>611</v>
      </c>
      <c r="B622" s="15" t="n">
        <v>-0.672581407266236</v>
      </c>
      <c r="C622" s="18" t="n">
        <f aca="false">'Black-Scholes'!$B$5*EXP(('Black-Scholes'!$B$8-'Black-Scholes'!$B$10-'Black-Scholes'!$B$9^2/2)*'Black-Scholes'!$B$7+'Black-Scholes'!$B$9*SQRT('Black-Scholes'!$B$7)*B622)</f>
        <v>90.0760131603524</v>
      </c>
      <c r="D622" s="18" t="n">
        <f aca="false">'Black-Scholes'!$B$5*EXP(('Black-Scholes'!$B$8-'Black-Scholes'!$B$10-'Black-Scholes'!$B$9^2/2)*'Black-Scholes'!$B$7-'Black-Scholes'!$B$9*SQRT('Black-Scholes'!$B$7)*B622)</f>
        <v>117.882276234306</v>
      </c>
      <c r="E622" s="18" t="n">
        <f aca="false">EXP(-'Black-Scholes'!$B$8*'Black-Scholes'!$B$7)*IF(LOWER('Black-Scholes'!$B$11)="put",MAX('Black-Scholes'!$B$6-C622,0),MAX(C622-'Black-Scholes'!$B$6,0))</f>
        <v>0</v>
      </c>
      <c r="F622" s="18" t="n">
        <f aca="false">(E622+G622)/2</f>
        <v>8.50507366556062</v>
      </c>
      <c r="G622" s="18" t="n">
        <f aca="false">EXP(-'Black-Scholes'!$B$8*'Black-Scholes'!$B$7)*IF(LOWER('Black-Scholes'!$B$11)="put",MAX('Black-Scholes'!$B$6-D622,0),MAX(D622-'Black-Scholes'!$B$6,0))</f>
        <v>17.0101473311212</v>
      </c>
    </row>
    <row r="623" customFormat="false" ht="15" hidden="false" customHeight="false" outlineLevel="0" collapsed="false">
      <c r="A623" s="0" t="n">
        <v>612</v>
      </c>
      <c r="B623" s="15" t="n">
        <v>0.691585715078781</v>
      </c>
      <c r="C623" s="18" t="n">
        <f aca="false">'Black-Scholes'!$B$5*EXP(('Black-Scholes'!$B$8-'Black-Scholes'!$B$10-'Black-Scholes'!$B$9^2/2)*'Black-Scholes'!$B$7+'Black-Scholes'!$B$9*SQRT('Black-Scholes'!$B$7)*B623)</f>
        <v>118.331183022795</v>
      </c>
      <c r="D623" s="18" t="n">
        <f aca="false">'Black-Scholes'!$B$5*EXP(('Black-Scholes'!$B$8-'Black-Scholes'!$B$10-'Black-Scholes'!$B$9^2/2)*'Black-Scholes'!$B$7-'Black-Scholes'!$B$9*SQRT('Black-Scholes'!$B$7)*B623)</f>
        <v>89.7342965244259</v>
      </c>
      <c r="E623" s="18" t="n">
        <f aca="false">EXP(-'Black-Scholes'!$B$8*'Black-Scholes'!$B$7)*IF(LOWER('Black-Scholes'!$B$11)="put",MAX('Black-Scholes'!$B$6-C623,0),MAX(C623-'Black-Scholes'!$B$6,0))</f>
        <v>17.4371606771905</v>
      </c>
      <c r="F623" s="18" t="n">
        <f aca="false">(E623+G623)/2</f>
        <v>8.71858033859526</v>
      </c>
      <c r="G623" s="18" t="n">
        <f aca="false">EXP(-'Black-Scholes'!$B$8*'Black-Scholes'!$B$7)*IF(LOWER('Black-Scholes'!$B$11)="put",MAX('Black-Scholes'!$B$6-D623,0),MAX(D623-'Black-Scholes'!$B$6,0))</f>
        <v>0</v>
      </c>
    </row>
    <row r="624" customFormat="false" ht="15" hidden="false" customHeight="false" outlineLevel="0" collapsed="false">
      <c r="A624" s="0" t="n">
        <v>613</v>
      </c>
      <c r="B624" s="15" t="n">
        <v>-0.252360247768593</v>
      </c>
      <c r="C624" s="18" t="n">
        <f aca="false">'Black-Scholes'!$B$5*EXP(('Black-Scholes'!$B$8-'Black-Scholes'!$B$10-'Black-Scholes'!$B$9^2/2)*'Black-Scholes'!$B$7+'Black-Scholes'!$B$9*SQRT('Black-Scholes'!$B$7)*B624)</f>
        <v>97.9736080152501</v>
      </c>
      <c r="D624" s="18" t="n">
        <f aca="false">'Black-Scholes'!$B$5*EXP(('Black-Scholes'!$B$8-'Black-Scholes'!$B$10-'Black-Scholes'!$B$9^2/2)*'Black-Scholes'!$B$7-'Black-Scholes'!$B$9*SQRT('Black-Scholes'!$B$7)*B624)</f>
        <v>108.379855356565</v>
      </c>
      <c r="E624" s="18" t="n">
        <f aca="false">EXP(-'Black-Scholes'!$B$8*'Black-Scholes'!$B$7)*IF(LOWER('Black-Scholes'!$B$11)="put",MAX('Black-Scholes'!$B$6-C624,0),MAX(C624-'Black-Scholes'!$B$6,0))</f>
        <v>0</v>
      </c>
      <c r="F624" s="18" t="n">
        <f aca="false">(E624+G624)/2</f>
        <v>3.98558249411222</v>
      </c>
      <c r="G624" s="18" t="n">
        <f aca="false">EXP(-'Black-Scholes'!$B$8*'Black-Scholes'!$B$7)*IF(LOWER('Black-Scholes'!$B$11)="put",MAX('Black-Scholes'!$B$6-D624,0),MAX(D624-'Black-Scholes'!$B$6,0))</f>
        <v>7.97116498822444</v>
      </c>
    </row>
    <row r="625" customFormat="false" ht="15" hidden="false" customHeight="false" outlineLevel="0" collapsed="false">
      <c r="A625" s="0" t="n">
        <v>614</v>
      </c>
      <c r="B625" s="15" t="n">
        <v>1.14300203550275</v>
      </c>
      <c r="C625" s="18" t="n">
        <f aca="false">'Black-Scholes'!$B$5*EXP(('Black-Scholes'!$B$8-'Black-Scholes'!$B$10-'Black-Scholes'!$B$9^2/2)*'Black-Scholes'!$B$7+'Black-Scholes'!$B$9*SQRT('Black-Scholes'!$B$7)*B625)</f>
        <v>129.511618218541</v>
      </c>
      <c r="D625" s="18" t="n">
        <f aca="false">'Black-Scholes'!$B$5*EXP(('Black-Scholes'!$B$8-'Black-Scholes'!$B$10-'Black-Scholes'!$B$9^2/2)*'Black-Scholes'!$B$7-'Black-Scholes'!$B$9*SQRT('Black-Scholes'!$B$7)*B625)</f>
        <v>81.9877445090367</v>
      </c>
      <c r="E625" s="18" t="n">
        <f aca="false">EXP(-'Black-Scholes'!$B$8*'Black-Scholes'!$B$7)*IF(LOWER('Black-Scholes'!$B$11)="put",MAX('Black-Scholes'!$B$6-C625,0),MAX(C625-'Black-Scholes'!$B$6,0))</f>
        <v>28.0723196141071</v>
      </c>
      <c r="F625" s="18" t="n">
        <f aca="false">(E625+G625)/2</f>
        <v>14.0361598070535</v>
      </c>
      <c r="G625" s="18" t="n">
        <f aca="false">EXP(-'Black-Scholes'!$B$8*'Black-Scholes'!$B$7)*IF(LOWER('Black-Scholes'!$B$11)="put",MAX('Black-Scholes'!$B$6-D625,0),MAX(D625-'Black-Scholes'!$B$6,0))</f>
        <v>0</v>
      </c>
    </row>
    <row r="626" customFormat="false" ht="15" hidden="false" customHeight="false" outlineLevel="0" collapsed="false">
      <c r="A626" s="0" t="n">
        <v>615</v>
      </c>
      <c r="B626" s="15" t="n">
        <v>-0.411967880373388</v>
      </c>
      <c r="C626" s="18" t="n">
        <f aca="false">'Black-Scholes'!$B$5*EXP(('Black-Scholes'!$B$8-'Black-Scholes'!$B$10-'Black-Scholes'!$B$9^2/2)*'Black-Scholes'!$B$7+'Black-Scholes'!$B$9*SQRT('Black-Scholes'!$B$7)*B626)</f>
        <v>94.8955307230785</v>
      </c>
      <c r="D626" s="18" t="n">
        <f aca="false">'Black-Scholes'!$B$5*EXP(('Black-Scholes'!$B$8-'Black-Scholes'!$B$10-'Black-Scholes'!$B$9^2/2)*'Black-Scholes'!$B$7-'Black-Scholes'!$B$9*SQRT('Black-Scholes'!$B$7)*B626)</f>
        <v>111.895316718759</v>
      </c>
      <c r="E626" s="18" t="n">
        <f aca="false">EXP(-'Black-Scholes'!$B$8*'Black-Scholes'!$B$7)*IF(LOWER('Black-Scholes'!$B$11)="put",MAX('Black-Scholes'!$B$6-C626,0),MAX(C626-'Black-Scholes'!$B$6,0))</f>
        <v>0</v>
      </c>
      <c r="F626" s="18" t="n">
        <f aca="false">(E626+G626)/2</f>
        <v>5.65758763831947</v>
      </c>
      <c r="G626" s="18" t="n">
        <f aca="false">EXP(-'Black-Scholes'!$B$8*'Black-Scholes'!$B$7)*IF(LOWER('Black-Scholes'!$B$11)="put",MAX('Black-Scholes'!$B$6-D626,0),MAX(D626-'Black-Scholes'!$B$6,0))</f>
        <v>11.3151752766389</v>
      </c>
    </row>
    <row r="627" customFormat="false" ht="15" hidden="false" customHeight="false" outlineLevel="0" collapsed="false">
      <c r="A627" s="0" t="n">
        <v>616</v>
      </c>
      <c r="B627" s="15" t="n">
        <v>-0.411309202931138</v>
      </c>
      <c r="C627" s="18" t="n">
        <f aca="false">'Black-Scholes'!$B$5*EXP(('Black-Scholes'!$B$8-'Black-Scholes'!$B$10-'Black-Scholes'!$B$9^2/2)*'Black-Scholes'!$B$7+'Black-Scholes'!$B$9*SQRT('Black-Scholes'!$B$7)*B627)</f>
        <v>94.908032655626</v>
      </c>
      <c r="D627" s="18" t="n">
        <f aca="false">'Black-Scholes'!$B$5*EXP(('Black-Scholes'!$B$8-'Black-Scholes'!$B$10-'Black-Scholes'!$B$9^2/2)*'Black-Scholes'!$B$7-'Black-Scholes'!$B$9*SQRT('Black-Scholes'!$B$7)*B627)</f>
        <v>111.880577105442</v>
      </c>
      <c r="E627" s="18" t="n">
        <f aca="false">EXP(-'Black-Scholes'!$B$8*'Black-Scholes'!$B$7)*IF(LOWER('Black-Scholes'!$B$11)="put",MAX('Black-Scholes'!$B$6-C627,0),MAX(C627-'Black-Scholes'!$B$6,0))</f>
        <v>0</v>
      </c>
      <c r="F627" s="18" t="n">
        <f aca="false">(E627+G627)/2</f>
        <v>5.65057726137311</v>
      </c>
      <c r="G627" s="18" t="n">
        <f aca="false">EXP(-'Black-Scholes'!$B$8*'Black-Scholes'!$B$7)*IF(LOWER('Black-Scholes'!$B$11)="put",MAX('Black-Scholes'!$B$6-D627,0),MAX(D627-'Black-Scholes'!$B$6,0))</f>
        <v>11.3011545227462</v>
      </c>
    </row>
    <row r="628" customFormat="false" ht="15" hidden="false" customHeight="false" outlineLevel="0" collapsed="false">
      <c r="A628" s="0" t="n">
        <v>617</v>
      </c>
      <c r="B628" s="15" t="n">
        <v>-0.276850806701208</v>
      </c>
      <c r="C628" s="18" t="n">
        <f aca="false">'Black-Scholes'!$B$5*EXP(('Black-Scholes'!$B$8-'Black-Scholes'!$B$10-'Black-Scholes'!$B$9^2/2)*'Black-Scholes'!$B$7+'Black-Scholes'!$B$9*SQRT('Black-Scholes'!$B$7)*B628)</f>
        <v>97.49489568141</v>
      </c>
      <c r="D628" s="18" t="n">
        <f aca="false">'Black-Scholes'!$B$5*EXP(('Black-Scholes'!$B$8-'Black-Scholes'!$B$10-'Black-Scholes'!$B$9^2/2)*'Black-Scholes'!$B$7-'Black-Scholes'!$B$9*SQRT('Black-Scholes'!$B$7)*B628)</f>
        <v>108.912014226385</v>
      </c>
      <c r="E628" s="18" t="n">
        <f aca="false">EXP(-'Black-Scholes'!$B$8*'Black-Scholes'!$B$7)*IF(LOWER('Black-Scholes'!$B$11)="put",MAX('Black-Scholes'!$B$6-C628,0),MAX(C628-'Black-Scholes'!$B$6,0))</f>
        <v>0</v>
      </c>
      <c r="F628" s="18" t="n">
        <f aca="false">(E628+G628)/2</f>
        <v>4.23868508185295</v>
      </c>
      <c r="G628" s="18" t="n">
        <f aca="false">EXP(-'Black-Scholes'!$B$8*'Black-Scholes'!$B$7)*IF(LOWER('Black-Scholes'!$B$11)="put",MAX('Black-Scholes'!$B$6-D628,0),MAX(D628-'Black-Scholes'!$B$6,0))</f>
        <v>8.4773701637059</v>
      </c>
    </row>
    <row r="629" customFormat="false" ht="15" hidden="false" customHeight="false" outlineLevel="0" collapsed="false">
      <c r="A629" s="0" t="n">
        <v>618</v>
      </c>
      <c r="B629" s="15" t="n">
        <v>0.458973550576485</v>
      </c>
      <c r="C629" s="18" t="n">
        <f aca="false">'Black-Scholes'!$B$5*EXP(('Black-Scholes'!$B$8-'Black-Scholes'!$B$10-'Black-Scholes'!$B$9^2/2)*'Black-Scholes'!$B$7+'Black-Scholes'!$B$9*SQRT('Black-Scholes'!$B$7)*B629)</f>
        <v>112.952219849554</v>
      </c>
      <c r="D629" s="18" t="n">
        <f aca="false">'Black-Scholes'!$B$5*EXP(('Black-Scholes'!$B$8-'Black-Scholes'!$B$10-'Black-Scholes'!$B$9^2/2)*'Black-Scholes'!$B$7-'Black-Scholes'!$B$9*SQRT('Black-Scholes'!$B$7)*B629)</f>
        <v>94.007585504709</v>
      </c>
      <c r="E629" s="18" t="n">
        <f aca="false">EXP(-'Black-Scholes'!$B$8*'Black-Scholes'!$B$7)*IF(LOWER('Black-Scholes'!$B$11)="put",MAX('Black-Scholes'!$B$6-C629,0),MAX(C629-'Black-Scholes'!$B$6,0))</f>
        <v>12.3205326334975</v>
      </c>
      <c r="F629" s="18" t="n">
        <f aca="false">(E629+G629)/2</f>
        <v>6.16026631674876</v>
      </c>
      <c r="G629" s="18" t="n">
        <f aca="false">EXP(-'Black-Scholes'!$B$8*'Black-Scholes'!$B$7)*IF(LOWER('Black-Scholes'!$B$11)="put",MAX('Black-Scholes'!$B$6-D629,0),MAX(D629-'Black-Scholes'!$B$6,0))</f>
        <v>0</v>
      </c>
    </row>
    <row r="630" customFormat="false" ht="15" hidden="false" customHeight="false" outlineLevel="0" collapsed="false">
      <c r="A630" s="0" t="n">
        <v>619</v>
      </c>
      <c r="B630" s="15" t="n">
        <v>-0.107258093629499</v>
      </c>
      <c r="C630" s="18" t="n">
        <f aca="false">'Black-Scholes'!$B$5*EXP(('Black-Scholes'!$B$8-'Black-Scholes'!$B$10-'Black-Scholes'!$B$9^2/2)*'Black-Scholes'!$B$7+'Black-Scholes'!$B$9*SQRT('Black-Scholes'!$B$7)*B630)</f>
        <v>100.858502302009</v>
      </c>
      <c r="D630" s="18" t="n">
        <f aca="false">'Black-Scholes'!$B$5*EXP(('Black-Scholes'!$B$8-'Black-Scholes'!$B$10-'Black-Scholes'!$B$9^2/2)*'Black-Scholes'!$B$7-'Black-Scholes'!$B$9*SQRT('Black-Scholes'!$B$7)*B630)</f>
        <v>105.279824933927</v>
      </c>
      <c r="E630" s="18" t="n">
        <f aca="false">EXP(-'Black-Scholes'!$B$8*'Black-Scholes'!$B$7)*IF(LOWER('Black-Scholes'!$B$11)="put",MAX('Black-Scholes'!$B$6-C630,0),MAX(C630-'Black-Scholes'!$B$6,0))</f>
        <v>0.816632650672492</v>
      </c>
      <c r="F630" s="18" t="n">
        <f aca="false">(E630+G630)/2</f>
        <v>2.91947874201831</v>
      </c>
      <c r="G630" s="18" t="n">
        <f aca="false">EXP(-'Black-Scholes'!$B$8*'Black-Scholes'!$B$7)*IF(LOWER('Black-Scholes'!$B$11)="put",MAX('Black-Scholes'!$B$6-D630,0),MAX(D630-'Black-Scholes'!$B$6,0))</f>
        <v>5.02232483336412</v>
      </c>
    </row>
    <row r="631" customFormat="false" ht="15" hidden="false" customHeight="false" outlineLevel="0" collapsed="false">
      <c r="A631" s="0" t="n">
        <v>620</v>
      </c>
      <c r="B631" s="15" t="n">
        <v>-0.175600829160344</v>
      </c>
      <c r="C631" s="18" t="n">
        <f aca="false">'Black-Scholes'!$B$5*EXP(('Black-Scholes'!$B$8-'Black-Scholes'!$B$10-'Black-Scholes'!$B$9^2/2)*'Black-Scholes'!$B$7+'Black-Scholes'!$B$9*SQRT('Black-Scholes'!$B$7)*B631)</f>
        <v>99.4892919873818</v>
      </c>
      <c r="D631" s="18" t="n">
        <f aca="false">'Black-Scholes'!$B$5*EXP(('Black-Scholes'!$B$8-'Black-Scholes'!$B$10-'Black-Scholes'!$B$9^2/2)*'Black-Scholes'!$B$7-'Black-Scholes'!$B$9*SQRT('Black-Scholes'!$B$7)*B631)</f>
        <v>106.728726814141</v>
      </c>
      <c r="E631" s="18" t="n">
        <f aca="false">EXP(-'Black-Scholes'!$B$8*'Black-Scholes'!$B$7)*IF(LOWER('Black-Scholes'!$B$11)="put",MAX('Black-Scholes'!$B$6-C631,0),MAX(C631-'Black-Scholes'!$B$6,0))</f>
        <v>0</v>
      </c>
      <c r="F631" s="18" t="n">
        <f aca="false">(E631+G631)/2</f>
        <v>3.20028146751903</v>
      </c>
      <c r="G631" s="18" t="n">
        <f aca="false">EXP(-'Black-Scholes'!$B$8*'Black-Scholes'!$B$7)*IF(LOWER('Black-Scholes'!$B$11)="put",MAX('Black-Scholes'!$B$6-D631,0),MAX(D631-'Black-Scholes'!$B$6,0))</f>
        <v>6.40056293503807</v>
      </c>
    </row>
    <row r="632" customFormat="false" ht="15" hidden="false" customHeight="false" outlineLevel="0" collapsed="false">
      <c r="A632" s="0" t="n">
        <v>621</v>
      </c>
      <c r="B632" s="15" t="n">
        <v>-0.752949369392843</v>
      </c>
      <c r="C632" s="18" t="n">
        <f aca="false">'Black-Scholes'!$B$5*EXP(('Black-Scholes'!$B$8-'Black-Scholes'!$B$10-'Black-Scholes'!$B$9^2/2)*'Black-Scholes'!$B$7+'Black-Scholes'!$B$9*SQRT('Black-Scholes'!$B$7)*B632)</f>
        <v>88.6397419791346</v>
      </c>
      <c r="D632" s="18" t="n">
        <f aca="false">'Black-Scholes'!$B$5*EXP(('Black-Scholes'!$B$8-'Black-Scholes'!$B$10-'Black-Scholes'!$B$9^2/2)*'Black-Scholes'!$B$7-'Black-Scholes'!$B$9*SQRT('Black-Scholes'!$B$7)*B632)</f>
        <v>119.792377869885</v>
      </c>
      <c r="E632" s="18" t="n">
        <f aca="false">EXP(-'Black-Scholes'!$B$8*'Black-Scholes'!$B$7)*IF(LOWER('Black-Scholes'!$B$11)="put",MAX('Black-Scholes'!$B$6-C632,0),MAX(C632-'Black-Scholes'!$B$6,0))</f>
        <v>0</v>
      </c>
      <c r="F632" s="18" t="n">
        <f aca="false">(E632+G632)/2</f>
        <v>9.41354610533566</v>
      </c>
      <c r="G632" s="18" t="n">
        <f aca="false">EXP(-'Black-Scholes'!$B$8*'Black-Scholes'!$B$7)*IF(LOWER('Black-Scholes'!$B$11)="put",MAX('Black-Scholes'!$B$6-D632,0),MAX(D632-'Black-Scholes'!$B$6,0))</f>
        <v>18.8270922106713</v>
      </c>
    </row>
    <row r="633" customFormat="false" ht="15" hidden="false" customHeight="false" outlineLevel="0" collapsed="false">
      <c r="A633" s="0" t="n">
        <v>622</v>
      </c>
      <c r="B633" s="15" t="n">
        <v>-1.18382079550516</v>
      </c>
      <c r="C633" s="18" t="n">
        <f aca="false">'Black-Scholes'!$B$5*EXP(('Black-Scholes'!$B$8-'Black-Scholes'!$B$10-'Black-Scholes'!$B$9^2/2)*'Black-Scholes'!$B$7+'Black-Scholes'!$B$9*SQRT('Black-Scholes'!$B$7)*B633)</f>
        <v>81.3211415884935</v>
      </c>
      <c r="D633" s="18" t="n">
        <f aca="false">'Black-Scholes'!$B$5*EXP(('Black-Scholes'!$B$8-'Black-Scholes'!$B$10-'Black-Scholes'!$B$9^2/2)*'Black-Scholes'!$B$7-'Black-Scholes'!$B$9*SQRT('Black-Scholes'!$B$7)*B633)</f>
        <v>130.573246489644</v>
      </c>
      <c r="E633" s="18" t="n">
        <f aca="false">EXP(-'Black-Scholes'!$B$8*'Black-Scholes'!$B$7)*IF(LOWER('Black-Scholes'!$B$11)="put",MAX('Black-Scholes'!$B$6-C633,0),MAX(C633-'Black-Scholes'!$B$6,0))</f>
        <v>0</v>
      </c>
      <c r="F633" s="18" t="n">
        <f aca="false">(E633+G633)/2</f>
        <v>14.5410858317312</v>
      </c>
      <c r="G633" s="18" t="n">
        <f aca="false">EXP(-'Black-Scholes'!$B$8*'Black-Scholes'!$B$7)*IF(LOWER('Black-Scholes'!$B$11)="put",MAX('Black-Scholes'!$B$6-D633,0),MAX(D633-'Black-Scholes'!$B$6,0))</f>
        <v>29.0821716634625</v>
      </c>
    </row>
    <row r="634" customFormat="false" ht="15" hidden="false" customHeight="false" outlineLevel="0" collapsed="false">
      <c r="A634" s="0" t="n">
        <v>623</v>
      </c>
      <c r="B634" s="15" t="n">
        <v>0.680876536137254</v>
      </c>
      <c r="C634" s="18" t="n">
        <f aca="false">'Black-Scholes'!$B$5*EXP(('Black-Scholes'!$B$8-'Black-Scholes'!$B$10-'Black-Scholes'!$B$9^2/2)*'Black-Scholes'!$B$7+'Black-Scholes'!$B$9*SQRT('Black-Scholes'!$B$7)*B634)</f>
        <v>118.078008286266</v>
      </c>
      <c r="D634" s="18" t="n">
        <f aca="false">'Black-Scholes'!$B$5*EXP(('Black-Scholes'!$B$8-'Black-Scholes'!$B$10-'Black-Scholes'!$B$9^2/2)*'Black-Scholes'!$B$7-'Black-Scholes'!$B$9*SQRT('Black-Scholes'!$B$7)*B634)</f>
        <v>89.9266986254601</v>
      </c>
      <c r="E634" s="18" t="n">
        <f aca="false">EXP(-'Black-Scholes'!$B$8*'Black-Scholes'!$B$7)*IF(LOWER('Black-Scholes'!$B$11)="put",MAX('Black-Scholes'!$B$6-C634,0),MAX(C634-'Black-Scholes'!$B$6,0))</f>
        <v>17.1963334182637</v>
      </c>
      <c r="F634" s="18" t="n">
        <f aca="false">(E634+G634)/2</f>
        <v>8.59816670913182</v>
      </c>
      <c r="G634" s="18" t="n">
        <f aca="false">EXP(-'Black-Scholes'!$B$8*'Black-Scholes'!$B$7)*IF(LOWER('Black-Scholes'!$B$11)="put",MAX('Black-Scholes'!$B$6-D634,0),MAX(D634-'Black-Scholes'!$B$6,0))</f>
        <v>0</v>
      </c>
    </row>
    <row r="635" customFormat="false" ht="15" hidden="false" customHeight="false" outlineLevel="0" collapsed="false">
      <c r="A635" s="0" t="n">
        <v>624</v>
      </c>
      <c r="B635" s="15" t="n">
        <v>-1.09662417011474</v>
      </c>
      <c r="C635" s="18" t="n">
        <f aca="false">'Black-Scholes'!$B$5*EXP(('Black-Scholes'!$B$8-'Black-Scholes'!$B$10-'Black-Scholes'!$B$9^2/2)*'Black-Scholes'!$B$7+'Black-Scholes'!$B$9*SQRT('Black-Scholes'!$B$7)*B635)</f>
        <v>82.7517657141727</v>
      </c>
      <c r="D635" s="18" t="n">
        <f aca="false">'Black-Scholes'!$B$5*EXP(('Black-Scholes'!$B$8-'Black-Scholes'!$B$10-'Black-Scholes'!$B$9^2/2)*'Black-Scholes'!$B$7-'Black-Scholes'!$B$9*SQRT('Black-Scholes'!$B$7)*B635)</f>
        <v>128.315877900778</v>
      </c>
      <c r="E635" s="18" t="n">
        <f aca="false">EXP(-'Black-Scholes'!$B$8*'Black-Scholes'!$B$7)*IF(LOWER('Black-Scholes'!$B$11)="put",MAX('Black-Scholes'!$B$6-C635,0),MAX(C635-'Black-Scholes'!$B$6,0))</f>
        <v>0</v>
      </c>
      <c r="F635" s="18" t="n">
        <f aca="false">(E635+G635)/2</f>
        <v>13.4674481198949</v>
      </c>
      <c r="G635" s="18" t="n">
        <f aca="false">EXP(-'Black-Scholes'!$B$8*'Black-Scholes'!$B$7)*IF(LOWER('Black-Scholes'!$B$11)="put",MAX('Black-Scholes'!$B$6-D635,0),MAX(D635-'Black-Scholes'!$B$6,0))</f>
        <v>26.9348962397898</v>
      </c>
    </row>
    <row r="636" customFormat="false" ht="15" hidden="false" customHeight="false" outlineLevel="0" collapsed="false">
      <c r="A636" s="0" t="n">
        <v>625</v>
      </c>
      <c r="B636" s="15" t="n">
        <v>-0.92110030847414</v>
      </c>
      <c r="C636" s="18" t="n">
        <f aca="false">'Black-Scholes'!$B$5*EXP(('Black-Scholes'!$B$8-'Black-Scholes'!$B$10-'Black-Scholes'!$B$9^2/2)*'Black-Scholes'!$B$7+'Black-Scholes'!$B$9*SQRT('Black-Scholes'!$B$7)*B636)</f>
        <v>85.7083389033683</v>
      </c>
      <c r="D636" s="18" t="n">
        <f aca="false">'Black-Scholes'!$B$5*EXP(('Black-Scholes'!$B$8-'Black-Scholes'!$B$10-'Black-Scholes'!$B$9^2/2)*'Black-Scholes'!$B$7-'Black-Scholes'!$B$9*SQRT('Black-Scholes'!$B$7)*B636)</f>
        <v>123.88952581878</v>
      </c>
      <c r="E636" s="18" t="n">
        <f aca="false">EXP(-'Black-Scholes'!$B$8*'Black-Scholes'!$B$7)*IF(LOWER('Black-Scholes'!$B$11)="put",MAX('Black-Scholes'!$B$6-C636,0),MAX(C636-'Black-Scholes'!$B$6,0))</f>
        <v>0</v>
      </c>
      <c r="F636" s="18" t="n">
        <f aca="false">(E636+G636)/2</f>
        <v>11.3622099480966</v>
      </c>
      <c r="G636" s="18" t="n">
        <f aca="false">EXP(-'Black-Scholes'!$B$8*'Black-Scholes'!$B$7)*IF(LOWER('Black-Scholes'!$B$11)="put",MAX('Black-Scholes'!$B$6-D636,0),MAX(D636-'Black-Scholes'!$B$6,0))</f>
        <v>22.7244198961931</v>
      </c>
    </row>
    <row r="637" customFormat="false" ht="15" hidden="false" customHeight="false" outlineLevel="0" collapsed="false">
      <c r="A637" s="0" t="n">
        <v>626</v>
      </c>
      <c r="B637" s="15" t="n">
        <v>2.04748766663337</v>
      </c>
      <c r="C637" s="18" t="n">
        <f aca="false">'Black-Scholes'!$B$5*EXP(('Black-Scholes'!$B$8-'Black-Scholes'!$B$10-'Black-Scholes'!$B$9^2/2)*'Black-Scholes'!$B$7+'Black-Scholes'!$B$9*SQRT('Black-Scholes'!$B$7)*B637)</f>
        <v>155.192723085591</v>
      </c>
      <c r="D637" s="18" t="n">
        <f aca="false">'Black-Scholes'!$B$5*EXP(('Black-Scholes'!$B$8-'Black-Scholes'!$B$10-'Black-Scholes'!$B$9^2/2)*'Black-Scholes'!$B$7-'Black-Scholes'!$B$9*SQRT('Black-Scholes'!$B$7)*B637)</f>
        <v>68.4205113122308</v>
      </c>
      <c r="E637" s="18" t="n">
        <f aca="false">EXP(-'Black-Scholes'!$B$8*'Black-Scholes'!$B$7)*IF(LOWER('Black-Scholes'!$B$11)="put",MAX('Black-Scholes'!$B$6-C637,0),MAX(C637-'Black-Scholes'!$B$6,0))</f>
        <v>52.5009422173342</v>
      </c>
      <c r="F637" s="18" t="n">
        <f aca="false">(E637+G637)/2</f>
        <v>26.2504711086671</v>
      </c>
      <c r="G637" s="18" t="n">
        <f aca="false">EXP(-'Black-Scholes'!$B$8*'Black-Scholes'!$B$7)*IF(LOWER('Black-Scholes'!$B$11)="put",MAX('Black-Scholes'!$B$6-D637,0),MAX(D637-'Black-Scholes'!$B$6,0))</f>
        <v>0</v>
      </c>
    </row>
    <row r="638" customFormat="false" ht="15" hidden="false" customHeight="false" outlineLevel="0" collapsed="false">
      <c r="A638" s="0" t="n">
        <v>627</v>
      </c>
      <c r="B638" s="15" t="n">
        <v>-0.209306789788156</v>
      </c>
      <c r="C638" s="18" t="n">
        <f aca="false">'Black-Scholes'!$B$5*EXP(('Black-Scholes'!$B$8-'Black-Scholes'!$B$10-'Black-Scholes'!$B$9^2/2)*'Black-Scholes'!$B$7+'Black-Scholes'!$B$9*SQRT('Black-Scholes'!$B$7)*B638)</f>
        <v>98.8208710638815</v>
      </c>
      <c r="D638" s="18" t="n">
        <f aca="false">'Black-Scholes'!$B$5*EXP(('Black-Scholes'!$B$8-'Black-Scholes'!$B$10-'Black-Scholes'!$B$9^2/2)*'Black-Scholes'!$B$7-'Black-Scholes'!$B$9*SQRT('Black-Scholes'!$B$7)*B638)</f>
        <v>107.45063619799</v>
      </c>
      <c r="E638" s="18" t="n">
        <f aca="false">EXP(-'Black-Scholes'!$B$8*'Black-Scholes'!$B$7)*IF(LOWER('Black-Scholes'!$B$11)="put",MAX('Black-Scholes'!$B$6-C638,0),MAX(C638-'Black-Scholes'!$B$6,0))</f>
        <v>0</v>
      </c>
      <c r="F638" s="18" t="n">
        <f aca="false">(E638+G638)/2</f>
        <v>3.54363219138906</v>
      </c>
      <c r="G638" s="18" t="n">
        <f aca="false">EXP(-'Black-Scholes'!$B$8*'Black-Scholes'!$B$7)*IF(LOWER('Black-Scholes'!$B$11)="put",MAX('Black-Scholes'!$B$6-D638,0),MAX(D638-'Black-Scholes'!$B$6,0))</f>
        <v>7.08726438277812</v>
      </c>
    </row>
    <row r="639" customFormat="false" ht="15" hidden="false" customHeight="false" outlineLevel="0" collapsed="false">
      <c r="A639" s="0" t="n">
        <v>628</v>
      </c>
      <c r="B639" s="15" t="n">
        <v>0.0957799092133264</v>
      </c>
      <c r="C639" s="18" t="n">
        <f aca="false">'Black-Scholes'!$B$5*EXP(('Black-Scholes'!$B$8-'Black-Scholes'!$B$10-'Black-Scholes'!$B$9^2/2)*'Black-Scholes'!$B$7+'Black-Scholes'!$B$9*SQRT('Black-Scholes'!$B$7)*B639)</f>
        <v>105.038417882231</v>
      </c>
      <c r="D639" s="18" t="n">
        <f aca="false">'Black-Scholes'!$B$5*EXP(('Black-Scholes'!$B$8-'Black-Scholes'!$B$10-'Black-Scholes'!$B$9^2/2)*'Black-Scholes'!$B$7-'Black-Scholes'!$B$9*SQRT('Black-Scholes'!$B$7)*B639)</f>
        <v>101.090302762927</v>
      </c>
      <c r="E639" s="18" t="n">
        <f aca="false">EXP(-'Black-Scholes'!$B$8*'Black-Scholes'!$B$7)*IF(LOWER('Black-Scholes'!$B$11)="put",MAX('Black-Scholes'!$B$6-C639,0),MAX(C639-'Black-Scholes'!$B$6,0))</f>
        <v>4.79269134250889</v>
      </c>
      <c r="F639" s="18" t="n">
        <f aca="false">(E639+G639)/2</f>
        <v>2.91490970610973</v>
      </c>
      <c r="G639" s="18" t="n">
        <f aca="false">EXP(-'Black-Scholes'!$B$8*'Black-Scholes'!$B$7)*IF(LOWER('Black-Scholes'!$B$11)="put",MAX('Black-Scholes'!$B$6-D639,0),MAX(D639-'Black-Scholes'!$B$6,0))</f>
        <v>1.03712806971057</v>
      </c>
    </row>
    <row r="640" customFormat="false" ht="15" hidden="false" customHeight="false" outlineLevel="0" collapsed="false">
      <c r="A640" s="0" t="n">
        <v>629</v>
      </c>
      <c r="B640" s="15" t="n">
        <v>-0.407934284698982</v>
      </c>
      <c r="C640" s="18" t="n">
        <f aca="false">'Black-Scholes'!$B$5*EXP(('Black-Scholes'!$B$8-'Black-Scholes'!$B$10-'Black-Scholes'!$B$9^2/2)*'Black-Scholes'!$B$7+'Black-Scholes'!$B$9*SQRT('Black-Scholes'!$B$7)*B640)</f>
        <v>94.9721156506373</v>
      </c>
      <c r="D640" s="18" t="n">
        <f aca="false">'Black-Scholes'!$B$5*EXP(('Black-Scholes'!$B$8-'Black-Scholes'!$B$10-'Black-Scholes'!$B$9^2/2)*'Black-Scholes'!$B$7-'Black-Scholes'!$B$9*SQRT('Black-Scholes'!$B$7)*B640)</f>
        <v>111.805085026368</v>
      </c>
      <c r="E640" s="18" t="n">
        <f aca="false">EXP(-'Black-Scholes'!$B$8*'Black-Scholes'!$B$7)*IF(LOWER('Black-Scholes'!$B$11)="put",MAX('Black-Scholes'!$B$6-C640,0),MAX(C640-'Black-Scholes'!$B$6,0))</f>
        <v>0</v>
      </c>
      <c r="F640" s="18" t="n">
        <f aca="false">(E640+G640)/2</f>
        <v>5.61467211790721</v>
      </c>
      <c r="G640" s="18" t="n">
        <f aca="false">EXP(-'Black-Scholes'!$B$8*'Black-Scholes'!$B$7)*IF(LOWER('Black-Scholes'!$B$11)="put",MAX('Black-Scholes'!$B$6-D640,0),MAX(D640-'Black-Scholes'!$B$6,0))</f>
        <v>11.2293442358144</v>
      </c>
    </row>
    <row r="641" customFormat="false" ht="15" hidden="false" customHeight="false" outlineLevel="0" collapsed="false">
      <c r="A641" s="0" t="n">
        <v>630</v>
      </c>
      <c r="B641" s="15" t="n">
        <v>0.349429658894256</v>
      </c>
      <c r="C641" s="18" t="n">
        <f aca="false">'Black-Scholes'!$B$5*EXP(('Black-Scholes'!$B$8-'Black-Scholes'!$B$10-'Black-Scholes'!$B$9^2/2)*'Black-Scholes'!$B$7+'Black-Scholes'!$B$9*SQRT('Black-Scholes'!$B$7)*B641)</f>
        <v>110.504486038468</v>
      </c>
      <c r="D641" s="18" t="n">
        <f aca="false">'Black-Scholes'!$B$5*EXP(('Black-Scholes'!$B$8-'Black-Scholes'!$B$10-'Black-Scholes'!$B$9^2/2)*'Black-Scholes'!$B$7-'Black-Scholes'!$B$9*SQRT('Black-Scholes'!$B$7)*B641)</f>
        <v>96.0899040945468</v>
      </c>
      <c r="E641" s="18" t="n">
        <f aca="false">EXP(-'Black-Scholes'!$B$8*'Black-Scholes'!$B$7)*IF(LOWER('Black-Scholes'!$B$11)="put",MAX('Black-Scholes'!$B$6-C641,0),MAX(C641-'Black-Scholes'!$B$6,0))</f>
        <v>9.99217620904792</v>
      </c>
      <c r="F641" s="18" t="n">
        <f aca="false">(E641+G641)/2</f>
        <v>4.99608810452396</v>
      </c>
      <c r="G641" s="18" t="n">
        <f aca="false">EXP(-'Black-Scholes'!$B$8*'Black-Scholes'!$B$7)*IF(LOWER('Black-Scholes'!$B$11)="put",MAX('Black-Scholes'!$B$6-D641,0),MAX(D641-'Black-Scholes'!$B$6,0))</f>
        <v>0</v>
      </c>
    </row>
    <row r="642" customFormat="false" ht="15" hidden="false" customHeight="false" outlineLevel="0" collapsed="false">
      <c r="A642" s="0" t="n">
        <v>631</v>
      </c>
      <c r="B642" s="15" t="n">
        <v>-1.05992335335455</v>
      </c>
      <c r="C642" s="18" t="n">
        <f aca="false">'Black-Scholes'!$B$5*EXP(('Black-Scholes'!$B$8-'Black-Scholes'!$B$10-'Black-Scholes'!$B$9^2/2)*'Black-Scholes'!$B$7+'Black-Scholes'!$B$9*SQRT('Black-Scholes'!$B$7)*B642)</f>
        <v>83.3614119062956</v>
      </c>
      <c r="D642" s="18" t="n">
        <f aca="false">'Black-Scholes'!$B$5*EXP(('Black-Scholes'!$B$8-'Black-Scholes'!$B$10-'Black-Scholes'!$B$9^2/2)*'Black-Scholes'!$B$7-'Black-Scholes'!$B$9*SQRT('Black-Scholes'!$B$7)*B642)</f>
        <v>127.377466655548</v>
      </c>
      <c r="E642" s="18" t="n">
        <f aca="false">EXP(-'Black-Scholes'!$B$8*'Black-Scholes'!$B$7)*IF(LOWER('Black-Scholes'!$B$11)="put",MAX('Black-Scholes'!$B$6-C642,0),MAX(C642-'Black-Scholes'!$B$6,0))</f>
        <v>0</v>
      </c>
      <c r="F642" s="18" t="n">
        <f aca="false">(E642+G642)/2</f>
        <v>13.0211259255223</v>
      </c>
      <c r="G642" s="18" t="n">
        <f aca="false">EXP(-'Black-Scholes'!$B$8*'Black-Scholes'!$B$7)*IF(LOWER('Black-Scholes'!$B$11)="put",MAX('Black-Scholes'!$B$6-D642,0),MAX(D642-'Black-Scholes'!$B$6,0))</f>
        <v>26.0422518510447</v>
      </c>
    </row>
    <row r="643" customFormat="false" ht="15" hidden="false" customHeight="false" outlineLevel="0" collapsed="false">
      <c r="A643" s="0" t="n">
        <v>632</v>
      </c>
      <c r="B643" s="15" t="n">
        <v>-0.700954783710765</v>
      </c>
      <c r="C643" s="18" t="n">
        <f aca="false">'Black-Scholes'!$B$5*EXP(('Black-Scholes'!$B$8-'Black-Scholes'!$B$10-'Black-Scholes'!$B$9^2/2)*'Black-Scholes'!$B$7+'Black-Scholes'!$B$9*SQRT('Black-Scholes'!$B$7)*B643)</f>
        <v>89.5663086060565</v>
      </c>
      <c r="D643" s="18" t="n">
        <f aca="false">'Black-Scholes'!$B$5*EXP(('Black-Scholes'!$B$8-'Black-Scholes'!$B$10-'Black-Scholes'!$B$9^2/2)*'Black-Scholes'!$B$7-'Black-Scholes'!$B$9*SQRT('Black-Scholes'!$B$7)*B643)</f>
        <v>118.553121488537</v>
      </c>
      <c r="E643" s="18" t="n">
        <f aca="false">EXP(-'Black-Scholes'!$B$8*'Black-Scholes'!$B$7)*IF(LOWER('Black-Scholes'!$B$11)="put",MAX('Black-Scholes'!$B$6-C643,0),MAX(C643-'Black-Scholes'!$B$6,0))</f>
        <v>0</v>
      </c>
      <c r="F643" s="18" t="n">
        <f aca="false">(E643+G643)/2</f>
        <v>8.82413753811637</v>
      </c>
      <c r="G643" s="18" t="n">
        <f aca="false">EXP(-'Black-Scholes'!$B$8*'Black-Scholes'!$B$7)*IF(LOWER('Black-Scholes'!$B$11)="put",MAX('Black-Scholes'!$B$6-D643,0),MAX(D643-'Black-Scholes'!$B$6,0))</f>
        <v>17.6482750762327</v>
      </c>
    </row>
    <row r="644" customFormat="false" ht="15" hidden="false" customHeight="false" outlineLevel="0" collapsed="false">
      <c r="A644" s="0" t="n">
        <v>633</v>
      </c>
      <c r="B644" s="15" t="n">
        <v>-0.429255115669427</v>
      </c>
      <c r="C644" s="18" t="n">
        <f aca="false">'Black-Scholes'!$B$5*EXP(('Black-Scholes'!$B$8-'Black-Scholes'!$B$10-'Black-Scholes'!$B$9^2/2)*'Black-Scholes'!$B$7+'Black-Scholes'!$B$9*SQRT('Black-Scholes'!$B$7)*B644)</f>
        <v>94.5680009840869</v>
      </c>
      <c r="D644" s="18" t="n">
        <f aca="false">'Black-Scholes'!$B$5*EXP(('Black-Scholes'!$B$8-'Black-Scholes'!$B$10-'Black-Scholes'!$B$9^2/2)*'Black-Scholes'!$B$7-'Black-Scholes'!$B$9*SQRT('Black-Scholes'!$B$7)*B644)</f>
        <v>112.282858418889</v>
      </c>
      <c r="E644" s="18" t="n">
        <f aca="false">EXP(-'Black-Scholes'!$B$8*'Black-Scholes'!$B$7)*IF(LOWER('Black-Scholes'!$B$11)="put",MAX('Black-Scholes'!$B$6-C644,0),MAX(C644-'Black-Scholes'!$B$6,0))</f>
        <v>0</v>
      </c>
      <c r="F644" s="18" t="n">
        <f aca="false">(E644+G644)/2</f>
        <v>5.84190817251181</v>
      </c>
      <c r="G644" s="18" t="n">
        <f aca="false">EXP(-'Black-Scholes'!$B$8*'Black-Scholes'!$B$7)*IF(LOWER('Black-Scholes'!$B$11)="put",MAX('Black-Scholes'!$B$6-D644,0),MAX(D644-'Black-Scholes'!$B$6,0))</f>
        <v>11.6838163450236</v>
      </c>
    </row>
    <row r="645" customFormat="false" ht="15" hidden="false" customHeight="false" outlineLevel="0" collapsed="false">
      <c r="A645" s="0" t="n">
        <v>634</v>
      </c>
      <c r="B645" s="15" t="n">
        <v>0.164849100183294</v>
      </c>
      <c r="C645" s="18" t="n">
        <f aca="false">'Black-Scholes'!$B$5*EXP(('Black-Scholes'!$B$8-'Black-Scholes'!$B$10-'Black-Scholes'!$B$9^2/2)*'Black-Scholes'!$B$7+'Black-Scholes'!$B$9*SQRT('Black-Scholes'!$B$7)*B645)</f>
        <v>106.499469724536</v>
      </c>
      <c r="D645" s="18" t="n">
        <f aca="false">'Black-Scholes'!$B$5*EXP(('Black-Scholes'!$B$8-'Black-Scholes'!$B$10-'Black-Scholes'!$B$9^2/2)*'Black-Scholes'!$B$7-'Black-Scholes'!$B$9*SQRT('Black-Scholes'!$B$7)*B645)</f>
        <v>99.7034585516554</v>
      </c>
      <c r="E645" s="18" t="n">
        <f aca="false">EXP(-'Black-Scholes'!$B$8*'Black-Scholes'!$B$7)*IF(LOWER('Black-Scholes'!$B$11)="put",MAX('Black-Scholes'!$B$6-C645,0),MAX(C645-'Black-Scholes'!$B$6,0))</f>
        <v>6.18248684563061</v>
      </c>
      <c r="F645" s="18" t="n">
        <f aca="false">(E645+G645)/2</f>
        <v>3.09124342281531</v>
      </c>
      <c r="G645" s="18" t="n">
        <f aca="false">EXP(-'Black-Scholes'!$B$8*'Black-Scholes'!$B$7)*IF(LOWER('Black-Scholes'!$B$11)="put",MAX('Black-Scholes'!$B$6-D645,0),MAX(D645-'Black-Scholes'!$B$6,0))</f>
        <v>0</v>
      </c>
    </row>
    <row r="646" customFormat="false" ht="15" hidden="false" customHeight="false" outlineLevel="0" collapsed="false">
      <c r="A646" s="0" t="n">
        <v>635</v>
      </c>
      <c r="B646" s="15" t="n">
        <v>-0.0674580745526471</v>
      </c>
      <c r="C646" s="18" t="n">
        <f aca="false">'Black-Scholes'!$B$5*EXP(('Black-Scholes'!$B$8-'Black-Scholes'!$B$10-'Black-Scholes'!$B$9^2/2)*'Black-Scholes'!$B$7+'Black-Scholes'!$B$9*SQRT('Black-Scholes'!$B$7)*B646)</f>
        <v>101.664540141297</v>
      </c>
      <c r="D646" s="18" t="n">
        <f aca="false">'Black-Scholes'!$B$5*EXP(('Black-Scholes'!$B$8-'Black-Scholes'!$B$10-'Black-Scholes'!$B$9^2/2)*'Black-Scholes'!$B$7-'Black-Scholes'!$B$9*SQRT('Black-Scholes'!$B$7)*B646)</f>
        <v>104.445123645824</v>
      </c>
      <c r="E646" s="18" t="n">
        <f aca="false">EXP(-'Black-Scholes'!$B$8*'Black-Scholes'!$B$7)*IF(LOWER('Black-Scholes'!$B$11)="put",MAX('Black-Scholes'!$B$6-C646,0),MAX(C646-'Black-Scholes'!$B$6,0))</f>
        <v>1.58335956066393</v>
      </c>
      <c r="F646" s="18" t="n">
        <f aca="false">(E646+G646)/2</f>
        <v>2.90584598405796</v>
      </c>
      <c r="G646" s="18" t="n">
        <f aca="false">EXP(-'Black-Scholes'!$B$8*'Black-Scholes'!$B$7)*IF(LOWER('Black-Scholes'!$B$11)="put",MAX('Black-Scholes'!$B$6-D646,0),MAX(D646-'Black-Scholes'!$B$6,0))</f>
        <v>4.22833240745199</v>
      </c>
    </row>
    <row r="647" customFormat="false" ht="15" hidden="false" customHeight="false" outlineLevel="0" collapsed="false">
      <c r="A647" s="0" t="n">
        <v>636</v>
      </c>
      <c r="B647" s="15" t="n">
        <v>-0.491051419022497</v>
      </c>
      <c r="C647" s="18" t="n">
        <f aca="false">'Black-Scholes'!$B$5*EXP(('Black-Scholes'!$B$8-'Black-Scholes'!$B$10-'Black-Scholes'!$B$9^2/2)*'Black-Scholes'!$B$7+'Black-Scholes'!$B$9*SQRT('Black-Scholes'!$B$7)*B647)</f>
        <v>93.406403438515</v>
      </c>
      <c r="D647" s="18" t="n">
        <f aca="false">'Black-Scholes'!$B$5*EXP(('Black-Scholes'!$B$8-'Black-Scholes'!$B$10-'Black-Scholes'!$B$9^2/2)*'Black-Scholes'!$B$7-'Black-Scholes'!$B$9*SQRT('Black-Scholes'!$B$7)*B647)</f>
        <v>113.679202651702</v>
      </c>
      <c r="E647" s="18" t="n">
        <f aca="false">EXP(-'Black-Scholes'!$B$8*'Black-Scholes'!$B$7)*IF(LOWER('Black-Scholes'!$B$11)="put",MAX('Black-Scholes'!$B$6-C647,0),MAX(C647-'Black-Scholes'!$B$6,0))</f>
        <v>0</v>
      </c>
      <c r="F647" s="18" t="n">
        <f aca="false">(E647+G647)/2</f>
        <v>6.50603003300361</v>
      </c>
      <c r="G647" s="18" t="n">
        <f aca="false">EXP(-'Black-Scholes'!$B$8*'Black-Scholes'!$B$7)*IF(LOWER('Black-Scholes'!$B$11)="put",MAX('Black-Scholes'!$B$6-D647,0),MAX(D647-'Black-Scholes'!$B$6,0))</f>
        <v>13.0120600660072</v>
      </c>
    </row>
    <row r="648" customFormat="false" ht="15" hidden="false" customHeight="false" outlineLevel="0" collapsed="false">
      <c r="A648" s="0" t="n">
        <v>637</v>
      </c>
      <c r="B648" s="15" t="n">
        <v>-0.660844825952477</v>
      </c>
      <c r="C648" s="18" t="n">
        <f aca="false">'Black-Scholes'!$B$5*EXP(('Black-Scholes'!$B$8-'Black-Scholes'!$B$10-'Black-Scholes'!$B$9^2/2)*'Black-Scholes'!$B$7+'Black-Scholes'!$B$9*SQRT('Black-Scholes'!$B$7)*B648)</f>
        <v>90.2876983998332</v>
      </c>
      <c r="D648" s="18" t="n">
        <f aca="false">'Black-Scholes'!$B$5*EXP(('Black-Scholes'!$B$8-'Black-Scholes'!$B$10-'Black-Scholes'!$B$9^2/2)*'Black-Scholes'!$B$7-'Black-Scholes'!$B$9*SQRT('Black-Scholes'!$B$7)*B648)</f>
        <v>117.605893755657</v>
      </c>
      <c r="E648" s="18" t="n">
        <f aca="false">EXP(-'Black-Scholes'!$B$8*'Black-Scholes'!$B$7)*IF(LOWER('Black-Scholes'!$B$11)="put",MAX('Black-Scholes'!$B$6-C648,0),MAX(C648-'Black-Scholes'!$B$6,0))</f>
        <v>0</v>
      </c>
      <c r="F648" s="18" t="n">
        <f aca="false">(E648+G648)/2</f>
        <v>8.37362209250723</v>
      </c>
      <c r="G648" s="18" t="n">
        <f aca="false">EXP(-'Black-Scholes'!$B$8*'Black-Scholes'!$B$7)*IF(LOWER('Black-Scholes'!$B$11)="put",MAX('Black-Scholes'!$B$6-D648,0),MAX(D648-'Black-Scholes'!$B$6,0))</f>
        <v>16.7472441850145</v>
      </c>
    </row>
    <row r="649" customFormat="false" ht="15" hidden="false" customHeight="false" outlineLevel="0" collapsed="false">
      <c r="A649" s="0" t="n">
        <v>638</v>
      </c>
      <c r="B649" s="15" t="n">
        <v>-0.715427167504231</v>
      </c>
      <c r="C649" s="18" t="n">
        <f aca="false">'Black-Scholes'!$B$5*EXP(('Black-Scholes'!$B$8-'Black-Scholes'!$B$10-'Black-Scholes'!$B$9^2/2)*'Black-Scholes'!$B$7+'Black-Scholes'!$B$9*SQRT('Black-Scholes'!$B$7)*B649)</f>
        <v>89.3074358387747</v>
      </c>
      <c r="D649" s="18" t="n">
        <f aca="false">'Black-Scholes'!$B$5*EXP(('Black-Scholes'!$B$8-'Black-Scholes'!$B$10-'Black-Scholes'!$B$9^2/2)*'Black-Scholes'!$B$7-'Black-Scholes'!$B$9*SQRT('Black-Scholes'!$B$7)*B649)</f>
        <v>118.896767841625</v>
      </c>
      <c r="E649" s="18" t="n">
        <f aca="false">EXP(-'Black-Scholes'!$B$8*'Black-Scholes'!$B$7)*IF(LOWER('Black-Scholes'!$B$11)="put",MAX('Black-Scholes'!$B$6-C649,0),MAX(C649-'Black-Scholes'!$B$6,0))</f>
        <v>0</v>
      </c>
      <c r="F649" s="18" t="n">
        <f aca="false">(E649+G649)/2</f>
        <v>8.98758079945617</v>
      </c>
      <c r="G649" s="18" t="n">
        <f aca="false">EXP(-'Black-Scholes'!$B$8*'Black-Scholes'!$B$7)*IF(LOWER('Black-Scholes'!$B$11)="put",MAX('Black-Scholes'!$B$6-D649,0),MAX(D649-'Black-Scholes'!$B$6,0))</f>
        <v>17.9751615989123</v>
      </c>
    </row>
    <row r="650" customFormat="false" ht="15" hidden="false" customHeight="false" outlineLevel="0" collapsed="false">
      <c r="A650" s="0" t="n">
        <v>639</v>
      </c>
      <c r="B650" s="15" t="n">
        <v>-1.39008282705204</v>
      </c>
      <c r="C650" s="18" t="n">
        <f aca="false">'Black-Scholes'!$B$5*EXP(('Black-Scholes'!$B$8-'Black-Scholes'!$B$10-'Black-Scholes'!$B$9^2/2)*'Black-Scholes'!$B$7+'Black-Scholes'!$B$9*SQRT('Black-Scholes'!$B$7)*B650)</f>
        <v>78.0347016402378</v>
      </c>
      <c r="D650" s="18" t="n">
        <f aca="false">'Black-Scholes'!$B$5*EXP(('Black-Scholes'!$B$8-'Black-Scholes'!$B$10-'Black-Scholes'!$B$9^2/2)*'Black-Scholes'!$B$7-'Black-Scholes'!$B$9*SQRT('Black-Scholes'!$B$7)*B650)</f>
        <v>136.072352969417</v>
      </c>
      <c r="E650" s="18" t="n">
        <f aca="false">EXP(-'Black-Scholes'!$B$8*'Black-Scholes'!$B$7)*IF(LOWER('Black-Scholes'!$B$11)="put",MAX('Black-Scholes'!$B$6-C650,0),MAX(C650-'Black-Scholes'!$B$6,0))</f>
        <v>0</v>
      </c>
      <c r="F650" s="18" t="n">
        <f aca="false">(E650+G650)/2</f>
        <v>17.1565417777426</v>
      </c>
      <c r="G650" s="18" t="n">
        <f aca="false">EXP(-'Black-Scholes'!$B$8*'Black-Scholes'!$B$7)*IF(LOWER('Black-Scholes'!$B$11)="put",MAX('Black-Scholes'!$B$6-D650,0),MAX(D650-'Black-Scholes'!$B$6,0))</f>
        <v>34.3130835554853</v>
      </c>
    </row>
    <row r="651" customFormat="false" ht="15" hidden="false" customHeight="false" outlineLevel="0" collapsed="false">
      <c r="A651" s="0" t="n">
        <v>640</v>
      </c>
      <c r="B651" s="15" t="n">
        <v>1.19607223173496</v>
      </c>
      <c r="C651" s="18" t="n">
        <f aca="false">'Black-Scholes'!$B$5*EXP(('Black-Scholes'!$B$8-'Black-Scholes'!$B$10-'Black-Scholes'!$B$9^2/2)*'Black-Scholes'!$B$7+'Black-Scholes'!$B$9*SQRT('Black-Scholes'!$B$7)*B651)</f>
        <v>130.89358074538</v>
      </c>
      <c r="D651" s="18" t="n">
        <f aca="false">'Black-Scholes'!$B$5*EXP(('Black-Scholes'!$B$8-'Black-Scholes'!$B$10-'Black-Scholes'!$B$9^2/2)*'Black-Scholes'!$B$7-'Black-Scholes'!$B$9*SQRT('Black-Scholes'!$B$7)*B651)</f>
        <v>81.122125355474</v>
      </c>
      <c r="E651" s="18" t="n">
        <f aca="false">EXP(-'Black-Scholes'!$B$8*'Black-Scholes'!$B$7)*IF(LOWER('Black-Scholes'!$B$11)="put",MAX('Black-Scholes'!$B$6-C651,0),MAX(C651-'Black-Scholes'!$B$6,0))</f>
        <v>29.3868830331944</v>
      </c>
      <c r="F651" s="18" t="n">
        <f aca="false">(E651+G651)/2</f>
        <v>14.6934415165972</v>
      </c>
      <c r="G651" s="18" t="n">
        <f aca="false">EXP(-'Black-Scholes'!$B$8*'Black-Scholes'!$B$7)*IF(LOWER('Black-Scholes'!$B$11)="put",MAX('Black-Scholes'!$B$6-D651,0),MAX(D651-'Black-Scholes'!$B$6,0))</f>
        <v>0</v>
      </c>
    </row>
    <row r="652" customFormat="false" ht="15" hidden="false" customHeight="false" outlineLevel="0" collapsed="false">
      <c r="A652" s="0" t="n">
        <v>641</v>
      </c>
      <c r="B652" s="15" t="n">
        <v>2.02950951959419</v>
      </c>
      <c r="C652" s="18" t="n">
        <f aca="false">'Black-Scholes'!$B$5*EXP(('Black-Scholes'!$B$8-'Black-Scholes'!$B$10-'Black-Scholes'!$B$9^2/2)*'Black-Scholes'!$B$7+'Black-Scholes'!$B$9*SQRT('Black-Scholes'!$B$7)*B652)</f>
        <v>154.635709573779</v>
      </c>
      <c r="D652" s="18" t="n">
        <f aca="false">'Black-Scholes'!$B$5*EXP(('Black-Scholes'!$B$8-'Black-Scholes'!$B$10-'Black-Scholes'!$B$9^2/2)*'Black-Scholes'!$B$7-'Black-Scholes'!$B$9*SQRT('Black-Scholes'!$B$7)*B652)</f>
        <v>68.666968934413</v>
      </c>
      <c r="E652" s="18" t="n">
        <f aca="false">EXP(-'Black-Scholes'!$B$8*'Black-Scholes'!$B$7)*IF(LOWER('Black-Scholes'!$B$11)="put",MAX('Black-Scholes'!$B$6-C652,0),MAX(C652-'Black-Scholes'!$B$6,0))</f>
        <v>51.971094575054</v>
      </c>
      <c r="F652" s="18" t="n">
        <f aca="false">(E652+G652)/2</f>
        <v>25.985547287527</v>
      </c>
      <c r="G652" s="18" t="n">
        <f aca="false">EXP(-'Black-Scholes'!$B$8*'Black-Scholes'!$B$7)*IF(LOWER('Black-Scholes'!$B$11)="put",MAX('Black-Scholes'!$B$6-D652,0),MAX(D652-'Black-Scholes'!$B$6,0))</f>
        <v>0</v>
      </c>
    </row>
    <row r="653" customFormat="false" ht="15" hidden="false" customHeight="false" outlineLevel="0" collapsed="false">
      <c r="A653" s="0" t="n">
        <v>642</v>
      </c>
      <c r="B653" s="15" t="n">
        <v>-1.22765565229142</v>
      </c>
      <c r="C653" s="18" t="n">
        <f aca="false">'Black-Scholes'!$B$5*EXP(('Black-Scholes'!$B$8-'Black-Scholes'!$B$10-'Black-Scholes'!$B$9^2/2)*'Black-Scholes'!$B$7+'Black-Scholes'!$B$9*SQRT('Black-Scholes'!$B$7)*B653)</f>
        <v>80.6113175194936</v>
      </c>
      <c r="D653" s="18" t="n">
        <f aca="false">'Black-Scholes'!$B$5*EXP(('Black-Scholes'!$B$8-'Black-Scholes'!$B$10-'Black-Scholes'!$B$9^2/2)*'Black-Scholes'!$B$7-'Black-Scholes'!$B$9*SQRT('Black-Scholes'!$B$7)*B653)</f>
        <v>131.723011013755</v>
      </c>
      <c r="E653" s="18" t="n">
        <f aca="false">EXP(-'Black-Scholes'!$B$8*'Black-Scholes'!$B$7)*IF(LOWER('Black-Scholes'!$B$11)="put",MAX('Black-Scholes'!$B$6-C653,0),MAX(C653-'Black-Scholes'!$B$6,0))</f>
        <v>0</v>
      </c>
      <c r="F653" s="18" t="n">
        <f aca="false">(E653+G653)/2</f>
        <v>15.0879307550222</v>
      </c>
      <c r="G653" s="18" t="n">
        <f aca="false">EXP(-'Black-Scholes'!$B$8*'Black-Scholes'!$B$7)*IF(LOWER('Black-Scholes'!$B$11)="put",MAX('Black-Scholes'!$B$6-D653,0),MAX(D653-'Black-Scholes'!$B$6,0))</f>
        <v>30.1758615100444</v>
      </c>
    </row>
    <row r="654" customFormat="false" ht="15" hidden="false" customHeight="false" outlineLevel="0" collapsed="false">
      <c r="A654" s="0" t="n">
        <v>643</v>
      </c>
      <c r="B654" s="15" t="n">
        <v>1.24918744604978</v>
      </c>
      <c r="C654" s="18" t="n">
        <f aca="false">'Black-Scholes'!$B$5*EXP(('Black-Scholes'!$B$8-'Black-Scholes'!$B$10-'Black-Scholes'!$B$9^2/2)*'Black-Scholes'!$B$7+'Black-Scholes'!$B$9*SQRT('Black-Scholes'!$B$7)*B654)</f>
        <v>132.291480693713</v>
      </c>
      <c r="D654" s="18" t="n">
        <f aca="false">'Black-Scholes'!$B$5*EXP(('Black-Scholes'!$B$8-'Black-Scholes'!$B$10-'Black-Scholes'!$B$9^2/2)*'Black-Scholes'!$B$7-'Black-Scholes'!$B$9*SQRT('Black-Scholes'!$B$7)*B654)</f>
        <v>80.2649226524097</v>
      </c>
      <c r="E654" s="18" t="n">
        <f aca="false">EXP(-'Black-Scholes'!$B$8*'Black-Scholes'!$B$7)*IF(LOWER('Black-Scholes'!$B$11)="put",MAX('Black-Scholes'!$B$6-C654,0),MAX(C654-'Black-Scholes'!$B$6,0))</f>
        <v>30.7166065965561</v>
      </c>
      <c r="F654" s="18" t="n">
        <f aca="false">(E654+G654)/2</f>
        <v>15.3583032982781</v>
      </c>
      <c r="G654" s="18" t="n">
        <f aca="false">EXP(-'Black-Scholes'!$B$8*'Black-Scholes'!$B$7)*IF(LOWER('Black-Scholes'!$B$11)="put",MAX('Black-Scholes'!$B$6-D654,0),MAX(D654-'Black-Scholes'!$B$6,0))</f>
        <v>0</v>
      </c>
    </row>
    <row r="655" customFormat="false" ht="15" hidden="false" customHeight="false" outlineLevel="0" collapsed="false">
      <c r="A655" s="0" t="n">
        <v>644</v>
      </c>
      <c r="B655" s="15" t="n">
        <v>-0.594121166669909</v>
      </c>
      <c r="C655" s="18" t="n">
        <f aca="false">'Black-Scholes'!$B$5*EXP(('Black-Scholes'!$B$8-'Black-Scholes'!$B$10-'Black-Scholes'!$B$9^2/2)*'Black-Scholes'!$B$7+'Black-Scholes'!$B$9*SQRT('Black-Scholes'!$B$7)*B655)</f>
        <v>91.5006387063252</v>
      </c>
      <c r="D655" s="18" t="n">
        <f aca="false">'Black-Scholes'!$B$5*EXP(('Black-Scholes'!$B$8-'Black-Scholes'!$B$10-'Black-Scholes'!$B$9^2/2)*'Black-Scholes'!$B$7-'Black-Scholes'!$B$9*SQRT('Black-Scholes'!$B$7)*B655)</f>
        <v>116.046899951525</v>
      </c>
      <c r="E655" s="18" t="n">
        <f aca="false">EXP(-'Black-Scholes'!$B$8*'Black-Scholes'!$B$7)*IF(LOWER('Black-Scholes'!$B$11)="put",MAX('Black-Scholes'!$B$6-C655,0),MAX(C655-'Black-Scholes'!$B$6,0))</f>
        <v>0</v>
      </c>
      <c r="F655" s="18" t="n">
        <f aca="false">(E655+G655)/2</f>
        <v>7.63214170295503</v>
      </c>
      <c r="G655" s="18" t="n">
        <f aca="false">EXP(-'Black-Scholes'!$B$8*'Black-Scholes'!$B$7)*IF(LOWER('Black-Scholes'!$B$11)="put",MAX('Black-Scholes'!$B$6-D655,0),MAX(D655-'Black-Scholes'!$B$6,0))</f>
        <v>15.2642834059101</v>
      </c>
    </row>
    <row r="656" customFormat="false" ht="15" hidden="false" customHeight="false" outlineLevel="0" collapsed="false">
      <c r="A656" s="0" t="n">
        <v>645</v>
      </c>
      <c r="B656" s="15" t="n">
        <v>-1.15263769483904</v>
      </c>
      <c r="C656" s="18" t="n">
        <f aca="false">'Black-Scholes'!$B$5*EXP(('Black-Scholes'!$B$8-'Black-Scholes'!$B$10-'Black-Scholes'!$B$9^2/2)*'Black-Scholes'!$B$7+'Black-Scholes'!$B$9*SQRT('Black-Scholes'!$B$7)*B656)</f>
        <v>81.8298954606864</v>
      </c>
      <c r="D656" s="18" t="n">
        <f aca="false">'Black-Scholes'!$B$5*EXP(('Black-Scholes'!$B$8-'Black-Scholes'!$B$10-'Black-Scholes'!$B$9^2/2)*'Black-Scholes'!$B$7-'Black-Scholes'!$B$9*SQRT('Black-Scholes'!$B$7)*B656)</f>
        <v>129.761444832286</v>
      </c>
      <c r="E656" s="18" t="n">
        <f aca="false">EXP(-'Black-Scholes'!$B$8*'Black-Scholes'!$B$7)*IF(LOWER('Black-Scholes'!$B$11)="put",MAX('Black-Scholes'!$B$6-C656,0),MAX(C656-'Black-Scholes'!$B$6,0))</f>
        <v>0</v>
      </c>
      <c r="F656" s="18" t="n">
        <f aca="false">(E656+G656)/2</f>
        <v>14.1549810200626</v>
      </c>
      <c r="G656" s="18" t="n">
        <f aca="false">EXP(-'Black-Scholes'!$B$8*'Black-Scholes'!$B$7)*IF(LOWER('Black-Scholes'!$B$11)="put",MAX('Black-Scholes'!$B$6-D656,0),MAX(D656-'Black-Scholes'!$B$6,0))</f>
        <v>28.3099620401252</v>
      </c>
    </row>
    <row r="657" customFormat="false" ht="15" hidden="false" customHeight="false" outlineLevel="0" collapsed="false">
      <c r="A657" s="0" t="n">
        <v>646</v>
      </c>
      <c r="B657" s="15" t="n">
        <v>-0.818846602807139</v>
      </c>
      <c r="C657" s="18" t="n">
        <f aca="false">'Black-Scholes'!$B$5*EXP(('Black-Scholes'!$B$8-'Black-Scholes'!$B$10-'Black-Scholes'!$B$9^2/2)*'Black-Scholes'!$B$7+'Black-Scholes'!$B$9*SQRT('Black-Scholes'!$B$7)*B657)</f>
        <v>87.4791837819989</v>
      </c>
      <c r="D657" s="18" t="n">
        <f aca="false">'Black-Scholes'!$B$5*EXP(('Black-Scholes'!$B$8-'Black-Scholes'!$B$10-'Black-Scholes'!$B$9^2/2)*'Black-Scholes'!$B$7-'Black-Scholes'!$B$9*SQRT('Black-Scholes'!$B$7)*B657)</f>
        <v>121.381624820768</v>
      </c>
      <c r="E657" s="18" t="n">
        <f aca="false">EXP(-'Black-Scholes'!$B$8*'Black-Scholes'!$B$7)*IF(LOWER('Black-Scholes'!$B$11)="put",MAX('Black-Scholes'!$B$6-C657,0),MAX(C657-'Black-Scholes'!$B$6,0))</f>
        <v>0</v>
      </c>
      <c r="F657" s="18" t="n">
        <f aca="false">(E657+G657)/2</f>
        <v>10.1694153365746</v>
      </c>
      <c r="G657" s="18" t="n">
        <f aca="false">EXP(-'Black-Scholes'!$B$8*'Black-Scholes'!$B$7)*IF(LOWER('Black-Scholes'!$B$11)="put",MAX('Black-Scholes'!$B$6-D657,0),MAX(D657-'Black-Scholes'!$B$6,0))</f>
        <v>20.3388306731493</v>
      </c>
    </row>
    <row r="658" customFormat="false" ht="15" hidden="false" customHeight="false" outlineLevel="0" collapsed="false">
      <c r="A658" s="0" t="n">
        <v>647</v>
      </c>
      <c r="B658" s="15" t="n">
        <v>-1.23054708069757</v>
      </c>
      <c r="C658" s="18" t="n">
        <f aca="false">'Black-Scholes'!$B$5*EXP(('Black-Scholes'!$B$8-'Black-Scholes'!$B$10-'Black-Scholes'!$B$9^2/2)*'Black-Scholes'!$B$7+'Black-Scholes'!$B$9*SQRT('Black-Scholes'!$B$7)*B658)</f>
        <v>80.5647146250191</v>
      </c>
      <c r="D658" s="18" t="n">
        <f aca="false">'Black-Scholes'!$B$5*EXP(('Black-Scholes'!$B$8-'Black-Scholes'!$B$10-'Black-Scholes'!$B$9^2/2)*'Black-Scholes'!$B$7-'Black-Scholes'!$B$9*SQRT('Black-Scholes'!$B$7)*B658)</f>
        <v>131.79920657419</v>
      </c>
      <c r="E658" s="18" t="n">
        <f aca="false">EXP(-'Black-Scholes'!$B$8*'Black-Scholes'!$B$7)*IF(LOWER('Black-Scholes'!$B$11)="put",MAX('Black-Scholes'!$B$6-C658,0),MAX(C658-'Black-Scholes'!$B$6,0))</f>
        <v>0</v>
      </c>
      <c r="F658" s="18" t="n">
        <f aca="false">(E658+G658)/2</f>
        <v>15.1241704845732</v>
      </c>
      <c r="G658" s="18" t="n">
        <f aca="false">EXP(-'Black-Scholes'!$B$8*'Black-Scholes'!$B$7)*IF(LOWER('Black-Scholes'!$B$11)="put",MAX('Black-Scholes'!$B$6-D658,0),MAX(D658-'Black-Scholes'!$B$6,0))</f>
        <v>30.2483409691465</v>
      </c>
    </row>
    <row r="659" customFormat="false" ht="15" hidden="false" customHeight="false" outlineLevel="0" collapsed="false">
      <c r="A659" s="0" t="n">
        <v>648</v>
      </c>
      <c r="B659" s="15" t="n">
        <v>1.60579691204309</v>
      </c>
      <c r="C659" s="18" t="n">
        <f aca="false">'Black-Scholes'!$B$5*EXP(('Black-Scholes'!$B$8-'Black-Scholes'!$B$10-'Black-Scholes'!$B$9^2/2)*'Black-Scholes'!$B$7+'Black-Scholes'!$B$9*SQRT('Black-Scholes'!$B$7)*B659)</f>
        <v>142.071374464671</v>
      </c>
      <c r="D659" s="18" t="n">
        <f aca="false">'Black-Scholes'!$B$5*EXP(('Black-Scholes'!$B$8-'Black-Scholes'!$B$10-'Black-Scholes'!$B$9^2/2)*'Black-Scholes'!$B$7-'Black-Scholes'!$B$9*SQRT('Black-Scholes'!$B$7)*B659)</f>
        <v>74.7396546662822</v>
      </c>
      <c r="E659" s="18" t="n">
        <f aca="false">EXP(-'Black-Scholes'!$B$8*'Black-Scholes'!$B$7)*IF(LOWER('Black-Scholes'!$B$11)="put",MAX('Black-Scholes'!$B$6-C659,0),MAX(C659-'Black-Scholes'!$B$6,0))</f>
        <v>40.0195293199832</v>
      </c>
      <c r="F659" s="18" t="n">
        <f aca="false">(E659+G659)/2</f>
        <v>20.0097646599916</v>
      </c>
      <c r="G659" s="18" t="n">
        <f aca="false">EXP(-'Black-Scholes'!$B$8*'Black-Scholes'!$B$7)*IF(LOWER('Black-Scholes'!$B$11)="put",MAX('Black-Scholes'!$B$6-D659,0),MAX(D659-'Black-Scholes'!$B$6,0))</f>
        <v>0</v>
      </c>
    </row>
    <row r="660" customFormat="false" ht="15" hidden="false" customHeight="false" outlineLevel="0" collapsed="false">
      <c r="A660" s="0" t="n">
        <v>649</v>
      </c>
      <c r="B660" s="15" t="n">
        <v>1.06905334763387</v>
      </c>
      <c r="C660" s="18" t="n">
        <f aca="false">'Black-Scholes'!$B$5*EXP(('Black-Scholes'!$B$8-'Black-Scholes'!$B$10-'Black-Scholes'!$B$9^2/2)*'Black-Scholes'!$B$7+'Black-Scholes'!$B$9*SQRT('Black-Scholes'!$B$7)*B660)</f>
        <v>127.610270248786</v>
      </c>
      <c r="D660" s="18" t="n">
        <f aca="false">'Black-Scholes'!$B$5*EXP(('Black-Scholes'!$B$8-'Black-Scholes'!$B$10-'Black-Scholes'!$B$9^2/2)*'Black-Scholes'!$B$7-'Black-Scholes'!$B$9*SQRT('Black-Scholes'!$B$7)*B660)</f>
        <v>83.2093329537842</v>
      </c>
      <c r="E660" s="18" t="n">
        <f aca="false">EXP(-'Black-Scholes'!$B$8*'Black-Scholes'!$B$7)*IF(LOWER('Black-Scholes'!$B$11)="put",MAX('Black-Scholes'!$B$6-C660,0),MAX(C660-'Black-Scholes'!$B$6,0))</f>
        <v>26.2637014790617</v>
      </c>
      <c r="F660" s="18" t="n">
        <f aca="false">(E660+G660)/2</f>
        <v>13.1318507395309</v>
      </c>
      <c r="G660" s="18" t="n">
        <f aca="false">EXP(-'Black-Scholes'!$B$8*'Black-Scholes'!$B$7)*IF(LOWER('Black-Scholes'!$B$11)="put",MAX('Black-Scholes'!$B$6-D660,0),MAX(D660-'Black-Scholes'!$B$6,0))</f>
        <v>0</v>
      </c>
    </row>
    <row r="661" customFormat="false" ht="15" hidden="false" customHeight="false" outlineLevel="0" collapsed="false">
      <c r="A661" s="0" t="n">
        <v>650</v>
      </c>
      <c r="B661" s="15" t="n">
        <v>0.457429072745406</v>
      </c>
      <c r="C661" s="18" t="n">
        <f aca="false">'Black-Scholes'!$B$5*EXP(('Black-Scholes'!$B$8-'Black-Scholes'!$B$10-'Black-Scholes'!$B$9^2/2)*'Black-Scholes'!$B$7+'Black-Scholes'!$B$9*SQRT('Black-Scholes'!$B$7)*B661)</f>
        <v>112.917334797844</v>
      </c>
      <c r="D661" s="18" t="n">
        <f aca="false">'Black-Scholes'!$B$5*EXP(('Black-Scholes'!$B$8-'Black-Scholes'!$B$10-'Black-Scholes'!$B$9^2/2)*'Black-Scholes'!$B$7-'Black-Scholes'!$B$9*SQRT('Black-Scholes'!$B$7)*B661)</f>
        <v>94.0366285164599</v>
      </c>
      <c r="E661" s="18" t="n">
        <f aca="false">EXP(-'Black-Scholes'!$B$8*'Black-Scholes'!$B$7)*IF(LOWER('Black-Scholes'!$B$11)="put",MAX('Black-Scholes'!$B$6-C661,0),MAX(C661-'Black-Scholes'!$B$6,0))</f>
        <v>12.2873489458362</v>
      </c>
      <c r="F661" s="18" t="n">
        <f aca="false">(E661+G661)/2</f>
        <v>6.14367447291812</v>
      </c>
      <c r="G661" s="18" t="n">
        <f aca="false">EXP(-'Black-Scholes'!$B$8*'Black-Scholes'!$B$7)*IF(LOWER('Black-Scholes'!$B$11)="put",MAX('Black-Scholes'!$B$6-D661,0),MAX(D661-'Black-Scholes'!$B$6,0))</f>
        <v>0</v>
      </c>
    </row>
    <row r="662" customFormat="false" ht="15" hidden="false" customHeight="false" outlineLevel="0" collapsed="false">
      <c r="A662" s="0" t="n">
        <v>651</v>
      </c>
      <c r="B662" s="15" t="n">
        <v>0.931408483743351</v>
      </c>
      <c r="C662" s="18" t="n">
        <f aca="false">'Black-Scholes'!$B$5*EXP(('Black-Scholes'!$B$8-'Black-Scholes'!$B$10-'Black-Scholes'!$B$9^2/2)*'Black-Scholes'!$B$7+'Black-Scholes'!$B$9*SQRT('Black-Scholes'!$B$7)*B662)</f>
        <v>124.145204275286</v>
      </c>
      <c r="D662" s="18" t="n">
        <f aca="false">'Black-Scholes'!$B$5*EXP(('Black-Scholes'!$B$8-'Black-Scholes'!$B$10-'Black-Scholes'!$B$9^2/2)*'Black-Scholes'!$B$7-'Black-Scholes'!$B$9*SQRT('Black-Scholes'!$B$7)*B662)</f>
        <v>85.5318216071228</v>
      </c>
      <c r="E662" s="18" t="n">
        <f aca="false">EXP(-'Black-Scholes'!$B$8*'Black-Scholes'!$B$7)*IF(LOWER('Black-Scholes'!$B$11)="put",MAX('Black-Scholes'!$B$6-C662,0),MAX(C662-'Black-Scholes'!$B$6,0))</f>
        <v>22.9676287672327</v>
      </c>
      <c r="F662" s="18" t="n">
        <f aca="false">(E662+G662)/2</f>
        <v>11.4838143836163</v>
      </c>
      <c r="G662" s="18" t="n">
        <f aca="false">EXP(-'Black-Scholes'!$B$8*'Black-Scholes'!$B$7)*IF(LOWER('Black-Scholes'!$B$11)="put",MAX('Black-Scholes'!$B$6-D662,0),MAX(D662-'Black-Scholes'!$B$6,0))</f>
        <v>0</v>
      </c>
    </row>
    <row r="663" customFormat="false" ht="15" hidden="false" customHeight="false" outlineLevel="0" collapsed="false">
      <c r="A663" s="0" t="n">
        <v>652</v>
      </c>
      <c r="B663" s="15" t="n">
        <v>-0.284825609612389</v>
      </c>
      <c r="C663" s="18" t="n">
        <f aca="false">'Black-Scholes'!$B$5*EXP(('Black-Scholes'!$B$8-'Black-Scholes'!$B$10-'Black-Scholes'!$B$9^2/2)*'Black-Scholes'!$B$7+'Black-Scholes'!$B$9*SQRT('Black-Scholes'!$B$7)*B663)</f>
        <v>97.339519108522</v>
      </c>
      <c r="D663" s="18" t="n">
        <f aca="false">'Black-Scholes'!$B$5*EXP(('Black-Scholes'!$B$8-'Black-Scholes'!$B$10-'Black-Scholes'!$B$9^2/2)*'Black-Scholes'!$B$7-'Black-Scholes'!$B$9*SQRT('Black-Scholes'!$B$7)*B663)</f>
        <v>109.085863200283</v>
      </c>
      <c r="E663" s="18" t="n">
        <f aca="false">EXP(-'Black-Scholes'!$B$8*'Black-Scholes'!$B$7)*IF(LOWER('Black-Scholes'!$B$11)="put",MAX('Black-Scholes'!$B$6-C663,0),MAX(C663-'Black-Scholes'!$B$6,0))</f>
        <v>0</v>
      </c>
      <c r="F663" s="18" t="n">
        <f aca="false">(E663+G663)/2</f>
        <v>4.32137021154886</v>
      </c>
      <c r="G663" s="18" t="n">
        <f aca="false">EXP(-'Black-Scholes'!$B$8*'Black-Scholes'!$B$7)*IF(LOWER('Black-Scholes'!$B$11)="put",MAX('Black-Scholes'!$B$6-D663,0),MAX(D663-'Black-Scholes'!$B$6,0))</f>
        <v>8.64274042309773</v>
      </c>
    </row>
    <row r="664" customFormat="false" ht="15" hidden="false" customHeight="false" outlineLevel="0" collapsed="false">
      <c r="A664" s="0" t="n">
        <v>653</v>
      </c>
      <c r="B664" s="15" t="n">
        <v>-1.26345935495496</v>
      </c>
      <c r="C664" s="18" t="n">
        <f aca="false">'Black-Scholes'!$B$5*EXP(('Black-Scholes'!$B$8-'Black-Scholes'!$B$10-'Black-Scholes'!$B$9^2/2)*'Black-Scholes'!$B$7+'Black-Scholes'!$B$9*SQRT('Black-Scholes'!$B$7)*B664)</f>
        <v>80.0361425876908</v>
      </c>
      <c r="D664" s="18" t="n">
        <f aca="false">'Black-Scholes'!$B$5*EXP(('Black-Scholes'!$B$8-'Black-Scholes'!$B$10-'Black-Scholes'!$B$9^2/2)*'Black-Scholes'!$B$7-'Black-Scholes'!$B$9*SQRT('Black-Scholes'!$B$7)*B664)</f>
        <v>132.669630521232</v>
      </c>
      <c r="E664" s="18" t="n">
        <f aca="false">EXP(-'Black-Scholes'!$B$8*'Black-Scholes'!$B$7)*IF(LOWER('Black-Scholes'!$B$11)="put",MAX('Black-Scholes'!$B$6-C664,0),MAX(C664-'Black-Scholes'!$B$6,0))</f>
        <v>0</v>
      </c>
      <c r="F664" s="18" t="n">
        <f aca="false">(E664+G664)/2</f>
        <v>15.5381569196813</v>
      </c>
      <c r="G664" s="18" t="n">
        <f aca="false">EXP(-'Black-Scholes'!$B$8*'Black-Scholes'!$B$7)*IF(LOWER('Black-Scholes'!$B$11)="put",MAX('Black-Scholes'!$B$6-D664,0),MAX(D664-'Black-Scholes'!$B$6,0))</f>
        <v>31.0763138393627</v>
      </c>
    </row>
    <row r="665" customFormat="false" ht="15" hidden="false" customHeight="false" outlineLevel="0" collapsed="false">
      <c r="A665" s="0" t="n">
        <v>654</v>
      </c>
      <c r="B665" s="15" t="n">
        <v>-1.16125411440079</v>
      </c>
      <c r="C665" s="18" t="n">
        <f aca="false">'Black-Scholes'!$B$5*EXP(('Black-Scholes'!$B$8-'Black-Scholes'!$B$10-'Black-Scholes'!$B$9^2/2)*'Black-Scholes'!$B$7+'Black-Scholes'!$B$9*SQRT('Black-Scholes'!$B$7)*B665)</f>
        <v>81.6890007539485</v>
      </c>
      <c r="D665" s="18" t="n">
        <f aca="false">'Black-Scholes'!$B$5*EXP(('Black-Scholes'!$B$8-'Black-Scholes'!$B$10-'Black-Scholes'!$B$9^2/2)*'Black-Scholes'!$B$7-'Black-Scholes'!$B$9*SQRT('Black-Scholes'!$B$7)*B665)</f>
        <v>129.9852534301</v>
      </c>
      <c r="E665" s="18" t="n">
        <f aca="false">EXP(-'Black-Scholes'!$B$8*'Black-Scholes'!$B$7)*IF(LOWER('Black-Scholes'!$B$11)="put",MAX('Black-Scholes'!$B$6-C665,0),MAX(C665-'Black-Scholes'!$B$6,0))</f>
        <v>0</v>
      </c>
      <c r="F665" s="18" t="n">
        <f aca="false">(E665+G665)/2</f>
        <v>14.2614276819109</v>
      </c>
      <c r="G665" s="18" t="n">
        <f aca="false">EXP(-'Black-Scholes'!$B$8*'Black-Scholes'!$B$7)*IF(LOWER('Black-Scholes'!$B$11)="put",MAX('Black-Scholes'!$B$6-D665,0),MAX(D665-'Black-Scholes'!$B$6,0))</f>
        <v>28.5228553638217</v>
      </c>
    </row>
    <row r="666" customFormat="false" ht="15" hidden="false" customHeight="false" outlineLevel="0" collapsed="false">
      <c r="A666" s="0" t="n">
        <v>655</v>
      </c>
      <c r="B666" s="15" t="n">
        <v>-1.58408486979064</v>
      </c>
      <c r="C666" s="18" t="n">
        <f aca="false">'Black-Scholes'!$B$5*EXP(('Black-Scholes'!$B$8-'Black-Scholes'!$B$10-'Black-Scholes'!$B$9^2/2)*'Black-Scholes'!$B$7+'Black-Scholes'!$B$9*SQRT('Black-Scholes'!$B$7)*B666)</f>
        <v>75.0649104599463</v>
      </c>
      <c r="D666" s="18" t="n">
        <f aca="false">'Black-Scholes'!$B$5*EXP(('Black-Scholes'!$B$8-'Black-Scholes'!$B$10-'Black-Scholes'!$B$9^2/2)*'Black-Scholes'!$B$7-'Black-Scholes'!$B$9*SQRT('Black-Scholes'!$B$7)*B666)</f>
        <v>141.455780076091</v>
      </c>
      <c r="E666" s="18" t="n">
        <f aca="false">EXP(-'Black-Scholes'!$B$8*'Black-Scholes'!$B$7)*IF(LOWER('Black-Scholes'!$B$11)="put",MAX('Black-Scholes'!$B$6-C666,0),MAX(C666-'Black-Scholes'!$B$6,0))</f>
        <v>0</v>
      </c>
      <c r="F666" s="18" t="n">
        <f aca="false">(E666+G666)/2</f>
        <v>19.7169789120039</v>
      </c>
      <c r="G666" s="18" t="n">
        <f aca="false">EXP(-'Black-Scholes'!$B$8*'Black-Scholes'!$B$7)*IF(LOWER('Black-Scholes'!$B$11)="put",MAX('Black-Scholes'!$B$6-D666,0),MAX(D666-'Black-Scholes'!$B$6,0))</f>
        <v>39.4339578240078</v>
      </c>
    </row>
    <row r="667" customFormat="false" ht="15" hidden="false" customHeight="false" outlineLevel="0" collapsed="false">
      <c r="A667" s="0" t="n">
        <v>656</v>
      </c>
      <c r="B667" s="15" t="n">
        <v>-0.897753796937213</v>
      </c>
      <c r="C667" s="18" t="n">
        <f aca="false">'Black-Scholes'!$B$5*EXP(('Black-Scholes'!$B$8-'Black-Scholes'!$B$10-'Black-Scholes'!$B$9^2/2)*'Black-Scholes'!$B$7+'Black-Scholes'!$B$9*SQRT('Black-Scholes'!$B$7)*B667)</f>
        <v>86.1094728269433</v>
      </c>
      <c r="D667" s="18" t="n">
        <f aca="false">'Black-Scholes'!$B$5*EXP(('Black-Scholes'!$B$8-'Black-Scholes'!$B$10-'Black-Scholes'!$B$9^2/2)*'Black-Scholes'!$B$7-'Black-Scholes'!$B$9*SQRT('Black-Scholes'!$B$7)*B667)</f>
        <v>123.312396613943</v>
      </c>
      <c r="E667" s="18" t="n">
        <f aca="false">EXP(-'Black-Scholes'!$B$8*'Black-Scholes'!$B$7)*IF(LOWER('Black-Scholes'!$B$11)="put",MAX('Black-Scholes'!$B$6-C667,0),MAX(C667-'Black-Scholes'!$B$6,0))</f>
        <v>0</v>
      </c>
      <c r="F667" s="18" t="n">
        <f aca="false">(E667+G667)/2</f>
        <v>11.0877188074068</v>
      </c>
      <c r="G667" s="18" t="n">
        <f aca="false">EXP(-'Black-Scholes'!$B$8*'Black-Scholes'!$B$7)*IF(LOWER('Black-Scholes'!$B$11)="put",MAX('Black-Scholes'!$B$6-D667,0),MAX(D667-'Black-Scholes'!$B$6,0))</f>
        <v>22.1754376148135</v>
      </c>
    </row>
    <row r="668" customFormat="false" ht="15" hidden="false" customHeight="false" outlineLevel="0" collapsed="false">
      <c r="A668" s="0" t="n">
        <v>657</v>
      </c>
      <c r="B668" s="15" t="n">
        <v>-0.313849694003308</v>
      </c>
      <c r="C668" s="18" t="n">
        <f aca="false">'Black-Scholes'!$B$5*EXP(('Black-Scholes'!$B$8-'Black-Scholes'!$B$10-'Black-Scholes'!$B$9^2/2)*'Black-Scholes'!$B$7+'Black-Scholes'!$B$9*SQRT('Black-Scholes'!$B$7)*B668)</f>
        <v>96.7761178277437</v>
      </c>
      <c r="D668" s="18" t="n">
        <f aca="false">'Black-Scholes'!$B$5*EXP(('Black-Scholes'!$B$8-'Black-Scholes'!$B$10-'Black-Scholes'!$B$9^2/2)*'Black-Scholes'!$B$7-'Black-Scholes'!$B$9*SQRT('Black-Scholes'!$B$7)*B668)</f>
        <v>109.720928094612</v>
      </c>
      <c r="E668" s="18" t="n">
        <f aca="false">EXP(-'Black-Scholes'!$B$8*'Black-Scholes'!$B$7)*IF(LOWER('Black-Scholes'!$B$11)="put",MAX('Black-Scholes'!$B$6-C668,0),MAX(C668-'Black-Scholes'!$B$6,0))</f>
        <v>0</v>
      </c>
      <c r="F668" s="18" t="n">
        <f aca="false">(E668+G668)/2</f>
        <v>4.62341641852548</v>
      </c>
      <c r="G668" s="18" t="n">
        <f aca="false">EXP(-'Black-Scholes'!$B$8*'Black-Scholes'!$B$7)*IF(LOWER('Black-Scholes'!$B$11)="put",MAX('Black-Scholes'!$B$6-D668,0),MAX(D668-'Black-Scholes'!$B$6,0))</f>
        <v>9.24683283705095</v>
      </c>
    </row>
    <row r="669" customFormat="false" ht="15" hidden="false" customHeight="false" outlineLevel="0" collapsed="false">
      <c r="A669" s="0" t="n">
        <v>658</v>
      </c>
      <c r="B669" s="15" t="n">
        <v>-1.14049148988325</v>
      </c>
      <c r="C669" s="18" t="n">
        <f aca="false">'Black-Scholes'!$B$5*EXP(('Black-Scholes'!$B$8-'Black-Scholes'!$B$10-'Black-Scholes'!$B$9^2/2)*'Black-Scholes'!$B$7+'Black-Scholes'!$B$9*SQRT('Black-Scholes'!$B$7)*B669)</f>
        <v>82.0289216404441</v>
      </c>
      <c r="D669" s="18" t="n">
        <f aca="false">'Black-Scholes'!$B$5*EXP(('Black-Scholes'!$B$8-'Black-Scholes'!$B$10-'Black-Scholes'!$B$9^2/2)*'Black-Scholes'!$B$7-'Black-Scholes'!$B$9*SQRT('Black-Scholes'!$B$7)*B669)</f>
        <v>129.446605576468</v>
      </c>
      <c r="E669" s="18" t="n">
        <f aca="false">EXP(-'Black-Scholes'!$B$8*'Black-Scholes'!$B$7)*IF(LOWER('Black-Scholes'!$B$11)="put",MAX('Black-Scholes'!$B$6-C669,0),MAX(C669-'Black-Scholes'!$B$6,0))</f>
        <v>0</v>
      </c>
      <c r="F669" s="18" t="n">
        <f aca="false">(E669+G669)/2</f>
        <v>14.0052388380017</v>
      </c>
      <c r="G669" s="18" t="n">
        <f aca="false">EXP(-'Black-Scholes'!$B$8*'Black-Scholes'!$B$7)*IF(LOWER('Black-Scholes'!$B$11)="put",MAX('Black-Scholes'!$B$6-D669,0),MAX(D669-'Black-Scholes'!$B$6,0))</f>
        <v>28.0104776760034</v>
      </c>
    </row>
    <row r="670" customFormat="false" ht="15" hidden="false" customHeight="false" outlineLevel="0" collapsed="false">
      <c r="A670" s="0" t="n">
        <v>659</v>
      </c>
      <c r="B670" s="15" t="n">
        <v>-1.19614083544813</v>
      </c>
      <c r="C670" s="18" t="n">
        <f aca="false">'Black-Scholes'!$B$5*EXP(('Black-Scholes'!$B$8-'Black-Scholes'!$B$10-'Black-Scholes'!$B$9^2/2)*'Black-Scholes'!$B$7+'Black-Scholes'!$B$9*SQRT('Black-Scholes'!$B$7)*B670)</f>
        <v>81.1210123073059</v>
      </c>
      <c r="D670" s="18" t="n">
        <f aca="false">'Black-Scholes'!$B$5*EXP(('Black-Scholes'!$B$8-'Black-Scholes'!$B$10-'Black-Scholes'!$B$9^2/2)*'Black-Scholes'!$B$7-'Black-Scholes'!$B$9*SQRT('Black-Scholes'!$B$7)*B670)</f>
        <v>130.895376714835</v>
      </c>
      <c r="E670" s="18" t="n">
        <f aca="false">EXP(-'Black-Scholes'!$B$8*'Black-Scholes'!$B$7)*IF(LOWER('Black-Scholes'!$B$11)="put",MAX('Black-Scholes'!$B$6-C670,0),MAX(C670-'Black-Scholes'!$B$6,0))</f>
        <v>0</v>
      </c>
      <c r="F670" s="18" t="n">
        <f aca="false">(E670+G670)/2</f>
        <v>14.6942957060928</v>
      </c>
      <c r="G670" s="18" t="n">
        <f aca="false">EXP(-'Black-Scholes'!$B$8*'Black-Scholes'!$B$7)*IF(LOWER('Black-Scholes'!$B$11)="put",MAX('Black-Scholes'!$B$6-D670,0),MAX(D670-'Black-Scholes'!$B$6,0))</f>
        <v>29.3885914121855</v>
      </c>
    </row>
    <row r="671" customFormat="false" ht="15" hidden="false" customHeight="false" outlineLevel="0" collapsed="false">
      <c r="A671" s="0" t="n">
        <v>660</v>
      </c>
      <c r="B671" s="15" t="n">
        <v>1.25242178166148</v>
      </c>
      <c r="C671" s="18" t="n">
        <f aca="false">'Black-Scholes'!$B$5*EXP(('Black-Scholes'!$B$8-'Black-Scholes'!$B$10-'Black-Scholes'!$B$9^2/2)*'Black-Scholes'!$B$7+'Black-Scholes'!$B$9*SQRT('Black-Scholes'!$B$7)*B671)</f>
        <v>132.377083386938</v>
      </c>
      <c r="D671" s="18" t="n">
        <f aca="false">'Black-Scholes'!$B$5*EXP(('Black-Scholes'!$B$8-'Black-Scholes'!$B$10-'Black-Scholes'!$B$9^2/2)*'Black-Scholes'!$B$7-'Black-Scholes'!$B$9*SQRT('Black-Scholes'!$B$7)*B671)</f>
        <v>80.2130187021581</v>
      </c>
      <c r="E671" s="18" t="n">
        <f aca="false">EXP(-'Black-Scholes'!$B$8*'Black-Scholes'!$B$7)*IF(LOWER('Black-Scholes'!$B$11)="put",MAX('Black-Scholes'!$B$6-C671,0),MAX(C671-'Black-Scholes'!$B$6,0))</f>
        <v>30.7980343971686</v>
      </c>
      <c r="F671" s="18" t="n">
        <f aca="false">(E671+G671)/2</f>
        <v>15.3990171985843</v>
      </c>
      <c r="G671" s="18" t="n">
        <f aca="false">EXP(-'Black-Scholes'!$B$8*'Black-Scholes'!$B$7)*IF(LOWER('Black-Scholes'!$B$11)="put",MAX('Black-Scholes'!$B$6-D671,0),MAX(D671-'Black-Scholes'!$B$6,0))</f>
        <v>0</v>
      </c>
    </row>
    <row r="672" customFormat="false" ht="15" hidden="false" customHeight="false" outlineLevel="0" collapsed="false">
      <c r="A672" s="0" t="n">
        <v>661</v>
      </c>
      <c r="B672" s="15" t="n">
        <v>0.241879247399192</v>
      </c>
      <c r="C672" s="18" t="n">
        <f aca="false">'Black-Scholes'!$B$5*EXP(('Black-Scholes'!$B$8-'Black-Scholes'!$B$10-'Black-Scholes'!$B$9^2/2)*'Black-Scholes'!$B$7+'Black-Scholes'!$B$9*SQRT('Black-Scholes'!$B$7)*B672)</f>
        <v>108.152907442978</v>
      </c>
      <c r="D672" s="18" t="n">
        <f aca="false">'Black-Scholes'!$B$5*EXP(('Black-Scholes'!$B$8-'Black-Scholes'!$B$10-'Black-Scholes'!$B$9^2/2)*'Black-Scholes'!$B$7-'Black-Scholes'!$B$9*SQRT('Black-Scholes'!$B$7)*B672)</f>
        <v>98.1791957007905</v>
      </c>
      <c r="E672" s="18" t="n">
        <f aca="false">EXP(-'Black-Scholes'!$B$8*'Black-Scholes'!$B$7)*IF(LOWER('Black-Scholes'!$B$11)="put",MAX('Black-Scholes'!$B$6-C672,0),MAX(C672-'Black-Scholes'!$B$6,0))</f>
        <v>7.7552854549913</v>
      </c>
      <c r="F672" s="18" t="n">
        <f aca="false">(E672+G672)/2</f>
        <v>3.87764272749565</v>
      </c>
      <c r="G672" s="18" t="n">
        <f aca="false">EXP(-'Black-Scholes'!$B$8*'Black-Scholes'!$B$7)*IF(LOWER('Black-Scholes'!$B$11)="put",MAX('Black-Scholes'!$B$6-D672,0),MAX(D672-'Black-Scholes'!$B$6,0))</f>
        <v>0</v>
      </c>
    </row>
    <row r="673" customFormat="false" ht="15" hidden="false" customHeight="false" outlineLevel="0" collapsed="false">
      <c r="A673" s="0" t="n">
        <v>662</v>
      </c>
      <c r="B673" s="15" t="n">
        <v>0.0224628240474804</v>
      </c>
      <c r="C673" s="18" t="n">
        <f aca="false">'Black-Scholes'!$B$5*EXP(('Black-Scholes'!$B$8-'Black-Scholes'!$B$10-'Black-Scholes'!$B$9^2/2)*'Black-Scholes'!$B$7+'Black-Scholes'!$B$9*SQRT('Black-Scholes'!$B$7)*B673)</f>
        <v>103.509433222395</v>
      </c>
      <c r="D673" s="18" t="n">
        <f aca="false">'Black-Scholes'!$B$5*EXP(('Black-Scholes'!$B$8-'Black-Scholes'!$B$10-'Black-Scholes'!$B$9^2/2)*'Black-Scholes'!$B$7-'Black-Scholes'!$B$9*SQRT('Black-Scholes'!$B$7)*B673)</f>
        <v>102.583553352471</v>
      </c>
      <c r="E673" s="18" t="n">
        <f aca="false">EXP(-'Black-Scholes'!$B$8*'Black-Scholes'!$B$7)*IF(LOWER('Black-Scholes'!$B$11)="put",MAX('Black-Scholes'!$B$6-C673,0),MAX(C673-'Black-Scholes'!$B$6,0))</f>
        <v>3.33827614446282</v>
      </c>
      <c r="F673" s="18" t="n">
        <f aca="false">(E673+G673)/2</f>
        <v>2.8979140565502</v>
      </c>
      <c r="G673" s="18" t="n">
        <f aca="false">EXP(-'Black-Scholes'!$B$8*'Black-Scholes'!$B$7)*IF(LOWER('Black-Scholes'!$B$11)="put",MAX('Black-Scholes'!$B$6-D673,0),MAX(D673-'Black-Scholes'!$B$6,0))</f>
        <v>2.45755196863758</v>
      </c>
    </row>
    <row r="674" customFormat="false" ht="15" hidden="false" customHeight="false" outlineLevel="0" collapsed="false">
      <c r="A674" s="0" t="n">
        <v>663</v>
      </c>
      <c r="B674" s="15" t="n">
        <v>-0.484795428761002</v>
      </c>
      <c r="C674" s="18" t="n">
        <f aca="false">'Black-Scholes'!$B$5*EXP(('Black-Scholes'!$B$8-'Black-Scholes'!$B$10-'Black-Scholes'!$B$9^2/2)*'Black-Scholes'!$B$7+'Black-Scholes'!$B$9*SQRT('Black-Scholes'!$B$7)*B674)</f>
        <v>93.5233464927743</v>
      </c>
      <c r="D674" s="18" t="n">
        <f aca="false">'Black-Scholes'!$B$5*EXP(('Black-Scholes'!$B$8-'Black-Scholes'!$B$10-'Black-Scholes'!$B$9^2/2)*'Black-Scholes'!$B$7-'Black-Scholes'!$B$9*SQRT('Black-Scholes'!$B$7)*B674)</f>
        <v>113.537056399858</v>
      </c>
      <c r="E674" s="18" t="n">
        <f aca="false">EXP(-'Black-Scholes'!$B$8*'Black-Scholes'!$B$7)*IF(LOWER('Black-Scholes'!$B$11)="put",MAX('Black-Scholes'!$B$6-C674,0),MAX(C674-'Black-Scholes'!$B$6,0))</f>
        <v>0</v>
      </c>
      <c r="F674" s="18" t="n">
        <f aca="false">(E674+G674)/2</f>
        <v>6.43842318433543</v>
      </c>
      <c r="G674" s="18" t="n">
        <f aca="false">EXP(-'Black-Scholes'!$B$8*'Black-Scholes'!$B$7)*IF(LOWER('Black-Scholes'!$B$11)="put",MAX('Black-Scholes'!$B$6-D674,0),MAX(D674-'Black-Scholes'!$B$6,0))</f>
        <v>12.8768463686709</v>
      </c>
    </row>
    <row r="675" customFormat="false" ht="15" hidden="false" customHeight="false" outlineLevel="0" collapsed="false">
      <c r="A675" s="0" t="n">
        <v>664</v>
      </c>
      <c r="B675" s="15" t="n">
        <v>0.0189632773648307</v>
      </c>
      <c r="C675" s="18" t="n">
        <f aca="false">'Black-Scholes'!$B$5*EXP(('Black-Scholes'!$B$8-'Black-Scholes'!$B$10-'Black-Scholes'!$B$9^2/2)*'Black-Scholes'!$B$7+'Black-Scholes'!$B$9*SQRT('Black-Scholes'!$B$7)*B675)</f>
        <v>103.437011350993</v>
      </c>
      <c r="D675" s="18" t="n">
        <f aca="false">'Black-Scholes'!$B$5*EXP(('Black-Scholes'!$B$8-'Black-Scholes'!$B$10-'Black-Scholes'!$B$9^2/2)*'Black-Scholes'!$B$7-'Black-Scholes'!$B$9*SQRT('Black-Scholes'!$B$7)*B675)</f>
        <v>102.65537767156</v>
      </c>
      <c r="E675" s="18" t="n">
        <f aca="false">EXP(-'Black-Scholes'!$B$8*'Black-Scholes'!$B$7)*IF(LOWER('Black-Scholes'!$B$11)="put",MAX('Black-Scholes'!$B$6-C675,0),MAX(C675-'Black-Scholes'!$B$6,0))</f>
        <v>3.26938632940704</v>
      </c>
      <c r="F675" s="18" t="n">
        <f aca="false">(E675+G675)/2</f>
        <v>2.89762985187864</v>
      </c>
      <c r="G675" s="18" t="n">
        <f aca="false">EXP(-'Black-Scholes'!$B$8*'Black-Scholes'!$B$7)*IF(LOWER('Black-Scholes'!$B$11)="put",MAX('Black-Scholes'!$B$6-D675,0),MAX(D675-'Black-Scholes'!$B$6,0))</f>
        <v>2.52587337435024</v>
      </c>
    </row>
    <row r="676" customFormat="false" ht="15" hidden="false" customHeight="false" outlineLevel="0" collapsed="false">
      <c r="A676" s="0" t="n">
        <v>665</v>
      </c>
      <c r="B676" s="15" t="n">
        <v>-0.808196504913117</v>
      </c>
      <c r="C676" s="18" t="n">
        <f aca="false">'Black-Scholes'!$B$5*EXP(('Black-Scholes'!$B$8-'Black-Scholes'!$B$10-'Black-Scholes'!$B$9^2/2)*'Black-Scholes'!$B$7+'Black-Scholes'!$B$9*SQRT('Black-Scholes'!$B$7)*B676)</f>
        <v>87.6657147429679</v>
      </c>
      <c r="D676" s="18" t="n">
        <f aca="false">'Black-Scholes'!$B$5*EXP(('Black-Scholes'!$B$8-'Black-Scholes'!$B$10-'Black-Scholes'!$B$9^2/2)*'Black-Scholes'!$B$7-'Black-Scholes'!$B$9*SQRT('Black-Scholes'!$B$7)*B676)</f>
        <v>121.123354741203</v>
      </c>
      <c r="E676" s="18" t="n">
        <f aca="false">EXP(-'Black-Scholes'!$B$8*'Black-Scholes'!$B$7)*IF(LOWER('Black-Scholes'!$B$11)="put",MAX('Black-Scholes'!$B$6-C676,0),MAX(C676-'Black-Scholes'!$B$6,0))</f>
        <v>0</v>
      </c>
      <c r="F676" s="18" t="n">
        <f aca="false">(E676+G676)/2</f>
        <v>10.0465782869994</v>
      </c>
      <c r="G676" s="18" t="n">
        <f aca="false">EXP(-'Black-Scholes'!$B$8*'Black-Scholes'!$B$7)*IF(LOWER('Black-Scholes'!$B$11)="put",MAX('Black-Scholes'!$B$6-D676,0),MAX(D676-'Black-Scholes'!$B$6,0))</f>
        <v>20.0931565739989</v>
      </c>
    </row>
    <row r="677" customFormat="false" ht="15" hidden="false" customHeight="false" outlineLevel="0" collapsed="false">
      <c r="A677" s="0" t="n">
        <v>666</v>
      </c>
      <c r="B677" s="15" t="n">
        <v>-1.63992140398091</v>
      </c>
      <c r="C677" s="18" t="n">
        <f aca="false">'Black-Scholes'!$B$5*EXP(('Black-Scholes'!$B$8-'Black-Scholes'!$B$10-'Black-Scholes'!$B$9^2/2)*'Black-Scholes'!$B$7+'Black-Scholes'!$B$9*SQRT('Black-Scholes'!$B$7)*B677)</f>
        <v>74.2313008225538</v>
      </c>
      <c r="D677" s="18" t="n">
        <f aca="false">'Black-Scholes'!$B$5*EXP(('Black-Scholes'!$B$8-'Black-Scholes'!$B$10-'Black-Scholes'!$B$9^2/2)*'Black-Scholes'!$B$7-'Black-Scholes'!$B$9*SQRT('Black-Scholes'!$B$7)*B677)</f>
        <v>143.044313487598</v>
      </c>
      <c r="E677" s="18" t="n">
        <f aca="false">EXP(-'Black-Scholes'!$B$8*'Black-Scholes'!$B$7)*IF(LOWER('Black-Scholes'!$B$11)="put",MAX('Black-Scholes'!$B$6-C677,0),MAX(C677-'Black-Scholes'!$B$6,0))</f>
        <v>0</v>
      </c>
      <c r="F677" s="18" t="n">
        <f aca="false">(E677+G677)/2</f>
        <v>20.4725087734182</v>
      </c>
      <c r="G677" s="18" t="n">
        <f aca="false">EXP(-'Black-Scholes'!$B$8*'Black-Scholes'!$B$7)*IF(LOWER('Black-Scholes'!$B$11)="put",MAX('Black-Scholes'!$B$6-D677,0),MAX(D677-'Black-Scholes'!$B$6,0))</f>
        <v>40.9450175468364</v>
      </c>
    </row>
    <row r="678" customFormat="false" ht="15" hidden="false" customHeight="false" outlineLevel="0" collapsed="false">
      <c r="A678" s="0" t="n">
        <v>667</v>
      </c>
      <c r="B678" s="15" t="n">
        <v>0.156671239450374</v>
      </c>
      <c r="C678" s="18" t="n">
        <f aca="false">'Black-Scholes'!$B$5*EXP(('Black-Scholes'!$B$8-'Black-Scholes'!$B$10-'Black-Scholes'!$B$9^2/2)*'Black-Scholes'!$B$7+'Black-Scholes'!$B$9*SQRT('Black-Scholes'!$B$7)*B678)</f>
        <v>106.325424528765</v>
      </c>
      <c r="D678" s="18" t="n">
        <f aca="false">'Black-Scholes'!$B$5*EXP(('Black-Scholes'!$B$8-'Black-Scholes'!$B$10-'Black-Scholes'!$B$9^2/2)*'Black-Scholes'!$B$7-'Black-Scholes'!$B$9*SQRT('Black-Scholes'!$B$7)*B678)</f>
        <v>99.8666641822898</v>
      </c>
      <c r="E678" s="18" t="n">
        <f aca="false">EXP(-'Black-Scholes'!$B$8*'Black-Scholes'!$B$7)*IF(LOWER('Black-Scholes'!$B$11)="put",MAX('Black-Scholes'!$B$6-C678,0),MAX(C678-'Black-Scholes'!$B$6,0))</f>
        <v>6.01692993422006</v>
      </c>
      <c r="F678" s="18" t="n">
        <f aca="false">(E678+G678)/2</f>
        <v>3.00846496711003</v>
      </c>
      <c r="G678" s="18" t="n">
        <f aca="false">EXP(-'Black-Scholes'!$B$8*'Black-Scholes'!$B$7)*IF(LOWER('Black-Scholes'!$B$11)="put",MAX('Black-Scholes'!$B$6-D678,0),MAX(D678-'Black-Scholes'!$B$6,0))</f>
        <v>0</v>
      </c>
    </row>
    <row r="679" customFormat="false" ht="15" hidden="false" customHeight="false" outlineLevel="0" collapsed="false">
      <c r="A679" s="0" t="n">
        <v>668</v>
      </c>
      <c r="B679" s="15" t="n">
        <v>-0.26231045759788</v>
      </c>
      <c r="C679" s="18" t="n">
        <f aca="false">'Black-Scholes'!$B$5*EXP(('Black-Scholes'!$B$8-'Black-Scholes'!$B$10-'Black-Scholes'!$B$9^2/2)*'Black-Scholes'!$B$7+'Black-Scholes'!$B$9*SQRT('Black-Scholes'!$B$7)*B679)</f>
        <v>97.778830295952</v>
      </c>
      <c r="D679" s="18" t="n">
        <f aca="false">'Black-Scholes'!$B$5*EXP(('Black-Scholes'!$B$8-'Black-Scholes'!$B$10-'Black-Scholes'!$B$9^2/2)*'Black-Scholes'!$B$7-'Black-Scholes'!$B$9*SQRT('Black-Scholes'!$B$7)*B679)</f>
        <v>108.595750565991</v>
      </c>
      <c r="E679" s="18" t="n">
        <f aca="false">EXP(-'Black-Scholes'!$B$8*'Black-Scholes'!$B$7)*IF(LOWER('Black-Scholes'!$B$11)="put",MAX('Black-Scholes'!$B$6-C679,0),MAX(C679-'Black-Scholes'!$B$6,0))</f>
        <v>0</v>
      </c>
      <c r="F679" s="18" t="n">
        <f aca="false">(E679+G679)/2</f>
        <v>4.08826543201979</v>
      </c>
      <c r="G679" s="18" t="n">
        <f aca="false">EXP(-'Black-Scholes'!$B$8*'Black-Scholes'!$B$7)*IF(LOWER('Black-Scholes'!$B$11)="put",MAX('Black-Scholes'!$B$6-D679,0),MAX(D679-'Black-Scholes'!$B$6,0))</f>
        <v>8.17653086403959</v>
      </c>
    </row>
    <row r="680" customFormat="false" ht="15" hidden="false" customHeight="false" outlineLevel="0" collapsed="false">
      <c r="A680" s="0" t="n">
        <v>669</v>
      </c>
      <c r="B680" s="15" t="n">
        <v>-0.982832655828584</v>
      </c>
      <c r="C680" s="18" t="n">
        <f aca="false">'Black-Scholes'!$B$5*EXP(('Black-Scholes'!$B$8-'Black-Scholes'!$B$10-'Black-Scholes'!$B$9^2/2)*'Black-Scholes'!$B$7+'Black-Scholes'!$B$9*SQRT('Black-Scholes'!$B$7)*B680)</f>
        <v>84.6566492006209</v>
      </c>
      <c r="D680" s="18" t="n">
        <f aca="false">'Black-Scholes'!$B$5*EXP(('Black-Scholes'!$B$8-'Black-Scholes'!$B$10-'Black-Scholes'!$B$9^2/2)*'Black-Scholes'!$B$7-'Black-Scholes'!$B$9*SQRT('Black-Scholes'!$B$7)*B680)</f>
        <v>125.428605617144</v>
      </c>
      <c r="E680" s="18" t="n">
        <f aca="false">EXP(-'Black-Scholes'!$B$8*'Black-Scholes'!$B$7)*IF(LOWER('Black-Scholes'!$B$11)="put",MAX('Black-Scholes'!$B$6-C680,0),MAX(C680-'Black-Scholes'!$B$6,0))</f>
        <v>0</v>
      </c>
      <c r="F680" s="18" t="n">
        <f aca="false">(E680+G680)/2</f>
        <v>12.0942189435258</v>
      </c>
      <c r="G680" s="18" t="n">
        <f aca="false">EXP(-'Black-Scholes'!$B$8*'Black-Scholes'!$B$7)*IF(LOWER('Black-Scholes'!$B$11)="put",MAX('Black-Scholes'!$B$6-D680,0),MAX(D680-'Black-Scholes'!$B$6,0))</f>
        <v>24.1884378870516</v>
      </c>
    </row>
    <row r="681" customFormat="false" ht="15" hidden="false" customHeight="false" outlineLevel="0" collapsed="false">
      <c r="A681" s="0" t="n">
        <v>670</v>
      </c>
      <c r="B681" s="15" t="n">
        <v>1.06778207026363</v>
      </c>
      <c r="C681" s="18" t="n">
        <f aca="false">'Black-Scholes'!$B$5*EXP(('Black-Scholes'!$B$8-'Black-Scholes'!$B$10-'Black-Scholes'!$B$9^2/2)*'Black-Scholes'!$B$7+'Black-Scholes'!$B$9*SQRT('Black-Scholes'!$B$7)*B681)</f>
        <v>127.577828763418</v>
      </c>
      <c r="D681" s="18" t="n">
        <f aca="false">'Black-Scholes'!$B$5*EXP(('Black-Scholes'!$B$8-'Black-Scholes'!$B$10-'Black-Scholes'!$B$9^2/2)*'Black-Scholes'!$B$7-'Black-Scholes'!$B$9*SQRT('Black-Scholes'!$B$7)*B681)</f>
        <v>83.2304920719763</v>
      </c>
      <c r="E681" s="18" t="n">
        <f aca="false">EXP(-'Black-Scholes'!$B$8*'Black-Scholes'!$B$7)*IF(LOWER('Black-Scholes'!$B$11)="put",MAX('Black-Scholes'!$B$6-C681,0),MAX(C681-'Black-Scholes'!$B$6,0))</f>
        <v>26.2328421836051</v>
      </c>
      <c r="F681" s="18" t="n">
        <f aca="false">(E681+G681)/2</f>
        <v>13.1164210918025</v>
      </c>
      <c r="G681" s="18" t="n">
        <f aca="false">EXP(-'Black-Scholes'!$B$8*'Black-Scholes'!$B$7)*IF(LOWER('Black-Scholes'!$B$11)="put",MAX('Black-Scholes'!$B$6-D681,0),MAX(D681-'Black-Scholes'!$B$6,0))</f>
        <v>0</v>
      </c>
    </row>
    <row r="682" customFormat="false" ht="15" hidden="false" customHeight="false" outlineLevel="0" collapsed="false">
      <c r="A682" s="0" t="n">
        <v>671</v>
      </c>
      <c r="B682" s="15" t="n">
        <v>-0.640563524493603</v>
      </c>
      <c r="C682" s="18" t="n">
        <f aca="false">'Black-Scholes'!$B$5*EXP(('Black-Scholes'!$B$8-'Black-Scholes'!$B$10-'Black-Scholes'!$B$9^2/2)*'Black-Scholes'!$B$7+'Black-Scholes'!$B$9*SQRT('Black-Scholes'!$B$7)*B682)</f>
        <v>90.6546725739138</v>
      </c>
      <c r="D682" s="18" t="n">
        <f aca="false">'Black-Scholes'!$B$5*EXP(('Black-Scholes'!$B$8-'Black-Scholes'!$B$10-'Black-Scholes'!$B$9^2/2)*'Black-Scholes'!$B$7-'Black-Scholes'!$B$9*SQRT('Black-Scholes'!$B$7)*B682)</f>
        <v>117.129819831362</v>
      </c>
      <c r="E682" s="18" t="n">
        <f aca="false">EXP(-'Black-Scholes'!$B$8*'Black-Scholes'!$B$7)*IF(LOWER('Black-Scholes'!$B$11)="put",MAX('Black-Scholes'!$B$6-C682,0),MAX(C682-'Black-Scholes'!$B$6,0))</f>
        <v>0</v>
      </c>
      <c r="F682" s="18" t="n">
        <f aca="false">(E682+G682)/2</f>
        <v>8.1471943299935</v>
      </c>
      <c r="G682" s="18" t="n">
        <f aca="false">EXP(-'Black-Scholes'!$B$8*'Black-Scholes'!$B$7)*IF(LOWER('Black-Scholes'!$B$11)="put",MAX('Black-Scholes'!$B$6-D682,0),MAX(D682-'Black-Scholes'!$B$6,0))</f>
        <v>16.294388659987</v>
      </c>
    </row>
    <row r="683" customFormat="false" ht="15" hidden="false" customHeight="false" outlineLevel="0" collapsed="false">
      <c r="A683" s="0" t="n">
        <v>672</v>
      </c>
      <c r="B683" s="15" t="n">
        <v>-1.38303641502942</v>
      </c>
      <c r="C683" s="18" t="n">
        <f aca="false">'Black-Scholes'!$B$5*EXP(('Black-Scholes'!$B$8-'Black-Scholes'!$B$10-'Black-Scholes'!$B$9^2/2)*'Black-Scholes'!$B$7+'Black-Scholes'!$B$9*SQRT('Black-Scholes'!$B$7)*B683)</f>
        <v>78.144752100076</v>
      </c>
      <c r="D683" s="18" t="n">
        <f aca="false">'Black-Scholes'!$B$5*EXP(('Black-Scholes'!$B$8-'Black-Scholes'!$B$10-'Black-Scholes'!$B$9^2/2)*'Black-Scholes'!$B$7-'Black-Scholes'!$B$9*SQRT('Black-Scholes'!$B$7)*B683)</f>
        <v>135.880723658259</v>
      </c>
      <c r="E683" s="18" t="n">
        <f aca="false">EXP(-'Black-Scholes'!$B$8*'Black-Scholes'!$B$7)*IF(LOWER('Black-Scholes'!$B$11)="put",MAX('Black-Scholes'!$B$6-C683,0),MAX(C683-'Black-Scholes'!$B$6,0))</f>
        <v>0</v>
      </c>
      <c r="F683" s="18" t="n">
        <f aca="false">(E683+G683)/2</f>
        <v>17.0654000580576</v>
      </c>
      <c r="G683" s="18" t="n">
        <f aca="false">EXP(-'Black-Scholes'!$B$8*'Black-Scholes'!$B$7)*IF(LOWER('Black-Scholes'!$B$11)="put",MAX('Black-Scholes'!$B$6-D683,0),MAX(D683-'Black-Scholes'!$B$6,0))</f>
        <v>34.1308001161151</v>
      </c>
    </row>
    <row r="684" customFormat="false" ht="15" hidden="false" customHeight="false" outlineLevel="0" collapsed="false">
      <c r="A684" s="0" t="n">
        <v>673</v>
      </c>
      <c r="B684" s="15" t="n">
        <v>-0.140689287752311</v>
      </c>
      <c r="C684" s="18" t="n">
        <f aca="false">'Black-Scholes'!$B$5*EXP(('Black-Scholes'!$B$8-'Black-Scholes'!$B$10-'Black-Scholes'!$B$9^2/2)*'Black-Scholes'!$B$7+'Black-Scholes'!$B$9*SQRT('Black-Scholes'!$B$7)*B684)</f>
        <v>100.186387731348</v>
      </c>
      <c r="D684" s="18" t="n">
        <f aca="false">'Black-Scholes'!$B$5*EXP(('Black-Scholes'!$B$8-'Black-Scholes'!$B$10-'Black-Scholes'!$B$9^2/2)*'Black-Scholes'!$B$7-'Black-Scholes'!$B$9*SQRT('Black-Scholes'!$B$7)*B684)</f>
        <v>105.986109549403</v>
      </c>
      <c r="E684" s="18" t="n">
        <f aca="false">EXP(-'Black-Scholes'!$B$8*'Black-Scholes'!$B$7)*IF(LOWER('Black-Scholes'!$B$11)="put",MAX('Black-Scholes'!$B$6-C684,0),MAX(C684-'Black-Scholes'!$B$6,0))</f>
        <v>0.17729749442382</v>
      </c>
      <c r="F684" s="18" t="n">
        <f aca="false">(E684+G684)/2</f>
        <v>2.93573051805042</v>
      </c>
      <c r="G684" s="18" t="n">
        <f aca="false">EXP(-'Black-Scholes'!$B$8*'Black-Scholes'!$B$7)*IF(LOWER('Black-Scholes'!$B$11)="put",MAX('Black-Scholes'!$B$6-D684,0),MAX(D684-'Black-Scholes'!$B$6,0))</f>
        <v>5.69416354167703</v>
      </c>
    </row>
    <row r="685" customFormat="false" ht="15" hidden="false" customHeight="false" outlineLevel="0" collapsed="false">
      <c r="A685" s="0" t="n">
        <v>674</v>
      </c>
      <c r="B685" s="15" t="n">
        <v>0.415463123070693</v>
      </c>
      <c r="C685" s="18" t="n">
        <f aca="false">'Black-Scholes'!$B$5*EXP(('Black-Scholes'!$B$8-'Black-Scholes'!$B$10-'Black-Scholes'!$B$9^2/2)*'Black-Scholes'!$B$7+'Black-Scholes'!$B$9*SQRT('Black-Scholes'!$B$7)*B685)</f>
        <v>111.973564322734</v>
      </c>
      <c r="D685" s="18" t="n">
        <f aca="false">'Black-Scholes'!$B$5*EXP(('Black-Scholes'!$B$8-'Black-Scholes'!$B$10-'Black-Scholes'!$B$9^2/2)*'Black-Scholes'!$B$7-'Black-Scholes'!$B$9*SQRT('Black-Scholes'!$B$7)*B685)</f>
        <v>94.8292173217687</v>
      </c>
      <c r="E685" s="18" t="n">
        <f aca="false">EXP(-'Black-Scholes'!$B$8*'Black-Scholes'!$B$7)*IF(LOWER('Black-Scholes'!$B$11)="put",MAX('Black-Scholes'!$B$6-C685,0),MAX(C685-'Black-Scholes'!$B$6,0))</f>
        <v>11.3896066999366</v>
      </c>
      <c r="F685" s="18" t="n">
        <f aca="false">(E685+G685)/2</f>
        <v>5.69480334996832</v>
      </c>
      <c r="G685" s="18" t="n">
        <f aca="false">EXP(-'Black-Scholes'!$B$8*'Black-Scholes'!$B$7)*IF(LOWER('Black-Scholes'!$B$11)="put",MAX('Black-Scholes'!$B$6-D685,0),MAX(D685-'Black-Scholes'!$B$6,0))</f>
        <v>0</v>
      </c>
    </row>
    <row r="686" customFormat="false" ht="15" hidden="false" customHeight="false" outlineLevel="0" collapsed="false">
      <c r="A686" s="0" t="n">
        <v>675</v>
      </c>
      <c r="B686" s="15" t="n">
        <v>-0.937065806486465</v>
      </c>
      <c r="C686" s="18" t="n">
        <f aca="false">'Black-Scholes'!$B$5*EXP(('Black-Scholes'!$B$8-'Black-Scholes'!$B$10-'Black-Scholes'!$B$9^2/2)*'Black-Scholes'!$B$7+'Black-Scholes'!$B$9*SQRT('Black-Scholes'!$B$7)*B686)</f>
        <v>85.4351001119853</v>
      </c>
      <c r="D686" s="18" t="n">
        <f aca="false">'Black-Scholes'!$B$5*EXP(('Black-Scholes'!$B$8-'Black-Scholes'!$B$10-'Black-Scholes'!$B$9^2/2)*'Black-Scholes'!$B$7-'Black-Scholes'!$B$9*SQRT('Black-Scholes'!$B$7)*B686)</f>
        <v>124.285749668876</v>
      </c>
      <c r="E686" s="18" t="n">
        <f aca="false">EXP(-'Black-Scholes'!$B$8*'Black-Scholes'!$B$7)*IF(LOWER('Black-Scholes'!$B$11)="put",MAX('Black-Scholes'!$B$6-C686,0),MAX(C686-'Black-Scholes'!$B$6,0))</f>
        <v>0</v>
      </c>
      <c r="F686" s="18" t="n">
        <f aca="false">(E686+G686)/2</f>
        <v>11.5506598405468</v>
      </c>
      <c r="G686" s="18" t="n">
        <f aca="false">EXP(-'Black-Scholes'!$B$8*'Black-Scholes'!$B$7)*IF(LOWER('Black-Scholes'!$B$11)="put",MAX('Black-Scholes'!$B$6-D686,0),MAX(D686-'Black-Scholes'!$B$6,0))</f>
        <v>23.1013196810937</v>
      </c>
    </row>
    <row r="687" customFormat="false" ht="15" hidden="false" customHeight="false" outlineLevel="0" collapsed="false">
      <c r="A687" s="0" t="n">
        <v>676</v>
      </c>
      <c r="B687" s="15" t="n">
        <v>0.654193815258777</v>
      </c>
      <c r="C687" s="18" t="n">
        <f aca="false">'Black-Scholes'!$B$5*EXP(('Black-Scholes'!$B$8-'Black-Scholes'!$B$10-'Black-Scholes'!$B$9^2/2)*'Black-Scholes'!$B$7+'Black-Scholes'!$B$9*SQRT('Black-Scholes'!$B$7)*B687)</f>
        <v>117.449558146288</v>
      </c>
      <c r="D687" s="18" t="n">
        <f aca="false">'Black-Scholes'!$B$5*EXP(('Black-Scholes'!$B$8-'Black-Scholes'!$B$10-'Black-Scholes'!$B$9^2/2)*'Black-Scholes'!$B$7-'Black-Scholes'!$B$9*SQRT('Black-Scholes'!$B$7)*B687)</f>
        <v>90.4078792040069</v>
      </c>
      <c r="E687" s="18" t="n">
        <f aca="false">EXP(-'Black-Scholes'!$B$8*'Black-Scholes'!$B$7)*IF(LOWER('Black-Scholes'!$B$11)="put",MAX('Black-Scholes'!$B$6-C687,0),MAX(C687-'Black-Scholes'!$B$6,0))</f>
        <v>16.5985331532854</v>
      </c>
      <c r="F687" s="18" t="n">
        <f aca="false">(E687+G687)/2</f>
        <v>8.29926657664268</v>
      </c>
      <c r="G687" s="18" t="n">
        <f aca="false">EXP(-'Black-Scholes'!$B$8*'Black-Scholes'!$B$7)*IF(LOWER('Black-Scholes'!$B$11)="put",MAX('Black-Scholes'!$B$6-D687,0),MAX(D687-'Black-Scholes'!$B$6,0))</f>
        <v>0</v>
      </c>
    </row>
    <row r="688" customFormat="false" ht="15" hidden="false" customHeight="false" outlineLevel="0" collapsed="false">
      <c r="A688" s="0" t="n">
        <v>677</v>
      </c>
      <c r="B688" s="15" t="n">
        <v>-0.806482351234492</v>
      </c>
      <c r="C688" s="18" t="n">
        <f aca="false">'Black-Scholes'!$B$5*EXP(('Black-Scholes'!$B$8-'Black-Scholes'!$B$10-'Black-Scholes'!$B$9^2/2)*'Black-Scholes'!$B$7+'Black-Scholes'!$B$9*SQRT('Black-Scholes'!$B$7)*B688)</f>
        <v>87.6957743968433</v>
      </c>
      <c r="D688" s="18" t="n">
        <f aca="false">'Black-Scholes'!$B$5*EXP(('Black-Scholes'!$B$8-'Black-Scholes'!$B$10-'Black-Scholes'!$B$9^2/2)*'Black-Scholes'!$B$7-'Black-Scholes'!$B$9*SQRT('Black-Scholes'!$B$7)*B688)</f>
        <v>121.081837049561</v>
      </c>
      <c r="E688" s="18" t="n">
        <f aca="false">EXP(-'Black-Scholes'!$B$8*'Black-Scholes'!$B$7)*IF(LOWER('Black-Scholes'!$B$11)="put",MAX('Black-Scholes'!$B$6-C688,0),MAX(C688-'Black-Scholes'!$B$6,0))</f>
        <v>0</v>
      </c>
      <c r="F688" s="18" t="n">
        <f aca="false">(E688+G688)/2</f>
        <v>10.0268318620356</v>
      </c>
      <c r="G688" s="18" t="n">
        <f aca="false">EXP(-'Black-Scholes'!$B$8*'Black-Scholes'!$B$7)*IF(LOWER('Black-Scholes'!$B$11)="put",MAX('Black-Scholes'!$B$6-D688,0),MAX(D688-'Black-Scholes'!$B$6,0))</f>
        <v>20.0536637240713</v>
      </c>
    </row>
    <row r="689" customFormat="false" ht="15" hidden="false" customHeight="false" outlineLevel="0" collapsed="false">
      <c r="A689" s="0" t="n">
        <v>678</v>
      </c>
      <c r="B689" s="15" t="n">
        <v>-0.74373296784071</v>
      </c>
      <c r="C689" s="18" t="n">
        <f aca="false">'Black-Scholes'!$B$5*EXP(('Black-Scholes'!$B$8-'Black-Scholes'!$B$10-'Black-Scholes'!$B$9^2/2)*'Black-Scholes'!$B$7+'Black-Scholes'!$B$9*SQRT('Black-Scholes'!$B$7)*B689)</f>
        <v>88.8032805476534</v>
      </c>
      <c r="D689" s="18" t="n">
        <f aca="false">'Black-Scholes'!$B$5*EXP(('Black-Scholes'!$B$8-'Black-Scholes'!$B$10-'Black-Scholes'!$B$9^2/2)*'Black-Scholes'!$B$7-'Black-Scholes'!$B$9*SQRT('Black-Scholes'!$B$7)*B689)</f>
        <v>119.571770321656</v>
      </c>
      <c r="E689" s="18" t="n">
        <f aca="false">EXP(-'Black-Scholes'!$B$8*'Black-Scholes'!$B$7)*IF(LOWER('Black-Scholes'!$B$11)="put",MAX('Black-Scholes'!$B$6-C689,0),MAX(C689-'Black-Scholes'!$B$6,0))</f>
        <v>0</v>
      </c>
      <c r="F689" s="18" t="n">
        <f aca="false">(E689+G689)/2</f>
        <v>9.30862190976452</v>
      </c>
      <c r="G689" s="18" t="n">
        <f aca="false">EXP(-'Black-Scholes'!$B$8*'Black-Scholes'!$B$7)*IF(LOWER('Black-Scholes'!$B$11)="put",MAX('Black-Scholes'!$B$6-D689,0),MAX(D689-'Black-Scholes'!$B$6,0))</f>
        <v>18.617243819529</v>
      </c>
    </row>
    <row r="690" customFormat="false" ht="15" hidden="false" customHeight="false" outlineLevel="0" collapsed="false">
      <c r="A690" s="0" t="n">
        <v>679</v>
      </c>
      <c r="B690" s="15" t="n">
        <v>1.3371631773303</v>
      </c>
      <c r="C690" s="18" t="n">
        <f aca="false">'Black-Scholes'!$B$5*EXP(('Black-Scholes'!$B$8-'Black-Scholes'!$B$10-'Black-Scholes'!$B$9^2/2)*'Black-Scholes'!$B$7+'Black-Scholes'!$B$9*SQRT('Black-Scholes'!$B$7)*B690)</f>
        <v>134.639767284602</v>
      </c>
      <c r="D690" s="18" t="n">
        <f aca="false">'Black-Scholes'!$B$5*EXP(('Black-Scholes'!$B$8-'Black-Scholes'!$B$10-'Black-Scholes'!$B$9^2/2)*'Black-Scholes'!$B$7-'Black-Scholes'!$B$9*SQRT('Black-Scholes'!$B$7)*B690)</f>
        <v>78.8650016232462</v>
      </c>
      <c r="E690" s="18" t="n">
        <f aca="false">EXP(-'Black-Scholes'!$B$8*'Black-Scholes'!$B$7)*IF(LOWER('Black-Scholes'!$B$11)="put",MAX('Black-Scholes'!$B$6-C690,0),MAX(C690-'Black-Scholes'!$B$6,0))</f>
        <v>32.9503658989702</v>
      </c>
      <c r="F690" s="18" t="n">
        <f aca="false">(E690+G690)/2</f>
        <v>16.4751829494851</v>
      </c>
      <c r="G690" s="18" t="n">
        <f aca="false">EXP(-'Black-Scholes'!$B$8*'Black-Scholes'!$B$7)*IF(LOWER('Black-Scholes'!$B$11)="put",MAX('Black-Scholes'!$B$6-D690,0),MAX(D690-'Black-Scholes'!$B$6,0))</f>
        <v>0</v>
      </c>
    </row>
    <row r="691" customFormat="false" ht="15" hidden="false" customHeight="false" outlineLevel="0" collapsed="false">
      <c r="A691" s="0" t="n">
        <v>680</v>
      </c>
      <c r="B691" s="15" t="n">
        <v>-1.61944606792986</v>
      </c>
      <c r="C691" s="18" t="n">
        <f aca="false">'Black-Scholes'!$B$5*EXP(('Black-Scholes'!$B$8-'Black-Scholes'!$B$10-'Black-Scholes'!$B$9^2/2)*'Black-Scholes'!$B$7+'Black-Scholes'!$B$9*SQRT('Black-Scholes'!$B$7)*B691)</f>
        <v>74.5359062527028</v>
      </c>
      <c r="D691" s="18" t="n">
        <f aca="false">'Black-Scholes'!$B$5*EXP(('Black-Scholes'!$B$8-'Black-Scholes'!$B$10-'Black-Scholes'!$B$9^2/2)*'Black-Scholes'!$B$7-'Black-Scholes'!$B$9*SQRT('Black-Scholes'!$B$7)*B691)</f>
        <v>142.459735170505</v>
      </c>
      <c r="E691" s="18" t="n">
        <f aca="false">EXP(-'Black-Scholes'!$B$8*'Black-Scholes'!$B$7)*IF(LOWER('Black-Scholes'!$B$11)="put",MAX('Black-Scholes'!$B$6-C691,0),MAX(C691-'Black-Scholes'!$B$6,0))</f>
        <v>0</v>
      </c>
      <c r="F691" s="18" t="n">
        <f aca="false">(E691+G691)/2</f>
        <v>20.1944747253459</v>
      </c>
      <c r="G691" s="18" t="n">
        <f aca="false">EXP(-'Black-Scholes'!$B$8*'Black-Scholes'!$B$7)*IF(LOWER('Black-Scholes'!$B$11)="put",MAX('Black-Scholes'!$B$6-D691,0),MAX(D691-'Black-Scholes'!$B$6,0))</f>
        <v>40.3889494506918</v>
      </c>
    </row>
    <row r="692" customFormat="false" ht="15" hidden="false" customHeight="false" outlineLevel="0" collapsed="false">
      <c r="A692" s="0" t="n">
        <v>681</v>
      </c>
      <c r="B692" s="15" t="n">
        <v>-1.61184630500372</v>
      </c>
      <c r="C692" s="18" t="n">
        <f aca="false">'Black-Scholes'!$B$5*EXP(('Black-Scholes'!$B$8-'Black-Scholes'!$B$10-'Black-Scholes'!$B$9^2/2)*'Black-Scholes'!$B$7+'Black-Scholes'!$B$9*SQRT('Black-Scholes'!$B$7)*B692)</f>
        <v>74.6492834382495</v>
      </c>
      <c r="D692" s="18" t="n">
        <f aca="false">'Black-Scholes'!$B$5*EXP(('Black-Scholes'!$B$8-'Black-Scholes'!$B$10-'Black-Scholes'!$B$9^2/2)*'Black-Scholes'!$B$7-'Black-Scholes'!$B$9*SQRT('Black-Scholes'!$B$7)*B692)</f>
        <v>142.243367603618</v>
      </c>
      <c r="E692" s="18" t="n">
        <f aca="false">EXP(-'Black-Scholes'!$B$8*'Black-Scholes'!$B$7)*IF(LOWER('Black-Scholes'!$B$11)="put",MAX('Black-Scholes'!$B$6-C692,0),MAX(C692-'Black-Scholes'!$B$6,0))</f>
        <v>0</v>
      </c>
      <c r="F692" s="18" t="n">
        <f aca="false">(E692+G692)/2</f>
        <v>20.0915671272808</v>
      </c>
      <c r="G692" s="18" t="n">
        <f aca="false">EXP(-'Black-Scholes'!$B$8*'Black-Scholes'!$B$7)*IF(LOWER('Black-Scholes'!$B$11)="put",MAX('Black-Scholes'!$B$6-D692,0),MAX(D692-'Black-Scholes'!$B$6,0))</f>
        <v>40.1831342545616</v>
      </c>
    </row>
    <row r="693" customFormat="false" ht="15" hidden="false" customHeight="false" outlineLevel="0" collapsed="false">
      <c r="A693" s="0" t="n">
        <v>682</v>
      </c>
      <c r="B693" s="15" t="n">
        <v>1.62894392103595</v>
      </c>
      <c r="C693" s="18" t="n">
        <f aca="false">'Black-Scholes'!$B$5*EXP(('Black-Scholes'!$B$8-'Black-Scholes'!$B$10-'Black-Scholes'!$B$9^2/2)*'Black-Scholes'!$B$7+'Black-Scholes'!$B$9*SQRT('Black-Scholes'!$B$7)*B693)</f>
        <v>142.730604684577</v>
      </c>
      <c r="D693" s="18" t="n">
        <f aca="false">'Black-Scholes'!$B$5*EXP(('Black-Scholes'!$B$8-'Black-Scholes'!$B$10-'Black-Scholes'!$B$9^2/2)*'Black-Scholes'!$B$7-'Black-Scholes'!$B$9*SQRT('Black-Scholes'!$B$7)*B693)</f>
        <v>74.3944544263602</v>
      </c>
      <c r="E693" s="18" t="n">
        <f aca="false">EXP(-'Black-Scholes'!$B$8*'Black-Scholes'!$B$7)*IF(LOWER('Black-Scholes'!$B$11)="put",MAX('Black-Scholes'!$B$6-C693,0),MAX(C693-'Black-Scholes'!$B$6,0))</f>
        <v>40.6466085026776</v>
      </c>
      <c r="F693" s="18" t="n">
        <f aca="false">(E693+G693)/2</f>
        <v>20.3233042513388</v>
      </c>
      <c r="G693" s="18" t="n">
        <f aca="false">EXP(-'Black-Scholes'!$B$8*'Black-Scholes'!$B$7)*IF(LOWER('Black-Scholes'!$B$11)="put",MAX('Black-Scholes'!$B$6-D693,0),MAX(D693-'Black-Scholes'!$B$6,0))</f>
        <v>0</v>
      </c>
    </row>
    <row r="694" customFormat="false" ht="15" hidden="false" customHeight="false" outlineLevel="0" collapsed="false">
      <c r="A694" s="0" t="n">
        <v>683</v>
      </c>
      <c r="B694" s="15" t="n">
        <v>0.405308239001891</v>
      </c>
      <c r="C694" s="18" t="n">
        <f aca="false">'Black-Scholes'!$B$5*EXP(('Black-Scholes'!$B$8-'Black-Scholes'!$B$10-'Black-Scholes'!$B$9^2/2)*'Black-Scholes'!$B$7+'Black-Scholes'!$B$9*SQRT('Black-Scholes'!$B$7)*B694)</f>
        <v>111.746379391597</v>
      </c>
      <c r="D694" s="18" t="n">
        <f aca="false">'Black-Scholes'!$B$5*EXP(('Black-Scholes'!$B$8-'Black-Scholes'!$B$10-'Black-Scholes'!$B$9^2/2)*'Black-Scholes'!$B$7-'Black-Scholes'!$B$9*SQRT('Black-Scholes'!$B$7)*B694)</f>
        <v>95.0220089748349</v>
      </c>
      <c r="E694" s="18" t="n">
        <f aca="false">EXP(-'Black-Scholes'!$B$8*'Black-Scholes'!$B$7)*IF(LOWER('Black-Scholes'!$B$11)="put",MAX('Black-Scholes'!$B$6-C694,0),MAX(C694-'Black-Scholes'!$B$6,0))</f>
        <v>11.1735017086355</v>
      </c>
      <c r="F694" s="18" t="n">
        <f aca="false">(E694+G694)/2</f>
        <v>5.58675085431773</v>
      </c>
      <c r="G694" s="18" t="n">
        <f aca="false">EXP(-'Black-Scholes'!$B$8*'Black-Scholes'!$B$7)*IF(LOWER('Black-Scholes'!$B$11)="put",MAX('Black-Scholes'!$B$6-D694,0),MAX(D694-'Black-Scholes'!$B$6,0))</f>
        <v>0</v>
      </c>
    </row>
    <row r="695" customFormat="false" ht="15" hidden="false" customHeight="false" outlineLevel="0" collapsed="false">
      <c r="A695" s="0" t="n">
        <v>684</v>
      </c>
      <c r="B695" s="15" t="n">
        <v>0.718033926426281</v>
      </c>
      <c r="C695" s="18" t="n">
        <f aca="false">'Black-Scholes'!$B$5*EXP(('Black-Scholes'!$B$8-'Black-Scholes'!$B$10-'Black-Scholes'!$B$9^2/2)*'Black-Scholes'!$B$7+'Black-Scholes'!$B$9*SQRT('Black-Scholes'!$B$7)*B695)</f>
        <v>118.958771045036</v>
      </c>
      <c r="D695" s="18" t="n">
        <f aca="false">'Black-Scholes'!$B$5*EXP(('Black-Scholes'!$B$8-'Black-Scholes'!$B$10-'Black-Scholes'!$B$9^2/2)*'Black-Scholes'!$B$7-'Black-Scholes'!$B$9*SQRT('Black-Scholes'!$B$7)*B695)</f>
        <v>89.2608873828537</v>
      </c>
      <c r="E695" s="18" t="n">
        <f aca="false">EXP(-'Black-Scholes'!$B$8*'Black-Scholes'!$B$7)*IF(LOWER('Black-Scholes'!$B$11)="put",MAX('Black-Scholes'!$B$6-C695,0),MAX(C695-'Black-Scholes'!$B$6,0))</f>
        <v>18.03414087041</v>
      </c>
      <c r="F695" s="18" t="n">
        <f aca="false">(E695+G695)/2</f>
        <v>9.01707043520498</v>
      </c>
      <c r="G695" s="18" t="n">
        <f aca="false">EXP(-'Black-Scholes'!$B$8*'Black-Scholes'!$B$7)*IF(LOWER('Black-Scholes'!$B$11)="put",MAX('Black-Scholes'!$B$6-D695,0),MAX(D695-'Black-Scholes'!$B$6,0))</f>
        <v>0</v>
      </c>
    </row>
    <row r="696" customFormat="false" ht="15" hidden="false" customHeight="false" outlineLevel="0" collapsed="false">
      <c r="A696" s="0" t="n">
        <v>685</v>
      </c>
      <c r="B696" s="15" t="n">
        <v>-1.07766989413681</v>
      </c>
      <c r="C696" s="18" t="n">
        <f aca="false">'Black-Scholes'!$B$5*EXP(('Black-Scholes'!$B$8-'Black-Scholes'!$B$10-'Black-Scholes'!$B$9^2/2)*'Black-Scholes'!$B$7+'Black-Scholes'!$B$9*SQRT('Black-Scholes'!$B$7)*B696)</f>
        <v>83.0660610227922</v>
      </c>
      <c r="D696" s="18" t="n">
        <f aca="false">'Black-Scholes'!$B$5*EXP(('Black-Scholes'!$B$8-'Black-Scholes'!$B$10-'Black-Scholes'!$B$9^2/2)*'Black-Scholes'!$B$7-'Black-Scholes'!$B$9*SQRT('Black-Scholes'!$B$7)*B696)</f>
        <v>127.83037181142</v>
      </c>
      <c r="E696" s="18" t="n">
        <f aca="false">EXP(-'Black-Scholes'!$B$8*'Black-Scholes'!$B$7)*IF(LOWER('Black-Scholes'!$B$11)="put",MAX('Black-Scholes'!$B$6-C696,0),MAX(C696-'Black-Scholes'!$B$6,0))</f>
        <v>0</v>
      </c>
      <c r="F696" s="18" t="n">
        <f aca="false">(E696+G696)/2</f>
        <v>13.2365342809088</v>
      </c>
      <c r="G696" s="18" t="n">
        <f aca="false">EXP(-'Black-Scholes'!$B$8*'Black-Scholes'!$B$7)*IF(LOWER('Black-Scholes'!$B$11)="put",MAX('Black-Scholes'!$B$6-D696,0),MAX(D696-'Black-Scholes'!$B$6,0))</f>
        <v>26.4730685618176</v>
      </c>
    </row>
    <row r="697" customFormat="false" ht="15" hidden="false" customHeight="false" outlineLevel="0" collapsed="false">
      <c r="A697" s="0" t="n">
        <v>686</v>
      </c>
      <c r="B697" s="15" t="n">
        <v>-0.755964425825598</v>
      </c>
      <c r="C697" s="18" t="n">
        <f aca="false">'Black-Scholes'!$B$5*EXP(('Black-Scholes'!$B$8-'Black-Scholes'!$B$10-'Black-Scholes'!$B$9^2/2)*'Black-Scholes'!$B$7+'Black-Scholes'!$B$9*SQRT('Black-Scholes'!$B$7)*B697)</f>
        <v>88.5863073267526</v>
      </c>
      <c r="D697" s="18" t="n">
        <f aca="false">'Black-Scholes'!$B$5*EXP(('Black-Scholes'!$B$8-'Black-Scholes'!$B$10-'Black-Scholes'!$B$9^2/2)*'Black-Scholes'!$B$7-'Black-Scholes'!$B$9*SQRT('Black-Scholes'!$B$7)*B697)</f>
        <v>119.86463580977</v>
      </c>
      <c r="E697" s="18" t="n">
        <f aca="false">EXP(-'Black-Scholes'!$B$8*'Black-Scholes'!$B$7)*IF(LOWER('Black-Scholes'!$B$11)="put",MAX('Black-Scholes'!$B$6-C697,0),MAX(C697-'Black-Scholes'!$B$6,0))</f>
        <v>0</v>
      </c>
      <c r="F697" s="18" t="n">
        <f aca="false">(E697+G697)/2</f>
        <v>9.44791304462208</v>
      </c>
      <c r="G697" s="18" t="n">
        <f aca="false">EXP(-'Black-Scholes'!$B$8*'Black-Scholes'!$B$7)*IF(LOWER('Black-Scholes'!$B$11)="put",MAX('Black-Scholes'!$B$6-D697,0),MAX(D697-'Black-Scholes'!$B$6,0))</f>
        <v>18.8958260892442</v>
      </c>
    </row>
    <row r="698" customFormat="false" ht="15" hidden="false" customHeight="false" outlineLevel="0" collapsed="false">
      <c r="A698" s="0" t="n">
        <v>687</v>
      </c>
      <c r="B698" s="15" t="n">
        <v>0.0261296679822444</v>
      </c>
      <c r="C698" s="18" t="n">
        <f aca="false">'Black-Scholes'!$B$5*EXP(('Black-Scholes'!$B$8-'Black-Scholes'!$B$10-'Black-Scholes'!$B$9^2/2)*'Black-Scholes'!$B$7+'Black-Scholes'!$B$9*SQRT('Black-Scholes'!$B$7)*B698)</f>
        <v>103.585371651909</v>
      </c>
      <c r="D698" s="18" t="n">
        <f aca="false">'Black-Scholes'!$B$5*EXP(('Black-Scholes'!$B$8-'Black-Scholes'!$B$10-'Black-Scholes'!$B$9^2/2)*'Black-Scholes'!$B$7-'Black-Scholes'!$B$9*SQRT('Black-Scholes'!$B$7)*B698)</f>
        <v>102.50834935589</v>
      </c>
      <c r="E698" s="18" t="n">
        <f aca="false">EXP(-'Black-Scholes'!$B$8*'Black-Scholes'!$B$7)*IF(LOWER('Black-Scholes'!$B$11)="put",MAX('Black-Scholes'!$B$6-C698,0),MAX(C698-'Black-Scholes'!$B$6,0))</f>
        <v>3.41051101306687</v>
      </c>
      <c r="F698" s="18" t="n">
        <f aca="false">(E698+G698)/2</f>
        <v>2.89826336365829</v>
      </c>
      <c r="G698" s="18" t="n">
        <f aca="false">EXP(-'Black-Scholes'!$B$8*'Black-Scholes'!$B$7)*IF(LOWER('Black-Scholes'!$B$11)="put",MAX('Black-Scholes'!$B$6-D698,0),MAX(D698-'Black-Scholes'!$B$6,0))</f>
        <v>2.38601571424972</v>
      </c>
    </row>
    <row r="699" customFormat="false" ht="15" hidden="false" customHeight="false" outlineLevel="0" collapsed="false">
      <c r="A699" s="0" t="n">
        <v>688</v>
      </c>
      <c r="B699" s="15" t="n">
        <v>0.868416502535541</v>
      </c>
      <c r="C699" s="18" t="n">
        <f aca="false">'Black-Scholes'!$B$5*EXP(('Black-Scholes'!$B$8-'Black-Scholes'!$B$10-'Black-Scholes'!$B$9^2/2)*'Black-Scholes'!$B$7+'Black-Scholes'!$B$9*SQRT('Black-Scholes'!$B$7)*B699)</f>
        <v>122.590984694436</v>
      </c>
      <c r="D699" s="18" t="n">
        <f aca="false">'Black-Scholes'!$B$5*EXP(('Black-Scholes'!$B$8-'Black-Scholes'!$B$10-'Black-Scholes'!$B$9^2/2)*'Black-Scholes'!$B$7-'Black-Scholes'!$B$9*SQRT('Black-Scholes'!$B$7)*B699)</f>
        <v>86.6162017698152</v>
      </c>
      <c r="E699" s="18" t="n">
        <f aca="false">EXP(-'Black-Scholes'!$B$8*'Black-Scholes'!$B$7)*IF(LOWER('Black-Scholes'!$B$11)="put",MAX('Black-Scholes'!$B$6-C699,0),MAX(C699-'Black-Scholes'!$B$6,0))</f>
        <v>21.4892093697928</v>
      </c>
      <c r="F699" s="18" t="n">
        <f aca="false">(E699+G699)/2</f>
        <v>10.7446046848964</v>
      </c>
      <c r="G699" s="18" t="n">
        <f aca="false">EXP(-'Black-Scholes'!$B$8*'Black-Scholes'!$B$7)*IF(LOWER('Black-Scholes'!$B$11)="put",MAX('Black-Scholes'!$B$6-D699,0),MAX(D699-'Black-Scholes'!$B$6,0))</f>
        <v>0</v>
      </c>
    </row>
    <row r="700" customFormat="false" ht="15" hidden="false" customHeight="false" outlineLevel="0" collapsed="false">
      <c r="A700" s="0" t="n">
        <v>689</v>
      </c>
      <c r="B700" s="15" t="n">
        <v>-1.00723474751987</v>
      </c>
      <c r="C700" s="18" t="n">
        <f aca="false">'Black-Scholes'!$B$5*EXP(('Black-Scholes'!$B$8-'Black-Scholes'!$B$10-'Black-Scholes'!$B$9^2/2)*'Black-Scholes'!$B$7+'Black-Scholes'!$B$9*SQRT('Black-Scholes'!$B$7)*B700)</f>
        <v>84.2444958957523</v>
      </c>
      <c r="D700" s="18" t="n">
        <f aca="false">'Black-Scholes'!$B$5*EXP(('Black-Scholes'!$B$8-'Black-Scholes'!$B$10-'Black-Scholes'!$B$9^2/2)*'Black-Scholes'!$B$7-'Black-Scholes'!$B$9*SQRT('Black-Scholes'!$B$7)*B700)</f>
        <v>126.04224587673</v>
      </c>
      <c r="E700" s="18" t="n">
        <f aca="false">EXP(-'Black-Scholes'!$B$8*'Black-Scholes'!$B$7)*IF(LOWER('Black-Scholes'!$B$11)="put",MAX('Black-Scholes'!$B$6-C700,0),MAX(C700-'Black-Scholes'!$B$6,0))</f>
        <v>0</v>
      </c>
      <c r="F700" s="18" t="n">
        <f aca="false">(E700+G700)/2</f>
        <v>12.3860752790141</v>
      </c>
      <c r="G700" s="18" t="n">
        <f aca="false">EXP(-'Black-Scholes'!$B$8*'Black-Scholes'!$B$7)*IF(LOWER('Black-Scholes'!$B$11)="put",MAX('Black-Scholes'!$B$6-D700,0),MAX(D700-'Black-Scholes'!$B$6,0))</f>
        <v>24.7721505580282</v>
      </c>
    </row>
    <row r="701" customFormat="false" ht="15" hidden="false" customHeight="false" outlineLevel="0" collapsed="false">
      <c r="A701" s="0" t="n">
        <v>690</v>
      </c>
      <c r="B701" s="15" t="n">
        <v>-1.04873348404194</v>
      </c>
      <c r="C701" s="18" t="n">
        <f aca="false">'Black-Scholes'!$B$5*EXP(('Black-Scholes'!$B$8-'Black-Scholes'!$B$10-'Black-Scholes'!$B$9^2/2)*'Black-Scholes'!$B$7+'Black-Scholes'!$B$9*SQRT('Black-Scholes'!$B$7)*B701)</f>
        <v>83.548181482046</v>
      </c>
      <c r="D701" s="18" t="n">
        <f aca="false">'Black-Scholes'!$B$5*EXP(('Black-Scholes'!$B$8-'Black-Scholes'!$B$10-'Black-Scholes'!$B$9^2/2)*'Black-Scholes'!$B$7-'Black-Scholes'!$B$9*SQRT('Black-Scholes'!$B$7)*B701)</f>
        <v>127.092717963412</v>
      </c>
      <c r="E701" s="18" t="n">
        <f aca="false">EXP(-'Black-Scholes'!$B$8*'Black-Scholes'!$B$7)*IF(LOWER('Black-Scholes'!$B$11)="put",MAX('Black-Scholes'!$B$6-C701,0),MAX(C701-'Black-Scholes'!$B$6,0))</f>
        <v>0</v>
      </c>
      <c r="F701" s="18" t="n">
        <f aca="false">(E701+G701)/2</f>
        <v>12.8856952582481</v>
      </c>
      <c r="G701" s="18" t="n">
        <f aca="false">EXP(-'Black-Scholes'!$B$8*'Black-Scholes'!$B$7)*IF(LOWER('Black-Scholes'!$B$11)="put",MAX('Black-Scholes'!$B$6-D701,0),MAX(D701-'Black-Scholes'!$B$6,0))</f>
        <v>25.7713905164962</v>
      </c>
    </row>
    <row r="702" customFormat="false" ht="15" hidden="false" customHeight="false" outlineLevel="0" collapsed="false">
      <c r="A702" s="0" t="n">
        <v>691</v>
      </c>
      <c r="B702" s="15" t="n">
        <v>0.843602713103917</v>
      </c>
      <c r="C702" s="18" t="n">
        <f aca="false">'Black-Scholes'!$B$5*EXP(('Black-Scholes'!$B$8-'Black-Scholes'!$B$10-'Black-Scholes'!$B$9^2/2)*'Black-Scholes'!$B$7+'Black-Scholes'!$B$9*SQRT('Black-Scholes'!$B$7)*B702)</f>
        <v>121.9841024687</v>
      </c>
      <c r="D702" s="18" t="n">
        <f aca="false">'Black-Scholes'!$B$5*EXP(('Black-Scholes'!$B$8-'Black-Scholes'!$B$10-'Black-Scholes'!$B$9^2/2)*'Black-Scholes'!$B$7-'Black-Scholes'!$B$9*SQRT('Black-Scholes'!$B$7)*B702)</f>
        <v>87.0471254086421</v>
      </c>
      <c r="E702" s="18" t="n">
        <f aca="false">EXP(-'Black-Scholes'!$B$8*'Black-Scholes'!$B$7)*IF(LOWER('Black-Scholes'!$B$11)="put",MAX('Black-Scholes'!$B$6-C702,0),MAX(C702-'Black-Scholes'!$B$6,0))</f>
        <v>20.9119251394665</v>
      </c>
      <c r="F702" s="18" t="n">
        <f aca="false">(E702+G702)/2</f>
        <v>10.4559625697332</v>
      </c>
      <c r="G702" s="18" t="n">
        <f aca="false">EXP(-'Black-Scholes'!$B$8*'Black-Scholes'!$B$7)*IF(LOWER('Black-Scholes'!$B$11)="put",MAX('Black-Scholes'!$B$6-D702,0),MAX(D702-'Black-Scholes'!$B$6,0))</f>
        <v>0</v>
      </c>
    </row>
    <row r="703" customFormat="false" ht="15" hidden="false" customHeight="false" outlineLevel="0" collapsed="false">
      <c r="A703" s="0" t="n">
        <v>692</v>
      </c>
      <c r="B703" s="15" t="n">
        <v>2.15955727642164</v>
      </c>
      <c r="C703" s="18" t="n">
        <f aca="false">'Black-Scholes'!$B$5*EXP(('Black-Scholes'!$B$8-'Black-Scholes'!$B$10-'Black-Scholes'!$B$9^2/2)*'Black-Scholes'!$B$7+'Black-Scholes'!$B$9*SQRT('Black-Scholes'!$B$7)*B703)</f>
        <v>158.710476726347</v>
      </c>
      <c r="D703" s="18" t="n">
        <f aca="false">'Black-Scholes'!$B$5*EXP(('Black-Scholes'!$B$8-'Black-Scholes'!$B$10-'Black-Scholes'!$B$9^2/2)*'Black-Scholes'!$B$7-'Black-Scholes'!$B$9*SQRT('Black-Scholes'!$B$7)*B703)</f>
        <v>66.9039983022802</v>
      </c>
      <c r="E703" s="18" t="n">
        <f aca="false">EXP(-'Black-Scholes'!$B$8*'Black-Scholes'!$B$7)*IF(LOWER('Black-Scholes'!$B$11)="put",MAX('Black-Scholes'!$B$6-C703,0),MAX(C703-'Black-Scholes'!$B$6,0))</f>
        <v>55.8471329885655</v>
      </c>
      <c r="F703" s="18" t="n">
        <f aca="false">(E703+G703)/2</f>
        <v>27.9235664942828</v>
      </c>
      <c r="G703" s="18" t="n">
        <f aca="false">EXP(-'Black-Scholes'!$B$8*'Black-Scholes'!$B$7)*IF(LOWER('Black-Scholes'!$B$11)="put",MAX('Black-Scholes'!$B$6-D703,0),MAX(D703-'Black-Scholes'!$B$6,0))</f>
        <v>0</v>
      </c>
    </row>
    <row r="704" customFormat="false" ht="15" hidden="false" customHeight="false" outlineLevel="0" collapsed="false">
      <c r="A704" s="0" t="n">
        <v>693</v>
      </c>
      <c r="B704" s="15" t="n">
        <v>0.495570511080919</v>
      </c>
      <c r="C704" s="18" t="n">
        <f aca="false">'Black-Scholes'!$B$5*EXP(('Black-Scholes'!$B$8-'Black-Scholes'!$B$10-'Black-Scholes'!$B$9^2/2)*'Black-Scholes'!$B$7+'Black-Scholes'!$B$9*SQRT('Black-Scholes'!$B$7)*B704)</f>
        <v>113.781994453648</v>
      </c>
      <c r="D704" s="18" t="n">
        <f aca="false">'Black-Scholes'!$B$5*EXP(('Black-Scholes'!$B$8-'Black-Scholes'!$B$10-'Black-Scholes'!$B$9^2/2)*'Black-Scholes'!$B$7-'Black-Scholes'!$B$9*SQRT('Black-Scholes'!$B$7)*B704)</f>
        <v>93.3220191510988</v>
      </c>
      <c r="E704" s="18" t="n">
        <f aca="false">EXP(-'Black-Scholes'!$B$8*'Black-Scholes'!$B$7)*IF(LOWER('Black-Scholes'!$B$11)="put",MAX('Black-Scholes'!$B$6-C704,0),MAX(C704-'Black-Scholes'!$B$6,0))</f>
        <v>13.109838652616</v>
      </c>
      <c r="F704" s="18" t="n">
        <f aca="false">(E704+G704)/2</f>
        <v>6.55491932630801</v>
      </c>
      <c r="G704" s="18" t="n">
        <f aca="false">EXP(-'Black-Scholes'!$B$8*'Black-Scholes'!$B$7)*IF(LOWER('Black-Scholes'!$B$11)="put",MAX('Black-Scholes'!$B$6-D704,0),MAX(D704-'Black-Scholes'!$B$6,0))</f>
        <v>0</v>
      </c>
    </row>
    <row r="705" customFormat="false" ht="15" hidden="false" customHeight="false" outlineLevel="0" collapsed="false">
      <c r="A705" s="0" t="n">
        <v>694</v>
      </c>
      <c r="B705" s="15" t="n">
        <v>0.640828161092641</v>
      </c>
      <c r="C705" s="18" t="n">
        <f aca="false">'Black-Scholes'!$B$5*EXP(('Black-Scholes'!$B$8-'Black-Scholes'!$B$10-'Black-Scholes'!$B$9^2/2)*'Black-Scholes'!$B$7+'Black-Scholes'!$B$9*SQRT('Black-Scholes'!$B$7)*B705)</f>
        <v>117.136019362856</v>
      </c>
      <c r="D705" s="18" t="n">
        <f aca="false">'Black-Scholes'!$B$5*EXP(('Black-Scholes'!$B$8-'Black-Scholes'!$B$10-'Black-Scholes'!$B$9^2/2)*'Black-Scholes'!$B$7-'Black-Scholes'!$B$9*SQRT('Black-Scholes'!$B$7)*B705)</f>
        <v>90.6498745920397</v>
      </c>
      <c r="E705" s="18" t="n">
        <f aca="false">EXP(-'Black-Scholes'!$B$8*'Black-Scholes'!$B$7)*IF(LOWER('Black-Scholes'!$B$11)="put",MAX('Black-Scholes'!$B$6-C705,0),MAX(C705-'Black-Scholes'!$B$6,0))</f>
        <v>16.3002858367623</v>
      </c>
      <c r="F705" s="18" t="n">
        <f aca="false">(E705+G705)/2</f>
        <v>8.15014291838114</v>
      </c>
      <c r="G705" s="18" t="n">
        <f aca="false">EXP(-'Black-Scholes'!$B$8*'Black-Scholes'!$B$7)*IF(LOWER('Black-Scholes'!$B$11)="put",MAX('Black-Scholes'!$B$6-D705,0),MAX(D705-'Black-Scholes'!$B$6,0))</f>
        <v>0</v>
      </c>
    </row>
    <row r="706" customFormat="false" ht="15" hidden="false" customHeight="false" outlineLevel="0" collapsed="false">
      <c r="A706" s="0" t="n">
        <v>695</v>
      </c>
      <c r="B706" s="15" t="n">
        <v>-0.884321753868589</v>
      </c>
      <c r="C706" s="18" t="n">
        <f aca="false">'Black-Scholes'!$B$5*EXP(('Black-Scholes'!$B$8-'Black-Scholes'!$B$10-'Black-Scholes'!$B$9^2/2)*'Black-Scholes'!$B$7+'Black-Scholes'!$B$9*SQRT('Black-Scholes'!$B$7)*B706)</f>
        <v>86.3411090519381</v>
      </c>
      <c r="D706" s="18" t="n">
        <f aca="false">'Black-Scholes'!$B$5*EXP(('Black-Scholes'!$B$8-'Black-Scholes'!$B$10-'Black-Scholes'!$B$9^2/2)*'Black-Scholes'!$B$7-'Black-Scholes'!$B$9*SQRT('Black-Scholes'!$B$7)*B706)</f>
        <v>122.981573691232</v>
      </c>
      <c r="E706" s="18" t="n">
        <f aca="false">EXP(-'Black-Scholes'!$B$8*'Black-Scholes'!$B$7)*IF(LOWER('Black-Scholes'!$B$11)="put",MAX('Black-Scholes'!$B$6-C706,0),MAX(C706-'Black-Scholes'!$B$6,0))</f>
        <v>0</v>
      </c>
      <c r="F706" s="18" t="n">
        <f aca="false">(E706+G706)/2</f>
        <v>10.9303745582155</v>
      </c>
      <c r="G706" s="18" t="n">
        <f aca="false">EXP(-'Black-Scholes'!$B$8*'Black-Scholes'!$B$7)*IF(LOWER('Black-Scholes'!$B$11)="put",MAX('Black-Scholes'!$B$6-D706,0),MAX(D706-'Black-Scholes'!$B$6,0))</f>
        <v>21.860749116431</v>
      </c>
    </row>
    <row r="707" customFormat="false" ht="15" hidden="false" customHeight="false" outlineLevel="0" collapsed="false">
      <c r="A707" s="0" t="n">
        <v>696</v>
      </c>
      <c r="B707" s="15" t="n">
        <v>0.494175418153858</v>
      </c>
      <c r="C707" s="18" t="n">
        <f aca="false">'Black-Scholes'!$B$5*EXP(('Black-Scholes'!$B$8-'Black-Scholes'!$B$10-'Black-Scholes'!$B$9^2/2)*'Black-Scholes'!$B$7+'Black-Scholes'!$B$9*SQRT('Black-Scholes'!$B$7)*B707)</f>
        <v>113.750251591141</v>
      </c>
      <c r="D707" s="18" t="n">
        <f aca="false">'Black-Scholes'!$B$5*EXP(('Black-Scholes'!$B$8-'Black-Scholes'!$B$10-'Black-Scholes'!$B$9^2/2)*'Black-Scholes'!$B$7-'Black-Scholes'!$B$9*SQRT('Black-Scholes'!$B$7)*B707)</f>
        <v>93.3480613618316</v>
      </c>
      <c r="E707" s="18" t="n">
        <f aca="false">EXP(-'Black-Scholes'!$B$8*'Black-Scholes'!$B$7)*IF(LOWER('Black-Scholes'!$B$11)="put",MAX('Black-Scholes'!$B$6-C707,0),MAX(C707-'Black-Scholes'!$B$6,0))</f>
        <v>13.0796439077809</v>
      </c>
      <c r="F707" s="18" t="n">
        <f aca="false">(E707+G707)/2</f>
        <v>6.53982195389047</v>
      </c>
      <c r="G707" s="18" t="n">
        <f aca="false">EXP(-'Black-Scholes'!$B$8*'Black-Scholes'!$B$7)*IF(LOWER('Black-Scholes'!$B$11)="put",MAX('Black-Scholes'!$B$6-D707,0),MAX(D707-'Black-Scholes'!$B$6,0))</f>
        <v>0</v>
      </c>
    </row>
    <row r="708" customFormat="false" ht="15" hidden="false" customHeight="false" outlineLevel="0" collapsed="false">
      <c r="A708" s="0" t="n">
        <v>697</v>
      </c>
      <c r="B708" s="15" t="n">
        <v>0.171963031555144</v>
      </c>
      <c r="C708" s="18" t="n">
        <f aca="false">'Black-Scholes'!$B$5*EXP(('Black-Scholes'!$B$8-'Black-Scholes'!$B$10-'Black-Scholes'!$B$9^2/2)*'Black-Scholes'!$B$7+'Black-Scholes'!$B$9*SQRT('Black-Scholes'!$B$7)*B708)</f>
        <v>106.651103553974</v>
      </c>
      <c r="D708" s="18" t="n">
        <f aca="false">'Black-Scholes'!$B$5*EXP(('Black-Scholes'!$B$8-'Black-Scholes'!$B$10-'Black-Scholes'!$B$9^2/2)*'Black-Scholes'!$B$7-'Black-Scholes'!$B$9*SQRT('Black-Scholes'!$B$7)*B708)</f>
        <v>99.5617027073689</v>
      </c>
      <c r="E708" s="18" t="n">
        <f aca="false">EXP(-'Black-Scholes'!$B$8*'Black-Scholes'!$B$7)*IF(LOWER('Black-Scholes'!$B$11)="put",MAX('Black-Scholes'!$B$6-C708,0),MAX(C708-'Black-Scholes'!$B$6,0))</f>
        <v>6.32672540594156</v>
      </c>
      <c r="F708" s="18" t="n">
        <f aca="false">(E708+G708)/2</f>
        <v>3.16336270297078</v>
      </c>
      <c r="G708" s="18" t="n">
        <f aca="false">EXP(-'Black-Scholes'!$B$8*'Black-Scholes'!$B$7)*IF(LOWER('Black-Scholes'!$B$11)="put",MAX('Black-Scholes'!$B$6-D708,0),MAX(D708-'Black-Scholes'!$B$6,0))</f>
        <v>0</v>
      </c>
    </row>
    <row r="709" customFormat="false" ht="15" hidden="false" customHeight="false" outlineLevel="0" collapsed="false">
      <c r="A709" s="0" t="n">
        <v>698</v>
      </c>
      <c r="B709" s="15" t="n">
        <v>2.17154549094214</v>
      </c>
      <c r="C709" s="18" t="n">
        <f aca="false">'Black-Scholes'!$B$5*EXP(('Black-Scholes'!$B$8-'Black-Scholes'!$B$10-'Black-Scholes'!$B$9^2/2)*'Black-Scholes'!$B$7+'Black-Scholes'!$B$9*SQRT('Black-Scholes'!$B$7)*B709)</f>
        <v>159.091464328271</v>
      </c>
      <c r="D709" s="18" t="n">
        <f aca="false">'Black-Scholes'!$B$5*EXP(('Black-Scholes'!$B$8-'Black-Scholes'!$B$10-'Black-Scholes'!$B$9^2/2)*'Black-Scholes'!$B$7-'Black-Scholes'!$B$9*SQRT('Black-Scholes'!$B$7)*B709)</f>
        <v>66.7437785571169</v>
      </c>
      <c r="E709" s="18" t="n">
        <f aca="false">EXP(-'Black-Scholes'!$B$8*'Black-Scholes'!$B$7)*IF(LOWER('Black-Scholes'!$B$11)="put",MAX('Black-Scholes'!$B$6-C709,0),MAX(C709-'Black-Scholes'!$B$6,0))</f>
        <v>56.209539605886</v>
      </c>
      <c r="F709" s="18" t="n">
        <f aca="false">(E709+G709)/2</f>
        <v>28.104769802943</v>
      </c>
      <c r="G709" s="18" t="n">
        <f aca="false">EXP(-'Black-Scholes'!$B$8*'Black-Scholes'!$B$7)*IF(LOWER('Black-Scholes'!$B$11)="put",MAX('Black-Scholes'!$B$6-D709,0),MAX(D709-'Black-Scholes'!$B$6,0))</f>
        <v>0</v>
      </c>
    </row>
    <row r="710" customFormat="false" ht="15" hidden="false" customHeight="false" outlineLevel="0" collapsed="false">
      <c r="A710" s="0" t="n">
        <v>699</v>
      </c>
      <c r="B710" s="15" t="n">
        <v>-0.9569129226649</v>
      </c>
      <c r="C710" s="18" t="n">
        <f aca="false">'Black-Scholes'!$B$5*EXP(('Black-Scholes'!$B$8-'Black-Scholes'!$B$10-'Black-Scholes'!$B$9^2/2)*'Black-Scholes'!$B$7+'Black-Scholes'!$B$9*SQRT('Black-Scholes'!$B$7)*B710)</f>
        <v>85.0966442221956</v>
      </c>
      <c r="D710" s="18" t="n">
        <f aca="false">'Black-Scholes'!$B$5*EXP(('Black-Scholes'!$B$8-'Black-Scholes'!$B$10-'Black-Scholes'!$B$9^2/2)*'Black-Scholes'!$B$7-'Black-Scholes'!$B$9*SQRT('Black-Scholes'!$B$7)*B710)</f>
        <v>124.780072851381</v>
      </c>
      <c r="E710" s="18" t="n">
        <f aca="false">EXP(-'Black-Scholes'!$B$8*'Black-Scholes'!$B$7)*IF(LOWER('Black-Scholes'!$B$11)="put",MAX('Black-Scholes'!$B$6-C710,0),MAX(C710-'Black-Scholes'!$B$6,0))</f>
        <v>0</v>
      </c>
      <c r="F710" s="18" t="n">
        <f aca="false">(E710+G710)/2</f>
        <v>11.7857672187523</v>
      </c>
      <c r="G710" s="18" t="n">
        <f aca="false">EXP(-'Black-Scholes'!$B$8*'Black-Scholes'!$B$7)*IF(LOWER('Black-Scholes'!$B$11)="put",MAX('Black-Scholes'!$B$6-D710,0),MAX(D710-'Black-Scholes'!$B$6,0))</f>
        <v>23.5715344375046</v>
      </c>
    </row>
    <row r="711" customFormat="false" ht="15" hidden="false" customHeight="false" outlineLevel="0" collapsed="false">
      <c r="A711" s="0" t="n">
        <v>700</v>
      </c>
      <c r="B711" s="15" t="n">
        <v>-1.77934293674261</v>
      </c>
      <c r="C711" s="18" t="n">
        <f aca="false">'Black-Scholes'!$B$5*EXP(('Black-Scholes'!$B$8-'Black-Scholes'!$B$10-'Black-Scholes'!$B$9^2/2)*'Black-Scholes'!$B$7+'Black-Scholes'!$B$9*SQRT('Black-Scholes'!$B$7)*B711)</f>
        <v>72.1900047998049</v>
      </c>
      <c r="D711" s="18" t="n">
        <f aca="false">'Black-Scholes'!$B$5*EXP(('Black-Scholes'!$B$8-'Black-Scholes'!$B$10-'Black-Scholes'!$B$9^2/2)*'Black-Scholes'!$B$7-'Black-Scholes'!$B$9*SQRT('Black-Scholes'!$B$7)*B711)</f>
        <v>147.089136437934</v>
      </c>
      <c r="E711" s="18" t="n">
        <f aca="false">EXP(-'Black-Scholes'!$B$8*'Black-Scholes'!$B$7)*IF(LOWER('Black-Scholes'!$B$11)="put",MAX('Black-Scholes'!$B$6-C711,0),MAX(C711-'Black-Scholes'!$B$6,0))</f>
        <v>0</v>
      </c>
      <c r="F711" s="18" t="n">
        <f aca="false">(E711+G711)/2</f>
        <v>22.3962860770456</v>
      </c>
      <c r="G711" s="18" t="n">
        <f aca="false">EXP(-'Black-Scholes'!$B$8*'Black-Scholes'!$B$7)*IF(LOWER('Black-Scholes'!$B$11)="put",MAX('Black-Scholes'!$B$6-D711,0),MAX(D711-'Black-Scholes'!$B$6,0))</f>
        <v>44.7925721540913</v>
      </c>
    </row>
    <row r="712" customFormat="false" ht="15" hidden="false" customHeight="false" outlineLevel="0" collapsed="false">
      <c r="A712" s="0" t="n">
        <v>701</v>
      </c>
      <c r="B712" s="15" t="n">
        <v>0.175876695967153</v>
      </c>
      <c r="C712" s="18" t="n">
        <f aca="false">'Black-Scholes'!$B$5*EXP(('Black-Scholes'!$B$8-'Black-Scholes'!$B$10-'Black-Scholes'!$B$9^2/2)*'Black-Scholes'!$B$7+'Black-Scholes'!$B$9*SQRT('Black-Scholes'!$B$7)*B712)</f>
        <v>106.734615559203</v>
      </c>
      <c r="D712" s="18" t="n">
        <f aca="false">'Black-Scholes'!$B$5*EXP(('Black-Scholes'!$B$8-'Black-Scholes'!$B$10-'Black-Scholes'!$B$9^2/2)*'Black-Scholes'!$B$7-'Black-Scholes'!$B$9*SQRT('Black-Scholes'!$B$7)*B712)</f>
        <v>99.4838029801482</v>
      </c>
      <c r="E712" s="18" t="n">
        <f aca="false">EXP(-'Black-Scholes'!$B$8*'Black-Scholes'!$B$7)*IF(LOWER('Black-Scholes'!$B$11)="put",MAX('Black-Scholes'!$B$6-C712,0),MAX(C712-'Black-Scholes'!$B$6,0))</f>
        <v>6.40616448261406</v>
      </c>
      <c r="F712" s="18" t="n">
        <f aca="false">(E712+G712)/2</f>
        <v>3.20308224130703</v>
      </c>
      <c r="G712" s="18" t="n">
        <f aca="false">EXP(-'Black-Scholes'!$B$8*'Black-Scholes'!$B$7)*IF(LOWER('Black-Scholes'!$B$11)="put",MAX('Black-Scholes'!$B$6-D712,0),MAX(D712-'Black-Scholes'!$B$6,0))</f>
        <v>0</v>
      </c>
    </row>
    <row r="713" customFormat="false" ht="15" hidden="false" customHeight="false" outlineLevel="0" collapsed="false">
      <c r="A713" s="0" t="n">
        <v>702</v>
      </c>
      <c r="B713" s="15" t="n">
        <v>0.278650581792913</v>
      </c>
      <c r="C713" s="18" t="n">
        <f aca="false">'Black-Scholes'!$B$5*EXP(('Black-Scholes'!$B$8-'Black-Scholes'!$B$10-'Black-Scholes'!$B$9^2/2)*'Black-Scholes'!$B$7+'Black-Scholes'!$B$9*SQRT('Black-Scholes'!$B$7)*B713)</f>
        <v>108.951224709045</v>
      </c>
      <c r="D713" s="18" t="n">
        <f aca="false">'Black-Scholes'!$B$5*EXP(('Black-Scholes'!$B$8-'Black-Scholes'!$B$10-'Black-Scholes'!$B$9^2/2)*'Black-Scholes'!$B$7-'Black-Scholes'!$B$9*SQRT('Black-Scholes'!$B$7)*B713)</f>
        <v>97.4598082197796</v>
      </c>
      <c r="E713" s="18" t="n">
        <f aca="false">EXP(-'Black-Scholes'!$B$8*'Black-Scholes'!$B$7)*IF(LOWER('Black-Scholes'!$B$11)="put",MAX('Black-Scholes'!$B$6-C713,0),MAX(C713-'Black-Scholes'!$B$6,0))</f>
        <v>8.51466832856102</v>
      </c>
      <c r="F713" s="18" t="n">
        <f aca="false">(E713+G713)/2</f>
        <v>4.25733416428051</v>
      </c>
      <c r="G713" s="18" t="n">
        <f aca="false">EXP(-'Black-Scholes'!$B$8*'Black-Scholes'!$B$7)*IF(LOWER('Black-Scholes'!$B$11)="put",MAX('Black-Scholes'!$B$6-D713,0),MAX(D713-'Black-Scholes'!$B$6,0))</f>
        <v>0</v>
      </c>
    </row>
    <row r="714" customFormat="false" ht="15" hidden="false" customHeight="false" outlineLevel="0" collapsed="false">
      <c r="A714" s="0" t="n">
        <v>703</v>
      </c>
      <c r="B714" s="15" t="n">
        <v>-0.972456539995735</v>
      </c>
      <c r="C714" s="18" t="n">
        <f aca="false">'Black-Scholes'!$B$5*EXP(('Black-Scholes'!$B$8-'Black-Scholes'!$B$10-'Black-Scholes'!$B$9^2/2)*'Black-Scholes'!$B$7+'Black-Scholes'!$B$9*SQRT('Black-Scholes'!$B$7)*B714)</f>
        <v>84.8325130555052</v>
      </c>
      <c r="D714" s="18" t="n">
        <f aca="false">'Black-Scholes'!$B$5*EXP(('Black-Scholes'!$B$8-'Black-Scholes'!$B$10-'Black-Scholes'!$B$9^2/2)*'Black-Scholes'!$B$7-'Black-Scholes'!$B$9*SQRT('Black-Scholes'!$B$7)*B714)</f>
        <v>125.168583164642</v>
      </c>
      <c r="E714" s="18" t="n">
        <f aca="false">EXP(-'Black-Scholes'!$B$8*'Black-Scholes'!$B$7)*IF(LOWER('Black-Scholes'!$B$11)="put",MAX('Black-Scholes'!$B$6-C714,0),MAX(C714-'Black-Scholes'!$B$6,0))</f>
        <v>0</v>
      </c>
      <c r="F714" s="18" t="n">
        <f aca="false">(E714+G714)/2</f>
        <v>11.9705484396005</v>
      </c>
      <c r="G714" s="18" t="n">
        <f aca="false">EXP(-'Black-Scholes'!$B$8*'Black-Scholes'!$B$7)*IF(LOWER('Black-Scholes'!$B$11)="put",MAX('Black-Scholes'!$B$6-D714,0),MAX(D714-'Black-Scholes'!$B$6,0))</f>
        <v>23.9410968792009</v>
      </c>
    </row>
    <row r="715" customFormat="false" ht="15" hidden="false" customHeight="false" outlineLevel="0" collapsed="false">
      <c r="A715" s="0" t="n">
        <v>704</v>
      </c>
      <c r="B715" s="15" t="n">
        <v>-0.32586481057658</v>
      </c>
      <c r="C715" s="18" t="n">
        <f aca="false">'Black-Scholes'!$B$5*EXP(('Black-Scholes'!$B$8-'Black-Scholes'!$B$10-'Black-Scholes'!$B$9^2/2)*'Black-Scholes'!$B$7+'Black-Scholes'!$B$9*SQRT('Black-Scholes'!$B$7)*B715)</f>
        <v>96.5438417544851</v>
      </c>
      <c r="D715" s="18" t="n">
        <f aca="false">'Black-Scholes'!$B$5*EXP(('Black-Scholes'!$B$8-'Black-Scholes'!$B$10-'Black-Scholes'!$B$9^2/2)*'Black-Scholes'!$B$7-'Black-Scholes'!$B$9*SQRT('Black-Scholes'!$B$7)*B715)</f>
        <v>109.98490708974</v>
      </c>
      <c r="E715" s="18" t="n">
        <f aca="false">EXP(-'Black-Scholes'!$B$8*'Black-Scholes'!$B$7)*IF(LOWER('Black-Scholes'!$B$11)="put",MAX('Black-Scholes'!$B$6-C715,0),MAX(C715-'Black-Scholes'!$B$6,0))</f>
        <v>0</v>
      </c>
      <c r="F715" s="18" t="n">
        <f aca="false">(E715+G715)/2</f>
        <v>4.74896871233317</v>
      </c>
      <c r="G715" s="18" t="n">
        <f aca="false">EXP(-'Black-Scholes'!$B$8*'Black-Scholes'!$B$7)*IF(LOWER('Black-Scholes'!$B$11)="put",MAX('Black-Scholes'!$B$6-D715,0),MAX(D715-'Black-Scholes'!$B$6,0))</f>
        <v>9.49793742466634</v>
      </c>
    </row>
    <row r="716" customFormat="false" ht="15" hidden="false" customHeight="false" outlineLevel="0" collapsed="false">
      <c r="A716" s="0" t="n">
        <v>705</v>
      </c>
      <c r="B716" s="15" t="n">
        <v>0.164540277163018</v>
      </c>
      <c r="C716" s="18" t="n">
        <f aca="false">'Black-Scholes'!$B$5*EXP(('Black-Scholes'!$B$8-'Black-Scholes'!$B$10-'Black-Scholes'!$B$9^2/2)*'Black-Scholes'!$B$7+'Black-Scholes'!$B$9*SQRT('Black-Scholes'!$B$7)*B716)</f>
        <v>106.492892030093</v>
      </c>
      <c r="D716" s="18" t="n">
        <f aca="false">'Black-Scholes'!$B$5*EXP(('Black-Scholes'!$B$8-'Black-Scholes'!$B$10-'Black-Scholes'!$B$9^2/2)*'Black-Scholes'!$B$7-'Black-Scholes'!$B$9*SQRT('Black-Scholes'!$B$7)*B716)</f>
        <v>99.7096168864773</v>
      </c>
      <c r="E716" s="18" t="n">
        <f aca="false">EXP(-'Black-Scholes'!$B$8*'Black-Scholes'!$B$7)*IF(LOWER('Black-Scholes'!$B$11)="put",MAX('Black-Scholes'!$B$6-C716,0),MAX(C716-'Black-Scholes'!$B$6,0))</f>
        <v>6.1762299491309</v>
      </c>
      <c r="F716" s="18" t="n">
        <f aca="false">(E716+G716)/2</f>
        <v>3.08811497456545</v>
      </c>
      <c r="G716" s="18" t="n">
        <f aca="false">EXP(-'Black-Scholes'!$B$8*'Black-Scholes'!$B$7)*IF(LOWER('Black-Scholes'!$B$11)="put",MAX('Black-Scholes'!$B$6-D716,0),MAX(D716-'Black-Scholes'!$B$6,0))</f>
        <v>0</v>
      </c>
    </row>
    <row r="717" customFormat="false" ht="15" hidden="false" customHeight="false" outlineLevel="0" collapsed="false">
      <c r="A717" s="0" t="n">
        <v>706</v>
      </c>
      <c r="B717" s="15" t="n">
        <v>1.05433359934923</v>
      </c>
      <c r="C717" s="18" t="n">
        <f aca="false">'Black-Scholes'!$B$5*EXP(('Black-Scholes'!$B$8-'Black-Scholes'!$B$10-'Black-Scholes'!$B$9^2/2)*'Black-Scholes'!$B$7+'Black-Scholes'!$B$9*SQRT('Black-Scholes'!$B$7)*B717)</f>
        <v>127.235144484079</v>
      </c>
      <c r="D717" s="18" t="n">
        <f aca="false">'Black-Scholes'!$B$5*EXP(('Black-Scholes'!$B$8-'Black-Scholes'!$B$10-'Black-Scholes'!$B$9^2/2)*'Black-Scholes'!$B$7-'Black-Scholes'!$B$9*SQRT('Black-Scholes'!$B$7)*B717)</f>
        <v>83.4546579760616</v>
      </c>
      <c r="E717" s="18" t="n">
        <f aca="false">EXP(-'Black-Scholes'!$B$8*'Black-Scholes'!$B$7)*IF(LOWER('Black-Scholes'!$B$11)="put",MAX('Black-Scholes'!$B$6-C717,0),MAX(C717-'Black-Scholes'!$B$6,0))</f>
        <v>25.9068708137843</v>
      </c>
      <c r="F717" s="18" t="n">
        <f aca="false">(E717+G717)/2</f>
        <v>12.9534354068922</v>
      </c>
      <c r="G717" s="18" t="n">
        <f aca="false">EXP(-'Black-Scholes'!$B$8*'Black-Scholes'!$B$7)*IF(LOWER('Black-Scholes'!$B$11)="put",MAX('Black-Scholes'!$B$6-D717,0),MAX(D717-'Black-Scholes'!$B$6,0))</f>
        <v>0</v>
      </c>
    </row>
    <row r="718" customFormat="false" ht="15" hidden="false" customHeight="false" outlineLevel="0" collapsed="false">
      <c r="A718" s="0" t="n">
        <v>707</v>
      </c>
      <c r="B718" s="15" t="n">
        <v>-0.141838723340691</v>
      </c>
      <c r="C718" s="18" t="n">
        <f aca="false">'Black-Scholes'!$B$5*EXP(('Black-Scholes'!$B$8-'Black-Scholes'!$B$10-'Black-Scholes'!$B$9^2/2)*'Black-Scholes'!$B$7+'Black-Scholes'!$B$9*SQRT('Black-Scholes'!$B$7)*B718)</f>
        <v>100.163358818568</v>
      </c>
      <c r="D718" s="18" t="n">
        <f aca="false">'Black-Scholes'!$B$5*EXP(('Black-Scholes'!$B$8-'Black-Scholes'!$B$10-'Black-Scholes'!$B$9^2/2)*'Black-Scholes'!$B$7-'Black-Scholes'!$B$9*SQRT('Black-Scholes'!$B$7)*B718)</f>
        <v>106.010477191437</v>
      </c>
      <c r="E718" s="18" t="n">
        <f aca="false">EXP(-'Black-Scholes'!$B$8*'Black-Scholes'!$B$7)*IF(LOWER('Black-Scholes'!$B$11)="put",MAX('Black-Scholes'!$B$6-C718,0),MAX(C718-'Black-Scholes'!$B$6,0))</f>
        <v>0.155391714973866</v>
      </c>
      <c r="F718" s="18" t="n">
        <f aca="false">(E718+G718)/2</f>
        <v>2.93636723737976</v>
      </c>
      <c r="G718" s="18" t="n">
        <f aca="false">EXP(-'Black-Scholes'!$B$8*'Black-Scholes'!$B$7)*IF(LOWER('Black-Scholes'!$B$11)="put",MAX('Black-Scholes'!$B$6-D718,0),MAX(D718-'Black-Scholes'!$B$6,0))</f>
        <v>5.71734275978566</v>
      </c>
    </row>
    <row r="719" customFormat="false" ht="15" hidden="false" customHeight="false" outlineLevel="0" collapsed="false">
      <c r="A719" s="0" t="n">
        <v>708</v>
      </c>
      <c r="B719" s="15" t="n">
        <v>-0.0680691921153416</v>
      </c>
      <c r="C719" s="18" t="n">
        <f aca="false">'Black-Scholes'!$B$5*EXP(('Black-Scholes'!$B$8-'Black-Scholes'!$B$10-'Black-Scholes'!$B$9^2/2)*'Black-Scholes'!$B$7+'Black-Scholes'!$B$9*SQRT('Black-Scholes'!$B$7)*B719)</f>
        <v>101.652115103431</v>
      </c>
      <c r="D719" s="18" t="n">
        <f aca="false">'Black-Scholes'!$B$5*EXP(('Black-Scholes'!$B$8-'Black-Scholes'!$B$10-'Black-Scholes'!$B$9^2/2)*'Black-Scholes'!$B$7-'Black-Scholes'!$B$9*SQRT('Black-Scholes'!$B$7)*B719)</f>
        <v>104.457890075867</v>
      </c>
      <c r="E719" s="18" t="n">
        <f aca="false">EXP(-'Black-Scholes'!$B$8*'Black-Scholes'!$B$7)*IF(LOWER('Black-Scholes'!$B$11)="put",MAX('Black-Scholes'!$B$6-C719,0),MAX(C719-'Black-Scholes'!$B$6,0))</f>
        <v>1.57154049904585</v>
      </c>
      <c r="F719" s="18" t="n">
        <f aca="false">(E719+G719)/2</f>
        <v>2.9060083552001</v>
      </c>
      <c r="G719" s="18" t="n">
        <f aca="false">EXP(-'Black-Scholes'!$B$8*'Black-Scholes'!$B$7)*IF(LOWER('Black-Scholes'!$B$11)="put",MAX('Black-Scholes'!$B$6-D719,0),MAX(D719-'Black-Scholes'!$B$6,0))</f>
        <v>4.24047621135436</v>
      </c>
    </row>
    <row r="720" customFormat="false" ht="15" hidden="false" customHeight="false" outlineLevel="0" collapsed="false">
      <c r="A720" s="0" t="n">
        <v>709</v>
      </c>
      <c r="B720" s="15" t="n">
        <v>-1.25950768271858</v>
      </c>
      <c r="C720" s="18" t="n">
        <f aca="false">'Black-Scholes'!$B$5*EXP(('Black-Scholes'!$B$8-'Black-Scholes'!$B$10-'Black-Scholes'!$B$9^2/2)*'Black-Scholes'!$B$7+'Black-Scholes'!$B$9*SQRT('Black-Scholes'!$B$7)*B720)</f>
        <v>80.0994229112209</v>
      </c>
      <c r="D720" s="18" t="n">
        <f aca="false">'Black-Scholes'!$B$5*EXP(('Black-Scholes'!$B$8-'Black-Scholes'!$B$10-'Black-Scholes'!$B$9^2/2)*'Black-Scholes'!$B$7-'Black-Scholes'!$B$9*SQRT('Black-Scholes'!$B$7)*B720)</f>
        <v>132.564818565829</v>
      </c>
      <c r="E720" s="18" t="n">
        <f aca="false">EXP(-'Black-Scholes'!$B$8*'Black-Scholes'!$B$7)*IF(LOWER('Black-Scholes'!$B$11)="put",MAX('Black-Scholes'!$B$6-C720,0),MAX(C720-'Black-Scholes'!$B$6,0))</f>
        <v>0</v>
      </c>
      <c r="F720" s="18" t="n">
        <f aca="false">(E720+G720)/2</f>
        <v>15.4883068116718</v>
      </c>
      <c r="G720" s="18" t="n">
        <f aca="false">EXP(-'Black-Scholes'!$B$8*'Black-Scholes'!$B$7)*IF(LOWER('Black-Scholes'!$B$11)="put",MAX('Black-Scholes'!$B$6-D720,0),MAX(D720-'Black-Scholes'!$B$6,0))</f>
        <v>30.9766136233436</v>
      </c>
    </row>
    <row r="721" customFormat="false" ht="15" hidden="false" customHeight="false" outlineLevel="0" collapsed="false">
      <c r="A721" s="0" t="n">
        <v>710</v>
      </c>
      <c r="B721" s="15" t="n">
        <v>-0.669794460477388</v>
      </c>
      <c r="C721" s="18" t="n">
        <f aca="false">'Black-Scholes'!$B$5*EXP(('Black-Scholes'!$B$8-'Black-Scholes'!$B$10-'Black-Scholes'!$B$9^2/2)*'Black-Scholes'!$B$7+'Black-Scholes'!$B$9*SQRT('Black-Scholes'!$B$7)*B721)</f>
        <v>90.1262345666167</v>
      </c>
      <c r="D721" s="18" t="n">
        <f aca="false">'Black-Scholes'!$B$5*EXP(('Black-Scholes'!$B$8-'Black-Scholes'!$B$10-'Black-Scholes'!$B$9^2/2)*'Black-Scholes'!$B$7-'Black-Scholes'!$B$9*SQRT('Black-Scholes'!$B$7)*B721)</f>
        <v>117.816588216665</v>
      </c>
      <c r="E721" s="18" t="n">
        <f aca="false">EXP(-'Black-Scholes'!$B$8*'Black-Scholes'!$B$7)*IF(LOWER('Black-Scholes'!$B$11)="put",MAX('Black-Scholes'!$B$6-C721,0),MAX(C721-'Black-Scholes'!$B$6,0))</f>
        <v>0</v>
      </c>
      <c r="F721" s="18" t="n">
        <f aca="false">(E721+G721)/2</f>
        <v>8.47383147795201</v>
      </c>
      <c r="G721" s="18" t="n">
        <f aca="false">EXP(-'Black-Scholes'!$B$8*'Black-Scholes'!$B$7)*IF(LOWER('Black-Scholes'!$B$11)="put",MAX('Black-Scholes'!$B$6-D721,0),MAX(D721-'Black-Scholes'!$B$6,0))</f>
        <v>16.947662955904</v>
      </c>
    </row>
    <row r="722" customFormat="false" ht="15" hidden="false" customHeight="false" outlineLevel="0" collapsed="false">
      <c r="A722" s="0" t="n">
        <v>711</v>
      </c>
      <c r="B722" s="15" t="n">
        <v>-0.615637591560919</v>
      </c>
      <c r="C722" s="18" t="n">
        <f aca="false">'Black-Scholes'!$B$5*EXP(('Black-Scholes'!$B$8-'Black-Scholes'!$B$10-'Black-Scholes'!$B$9^2/2)*'Black-Scholes'!$B$7+'Black-Scholes'!$B$9*SQRT('Black-Scholes'!$B$7)*B722)</f>
        <v>91.1077313847017</v>
      </c>
      <c r="D722" s="18" t="n">
        <f aca="false">'Black-Scholes'!$B$5*EXP(('Black-Scholes'!$B$8-'Black-Scholes'!$B$10-'Black-Scholes'!$B$9^2/2)*'Black-Scholes'!$B$7-'Black-Scholes'!$B$9*SQRT('Black-Scholes'!$B$7)*B722)</f>
        <v>116.547358869223</v>
      </c>
      <c r="E722" s="18" t="n">
        <f aca="false">EXP(-'Black-Scholes'!$B$8*'Black-Scholes'!$B$7)*IF(LOWER('Black-Scholes'!$B$11)="put",MAX('Black-Scholes'!$B$6-C722,0),MAX(C722-'Black-Scholes'!$B$6,0))</f>
        <v>0</v>
      </c>
      <c r="F722" s="18" t="n">
        <f aca="false">(E722+G722)/2</f>
        <v>7.87016732708885</v>
      </c>
      <c r="G722" s="18" t="n">
        <f aca="false">EXP(-'Black-Scholes'!$B$8*'Black-Scholes'!$B$7)*IF(LOWER('Black-Scholes'!$B$11)="put",MAX('Black-Scholes'!$B$6-D722,0),MAX(D722-'Black-Scholes'!$B$6,0))</f>
        <v>15.7403346541777</v>
      </c>
    </row>
    <row r="723" customFormat="false" ht="15" hidden="false" customHeight="false" outlineLevel="0" collapsed="false">
      <c r="A723" s="0" t="n">
        <v>712</v>
      </c>
      <c r="B723" s="15" t="n">
        <v>0.327098417360281</v>
      </c>
      <c r="C723" s="18" t="n">
        <f aca="false">'Black-Scholes'!$B$5*EXP(('Black-Scholes'!$B$8-'Black-Scholes'!$B$10-'Black-Scholes'!$B$9^2/2)*'Black-Scholes'!$B$7+'Black-Scholes'!$B$9*SQRT('Black-Scholes'!$B$7)*B723)</f>
        <v>110.012046062982</v>
      </c>
      <c r="D723" s="18" t="n">
        <f aca="false">'Black-Scholes'!$B$5*EXP(('Black-Scholes'!$B$8-'Black-Scholes'!$B$10-'Black-Scholes'!$B$9^2/2)*'Black-Scholes'!$B$7-'Black-Scholes'!$B$9*SQRT('Black-Scholes'!$B$7)*B723)</f>
        <v>96.5200252650017</v>
      </c>
      <c r="E723" s="18" t="n">
        <f aca="false">EXP(-'Black-Scholes'!$B$8*'Black-Scholes'!$B$7)*IF(LOWER('Black-Scholes'!$B$11)="put",MAX('Black-Scholes'!$B$6-C723,0),MAX(C723-'Black-Scholes'!$B$6,0))</f>
        <v>9.52375281456544</v>
      </c>
      <c r="F723" s="18" t="n">
        <f aca="false">(E723+G723)/2</f>
        <v>4.76187640728272</v>
      </c>
      <c r="G723" s="18" t="n">
        <f aca="false">EXP(-'Black-Scholes'!$B$8*'Black-Scholes'!$B$7)*IF(LOWER('Black-Scholes'!$B$11)="put",MAX('Black-Scholes'!$B$6-D723,0),MAX(D723-'Black-Scholes'!$B$6,0))</f>
        <v>0</v>
      </c>
    </row>
    <row r="724" customFormat="false" ht="15" hidden="false" customHeight="false" outlineLevel="0" collapsed="false">
      <c r="A724" s="0" t="n">
        <v>713</v>
      </c>
      <c r="B724" s="15" t="n">
        <v>0.0583650143582348</v>
      </c>
      <c r="C724" s="18" t="n">
        <f aca="false">'Black-Scholes'!$B$5*EXP(('Black-Scholes'!$B$8-'Black-Scholes'!$B$10-'Black-Scholes'!$B$9^2/2)*'Black-Scholes'!$B$7+'Black-Scholes'!$B$9*SQRT('Black-Scholes'!$B$7)*B724)</f>
        <v>104.255351100181</v>
      </c>
      <c r="D724" s="18" t="n">
        <f aca="false">'Black-Scholes'!$B$5*EXP(('Black-Scholes'!$B$8-'Black-Scholes'!$B$10-'Black-Scholes'!$B$9^2/2)*'Black-Scholes'!$B$7-'Black-Scholes'!$B$9*SQRT('Black-Scholes'!$B$7)*B724)</f>
        <v>101.849596719982</v>
      </c>
      <c r="E724" s="18" t="n">
        <f aca="false">EXP(-'Black-Scholes'!$B$8*'Black-Scholes'!$B$7)*IF(LOWER('Black-Scholes'!$B$11)="put",MAX('Black-Scholes'!$B$6-C724,0),MAX(C724-'Black-Scholes'!$B$6,0))</f>
        <v>4.04781517807384</v>
      </c>
      <c r="F724" s="18" t="n">
        <f aca="false">(E724+G724)/2</f>
        <v>2.90360300079041</v>
      </c>
      <c r="G724" s="18" t="n">
        <f aca="false">EXP(-'Black-Scholes'!$B$8*'Black-Scholes'!$B$7)*IF(LOWER('Black-Scholes'!$B$11)="put",MAX('Black-Scholes'!$B$6-D724,0),MAX(D724-'Black-Scholes'!$B$6,0))</f>
        <v>1.75939082350697</v>
      </c>
    </row>
    <row r="725" customFormat="false" ht="15" hidden="false" customHeight="false" outlineLevel="0" collapsed="false">
      <c r="A725" s="0" t="n">
        <v>714</v>
      </c>
      <c r="B725" s="15" t="n">
        <v>-0.144796717447401</v>
      </c>
      <c r="C725" s="18" t="n">
        <f aca="false">'Black-Scholes'!$B$5*EXP(('Black-Scholes'!$B$8-'Black-Scholes'!$B$10-'Black-Scholes'!$B$9^2/2)*'Black-Scholes'!$B$7+'Black-Scholes'!$B$9*SQRT('Black-Scholes'!$B$7)*B725)</f>
        <v>100.104119818139</v>
      </c>
      <c r="D725" s="18" t="n">
        <f aca="false">'Black-Scholes'!$B$5*EXP(('Black-Scholes'!$B$8-'Black-Scholes'!$B$10-'Black-Scholes'!$B$9^2/2)*'Black-Scholes'!$B$7-'Black-Scholes'!$B$9*SQRT('Black-Scholes'!$B$7)*B725)</f>
        <v>106.073211419712</v>
      </c>
      <c r="E725" s="18" t="n">
        <f aca="false">EXP(-'Black-Scholes'!$B$8*'Black-Scholes'!$B$7)*IF(LOWER('Black-Scholes'!$B$11)="put",MAX('Black-Scholes'!$B$6-C725,0),MAX(C725-'Black-Scholes'!$B$6,0))</f>
        <v>0.0990418346872746</v>
      </c>
      <c r="F725" s="18" t="n">
        <f aca="false">(E725+G725)/2</f>
        <v>2.93802961916545</v>
      </c>
      <c r="G725" s="18" t="n">
        <f aca="false">EXP(-'Black-Scholes'!$B$8*'Black-Scholes'!$B$7)*IF(LOWER('Black-Scholes'!$B$11)="put",MAX('Black-Scholes'!$B$6-D725,0),MAX(D725-'Black-Scholes'!$B$6,0))</f>
        <v>5.77701740364362</v>
      </c>
    </row>
    <row r="726" customFormat="false" ht="15" hidden="false" customHeight="false" outlineLevel="0" collapsed="false">
      <c r="A726" s="0" t="n">
        <v>715</v>
      </c>
      <c r="B726" s="15" t="n">
        <v>0.242757026685703</v>
      </c>
      <c r="C726" s="18" t="n">
        <f aca="false">'Black-Scholes'!$B$5*EXP(('Black-Scholes'!$B$8-'Black-Scholes'!$B$10-'Black-Scholes'!$B$9^2/2)*'Black-Scholes'!$B$7+'Black-Scholes'!$B$9*SQRT('Black-Scholes'!$B$7)*B726)</f>
        <v>108.17189598609</v>
      </c>
      <c r="D726" s="18" t="n">
        <f aca="false">'Black-Scholes'!$B$5*EXP(('Black-Scholes'!$B$8-'Black-Scholes'!$B$10-'Black-Scholes'!$B$9^2/2)*'Black-Scholes'!$B$7-'Black-Scholes'!$B$9*SQRT('Black-Scholes'!$B$7)*B726)</f>
        <v>98.161961280766</v>
      </c>
      <c r="E726" s="18" t="n">
        <f aca="false">EXP(-'Black-Scholes'!$B$8*'Black-Scholes'!$B$7)*IF(LOWER('Black-Scholes'!$B$11)="put",MAX('Black-Scholes'!$B$6-C726,0),MAX(C726-'Black-Scholes'!$B$6,0))</f>
        <v>7.77334791592792</v>
      </c>
      <c r="F726" s="18" t="n">
        <f aca="false">(E726+G726)/2</f>
        <v>3.88667395796396</v>
      </c>
      <c r="G726" s="18" t="n">
        <f aca="false">EXP(-'Black-Scholes'!$B$8*'Black-Scholes'!$B$7)*IF(LOWER('Black-Scholes'!$B$11)="put",MAX('Black-Scholes'!$B$6-D726,0),MAX(D726-'Black-Scholes'!$B$6,0))</f>
        <v>0</v>
      </c>
    </row>
    <row r="727" customFormat="false" ht="15" hidden="false" customHeight="false" outlineLevel="0" collapsed="false">
      <c r="A727" s="0" t="n">
        <v>716</v>
      </c>
      <c r="B727" s="15" t="n">
        <v>-0.667704717620483</v>
      </c>
      <c r="C727" s="18" t="n">
        <f aca="false">'Black-Scholes'!$B$5*EXP(('Black-Scholes'!$B$8-'Black-Scholes'!$B$10-'Black-Scholes'!$B$9^2/2)*'Black-Scholes'!$B$7+'Black-Scholes'!$B$9*SQRT('Black-Scholes'!$B$7)*B727)</f>
        <v>90.1639105703653</v>
      </c>
      <c r="D727" s="18" t="n">
        <f aca="false">'Black-Scholes'!$B$5*EXP(('Black-Scholes'!$B$8-'Black-Scholes'!$B$10-'Black-Scholes'!$B$9^2/2)*'Black-Scholes'!$B$7-'Black-Scholes'!$B$9*SQRT('Black-Scholes'!$B$7)*B727)</f>
        <v>117.767357230661</v>
      </c>
      <c r="E727" s="18" t="n">
        <f aca="false">EXP(-'Black-Scholes'!$B$8*'Black-Scholes'!$B$7)*IF(LOWER('Black-Scholes'!$B$11)="put",MAX('Black-Scholes'!$B$6-C727,0),MAX(C727-'Black-Scholes'!$B$6,0))</f>
        <v>0</v>
      </c>
      <c r="F727" s="18" t="n">
        <f aca="false">(E727+G727)/2</f>
        <v>8.45041649671021</v>
      </c>
      <c r="G727" s="18" t="n">
        <f aca="false">EXP(-'Black-Scholes'!$B$8*'Black-Scholes'!$B$7)*IF(LOWER('Black-Scholes'!$B$11)="put",MAX('Black-Scholes'!$B$6-D727,0),MAX(D727-'Black-Scholes'!$B$6,0))</f>
        <v>16.9008329934204</v>
      </c>
    </row>
    <row r="728" customFormat="false" ht="15" hidden="false" customHeight="false" outlineLevel="0" collapsed="false">
      <c r="A728" s="0" t="n">
        <v>717</v>
      </c>
      <c r="B728" s="15" t="n">
        <v>-0.999396196173151</v>
      </c>
      <c r="C728" s="18" t="n">
        <f aca="false">'Black-Scholes'!$B$5*EXP(('Black-Scholes'!$B$8-'Black-Scholes'!$B$10-'Black-Scholes'!$B$9^2/2)*'Black-Scholes'!$B$7+'Black-Scholes'!$B$9*SQRT('Black-Scholes'!$B$7)*B728)</f>
        <v>84.376670435725</v>
      </c>
      <c r="D728" s="18" t="n">
        <f aca="false">'Black-Scholes'!$B$5*EXP(('Black-Scholes'!$B$8-'Black-Scholes'!$B$10-'Black-Scholes'!$B$9^2/2)*'Black-Scholes'!$B$7-'Black-Scholes'!$B$9*SQRT('Black-Scholes'!$B$7)*B728)</f>
        <v>125.84480296058</v>
      </c>
      <c r="E728" s="18" t="n">
        <f aca="false">EXP(-'Black-Scholes'!$B$8*'Black-Scholes'!$B$7)*IF(LOWER('Black-Scholes'!$B$11)="put",MAX('Black-Scholes'!$B$6-C728,0),MAX(C728-'Black-Scholes'!$B$6,0))</f>
        <v>0</v>
      </c>
      <c r="F728" s="18" t="n">
        <f aca="false">(E728+G728)/2</f>
        <v>12.2921685232634</v>
      </c>
      <c r="G728" s="18" t="n">
        <f aca="false">EXP(-'Black-Scholes'!$B$8*'Black-Scholes'!$B$7)*IF(LOWER('Black-Scholes'!$B$11)="put",MAX('Black-Scholes'!$B$6-D728,0),MAX(D728-'Black-Scholes'!$B$6,0))</f>
        <v>24.5843370465268</v>
      </c>
    </row>
    <row r="729" customFormat="false" ht="15" hidden="false" customHeight="false" outlineLevel="0" collapsed="false">
      <c r="A729" s="0" t="n">
        <v>718</v>
      </c>
      <c r="B729" s="15" t="n">
        <v>1.10414672740904</v>
      </c>
      <c r="C729" s="18" t="n">
        <f aca="false">'Black-Scholes'!$B$5*EXP(('Black-Scholes'!$B$8-'Black-Scholes'!$B$10-'Black-Scholes'!$B$9^2/2)*'Black-Scholes'!$B$7+'Black-Scholes'!$B$9*SQRT('Black-Scholes'!$B$7)*B729)</f>
        <v>128.509075907298</v>
      </c>
      <c r="D729" s="18" t="n">
        <f aca="false">'Black-Scholes'!$B$5*EXP(('Black-Scholes'!$B$8-'Black-Scholes'!$B$10-'Black-Scholes'!$B$9^2/2)*'Black-Scholes'!$B$7-'Black-Scholes'!$B$9*SQRT('Black-Scholes'!$B$7)*B729)</f>
        <v>82.6273583440387</v>
      </c>
      <c r="E729" s="18" t="n">
        <f aca="false">EXP(-'Black-Scholes'!$B$8*'Black-Scholes'!$B$7)*IF(LOWER('Black-Scholes'!$B$11)="put",MAX('Black-Scholes'!$B$6-C729,0),MAX(C729-'Black-Scholes'!$B$6,0))</f>
        <v>27.1186718683464</v>
      </c>
      <c r="F729" s="18" t="n">
        <f aca="false">(E729+G729)/2</f>
        <v>13.5593359341732</v>
      </c>
      <c r="G729" s="18" t="n">
        <f aca="false">EXP(-'Black-Scholes'!$B$8*'Black-Scholes'!$B$7)*IF(LOWER('Black-Scholes'!$B$11)="put",MAX('Black-Scholes'!$B$6-D729,0),MAX(D729-'Black-Scholes'!$B$6,0))</f>
        <v>0</v>
      </c>
    </row>
    <row r="730" customFormat="false" ht="15" hidden="false" customHeight="false" outlineLevel="0" collapsed="false">
      <c r="A730" s="0" t="n">
        <v>719</v>
      </c>
      <c r="B730" s="15" t="n">
        <v>-2.17430901861421</v>
      </c>
      <c r="C730" s="18" t="n">
        <f aca="false">'Black-Scholes'!$B$5*EXP(('Black-Scholes'!$B$8-'Black-Scholes'!$B$10-'Black-Scholes'!$B$9^2/2)*'Black-Scholes'!$B$7+'Black-Scholes'!$B$9*SQRT('Black-Scholes'!$B$7)*B730)</f>
        <v>66.7068990940012</v>
      </c>
      <c r="D730" s="18" t="n">
        <f aca="false">'Black-Scholes'!$B$5*EXP(('Black-Scholes'!$B$8-'Black-Scholes'!$B$10-'Black-Scholes'!$B$9^2/2)*'Black-Scholes'!$B$7-'Black-Scholes'!$B$9*SQRT('Black-Scholes'!$B$7)*B730)</f>
        <v>159.179419365462</v>
      </c>
      <c r="E730" s="18" t="n">
        <f aca="false">EXP(-'Black-Scholes'!$B$8*'Black-Scholes'!$B$7)*IF(LOWER('Black-Scholes'!$B$11)="put",MAX('Black-Scholes'!$B$6-C730,0),MAX(C730-'Black-Scholes'!$B$6,0))</f>
        <v>0</v>
      </c>
      <c r="F730" s="18" t="n">
        <f aca="false">(E730+G730)/2</f>
        <v>28.1466025126476</v>
      </c>
      <c r="G730" s="18" t="n">
        <f aca="false">EXP(-'Black-Scholes'!$B$8*'Black-Scholes'!$B$7)*IF(LOWER('Black-Scholes'!$B$11)="put",MAX('Black-Scholes'!$B$6-D730,0),MAX(D730-'Black-Scholes'!$B$6,0))</f>
        <v>56.2932050252952</v>
      </c>
    </row>
    <row r="731" customFormat="false" ht="15" hidden="false" customHeight="false" outlineLevel="0" collapsed="false">
      <c r="A731" s="0" t="n">
        <v>720</v>
      </c>
      <c r="B731" s="15" t="n">
        <v>-1.47743442126778</v>
      </c>
      <c r="C731" s="18" t="n">
        <f aca="false">'Black-Scholes'!$B$5*EXP(('Black-Scholes'!$B$8-'Black-Scholes'!$B$10-'Black-Scholes'!$B$9^2/2)*'Black-Scholes'!$B$7+'Black-Scholes'!$B$9*SQRT('Black-Scholes'!$B$7)*B731)</f>
        <v>76.6832500400314</v>
      </c>
      <c r="D731" s="18" t="n">
        <f aca="false">'Black-Scholes'!$B$5*EXP(('Black-Scholes'!$B$8-'Black-Scholes'!$B$10-'Black-Scholes'!$B$9^2/2)*'Black-Scholes'!$B$7-'Black-Scholes'!$B$9*SQRT('Black-Scholes'!$B$7)*B731)</f>
        <v>138.470467278192</v>
      </c>
      <c r="E731" s="18" t="n">
        <f aca="false">EXP(-'Black-Scholes'!$B$8*'Black-Scholes'!$B$7)*IF(LOWER('Black-Scholes'!$B$11)="put",MAX('Black-Scholes'!$B$6-C731,0),MAX(C731-'Black-Scholes'!$B$6,0))</f>
        <v>0</v>
      </c>
      <c r="F731" s="18" t="n">
        <f aca="false">(E731+G731)/2</f>
        <v>18.2971202246542</v>
      </c>
      <c r="G731" s="18" t="n">
        <f aca="false">EXP(-'Black-Scholes'!$B$8*'Black-Scholes'!$B$7)*IF(LOWER('Black-Scholes'!$B$11)="put",MAX('Black-Scholes'!$B$6-D731,0),MAX(D731-'Black-Scholes'!$B$6,0))</f>
        <v>36.5942404493084</v>
      </c>
    </row>
    <row r="732" customFormat="false" ht="15" hidden="false" customHeight="false" outlineLevel="0" collapsed="false">
      <c r="A732" s="0" t="n">
        <v>721</v>
      </c>
      <c r="B732" s="15" t="n">
        <v>-0.491488043192308</v>
      </c>
      <c r="C732" s="18" t="n">
        <f aca="false">'Black-Scholes'!$B$5*EXP(('Black-Scholes'!$B$8-'Black-Scholes'!$B$10-'Black-Scholes'!$B$9^2/2)*'Black-Scholes'!$B$7+'Black-Scholes'!$B$9*SQRT('Black-Scholes'!$B$7)*B732)</f>
        <v>93.3982470959746</v>
      </c>
      <c r="D732" s="18" t="n">
        <f aca="false">'Black-Scholes'!$B$5*EXP(('Black-Scholes'!$B$8-'Black-Scholes'!$B$10-'Black-Scholes'!$B$9^2/2)*'Black-Scholes'!$B$7-'Black-Scholes'!$B$9*SQRT('Black-Scholes'!$B$7)*B732)</f>
        <v>113.689130102649</v>
      </c>
      <c r="E732" s="18" t="n">
        <f aca="false">EXP(-'Black-Scholes'!$B$8*'Black-Scholes'!$B$7)*IF(LOWER('Black-Scholes'!$B$11)="put",MAX('Black-Scholes'!$B$6-C732,0),MAX(C732-'Black-Scholes'!$B$6,0))</f>
        <v>0</v>
      </c>
      <c r="F732" s="18" t="n">
        <f aca="false">(E732+G732)/2</f>
        <v>6.51075167472901</v>
      </c>
      <c r="G732" s="18" t="n">
        <f aca="false">EXP(-'Black-Scholes'!$B$8*'Black-Scholes'!$B$7)*IF(LOWER('Black-Scholes'!$B$11)="put",MAX('Black-Scholes'!$B$6-D732,0),MAX(D732-'Black-Scholes'!$B$6,0))</f>
        <v>13.021503349458</v>
      </c>
    </row>
    <row r="733" customFormat="false" ht="15" hidden="false" customHeight="false" outlineLevel="0" collapsed="false">
      <c r="A733" s="0" t="n">
        <v>722</v>
      </c>
      <c r="B733" s="15" t="n">
        <v>-0.505680716099442</v>
      </c>
      <c r="C733" s="18" t="n">
        <f aca="false">'Black-Scholes'!$B$5*EXP(('Black-Scholes'!$B$8-'Black-Scholes'!$B$10-'Black-Scholes'!$B$9^2/2)*'Black-Scholes'!$B$7+'Black-Scholes'!$B$9*SQRT('Black-Scholes'!$B$7)*B733)</f>
        <v>93.1335088538315</v>
      </c>
      <c r="D733" s="18" t="n">
        <f aca="false">'Black-Scholes'!$B$5*EXP(('Black-Scholes'!$B$8-'Black-Scholes'!$B$10-'Black-Scholes'!$B$9^2/2)*'Black-Scholes'!$B$7-'Black-Scholes'!$B$9*SQRT('Black-Scholes'!$B$7)*B733)</f>
        <v>114.012299076142</v>
      </c>
      <c r="E733" s="18" t="n">
        <f aca="false">EXP(-'Black-Scholes'!$B$8*'Black-Scholes'!$B$7)*IF(LOWER('Black-Scholes'!$B$11)="put",MAX('Black-Scholes'!$B$6-C733,0),MAX(C733-'Black-Scholes'!$B$6,0))</f>
        <v>0</v>
      </c>
      <c r="F733" s="18" t="n">
        <f aca="false">(E733+G733)/2</f>
        <v>6.66445559306544</v>
      </c>
      <c r="G733" s="18" t="n">
        <f aca="false">EXP(-'Black-Scholes'!$B$8*'Black-Scholes'!$B$7)*IF(LOWER('Black-Scholes'!$B$11)="put",MAX('Black-Scholes'!$B$6-D733,0),MAX(D733-'Black-Scholes'!$B$6,0))</f>
        <v>13.3289111861309</v>
      </c>
    </row>
    <row r="734" customFormat="false" ht="15" hidden="false" customHeight="false" outlineLevel="0" collapsed="false">
      <c r="A734" s="0" t="n">
        <v>723</v>
      </c>
      <c r="B734" s="15" t="n">
        <v>-0.389514342442253</v>
      </c>
      <c r="C734" s="18" t="n">
        <f aca="false">'Black-Scholes'!$B$5*EXP(('Black-Scholes'!$B$8-'Black-Scholes'!$B$10-'Black-Scholes'!$B$9^2/2)*'Black-Scholes'!$B$7+'Black-Scholes'!$B$9*SQRT('Black-Scholes'!$B$7)*B734)</f>
        <v>95.3226370899283</v>
      </c>
      <c r="D734" s="18" t="n">
        <f aca="false">'Black-Scholes'!$B$5*EXP(('Black-Scholes'!$B$8-'Black-Scholes'!$B$10-'Black-Scholes'!$B$9^2/2)*'Black-Scholes'!$B$7-'Black-Scholes'!$B$9*SQRT('Black-Scholes'!$B$7)*B734)</f>
        <v>111.393954150011</v>
      </c>
      <c r="E734" s="18" t="n">
        <f aca="false">EXP(-'Black-Scholes'!$B$8*'Black-Scholes'!$B$7)*IF(LOWER('Black-Scholes'!$B$11)="put",MAX('Black-Scholes'!$B$6-C734,0),MAX(C734-'Black-Scholes'!$B$6,0))</f>
        <v>0</v>
      </c>
      <c r="F734" s="18" t="n">
        <f aca="false">(E734+G734)/2</f>
        <v>5.41913222445117</v>
      </c>
      <c r="G734" s="18" t="n">
        <f aca="false">EXP(-'Black-Scholes'!$B$8*'Black-Scholes'!$B$7)*IF(LOWER('Black-Scholes'!$B$11)="put",MAX('Black-Scholes'!$B$6-D734,0),MAX(D734-'Black-Scholes'!$B$6,0))</f>
        <v>10.8382644489023</v>
      </c>
    </row>
    <row r="735" customFormat="false" ht="15" hidden="false" customHeight="false" outlineLevel="0" collapsed="false">
      <c r="A735" s="0" t="n">
        <v>724</v>
      </c>
      <c r="B735" s="15" t="n">
        <v>-0.23834332440344</v>
      </c>
      <c r="C735" s="18" t="n">
        <f aca="false">'Black-Scholes'!$B$5*EXP(('Black-Scholes'!$B$8-'Black-Scholes'!$B$10-'Black-Scholes'!$B$9^2/2)*'Black-Scholes'!$B$7+'Black-Scholes'!$B$9*SQRT('Black-Scholes'!$B$7)*B735)</f>
        <v>98.2486510719369</v>
      </c>
      <c r="D735" s="18" t="n">
        <f aca="false">'Black-Scholes'!$B$5*EXP(('Black-Scholes'!$B$8-'Black-Scholes'!$B$10-'Black-Scholes'!$B$9^2/2)*'Black-Scholes'!$B$7-'Black-Scholes'!$B$9*SQRT('Black-Scholes'!$B$7)*B735)</f>
        <v>108.076450410285</v>
      </c>
      <c r="E735" s="18" t="n">
        <f aca="false">EXP(-'Black-Scholes'!$B$8*'Black-Scholes'!$B$7)*IF(LOWER('Black-Scholes'!$B$11)="put",MAX('Black-Scholes'!$B$6-C735,0),MAX(C735-'Black-Scholes'!$B$6,0))</f>
        <v>0</v>
      </c>
      <c r="F735" s="18" t="n">
        <f aca="false">(E735+G735)/2</f>
        <v>3.84127863789205</v>
      </c>
      <c r="G735" s="18" t="n">
        <f aca="false">EXP(-'Black-Scholes'!$B$8*'Black-Scholes'!$B$7)*IF(LOWER('Black-Scholes'!$B$11)="put",MAX('Black-Scholes'!$B$6-D735,0),MAX(D735-'Black-Scholes'!$B$6,0))</f>
        <v>7.6825572757841</v>
      </c>
    </row>
    <row r="736" customFormat="false" ht="15" hidden="false" customHeight="false" outlineLevel="0" collapsed="false">
      <c r="A736" s="0" t="n">
        <v>725</v>
      </c>
      <c r="B736" s="15" t="n">
        <v>-0.830870661308427</v>
      </c>
      <c r="C736" s="18" t="n">
        <f aca="false">'Black-Scholes'!$B$5*EXP(('Black-Scholes'!$B$8-'Black-Scholes'!$B$10-'Black-Scholes'!$B$9^2/2)*'Black-Scholes'!$B$7+'Black-Scholes'!$B$9*SQRT('Black-Scholes'!$B$7)*B736)</f>
        <v>87.2690655659447</v>
      </c>
      <c r="D736" s="18" t="n">
        <f aca="false">'Black-Scholes'!$B$5*EXP(('Black-Scholes'!$B$8-'Black-Scholes'!$B$10-'Black-Scholes'!$B$9^2/2)*'Black-Scholes'!$B$7-'Black-Scholes'!$B$9*SQRT('Black-Scholes'!$B$7)*B736)</f>
        <v>121.673876036061</v>
      </c>
      <c r="E736" s="18" t="n">
        <f aca="false">EXP(-'Black-Scholes'!$B$8*'Black-Scholes'!$B$7)*IF(LOWER('Black-Scholes'!$B$11)="put",MAX('Black-Scholes'!$B$6-C736,0),MAX(C736-'Black-Scholes'!$B$6,0))</f>
        <v>0</v>
      </c>
      <c r="F736" s="18" t="n">
        <f aca="false">(E736+G736)/2</f>
        <v>10.3084143142408</v>
      </c>
      <c r="G736" s="18" t="n">
        <f aca="false">EXP(-'Black-Scholes'!$B$8*'Black-Scholes'!$B$7)*IF(LOWER('Black-Scholes'!$B$11)="put",MAX('Black-Scholes'!$B$6-D736,0),MAX(D736-'Black-Scholes'!$B$6,0))</f>
        <v>20.6168286284817</v>
      </c>
    </row>
    <row r="737" customFormat="false" ht="15" hidden="false" customHeight="false" outlineLevel="0" collapsed="false">
      <c r="A737" s="0" t="n">
        <v>726</v>
      </c>
      <c r="B737" s="15" t="n">
        <v>-0.0707832887280092</v>
      </c>
      <c r="C737" s="18" t="n">
        <f aca="false">'Black-Scholes'!$B$5*EXP(('Black-Scholes'!$B$8-'Black-Scholes'!$B$10-'Black-Scholes'!$B$9^2/2)*'Black-Scholes'!$B$7+'Black-Scholes'!$B$9*SQRT('Black-Scholes'!$B$7)*B737)</f>
        <v>101.596951344508</v>
      </c>
      <c r="D737" s="18" t="n">
        <f aca="false">'Black-Scholes'!$B$5*EXP(('Black-Scholes'!$B$8-'Black-Scholes'!$B$10-'Black-Scholes'!$B$9^2/2)*'Black-Scholes'!$B$7-'Black-Scholes'!$B$9*SQRT('Black-Scholes'!$B$7)*B737)</f>
        <v>104.514607229182</v>
      </c>
      <c r="E737" s="18" t="n">
        <f aca="false">EXP(-'Black-Scholes'!$B$8*'Black-Scholes'!$B$7)*IF(LOWER('Black-Scholes'!$B$11)="put",MAX('Black-Scholes'!$B$6-C737,0),MAX(C737-'Black-Scholes'!$B$6,0))</f>
        <v>1.51906710839231</v>
      </c>
      <c r="F737" s="18" t="n">
        <f aca="false">(E737+G737)/2</f>
        <v>2.90674717242689</v>
      </c>
      <c r="G737" s="18" t="n">
        <f aca="false">EXP(-'Black-Scholes'!$B$8*'Black-Scholes'!$B$7)*IF(LOWER('Black-Scholes'!$B$11)="put",MAX('Black-Scholes'!$B$6-D737,0),MAX(D737-'Black-Scholes'!$B$6,0))</f>
        <v>4.29442723646147</v>
      </c>
    </row>
    <row r="738" customFormat="false" ht="15" hidden="false" customHeight="false" outlineLevel="0" collapsed="false">
      <c r="A738" s="0" t="n">
        <v>727</v>
      </c>
      <c r="B738" s="15" t="n">
        <v>-0.66152192186579</v>
      </c>
      <c r="C738" s="18" t="n">
        <f aca="false">'Black-Scholes'!$B$5*EXP(('Black-Scholes'!$B$8-'Black-Scholes'!$B$10-'Black-Scholes'!$B$9^2/2)*'Black-Scholes'!$B$7+'Black-Scholes'!$B$9*SQRT('Black-Scholes'!$B$7)*B738)</f>
        <v>90.275472541338</v>
      </c>
      <c r="D738" s="18" t="n">
        <f aca="false">'Black-Scholes'!$B$5*EXP(('Black-Scholes'!$B$8-'Black-Scholes'!$B$10-'Black-Scholes'!$B$9^2/2)*'Black-Scholes'!$B$7-'Black-Scholes'!$B$9*SQRT('Black-Scholes'!$B$7)*B738)</f>
        <v>117.621820928064</v>
      </c>
      <c r="E738" s="18" t="n">
        <f aca="false">EXP(-'Black-Scholes'!$B$8*'Black-Scholes'!$B$7)*IF(LOWER('Black-Scholes'!$B$11)="put",MAX('Black-Scholes'!$B$6-C738,0),MAX(C738-'Black-Scholes'!$B$6,0))</f>
        <v>0</v>
      </c>
      <c r="F738" s="18" t="n">
        <f aca="false">(E738+G738)/2</f>
        <v>8.38119729002839</v>
      </c>
      <c r="G738" s="18" t="n">
        <f aca="false">EXP(-'Black-Scholes'!$B$8*'Black-Scholes'!$B$7)*IF(LOWER('Black-Scholes'!$B$11)="put",MAX('Black-Scholes'!$B$6-D738,0),MAX(D738-'Black-Scholes'!$B$6,0))</f>
        <v>16.7623945800568</v>
      </c>
    </row>
    <row r="739" customFormat="false" ht="15" hidden="false" customHeight="false" outlineLevel="0" collapsed="false">
      <c r="A739" s="0" t="n">
        <v>728</v>
      </c>
      <c r="B739" s="15" t="n">
        <v>-0.29215282934803</v>
      </c>
      <c r="C739" s="18" t="n">
        <f aca="false">'Black-Scholes'!$B$5*EXP(('Black-Scholes'!$B$8-'Black-Scholes'!$B$10-'Black-Scholes'!$B$9^2/2)*'Black-Scholes'!$B$7+'Black-Scholes'!$B$9*SQRT('Black-Scholes'!$B$7)*B739)</f>
        <v>97.1969779679631</v>
      </c>
      <c r="D739" s="18" t="n">
        <f aca="false">'Black-Scholes'!$B$5*EXP(('Black-Scholes'!$B$8-'Black-Scholes'!$B$10-'Black-Scholes'!$B$9^2/2)*'Black-Scholes'!$B$7-'Black-Scholes'!$B$9*SQRT('Black-Scholes'!$B$7)*B739)</f>
        <v>109.245839607827</v>
      </c>
      <c r="E739" s="18" t="n">
        <f aca="false">EXP(-'Black-Scholes'!$B$8*'Black-Scholes'!$B$7)*IF(LOWER('Black-Scholes'!$B$11)="put",MAX('Black-Scholes'!$B$6-C739,0),MAX(C739-'Black-Scholes'!$B$6,0))</f>
        <v>0</v>
      </c>
      <c r="F739" s="18" t="n">
        <f aca="false">(E739+G739)/2</f>
        <v>4.39745734458962</v>
      </c>
      <c r="G739" s="18" t="n">
        <f aca="false">EXP(-'Black-Scholes'!$B$8*'Black-Scholes'!$B$7)*IF(LOWER('Black-Scholes'!$B$11)="put",MAX('Black-Scholes'!$B$6-D739,0),MAX(D739-'Black-Scholes'!$B$6,0))</f>
        <v>8.79491468917923</v>
      </c>
    </row>
    <row r="740" customFormat="false" ht="15" hidden="false" customHeight="false" outlineLevel="0" collapsed="false">
      <c r="A740" s="0" t="n">
        <v>729</v>
      </c>
      <c r="B740" s="15" t="n">
        <v>-0.148467722825139</v>
      </c>
      <c r="C740" s="18" t="n">
        <f aca="false">'Black-Scholes'!$B$5*EXP(('Black-Scholes'!$B$8-'Black-Scholes'!$B$10-'Black-Scholes'!$B$9^2/2)*'Black-Scholes'!$B$7+'Black-Scholes'!$B$9*SQRT('Black-Scholes'!$B$7)*B740)</f>
        <v>100.030650239724</v>
      </c>
      <c r="D740" s="18" t="n">
        <f aca="false">'Black-Scholes'!$B$5*EXP(('Black-Scholes'!$B$8-'Black-Scholes'!$B$10-'Black-Scholes'!$B$9^2/2)*'Black-Scholes'!$B$7-'Black-Scholes'!$B$9*SQRT('Black-Scholes'!$B$7)*B740)</f>
        <v>106.151119082068</v>
      </c>
      <c r="E740" s="18" t="n">
        <f aca="false">EXP(-'Black-Scholes'!$B$8*'Black-Scholes'!$B$7)*IF(LOWER('Black-Scholes'!$B$11)="put",MAX('Black-Scholes'!$B$6-C740,0),MAX(C740-'Black-Scholes'!$B$6,0))</f>
        <v>0.0291554098931013</v>
      </c>
      <c r="F740" s="18" t="n">
        <f aca="false">(E740+G740)/2</f>
        <v>2.94014043718201</v>
      </c>
      <c r="G740" s="18" t="n">
        <f aca="false">EXP(-'Black-Scholes'!$B$8*'Black-Scholes'!$B$7)*IF(LOWER('Black-Scholes'!$B$11)="put",MAX('Black-Scholes'!$B$6-D740,0),MAX(D740-'Black-Scholes'!$B$6,0))</f>
        <v>5.85112546447091</v>
      </c>
    </row>
    <row r="741" customFormat="false" ht="15" hidden="false" customHeight="false" outlineLevel="0" collapsed="false">
      <c r="A741" s="0" t="n">
        <v>730</v>
      </c>
      <c r="B741" s="15" t="n">
        <v>1.19470226939704</v>
      </c>
      <c r="C741" s="18" t="n">
        <f aca="false">'Black-Scholes'!$B$5*EXP(('Black-Scholes'!$B$8-'Black-Scholes'!$B$10-'Black-Scholes'!$B$9^2/2)*'Black-Scholes'!$B$7+'Black-Scholes'!$B$9*SQRT('Black-Scholes'!$B$7)*B741)</f>
        <v>130.857721802965</v>
      </c>
      <c r="D741" s="18" t="n">
        <f aca="false">'Black-Scholes'!$B$5*EXP(('Black-Scholes'!$B$8-'Black-Scholes'!$B$10-'Black-Scholes'!$B$9^2/2)*'Black-Scholes'!$B$7-'Black-Scholes'!$B$9*SQRT('Black-Scholes'!$B$7)*B741)</f>
        <v>81.1443552520488</v>
      </c>
      <c r="E741" s="18" t="n">
        <f aca="false">EXP(-'Black-Scholes'!$B$8*'Black-Scholes'!$B$7)*IF(LOWER('Black-Scholes'!$B$11)="put",MAX('Black-Scholes'!$B$6-C741,0),MAX(C741-'Black-Scholes'!$B$6,0))</f>
        <v>29.3527729520379</v>
      </c>
      <c r="F741" s="18" t="n">
        <f aca="false">(E741+G741)/2</f>
        <v>14.676386476019</v>
      </c>
      <c r="G741" s="18" t="n">
        <f aca="false">EXP(-'Black-Scholes'!$B$8*'Black-Scholes'!$B$7)*IF(LOWER('Black-Scholes'!$B$11)="put",MAX('Black-Scholes'!$B$6-D741,0),MAX(D741-'Black-Scholes'!$B$6,0))</f>
        <v>0</v>
      </c>
    </row>
    <row r="742" customFormat="false" ht="15" hidden="false" customHeight="false" outlineLevel="0" collapsed="false">
      <c r="A742" s="0" t="n">
        <v>731</v>
      </c>
      <c r="B742" s="15" t="n">
        <v>-0.442022877260283</v>
      </c>
      <c r="C742" s="18" t="n">
        <f aca="false">'Black-Scholes'!$B$5*EXP(('Black-Scholes'!$B$8-'Black-Scholes'!$B$10-'Black-Scholes'!$B$9^2/2)*'Black-Scholes'!$B$7+'Black-Scholes'!$B$9*SQRT('Black-Scholes'!$B$7)*B742)</f>
        <v>94.3268247051241</v>
      </c>
      <c r="D742" s="18" t="n">
        <f aca="false">'Black-Scholes'!$B$5*EXP(('Black-Scholes'!$B$8-'Black-Scholes'!$B$10-'Black-Scholes'!$B$9^2/2)*'Black-Scholes'!$B$7-'Black-Scholes'!$B$9*SQRT('Black-Scholes'!$B$7)*B742)</f>
        <v>112.56994496155</v>
      </c>
      <c r="E742" s="18" t="n">
        <f aca="false">EXP(-'Black-Scholes'!$B$8*'Black-Scholes'!$B$7)*IF(LOWER('Black-Scholes'!$B$11)="put",MAX('Black-Scholes'!$B$6-C742,0),MAX(C742-'Black-Scholes'!$B$6,0))</f>
        <v>0</v>
      </c>
      <c r="F742" s="18" t="n">
        <f aca="false">(E742+G742)/2</f>
        <v>5.97845075589046</v>
      </c>
      <c r="G742" s="18" t="n">
        <f aca="false">EXP(-'Black-Scholes'!$B$8*'Black-Scholes'!$B$7)*IF(LOWER('Black-Scholes'!$B$11)="put",MAX('Black-Scholes'!$B$6-D742,0),MAX(D742-'Black-Scholes'!$B$6,0))</f>
        <v>11.9569015117809</v>
      </c>
    </row>
    <row r="743" customFormat="false" ht="15" hidden="false" customHeight="false" outlineLevel="0" collapsed="false">
      <c r="A743" s="0" t="n">
        <v>732</v>
      </c>
      <c r="B743" s="15" t="n">
        <v>0.23673868306774</v>
      </c>
      <c r="C743" s="18" t="n">
        <f aca="false">'Black-Scholes'!$B$5*EXP(('Black-Scholes'!$B$8-'Black-Scholes'!$B$10-'Black-Scholes'!$B$9^2/2)*'Black-Scholes'!$B$7+'Black-Scholes'!$B$9*SQRT('Black-Scholes'!$B$7)*B743)</f>
        <v>108.041771187405</v>
      </c>
      <c r="D743" s="18" t="n">
        <f aca="false">'Black-Scholes'!$B$5*EXP(('Black-Scholes'!$B$8-'Black-Scholes'!$B$10-'Black-Scholes'!$B$9^2/2)*'Black-Scholes'!$B$7-'Black-Scholes'!$B$9*SQRT('Black-Scholes'!$B$7)*B743)</f>
        <v>98.2801869013731</v>
      </c>
      <c r="E743" s="18" t="n">
        <f aca="false">EXP(-'Black-Scholes'!$B$8*'Black-Scholes'!$B$7)*IF(LOWER('Black-Scholes'!$B$11)="put",MAX('Black-Scholes'!$B$6-C743,0),MAX(C743-'Black-Scholes'!$B$6,0))</f>
        <v>7.64956937856209</v>
      </c>
      <c r="F743" s="18" t="n">
        <f aca="false">(E743+G743)/2</f>
        <v>3.82478468928105</v>
      </c>
      <c r="G743" s="18" t="n">
        <f aca="false">EXP(-'Black-Scholes'!$B$8*'Black-Scholes'!$B$7)*IF(LOWER('Black-Scholes'!$B$11)="put",MAX('Black-Scholes'!$B$6-D743,0),MAX(D743-'Black-Scholes'!$B$6,0))</f>
        <v>0</v>
      </c>
    </row>
    <row r="744" customFormat="false" ht="15" hidden="false" customHeight="false" outlineLevel="0" collapsed="false">
      <c r="A744" s="0" t="n">
        <v>733</v>
      </c>
      <c r="B744" s="15" t="n">
        <v>-0.033470831036527</v>
      </c>
      <c r="C744" s="18" t="n">
        <f aca="false">'Black-Scholes'!$B$5*EXP(('Black-Scholes'!$B$8-'Black-Scholes'!$B$10-'Black-Scholes'!$B$9^2/2)*'Black-Scholes'!$B$7+'Black-Scholes'!$B$9*SQRT('Black-Scholes'!$B$7)*B744)</f>
        <v>102.357953689409</v>
      </c>
      <c r="D744" s="18" t="n">
        <f aca="false">'Black-Scholes'!$B$5*EXP(('Black-Scholes'!$B$8-'Black-Scholes'!$B$10-'Black-Scholes'!$B$9^2/2)*'Black-Scholes'!$B$7-'Black-Scholes'!$B$9*SQRT('Black-Scholes'!$B$7)*B744)</f>
        <v>103.737570777094</v>
      </c>
      <c r="E744" s="18" t="n">
        <f aca="false">EXP(-'Black-Scholes'!$B$8*'Black-Scholes'!$B$7)*IF(LOWER('Black-Scholes'!$B$11)="put",MAX('Black-Scholes'!$B$6-C744,0),MAX(C744-'Black-Scholes'!$B$6,0))</f>
        <v>2.24295493097566</v>
      </c>
      <c r="F744" s="18" t="n">
        <f aca="false">(E744+G744)/2</f>
        <v>2.89912111515093</v>
      </c>
      <c r="G744" s="18" t="n">
        <f aca="false">EXP(-'Black-Scholes'!$B$8*'Black-Scholes'!$B$7)*IF(LOWER('Black-Scholes'!$B$11)="put",MAX('Black-Scholes'!$B$6-D744,0),MAX(D744-'Black-Scholes'!$B$6,0))</f>
        <v>3.55528729932621</v>
      </c>
    </row>
    <row r="745" customFormat="false" ht="15" hidden="false" customHeight="false" outlineLevel="0" collapsed="false">
      <c r="A745" s="0" t="n">
        <v>734</v>
      </c>
      <c r="B745" s="15" t="n">
        <v>-0.3209288086557</v>
      </c>
      <c r="C745" s="18" t="n">
        <f aca="false">'Black-Scholes'!$B$5*EXP(('Black-Scholes'!$B$8-'Black-Scholes'!$B$10-'Black-Scholes'!$B$9^2/2)*'Black-Scholes'!$B$7+'Black-Scholes'!$B$9*SQRT('Black-Scholes'!$B$7)*B745)</f>
        <v>96.6391969317447</v>
      </c>
      <c r="D745" s="18" t="n">
        <f aca="false">'Black-Scholes'!$B$5*EXP(('Black-Scholes'!$B$8-'Black-Scholes'!$B$10-'Black-Scholes'!$B$9^2/2)*'Black-Scholes'!$B$7-'Black-Scholes'!$B$9*SQRT('Black-Scholes'!$B$7)*B745)</f>
        <v>109.876383523274</v>
      </c>
      <c r="E745" s="18" t="n">
        <f aca="false">EXP(-'Black-Scholes'!$B$8*'Black-Scholes'!$B$7)*IF(LOWER('Black-Scholes'!$B$11)="put",MAX('Black-Scholes'!$B$6-C745,0),MAX(C745-'Black-Scholes'!$B$6,0))</f>
        <v>0</v>
      </c>
      <c r="F745" s="18" t="n">
        <f aca="false">(E745+G745)/2</f>
        <v>4.69735330749621</v>
      </c>
      <c r="G745" s="18" t="n">
        <f aca="false">EXP(-'Black-Scholes'!$B$8*'Black-Scholes'!$B$7)*IF(LOWER('Black-Scholes'!$B$11)="put",MAX('Black-Scholes'!$B$6-D745,0),MAX(D745-'Black-Scholes'!$B$6,0))</f>
        <v>9.39470661499241</v>
      </c>
    </row>
    <row r="746" customFormat="false" ht="15" hidden="false" customHeight="false" outlineLevel="0" collapsed="false">
      <c r="A746" s="0" t="n">
        <v>735</v>
      </c>
      <c r="B746" s="15" t="n">
        <v>0.421507769483507</v>
      </c>
      <c r="C746" s="18" t="n">
        <f aca="false">'Black-Scholes'!$B$5*EXP(('Black-Scholes'!$B$8-'Black-Scholes'!$B$10-'Black-Scholes'!$B$9^2/2)*'Black-Scholes'!$B$7+'Black-Scholes'!$B$9*SQRT('Black-Scholes'!$B$7)*B746)</f>
        <v>112.109014301743</v>
      </c>
      <c r="D746" s="18" t="n">
        <f aca="false">'Black-Scholes'!$B$5*EXP(('Black-Scholes'!$B$8-'Black-Scholes'!$B$10-'Black-Scholes'!$B$9^2/2)*'Black-Scholes'!$B$7-'Black-Scholes'!$B$9*SQRT('Black-Scholes'!$B$7)*B746)</f>
        <v>94.7146447731145</v>
      </c>
      <c r="E746" s="18" t="n">
        <f aca="false">EXP(-'Black-Scholes'!$B$8*'Black-Scholes'!$B$7)*IF(LOWER('Black-Scholes'!$B$11)="put",MAX('Black-Scholes'!$B$6-C746,0),MAX(C746-'Black-Scholes'!$B$6,0))</f>
        <v>11.5184507055178</v>
      </c>
      <c r="F746" s="18" t="n">
        <f aca="false">(E746+G746)/2</f>
        <v>5.75922535275892</v>
      </c>
      <c r="G746" s="18" t="n">
        <f aca="false">EXP(-'Black-Scholes'!$B$8*'Black-Scholes'!$B$7)*IF(LOWER('Black-Scholes'!$B$11)="put",MAX('Black-Scholes'!$B$6-D746,0),MAX(D746-'Black-Scholes'!$B$6,0))</f>
        <v>0</v>
      </c>
    </row>
    <row r="747" customFormat="false" ht="15" hidden="false" customHeight="false" outlineLevel="0" collapsed="false">
      <c r="A747" s="0" t="n">
        <v>736</v>
      </c>
      <c r="B747" s="15" t="n">
        <v>0.588347503029662</v>
      </c>
      <c r="C747" s="18" t="n">
        <f aca="false">'Black-Scholes'!$B$5*EXP(('Black-Scholes'!$B$8-'Black-Scholes'!$B$10-'Black-Scholes'!$B$9^2/2)*'Black-Scholes'!$B$7+'Black-Scholes'!$B$9*SQRT('Black-Scholes'!$B$7)*B747)</f>
        <v>115.912974137305</v>
      </c>
      <c r="D747" s="18" t="n">
        <f aca="false">'Black-Scholes'!$B$5*EXP(('Black-Scholes'!$B$8-'Black-Scholes'!$B$10-'Black-Scholes'!$B$9^2/2)*'Black-Scholes'!$B$7-'Black-Scholes'!$B$9*SQRT('Black-Scholes'!$B$7)*B747)</f>
        <v>91.6063585157915</v>
      </c>
      <c r="E747" s="18" t="n">
        <f aca="false">EXP(-'Black-Scholes'!$B$8*'Black-Scholes'!$B$7)*IF(LOWER('Black-Scholes'!$B$11)="put",MAX('Black-Scholes'!$B$6-C747,0),MAX(C747-'Black-Scholes'!$B$6,0))</f>
        <v>15.136889230723</v>
      </c>
      <c r="F747" s="18" t="n">
        <f aca="false">(E747+G747)/2</f>
        <v>7.56844461536151</v>
      </c>
      <c r="G747" s="18" t="n">
        <f aca="false">EXP(-'Black-Scholes'!$B$8*'Black-Scholes'!$B$7)*IF(LOWER('Black-Scholes'!$B$11)="put",MAX('Black-Scholes'!$B$6-D747,0),MAX(D747-'Black-Scholes'!$B$6,0))</f>
        <v>0</v>
      </c>
    </row>
    <row r="748" customFormat="false" ht="15" hidden="false" customHeight="false" outlineLevel="0" collapsed="false">
      <c r="A748" s="0" t="n">
        <v>737</v>
      </c>
      <c r="B748" s="15" t="n">
        <v>-0.865981890513284</v>
      </c>
      <c r="C748" s="18" t="n">
        <f aca="false">'Black-Scholes'!$B$5*EXP(('Black-Scholes'!$B$8-'Black-Scholes'!$B$10-'Black-Scholes'!$B$9^2/2)*'Black-Scholes'!$B$7+'Black-Scholes'!$B$9*SQRT('Black-Scholes'!$B$7)*B748)</f>
        <v>86.6583874087783</v>
      </c>
      <c r="D748" s="18" t="n">
        <f aca="false">'Black-Scholes'!$B$5*EXP(('Black-Scholes'!$B$8-'Black-Scholes'!$B$10-'Black-Scholes'!$B$9^2/2)*'Black-Scholes'!$B$7-'Black-Scholes'!$B$9*SQRT('Black-Scholes'!$B$7)*B748)</f>
        <v>122.531306927804</v>
      </c>
      <c r="E748" s="18" t="n">
        <f aca="false">EXP(-'Black-Scholes'!$B$8*'Black-Scholes'!$B$7)*IF(LOWER('Black-Scholes'!$B$11)="put",MAX('Black-Scholes'!$B$6-C748,0),MAX(C748-'Black-Scholes'!$B$6,0))</f>
        <v>0</v>
      </c>
      <c r="F748" s="18" t="n">
        <f aca="false">(E748+G748)/2</f>
        <v>10.7162210610922</v>
      </c>
      <c r="G748" s="18" t="n">
        <f aca="false">EXP(-'Black-Scholes'!$B$8*'Black-Scholes'!$B$7)*IF(LOWER('Black-Scholes'!$B$11)="put",MAX('Black-Scholes'!$B$6-D748,0),MAX(D748-'Black-Scholes'!$B$6,0))</f>
        <v>21.4324421221844</v>
      </c>
    </row>
    <row r="749" customFormat="false" ht="15" hidden="false" customHeight="false" outlineLevel="0" collapsed="false">
      <c r="A749" s="0" t="n">
        <v>738</v>
      </c>
      <c r="B749" s="15" t="n">
        <v>-0.490398641153762</v>
      </c>
      <c r="C749" s="18" t="n">
        <f aca="false">'Black-Scholes'!$B$5*EXP(('Black-Scholes'!$B$8-'Black-Scholes'!$B$10-'Black-Scholes'!$B$9^2/2)*'Black-Scholes'!$B$7+'Black-Scholes'!$B$9*SQRT('Black-Scholes'!$B$7)*B749)</f>
        <v>93.418598961187</v>
      </c>
      <c r="D749" s="18" t="n">
        <f aca="false">'Black-Scholes'!$B$5*EXP(('Black-Scholes'!$B$8-'Black-Scholes'!$B$10-'Black-Scholes'!$B$9^2/2)*'Black-Scholes'!$B$7-'Black-Scholes'!$B$9*SQRT('Black-Scholes'!$B$7)*B749)</f>
        <v>113.664362166952</v>
      </c>
      <c r="E749" s="18" t="n">
        <f aca="false">EXP(-'Black-Scholes'!$B$8*'Black-Scholes'!$B$7)*IF(LOWER('Black-Scholes'!$B$11)="put",MAX('Black-Scholes'!$B$6-C749,0),MAX(C749-'Black-Scholes'!$B$6,0))</f>
        <v>0</v>
      </c>
      <c r="F749" s="18" t="n">
        <f aca="false">(E749+G749)/2</f>
        <v>6.49897168011949</v>
      </c>
      <c r="G749" s="18" t="n">
        <f aca="false">EXP(-'Black-Scholes'!$B$8*'Black-Scholes'!$B$7)*IF(LOWER('Black-Scholes'!$B$11)="put",MAX('Black-Scholes'!$B$6-D749,0),MAX(D749-'Black-Scholes'!$B$6,0))</f>
        <v>12.997943360239</v>
      </c>
    </row>
    <row r="750" customFormat="false" ht="15" hidden="false" customHeight="false" outlineLevel="0" collapsed="false">
      <c r="A750" s="0" t="n">
        <v>739</v>
      </c>
      <c r="B750" s="15" t="n">
        <v>1.51802956168824</v>
      </c>
      <c r="C750" s="18" t="n">
        <f aca="false">'Black-Scholes'!$B$5*EXP(('Black-Scholes'!$B$8-'Black-Scholes'!$B$10-'Black-Scholes'!$B$9^2/2)*'Black-Scholes'!$B$7+'Black-Scholes'!$B$9*SQRT('Black-Scholes'!$B$7)*B750)</f>
        <v>139.599289158256</v>
      </c>
      <c r="D750" s="18" t="n">
        <f aca="false">'Black-Scholes'!$B$5*EXP(('Black-Scholes'!$B$8-'Black-Scholes'!$B$10-'Black-Scholes'!$B$9^2/2)*'Black-Scholes'!$B$7-'Black-Scholes'!$B$9*SQRT('Black-Scholes'!$B$7)*B750)</f>
        <v>76.0631771800509</v>
      </c>
      <c r="E750" s="18" t="n">
        <f aca="false">EXP(-'Black-Scholes'!$B$8*'Black-Scholes'!$B$7)*IF(LOWER('Black-Scholes'!$B$11)="put",MAX('Black-Scholes'!$B$6-C750,0),MAX(C750-'Black-Scholes'!$B$6,0))</f>
        <v>37.6680090366453</v>
      </c>
      <c r="F750" s="18" t="n">
        <f aca="false">(E750+G750)/2</f>
        <v>18.8340045183227</v>
      </c>
      <c r="G750" s="18" t="n">
        <f aca="false">EXP(-'Black-Scholes'!$B$8*'Black-Scholes'!$B$7)*IF(LOWER('Black-Scholes'!$B$11)="put",MAX('Black-Scholes'!$B$6-D750,0),MAX(D750-'Black-Scholes'!$B$6,0))</f>
        <v>0</v>
      </c>
    </row>
    <row r="751" customFormat="false" ht="15" hidden="false" customHeight="false" outlineLevel="0" collapsed="false">
      <c r="A751" s="0" t="n">
        <v>740</v>
      </c>
      <c r="B751" s="15" t="n">
        <v>-0.591008117382665</v>
      </c>
      <c r="C751" s="18" t="n">
        <f aca="false">'Black-Scholes'!$B$5*EXP(('Black-Scholes'!$B$8-'Black-Scholes'!$B$10-'Black-Scholes'!$B$9^2/2)*'Black-Scholes'!$B$7+'Black-Scholes'!$B$9*SQRT('Black-Scholes'!$B$7)*B751)</f>
        <v>91.5576256444205</v>
      </c>
      <c r="D751" s="18" t="n">
        <f aca="false">'Black-Scholes'!$B$5*EXP(('Black-Scholes'!$B$8-'Black-Scholes'!$B$10-'Black-Scholes'!$B$9^2/2)*'Black-Scholes'!$B$7-'Black-Scholes'!$B$9*SQRT('Black-Scholes'!$B$7)*B751)</f>
        <v>115.974670495408</v>
      </c>
      <c r="E751" s="18" t="n">
        <f aca="false">EXP(-'Black-Scholes'!$B$8*'Black-Scholes'!$B$7)*IF(LOWER('Black-Scholes'!$B$11)="put",MAX('Black-Scholes'!$B$6-C751,0),MAX(C751-'Black-Scholes'!$B$6,0))</f>
        <v>0</v>
      </c>
      <c r="F751" s="18" t="n">
        <f aca="false">(E751+G751)/2</f>
        <v>7.59778831096784</v>
      </c>
      <c r="G751" s="18" t="n">
        <f aca="false">EXP(-'Black-Scholes'!$B$8*'Black-Scholes'!$B$7)*IF(LOWER('Black-Scholes'!$B$11)="put",MAX('Black-Scholes'!$B$6-D751,0),MAX(D751-'Black-Scholes'!$B$6,0))</f>
        <v>15.1955766219357</v>
      </c>
    </row>
    <row r="752" customFormat="false" ht="15" hidden="false" customHeight="false" outlineLevel="0" collapsed="false">
      <c r="A752" s="0" t="n">
        <v>741</v>
      </c>
      <c r="B752" s="15" t="n">
        <v>1.3744798874836</v>
      </c>
      <c r="C752" s="18" t="n">
        <f aca="false">'Black-Scholes'!$B$5*EXP(('Black-Scholes'!$B$8-'Black-Scholes'!$B$10-'Black-Scholes'!$B$9^2/2)*'Black-Scholes'!$B$7+'Black-Scholes'!$B$9*SQRT('Black-Scholes'!$B$7)*B752)</f>
        <v>135.648389081695</v>
      </c>
      <c r="D752" s="18" t="n">
        <f aca="false">'Black-Scholes'!$B$5*EXP(('Black-Scholes'!$B$8-'Black-Scholes'!$B$10-'Black-Scholes'!$B$9^2/2)*'Black-Scholes'!$B$7-'Black-Scholes'!$B$9*SQRT('Black-Scholes'!$B$7)*B752)</f>
        <v>78.278596136211</v>
      </c>
      <c r="E752" s="18" t="n">
        <f aca="false">EXP(-'Black-Scholes'!$B$8*'Black-Scholes'!$B$7)*IF(LOWER('Black-Scholes'!$B$11)="put",MAX('Black-Scholes'!$B$6-C752,0),MAX(C752-'Black-Scholes'!$B$6,0))</f>
        <v>33.909796630558</v>
      </c>
      <c r="F752" s="18" t="n">
        <f aca="false">(E752+G752)/2</f>
        <v>16.954898315279</v>
      </c>
      <c r="G752" s="18" t="n">
        <f aca="false">EXP(-'Black-Scholes'!$B$8*'Black-Scholes'!$B$7)*IF(LOWER('Black-Scholes'!$B$11)="put",MAX('Black-Scholes'!$B$6-D752,0),MAX(D752-'Black-Scholes'!$B$6,0))</f>
        <v>0</v>
      </c>
    </row>
    <row r="753" customFormat="false" ht="15" hidden="false" customHeight="false" outlineLevel="0" collapsed="false">
      <c r="A753" s="0" t="n">
        <v>742</v>
      </c>
      <c r="B753" s="15" t="n">
        <v>0.351099932922219</v>
      </c>
      <c r="C753" s="18" t="n">
        <f aca="false">'Black-Scholes'!$B$5*EXP(('Black-Scholes'!$B$8-'Black-Scholes'!$B$10-'Black-Scholes'!$B$9^2/2)*'Black-Scholes'!$B$7+'Black-Scholes'!$B$9*SQRT('Black-Scholes'!$B$7)*B753)</f>
        <v>110.541406759498</v>
      </c>
      <c r="D753" s="18" t="n">
        <f aca="false">'Black-Scholes'!$B$5*EXP(('Black-Scholes'!$B$8-'Black-Scholes'!$B$10-'Black-Scholes'!$B$9^2/2)*'Black-Scholes'!$B$7-'Black-Scholes'!$B$9*SQRT('Black-Scholes'!$B$7)*B753)</f>
        <v>96.0578101611799</v>
      </c>
      <c r="E753" s="18" t="n">
        <f aca="false">EXP(-'Black-Scholes'!$B$8*'Black-Scholes'!$B$7)*IF(LOWER('Black-Scholes'!$B$11)="put",MAX('Black-Scholes'!$B$6-C753,0),MAX(C753-'Black-Scholes'!$B$6,0))</f>
        <v>10.027296285265</v>
      </c>
      <c r="F753" s="18" t="n">
        <f aca="false">(E753+G753)/2</f>
        <v>5.01364814263248</v>
      </c>
      <c r="G753" s="18" t="n">
        <f aca="false">EXP(-'Black-Scholes'!$B$8*'Black-Scholes'!$B$7)*IF(LOWER('Black-Scholes'!$B$11)="put",MAX('Black-Scholes'!$B$6-D753,0),MAX(D753-'Black-Scholes'!$B$6,0))</f>
        <v>0</v>
      </c>
    </row>
    <row r="754" customFormat="false" ht="15" hidden="false" customHeight="false" outlineLevel="0" collapsed="false">
      <c r="A754" s="0" t="n">
        <v>743</v>
      </c>
      <c r="B754" s="15" t="n">
        <v>0.353377367541644</v>
      </c>
      <c r="C754" s="18" t="n">
        <f aca="false">'Black-Scholes'!$B$5*EXP(('Black-Scholes'!$B$8-'Black-Scholes'!$B$10-'Black-Scholes'!$B$9^2/2)*'Black-Scholes'!$B$7+'Black-Scholes'!$B$9*SQRT('Black-Scholes'!$B$7)*B754)</f>
        <v>110.591768393487</v>
      </c>
      <c r="D754" s="18" t="n">
        <f aca="false">'Black-Scholes'!$B$5*EXP(('Black-Scholes'!$B$8-'Black-Scholes'!$B$10-'Black-Scholes'!$B$9^2/2)*'Black-Scholes'!$B$7-'Black-Scholes'!$B$9*SQRT('Black-Scholes'!$B$7)*B754)</f>
        <v>96.0140670476788</v>
      </c>
      <c r="E754" s="18" t="n">
        <f aca="false">EXP(-'Black-Scholes'!$B$8*'Black-Scholes'!$B$7)*IF(LOWER('Black-Scholes'!$B$11)="put",MAX('Black-Scholes'!$B$6-C754,0),MAX(C754-'Black-Scholes'!$B$6,0))</f>
        <v>10.0752017533812</v>
      </c>
      <c r="F754" s="18" t="n">
        <f aca="false">(E754+G754)/2</f>
        <v>5.0376008766906</v>
      </c>
      <c r="G754" s="18" t="n">
        <f aca="false">EXP(-'Black-Scholes'!$B$8*'Black-Scholes'!$B$7)*IF(LOWER('Black-Scholes'!$B$11)="put",MAX('Black-Scholes'!$B$6-D754,0),MAX(D754-'Black-Scholes'!$B$6,0))</f>
        <v>0</v>
      </c>
    </row>
    <row r="755" customFormat="false" ht="15" hidden="false" customHeight="false" outlineLevel="0" collapsed="false">
      <c r="A755" s="0" t="n">
        <v>744</v>
      </c>
      <c r="B755" s="15" t="n">
        <v>0.962906644656528</v>
      </c>
      <c r="C755" s="18" t="n">
        <f aca="false">'Black-Scholes'!$B$5*EXP(('Black-Scholes'!$B$8-'Black-Scholes'!$B$10-'Black-Scholes'!$B$9^2/2)*'Black-Scholes'!$B$7+'Black-Scholes'!$B$9*SQRT('Black-Scholes'!$B$7)*B755)</f>
        <v>124.929741954311</v>
      </c>
      <c r="D755" s="18" t="n">
        <f aca="false">'Black-Scholes'!$B$5*EXP(('Black-Scholes'!$B$8-'Black-Scholes'!$B$10-'Black-Scholes'!$B$9^2/2)*'Black-Scholes'!$B$7-'Black-Scholes'!$B$9*SQRT('Black-Scholes'!$B$7)*B755)</f>
        <v>84.9946962136283</v>
      </c>
      <c r="E755" s="18" t="n">
        <f aca="false">EXP(-'Black-Scholes'!$B$8*'Black-Scholes'!$B$7)*IF(LOWER('Black-Scholes'!$B$11)="put",MAX('Black-Scholes'!$B$6-C755,0),MAX(C755-'Black-Scholes'!$B$6,0))</f>
        <v>23.7139040921502</v>
      </c>
      <c r="F755" s="18" t="n">
        <f aca="false">(E755+G755)/2</f>
        <v>11.8569520460751</v>
      </c>
      <c r="G755" s="18" t="n">
        <f aca="false">EXP(-'Black-Scholes'!$B$8*'Black-Scholes'!$B$7)*IF(LOWER('Black-Scholes'!$B$11)="put",MAX('Black-Scholes'!$B$6-D755,0),MAX(D755-'Black-Scholes'!$B$6,0))</f>
        <v>0</v>
      </c>
    </row>
    <row r="756" customFormat="false" ht="15" hidden="false" customHeight="false" outlineLevel="0" collapsed="false">
      <c r="A756" s="0" t="n">
        <v>745</v>
      </c>
      <c r="B756" s="15" t="n">
        <v>-0.421532785102981</v>
      </c>
      <c r="C756" s="18" t="n">
        <f aca="false">'Black-Scholes'!$B$5*EXP(('Black-Scholes'!$B$8-'Black-Scholes'!$B$10-'Black-Scholes'!$B$9^2/2)*'Black-Scholes'!$B$7+'Black-Scholes'!$B$9*SQRT('Black-Scholes'!$B$7)*B756)</f>
        <v>94.7141709051975</v>
      </c>
      <c r="D756" s="18" t="n">
        <f aca="false">'Black-Scholes'!$B$5*EXP(('Black-Scholes'!$B$8-'Black-Scholes'!$B$10-'Black-Scholes'!$B$9^2/2)*'Black-Scholes'!$B$7-'Black-Scholes'!$B$9*SQRT('Black-Scholes'!$B$7)*B756)</f>
        <v>112.109575198434</v>
      </c>
      <c r="E756" s="18" t="n">
        <f aca="false">EXP(-'Black-Scholes'!$B$8*'Black-Scholes'!$B$7)*IF(LOWER('Black-Scholes'!$B$11)="put",MAX('Black-Scholes'!$B$6-C756,0),MAX(C756-'Black-Scholes'!$B$6,0))</f>
        <v>0</v>
      </c>
      <c r="F756" s="18" t="n">
        <f aca="false">(E756+G756)/2</f>
        <v>5.7594921234774</v>
      </c>
      <c r="G756" s="18" t="n">
        <f aca="false">EXP(-'Black-Scholes'!$B$8*'Black-Scholes'!$B$7)*IF(LOWER('Black-Scholes'!$B$11)="put",MAX('Black-Scholes'!$B$6-D756,0),MAX(D756-'Black-Scholes'!$B$6,0))</f>
        <v>11.5189842469548</v>
      </c>
    </row>
    <row r="757" customFormat="false" ht="15" hidden="false" customHeight="false" outlineLevel="0" collapsed="false">
      <c r="A757" s="0" t="n">
        <v>746</v>
      </c>
      <c r="B757" s="15" t="n">
        <v>-0.0679462393359694</v>
      </c>
      <c r="C757" s="18" t="n">
        <f aca="false">'Black-Scholes'!$B$5*EXP(('Black-Scholes'!$B$8-'Black-Scholes'!$B$10-'Black-Scholes'!$B$9^2/2)*'Black-Scholes'!$B$7+'Black-Scholes'!$B$9*SQRT('Black-Scholes'!$B$7)*B757)</f>
        <v>101.654614816182</v>
      </c>
      <c r="D757" s="18" t="n">
        <f aca="false">'Black-Scholes'!$B$5*EXP(('Black-Scholes'!$B$8-'Black-Scholes'!$B$10-'Black-Scholes'!$B$9^2/2)*'Black-Scholes'!$B$7-'Black-Scholes'!$B$9*SQRT('Black-Scholes'!$B$7)*B757)</f>
        <v>104.455321429867</v>
      </c>
      <c r="E757" s="18" t="n">
        <f aca="false">EXP(-'Black-Scholes'!$B$8*'Black-Scholes'!$B$7)*IF(LOWER('Black-Scholes'!$B$11)="put",MAX('Black-Scholes'!$B$6-C757,0),MAX(C757-'Black-Scholes'!$B$6,0))</f>
        <v>1.57391829936716</v>
      </c>
      <c r="F757" s="18" t="n">
        <f aca="false">(E757+G757)/2</f>
        <v>2.90597556953255</v>
      </c>
      <c r="G757" s="18" t="n">
        <f aca="false">EXP(-'Black-Scholes'!$B$8*'Black-Scholes'!$B$7)*IF(LOWER('Black-Scholes'!$B$11)="put",MAX('Black-Scholes'!$B$6-D757,0),MAX(D757-'Black-Scholes'!$B$6,0))</f>
        <v>4.23803283969794</v>
      </c>
    </row>
    <row r="758" customFormat="false" ht="15" hidden="false" customHeight="false" outlineLevel="0" collapsed="false">
      <c r="A758" s="0" t="n">
        <v>747</v>
      </c>
      <c r="B758" s="15" t="n">
        <v>0.136178621859428</v>
      </c>
      <c r="C758" s="18" t="n">
        <f aca="false">'Black-Scholes'!$B$5*EXP(('Black-Scholes'!$B$8-'Black-Scholes'!$B$10-'Black-Scholes'!$B$9^2/2)*'Black-Scholes'!$B$7+'Black-Scholes'!$B$9*SQRT('Black-Scholes'!$B$7)*B758)</f>
        <v>105.890539078638</v>
      </c>
      <c r="D758" s="18" t="n">
        <f aca="false">'Black-Scholes'!$B$5*EXP(('Black-Scholes'!$B$8-'Black-Scholes'!$B$10-'Black-Scholes'!$B$9^2/2)*'Black-Scholes'!$B$7-'Black-Scholes'!$B$9*SQRT('Black-Scholes'!$B$7)*B758)</f>
        <v>100.276809976083</v>
      </c>
      <c r="E758" s="18" t="n">
        <f aca="false">EXP(-'Black-Scholes'!$B$8*'Black-Scholes'!$B$7)*IF(LOWER('Black-Scholes'!$B$11)="put",MAX('Black-Scholes'!$B$6-C758,0),MAX(C758-'Black-Scholes'!$B$6,0))</f>
        <v>5.6032540977721</v>
      </c>
      <c r="F758" s="18" t="n">
        <f aca="false">(E758+G758)/2</f>
        <v>2.93328194600875</v>
      </c>
      <c r="G758" s="18" t="n">
        <f aca="false">EXP(-'Black-Scholes'!$B$8*'Black-Scholes'!$B$7)*IF(LOWER('Black-Scholes'!$B$11)="put",MAX('Black-Scholes'!$B$6-D758,0),MAX(D758-'Black-Scholes'!$B$6,0))</f>
        <v>0.263309794245395</v>
      </c>
    </row>
    <row r="759" customFormat="false" ht="15" hidden="false" customHeight="false" outlineLevel="0" collapsed="false">
      <c r="A759" s="0" t="n">
        <v>748</v>
      </c>
      <c r="B759" s="15" t="n">
        <v>1.19429339100449</v>
      </c>
      <c r="C759" s="18" t="n">
        <f aca="false">'Black-Scholes'!$B$5*EXP(('Black-Scholes'!$B$8-'Black-Scholes'!$B$10-'Black-Scholes'!$B$9^2/2)*'Black-Scholes'!$B$7+'Black-Scholes'!$B$9*SQRT('Black-Scholes'!$B$7)*B759)</f>
        <v>130.847021261505</v>
      </c>
      <c r="D759" s="18" t="n">
        <f aca="false">'Black-Scholes'!$B$5*EXP(('Black-Scholes'!$B$8-'Black-Scholes'!$B$10-'Black-Scholes'!$B$9^2/2)*'Black-Scholes'!$B$7-'Black-Scholes'!$B$9*SQRT('Black-Scholes'!$B$7)*B759)</f>
        <v>81.150991158081</v>
      </c>
      <c r="E759" s="18" t="n">
        <f aca="false">EXP(-'Black-Scholes'!$B$8*'Black-Scholes'!$B$7)*IF(LOWER('Black-Scholes'!$B$11)="put",MAX('Black-Scholes'!$B$6-C759,0),MAX(C759-'Black-Scholes'!$B$6,0))</f>
        <v>29.3425942821423</v>
      </c>
      <c r="F759" s="18" t="n">
        <f aca="false">(E759+G759)/2</f>
        <v>14.6712971410712</v>
      </c>
      <c r="G759" s="18" t="n">
        <f aca="false">EXP(-'Black-Scholes'!$B$8*'Black-Scholes'!$B$7)*IF(LOWER('Black-Scholes'!$B$11)="put",MAX('Black-Scholes'!$B$6-D759,0),MAX(D759-'Black-Scholes'!$B$6,0))</f>
        <v>0</v>
      </c>
    </row>
    <row r="760" customFormat="false" ht="15" hidden="false" customHeight="false" outlineLevel="0" collapsed="false">
      <c r="A760" s="0" t="n">
        <v>749</v>
      </c>
      <c r="B760" s="15" t="n">
        <v>-0.675604543749016</v>
      </c>
      <c r="C760" s="18" t="n">
        <f aca="false">'Black-Scholes'!$B$5*EXP(('Black-Scholes'!$B$8-'Black-Scholes'!$B$10-'Black-Scholes'!$B$9^2/2)*'Black-Scholes'!$B$7+'Black-Scholes'!$B$9*SQRT('Black-Scholes'!$B$7)*B760)</f>
        <v>90.0215672054446</v>
      </c>
      <c r="D760" s="18" t="n">
        <f aca="false">'Black-Scholes'!$B$5*EXP(('Black-Scholes'!$B$8-'Black-Scholes'!$B$10-'Black-Scholes'!$B$9^2/2)*'Black-Scholes'!$B$7-'Black-Scholes'!$B$9*SQRT('Black-Scholes'!$B$7)*B760)</f>
        <v>117.953572627998</v>
      </c>
      <c r="E760" s="18" t="n">
        <f aca="false">EXP(-'Black-Scholes'!$B$8*'Black-Scholes'!$B$7)*IF(LOWER('Black-Scholes'!$B$11)="put",MAX('Black-Scholes'!$B$6-C760,0),MAX(C760-'Black-Scholes'!$B$6,0))</f>
        <v>0</v>
      </c>
      <c r="F760" s="18" t="n">
        <f aca="false">(E760+G760)/2</f>
        <v>8.53898327933107</v>
      </c>
      <c r="G760" s="18" t="n">
        <f aca="false">EXP(-'Black-Scholes'!$B$8*'Black-Scholes'!$B$7)*IF(LOWER('Black-Scholes'!$B$11)="put",MAX('Black-Scholes'!$B$6-D760,0),MAX(D760-'Black-Scholes'!$B$6,0))</f>
        <v>17.0779665586621</v>
      </c>
    </row>
    <row r="761" customFormat="false" ht="15" hidden="false" customHeight="false" outlineLevel="0" collapsed="false">
      <c r="A761" s="0" t="n">
        <v>750</v>
      </c>
      <c r="B761" s="15" t="n">
        <v>0.870656493398338</v>
      </c>
      <c r="C761" s="18" t="n">
        <f aca="false">'Black-Scholes'!$B$5*EXP(('Black-Scholes'!$B$8-'Black-Scholes'!$B$10-'Black-Scholes'!$B$9^2/2)*'Black-Scholes'!$B$7+'Black-Scholes'!$B$9*SQRT('Black-Scholes'!$B$7)*B761)</f>
        <v>122.645917535539</v>
      </c>
      <c r="D761" s="18" t="n">
        <f aca="false">'Black-Scholes'!$B$5*EXP(('Black-Scholes'!$B$8-'Black-Scholes'!$B$10-'Black-Scholes'!$B$9^2/2)*'Black-Scholes'!$B$7-'Black-Scholes'!$B$9*SQRT('Black-Scholes'!$B$7)*B761)</f>
        <v>86.5774065604486</v>
      </c>
      <c r="E761" s="18" t="n">
        <f aca="false">EXP(-'Black-Scholes'!$B$8*'Black-Scholes'!$B$7)*IF(LOWER('Black-Scholes'!$B$11)="put",MAX('Black-Scholes'!$B$6-C761,0),MAX(C761-'Black-Scholes'!$B$6,0))</f>
        <v>21.5414631046212</v>
      </c>
      <c r="F761" s="18" t="n">
        <f aca="false">(E761+G761)/2</f>
        <v>10.7707315523106</v>
      </c>
      <c r="G761" s="18" t="n">
        <f aca="false">EXP(-'Black-Scholes'!$B$8*'Black-Scholes'!$B$7)*IF(LOWER('Black-Scholes'!$B$11)="put",MAX('Black-Scholes'!$B$6-D761,0),MAX(D761-'Black-Scholes'!$B$6,0))</f>
        <v>0</v>
      </c>
    </row>
    <row r="762" customFormat="false" ht="15" hidden="false" customHeight="false" outlineLevel="0" collapsed="false">
      <c r="A762" s="0" t="n">
        <v>751</v>
      </c>
      <c r="B762" s="15" t="n">
        <v>-0.390019351178454</v>
      </c>
      <c r="C762" s="18" t="n">
        <f aca="false">'Black-Scholes'!$B$5*EXP(('Black-Scholes'!$B$8-'Black-Scholes'!$B$10-'Black-Scholes'!$B$9^2/2)*'Black-Scholes'!$B$7+'Black-Scholes'!$B$9*SQRT('Black-Scholes'!$B$7)*B762)</f>
        <v>95.3130098232242</v>
      </c>
      <c r="D762" s="18" t="n">
        <f aca="false">'Black-Scholes'!$B$5*EXP(('Black-Scholes'!$B$8-'Black-Scholes'!$B$10-'Black-Scholes'!$B$9^2/2)*'Black-Scholes'!$B$7-'Black-Scholes'!$B$9*SQRT('Black-Scholes'!$B$7)*B762)</f>
        <v>111.405205702216</v>
      </c>
      <c r="E762" s="18" t="n">
        <f aca="false">EXP(-'Black-Scholes'!$B$8*'Black-Scholes'!$B$7)*IF(LOWER('Black-Scholes'!$B$11)="put",MAX('Black-Scholes'!$B$6-C762,0),MAX(C762-'Black-Scholes'!$B$6,0))</f>
        <v>0</v>
      </c>
      <c r="F762" s="18" t="n">
        <f aca="false">(E762+G762)/2</f>
        <v>5.42448362821543</v>
      </c>
      <c r="G762" s="18" t="n">
        <f aca="false">EXP(-'Black-Scholes'!$B$8*'Black-Scholes'!$B$7)*IF(LOWER('Black-Scholes'!$B$11)="put",MAX('Black-Scholes'!$B$6-D762,0),MAX(D762-'Black-Scholes'!$B$6,0))</f>
        <v>10.8489672564309</v>
      </c>
    </row>
    <row r="763" customFormat="false" ht="15" hidden="false" customHeight="false" outlineLevel="0" collapsed="false">
      <c r="A763" s="0" t="n">
        <v>752</v>
      </c>
      <c r="B763" s="15" t="n">
        <v>0.637793839184101</v>
      </c>
      <c r="C763" s="18" t="n">
        <f aca="false">'Black-Scholes'!$B$5*EXP(('Black-Scholes'!$B$8-'Black-Scholes'!$B$10-'Black-Scholes'!$B$9^2/2)*'Black-Scholes'!$B$7+'Black-Scholes'!$B$9*SQRT('Black-Scholes'!$B$7)*B763)</f>
        <v>117.06495525021</v>
      </c>
      <c r="D763" s="18" t="n">
        <f aca="false">'Black-Scholes'!$B$5*EXP(('Black-Scholes'!$B$8-'Black-Scholes'!$B$10-'Black-Scholes'!$B$9^2/2)*'Black-Scholes'!$B$7-'Black-Scholes'!$B$9*SQRT('Black-Scholes'!$B$7)*B763)</f>
        <v>90.7049034679794</v>
      </c>
      <c r="E763" s="18" t="n">
        <f aca="false">EXP(-'Black-Scholes'!$B$8*'Black-Scholes'!$B$7)*IF(LOWER('Black-Scholes'!$B$11)="put",MAX('Black-Scholes'!$B$6-C763,0),MAX(C763-'Black-Scholes'!$B$6,0))</f>
        <v>16.2326875617874</v>
      </c>
      <c r="F763" s="18" t="n">
        <f aca="false">(E763+G763)/2</f>
        <v>8.11634378089369</v>
      </c>
      <c r="G763" s="18" t="n">
        <f aca="false">EXP(-'Black-Scholes'!$B$8*'Black-Scholes'!$B$7)*IF(LOWER('Black-Scholes'!$B$11)="put",MAX('Black-Scholes'!$B$6-D763,0),MAX(D763-'Black-Scholes'!$B$6,0))</f>
        <v>0</v>
      </c>
    </row>
    <row r="764" customFormat="false" ht="15" hidden="false" customHeight="false" outlineLevel="0" collapsed="false">
      <c r="A764" s="0" t="n">
        <v>753</v>
      </c>
      <c r="B764" s="15" t="n">
        <v>1.20231593216595</v>
      </c>
      <c r="C764" s="18" t="n">
        <f aca="false">'Black-Scholes'!$B$5*EXP(('Black-Scholes'!$B$8-'Black-Scholes'!$B$10-'Black-Scholes'!$B$9^2/2)*'Black-Scholes'!$B$7+'Black-Scholes'!$B$9*SQRT('Black-Scholes'!$B$7)*B764)</f>
        <v>131.057134903747</v>
      </c>
      <c r="D764" s="18" t="n">
        <f aca="false">'Black-Scholes'!$B$5*EXP(('Black-Scholes'!$B$8-'Black-Scholes'!$B$10-'Black-Scholes'!$B$9^2/2)*'Black-Scholes'!$B$7-'Black-Scholes'!$B$9*SQRT('Black-Scholes'!$B$7)*B764)</f>
        <v>81.0208881283122</v>
      </c>
      <c r="E764" s="18" t="n">
        <f aca="false">EXP(-'Black-Scholes'!$B$8*'Black-Scholes'!$B$7)*IF(LOWER('Black-Scholes'!$B$11)="put",MAX('Black-Scholes'!$B$6-C764,0),MAX(C764-'Black-Scholes'!$B$6,0))</f>
        <v>29.5424605611322</v>
      </c>
      <c r="F764" s="18" t="n">
        <f aca="false">(E764+G764)/2</f>
        <v>14.7712302805661</v>
      </c>
      <c r="G764" s="18" t="n">
        <f aca="false">EXP(-'Black-Scholes'!$B$8*'Black-Scholes'!$B$7)*IF(LOWER('Black-Scholes'!$B$11)="put",MAX('Black-Scholes'!$B$6-D764,0),MAX(D764-'Black-Scholes'!$B$6,0))</f>
        <v>0</v>
      </c>
    </row>
    <row r="765" customFormat="false" ht="15" hidden="false" customHeight="false" outlineLevel="0" collapsed="false">
      <c r="A765" s="0" t="n">
        <v>754</v>
      </c>
      <c r="B765" s="15" t="n">
        <v>-0.263207062295216</v>
      </c>
      <c r="C765" s="18" t="n">
        <f aca="false">'Black-Scholes'!$B$5*EXP(('Black-Scholes'!$B$8-'Black-Scholes'!$B$10-'Black-Scholes'!$B$9^2/2)*'Black-Scholes'!$B$7+'Black-Scholes'!$B$9*SQRT('Black-Scholes'!$B$7)*B765)</f>
        <v>97.7612980762374</v>
      </c>
      <c r="D765" s="18" t="n">
        <f aca="false">'Black-Scholes'!$B$5*EXP(('Black-Scholes'!$B$8-'Black-Scholes'!$B$10-'Black-Scholes'!$B$9^2/2)*'Black-Scholes'!$B$7-'Black-Scholes'!$B$9*SQRT('Black-Scholes'!$B$7)*B765)</f>
        <v>108.615225804112</v>
      </c>
      <c r="E765" s="18" t="n">
        <f aca="false">EXP(-'Black-Scholes'!$B$8*'Black-Scholes'!$B$7)*IF(LOWER('Black-Scholes'!$B$11)="put",MAX('Black-Scholes'!$B$6-C765,0),MAX(C765-'Black-Scholes'!$B$6,0))</f>
        <v>0</v>
      </c>
      <c r="F765" s="18" t="n">
        <f aca="false">(E765+G765)/2</f>
        <v>4.09752814179445</v>
      </c>
      <c r="G765" s="18" t="n">
        <f aca="false">EXP(-'Black-Scholes'!$B$8*'Black-Scholes'!$B$7)*IF(LOWER('Black-Scholes'!$B$11)="put",MAX('Black-Scholes'!$B$6-D765,0),MAX(D765-'Black-Scholes'!$B$6,0))</f>
        <v>8.1950562835889</v>
      </c>
    </row>
    <row r="766" customFormat="false" ht="15" hidden="false" customHeight="false" outlineLevel="0" collapsed="false">
      <c r="A766" s="0" t="n">
        <v>755</v>
      </c>
      <c r="B766" s="15" t="n">
        <v>-1.38778290701826</v>
      </c>
      <c r="C766" s="18" t="n">
        <f aca="false">'Black-Scholes'!$B$5*EXP(('Black-Scholes'!$B$8-'Black-Scholes'!$B$10-'Black-Scholes'!$B$9^2/2)*'Black-Scholes'!$B$7+'Black-Scholes'!$B$9*SQRT('Black-Scholes'!$B$7)*B766)</f>
        <v>78.0706046117276</v>
      </c>
      <c r="D766" s="18" t="n">
        <f aca="false">'Black-Scholes'!$B$5*EXP(('Black-Scholes'!$B$8-'Black-Scholes'!$B$10-'Black-Scholes'!$B$9^2/2)*'Black-Scholes'!$B$7-'Black-Scholes'!$B$9*SQRT('Black-Scholes'!$B$7)*B766)</f>
        <v>136.009776256536</v>
      </c>
      <c r="E766" s="18" t="n">
        <f aca="false">EXP(-'Black-Scholes'!$B$8*'Black-Scholes'!$B$7)*IF(LOWER('Black-Scholes'!$B$11)="put",MAX('Black-Scholes'!$B$6-C766,0),MAX(C766-'Black-Scholes'!$B$6,0))</f>
        <v>0</v>
      </c>
      <c r="F766" s="18" t="n">
        <f aca="false">(E766+G766)/2</f>
        <v>17.1267793724523</v>
      </c>
      <c r="G766" s="18" t="n">
        <f aca="false">EXP(-'Black-Scholes'!$B$8*'Black-Scholes'!$B$7)*IF(LOWER('Black-Scholes'!$B$11)="put",MAX('Black-Scholes'!$B$6-D766,0),MAX(D766-'Black-Scholes'!$B$6,0))</f>
        <v>34.2535587449046</v>
      </c>
    </row>
    <row r="767" customFormat="false" ht="15" hidden="false" customHeight="false" outlineLevel="0" collapsed="false">
      <c r="A767" s="0" t="n">
        <v>756</v>
      </c>
      <c r="B767" s="15" t="n">
        <v>-0.224387361513874</v>
      </c>
      <c r="C767" s="18" t="n">
        <f aca="false">'Black-Scholes'!$B$5*EXP(('Black-Scholes'!$B$8-'Black-Scholes'!$B$10-'Black-Scholes'!$B$9^2/2)*'Black-Scholes'!$B$7+'Black-Scholes'!$B$9*SQRT('Black-Scholes'!$B$7)*B767)</f>
        <v>98.5232650495594</v>
      </c>
      <c r="D767" s="18" t="n">
        <f aca="false">'Black-Scholes'!$B$5*EXP(('Black-Scholes'!$B$8-'Black-Scholes'!$B$10-'Black-Scholes'!$B$9^2/2)*'Black-Scholes'!$B$7-'Black-Scholes'!$B$9*SQRT('Black-Scholes'!$B$7)*B767)</f>
        <v>107.775208831257</v>
      </c>
      <c r="E767" s="18" t="n">
        <f aca="false">EXP(-'Black-Scholes'!$B$8*'Black-Scholes'!$B$7)*IF(LOWER('Black-Scholes'!$B$11)="put",MAX('Black-Scholes'!$B$6-C767,0),MAX(C767-'Black-Scholes'!$B$6,0))</f>
        <v>0</v>
      </c>
      <c r="F767" s="18" t="n">
        <f aca="false">(E767+G767)/2</f>
        <v>3.69800371096496</v>
      </c>
      <c r="G767" s="18" t="n">
        <f aca="false">EXP(-'Black-Scholes'!$B$8*'Black-Scholes'!$B$7)*IF(LOWER('Black-Scholes'!$B$11)="put",MAX('Black-Scholes'!$B$6-D767,0),MAX(D767-'Black-Scholes'!$B$6,0))</f>
        <v>7.39600742192993</v>
      </c>
    </row>
    <row r="768" customFormat="false" ht="15" hidden="false" customHeight="false" outlineLevel="0" collapsed="false">
      <c r="A768" s="0" t="n">
        <v>757</v>
      </c>
      <c r="B768" s="15" t="n">
        <v>-0.274120153063301</v>
      </c>
      <c r="C768" s="18" t="n">
        <f aca="false">'Black-Scholes'!$B$5*EXP(('Black-Scholes'!$B$8-'Black-Scholes'!$B$10-'Black-Scholes'!$B$9^2/2)*'Black-Scholes'!$B$7+'Black-Scholes'!$B$9*SQRT('Black-Scholes'!$B$7)*B768)</f>
        <v>97.548155181725</v>
      </c>
      <c r="D768" s="18" t="n">
        <f aca="false">'Black-Scholes'!$B$5*EXP(('Black-Scholes'!$B$8-'Black-Scholes'!$B$10-'Black-Scholes'!$B$9^2/2)*'Black-Scholes'!$B$7-'Black-Scholes'!$B$9*SQRT('Black-Scholes'!$B$7)*B768)</f>
        <v>108.852550267838</v>
      </c>
      <c r="E768" s="18" t="n">
        <f aca="false">EXP(-'Black-Scholes'!$B$8*'Black-Scholes'!$B$7)*IF(LOWER('Black-Scholes'!$B$11)="put",MAX('Black-Scholes'!$B$6-C768,0),MAX(C768-'Black-Scholes'!$B$6,0))</f>
        <v>0</v>
      </c>
      <c r="F768" s="18" t="n">
        <f aca="false">(E768+G768)/2</f>
        <v>4.21040314831965</v>
      </c>
      <c r="G768" s="18" t="n">
        <f aca="false">EXP(-'Black-Scholes'!$B$8*'Black-Scholes'!$B$7)*IF(LOWER('Black-Scholes'!$B$11)="put",MAX('Black-Scholes'!$B$6-D768,0),MAX(D768-'Black-Scholes'!$B$6,0))</f>
        <v>8.4208062966393</v>
      </c>
    </row>
    <row r="769" customFormat="false" ht="15" hidden="false" customHeight="false" outlineLevel="0" collapsed="false">
      <c r="A769" s="0" t="n">
        <v>758</v>
      </c>
      <c r="B769" s="15" t="n">
        <v>-0.0637929028001243</v>
      </c>
      <c r="C769" s="18" t="n">
        <f aca="false">'Black-Scholes'!$B$5*EXP(('Black-Scholes'!$B$8-'Black-Scholes'!$B$10-'Black-Scholes'!$B$9^2/2)*'Black-Scholes'!$B$7+'Black-Scholes'!$B$9*SQRT('Black-Scholes'!$B$7)*B769)</f>
        <v>101.739091062303</v>
      </c>
      <c r="D769" s="18" t="n">
        <f aca="false">'Black-Scholes'!$B$5*EXP(('Black-Scholes'!$B$8-'Black-Scholes'!$B$10-'Black-Scholes'!$B$9^2/2)*'Black-Scholes'!$B$7-'Black-Scholes'!$B$9*SQRT('Black-Scholes'!$B$7)*B769)</f>
        <v>104.368589836832</v>
      </c>
      <c r="E769" s="18" t="n">
        <f aca="false">EXP(-'Black-Scholes'!$B$8*'Black-Scholes'!$B$7)*IF(LOWER('Black-Scholes'!$B$11)="put",MAX('Black-Scholes'!$B$6-C769,0),MAX(C769-'Black-Scholes'!$B$6,0))</f>
        <v>1.65427459034897</v>
      </c>
      <c r="F769" s="18" t="n">
        <f aca="false">(E769+G769)/2</f>
        <v>2.90490289335906</v>
      </c>
      <c r="G769" s="18" t="n">
        <f aca="false">EXP(-'Black-Scholes'!$B$8*'Black-Scholes'!$B$7)*IF(LOWER('Black-Scholes'!$B$11)="put",MAX('Black-Scholes'!$B$6-D769,0),MAX(D769-'Black-Scholes'!$B$6,0))</f>
        <v>4.15553119636916</v>
      </c>
    </row>
    <row r="770" customFormat="false" ht="15" hidden="false" customHeight="false" outlineLevel="0" collapsed="false">
      <c r="A770" s="0" t="n">
        <v>759</v>
      </c>
      <c r="B770" s="15" t="n">
        <v>0.921412085223546</v>
      </c>
      <c r="C770" s="18" t="n">
        <f aca="false">'Black-Scholes'!$B$5*EXP(('Black-Scholes'!$B$8-'Black-Scholes'!$B$10-'Black-Scholes'!$B$9^2/2)*'Black-Scholes'!$B$7+'Black-Scholes'!$B$9*SQRT('Black-Scholes'!$B$7)*B770)</f>
        <v>123.897251234367</v>
      </c>
      <c r="D770" s="18" t="n">
        <f aca="false">'Black-Scholes'!$B$5*EXP(('Black-Scholes'!$B$8-'Black-Scholes'!$B$10-'Black-Scholes'!$B$9^2/2)*'Black-Scholes'!$B$7-'Black-Scholes'!$B$9*SQRT('Black-Scholes'!$B$7)*B770)</f>
        <v>85.7029946965299</v>
      </c>
      <c r="E770" s="18" t="n">
        <f aca="false">EXP(-'Black-Scholes'!$B$8*'Black-Scholes'!$B$7)*IF(LOWER('Black-Scholes'!$B$11)="put",MAX('Black-Scholes'!$B$6-C770,0),MAX(C770-'Black-Scholes'!$B$6,0))</f>
        <v>22.731768538816</v>
      </c>
      <c r="F770" s="18" t="n">
        <f aca="false">(E770+G770)/2</f>
        <v>11.365884269408</v>
      </c>
      <c r="G770" s="18" t="n">
        <f aca="false">EXP(-'Black-Scholes'!$B$8*'Black-Scholes'!$B$7)*IF(LOWER('Black-Scholes'!$B$11)="put",MAX('Black-Scholes'!$B$6-D770,0),MAX(D770-'Black-Scholes'!$B$6,0))</f>
        <v>0</v>
      </c>
    </row>
    <row r="771" customFormat="false" ht="15" hidden="false" customHeight="false" outlineLevel="0" collapsed="false">
      <c r="A771" s="0" t="n">
        <v>760</v>
      </c>
      <c r="B771" s="15" t="n">
        <v>0.767310048857967</v>
      </c>
      <c r="C771" s="18" t="n">
        <f aca="false">'Black-Scholes'!$B$5*EXP(('Black-Scholes'!$B$8-'Black-Scholes'!$B$10-'Black-Scholes'!$B$9^2/2)*'Black-Scholes'!$B$7+'Black-Scholes'!$B$9*SQRT('Black-Scholes'!$B$7)*B771)</f>
        <v>120.136932424971</v>
      </c>
      <c r="D771" s="18" t="n">
        <f aca="false">'Black-Scholes'!$B$5*EXP(('Black-Scholes'!$B$8-'Black-Scholes'!$B$10-'Black-Scholes'!$B$9^2/2)*'Black-Scholes'!$B$7-'Black-Scholes'!$B$9*SQRT('Black-Scholes'!$B$7)*B771)</f>
        <v>88.3855218467899</v>
      </c>
      <c r="E771" s="18" t="n">
        <f aca="false">EXP(-'Black-Scholes'!$B$8*'Black-Scholes'!$B$7)*IF(LOWER('Black-Scholes'!$B$11)="put",MAX('Black-Scholes'!$B$6-C771,0),MAX(C771-'Black-Scholes'!$B$6,0))</f>
        <v>19.1548426418149</v>
      </c>
      <c r="F771" s="18" t="n">
        <f aca="false">(E771+G771)/2</f>
        <v>9.57742132090746</v>
      </c>
      <c r="G771" s="18" t="n">
        <f aca="false">EXP(-'Black-Scholes'!$B$8*'Black-Scholes'!$B$7)*IF(LOWER('Black-Scholes'!$B$11)="put",MAX('Black-Scholes'!$B$6-D771,0),MAX(D771-'Black-Scholes'!$B$6,0))</f>
        <v>0</v>
      </c>
    </row>
    <row r="772" customFormat="false" ht="15" hidden="false" customHeight="false" outlineLevel="0" collapsed="false">
      <c r="A772" s="0" t="n">
        <v>761</v>
      </c>
      <c r="B772" s="15" t="n">
        <v>0.880769090727326</v>
      </c>
      <c r="C772" s="18" t="n">
        <f aca="false">'Black-Scholes'!$B$5*EXP(('Black-Scholes'!$B$8-'Black-Scholes'!$B$10-'Black-Scholes'!$B$9^2/2)*'Black-Scholes'!$B$7+'Black-Scholes'!$B$9*SQRT('Black-Scholes'!$B$7)*B772)</f>
        <v>122.894222307129</v>
      </c>
      <c r="D772" s="18" t="n">
        <f aca="false">'Black-Scholes'!$B$5*EXP(('Black-Scholes'!$B$8-'Black-Scholes'!$B$10-'Black-Scholes'!$B$9^2/2)*'Black-Scholes'!$B$7-'Black-Scholes'!$B$9*SQRT('Black-Scholes'!$B$7)*B772)</f>
        <v>86.402479027182</v>
      </c>
      <c r="E772" s="18" t="n">
        <f aca="false">EXP(-'Black-Scholes'!$B$8*'Black-Scholes'!$B$7)*IF(LOWER('Black-Scholes'!$B$11)="put",MAX('Black-Scholes'!$B$6-C772,0),MAX(C772-'Black-Scholes'!$B$6,0))</f>
        <v>21.7776579096021</v>
      </c>
      <c r="F772" s="18" t="n">
        <f aca="false">(E772+G772)/2</f>
        <v>10.8888289548011</v>
      </c>
      <c r="G772" s="18" t="n">
        <f aca="false">EXP(-'Black-Scholes'!$B$8*'Black-Scholes'!$B$7)*IF(LOWER('Black-Scholes'!$B$11)="put",MAX('Black-Scholes'!$B$6-D772,0),MAX(D772-'Black-Scholes'!$B$6,0))</f>
        <v>0</v>
      </c>
    </row>
    <row r="773" customFormat="false" ht="15" hidden="false" customHeight="false" outlineLevel="0" collapsed="false">
      <c r="A773" s="0" t="n">
        <v>762</v>
      </c>
      <c r="B773" s="15" t="n">
        <v>-0.128467100414289</v>
      </c>
      <c r="C773" s="18" t="n">
        <f aca="false">'Black-Scholes'!$B$5*EXP(('Black-Scholes'!$B$8-'Black-Scholes'!$B$10-'Black-Scholes'!$B$9^2/2)*'Black-Scholes'!$B$7+'Black-Scholes'!$B$9*SQRT('Black-Scholes'!$B$7)*B773)</f>
        <v>100.431586655887</v>
      </c>
      <c r="D773" s="18" t="n">
        <f aca="false">'Black-Scholes'!$B$5*EXP(('Black-Scholes'!$B$8-'Black-Scholes'!$B$10-'Black-Scholes'!$B$9^2/2)*'Black-Scholes'!$B$7-'Black-Scholes'!$B$9*SQRT('Black-Scholes'!$B$7)*B773)</f>
        <v>105.727349522374</v>
      </c>
      <c r="E773" s="18" t="n">
        <f aca="false">EXP(-'Black-Scholes'!$B$8*'Black-Scholes'!$B$7)*IF(LOWER('Black-Scholes'!$B$11)="put",MAX('Black-Scholes'!$B$6-C773,0),MAX(C773-'Black-Scholes'!$B$6,0))</f>
        <v>0.410537926301541</v>
      </c>
      <c r="F773" s="18" t="n">
        <f aca="false">(E773+G773)/2</f>
        <v>2.92928065819211</v>
      </c>
      <c r="G773" s="18" t="n">
        <f aca="false">EXP(-'Black-Scholes'!$B$8*'Black-Scholes'!$B$7)*IF(LOWER('Black-Scholes'!$B$11)="put",MAX('Black-Scholes'!$B$6-D773,0),MAX(D773-'Black-Scholes'!$B$6,0))</f>
        <v>5.44802339008268</v>
      </c>
    </row>
    <row r="774" customFormat="false" ht="15" hidden="false" customHeight="false" outlineLevel="0" collapsed="false">
      <c r="A774" s="0" t="n">
        <v>763</v>
      </c>
      <c r="B774" s="15" t="n">
        <v>-0.921729402908742</v>
      </c>
      <c r="C774" s="18" t="n">
        <f aca="false">'Black-Scholes'!$B$5*EXP(('Black-Scholes'!$B$8-'Black-Scholes'!$B$10-'Black-Scholes'!$B$9^2/2)*'Black-Scholes'!$B$7+'Black-Scholes'!$B$9*SQRT('Black-Scholes'!$B$7)*B774)</f>
        <v>85.6975558539375</v>
      </c>
      <c r="D774" s="18" t="n">
        <f aca="false">'Black-Scholes'!$B$5*EXP(('Black-Scholes'!$B$8-'Black-Scholes'!$B$10-'Black-Scholes'!$B$9^2/2)*'Black-Scholes'!$B$7-'Black-Scholes'!$B$9*SQRT('Black-Scholes'!$B$7)*B774)</f>
        <v>123.905114441671</v>
      </c>
      <c r="E774" s="18" t="n">
        <f aca="false">EXP(-'Black-Scholes'!$B$8*'Black-Scholes'!$B$7)*IF(LOWER('Black-Scholes'!$B$11)="put",MAX('Black-Scholes'!$B$6-C774,0),MAX(C774-'Black-Scholes'!$B$6,0))</f>
        <v>0</v>
      </c>
      <c r="F774" s="18" t="n">
        <f aca="false">(E774+G774)/2</f>
        <v>11.3696241264871</v>
      </c>
      <c r="G774" s="18" t="n">
        <f aca="false">EXP(-'Black-Scholes'!$B$8*'Black-Scholes'!$B$7)*IF(LOWER('Black-Scholes'!$B$11)="put",MAX('Black-Scholes'!$B$6-D774,0),MAX(D774-'Black-Scholes'!$B$6,0))</f>
        <v>22.7392482529742</v>
      </c>
    </row>
    <row r="775" customFormat="false" ht="15" hidden="false" customHeight="false" outlineLevel="0" collapsed="false">
      <c r="A775" s="0" t="n">
        <v>764</v>
      </c>
      <c r="B775" s="15" t="n">
        <v>0.992173250042342</v>
      </c>
      <c r="C775" s="18" t="n">
        <f aca="false">'Black-Scholes'!$B$5*EXP(('Black-Scholes'!$B$8-'Black-Scholes'!$B$10-'Black-Scholes'!$B$9^2/2)*'Black-Scholes'!$B$7+'Black-Scholes'!$B$9*SQRT('Black-Scholes'!$B$7)*B775)</f>
        <v>125.663140159709</v>
      </c>
      <c r="D775" s="18" t="n">
        <f aca="false">'Black-Scholes'!$B$5*EXP(('Black-Scholes'!$B$8-'Black-Scholes'!$B$10-'Black-Scholes'!$B$9^2/2)*'Black-Scholes'!$B$7-'Black-Scholes'!$B$9*SQRT('Black-Scholes'!$B$7)*B775)</f>
        <v>84.4986481474076</v>
      </c>
      <c r="E775" s="18" t="n">
        <f aca="false">EXP(-'Black-Scholes'!$B$8*'Black-Scholes'!$B$7)*IF(LOWER('Black-Scholes'!$B$11)="put",MAX('Black-Scholes'!$B$6-C775,0),MAX(C775-'Black-Scholes'!$B$6,0))</f>
        <v>24.411534045001</v>
      </c>
      <c r="F775" s="18" t="n">
        <f aca="false">(E775+G775)/2</f>
        <v>12.2057670225005</v>
      </c>
      <c r="G775" s="18" t="n">
        <f aca="false">EXP(-'Black-Scholes'!$B$8*'Black-Scholes'!$B$7)*IF(LOWER('Black-Scholes'!$B$11)="put",MAX('Black-Scholes'!$B$6-D775,0),MAX(D775-'Black-Scholes'!$B$6,0))</f>
        <v>0</v>
      </c>
    </row>
    <row r="776" customFormat="false" ht="15" hidden="false" customHeight="false" outlineLevel="0" collapsed="false">
      <c r="A776" s="0" t="n">
        <v>765</v>
      </c>
      <c r="B776" s="15" t="n">
        <v>-1.02812186069999</v>
      </c>
      <c r="C776" s="18" t="n">
        <f aca="false">'Black-Scholes'!$B$5*EXP(('Black-Scholes'!$B$8-'Black-Scholes'!$B$10-'Black-Scholes'!$B$9^2/2)*'Black-Scholes'!$B$7+'Black-Scholes'!$B$9*SQRT('Black-Scholes'!$B$7)*B776)</f>
        <v>83.8933050785865</v>
      </c>
      <c r="D776" s="18" t="n">
        <f aca="false">'Black-Scholes'!$B$5*EXP(('Black-Scholes'!$B$8-'Black-Scholes'!$B$10-'Black-Scholes'!$B$9^2/2)*'Black-Scholes'!$B$7-'Black-Scholes'!$B$9*SQRT('Black-Scholes'!$B$7)*B776)</f>
        <v>126.569878913543</v>
      </c>
      <c r="E776" s="18" t="n">
        <f aca="false">EXP(-'Black-Scholes'!$B$8*'Black-Scholes'!$B$7)*IF(LOWER('Black-Scholes'!$B$11)="put",MAX('Black-Scholes'!$B$6-C776,0),MAX(C776-'Black-Scholes'!$B$6,0))</f>
        <v>0</v>
      </c>
      <c r="F776" s="18" t="n">
        <f aca="false">(E776+G776)/2</f>
        <v>12.6370253139915</v>
      </c>
      <c r="G776" s="18" t="n">
        <f aca="false">EXP(-'Black-Scholes'!$B$8*'Black-Scholes'!$B$7)*IF(LOWER('Black-Scholes'!$B$11)="put",MAX('Black-Scholes'!$B$6-D776,0),MAX(D776-'Black-Scholes'!$B$6,0))</f>
        <v>25.2740506279829</v>
      </c>
    </row>
    <row r="777" customFormat="false" ht="15" hidden="false" customHeight="false" outlineLevel="0" collapsed="false">
      <c r="A777" s="0" t="n">
        <v>766</v>
      </c>
      <c r="B777" s="15" t="n">
        <v>-0.47629981139771</v>
      </c>
      <c r="C777" s="18" t="n">
        <f aca="false">'Black-Scholes'!$B$5*EXP(('Black-Scholes'!$B$8-'Black-Scholes'!$B$10-'Black-Scholes'!$B$9^2/2)*'Black-Scholes'!$B$7+'Black-Scholes'!$B$9*SQRT('Black-Scholes'!$B$7)*B777)</f>
        <v>93.6823892844487</v>
      </c>
      <c r="D777" s="18" t="n">
        <f aca="false">'Black-Scholes'!$B$5*EXP(('Black-Scholes'!$B$8-'Black-Scholes'!$B$10-'Black-Scholes'!$B$9^2/2)*'Black-Scholes'!$B$7-'Black-Scholes'!$B$9*SQRT('Black-Scholes'!$B$7)*B777)</f>
        <v>113.344306721437</v>
      </c>
      <c r="E777" s="18" t="n">
        <f aca="false">EXP(-'Black-Scholes'!$B$8*'Black-Scholes'!$B$7)*IF(LOWER('Black-Scholes'!$B$11)="put",MAX('Black-Scholes'!$B$6-C777,0),MAX(C777-'Black-Scholes'!$B$6,0))</f>
        <v>0</v>
      </c>
      <c r="F777" s="18" t="n">
        <f aca="false">(E777+G777)/2</f>
        <v>6.34674860149669</v>
      </c>
      <c r="G777" s="18" t="n">
        <f aca="false">EXP(-'Black-Scholes'!$B$8*'Black-Scholes'!$B$7)*IF(LOWER('Black-Scholes'!$B$11)="put",MAX('Black-Scholes'!$B$6-D777,0),MAX(D777-'Black-Scholes'!$B$6,0))</f>
        <v>12.6934972029934</v>
      </c>
    </row>
    <row r="778" customFormat="false" ht="15" hidden="false" customHeight="false" outlineLevel="0" collapsed="false">
      <c r="A778" s="0" t="n">
        <v>767</v>
      </c>
      <c r="B778" s="15" t="n">
        <v>1.76037975744525</v>
      </c>
      <c r="C778" s="18" t="n">
        <f aca="false">'Black-Scholes'!$B$5*EXP(('Black-Scholes'!$B$8-'Black-Scholes'!$B$10-'Black-Scholes'!$B$9^2/2)*'Black-Scholes'!$B$7+'Black-Scholes'!$B$9*SQRT('Black-Scholes'!$B$7)*B778)</f>
        <v>146.532337439884</v>
      </c>
      <c r="D778" s="18" t="n">
        <f aca="false">'Black-Scholes'!$B$5*EXP(('Black-Scholes'!$B$8-'Black-Scholes'!$B$10-'Black-Scholes'!$B$9^2/2)*'Black-Scholes'!$B$7-'Black-Scholes'!$B$9*SQRT('Black-Scholes'!$B$7)*B778)</f>
        <v>72.464315051344</v>
      </c>
      <c r="E778" s="18" t="n">
        <f aca="false">EXP(-'Black-Scholes'!$B$8*'Black-Scholes'!$B$7)*IF(LOWER('Black-Scholes'!$B$11)="put",MAX('Black-Scholes'!$B$6-C778,0),MAX(C778-'Black-Scholes'!$B$6,0))</f>
        <v>44.2629285636139</v>
      </c>
      <c r="F778" s="18" t="n">
        <f aca="false">(E778+G778)/2</f>
        <v>22.1314642818069</v>
      </c>
      <c r="G778" s="18" t="n">
        <f aca="false">EXP(-'Black-Scholes'!$B$8*'Black-Scholes'!$B$7)*IF(LOWER('Black-Scholes'!$B$11)="put",MAX('Black-Scholes'!$B$6-D778,0),MAX(D778-'Black-Scholes'!$B$6,0))</f>
        <v>0</v>
      </c>
    </row>
    <row r="779" customFormat="false" ht="15" hidden="false" customHeight="false" outlineLevel="0" collapsed="false">
      <c r="A779" s="0" t="n">
        <v>768</v>
      </c>
      <c r="B779" s="15" t="n">
        <v>0.421735940008886</v>
      </c>
      <c r="C779" s="18" t="n">
        <f aca="false">'Black-Scholes'!$B$5*EXP(('Black-Scholes'!$B$8-'Black-Scholes'!$B$10-'Black-Scholes'!$B$9^2/2)*'Black-Scholes'!$B$7+'Black-Scholes'!$B$9*SQRT('Black-Scholes'!$B$7)*B779)</f>
        <v>112.114130413015</v>
      </c>
      <c r="D779" s="18" t="n">
        <f aca="false">'Black-Scholes'!$B$5*EXP(('Black-Scholes'!$B$8-'Black-Scholes'!$B$10-'Black-Scholes'!$B$9^2/2)*'Black-Scholes'!$B$7-'Black-Scholes'!$B$9*SQRT('Black-Scholes'!$B$7)*B779)</f>
        <v>94.7103226536815</v>
      </c>
      <c r="E779" s="18" t="n">
        <f aca="false">EXP(-'Black-Scholes'!$B$8*'Black-Scholes'!$B$7)*IF(LOWER('Black-Scholes'!$B$11)="put",MAX('Black-Scholes'!$B$6-C779,0),MAX(C779-'Black-Scholes'!$B$6,0))</f>
        <v>11.5233173010991</v>
      </c>
      <c r="F779" s="18" t="n">
        <f aca="false">(E779+G779)/2</f>
        <v>5.76165865054953</v>
      </c>
      <c r="G779" s="18" t="n">
        <f aca="false">EXP(-'Black-Scholes'!$B$8*'Black-Scholes'!$B$7)*IF(LOWER('Black-Scholes'!$B$11)="put",MAX('Black-Scholes'!$B$6-D779,0),MAX(D779-'Black-Scholes'!$B$6,0))</f>
        <v>0</v>
      </c>
    </row>
    <row r="780" customFormat="false" ht="15" hidden="false" customHeight="false" outlineLevel="0" collapsed="false">
      <c r="A780" s="0" t="n">
        <v>769</v>
      </c>
      <c r="B780" s="15" t="n">
        <v>-0.82720829578519</v>
      </c>
      <c r="C780" s="18" t="n">
        <f aca="false">'Black-Scholes'!$B$5*EXP(('Black-Scholes'!$B$8-'Black-Scholes'!$B$10-'Black-Scholes'!$B$9^2/2)*'Black-Scholes'!$B$7+'Black-Scholes'!$B$9*SQRT('Black-Scholes'!$B$7)*B780)</f>
        <v>87.3330112257185</v>
      </c>
      <c r="D780" s="18" t="n">
        <f aca="false">'Black-Scholes'!$B$5*EXP(('Black-Scholes'!$B$8-'Black-Scholes'!$B$10-'Black-Scholes'!$B$9^2/2)*'Black-Scholes'!$B$7-'Black-Scholes'!$B$9*SQRT('Black-Scholes'!$B$7)*B780)</f>
        <v>121.5847858264</v>
      </c>
      <c r="E780" s="18" t="n">
        <f aca="false">EXP(-'Black-Scholes'!$B$8*'Black-Scholes'!$B$7)*IF(LOWER('Black-Scholes'!$B$11)="put",MAX('Black-Scholes'!$B$6-C780,0),MAX(C780-'Black-Scholes'!$B$6,0))</f>
        <v>0</v>
      </c>
      <c r="F780" s="18" t="n">
        <f aca="false">(E780+G780)/2</f>
        <v>10.266041699809</v>
      </c>
      <c r="G780" s="18" t="n">
        <f aca="false">EXP(-'Black-Scholes'!$B$8*'Black-Scholes'!$B$7)*IF(LOWER('Black-Scholes'!$B$11)="put",MAX('Black-Scholes'!$B$6-D780,0),MAX(D780-'Black-Scholes'!$B$6,0))</f>
        <v>20.532083399618</v>
      </c>
    </row>
    <row r="781" customFormat="false" ht="15" hidden="false" customHeight="false" outlineLevel="0" collapsed="false">
      <c r="A781" s="0" t="n">
        <v>770</v>
      </c>
      <c r="B781" s="15" t="n">
        <v>-0.772265626396605</v>
      </c>
      <c r="C781" s="18" t="n">
        <f aca="false">'Black-Scholes'!$B$5*EXP(('Black-Scholes'!$B$8-'Black-Scholes'!$B$10-'Black-Scholes'!$B$9^2/2)*'Black-Scholes'!$B$7+'Black-Scholes'!$B$9*SQRT('Black-Scholes'!$B$7)*B781)</f>
        <v>88.2979649820795</v>
      </c>
      <c r="D781" s="18" t="n">
        <f aca="false">'Black-Scholes'!$B$5*EXP(('Black-Scholes'!$B$8-'Black-Scholes'!$B$10-'Black-Scholes'!$B$9^2/2)*'Black-Scholes'!$B$7-'Black-Scholes'!$B$9*SQRT('Black-Scholes'!$B$7)*B781)</f>
        <v>120.256061027099</v>
      </c>
      <c r="E781" s="18" t="n">
        <f aca="false">EXP(-'Black-Scholes'!$B$8*'Black-Scholes'!$B$7)*IF(LOWER('Black-Scholes'!$B$11)="put",MAX('Black-Scholes'!$B$6-C781,0),MAX(C781-'Black-Scholes'!$B$6,0))</f>
        <v>0</v>
      </c>
      <c r="F781" s="18" t="n">
        <f aca="false">(E781+G781)/2</f>
        <v>9.63408063672933</v>
      </c>
      <c r="G781" s="18" t="n">
        <f aca="false">EXP(-'Black-Scholes'!$B$8*'Black-Scholes'!$B$7)*IF(LOWER('Black-Scholes'!$B$11)="put",MAX('Black-Scholes'!$B$6-D781,0),MAX(D781-'Black-Scholes'!$B$6,0))</f>
        <v>19.2681612734587</v>
      </c>
    </row>
    <row r="782" customFormat="false" ht="15" hidden="false" customHeight="false" outlineLevel="0" collapsed="false">
      <c r="A782" s="0" t="n">
        <v>771</v>
      </c>
      <c r="B782" s="15" t="n">
        <v>1.40038891986674</v>
      </c>
      <c r="C782" s="18" t="n">
        <f aca="false">'Black-Scholes'!$B$5*EXP(('Black-Scholes'!$B$8-'Black-Scholes'!$B$10-'Black-Scholes'!$B$9^2/2)*'Black-Scholes'!$B$7+'Black-Scholes'!$B$9*SQRT('Black-Scholes'!$B$7)*B782)</f>
        <v>136.353117087962</v>
      </c>
      <c r="D782" s="18" t="n">
        <f aca="false">'Black-Scholes'!$B$5*EXP(('Black-Scholes'!$B$8-'Black-Scholes'!$B$10-'Black-Scholes'!$B$9^2/2)*'Black-Scholes'!$B$7-'Black-Scholes'!$B$9*SQRT('Black-Scholes'!$B$7)*B782)</f>
        <v>77.8740207207997</v>
      </c>
      <c r="E782" s="18" t="n">
        <f aca="false">EXP(-'Black-Scholes'!$B$8*'Black-Scholes'!$B$7)*IF(LOWER('Black-Scholes'!$B$11)="put",MAX('Black-Scholes'!$B$6-C782,0),MAX(C782-'Black-Scholes'!$B$6,0))</f>
        <v>34.5801546463893</v>
      </c>
      <c r="F782" s="18" t="n">
        <f aca="false">(E782+G782)/2</f>
        <v>17.2900773231947</v>
      </c>
      <c r="G782" s="18" t="n">
        <f aca="false">EXP(-'Black-Scholes'!$B$8*'Black-Scholes'!$B$7)*IF(LOWER('Black-Scholes'!$B$11)="put",MAX('Black-Scholes'!$B$6-D782,0),MAX(D782-'Black-Scholes'!$B$6,0))</f>
        <v>0</v>
      </c>
    </row>
    <row r="783" customFormat="false" ht="15" hidden="false" customHeight="false" outlineLevel="0" collapsed="false">
      <c r="A783" s="0" t="n">
        <v>772</v>
      </c>
      <c r="B783" s="15" t="n">
        <v>-0.453922128742677</v>
      </c>
      <c r="C783" s="18" t="n">
        <f aca="false">'Black-Scholes'!$B$5*EXP(('Black-Scholes'!$B$8-'Black-Scholes'!$B$10-'Black-Scholes'!$B$9^2/2)*'Black-Scholes'!$B$7+'Black-Scholes'!$B$9*SQRT('Black-Scholes'!$B$7)*B783)</f>
        <v>94.1026078904346</v>
      </c>
      <c r="D783" s="18" t="n">
        <f aca="false">'Black-Scholes'!$B$5*EXP(('Black-Scholes'!$B$8-'Black-Scholes'!$B$10-'Black-Scholes'!$B$9^2/2)*'Black-Scholes'!$B$7-'Black-Scholes'!$B$9*SQRT('Black-Scholes'!$B$7)*B783)</f>
        <v>112.838163611967</v>
      </c>
      <c r="E783" s="18" t="n">
        <f aca="false">EXP(-'Black-Scholes'!$B$8*'Black-Scholes'!$B$7)*IF(LOWER('Black-Scholes'!$B$11)="put",MAX('Black-Scholes'!$B$6-C783,0),MAX(C783-'Black-Scholes'!$B$6,0))</f>
        <v>0</v>
      </c>
      <c r="F783" s="18" t="n">
        <f aca="false">(E783+G783)/2</f>
        <v>6.10601949212848</v>
      </c>
      <c r="G783" s="18" t="n">
        <f aca="false">EXP(-'Black-Scholes'!$B$8*'Black-Scholes'!$B$7)*IF(LOWER('Black-Scholes'!$B$11)="put",MAX('Black-Scholes'!$B$6-D783,0),MAX(D783-'Black-Scholes'!$B$6,0))</f>
        <v>12.212038984257</v>
      </c>
    </row>
    <row r="784" customFormat="false" ht="15" hidden="false" customHeight="false" outlineLevel="0" collapsed="false">
      <c r="A784" s="0" t="n">
        <v>773</v>
      </c>
      <c r="B784" s="15" t="n">
        <v>0.998492288435633</v>
      </c>
      <c r="C784" s="18" t="n">
        <f aca="false">'Black-Scholes'!$B$5*EXP(('Black-Scholes'!$B$8-'Black-Scholes'!$B$10-'Black-Scholes'!$B$9^2/2)*'Black-Scholes'!$B$7+'Black-Scholes'!$B$9*SQRT('Black-Scholes'!$B$7)*B784)</f>
        <v>125.822054598659</v>
      </c>
      <c r="D784" s="18" t="n">
        <f aca="false">'Black-Scholes'!$B$5*EXP(('Black-Scholes'!$B$8-'Black-Scholes'!$B$10-'Black-Scholes'!$B$9^2/2)*'Black-Scholes'!$B$7-'Black-Scholes'!$B$9*SQRT('Black-Scholes'!$B$7)*B784)</f>
        <v>84.3919255596604</v>
      </c>
      <c r="E784" s="18" t="n">
        <f aca="false">EXP(-'Black-Scholes'!$B$8*'Black-Scholes'!$B$7)*IF(LOWER('Black-Scholes'!$B$11)="put",MAX('Black-Scholes'!$B$6-C784,0),MAX(C784-'Black-Scholes'!$B$6,0))</f>
        <v>24.5626981353088</v>
      </c>
      <c r="F784" s="18" t="n">
        <f aca="false">(E784+G784)/2</f>
        <v>12.2813490676544</v>
      </c>
      <c r="G784" s="18" t="n">
        <f aca="false">EXP(-'Black-Scholes'!$B$8*'Black-Scholes'!$B$7)*IF(LOWER('Black-Scholes'!$B$11)="put",MAX('Black-Scholes'!$B$6-D784,0),MAX(D784-'Black-Scholes'!$B$6,0))</f>
        <v>0</v>
      </c>
    </row>
    <row r="785" customFormat="false" ht="15" hidden="false" customHeight="false" outlineLevel="0" collapsed="false">
      <c r="A785" s="0" t="n">
        <v>774</v>
      </c>
      <c r="B785" s="15" t="n">
        <v>-0.15310644247332</v>
      </c>
      <c r="C785" s="18" t="n">
        <f aca="false">'Black-Scholes'!$B$5*EXP(('Black-Scholes'!$B$8-'Black-Scholes'!$B$10-'Black-Scholes'!$B$9^2/2)*'Black-Scholes'!$B$7+'Black-Scholes'!$B$9*SQRT('Black-Scholes'!$B$7)*B785)</f>
        <v>99.937890446507</v>
      </c>
      <c r="D785" s="18" t="n">
        <f aca="false">'Black-Scholes'!$B$5*EXP(('Black-Scholes'!$B$8-'Black-Scholes'!$B$10-'Black-Scholes'!$B$9^2/2)*'Black-Scholes'!$B$7-'Black-Scholes'!$B$9*SQRT('Black-Scholes'!$B$7)*B785)</f>
        <v>106.249645835152</v>
      </c>
      <c r="E785" s="18" t="n">
        <f aca="false">EXP(-'Black-Scholes'!$B$8*'Black-Scholes'!$B$7)*IF(LOWER('Black-Scholes'!$B$11)="put",MAX('Black-Scholes'!$B$6-C785,0),MAX(C785-'Black-Scholes'!$B$6,0))</f>
        <v>0</v>
      </c>
      <c r="F785" s="18" t="n">
        <f aca="false">(E785+G785)/2</f>
        <v>2.97242350555251</v>
      </c>
      <c r="G785" s="18" t="n">
        <f aca="false">EXP(-'Black-Scholes'!$B$8*'Black-Scholes'!$B$7)*IF(LOWER('Black-Scholes'!$B$11)="put",MAX('Black-Scholes'!$B$6-D785,0),MAX(D785-'Black-Scholes'!$B$6,0))</f>
        <v>5.94484701110503</v>
      </c>
    </row>
    <row r="786" customFormat="false" ht="15" hidden="false" customHeight="false" outlineLevel="0" collapsed="false">
      <c r="A786" s="0" t="n">
        <v>775</v>
      </c>
      <c r="B786" s="15" t="n">
        <v>-1.83419131369976</v>
      </c>
      <c r="C786" s="18" t="n">
        <f aca="false">'Black-Scholes'!$B$5*EXP(('Black-Scholes'!$B$8-'Black-Scholes'!$B$10-'Black-Scholes'!$B$9^2/2)*'Black-Scholes'!$B$7+'Black-Scholes'!$B$9*SQRT('Black-Scholes'!$B$7)*B786)</f>
        <v>71.4024314900464</v>
      </c>
      <c r="D786" s="18" t="n">
        <f aca="false">'Black-Scholes'!$B$5*EXP(('Black-Scholes'!$B$8-'Black-Scholes'!$B$10-'Black-Scholes'!$B$9^2/2)*'Black-Scholes'!$B$7-'Black-Scholes'!$B$9*SQRT('Black-Scholes'!$B$7)*B786)</f>
        <v>148.711538863124</v>
      </c>
      <c r="E786" s="18" t="n">
        <f aca="false">EXP(-'Black-Scholes'!$B$8*'Black-Scholes'!$B$7)*IF(LOWER('Black-Scholes'!$B$11)="put",MAX('Black-Scholes'!$B$6-C786,0),MAX(C786-'Black-Scholes'!$B$6,0))</f>
        <v>0</v>
      </c>
      <c r="F786" s="18" t="n">
        <f aca="false">(E786+G786)/2</f>
        <v>23.1679245396569</v>
      </c>
      <c r="G786" s="18" t="n">
        <f aca="false">EXP(-'Black-Scholes'!$B$8*'Black-Scholes'!$B$7)*IF(LOWER('Black-Scholes'!$B$11)="put",MAX('Black-Scholes'!$B$6-D786,0),MAX(D786-'Black-Scholes'!$B$6,0))</f>
        <v>46.3358490793138</v>
      </c>
    </row>
    <row r="787" customFormat="false" ht="15" hidden="false" customHeight="false" outlineLevel="0" collapsed="false">
      <c r="A787" s="0" t="n">
        <v>776</v>
      </c>
      <c r="B787" s="15" t="n">
        <v>-0.151313646239292</v>
      </c>
      <c r="C787" s="18" t="n">
        <f aca="false">'Black-Scholes'!$B$5*EXP(('Black-Scholes'!$B$8-'Black-Scholes'!$B$10-'Black-Scholes'!$B$9^2/2)*'Black-Scholes'!$B$7+'Black-Scholes'!$B$9*SQRT('Black-Scholes'!$B$7)*B787)</f>
        <v>99.9737305262448</v>
      </c>
      <c r="D787" s="18" t="n">
        <f aca="false">'Black-Scholes'!$B$5*EXP(('Black-Scholes'!$B$8-'Black-Scholes'!$B$10-'Black-Scholes'!$B$9^2/2)*'Black-Scholes'!$B$7-'Black-Scholes'!$B$9*SQRT('Black-Scholes'!$B$7)*B787)</f>
        <v>106.211555871331</v>
      </c>
      <c r="E787" s="18" t="n">
        <f aca="false">EXP(-'Black-Scholes'!$B$8*'Black-Scholes'!$B$7)*IF(LOWER('Black-Scholes'!$B$11)="put",MAX('Black-Scholes'!$B$6-C787,0),MAX(C787-'Black-Scholes'!$B$6,0))</f>
        <v>0</v>
      </c>
      <c r="F787" s="18" t="n">
        <f aca="false">(E787+G787)/2</f>
        <v>2.9543073583699</v>
      </c>
      <c r="G787" s="18" t="n">
        <f aca="false">EXP(-'Black-Scholes'!$B$8*'Black-Scholes'!$B$7)*IF(LOWER('Black-Scholes'!$B$11)="put",MAX('Black-Scholes'!$B$6-D787,0),MAX(D787-'Black-Scholes'!$B$6,0))</f>
        <v>5.9086147167398</v>
      </c>
    </row>
    <row r="788" customFormat="false" ht="15" hidden="false" customHeight="false" outlineLevel="0" collapsed="false">
      <c r="A788" s="0" t="n">
        <v>777</v>
      </c>
      <c r="B788" s="15" t="n">
        <v>0.672194236556182</v>
      </c>
      <c r="C788" s="18" t="n">
        <f aca="false">'Black-Scholes'!$B$5*EXP(('Black-Scholes'!$B$8-'Black-Scholes'!$B$10-'Black-Scholes'!$B$9^2/2)*'Black-Scholes'!$B$7+'Black-Scholes'!$B$9*SQRT('Black-Scholes'!$B$7)*B788)</f>
        <v>117.873148474792</v>
      </c>
      <c r="D788" s="18" t="n">
        <f aca="false">'Black-Scholes'!$B$5*EXP(('Black-Scholes'!$B$8-'Black-Scholes'!$B$10-'Black-Scholes'!$B$9^2/2)*'Black-Scholes'!$B$7-'Black-Scholes'!$B$9*SQRT('Black-Scholes'!$B$7)*B788)</f>
        <v>90.0829883892041</v>
      </c>
      <c r="E788" s="18" t="n">
        <f aca="false">EXP(-'Black-Scholes'!$B$8*'Black-Scholes'!$B$7)*IF(LOWER('Black-Scholes'!$B$11)="put",MAX('Black-Scholes'!$B$6-C788,0),MAX(C788-'Black-Scholes'!$B$6,0))</f>
        <v>17.0014647376919</v>
      </c>
      <c r="F788" s="18" t="n">
        <f aca="false">(E788+G788)/2</f>
        <v>8.50073236884597</v>
      </c>
      <c r="G788" s="18" t="n">
        <f aca="false">EXP(-'Black-Scholes'!$B$8*'Black-Scholes'!$B$7)*IF(LOWER('Black-Scholes'!$B$11)="put",MAX('Black-Scholes'!$B$6-D788,0),MAX(D788-'Black-Scholes'!$B$6,0))</f>
        <v>0</v>
      </c>
    </row>
    <row r="789" customFormat="false" ht="15" hidden="false" customHeight="false" outlineLevel="0" collapsed="false">
      <c r="A789" s="0" t="n">
        <v>778</v>
      </c>
      <c r="B789" s="15" t="n">
        <v>-0.673344247646321</v>
      </c>
      <c r="C789" s="18" t="n">
        <f aca="false">'Black-Scholes'!$B$5*EXP(('Black-Scholes'!$B$8-'Black-Scholes'!$B$10-'Black-Scholes'!$B$9^2/2)*'Black-Scholes'!$B$7+'Black-Scholes'!$B$9*SQRT('Black-Scholes'!$B$7)*B789)</f>
        <v>90.0622714846264</v>
      </c>
      <c r="D789" s="18" t="n">
        <f aca="false">'Black-Scholes'!$B$5*EXP(('Black-Scholes'!$B$8-'Black-Scholes'!$B$10-'Black-Scholes'!$B$9^2/2)*'Black-Scholes'!$B$7-'Black-Scholes'!$B$9*SQRT('Black-Scholes'!$B$7)*B789)</f>
        <v>117.900262678431</v>
      </c>
      <c r="E789" s="18" t="n">
        <f aca="false">EXP(-'Black-Scholes'!$B$8*'Black-Scholes'!$B$7)*IF(LOWER('Black-Scholes'!$B$11)="put",MAX('Black-Scholes'!$B$6-C789,0),MAX(C789-'Black-Scholes'!$B$6,0))</f>
        <v>0</v>
      </c>
      <c r="F789" s="18" t="n">
        <f aca="false">(E789+G789)/2</f>
        <v>8.51362828300767</v>
      </c>
      <c r="G789" s="18" t="n">
        <f aca="false">EXP(-'Black-Scholes'!$B$8*'Black-Scholes'!$B$7)*IF(LOWER('Black-Scholes'!$B$11)="put",MAX('Black-Scholes'!$B$6-D789,0),MAX(D789-'Black-Scholes'!$B$6,0))</f>
        <v>17.0272565660153</v>
      </c>
    </row>
    <row r="790" customFormat="false" ht="15" hidden="false" customHeight="false" outlineLevel="0" collapsed="false">
      <c r="A790" s="0" t="n">
        <v>779</v>
      </c>
      <c r="B790" s="15" t="n">
        <v>1.0021385969117</v>
      </c>
      <c r="C790" s="18" t="n">
        <f aca="false">'Black-Scholes'!$B$5*EXP(('Black-Scholes'!$B$8-'Black-Scholes'!$B$10-'Black-Scholes'!$B$9^2/2)*'Black-Scholes'!$B$7+'Black-Scholes'!$B$9*SQRT('Black-Scholes'!$B$7)*B790)</f>
        <v>125.913845269133</v>
      </c>
      <c r="D790" s="18" t="n">
        <f aca="false">'Black-Scholes'!$B$5*EXP(('Black-Scholes'!$B$8-'Black-Scholes'!$B$10-'Black-Scholes'!$B$9^2/2)*'Black-Scholes'!$B$7-'Black-Scholes'!$B$9*SQRT('Black-Scholes'!$B$7)*B790)</f>
        <v>84.3304041962779</v>
      </c>
      <c r="E790" s="18" t="n">
        <f aca="false">EXP(-'Black-Scholes'!$B$8*'Black-Scholes'!$B$7)*IF(LOWER('Black-Scholes'!$B$11)="put",MAX('Black-Scholes'!$B$6-C790,0),MAX(C790-'Black-Scholes'!$B$6,0))</f>
        <v>24.6500121219581</v>
      </c>
      <c r="F790" s="18" t="n">
        <f aca="false">(E790+G790)/2</f>
        <v>12.3250060609791</v>
      </c>
      <c r="G790" s="18" t="n">
        <f aca="false">EXP(-'Black-Scholes'!$B$8*'Black-Scholes'!$B$7)*IF(LOWER('Black-Scholes'!$B$11)="put",MAX('Black-Scholes'!$B$6-D790,0),MAX(D790-'Black-Scholes'!$B$6,0))</f>
        <v>0</v>
      </c>
    </row>
    <row r="791" customFormat="false" ht="15" hidden="false" customHeight="false" outlineLevel="0" collapsed="false">
      <c r="A791" s="0" t="n">
        <v>780</v>
      </c>
      <c r="B791" s="15" t="n">
        <v>-0.551262194027173</v>
      </c>
      <c r="C791" s="18" t="n">
        <f aca="false">'Black-Scholes'!$B$5*EXP(('Black-Scholes'!$B$8-'Black-Scholes'!$B$10-'Black-Scholes'!$B$9^2/2)*'Black-Scholes'!$B$7+'Black-Scholes'!$B$9*SQRT('Black-Scholes'!$B$7)*B791)</f>
        <v>92.2883345409358</v>
      </c>
      <c r="D791" s="18" t="n">
        <f aca="false">'Black-Scholes'!$B$5*EXP(('Black-Scholes'!$B$8-'Black-Scholes'!$B$10-'Black-Scholes'!$B$9^2/2)*'Black-Scholes'!$B$7-'Black-Scholes'!$B$9*SQRT('Black-Scholes'!$B$7)*B791)</f>
        <v>115.056420925482</v>
      </c>
      <c r="E791" s="18" t="n">
        <f aca="false">EXP(-'Black-Scholes'!$B$8*'Black-Scholes'!$B$7)*IF(LOWER('Black-Scholes'!$B$11)="put",MAX('Black-Scholes'!$B$6-C791,0),MAX(C791-'Black-Scholes'!$B$6,0))</f>
        <v>0</v>
      </c>
      <c r="F791" s="18" t="n">
        <f aca="false">(E791+G791)/2</f>
        <v>7.1610553059933</v>
      </c>
      <c r="G791" s="18" t="n">
        <f aca="false">EXP(-'Black-Scholes'!$B$8*'Black-Scholes'!$B$7)*IF(LOWER('Black-Scholes'!$B$11)="put",MAX('Black-Scholes'!$B$6-D791,0),MAX(D791-'Black-Scholes'!$B$6,0))</f>
        <v>14.3221106119866</v>
      </c>
    </row>
    <row r="792" customFormat="false" ht="15" hidden="false" customHeight="false" outlineLevel="0" collapsed="false">
      <c r="A792" s="0" t="n">
        <v>781</v>
      </c>
      <c r="B792" s="15" t="n">
        <v>0.597996538137666</v>
      </c>
      <c r="C792" s="18" t="n">
        <f aca="false">'Black-Scholes'!$B$5*EXP(('Black-Scholes'!$B$8-'Black-Scholes'!$B$10-'Black-Scholes'!$B$9^2/2)*'Black-Scholes'!$B$7+'Black-Scholes'!$B$9*SQRT('Black-Scholes'!$B$7)*B792)</f>
        <v>116.136879786548</v>
      </c>
      <c r="D792" s="18" t="n">
        <f aca="false">'Black-Scholes'!$B$5*EXP(('Black-Scholes'!$B$8-'Black-Scholes'!$B$10-'Black-Scholes'!$B$9^2/2)*'Black-Scholes'!$B$7-'Black-Scholes'!$B$9*SQRT('Black-Scholes'!$B$7)*B792)</f>
        <v>91.4297463903752</v>
      </c>
      <c r="E792" s="18" t="n">
        <f aca="false">EXP(-'Black-Scholes'!$B$8*'Black-Scholes'!$B$7)*IF(LOWER('Black-Scholes'!$B$11)="put",MAX('Black-Scholes'!$B$6-C792,0),MAX(C792-'Black-Scholes'!$B$6,0))</f>
        <v>15.3498748725954</v>
      </c>
      <c r="F792" s="18" t="n">
        <f aca="false">(E792+G792)/2</f>
        <v>7.67493743629771</v>
      </c>
      <c r="G792" s="18" t="n">
        <f aca="false">EXP(-'Black-Scholes'!$B$8*'Black-Scholes'!$B$7)*IF(LOWER('Black-Scholes'!$B$11)="put",MAX('Black-Scholes'!$B$6-D792,0),MAX(D792-'Black-Scholes'!$B$6,0))</f>
        <v>0</v>
      </c>
    </row>
    <row r="793" customFormat="false" ht="15" hidden="false" customHeight="false" outlineLevel="0" collapsed="false">
      <c r="A793" s="0" t="n">
        <v>782</v>
      </c>
      <c r="B793" s="15" t="n">
        <v>0.36190119345084</v>
      </c>
      <c r="C793" s="18" t="n">
        <f aca="false">'Black-Scholes'!$B$5*EXP(('Black-Scholes'!$B$8-'Black-Scholes'!$B$10-'Black-Scholes'!$B$9^2/2)*'Black-Scholes'!$B$7+'Black-Scholes'!$B$9*SQRT('Black-Scholes'!$B$7)*B793)</f>
        <v>110.780462183244</v>
      </c>
      <c r="D793" s="18" t="n">
        <f aca="false">'Black-Scholes'!$B$5*EXP(('Black-Scholes'!$B$8-'Black-Scholes'!$B$10-'Black-Scholes'!$B$9^2/2)*'Black-Scholes'!$B$7-'Black-Scholes'!$B$9*SQRT('Black-Scholes'!$B$7)*B793)</f>
        <v>95.850525049169</v>
      </c>
      <c r="E793" s="18" t="n">
        <f aca="false">EXP(-'Black-Scholes'!$B$8*'Black-Scholes'!$B$7)*IF(LOWER('Black-Scholes'!$B$11)="put",MAX('Black-Scholes'!$B$6-C793,0),MAX(C793-'Black-Scholes'!$B$6,0))</f>
        <v>10.2546928384193</v>
      </c>
      <c r="F793" s="18" t="n">
        <f aca="false">(E793+G793)/2</f>
        <v>5.12734641920967</v>
      </c>
      <c r="G793" s="18" t="n">
        <f aca="false">EXP(-'Black-Scholes'!$B$8*'Black-Scholes'!$B$7)*IF(LOWER('Black-Scholes'!$B$11)="put",MAX('Black-Scholes'!$B$6-D793,0),MAX(D793-'Black-Scholes'!$B$6,0))</f>
        <v>0</v>
      </c>
    </row>
    <row r="794" customFormat="false" ht="15" hidden="false" customHeight="false" outlineLevel="0" collapsed="false">
      <c r="A794" s="0" t="n">
        <v>783</v>
      </c>
      <c r="B794" s="15" t="n">
        <v>-1.33290845085309</v>
      </c>
      <c r="C794" s="18" t="n">
        <f aca="false">'Black-Scholes'!$B$5*EXP(('Black-Scholes'!$B$8-'Black-Scholes'!$B$10-'Black-Scholes'!$B$9^2/2)*'Black-Scholes'!$B$7+'Black-Scholes'!$B$9*SQRT('Black-Scholes'!$B$7)*B794)</f>
        <v>78.9321399868386</v>
      </c>
      <c r="D794" s="18" t="n">
        <f aca="false">'Black-Scholes'!$B$5*EXP(('Black-Scholes'!$B$8-'Black-Scholes'!$B$10-'Black-Scholes'!$B$9^2/2)*'Black-Scholes'!$B$7-'Black-Scholes'!$B$9*SQRT('Black-Scholes'!$B$7)*B794)</f>
        <v>134.525244941087</v>
      </c>
      <c r="E794" s="18" t="n">
        <f aca="false">EXP(-'Black-Scholes'!$B$8*'Black-Scholes'!$B$7)*IF(LOWER('Black-Scholes'!$B$11)="put",MAX('Black-Scholes'!$B$6-C794,0),MAX(C794-'Black-Scholes'!$B$6,0))</f>
        <v>0</v>
      </c>
      <c r="F794" s="18" t="n">
        <f aca="false">(E794+G794)/2</f>
        <v>16.420714438028</v>
      </c>
      <c r="G794" s="18" t="n">
        <f aca="false">EXP(-'Black-Scholes'!$B$8*'Black-Scholes'!$B$7)*IF(LOWER('Black-Scholes'!$B$11)="put",MAX('Black-Scholes'!$B$6-D794,0),MAX(D794-'Black-Scholes'!$B$6,0))</f>
        <v>32.841428876056</v>
      </c>
    </row>
    <row r="795" customFormat="false" ht="15" hidden="false" customHeight="false" outlineLevel="0" collapsed="false">
      <c r="A795" s="0" t="n">
        <v>784</v>
      </c>
      <c r="B795" s="15" t="n">
        <v>-2.02342660020633</v>
      </c>
      <c r="C795" s="18" t="n">
        <f aca="false">'Black-Scholes'!$B$5*EXP(('Black-Scholes'!$B$8-'Black-Scholes'!$B$10-'Black-Scholes'!$B$9^2/2)*'Black-Scholes'!$B$7+'Black-Scholes'!$B$9*SQRT('Black-Scholes'!$B$7)*B795)</f>
        <v>68.7505588985318</v>
      </c>
      <c r="D795" s="18" t="n">
        <f aca="false">'Black-Scholes'!$B$5*EXP(('Black-Scholes'!$B$8-'Black-Scholes'!$B$10-'Black-Scholes'!$B$9^2/2)*'Black-Scholes'!$B$7-'Black-Scholes'!$B$9*SQRT('Black-Scholes'!$B$7)*B795)</f>
        <v>154.447696652548</v>
      </c>
      <c r="E795" s="18" t="n">
        <f aca="false">EXP(-'Black-Scholes'!$B$8*'Black-Scholes'!$B$7)*IF(LOWER('Black-Scholes'!$B$11)="put",MAX('Black-Scholes'!$B$6-C795,0),MAX(C795-'Black-Scholes'!$B$6,0))</f>
        <v>0</v>
      </c>
      <c r="F795" s="18" t="n">
        <f aca="false">(E795+G795)/2</f>
        <v>25.8961255760965</v>
      </c>
      <c r="G795" s="18" t="n">
        <f aca="false">EXP(-'Black-Scholes'!$B$8*'Black-Scholes'!$B$7)*IF(LOWER('Black-Scholes'!$B$11)="put",MAX('Black-Scholes'!$B$6-D795,0),MAX(D795-'Black-Scholes'!$B$6,0))</f>
        <v>51.7922511521931</v>
      </c>
    </row>
    <row r="796" customFormat="false" ht="15" hidden="false" customHeight="false" outlineLevel="0" collapsed="false">
      <c r="A796" s="0" t="n">
        <v>785</v>
      </c>
      <c r="B796" s="15" t="n">
        <v>-0.96087989371158</v>
      </c>
      <c r="C796" s="18" t="n">
        <f aca="false">'Black-Scholes'!$B$5*EXP(('Black-Scholes'!$B$8-'Black-Scholes'!$B$10-'Black-Scholes'!$B$9^2/2)*'Black-Scholes'!$B$7+'Black-Scholes'!$B$9*SQRT('Black-Scholes'!$B$7)*B796)</f>
        <v>85.0291558134324</v>
      </c>
      <c r="D796" s="18" t="n">
        <f aca="false">'Black-Scholes'!$B$5*EXP(('Black-Scholes'!$B$8-'Black-Scholes'!$B$10-'Black-Scholes'!$B$9^2/2)*'Black-Scholes'!$B$7-'Black-Scholes'!$B$9*SQRT('Black-Scholes'!$B$7)*B796)</f>
        <v>124.879111921939</v>
      </c>
      <c r="E796" s="18" t="n">
        <f aca="false">EXP(-'Black-Scholes'!$B$8*'Black-Scholes'!$B$7)*IF(LOWER('Black-Scholes'!$B$11)="put",MAX('Black-Scholes'!$B$6-C796,0),MAX(C796-'Black-Scholes'!$B$6,0))</f>
        <v>0</v>
      </c>
      <c r="F796" s="18" t="n">
        <f aca="false">(E796+G796)/2</f>
        <v>11.8328716577974</v>
      </c>
      <c r="G796" s="18" t="n">
        <f aca="false">EXP(-'Black-Scholes'!$B$8*'Black-Scholes'!$B$7)*IF(LOWER('Black-Scholes'!$B$11)="put",MAX('Black-Scholes'!$B$6-D796,0),MAX(D796-'Black-Scholes'!$B$6,0))</f>
        <v>23.6657433155947</v>
      </c>
    </row>
    <row r="797" customFormat="false" ht="15" hidden="false" customHeight="false" outlineLevel="0" collapsed="false">
      <c r="A797" s="0" t="n">
        <v>786</v>
      </c>
      <c r="B797" s="15" t="n">
        <v>0.664633612800695</v>
      </c>
      <c r="C797" s="18" t="n">
        <f aca="false">'Black-Scholes'!$B$5*EXP(('Black-Scholes'!$B$8-'Black-Scholes'!$B$10-'Black-Scholes'!$B$9^2/2)*'Black-Scholes'!$B$7+'Black-Scholes'!$B$9*SQRT('Black-Scholes'!$B$7)*B797)</f>
        <v>117.695044261325</v>
      </c>
      <c r="D797" s="18" t="n">
        <f aca="false">'Black-Scholes'!$B$5*EXP(('Black-Scholes'!$B$8-'Black-Scholes'!$B$10-'Black-Scholes'!$B$9^2/2)*'Black-Scholes'!$B$7-'Black-Scholes'!$B$9*SQRT('Black-Scholes'!$B$7)*B797)</f>
        <v>90.2193081458645</v>
      </c>
      <c r="E797" s="18" t="n">
        <f aca="false">EXP(-'Black-Scholes'!$B$8*'Black-Scholes'!$B$7)*IF(LOWER('Black-Scholes'!$B$11)="put",MAX('Black-Scholes'!$B$6-C797,0),MAX(C797-'Black-Scholes'!$B$6,0))</f>
        <v>16.8320467692144</v>
      </c>
      <c r="F797" s="18" t="n">
        <f aca="false">(E797+G797)/2</f>
        <v>8.4160233846072</v>
      </c>
      <c r="G797" s="18" t="n">
        <f aca="false">EXP(-'Black-Scholes'!$B$8*'Black-Scholes'!$B$7)*IF(LOWER('Black-Scholes'!$B$11)="put",MAX('Black-Scholes'!$B$6-D797,0),MAX(D797-'Black-Scholes'!$B$6,0))</f>
        <v>0</v>
      </c>
    </row>
    <row r="798" customFormat="false" ht="15" hidden="false" customHeight="false" outlineLevel="0" collapsed="false">
      <c r="A798" s="0" t="n">
        <v>787</v>
      </c>
      <c r="B798" s="15" t="n">
        <v>-0.29470099099013</v>
      </c>
      <c r="C798" s="18" t="n">
        <f aca="false">'Black-Scholes'!$B$5*EXP(('Black-Scholes'!$B$8-'Black-Scholes'!$B$10-'Black-Scholes'!$B$9^2/2)*'Black-Scholes'!$B$7+'Black-Scholes'!$B$9*SQRT('Black-Scholes'!$B$7)*B798)</f>
        <v>97.1474558658698</v>
      </c>
      <c r="D798" s="18" t="n">
        <f aca="false">'Black-Scholes'!$B$5*EXP(('Black-Scholes'!$B$8-'Black-Scholes'!$B$10-'Black-Scholes'!$B$9^2/2)*'Black-Scholes'!$B$7-'Black-Scholes'!$B$9*SQRT('Black-Scholes'!$B$7)*B798)</f>
        <v>109.301529008791</v>
      </c>
      <c r="E798" s="18" t="n">
        <f aca="false">EXP(-'Black-Scholes'!$B$8*'Black-Scholes'!$B$7)*IF(LOWER('Black-Scholes'!$B$11)="put",MAX('Black-Scholes'!$B$6-C798,0),MAX(C798-'Black-Scholes'!$B$6,0))</f>
        <v>0</v>
      </c>
      <c r="F798" s="18" t="n">
        <f aca="false">(E798+G798)/2</f>
        <v>4.42394404300438</v>
      </c>
      <c r="G798" s="18" t="n">
        <f aca="false">EXP(-'Black-Scholes'!$B$8*'Black-Scholes'!$B$7)*IF(LOWER('Black-Scholes'!$B$11)="put",MAX('Black-Scholes'!$B$6-D798,0),MAX(D798-'Black-Scholes'!$B$6,0))</f>
        <v>8.84788808600875</v>
      </c>
    </row>
    <row r="799" customFormat="false" ht="15" hidden="false" customHeight="false" outlineLevel="0" collapsed="false">
      <c r="A799" s="0" t="n">
        <v>788</v>
      </c>
      <c r="B799" s="15" t="n">
        <v>0.474197746009646</v>
      </c>
      <c r="C799" s="18" t="n">
        <f aca="false">'Black-Scholes'!$B$5*EXP(('Black-Scholes'!$B$8-'Black-Scholes'!$B$10-'Black-Scholes'!$B$9^2/2)*'Black-Scholes'!$B$7+'Black-Scholes'!$B$9*SQRT('Black-Scholes'!$B$7)*B799)</f>
        <v>113.296665307857</v>
      </c>
      <c r="D799" s="18" t="n">
        <f aca="false">'Black-Scholes'!$B$5*EXP(('Black-Scholes'!$B$8-'Black-Scholes'!$B$10-'Black-Scholes'!$B$9^2/2)*'Black-Scholes'!$B$7-'Black-Scholes'!$B$9*SQRT('Black-Scholes'!$B$7)*B799)</f>
        <v>93.7217828662541</v>
      </c>
      <c r="E799" s="18" t="n">
        <f aca="false">EXP(-'Black-Scholes'!$B$8*'Black-Scholes'!$B$7)*IF(LOWER('Black-Scholes'!$B$11)="put",MAX('Black-Scholes'!$B$6-C799,0),MAX(C799-'Black-Scholes'!$B$6,0))</f>
        <v>12.648179288571</v>
      </c>
      <c r="F799" s="18" t="n">
        <f aca="false">(E799+G799)/2</f>
        <v>6.3240896442855</v>
      </c>
      <c r="G799" s="18" t="n">
        <f aca="false">EXP(-'Black-Scholes'!$B$8*'Black-Scholes'!$B$7)*IF(LOWER('Black-Scholes'!$B$11)="put",MAX('Black-Scholes'!$B$6-D799,0),MAX(D799-'Black-Scholes'!$B$6,0))</f>
        <v>0</v>
      </c>
    </row>
    <row r="800" customFormat="false" ht="15" hidden="false" customHeight="false" outlineLevel="0" collapsed="false">
      <c r="A800" s="0" t="n">
        <v>789</v>
      </c>
      <c r="B800" s="15" t="n">
        <v>0.283260558366803</v>
      </c>
      <c r="C800" s="18" t="n">
        <f aca="false">'Black-Scholes'!$B$5*EXP(('Black-Scholes'!$B$8-'Black-Scholes'!$B$10-'Black-Scholes'!$B$9^2/2)*'Black-Scholes'!$B$7+'Black-Scholes'!$B$9*SQRT('Black-Scholes'!$B$7)*B800)</f>
        <v>109.051723550377</v>
      </c>
      <c r="D800" s="18" t="n">
        <f aca="false">'Black-Scholes'!$B$5*EXP(('Black-Scholes'!$B$8-'Black-Scholes'!$B$10-'Black-Scholes'!$B$9^2/2)*'Black-Scholes'!$B$7-'Black-Scholes'!$B$9*SQRT('Black-Scholes'!$B$7)*B800)</f>
        <v>97.3699921445846</v>
      </c>
      <c r="E800" s="18" t="n">
        <f aca="false">EXP(-'Black-Scholes'!$B$8*'Black-Scholes'!$B$7)*IF(LOWER('Black-Scholes'!$B$11)="put",MAX('Black-Scholes'!$B$6-C800,0),MAX(C800-'Black-Scholes'!$B$6,0))</f>
        <v>8.61026578356442</v>
      </c>
      <c r="F800" s="18" t="n">
        <f aca="false">(E800+G800)/2</f>
        <v>4.30513289178221</v>
      </c>
      <c r="G800" s="18" t="n">
        <f aca="false">EXP(-'Black-Scholes'!$B$8*'Black-Scholes'!$B$7)*IF(LOWER('Black-Scholes'!$B$11)="put",MAX('Black-Scholes'!$B$6-D800,0),MAX(D800-'Black-Scholes'!$B$6,0))</f>
        <v>0</v>
      </c>
    </row>
    <row r="801" customFormat="false" ht="15" hidden="false" customHeight="false" outlineLevel="0" collapsed="false">
      <c r="A801" s="0" t="n">
        <v>790</v>
      </c>
      <c r="B801" s="15" t="n">
        <v>0.421663691181461</v>
      </c>
      <c r="C801" s="18" t="n">
        <f aca="false">'Black-Scholes'!$B$5*EXP(('Black-Scholes'!$B$8-'Black-Scholes'!$B$10-'Black-Scholes'!$B$9^2/2)*'Black-Scholes'!$B$7+'Black-Scholes'!$B$9*SQRT('Black-Scholes'!$B$7)*B801)</f>
        <v>112.112510401828</v>
      </c>
      <c r="D801" s="18" t="n">
        <f aca="false">'Black-Scholes'!$B$5*EXP(('Black-Scholes'!$B$8-'Black-Scholes'!$B$10-'Black-Scholes'!$B$9^2/2)*'Black-Scholes'!$B$7-'Black-Scholes'!$B$9*SQRT('Black-Scholes'!$B$7)*B801)</f>
        <v>94.7116912055204</v>
      </c>
      <c r="E801" s="18" t="n">
        <f aca="false">EXP(-'Black-Scholes'!$B$8*'Black-Scholes'!$B$7)*IF(LOWER('Black-Scholes'!$B$11)="put",MAX('Black-Scholes'!$B$6-C801,0),MAX(C801-'Black-Scholes'!$B$6,0))</f>
        <v>11.5217762987894</v>
      </c>
      <c r="F801" s="18" t="n">
        <f aca="false">(E801+G801)/2</f>
        <v>5.7608881493947</v>
      </c>
      <c r="G801" s="18" t="n">
        <f aca="false">EXP(-'Black-Scholes'!$B$8*'Black-Scholes'!$B$7)*IF(LOWER('Black-Scholes'!$B$11)="put",MAX('Black-Scholes'!$B$6-D801,0),MAX(D801-'Black-Scholes'!$B$6,0))</f>
        <v>0</v>
      </c>
    </row>
    <row r="802" customFormat="false" ht="15" hidden="false" customHeight="false" outlineLevel="0" collapsed="false">
      <c r="A802" s="0" t="n">
        <v>791</v>
      </c>
      <c r="B802" s="15" t="n">
        <v>-0.454763092282943</v>
      </c>
      <c r="C802" s="18" t="n">
        <f aca="false">'Black-Scholes'!$B$5*EXP(('Black-Scholes'!$B$8-'Black-Scholes'!$B$10-'Black-Scholes'!$B$9^2/2)*'Black-Scholes'!$B$7+'Black-Scholes'!$B$9*SQRT('Black-Scholes'!$B$7)*B802)</f>
        <v>94.0867818489284</v>
      </c>
      <c r="D802" s="18" t="n">
        <f aca="false">'Black-Scholes'!$B$5*EXP(('Black-Scholes'!$B$8-'Black-Scholes'!$B$10-'Black-Scholes'!$B$9^2/2)*'Black-Scholes'!$B$7-'Black-Scholes'!$B$9*SQRT('Black-Scholes'!$B$7)*B802)</f>
        <v>112.857143764393</v>
      </c>
      <c r="E802" s="18" t="n">
        <f aca="false">EXP(-'Black-Scholes'!$B$8*'Black-Scholes'!$B$7)*IF(LOWER('Black-Scholes'!$B$11)="put",MAX('Black-Scholes'!$B$6-C802,0),MAX(C802-'Black-Scholes'!$B$6,0))</f>
        <v>0</v>
      </c>
      <c r="F802" s="18" t="n">
        <f aca="false">(E802+G802)/2</f>
        <v>6.11504673186329</v>
      </c>
      <c r="G802" s="18" t="n">
        <f aca="false">EXP(-'Black-Scholes'!$B$8*'Black-Scholes'!$B$7)*IF(LOWER('Black-Scholes'!$B$11)="put",MAX('Black-Scholes'!$B$6-D802,0),MAX(D802-'Black-Scholes'!$B$6,0))</f>
        <v>12.2300934637266</v>
      </c>
    </row>
    <row r="803" customFormat="false" ht="15" hidden="false" customHeight="false" outlineLevel="0" collapsed="false">
      <c r="A803" s="0" t="n">
        <v>792</v>
      </c>
      <c r="B803" s="15" t="n">
        <v>-2.62552245025982</v>
      </c>
      <c r="C803" s="18" t="n">
        <f aca="false">'Black-Scholes'!$B$5*EXP(('Black-Scholes'!$B$8-'Black-Scholes'!$B$10-'Black-Scholes'!$B$9^2/2)*'Black-Scholes'!$B$7+'Black-Scholes'!$B$9*SQRT('Black-Scholes'!$B$7)*B803)</f>
        <v>60.9507216528114</v>
      </c>
      <c r="D803" s="18" t="n">
        <f aca="false">'Black-Scholes'!$B$5*EXP(('Black-Scholes'!$B$8-'Black-Scholes'!$B$10-'Black-Scholes'!$B$9^2/2)*'Black-Scholes'!$B$7-'Black-Scholes'!$B$9*SQRT('Black-Scholes'!$B$7)*B803)</f>
        <v>174.212300978783</v>
      </c>
      <c r="E803" s="18" t="n">
        <f aca="false">EXP(-'Black-Scholes'!$B$8*'Black-Scholes'!$B$7)*IF(LOWER('Black-Scholes'!$B$11)="put",MAX('Black-Scholes'!$B$6-C803,0),MAX(C803-'Black-Scholes'!$B$6,0))</f>
        <v>0</v>
      </c>
      <c r="F803" s="18" t="n">
        <f aca="false">(E803+G803)/2</f>
        <v>35.2964621754607</v>
      </c>
      <c r="G803" s="18" t="n">
        <f aca="false">EXP(-'Black-Scholes'!$B$8*'Black-Scholes'!$B$7)*IF(LOWER('Black-Scholes'!$B$11)="put",MAX('Black-Scholes'!$B$6-D803,0),MAX(D803-'Black-Scholes'!$B$6,0))</f>
        <v>70.5929243509214</v>
      </c>
    </row>
    <row r="804" customFormat="false" ht="15" hidden="false" customHeight="false" outlineLevel="0" collapsed="false">
      <c r="A804" s="0" t="n">
        <v>793</v>
      </c>
      <c r="B804" s="15" t="n">
        <v>0.533226148139978</v>
      </c>
      <c r="C804" s="18" t="n">
        <f aca="false">'Black-Scholes'!$B$5*EXP(('Black-Scholes'!$B$8-'Black-Scholes'!$B$10-'Black-Scholes'!$B$9^2/2)*'Black-Scholes'!$B$7+'Black-Scholes'!$B$9*SQRT('Black-Scholes'!$B$7)*B804)</f>
        <v>114.642136003404</v>
      </c>
      <c r="D804" s="18" t="n">
        <f aca="false">'Black-Scholes'!$B$5*EXP(('Black-Scholes'!$B$8-'Black-Scholes'!$B$10-'Black-Scholes'!$B$9^2/2)*'Black-Scholes'!$B$7-'Black-Scholes'!$B$9*SQRT('Black-Scholes'!$B$7)*B804)</f>
        <v>92.6218390168368</v>
      </c>
      <c r="E804" s="18" t="n">
        <f aca="false">EXP(-'Black-Scholes'!$B$8*'Black-Scholes'!$B$7)*IF(LOWER('Black-Scholes'!$B$11)="put",MAX('Black-Scholes'!$B$6-C804,0),MAX(C804-'Black-Scholes'!$B$6,0))</f>
        <v>13.9280306039792</v>
      </c>
      <c r="F804" s="18" t="n">
        <f aca="false">(E804+G804)/2</f>
        <v>6.9640153019896</v>
      </c>
      <c r="G804" s="18" t="n">
        <f aca="false">EXP(-'Black-Scholes'!$B$8*'Black-Scholes'!$B$7)*IF(LOWER('Black-Scholes'!$B$11)="put",MAX('Black-Scholes'!$B$6-D804,0),MAX(D804-'Black-Scholes'!$B$6,0))</f>
        <v>0</v>
      </c>
    </row>
    <row r="805" customFormat="false" ht="15" hidden="false" customHeight="false" outlineLevel="0" collapsed="false">
      <c r="A805" s="0" t="n">
        <v>794</v>
      </c>
      <c r="B805" s="15" t="n">
        <v>0.0749702212201963</v>
      </c>
      <c r="C805" s="18" t="n">
        <f aca="false">'Black-Scholes'!$B$5*EXP(('Black-Scholes'!$B$8-'Black-Scholes'!$B$10-'Black-Scholes'!$B$9^2/2)*'Black-Scholes'!$B$7+'Black-Scholes'!$B$9*SQRT('Black-Scholes'!$B$7)*B805)</f>
        <v>104.602163004061</v>
      </c>
      <c r="D805" s="18" t="n">
        <f aca="false">'Black-Scholes'!$B$5*EXP(('Black-Scholes'!$B$8-'Black-Scholes'!$B$10-'Black-Scholes'!$B$9^2/2)*'Black-Scholes'!$B$7-'Black-Scholes'!$B$9*SQRT('Black-Scholes'!$B$7)*B805)</f>
        <v>101.511911039941</v>
      </c>
      <c r="E805" s="18" t="n">
        <f aca="false">EXP(-'Black-Scholes'!$B$8*'Black-Scholes'!$B$7)*IF(LOWER('Black-Scholes'!$B$11)="put",MAX('Black-Scholes'!$B$6-C805,0),MAX(C805-'Black-Scholes'!$B$6,0))</f>
        <v>4.37771286581112</v>
      </c>
      <c r="F805" s="18" t="n">
        <f aca="false">(E805+G805)/2</f>
        <v>2.90794356711514</v>
      </c>
      <c r="G805" s="18" t="n">
        <f aca="false">EXP(-'Black-Scholes'!$B$8*'Black-Scholes'!$B$7)*IF(LOWER('Black-Scholes'!$B$11)="put",MAX('Black-Scholes'!$B$6-D805,0),MAX(D805-'Black-Scholes'!$B$6,0))</f>
        <v>1.43817426841916</v>
      </c>
    </row>
    <row r="806" customFormat="false" ht="15" hidden="false" customHeight="false" outlineLevel="0" collapsed="false">
      <c r="A806" s="0" t="n">
        <v>795</v>
      </c>
      <c r="B806" s="15" t="n">
        <v>-0.122864241418176</v>
      </c>
      <c r="C806" s="18" t="n">
        <f aca="false">'Black-Scholes'!$B$5*EXP(('Black-Scholes'!$B$8-'Black-Scholes'!$B$10-'Black-Scholes'!$B$9^2/2)*'Black-Scholes'!$B$7+'Black-Scholes'!$B$9*SQRT('Black-Scholes'!$B$7)*B806)</f>
        <v>100.544190538229</v>
      </c>
      <c r="D806" s="18" t="n">
        <f aca="false">'Black-Scholes'!$B$5*EXP(('Black-Scholes'!$B$8-'Black-Scholes'!$B$10-'Black-Scholes'!$B$9^2/2)*'Black-Scholes'!$B$7-'Black-Scholes'!$B$9*SQRT('Black-Scholes'!$B$7)*B806)</f>
        <v>105.608940791226</v>
      </c>
      <c r="E806" s="18" t="n">
        <f aca="false">EXP(-'Black-Scholes'!$B$8*'Black-Scholes'!$B$7)*IF(LOWER('Black-Scholes'!$B$11)="put",MAX('Black-Scholes'!$B$6-C806,0),MAX(C806-'Black-Scholes'!$B$6,0))</f>
        <v>0.517650052498646</v>
      </c>
      <c r="F806" s="18" t="n">
        <f aca="false">(E806+G806)/2</f>
        <v>2.92651978669751</v>
      </c>
      <c r="G806" s="18" t="n">
        <f aca="false">EXP(-'Black-Scholes'!$B$8*'Black-Scholes'!$B$7)*IF(LOWER('Black-Scholes'!$B$11)="put",MAX('Black-Scholes'!$B$6-D806,0),MAX(D806-'Black-Scholes'!$B$6,0))</f>
        <v>5.33538952089637</v>
      </c>
    </row>
    <row r="807" customFormat="false" ht="15" hidden="false" customHeight="false" outlineLevel="0" collapsed="false">
      <c r="A807" s="0" t="n">
        <v>796</v>
      </c>
      <c r="B807" s="15" t="n">
        <v>-0.00459035077826704</v>
      </c>
      <c r="C807" s="18" t="n">
        <f aca="false">'Black-Scholes'!$B$5*EXP(('Black-Scholes'!$B$8-'Black-Scholes'!$B$10-'Black-Scholes'!$B$9^2/2)*'Black-Scholes'!$B$7+'Black-Scholes'!$B$9*SQRT('Black-Scholes'!$B$7)*B807)</f>
        <v>102.950893852702</v>
      </c>
      <c r="D807" s="18" t="n">
        <f aca="false">'Black-Scholes'!$B$5*EXP(('Black-Scholes'!$B$8-'Black-Scholes'!$B$10-'Black-Scholes'!$B$9^2/2)*'Black-Scholes'!$B$7-'Black-Scholes'!$B$9*SQRT('Black-Scholes'!$B$7)*B807)</f>
        <v>103.140099790157</v>
      </c>
      <c r="E807" s="18" t="n">
        <f aca="false">EXP(-'Black-Scholes'!$B$8*'Black-Scholes'!$B$7)*IF(LOWER('Black-Scholes'!$B$11)="put",MAX('Black-Scholes'!$B$6-C807,0),MAX(C807-'Black-Scholes'!$B$6,0))</f>
        <v>2.80697706126871</v>
      </c>
      <c r="F807" s="18" t="n">
        <f aca="false">(E807+G807)/2</f>
        <v>2.89696618876738</v>
      </c>
      <c r="G807" s="18" t="n">
        <f aca="false">EXP(-'Black-Scholes'!$B$8*'Black-Scholes'!$B$7)*IF(LOWER('Black-Scholes'!$B$11)="put",MAX('Black-Scholes'!$B$6-D807,0),MAX(D807-'Black-Scholes'!$B$6,0))</f>
        <v>2.98695531626604</v>
      </c>
    </row>
    <row r="808" customFormat="false" ht="15" hidden="false" customHeight="false" outlineLevel="0" collapsed="false">
      <c r="A808" s="0" t="n">
        <v>797</v>
      </c>
      <c r="B808" s="15" t="n">
        <v>0.749155529507487</v>
      </c>
      <c r="C808" s="18" t="n">
        <f aca="false">'Black-Scholes'!$B$5*EXP(('Black-Scholes'!$B$8-'Black-Scholes'!$B$10-'Black-Scholes'!$B$9^2/2)*'Black-Scholes'!$B$7+'Black-Scholes'!$B$9*SQRT('Black-Scholes'!$B$7)*B808)</f>
        <v>119.701517724904</v>
      </c>
      <c r="D808" s="18" t="n">
        <f aca="false">'Black-Scholes'!$B$5*EXP(('Black-Scholes'!$B$8-'Black-Scholes'!$B$10-'Black-Scholes'!$B$9^2/2)*'Black-Scholes'!$B$7-'Black-Scholes'!$B$9*SQRT('Black-Scholes'!$B$7)*B808)</f>
        <v>88.7070244995271</v>
      </c>
      <c r="E808" s="18" t="n">
        <f aca="false">EXP(-'Black-Scholes'!$B$8*'Black-Scholes'!$B$7)*IF(LOWER('Black-Scholes'!$B$11)="put",MAX('Black-Scholes'!$B$6-C808,0),MAX(C808-'Black-Scholes'!$B$6,0))</f>
        <v>18.7406633672506</v>
      </c>
      <c r="F808" s="18" t="n">
        <f aca="false">(E808+G808)/2</f>
        <v>9.37033168362529</v>
      </c>
      <c r="G808" s="18" t="n">
        <f aca="false">EXP(-'Black-Scholes'!$B$8*'Black-Scholes'!$B$7)*IF(LOWER('Black-Scholes'!$B$11)="put",MAX('Black-Scholes'!$B$6-D808,0),MAX(D808-'Black-Scholes'!$B$6,0))</f>
        <v>0</v>
      </c>
    </row>
    <row r="809" customFormat="false" ht="15" hidden="false" customHeight="false" outlineLevel="0" collapsed="false">
      <c r="A809" s="0" t="n">
        <v>798</v>
      </c>
      <c r="B809" s="15" t="n">
        <v>-0.933432752356585</v>
      </c>
      <c r="C809" s="18" t="n">
        <f aca="false">'Black-Scholes'!$B$5*EXP(('Black-Scholes'!$B$8-'Black-Scholes'!$B$10-'Black-Scholes'!$B$9^2/2)*'Black-Scholes'!$B$7+'Black-Scholes'!$B$9*SQRT('Black-Scholes'!$B$7)*B809)</f>
        <v>85.4972007394069</v>
      </c>
      <c r="D809" s="18" t="n">
        <f aca="false">'Black-Scholes'!$B$5*EXP(('Black-Scholes'!$B$8-'Black-Scholes'!$B$10-'Black-Scholes'!$B$9^2/2)*'Black-Scholes'!$B$7-'Black-Scholes'!$B$9*SQRT('Black-Scholes'!$B$7)*B809)</f>
        <v>124.195475098864</v>
      </c>
      <c r="E809" s="18" t="n">
        <f aca="false">EXP(-'Black-Scholes'!$B$8*'Black-Scholes'!$B$7)*IF(LOWER('Black-Scholes'!$B$11)="put",MAX('Black-Scholes'!$B$6-C809,0),MAX(C809-'Black-Scholes'!$B$6,0))</f>
        <v>0</v>
      </c>
      <c r="F809" s="18" t="n">
        <f aca="false">(E809+G809)/2</f>
        <v>11.507723926907</v>
      </c>
      <c r="G809" s="18" t="n">
        <f aca="false">EXP(-'Black-Scholes'!$B$8*'Black-Scholes'!$B$7)*IF(LOWER('Black-Scholes'!$B$11)="put",MAX('Black-Scholes'!$B$6-D809,0),MAX(D809-'Black-Scholes'!$B$6,0))</f>
        <v>23.0154478538139</v>
      </c>
    </row>
    <row r="810" customFormat="false" ht="15" hidden="false" customHeight="false" outlineLevel="0" collapsed="false">
      <c r="A810" s="0" t="n">
        <v>799</v>
      </c>
      <c r="B810" s="15" t="n">
        <v>-0.597822904371967</v>
      </c>
      <c r="C810" s="18" t="n">
        <f aca="false">'Black-Scholes'!$B$5*EXP(('Black-Scholes'!$B$8-'Black-Scholes'!$B$10-'Black-Scholes'!$B$9^2/2)*'Black-Scholes'!$B$7+'Black-Scholes'!$B$9*SQRT('Black-Scholes'!$B$7)*B810)</f>
        <v>91.4329215037381</v>
      </c>
      <c r="D810" s="18" t="n">
        <f aca="false">'Black-Scholes'!$B$5*EXP(('Black-Scholes'!$B$8-'Black-Scholes'!$B$10-'Black-Scholes'!$B$9^2/2)*'Black-Scholes'!$B$7-'Black-Scholes'!$B$9*SQRT('Black-Scholes'!$B$7)*B810)</f>
        <v>116.13284679982</v>
      </c>
      <c r="E810" s="18" t="n">
        <f aca="false">EXP(-'Black-Scholes'!$B$8*'Black-Scholes'!$B$7)*IF(LOWER('Black-Scholes'!$B$11)="put",MAX('Black-Scholes'!$B$6-C810,0),MAX(C810-'Black-Scholes'!$B$6,0))</f>
        <v>0</v>
      </c>
      <c r="F810" s="18" t="n">
        <f aca="false">(E810+G810)/2</f>
        <v>7.67301928847552</v>
      </c>
      <c r="G810" s="18" t="n">
        <f aca="false">EXP(-'Black-Scholes'!$B$8*'Black-Scholes'!$B$7)*IF(LOWER('Black-Scholes'!$B$11)="put",MAX('Black-Scholes'!$B$6-D810,0),MAX(D810-'Black-Scholes'!$B$6,0))</f>
        <v>15.346038576951</v>
      </c>
    </row>
    <row r="811" customFormat="false" ht="15" hidden="false" customHeight="false" outlineLevel="0" collapsed="false">
      <c r="A811" s="0" t="n">
        <v>800</v>
      </c>
      <c r="B811" s="15" t="n">
        <v>0.356862868170935</v>
      </c>
      <c r="C811" s="18" t="n">
        <f aca="false">'Black-Scholes'!$B$5*EXP(('Black-Scholes'!$B$8-'Black-Scholes'!$B$10-'Black-Scholes'!$B$9^2/2)*'Black-Scholes'!$B$7+'Black-Scholes'!$B$9*SQRT('Black-Scholes'!$B$7)*B811)</f>
        <v>110.668888806354</v>
      </c>
      <c r="D811" s="18" t="n">
        <f aca="false">'Black-Scholes'!$B$5*EXP(('Black-Scholes'!$B$8-'Black-Scholes'!$B$10-'Black-Scholes'!$B$9^2/2)*'Black-Scholes'!$B$7-'Black-Scholes'!$B$9*SQRT('Black-Scholes'!$B$7)*B811)</f>
        <v>95.9471589529858</v>
      </c>
      <c r="E811" s="18" t="n">
        <f aca="false">EXP(-'Black-Scholes'!$B$8*'Black-Scholes'!$B$7)*IF(LOWER('Black-Scholes'!$B$11)="put",MAX('Black-Scholes'!$B$6-C811,0),MAX(C811-'Black-Scholes'!$B$6,0))</f>
        <v>10.1485609593306</v>
      </c>
      <c r="F811" s="18" t="n">
        <f aca="false">(E811+G811)/2</f>
        <v>5.0742804796653</v>
      </c>
      <c r="G811" s="18" t="n">
        <f aca="false">EXP(-'Black-Scholes'!$B$8*'Black-Scholes'!$B$7)*IF(LOWER('Black-Scholes'!$B$11)="put",MAX('Black-Scholes'!$B$6-D811,0),MAX(D811-'Black-Scholes'!$B$6,0))</f>
        <v>0</v>
      </c>
    </row>
    <row r="812" customFormat="false" ht="15" hidden="false" customHeight="false" outlineLevel="0" collapsed="false">
      <c r="A812" s="0" t="n">
        <v>801</v>
      </c>
      <c r="B812" s="15" t="n">
        <v>0.0405720499141975</v>
      </c>
      <c r="C812" s="18" t="n">
        <f aca="false">'Black-Scholes'!$B$5*EXP(('Black-Scholes'!$B$8-'Black-Scholes'!$B$10-'Black-Scholes'!$B$9^2/2)*'Black-Scholes'!$B$7+'Black-Scholes'!$B$9*SQRT('Black-Scholes'!$B$7)*B812)</f>
        <v>103.88500808996</v>
      </c>
      <c r="D812" s="18" t="n">
        <f aca="false">'Black-Scholes'!$B$5*EXP(('Black-Scholes'!$B$8-'Black-Scholes'!$B$10-'Black-Scholes'!$B$9^2/2)*'Black-Scholes'!$B$7-'Black-Scholes'!$B$9*SQRT('Black-Scholes'!$B$7)*B812)</f>
        <v>102.212683626675</v>
      </c>
      <c r="E812" s="18" t="n">
        <f aca="false">EXP(-'Black-Scholes'!$B$8*'Black-Scholes'!$B$7)*IF(LOWER('Black-Scholes'!$B$11)="put",MAX('Black-Scholes'!$B$6-C812,0),MAX(C812-'Black-Scholes'!$B$6,0))</f>
        <v>3.69553400959295</v>
      </c>
      <c r="F812" s="18" t="n">
        <f aca="false">(E812+G812)/2</f>
        <v>2.90015189119848</v>
      </c>
      <c r="G812" s="18" t="n">
        <f aca="false">EXP(-'Black-Scholes'!$B$8*'Black-Scholes'!$B$7)*IF(LOWER('Black-Scholes'!$B$11)="put",MAX('Black-Scholes'!$B$6-D812,0),MAX(D812-'Black-Scholes'!$B$6,0))</f>
        <v>2.104769772804</v>
      </c>
    </row>
    <row r="813" customFormat="false" ht="15" hidden="false" customHeight="false" outlineLevel="0" collapsed="false">
      <c r="A813" s="0" t="n">
        <v>802</v>
      </c>
      <c r="B813" s="15" t="n">
        <v>-0.410870350983313</v>
      </c>
      <c r="C813" s="18" t="n">
        <f aca="false">'Black-Scholes'!$B$5*EXP(('Black-Scholes'!$B$8-'Black-Scholes'!$B$10-'Black-Scholes'!$B$9^2/2)*'Black-Scholes'!$B$7+'Black-Scholes'!$B$9*SQRT('Black-Scholes'!$B$7)*B813)</f>
        <v>94.9163631362044</v>
      </c>
      <c r="D813" s="18" t="n">
        <f aca="false">'Black-Scholes'!$B$5*EXP(('Black-Scholes'!$B$8-'Black-Scholes'!$B$10-'Black-Scholes'!$B$9^2/2)*'Black-Scholes'!$B$7-'Black-Scholes'!$B$9*SQRT('Black-Scholes'!$B$7)*B813)</f>
        <v>111.870757734536</v>
      </c>
      <c r="E813" s="18" t="n">
        <f aca="false">EXP(-'Black-Scholes'!$B$8*'Black-Scholes'!$B$7)*IF(LOWER('Black-Scholes'!$B$11)="put",MAX('Black-Scholes'!$B$6-C813,0),MAX(C813-'Black-Scholes'!$B$6,0))</f>
        <v>0</v>
      </c>
      <c r="F813" s="18" t="n">
        <f aca="false">(E813+G813)/2</f>
        <v>5.64590702410517</v>
      </c>
      <c r="G813" s="18" t="n">
        <f aca="false">EXP(-'Black-Scholes'!$B$8*'Black-Scholes'!$B$7)*IF(LOWER('Black-Scholes'!$B$11)="put",MAX('Black-Scholes'!$B$6-D813,0),MAX(D813-'Black-Scholes'!$B$6,0))</f>
        <v>11.2918140482103</v>
      </c>
    </row>
    <row r="814" customFormat="false" ht="15" hidden="false" customHeight="false" outlineLevel="0" collapsed="false">
      <c r="A814" s="0" t="n">
        <v>803</v>
      </c>
      <c r="B814" s="15" t="n">
        <v>0.0966138511637419</v>
      </c>
      <c r="C814" s="18" t="n">
        <f aca="false">'Black-Scholes'!$B$5*EXP(('Black-Scholes'!$B$8-'Black-Scholes'!$B$10-'Black-Scholes'!$B$9^2/2)*'Black-Scholes'!$B$7+'Black-Scholes'!$B$9*SQRT('Black-Scholes'!$B$7)*B814)</f>
        <v>105.055938531927</v>
      </c>
      <c r="D814" s="18" t="n">
        <f aca="false">'Black-Scholes'!$B$5*EXP(('Black-Scholes'!$B$8-'Black-Scholes'!$B$10-'Black-Scholes'!$B$9^2/2)*'Black-Scholes'!$B$7-'Black-Scholes'!$B$9*SQRT('Black-Scholes'!$B$7)*B814)</f>
        <v>101.073443480082</v>
      </c>
      <c r="E814" s="18" t="n">
        <f aca="false">EXP(-'Black-Scholes'!$B$8*'Black-Scholes'!$B$7)*IF(LOWER('Black-Scholes'!$B$11)="put",MAX('Black-Scholes'!$B$6-C814,0),MAX(C814-'Black-Scholes'!$B$6,0))</f>
        <v>4.80935750003544</v>
      </c>
      <c r="F814" s="18" t="n">
        <f aca="false">(E814+G814)/2</f>
        <v>2.91522426191372</v>
      </c>
      <c r="G814" s="18" t="n">
        <f aca="false">EXP(-'Black-Scholes'!$B$8*'Black-Scholes'!$B$7)*IF(LOWER('Black-Scholes'!$B$11)="put",MAX('Black-Scholes'!$B$6-D814,0),MAX(D814-'Black-Scholes'!$B$6,0))</f>
        <v>1.021091023792</v>
      </c>
    </row>
    <row r="815" customFormat="false" ht="15" hidden="false" customHeight="false" outlineLevel="0" collapsed="false">
      <c r="A815" s="0" t="n">
        <v>804</v>
      </c>
      <c r="B815" s="15" t="n">
        <v>1.57615474608409</v>
      </c>
      <c r="C815" s="18" t="n">
        <f aca="false">'Black-Scholes'!$B$5*EXP(('Black-Scholes'!$B$8-'Black-Scholes'!$B$10-'Black-Scholes'!$B$9^2/2)*'Black-Scholes'!$B$7+'Black-Scholes'!$B$9*SQRT('Black-Scholes'!$B$7)*B815)</f>
        <v>141.231605529269</v>
      </c>
      <c r="D815" s="18" t="n">
        <f aca="false">'Black-Scholes'!$B$5*EXP(('Black-Scholes'!$B$8-'Black-Scholes'!$B$10-'Black-Scholes'!$B$9^2/2)*'Black-Scholes'!$B$7-'Black-Scholes'!$B$9*SQRT('Black-Scholes'!$B$7)*B815)</f>
        <v>75.1840597270064</v>
      </c>
      <c r="E815" s="18" t="n">
        <f aca="false">EXP(-'Black-Scholes'!$B$8*'Black-Scholes'!$B$7)*IF(LOWER('Black-Scholes'!$B$11)="put",MAX('Black-Scholes'!$B$6-C815,0),MAX(C815-'Black-Scholes'!$B$6,0))</f>
        <v>39.2207163988474</v>
      </c>
      <c r="F815" s="18" t="n">
        <f aca="false">(E815+G815)/2</f>
        <v>19.6103581994237</v>
      </c>
      <c r="G815" s="18" t="n">
        <f aca="false">EXP(-'Black-Scholes'!$B$8*'Black-Scholes'!$B$7)*IF(LOWER('Black-Scholes'!$B$11)="put",MAX('Black-Scholes'!$B$6-D815,0),MAX(D815-'Black-Scholes'!$B$6,0))</f>
        <v>0</v>
      </c>
    </row>
    <row r="816" customFormat="false" ht="15" hidden="false" customHeight="false" outlineLevel="0" collapsed="false">
      <c r="A816" s="0" t="n">
        <v>805</v>
      </c>
      <c r="B816" s="15" t="n">
        <v>-0.371581128763088</v>
      </c>
      <c r="C816" s="18" t="n">
        <f aca="false">'Black-Scholes'!$B$5*EXP(('Black-Scholes'!$B$8-'Black-Scholes'!$B$10-'Black-Scholes'!$B$9^2/2)*'Black-Scholes'!$B$7+'Black-Scholes'!$B$9*SQRT('Black-Scholes'!$B$7)*B816)</f>
        <v>95.665139182967</v>
      </c>
      <c r="D816" s="18" t="n">
        <f aca="false">'Black-Scholes'!$B$5*EXP(('Black-Scholes'!$B$8-'Black-Scholes'!$B$10-'Black-Scholes'!$B$9^2/2)*'Black-Scholes'!$B$7-'Black-Scholes'!$B$9*SQRT('Black-Scholes'!$B$7)*B816)</f>
        <v>110.995139463971</v>
      </c>
      <c r="E816" s="18" t="n">
        <f aca="false">EXP(-'Black-Scholes'!$B$8*'Black-Scholes'!$B$7)*IF(LOWER('Black-Scholes'!$B$11)="put",MAX('Black-Scholes'!$B$6-C816,0),MAX(C816-'Black-Scholes'!$B$6,0))</f>
        <v>0</v>
      </c>
      <c r="F816" s="18" t="n">
        <f aca="false">(E816+G816)/2</f>
        <v>5.229450092309</v>
      </c>
      <c r="G816" s="18" t="n">
        <f aca="false">EXP(-'Black-Scholes'!$B$8*'Black-Scholes'!$B$7)*IF(LOWER('Black-Scholes'!$B$11)="put",MAX('Black-Scholes'!$B$6-D816,0),MAX(D816-'Black-Scholes'!$B$6,0))</f>
        <v>10.458900184618</v>
      </c>
    </row>
    <row r="817" customFormat="false" ht="15" hidden="false" customHeight="false" outlineLevel="0" collapsed="false">
      <c r="A817" s="0" t="n">
        <v>806</v>
      </c>
      <c r="B817" s="15" t="n">
        <v>-0.710879381276928</v>
      </c>
      <c r="C817" s="18" t="n">
        <f aca="false">'Black-Scholes'!$B$5*EXP(('Black-Scholes'!$B$8-'Black-Scholes'!$B$10-'Black-Scholes'!$B$9^2/2)*'Black-Scholes'!$B$7+'Black-Scholes'!$B$9*SQRT('Black-Scholes'!$B$7)*B817)</f>
        <v>89.3887030170881</v>
      </c>
      <c r="D817" s="18" t="n">
        <f aca="false">'Black-Scholes'!$B$5*EXP(('Black-Scholes'!$B$8-'Black-Scholes'!$B$10-'Black-Scholes'!$B$9^2/2)*'Black-Scholes'!$B$7-'Black-Scholes'!$B$9*SQRT('Black-Scholes'!$B$7)*B817)</f>
        <v>118.788673591379</v>
      </c>
      <c r="E817" s="18" t="n">
        <f aca="false">EXP(-'Black-Scholes'!$B$8*'Black-Scholes'!$B$7)*IF(LOWER('Black-Scholes'!$B$11)="put",MAX('Black-Scholes'!$B$6-C817,0),MAX(C817-'Black-Scholes'!$B$6,0))</f>
        <v>0</v>
      </c>
      <c r="F817" s="18" t="n">
        <f aca="false">(E817+G817)/2</f>
        <v>8.9361695837296</v>
      </c>
      <c r="G817" s="18" t="n">
        <f aca="false">EXP(-'Black-Scholes'!$B$8*'Black-Scholes'!$B$7)*IF(LOWER('Black-Scholes'!$B$11)="put",MAX('Black-Scholes'!$B$6-D817,0),MAX(D817-'Black-Scholes'!$B$6,0))</f>
        <v>17.8723391674592</v>
      </c>
    </row>
    <row r="818" customFormat="false" ht="15" hidden="false" customHeight="false" outlineLevel="0" collapsed="false">
      <c r="A818" s="0" t="n">
        <v>807</v>
      </c>
      <c r="B818" s="15" t="n">
        <v>-1.24668644203393</v>
      </c>
      <c r="C818" s="18" t="n">
        <f aca="false">'Black-Scholes'!$B$5*EXP(('Black-Scholes'!$B$8-'Black-Scholes'!$B$10-'Black-Scholes'!$B$9^2/2)*'Black-Scholes'!$B$7+'Black-Scholes'!$B$9*SQRT('Black-Scholes'!$B$7)*B818)</f>
        <v>80.3050812740369</v>
      </c>
      <c r="D818" s="18" t="n">
        <f aca="false">'Black-Scholes'!$B$5*EXP(('Black-Scholes'!$B$8-'Black-Scholes'!$B$10-'Black-Scholes'!$B$9^2/2)*'Black-Scholes'!$B$7-'Black-Scholes'!$B$9*SQRT('Black-Scholes'!$B$7)*B818)</f>
        <v>132.225324935778</v>
      </c>
      <c r="E818" s="18" t="n">
        <f aca="false">EXP(-'Black-Scholes'!$B$8*'Black-Scholes'!$B$7)*IF(LOWER('Black-Scholes'!$B$11)="put",MAX('Black-Scholes'!$B$6-C818,0),MAX(C818-'Black-Scholes'!$B$6,0))</f>
        <v>0</v>
      </c>
      <c r="F818" s="18" t="n">
        <f aca="false">(E818+G818)/2</f>
        <v>15.3268386465043</v>
      </c>
      <c r="G818" s="18" t="n">
        <f aca="false">EXP(-'Black-Scholes'!$B$8*'Black-Scholes'!$B$7)*IF(LOWER('Black-Scholes'!$B$11)="put",MAX('Black-Scholes'!$B$6-D818,0),MAX(D818-'Black-Scholes'!$B$6,0))</f>
        <v>30.6536772930087</v>
      </c>
    </row>
    <row r="819" customFormat="false" ht="15" hidden="false" customHeight="false" outlineLevel="0" collapsed="false">
      <c r="A819" s="0" t="n">
        <v>808</v>
      </c>
      <c r="B819" s="15" t="n">
        <v>-1.58540711690241</v>
      </c>
      <c r="C819" s="18" t="n">
        <f aca="false">'Black-Scholes'!$B$5*EXP(('Black-Scholes'!$B$8-'Black-Scholes'!$B$10-'Black-Scholes'!$B$9^2/2)*'Black-Scholes'!$B$7+'Black-Scholes'!$B$9*SQRT('Black-Scholes'!$B$7)*B819)</f>
        <v>75.0450622122806</v>
      </c>
      <c r="D819" s="18" t="n">
        <f aca="false">'Black-Scholes'!$B$5*EXP(('Black-Scholes'!$B$8-'Black-Scholes'!$B$10-'Black-Scholes'!$B$9^2/2)*'Black-Scholes'!$B$7-'Black-Scholes'!$B$9*SQRT('Black-Scholes'!$B$7)*B819)</f>
        <v>141.493192922105</v>
      </c>
      <c r="E819" s="18" t="n">
        <f aca="false">EXP(-'Black-Scholes'!$B$8*'Black-Scholes'!$B$7)*IF(LOWER('Black-Scholes'!$B$11)="put",MAX('Black-Scholes'!$B$6-C819,0),MAX(C819-'Black-Scholes'!$B$6,0))</f>
        <v>0</v>
      </c>
      <c r="F819" s="18" t="n">
        <f aca="false">(E819+G819)/2</f>
        <v>19.7347730119955</v>
      </c>
      <c r="G819" s="18" t="n">
        <f aca="false">EXP(-'Black-Scholes'!$B$8*'Black-Scholes'!$B$7)*IF(LOWER('Black-Scholes'!$B$11)="put",MAX('Black-Scholes'!$B$6-D819,0),MAX(D819-'Black-Scholes'!$B$6,0))</f>
        <v>39.4695460239911</v>
      </c>
    </row>
    <row r="820" customFormat="false" ht="15" hidden="false" customHeight="false" outlineLevel="0" collapsed="false">
      <c r="A820" s="0" t="n">
        <v>809</v>
      </c>
      <c r="B820" s="15" t="n">
        <v>-0.739434005052525</v>
      </c>
      <c r="C820" s="18" t="n">
        <f aca="false">'Black-Scholes'!$B$5*EXP(('Black-Scholes'!$B$8-'Black-Scholes'!$B$10-'Black-Scholes'!$B$9^2/2)*'Black-Scholes'!$B$7+'Black-Scholes'!$B$9*SQRT('Black-Scholes'!$B$7)*B820)</f>
        <v>88.8796657803837</v>
      </c>
      <c r="D820" s="18" t="n">
        <f aca="false">'Black-Scholes'!$B$5*EXP(('Black-Scholes'!$B$8-'Black-Scholes'!$B$10-'Black-Scholes'!$B$9^2/2)*'Black-Scholes'!$B$7-'Black-Scholes'!$B$9*SQRT('Black-Scholes'!$B$7)*B820)</f>
        <v>119.469007587078</v>
      </c>
      <c r="E820" s="18" t="n">
        <f aca="false">EXP(-'Black-Scholes'!$B$8*'Black-Scholes'!$B$7)*IF(LOWER('Black-Scholes'!$B$11)="put",MAX('Black-Scholes'!$B$6-C820,0),MAX(C820-'Black-Scholes'!$B$6,0))</f>
        <v>0</v>
      </c>
      <c r="F820" s="18" t="n">
        <f aca="false">(E820+G820)/2</f>
        <v>9.25974644132801</v>
      </c>
      <c r="G820" s="18" t="n">
        <f aca="false">EXP(-'Black-Scholes'!$B$8*'Black-Scholes'!$B$7)*IF(LOWER('Black-Scholes'!$B$11)="put",MAX('Black-Scholes'!$B$6-D820,0),MAX(D820-'Black-Scholes'!$B$6,0))</f>
        <v>18.519492882656</v>
      </c>
    </row>
    <row r="821" customFormat="false" ht="15" hidden="false" customHeight="false" outlineLevel="0" collapsed="false">
      <c r="A821" s="0" t="n">
        <v>810</v>
      </c>
      <c r="B821" s="15" t="n">
        <v>-0.286231144396227</v>
      </c>
      <c r="C821" s="18" t="n">
        <f aca="false">'Black-Scholes'!$B$5*EXP(('Black-Scholes'!$B$8-'Black-Scholes'!$B$10-'Black-Scholes'!$B$9^2/2)*'Black-Scholes'!$B$7+'Black-Scholes'!$B$9*SQRT('Black-Scholes'!$B$7)*B821)</f>
        <v>97.3121601381108</v>
      </c>
      <c r="D821" s="18" t="n">
        <f aca="false">'Black-Scholes'!$B$5*EXP(('Black-Scholes'!$B$8-'Black-Scholes'!$B$10-'Black-Scholes'!$B$9^2/2)*'Black-Scholes'!$B$7-'Black-Scholes'!$B$9*SQRT('Black-Scholes'!$B$7)*B821)</f>
        <v>109.116532305761</v>
      </c>
      <c r="E821" s="18" t="n">
        <f aca="false">EXP(-'Black-Scholes'!$B$8*'Black-Scholes'!$B$7)*IF(LOWER('Black-Scholes'!$B$11)="put",MAX('Black-Scholes'!$B$6-C821,0),MAX(C821-'Black-Scholes'!$B$6,0))</f>
        <v>0</v>
      </c>
      <c r="F821" s="18" t="n">
        <f aca="false">(E821+G821)/2</f>
        <v>4.3359568893258</v>
      </c>
      <c r="G821" s="18" t="n">
        <f aca="false">EXP(-'Black-Scholes'!$B$8*'Black-Scholes'!$B$7)*IF(LOWER('Black-Scholes'!$B$11)="put",MAX('Black-Scholes'!$B$6-D821,0),MAX(D821-'Black-Scholes'!$B$6,0))</f>
        <v>8.67191377865159</v>
      </c>
    </row>
    <row r="822" customFormat="false" ht="15" hidden="false" customHeight="false" outlineLevel="0" collapsed="false">
      <c r="A822" s="0" t="n">
        <v>811</v>
      </c>
      <c r="B822" s="15" t="n">
        <v>-0.799934815855346</v>
      </c>
      <c r="C822" s="18" t="n">
        <f aca="false">'Black-Scholes'!$B$5*EXP(('Black-Scholes'!$B$8-'Black-Scholes'!$B$10-'Black-Scholes'!$B$9^2/2)*'Black-Scholes'!$B$7+'Black-Scholes'!$B$9*SQRT('Black-Scholes'!$B$7)*B822)</f>
        <v>87.81068785751</v>
      </c>
      <c r="D822" s="18" t="n">
        <f aca="false">'Black-Scholes'!$B$5*EXP(('Black-Scholes'!$B$8-'Black-Scholes'!$B$10-'Black-Scholes'!$B$9^2/2)*'Black-Scholes'!$B$7-'Black-Scholes'!$B$9*SQRT('Black-Scholes'!$B$7)*B822)</f>
        <v>120.923383297987</v>
      </c>
      <c r="E822" s="18" t="n">
        <f aca="false">EXP(-'Black-Scholes'!$B$8*'Black-Scholes'!$B$7)*IF(LOWER('Black-Scholes'!$B$11)="put",MAX('Black-Scholes'!$B$6-C822,0),MAX(C822-'Black-Scholes'!$B$6,0))</f>
        <v>0</v>
      </c>
      <c r="F822" s="18" t="n">
        <f aca="false">(E822+G822)/2</f>
        <v>9.95146892657616</v>
      </c>
      <c r="G822" s="18" t="n">
        <f aca="false">EXP(-'Black-Scholes'!$B$8*'Black-Scholes'!$B$7)*IF(LOWER('Black-Scholes'!$B$11)="put",MAX('Black-Scholes'!$B$6-D822,0),MAX(D822-'Black-Scholes'!$B$6,0))</f>
        <v>19.9029378531523</v>
      </c>
    </row>
    <row r="823" customFormat="false" ht="15" hidden="false" customHeight="false" outlineLevel="0" collapsed="false">
      <c r="A823" s="0" t="n">
        <v>812</v>
      </c>
      <c r="B823" s="15" t="n">
        <v>1.66916429734918</v>
      </c>
      <c r="C823" s="18" t="n">
        <f aca="false">'Black-Scholes'!$B$5*EXP(('Black-Scholes'!$B$8-'Black-Scholes'!$B$10-'Black-Scholes'!$B$9^2/2)*'Black-Scholes'!$B$7+'Black-Scholes'!$B$9*SQRT('Black-Scholes'!$B$7)*B823)</f>
        <v>143.883370663078</v>
      </c>
      <c r="D823" s="18" t="n">
        <f aca="false">'Black-Scholes'!$B$5*EXP(('Black-Scholes'!$B$8-'Black-Scholes'!$B$10-'Black-Scholes'!$B$9^2/2)*'Black-Scholes'!$B$7-'Black-Scholes'!$B$9*SQRT('Black-Scholes'!$B$7)*B823)</f>
        <v>73.7984203213996</v>
      </c>
      <c r="E823" s="18" t="n">
        <f aca="false">EXP(-'Black-Scholes'!$B$8*'Black-Scholes'!$B$7)*IF(LOWER('Black-Scholes'!$B$11)="put",MAX('Black-Scholes'!$B$6-C823,0),MAX(C823-'Black-Scholes'!$B$6,0))</f>
        <v>41.7431534209916</v>
      </c>
      <c r="F823" s="18" t="n">
        <f aca="false">(E823+G823)/2</f>
        <v>20.8715767104958</v>
      </c>
      <c r="G823" s="18" t="n">
        <f aca="false">EXP(-'Black-Scholes'!$B$8*'Black-Scholes'!$B$7)*IF(LOWER('Black-Scholes'!$B$11)="put",MAX('Black-Scholes'!$B$6-D823,0),MAX(D823-'Black-Scholes'!$B$6,0))</f>
        <v>0</v>
      </c>
    </row>
    <row r="824" customFormat="false" ht="15" hidden="false" customHeight="false" outlineLevel="0" collapsed="false">
      <c r="A824" s="0" t="n">
        <v>813</v>
      </c>
      <c r="B824" s="15" t="n">
        <v>0.560582792922963</v>
      </c>
      <c r="C824" s="18" t="n">
        <f aca="false">'Black-Scholes'!$B$5*EXP(('Black-Scholes'!$B$8-'Black-Scholes'!$B$10-'Black-Scholes'!$B$9^2/2)*'Black-Scholes'!$B$7+'Black-Scholes'!$B$9*SQRT('Black-Scholes'!$B$7)*B824)</f>
        <v>115.271099906949</v>
      </c>
      <c r="D824" s="18" t="n">
        <f aca="false">'Black-Scholes'!$B$5*EXP(('Black-Scholes'!$B$8-'Black-Scholes'!$B$10-'Black-Scholes'!$B$9^2/2)*'Black-Scholes'!$B$7-'Black-Scholes'!$B$9*SQRT('Black-Scholes'!$B$7)*B824)</f>
        <v>92.1164582798731</v>
      </c>
      <c r="E824" s="18" t="n">
        <f aca="false">EXP(-'Black-Scholes'!$B$8*'Black-Scholes'!$B$7)*IF(LOWER('Black-Scholes'!$B$11)="put",MAX('Black-Scholes'!$B$6-C824,0),MAX(C824-'Black-Scholes'!$B$6,0))</f>
        <v>14.5263195759805</v>
      </c>
      <c r="F824" s="18" t="n">
        <f aca="false">(E824+G824)/2</f>
        <v>7.26315978799023</v>
      </c>
      <c r="G824" s="18" t="n">
        <f aca="false">EXP(-'Black-Scholes'!$B$8*'Black-Scholes'!$B$7)*IF(LOWER('Black-Scholes'!$B$11)="put",MAX('Black-Scholes'!$B$6-D824,0),MAX(D824-'Black-Scholes'!$B$6,0))</f>
        <v>0</v>
      </c>
    </row>
    <row r="825" customFormat="false" ht="15" hidden="false" customHeight="false" outlineLevel="0" collapsed="false">
      <c r="A825" s="0" t="n">
        <v>814</v>
      </c>
      <c r="B825" s="15" t="n">
        <v>0.278057660681904</v>
      </c>
      <c r="C825" s="18" t="n">
        <f aca="false">'Black-Scholes'!$B$5*EXP(('Black-Scholes'!$B$8-'Black-Scholes'!$B$10-'Black-Scholes'!$B$9^2/2)*'Black-Scholes'!$B$7+'Black-Scholes'!$B$9*SQRT('Black-Scholes'!$B$7)*B825)</f>
        <v>108.938305578822</v>
      </c>
      <c r="D825" s="18" t="n">
        <f aca="false">'Black-Scholes'!$B$5*EXP(('Black-Scholes'!$B$8-'Black-Scholes'!$B$10-'Black-Scholes'!$B$9^2/2)*'Black-Scholes'!$B$7-'Black-Scholes'!$B$9*SQRT('Black-Scholes'!$B$7)*B825)</f>
        <v>97.4713661006109</v>
      </c>
      <c r="E825" s="18" t="n">
        <f aca="false">EXP(-'Black-Scholes'!$B$8*'Black-Scholes'!$B$7)*IF(LOWER('Black-Scholes'!$B$11)="put",MAX('Black-Scholes'!$B$6-C825,0),MAX(C825-'Black-Scholes'!$B$6,0))</f>
        <v>8.50237927175451</v>
      </c>
      <c r="F825" s="18" t="n">
        <f aca="false">(E825+G825)/2</f>
        <v>4.25118963587725</v>
      </c>
      <c r="G825" s="18" t="n">
        <f aca="false">EXP(-'Black-Scholes'!$B$8*'Black-Scholes'!$B$7)*IF(LOWER('Black-Scholes'!$B$11)="put",MAX('Black-Scholes'!$B$6-D825,0),MAX(D825-'Black-Scholes'!$B$6,0))</f>
        <v>0</v>
      </c>
    </row>
    <row r="826" customFormat="false" ht="15" hidden="false" customHeight="false" outlineLevel="0" collapsed="false">
      <c r="A826" s="0" t="n">
        <v>815</v>
      </c>
      <c r="B826" s="15" t="n">
        <v>0.407385448760275</v>
      </c>
      <c r="C826" s="18" t="n">
        <f aca="false">'Black-Scholes'!$B$5*EXP(('Black-Scholes'!$B$8-'Black-Scholes'!$B$10-'Black-Scholes'!$B$9^2/2)*'Black-Scholes'!$B$7+'Black-Scholes'!$B$9*SQRT('Black-Scholes'!$B$7)*B826)</f>
        <v>111.792813170146</v>
      </c>
      <c r="D826" s="18" t="n">
        <f aca="false">'Black-Scholes'!$B$5*EXP(('Black-Scholes'!$B$8-'Black-Scholes'!$B$10-'Black-Scholes'!$B$9^2/2)*'Black-Scholes'!$B$7-'Black-Scholes'!$B$9*SQRT('Black-Scholes'!$B$7)*B826)</f>
        <v>94.9825410448587</v>
      </c>
      <c r="E826" s="18" t="n">
        <f aca="false">EXP(-'Black-Scholes'!$B$8*'Black-Scholes'!$B$7)*IF(LOWER('Black-Scholes'!$B$11)="put",MAX('Black-Scholes'!$B$6-C826,0),MAX(C826-'Black-Scholes'!$B$6,0))</f>
        <v>11.2176708850822</v>
      </c>
      <c r="F826" s="18" t="n">
        <f aca="false">(E826+G826)/2</f>
        <v>5.60883544254112</v>
      </c>
      <c r="G826" s="18" t="n">
        <f aca="false">EXP(-'Black-Scholes'!$B$8*'Black-Scholes'!$B$7)*IF(LOWER('Black-Scholes'!$B$11)="put",MAX('Black-Scholes'!$B$6-D826,0),MAX(D826-'Black-Scholes'!$B$6,0))</f>
        <v>0</v>
      </c>
    </row>
    <row r="827" customFormat="false" ht="15" hidden="false" customHeight="false" outlineLevel="0" collapsed="false">
      <c r="A827" s="0" t="n">
        <v>816</v>
      </c>
      <c r="B827" s="15" t="n">
        <v>0.739057187529341</v>
      </c>
      <c r="C827" s="18" t="n">
        <f aca="false">'Black-Scholes'!$B$5*EXP(('Black-Scholes'!$B$8-'Black-Scholes'!$B$10-'Black-Scholes'!$B$9^2/2)*'Black-Scholes'!$B$7+'Black-Scholes'!$B$9*SQRT('Black-Scholes'!$B$7)*B827)</f>
        <v>119.460004323234</v>
      </c>
      <c r="D827" s="18" t="n">
        <f aca="false">'Black-Scholes'!$B$5*EXP(('Black-Scholes'!$B$8-'Black-Scholes'!$B$10-'Black-Scholes'!$B$9^2/2)*'Black-Scholes'!$B$7-'Black-Scholes'!$B$9*SQRT('Black-Scholes'!$B$7)*B827)</f>
        <v>88.8863643158972</v>
      </c>
      <c r="E827" s="18" t="n">
        <f aca="false">EXP(-'Black-Scholes'!$B$8*'Black-Scholes'!$B$7)*IF(LOWER('Black-Scholes'!$B$11)="put",MAX('Black-Scholes'!$B$6-C827,0),MAX(C827-'Black-Scholes'!$B$6,0))</f>
        <v>18.5109287131709</v>
      </c>
      <c r="F827" s="18" t="n">
        <f aca="false">(E827+G827)/2</f>
        <v>9.25546435658544</v>
      </c>
      <c r="G827" s="18" t="n">
        <f aca="false">EXP(-'Black-Scholes'!$B$8*'Black-Scholes'!$B$7)*IF(LOWER('Black-Scholes'!$B$11)="put",MAX('Black-Scholes'!$B$6-D827,0),MAX(D827-'Black-Scholes'!$B$6,0))</f>
        <v>0</v>
      </c>
    </row>
    <row r="828" customFormat="false" ht="15" hidden="false" customHeight="false" outlineLevel="0" collapsed="false">
      <c r="A828" s="0" t="n">
        <v>817</v>
      </c>
      <c r="B828" s="15" t="n">
        <v>1.20902901454458</v>
      </c>
      <c r="C828" s="18" t="n">
        <f aca="false">'Black-Scholes'!$B$5*EXP(('Black-Scholes'!$B$8-'Black-Scholes'!$B$10-'Black-Scholes'!$B$9^2/2)*'Black-Scholes'!$B$7+'Black-Scholes'!$B$9*SQRT('Black-Scholes'!$B$7)*B828)</f>
        <v>131.233212548253</v>
      </c>
      <c r="D828" s="18" t="n">
        <f aca="false">'Black-Scholes'!$B$5*EXP(('Black-Scholes'!$B$8-'Black-Scholes'!$B$10-'Black-Scholes'!$B$9^2/2)*'Black-Scholes'!$B$7-'Black-Scholes'!$B$9*SQRT('Black-Scholes'!$B$7)*B828)</f>
        <v>80.9121811412589</v>
      </c>
      <c r="E828" s="18" t="n">
        <f aca="false">EXP(-'Black-Scholes'!$B$8*'Black-Scholes'!$B$7)*IF(LOWER('Black-Scholes'!$B$11)="put",MAX('Black-Scholes'!$B$6-C828,0),MAX(C828-'Black-Scholes'!$B$6,0))</f>
        <v>29.7099507975835</v>
      </c>
      <c r="F828" s="18" t="n">
        <f aca="false">(E828+G828)/2</f>
        <v>14.8549753987917</v>
      </c>
      <c r="G828" s="18" t="n">
        <f aca="false">EXP(-'Black-Scholes'!$B$8*'Black-Scholes'!$B$7)*IF(LOWER('Black-Scholes'!$B$11)="put",MAX('Black-Scholes'!$B$6-D828,0),MAX(D828-'Black-Scholes'!$B$6,0))</f>
        <v>0</v>
      </c>
    </row>
    <row r="829" customFormat="false" ht="15" hidden="false" customHeight="false" outlineLevel="0" collapsed="false">
      <c r="A829" s="0" t="n">
        <v>818</v>
      </c>
      <c r="B829" s="15" t="n">
        <v>0.918335032860365</v>
      </c>
      <c r="C829" s="18" t="n">
        <f aca="false">'Black-Scholes'!$B$5*EXP(('Black-Scholes'!$B$8-'Black-Scholes'!$B$10-'Black-Scholes'!$B$9^2/2)*'Black-Scholes'!$B$7+'Black-Scholes'!$B$9*SQRT('Black-Scholes'!$B$7)*B829)</f>
        <v>123.821027025421</v>
      </c>
      <c r="D829" s="18" t="n">
        <f aca="false">'Black-Scholes'!$B$5*EXP(('Black-Scholes'!$B$8-'Black-Scholes'!$B$10-'Black-Scholes'!$B$9^2/2)*'Black-Scholes'!$B$7-'Black-Scholes'!$B$9*SQRT('Black-Scholes'!$B$7)*B829)</f>
        <v>85.7557534494819</v>
      </c>
      <c r="E829" s="18" t="n">
        <f aca="false">EXP(-'Black-Scholes'!$B$8*'Black-Scholes'!$B$7)*IF(LOWER('Black-Scholes'!$B$11)="put",MAX('Black-Scholes'!$B$6-C829,0),MAX(C829-'Black-Scholes'!$B$6,0))</f>
        <v>22.6592618284068</v>
      </c>
      <c r="F829" s="18" t="n">
        <f aca="false">(E829+G829)/2</f>
        <v>11.3296309142034</v>
      </c>
      <c r="G829" s="18" t="n">
        <f aca="false">EXP(-'Black-Scholes'!$B$8*'Black-Scholes'!$B$7)*IF(LOWER('Black-Scholes'!$B$11)="put",MAX('Black-Scholes'!$B$6-D829,0),MAX(D829-'Black-Scholes'!$B$6,0))</f>
        <v>0</v>
      </c>
    </row>
    <row r="830" customFormat="false" ht="15" hidden="false" customHeight="false" outlineLevel="0" collapsed="false">
      <c r="A830" s="0" t="n">
        <v>819</v>
      </c>
      <c r="B830" s="15" t="n">
        <v>0.413886654692763</v>
      </c>
      <c r="C830" s="18" t="n">
        <f aca="false">'Black-Scholes'!$B$5*EXP(('Black-Scholes'!$B$8-'Black-Scholes'!$B$10-'Black-Scholes'!$B$9^2/2)*'Black-Scholes'!$B$7+'Black-Scholes'!$B$9*SQRT('Black-Scholes'!$B$7)*B830)</f>
        <v>111.938265331137</v>
      </c>
      <c r="D830" s="18" t="n">
        <f aca="false">'Black-Scholes'!$B$5*EXP(('Black-Scholes'!$B$8-'Black-Scholes'!$B$10-'Black-Scholes'!$B$9^2/2)*'Black-Scholes'!$B$7-'Black-Scholes'!$B$9*SQRT('Black-Scholes'!$B$7)*B830)</f>
        <v>94.8591210882375</v>
      </c>
      <c r="E830" s="18" t="n">
        <f aca="false">EXP(-'Black-Scholes'!$B$8*'Black-Scholes'!$B$7)*IF(LOWER('Black-Scholes'!$B$11)="put",MAX('Black-Scholes'!$B$6-C830,0),MAX(C830-'Black-Scholes'!$B$6,0))</f>
        <v>11.3560292604744</v>
      </c>
      <c r="F830" s="18" t="n">
        <f aca="false">(E830+G830)/2</f>
        <v>5.67801463023719</v>
      </c>
      <c r="G830" s="18" t="n">
        <f aca="false">EXP(-'Black-Scholes'!$B$8*'Black-Scholes'!$B$7)*IF(LOWER('Black-Scholes'!$B$11)="put",MAX('Black-Scholes'!$B$6-D830,0),MAX(D830-'Black-Scholes'!$B$6,0))</f>
        <v>0</v>
      </c>
    </row>
    <row r="831" customFormat="false" ht="15" hidden="false" customHeight="false" outlineLevel="0" collapsed="false">
      <c r="A831" s="0" t="n">
        <v>820</v>
      </c>
      <c r="B831" s="15" t="n">
        <v>-0.31780694268579</v>
      </c>
      <c r="C831" s="18" t="n">
        <f aca="false">'Black-Scholes'!$B$5*EXP(('Black-Scholes'!$B$8-'Black-Scholes'!$B$10-'Black-Scholes'!$B$9^2/2)*'Black-Scholes'!$B$7+'Black-Scholes'!$B$9*SQRT('Black-Scholes'!$B$7)*B831)</f>
        <v>96.6995546967212</v>
      </c>
      <c r="D831" s="18" t="n">
        <f aca="false">'Black-Scholes'!$B$5*EXP(('Black-Scholes'!$B$8-'Black-Scholes'!$B$10-'Black-Scholes'!$B$9^2/2)*'Black-Scholes'!$B$7-'Black-Scholes'!$B$9*SQRT('Black-Scholes'!$B$7)*B831)</f>
        <v>109.807801067502</v>
      </c>
      <c r="E831" s="18" t="n">
        <f aca="false">EXP(-'Black-Scholes'!$B$8*'Black-Scholes'!$B$7)*IF(LOWER('Black-Scholes'!$B$11)="put",MAX('Black-Scholes'!$B$6-C831,0),MAX(C831-'Black-Scholes'!$B$6,0))</f>
        <v>0</v>
      </c>
      <c r="F831" s="18" t="n">
        <f aca="false">(E831+G831)/2</f>
        <v>4.66473448252872</v>
      </c>
      <c r="G831" s="18" t="n">
        <f aca="false">EXP(-'Black-Scholes'!$B$8*'Black-Scholes'!$B$7)*IF(LOWER('Black-Scholes'!$B$11)="put",MAX('Black-Scholes'!$B$6-D831,0),MAX(D831-'Black-Scholes'!$B$6,0))</f>
        <v>9.32946896505744</v>
      </c>
    </row>
    <row r="832" customFormat="false" ht="15" hidden="false" customHeight="false" outlineLevel="0" collapsed="false">
      <c r="A832" s="0" t="n">
        <v>821</v>
      </c>
      <c r="B832" s="15" t="n">
        <v>-0.752881867713313</v>
      </c>
      <c r="C832" s="18" t="n">
        <f aca="false">'Black-Scholes'!$B$5*EXP(('Black-Scholes'!$B$8-'Black-Scholes'!$B$10-'Black-Scholes'!$B$9^2/2)*'Black-Scholes'!$B$7+'Black-Scholes'!$B$9*SQRT('Black-Scholes'!$B$7)*B832)</f>
        <v>88.6409386535037</v>
      </c>
      <c r="D832" s="18" t="n">
        <f aca="false">'Black-Scholes'!$B$5*EXP(('Black-Scholes'!$B$8-'Black-Scholes'!$B$10-'Black-Scholes'!$B$9^2/2)*'Black-Scholes'!$B$7-'Black-Scholes'!$B$9*SQRT('Black-Scholes'!$B$7)*B832)</f>
        <v>119.790760643461</v>
      </c>
      <c r="E832" s="18" t="n">
        <f aca="false">EXP(-'Black-Scholes'!$B$8*'Black-Scholes'!$B$7)*IF(LOWER('Black-Scholes'!$B$11)="put",MAX('Black-Scholes'!$B$6-C832,0),MAX(C832-'Black-Scholes'!$B$6,0))</f>
        <v>0</v>
      </c>
      <c r="F832" s="18" t="n">
        <f aca="false">(E832+G832)/2</f>
        <v>9.41277692865554</v>
      </c>
      <c r="G832" s="18" t="n">
        <f aca="false">EXP(-'Black-Scholes'!$B$8*'Black-Scholes'!$B$7)*IF(LOWER('Black-Scholes'!$B$11)="put",MAX('Black-Scholes'!$B$6-D832,0),MAX(D832-'Black-Scholes'!$B$6,0))</f>
        <v>18.8255538573111</v>
      </c>
    </row>
    <row r="833" customFormat="false" ht="15" hidden="false" customHeight="false" outlineLevel="0" collapsed="false">
      <c r="A833" s="0" t="n">
        <v>822</v>
      </c>
      <c r="B833" s="15" t="n">
        <v>1.36111161395572</v>
      </c>
      <c r="C833" s="18" t="n">
        <f aca="false">'Black-Scholes'!$B$5*EXP(('Black-Scholes'!$B$8-'Black-Scholes'!$B$10-'Black-Scholes'!$B$9^2/2)*'Black-Scholes'!$B$7+'Black-Scholes'!$B$9*SQRT('Black-Scholes'!$B$7)*B833)</f>
        <v>135.286196532588</v>
      </c>
      <c r="D833" s="18" t="n">
        <f aca="false">'Black-Scholes'!$B$5*EXP(('Black-Scholes'!$B$8-'Black-Scholes'!$B$10-'Black-Scholes'!$B$9^2/2)*'Black-Scholes'!$B$7-'Black-Scholes'!$B$9*SQRT('Black-Scholes'!$B$7)*B833)</f>
        <v>78.4881661071445</v>
      </c>
      <c r="E833" s="18" t="n">
        <f aca="false">EXP(-'Black-Scholes'!$B$8*'Black-Scholes'!$B$7)*IF(LOWER('Black-Scholes'!$B$11)="put",MAX('Black-Scholes'!$B$6-C833,0),MAX(C833-'Black-Scholes'!$B$6,0))</f>
        <v>33.5652684205132</v>
      </c>
      <c r="F833" s="18" t="n">
        <f aca="false">(E833+G833)/2</f>
        <v>16.7826342102566</v>
      </c>
      <c r="G833" s="18" t="n">
        <f aca="false">EXP(-'Black-Scholes'!$B$8*'Black-Scholes'!$B$7)*IF(LOWER('Black-Scholes'!$B$11)="put",MAX('Black-Scholes'!$B$6-D833,0),MAX(D833-'Black-Scholes'!$B$6,0))</f>
        <v>0</v>
      </c>
    </row>
    <row r="834" customFormat="false" ht="15" hidden="false" customHeight="false" outlineLevel="0" collapsed="false">
      <c r="A834" s="0" t="n">
        <v>823</v>
      </c>
      <c r="B834" s="15" t="n">
        <v>1.98476646407137</v>
      </c>
      <c r="C834" s="18" t="n">
        <f aca="false">'Black-Scholes'!$B$5*EXP(('Black-Scholes'!$B$8-'Black-Scholes'!$B$10-'Black-Scholes'!$B$9^2/2)*'Black-Scholes'!$B$7+'Black-Scholes'!$B$9*SQRT('Black-Scholes'!$B$7)*B834)</f>
        <v>153.258107750326</v>
      </c>
      <c r="D834" s="18" t="n">
        <f aca="false">'Black-Scholes'!$B$5*EXP(('Black-Scholes'!$B$8-'Black-Scholes'!$B$10-'Black-Scholes'!$B$9^2/2)*'Black-Scholes'!$B$7-'Black-Scholes'!$B$9*SQRT('Black-Scholes'!$B$7)*B834)</f>
        <v>69.284200498887</v>
      </c>
      <c r="E834" s="18" t="n">
        <f aca="false">EXP(-'Black-Scholes'!$B$8*'Black-Scholes'!$B$7)*IF(LOWER('Black-Scholes'!$B$11)="put",MAX('Black-Scholes'!$B$6-C834,0),MAX(C834-'Black-Scholes'!$B$6,0))</f>
        <v>50.6606791853394</v>
      </c>
      <c r="F834" s="18" t="n">
        <f aca="false">(E834+G834)/2</f>
        <v>25.3303395926697</v>
      </c>
      <c r="G834" s="18" t="n">
        <f aca="false">EXP(-'Black-Scholes'!$B$8*'Black-Scholes'!$B$7)*IF(LOWER('Black-Scholes'!$B$11)="put",MAX('Black-Scholes'!$B$6-D834,0),MAX(D834-'Black-Scholes'!$B$6,0))</f>
        <v>0</v>
      </c>
    </row>
    <row r="835" customFormat="false" ht="15" hidden="false" customHeight="false" outlineLevel="0" collapsed="false">
      <c r="A835" s="0" t="n">
        <v>824</v>
      </c>
      <c r="B835" s="15" t="n">
        <v>0.695818827128585</v>
      </c>
      <c r="C835" s="18" t="n">
        <f aca="false">'Black-Scholes'!$B$5*EXP(('Black-Scholes'!$B$8-'Black-Scholes'!$B$10-'Black-Scholes'!$B$9^2/2)*'Black-Scholes'!$B$7+'Black-Scholes'!$B$9*SQRT('Black-Scholes'!$B$7)*B835)</f>
        <v>118.431407274201</v>
      </c>
      <c r="D835" s="18" t="n">
        <f aca="false">'Black-Scholes'!$B$5*EXP(('Black-Scholes'!$B$8-'Black-Scholes'!$B$10-'Black-Scholes'!$B$9^2/2)*'Black-Scholes'!$B$7-'Black-Scholes'!$B$9*SQRT('Black-Scholes'!$B$7)*B835)</f>
        <v>89.6583576083762</v>
      </c>
      <c r="E835" s="18" t="n">
        <f aca="false">EXP(-'Black-Scholes'!$B$8*'Black-Scholes'!$B$7)*IF(LOWER('Black-Scholes'!$B$11)="put",MAX('Black-Scholes'!$B$6-C835,0),MAX(C835-'Black-Scholes'!$B$6,0))</f>
        <v>17.5324969341769</v>
      </c>
      <c r="F835" s="18" t="n">
        <f aca="false">(E835+G835)/2</f>
        <v>8.76624846708844</v>
      </c>
      <c r="G835" s="18" t="n">
        <f aca="false">EXP(-'Black-Scholes'!$B$8*'Black-Scholes'!$B$7)*IF(LOWER('Black-Scholes'!$B$11)="put",MAX('Black-Scholes'!$B$6-D835,0),MAX(D835-'Black-Scholes'!$B$6,0))</f>
        <v>0</v>
      </c>
    </row>
    <row r="836" customFormat="false" ht="15" hidden="false" customHeight="false" outlineLevel="0" collapsed="false">
      <c r="A836" s="0" t="n">
        <v>825</v>
      </c>
      <c r="B836" s="15" t="n">
        <v>0.976257026452621</v>
      </c>
      <c r="C836" s="18" t="n">
        <f aca="false">'Black-Scholes'!$B$5*EXP(('Black-Scholes'!$B$8-'Black-Scholes'!$B$10-'Black-Scholes'!$B$9^2/2)*'Black-Scholes'!$B$7+'Black-Scholes'!$B$9*SQRT('Black-Scholes'!$B$7)*B836)</f>
        <v>125.263759632777</v>
      </c>
      <c r="D836" s="18" t="n">
        <f aca="false">'Black-Scholes'!$B$5*EXP(('Black-Scholes'!$B$8-'Black-Scholes'!$B$10-'Black-Scholes'!$B$9^2/2)*'Black-Scholes'!$B$7-'Black-Scholes'!$B$9*SQRT('Black-Scholes'!$B$7)*B836)</f>
        <v>84.768056591806</v>
      </c>
      <c r="E836" s="18" t="n">
        <f aca="false">EXP(-'Black-Scholes'!$B$8*'Black-Scholes'!$B$7)*IF(LOWER('Black-Scholes'!$B$11)="put",MAX('Black-Scholes'!$B$6-C836,0),MAX(C836-'Black-Scholes'!$B$6,0))</f>
        <v>24.0316315362105</v>
      </c>
      <c r="F836" s="18" t="n">
        <f aca="false">(E836+G836)/2</f>
        <v>12.0158157681052</v>
      </c>
      <c r="G836" s="18" t="n">
        <f aca="false">EXP(-'Black-Scholes'!$B$8*'Black-Scholes'!$B$7)*IF(LOWER('Black-Scholes'!$B$11)="put",MAX('Black-Scholes'!$B$6-D836,0),MAX(D836-'Black-Scholes'!$B$6,0))</f>
        <v>0</v>
      </c>
    </row>
    <row r="837" customFormat="false" ht="15" hidden="false" customHeight="false" outlineLevel="0" collapsed="false">
      <c r="A837" s="0" t="n">
        <v>826</v>
      </c>
      <c r="B837" s="15" t="n">
        <v>0.310293983861807</v>
      </c>
      <c r="C837" s="18" t="n">
        <f aca="false">'Black-Scholes'!$B$5*EXP(('Black-Scholes'!$B$8-'Black-Scholes'!$B$10-'Black-Scholes'!$B$9^2/2)*'Black-Scholes'!$B$7+'Black-Scholes'!$B$9*SQRT('Black-Scholes'!$B$7)*B837)</f>
        <v>109.642928668882</v>
      </c>
      <c r="D837" s="18" t="n">
        <f aca="false">'Black-Scholes'!$B$5*EXP(('Black-Scholes'!$B$8-'Black-Scholes'!$B$10-'Black-Scholes'!$B$9^2/2)*'Black-Scholes'!$B$7-'Black-Scholes'!$B$9*SQRT('Black-Scholes'!$B$7)*B837)</f>
        <v>96.8449638692221</v>
      </c>
      <c r="E837" s="18" t="n">
        <f aca="false">EXP(-'Black-Scholes'!$B$8*'Black-Scholes'!$B$7)*IF(LOWER('Black-Scholes'!$B$11)="put",MAX('Black-Scholes'!$B$6-C837,0),MAX(C837-'Black-Scholes'!$B$6,0))</f>
        <v>9.17263748820233</v>
      </c>
      <c r="F837" s="18" t="n">
        <f aca="false">(E837+G837)/2</f>
        <v>4.58631874410116</v>
      </c>
      <c r="G837" s="18" t="n">
        <f aca="false">EXP(-'Black-Scholes'!$B$8*'Black-Scholes'!$B$7)*IF(LOWER('Black-Scholes'!$B$11)="put",MAX('Black-Scholes'!$B$6-D837,0),MAX(D837-'Black-Scholes'!$B$6,0))</f>
        <v>0</v>
      </c>
    </row>
    <row r="838" customFormat="false" ht="15" hidden="false" customHeight="false" outlineLevel="0" collapsed="false">
      <c r="A838" s="0" t="n">
        <v>827</v>
      </c>
      <c r="B838" s="15" t="n">
        <v>-0.471274651135601</v>
      </c>
      <c r="C838" s="18" t="n">
        <f aca="false">'Black-Scholes'!$B$5*EXP(('Black-Scholes'!$B$8-'Black-Scholes'!$B$10-'Black-Scholes'!$B$9^2/2)*'Black-Scholes'!$B$7+'Black-Scholes'!$B$9*SQRT('Black-Scholes'!$B$7)*B838)</f>
        <v>93.776590418077</v>
      </c>
      <c r="D838" s="18" t="n">
        <f aca="false">'Black-Scholes'!$B$5*EXP(('Black-Scholes'!$B$8-'Black-Scholes'!$B$10-'Black-Scholes'!$B$9^2/2)*'Black-Scholes'!$B$7-'Black-Scholes'!$B$9*SQRT('Black-Scholes'!$B$7)*B838)</f>
        <v>113.230449284993</v>
      </c>
      <c r="E838" s="18" t="n">
        <f aca="false">EXP(-'Black-Scholes'!$B$8*'Black-Scholes'!$B$7)*IF(LOWER('Black-Scholes'!$B$11)="put",MAX('Black-Scholes'!$B$6-C838,0),MAX(C838-'Black-Scholes'!$B$6,0))</f>
        <v>0</v>
      </c>
      <c r="F838" s="18" t="n">
        <f aca="false">(E838+G838)/2</f>
        <v>6.29259632962473</v>
      </c>
      <c r="G838" s="18" t="n">
        <f aca="false">EXP(-'Black-Scholes'!$B$8*'Black-Scholes'!$B$7)*IF(LOWER('Black-Scholes'!$B$11)="put",MAX('Black-Scholes'!$B$6-D838,0),MAX(D838-'Black-Scholes'!$B$6,0))</f>
        <v>12.5851926592495</v>
      </c>
    </row>
    <row r="839" customFormat="false" ht="15" hidden="false" customHeight="false" outlineLevel="0" collapsed="false">
      <c r="A839" s="0" t="n">
        <v>828</v>
      </c>
      <c r="B839" s="15" t="n">
        <v>0.455836580560806</v>
      </c>
      <c r="C839" s="18" t="n">
        <f aca="false">'Black-Scholes'!$B$5*EXP(('Black-Scholes'!$B$8-'Black-Scholes'!$B$10-'Black-Scholes'!$B$9^2/2)*'Black-Scholes'!$B$7+'Black-Scholes'!$B$9*SQRT('Black-Scholes'!$B$7)*B839)</f>
        <v>112.88137652984</v>
      </c>
      <c r="D839" s="18" t="n">
        <f aca="false">'Black-Scholes'!$B$5*EXP(('Black-Scholes'!$B$8-'Black-Scholes'!$B$10-'Black-Scholes'!$B$9^2/2)*'Black-Scholes'!$B$7-'Black-Scholes'!$B$9*SQRT('Black-Scholes'!$B$7)*B839)</f>
        <v>94.0665838057589</v>
      </c>
      <c r="E839" s="18" t="n">
        <f aca="false">EXP(-'Black-Scholes'!$B$8*'Black-Scholes'!$B$7)*IF(LOWER('Black-Scholes'!$B$11)="put",MAX('Black-Scholes'!$B$6-C839,0),MAX(C839-'Black-Scholes'!$B$6,0))</f>
        <v>12.2531443832565</v>
      </c>
      <c r="F839" s="18" t="n">
        <f aca="false">(E839+G839)/2</f>
        <v>6.12657219162826</v>
      </c>
      <c r="G839" s="18" t="n">
        <f aca="false">EXP(-'Black-Scholes'!$B$8*'Black-Scholes'!$B$7)*IF(LOWER('Black-Scholes'!$B$11)="put",MAX('Black-Scholes'!$B$6-D839,0),MAX(D839-'Black-Scholes'!$B$6,0))</f>
        <v>0</v>
      </c>
    </row>
    <row r="840" customFormat="false" ht="15" hidden="false" customHeight="false" outlineLevel="0" collapsed="false">
      <c r="A840" s="0" t="n">
        <v>829</v>
      </c>
      <c r="B840" s="15" t="n">
        <v>-0.816370677971058</v>
      </c>
      <c r="C840" s="18" t="n">
        <f aca="false">'Black-Scholes'!$B$5*EXP(('Black-Scholes'!$B$8-'Black-Scholes'!$B$10-'Black-Scholes'!$B$9^2/2)*'Black-Scholes'!$B$7+'Black-Scholes'!$B$9*SQRT('Black-Scholes'!$B$7)*B840)</f>
        <v>87.5225128858271</v>
      </c>
      <c r="D840" s="18" t="n">
        <f aca="false">'Black-Scholes'!$B$5*EXP(('Black-Scholes'!$B$8-'Black-Scholes'!$B$10-'Black-Scholes'!$B$9^2/2)*'Black-Scholes'!$B$7-'Black-Scholes'!$B$9*SQRT('Black-Scholes'!$B$7)*B840)</f>
        <v>121.321533344286</v>
      </c>
      <c r="E840" s="18" t="n">
        <f aca="false">EXP(-'Black-Scholes'!$B$8*'Black-Scholes'!$B$7)*IF(LOWER('Black-Scholes'!$B$11)="put",MAX('Black-Scholes'!$B$6-C840,0),MAX(C840-'Black-Scholes'!$B$6,0))</f>
        <v>0</v>
      </c>
      <c r="F840" s="18" t="n">
        <f aca="false">(E840+G840)/2</f>
        <v>10.1408349462791</v>
      </c>
      <c r="G840" s="18" t="n">
        <f aca="false">EXP(-'Black-Scholes'!$B$8*'Black-Scholes'!$B$7)*IF(LOWER('Black-Scholes'!$B$11)="put",MAX('Black-Scholes'!$B$6-D840,0),MAX(D840-'Black-Scholes'!$B$6,0))</f>
        <v>20.2816698925582</v>
      </c>
    </row>
    <row r="841" customFormat="false" ht="15" hidden="false" customHeight="false" outlineLevel="0" collapsed="false">
      <c r="A841" s="0" t="n">
        <v>830</v>
      </c>
      <c r="B841" s="15" t="n">
        <v>1.85603759024237</v>
      </c>
      <c r="C841" s="18" t="n">
        <f aca="false">'Black-Scholes'!$B$5*EXP(('Black-Scholes'!$B$8-'Black-Scholes'!$B$10-'Black-Scholes'!$B$9^2/2)*'Black-Scholes'!$B$7+'Black-Scholes'!$B$9*SQRT('Black-Scholes'!$B$7)*B841)</f>
        <v>149.362719094141</v>
      </c>
      <c r="D841" s="18" t="n">
        <f aca="false">'Black-Scholes'!$B$5*EXP(('Black-Scholes'!$B$8-'Black-Scholes'!$B$10-'Black-Scholes'!$B$9^2/2)*'Black-Scholes'!$B$7-'Black-Scholes'!$B$9*SQRT('Black-Scholes'!$B$7)*B841)</f>
        <v>71.0911365958798</v>
      </c>
      <c r="E841" s="18" t="n">
        <f aca="false">EXP(-'Black-Scholes'!$B$8*'Black-Scholes'!$B$7)*IF(LOWER('Black-Scholes'!$B$11)="put",MAX('Black-Scholes'!$B$6-C841,0),MAX(C841-'Black-Scholes'!$B$6,0))</f>
        <v>46.9552708757101</v>
      </c>
      <c r="F841" s="18" t="n">
        <f aca="false">(E841+G841)/2</f>
        <v>23.4776354378551</v>
      </c>
      <c r="G841" s="18" t="n">
        <f aca="false">EXP(-'Black-Scholes'!$B$8*'Black-Scholes'!$B$7)*IF(LOWER('Black-Scholes'!$B$11)="put",MAX('Black-Scholes'!$B$6-D841,0),MAX(D841-'Black-Scholes'!$B$6,0))</f>
        <v>0</v>
      </c>
    </row>
    <row r="842" customFormat="false" ht="15" hidden="false" customHeight="false" outlineLevel="0" collapsed="false">
      <c r="A842" s="0" t="n">
        <v>831</v>
      </c>
      <c r="B842" s="15" t="n">
        <v>0.73406444659045</v>
      </c>
      <c r="C842" s="18" t="n">
        <f aca="false">'Black-Scholes'!$B$5*EXP(('Black-Scholes'!$B$8-'Black-Scholes'!$B$10-'Black-Scholes'!$B$9^2/2)*'Black-Scholes'!$B$7+'Black-Scholes'!$B$9*SQRT('Black-Scholes'!$B$7)*B842)</f>
        <v>119.340777289281</v>
      </c>
      <c r="D842" s="18" t="n">
        <f aca="false">'Black-Scholes'!$B$5*EXP(('Black-Scholes'!$B$8-'Black-Scholes'!$B$10-'Black-Scholes'!$B$9^2/2)*'Black-Scholes'!$B$7-'Black-Scholes'!$B$9*SQRT('Black-Scholes'!$B$7)*B842)</f>
        <v>88.9751659628863</v>
      </c>
      <c r="E842" s="18" t="n">
        <f aca="false">EXP(-'Black-Scholes'!$B$8*'Black-Scholes'!$B$7)*IF(LOWER('Black-Scholes'!$B$11)="put",MAX('Black-Scholes'!$B$6-C842,0),MAX(C842-'Black-Scholes'!$B$6,0))</f>
        <v>18.397516450279</v>
      </c>
      <c r="F842" s="18" t="n">
        <f aca="false">(E842+G842)/2</f>
        <v>9.19875822513948</v>
      </c>
      <c r="G842" s="18" t="n">
        <f aca="false">EXP(-'Black-Scholes'!$B$8*'Black-Scholes'!$B$7)*IF(LOWER('Black-Scholes'!$B$11)="put",MAX('Black-Scholes'!$B$6-D842,0),MAX(D842-'Black-Scholes'!$B$6,0))</f>
        <v>0</v>
      </c>
    </row>
    <row r="843" customFormat="false" ht="15" hidden="false" customHeight="false" outlineLevel="0" collapsed="false">
      <c r="A843" s="0" t="n">
        <v>832</v>
      </c>
      <c r="B843" s="15" t="n">
        <v>0.345513546115331</v>
      </c>
      <c r="C843" s="18" t="n">
        <f aca="false">'Black-Scholes'!$B$5*EXP(('Black-Scholes'!$B$8-'Black-Scholes'!$B$10-'Black-Scholes'!$B$9^2/2)*'Black-Scholes'!$B$7+'Black-Scholes'!$B$9*SQRT('Black-Scholes'!$B$7)*B843)</f>
        <v>110.417970317442</v>
      </c>
      <c r="D843" s="18" t="n">
        <f aca="false">'Black-Scholes'!$B$5*EXP(('Black-Scholes'!$B$8-'Black-Scholes'!$B$10-'Black-Scholes'!$B$9^2/2)*'Black-Scholes'!$B$7-'Black-Scholes'!$B$9*SQRT('Black-Scholes'!$B$7)*B843)</f>
        <v>96.1651933550916</v>
      </c>
      <c r="E843" s="18" t="n">
        <f aca="false">EXP(-'Black-Scholes'!$B$8*'Black-Scholes'!$B$7)*IF(LOWER('Black-Scholes'!$B$11)="put",MAX('Black-Scholes'!$B$6-C843,0),MAX(C843-'Black-Scholes'!$B$6,0))</f>
        <v>9.90987990952608</v>
      </c>
      <c r="F843" s="18" t="n">
        <f aca="false">(E843+G843)/2</f>
        <v>4.95493995476304</v>
      </c>
      <c r="G843" s="18" t="n">
        <f aca="false">EXP(-'Black-Scholes'!$B$8*'Black-Scholes'!$B$7)*IF(LOWER('Black-Scholes'!$B$11)="put",MAX('Black-Scholes'!$B$6-D843,0),MAX(D843-'Black-Scholes'!$B$6,0))</f>
        <v>0</v>
      </c>
    </row>
    <row r="844" customFormat="false" ht="15" hidden="false" customHeight="false" outlineLevel="0" collapsed="false">
      <c r="A844" s="0" t="n">
        <v>833</v>
      </c>
      <c r="B844" s="15" t="n">
        <v>0.622825839657187</v>
      </c>
      <c r="C844" s="18" t="n">
        <f aca="false">'Black-Scholes'!$B$5*EXP(('Black-Scholes'!$B$8-'Black-Scholes'!$B$10-'Black-Scholes'!$B$9^2/2)*'Black-Scholes'!$B$7+'Black-Scholes'!$B$9*SQRT('Black-Scholes'!$B$7)*B844)</f>
        <v>116.715033635228</v>
      </c>
      <c r="D844" s="18" t="n">
        <f aca="false">'Black-Scholes'!$B$5*EXP(('Black-Scholes'!$B$8-'Black-Scholes'!$B$10-'Black-Scholes'!$B$9^2/2)*'Black-Scholes'!$B$7-'Black-Scholes'!$B$9*SQRT('Black-Scholes'!$B$7)*B844)</f>
        <v>90.9768444966513</v>
      </c>
      <c r="E844" s="18" t="n">
        <f aca="false">EXP(-'Black-Scholes'!$B$8*'Black-Scholes'!$B$7)*IF(LOWER('Black-Scholes'!$B$11)="put",MAX('Black-Scholes'!$B$6-C844,0),MAX(C844-'Black-Scholes'!$B$6,0))</f>
        <v>15.8998318253483</v>
      </c>
      <c r="F844" s="18" t="n">
        <f aca="false">(E844+G844)/2</f>
        <v>7.94991591267416</v>
      </c>
      <c r="G844" s="18" t="n">
        <f aca="false">EXP(-'Black-Scholes'!$B$8*'Black-Scholes'!$B$7)*IF(LOWER('Black-Scholes'!$B$11)="put",MAX('Black-Scholes'!$B$6-D844,0),MAX(D844-'Black-Scholes'!$B$6,0))</f>
        <v>0</v>
      </c>
    </row>
    <row r="845" customFormat="false" ht="15" hidden="false" customHeight="false" outlineLevel="0" collapsed="false">
      <c r="A845" s="0" t="n">
        <v>834</v>
      </c>
      <c r="B845" s="15" t="n">
        <v>0.0229929637515524</v>
      </c>
      <c r="C845" s="18" t="n">
        <f aca="false">'Black-Scholes'!$B$5*EXP(('Black-Scholes'!$B$8-'Black-Scholes'!$B$10-'Black-Scholes'!$B$9^2/2)*'Black-Scholes'!$B$7+'Black-Scholes'!$B$9*SQRT('Black-Scholes'!$B$7)*B845)</f>
        <v>103.520408696298</v>
      </c>
      <c r="D845" s="18" t="n">
        <f aca="false">'Black-Scholes'!$B$5*EXP(('Black-Scholes'!$B$8-'Black-Scholes'!$B$10-'Black-Scholes'!$B$9^2/2)*'Black-Scholes'!$B$7-'Black-Scholes'!$B$9*SQRT('Black-Scholes'!$B$7)*B845)</f>
        <v>102.572677206145</v>
      </c>
      <c r="E845" s="18" t="n">
        <f aca="false">EXP(-'Black-Scholes'!$B$8*'Black-Scholes'!$B$7)*IF(LOWER('Black-Scholes'!$B$11)="put",MAX('Black-Scholes'!$B$6-C845,0),MAX(C845-'Black-Scholes'!$B$6,0))</f>
        <v>3.34871633818681</v>
      </c>
      <c r="F845" s="18" t="n">
        <f aca="false">(E845+G845)/2</f>
        <v>2.8979612982072</v>
      </c>
      <c r="G845" s="18" t="n">
        <f aca="false">EXP(-'Black-Scholes'!$B$8*'Black-Scholes'!$B$7)*IF(LOWER('Black-Scholes'!$B$11)="put",MAX('Black-Scholes'!$B$6-D845,0),MAX(D845-'Black-Scholes'!$B$6,0))</f>
        <v>2.44720625822759</v>
      </c>
    </row>
    <row r="846" customFormat="false" ht="15" hidden="false" customHeight="false" outlineLevel="0" collapsed="false">
      <c r="A846" s="0" t="n">
        <v>835</v>
      </c>
      <c r="B846" s="15" t="n">
        <v>0.089935329927782</v>
      </c>
      <c r="C846" s="18" t="n">
        <f aca="false">'Black-Scholes'!$B$5*EXP(('Black-Scholes'!$B$8-'Black-Scholes'!$B$10-'Black-Scholes'!$B$9^2/2)*'Black-Scholes'!$B$7+'Black-Scholes'!$B$9*SQRT('Black-Scholes'!$B$7)*B846)</f>
        <v>104.915708542382</v>
      </c>
      <c r="D846" s="18" t="n">
        <f aca="false">'Black-Scholes'!$B$5*EXP(('Black-Scholes'!$B$8-'Black-Scholes'!$B$10-'Black-Scholes'!$B$9^2/2)*'Black-Scholes'!$B$7-'Black-Scholes'!$B$9*SQRT('Black-Scholes'!$B$7)*B846)</f>
        <v>101.208537910833</v>
      </c>
      <c r="E846" s="18" t="n">
        <f aca="false">EXP(-'Black-Scholes'!$B$8*'Black-Scholes'!$B$7)*IF(LOWER('Black-Scholes'!$B$11)="put",MAX('Black-Scholes'!$B$6-C846,0),MAX(C846-'Black-Scholes'!$B$6,0))</f>
        <v>4.67596660778305</v>
      </c>
      <c r="F846" s="18" t="n">
        <f aca="false">(E846+G846)/2</f>
        <v>2.91278171459622</v>
      </c>
      <c r="G846" s="18" t="n">
        <f aca="false">EXP(-'Black-Scholes'!$B$8*'Black-Scholes'!$B$7)*IF(LOWER('Black-Scholes'!$B$11)="put",MAX('Black-Scholes'!$B$6-D846,0),MAX(D846-'Black-Scholes'!$B$6,0))</f>
        <v>1.14959682140939</v>
      </c>
    </row>
    <row r="847" customFormat="false" ht="15" hidden="false" customHeight="false" outlineLevel="0" collapsed="false">
      <c r="A847" s="0" t="n">
        <v>836</v>
      </c>
      <c r="B847" s="15" t="n">
        <v>-0.684980936517567</v>
      </c>
      <c r="C847" s="18" t="n">
        <f aca="false">'Black-Scholes'!$B$5*EXP(('Black-Scholes'!$B$8-'Black-Scholes'!$B$10-'Black-Scholes'!$B$9^2/2)*'Black-Scholes'!$B$7+'Black-Scholes'!$B$9*SQRT('Black-Scholes'!$B$7)*B847)</f>
        <v>89.8529098802513</v>
      </c>
      <c r="D847" s="18" t="n">
        <f aca="false">'Black-Scholes'!$B$5*EXP(('Black-Scholes'!$B$8-'Black-Scholes'!$B$10-'Black-Scholes'!$B$9^2/2)*'Black-Scholes'!$B$7-'Black-Scholes'!$B$9*SQRT('Black-Scholes'!$B$7)*B847)</f>
        <v>118.174975964662</v>
      </c>
      <c r="E847" s="18" t="n">
        <f aca="false">EXP(-'Black-Scholes'!$B$8*'Black-Scholes'!$B$7)*IF(LOWER('Black-Scholes'!$B$11)="put",MAX('Black-Scholes'!$B$6-C847,0),MAX(C847-'Black-Scholes'!$B$6,0))</f>
        <v>0</v>
      </c>
      <c r="F847" s="18" t="n">
        <f aca="false">(E847+G847)/2</f>
        <v>8.64428596358966</v>
      </c>
      <c r="G847" s="18" t="n">
        <f aca="false">EXP(-'Black-Scholes'!$B$8*'Black-Scholes'!$B$7)*IF(LOWER('Black-Scholes'!$B$11)="put",MAX('Black-Scholes'!$B$6-D847,0),MAX(D847-'Black-Scholes'!$B$6,0))</f>
        <v>17.2885719271793</v>
      </c>
    </row>
    <row r="848" customFormat="false" ht="15" hidden="false" customHeight="false" outlineLevel="0" collapsed="false">
      <c r="A848" s="0" t="n">
        <v>837</v>
      </c>
      <c r="B848" s="15" t="n">
        <v>-0.930170240671461</v>
      </c>
      <c r="C848" s="18" t="n">
        <f aca="false">'Black-Scholes'!$B$5*EXP(('Black-Scholes'!$B$8-'Black-Scholes'!$B$10-'Black-Scholes'!$B$9^2/2)*'Black-Scholes'!$B$7+'Black-Scholes'!$B$9*SQRT('Black-Scholes'!$B$7)*B848)</f>
        <v>85.5530060672719</v>
      </c>
      <c r="D848" s="18" t="n">
        <f aca="false">'Black-Scholes'!$B$5*EXP(('Black-Scholes'!$B$8-'Black-Scholes'!$B$10-'Black-Scholes'!$B$9^2/2)*'Black-Scholes'!$B$7-'Black-Scholes'!$B$9*SQRT('Black-Scholes'!$B$7)*B848)</f>
        <v>124.114463694054</v>
      </c>
      <c r="E848" s="18" t="n">
        <f aca="false">EXP(-'Black-Scholes'!$B$8*'Black-Scholes'!$B$7)*IF(LOWER('Black-Scholes'!$B$11)="put",MAX('Black-Scholes'!$B$6-C848,0),MAX(C848-'Black-Scholes'!$B$6,0))</f>
        <v>0</v>
      </c>
      <c r="F848" s="18" t="n">
        <f aca="false">(E848+G848)/2</f>
        <v>11.4691937109192</v>
      </c>
      <c r="G848" s="18" t="n">
        <f aca="false">EXP(-'Black-Scholes'!$B$8*'Black-Scholes'!$B$7)*IF(LOWER('Black-Scholes'!$B$11)="put",MAX('Black-Scholes'!$B$6-D848,0),MAX(D848-'Black-Scholes'!$B$6,0))</f>
        <v>22.9383874218384</v>
      </c>
    </row>
    <row r="849" customFormat="false" ht="15" hidden="false" customHeight="false" outlineLevel="0" collapsed="false">
      <c r="A849" s="0" t="n">
        <v>838</v>
      </c>
      <c r="B849" s="15" t="n">
        <v>-0.186267523594798</v>
      </c>
      <c r="C849" s="18" t="n">
        <f aca="false">'Black-Scholes'!$B$5*EXP(('Black-Scholes'!$B$8-'Black-Scholes'!$B$10-'Black-Scholes'!$B$9^2/2)*'Black-Scholes'!$B$7+'Black-Scholes'!$B$9*SQRT('Black-Scholes'!$B$7)*B849)</f>
        <v>99.2772738456394</v>
      </c>
      <c r="D849" s="18" t="n">
        <f aca="false">'Black-Scholes'!$B$5*EXP(('Black-Scholes'!$B$8-'Black-Scholes'!$B$10-'Black-Scholes'!$B$9^2/2)*'Black-Scholes'!$B$7-'Black-Scholes'!$B$9*SQRT('Black-Scholes'!$B$7)*B849)</f>
        <v>106.956658398613</v>
      </c>
      <c r="E849" s="18" t="n">
        <f aca="false">EXP(-'Black-Scholes'!$B$8*'Black-Scholes'!$B$7)*IF(LOWER('Black-Scholes'!$B$11)="put",MAX('Black-Scholes'!$B$6-C849,0),MAX(C849-'Black-Scholes'!$B$6,0))</f>
        <v>0</v>
      </c>
      <c r="F849" s="18" t="n">
        <f aca="false">(E849+G849)/2</f>
        <v>3.3086890824803</v>
      </c>
      <c r="G849" s="18" t="n">
        <f aca="false">EXP(-'Black-Scholes'!$B$8*'Black-Scholes'!$B$7)*IF(LOWER('Black-Scholes'!$B$11)="put",MAX('Black-Scholes'!$B$6-D849,0),MAX(D849-'Black-Scholes'!$B$6,0))</f>
        <v>6.61737816496061</v>
      </c>
    </row>
    <row r="850" customFormat="false" ht="15" hidden="false" customHeight="false" outlineLevel="0" collapsed="false">
      <c r="A850" s="0" t="n">
        <v>839</v>
      </c>
      <c r="B850" s="15" t="n">
        <v>0.00494972716926543</v>
      </c>
      <c r="C850" s="18" t="n">
        <f aca="false">'Black-Scholes'!$B$5*EXP(('Black-Scholes'!$B$8-'Black-Scholes'!$B$10-'Black-Scholes'!$B$9^2/2)*'Black-Scholes'!$B$7+'Black-Scholes'!$B$9*SQRT('Black-Scholes'!$B$7)*B850)</f>
        <v>103.147513279943</v>
      </c>
      <c r="D850" s="18" t="n">
        <f aca="false">'Black-Scholes'!$B$5*EXP(('Black-Scholes'!$B$8-'Black-Scholes'!$B$10-'Black-Scholes'!$B$9^2/2)*'Black-Scholes'!$B$7-'Black-Scholes'!$B$9*SQRT('Black-Scholes'!$B$7)*B850)</f>
        <v>102.943494494484</v>
      </c>
      <c r="E850" s="18" t="n">
        <f aca="false">EXP(-'Black-Scholes'!$B$8*'Black-Scholes'!$B$7)*IF(LOWER('Black-Scholes'!$B$11)="put",MAX('Black-Scholes'!$B$6-C850,0),MAX(C850-'Black-Scholes'!$B$6,0))</f>
        <v>2.99400724588879</v>
      </c>
      <c r="F850" s="18" t="n">
        <f aca="false">(E850+G850)/2</f>
        <v>2.8969729099491</v>
      </c>
      <c r="G850" s="18" t="n">
        <f aca="false">EXP(-'Black-Scholes'!$B$8*'Black-Scholes'!$B$7)*IF(LOWER('Black-Scholes'!$B$11)="put",MAX('Black-Scholes'!$B$6-D850,0),MAX(D850-'Black-Scholes'!$B$6,0))</f>
        <v>2.7999385740094</v>
      </c>
    </row>
    <row r="851" customFormat="false" ht="15" hidden="false" customHeight="false" outlineLevel="0" collapsed="false">
      <c r="A851" s="0" t="n">
        <v>840</v>
      </c>
      <c r="B851" s="15" t="n">
        <v>-1.09013746611597</v>
      </c>
      <c r="C851" s="18" t="n">
        <f aca="false">'Black-Scholes'!$B$5*EXP(('Black-Scholes'!$B$8-'Black-Scholes'!$B$10-'Black-Scholes'!$B$9^2/2)*'Black-Scholes'!$B$7+'Black-Scholes'!$B$9*SQRT('Black-Scholes'!$B$7)*B851)</f>
        <v>82.8591926256755</v>
      </c>
      <c r="D851" s="18" t="n">
        <f aca="false">'Black-Scholes'!$B$5*EXP(('Black-Scholes'!$B$8-'Black-Scholes'!$B$10-'Black-Scholes'!$B$9^2/2)*'Black-Scholes'!$B$7-'Black-Scholes'!$B$9*SQRT('Black-Scholes'!$B$7)*B851)</f>
        <v>128.149516414227</v>
      </c>
      <c r="E851" s="18" t="n">
        <f aca="false">EXP(-'Black-Scholes'!$B$8*'Black-Scholes'!$B$7)*IF(LOWER('Black-Scholes'!$B$11)="put",MAX('Black-Scholes'!$B$6-C851,0),MAX(C851-'Black-Scholes'!$B$6,0))</f>
        <v>0</v>
      </c>
      <c r="F851" s="18" t="n">
        <f aca="false">(E851+G851)/2</f>
        <v>13.3883241493393</v>
      </c>
      <c r="G851" s="18" t="n">
        <f aca="false">EXP(-'Black-Scholes'!$B$8*'Black-Scholes'!$B$7)*IF(LOWER('Black-Scholes'!$B$11)="put",MAX('Black-Scholes'!$B$6-D851,0),MAX(D851-'Black-Scholes'!$B$6,0))</f>
        <v>26.7766482986785</v>
      </c>
    </row>
    <row r="852" customFormat="false" ht="15" hidden="false" customHeight="false" outlineLevel="0" collapsed="false">
      <c r="A852" s="0" t="n">
        <v>841</v>
      </c>
      <c r="B852" s="15" t="n">
        <v>0.228715463901591</v>
      </c>
      <c r="C852" s="18" t="n">
        <f aca="false">'Black-Scholes'!$B$5*EXP(('Black-Scholes'!$B$8-'Black-Scholes'!$B$10-'Black-Scholes'!$B$9^2/2)*'Black-Scholes'!$B$7+'Black-Scholes'!$B$9*SQRT('Black-Scholes'!$B$7)*B852)</f>
        <v>107.868541648564</v>
      </c>
      <c r="D852" s="18" t="n">
        <f aca="false">'Black-Scholes'!$B$5*EXP(('Black-Scholes'!$B$8-'Black-Scholes'!$B$10-'Black-Scholes'!$B$9^2/2)*'Black-Scholes'!$B$7-'Black-Scholes'!$B$9*SQRT('Black-Scholes'!$B$7)*B852)</f>
        <v>98.4380181948526</v>
      </c>
      <c r="E852" s="18" t="n">
        <f aca="false">EXP(-'Black-Scholes'!$B$8*'Black-Scholes'!$B$7)*IF(LOWER('Black-Scholes'!$B$11)="put",MAX('Black-Scholes'!$B$6-C852,0),MAX(C852-'Black-Scholes'!$B$6,0))</f>
        <v>7.48478834402384</v>
      </c>
      <c r="F852" s="18" t="n">
        <f aca="false">(E852+G852)/2</f>
        <v>3.74239417201192</v>
      </c>
      <c r="G852" s="18" t="n">
        <f aca="false">EXP(-'Black-Scholes'!$B$8*'Black-Scholes'!$B$7)*IF(LOWER('Black-Scholes'!$B$11)="put",MAX('Black-Scholes'!$B$6-D852,0),MAX(D852-'Black-Scholes'!$B$6,0))</f>
        <v>0</v>
      </c>
    </row>
    <row r="853" customFormat="false" ht="15" hidden="false" customHeight="false" outlineLevel="0" collapsed="false">
      <c r="A853" s="0" t="n">
        <v>842</v>
      </c>
      <c r="B853" s="15" t="n">
        <v>-1.46982282705617</v>
      </c>
      <c r="C853" s="18" t="n">
        <f aca="false">'Black-Scholes'!$B$5*EXP(('Black-Scholes'!$B$8-'Black-Scholes'!$B$10-'Black-Scholes'!$B$9^2/2)*'Black-Scholes'!$B$7+'Black-Scholes'!$B$9*SQRT('Black-Scholes'!$B$7)*B853)</f>
        <v>76.8000752965411</v>
      </c>
      <c r="D853" s="18" t="n">
        <f aca="false">'Black-Scholes'!$B$5*EXP(('Black-Scholes'!$B$8-'Black-Scholes'!$B$10-'Black-Scholes'!$B$9^2/2)*'Black-Scholes'!$B$7-'Black-Scholes'!$B$9*SQRT('Black-Scholes'!$B$7)*B853)</f>
        <v>138.259831444877</v>
      </c>
      <c r="E853" s="18" t="n">
        <f aca="false">EXP(-'Black-Scholes'!$B$8*'Black-Scholes'!$B$7)*IF(LOWER('Black-Scholes'!$B$11)="put",MAX('Black-Scholes'!$B$6-C853,0),MAX(C853-'Black-Scholes'!$B$6,0))</f>
        <v>0</v>
      </c>
      <c r="F853" s="18" t="n">
        <f aca="false">(E853+G853)/2</f>
        <v>18.1969387234021</v>
      </c>
      <c r="G853" s="18" t="n">
        <f aca="false">EXP(-'Black-Scholes'!$B$8*'Black-Scholes'!$B$7)*IF(LOWER('Black-Scholes'!$B$11)="put",MAX('Black-Scholes'!$B$6-D853,0),MAX(D853-'Black-Scholes'!$B$6,0))</f>
        <v>36.3938774468042</v>
      </c>
    </row>
    <row r="854" customFormat="false" ht="15" hidden="false" customHeight="false" outlineLevel="0" collapsed="false">
      <c r="A854" s="0" t="n">
        <v>843</v>
      </c>
      <c r="B854" s="15" t="n">
        <v>-1.88588839941978</v>
      </c>
      <c r="C854" s="18" t="n">
        <f aca="false">'Black-Scholes'!$B$5*EXP(('Black-Scholes'!$B$8-'Black-Scholes'!$B$10-'Black-Scholes'!$B$9^2/2)*'Black-Scholes'!$B$7+'Black-Scholes'!$B$9*SQRT('Black-Scholes'!$B$7)*B854)</f>
        <v>70.6679754325356</v>
      </c>
      <c r="D854" s="18" t="n">
        <f aca="false">'Black-Scholes'!$B$5*EXP(('Black-Scholes'!$B$8-'Black-Scholes'!$B$10-'Black-Scholes'!$B$9^2/2)*'Black-Scholes'!$B$7-'Black-Scholes'!$B$9*SQRT('Black-Scholes'!$B$7)*B854)</f>
        <v>150.257105859649</v>
      </c>
      <c r="E854" s="18" t="n">
        <f aca="false">EXP(-'Black-Scholes'!$B$8*'Black-Scholes'!$B$7)*IF(LOWER('Black-Scholes'!$B$11)="put",MAX('Black-Scholes'!$B$6-C854,0),MAX(C854-'Black-Scholes'!$B$6,0))</f>
        <v>0</v>
      </c>
      <c r="F854" s="18" t="n">
        <f aca="false">(E854+G854)/2</f>
        <v>23.9030189419728</v>
      </c>
      <c r="G854" s="18" t="n">
        <f aca="false">EXP(-'Black-Scholes'!$B$8*'Black-Scholes'!$B$7)*IF(LOWER('Black-Scholes'!$B$11)="put",MAX('Black-Scholes'!$B$6-D854,0),MAX(D854-'Black-Scholes'!$B$6,0))</f>
        <v>47.8060378839456</v>
      </c>
    </row>
    <row r="855" customFormat="false" ht="15" hidden="false" customHeight="false" outlineLevel="0" collapsed="false">
      <c r="A855" s="0" t="n">
        <v>844</v>
      </c>
      <c r="B855" s="15" t="n">
        <v>-1.5142898266474</v>
      </c>
      <c r="C855" s="18" t="n">
        <f aca="false">'Black-Scholes'!$B$5*EXP(('Black-Scholes'!$B$8-'Black-Scholes'!$B$10-'Black-Scholes'!$B$9^2/2)*'Black-Scholes'!$B$7+'Black-Scholes'!$B$9*SQRT('Black-Scholes'!$B$7)*B855)</f>
        <v>76.1200896869708</v>
      </c>
      <c r="D855" s="18" t="n">
        <f aca="false">'Black-Scholes'!$B$5*EXP(('Black-Scholes'!$B$8-'Black-Scholes'!$B$10-'Black-Scholes'!$B$9^2/2)*'Black-Scholes'!$B$7-'Black-Scholes'!$B$9*SQRT('Black-Scholes'!$B$7)*B855)</f>
        <v>139.494915325502</v>
      </c>
      <c r="E855" s="18" t="n">
        <f aca="false">EXP(-'Black-Scholes'!$B$8*'Black-Scholes'!$B$7)*IF(LOWER('Black-Scholes'!$B$11)="put",MAX('Black-Scholes'!$B$6-C855,0),MAX(C855-'Black-Scholes'!$B$6,0))</f>
        <v>0</v>
      </c>
      <c r="F855" s="18" t="n">
        <f aca="false">(E855+G855)/2</f>
        <v>18.7843627878908</v>
      </c>
      <c r="G855" s="18" t="n">
        <f aca="false">EXP(-'Black-Scholes'!$B$8*'Black-Scholes'!$B$7)*IF(LOWER('Black-Scholes'!$B$11)="put",MAX('Black-Scholes'!$B$6-D855,0),MAX(D855-'Black-Scholes'!$B$6,0))</f>
        <v>37.5687255757815</v>
      </c>
    </row>
    <row r="856" customFormat="false" ht="15" hidden="false" customHeight="false" outlineLevel="0" collapsed="false">
      <c r="A856" s="0" t="n">
        <v>845</v>
      </c>
      <c r="B856" s="15" t="n">
        <v>-0.969541498315846</v>
      </c>
      <c r="C856" s="18" t="n">
        <f aca="false">'Black-Scholes'!$B$5*EXP(('Black-Scholes'!$B$8-'Black-Scholes'!$B$10-'Black-Scholes'!$B$9^2/2)*'Black-Scholes'!$B$7+'Black-Scholes'!$B$9*SQRT('Black-Scholes'!$B$7)*B856)</f>
        <v>84.881985537812</v>
      </c>
      <c r="D856" s="18" t="n">
        <f aca="false">'Black-Scholes'!$B$5*EXP(('Black-Scholes'!$B$8-'Black-Scholes'!$B$10-'Black-Scholes'!$B$9^2/2)*'Black-Scholes'!$B$7-'Black-Scholes'!$B$9*SQRT('Black-Scholes'!$B$7)*B856)</f>
        <v>125.095630105442</v>
      </c>
      <c r="E856" s="18" t="n">
        <f aca="false">EXP(-'Black-Scholes'!$B$8*'Black-Scholes'!$B$7)*IF(LOWER('Black-Scholes'!$B$11)="put",MAX('Black-Scholes'!$B$6-C856,0),MAX(C856-'Black-Scholes'!$B$6,0))</f>
        <v>0</v>
      </c>
      <c r="F856" s="18" t="n">
        <f aca="false">(E856+G856)/2</f>
        <v>11.9358508913411</v>
      </c>
      <c r="G856" s="18" t="n">
        <f aca="false">EXP(-'Black-Scholes'!$B$8*'Black-Scholes'!$B$7)*IF(LOWER('Black-Scholes'!$B$11)="put",MAX('Black-Scholes'!$B$6-D856,0),MAX(D856-'Black-Scholes'!$B$6,0))</f>
        <v>23.8717017826823</v>
      </c>
    </row>
    <row r="857" customFormat="false" ht="15" hidden="false" customHeight="false" outlineLevel="0" collapsed="false">
      <c r="A857" s="0" t="n">
        <v>846</v>
      </c>
      <c r="B857" s="15" t="n">
        <v>0.422639218437781</v>
      </c>
      <c r="C857" s="18" t="n">
        <f aca="false">'Black-Scholes'!$B$5*EXP(('Black-Scholes'!$B$8-'Black-Scholes'!$B$10-'Black-Scholes'!$B$9^2/2)*'Black-Scholes'!$B$7+'Black-Scholes'!$B$9*SQRT('Black-Scholes'!$B$7)*B857)</f>
        <v>112.134386297746</v>
      </c>
      <c r="D857" s="18" t="n">
        <f aca="false">'Black-Scholes'!$B$5*EXP(('Black-Scholes'!$B$8-'Black-Scholes'!$B$10-'Black-Scholes'!$B$9^2/2)*'Black-Scholes'!$B$7-'Black-Scholes'!$B$9*SQRT('Black-Scholes'!$B$7)*B857)</f>
        <v>94.6932142408047</v>
      </c>
      <c r="E857" s="18" t="n">
        <f aca="false">EXP(-'Black-Scholes'!$B$8*'Black-Scholes'!$B$7)*IF(LOWER('Black-Scholes'!$B$11)="put",MAX('Black-Scholes'!$B$6-C857,0),MAX(C857-'Black-Scholes'!$B$6,0))</f>
        <v>11.5425852946741</v>
      </c>
      <c r="F857" s="18" t="n">
        <f aca="false">(E857+G857)/2</f>
        <v>5.77129264733704</v>
      </c>
      <c r="G857" s="18" t="n">
        <f aca="false">EXP(-'Black-Scholes'!$B$8*'Black-Scholes'!$B$7)*IF(LOWER('Black-Scholes'!$B$11)="put",MAX('Black-Scholes'!$B$6-D857,0),MAX(D857-'Black-Scholes'!$B$6,0))</f>
        <v>0</v>
      </c>
    </row>
    <row r="858" customFormat="false" ht="15" hidden="false" customHeight="false" outlineLevel="0" collapsed="false">
      <c r="A858" s="0" t="n">
        <v>847</v>
      </c>
      <c r="B858" s="15" t="n">
        <v>-0.24808835163774</v>
      </c>
      <c r="C858" s="18" t="n">
        <f aca="false">'Black-Scholes'!$B$5*EXP(('Black-Scholes'!$B$8-'Black-Scholes'!$B$10-'Black-Scholes'!$B$9^2/2)*'Black-Scholes'!$B$7+'Black-Scholes'!$B$9*SQRT('Black-Scholes'!$B$7)*B858)</f>
        <v>98.057350399434</v>
      </c>
      <c r="D858" s="18" t="n">
        <f aca="false">'Black-Scholes'!$B$5*EXP(('Black-Scholes'!$B$8-'Black-Scholes'!$B$10-'Black-Scholes'!$B$9^2/2)*'Black-Scholes'!$B$7-'Black-Scholes'!$B$9*SQRT('Black-Scholes'!$B$7)*B858)</f>
        <v>108.287297405039</v>
      </c>
      <c r="E858" s="18" t="n">
        <f aca="false">EXP(-'Black-Scholes'!$B$8*'Black-Scholes'!$B$7)*IF(LOWER('Black-Scholes'!$B$11)="put",MAX('Black-Scholes'!$B$6-C858,0),MAX(C858-'Black-Scholes'!$B$6,0))</f>
        <v>0</v>
      </c>
      <c r="F858" s="18" t="n">
        <f aca="false">(E858+G858)/2</f>
        <v>3.94156057063062</v>
      </c>
      <c r="G858" s="18" t="n">
        <f aca="false">EXP(-'Black-Scholes'!$B$8*'Black-Scholes'!$B$7)*IF(LOWER('Black-Scholes'!$B$11)="put",MAX('Black-Scholes'!$B$6-D858,0),MAX(D858-'Black-Scholes'!$B$6,0))</f>
        <v>7.88312114126124</v>
      </c>
    </row>
    <row r="859" customFormat="false" ht="15" hidden="false" customHeight="false" outlineLevel="0" collapsed="false">
      <c r="A859" s="0" t="n">
        <v>848</v>
      </c>
      <c r="B859" s="15" t="n">
        <v>0.368777915563546</v>
      </c>
      <c r="C859" s="18" t="n">
        <f aca="false">'Black-Scholes'!$B$5*EXP(('Black-Scholes'!$B$8-'Black-Scholes'!$B$10-'Black-Scholes'!$B$9^2/2)*'Black-Scholes'!$B$7+'Black-Scholes'!$B$9*SQRT('Black-Scholes'!$B$7)*B859)</f>
        <v>110.932928296711</v>
      </c>
      <c r="D859" s="18" t="n">
        <f aca="false">'Black-Scholes'!$B$5*EXP(('Black-Scholes'!$B$8-'Black-Scholes'!$B$10-'Black-Scholes'!$B$9^2/2)*'Black-Scholes'!$B$7-'Black-Scholes'!$B$9*SQRT('Black-Scholes'!$B$7)*B859)</f>
        <v>95.7187881766972</v>
      </c>
      <c r="E859" s="18" t="n">
        <f aca="false">EXP(-'Black-Scholes'!$B$8*'Black-Scholes'!$B$7)*IF(LOWER('Black-Scholes'!$B$11)="put",MAX('Black-Scholes'!$B$6-C859,0),MAX(C859-'Black-Scholes'!$B$6,0))</f>
        <v>10.3997230917877</v>
      </c>
      <c r="F859" s="18" t="n">
        <f aca="false">(E859+G859)/2</f>
        <v>5.19986154589386</v>
      </c>
      <c r="G859" s="18" t="n">
        <f aca="false">EXP(-'Black-Scholes'!$B$8*'Black-Scholes'!$B$7)*IF(LOWER('Black-Scholes'!$B$11)="put",MAX('Black-Scholes'!$B$6-D859,0),MAX(D859-'Black-Scholes'!$B$6,0))</f>
        <v>0</v>
      </c>
    </row>
    <row r="860" customFormat="false" ht="15" hidden="false" customHeight="false" outlineLevel="0" collapsed="false">
      <c r="A860" s="0" t="n">
        <v>849</v>
      </c>
      <c r="B860" s="15" t="n">
        <v>-1.54137277798928</v>
      </c>
      <c r="C860" s="18" t="n">
        <f aca="false">'Black-Scholes'!$B$5*EXP(('Black-Scholes'!$B$8-'Black-Scholes'!$B$10-'Black-Scholes'!$B$9^2/2)*'Black-Scholes'!$B$7+'Black-Scholes'!$B$9*SQRT('Black-Scholes'!$B$7)*B860)</f>
        <v>75.7088929972949</v>
      </c>
      <c r="D860" s="18" t="n">
        <f aca="false">'Black-Scholes'!$B$5*EXP(('Black-Scholes'!$B$8-'Black-Scholes'!$B$10-'Black-Scholes'!$B$9^2/2)*'Black-Scholes'!$B$7-'Black-Scholes'!$B$9*SQRT('Black-Scholes'!$B$7)*B860)</f>
        <v>140.252552178157</v>
      </c>
      <c r="E860" s="18" t="n">
        <f aca="false">EXP(-'Black-Scholes'!$B$8*'Black-Scholes'!$B$7)*IF(LOWER('Black-Scholes'!$B$11)="put",MAX('Black-Scholes'!$B$6-C860,0),MAX(C860-'Black-Scholes'!$B$6,0))</f>
        <v>0</v>
      </c>
      <c r="F860" s="18" t="n">
        <f aca="false">(E860+G860)/2</f>
        <v>19.1447060215566</v>
      </c>
      <c r="G860" s="18" t="n">
        <f aca="false">EXP(-'Black-Scholes'!$B$8*'Black-Scholes'!$B$7)*IF(LOWER('Black-Scholes'!$B$11)="put",MAX('Black-Scholes'!$B$6-D860,0),MAX(D860-'Black-Scholes'!$B$6,0))</f>
        <v>38.2894120431131</v>
      </c>
    </row>
    <row r="861" customFormat="false" ht="15" hidden="false" customHeight="false" outlineLevel="0" collapsed="false">
      <c r="A861" s="0" t="n">
        <v>850</v>
      </c>
      <c r="B861" s="15" t="n">
        <v>-0.650340940459296</v>
      </c>
      <c r="C861" s="18" t="n">
        <f aca="false">'Black-Scholes'!$B$5*EXP(('Black-Scholes'!$B$8-'Black-Scholes'!$B$10-'Black-Scholes'!$B$9^2/2)*'Black-Scholes'!$B$7+'Black-Scholes'!$B$9*SQRT('Black-Scholes'!$B$7)*B861)</f>
        <v>90.4775721002506</v>
      </c>
      <c r="D861" s="18" t="n">
        <f aca="false">'Black-Scholes'!$B$5*EXP(('Black-Scholes'!$B$8-'Black-Scholes'!$B$10-'Black-Scholes'!$B$9^2/2)*'Black-Scholes'!$B$7-'Black-Scholes'!$B$9*SQRT('Black-Scholes'!$B$7)*B861)</f>
        <v>117.359089318713</v>
      </c>
      <c r="E861" s="18" t="n">
        <f aca="false">EXP(-'Black-Scholes'!$B$8*'Black-Scholes'!$B$7)*IF(LOWER('Black-Scholes'!$B$11)="put",MAX('Black-Scholes'!$B$6-C861,0),MAX(C861-'Black-Scholes'!$B$6,0))</f>
        <v>0</v>
      </c>
      <c r="F861" s="18" t="n">
        <f aca="false">(E861+G861)/2</f>
        <v>8.25623827124786</v>
      </c>
      <c r="G861" s="18" t="n">
        <f aca="false">EXP(-'Black-Scholes'!$B$8*'Black-Scholes'!$B$7)*IF(LOWER('Black-Scholes'!$B$11)="put",MAX('Black-Scholes'!$B$6-D861,0),MAX(D861-'Black-Scholes'!$B$6,0))</f>
        <v>16.5124765424957</v>
      </c>
    </row>
    <row r="862" customFormat="false" ht="15" hidden="false" customHeight="false" outlineLevel="0" collapsed="false">
      <c r="A862" s="0" t="n">
        <v>851</v>
      </c>
      <c r="B862" s="15" t="n">
        <v>0.0483611890435333</v>
      </c>
      <c r="C862" s="18" t="n">
        <f aca="false">'Black-Scholes'!$B$5*EXP(('Black-Scholes'!$B$8-'Black-Scholes'!$B$10-'Black-Scholes'!$B$9^2/2)*'Black-Scholes'!$B$7+'Black-Scholes'!$B$9*SQRT('Black-Scholes'!$B$7)*B862)</f>
        <v>104.046969167235</v>
      </c>
      <c r="D862" s="18" t="n">
        <f aca="false">'Black-Scholes'!$B$5*EXP(('Black-Scholes'!$B$8-'Black-Scholes'!$B$10-'Black-Scholes'!$B$9^2/2)*'Black-Scholes'!$B$7-'Black-Scholes'!$B$9*SQRT('Black-Scholes'!$B$7)*B862)</f>
        <v>102.053577825863</v>
      </c>
      <c r="E862" s="18" t="n">
        <f aca="false">EXP(-'Black-Scholes'!$B$8*'Black-Scholes'!$B$7)*IF(LOWER('Black-Scholes'!$B$11)="put",MAX('Black-Scholes'!$B$6-C862,0),MAX(C862-'Black-Scholes'!$B$6,0))</f>
        <v>3.84959615192087</v>
      </c>
      <c r="F862" s="18" t="n">
        <f aca="false">(E862+G862)/2</f>
        <v>2.90150990269214</v>
      </c>
      <c r="G862" s="18" t="n">
        <f aca="false">EXP(-'Black-Scholes'!$B$8*'Black-Scholes'!$B$7)*IF(LOWER('Black-Scholes'!$B$11)="put",MAX('Black-Scholes'!$B$6-D862,0),MAX(D862-'Black-Scholes'!$B$6,0))</f>
        <v>1.9534236534634</v>
      </c>
    </row>
    <row r="863" customFormat="false" ht="15" hidden="false" customHeight="false" outlineLevel="0" collapsed="false">
      <c r="A863" s="0" t="n">
        <v>852</v>
      </c>
      <c r="B863" s="15" t="n">
        <v>-1.78611002508966</v>
      </c>
      <c r="C863" s="18" t="n">
        <f aca="false">'Black-Scholes'!$B$5*EXP(('Black-Scholes'!$B$8-'Black-Scholes'!$B$10-'Black-Scholes'!$B$9^2/2)*'Black-Scholes'!$B$7+'Black-Scholes'!$B$9*SQRT('Black-Scholes'!$B$7)*B863)</f>
        <v>72.0923676585739</v>
      </c>
      <c r="D863" s="18" t="n">
        <f aca="false">'Black-Scholes'!$B$5*EXP(('Black-Scholes'!$B$8-'Black-Scholes'!$B$10-'Black-Scholes'!$B$9^2/2)*'Black-Scholes'!$B$7-'Black-Scholes'!$B$9*SQRT('Black-Scholes'!$B$7)*B863)</f>
        <v>147.288344249445</v>
      </c>
      <c r="E863" s="18" t="n">
        <f aca="false">EXP(-'Black-Scholes'!$B$8*'Black-Scholes'!$B$7)*IF(LOWER('Black-Scholes'!$B$11)="put",MAX('Black-Scholes'!$B$6-C863,0),MAX(C863-'Black-Scholes'!$B$6,0))</f>
        <v>0</v>
      </c>
      <c r="F863" s="18" t="n">
        <f aca="false">(E863+G863)/2</f>
        <v>22.4910322429956</v>
      </c>
      <c r="G863" s="18" t="n">
        <f aca="false">EXP(-'Black-Scholes'!$B$8*'Black-Scholes'!$B$7)*IF(LOWER('Black-Scholes'!$B$11)="put",MAX('Black-Scholes'!$B$6-D863,0),MAX(D863-'Black-Scholes'!$B$6,0))</f>
        <v>44.9820644859913</v>
      </c>
    </row>
    <row r="864" customFormat="false" ht="15" hidden="false" customHeight="false" outlineLevel="0" collapsed="false">
      <c r="A864" s="0" t="n">
        <v>853</v>
      </c>
      <c r="B864" s="15" t="n">
        <v>-1.17921280949325</v>
      </c>
      <c r="C864" s="18" t="n">
        <f aca="false">'Black-Scholes'!$B$5*EXP(('Black-Scholes'!$B$8-'Black-Scholes'!$B$10-'Black-Scholes'!$B$9^2/2)*'Black-Scholes'!$B$7+'Black-Scholes'!$B$9*SQRT('Black-Scholes'!$B$7)*B864)</f>
        <v>81.3961214703937</v>
      </c>
      <c r="D864" s="18" t="n">
        <f aca="false">'Black-Scholes'!$B$5*EXP(('Black-Scholes'!$B$8-'Black-Scholes'!$B$10-'Black-Scholes'!$B$9^2/2)*'Black-Scholes'!$B$7-'Black-Scholes'!$B$9*SQRT('Black-Scholes'!$B$7)*B864)</f>
        <v>130.452965984575</v>
      </c>
      <c r="E864" s="18" t="n">
        <f aca="false">EXP(-'Black-Scholes'!$B$8*'Black-Scholes'!$B$7)*IF(LOWER('Black-Scholes'!$B$11)="put",MAX('Black-Scholes'!$B$6-C864,0),MAX(C864-'Black-Scholes'!$B$6,0))</f>
        <v>0</v>
      </c>
      <c r="F864" s="18" t="n">
        <f aca="false">(E864+G864)/2</f>
        <v>14.4838786539235</v>
      </c>
      <c r="G864" s="18" t="n">
        <f aca="false">EXP(-'Black-Scholes'!$B$8*'Black-Scholes'!$B$7)*IF(LOWER('Black-Scholes'!$B$11)="put",MAX('Black-Scholes'!$B$6-D864,0),MAX(D864-'Black-Scholes'!$B$6,0))</f>
        <v>28.9677573078471</v>
      </c>
    </row>
    <row r="865" customFormat="false" ht="15" hidden="false" customHeight="false" outlineLevel="0" collapsed="false">
      <c r="A865" s="0" t="n">
        <v>854</v>
      </c>
      <c r="B865" s="15" t="n">
        <v>1.17423421982714</v>
      </c>
      <c r="C865" s="18" t="n">
        <f aca="false">'Black-Scholes'!$B$5*EXP(('Black-Scholes'!$B$8-'Black-Scholes'!$B$10-'Black-Scholes'!$B$9^2/2)*'Black-Scholes'!$B$7+'Black-Scholes'!$B$9*SQRT('Black-Scholes'!$B$7)*B865)</f>
        <v>130.323136274514</v>
      </c>
      <c r="D865" s="18" t="n">
        <f aca="false">'Black-Scholes'!$B$5*EXP(('Black-Scholes'!$B$8-'Black-Scholes'!$B$10-'Black-Scholes'!$B$9^2/2)*'Black-Scholes'!$B$7-'Black-Scholes'!$B$9*SQRT('Black-Scholes'!$B$7)*B865)</f>
        <v>81.4772094118957</v>
      </c>
      <c r="E865" s="18" t="n">
        <f aca="false">EXP(-'Black-Scholes'!$B$8*'Black-Scholes'!$B$7)*IF(LOWER('Black-Scholes'!$B$11)="put",MAX('Black-Scholes'!$B$6-C865,0),MAX(C865-'Black-Scholes'!$B$6,0))</f>
        <v>28.8442594674626</v>
      </c>
      <c r="F865" s="18" t="n">
        <f aca="false">(E865+G865)/2</f>
        <v>14.4221297337313</v>
      </c>
      <c r="G865" s="18" t="n">
        <f aca="false">EXP(-'Black-Scholes'!$B$8*'Black-Scholes'!$B$7)*IF(LOWER('Black-Scholes'!$B$11)="put",MAX('Black-Scholes'!$B$6-D865,0),MAX(D865-'Black-Scholes'!$B$6,0))</f>
        <v>0</v>
      </c>
    </row>
    <row r="866" customFormat="false" ht="15" hidden="false" customHeight="false" outlineLevel="0" collapsed="false">
      <c r="A866" s="0" t="n">
        <v>855</v>
      </c>
      <c r="B866" s="15" t="n">
        <v>0.14143052673755</v>
      </c>
      <c r="C866" s="18" t="n">
        <f aca="false">'Black-Scholes'!$B$5*EXP(('Black-Scholes'!$B$8-'Black-Scholes'!$B$10-'Black-Scholes'!$B$9^2/2)*'Black-Scholes'!$B$7+'Black-Scholes'!$B$9*SQRT('Black-Scholes'!$B$7)*B866)</f>
        <v>106.001822921369</v>
      </c>
      <c r="D866" s="18" t="n">
        <f aca="false">'Black-Scholes'!$B$5*EXP(('Black-Scholes'!$B$8-'Black-Scholes'!$B$10-'Black-Scholes'!$B$9^2/2)*'Black-Scholes'!$B$7-'Black-Scholes'!$B$9*SQRT('Black-Scholes'!$B$7)*B866)</f>
        <v>100.171536420937</v>
      </c>
      <c r="E866" s="18" t="n">
        <f aca="false">EXP(-'Black-Scholes'!$B$8*'Black-Scholes'!$B$7)*IF(LOWER('Black-Scholes'!$B$11)="put",MAX('Black-Scholes'!$B$6-C866,0),MAX(C866-'Black-Scholes'!$B$6,0))</f>
        <v>5.70911056344919</v>
      </c>
      <c r="F866" s="18" t="n">
        <f aca="false">(E866+G866)/2</f>
        <v>2.93614052720877</v>
      </c>
      <c r="G866" s="18" t="n">
        <f aca="false">EXP(-'Black-Scholes'!$B$8*'Black-Scholes'!$B$7)*IF(LOWER('Black-Scholes'!$B$11)="put",MAX('Black-Scholes'!$B$6-D866,0),MAX(D866-'Black-Scholes'!$B$6,0))</f>
        <v>0.163170490968357</v>
      </c>
    </row>
    <row r="867" customFormat="false" ht="15" hidden="false" customHeight="false" outlineLevel="0" collapsed="false">
      <c r="A867" s="0" t="n">
        <v>856</v>
      </c>
      <c r="B867" s="15" t="n">
        <v>-2.03654392259882</v>
      </c>
      <c r="C867" s="18" t="n">
        <f aca="false">'Black-Scholes'!$B$5*EXP(('Black-Scholes'!$B$8-'Black-Scholes'!$B$10-'Black-Scholes'!$B$9^2/2)*'Black-Scholes'!$B$7+'Black-Scholes'!$B$9*SQRT('Black-Scholes'!$B$7)*B867)</f>
        <v>68.57043063275</v>
      </c>
      <c r="D867" s="18" t="n">
        <f aca="false">'Black-Scholes'!$B$5*EXP(('Black-Scholes'!$B$8-'Black-Scholes'!$B$10-'Black-Scholes'!$B$9^2/2)*'Black-Scholes'!$B$7-'Black-Scholes'!$B$9*SQRT('Black-Scholes'!$B$7)*B867)</f>
        <v>154.853416661819</v>
      </c>
      <c r="E867" s="18" t="n">
        <f aca="false">EXP(-'Black-Scholes'!$B$8*'Black-Scholes'!$B$7)*IF(LOWER('Black-Scholes'!$B$11)="put",MAX('Black-Scholes'!$B$6-C867,0),MAX(C867-'Black-Scholes'!$B$6,0))</f>
        <v>0</v>
      </c>
      <c r="F867" s="18" t="n">
        <f aca="false">(E867+G867)/2</f>
        <v>26.08909198156</v>
      </c>
      <c r="G867" s="18" t="n">
        <f aca="false">EXP(-'Black-Scholes'!$B$8*'Black-Scholes'!$B$7)*IF(LOWER('Black-Scholes'!$B$11)="put",MAX('Black-Scholes'!$B$6-D867,0),MAX(D867-'Black-Scholes'!$B$6,0))</f>
        <v>52.1781839631201</v>
      </c>
    </row>
    <row r="868" customFormat="false" ht="15" hidden="false" customHeight="false" outlineLevel="0" collapsed="false">
      <c r="A868" s="0" t="n">
        <v>857</v>
      </c>
      <c r="B868" s="15" t="n">
        <v>1.1832848064524</v>
      </c>
      <c r="C868" s="18" t="n">
        <f aca="false">'Black-Scholes'!$B$5*EXP(('Black-Scholes'!$B$8-'Black-Scholes'!$B$10-'Black-Scholes'!$B$9^2/2)*'Black-Scholes'!$B$7+'Black-Scholes'!$B$9*SQRT('Black-Scholes'!$B$7)*B868)</f>
        <v>130.55925007371</v>
      </c>
      <c r="D868" s="18" t="n">
        <f aca="false">'Black-Scholes'!$B$5*EXP(('Black-Scholes'!$B$8-'Black-Scholes'!$B$10-'Black-Scholes'!$B$9^2/2)*'Black-Scholes'!$B$7-'Black-Scholes'!$B$9*SQRT('Black-Scholes'!$B$7)*B868)</f>
        <v>81.3298595040858</v>
      </c>
      <c r="E868" s="18" t="n">
        <f aca="false">EXP(-'Black-Scholes'!$B$8*'Black-Scholes'!$B$7)*IF(LOWER('Black-Scholes'!$B$11)="put",MAX('Black-Scholes'!$B$6-C868,0),MAX(C868-'Black-Scholes'!$B$6,0))</f>
        <v>29.0688578607881</v>
      </c>
      <c r="F868" s="18" t="n">
        <f aca="false">(E868+G868)/2</f>
        <v>14.534428930394</v>
      </c>
      <c r="G868" s="18" t="n">
        <f aca="false">EXP(-'Black-Scholes'!$B$8*'Black-Scholes'!$B$7)*IF(LOWER('Black-Scholes'!$B$11)="put",MAX('Black-Scholes'!$B$6-D868,0),MAX(D868-'Black-Scholes'!$B$6,0))</f>
        <v>0</v>
      </c>
    </row>
    <row r="869" customFormat="false" ht="15" hidden="false" customHeight="false" outlineLevel="0" collapsed="false">
      <c r="A869" s="0" t="n">
        <v>858</v>
      </c>
      <c r="B869" s="15" t="n">
        <v>-0.0238257831897312</v>
      </c>
      <c r="C869" s="18" t="n">
        <f aca="false">'Black-Scholes'!$B$5*EXP(('Black-Scholes'!$B$8-'Black-Scholes'!$B$10-'Black-Scholes'!$B$9^2/2)*'Black-Scholes'!$B$7+'Black-Scholes'!$B$9*SQRT('Black-Scholes'!$B$7)*B869)</f>
        <v>102.55559372505</v>
      </c>
      <c r="D869" s="18" t="n">
        <f aca="false">'Black-Scholes'!$B$5*EXP(('Black-Scholes'!$B$8-'Black-Scholes'!$B$10-'Black-Scholes'!$B$9^2/2)*'Black-Scholes'!$B$7-'Black-Scholes'!$B$9*SQRT('Black-Scholes'!$B$7)*B869)</f>
        <v>103.537652894111</v>
      </c>
      <c r="E869" s="18" t="n">
        <f aca="false">EXP(-'Black-Scholes'!$B$8*'Black-Scholes'!$B$7)*IF(LOWER('Black-Scholes'!$B$11)="put",MAX('Black-Scholes'!$B$6-C869,0),MAX(C869-'Black-Scholes'!$B$6,0))</f>
        <v>2.43095594833652</v>
      </c>
      <c r="F869" s="18" t="n">
        <f aca="false">(E869+G869)/2</f>
        <v>2.89803773744226</v>
      </c>
      <c r="G869" s="18" t="n">
        <f aca="false">EXP(-'Black-Scholes'!$B$8*'Black-Scholes'!$B$7)*IF(LOWER('Black-Scholes'!$B$11)="put",MAX('Black-Scholes'!$B$6-D869,0),MAX(D869-'Black-Scholes'!$B$6,0))</f>
        <v>3.36511952654801</v>
      </c>
    </row>
    <row r="870" customFormat="false" ht="15" hidden="false" customHeight="false" outlineLevel="0" collapsed="false">
      <c r="A870" s="0" t="n">
        <v>859</v>
      </c>
      <c r="B870" s="15" t="n">
        <v>1.43733943787336</v>
      </c>
      <c r="C870" s="18" t="n">
        <f aca="false">'Black-Scholes'!$B$5*EXP(('Black-Scholes'!$B$8-'Black-Scholes'!$B$10-'Black-Scholes'!$B$9^2/2)*'Black-Scholes'!$B$7+'Black-Scholes'!$B$9*SQRT('Black-Scholes'!$B$7)*B870)</f>
        <v>137.364513308032</v>
      </c>
      <c r="D870" s="18" t="n">
        <f aca="false">'Black-Scholes'!$B$5*EXP(('Black-Scholes'!$B$8-'Black-Scholes'!$B$10-'Black-Scholes'!$B$9^2/2)*'Black-Scholes'!$B$7-'Black-Scholes'!$B$9*SQRT('Black-Scholes'!$B$7)*B870)</f>
        <v>77.3006449026795</v>
      </c>
      <c r="E870" s="18" t="n">
        <f aca="false">EXP(-'Black-Scholes'!$B$8*'Black-Scholes'!$B$7)*IF(LOWER('Black-Scholes'!$B$11)="put",MAX('Black-Scholes'!$B$6-C870,0),MAX(C870-'Black-Scholes'!$B$6,0))</f>
        <v>35.5422244907488</v>
      </c>
      <c r="F870" s="18" t="n">
        <f aca="false">(E870+G870)/2</f>
        <v>17.7711122453744</v>
      </c>
      <c r="G870" s="18" t="n">
        <f aca="false">EXP(-'Black-Scholes'!$B$8*'Black-Scholes'!$B$7)*IF(LOWER('Black-Scholes'!$B$11)="put",MAX('Black-Scholes'!$B$6-D870,0),MAX(D870-'Black-Scholes'!$B$6,0))</f>
        <v>0</v>
      </c>
    </row>
    <row r="871" customFormat="false" ht="15" hidden="false" customHeight="false" outlineLevel="0" collapsed="false">
      <c r="A871" s="0" t="n">
        <v>860</v>
      </c>
      <c r="B871" s="15" t="n">
        <v>-2.2861097861688</v>
      </c>
      <c r="C871" s="18" t="n">
        <f aca="false">'Black-Scholes'!$B$5*EXP(('Black-Scholes'!$B$8-'Black-Scholes'!$B$10-'Black-Scholes'!$B$9^2/2)*'Black-Scholes'!$B$7+'Black-Scholes'!$B$9*SQRT('Black-Scholes'!$B$7)*B871)</f>
        <v>65.2318749293343</v>
      </c>
      <c r="D871" s="18" t="n">
        <f aca="false">'Black-Scholes'!$B$5*EXP(('Black-Scholes'!$B$8-'Black-Scholes'!$B$10-'Black-Scholes'!$B$9^2/2)*'Black-Scholes'!$B$7-'Black-Scholes'!$B$9*SQRT('Black-Scholes'!$B$7)*B871)</f>
        <v>162.778786857751</v>
      </c>
      <c r="E871" s="18" t="n">
        <f aca="false">EXP(-'Black-Scholes'!$B$8*'Black-Scholes'!$B$7)*IF(LOWER('Black-Scholes'!$B$11)="put",MAX('Black-Scholes'!$B$6-C871,0),MAX(C871-'Black-Scholes'!$B$6,0))</f>
        <v>0</v>
      </c>
      <c r="F871" s="18" t="n">
        <f aca="false">(E871+G871)/2</f>
        <v>29.8585146467759</v>
      </c>
      <c r="G871" s="18" t="n">
        <f aca="false">EXP(-'Black-Scholes'!$B$8*'Black-Scholes'!$B$7)*IF(LOWER('Black-Scholes'!$B$11)="put",MAX('Black-Scholes'!$B$6-D871,0),MAX(D871-'Black-Scholes'!$B$6,0))</f>
        <v>59.7170292935517</v>
      </c>
    </row>
    <row r="872" customFormat="false" ht="15" hidden="false" customHeight="false" outlineLevel="0" collapsed="false">
      <c r="A872" s="0" t="n">
        <v>861</v>
      </c>
      <c r="B872" s="15" t="n">
        <v>-0.113712983886984</v>
      </c>
      <c r="C872" s="18" t="n">
        <f aca="false">'Black-Scholes'!$B$5*EXP(('Black-Scholes'!$B$8-'Black-Scholes'!$B$10-'Black-Scholes'!$B$9^2/2)*'Black-Scholes'!$B$7+'Black-Scholes'!$B$9*SQRT('Black-Scholes'!$B$7)*B872)</f>
        <v>100.728380199691</v>
      </c>
      <c r="D872" s="18" t="n">
        <f aca="false">'Black-Scholes'!$B$5*EXP(('Black-Scholes'!$B$8-'Black-Scholes'!$B$10-'Black-Scholes'!$B$9^2/2)*'Black-Scholes'!$B$7-'Black-Scholes'!$B$9*SQRT('Black-Scholes'!$B$7)*B872)</f>
        <v>105.415826645906</v>
      </c>
      <c r="E872" s="18" t="n">
        <f aca="false">EXP(-'Black-Scholes'!$B$8*'Black-Scholes'!$B$7)*IF(LOWER('Black-Scholes'!$B$11)="put",MAX('Black-Scholes'!$B$6-C872,0),MAX(C872-'Black-Scholes'!$B$6,0))</f>
        <v>0.692856678170031</v>
      </c>
      <c r="F872" s="18" t="n">
        <f aca="false">(E872+G872)/2</f>
        <v>2.92227517087557</v>
      </c>
      <c r="G872" s="18" t="n">
        <f aca="false">EXP(-'Black-Scholes'!$B$8*'Black-Scholes'!$B$7)*IF(LOWER('Black-Scholes'!$B$11)="put",MAX('Black-Scholes'!$B$6-D872,0),MAX(D872-'Black-Scholes'!$B$6,0))</f>
        <v>5.1516936635811</v>
      </c>
    </row>
    <row r="873" customFormat="false" ht="15" hidden="false" customHeight="false" outlineLevel="0" collapsed="false">
      <c r="A873" s="0" t="n">
        <v>862</v>
      </c>
      <c r="B873" s="15" t="n">
        <v>0.424394768293722</v>
      </c>
      <c r="C873" s="18" t="n">
        <f aca="false">'Black-Scholes'!$B$5*EXP(('Black-Scholes'!$B$8-'Black-Scholes'!$B$10-'Black-Scholes'!$B$9^2/2)*'Black-Scholes'!$B$7+'Black-Scholes'!$B$9*SQRT('Black-Scholes'!$B$7)*B873)</f>
        <v>112.17376471156</v>
      </c>
      <c r="D873" s="18" t="n">
        <f aca="false">'Black-Scholes'!$B$5*EXP(('Black-Scholes'!$B$8-'Black-Scholes'!$B$10-'Black-Scholes'!$B$9^2/2)*'Black-Scholes'!$B$7-'Black-Scholes'!$B$9*SQRT('Black-Scholes'!$B$7)*B873)</f>
        <v>94.6599723452029</v>
      </c>
      <c r="E873" s="18" t="n">
        <f aca="false">EXP(-'Black-Scholes'!$B$8*'Black-Scholes'!$B$7)*IF(LOWER('Black-Scholes'!$B$11)="put",MAX('Black-Scholes'!$B$6-C873,0),MAX(C873-'Black-Scholes'!$B$6,0))</f>
        <v>11.5800432005846</v>
      </c>
      <c r="F873" s="18" t="n">
        <f aca="false">(E873+G873)/2</f>
        <v>5.79002160029231</v>
      </c>
      <c r="G873" s="18" t="n">
        <f aca="false">EXP(-'Black-Scholes'!$B$8*'Black-Scholes'!$B$7)*IF(LOWER('Black-Scholes'!$B$11)="put",MAX('Black-Scholes'!$B$6-D873,0),MAX(D873-'Black-Scholes'!$B$6,0))</f>
        <v>0</v>
      </c>
    </row>
    <row r="874" customFormat="false" ht="15" hidden="false" customHeight="false" outlineLevel="0" collapsed="false">
      <c r="A874" s="0" t="n">
        <v>863</v>
      </c>
      <c r="B874" s="15" t="n">
        <v>0.319280040403837</v>
      </c>
      <c r="C874" s="18" t="n">
        <f aca="false">'Black-Scholes'!$B$5*EXP(('Black-Scholes'!$B$8-'Black-Scholes'!$B$10-'Black-Scholes'!$B$9^2/2)*'Black-Scholes'!$B$7+'Black-Scholes'!$B$9*SQRT('Black-Scholes'!$B$7)*B874)</f>
        <v>109.840157357901</v>
      </c>
      <c r="D874" s="18" t="n">
        <f aca="false">'Black-Scholes'!$B$5*EXP(('Black-Scholes'!$B$8-'Black-Scholes'!$B$10-'Black-Scholes'!$B$9^2/2)*'Black-Scholes'!$B$7-'Black-Scholes'!$B$9*SQRT('Black-Scholes'!$B$7)*B874)</f>
        <v>96.6710693144305</v>
      </c>
      <c r="E874" s="18" t="n">
        <f aca="false">EXP(-'Black-Scholes'!$B$8*'Black-Scholes'!$B$7)*IF(LOWER('Black-Scholes'!$B$11)="put",MAX('Black-Scholes'!$B$6-C874,0),MAX(C874-'Black-Scholes'!$B$6,0))</f>
        <v>9.36024722055264</v>
      </c>
      <c r="F874" s="18" t="n">
        <f aca="false">(E874+G874)/2</f>
        <v>4.68012361027632</v>
      </c>
      <c r="G874" s="18" t="n">
        <f aca="false">EXP(-'Black-Scholes'!$B$8*'Black-Scholes'!$B$7)*IF(LOWER('Black-Scholes'!$B$11)="put",MAX('Black-Scholes'!$B$6-D874,0),MAX(D874-'Black-Scholes'!$B$6,0))</f>
        <v>0</v>
      </c>
    </row>
    <row r="875" customFormat="false" ht="15" hidden="false" customHeight="false" outlineLevel="0" collapsed="false">
      <c r="A875" s="0" t="n">
        <v>864</v>
      </c>
      <c r="B875" s="15" t="n">
        <v>2.10159513574629</v>
      </c>
      <c r="C875" s="18" t="n">
        <f aca="false">'Black-Scholes'!$B$5*EXP(('Black-Scholes'!$B$8-'Black-Scholes'!$B$10-'Black-Scholes'!$B$9^2/2)*'Black-Scholes'!$B$7+'Black-Scholes'!$B$9*SQRT('Black-Scholes'!$B$7)*B875)</f>
        <v>156.881259947443</v>
      </c>
      <c r="D875" s="18" t="n">
        <f aca="false">'Black-Scholes'!$B$5*EXP(('Black-Scholes'!$B$8-'Black-Scholes'!$B$10-'Black-Scholes'!$B$9^2/2)*'Black-Scholes'!$B$7-'Black-Scholes'!$B$9*SQRT('Black-Scholes'!$B$7)*B875)</f>
        <v>67.6840909424801</v>
      </c>
      <c r="E875" s="18" t="n">
        <f aca="false">EXP(-'Black-Scholes'!$B$8*'Black-Scholes'!$B$7)*IF(LOWER('Black-Scholes'!$B$11)="put",MAX('Black-Scholes'!$B$6-C875,0),MAX(C875-'Black-Scholes'!$B$6,0))</f>
        <v>54.1071281646818</v>
      </c>
      <c r="F875" s="18" t="n">
        <f aca="false">(E875+G875)/2</f>
        <v>27.0535640823409</v>
      </c>
      <c r="G875" s="18" t="n">
        <f aca="false">EXP(-'Black-Scholes'!$B$8*'Black-Scholes'!$B$7)*IF(LOWER('Black-Scholes'!$B$11)="put",MAX('Black-Scholes'!$B$6-D875,0),MAX(D875-'Black-Scholes'!$B$6,0))</f>
        <v>0</v>
      </c>
    </row>
    <row r="876" customFormat="false" ht="15" hidden="false" customHeight="false" outlineLevel="0" collapsed="false">
      <c r="A876" s="0" t="n">
        <v>865</v>
      </c>
      <c r="B876" s="15" t="n">
        <v>0.868523111132302</v>
      </c>
      <c r="C876" s="18" t="n">
        <f aca="false">'Black-Scholes'!$B$5*EXP(('Black-Scholes'!$B$8-'Black-Scholes'!$B$10-'Black-Scholes'!$B$9^2/2)*'Black-Scholes'!$B$7+'Black-Scholes'!$B$9*SQRT('Black-Scholes'!$B$7)*B876)</f>
        <v>122.593598572873</v>
      </c>
      <c r="D876" s="18" t="n">
        <f aca="false">'Black-Scholes'!$B$5*EXP(('Black-Scholes'!$B$8-'Black-Scholes'!$B$10-'Black-Scholes'!$B$9^2/2)*'Black-Scholes'!$B$7-'Black-Scholes'!$B$9*SQRT('Black-Scholes'!$B$7)*B876)</f>
        <v>86.6143549831581</v>
      </c>
      <c r="E876" s="18" t="n">
        <f aca="false">EXP(-'Black-Scholes'!$B$8*'Black-Scholes'!$B$7)*IF(LOWER('Black-Scholes'!$B$11)="put",MAX('Black-Scholes'!$B$6-C876,0),MAX(C876-'Black-Scholes'!$B$6,0))</f>
        <v>21.491695767874</v>
      </c>
      <c r="F876" s="18" t="n">
        <f aca="false">(E876+G876)/2</f>
        <v>10.745847883937</v>
      </c>
      <c r="G876" s="18" t="n">
        <f aca="false">EXP(-'Black-Scholes'!$B$8*'Black-Scholes'!$B$7)*IF(LOWER('Black-Scholes'!$B$11)="put",MAX('Black-Scholes'!$B$6-D876,0),MAX(D876-'Black-Scholes'!$B$6,0))</f>
        <v>0</v>
      </c>
    </row>
    <row r="877" customFormat="false" ht="15" hidden="false" customHeight="false" outlineLevel="0" collapsed="false">
      <c r="A877" s="0" t="n">
        <v>866</v>
      </c>
      <c r="B877" s="15" t="n">
        <v>2.29600962720607</v>
      </c>
      <c r="C877" s="18" t="n">
        <f aca="false">'Black-Scholes'!$B$5*EXP(('Black-Scholes'!$B$8-'Black-Scholes'!$B$10-'Black-Scholes'!$B$9^2/2)*'Black-Scholes'!$B$7+'Black-Scholes'!$B$9*SQRT('Black-Scholes'!$B$7)*B877)</f>
        <v>163.101402959995</v>
      </c>
      <c r="D877" s="18" t="n">
        <f aca="false">'Black-Scholes'!$B$5*EXP(('Black-Scholes'!$B$8-'Black-Scholes'!$B$10-'Black-Scholes'!$B$9^2/2)*'Black-Scholes'!$B$7-'Black-Scholes'!$B$9*SQRT('Black-Scholes'!$B$7)*B877)</f>
        <v>65.1028456699298</v>
      </c>
      <c r="E877" s="18" t="n">
        <f aca="false">EXP(-'Black-Scholes'!$B$8*'Black-Scholes'!$B$7)*IF(LOWER('Black-Scholes'!$B$11)="put",MAX('Black-Scholes'!$B$6-C877,0),MAX(C877-'Black-Scholes'!$B$6,0))</f>
        <v>60.023911222824</v>
      </c>
      <c r="F877" s="18" t="n">
        <f aca="false">(E877+G877)/2</f>
        <v>30.011955611412</v>
      </c>
      <c r="G877" s="18" t="n">
        <f aca="false">EXP(-'Black-Scholes'!$B$8*'Black-Scholes'!$B$7)*IF(LOWER('Black-Scholes'!$B$11)="put",MAX('Black-Scholes'!$B$6-D877,0),MAX(D877-'Black-Scholes'!$B$6,0))</f>
        <v>0</v>
      </c>
    </row>
    <row r="878" customFormat="false" ht="15" hidden="false" customHeight="false" outlineLevel="0" collapsed="false">
      <c r="A878" s="0" t="n">
        <v>867</v>
      </c>
      <c r="B878" s="15" t="n">
        <v>1.60631466992465</v>
      </c>
      <c r="C878" s="18" t="n">
        <f aca="false">'Black-Scholes'!$B$5*EXP(('Black-Scholes'!$B$8-'Black-Scholes'!$B$10-'Black-Scholes'!$B$9^2/2)*'Black-Scholes'!$B$7+'Black-Scholes'!$B$9*SQRT('Black-Scholes'!$B$7)*B878)</f>
        <v>142.086086941183</v>
      </c>
      <c r="D878" s="18" t="n">
        <f aca="false">'Black-Scholes'!$B$5*EXP(('Black-Scholes'!$B$8-'Black-Scholes'!$B$10-'Black-Scholes'!$B$9^2/2)*'Black-Scholes'!$B$7-'Black-Scholes'!$B$9*SQRT('Black-Scholes'!$B$7)*B878)</f>
        <v>74.7319156579287</v>
      </c>
      <c r="E878" s="18" t="n">
        <f aca="false">EXP(-'Black-Scholes'!$B$8*'Black-Scholes'!$B$7)*IF(LOWER('Black-Scholes'!$B$11)="put",MAX('Black-Scholes'!$B$6-C878,0),MAX(C878-'Black-Scholes'!$B$6,0))</f>
        <v>40.0335242605484</v>
      </c>
      <c r="F878" s="18" t="n">
        <f aca="false">(E878+G878)/2</f>
        <v>20.0167621302742</v>
      </c>
      <c r="G878" s="18" t="n">
        <f aca="false">EXP(-'Black-Scholes'!$B$8*'Black-Scholes'!$B$7)*IF(LOWER('Black-Scholes'!$B$11)="put",MAX('Black-Scholes'!$B$6-D878,0),MAX(D878-'Black-Scholes'!$B$6,0))</f>
        <v>0</v>
      </c>
    </row>
    <row r="879" customFormat="false" ht="15" hidden="false" customHeight="false" outlineLevel="0" collapsed="false">
      <c r="A879" s="0" t="n">
        <v>868</v>
      </c>
      <c r="B879" s="15" t="n">
        <v>0.472855874133688</v>
      </c>
      <c r="C879" s="18" t="n">
        <f aca="false">'Black-Scholes'!$B$5*EXP(('Black-Scholes'!$B$8-'Black-Scholes'!$B$10-'Black-Scholes'!$B$9^2/2)*'Black-Scholes'!$B$7+'Black-Scholes'!$B$9*SQRT('Black-Scholes'!$B$7)*B879)</f>
        <v>113.266263465813</v>
      </c>
      <c r="D879" s="18" t="n">
        <f aca="false">'Black-Scholes'!$B$5*EXP(('Black-Scholes'!$B$8-'Black-Scholes'!$B$10-'Black-Scholes'!$B$9^2/2)*'Black-Scholes'!$B$7-'Black-Scholes'!$B$9*SQRT('Black-Scholes'!$B$7)*B879)</f>
        <v>93.7469387666212</v>
      </c>
      <c r="E879" s="18" t="n">
        <f aca="false">EXP(-'Black-Scholes'!$B$8*'Black-Scholes'!$B$7)*IF(LOWER('Black-Scholes'!$B$11)="put",MAX('Black-Scholes'!$B$6-C879,0),MAX(C879-'Black-Scholes'!$B$6,0))</f>
        <v>12.6192601618606</v>
      </c>
      <c r="F879" s="18" t="n">
        <f aca="false">(E879+G879)/2</f>
        <v>6.30963008093028</v>
      </c>
      <c r="G879" s="18" t="n">
        <f aca="false">EXP(-'Black-Scholes'!$B$8*'Black-Scholes'!$B$7)*IF(LOWER('Black-Scholes'!$B$11)="put",MAX('Black-Scholes'!$B$6-D879,0),MAX(D879-'Black-Scholes'!$B$6,0))</f>
        <v>0</v>
      </c>
    </row>
    <row r="880" customFormat="false" ht="15" hidden="false" customHeight="false" outlineLevel="0" collapsed="false">
      <c r="A880" s="0" t="n">
        <v>869</v>
      </c>
      <c r="B880" s="15" t="n">
        <v>-1.91908515296718</v>
      </c>
      <c r="C880" s="18" t="n">
        <f aca="false">'Black-Scholes'!$B$5*EXP(('Black-Scholes'!$B$8-'Black-Scholes'!$B$10-'Black-Scholes'!$B$9^2/2)*'Black-Scholes'!$B$7+'Black-Scholes'!$B$9*SQRT('Black-Scholes'!$B$7)*B880)</f>
        <v>70.2003400750986</v>
      </c>
      <c r="D880" s="18" t="n">
        <f aca="false">'Black-Scholes'!$B$5*EXP(('Black-Scholes'!$B$8-'Black-Scholes'!$B$10-'Black-Scholes'!$B$9^2/2)*'Black-Scholes'!$B$7-'Black-Scholes'!$B$9*SQRT('Black-Scholes'!$B$7)*B880)</f>
        <v>151.25803456357</v>
      </c>
      <c r="E880" s="18" t="n">
        <f aca="false">EXP(-'Black-Scholes'!$B$8*'Black-Scholes'!$B$7)*IF(LOWER('Black-Scholes'!$B$11)="put",MAX('Black-Scholes'!$B$6-C880,0),MAX(C880-'Black-Scholes'!$B$6,0))</f>
        <v>0</v>
      </c>
      <c r="F880" s="18" t="n">
        <f aca="false">(E880+G880)/2</f>
        <v>24.379075359471</v>
      </c>
      <c r="G880" s="18" t="n">
        <f aca="false">EXP(-'Black-Scholes'!$B$8*'Black-Scholes'!$B$7)*IF(LOWER('Black-Scholes'!$B$11)="put",MAX('Black-Scholes'!$B$6-D880,0),MAX(D880-'Black-Scholes'!$B$6,0))</f>
        <v>48.7581507189419</v>
      </c>
    </row>
    <row r="881" customFormat="false" ht="15" hidden="false" customHeight="false" outlineLevel="0" collapsed="false">
      <c r="A881" s="0" t="n">
        <v>870</v>
      </c>
      <c r="B881" s="15" t="n">
        <v>-0.146801746017112</v>
      </c>
      <c r="C881" s="18" t="n">
        <f aca="false">'Black-Scholes'!$B$5*EXP(('Black-Scholes'!$B$8-'Black-Scholes'!$B$10-'Black-Scholes'!$B$9^2/2)*'Black-Scholes'!$B$7+'Black-Scholes'!$B$9*SQRT('Black-Scholes'!$B$7)*B881)</f>
        <v>100.063985541677</v>
      </c>
      <c r="D881" s="18" t="n">
        <f aca="false">'Black-Scholes'!$B$5*EXP(('Black-Scholes'!$B$8-'Black-Scholes'!$B$10-'Black-Scholes'!$B$9^2/2)*'Black-Scholes'!$B$7-'Black-Scholes'!$B$9*SQRT('Black-Scholes'!$B$7)*B881)</f>
        <v>106.11575591331</v>
      </c>
      <c r="E881" s="18" t="n">
        <f aca="false">EXP(-'Black-Scholes'!$B$8*'Black-Scholes'!$B$7)*IF(LOWER('Black-Scholes'!$B$11)="put",MAX('Black-Scholes'!$B$6-C881,0),MAX(C881-'Black-Scholes'!$B$6,0))</f>
        <v>0.0608649299862108</v>
      </c>
      <c r="F881" s="18" t="n">
        <f aca="false">(E881+G881)/2</f>
        <v>2.93917595389532</v>
      </c>
      <c r="G881" s="18" t="n">
        <f aca="false">EXP(-'Black-Scholes'!$B$8*'Black-Scholes'!$B$7)*IF(LOWER('Black-Scholes'!$B$11)="put",MAX('Black-Scholes'!$B$6-D881,0),MAX(D881-'Black-Scholes'!$B$6,0))</f>
        <v>5.81748697780444</v>
      </c>
    </row>
    <row r="882" customFormat="false" ht="15" hidden="false" customHeight="false" outlineLevel="0" collapsed="false">
      <c r="A882" s="0" t="n">
        <v>871</v>
      </c>
      <c r="B882" s="15" t="n">
        <v>-1.96783506786142</v>
      </c>
      <c r="C882" s="18" t="n">
        <f aca="false">'Black-Scholes'!$B$5*EXP(('Black-Scholes'!$B$8-'Black-Scholes'!$B$10-'Black-Scholes'!$B$9^2/2)*'Black-Scholes'!$B$7+'Black-Scholes'!$B$9*SQRT('Black-Scholes'!$B$7)*B882)</f>
        <v>69.519213834652</v>
      </c>
      <c r="D882" s="18" t="n">
        <f aca="false">'Black-Scholes'!$B$5*EXP(('Black-Scholes'!$B$8-'Black-Scholes'!$B$10-'Black-Scholes'!$B$9^2/2)*'Black-Scholes'!$B$7-'Black-Scholes'!$B$9*SQRT('Black-Scholes'!$B$7)*B882)</f>
        <v>152.740010707095</v>
      </c>
      <c r="E882" s="18" t="n">
        <f aca="false">EXP(-'Black-Scholes'!$B$8*'Black-Scholes'!$B$7)*IF(LOWER('Black-Scholes'!$B$11)="put",MAX('Black-Scholes'!$B$6-C882,0),MAX(C882-'Black-Scholes'!$B$6,0))</f>
        <v>0</v>
      </c>
      <c r="F882" s="18" t="n">
        <f aca="false">(E882+G882)/2</f>
        <v>25.0839250165359</v>
      </c>
      <c r="G882" s="18" t="n">
        <f aca="false">EXP(-'Black-Scholes'!$B$8*'Black-Scholes'!$B$7)*IF(LOWER('Black-Scholes'!$B$11)="put",MAX('Black-Scholes'!$B$6-D882,0),MAX(D882-'Black-Scholes'!$B$6,0))</f>
        <v>50.1678500330717</v>
      </c>
    </row>
    <row r="883" customFormat="false" ht="15" hidden="false" customHeight="false" outlineLevel="0" collapsed="false">
      <c r="A883" s="0" t="n">
        <v>872</v>
      </c>
      <c r="B883" s="15" t="n">
        <v>-1.84235492178297</v>
      </c>
      <c r="C883" s="18" t="n">
        <f aca="false">'Black-Scholes'!$B$5*EXP(('Black-Scholes'!$B$8-'Black-Scholes'!$B$10-'Black-Scholes'!$B$9^2/2)*'Black-Scholes'!$B$7+'Black-Scholes'!$B$9*SQRT('Black-Scholes'!$B$7)*B883)</f>
        <v>71.2859463164791</v>
      </c>
      <c r="D883" s="18" t="n">
        <f aca="false">'Black-Scholes'!$B$5*EXP(('Black-Scholes'!$B$8-'Black-Scholes'!$B$10-'Black-Scholes'!$B$9^2/2)*'Black-Scholes'!$B$7-'Black-Scholes'!$B$9*SQRT('Black-Scholes'!$B$7)*B883)</f>
        <v>148.954541731305</v>
      </c>
      <c r="E883" s="18" t="n">
        <f aca="false">EXP(-'Black-Scholes'!$B$8*'Black-Scholes'!$B$7)*IF(LOWER('Black-Scholes'!$B$11)="put",MAX('Black-Scholes'!$B$6-C883,0),MAX(C883-'Black-Scholes'!$B$6,0))</f>
        <v>0</v>
      </c>
      <c r="F883" s="18" t="n">
        <f aca="false">(E883+G883)/2</f>
        <v>23.283500278883</v>
      </c>
      <c r="G883" s="18" t="n">
        <f aca="false">EXP(-'Black-Scholes'!$B$8*'Black-Scholes'!$B$7)*IF(LOWER('Black-Scholes'!$B$11)="put",MAX('Black-Scholes'!$B$6-D883,0),MAX(D883-'Black-Scholes'!$B$6,0))</f>
        <v>46.5670005577659</v>
      </c>
    </row>
    <row r="884" customFormat="false" ht="15" hidden="false" customHeight="false" outlineLevel="0" collapsed="false">
      <c r="A884" s="0" t="n">
        <v>873</v>
      </c>
      <c r="B884" s="15" t="n">
        <v>-1.55068761519952</v>
      </c>
      <c r="C884" s="18" t="n">
        <f aca="false">'Black-Scholes'!$B$5*EXP(('Black-Scholes'!$B$8-'Black-Scholes'!$B$10-'Black-Scholes'!$B$9^2/2)*'Black-Scholes'!$B$7+'Black-Scholes'!$B$9*SQRT('Black-Scholes'!$B$7)*B884)</f>
        <v>75.5679810924675</v>
      </c>
      <c r="D884" s="18" t="n">
        <f aca="false">'Black-Scholes'!$B$5*EXP(('Black-Scholes'!$B$8-'Black-Scholes'!$B$10-'Black-Scholes'!$B$9^2/2)*'Black-Scholes'!$B$7-'Black-Scholes'!$B$9*SQRT('Black-Scholes'!$B$7)*B884)</f>
        <v>140.514081651336</v>
      </c>
      <c r="E884" s="18" t="n">
        <f aca="false">EXP(-'Black-Scholes'!$B$8*'Black-Scholes'!$B$7)*IF(LOWER('Black-Scholes'!$B$11)="put",MAX('Black-Scholes'!$B$6-C884,0),MAX(C884-'Black-Scholes'!$B$6,0))</f>
        <v>0</v>
      </c>
      <c r="F884" s="18" t="n">
        <f aca="false">(E884+G884)/2</f>
        <v>19.2690932866876</v>
      </c>
      <c r="G884" s="18" t="n">
        <f aca="false">EXP(-'Black-Scholes'!$B$8*'Black-Scholes'!$B$7)*IF(LOWER('Black-Scholes'!$B$11)="put",MAX('Black-Scholes'!$B$6-D884,0),MAX(D884-'Black-Scholes'!$B$6,0))</f>
        <v>38.5381865733753</v>
      </c>
    </row>
    <row r="885" customFormat="false" ht="15" hidden="false" customHeight="false" outlineLevel="0" collapsed="false">
      <c r="A885" s="0" t="n">
        <v>874</v>
      </c>
      <c r="B885" s="15" t="n">
        <v>0.093600218283762</v>
      </c>
      <c r="C885" s="18" t="n">
        <f aca="false">'Black-Scholes'!$B$5*EXP(('Black-Scholes'!$B$8-'Black-Scholes'!$B$10-'Black-Scholes'!$B$9^2/2)*'Black-Scholes'!$B$7+'Black-Scholes'!$B$9*SQRT('Black-Scholes'!$B$7)*B885)</f>
        <v>104.992637604299</v>
      </c>
      <c r="D885" s="18" t="n">
        <f aca="false">'Black-Scholes'!$B$5*EXP(('Black-Scholes'!$B$8-'Black-Scholes'!$B$10-'Black-Scholes'!$B$9^2/2)*'Black-Scholes'!$B$7-'Black-Scholes'!$B$9*SQRT('Black-Scholes'!$B$7)*B885)</f>
        <v>101.13438149323</v>
      </c>
      <c r="E885" s="18" t="n">
        <f aca="false">EXP(-'Black-Scholes'!$B$8*'Black-Scholes'!$B$7)*IF(LOWER('Black-Scholes'!$B$11)="put",MAX('Black-Scholes'!$B$6-C885,0),MAX(C885-'Black-Scholes'!$B$6,0))</f>
        <v>4.74914379507809</v>
      </c>
      <c r="F885" s="18" t="n">
        <f aca="false">(E885+G885)/2</f>
        <v>2.91410042502358</v>
      </c>
      <c r="G885" s="18" t="n">
        <f aca="false">EXP(-'Black-Scholes'!$B$8*'Black-Scholes'!$B$7)*IF(LOWER('Black-Scholes'!$B$11)="put",MAX('Black-Scholes'!$B$6-D885,0),MAX(D885-'Black-Scholes'!$B$6,0))</f>
        <v>1.07905705496908</v>
      </c>
    </row>
    <row r="886" customFormat="false" ht="15" hidden="false" customHeight="false" outlineLevel="0" collapsed="false">
      <c r="A886" s="0" t="n">
        <v>875</v>
      </c>
      <c r="B886" s="15" t="n">
        <v>0.658118308690612</v>
      </c>
      <c r="C886" s="18" t="n">
        <f aca="false">'Black-Scholes'!$B$5*EXP(('Black-Scholes'!$B$8-'Black-Scholes'!$B$10-'Black-Scholes'!$B$9^2/2)*'Black-Scholes'!$B$7+'Black-Scholes'!$B$9*SQRT('Black-Scholes'!$B$7)*B886)</f>
        <v>117.541780337995</v>
      </c>
      <c r="D886" s="18" t="n">
        <f aca="false">'Black-Scholes'!$B$5*EXP(('Black-Scholes'!$B$8-'Black-Scholes'!$B$10-'Black-Scholes'!$B$9^2/2)*'Black-Scholes'!$B$7-'Black-Scholes'!$B$9*SQRT('Black-Scholes'!$B$7)*B886)</f>
        <v>90.3369460197057</v>
      </c>
      <c r="E886" s="18" t="n">
        <f aca="false">EXP(-'Black-Scholes'!$B$8*'Black-Scholes'!$B$7)*IF(LOWER('Black-Scholes'!$B$11)="put",MAX('Black-Scholes'!$B$6-C886,0),MAX(C886-'Black-Scholes'!$B$6,0))</f>
        <v>16.6862576156294</v>
      </c>
      <c r="F886" s="18" t="n">
        <f aca="false">(E886+G886)/2</f>
        <v>8.34312880781468</v>
      </c>
      <c r="G886" s="18" t="n">
        <f aca="false">EXP(-'Black-Scholes'!$B$8*'Black-Scholes'!$B$7)*IF(LOWER('Black-Scholes'!$B$11)="put",MAX('Black-Scholes'!$B$6-D886,0),MAX(D886-'Black-Scholes'!$B$6,0))</f>
        <v>0</v>
      </c>
    </row>
    <row r="887" customFormat="false" ht="15" hidden="false" customHeight="false" outlineLevel="0" collapsed="false">
      <c r="A887" s="0" t="n">
        <v>876</v>
      </c>
      <c r="B887" s="15" t="n">
        <v>-0.385550022601211</v>
      </c>
      <c r="C887" s="18" t="n">
        <f aca="false">'Black-Scholes'!$B$5*EXP(('Black-Scholes'!$B$8-'Black-Scholes'!$B$10-'Black-Scholes'!$B$9^2/2)*'Black-Scholes'!$B$7+'Black-Scholes'!$B$9*SQRT('Black-Scholes'!$B$7)*B887)</f>
        <v>95.3982449436422</v>
      </c>
      <c r="D887" s="18" t="n">
        <f aca="false">'Black-Scholes'!$B$5*EXP(('Black-Scholes'!$B$8-'Black-Scholes'!$B$10-'Black-Scholes'!$B$9^2/2)*'Black-Scholes'!$B$7-'Black-Scholes'!$B$9*SQRT('Black-Scholes'!$B$7)*B887)</f>
        <v>111.30566890121</v>
      </c>
      <c r="E887" s="18" t="n">
        <f aca="false">EXP(-'Black-Scholes'!$B$8*'Black-Scholes'!$B$7)*IF(LOWER('Black-Scholes'!$B$11)="put",MAX('Black-Scholes'!$B$6-C887,0),MAX(C887-'Black-Scholes'!$B$6,0))</f>
        <v>0</v>
      </c>
      <c r="F887" s="18" t="n">
        <f aca="false">(E887+G887)/2</f>
        <v>5.37714246124696</v>
      </c>
      <c r="G887" s="18" t="n">
        <f aca="false">EXP(-'Black-Scholes'!$B$8*'Black-Scholes'!$B$7)*IF(LOWER('Black-Scholes'!$B$11)="put",MAX('Black-Scholes'!$B$6-D887,0),MAX(D887-'Black-Scholes'!$B$6,0))</f>
        <v>10.7542849224939</v>
      </c>
    </row>
    <row r="888" customFormat="false" ht="15" hidden="false" customHeight="false" outlineLevel="0" collapsed="false">
      <c r="A888" s="0" t="n">
        <v>877</v>
      </c>
      <c r="B888" s="15" t="n">
        <v>-1.47357256562665</v>
      </c>
      <c r="C888" s="18" t="n">
        <f aca="false">'Black-Scholes'!$B$5*EXP(('Black-Scholes'!$B$8-'Black-Scholes'!$B$10-'Black-Scholes'!$B$9^2/2)*'Black-Scholes'!$B$7+'Black-Scholes'!$B$9*SQRT('Black-Scholes'!$B$7)*B888)</f>
        <v>76.7425008472417</v>
      </c>
      <c r="D888" s="18" t="n">
        <f aca="false">'Black-Scholes'!$B$5*EXP(('Black-Scholes'!$B$8-'Black-Scholes'!$B$10-'Black-Scholes'!$B$9^2/2)*'Black-Scholes'!$B$7-'Black-Scholes'!$B$9*SQRT('Black-Scholes'!$B$7)*B888)</f>
        <v>138.363557979297</v>
      </c>
      <c r="E888" s="18" t="n">
        <f aca="false">EXP(-'Black-Scholes'!$B$8*'Black-Scholes'!$B$7)*IF(LOWER('Black-Scholes'!$B$11)="put",MAX('Black-Scholes'!$B$6-C888,0),MAX(C888-'Black-Scholes'!$B$6,0))</f>
        <v>0</v>
      </c>
      <c r="F888" s="18" t="n">
        <f aca="false">(E888+G888)/2</f>
        <v>18.2462725892234</v>
      </c>
      <c r="G888" s="18" t="n">
        <f aca="false">EXP(-'Black-Scholes'!$B$8*'Black-Scholes'!$B$7)*IF(LOWER('Black-Scholes'!$B$11)="put",MAX('Black-Scholes'!$B$6-D888,0),MAX(D888-'Black-Scholes'!$B$6,0))</f>
        <v>36.4925451784467</v>
      </c>
    </row>
    <row r="889" customFormat="false" ht="15" hidden="false" customHeight="false" outlineLevel="0" collapsed="false">
      <c r="A889" s="0" t="n">
        <v>878</v>
      </c>
      <c r="B889" s="15" t="n">
        <v>-0.513554003153909</v>
      </c>
      <c r="C889" s="18" t="n">
        <f aca="false">'Black-Scholes'!$B$5*EXP(('Black-Scholes'!$B$8-'Black-Scholes'!$B$10-'Black-Scholes'!$B$9^2/2)*'Black-Scholes'!$B$7+'Black-Scholes'!$B$9*SQRT('Black-Scholes'!$B$7)*B889)</f>
        <v>92.9869708877384</v>
      </c>
      <c r="D889" s="18" t="n">
        <f aca="false">'Black-Scholes'!$B$5*EXP(('Black-Scholes'!$B$8-'Black-Scholes'!$B$10-'Black-Scholes'!$B$9^2/2)*'Black-Scholes'!$B$7-'Black-Scholes'!$B$9*SQRT('Black-Scholes'!$B$7)*B889)</f>
        <v>114.191970811405</v>
      </c>
      <c r="E889" s="18" t="n">
        <f aca="false">EXP(-'Black-Scholes'!$B$8*'Black-Scholes'!$B$7)*IF(LOWER('Black-Scholes'!$B$11)="put",MAX('Black-Scholes'!$B$6-C889,0),MAX(C889-'Black-Scholes'!$B$6,0))</f>
        <v>0</v>
      </c>
      <c r="F889" s="18" t="n">
        <f aca="false">(E889+G889)/2</f>
        <v>6.7499101137319</v>
      </c>
      <c r="G889" s="18" t="n">
        <f aca="false">EXP(-'Black-Scholes'!$B$8*'Black-Scholes'!$B$7)*IF(LOWER('Black-Scholes'!$B$11)="put",MAX('Black-Scholes'!$B$6-D889,0),MAX(D889-'Black-Scholes'!$B$6,0))</f>
        <v>13.4998202274638</v>
      </c>
    </row>
    <row r="890" customFormat="false" ht="15" hidden="false" customHeight="false" outlineLevel="0" collapsed="false">
      <c r="A890" s="0" t="n">
        <v>879</v>
      </c>
      <c r="B890" s="15" t="n">
        <v>-0.862500247058709</v>
      </c>
      <c r="C890" s="18" t="n">
        <f aca="false">'Black-Scholes'!$B$5*EXP(('Black-Scholes'!$B$8-'Black-Scholes'!$B$10-'Black-Scholes'!$B$9^2/2)*'Black-Scholes'!$B$7+'Black-Scholes'!$B$9*SQRT('Black-Scholes'!$B$7)*B890)</f>
        <v>86.7187511443009</v>
      </c>
      <c r="D890" s="18" t="n">
        <f aca="false">'Black-Scholes'!$B$5*EXP(('Black-Scholes'!$B$8-'Black-Scholes'!$B$10-'Black-Scholes'!$B$9^2/2)*'Black-Scholes'!$B$7-'Black-Scholes'!$B$9*SQRT('Black-Scholes'!$B$7)*B890)</f>
        <v>122.446014562462</v>
      </c>
      <c r="E890" s="18" t="n">
        <f aca="false">EXP(-'Black-Scholes'!$B$8*'Black-Scholes'!$B$7)*IF(LOWER('Black-Scholes'!$B$11)="put",MAX('Black-Scholes'!$B$6-C890,0),MAX(C890-'Black-Scholes'!$B$6,0))</f>
        <v>0</v>
      </c>
      <c r="F890" s="18" t="n">
        <f aca="false">(E890+G890)/2</f>
        <v>10.6756547572928</v>
      </c>
      <c r="G890" s="18" t="n">
        <f aca="false">EXP(-'Black-Scholes'!$B$8*'Black-Scholes'!$B$7)*IF(LOWER('Black-Scholes'!$B$11)="put",MAX('Black-Scholes'!$B$6-D890,0),MAX(D890-'Black-Scholes'!$B$6,0))</f>
        <v>21.3513095145855</v>
      </c>
    </row>
    <row r="891" customFormat="false" ht="15" hidden="false" customHeight="false" outlineLevel="0" collapsed="false">
      <c r="A891" s="0" t="n">
        <v>880</v>
      </c>
      <c r="B891" s="15" t="n">
        <v>-1.89203779976998</v>
      </c>
      <c r="C891" s="18" t="n">
        <f aca="false">'Black-Scholes'!$B$5*EXP(('Black-Scholes'!$B$8-'Black-Scholes'!$B$10-'Black-Scholes'!$B$9^2/2)*'Black-Scholes'!$B$7+'Black-Scholes'!$B$9*SQRT('Black-Scholes'!$B$7)*B891)</f>
        <v>70.5811157224229</v>
      </c>
      <c r="D891" s="18" t="n">
        <f aca="false">'Black-Scholes'!$B$5*EXP(('Black-Scholes'!$B$8-'Black-Scholes'!$B$10-'Black-Scholes'!$B$9^2/2)*'Black-Scholes'!$B$7-'Black-Scholes'!$B$9*SQRT('Black-Scholes'!$B$7)*B891)</f>
        <v>150.442017765954</v>
      </c>
      <c r="E891" s="18" t="n">
        <f aca="false">EXP(-'Black-Scholes'!$B$8*'Black-Scholes'!$B$7)*IF(LOWER('Black-Scholes'!$B$11)="put",MAX('Black-Scholes'!$B$6-C891,0),MAX(C891-'Black-Scholes'!$B$6,0))</f>
        <v>0</v>
      </c>
      <c r="F891" s="18" t="n">
        <f aca="false">(E891+G891)/2</f>
        <v>23.9909657650815</v>
      </c>
      <c r="G891" s="18" t="n">
        <f aca="false">EXP(-'Black-Scholes'!$B$8*'Black-Scholes'!$B$7)*IF(LOWER('Black-Scholes'!$B$11)="put",MAX('Black-Scholes'!$B$6-D891,0),MAX(D891-'Black-Scholes'!$B$6,0))</f>
        <v>47.9819315301631</v>
      </c>
    </row>
    <row r="892" customFormat="false" ht="15" hidden="false" customHeight="false" outlineLevel="0" collapsed="false">
      <c r="A892" s="0" t="n">
        <v>881</v>
      </c>
      <c r="B892" s="15" t="n">
        <v>0.792390420175426</v>
      </c>
      <c r="C892" s="18" t="n">
        <f aca="false">'Black-Scholes'!$B$5*EXP(('Black-Scholes'!$B$8-'Black-Scholes'!$B$10-'Black-Scholes'!$B$9^2/2)*'Black-Scholes'!$B$7+'Black-Scholes'!$B$9*SQRT('Black-Scholes'!$B$7)*B892)</f>
        <v>120.741062112784</v>
      </c>
      <c r="D892" s="18" t="n">
        <f aca="false">'Black-Scholes'!$B$5*EXP(('Black-Scholes'!$B$8-'Black-Scholes'!$B$10-'Black-Scholes'!$B$9^2/2)*'Black-Scholes'!$B$7-'Black-Scholes'!$B$9*SQRT('Black-Scholes'!$B$7)*B892)</f>
        <v>87.9432835826392</v>
      </c>
      <c r="E892" s="18" t="n">
        <f aca="false">EXP(-'Black-Scholes'!$B$8*'Black-Scholes'!$B$7)*IF(LOWER('Black-Scholes'!$B$11)="put",MAX('Black-Scholes'!$B$6-C892,0),MAX(C892-'Black-Scholes'!$B$6,0))</f>
        <v>19.7295085770768</v>
      </c>
      <c r="F892" s="18" t="n">
        <f aca="false">(E892+G892)/2</f>
        <v>9.86475428853841</v>
      </c>
      <c r="G892" s="18" t="n">
        <f aca="false">EXP(-'Black-Scholes'!$B$8*'Black-Scholes'!$B$7)*IF(LOWER('Black-Scholes'!$B$11)="put",MAX('Black-Scholes'!$B$6-D892,0),MAX(D892-'Black-Scholes'!$B$6,0))</f>
        <v>0</v>
      </c>
    </row>
    <row r="893" customFormat="false" ht="15" hidden="false" customHeight="false" outlineLevel="0" collapsed="false">
      <c r="A893" s="0" t="n">
        <v>882</v>
      </c>
      <c r="B893" s="15" t="n">
        <v>0.659931939895186</v>
      </c>
      <c r="C893" s="18" t="n">
        <f aca="false">'Black-Scholes'!$B$5*EXP(('Black-Scholes'!$B$8-'Black-Scholes'!$B$10-'Black-Scholes'!$B$9^2/2)*'Black-Scholes'!$B$7+'Black-Scholes'!$B$9*SQRT('Black-Scholes'!$B$7)*B893)</f>
        <v>117.584423559568</v>
      </c>
      <c r="D893" s="18" t="n">
        <f aca="false">'Black-Scholes'!$B$5*EXP(('Black-Scholes'!$B$8-'Black-Scholes'!$B$10-'Black-Scholes'!$B$9^2/2)*'Black-Scholes'!$B$7-'Black-Scholes'!$B$9*SQRT('Black-Scholes'!$B$7)*B893)</f>
        <v>90.3041843809725</v>
      </c>
      <c r="E893" s="18" t="n">
        <f aca="false">EXP(-'Black-Scholes'!$B$8*'Black-Scholes'!$B$7)*IF(LOWER('Black-Scholes'!$B$11)="put",MAX('Black-Scholes'!$B$6-C893,0),MAX(C893-'Black-Scholes'!$B$6,0))</f>
        <v>16.7268211027447</v>
      </c>
      <c r="F893" s="18" t="n">
        <f aca="false">(E893+G893)/2</f>
        <v>8.36341055137237</v>
      </c>
      <c r="G893" s="18" t="n">
        <f aca="false">EXP(-'Black-Scholes'!$B$8*'Black-Scholes'!$B$7)*IF(LOWER('Black-Scholes'!$B$11)="put",MAX('Black-Scholes'!$B$6-D893,0),MAX(D893-'Black-Scholes'!$B$6,0))</f>
        <v>0</v>
      </c>
    </row>
    <row r="894" customFormat="false" ht="15" hidden="false" customHeight="false" outlineLevel="0" collapsed="false">
      <c r="A894" s="0" t="n">
        <v>883</v>
      </c>
      <c r="B894" s="15" t="n">
        <v>0.72448656228834</v>
      </c>
      <c r="C894" s="18" t="n">
        <f aca="false">'Black-Scholes'!$B$5*EXP(('Black-Scholes'!$B$8-'Black-Scholes'!$B$10-'Black-Scholes'!$B$9^2/2)*'Black-Scholes'!$B$7+'Black-Scholes'!$B$9*SQRT('Black-Scholes'!$B$7)*B894)</f>
        <v>119.112389674653</v>
      </c>
      <c r="D894" s="18" t="n">
        <f aca="false">'Black-Scholes'!$B$5*EXP(('Black-Scholes'!$B$8-'Black-Scholes'!$B$10-'Black-Scholes'!$B$9^2/2)*'Black-Scholes'!$B$7-'Black-Scholes'!$B$9*SQRT('Black-Scholes'!$B$7)*B894)</f>
        <v>89.1457680805236</v>
      </c>
      <c r="E894" s="18" t="n">
        <f aca="false">EXP(-'Black-Scholes'!$B$8*'Black-Scholes'!$B$7)*IF(LOWER('Black-Scholes'!$B$11)="put",MAX('Black-Scholes'!$B$6-C894,0),MAX(C894-'Black-Scholes'!$B$6,0))</f>
        <v>18.1802674310538</v>
      </c>
      <c r="F894" s="18" t="n">
        <f aca="false">(E894+G894)/2</f>
        <v>9.0901337155269</v>
      </c>
      <c r="G894" s="18" t="n">
        <f aca="false">EXP(-'Black-Scholes'!$B$8*'Black-Scholes'!$B$7)*IF(LOWER('Black-Scholes'!$B$11)="put",MAX('Black-Scholes'!$B$6-D894,0),MAX(D894-'Black-Scholes'!$B$6,0))</f>
        <v>0</v>
      </c>
    </row>
    <row r="895" customFormat="false" ht="15" hidden="false" customHeight="false" outlineLevel="0" collapsed="false">
      <c r="A895" s="0" t="n">
        <v>884</v>
      </c>
      <c r="B895" s="15" t="n">
        <v>-0.104599623012678</v>
      </c>
      <c r="C895" s="18" t="n">
        <f aca="false">'Black-Scholes'!$B$5*EXP(('Black-Scholes'!$B$8-'Black-Scholes'!$B$10-'Black-Scholes'!$B$9^2/2)*'Black-Scholes'!$B$7+'Black-Scholes'!$B$9*SQRT('Black-Scholes'!$B$7)*B895)</f>
        <v>100.912142433782</v>
      </c>
      <c r="D895" s="18" t="n">
        <f aca="false">'Black-Scholes'!$B$5*EXP(('Black-Scholes'!$B$8-'Black-Scholes'!$B$10-'Black-Scholes'!$B$9^2/2)*'Black-Scholes'!$B$7-'Black-Scholes'!$B$9*SQRT('Black-Scholes'!$B$7)*B895)</f>
        <v>105.223863148296</v>
      </c>
      <c r="E895" s="18" t="n">
        <f aca="false">EXP(-'Black-Scholes'!$B$8*'Black-Scholes'!$B$7)*IF(LOWER('Black-Scholes'!$B$11)="put",MAX('Black-Scholes'!$B$6-C895,0),MAX(C895-'Black-Scholes'!$B$6,0))</f>
        <v>0.8676567223491</v>
      </c>
      <c r="F895" s="18" t="n">
        <f aca="false">(E895+G895)/2</f>
        <v>2.91837452928644</v>
      </c>
      <c r="G895" s="18" t="n">
        <f aca="false">EXP(-'Black-Scholes'!$B$8*'Black-Scholes'!$B$7)*IF(LOWER('Black-Scholes'!$B$11)="put",MAX('Black-Scholes'!$B$6-D895,0),MAX(D895-'Black-Scholes'!$B$6,0))</f>
        <v>4.96909233622379</v>
      </c>
    </row>
    <row r="896" customFormat="false" ht="15" hidden="false" customHeight="false" outlineLevel="0" collapsed="false">
      <c r="A896" s="0" t="n">
        <v>885</v>
      </c>
      <c r="B896" s="15" t="n">
        <v>0.459885545249225</v>
      </c>
      <c r="C896" s="18" t="n">
        <f aca="false">'Black-Scholes'!$B$5*EXP(('Black-Scholes'!$B$8-'Black-Scholes'!$B$10-'Black-Scholes'!$B$9^2/2)*'Black-Scholes'!$B$7+'Black-Scholes'!$B$9*SQRT('Black-Scholes'!$B$7)*B896)</f>
        <v>112.972824093148</v>
      </c>
      <c r="D896" s="18" t="n">
        <f aca="false">'Black-Scholes'!$B$5*EXP(('Black-Scholes'!$B$8-'Black-Scholes'!$B$10-'Black-Scholes'!$B$9^2/2)*'Black-Scholes'!$B$7-'Black-Scholes'!$B$9*SQRT('Black-Scholes'!$B$7)*B896)</f>
        <v>93.9904401849651</v>
      </c>
      <c r="E896" s="18" t="n">
        <f aca="false">EXP(-'Black-Scholes'!$B$8*'Black-Scholes'!$B$7)*IF(LOWER('Black-Scholes'!$B$11)="put",MAX('Black-Scholes'!$B$6-C896,0),MAX(C896-'Black-Scholes'!$B$6,0))</f>
        <v>12.340131996274</v>
      </c>
      <c r="F896" s="18" t="n">
        <f aca="false">(E896+G896)/2</f>
        <v>6.170065998137</v>
      </c>
      <c r="G896" s="18" t="n">
        <f aca="false">EXP(-'Black-Scholes'!$B$8*'Black-Scholes'!$B$7)*IF(LOWER('Black-Scholes'!$B$11)="put",MAX('Black-Scholes'!$B$6-D896,0),MAX(D896-'Black-Scholes'!$B$6,0))</f>
        <v>0</v>
      </c>
    </row>
    <row r="897" customFormat="false" ht="15" hidden="false" customHeight="false" outlineLevel="0" collapsed="false">
      <c r="A897" s="0" t="n">
        <v>886</v>
      </c>
      <c r="B897" s="15" t="n">
        <v>2.8712084396656</v>
      </c>
      <c r="C897" s="18" t="n">
        <f aca="false">'Black-Scholes'!$B$5*EXP(('Black-Scholes'!$B$8-'Black-Scholes'!$B$10-'Black-Scholes'!$B$9^2/2)*'Black-Scholes'!$B$7+'Black-Scholes'!$B$9*SQRT('Black-Scholes'!$B$7)*B897)</f>
        <v>182.986407462427</v>
      </c>
      <c r="D897" s="18" t="n">
        <f aca="false">'Black-Scholes'!$B$5*EXP(('Black-Scholes'!$B$8-'Black-Scholes'!$B$10-'Black-Scholes'!$B$9^2/2)*'Black-Scholes'!$B$7-'Black-Scholes'!$B$9*SQRT('Black-Scholes'!$B$7)*B897)</f>
        <v>58.0281651118478</v>
      </c>
      <c r="E897" s="18" t="n">
        <f aca="false">EXP(-'Black-Scholes'!$B$8*'Black-Scholes'!$B$7)*IF(LOWER('Black-Scholes'!$B$11)="put",MAX('Black-Scholes'!$B$6-C897,0),MAX(C897-'Black-Scholes'!$B$6,0))</f>
        <v>78.9391126118665</v>
      </c>
      <c r="F897" s="18" t="n">
        <f aca="false">(E897+G897)/2</f>
        <v>39.4695563059333</v>
      </c>
      <c r="G897" s="18" t="n">
        <f aca="false">EXP(-'Black-Scholes'!$B$8*'Black-Scholes'!$B$7)*IF(LOWER('Black-Scholes'!$B$11)="put",MAX('Black-Scholes'!$B$6-D897,0),MAX(D897-'Black-Scholes'!$B$6,0))</f>
        <v>0</v>
      </c>
    </row>
    <row r="898" customFormat="false" ht="15" hidden="false" customHeight="false" outlineLevel="0" collapsed="false">
      <c r="A898" s="0" t="n">
        <v>887</v>
      </c>
      <c r="B898" s="15" t="n">
        <v>1.50585134131998</v>
      </c>
      <c r="C898" s="18" t="n">
        <f aca="false">'Black-Scholes'!$B$5*EXP(('Black-Scholes'!$B$8-'Black-Scholes'!$B$10-'Black-Scholes'!$B$9^2/2)*'Black-Scholes'!$B$7+'Black-Scholes'!$B$9*SQRT('Black-Scholes'!$B$7)*B898)</f>
        <v>139.259688717718</v>
      </c>
      <c r="D898" s="18" t="n">
        <f aca="false">'Black-Scholes'!$B$5*EXP(('Black-Scholes'!$B$8-'Black-Scholes'!$B$10-'Black-Scholes'!$B$9^2/2)*'Black-Scholes'!$B$7-'Black-Scholes'!$B$9*SQRT('Black-Scholes'!$B$7)*B898)</f>
        <v>76.2486658072116</v>
      </c>
      <c r="E898" s="18" t="n">
        <f aca="false">EXP(-'Black-Scholes'!$B$8*'Black-Scholes'!$B$7)*IF(LOWER('Black-Scholes'!$B$11)="put",MAX('Black-Scholes'!$B$6-C898,0),MAX(C898-'Black-Scholes'!$B$6,0))</f>
        <v>37.3449711050322</v>
      </c>
      <c r="F898" s="18" t="n">
        <f aca="false">(E898+G898)/2</f>
        <v>18.6724855525161</v>
      </c>
      <c r="G898" s="18" t="n">
        <f aca="false">EXP(-'Black-Scholes'!$B$8*'Black-Scholes'!$B$7)*IF(LOWER('Black-Scholes'!$B$11)="put",MAX('Black-Scholes'!$B$6-D898,0),MAX(D898-'Black-Scholes'!$B$6,0))</f>
        <v>0</v>
      </c>
    </row>
    <row r="899" customFormat="false" ht="15" hidden="false" customHeight="false" outlineLevel="0" collapsed="false">
      <c r="A899" s="0" t="n">
        <v>888</v>
      </c>
      <c r="B899" s="15" t="n">
        <v>-0.157721598570328</v>
      </c>
      <c r="C899" s="18" t="n">
        <f aca="false">'Black-Scholes'!$B$5*EXP(('Black-Scholes'!$B$8-'Black-Scholes'!$B$10-'Black-Scholes'!$B$9^2/2)*'Black-Scholes'!$B$7+'Black-Scholes'!$B$9*SQRT('Black-Scholes'!$B$7)*B899)</f>
        <v>99.8456872134014</v>
      </c>
      <c r="D899" s="18" t="n">
        <f aca="false">'Black-Scholes'!$B$5*EXP(('Black-Scholes'!$B$8-'Black-Scholes'!$B$10-'Black-Scholes'!$B$9^2/2)*'Black-Scholes'!$B$7-'Black-Scholes'!$B$9*SQRT('Black-Scholes'!$B$7)*B899)</f>
        <v>106.347762850876</v>
      </c>
      <c r="E899" s="18" t="n">
        <f aca="false">EXP(-'Black-Scholes'!$B$8*'Black-Scholes'!$B$7)*IF(LOWER('Black-Scholes'!$B$11)="put",MAX('Black-Scholes'!$B$6-C899,0),MAX(C899-'Black-Scholes'!$B$6,0))</f>
        <v>0</v>
      </c>
      <c r="F899" s="18" t="n">
        <f aca="false">(E899+G899)/2</f>
        <v>3.01908940175312</v>
      </c>
      <c r="G899" s="18" t="n">
        <f aca="false">EXP(-'Black-Scholes'!$B$8*'Black-Scholes'!$B$7)*IF(LOWER('Black-Scholes'!$B$11)="put",MAX('Black-Scholes'!$B$6-D899,0),MAX(D899-'Black-Scholes'!$B$6,0))</f>
        <v>6.03817880350623</v>
      </c>
    </row>
    <row r="900" customFormat="false" ht="15" hidden="false" customHeight="false" outlineLevel="0" collapsed="false">
      <c r="A900" s="0" t="n">
        <v>889</v>
      </c>
      <c r="B900" s="15" t="n">
        <v>0.0522212102522822</v>
      </c>
      <c r="C900" s="18" t="n">
        <f aca="false">'Black-Scholes'!$B$5*EXP(('Black-Scholes'!$B$8-'Black-Scholes'!$B$10-'Black-Scholes'!$B$9^2/2)*'Black-Scholes'!$B$7+'Black-Scholes'!$B$9*SQRT('Black-Scholes'!$B$7)*B900)</f>
        <v>104.127324882259</v>
      </c>
      <c r="D900" s="18" t="n">
        <f aca="false">'Black-Scholes'!$B$5*EXP(('Black-Scholes'!$B$8-'Black-Scholes'!$B$10-'Black-Scholes'!$B$9^2/2)*'Black-Scholes'!$B$7-'Black-Scholes'!$B$9*SQRT('Black-Scholes'!$B$7)*B900)</f>
        <v>101.974822434556</v>
      </c>
      <c r="E900" s="18" t="n">
        <f aca="false">EXP(-'Black-Scholes'!$B$8*'Black-Scholes'!$B$7)*IF(LOWER('Black-Scholes'!$B$11)="put",MAX('Black-Scholes'!$B$6-C900,0),MAX(C900-'Black-Scholes'!$B$6,0))</f>
        <v>3.9260328724783</v>
      </c>
      <c r="F900" s="18" t="n">
        <f aca="false">(E900+G900)/2</f>
        <v>2.90227104019585</v>
      </c>
      <c r="G900" s="18" t="n">
        <f aca="false">EXP(-'Black-Scholes'!$B$8*'Black-Scholes'!$B$7)*IF(LOWER('Black-Scholes'!$B$11)="put",MAX('Black-Scholes'!$B$6-D900,0),MAX(D900-'Black-Scholes'!$B$6,0))</f>
        <v>1.87850920791339</v>
      </c>
    </row>
    <row r="901" customFormat="false" ht="15" hidden="false" customHeight="false" outlineLevel="0" collapsed="false">
      <c r="A901" s="0" t="n">
        <v>890</v>
      </c>
      <c r="B901" s="15" t="n">
        <v>-0.5386597831065</v>
      </c>
      <c r="C901" s="18" t="n">
        <f aca="false">'Black-Scholes'!$B$5*EXP(('Black-Scholes'!$B$8-'Black-Scholes'!$B$10-'Black-Scholes'!$B$9^2/2)*'Black-Scholes'!$B$7+'Black-Scholes'!$B$9*SQRT('Black-Scholes'!$B$7)*B901)</f>
        <v>92.5212390364653</v>
      </c>
      <c r="D901" s="18" t="n">
        <f aca="false">'Black-Scholes'!$B$5*EXP(('Black-Scholes'!$B$8-'Black-Scholes'!$B$10-'Black-Scholes'!$B$9^2/2)*'Black-Scholes'!$B$7-'Black-Scholes'!$B$9*SQRT('Black-Scholes'!$B$7)*B901)</f>
        <v>114.766788426478</v>
      </c>
      <c r="E901" s="18" t="n">
        <f aca="false">EXP(-'Black-Scholes'!$B$8*'Black-Scholes'!$B$7)*IF(LOWER('Black-Scholes'!$B$11)="put",MAX('Black-Scholes'!$B$6-C901,0),MAX(C901-'Black-Scholes'!$B$6,0))</f>
        <v>0</v>
      </c>
      <c r="F901" s="18" t="n">
        <f aca="false">(E901+G901)/2</f>
        <v>7.02330182832116</v>
      </c>
      <c r="G901" s="18" t="n">
        <f aca="false">EXP(-'Black-Scholes'!$B$8*'Black-Scholes'!$B$7)*IF(LOWER('Black-Scholes'!$B$11)="put",MAX('Black-Scholes'!$B$6-D901,0),MAX(D901-'Black-Scholes'!$B$6,0))</f>
        <v>14.0466036566423</v>
      </c>
    </row>
    <row r="902" customFormat="false" ht="15" hidden="false" customHeight="false" outlineLevel="0" collapsed="false">
      <c r="A902" s="0" t="n">
        <v>891</v>
      </c>
      <c r="B902" s="15" t="n">
        <v>-0.564186911140607</v>
      </c>
      <c r="C902" s="18" t="n">
        <f aca="false">'Black-Scholes'!$B$5*EXP(('Black-Scholes'!$B$8-'Black-Scholes'!$B$10-'Black-Scholes'!$B$9^2/2)*'Black-Scholes'!$B$7+'Black-Scholes'!$B$9*SQRT('Black-Scholes'!$B$7)*B902)</f>
        <v>92.0500824842822</v>
      </c>
      <c r="D902" s="18" t="n">
        <f aca="false">'Black-Scholes'!$B$5*EXP(('Black-Scholes'!$B$8-'Black-Scholes'!$B$10-'Black-Scholes'!$B$9^2/2)*'Black-Scholes'!$B$7-'Black-Scholes'!$B$9*SQRT('Black-Scholes'!$B$7)*B902)</f>
        <v>115.354219995041</v>
      </c>
      <c r="E902" s="18" t="n">
        <f aca="false">EXP(-'Black-Scholes'!$B$8*'Black-Scholes'!$B$7)*IF(LOWER('Black-Scholes'!$B$11)="put",MAX('Black-Scholes'!$B$6-C902,0),MAX(C902-'Black-Scholes'!$B$6,0))</f>
        <v>0</v>
      </c>
      <c r="F902" s="18" t="n">
        <f aca="false">(E902+G902)/2</f>
        <v>7.30269292477027</v>
      </c>
      <c r="G902" s="18" t="n">
        <f aca="false">EXP(-'Black-Scholes'!$B$8*'Black-Scholes'!$B$7)*IF(LOWER('Black-Scholes'!$B$11)="put",MAX('Black-Scholes'!$B$6-D902,0),MAX(D902-'Black-Scholes'!$B$6,0))</f>
        <v>14.6053858495405</v>
      </c>
    </row>
    <row r="903" customFormat="false" ht="15" hidden="false" customHeight="false" outlineLevel="0" collapsed="false">
      <c r="A903" s="0" t="n">
        <v>892</v>
      </c>
      <c r="B903" s="15" t="n">
        <v>0.361790782015155</v>
      </c>
      <c r="C903" s="18" t="n">
        <f aca="false">'Black-Scholes'!$B$5*EXP(('Black-Scholes'!$B$8-'Black-Scholes'!$B$10-'Black-Scholes'!$B$9^2/2)*'Black-Scholes'!$B$7+'Black-Scholes'!$B$9*SQRT('Black-Scholes'!$B$7)*B903)</f>
        <v>110.778015924279</v>
      </c>
      <c r="D903" s="18" t="n">
        <f aca="false">'Black-Scholes'!$B$5*EXP(('Black-Scholes'!$B$8-'Black-Scholes'!$B$10-'Black-Scholes'!$B$9^2/2)*'Black-Scholes'!$B$7-'Black-Scholes'!$B$9*SQRT('Black-Scholes'!$B$7)*B903)</f>
        <v>95.8526416713552</v>
      </c>
      <c r="E903" s="18" t="n">
        <f aca="false">EXP(-'Black-Scholes'!$B$8*'Black-Scholes'!$B$7)*IF(LOWER('Black-Scholes'!$B$11)="put",MAX('Black-Scholes'!$B$6-C903,0),MAX(C903-'Black-Scholes'!$B$6,0))</f>
        <v>10.2523658849114</v>
      </c>
      <c r="F903" s="18" t="n">
        <f aca="false">(E903+G903)/2</f>
        <v>5.1261829424557</v>
      </c>
      <c r="G903" s="18" t="n">
        <f aca="false">EXP(-'Black-Scholes'!$B$8*'Black-Scholes'!$B$7)*IF(LOWER('Black-Scholes'!$B$11)="put",MAX('Black-Scholes'!$B$6-D903,0),MAX(D903-'Black-Scholes'!$B$6,0))</f>
        <v>0</v>
      </c>
    </row>
    <row r="904" customFormat="false" ht="15" hidden="false" customHeight="false" outlineLevel="0" collapsed="false">
      <c r="A904" s="0" t="n">
        <v>893</v>
      </c>
      <c r="B904" s="15" t="n">
        <v>-0.158046851631826</v>
      </c>
      <c r="C904" s="18" t="n">
        <f aca="false">'Black-Scholes'!$B$5*EXP(('Black-Scholes'!$B$8-'Black-Scholes'!$B$10-'Black-Scholes'!$B$9^2/2)*'Black-Scholes'!$B$7+'Black-Scholes'!$B$9*SQRT('Black-Scholes'!$B$7)*B904)</f>
        <v>99.8391924015607</v>
      </c>
      <c r="D904" s="18" t="n">
        <f aca="false">'Black-Scholes'!$B$5*EXP(('Black-Scholes'!$B$8-'Black-Scholes'!$B$10-'Black-Scholes'!$B$9^2/2)*'Black-Scholes'!$B$7-'Black-Scholes'!$B$9*SQRT('Black-Scholes'!$B$7)*B904)</f>
        <v>106.354681062981</v>
      </c>
      <c r="E904" s="18" t="n">
        <f aca="false">EXP(-'Black-Scholes'!$B$8*'Black-Scholes'!$B$7)*IF(LOWER('Black-Scholes'!$B$11)="put",MAX('Black-Scholes'!$B$6-C904,0),MAX(C904-'Black-Scholes'!$B$6,0))</f>
        <v>0</v>
      </c>
      <c r="F904" s="18" t="n">
        <f aca="false">(E904+G904)/2</f>
        <v>3.02237980521257</v>
      </c>
      <c r="G904" s="18" t="n">
        <f aca="false">EXP(-'Black-Scholes'!$B$8*'Black-Scholes'!$B$7)*IF(LOWER('Black-Scholes'!$B$11)="put",MAX('Black-Scholes'!$B$6-D904,0),MAX(D904-'Black-Scholes'!$B$6,0))</f>
        <v>6.04475961042514</v>
      </c>
    </row>
    <row r="905" customFormat="false" ht="15" hidden="false" customHeight="false" outlineLevel="0" collapsed="false">
      <c r="A905" s="0" t="n">
        <v>894</v>
      </c>
      <c r="B905" s="15" t="n">
        <v>-1.86295443391224</v>
      </c>
      <c r="C905" s="18" t="n">
        <f aca="false">'Black-Scholes'!$B$5*EXP(('Black-Scholes'!$B$8-'Black-Scholes'!$B$10-'Black-Scholes'!$B$9^2/2)*'Black-Scholes'!$B$7+'Black-Scholes'!$B$9*SQRT('Black-Scholes'!$B$7)*B905)</f>
        <v>70.9928593327698</v>
      </c>
      <c r="D905" s="18" t="n">
        <f aca="false">'Black-Scholes'!$B$5*EXP(('Black-Scholes'!$B$8-'Black-Scholes'!$B$10-'Black-Scholes'!$B$9^2/2)*'Black-Scholes'!$B$7-'Black-Scholes'!$B$9*SQRT('Black-Scholes'!$B$7)*B905)</f>
        <v>149.569485794077</v>
      </c>
      <c r="E905" s="18" t="n">
        <f aca="false">EXP(-'Black-Scholes'!$B$8*'Black-Scholes'!$B$7)*IF(LOWER('Black-Scholes'!$B$11)="put",MAX('Black-Scholes'!$B$6-C905,0),MAX(C905-'Black-Scholes'!$B$6,0))</f>
        <v>0</v>
      </c>
      <c r="F905" s="18" t="n">
        <f aca="false">(E905+G905)/2</f>
        <v>23.575976722348</v>
      </c>
      <c r="G905" s="18" t="n">
        <f aca="false">EXP(-'Black-Scholes'!$B$8*'Black-Scholes'!$B$7)*IF(LOWER('Black-Scholes'!$B$11)="put",MAX('Black-Scholes'!$B$6-D905,0),MAX(D905-'Black-Scholes'!$B$6,0))</f>
        <v>47.1519534446959</v>
      </c>
    </row>
    <row r="906" customFormat="false" ht="15" hidden="false" customHeight="false" outlineLevel="0" collapsed="false">
      <c r="A906" s="0" t="n">
        <v>895</v>
      </c>
      <c r="B906" s="15" t="n">
        <v>-0.338651708306707</v>
      </c>
      <c r="C906" s="18" t="n">
        <f aca="false">'Black-Scholes'!$B$5*EXP(('Black-Scholes'!$B$8-'Black-Scholes'!$B$10-'Black-Scholes'!$B$9^2/2)*'Black-Scholes'!$B$7+'Black-Scholes'!$B$9*SQRT('Black-Scholes'!$B$7)*B906)</f>
        <v>96.2972579468726</v>
      </c>
      <c r="D906" s="18" t="n">
        <f aca="false">'Black-Scholes'!$B$5*EXP(('Black-Scholes'!$B$8-'Black-Scholes'!$B$10-'Black-Scholes'!$B$9^2/2)*'Black-Scholes'!$B$7-'Black-Scholes'!$B$9*SQRT('Black-Scholes'!$B$7)*B906)</f>
        <v>110.266540209398</v>
      </c>
      <c r="E906" s="18" t="n">
        <f aca="false">EXP(-'Black-Scholes'!$B$8*'Black-Scholes'!$B$7)*IF(LOWER('Black-Scholes'!$B$11)="put",MAX('Black-Scholes'!$B$6-C906,0),MAX(C906-'Black-Scholes'!$B$6,0))</f>
        <v>0</v>
      </c>
      <c r="F906" s="18" t="n">
        <f aca="false">(E906+G906)/2</f>
        <v>4.88291756749954</v>
      </c>
      <c r="G906" s="18" t="n">
        <f aca="false">EXP(-'Black-Scholes'!$B$8*'Black-Scholes'!$B$7)*IF(LOWER('Black-Scholes'!$B$11)="put",MAX('Black-Scholes'!$B$6-D906,0),MAX(D906-'Black-Scholes'!$B$6,0))</f>
        <v>9.76583513499909</v>
      </c>
    </row>
    <row r="907" customFormat="false" ht="15" hidden="false" customHeight="false" outlineLevel="0" collapsed="false">
      <c r="A907" s="0" t="n">
        <v>896</v>
      </c>
      <c r="B907" s="15" t="n">
        <v>-0.104016421945508</v>
      </c>
      <c r="C907" s="18" t="n">
        <f aca="false">'Black-Scholes'!$B$5*EXP(('Black-Scholes'!$B$8-'Black-Scholes'!$B$10-'Black-Scholes'!$B$9^2/2)*'Black-Scholes'!$B$7+'Black-Scholes'!$B$9*SQRT('Black-Scholes'!$B$7)*B907)</f>
        <v>100.923913534092</v>
      </c>
      <c r="D907" s="18" t="n">
        <f aca="false">'Black-Scholes'!$B$5*EXP(('Black-Scholes'!$B$8-'Black-Scholes'!$B$10-'Black-Scholes'!$B$9^2/2)*'Black-Scholes'!$B$7-'Black-Scholes'!$B$9*SQRT('Black-Scholes'!$B$7)*B907)</f>
        <v>105.211590530194</v>
      </c>
      <c r="E907" s="18" t="n">
        <f aca="false">EXP(-'Black-Scholes'!$B$8*'Black-Scholes'!$B$7)*IF(LOWER('Black-Scholes'!$B$11)="put",MAX('Black-Scholes'!$B$6-C907,0),MAX(C907-'Black-Scholes'!$B$6,0))</f>
        <v>0.878853739322762</v>
      </c>
      <c r="F907" s="18" t="n">
        <f aca="false">(E907+G907)/2</f>
        <v>2.91813600004631</v>
      </c>
      <c r="G907" s="18" t="n">
        <f aca="false">EXP(-'Black-Scholes'!$B$8*'Black-Scholes'!$B$7)*IF(LOWER('Black-Scholes'!$B$11)="put",MAX('Black-Scholes'!$B$6-D907,0),MAX(D907-'Black-Scholes'!$B$6,0))</f>
        <v>4.95741826076985</v>
      </c>
    </row>
    <row r="908" customFormat="false" ht="15" hidden="false" customHeight="false" outlineLevel="0" collapsed="false">
      <c r="A908" s="0" t="n">
        <v>897</v>
      </c>
      <c r="B908" s="15" t="n">
        <v>1.96796853835397</v>
      </c>
      <c r="C908" s="18" t="n">
        <f aca="false">'Black-Scholes'!$B$5*EXP(('Black-Scholes'!$B$8-'Black-Scholes'!$B$10-'Black-Scholes'!$B$9^2/2)*'Black-Scholes'!$B$7+'Black-Scholes'!$B$9*SQRT('Black-Scholes'!$B$7)*B908)</f>
        <v>152.744088018408</v>
      </c>
      <c r="D908" s="18" t="n">
        <f aca="false">'Black-Scholes'!$B$5*EXP(('Black-Scholes'!$B$8-'Black-Scholes'!$B$10-'Black-Scholes'!$B$9^2/2)*'Black-Scholes'!$B$7-'Black-Scholes'!$B$9*SQRT('Black-Scholes'!$B$7)*B908)</f>
        <v>69.5173581066781</v>
      </c>
      <c r="E908" s="18" t="n">
        <f aca="false">EXP(-'Black-Scholes'!$B$8*'Black-Scholes'!$B$7)*IF(LOWER('Black-Scholes'!$B$11)="put",MAX('Black-Scholes'!$B$6-C908,0),MAX(C908-'Black-Scholes'!$B$6,0))</f>
        <v>50.1717284915648</v>
      </c>
      <c r="F908" s="18" t="n">
        <f aca="false">(E908+G908)/2</f>
        <v>25.0858642457824</v>
      </c>
      <c r="G908" s="18" t="n">
        <f aca="false">EXP(-'Black-Scholes'!$B$8*'Black-Scholes'!$B$7)*IF(LOWER('Black-Scholes'!$B$11)="put",MAX('Black-Scholes'!$B$6-D908,0),MAX(D908-'Black-Scholes'!$B$6,0))</f>
        <v>0</v>
      </c>
    </row>
    <row r="909" customFormat="false" ht="15" hidden="false" customHeight="false" outlineLevel="0" collapsed="false">
      <c r="A909" s="0" t="n">
        <v>898</v>
      </c>
      <c r="B909" s="15" t="n">
        <v>0.304921991938717</v>
      </c>
      <c r="C909" s="18" t="n">
        <f aca="false">'Black-Scholes'!$B$5*EXP(('Black-Scholes'!$B$8-'Black-Scholes'!$B$10-'Black-Scholes'!$B$9^2/2)*'Black-Scholes'!$B$7+'Black-Scholes'!$B$9*SQRT('Black-Scholes'!$B$7)*B909)</f>
        <v>109.525191742943</v>
      </c>
      <c r="D909" s="18" t="n">
        <f aca="false">'Black-Scholes'!$B$5*EXP(('Black-Scholes'!$B$8-'Black-Scholes'!$B$10-'Black-Scholes'!$B$9^2/2)*'Black-Scholes'!$B$7-'Black-Scholes'!$B$9*SQRT('Black-Scholes'!$B$7)*B909)</f>
        <v>96.9490698576</v>
      </c>
      <c r="E909" s="18" t="n">
        <f aca="false">EXP(-'Black-Scholes'!$B$8*'Black-Scholes'!$B$7)*IF(LOWER('Black-Scholes'!$B$11)="put",MAX('Black-Scholes'!$B$6-C909,0),MAX(C909-'Black-Scholes'!$B$6,0))</f>
        <v>9.06064265989843</v>
      </c>
      <c r="F909" s="18" t="n">
        <f aca="false">(E909+G909)/2</f>
        <v>4.53032132994921</v>
      </c>
      <c r="G909" s="18" t="n">
        <f aca="false">EXP(-'Black-Scholes'!$B$8*'Black-Scholes'!$B$7)*IF(LOWER('Black-Scholes'!$B$11)="put",MAX('Black-Scholes'!$B$6-D909,0),MAX(D909-'Black-Scholes'!$B$6,0))</f>
        <v>0</v>
      </c>
    </row>
    <row r="910" customFormat="false" ht="15" hidden="false" customHeight="false" outlineLevel="0" collapsed="false">
      <c r="A910" s="0" t="n">
        <v>899</v>
      </c>
      <c r="B910" s="15" t="n">
        <v>-0.794534917157996</v>
      </c>
      <c r="C910" s="18" t="n">
        <f aca="false">'Black-Scholes'!$B$5*EXP(('Black-Scholes'!$B$8-'Black-Scholes'!$B$10-'Black-Scholes'!$B$9^2/2)*'Black-Scholes'!$B$7+'Black-Scholes'!$B$9*SQRT('Black-Scholes'!$B$7)*B910)</f>
        <v>87.9055728490167</v>
      </c>
      <c r="D910" s="18" t="n">
        <f aca="false">'Black-Scholes'!$B$5*EXP(('Black-Scholes'!$B$8-'Black-Scholes'!$B$10-'Black-Scholes'!$B$9^2/2)*'Black-Scholes'!$B$7-'Black-Scholes'!$B$9*SQRT('Black-Scholes'!$B$7)*B910)</f>
        <v>120.792858988489</v>
      </c>
      <c r="E910" s="18" t="n">
        <f aca="false">EXP(-'Black-Scholes'!$B$8*'Black-Scholes'!$B$7)*IF(LOWER('Black-Scholes'!$B$11)="put",MAX('Black-Scholes'!$B$6-C910,0),MAX(C910-'Black-Scholes'!$B$6,0))</f>
        <v>0</v>
      </c>
      <c r="F910" s="18" t="n">
        <f aca="false">(E910+G910)/2</f>
        <v>9.8893896446723</v>
      </c>
      <c r="G910" s="18" t="n">
        <f aca="false">EXP(-'Black-Scholes'!$B$8*'Black-Scholes'!$B$7)*IF(LOWER('Black-Scholes'!$B$11)="put",MAX('Black-Scholes'!$B$6-D910,0),MAX(D910-'Black-Scholes'!$B$6,0))</f>
        <v>19.7787792893446</v>
      </c>
    </row>
    <row r="911" customFormat="false" ht="15" hidden="false" customHeight="false" outlineLevel="0" collapsed="false">
      <c r="A911" s="0" t="n">
        <v>900</v>
      </c>
      <c r="B911" s="15" t="n">
        <v>-0.139204070128679</v>
      </c>
      <c r="C911" s="18" t="n">
        <f aca="false">'Black-Scholes'!$B$5*EXP(('Black-Scholes'!$B$8-'Black-Scholes'!$B$10-'Black-Scholes'!$B$9^2/2)*'Black-Scholes'!$B$7+'Black-Scholes'!$B$9*SQRT('Black-Scholes'!$B$7)*B911)</f>
        <v>100.216151869492</v>
      </c>
      <c r="D911" s="18" t="n">
        <f aca="false">'Black-Scholes'!$B$5*EXP(('Black-Scholes'!$B$8-'Black-Scholes'!$B$10-'Black-Scholes'!$B$9^2/2)*'Black-Scholes'!$B$7-'Black-Scholes'!$B$9*SQRT('Black-Scholes'!$B$7)*B911)</f>
        <v>105.954631737222</v>
      </c>
      <c r="E911" s="18" t="n">
        <f aca="false">EXP(-'Black-Scholes'!$B$8*'Black-Scholes'!$B$7)*IF(LOWER('Black-Scholes'!$B$11)="put",MAX('Black-Scholes'!$B$6-C911,0),MAX(C911-'Black-Scholes'!$B$6,0))</f>
        <v>0.205610018421989</v>
      </c>
      <c r="F911" s="18" t="n">
        <f aca="false">(E911+G911)/2</f>
        <v>2.93491546946677</v>
      </c>
      <c r="G911" s="18" t="n">
        <f aca="false">EXP(-'Black-Scholes'!$B$8*'Black-Scholes'!$B$7)*IF(LOWER('Black-Scholes'!$B$11)="put",MAX('Black-Scholes'!$B$6-D911,0),MAX(D911-'Black-Scholes'!$B$6,0))</f>
        <v>5.66422092051156</v>
      </c>
    </row>
    <row r="912" customFormat="false" ht="15" hidden="false" customHeight="false" outlineLevel="0" collapsed="false">
      <c r="A912" s="0" t="n">
        <v>901</v>
      </c>
      <c r="B912" s="15" t="n">
        <v>-0.685981654225722</v>
      </c>
      <c r="C912" s="18" t="n">
        <f aca="false">'Black-Scholes'!$B$5*EXP(('Black-Scholes'!$B$8-'Black-Scholes'!$B$10-'Black-Scholes'!$B$9^2/2)*'Black-Scholes'!$B$7+'Black-Scholes'!$B$9*SQRT('Black-Scholes'!$B$7)*B912)</f>
        <v>89.8349282001606</v>
      </c>
      <c r="D912" s="18" t="n">
        <f aca="false">'Black-Scholes'!$B$5*EXP(('Black-Scholes'!$B$8-'Black-Scholes'!$B$10-'Black-Scholes'!$B$9^2/2)*'Black-Scholes'!$B$7-'Black-Scholes'!$B$9*SQRT('Black-Scholes'!$B$7)*B912)</f>
        <v>118.198630289935</v>
      </c>
      <c r="E912" s="18" t="n">
        <f aca="false">EXP(-'Black-Scholes'!$B$8*'Black-Scholes'!$B$7)*IF(LOWER('Black-Scholes'!$B$11)="put",MAX('Black-Scholes'!$B$6-C912,0),MAX(C912-'Black-Scholes'!$B$6,0))</f>
        <v>0</v>
      </c>
      <c r="F912" s="18" t="n">
        <f aca="false">(E912+G912)/2</f>
        <v>8.65553630869785</v>
      </c>
      <c r="G912" s="18" t="n">
        <f aca="false">EXP(-'Black-Scholes'!$B$8*'Black-Scholes'!$B$7)*IF(LOWER('Black-Scholes'!$B$11)="put",MAX('Black-Scholes'!$B$6-D912,0),MAX(D912-'Black-Scholes'!$B$6,0))</f>
        <v>17.3110726173957</v>
      </c>
    </row>
    <row r="913" customFormat="false" ht="15" hidden="false" customHeight="false" outlineLevel="0" collapsed="false">
      <c r="A913" s="0" t="n">
        <v>902</v>
      </c>
      <c r="B913" s="15" t="n">
        <v>0.311330983423803</v>
      </c>
      <c r="C913" s="18" t="n">
        <f aca="false">'Black-Scholes'!$B$5*EXP(('Black-Scholes'!$B$8-'Black-Scholes'!$B$10-'Black-Scholes'!$B$9^2/2)*'Black-Scholes'!$B$7+'Black-Scholes'!$B$9*SQRT('Black-Scholes'!$B$7)*B913)</f>
        <v>109.665670960977</v>
      </c>
      <c r="D913" s="18" t="n">
        <f aca="false">'Black-Scholes'!$B$5*EXP(('Black-Scholes'!$B$8-'Black-Scholes'!$B$10-'Black-Scholes'!$B$9^2/2)*'Black-Scholes'!$B$7-'Black-Scholes'!$B$9*SQRT('Black-Scholes'!$B$7)*B913)</f>
        <v>96.824880314935</v>
      </c>
      <c r="E913" s="18" t="n">
        <f aca="false">EXP(-'Black-Scholes'!$B$8*'Black-Scholes'!$B$7)*IF(LOWER('Black-Scholes'!$B$11)="put",MAX('Black-Scholes'!$B$6-C913,0),MAX(C913-'Black-Scholes'!$B$6,0))</f>
        <v>9.19427062562301</v>
      </c>
      <c r="F913" s="18" t="n">
        <f aca="false">(E913+G913)/2</f>
        <v>4.5971353128115</v>
      </c>
      <c r="G913" s="18" t="n">
        <f aca="false">EXP(-'Black-Scholes'!$B$8*'Black-Scholes'!$B$7)*IF(LOWER('Black-Scholes'!$B$11)="put",MAX('Black-Scholes'!$B$6-D913,0),MAX(D913-'Black-Scholes'!$B$6,0))</f>
        <v>0</v>
      </c>
    </row>
    <row r="914" customFormat="false" ht="15" hidden="false" customHeight="false" outlineLevel="0" collapsed="false">
      <c r="A914" s="0" t="n">
        <v>903</v>
      </c>
      <c r="B914" s="15" t="n">
        <v>0.290739108340236</v>
      </c>
      <c r="C914" s="18" t="n">
        <f aca="false">'Black-Scholes'!$B$5*EXP(('Black-Scholes'!$B$8-'Black-Scholes'!$B$10-'Black-Scholes'!$B$9^2/2)*'Black-Scholes'!$B$7+'Black-Scholes'!$B$9*SQRT('Black-Scholes'!$B$7)*B914)</f>
        <v>109.214955346512</v>
      </c>
      <c r="D914" s="18" t="n">
        <f aca="false">'Black-Scholes'!$B$5*EXP(('Black-Scholes'!$B$8-'Black-Scholes'!$B$10-'Black-Scholes'!$B$9^2/2)*'Black-Scholes'!$B$7-'Black-Scholes'!$B$9*SQRT('Black-Scholes'!$B$7)*B914)</f>
        <v>97.2244637354302</v>
      </c>
      <c r="E914" s="18" t="n">
        <f aca="false">EXP(-'Black-Scholes'!$B$8*'Black-Scholes'!$B$7)*IF(LOWER('Black-Scholes'!$B$11)="put",MAX('Black-Scholes'!$B$6-C914,0),MAX(C914-'Black-Scholes'!$B$6,0))</f>
        <v>8.76553667106254</v>
      </c>
      <c r="F914" s="18" t="n">
        <f aca="false">(E914+G914)/2</f>
        <v>4.38276833553127</v>
      </c>
      <c r="G914" s="18" t="n">
        <f aca="false">EXP(-'Black-Scholes'!$B$8*'Black-Scholes'!$B$7)*IF(LOWER('Black-Scholes'!$B$11)="put",MAX('Black-Scholes'!$B$6-D914,0),MAX(D914-'Black-Scholes'!$B$6,0))</f>
        <v>0</v>
      </c>
    </row>
    <row r="915" customFormat="false" ht="15" hidden="false" customHeight="false" outlineLevel="0" collapsed="false">
      <c r="A915" s="0" t="n">
        <v>904</v>
      </c>
      <c r="B915" s="15" t="n">
        <v>0.0881984567776956</v>
      </c>
      <c r="C915" s="18" t="n">
        <f aca="false">'Black-Scholes'!$B$5*EXP(('Black-Scholes'!$B$8-'Black-Scholes'!$B$10-'Black-Scholes'!$B$9^2/2)*'Black-Scholes'!$B$7+'Black-Scholes'!$B$9*SQRT('Black-Scholes'!$B$7)*B915)</f>
        <v>104.879269816255</v>
      </c>
      <c r="D915" s="18" t="n">
        <f aca="false">'Black-Scholes'!$B$5*EXP(('Black-Scholes'!$B$8-'Black-Scholes'!$B$10-'Black-Scholes'!$B$9^2/2)*'Black-Scholes'!$B$7-'Black-Scholes'!$B$9*SQRT('Black-Scholes'!$B$7)*B915)</f>
        <v>101.243701296325</v>
      </c>
      <c r="E915" s="18" t="n">
        <f aca="false">EXP(-'Black-Scholes'!$B$8*'Black-Scholes'!$B$7)*IF(LOWER('Black-Scholes'!$B$11)="put",MAX('Black-Scholes'!$B$6-C915,0),MAX(C915-'Black-Scholes'!$B$6,0))</f>
        <v>4.64130501929974</v>
      </c>
      <c r="F915" s="18" t="n">
        <f aca="false">(E915+G915)/2</f>
        <v>2.91217514382699</v>
      </c>
      <c r="G915" s="18" t="n">
        <f aca="false">EXP(-'Black-Scholes'!$B$8*'Black-Scholes'!$B$7)*IF(LOWER('Black-Scholes'!$B$11)="put",MAX('Black-Scholes'!$B$6-D915,0),MAX(D915-'Black-Scholes'!$B$6,0))</f>
        <v>1.18304526835424</v>
      </c>
    </row>
    <row r="916" customFormat="false" ht="15" hidden="false" customHeight="false" outlineLevel="0" collapsed="false">
      <c r="A916" s="0" t="n">
        <v>905</v>
      </c>
      <c r="B916" s="15" t="n">
        <v>0.796451375725951</v>
      </c>
      <c r="C916" s="18" t="n">
        <f aca="false">'Black-Scholes'!$B$5*EXP(('Black-Scholes'!$B$8-'Black-Scholes'!$B$10-'Black-Scholes'!$B$9^2/2)*'Black-Scholes'!$B$7+'Black-Scholes'!$B$9*SQRT('Black-Scholes'!$B$7)*B916)</f>
        <v>120.839166764526</v>
      </c>
      <c r="D916" s="18" t="n">
        <f aca="false">'Black-Scholes'!$B$5*EXP(('Black-Scholes'!$B$8-'Black-Scholes'!$B$10-'Black-Scholes'!$B$9^2/2)*'Black-Scholes'!$B$7-'Black-Scholes'!$B$9*SQRT('Black-Scholes'!$B$7)*B916)</f>
        <v>87.8718858277557</v>
      </c>
      <c r="E916" s="18" t="n">
        <f aca="false">EXP(-'Black-Scholes'!$B$8*'Black-Scholes'!$B$7)*IF(LOWER('Black-Scholes'!$B$11)="put",MAX('Black-Scholes'!$B$6-C916,0),MAX(C916-'Black-Scholes'!$B$6,0))</f>
        <v>19.8228286084949</v>
      </c>
      <c r="F916" s="18" t="n">
        <f aca="false">(E916+G916)/2</f>
        <v>9.91141430424744</v>
      </c>
      <c r="G916" s="18" t="n">
        <f aca="false">EXP(-'Black-Scholes'!$B$8*'Black-Scholes'!$B$7)*IF(LOWER('Black-Scholes'!$B$11)="put",MAX('Black-Scholes'!$B$6-D916,0),MAX(D916-'Black-Scholes'!$B$6,0))</f>
        <v>0</v>
      </c>
    </row>
    <row r="917" customFormat="false" ht="15" hidden="false" customHeight="false" outlineLevel="0" collapsed="false">
      <c r="A917" s="0" t="n">
        <v>906</v>
      </c>
      <c r="B917" s="15" t="n">
        <v>0.504941457458255</v>
      </c>
      <c r="C917" s="18" t="n">
        <f aca="false">'Black-Scholes'!$B$5*EXP(('Black-Scholes'!$B$8-'Black-Scholes'!$B$10-'Black-Scholes'!$B$9^2/2)*'Black-Scholes'!$B$7+'Black-Scholes'!$B$9*SQRT('Black-Scholes'!$B$7)*B917)</f>
        <v>113.995443406784</v>
      </c>
      <c r="D917" s="18" t="n">
        <f aca="false">'Black-Scholes'!$B$5*EXP(('Black-Scholes'!$B$8-'Black-Scholes'!$B$10-'Black-Scholes'!$B$9^2/2)*'Black-Scholes'!$B$7-'Black-Scholes'!$B$9*SQRT('Black-Scholes'!$B$7)*B917)</f>
        <v>93.147279822078</v>
      </c>
      <c r="E917" s="18" t="n">
        <f aca="false">EXP(-'Black-Scholes'!$B$8*'Black-Scholes'!$B$7)*IF(LOWER('Black-Scholes'!$B$11)="put",MAX('Black-Scholes'!$B$6-C917,0),MAX(C917-'Black-Scholes'!$B$6,0))</f>
        <v>13.3128775774678</v>
      </c>
      <c r="F917" s="18" t="n">
        <f aca="false">(E917+G917)/2</f>
        <v>6.6564387887339</v>
      </c>
      <c r="G917" s="18" t="n">
        <f aca="false">EXP(-'Black-Scholes'!$B$8*'Black-Scholes'!$B$7)*IF(LOWER('Black-Scholes'!$B$11)="put",MAX('Black-Scholes'!$B$6-D917,0),MAX(D917-'Black-Scholes'!$B$6,0))</f>
        <v>0</v>
      </c>
    </row>
    <row r="918" customFormat="false" ht="15" hidden="false" customHeight="false" outlineLevel="0" collapsed="false">
      <c r="A918" s="0" t="n">
        <v>907</v>
      </c>
      <c r="B918" s="15" t="n">
        <v>2.2913388621765</v>
      </c>
      <c r="C918" s="18" t="n">
        <f aca="false">'Black-Scholes'!$B$5*EXP(('Black-Scholes'!$B$8-'Black-Scholes'!$B$10-'Black-Scholes'!$B$9^2/2)*'Black-Scholes'!$B$7+'Black-Scholes'!$B$9*SQRT('Black-Scholes'!$B$7)*B918)</f>
        <v>162.949112436551</v>
      </c>
      <c r="D918" s="18" t="n">
        <f aca="false">'Black-Scholes'!$B$5*EXP(('Black-Scholes'!$B$8-'Black-Scholes'!$B$10-'Black-Scholes'!$B$9^2/2)*'Black-Scholes'!$B$7-'Black-Scholes'!$B$9*SQRT('Black-Scholes'!$B$7)*B918)</f>
        <v>65.1636901034866</v>
      </c>
      <c r="E918" s="18" t="n">
        <f aca="false">EXP(-'Black-Scholes'!$B$8*'Black-Scholes'!$B$7)*IF(LOWER('Black-Scholes'!$B$11)="put",MAX('Black-Scholes'!$B$6-C918,0),MAX(C918-'Black-Scholes'!$B$6,0))</f>
        <v>59.8790479958511</v>
      </c>
      <c r="F918" s="18" t="n">
        <f aca="false">(E918+G918)/2</f>
        <v>29.9395239979255</v>
      </c>
      <c r="G918" s="18" t="n">
        <f aca="false">EXP(-'Black-Scholes'!$B$8*'Black-Scholes'!$B$7)*IF(LOWER('Black-Scholes'!$B$11)="put",MAX('Black-Scholes'!$B$6-D918,0),MAX(D918-'Black-Scholes'!$B$6,0))</f>
        <v>0</v>
      </c>
    </row>
    <row r="919" customFormat="false" ht="15" hidden="false" customHeight="false" outlineLevel="0" collapsed="false">
      <c r="A919" s="0" t="n">
        <v>908</v>
      </c>
      <c r="B919" s="15" t="n">
        <v>-0.199951616271248</v>
      </c>
      <c r="C919" s="18" t="n">
        <f aca="false">'Black-Scholes'!$B$5*EXP(('Black-Scholes'!$B$8-'Black-Scholes'!$B$10-'Black-Scholes'!$B$9^2/2)*'Black-Scholes'!$B$7+'Black-Scholes'!$B$9*SQRT('Black-Scholes'!$B$7)*B919)</f>
        <v>99.0059414256044</v>
      </c>
      <c r="D919" s="18" t="n">
        <f aca="false">'Black-Scholes'!$B$5*EXP(('Black-Scholes'!$B$8-'Black-Scholes'!$B$10-'Black-Scholes'!$B$9^2/2)*'Black-Scholes'!$B$7-'Black-Scholes'!$B$9*SQRT('Black-Scholes'!$B$7)*B919)</f>
        <v>107.249780291545</v>
      </c>
      <c r="E919" s="18" t="n">
        <f aca="false">EXP(-'Black-Scholes'!$B$8*'Black-Scholes'!$B$7)*IF(LOWER('Black-Scholes'!$B$11)="put",MAX('Black-Scholes'!$B$6-C919,0),MAX(C919-'Black-Scholes'!$B$6,0))</f>
        <v>0</v>
      </c>
      <c r="F919" s="18" t="n">
        <f aca="false">(E919+G919)/2</f>
        <v>3.44810216724127</v>
      </c>
      <c r="G919" s="18" t="n">
        <f aca="false">EXP(-'Black-Scholes'!$B$8*'Black-Scholes'!$B$7)*IF(LOWER('Black-Scholes'!$B$11)="put",MAX('Black-Scholes'!$B$6-D919,0),MAX(D919-'Black-Scholes'!$B$6,0))</f>
        <v>6.89620433448254</v>
      </c>
    </row>
    <row r="920" customFormat="false" ht="15" hidden="false" customHeight="false" outlineLevel="0" collapsed="false">
      <c r="A920" s="0" t="n">
        <v>909</v>
      </c>
      <c r="B920" s="15" t="n">
        <v>-0.307122489737713</v>
      </c>
      <c r="C920" s="18" t="n">
        <f aca="false">'Black-Scholes'!$B$5*EXP(('Black-Scholes'!$B$8-'Black-Scholes'!$B$10-'Black-Scholes'!$B$9^2/2)*'Black-Scholes'!$B$7+'Black-Scholes'!$B$9*SQRT('Black-Scholes'!$B$7)*B920)</f>
        <v>96.906412002173</v>
      </c>
      <c r="D920" s="18" t="n">
        <f aca="false">'Black-Scholes'!$B$5*EXP(('Black-Scholes'!$B$8-'Black-Scholes'!$B$10-'Black-Scholes'!$B$9^2/2)*'Black-Scholes'!$B$7-'Black-Scholes'!$B$9*SQRT('Black-Scholes'!$B$7)*B920)</f>
        <v>109.573404340009</v>
      </c>
      <c r="E920" s="18" t="n">
        <f aca="false">EXP(-'Black-Scholes'!$B$8*'Black-Scholes'!$B$7)*IF(LOWER('Black-Scholes'!$B$11)="put",MAX('Black-Scholes'!$B$6-C920,0),MAX(C920-'Black-Scholes'!$B$6,0))</f>
        <v>0</v>
      </c>
      <c r="F920" s="18" t="n">
        <f aca="false">(E920+G920)/2</f>
        <v>4.55325195042969</v>
      </c>
      <c r="G920" s="18" t="n">
        <f aca="false">EXP(-'Black-Scholes'!$B$8*'Black-Scholes'!$B$7)*IF(LOWER('Black-Scholes'!$B$11)="put",MAX('Black-Scholes'!$B$6-D920,0),MAX(D920-'Black-Scholes'!$B$6,0))</f>
        <v>9.10650390085938</v>
      </c>
    </row>
    <row r="921" customFormat="false" ht="15" hidden="false" customHeight="false" outlineLevel="0" collapsed="false">
      <c r="A921" s="0" t="n">
        <v>910</v>
      </c>
      <c r="B921" s="15" t="n">
        <v>-0.927875050529838</v>
      </c>
      <c r="C921" s="18" t="n">
        <f aca="false">'Black-Scholes'!$B$5*EXP(('Black-Scholes'!$B$8-'Black-Scholes'!$B$10-'Black-Scholes'!$B$9^2/2)*'Black-Scholes'!$B$7+'Black-Scholes'!$B$9*SQRT('Black-Scholes'!$B$7)*B921)</f>
        <v>85.5922871655634</v>
      </c>
      <c r="D921" s="18" t="n">
        <f aca="false">'Black-Scholes'!$B$5*EXP(('Black-Scholes'!$B$8-'Black-Scholes'!$B$10-'Black-Scholes'!$B$9^2/2)*'Black-Scholes'!$B$7-'Black-Scholes'!$B$9*SQRT('Black-Scholes'!$B$7)*B921)</f>
        <v>124.057503509799</v>
      </c>
      <c r="E921" s="18" t="n">
        <f aca="false">EXP(-'Black-Scholes'!$B$8*'Black-Scholes'!$B$7)*IF(LOWER('Black-Scholes'!$B$11)="put",MAX('Black-Scholes'!$B$6-C921,0),MAX(C921-'Black-Scholes'!$B$6,0))</f>
        <v>0</v>
      </c>
      <c r="F921" s="18" t="n">
        <f aca="false">(E921+G921)/2</f>
        <v>11.4421026092749</v>
      </c>
      <c r="G921" s="18" t="n">
        <f aca="false">EXP(-'Black-Scholes'!$B$8*'Black-Scholes'!$B$7)*IF(LOWER('Black-Scholes'!$B$11)="put",MAX('Black-Scholes'!$B$6-D921,0),MAX(D921-'Black-Scholes'!$B$6,0))</f>
        <v>22.8842052185499</v>
      </c>
    </row>
    <row r="922" customFormat="false" ht="15" hidden="false" customHeight="false" outlineLevel="0" collapsed="false">
      <c r="A922" s="0" t="n">
        <v>911</v>
      </c>
      <c r="B922" s="15" t="n">
        <v>0.975084992004677</v>
      </c>
      <c r="C922" s="18" t="n">
        <f aca="false">'Black-Scholes'!$B$5*EXP(('Black-Scholes'!$B$8-'Black-Scholes'!$B$10-'Black-Scholes'!$B$9^2/2)*'Black-Scholes'!$B$7+'Black-Scholes'!$B$9*SQRT('Black-Scholes'!$B$7)*B922)</f>
        <v>125.234400385642</v>
      </c>
      <c r="D922" s="18" t="n">
        <f aca="false">'Black-Scholes'!$B$5*EXP(('Black-Scholes'!$B$8-'Black-Scholes'!$B$10-'Black-Scholes'!$B$9^2/2)*'Black-Scholes'!$B$7-'Black-Scholes'!$B$9*SQRT('Black-Scholes'!$B$7)*B922)</f>
        <v>84.787929137328</v>
      </c>
      <c r="E922" s="18" t="n">
        <f aca="false">EXP(-'Black-Scholes'!$B$8*'Black-Scholes'!$B$7)*IF(LOWER('Black-Scholes'!$B$11)="put",MAX('Black-Scholes'!$B$6-C922,0),MAX(C922-'Black-Scholes'!$B$6,0))</f>
        <v>24.0037041564551</v>
      </c>
      <c r="F922" s="18" t="n">
        <f aca="false">(E922+G922)/2</f>
        <v>12.0018520782275</v>
      </c>
      <c r="G922" s="18" t="n">
        <f aca="false">EXP(-'Black-Scholes'!$B$8*'Black-Scholes'!$B$7)*IF(LOWER('Black-Scholes'!$B$11)="put",MAX('Black-Scholes'!$B$6-D922,0),MAX(D922-'Black-Scholes'!$B$6,0))</f>
        <v>0</v>
      </c>
    </row>
    <row r="923" customFormat="false" ht="15" hidden="false" customHeight="false" outlineLevel="0" collapsed="false">
      <c r="A923" s="0" t="n">
        <v>912</v>
      </c>
      <c r="B923" s="15" t="n">
        <v>1.13602834611203</v>
      </c>
      <c r="C923" s="18" t="n">
        <f aca="false">'Black-Scholes'!$B$5*EXP(('Black-Scholes'!$B$8-'Black-Scholes'!$B$10-'Black-Scholes'!$B$9^2/2)*'Black-Scholes'!$B$7+'Black-Scholes'!$B$9*SQRT('Black-Scholes'!$B$7)*B923)</f>
        <v>129.331109369478</v>
      </c>
      <c r="D923" s="18" t="n">
        <f aca="false">'Black-Scholes'!$B$5*EXP(('Black-Scholes'!$B$8-'Black-Scholes'!$B$10-'Black-Scholes'!$B$9^2/2)*'Black-Scholes'!$B$7-'Black-Scholes'!$B$9*SQRT('Black-Scholes'!$B$7)*B923)</f>
        <v>82.1021757040579</v>
      </c>
      <c r="E923" s="18" t="n">
        <f aca="false">EXP(-'Black-Scholes'!$B$8*'Black-Scholes'!$B$7)*IF(LOWER('Black-Scholes'!$B$11)="put",MAX('Black-Scholes'!$B$6-C923,0),MAX(C923-'Black-Scholes'!$B$6,0))</f>
        <v>27.9006142854959</v>
      </c>
      <c r="F923" s="18" t="n">
        <f aca="false">(E923+G923)/2</f>
        <v>13.950307142748</v>
      </c>
      <c r="G923" s="18" t="n">
        <f aca="false">EXP(-'Black-Scholes'!$B$8*'Black-Scholes'!$B$7)*IF(LOWER('Black-Scholes'!$B$11)="put",MAX('Black-Scholes'!$B$6-D923,0),MAX(D923-'Black-Scholes'!$B$6,0))</f>
        <v>0</v>
      </c>
    </row>
    <row r="924" customFormat="false" ht="15" hidden="false" customHeight="false" outlineLevel="0" collapsed="false">
      <c r="A924" s="0" t="n">
        <v>913</v>
      </c>
      <c r="B924" s="15" t="n">
        <v>-0.586309680004116</v>
      </c>
      <c r="C924" s="18" t="n">
        <f aca="false">'Black-Scholes'!$B$5*EXP(('Black-Scholes'!$B$8-'Black-Scholes'!$B$10-'Black-Scholes'!$B$9^2/2)*'Black-Scholes'!$B$7+'Black-Scholes'!$B$9*SQRT('Black-Scholes'!$B$7)*B924)</f>
        <v>91.6437016344753</v>
      </c>
      <c r="D924" s="18" t="n">
        <f aca="false">'Black-Scholes'!$B$5*EXP(('Black-Scholes'!$B$8-'Black-Scholes'!$B$10-'Black-Scholes'!$B$9^2/2)*'Black-Scholes'!$B$7-'Black-Scholes'!$B$9*SQRT('Black-Scholes'!$B$7)*B924)</f>
        <v>115.865741737554</v>
      </c>
      <c r="E924" s="18" t="n">
        <f aca="false">EXP(-'Black-Scholes'!$B$8*'Black-Scholes'!$B$7)*IF(LOWER('Black-Scholes'!$B$11)="put",MAX('Black-Scholes'!$B$6-C924,0),MAX(C924-'Black-Scholes'!$B$6,0))</f>
        <v>0</v>
      </c>
      <c r="F924" s="18" t="n">
        <f aca="false">(E924+G924)/2</f>
        <v>7.54598019114536</v>
      </c>
      <c r="G924" s="18" t="n">
        <f aca="false">EXP(-'Black-Scholes'!$B$8*'Black-Scholes'!$B$7)*IF(LOWER('Black-Scholes'!$B$11)="put",MAX('Black-Scholes'!$B$6-D924,0),MAX(D924-'Black-Scholes'!$B$6,0))</f>
        <v>15.0919603822907</v>
      </c>
    </row>
    <row r="925" customFormat="false" ht="15" hidden="false" customHeight="false" outlineLevel="0" collapsed="false">
      <c r="A925" s="0" t="n">
        <v>914</v>
      </c>
      <c r="B925" s="15" t="n">
        <v>-1.51790509252351</v>
      </c>
      <c r="C925" s="18" t="n">
        <f aca="false">'Black-Scholes'!$B$5*EXP(('Black-Scholes'!$B$8-'Black-Scholes'!$B$10-'Black-Scholes'!$B$9^2/2)*'Black-Scholes'!$B$7+'Black-Scholes'!$B$9*SQRT('Black-Scholes'!$B$7)*B925)</f>
        <v>76.0650707076453</v>
      </c>
      <c r="D925" s="18" t="n">
        <f aca="false">'Black-Scholes'!$B$5*EXP(('Black-Scholes'!$B$8-'Black-Scholes'!$B$10-'Black-Scholes'!$B$9^2/2)*'Black-Scholes'!$B$7-'Black-Scholes'!$B$9*SQRT('Black-Scholes'!$B$7)*B925)</f>
        <v>139.595814040127</v>
      </c>
      <c r="E925" s="18" t="n">
        <f aca="false">EXP(-'Black-Scholes'!$B$8*'Black-Scholes'!$B$7)*IF(LOWER('Black-Scholes'!$B$11)="put",MAX('Black-Scholes'!$B$6-C925,0),MAX(C925-'Black-Scholes'!$B$6,0))</f>
        <v>0</v>
      </c>
      <c r="F925" s="18" t="n">
        <f aca="false">(E925+G925)/2</f>
        <v>18.8323517010138</v>
      </c>
      <c r="G925" s="18" t="n">
        <f aca="false">EXP(-'Black-Scholes'!$B$8*'Black-Scholes'!$B$7)*IF(LOWER('Black-Scholes'!$B$11)="put",MAX('Black-Scholes'!$B$6-D925,0),MAX(D925-'Black-Scholes'!$B$6,0))</f>
        <v>37.6647034020276</v>
      </c>
    </row>
    <row r="926" customFormat="false" ht="15" hidden="false" customHeight="false" outlineLevel="0" collapsed="false">
      <c r="A926" s="0" t="n">
        <v>915</v>
      </c>
      <c r="B926" s="15" t="n">
        <v>-0.811697959074832</v>
      </c>
      <c r="C926" s="18" t="n">
        <f aca="false">'Black-Scholes'!$B$5*EXP(('Black-Scholes'!$B$8-'Black-Scholes'!$B$10-'Black-Scholes'!$B$9^2/2)*'Black-Scholes'!$B$7+'Black-Scholes'!$B$9*SQRT('Black-Scholes'!$B$7)*B926)</f>
        <v>87.6043447375567</v>
      </c>
      <c r="D926" s="18" t="n">
        <f aca="false">'Black-Scholes'!$B$5*EXP(('Black-Scholes'!$B$8-'Black-Scholes'!$B$10-'Black-Scholes'!$B$9^2/2)*'Black-Scholes'!$B$7-'Black-Scholes'!$B$9*SQRT('Black-Scholes'!$B$7)*B926)</f>
        <v>121.208206022931</v>
      </c>
      <c r="E926" s="18" t="n">
        <f aca="false">EXP(-'Black-Scholes'!$B$8*'Black-Scholes'!$B$7)*IF(LOWER('Black-Scholes'!$B$11)="put",MAX('Black-Scholes'!$B$6-C926,0),MAX(C926-'Black-Scholes'!$B$6,0))</f>
        <v>0</v>
      </c>
      <c r="F926" s="18" t="n">
        <f aca="false">(E926+G926)/2</f>
        <v>10.0869348049424</v>
      </c>
      <c r="G926" s="18" t="n">
        <f aca="false">EXP(-'Black-Scholes'!$B$8*'Black-Scholes'!$B$7)*IF(LOWER('Black-Scholes'!$B$11)="put",MAX('Black-Scholes'!$B$6-D926,0),MAX(D926-'Black-Scholes'!$B$6,0))</f>
        <v>20.1738696098848</v>
      </c>
    </row>
    <row r="927" customFormat="false" ht="15" hidden="false" customHeight="false" outlineLevel="0" collapsed="false">
      <c r="A927" s="0" t="n">
        <v>916</v>
      </c>
      <c r="B927" s="15" t="n">
        <v>-0.572959322262397</v>
      </c>
      <c r="C927" s="18" t="n">
        <f aca="false">'Black-Scholes'!$B$5*EXP(('Black-Scholes'!$B$8-'Black-Scholes'!$B$10-'Black-Scholes'!$B$9^2/2)*'Black-Scholes'!$B$7+'Black-Scholes'!$B$9*SQRT('Black-Scholes'!$B$7)*B927)</f>
        <v>91.8887238426384</v>
      </c>
      <c r="D927" s="18" t="n">
        <f aca="false">'Black-Scholes'!$B$5*EXP(('Black-Scholes'!$B$8-'Black-Scholes'!$B$10-'Black-Scholes'!$B$9^2/2)*'Black-Scholes'!$B$7-'Black-Scholes'!$B$9*SQRT('Black-Scholes'!$B$7)*B927)</f>
        <v>115.556784569539</v>
      </c>
      <c r="E927" s="18" t="n">
        <f aca="false">EXP(-'Black-Scholes'!$B$8*'Black-Scholes'!$B$7)*IF(LOWER('Black-Scholes'!$B$11)="put",MAX('Black-Scholes'!$B$6-C927,0),MAX(C927-'Black-Scholes'!$B$6,0))</f>
        <v>0</v>
      </c>
      <c r="F927" s="18" t="n">
        <f aca="false">(E927+G927)/2</f>
        <v>7.39903561658191</v>
      </c>
      <c r="G927" s="18" t="n">
        <f aca="false">EXP(-'Black-Scholes'!$B$8*'Black-Scholes'!$B$7)*IF(LOWER('Black-Scholes'!$B$11)="put",MAX('Black-Scholes'!$B$6-D927,0),MAX(D927-'Black-Scholes'!$B$6,0))</f>
        <v>14.7980712331638</v>
      </c>
    </row>
    <row r="928" customFormat="false" ht="15" hidden="false" customHeight="false" outlineLevel="0" collapsed="false">
      <c r="A928" s="0" t="n">
        <v>917</v>
      </c>
      <c r="B928" s="15" t="n">
        <v>0.0857264375449342</v>
      </c>
      <c r="C928" s="18" t="n">
        <f aca="false">'Black-Scholes'!$B$5*EXP(('Black-Scholes'!$B$8-'Black-Scholes'!$B$10-'Black-Scholes'!$B$9^2/2)*'Black-Scholes'!$B$7+'Black-Scholes'!$B$9*SQRT('Black-Scholes'!$B$7)*B928)</f>
        <v>104.827429917813</v>
      </c>
      <c r="D928" s="18" t="n">
        <f aca="false">'Black-Scholes'!$B$5*EXP(('Black-Scholes'!$B$8-'Black-Scholes'!$B$10-'Black-Scholes'!$B$9^2/2)*'Black-Scholes'!$B$7-'Black-Scholes'!$B$9*SQRT('Black-Scholes'!$B$7)*B928)</f>
        <v>101.293768947485</v>
      </c>
      <c r="E928" s="18" t="n">
        <f aca="false">EXP(-'Black-Scholes'!$B$8*'Black-Scholes'!$B$7)*IF(LOWER('Black-Scholes'!$B$11)="put",MAX('Black-Scholes'!$B$6-C928,0),MAX(C928-'Black-Scholes'!$B$6,0))</f>
        <v>4.59199338253839</v>
      </c>
      <c r="F928" s="18" t="n">
        <f aca="false">(E928+G928)/2</f>
        <v>2.91133223694578</v>
      </c>
      <c r="G928" s="18" t="n">
        <f aca="false">EXP(-'Black-Scholes'!$B$8*'Black-Scholes'!$B$7)*IF(LOWER('Black-Scholes'!$B$11)="put",MAX('Black-Scholes'!$B$6-D928,0),MAX(D928-'Black-Scholes'!$B$6,0))</f>
        <v>1.23067109135316</v>
      </c>
    </row>
    <row r="929" customFormat="false" ht="15" hidden="false" customHeight="false" outlineLevel="0" collapsed="false">
      <c r="A929" s="0" t="n">
        <v>918</v>
      </c>
      <c r="B929" s="15" t="n">
        <v>0.539261119608024</v>
      </c>
      <c r="C929" s="18" t="n">
        <f aca="false">'Black-Scholes'!$B$5*EXP(('Black-Scholes'!$B$8-'Black-Scholes'!$B$10-'Black-Scholes'!$B$9^2/2)*'Black-Scholes'!$B$7+'Black-Scholes'!$B$9*SQRT('Black-Scholes'!$B$7)*B929)</f>
        <v>114.780591948326</v>
      </c>
      <c r="D929" s="18" t="n">
        <f aca="false">'Black-Scholes'!$B$5*EXP(('Black-Scholes'!$B$8-'Black-Scholes'!$B$10-'Black-Scholes'!$B$9^2/2)*'Black-Scholes'!$B$7-'Black-Scholes'!$B$9*SQRT('Black-Scholes'!$B$7)*B929)</f>
        <v>92.5101124259226</v>
      </c>
      <c r="E929" s="18" t="n">
        <f aca="false">EXP(-'Black-Scholes'!$B$8*'Black-Scholes'!$B$7)*IF(LOWER('Black-Scholes'!$B$11)="put",MAX('Black-Scholes'!$B$6-C929,0),MAX(C929-'Black-Scholes'!$B$6,0))</f>
        <v>14.0597339727861</v>
      </c>
      <c r="F929" s="18" t="n">
        <f aca="false">(E929+G929)/2</f>
        <v>7.02986698639305</v>
      </c>
      <c r="G929" s="18" t="n">
        <f aca="false">EXP(-'Black-Scholes'!$B$8*'Black-Scholes'!$B$7)*IF(LOWER('Black-Scholes'!$B$11)="put",MAX('Black-Scholes'!$B$6-D929,0),MAX(D929-'Black-Scholes'!$B$6,0))</f>
        <v>0</v>
      </c>
    </row>
    <row r="930" customFormat="false" ht="15" hidden="false" customHeight="false" outlineLevel="0" collapsed="false">
      <c r="A930" s="0" t="n">
        <v>919</v>
      </c>
      <c r="B930" s="15" t="n">
        <v>0.240562842871416</v>
      </c>
      <c r="C930" s="18" t="n">
        <f aca="false">'Black-Scholes'!$B$5*EXP(('Black-Scholes'!$B$8-'Black-Scholes'!$B$10-'Black-Scholes'!$B$9^2/2)*'Black-Scholes'!$B$7+'Black-Scholes'!$B$9*SQRT('Black-Scholes'!$B$7)*B930)</f>
        <v>108.124436595647</v>
      </c>
      <c r="D930" s="18" t="n">
        <f aca="false">'Black-Scholes'!$B$5*EXP(('Black-Scholes'!$B$8-'Black-Scholes'!$B$10-'Black-Scholes'!$B$9^2/2)*'Black-Scholes'!$B$7-'Black-Scholes'!$B$9*SQRT('Black-Scholes'!$B$7)*B930)</f>
        <v>98.2050478113755</v>
      </c>
      <c r="E930" s="18" t="n">
        <f aca="false">EXP(-'Black-Scholes'!$B$8*'Black-Scholes'!$B$7)*IF(LOWER('Black-Scholes'!$B$11)="put",MAX('Black-Scholes'!$B$6-C930,0),MAX(C930-'Black-Scholes'!$B$6,0))</f>
        <v>7.72820314727023</v>
      </c>
      <c r="F930" s="18" t="n">
        <f aca="false">(E930+G930)/2</f>
        <v>3.86410157363511</v>
      </c>
      <c r="G930" s="18" t="n">
        <f aca="false">EXP(-'Black-Scholes'!$B$8*'Black-Scholes'!$B$7)*IF(LOWER('Black-Scholes'!$B$11)="put",MAX('Black-Scholes'!$B$6-D930,0),MAX(D930-'Black-Scholes'!$B$6,0))</f>
        <v>0</v>
      </c>
    </row>
    <row r="931" customFormat="false" ht="15" hidden="false" customHeight="false" outlineLevel="0" collapsed="false">
      <c r="A931" s="0" t="n">
        <v>920</v>
      </c>
      <c r="B931" s="15" t="n">
        <v>0.593972054865372</v>
      </c>
      <c r="C931" s="18" t="n">
        <f aca="false">'Black-Scholes'!$B$5*EXP(('Black-Scholes'!$B$8-'Black-Scholes'!$B$10-'Black-Scholes'!$B$9^2/2)*'Black-Scholes'!$B$7+'Black-Scholes'!$B$9*SQRT('Black-Scholes'!$B$7)*B931)</f>
        <v>116.043439210597</v>
      </c>
      <c r="D931" s="18" t="n">
        <f aca="false">'Black-Scholes'!$B$5*EXP(('Black-Scholes'!$B$8-'Black-Scholes'!$B$10-'Black-Scholes'!$B$9^2/2)*'Black-Scholes'!$B$7-'Black-Scholes'!$B$9*SQRT('Black-Scholes'!$B$7)*B931)</f>
        <v>91.5033675120855</v>
      </c>
      <c r="E931" s="18" t="n">
        <f aca="false">EXP(-'Black-Scholes'!$B$8*'Black-Scholes'!$B$7)*IF(LOWER('Black-Scholes'!$B$11)="put",MAX('Black-Scholes'!$B$6-C931,0),MAX(C931-'Black-Scholes'!$B$6,0))</f>
        <v>15.2609914473083</v>
      </c>
      <c r="F931" s="18" t="n">
        <f aca="false">(E931+G931)/2</f>
        <v>7.63049572365413</v>
      </c>
      <c r="G931" s="18" t="n">
        <f aca="false">EXP(-'Black-Scholes'!$B$8*'Black-Scholes'!$B$7)*IF(LOWER('Black-Scholes'!$B$11)="put",MAX('Black-Scholes'!$B$6-D931,0),MAX(D931-'Black-Scholes'!$B$6,0))</f>
        <v>0</v>
      </c>
    </row>
    <row r="932" customFormat="false" ht="15" hidden="false" customHeight="false" outlineLevel="0" collapsed="false">
      <c r="A932" s="0" t="n">
        <v>921</v>
      </c>
      <c r="B932" s="15" t="n">
        <v>0.552706219460746</v>
      </c>
      <c r="C932" s="18" t="n">
        <f aca="false">'Black-Scholes'!$B$5*EXP(('Black-Scholes'!$B$8-'Black-Scholes'!$B$10-'Black-Scholes'!$B$9^2/2)*'Black-Scholes'!$B$7+'Black-Scholes'!$B$9*SQRT('Black-Scholes'!$B$7)*B932)</f>
        <v>115.089654603901</v>
      </c>
      <c r="D932" s="18" t="n">
        <f aca="false">'Black-Scholes'!$B$5*EXP(('Black-Scholes'!$B$8-'Black-Scholes'!$B$10-'Black-Scholes'!$B$9^2/2)*'Black-Scholes'!$B$7-'Black-Scholes'!$B$9*SQRT('Black-Scholes'!$B$7)*B932)</f>
        <v>92.2616850489157</v>
      </c>
      <c r="E932" s="18" t="n">
        <f aca="false">EXP(-'Black-Scholes'!$B$8*'Black-Scholes'!$B$7)*IF(LOWER('Black-Scholes'!$B$11)="put",MAX('Black-Scholes'!$B$6-C932,0),MAX(C932-'Black-Scholes'!$B$6,0))</f>
        <v>14.3537234647833</v>
      </c>
      <c r="F932" s="18" t="n">
        <f aca="false">(E932+G932)/2</f>
        <v>7.17686173239163</v>
      </c>
      <c r="G932" s="18" t="n">
        <f aca="false">EXP(-'Black-Scholes'!$B$8*'Black-Scholes'!$B$7)*IF(LOWER('Black-Scholes'!$B$11)="put",MAX('Black-Scholes'!$B$6-D932,0),MAX(D932-'Black-Scholes'!$B$6,0))</f>
        <v>0</v>
      </c>
    </row>
    <row r="933" customFormat="false" ht="15" hidden="false" customHeight="false" outlineLevel="0" collapsed="false">
      <c r="A933" s="0" t="n">
        <v>922</v>
      </c>
      <c r="B933" s="15" t="n">
        <v>1.54042472113951</v>
      </c>
      <c r="C933" s="18" t="n">
        <f aca="false">'Black-Scholes'!$B$5*EXP(('Black-Scholes'!$B$8-'Black-Scholes'!$B$10-'Black-Scholes'!$B$9^2/2)*'Black-Scholes'!$B$7+'Black-Scholes'!$B$9*SQRT('Black-Scholes'!$B$7)*B933)</f>
        <v>140.225961220652</v>
      </c>
      <c r="D933" s="18" t="n">
        <f aca="false">'Black-Scholes'!$B$5*EXP(('Black-Scholes'!$B$8-'Black-Scholes'!$B$10-'Black-Scholes'!$B$9^2/2)*'Black-Scholes'!$B$7-'Black-Scholes'!$B$9*SQRT('Black-Scholes'!$B$7)*B933)</f>
        <v>75.7232496252607</v>
      </c>
      <c r="E933" s="18" t="n">
        <f aca="false">EXP(-'Black-Scholes'!$B$8*'Black-Scholes'!$B$7)*IF(LOWER('Black-Scholes'!$B$11)="put",MAX('Black-Scholes'!$B$6-C933,0),MAX(C933-'Black-Scholes'!$B$6,0))</f>
        <v>38.2641179419093</v>
      </c>
      <c r="F933" s="18" t="n">
        <f aca="false">(E933+G933)/2</f>
        <v>19.1320589709546</v>
      </c>
      <c r="G933" s="18" t="n">
        <f aca="false">EXP(-'Black-Scholes'!$B$8*'Black-Scholes'!$B$7)*IF(LOWER('Black-Scholes'!$B$11)="put",MAX('Black-Scholes'!$B$6-D933,0),MAX(D933-'Black-Scholes'!$B$6,0))</f>
        <v>0</v>
      </c>
    </row>
    <row r="934" customFormat="false" ht="15" hidden="false" customHeight="false" outlineLevel="0" collapsed="false">
      <c r="A934" s="0" t="n">
        <v>923</v>
      </c>
      <c r="B934" s="15" t="n">
        <v>-0.183284637518803</v>
      </c>
      <c r="C934" s="18" t="n">
        <f aca="false">'Black-Scholes'!$B$5*EXP(('Black-Scholes'!$B$8-'Black-Scholes'!$B$10-'Black-Scholes'!$B$9^2/2)*'Black-Scholes'!$B$7+'Black-Scholes'!$B$9*SQRT('Black-Scholes'!$B$7)*B934)</f>
        <v>99.3365180753244</v>
      </c>
      <c r="D934" s="18" t="n">
        <f aca="false">'Black-Scholes'!$B$5*EXP(('Black-Scholes'!$B$8-'Black-Scholes'!$B$10-'Black-Scholes'!$B$9^2/2)*'Black-Scholes'!$B$7-'Black-Scholes'!$B$9*SQRT('Black-Scholes'!$B$7)*B934)</f>
        <v>106.892869522585</v>
      </c>
      <c r="E934" s="18" t="n">
        <f aca="false">EXP(-'Black-Scholes'!$B$8*'Black-Scholes'!$B$7)*IF(LOWER('Black-Scholes'!$B$11)="put",MAX('Black-Scholes'!$B$6-C934,0),MAX(C934-'Black-Scholes'!$B$6,0))</f>
        <v>0</v>
      </c>
      <c r="F934" s="18" t="n">
        <f aca="false">(E934+G934)/2</f>
        <v>3.2783501545637</v>
      </c>
      <c r="G934" s="18" t="n">
        <f aca="false">EXP(-'Black-Scholes'!$B$8*'Black-Scholes'!$B$7)*IF(LOWER('Black-Scholes'!$B$11)="put",MAX('Black-Scholes'!$B$6-D934,0),MAX(D934-'Black-Scholes'!$B$6,0))</f>
        <v>6.55670030912739</v>
      </c>
    </row>
    <row r="935" customFormat="false" ht="15" hidden="false" customHeight="false" outlineLevel="0" collapsed="false">
      <c r="A935" s="0" t="n">
        <v>924</v>
      </c>
      <c r="B935" s="15" t="n">
        <v>-0.317205856465623</v>
      </c>
      <c r="C935" s="18" t="n">
        <f aca="false">'Black-Scholes'!$B$5*EXP(('Black-Scholes'!$B$8-'Black-Scholes'!$B$10-'Black-Scholes'!$B$9^2/2)*'Black-Scholes'!$B$7+'Black-Scholes'!$B$9*SQRT('Black-Scholes'!$B$7)*B935)</f>
        <v>96.7111803494741</v>
      </c>
      <c r="D935" s="18" t="n">
        <f aca="false">'Black-Scholes'!$B$5*EXP(('Black-Scholes'!$B$8-'Black-Scholes'!$B$10-'Black-Scholes'!$B$9^2/2)*'Black-Scholes'!$B$7-'Black-Scholes'!$B$9*SQRT('Black-Scholes'!$B$7)*B935)</f>
        <v>109.794601069734</v>
      </c>
      <c r="E935" s="18" t="n">
        <f aca="false">EXP(-'Black-Scholes'!$B$8*'Black-Scholes'!$B$7)*IF(LOWER('Black-Scholes'!$B$11)="put",MAX('Black-Scholes'!$B$6-C935,0),MAX(C935-'Black-Scholes'!$B$6,0))</f>
        <v>0</v>
      </c>
      <c r="F935" s="18" t="n">
        <f aca="false">(E935+G935)/2</f>
        <v>4.65845636938852</v>
      </c>
      <c r="G935" s="18" t="n">
        <f aca="false">EXP(-'Black-Scholes'!$B$8*'Black-Scholes'!$B$7)*IF(LOWER('Black-Scholes'!$B$11)="put",MAX('Black-Scholes'!$B$6-D935,0),MAX(D935-'Black-Scholes'!$B$6,0))</f>
        <v>9.31691273877704</v>
      </c>
    </row>
    <row r="936" customFormat="false" ht="15" hidden="false" customHeight="false" outlineLevel="0" collapsed="false">
      <c r="A936" s="0" t="n">
        <v>925</v>
      </c>
      <c r="B936" s="15" t="n">
        <v>-0.267511257872125</v>
      </c>
      <c r="C936" s="18" t="n">
        <f aca="false">'Black-Scholes'!$B$5*EXP(('Black-Scholes'!$B$8-'Black-Scholes'!$B$10-'Black-Scholes'!$B$9^2/2)*'Black-Scholes'!$B$7+'Black-Scholes'!$B$9*SQRT('Black-Scholes'!$B$7)*B936)</f>
        <v>97.6771775392019</v>
      </c>
      <c r="D936" s="18" t="n">
        <f aca="false">'Black-Scholes'!$B$5*EXP(('Black-Scholes'!$B$8-'Black-Scholes'!$B$10-'Black-Scholes'!$B$9^2/2)*'Black-Scholes'!$B$7-'Black-Scholes'!$B$9*SQRT('Black-Scholes'!$B$7)*B936)</f>
        <v>108.70876629489</v>
      </c>
      <c r="E936" s="18" t="n">
        <f aca="false">EXP(-'Black-Scholes'!$B$8*'Black-Scholes'!$B$7)*IF(LOWER('Black-Scholes'!$B$11)="put",MAX('Black-Scholes'!$B$6-C936,0),MAX(C936-'Black-Scholes'!$B$6,0))</f>
        <v>0</v>
      </c>
      <c r="F936" s="18" t="n">
        <f aca="false">(E936+G936)/2</f>
        <v>4.14201737539979</v>
      </c>
      <c r="G936" s="18" t="n">
        <f aca="false">EXP(-'Black-Scholes'!$B$8*'Black-Scholes'!$B$7)*IF(LOWER('Black-Scholes'!$B$11)="put",MAX('Black-Scholes'!$B$6-D936,0),MAX(D936-'Black-Scholes'!$B$6,0))</f>
        <v>8.28403475079958</v>
      </c>
    </row>
    <row r="937" customFormat="false" ht="15" hidden="false" customHeight="false" outlineLevel="0" collapsed="false">
      <c r="A937" s="0" t="n">
        <v>926</v>
      </c>
      <c r="B937" s="15" t="n">
        <v>-0.254768387177885</v>
      </c>
      <c r="C937" s="18" t="n">
        <f aca="false">'Black-Scholes'!$B$5*EXP(('Black-Scholes'!$B$8-'Black-Scholes'!$B$10-'Black-Scholes'!$B$9^2/2)*'Black-Scholes'!$B$7+'Black-Scholes'!$B$9*SQRT('Black-Scholes'!$B$7)*B937)</f>
        <v>97.9264325553641</v>
      </c>
      <c r="D937" s="18" t="n">
        <f aca="false">'Black-Scholes'!$B$5*EXP(('Black-Scholes'!$B$8-'Black-Scholes'!$B$10-'Black-Scholes'!$B$9^2/2)*'Black-Scholes'!$B$7-'Black-Scholes'!$B$9*SQRT('Black-Scholes'!$B$7)*B937)</f>
        <v>108.432066688944</v>
      </c>
      <c r="E937" s="18" t="n">
        <f aca="false">EXP(-'Black-Scholes'!$B$8*'Black-Scholes'!$B$7)*IF(LOWER('Black-Scholes'!$B$11)="put",MAX('Black-Scholes'!$B$6-C937,0),MAX(C937-'Black-Scholes'!$B$6,0))</f>
        <v>0</v>
      </c>
      <c r="F937" s="18" t="n">
        <f aca="false">(E937+G937)/2</f>
        <v>4.01041497193784</v>
      </c>
      <c r="G937" s="18" t="n">
        <f aca="false">EXP(-'Black-Scholes'!$B$8*'Black-Scholes'!$B$7)*IF(LOWER('Black-Scholes'!$B$11)="put",MAX('Black-Scholes'!$B$6-D937,0),MAX(D937-'Black-Scholes'!$B$6,0))</f>
        <v>8.02082994387568</v>
      </c>
    </row>
    <row r="938" customFormat="false" ht="15" hidden="false" customHeight="false" outlineLevel="0" collapsed="false">
      <c r="A938" s="0" t="n">
        <v>927</v>
      </c>
      <c r="B938" s="15" t="n">
        <v>-0.427779767995516</v>
      </c>
      <c r="C938" s="18" t="n">
        <f aca="false">'Black-Scholes'!$B$5*EXP(('Black-Scholes'!$B$8-'Black-Scholes'!$B$10-'Black-Scholes'!$B$9^2/2)*'Black-Scholes'!$B$7+'Black-Scholes'!$B$9*SQRT('Black-Scholes'!$B$7)*B938)</f>
        <v>94.5959092373777</v>
      </c>
      <c r="D938" s="18" t="n">
        <f aca="false">'Black-Scholes'!$B$5*EXP(('Black-Scholes'!$B$8-'Black-Scholes'!$B$10-'Black-Scholes'!$B$9^2/2)*'Black-Scholes'!$B$7-'Black-Scholes'!$B$9*SQRT('Black-Scholes'!$B$7)*B938)</f>
        <v>112.249732055622</v>
      </c>
      <c r="E938" s="18" t="n">
        <f aca="false">EXP(-'Black-Scholes'!$B$8*'Black-Scholes'!$B$7)*IF(LOWER('Black-Scholes'!$B$11)="put",MAX('Black-Scholes'!$B$6-C938,0),MAX(C938-'Black-Scholes'!$B$6,0))</f>
        <v>0</v>
      </c>
      <c r="F938" s="18" t="n">
        <f aca="false">(E938+G938)/2</f>
        <v>5.82615278677867</v>
      </c>
      <c r="G938" s="18" t="n">
        <f aca="false">EXP(-'Black-Scholes'!$B$8*'Black-Scholes'!$B$7)*IF(LOWER('Black-Scholes'!$B$11)="put",MAX('Black-Scholes'!$B$6-D938,0),MAX(D938-'Black-Scholes'!$B$6,0))</f>
        <v>11.6523055735573</v>
      </c>
    </row>
    <row r="939" customFormat="false" ht="15" hidden="false" customHeight="false" outlineLevel="0" collapsed="false">
      <c r="A939" s="0" t="n">
        <v>928</v>
      </c>
      <c r="B939" s="15" t="n">
        <v>-0.260633881747775</v>
      </c>
      <c r="C939" s="18" t="n">
        <f aca="false">'Black-Scholes'!$B$5*EXP(('Black-Scholes'!$B$8-'Black-Scholes'!$B$10-'Black-Scholes'!$B$9^2/2)*'Black-Scholes'!$B$7+'Black-Scholes'!$B$9*SQRT('Black-Scholes'!$B$7)*B939)</f>
        <v>97.8116225186148</v>
      </c>
      <c r="D939" s="18" t="n">
        <f aca="false">'Black-Scholes'!$B$5*EXP(('Black-Scholes'!$B$8-'Black-Scholes'!$B$10-'Black-Scholes'!$B$9^2/2)*'Black-Scholes'!$B$7-'Black-Scholes'!$B$9*SQRT('Black-Scholes'!$B$7)*B939)</f>
        <v>108.559342867795</v>
      </c>
      <c r="E939" s="18" t="n">
        <f aca="false">EXP(-'Black-Scholes'!$B$8*'Black-Scholes'!$B$7)*IF(LOWER('Black-Scholes'!$B$11)="put",MAX('Black-Scholes'!$B$6-C939,0),MAX(C939-'Black-Scholes'!$B$6,0))</f>
        <v>0</v>
      </c>
      <c r="F939" s="18" t="n">
        <f aca="false">(E939+G939)/2</f>
        <v>4.07094939511827</v>
      </c>
      <c r="G939" s="18" t="n">
        <f aca="false">EXP(-'Black-Scholes'!$B$8*'Black-Scholes'!$B$7)*IF(LOWER('Black-Scholes'!$B$11)="put",MAX('Black-Scholes'!$B$6-D939,0),MAX(D939-'Black-Scholes'!$B$6,0))</f>
        <v>8.14189879023653</v>
      </c>
    </row>
    <row r="940" customFormat="false" ht="15" hidden="false" customHeight="false" outlineLevel="0" collapsed="false">
      <c r="A940" s="0" t="n">
        <v>929</v>
      </c>
      <c r="B940" s="15" t="n">
        <v>-0.619191226346374</v>
      </c>
      <c r="C940" s="18" t="n">
        <f aca="false">'Black-Scholes'!$B$5*EXP(('Black-Scholes'!$B$8-'Black-Scholes'!$B$10-'Black-Scholes'!$B$9^2/2)*'Black-Scholes'!$B$7+'Black-Scholes'!$B$9*SQRT('Black-Scholes'!$B$7)*B940)</f>
        <v>91.0430016693088</v>
      </c>
      <c r="D940" s="18" t="n">
        <f aca="false">'Black-Scholes'!$B$5*EXP(('Black-Scholes'!$B$8-'Black-Scholes'!$B$10-'Black-Scholes'!$B$9^2/2)*'Black-Scholes'!$B$7-'Black-Scholes'!$B$9*SQRT('Black-Scholes'!$B$7)*B940)</f>
        <v>116.630221661871</v>
      </c>
      <c r="E940" s="18" t="n">
        <f aca="false">EXP(-'Black-Scholes'!$B$8*'Black-Scholes'!$B$7)*IF(LOWER('Black-Scholes'!$B$11)="put",MAX('Black-Scholes'!$B$6-C940,0),MAX(C940-'Black-Scholes'!$B$6,0))</f>
        <v>0</v>
      </c>
      <c r="F940" s="18" t="n">
        <f aca="false">(E940+G940)/2</f>
        <v>7.90957809037053</v>
      </c>
      <c r="G940" s="18" t="n">
        <f aca="false">EXP(-'Black-Scholes'!$B$8*'Black-Scholes'!$B$7)*IF(LOWER('Black-Scholes'!$B$11)="put",MAX('Black-Scholes'!$B$6-D940,0),MAX(D940-'Black-Scholes'!$B$6,0))</f>
        <v>15.8191561807411</v>
      </c>
    </row>
    <row r="941" customFormat="false" ht="15" hidden="false" customHeight="false" outlineLevel="0" collapsed="false">
      <c r="A941" s="0" t="n">
        <v>930</v>
      </c>
      <c r="B941" s="15" t="n">
        <v>1.05282897597499</v>
      </c>
      <c r="C941" s="18" t="n">
        <f aca="false">'Black-Scholes'!$B$5*EXP(('Black-Scholes'!$B$8-'Black-Scholes'!$B$10-'Black-Scholes'!$B$9^2/2)*'Black-Scholes'!$B$7+'Black-Scholes'!$B$9*SQRT('Black-Scholes'!$B$7)*B941)</f>
        <v>127.196862049949</v>
      </c>
      <c r="D941" s="18" t="n">
        <f aca="false">'Black-Scholes'!$B$5*EXP(('Black-Scholes'!$B$8-'Black-Scholes'!$B$10-'Black-Scholes'!$B$9^2/2)*'Black-Scholes'!$B$7-'Black-Scholes'!$B$9*SQRT('Black-Scholes'!$B$7)*B941)</f>
        <v>83.4797753209025</v>
      </c>
      <c r="E941" s="18" t="n">
        <f aca="false">EXP(-'Black-Scholes'!$B$8*'Black-Scholes'!$B$7)*IF(LOWER('Black-Scholes'!$B$11)="put",MAX('Black-Scholes'!$B$6-C941,0),MAX(C941-'Black-Scholes'!$B$6,0))</f>
        <v>25.8704554359986</v>
      </c>
      <c r="F941" s="18" t="n">
        <f aca="false">(E941+G941)/2</f>
        <v>12.9352277179993</v>
      </c>
      <c r="G941" s="18" t="n">
        <f aca="false">EXP(-'Black-Scholes'!$B$8*'Black-Scholes'!$B$7)*IF(LOWER('Black-Scholes'!$B$11)="put",MAX('Black-Scholes'!$B$6-D941,0),MAX(D941-'Black-Scholes'!$B$6,0))</f>
        <v>0</v>
      </c>
    </row>
    <row r="942" customFormat="false" ht="15" hidden="false" customHeight="false" outlineLevel="0" collapsed="false">
      <c r="A942" s="0" t="n">
        <v>931</v>
      </c>
      <c r="B942" s="15" t="n">
        <v>1.33050604147104</v>
      </c>
      <c r="C942" s="18" t="n">
        <f aca="false">'Black-Scholes'!$B$5*EXP(('Black-Scholes'!$B$8-'Black-Scholes'!$B$10-'Black-Scholes'!$B$9^2/2)*'Black-Scholes'!$B$7+'Black-Scholes'!$B$9*SQRT('Black-Scholes'!$B$7)*B942)</f>
        <v>134.460623524925</v>
      </c>
      <c r="D942" s="18" t="n">
        <f aca="false">'Black-Scholes'!$B$5*EXP(('Black-Scholes'!$B$8-'Black-Scholes'!$B$10-'Black-Scholes'!$B$9^2/2)*'Black-Scholes'!$B$7-'Black-Scholes'!$B$9*SQRT('Black-Scholes'!$B$7)*B942)</f>
        <v>78.9700745622769</v>
      </c>
      <c r="E942" s="18" t="n">
        <f aca="false">EXP(-'Black-Scholes'!$B$8*'Black-Scholes'!$B$7)*IF(LOWER('Black-Scholes'!$B$11)="put",MAX('Black-Scholes'!$B$6-C942,0),MAX(C942-'Black-Scholes'!$B$6,0))</f>
        <v>32.7799590835506</v>
      </c>
      <c r="F942" s="18" t="n">
        <f aca="false">(E942+G942)/2</f>
        <v>16.3899795417753</v>
      </c>
      <c r="G942" s="18" t="n">
        <f aca="false">EXP(-'Black-Scholes'!$B$8*'Black-Scholes'!$B$7)*IF(LOWER('Black-Scholes'!$B$11)="put",MAX('Black-Scholes'!$B$6-D942,0),MAX(D942-'Black-Scholes'!$B$6,0))</f>
        <v>0</v>
      </c>
    </row>
    <row r="943" customFormat="false" ht="15" hidden="false" customHeight="false" outlineLevel="0" collapsed="false">
      <c r="A943" s="0" t="n">
        <v>932</v>
      </c>
      <c r="B943" s="15" t="n">
        <v>-1.41020494197303</v>
      </c>
      <c r="C943" s="18" t="n">
        <f aca="false">'Black-Scholes'!$B$5*EXP(('Black-Scholes'!$B$8-'Black-Scholes'!$B$10-'Black-Scholes'!$B$9^2/2)*'Black-Scholes'!$B$7+'Black-Scholes'!$B$9*SQRT('Black-Scholes'!$B$7)*B943)</f>
        <v>77.7212880707813</v>
      </c>
      <c r="D943" s="18" t="n">
        <f aca="false">'Black-Scholes'!$B$5*EXP(('Black-Scholes'!$B$8-'Black-Scholes'!$B$10-'Black-Scholes'!$B$9^2/2)*'Black-Scholes'!$B$7-'Black-Scholes'!$B$9*SQRT('Black-Scholes'!$B$7)*B943)</f>
        <v>136.621069066475</v>
      </c>
      <c r="E943" s="18" t="n">
        <f aca="false">EXP(-'Black-Scholes'!$B$8*'Black-Scholes'!$B$7)*IF(LOWER('Black-Scholes'!$B$11)="put",MAX('Black-Scholes'!$B$6-C943,0),MAX(C943-'Black-Scholes'!$B$6,0))</f>
        <v>0</v>
      </c>
      <c r="F943" s="18" t="n">
        <f aca="false">(E943+G943)/2</f>
        <v>17.4175192263519</v>
      </c>
      <c r="G943" s="18" t="n">
        <f aca="false">EXP(-'Black-Scholes'!$B$8*'Black-Scholes'!$B$7)*IF(LOWER('Black-Scholes'!$B$11)="put",MAX('Black-Scholes'!$B$6-D943,0),MAX(D943-'Black-Scholes'!$B$6,0))</f>
        <v>34.8350384527037</v>
      </c>
    </row>
    <row r="944" customFormat="false" ht="15" hidden="false" customHeight="false" outlineLevel="0" collapsed="false">
      <c r="A944" s="0" t="n">
        <v>933</v>
      </c>
      <c r="B944" s="15" t="n">
        <v>1.34662939480485</v>
      </c>
      <c r="C944" s="18" t="n">
        <f aca="false">'Black-Scholes'!$B$5*EXP(('Black-Scholes'!$B$8-'Black-Scholes'!$B$10-'Black-Scholes'!$B$9^2/2)*'Black-Scholes'!$B$7+'Black-Scholes'!$B$9*SQRT('Black-Scholes'!$B$7)*B944)</f>
        <v>134.894914599955</v>
      </c>
      <c r="D944" s="18" t="n">
        <f aca="false">'Black-Scholes'!$B$5*EXP(('Black-Scholes'!$B$8-'Black-Scholes'!$B$10-'Black-Scholes'!$B$9^2/2)*'Black-Scholes'!$B$7-'Black-Scholes'!$B$9*SQRT('Black-Scholes'!$B$7)*B944)</f>
        <v>78.7158322235014</v>
      </c>
      <c r="E944" s="18" t="n">
        <f aca="false">EXP(-'Black-Scholes'!$B$8*'Black-Scholes'!$B$7)*IF(LOWER('Black-Scholes'!$B$11)="put",MAX('Black-Scholes'!$B$6-C944,0),MAX(C944-'Black-Scholes'!$B$6,0))</f>
        <v>33.1930695329166</v>
      </c>
      <c r="F944" s="18" t="n">
        <f aca="false">(E944+G944)/2</f>
        <v>16.5965347664583</v>
      </c>
      <c r="G944" s="18" t="n">
        <f aca="false">EXP(-'Black-Scholes'!$B$8*'Black-Scholes'!$B$7)*IF(LOWER('Black-Scholes'!$B$11)="put",MAX('Black-Scholes'!$B$6-D944,0),MAX(D944-'Black-Scholes'!$B$6,0))</f>
        <v>0</v>
      </c>
    </row>
    <row r="945" customFormat="false" ht="15" hidden="false" customHeight="false" outlineLevel="0" collapsed="false">
      <c r="A945" s="0" t="n">
        <v>934</v>
      </c>
      <c r="B945" s="15" t="n">
        <v>0.0508584973644214</v>
      </c>
      <c r="C945" s="18" t="n">
        <f aca="false">'Black-Scholes'!$B$5*EXP(('Black-Scholes'!$B$8-'Black-Scholes'!$B$10-'Black-Scholes'!$B$9^2/2)*'Black-Scholes'!$B$7+'Black-Scholes'!$B$9*SQRT('Black-Scholes'!$B$7)*B945)</f>
        <v>104.098949619649</v>
      </c>
      <c r="D945" s="18" t="n">
        <f aca="false">'Black-Scholes'!$B$5*EXP(('Black-Scholes'!$B$8-'Black-Scholes'!$B$10-'Black-Scholes'!$B$9^2/2)*'Black-Scholes'!$B$7-'Black-Scholes'!$B$9*SQRT('Black-Scholes'!$B$7)*B945)</f>
        <v>102.002618703171</v>
      </c>
      <c r="E945" s="18" t="n">
        <f aca="false">EXP(-'Black-Scholes'!$B$8*'Black-Scholes'!$B$7)*IF(LOWER('Black-Scholes'!$B$11)="put",MAX('Black-Scholes'!$B$6-C945,0),MAX(C945-'Black-Scholes'!$B$6,0))</f>
        <v>3.89904148775587</v>
      </c>
      <c r="F945" s="18" t="n">
        <f aca="false">(E945+G945)/2</f>
        <v>2.90199566213362</v>
      </c>
      <c r="G945" s="18" t="n">
        <f aca="false">EXP(-'Black-Scholes'!$B$8*'Black-Scholes'!$B$7)*IF(LOWER('Black-Scholes'!$B$11)="put",MAX('Black-Scholes'!$B$6-D945,0),MAX(D945-'Black-Scholes'!$B$6,0))</f>
        <v>1.90494983651136</v>
      </c>
    </row>
    <row r="946" customFormat="false" ht="15" hidden="false" customHeight="false" outlineLevel="0" collapsed="false">
      <c r="A946" s="0" t="n">
        <v>935</v>
      </c>
      <c r="B946" s="15" t="n">
        <v>-0.587287910138007</v>
      </c>
      <c r="C946" s="18" t="n">
        <f aca="false">'Black-Scholes'!$B$5*EXP(('Black-Scholes'!$B$8-'Black-Scholes'!$B$10-'Black-Scholes'!$B$9^2/2)*'Black-Scholes'!$B$7+'Black-Scholes'!$B$9*SQRT('Black-Scholes'!$B$7)*B946)</f>
        <v>91.6257736621967</v>
      </c>
      <c r="D946" s="18" t="n">
        <f aca="false">'Black-Scholes'!$B$5*EXP(('Black-Scholes'!$B$8-'Black-Scholes'!$B$10-'Black-Scholes'!$B$9^2/2)*'Black-Scholes'!$B$7-'Black-Scholes'!$B$9*SQRT('Black-Scholes'!$B$7)*B946)</f>
        <v>115.888412627227</v>
      </c>
      <c r="E946" s="18" t="n">
        <f aca="false">EXP(-'Black-Scholes'!$B$8*'Black-Scholes'!$B$7)*IF(LOWER('Black-Scholes'!$B$11)="put",MAX('Black-Scholes'!$B$6-C946,0),MAX(C946-'Black-Scholes'!$B$6,0))</f>
        <v>0</v>
      </c>
      <c r="F946" s="18" t="n">
        <f aca="false">(E946+G946)/2</f>
        <v>7.55676279981369</v>
      </c>
      <c r="G946" s="18" t="n">
        <f aca="false">EXP(-'Black-Scholes'!$B$8*'Black-Scholes'!$B$7)*IF(LOWER('Black-Scholes'!$B$11)="put",MAX('Black-Scholes'!$B$6-D946,0),MAX(D946-'Black-Scholes'!$B$6,0))</f>
        <v>15.1135255996274</v>
      </c>
    </row>
    <row r="947" customFormat="false" ht="15" hidden="false" customHeight="false" outlineLevel="0" collapsed="false">
      <c r="A947" s="0" t="n">
        <v>936</v>
      </c>
      <c r="B947" s="15" t="n">
        <v>0.904243980023925</v>
      </c>
      <c r="C947" s="18" t="n">
        <f aca="false">'Black-Scholes'!$B$5*EXP(('Black-Scholes'!$B$8-'Black-Scholes'!$B$10-'Black-Scholes'!$B$9^2/2)*'Black-Scholes'!$B$7+'Black-Scholes'!$B$9*SQRT('Black-Scholes'!$B$7)*B947)</f>
        <v>123.472564549554</v>
      </c>
      <c r="D947" s="18" t="n">
        <f aca="false">'Black-Scholes'!$B$5*EXP(('Black-Scholes'!$B$8-'Black-Scholes'!$B$10-'Black-Scholes'!$B$9^2/2)*'Black-Scholes'!$B$7-'Black-Scholes'!$B$9*SQRT('Black-Scholes'!$B$7)*B947)</f>
        <v>85.9977720896212</v>
      </c>
      <c r="E947" s="18" t="n">
        <f aca="false">EXP(-'Black-Scholes'!$B$8*'Black-Scholes'!$B$7)*IF(LOWER('Black-Scholes'!$B$11)="put",MAX('Black-Scholes'!$B$6-C947,0),MAX(C947-'Black-Scholes'!$B$6,0))</f>
        <v>22.3277940680282</v>
      </c>
      <c r="F947" s="18" t="n">
        <f aca="false">(E947+G947)/2</f>
        <v>11.1638970340141</v>
      </c>
      <c r="G947" s="18" t="n">
        <f aca="false">EXP(-'Black-Scholes'!$B$8*'Black-Scholes'!$B$7)*IF(LOWER('Black-Scholes'!$B$11)="put",MAX('Black-Scholes'!$B$6-D947,0),MAX(D947-'Black-Scholes'!$B$6,0))</f>
        <v>0</v>
      </c>
    </row>
    <row r="948" customFormat="false" ht="15" hidden="false" customHeight="false" outlineLevel="0" collapsed="false">
      <c r="A948" s="0" t="n">
        <v>937</v>
      </c>
      <c r="B948" s="15" t="n">
        <v>-0.991939356524811</v>
      </c>
      <c r="C948" s="18" t="n">
        <f aca="false">'Black-Scholes'!$B$5*EXP(('Black-Scholes'!$B$8-'Black-Scholes'!$B$10-'Black-Scholes'!$B$9^2/2)*'Black-Scholes'!$B$7+'Black-Scholes'!$B$9*SQRT('Black-Scholes'!$B$7)*B948)</f>
        <v>84.5026009770693</v>
      </c>
      <c r="D948" s="18" t="n">
        <f aca="false">'Black-Scholes'!$B$5*EXP(('Black-Scholes'!$B$8-'Black-Scholes'!$B$10-'Black-Scholes'!$B$9^2/2)*'Black-Scholes'!$B$7-'Black-Scholes'!$B$9*SQRT('Black-Scholes'!$B$7)*B948)</f>
        <v>125.657261938422</v>
      </c>
      <c r="E948" s="18" t="n">
        <f aca="false">EXP(-'Black-Scholes'!$B$8*'Black-Scholes'!$B$7)*IF(LOWER('Black-Scholes'!$B$11)="put",MAX('Black-Scholes'!$B$6-C948,0),MAX(C948-'Black-Scholes'!$B$6,0))</f>
        <v>0</v>
      </c>
      <c r="F948" s="18" t="n">
        <f aca="false">(E948+G948)/2</f>
        <v>12.2029712539748</v>
      </c>
      <c r="G948" s="18" t="n">
        <f aca="false">EXP(-'Black-Scholes'!$B$8*'Black-Scholes'!$B$7)*IF(LOWER('Black-Scholes'!$B$11)="put",MAX('Black-Scholes'!$B$6-D948,0),MAX(D948-'Black-Scholes'!$B$6,0))</f>
        <v>24.4059425079497</v>
      </c>
    </row>
    <row r="949" customFormat="false" ht="15" hidden="false" customHeight="false" outlineLevel="0" collapsed="false">
      <c r="A949" s="0" t="n">
        <v>938</v>
      </c>
      <c r="B949" s="15" t="n">
        <v>-0.307126555991343</v>
      </c>
      <c r="C949" s="18" t="n">
        <f aca="false">'Black-Scholes'!$B$5*EXP(('Black-Scholes'!$B$8-'Black-Scholes'!$B$10-'Black-Scholes'!$B$9^2/2)*'Black-Scholes'!$B$7+'Black-Scholes'!$B$9*SQRT('Black-Scholes'!$B$7)*B949)</f>
        <v>96.9063331929951</v>
      </c>
      <c r="D949" s="18" t="n">
        <f aca="false">'Black-Scholes'!$B$5*EXP(('Black-Scholes'!$B$8-'Black-Scholes'!$B$10-'Black-Scholes'!$B$9^2/2)*'Black-Scholes'!$B$7-'Black-Scholes'!$B$9*SQRT('Black-Scholes'!$B$7)*B949)</f>
        <v>109.573493450696</v>
      </c>
      <c r="E949" s="18" t="n">
        <f aca="false">EXP(-'Black-Scholes'!$B$8*'Black-Scholes'!$B$7)*IF(LOWER('Black-Scholes'!$B$11)="put",MAX('Black-Scholes'!$B$6-C949,0),MAX(C949-'Black-Scholes'!$B$6,0))</f>
        <v>0</v>
      </c>
      <c r="F949" s="18" t="n">
        <f aca="false">(E949+G949)/2</f>
        <v>4.55329433278337</v>
      </c>
      <c r="G949" s="18" t="n">
        <f aca="false">EXP(-'Black-Scholes'!$B$8*'Black-Scholes'!$B$7)*IF(LOWER('Black-Scholes'!$B$11)="put",MAX('Black-Scholes'!$B$6-D949,0),MAX(D949-'Black-Scholes'!$B$6,0))</f>
        <v>9.10658866556674</v>
      </c>
    </row>
    <row r="950" customFormat="false" ht="15" hidden="false" customHeight="false" outlineLevel="0" collapsed="false">
      <c r="A950" s="0" t="n">
        <v>939</v>
      </c>
      <c r="B950" s="15" t="n">
        <v>1.23231551237855</v>
      </c>
      <c r="C950" s="18" t="n">
        <f aca="false">'Black-Scholes'!$B$5*EXP(('Black-Scholes'!$B$8-'Black-Scholes'!$B$10-'Black-Scholes'!$B$9^2/2)*'Black-Scholes'!$B$7+'Black-Scholes'!$B$9*SQRT('Black-Scholes'!$B$7)*B950)</f>
        <v>131.845830397296</v>
      </c>
      <c r="D950" s="18" t="n">
        <f aca="false">'Black-Scholes'!$B$5*EXP(('Black-Scholes'!$B$8-'Black-Scholes'!$B$10-'Black-Scholes'!$B$9^2/2)*'Black-Scholes'!$B$7-'Black-Scholes'!$B$9*SQRT('Black-Scholes'!$B$7)*B950)</f>
        <v>80.5362250247649</v>
      </c>
      <c r="E950" s="18" t="n">
        <f aca="false">EXP(-'Black-Scholes'!$B$8*'Black-Scholes'!$B$7)*IF(LOWER('Black-Scholes'!$B$11)="put",MAX('Black-Scholes'!$B$6-C950,0),MAX(C950-'Black-Scholes'!$B$6,0))</f>
        <v>30.292690921567</v>
      </c>
      <c r="F950" s="18" t="n">
        <f aca="false">(E950+G950)/2</f>
        <v>15.1463454607835</v>
      </c>
      <c r="G950" s="18" t="n">
        <f aca="false">EXP(-'Black-Scholes'!$B$8*'Black-Scholes'!$B$7)*IF(LOWER('Black-Scholes'!$B$11)="put",MAX('Black-Scholes'!$B$6-D950,0),MAX(D950-'Black-Scholes'!$B$6,0))</f>
        <v>0</v>
      </c>
    </row>
    <row r="951" customFormat="false" ht="15" hidden="false" customHeight="false" outlineLevel="0" collapsed="false">
      <c r="A951" s="0" t="n">
        <v>940</v>
      </c>
      <c r="B951" s="15" t="n">
        <v>-0.100023423039218</v>
      </c>
      <c r="C951" s="18" t="n">
        <f aca="false">'Black-Scholes'!$B$5*EXP(('Black-Scholes'!$B$8-'Black-Scholes'!$B$10-'Black-Scholes'!$B$9^2/2)*'Black-Scholes'!$B$7+'Black-Scholes'!$B$9*SQRT('Black-Scholes'!$B$7)*B951)</f>
        <v>101.004543540632</v>
      </c>
      <c r="D951" s="18" t="n">
        <f aca="false">'Black-Scholes'!$B$5*EXP(('Black-Scholes'!$B$8-'Black-Scholes'!$B$10-'Black-Scholes'!$B$9^2/2)*'Black-Scholes'!$B$7-'Black-Scholes'!$B$9*SQRT('Black-Scholes'!$B$7)*B951)</f>
        <v>105.127602118038</v>
      </c>
      <c r="E951" s="18" t="n">
        <f aca="false">EXP(-'Black-Scholes'!$B$8*'Black-Scholes'!$B$7)*IF(LOWER('Black-Scholes'!$B$11)="put",MAX('Black-Scholes'!$B$6-C951,0),MAX(C951-'Black-Scholes'!$B$6,0))</f>
        <v>0.955551374040881</v>
      </c>
      <c r="F951" s="18" t="n">
        <f aca="false">(E951+G951)/2</f>
        <v>2.91653869292557</v>
      </c>
      <c r="G951" s="18" t="n">
        <f aca="false">EXP(-'Black-Scholes'!$B$8*'Black-Scholes'!$B$7)*IF(LOWER('Black-Scholes'!$B$11)="put",MAX('Black-Scholes'!$B$6-D951,0),MAX(D951-'Black-Scholes'!$B$6,0))</f>
        <v>4.87752601181025</v>
      </c>
    </row>
    <row r="952" customFormat="false" ht="15" hidden="false" customHeight="false" outlineLevel="0" collapsed="false">
      <c r="A952" s="0" t="n">
        <v>941</v>
      </c>
      <c r="B952" s="15" t="n">
        <v>-0.148812975919135</v>
      </c>
      <c r="C952" s="18" t="n">
        <f aca="false">'Black-Scholes'!$B$5*EXP(('Black-Scholes'!$B$8-'Black-Scholes'!$B$10-'Black-Scholes'!$B$9^2/2)*'Black-Scholes'!$B$7+'Black-Scholes'!$B$9*SQRT('Black-Scholes'!$B$7)*B952)</f>
        <v>100.023743299893</v>
      </c>
      <c r="D952" s="18" t="n">
        <f aca="false">'Black-Scholes'!$B$5*EXP(('Black-Scholes'!$B$8-'Black-Scholes'!$B$10-'Black-Scholes'!$B$9^2/2)*'Black-Scholes'!$B$7-'Black-Scholes'!$B$9*SQRT('Black-Scholes'!$B$7)*B952)</f>
        <v>106.158449135596</v>
      </c>
      <c r="E952" s="18" t="n">
        <f aca="false">EXP(-'Black-Scholes'!$B$8*'Black-Scholes'!$B$7)*IF(LOWER('Black-Scholes'!$B$11)="put",MAX('Black-Scholes'!$B$6-C952,0),MAX(C952-'Black-Scholes'!$B$6,0))</f>
        <v>0.0225853254926408</v>
      </c>
      <c r="F952" s="18" t="n">
        <f aca="false">(E952+G952)/2</f>
        <v>2.94034167628142</v>
      </c>
      <c r="G952" s="18" t="n">
        <f aca="false">EXP(-'Black-Scholes'!$B$8*'Black-Scholes'!$B$7)*IF(LOWER('Black-Scholes'!$B$11)="put",MAX('Black-Scholes'!$B$6-D952,0),MAX(D952-'Black-Scholes'!$B$6,0))</f>
        <v>5.8580980270702</v>
      </c>
    </row>
    <row r="953" customFormat="false" ht="15" hidden="false" customHeight="false" outlineLevel="0" collapsed="false">
      <c r="A953" s="0" t="n">
        <v>942</v>
      </c>
      <c r="B953" s="15" t="n">
        <v>-0.471074402642342</v>
      </c>
      <c r="C953" s="18" t="n">
        <f aca="false">'Black-Scholes'!$B$5*EXP(('Black-Scholes'!$B$8-'Black-Scholes'!$B$10-'Black-Scholes'!$B$9^2/2)*'Black-Scholes'!$B$7+'Black-Scholes'!$B$9*SQRT('Black-Scholes'!$B$7)*B953)</f>
        <v>93.7803462174727</v>
      </c>
      <c r="D953" s="18" t="n">
        <f aca="false">'Black-Scholes'!$B$5*EXP(('Black-Scholes'!$B$8-'Black-Scholes'!$B$10-'Black-Scholes'!$B$9^2/2)*'Black-Scholes'!$B$7-'Black-Scholes'!$B$9*SQRT('Black-Scholes'!$B$7)*B953)</f>
        <v>113.225914530429</v>
      </c>
      <c r="E953" s="18" t="n">
        <f aca="false">EXP(-'Black-Scholes'!$B$8*'Black-Scholes'!$B$7)*IF(LOWER('Black-Scholes'!$B$11)="put",MAX('Black-Scholes'!$B$6-C953,0),MAX(C953-'Black-Scholes'!$B$6,0))</f>
        <v>0</v>
      </c>
      <c r="F953" s="18" t="n">
        <f aca="false">(E953+G953)/2</f>
        <v>6.29043953363779</v>
      </c>
      <c r="G953" s="18" t="n">
        <f aca="false">EXP(-'Black-Scholes'!$B$8*'Black-Scholes'!$B$7)*IF(LOWER('Black-Scholes'!$B$11)="put",MAX('Black-Scholes'!$B$6-D953,0),MAX(D953-'Black-Scholes'!$B$6,0))</f>
        <v>12.5808790672756</v>
      </c>
    </row>
    <row r="954" customFormat="false" ht="15" hidden="false" customHeight="false" outlineLevel="0" collapsed="false">
      <c r="A954" s="0" t="n">
        <v>943</v>
      </c>
      <c r="B954" s="15" t="n">
        <v>-1.58745745640846</v>
      </c>
      <c r="C954" s="18" t="n">
        <f aca="false">'Black-Scholes'!$B$5*EXP(('Black-Scholes'!$B$8-'Black-Scholes'!$B$10-'Black-Scholes'!$B$9^2/2)*'Black-Scholes'!$B$7+'Black-Scholes'!$B$9*SQRT('Black-Scholes'!$B$7)*B954)</f>
        <v>75.0142949498876</v>
      </c>
      <c r="D954" s="18" t="n">
        <f aca="false">'Black-Scholes'!$B$5*EXP(('Black-Scholes'!$B$8-'Black-Scholes'!$B$10-'Black-Scholes'!$B$9^2/2)*'Black-Scholes'!$B$7-'Black-Scholes'!$B$9*SQRT('Black-Scholes'!$B$7)*B954)</f>
        <v>141.551226636831</v>
      </c>
      <c r="E954" s="18" t="n">
        <f aca="false">EXP(-'Black-Scholes'!$B$8*'Black-Scholes'!$B$7)*IF(LOWER('Black-Scholes'!$B$11)="put",MAX('Black-Scholes'!$B$6-C954,0),MAX(C954-'Black-Scholes'!$B$6,0))</f>
        <v>0</v>
      </c>
      <c r="F954" s="18" t="n">
        <f aca="false">(E954+G954)/2</f>
        <v>19.7623747005256</v>
      </c>
      <c r="G954" s="18" t="n">
        <f aca="false">EXP(-'Black-Scholes'!$B$8*'Black-Scholes'!$B$7)*IF(LOWER('Black-Scholes'!$B$11)="put",MAX('Black-Scholes'!$B$6-D954,0),MAX(D954-'Black-Scholes'!$B$6,0))</f>
        <v>39.5247494010511</v>
      </c>
    </row>
    <row r="955" customFormat="false" ht="15" hidden="false" customHeight="false" outlineLevel="0" collapsed="false">
      <c r="A955" s="0" t="n">
        <v>944</v>
      </c>
      <c r="B955" s="15" t="n">
        <v>-0.384911542204465</v>
      </c>
      <c r="C955" s="18" t="n">
        <f aca="false">'Black-Scholes'!$B$5*EXP(('Black-Scholes'!$B$8-'Black-Scholes'!$B$10-'Black-Scholes'!$B$9^2/2)*'Black-Scholes'!$B$7+'Black-Scholes'!$B$9*SQRT('Black-Scholes'!$B$7)*B955)</f>
        <v>95.410427703327</v>
      </c>
      <c r="D955" s="18" t="n">
        <f aca="false">'Black-Scholes'!$B$5*EXP(('Black-Scholes'!$B$8-'Black-Scholes'!$B$10-'Black-Scholes'!$B$9^2/2)*'Black-Scholes'!$B$7-'Black-Scholes'!$B$9*SQRT('Black-Scholes'!$B$7)*B955)</f>
        <v>111.291456511135</v>
      </c>
      <c r="E955" s="18" t="n">
        <f aca="false">EXP(-'Black-Scholes'!$B$8*'Black-Scholes'!$B$7)*IF(LOWER('Black-Scholes'!$B$11)="put",MAX('Black-Scholes'!$B$6-C955,0),MAX(C955-'Black-Scholes'!$B$6,0))</f>
        <v>0</v>
      </c>
      <c r="F955" s="18" t="n">
        <f aca="false">(E955+G955)/2</f>
        <v>5.37038283943082</v>
      </c>
      <c r="G955" s="18" t="n">
        <f aca="false">EXP(-'Black-Scholes'!$B$8*'Black-Scholes'!$B$7)*IF(LOWER('Black-Scholes'!$B$11)="put",MAX('Black-Scholes'!$B$6-D955,0),MAX(D955-'Black-Scholes'!$B$6,0))</f>
        <v>10.7407656788616</v>
      </c>
    </row>
    <row r="956" customFormat="false" ht="15" hidden="false" customHeight="false" outlineLevel="0" collapsed="false">
      <c r="A956" s="0" t="n">
        <v>945</v>
      </c>
      <c r="B956" s="15" t="n">
        <v>0.261718408310694</v>
      </c>
      <c r="C956" s="18" t="n">
        <f aca="false">'Black-Scholes'!$B$5*EXP(('Black-Scholes'!$B$8-'Black-Scholes'!$B$10-'Black-Scholes'!$B$9^2/2)*'Black-Scholes'!$B$7+'Black-Scholes'!$B$9*SQRT('Black-Scholes'!$B$7)*B956)</f>
        <v>108.582892519923</v>
      </c>
      <c r="D956" s="18" t="n">
        <f aca="false">'Black-Scholes'!$B$5*EXP(('Black-Scholes'!$B$8-'Black-Scholes'!$B$10-'Black-Scholes'!$B$9^2/2)*'Black-Scholes'!$B$7-'Black-Scholes'!$B$9*SQRT('Black-Scholes'!$B$7)*B956)</f>
        <v>97.7904089588081</v>
      </c>
      <c r="E956" s="18" t="n">
        <f aca="false">EXP(-'Black-Scholes'!$B$8*'Black-Scholes'!$B$7)*IF(LOWER('Black-Scholes'!$B$11)="put",MAX('Black-Scholes'!$B$6-C956,0),MAX(C956-'Black-Scholes'!$B$6,0))</f>
        <v>8.16429991227803</v>
      </c>
      <c r="F956" s="18" t="n">
        <f aca="false">(E956+G956)/2</f>
        <v>4.08214995613902</v>
      </c>
      <c r="G956" s="18" t="n">
        <f aca="false">EXP(-'Black-Scholes'!$B$8*'Black-Scholes'!$B$7)*IF(LOWER('Black-Scholes'!$B$11)="put",MAX('Black-Scholes'!$B$6-D956,0),MAX(D956-'Black-Scholes'!$B$6,0))</f>
        <v>0</v>
      </c>
    </row>
    <row r="957" customFormat="false" ht="15" hidden="false" customHeight="false" outlineLevel="0" collapsed="false">
      <c r="A957" s="0" t="n">
        <v>946</v>
      </c>
      <c r="B957" s="15" t="n">
        <v>1.34656860019416</v>
      </c>
      <c r="C957" s="18" t="n">
        <f aca="false">'Black-Scholes'!$B$5*EXP(('Black-Scholes'!$B$8-'Black-Scholes'!$B$10-'Black-Scholes'!$B$9^2/2)*'Black-Scholes'!$B$7+'Black-Scholes'!$B$9*SQRT('Black-Scholes'!$B$7)*B957)</f>
        <v>134.893274433163</v>
      </c>
      <c r="D957" s="18" t="n">
        <f aca="false">'Black-Scholes'!$B$5*EXP(('Black-Scholes'!$B$8-'Black-Scholes'!$B$10-'Black-Scholes'!$B$9^2/2)*'Black-Scholes'!$B$7-'Black-Scholes'!$B$9*SQRT('Black-Scholes'!$B$7)*B957)</f>
        <v>78.7167893289951</v>
      </c>
      <c r="E957" s="18" t="n">
        <f aca="false">EXP(-'Black-Scholes'!$B$8*'Black-Scholes'!$B$7)*IF(LOWER('Black-Scholes'!$B$11)="put",MAX('Black-Scholes'!$B$6-C957,0),MAX(C957-'Black-Scholes'!$B$6,0))</f>
        <v>33.191509358003</v>
      </c>
      <c r="F957" s="18" t="n">
        <f aca="false">(E957+G957)/2</f>
        <v>16.5957546790015</v>
      </c>
      <c r="G957" s="18" t="n">
        <f aca="false">EXP(-'Black-Scholes'!$B$8*'Black-Scholes'!$B$7)*IF(LOWER('Black-Scholes'!$B$11)="put",MAX('Black-Scholes'!$B$6-D957,0),MAX(D957-'Black-Scholes'!$B$6,0))</f>
        <v>0</v>
      </c>
    </row>
    <row r="958" customFormat="false" ht="15" hidden="false" customHeight="false" outlineLevel="0" collapsed="false">
      <c r="A958" s="0" t="n">
        <v>947</v>
      </c>
      <c r="B958" s="15" t="n">
        <v>-0.328254243839459</v>
      </c>
      <c r="C958" s="18" t="n">
        <f aca="false">'Black-Scholes'!$B$5*EXP(('Black-Scholes'!$B$8-'Black-Scholes'!$B$10-'Black-Scholes'!$B$9^2/2)*'Black-Scholes'!$B$7+'Black-Scholes'!$B$9*SQRT('Black-Scholes'!$B$7)*B958)</f>
        <v>96.4977157634979</v>
      </c>
      <c r="D958" s="18" t="n">
        <f aca="false">'Black-Scholes'!$B$5*EXP(('Black-Scholes'!$B$8-'Black-Scholes'!$B$10-'Black-Scholes'!$B$9^2/2)*'Black-Scholes'!$B$7-'Black-Scholes'!$B$9*SQRT('Black-Scholes'!$B$7)*B958)</f>
        <v>110.037479969761</v>
      </c>
      <c r="E958" s="18" t="n">
        <f aca="false">EXP(-'Black-Scholes'!$B$8*'Black-Scholes'!$B$7)*IF(LOWER('Black-Scholes'!$B$11)="put",MAX('Black-Scholes'!$B$6-C958,0),MAX(C958-'Black-Scholes'!$B$6,0))</f>
        <v>0</v>
      </c>
      <c r="F958" s="18" t="n">
        <f aca="false">(E958+G958)/2</f>
        <v>4.77397314753665</v>
      </c>
      <c r="G958" s="18" t="n">
        <f aca="false">EXP(-'Black-Scholes'!$B$8*'Black-Scholes'!$B$7)*IF(LOWER('Black-Scholes'!$B$11)="put",MAX('Black-Scholes'!$B$6-D958,0),MAX(D958-'Black-Scholes'!$B$6,0))</f>
        <v>9.54794629507329</v>
      </c>
    </row>
    <row r="959" customFormat="false" ht="15" hidden="false" customHeight="false" outlineLevel="0" collapsed="false">
      <c r="A959" s="0" t="n">
        <v>948</v>
      </c>
      <c r="B959" s="15" t="n">
        <v>-0.551622304092099</v>
      </c>
      <c r="C959" s="18" t="n">
        <f aca="false">'Black-Scholes'!$B$5*EXP(('Black-Scholes'!$B$8-'Black-Scholes'!$B$10-'Black-Scholes'!$B$9^2/2)*'Black-Scholes'!$B$7+'Black-Scholes'!$B$9*SQRT('Black-Scholes'!$B$7)*B959)</f>
        <v>92.2816879886591</v>
      </c>
      <c r="D959" s="18" t="n">
        <f aca="false">'Black-Scholes'!$B$5*EXP(('Black-Scholes'!$B$8-'Black-Scholes'!$B$10-'Black-Scholes'!$B$9^2/2)*'Black-Scholes'!$B$7-'Black-Scholes'!$B$9*SQRT('Black-Scholes'!$B$7)*B959)</f>
        <v>115.06470781894</v>
      </c>
      <c r="E959" s="18" t="n">
        <f aca="false">EXP(-'Black-Scholes'!$B$8*'Black-Scholes'!$B$7)*IF(LOWER('Black-Scholes'!$B$11)="put",MAX('Black-Scholes'!$B$6-C959,0),MAX(C959-'Black-Scholes'!$B$6,0))</f>
        <v>0</v>
      </c>
      <c r="F959" s="18" t="n">
        <f aca="false">(E959+G959)/2</f>
        <v>7.16499667444063</v>
      </c>
      <c r="G959" s="18" t="n">
        <f aca="false">EXP(-'Black-Scholes'!$B$8*'Black-Scholes'!$B$7)*IF(LOWER('Black-Scholes'!$B$11)="put",MAX('Black-Scholes'!$B$6-D959,0),MAX(D959-'Black-Scholes'!$B$6,0))</f>
        <v>14.3299933488813</v>
      </c>
    </row>
    <row r="960" customFormat="false" ht="15" hidden="false" customHeight="false" outlineLevel="0" collapsed="false">
      <c r="A960" s="0" t="n">
        <v>949</v>
      </c>
      <c r="B960" s="15" t="n">
        <v>0.53268768821282</v>
      </c>
      <c r="C960" s="18" t="n">
        <f aca="false">'Black-Scholes'!$B$5*EXP(('Black-Scholes'!$B$8-'Black-Scholes'!$B$10-'Black-Scholes'!$B$9^2/2)*'Black-Scholes'!$B$7+'Black-Scholes'!$B$9*SQRT('Black-Scholes'!$B$7)*B960)</f>
        <v>114.629790628925</v>
      </c>
      <c r="D960" s="18" t="n">
        <f aca="false">'Black-Scholes'!$B$5*EXP(('Black-Scholes'!$B$8-'Black-Scholes'!$B$10-'Black-Scholes'!$B$9^2/2)*'Black-Scholes'!$B$7-'Black-Scholes'!$B$9*SQRT('Black-Scholes'!$B$7)*B960)</f>
        <v>92.6318141836879</v>
      </c>
      <c r="E960" s="18" t="n">
        <f aca="false">EXP(-'Black-Scholes'!$B$8*'Black-Scholes'!$B$7)*IF(LOWER('Black-Scholes'!$B$11)="put",MAX('Black-Scholes'!$B$6-C960,0),MAX(C960-'Black-Scholes'!$B$6,0))</f>
        <v>13.9162873205179</v>
      </c>
      <c r="F960" s="18" t="n">
        <f aca="false">(E960+G960)/2</f>
        <v>6.95814366025894</v>
      </c>
      <c r="G960" s="18" t="n">
        <f aca="false">EXP(-'Black-Scholes'!$B$8*'Black-Scholes'!$B$7)*IF(LOWER('Black-Scholes'!$B$11)="put",MAX('Black-Scholes'!$B$6-D960,0),MAX(D960-'Black-Scholes'!$B$6,0))</f>
        <v>0</v>
      </c>
    </row>
    <row r="961" customFormat="false" ht="15" hidden="false" customHeight="false" outlineLevel="0" collapsed="false">
      <c r="A961" s="0" t="n">
        <v>950</v>
      </c>
      <c r="B961" s="15" t="n">
        <v>0.800122444697881</v>
      </c>
      <c r="C961" s="18" t="n">
        <f aca="false">'Black-Scholes'!$B$5*EXP(('Black-Scholes'!$B$8-'Black-Scholes'!$B$10-'Black-Scholes'!$B$9^2/2)*'Black-Scholes'!$B$7+'Black-Scholes'!$B$9*SQRT('Black-Scholes'!$B$7)*B961)</f>
        <v>120.927921126018</v>
      </c>
      <c r="D961" s="18" t="n">
        <f aca="false">'Black-Scholes'!$B$5*EXP(('Black-Scholes'!$B$8-'Black-Scholes'!$B$10-'Black-Scholes'!$B$9^2/2)*'Black-Scholes'!$B$7-'Black-Scholes'!$B$9*SQRT('Black-Scholes'!$B$7)*B961)</f>
        <v>87.807392755791</v>
      </c>
      <c r="E961" s="18" t="n">
        <f aca="false">EXP(-'Black-Scholes'!$B$8*'Black-Scholes'!$B$7)*IF(LOWER('Black-Scholes'!$B$11)="put",MAX('Black-Scholes'!$B$6-C961,0),MAX(C961-'Black-Scholes'!$B$6,0))</f>
        <v>19.9072543686986</v>
      </c>
      <c r="F961" s="18" t="n">
        <f aca="false">(E961+G961)/2</f>
        <v>9.95362718434932</v>
      </c>
      <c r="G961" s="18" t="n">
        <f aca="false">EXP(-'Black-Scholes'!$B$8*'Black-Scholes'!$B$7)*IF(LOWER('Black-Scholes'!$B$11)="put",MAX('Black-Scholes'!$B$6-D961,0),MAX(D961-'Black-Scholes'!$B$6,0))</f>
        <v>0</v>
      </c>
    </row>
    <row r="962" customFormat="false" ht="15" hidden="false" customHeight="false" outlineLevel="0" collapsed="false">
      <c r="A962" s="0" t="n">
        <v>951</v>
      </c>
      <c r="B962" s="15" t="n">
        <v>-2.7799138267061</v>
      </c>
      <c r="C962" s="18" t="n">
        <f aca="false">'Black-Scholes'!$B$5*EXP(('Black-Scholes'!$B$8-'Black-Scholes'!$B$10-'Black-Scholes'!$B$9^2/2)*'Black-Scholes'!$B$7+'Black-Scholes'!$B$9*SQRT('Black-Scholes'!$B$7)*B962)</f>
        <v>59.0974289834027</v>
      </c>
      <c r="D962" s="18" t="n">
        <f aca="false">'Black-Scholes'!$B$5*EXP(('Black-Scholes'!$B$8-'Black-Scholes'!$B$10-'Black-Scholes'!$B$9^2/2)*'Black-Scholes'!$B$7-'Black-Scholes'!$B$9*SQRT('Black-Scholes'!$B$7)*B962)</f>
        <v>179.675590767844</v>
      </c>
      <c r="E962" s="18" t="n">
        <f aca="false">EXP(-'Black-Scholes'!$B$8*'Black-Scholes'!$B$7)*IF(LOWER('Black-Scholes'!$B$11)="put",MAX('Black-Scholes'!$B$6-C962,0),MAX(C962-'Black-Scholes'!$B$6,0))</f>
        <v>0</v>
      </c>
      <c r="F962" s="18" t="n">
        <f aca="false">(E962+G962)/2</f>
        <v>37.8948831764254</v>
      </c>
      <c r="G962" s="18" t="n">
        <f aca="false">EXP(-'Black-Scholes'!$B$8*'Black-Scholes'!$B$7)*IF(LOWER('Black-Scholes'!$B$11)="put",MAX('Black-Scholes'!$B$6-D962,0),MAX(D962-'Black-Scholes'!$B$6,0))</f>
        <v>75.7897663528508</v>
      </c>
    </row>
    <row r="963" customFormat="false" ht="15" hidden="false" customHeight="false" outlineLevel="0" collapsed="false">
      <c r="A963" s="0" t="n">
        <v>952</v>
      </c>
      <c r="B963" s="15" t="n">
        <v>-1.0189333354511</v>
      </c>
      <c r="C963" s="18" t="n">
        <f aca="false">'Black-Scholes'!$B$5*EXP(('Black-Scholes'!$B$8-'Black-Scholes'!$B$10-'Black-Scholes'!$B$9^2/2)*'Black-Scholes'!$B$7+'Black-Scholes'!$B$9*SQRT('Black-Scholes'!$B$7)*B963)</f>
        <v>84.0476179763394</v>
      </c>
      <c r="D963" s="18" t="n">
        <f aca="false">'Black-Scholes'!$B$5*EXP(('Black-Scholes'!$B$8-'Black-Scholes'!$B$10-'Black-Scholes'!$B$9^2/2)*'Black-Scholes'!$B$7-'Black-Scholes'!$B$9*SQRT('Black-Scholes'!$B$7)*B963)</f>
        <v>126.33749440041</v>
      </c>
      <c r="E963" s="18" t="n">
        <f aca="false">EXP(-'Black-Scholes'!$B$8*'Black-Scholes'!$B$7)*IF(LOWER('Black-Scholes'!$B$11)="put",MAX('Black-Scholes'!$B$6-C963,0),MAX(C963-'Black-Scholes'!$B$6,0))</f>
        <v>0</v>
      </c>
      <c r="F963" s="18" t="n">
        <f aca="false">(E963+G963)/2</f>
        <v>12.5264998206465</v>
      </c>
      <c r="G963" s="18" t="n">
        <f aca="false">EXP(-'Black-Scholes'!$B$8*'Black-Scholes'!$B$7)*IF(LOWER('Black-Scholes'!$B$11)="put",MAX('Black-Scholes'!$B$6-D963,0),MAX(D963-'Black-Scholes'!$B$6,0))</f>
        <v>25.052999641293</v>
      </c>
    </row>
    <row r="964" customFormat="false" ht="15" hidden="false" customHeight="false" outlineLevel="0" collapsed="false">
      <c r="A964" s="0" t="n">
        <v>953</v>
      </c>
      <c r="B964" s="15" t="n">
        <v>-0.0612022192851303</v>
      </c>
      <c r="C964" s="18" t="n">
        <f aca="false">'Black-Scholes'!$B$5*EXP(('Black-Scholes'!$B$8-'Black-Scholes'!$B$10-'Black-Scholes'!$B$9^2/2)*'Black-Scholes'!$B$7+'Black-Scholes'!$B$9*SQRT('Black-Scholes'!$B$7)*B964)</f>
        <v>101.791819478597</v>
      </c>
      <c r="D964" s="18" t="n">
        <f aca="false">'Black-Scholes'!$B$5*EXP(('Black-Scholes'!$B$8-'Black-Scholes'!$B$10-'Black-Scholes'!$B$9^2/2)*'Black-Scholes'!$B$7-'Black-Scholes'!$B$9*SQRT('Black-Scholes'!$B$7)*B964)</f>
        <v>104.314526647068</v>
      </c>
      <c r="E964" s="18" t="n">
        <f aca="false">EXP(-'Black-Scholes'!$B$8*'Black-Scholes'!$B$7)*IF(LOWER('Black-Scholes'!$B$11)="put",MAX('Black-Scholes'!$B$6-C964,0),MAX(C964-'Black-Scholes'!$B$6,0))</f>
        <v>1.70443141143454</v>
      </c>
      <c r="F964" s="18" t="n">
        <f aca="false">(E964+G964)/2</f>
        <v>2.90426805545903</v>
      </c>
      <c r="G964" s="18" t="n">
        <f aca="false">EXP(-'Black-Scholes'!$B$8*'Black-Scholes'!$B$7)*IF(LOWER('Black-Scholes'!$B$11)="put",MAX('Black-Scholes'!$B$6-D964,0),MAX(D964-'Black-Scholes'!$B$6,0))</f>
        <v>4.10410469948352</v>
      </c>
    </row>
    <row r="965" customFormat="false" ht="15" hidden="false" customHeight="false" outlineLevel="0" collapsed="false">
      <c r="A965" s="0" t="n">
        <v>954</v>
      </c>
      <c r="B965" s="15" t="n">
        <v>0.987529823733595</v>
      </c>
      <c r="C965" s="18" t="n">
        <f aca="false">'Black-Scholes'!$B$5*EXP(('Black-Scholes'!$B$8-'Black-Scholes'!$B$10-'Black-Scholes'!$B$9^2/2)*'Black-Scholes'!$B$7+'Black-Scholes'!$B$9*SQRT('Black-Scholes'!$B$7)*B965)</f>
        <v>125.546492826211</v>
      </c>
      <c r="D965" s="18" t="n">
        <f aca="false">'Black-Scholes'!$B$5*EXP(('Black-Scholes'!$B$8-'Black-Scholes'!$B$10-'Black-Scholes'!$B$9^2/2)*'Black-Scholes'!$B$7-'Black-Scholes'!$B$9*SQRT('Black-Scholes'!$B$7)*B965)</f>
        <v>84.5771572460587</v>
      </c>
      <c r="E965" s="18" t="n">
        <f aca="false">EXP(-'Black-Scholes'!$B$8*'Black-Scholes'!$B$7)*IF(LOWER('Black-Scholes'!$B$11)="put",MAX('Black-Scholes'!$B$6-C965,0),MAX(C965-'Black-Scholes'!$B$6,0))</f>
        <v>24.300575669088</v>
      </c>
      <c r="F965" s="18" t="n">
        <f aca="false">(E965+G965)/2</f>
        <v>12.150287834544</v>
      </c>
      <c r="G965" s="18" t="n">
        <f aca="false">EXP(-'Black-Scholes'!$B$8*'Black-Scholes'!$B$7)*IF(LOWER('Black-Scholes'!$B$11)="put",MAX('Black-Scholes'!$B$6-D965,0),MAX(D965-'Black-Scholes'!$B$6,0))</f>
        <v>0</v>
      </c>
    </row>
    <row r="966" customFormat="false" ht="15" hidden="false" customHeight="false" outlineLevel="0" collapsed="false">
      <c r="A966" s="0" t="n">
        <v>955</v>
      </c>
      <c r="B966" s="15" t="n">
        <v>-0.226765089877613</v>
      </c>
      <c r="C966" s="18" t="n">
        <f aca="false">'Black-Scholes'!$B$5*EXP(('Black-Scholes'!$B$8-'Black-Scholes'!$B$10-'Black-Scholes'!$B$9^2/2)*'Black-Scholes'!$B$7+'Black-Scholes'!$B$9*SQRT('Black-Scholes'!$B$7)*B966)</f>
        <v>98.4764238756416</v>
      </c>
      <c r="D966" s="18" t="n">
        <f aca="false">'Black-Scholes'!$B$5*EXP(('Black-Scholes'!$B$8-'Black-Scholes'!$B$10-'Black-Scholes'!$B$9^2/2)*'Black-Scholes'!$B$7-'Black-Scholes'!$B$9*SQRT('Black-Scholes'!$B$7)*B966)</f>
        <v>107.82647305372</v>
      </c>
      <c r="E966" s="18" t="n">
        <f aca="false">EXP(-'Black-Scholes'!$B$8*'Black-Scholes'!$B$7)*IF(LOWER('Black-Scholes'!$B$11)="put",MAX('Black-Scholes'!$B$6-C966,0),MAX(C966-'Black-Scholes'!$B$6,0))</f>
        <v>0</v>
      </c>
      <c r="F966" s="18" t="n">
        <f aca="false">(E966+G966)/2</f>
        <v>3.72238572938028</v>
      </c>
      <c r="G966" s="18" t="n">
        <f aca="false">EXP(-'Black-Scholes'!$B$8*'Black-Scholes'!$B$7)*IF(LOWER('Black-Scholes'!$B$11)="put",MAX('Black-Scholes'!$B$6-D966,0),MAX(D966-'Black-Scholes'!$B$6,0))</f>
        <v>7.44477145876056</v>
      </c>
    </row>
    <row r="967" customFormat="false" ht="15" hidden="false" customHeight="false" outlineLevel="0" collapsed="false">
      <c r="A967" s="0" t="n">
        <v>956</v>
      </c>
      <c r="B967" s="15" t="n">
        <v>0.64517574639476</v>
      </c>
      <c r="C967" s="18" t="n">
        <f aca="false">'Black-Scholes'!$B$5*EXP(('Black-Scholes'!$B$8-'Black-Scholes'!$B$10-'Black-Scholes'!$B$9^2/2)*'Black-Scholes'!$B$7+'Black-Scholes'!$B$9*SQRT('Black-Scholes'!$B$7)*B967)</f>
        <v>117.237915423844</v>
      </c>
      <c r="D967" s="18" t="n">
        <f aca="false">'Black-Scholes'!$B$5*EXP(('Black-Scholes'!$B$8-'Black-Scholes'!$B$10-'Black-Scholes'!$B$9^2/2)*'Black-Scholes'!$B$7-'Black-Scholes'!$B$9*SQRT('Black-Scholes'!$B$7)*B967)</f>
        <v>90.5710872379949</v>
      </c>
      <c r="E967" s="18" t="n">
        <f aca="false">EXP(-'Black-Scholes'!$B$8*'Black-Scholes'!$B$7)*IF(LOWER('Black-Scholes'!$B$11)="put",MAX('Black-Scholes'!$B$6-C967,0),MAX(C967-'Black-Scholes'!$B$6,0))</f>
        <v>16.3972123682147</v>
      </c>
      <c r="F967" s="18" t="n">
        <f aca="false">(E967+G967)/2</f>
        <v>8.19860618410734</v>
      </c>
      <c r="G967" s="18" t="n">
        <f aca="false">EXP(-'Black-Scholes'!$B$8*'Black-Scholes'!$B$7)*IF(LOWER('Black-Scholes'!$B$11)="put",MAX('Black-Scholes'!$B$6-D967,0),MAX(D967-'Black-Scholes'!$B$6,0))</f>
        <v>0</v>
      </c>
    </row>
    <row r="968" customFormat="false" ht="15" hidden="false" customHeight="false" outlineLevel="0" collapsed="false">
      <c r="A968" s="0" t="n">
        <v>957</v>
      </c>
      <c r="B968" s="15" t="n">
        <v>0.475646495521464</v>
      </c>
      <c r="C968" s="18" t="n">
        <f aca="false">'Black-Scholes'!$B$5*EXP(('Black-Scholes'!$B$8-'Black-Scholes'!$B$10-'Black-Scholes'!$B$9^2/2)*'Black-Scholes'!$B$7+'Black-Scholes'!$B$9*SQRT('Black-Scholes'!$B$7)*B968)</f>
        <v>113.329497761938</v>
      </c>
      <c r="D968" s="18" t="n">
        <f aca="false">'Black-Scholes'!$B$5*EXP(('Black-Scholes'!$B$8-'Black-Scholes'!$B$10-'Black-Scholes'!$B$9^2/2)*'Black-Scholes'!$B$7-'Black-Scholes'!$B$9*SQRT('Black-Scholes'!$B$7)*B968)</f>
        <v>93.6946309226457</v>
      </c>
      <c r="E968" s="18" t="n">
        <f aca="false">EXP(-'Black-Scholes'!$B$8*'Black-Scholes'!$B$7)*IF(LOWER('Black-Scholes'!$B$11)="put",MAX('Black-Scholes'!$B$6-C968,0),MAX(C968-'Black-Scholes'!$B$6,0))</f>
        <v>12.679410484972</v>
      </c>
      <c r="F968" s="18" t="n">
        <f aca="false">(E968+G968)/2</f>
        <v>6.33970524248598</v>
      </c>
      <c r="G968" s="18" t="n">
        <f aca="false">EXP(-'Black-Scholes'!$B$8*'Black-Scholes'!$B$7)*IF(LOWER('Black-Scholes'!$B$11)="put",MAX('Black-Scholes'!$B$6-D968,0),MAX(D968-'Black-Scholes'!$B$6,0))</f>
        <v>0</v>
      </c>
    </row>
    <row r="969" customFormat="false" ht="15" hidden="false" customHeight="false" outlineLevel="0" collapsed="false">
      <c r="A969" s="0" t="n">
        <v>958</v>
      </c>
      <c r="B969" s="15" t="n">
        <v>-0.38316329332412</v>
      </c>
      <c r="C969" s="18" t="n">
        <f aca="false">'Black-Scholes'!$B$5*EXP(('Black-Scholes'!$B$8-'Black-Scholes'!$B$10-'Black-Scholes'!$B$9^2/2)*'Black-Scholes'!$B$7+'Black-Scholes'!$B$9*SQRT('Black-Scholes'!$B$7)*B969)</f>
        <v>95.4437937708872</v>
      </c>
      <c r="D969" s="18" t="n">
        <f aca="false">'Black-Scholes'!$B$5*EXP(('Black-Scholes'!$B$8-'Black-Scholes'!$B$10-'Black-Scholes'!$B$9^2/2)*'Black-Scholes'!$B$7-'Black-Scholes'!$B$9*SQRT('Black-Scholes'!$B$7)*B969)</f>
        <v>111.252550280461</v>
      </c>
      <c r="E969" s="18" t="n">
        <f aca="false">EXP(-'Black-Scholes'!$B$8*'Black-Scholes'!$B$7)*IF(LOWER('Black-Scholes'!$B$11)="put",MAX('Black-Scholes'!$B$6-C969,0),MAX(C969-'Black-Scholes'!$B$6,0))</f>
        <v>0</v>
      </c>
      <c r="F969" s="18" t="n">
        <f aca="false">(E969+G969)/2</f>
        <v>5.3518784637242</v>
      </c>
      <c r="G969" s="18" t="n">
        <f aca="false">EXP(-'Black-Scholes'!$B$8*'Black-Scholes'!$B$7)*IF(LOWER('Black-Scholes'!$B$11)="put",MAX('Black-Scholes'!$B$6-D969,0),MAX(D969-'Black-Scholes'!$B$6,0))</f>
        <v>10.7037569274484</v>
      </c>
    </row>
    <row r="970" customFormat="false" ht="15" hidden="false" customHeight="false" outlineLevel="0" collapsed="false">
      <c r="A970" s="0" t="n">
        <v>959</v>
      </c>
      <c r="B970" s="15" t="n">
        <v>1.19174006884013</v>
      </c>
      <c r="C970" s="18" t="n">
        <f aca="false">'Black-Scholes'!$B$5*EXP(('Black-Scholes'!$B$8-'Black-Scholes'!$B$10-'Black-Scholes'!$B$9^2/2)*'Black-Scholes'!$B$7+'Black-Scholes'!$B$9*SQRT('Black-Scholes'!$B$7)*B970)</f>
        <v>130.780219399718</v>
      </c>
      <c r="D970" s="18" t="n">
        <f aca="false">'Black-Scholes'!$B$5*EXP(('Black-Scholes'!$B$8-'Black-Scholes'!$B$10-'Black-Scholes'!$B$9^2/2)*'Black-Scholes'!$B$7-'Black-Scholes'!$B$9*SQRT('Black-Scholes'!$B$7)*B970)</f>
        <v>81.1924426659622</v>
      </c>
      <c r="E970" s="18" t="n">
        <f aca="false">EXP(-'Black-Scholes'!$B$8*'Black-Scholes'!$B$7)*IF(LOWER('Black-Scholes'!$B$11)="put",MAX('Black-Scholes'!$B$6-C970,0),MAX(C970-'Black-Scholes'!$B$6,0))</f>
        <v>29.2790503855998</v>
      </c>
      <c r="F970" s="18" t="n">
        <f aca="false">(E970+G970)/2</f>
        <v>14.6395251927999</v>
      </c>
      <c r="G970" s="18" t="n">
        <f aca="false">EXP(-'Black-Scholes'!$B$8*'Black-Scholes'!$B$7)*IF(LOWER('Black-Scholes'!$B$11)="put",MAX('Black-Scholes'!$B$6-D970,0),MAX(D970-'Black-Scholes'!$B$6,0))</f>
        <v>0</v>
      </c>
    </row>
    <row r="971" customFormat="false" ht="15" hidden="false" customHeight="false" outlineLevel="0" collapsed="false">
      <c r="A971" s="0" t="n">
        <v>960</v>
      </c>
      <c r="B971" s="15" t="n">
        <v>0.681465053275789</v>
      </c>
      <c r="C971" s="18" t="n">
        <f aca="false">'Black-Scholes'!$B$5*EXP(('Black-Scholes'!$B$8-'Black-Scholes'!$B$10-'Black-Scholes'!$B$9^2/2)*'Black-Scholes'!$B$7+'Black-Scholes'!$B$9*SQRT('Black-Scholes'!$B$7)*B971)</f>
        <v>118.091907290542</v>
      </c>
      <c r="D971" s="18" t="n">
        <f aca="false">'Black-Scholes'!$B$5*EXP(('Black-Scholes'!$B$8-'Black-Scholes'!$B$10-'Black-Scholes'!$B$9^2/2)*'Black-Scholes'!$B$7-'Black-Scholes'!$B$9*SQRT('Black-Scholes'!$B$7)*B971)</f>
        <v>89.9161145676917</v>
      </c>
      <c r="E971" s="18" t="n">
        <f aca="false">EXP(-'Black-Scholes'!$B$8*'Black-Scholes'!$B$7)*IF(LOWER('Black-Scholes'!$B$11)="put",MAX('Black-Scholes'!$B$6-C971,0),MAX(C971-'Black-Scholes'!$B$6,0))</f>
        <v>17.2095545601025</v>
      </c>
      <c r="F971" s="18" t="n">
        <f aca="false">(E971+G971)/2</f>
        <v>8.60477728005125</v>
      </c>
      <c r="G971" s="18" t="n">
        <f aca="false">EXP(-'Black-Scholes'!$B$8*'Black-Scholes'!$B$7)*IF(LOWER('Black-Scholes'!$B$11)="put",MAX('Black-Scholes'!$B$6-D971,0),MAX(D971-'Black-Scholes'!$B$6,0))</f>
        <v>0</v>
      </c>
    </row>
    <row r="972" customFormat="false" ht="15" hidden="false" customHeight="false" outlineLevel="0" collapsed="false">
      <c r="A972" s="0" t="n">
        <v>961</v>
      </c>
      <c r="B972" s="15" t="n">
        <v>-1.58912967071519</v>
      </c>
      <c r="C972" s="18" t="n">
        <f aca="false">'Black-Scholes'!$B$5*EXP(('Black-Scholes'!$B$8-'Black-Scholes'!$B$10-'Black-Scholes'!$B$9^2/2)*'Black-Scholes'!$B$7+'Black-Scholes'!$B$9*SQRT('Black-Scholes'!$B$7)*B972)</f>
        <v>74.9892111492256</v>
      </c>
      <c r="D972" s="18" t="n">
        <f aca="false">'Black-Scholes'!$B$5*EXP(('Black-Scholes'!$B$8-'Black-Scholes'!$B$10-'Black-Scholes'!$B$9^2/2)*'Black-Scholes'!$B$7-'Black-Scholes'!$B$9*SQRT('Black-Scholes'!$B$7)*B972)</f>
        <v>141.598575351372</v>
      </c>
      <c r="E972" s="18" t="n">
        <f aca="false">EXP(-'Black-Scholes'!$B$8*'Black-Scholes'!$B$7)*IF(LOWER('Black-Scholes'!$B$11)="put",MAX('Black-Scholes'!$B$6-C972,0),MAX(C972-'Black-Scholes'!$B$6,0))</f>
        <v>0</v>
      </c>
      <c r="F972" s="18" t="n">
        <f aca="false">(E972+G972)/2</f>
        <v>19.7848944457678</v>
      </c>
      <c r="G972" s="18" t="n">
        <f aca="false">EXP(-'Black-Scholes'!$B$8*'Black-Scholes'!$B$7)*IF(LOWER('Black-Scholes'!$B$11)="put",MAX('Black-Scholes'!$B$6-D972,0),MAX(D972-'Black-Scholes'!$B$6,0))</f>
        <v>39.5697888915356</v>
      </c>
    </row>
    <row r="973" customFormat="false" ht="15" hidden="false" customHeight="false" outlineLevel="0" collapsed="false">
      <c r="A973" s="0" t="n">
        <v>962</v>
      </c>
      <c r="B973" s="15" t="n">
        <v>-2.31199304463648</v>
      </c>
      <c r="C973" s="18" t="n">
        <f aca="false">'Black-Scholes'!$B$5*EXP(('Black-Scholes'!$B$8-'Black-Scholes'!$B$10-'Black-Scholes'!$B$9^2/2)*'Black-Scholes'!$B$7+'Black-Scholes'!$B$9*SQRT('Black-Scholes'!$B$7)*B973)</f>
        <v>64.8950647601204</v>
      </c>
      <c r="D973" s="18" t="n">
        <f aca="false">'Black-Scholes'!$B$5*EXP(('Black-Scholes'!$B$8-'Black-Scholes'!$B$10-'Black-Scholes'!$B$9^2/2)*'Black-Scholes'!$B$7-'Black-Scholes'!$B$9*SQRT('Black-Scholes'!$B$7)*B973)</f>
        <v>163.623620759199</v>
      </c>
      <c r="E973" s="18" t="n">
        <f aca="false">EXP(-'Black-Scholes'!$B$8*'Black-Scholes'!$B$7)*IF(LOWER('Black-Scholes'!$B$11)="put",MAX('Black-Scholes'!$B$6-C973,0),MAX(C973-'Black-Scholes'!$B$6,0))</f>
        <v>0</v>
      </c>
      <c r="F973" s="18" t="n">
        <f aca="false">(E973+G973)/2</f>
        <v>30.2603300797123</v>
      </c>
      <c r="G973" s="18" t="n">
        <f aca="false">EXP(-'Black-Scholes'!$B$8*'Black-Scholes'!$B$7)*IF(LOWER('Black-Scholes'!$B$11)="put",MAX('Black-Scholes'!$B$6-D973,0),MAX(D973-'Black-Scholes'!$B$6,0))</f>
        <v>60.5206601594246</v>
      </c>
    </row>
    <row r="974" customFormat="false" ht="15" hidden="false" customHeight="false" outlineLevel="0" collapsed="false">
      <c r="A974" s="0" t="n">
        <v>963</v>
      </c>
      <c r="B974" s="15" t="n">
        <v>1.5721396445653</v>
      </c>
      <c r="C974" s="18" t="n">
        <f aca="false">'Black-Scholes'!$B$5*EXP(('Black-Scholes'!$B$8-'Black-Scholes'!$B$10-'Black-Scholes'!$B$9^2/2)*'Black-Scholes'!$B$7+'Black-Scholes'!$B$9*SQRT('Black-Scholes'!$B$7)*B974)</f>
        <v>141.118239206319</v>
      </c>
      <c r="D974" s="18" t="n">
        <f aca="false">'Black-Scholes'!$B$5*EXP(('Black-Scholes'!$B$8-'Black-Scholes'!$B$10-'Black-Scholes'!$B$9^2/2)*'Black-Scholes'!$B$7-'Black-Scholes'!$B$9*SQRT('Black-Scholes'!$B$7)*B974)</f>
        <v>75.244458300881</v>
      </c>
      <c r="E974" s="18" t="n">
        <f aca="false">EXP(-'Black-Scholes'!$B$8*'Black-Scholes'!$B$7)*IF(LOWER('Black-Scholes'!$B$11)="put",MAX('Black-Scholes'!$B$6-C974,0),MAX(C974-'Black-Scholes'!$B$6,0))</f>
        <v>39.1128790167092</v>
      </c>
      <c r="F974" s="18" t="n">
        <f aca="false">(E974+G974)/2</f>
        <v>19.5564395083546</v>
      </c>
      <c r="G974" s="18" t="n">
        <f aca="false">EXP(-'Black-Scholes'!$B$8*'Black-Scholes'!$B$7)*IF(LOWER('Black-Scholes'!$B$11)="put",MAX('Black-Scholes'!$B$6-D974,0),MAX(D974-'Black-Scholes'!$B$6,0))</f>
        <v>0</v>
      </c>
    </row>
    <row r="975" customFormat="false" ht="15" hidden="false" customHeight="false" outlineLevel="0" collapsed="false">
      <c r="A975" s="0" t="n">
        <v>964</v>
      </c>
      <c r="B975" s="15" t="n">
        <v>0.185115528245487</v>
      </c>
      <c r="C975" s="18" t="n">
        <f aca="false">'Black-Scholes'!$B$5*EXP(('Black-Scholes'!$B$8-'Black-Scholes'!$B$10-'Black-Scholes'!$B$9^2/2)*'Black-Scholes'!$B$7+'Black-Scholes'!$B$9*SQRT('Black-Scholes'!$B$7)*B975)</f>
        <v>106.932018522614</v>
      </c>
      <c r="D975" s="18" t="n">
        <f aca="false">'Black-Scholes'!$B$5*EXP(('Black-Scholes'!$B$8-'Black-Scholes'!$B$10-'Black-Scholes'!$B$9^2/2)*'Black-Scholes'!$B$7-'Black-Scholes'!$B$9*SQRT('Black-Scholes'!$B$7)*B975)</f>
        <v>99.3001498723983</v>
      </c>
      <c r="E975" s="18" t="n">
        <f aca="false">EXP(-'Black-Scholes'!$B$8*'Black-Scholes'!$B$7)*IF(LOWER('Black-Scholes'!$B$11)="put",MAX('Black-Scholes'!$B$6-C975,0),MAX(C975-'Black-Scholes'!$B$6,0))</f>
        <v>6.59393998989396</v>
      </c>
      <c r="F975" s="18" t="n">
        <f aca="false">(E975+G975)/2</f>
        <v>3.29696999494698</v>
      </c>
      <c r="G975" s="18" t="n">
        <f aca="false">EXP(-'Black-Scholes'!$B$8*'Black-Scholes'!$B$7)*IF(LOWER('Black-Scholes'!$B$11)="put",MAX('Black-Scholes'!$B$6-D975,0),MAX(D975-'Black-Scholes'!$B$6,0))</f>
        <v>0</v>
      </c>
    </row>
    <row r="976" customFormat="false" ht="15" hidden="false" customHeight="false" outlineLevel="0" collapsed="false">
      <c r="A976" s="0" t="n">
        <v>965</v>
      </c>
      <c r="B976" s="15" t="n">
        <v>-0.0363680928374457</v>
      </c>
      <c r="C976" s="18" t="n">
        <f aca="false">'Black-Scholes'!$B$5*EXP(('Black-Scholes'!$B$8-'Black-Scholes'!$B$10-'Black-Scholes'!$B$9^2/2)*'Black-Scholes'!$B$7+'Black-Scholes'!$B$9*SQRT('Black-Scholes'!$B$7)*B976)</f>
        <v>102.298659312352</v>
      </c>
      <c r="D976" s="18" t="n">
        <f aca="false">'Black-Scholes'!$B$5*EXP(('Black-Scholes'!$B$8-'Black-Scholes'!$B$10-'Black-Scholes'!$B$9^2/2)*'Black-Scholes'!$B$7-'Black-Scholes'!$B$9*SQRT('Black-Scholes'!$B$7)*B976)</f>
        <v>103.79769917641</v>
      </c>
      <c r="E976" s="18" t="n">
        <f aca="false">EXP(-'Black-Scholes'!$B$8*'Black-Scholes'!$B$7)*IF(LOWER('Black-Scholes'!$B$11)="put",MAX('Black-Scholes'!$B$6-C976,0),MAX(C976-'Black-Scholes'!$B$6,0))</f>
        <v>2.18655237481213</v>
      </c>
      <c r="F976" s="18" t="n">
        <f aca="false">(E976+G976)/2</f>
        <v>2.8995177884077</v>
      </c>
      <c r="G976" s="18" t="n">
        <f aca="false">EXP(-'Black-Scholes'!$B$8*'Black-Scholes'!$B$7)*IF(LOWER('Black-Scholes'!$B$11)="put",MAX('Black-Scholes'!$B$6-D976,0),MAX(D976-'Black-Scholes'!$B$6,0))</f>
        <v>3.61248320200327</v>
      </c>
    </row>
    <row r="977" customFormat="false" ht="15" hidden="false" customHeight="false" outlineLevel="0" collapsed="false">
      <c r="A977" s="0" t="n">
        <v>966</v>
      </c>
      <c r="B977" s="15" t="n">
        <v>1.64239511007997</v>
      </c>
      <c r="C977" s="18" t="n">
        <f aca="false">'Black-Scholes'!$B$5*EXP(('Black-Scholes'!$B$8-'Black-Scholes'!$B$10-'Black-Scholes'!$B$9^2/2)*'Black-Scholes'!$B$7+'Black-Scholes'!$B$9*SQRT('Black-Scholes'!$B$7)*B977)</f>
        <v>143.115100915025</v>
      </c>
      <c r="D977" s="18" t="n">
        <f aca="false">'Black-Scholes'!$B$5*EXP(('Black-Scholes'!$B$8-'Black-Scholes'!$B$10-'Black-Scholes'!$B$9^2/2)*'Black-Scholes'!$B$7-'Black-Scholes'!$B$9*SQRT('Black-Scholes'!$B$7)*B977)</f>
        <v>74.1945846214946</v>
      </c>
      <c r="E977" s="18" t="n">
        <f aca="false">EXP(-'Black-Scholes'!$B$8*'Black-Scholes'!$B$7)*IF(LOWER('Black-Scholes'!$B$11)="put",MAX('Black-Scholes'!$B$6-C977,0),MAX(C977-'Black-Scholes'!$B$6,0))</f>
        <v>41.0123526306899</v>
      </c>
      <c r="F977" s="18" t="n">
        <f aca="false">(E977+G977)/2</f>
        <v>20.5061763153449</v>
      </c>
      <c r="G977" s="18" t="n">
        <f aca="false">EXP(-'Black-Scholes'!$B$8*'Black-Scholes'!$B$7)*IF(LOWER('Black-Scholes'!$B$11)="put",MAX('Black-Scholes'!$B$6-D977,0),MAX(D977-'Black-Scholes'!$B$6,0))</f>
        <v>0</v>
      </c>
    </row>
    <row r="978" customFormat="false" ht="15" hidden="false" customHeight="false" outlineLevel="0" collapsed="false">
      <c r="A978" s="0" t="n">
        <v>967</v>
      </c>
      <c r="B978" s="15" t="n">
        <v>1.1003602638771</v>
      </c>
      <c r="C978" s="18" t="n">
        <f aca="false">'Black-Scholes'!$B$5*EXP(('Black-Scholes'!$B$8-'Black-Scholes'!$B$10-'Black-Scholes'!$B$9^2/2)*'Black-Scholes'!$B$7+'Black-Scholes'!$B$9*SQRT('Black-Scholes'!$B$7)*B978)</f>
        <v>128.411793761588</v>
      </c>
      <c r="D978" s="18" t="n">
        <f aca="false">'Black-Scholes'!$B$5*EXP(('Black-Scholes'!$B$8-'Black-Scholes'!$B$10-'Black-Scholes'!$B$9^2/2)*'Black-Scholes'!$B$7-'Black-Scholes'!$B$9*SQRT('Black-Scholes'!$B$7)*B978)</f>
        <v>82.6899551389173</v>
      </c>
      <c r="E978" s="18" t="n">
        <f aca="false">EXP(-'Black-Scholes'!$B$8*'Black-Scholes'!$B$7)*IF(LOWER('Black-Scholes'!$B$11)="put",MAX('Black-Scholes'!$B$6-C978,0),MAX(C978-'Black-Scholes'!$B$6,0))</f>
        <v>27.0261342288682</v>
      </c>
      <c r="F978" s="18" t="n">
        <f aca="false">(E978+G978)/2</f>
        <v>13.5130671144341</v>
      </c>
      <c r="G978" s="18" t="n">
        <f aca="false">EXP(-'Black-Scholes'!$B$8*'Black-Scholes'!$B$7)*IF(LOWER('Black-Scholes'!$B$11)="put",MAX('Black-Scholes'!$B$6-D978,0),MAX(D978-'Black-Scholes'!$B$6,0))</f>
        <v>0</v>
      </c>
    </row>
    <row r="979" customFormat="false" ht="15" hidden="false" customHeight="false" outlineLevel="0" collapsed="false">
      <c r="A979" s="0" t="n">
        <v>968</v>
      </c>
      <c r="B979" s="15" t="n">
        <v>-1.01114433286882</v>
      </c>
      <c r="C979" s="18" t="n">
        <f aca="false">'Black-Scholes'!$B$5*EXP(('Black-Scholes'!$B$8-'Black-Scholes'!$B$10-'Black-Scholes'!$B$9^2/2)*'Black-Scholes'!$B$7+'Black-Scholes'!$B$9*SQRT('Black-Scholes'!$B$7)*B979)</f>
        <v>84.178649432967</v>
      </c>
      <c r="D979" s="18" t="n">
        <f aca="false">'Black-Scholes'!$B$5*EXP(('Black-Scholes'!$B$8-'Black-Scholes'!$B$10-'Black-Scholes'!$B$9^2/2)*'Black-Scholes'!$B$7-'Black-Scholes'!$B$9*SQRT('Black-Scholes'!$B$7)*B979)</f>
        <v>126.140839001096</v>
      </c>
      <c r="E979" s="18" t="n">
        <f aca="false">EXP(-'Black-Scholes'!$B$8*'Black-Scholes'!$B$7)*IF(LOWER('Black-Scholes'!$B$11)="put",MAX('Black-Scholes'!$B$6-C979,0),MAX(C979-'Black-Scholes'!$B$6,0))</f>
        <v>0</v>
      </c>
      <c r="F979" s="18" t="n">
        <f aca="false">(E979+G979)/2</f>
        <v>12.4329676194892</v>
      </c>
      <c r="G979" s="18" t="n">
        <f aca="false">EXP(-'Black-Scholes'!$B$8*'Black-Scholes'!$B$7)*IF(LOWER('Black-Scholes'!$B$11)="put",MAX('Black-Scholes'!$B$6-D979,0),MAX(D979-'Black-Scholes'!$B$6,0))</f>
        <v>24.8659352389784</v>
      </c>
    </row>
    <row r="980" customFormat="false" ht="15" hidden="false" customHeight="false" outlineLevel="0" collapsed="false">
      <c r="A980" s="0" t="n">
        <v>969</v>
      </c>
      <c r="B980" s="15" t="n">
        <v>0.543372623822988</v>
      </c>
      <c r="C980" s="18" t="n">
        <f aca="false">'Black-Scholes'!$B$5*EXP(('Black-Scholes'!$B$8-'Black-Scholes'!$B$10-'Black-Scholes'!$B$9^2/2)*'Black-Scholes'!$B$7+'Black-Scholes'!$B$9*SQRT('Black-Scholes'!$B$7)*B980)</f>
        <v>114.875014942578</v>
      </c>
      <c r="D980" s="18" t="n">
        <f aca="false">'Black-Scholes'!$B$5*EXP(('Black-Scholes'!$B$8-'Black-Scholes'!$B$10-'Black-Scholes'!$B$9^2/2)*'Black-Scholes'!$B$7-'Black-Scholes'!$B$9*SQRT('Black-Scholes'!$B$7)*B980)</f>
        <v>92.434072550601</v>
      </c>
      <c r="E980" s="18" t="n">
        <f aca="false">EXP(-'Black-Scholes'!$B$8*'Black-Scholes'!$B$7)*IF(LOWER('Black-Scholes'!$B$11)="put",MAX('Black-Scholes'!$B$6-C980,0),MAX(C980-'Black-Scholes'!$B$6,0))</f>
        <v>14.1495519032677</v>
      </c>
      <c r="F980" s="18" t="n">
        <f aca="false">(E980+G980)/2</f>
        <v>7.07477595163386</v>
      </c>
      <c r="G980" s="18" t="n">
        <f aca="false">EXP(-'Black-Scholes'!$B$8*'Black-Scholes'!$B$7)*IF(LOWER('Black-Scholes'!$B$11)="put",MAX('Black-Scholes'!$B$6-D980,0),MAX(D980-'Black-Scholes'!$B$6,0))</f>
        <v>0</v>
      </c>
    </row>
    <row r="981" customFormat="false" ht="15" hidden="false" customHeight="false" outlineLevel="0" collapsed="false">
      <c r="A981" s="0" t="n">
        <v>970</v>
      </c>
      <c r="B981" s="15" t="n">
        <v>-0.824450812296281</v>
      </c>
      <c r="C981" s="18" t="n">
        <f aca="false">'Black-Scholes'!$B$5*EXP(('Black-Scholes'!$B$8-'Black-Scholes'!$B$10-'Black-Scholes'!$B$9^2/2)*'Black-Scholes'!$B$7+'Black-Scholes'!$B$9*SQRT('Black-Scholes'!$B$7)*B981)</f>
        <v>87.3811883765655</v>
      </c>
      <c r="D981" s="18" t="n">
        <f aca="false">'Black-Scholes'!$B$5*EXP(('Black-Scholes'!$B$8-'Black-Scholes'!$B$10-'Black-Scholes'!$B$9^2/2)*'Black-Scholes'!$B$7-'Black-Scholes'!$B$9*SQRT('Black-Scholes'!$B$7)*B981)</f>
        <v>121.51775070504</v>
      </c>
      <c r="E981" s="18" t="n">
        <f aca="false">EXP(-'Black-Scholes'!$B$8*'Black-Scholes'!$B$7)*IF(LOWER('Black-Scholes'!$B$11)="put",MAX('Black-Scholes'!$B$6-C981,0),MAX(C981-'Black-Scholes'!$B$6,0))</f>
        <v>0</v>
      </c>
      <c r="F981" s="18" t="n">
        <f aca="false">(E981+G981)/2</f>
        <v>10.2341588098524</v>
      </c>
      <c r="G981" s="18" t="n">
        <f aca="false">EXP(-'Black-Scholes'!$B$8*'Black-Scholes'!$B$7)*IF(LOWER('Black-Scholes'!$B$11)="put",MAX('Black-Scholes'!$B$6-D981,0),MAX(D981-'Black-Scholes'!$B$6,0))</f>
        <v>20.4683176197047</v>
      </c>
    </row>
    <row r="982" customFormat="false" ht="15" hidden="false" customHeight="false" outlineLevel="0" collapsed="false">
      <c r="A982" s="0" t="n">
        <v>971</v>
      </c>
      <c r="B982" s="15" t="n">
        <v>-0.749780939479344</v>
      </c>
      <c r="C982" s="18" t="n">
        <f aca="false">'Black-Scholes'!$B$5*EXP(('Black-Scholes'!$B$8-'Black-Scholes'!$B$10-'Black-Scholes'!$B$9^2/2)*'Black-Scholes'!$B$7+'Black-Scholes'!$B$9*SQRT('Black-Scholes'!$B$7)*B982)</f>
        <v>88.6959295418922</v>
      </c>
      <c r="D982" s="18" t="n">
        <f aca="false">'Black-Scholes'!$B$5*EXP(('Black-Scholes'!$B$8-'Black-Scholes'!$B$10-'Black-Scholes'!$B$9^2/2)*'Black-Scholes'!$B$7-'Black-Scholes'!$B$9*SQRT('Black-Scholes'!$B$7)*B982)</f>
        <v>119.716491165904</v>
      </c>
      <c r="E982" s="18" t="n">
        <f aca="false">EXP(-'Black-Scholes'!$B$8*'Black-Scholes'!$B$7)*IF(LOWER('Black-Scholes'!$B$11)="put",MAX('Black-Scholes'!$B$6-C982,0),MAX(C982-'Black-Scholes'!$B$6,0))</f>
        <v>0</v>
      </c>
      <c r="F982" s="18" t="n">
        <f aca="false">(E982+G982)/2</f>
        <v>9.37745327245825</v>
      </c>
      <c r="G982" s="18" t="n">
        <f aca="false">EXP(-'Black-Scholes'!$B$8*'Black-Scholes'!$B$7)*IF(LOWER('Black-Scholes'!$B$11)="put",MAX('Black-Scholes'!$B$6-D982,0),MAX(D982-'Black-Scholes'!$B$6,0))</f>
        <v>18.7549065449165</v>
      </c>
    </row>
    <row r="983" customFormat="false" ht="15" hidden="false" customHeight="false" outlineLevel="0" collapsed="false">
      <c r="A983" s="0" t="n">
        <v>972</v>
      </c>
      <c r="B983" s="15" t="n">
        <v>-0.454636265475277</v>
      </c>
      <c r="C983" s="18" t="n">
        <f aca="false">'Black-Scholes'!$B$5*EXP(('Black-Scholes'!$B$8-'Black-Scholes'!$B$10-'Black-Scholes'!$B$9^2/2)*'Black-Scholes'!$B$7+'Black-Scholes'!$B$9*SQRT('Black-Scholes'!$B$7)*B983)</f>
        <v>94.0891684244335</v>
      </c>
      <c r="D983" s="18" t="n">
        <f aca="false">'Black-Scholes'!$B$5*EXP(('Black-Scholes'!$B$8-'Black-Scholes'!$B$10-'Black-Scholes'!$B$9^2/2)*'Black-Scholes'!$B$7-'Black-Scholes'!$B$9*SQRT('Black-Scholes'!$B$7)*B983)</f>
        <v>112.854281138446</v>
      </c>
      <c r="E983" s="18" t="n">
        <f aca="false">EXP(-'Black-Scholes'!$B$8*'Black-Scholes'!$B$7)*IF(LOWER('Black-Scholes'!$B$11)="put",MAX('Black-Scholes'!$B$6-C983,0),MAX(C983-'Black-Scholes'!$B$6,0))</f>
        <v>0</v>
      </c>
      <c r="F983" s="18" t="n">
        <f aca="false">(E983+G983)/2</f>
        <v>6.1136852248471</v>
      </c>
      <c r="G983" s="18" t="n">
        <f aca="false">EXP(-'Black-Scholes'!$B$8*'Black-Scholes'!$B$7)*IF(LOWER('Black-Scholes'!$B$11)="put",MAX('Black-Scholes'!$B$6-D983,0),MAX(D983-'Black-Scholes'!$B$6,0))</f>
        <v>12.2273704496942</v>
      </c>
    </row>
    <row r="984" customFormat="false" ht="15" hidden="false" customHeight="false" outlineLevel="0" collapsed="false">
      <c r="A984" s="0" t="n">
        <v>973</v>
      </c>
      <c r="B984" s="15" t="n">
        <v>2.28862916544392</v>
      </c>
      <c r="C984" s="18" t="n">
        <f aca="false">'Black-Scholes'!$B$5*EXP(('Black-Scholes'!$B$8-'Black-Scholes'!$B$10-'Black-Scholes'!$B$9^2/2)*'Black-Scholes'!$B$7+'Black-Scholes'!$B$9*SQRT('Black-Scholes'!$B$7)*B984)</f>
        <v>162.860827825655</v>
      </c>
      <c r="D984" s="18" t="n">
        <f aca="false">'Black-Scholes'!$B$5*EXP(('Black-Scholes'!$B$8-'Black-Scholes'!$B$10-'Black-Scholes'!$B$9^2/2)*'Black-Scholes'!$B$7-'Black-Scholes'!$B$9*SQRT('Black-Scholes'!$B$7)*B984)</f>
        <v>65.1990144420777</v>
      </c>
      <c r="E984" s="18" t="n">
        <f aca="false">EXP(-'Black-Scholes'!$B$8*'Black-Scholes'!$B$7)*IF(LOWER('Black-Scholes'!$B$11)="put",MAX('Black-Scholes'!$B$6-C984,0),MAX(C984-'Black-Scholes'!$B$6,0))</f>
        <v>59.7950690762361</v>
      </c>
      <c r="F984" s="18" t="n">
        <f aca="false">(E984+G984)/2</f>
        <v>29.8975345381181</v>
      </c>
      <c r="G984" s="18" t="n">
        <f aca="false">EXP(-'Black-Scholes'!$B$8*'Black-Scholes'!$B$7)*IF(LOWER('Black-Scholes'!$B$11)="put",MAX('Black-Scholes'!$B$6-D984,0),MAX(D984-'Black-Scholes'!$B$6,0))</f>
        <v>0</v>
      </c>
    </row>
    <row r="985" customFormat="false" ht="15" hidden="false" customHeight="false" outlineLevel="0" collapsed="false">
      <c r="A985" s="0" t="n">
        <v>974</v>
      </c>
      <c r="B985" s="15" t="n">
        <v>0.687485264547192</v>
      </c>
      <c r="C985" s="18" t="n">
        <f aca="false">'Black-Scholes'!$B$5*EXP(('Black-Scholes'!$B$8-'Black-Scholes'!$B$10-'Black-Scholes'!$B$9^2/2)*'Black-Scholes'!$B$7+'Black-Scholes'!$B$9*SQRT('Black-Scholes'!$B$7)*B985)</f>
        <v>118.234180571141</v>
      </c>
      <c r="D985" s="18" t="n">
        <f aca="false">'Black-Scholes'!$B$5*EXP(('Black-Scholes'!$B$8-'Black-Scholes'!$B$10-'Black-Scholes'!$B$9^2/2)*'Black-Scholes'!$B$7-'Black-Scholes'!$B$9*SQRT('Black-Scholes'!$B$7)*B985)</f>
        <v>89.8079169167546</v>
      </c>
      <c r="E985" s="18" t="n">
        <f aca="false">EXP(-'Black-Scholes'!$B$8*'Black-Scholes'!$B$7)*IF(LOWER('Black-Scholes'!$B$11)="put",MAX('Black-Scholes'!$B$6-C985,0),MAX(C985-'Black-Scholes'!$B$6,0))</f>
        <v>17.3448890909287</v>
      </c>
      <c r="F985" s="18" t="n">
        <f aca="false">(E985+G985)/2</f>
        <v>8.67244454546434</v>
      </c>
      <c r="G985" s="18" t="n">
        <f aca="false">EXP(-'Black-Scholes'!$B$8*'Black-Scholes'!$B$7)*IF(LOWER('Black-Scholes'!$B$11)="put",MAX('Black-Scholes'!$B$6-D985,0),MAX(D985-'Black-Scholes'!$B$6,0))</f>
        <v>0</v>
      </c>
    </row>
    <row r="986" customFormat="false" ht="15" hidden="false" customHeight="false" outlineLevel="0" collapsed="false">
      <c r="A986" s="0" t="n">
        <v>975</v>
      </c>
      <c r="B986" s="15" t="n">
        <v>-0.690401106619886</v>
      </c>
      <c r="C986" s="18" t="n">
        <f aca="false">'Black-Scholes'!$B$5*EXP(('Black-Scholes'!$B$8-'Black-Scholes'!$B$10-'Black-Scholes'!$B$9^2/2)*'Black-Scholes'!$B$7+'Black-Scholes'!$B$9*SQRT('Black-Scholes'!$B$7)*B986)</f>
        <v>89.7555590444457</v>
      </c>
      <c r="D986" s="18" t="n">
        <f aca="false">'Black-Scholes'!$B$5*EXP(('Black-Scholes'!$B$8-'Black-Scholes'!$B$10-'Black-Scholes'!$B$9^2/2)*'Black-Scholes'!$B$7-'Black-Scholes'!$B$9*SQRT('Black-Scholes'!$B$7)*B986)</f>
        <v>118.303151119537</v>
      </c>
      <c r="E986" s="18" t="n">
        <f aca="false">EXP(-'Black-Scholes'!$B$8*'Black-Scholes'!$B$7)*IF(LOWER('Black-Scholes'!$B$11)="put",MAX('Black-Scholes'!$B$6-C986,0),MAX(C986-'Black-Scholes'!$B$6,0))</f>
        <v>0</v>
      </c>
      <c r="F986" s="18" t="n">
        <f aca="false">(E986+G986)/2</f>
        <v>8.70524795299344</v>
      </c>
      <c r="G986" s="18" t="n">
        <f aca="false">EXP(-'Black-Scholes'!$B$8*'Black-Scholes'!$B$7)*IF(LOWER('Black-Scholes'!$B$11)="put",MAX('Black-Scholes'!$B$6-D986,0),MAX(D986-'Black-Scholes'!$B$6,0))</f>
        <v>17.4104959059869</v>
      </c>
    </row>
    <row r="987" customFormat="false" ht="15" hidden="false" customHeight="false" outlineLevel="0" collapsed="false">
      <c r="A987" s="0" t="n">
        <v>976</v>
      </c>
      <c r="B987" s="15" t="n">
        <v>-0.0126343351410136</v>
      </c>
      <c r="C987" s="18" t="n">
        <f aca="false">'Black-Scholes'!$B$5*EXP(('Black-Scholes'!$B$8-'Black-Scholes'!$B$10-'Black-Scholes'!$B$9^2/2)*'Black-Scholes'!$B$7+'Black-Scholes'!$B$9*SQRT('Black-Scholes'!$B$7)*B987)</f>
        <v>102.785399935389</v>
      </c>
      <c r="D987" s="18" t="n">
        <f aca="false">'Black-Scholes'!$B$5*EXP(('Black-Scholes'!$B$8-'Black-Scholes'!$B$10-'Black-Scholes'!$B$9^2/2)*'Black-Scholes'!$B$7-'Black-Scholes'!$B$9*SQRT('Black-Scholes'!$B$7)*B987)</f>
        <v>103.306164806756</v>
      </c>
      <c r="E987" s="18" t="n">
        <f aca="false">EXP(-'Black-Scholes'!$B$8*'Black-Scholes'!$B$7)*IF(LOWER('Black-Scholes'!$B$11)="put",MAX('Black-Scholes'!$B$6-C987,0),MAX(C987-'Black-Scholes'!$B$6,0))</f>
        <v>2.64955437754429</v>
      </c>
      <c r="F987" s="18" t="n">
        <f aca="false">(E987+G987)/2</f>
        <v>2.89723781198958</v>
      </c>
      <c r="G987" s="18" t="n">
        <f aca="false">EXP(-'Black-Scholes'!$B$8*'Black-Scholes'!$B$7)*IF(LOWER('Black-Scholes'!$B$11)="put",MAX('Black-Scholes'!$B$6-D987,0),MAX(D987-'Black-Scholes'!$B$6,0))</f>
        <v>3.14492124643488</v>
      </c>
    </row>
    <row r="988" customFormat="false" ht="15" hidden="false" customHeight="false" outlineLevel="0" collapsed="false">
      <c r="A988" s="0" t="n">
        <v>977</v>
      </c>
      <c r="B988" s="15" t="n">
        <v>0.863122724041019</v>
      </c>
      <c r="C988" s="18" t="n">
        <f aca="false">'Black-Scholes'!$B$5*EXP(('Black-Scholes'!$B$8-'Black-Scholes'!$B$10-'Black-Scholes'!$B$9^2/2)*'Black-Scholes'!$B$7+'Black-Scholes'!$B$9*SQRT('Black-Scholes'!$B$7)*B988)</f>
        <v>122.461259476531</v>
      </c>
      <c r="D988" s="18" t="n">
        <f aca="false">'Black-Scholes'!$B$5*EXP(('Black-Scholes'!$B$8-'Black-Scholes'!$B$10-'Black-Scholes'!$B$9^2/2)*'Black-Scholes'!$B$7-'Black-Scholes'!$B$9*SQRT('Black-Scholes'!$B$7)*B988)</f>
        <v>86.707955731</v>
      </c>
      <c r="E988" s="18" t="n">
        <f aca="false">EXP(-'Black-Scholes'!$B$8*'Black-Scholes'!$B$7)*IF(LOWER('Black-Scholes'!$B$11)="put",MAX('Black-Scholes'!$B$6-C988,0),MAX(C988-'Black-Scholes'!$B$6,0))</f>
        <v>21.3658109254222</v>
      </c>
      <c r="F988" s="18" t="n">
        <f aca="false">(E988+G988)/2</f>
        <v>10.6829054627111</v>
      </c>
      <c r="G988" s="18" t="n">
        <f aca="false">EXP(-'Black-Scholes'!$B$8*'Black-Scholes'!$B$7)*IF(LOWER('Black-Scholes'!$B$11)="put",MAX('Black-Scholes'!$B$6-D988,0),MAX(D988-'Black-Scholes'!$B$6,0))</f>
        <v>0</v>
      </c>
    </row>
    <row r="989" customFormat="false" ht="15" hidden="false" customHeight="false" outlineLevel="0" collapsed="false">
      <c r="A989" s="0" t="n">
        <v>978</v>
      </c>
      <c r="B989" s="15" t="n">
        <v>-2.01588124324411</v>
      </c>
      <c r="C989" s="18" t="n">
        <f aca="false">'Black-Scholes'!$B$5*EXP(('Black-Scholes'!$B$8-'Black-Scholes'!$B$10-'Black-Scholes'!$B$9^2/2)*'Black-Scholes'!$B$7+'Black-Scholes'!$B$9*SQRT('Black-Scholes'!$B$7)*B989)</f>
        <v>68.8543867222755</v>
      </c>
      <c r="D989" s="18" t="n">
        <f aca="false">'Black-Scholes'!$B$5*EXP(('Black-Scholes'!$B$8-'Black-Scholes'!$B$10-'Black-Scholes'!$B$9^2/2)*'Black-Scholes'!$B$7-'Black-Scholes'!$B$9*SQRT('Black-Scholes'!$B$7)*B989)</f>
        <v>154.214799825069</v>
      </c>
      <c r="E989" s="18" t="n">
        <f aca="false">EXP(-'Black-Scholes'!$B$8*'Black-Scholes'!$B$7)*IF(LOWER('Black-Scholes'!$B$11)="put",MAX('Black-Scholes'!$B$6-C989,0),MAX(C989-'Black-Scholes'!$B$6,0))</f>
        <v>0</v>
      </c>
      <c r="F989" s="18" t="n">
        <f aca="false">(E989+G989)/2</f>
        <v>25.7853564185109</v>
      </c>
      <c r="G989" s="18" t="n">
        <f aca="false">EXP(-'Black-Scholes'!$B$8*'Black-Scholes'!$B$7)*IF(LOWER('Black-Scholes'!$B$11)="put",MAX('Black-Scholes'!$B$6-D989,0),MAX(D989-'Black-Scholes'!$B$6,0))</f>
        <v>51.5707128370218</v>
      </c>
    </row>
    <row r="990" customFormat="false" ht="15" hidden="false" customHeight="false" outlineLevel="0" collapsed="false">
      <c r="A990" s="0" t="n">
        <v>979</v>
      </c>
      <c r="B990" s="15" t="n">
        <v>-0.323034461304137</v>
      </c>
      <c r="C990" s="18" t="n">
        <f aca="false">'Black-Scholes'!$B$5*EXP(('Black-Scholes'!$B$8-'Black-Scholes'!$B$10-'Black-Scholes'!$B$9^2/2)*'Black-Scholes'!$B$7+'Black-Scholes'!$B$9*SQRT('Black-Scholes'!$B$7)*B990)</f>
        <v>96.5985077838748</v>
      </c>
      <c r="D990" s="18" t="n">
        <f aca="false">'Black-Scholes'!$B$5*EXP(('Black-Scholes'!$B$8-'Black-Scholes'!$B$10-'Black-Scholes'!$B$9^2/2)*'Black-Scholes'!$B$7-'Black-Scholes'!$B$9*SQRT('Black-Scholes'!$B$7)*B990)</f>
        <v>109.922665567574</v>
      </c>
      <c r="E990" s="18" t="n">
        <f aca="false">EXP(-'Black-Scholes'!$B$8*'Black-Scholes'!$B$7)*IF(LOWER('Black-Scholes'!$B$11)="put",MAX('Black-Scholes'!$B$6-C990,0),MAX(C990-'Black-Scholes'!$B$6,0))</f>
        <v>0</v>
      </c>
      <c r="F990" s="18" t="n">
        <f aca="false">(E990+G990)/2</f>
        <v>4.71936572867839</v>
      </c>
      <c r="G990" s="18" t="n">
        <f aca="false">EXP(-'Black-Scholes'!$B$8*'Black-Scholes'!$B$7)*IF(LOWER('Black-Scholes'!$B$11)="put",MAX('Black-Scholes'!$B$6-D990,0),MAX(D990-'Black-Scholes'!$B$6,0))</f>
        <v>9.43873145735678</v>
      </c>
    </row>
    <row r="991" customFormat="false" ht="15" hidden="false" customHeight="false" outlineLevel="0" collapsed="false">
      <c r="A991" s="0" t="n">
        <v>980</v>
      </c>
      <c r="B991" s="15" t="n">
        <v>-0.0938513159554528</v>
      </c>
      <c r="C991" s="18" t="n">
        <f aca="false">'Black-Scholes'!$B$5*EXP(('Black-Scholes'!$B$8-'Black-Scholes'!$B$10-'Black-Scholes'!$B$9^2/2)*'Black-Scholes'!$B$7+'Black-Scholes'!$B$9*SQRT('Black-Scholes'!$B$7)*B991)</f>
        <v>101.129302699214</v>
      </c>
      <c r="D991" s="18" t="n">
        <f aca="false">'Black-Scholes'!$B$5*EXP(('Black-Scholes'!$B$8-'Black-Scholes'!$B$10-'Black-Scholes'!$B$9^2/2)*'Black-Scholes'!$B$7-'Black-Scholes'!$B$9*SQRT('Black-Scholes'!$B$7)*B991)</f>
        <v>104.997910418067</v>
      </c>
      <c r="E991" s="18" t="n">
        <f aca="false">EXP(-'Black-Scholes'!$B$8*'Black-Scholes'!$B$7)*IF(LOWER('Black-Scholes'!$B$11)="put",MAX('Black-Scholes'!$B$6-C991,0),MAX(C991-'Black-Scholes'!$B$6,0))</f>
        <v>1.07422595666032</v>
      </c>
      <c r="F991" s="18" t="n">
        <f aca="false">(E991+G991)/2</f>
        <v>2.91419270367196</v>
      </c>
      <c r="G991" s="18" t="n">
        <f aca="false">EXP(-'Black-Scholes'!$B$8*'Black-Scholes'!$B$7)*IF(LOWER('Black-Scholes'!$B$11)="put",MAX('Black-Scholes'!$B$6-D991,0),MAX(D991-'Black-Scholes'!$B$6,0))</f>
        <v>4.7541594506836</v>
      </c>
    </row>
    <row r="992" customFormat="false" ht="15" hidden="false" customHeight="false" outlineLevel="0" collapsed="false">
      <c r="A992" s="0" t="n">
        <v>981</v>
      </c>
      <c r="B992" s="15" t="n">
        <v>-1.30825010076261</v>
      </c>
      <c r="C992" s="18" t="n">
        <f aca="false">'Black-Scholes'!$B$5*EXP(('Black-Scholes'!$B$8-'Black-Scholes'!$B$10-'Black-Scholes'!$B$9^2/2)*'Black-Scholes'!$B$7+'Black-Scholes'!$B$9*SQRT('Black-Scholes'!$B$7)*B992)</f>
        <v>79.3223687038</v>
      </c>
      <c r="D992" s="18" t="n">
        <f aca="false">'Black-Scholes'!$B$5*EXP(('Black-Scholes'!$B$8-'Black-Scholes'!$B$10-'Black-Scholes'!$B$9^2/2)*'Black-Scholes'!$B$7-'Black-Scholes'!$B$9*SQRT('Black-Scholes'!$B$7)*B992)</f>
        <v>133.863444057047</v>
      </c>
      <c r="E992" s="18" t="n">
        <f aca="false">EXP(-'Black-Scholes'!$B$8*'Black-Scholes'!$B$7)*IF(LOWER('Black-Scholes'!$B$11)="put",MAX('Black-Scholes'!$B$6-C992,0),MAX(C992-'Black-Scholes'!$B$6,0))</f>
        <v>0</v>
      </c>
      <c r="F992" s="18" t="n">
        <f aca="false">(E992+G992)/2</f>
        <v>16.1059522009985</v>
      </c>
      <c r="G992" s="18" t="n">
        <f aca="false">EXP(-'Black-Scholes'!$B$8*'Black-Scholes'!$B$7)*IF(LOWER('Black-Scholes'!$B$11)="put",MAX('Black-Scholes'!$B$6-D992,0),MAX(D992-'Black-Scholes'!$B$6,0))</f>
        <v>32.2119044019971</v>
      </c>
    </row>
    <row r="993" customFormat="false" ht="15" hidden="false" customHeight="false" outlineLevel="0" collapsed="false">
      <c r="A993" s="0" t="n">
        <v>982</v>
      </c>
      <c r="B993" s="15" t="n">
        <v>-1.04090602117082</v>
      </c>
      <c r="C993" s="18" t="n">
        <f aca="false">'Black-Scholes'!$B$5*EXP(('Black-Scholes'!$B$8-'Black-Scholes'!$B$10-'Black-Scholes'!$B$9^2/2)*'Black-Scholes'!$B$7+'Black-Scholes'!$B$9*SQRT('Black-Scholes'!$B$7)*B993)</f>
        <v>83.6790779717542</v>
      </c>
      <c r="D993" s="18" t="n">
        <f aca="false">'Black-Scholes'!$B$5*EXP(('Black-Scholes'!$B$8-'Black-Scholes'!$B$10-'Black-Scholes'!$B$9^2/2)*'Black-Scholes'!$B$7-'Black-Scholes'!$B$9*SQRT('Black-Scholes'!$B$7)*B993)</f>
        <v>126.893910913285</v>
      </c>
      <c r="E993" s="18" t="n">
        <f aca="false">EXP(-'Black-Scholes'!$B$8*'Black-Scholes'!$B$7)*IF(LOWER('Black-Scholes'!$B$11)="put",MAX('Black-Scholes'!$B$6-C993,0),MAX(C993-'Black-Scholes'!$B$6,0))</f>
        <v>0</v>
      </c>
      <c r="F993" s="18" t="n">
        <f aca="false">(E993+G993)/2</f>
        <v>12.7911397003087</v>
      </c>
      <c r="G993" s="18" t="n">
        <f aca="false">EXP(-'Black-Scholes'!$B$8*'Black-Scholes'!$B$7)*IF(LOWER('Black-Scholes'!$B$11)="put",MAX('Black-Scholes'!$B$6-D993,0),MAX(D993-'Black-Scholes'!$B$6,0))</f>
        <v>25.5822794006175</v>
      </c>
    </row>
    <row r="994" customFormat="false" ht="15" hidden="false" customHeight="false" outlineLevel="0" collapsed="false">
      <c r="A994" s="0" t="n">
        <v>983</v>
      </c>
      <c r="B994" s="15" t="n">
        <v>0.192744771575278</v>
      </c>
      <c r="C994" s="18" t="n">
        <f aca="false">'Black-Scholes'!$B$5*EXP(('Black-Scholes'!$B$8-'Black-Scholes'!$B$10-'Black-Scholes'!$B$9^2/2)*'Black-Scholes'!$B$7+'Black-Scholes'!$B$9*SQRT('Black-Scholes'!$B$7)*B994)</f>
        <v>107.095305144081</v>
      </c>
      <c r="D994" s="18" t="n">
        <f aca="false">'Black-Scholes'!$B$5*EXP(('Black-Scholes'!$B$8-'Black-Scholes'!$B$10-'Black-Scholes'!$B$9^2/2)*'Black-Scholes'!$B$7-'Black-Scholes'!$B$9*SQRT('Black-Scholes'!$B$7)*B994)</f>
        <v>99.1487484084216</v>
      </c>
      <c r="E994" s="18" t="n">
        <f aca="false">EXP(-'Black-Scholes'!$B$8*'Black-Scholes'!$B$7)*IF(LOWER('Black-Scholes'!$B$11)="put",MAX('Black-Scholes'!$B$6-C994,0),MAX(C994-'Black-Scholes'!$B$6,0))</f>
        <v>6.74926302886088</v>
      </c>
      <c r="F994" s="18" t="n">
        <f aca="false">(E994+G994)/2</f>
        <v>3.37463151443044</v>
      </c>
      <c r="G994" s="18" t="n">
        <f aca="false">EXP(-'Black-Scholes'!$B$8*'Black-Scholes'!$B$7)*IF(LOWER('Black-Scholes'!$B$11)="put",MAX('Black-Scholes'!$B$6-D994,0),MAX(D994-'Black-Scholes'!$B$6,0))</f>
        <v>0</v>
      </c>
    </row>
    <row r="995" customFormat="false" ht="15" hidden="false" customHeight="false" outlineLevel="0" collapsed="false">
      <c r="A995" s="0" t="n">
        <v>984</v>
      </c>
      <c r="B995" s="15" t="n">
        <v>0.445035497571269</v>
      </c>
      <c r="C995" s="18" t="n">
        <f aca="false">'Black-Scholes'!$B$5*EXP(('Black-Scholes'!$B$8-'Black-Scholes'!$B$10-'Black-Scholes'!$B$9^2/2)*'Black-Scholes'!$B$7+'Black-Scholes'!$B$9*SQRT('Black-Scholes'!$B$7)*B995)</f>
        <v>112.637791499603</v>
      </c>
      <c r="D995" s="18" t="n">
        <f aca="false">'Black-Scholes'!$B$5*EXP(('Black-Scholes'!$B$8-'Black-Scholes'!$B$10-'Black-Scholes'!$B$9^2/2)*'Black-Scholes'!$B$7-'Black-Scholes'!$B$9*SQRT('Black-Scholes'!$B$7)*B995)</f>
        <v>94.2700076420713</v>
      </c>
      <c r="E995" s="18" t="n">
        <f aca="false">EXP(-'Black-Scholes'!$B$8*'Black-Scholes'!$B$7)*IF(LOWER('Black-Scholes'!$B$11)="put",MAX('Black-Scholes'!$B$6-C995,0),MAX(C995-'Black-Scholes'!$B$6,0))</f>
        <v>12.0214391351273</v>
      </c>
      <c r="F995" s="18" t="n">
        <f aca="false">(E995+G995)/2</f>
        <v>6.01071956756365</v>
      </c>
      <c r="G995" s="18" t="n">
        <f aca="false">EXP(-'Black-Scholes'!$B$8*'Black-Scholes'!$B$7)*IF(LOWER('Black-Scholes'!$B$11)="put",MAX('Black-Scholes'!$B$6-D995,0),MAX(D995-'Black-Scholes'!$B$6,0))</f>
        <v>0</v>
      </c>
    </row>
    <row r="996" customFormat="false" ht="15" hidden="false" customHeight="false" outlineLevel="0" collapsed="false">
      <c r="A996" s="0" t="n">
        <v>985</v>
      </c>
      <c r="B996" s="15" t="n">
        <v>-1.10216638048118</v>
      </c>
      <c r="C996" s="18" t="n">
        <f aca="false">'Black-Scholes'!$B$5*EXP(('Black-Scholes'!$B$8-'Black-Scholes'!$B$10-'Black-Scholes'!$B$9^2/2)*'Black-Scholes'!$B$7+'Black-Scholes'!$B$9*SQRT('Black-Scholes'!$B$7)*B996)</f>
        <v>82.6600909928616</v>
      </c>
      <c r="D996" s="18" t="n">
        <f aca="false">'Black-Scholes'!$B$5*EXP(('Black-Scholes'!$B$8-'Black-Scholes'!$B$10-'Black-Scholes'!$B$9^2/2)*'Black-Scholes'!$B$7-'Black-Scholes'!$B$9*SQRT('Black-Scholes'!$B$7)*B996)</f>
        <v>128.458187474904</v>
      </c>
      <c r="E996" s="18" t="n">
        <f aca="false">EXP(-'Black-Scholes'!$B$8*'Black-Scholes'!$B$7)*IF(LOWER('Black-Scholes'!$B$11)="put",MAX('Black-Scholes'!$B$6-C996,0),MAX(C996-'Black-Scholes'!$B$6,0))</f>
        <v>0</v>
      </c>
      <c r="F996" s="18" t="n">
        <f aca="false">(E996+G996)/2</f>
        <v>13.5351326470429</v>
      </c>
      <c r="G996" s="18" t="n">
        <f aca="false">EXP(-'Black-Scholes'!$B$8*'Black-Scholes'!$B$7)*IF(LOWER('Black-Scholes'!$B$11)="put",MAX('Black-Scholes'!$B$6-D996,0),MAX(D996-'Black-Scholes'!$B$6,0))</f>
        <v>27.0702652940859</v>
      </c>
    </row>
    <row r="997" customFormat="false" ht="15" hidden="false" customHeight="false" outlineLevel="0" collapsed="false">
      <c r="A997" s="0" t="n">
        <v>986</v>
      </c>
      <c r="B997" s="15" t="n">
        <v>0.284135089210617</v>
      </c>
      <c r="C997" s="18" t="n">
        <f aca="false">'Black-Scholes'!$B$5*EXP(('Black-Scholes'!$B$8-'Black-Scholes'!$B$10-'Black-Scholes'!$B$9^2/2)*'Black-Scholes'!$B$7+'Black-Scholes'!$B$9*SQRT('Black-Scholes'!$B$7)*B997)</f>
        <v>109.070799037701</v>
      </c>
      <c r="D997" s="18" t="n">
        <f aca="false">'Black-Scholes'!$B$5*EXP(('Black-Scholes'!$B$8-'Black-Scholes'!$B$10-'Black-Scholes'!$B$9^2/2)*'Black-Scholes'!$B$7-'Black-Scholes'!$B$9*SQRT('Black-Scholes'!$B$7)*B997)</f>
        <v>97.3529630215989</v>
      </c>
      <c r="E997" s="18" t="n">
        <f aca="false">EXP(-'Black-Scholes'!$B$8*'Black-Scholes'!$B$7)*IF(LOWER('Black-Scholes'!$B$11)="put",MAX('Black-Scholes'!$B$6-C997,0),MAX(C997-'Black-Scholes'!$B$6,0))</f>
        <v>8.62841094839441</v>
      </c>
      <c r="F997" s="18" t="n">
        <f aca="false">(E997+G997)/2</f>
        <v>4.3142054741972</v>
      </c>
      <c r="G997" s="18" t="n">
        <f aca="false">EXP(-'Black-Scholes'!$B$8*'Black-Scholes'!$B$7)*IF(LOWER('Black-Scholes'!$B$11)="put",MAX('Black-Scholes'!$B$6-D997,0),MAX(D997-'Black-Scholes'!$B$6,0))</f>
        <v>0</v>
      </c>
    </row>
    <row r="998" customFormat="false" ht="15" hidden="false" customHeight="false" outlineLevel="0" collapsed="false">
      <c r="A998" s="0" t="n">
        <v>987</v>
      </c>
      <c r="B998" s="15" t="n">
        <v>-0.611114098100901</v>
      </c>
      <c r="C998" s="18" t="n">
        <f aca="false">'Black-Scholes'!$B$5*EXP(('Black-Scholes'!$B$8-'Black-Scholes'!$B$10-'Black-Scholes'!$B$9^2/2)*'Black-Scholes'!$B$7+'Black-Scholes'!$B$9*SQRT('Black-Scholes'!$B$7)*B998)</f>
        <v>91.1901937262787</v>
      </c>
      <c r="D998" s="18" t="n">
        <f aca="false">'Black-Scholes'!$B$5*EXP(('Black-Scholes'!$B$8-'Black-Scholes'!$B$10-'Black-Scholes'!$B$9^2/2)*'Black-Scholes'!$B$7-'Black-Scholes'!$B$9*SQRT('Black-Scholes'!$B$7)*B998)</f>
        <v>116.441966307542</v>
      </c>
      <c r="E998" s="18" t="n">
        <f aca="false">EXP(-'Black-Scholes'!$B$8*'Black-Scholes'!$B$7)*IF(LOWER('Black-Scholes'!$B$11)="put",MAX('Black-Scholes'!$B$6-C998,0),MAX(C998-'Black-Scholes'!$B$6,0))</f>
        <v>0</v>
      </c>
      <c r="F998" s="18" t="n">
        <f aca="false">(E998+G998)/2</f>
        <v>7.82004107419178</v>
      </c>
      <c r="G998" s="18" t="n">
        <f aca="false">EXP(-'Black-Scholes'!$B$8*'Black-Scholes'!$B$7)*IF(LOWER('Black-Scholes'!$B$11)="put",MAX('Black-Scholes'!$B$6-D998,0),MAX(D998-'Black-Scholes'!$B$6,0))</f>
        <v>15.6400821483836</v>
      </c>
    </row>
    <row r="999" customFormat="false" ht="15" hidden="false" customHeight="false" outlineLevel="0" collapsed="false">
      <c r="A999" s="0" t="n">
        <v>988</v>
      </c>
      <c r="B999" s="15" t="n">
        <v>-1.0825650728322</v>
      </c>
      <c r="C999" s="18" t="n">
        <f aca="false">'Black-Scholes'!$B$5*EXP(('Black-Scholes'!$B$8-'Black-Scholes'!$B$10-'Black-Scholes'!$B$9^2/2)*'Black-Scholes'!$B$7+'Black-Scholes'!$B$9*SQRT('Black-Scholes'!$B$7)*B999)</f>
        <v>82.9847761772235</v>
      </c>
      <c r="D999" s="18" t="n">
        <f aca="false">'Black-Scholes'!$B$5*EXP(('Black-Scholes'!$B$8-'Black-Scholes'!$B$10-'Black-Scholes'!$B$9^2/2)*'Black-Scholes'!$B$7-'Black-Scholes'!$B$9*SQRT('Black-Scholes'!$B$7)*B999)</f>
        <v>127.955583597368</v>
      </c>
      <c r="E999" s="18" t="n">
        <f aca="false">EXP(-'Black-Scholes'!$B$8*'Black-Scholes'!$B$7)*IF(LOWER('Black-Scholes'!$B$11)="put",MAX('Black-Scholes'!$B$6-C999,0),MAX(C999-'Black-Scholes'!$B$6,0))</f>
        <v>0</v>
      </c>
      <c r="F999" s="18" t="n">
        <f aca="false">(E999+G999)/2</f>
        <v>13.296086848453</v>
      </c>
      <c r="G999" s="18" t="n">
        <f aca="false">EXP(-'Black-Scholes'!$B$8*'Black-Scholes'!$B$7)*IF(LOWER('Black-Scholes'!$B$11)="put",MAX('Black-Scholes'!$B$6-D999,0),MAX(D999-'Black-Scholes'!$B$6,0))</f>
        <v>26.592173696906</v>
      </c>
    </row>
    <row r="1000" customFormat="false" ht="15" hidden="false" customHeight="false" outlineLevel="0" collapsed="false">
      <c r="A1000" s="0" t="n">
        <v>989</v>
      </c>
      <c r="B1000" s="15" t="n">
        <v>-0.362848162973357</v>
      </c>
      <c r="C1000" s="18" t="n">
        <f aca="false">'Black-Scholes'!$B$5*EXP(('Black-Scholes'!$B$8-'Black-Scholes'!$B$10-'Black-Scholes'!$B$9^2/2)*'Black-Scholes'!$B$7+'Black-Scholes'!$B$9*SQRT('Black-Scholes'!$B$7)*B1000)</f>
        <v>95.8323732629544</v>
      </c>
      <c r="D1000" s="18" t="n">
        <f aca="false">'Black-Scholes'!$B$5*EXP(('Black-Scholes'!$B$8-'Black-Scholes'!$B$10-'Black-Scholes'!$B$9^2/2)*'Black-Scholes'!$B$7-'Black-Scholes'!$B$9*SQRT('Black-Scholes'!$B$7)*B1000)</f>
        <v>110.801445314496</v>
      </c>
      <c r="E1000" s="18" t="n">
        <f aca="false">EXP(-'Black-Scholes'!$B$8*'Black-Scholes'!$B$7)*IF(LOWER('Black-Scholes'!$B$11)="put",MAX('Black-Scholes'!$B$6-C1000,0),MAX(C1000-'Black-Scholes'!$B$6,0))</f>
        <v>0</v>
      </c>
      <c r="F1000" s="18" t="n">
        <f aca="false">(E1000+G1000)/2</f>
        <v>5.13732630514194</v>
      </c>
      <c r="G1000" s="18" t="n">
        <f aca="false">EXP(-'Black-Scholes'!$B$8*'Black-Scholes'!$B$7)*IF(LOWER('Black-Scholes'!$B$11)="put",MAX('Black-Scholes'!$B$6-D1000,0),MAX(D1000-'Black-Scholes'!$B$6,0))</f>
        <v>10.2746526102839</v>
      </c>
    </row>
    <row r="1001" customFormat="false" ht="15" hidden="false" customHeight="false" outlineLevel="0" collapsed="false">
      <c r="A1001" s="0" t="n">
        <v>990</v>
      </c>
      <c r="B1001" s="15" t="n">
        <v>1.69944439531799</v>
      </c>
      <c r="C1001" s="18" t="n">
        <f aca="false">'Black-Scholes'!$B$5*EXP(('Black-Scholes'!$B$8-'Black-Scholes'!$B$10-'Black-Scholes'!$B$9^2/2)*'Black-Scholes'!$B$7+'Black-Scholes'!$B$9*SQRT('Black-Scholes'!$B$7)*B1001)</f>
        <v>144.757374997516</v>
      </c>
      <c r="D1001" s="18" t="n">
        <f aca="false">'Black-Scholes'!$B$5*EXP(('Black-Scholes'!$B$8-'Black-Scholes'!$B$10-'Black-Scholes'!$B$9^2/2)*'Black-Scholes'!$B$7-'Black-Scholes'!$B$9*SQRT('Black-Scholes'!$B$7)*B1001)</f>
        <v>73.3528462065286</v>
      </c>
      <c r="E1001" s="18" t="n">
        <f aca="false">EXP(-'Black-Scholes'!$B$8*'Black-Scholes'!$B$7)*IF(LOWER('Black-Scholes'!$B$11)="put",MAX('Black-Scholes'!$B$6-C1001,0),MAX(C1001-'Black-Scholes'!$B$6,0))</f>
        <v>42.5745320610501</v>
      </c>
      <c r="F1001" s="18" t="n">
        <f aca="false">(E1001+G1001)/2</f>
        <v>21.287266030525</v>
      </c>
      <c r="G1001" s="18" t="n">
        <f aca="false">EXP(-'Black-Scholes'!$B$8*'Black-Scholes'!$B$7)*IF(LOWER('Black-Scholes'!$B$11)="put",MAX('Black-Scholes'!$B$6-D1001,0),MAX(D1001-'Black-Scholes'!$B$6,0))</f>
        <v>0</v>
      </c>
    </row>
    <row r="1002" customFormat="false" ht="15" hidden="false" customHeight="false" outlineLevel="0" collapsed="false">
      <c r="A1002" s="0" t="n">
        <v>991</v>
      </c>
      <c r="B1002" s="15" t="n">
        <v>1.35660211644225</v>
      </c>
      <c r="C1002" s="18" t="n">
        <f aca="false">'Black-Scholes'!$B$5*EXP(('Black-Scholes'!$B$8-'Black-Scholes'!$B$10-'Black-Scholes'!$B$9^2/2)*'Black-Scholes'!$B$7+'Black-Scholes'!$B$9*SQRT('Black-Scholes'!$B$7)*B1002)</f>
        <v>135.164236985109</v>
      </c>
      <c r="D1002" s="18" t="n">
        <f aca="false">'Black-Scholes'!$B$5*EXP(('Black-Scholes'!$B$8-'Black-Scholes'!$B$10-'Black-Scholes'!$B$9^2/2)*'Black-Scholes'!$B$7-'Black-Scholes'!$B$9*SQRT('Black-Scholes'!$B$7)*B1002)</f>
        <v>78.5589864767515</v>
      </c>
      <c r="E1002" s="18" t="n">
        <f aca="false">EXP(-'Black-Scholes'!$B$8*'Black-Scholes'!$B$7)*IF(LOWER('Black-Scholes'!$B$11)="put",MAX('Black-Scholes'!$B$6-C1002,0),MAX(C1002-'Black-Scholes'!$B$6,0))</f>
        <v>33.4492569103518</v>
      </c>
      <c r="F1002" s="18" t="n">
        <f aca="false">(E1002+G1002)/2</f>
        <v>16.7246284551759</v>
      </c>
      <c r="G1002" s="18" t="n">
        <f aca="false">EXP(-'Black-Scholes'!$B$8*'Black-Scholes'!$B$7)*IF(LOWER('Black-Scholes'!$B$11)="put",MAX('Black-Scholes'!$B$6-D1002,0),MAX(D1002-'Black-Scholes'!$B$6,0))</f>
        <v>0</v>
      </c>
    </row>
    <row r="1003" customFormat="false" ht="15" hidden="false" customHeight="false" outlineLevel="0" collapsed="false">
      <c r="A1003" s="0" t="n">
        <v>992</v>
      </c>
      <c r="B1003" s="15" t="n">
        <v>-0.943853123244093</v>
      </c>
      <c r="C1003" s="18" t="n">
        <f aca="false">'Black-Scholes'!$B$5*EXP(('Black-Scholes'!$B$8-'Black-Scholes'!$B$10-'Black-Scholes'!$B$9^2/2)*'Black-Scholes'!$B$7+'Black-Scholes'!$B$9*SQRT('Black-Scholes'!$B$7)*B1003)</f>
        <v>85.3192037749613</v>
      </c>
      <c r="D1003" s="18" t="n">
        <f aca="false">'Black-Scholes'!$B$5*EXP(('Black-Scholes'!$B$8-'Black-Scholes'!$B$10-'Black-Scholes'!$B$9^2/2)*'Black-Scholes'!$B$7-'Black-Scholes'!$B$9*SQRT('Black-Scholes'!$B$7)*B1003)</f>
        <v>124.454577582096</v>
      </c>
      <c r="E1003" s="18" t="n">
        <f aca="false">EXP(-'Black-Scholes'!$B$8*'Black-Scholes'!$B$7)*IF(LOWER('Black-Scholes'!$B$11)="put",MAX('Black-Scholes'!$B$6-C1003,0),MAX(C1003-'Black-Scholes'!$B$6,0))</f>
        <v>0</v>
      </c>
      <c r="F1003" s="18" t="n">
        <f aca="false">(E1003+G1003)/2</f>
        <v>11.6309568799127</v>
      </c>
      <c r="G1003" s="18" t="n">
        <f aca="false">EXP(-'Black-Scholes'!$B$8*'Black-Scholes'!$B$7)*IF(LOWER('Black-Scholes'!$B$11)="put",MAX('Black-Scholes'!$B$6-D1003,0),MAX(D1003-'Black-Scholes'!$B$6,0))</f>
        <v>23.2619137598254</v>
      </c>
    </row>
    <row r="1004" customFormat="false" ht="15" hidden="false" customHeight="false" outlineLevel="0" collapsed="false">
      <c r="A1004" s="0" t="n">
        <v>993</v>
      </c>
      <c r="B1004" s="15" t="n">
        <v>0.141396518346568</v>
      </c>
      <c r="C1004" s="18" t="n">
        <f aca="false">'Black-Scholes'!$B$5*EXP(('Black-Scholes'!$B$8-'Black-Scholes'!$B$10-'Black-Scholes'!$B$9^2/2)*'Black-Scholes'!$B$7+'Black-Scholes'!$B$9*SQRT('Black-Scholes'!$B$7)*B1004)</f>
        <v>106.001101933533</v>
      </c>
      <c r="D1004" s="18" t="n">
        <f aca="false">'Black-Scholes'!$B$5*EXP(('Black-Scholes'!$B$8-'Black-Scholes'!$B$10-'Black-Scholes'!$B$9^2/2)*'Black-Scholes'!$B$7-'Black-Scholes'!$B$9*SQRT('Black-Scholes'!$B$7)*B1004)</f>
        <v>100.172217757809</v>
      </c>
      <c r="E1004" s="18" t="n">
        <f aca="false">EXP(-'Black-Scholes'!$B$8*'Black-Scholes'!$B$7)*IF(LOWER('Black-Scholes'!$B$11)="put",MAX('Black-Scholes'!$B$6-C1004,0),MAX(C1004-'Black-Scholes'!$B$6,0))</f>
        <v>5.7084247386051</v>
      </c>
      <c r="F1004" s="18" t="n">
        <f aca="false">(E1004+G1004)/2</f>
        <v>2.93612166862718</v>
      </c>
      <c r="G1004" s="18" t="n">
        <f aca="false">EXP(-'Black-Scholes'!$B$8*'Black-Scholes'!$B$7)*IF(LOWER('Black-Scholes'!$B$11)="put",MAX('Black-Scholes'!$B$6-D1004,0),MAX(D1004-'Black-Scholes'!$B$6,0))</f>
        <v>0.163818598649264</v>
      </c>
    </row>
    <row r="1005" customFormat="false" ht="15" hidden="false" customHeight="false" outlineLevel="0" collapsed="false">
      <c r="A1005" s="0" t="n">
        <v>994</v>
      </c>
      <c r="B1005" s="15" t="n">
        <v>0.417712318088335</v>
      </c>
      <c r="C1005" s="18" t="n">
        <f aca="false">'Black-Scholes'!$B$5*EXP(('Black-Scholes'!$B$8-'Black-Scholes'!$B$10-'Black-Scholes'!$B$9^2/2)*'Black-Scholes'!$B$7+'Black-Scholes'!$B$9*SQRT('Black-Scholes'!$B$7)*B1005)</f>
        <v>112.023945730242</v>
      </c>
      <c r="D1005" s="18" t="n">
        <f aca="false">'Black-Scholes'!$B$5*EXP(('Black-Scholes'!$B$8-'Black-Scholes'!$B$10-'Black-Scholes'!$B$9^2/2)*'Black-Scholes'!$B$7-'Black-Scholes'!$B$9*SQRT('Black-Scholes'!$B$7)*B1005)</f>
        <v>94.7865690342941</v>
      </c>
      <c r="E1005" s="18" t="n">
        <f aca="false">EXP(-'Black-Scholes'!$B$8*'Black-Scholes'!$B$7)*IF(LOWER('Black-Scholes'!$B$11)="put",MAX('Black-Scholes'!$B$6-C1005,0),MAX(C1005-'Black-Scholes'!$B$6,0))</f>
        <v>11.4375309772059</v>
      </c>
      <c r="F1005" s="18" t="n">
        <f aca="false">(E1005+G1005)/2</f>
        <v>5.71876548860297</v>
      </c>
      <c r="G1005" s="18" t="n">
        <f aca="false">EXP(-'Black-Scholes'!$B$8*'Black-Scholes'!$B$7)*IF(LOWER('Black-Scholes'!$B$11)="put",MAX('Black-Scholes'!$B$6-D1005,0),MAX(D1005-'Black-Scholes'!$B$6,0))</f>
        <v>0</v>
      </c>
    </row>
    <row r="1006" customFormat="false" ht="15" hidden="false" customHeight="false" outlineLevel="0" collapsed="false">
      <c r="A1006" s="0" t="n">
        <v>995</v>
      </c>
      <c r="B1006" s="15" t="n">
        <v>-0.203372965362666</v>
      </c>
      <c r="C1006" s="18" t="n">
        <f aca="false">'Black-Scholes'!$B$5*EXP(('Black-Scholes'!$B$8-'Black-Scholes'!$B$10-'Black-Scholes'!$B$9^2/2)*'Black-Scholes'!$B$7+'Black-Scholes'!$B$9*SQRT('Black-Scholes'!$B$7)*B1006)</f>
        <v>98.9382178213078</v>
      </c>
      <c r="D1006" s="18" t="n">
        <f aca="false">'Black-Scholes'!$B$5*EXP(('Black-Scholes'!$B$8-'Black-Scholes'!$B$10-'Black-Scholes'!$B$9^2/2)*'Black-Scholes'!$B$7-'Black-Scholes'!$B$9*SQRT('Black-Scholes'!$B$7)*B1006)</f>
        <v>107.323193193468</v>
      </c>
      <c r="E1006" s="18" t="n">
        <f aca="false">EXP(-'Black-Scholes'!$B$8*'Black-Scholes'!$B$7)*IF(LOWER('Black-Scholes'!$B$11)="put",MAX('Black-Scholes'!$B$6-C1006,0),MAX(C1006-'Black-Scholes'!$B$6,0))</f>
        <v>0</v>
      </c>
      <c r="F1006" s="18" t="n">
        <f aca="false">(E1006+G1006)/2</f>
        <v>3.48301842346489</v>
      </c>
      <c r="G1006" s="18" t="n">
        <f aca="false">EXP(-'Black-Scholes'!$B$8*'Black-Scholes'!$B$7)*IF(LOWER('Black-Scholes'!$B$11)="put",MAX('Black-Scholes'!$B$6-D1006,0),MAX(D1006-'Black-Scholes'!$B$6,0))</f>
        <v>6.96603684692979</v>
      </c>
    </row>
    <row r="1007" customFormat="false" ht="15" hidden="false" customHeight="false" outlineLevel="0" collapsed="false">
      <c r="A1007" s="0" t="n">
        <v>996</v>
      </c>
      <c r="B1007" s="15" t="n">
        <v>2.37072690480151</v>
      </c>
      <c r="C1007" s="18" t="n">
        <f aca="false">'Black-Scholes'!$B$5*EXP(('Black-Scholes'!$B$8-'Black-Scholes'!$B$10-'Black-Scholes'!$B$9^2/2)*'Black-Scholes'!$B$7+'Black-Scholes'!$B$9*SQRT('Black-Scholes'!$B$7)*B1007)</f>
        <v>165.557003402354</v>
      </c>
      <c r="D1007" s="18" t="n">
        <f aca="false">'Black-Scholes'!$B$5*EXP(('Black-Scholes'!$B$8-'Black-Scholes'!$B$10-'Black-Scholes'!$B$9^2/2)*'Black-Scholes'!$B$7-'Black-Scholes'!$B$9*SQRT('Black-Scholes'!$B$7)*B1007)</f>
        <v>64.1372170746997</v>
      </c>
      <c r="E1007" s="18" t="n">
        <f aca="false">EXP(-'Black-Scholes'!$B$8*'Black-Scholes'!$B$7)*IF(LOWER('Black-Scholes'!$B$11)="put",MAX('Black-Scholes'!$B$6-C1007,0),MAX(C1007-'Black-Scholes'!$B$6,0))</f>
        <v>62.3597506184128</v>
      </c>
      <c r="F1007" s="18" t="n">
        <f aca="false">(E1007+G1007)/2</f>
        <v>31.1798753092064</v>
      </c>
      <c r="G1007" s="18" t="n">
        <f aca="false">EXP(-'Black-Scholes'!$B$8*'Black-Scholes'!$B$7)*IF(LOWER('Black-Scholes'!$B$11)="put",MAX('Black-Scholes'!$B$6-D1007,0),MAX(D1007-'Black-Scholes'!$B$6,0))</f>
        <v>0</v>
      </c>
    </row>
    <row r="1008" customFormat="false" ht="15" hidden="false" customHeight="false" outlineLevel="0" collapsed="false">
      <c r="A1008" s="0" t="n">
        <v>997</v>
      </c>
      <c r="B1008" s="15" t="n">
        <v>-1.38769923519695</v>
      </c>
      <c r="C1008" s="18" t="n">
        <f aca="false">'Black-Scholes'!$B$5*EXP(('Black-Scholes'!$B$8-'Black-Scholes'!$B$10-'Black-Scholes'!$B$9^2/2)*'Black-Scholes'!$B$7+'Black-Scholes'!$B$9*SQRT('Black-Scholes'!$B$7)*B1008)</f>
        <v>78.0719110845948</v>
      </c>
      <c r="D1008" s="18" t="n">
        <f aca="false">'Black-Scholes'!$B$5*EXP(('Black-Scholes'!$B$8-'Black-Scholes'!$B$10-'Black-Scholes'!$B$9^2/2)*'Black-Scholes'!$B$7-'Black-Scholes'!$B$9*SQRT('Black-Scholes'!$B$7)*B1008)</f>
        <v>136.007500238441</v>
      </c>
      <c r="E1008" s="18" t="n">
        <f aca="false">EXP(-'Black-Scholes'!$B$8*'Black-Scholes'!$B$7)*IF(LOWER('Black-Scholes'!$B$11)="put",MAX('Black-Scholes'!$B$6-C1008,0),MAX(C1008-'Black-Scholes'!$B$6,0))</f>
        <v>0</v>
      </c>
      <c r="F1008" s="18" t="n">
        <f aca="false">(E1008+G1008)/2</f>
        <v>17.125696864761</v>
      </c>
      <c r="G1008" s="18" t="n">
        <f aca="false">EXP(-'Black-Scholes'!$B$8*'Black-Scholes'!$B$7)*IF(LOWER('Black-Scholes'!$B$11)="put",MAX('Black-Scholes'!$B$6-D1008,0),MAX(D1008-'Black-Scholes'!$B$6,0))</f>
        <v>34.251393729522</v>
      </c>
    </row>
    <row r="1009" customFormat="false" ht="15" hidden="false" customHeight="false" outlineLevel="0" collapsed="false">
      <c r="A1009" s="0" t="n">
        <v>998</v>
      </c>
      <c r="B1009" s="15" t="n">
        <v>-0.420331877871847</v>
      </c>
      <c r="C1009" s="18" t="n">
        <f aca="false">'Black-Scholes'!$B$5*EXP(('Black-Scholes'!$B$8-'Black-Scholes'!$B$10-'Black-Scholes'!$B$9^2/2)*'Black-Scholes'!$B$7+'Black-Scholes'!$B$9*SQRT('Black-Scholes'!$B$7)*B1009)</f>
        <v>94.7369222238566</v>
      </c>
      <c r="D1009" s="18" t="n">
        <f aca="false">'Black-Scholes'!$B$5*EXP(('Black-Scholes'!$B$8-'Black-Scholes'!$B$10-'Black-Scholes'!$B$9^2/2)*'Black-Scholes'!$B$7-'Black-Scholes'!$B$9*SQRT('Black-Scholes'!$B$7)*B1009)</f>
        <v>112.082651791908</v>
      </c>
      <c r="E1009" s="18" t="n">
        <f aca="false">EXP(-'Black-Scholes'!$B$8*'Black-Scholes'!$B$7)*IF(LOWER('Black-Scholes'!$B$11)="put",MAX('Black-Scholes'!$B$6-C1009,0),MAX(C1009-'Black-Scholes'!$B$6,0))</f>
        <v>0</v>
      </c>
      <c r="F1009" s="18" t="n">
        <f aca="false">(E1009+G1009)/2</f>
        <v>5.74668695522962</v>
      </c>
      <c r="G1009" s="18" t="n">
        <f aca="false">EXP(-'Black-Scholes'!$B$8*'Black-Scholes'!$B$7)*IF(LOWER('Black-Scholes'!$B$11)="put",MAX('Black-Scholes'!$B$6-D1009,0),MAX(D1009-'Black-Scholes'!$B$6,0))</f>
        <v>11.4933739104592</v>
      </c>
    </row>
    <row r="1010" customFormat="false" ht="15" hidden="false" customHeight="false" outlineLevel="0" collapsed="false">
      <c r="A1010" s="0" t="n">
        <v>999</v>
      </c>
      <c r="B1010" s="15" t="n">
        <v>-0.175903947180354</v>
      </c>
      <c r="C1010" s="18" t="n">
        <f aca="false">'Black-Scholes'!$B$5*EXP(('Black-Scholes'!$B$8-'Black-Scholes'!$B$10-'Black-Scholes'!$B$9^2/2)*'Black-Scholes'!$B$7+'Black-Scholes'!$B$9*SQRT('Black-Scholes'!$B$7)*B1010)</f>
        <v>99.4832607707608</v>
      </c>
      <c r="D1010" s="18" t="n">
        <f aca="false">'Black-Scholes'!$B$5*EXP(('Black-Scholes'!$B$8-'Black-Scholes'!$B$10-'Black-Scholes'!$B$9^2/2)*'Black-Scholes'!$B$7-'Black-Scholes'!$B$9*SQRT('Black-Scholes'!$B$7)*B1010)</f>
        <v>106.735197290341</v>
      </c>
      <c r="E1010" s="18" t="n">
        <f aca="false">EXP(-'Black-Scholes'!$B$8*'Black-Scholes'!$B$7)*IF(LOWER('Black-Scholes'!$B$11)="put",MAX('Black-Scholes'!$B$6-C1010,0),MAX(C1010-'Black-Scholes'!$B$6,0))</f>
        <v>0</v>
      </c>
      <c r="F1010" s="18" t="n">
        <f aca="false">(E1010+G1010)/2</f>
        <v>3.20335892119494</v>
      </c>
      <c r="G1010" s="18" t="n">
        <f aca="false">EXP(-'Black-Scholes'!$B$8*'Black-Scholes'!$B$7)*IF(LOWER('Black-Scholes'!$B$11)="put",MAX('Black-Scholes'!$B$6-D1010,0),MAX(D1010-'Black-Scholes'!$B$6,0))</f>
        <v>6.40671784238988</v>
      </c>
    </row>
    <row r="1011" customFormat="false" ht="15" hidden="false" customHeight="false" outlineLevel="0" collapsed="false">
      <c r="A1011" s="0" t="n">
        <v>1000</v>
      </c>
      <c r="B1011" s="15" t="n">
        <v>-0.643071576096227</v>
      </c>
      <c r="C1011" s="18" t="n">
        <f aca="false">'Black-Scholes'!$B$5*EXP(('Black-Scholes'!$B$8-'Black-Scholes'!$B$10-'Black-Scholes'!$B$9^2/2)*'Black-Scholes'!$B$7+'Black-Scholes'!$B$9*SQRT('Black-Scholes'!$B$7)*B1011)</f>
        <v>90.6092106575833</v>
      </c>
      <c r="D1011" s="18" t="n">
        <f aca="false">'Black-Scholes'!$B$5*EXP(('Black-Scholes'!$B$8-'Black-Scholes'!$B$10-'Black-Scholes'!$B$9^2/2)*'Black-Scholes'!$B$7-'Black-Scholes'!$B$9*SQRT('Black-Scholes'!$B$7)*B1011)</f>
        <v>117.188588095982</v>
      </c>
      <c r="E1011" s="18" t="n">
        <f aca="false">EXP(-'Black-Scholes'!$B$8*'Black-Scholes'!$B$7)*IF(LOWER('Black-Scholes'!$B$11)="put",MAX('Black-Scholes'!$B$6-C1011,0),MAX(C1011-'Black-Scholes'!$B$6,0))</f>
        <v>0</v>
      </c>
      <c r="F1011" s="18" t="n">
        <f aca="false">(E1011+G1011)/2</f>
        <v>8.17514538126039</v>
      </c>
      <c r="G1011" s="18" t="n">
        <f aca="false">EXP(-'Black-Scholes'!$B$8*'Black-Scholes'!$B$7)*IF(LOWER('Black-Scholes'!$B$11)="put",MAX('Black-Scholes'!$B$6-D1011,0),MAX(D1011-'Black-Scholes'!$B$6,0))</f>
        <v>16.3502907625208</v>
      </c>
    </row>
    <row r="1012" customFormat="false" ht="15" hidden="false" customHeight="false" outlineLevel="0" collapsed="false">
      <c r="A1012" s="0" t="n">
        <v>1001</v>
      </c>
      <c r="B1012" s="15" t="n">
        <v>-0.0913914250551098</v>
      </c>
      <c r="C1012" s="18" t="n">
        <f aca="false">'Black-Scholes'!$B$5*EXP(('Black-Scholes'!$B$8-'Black-Scholes'!$B$10-'Black-Scholes'!$B$9^2/2)*'Black-Scholes'!$B$7+'Black-Scholes'!$B$9*SQRT('Black-Scholes'!$B$7)*B1012)</f>
        <v>101.179068350311</v>
      </c>
      <c r="D1012" s="18" t="n">
        <f aca="false">'Black-Scholes'!$B$5*EXP(('Black-Scholes'!$B$8-'Black-Scholes'!$B$10-'Black-Scholes'!$B$9^2/2)*'Black-Scholes'!$B$7-'Black-Scholes'!$B$9*SQRT('Black-Scholes'!$B$7)*B1012)</f>
        <v>104.946266442084</v>
      </c>
      <c r="E1012" s="18" t="n">
        <f aca="false">EXP(-'Black-Scholes'!$B$8*'Black-Scholes'!$B$7)*IF(LOWER('Black-Scholes'!$B$11)="put",MAX('Black-Scholes'!$B$6-C1012,0),MAX(C1012-'Black-Scholes'!$B$6,0))</f>
        <v>1.12156450831322</v>
      </c>
      <c r="F1012" s="18" t="n">
        <f aca="false">(E1012+G1012)/2</f>
        <v>2.91329934472219</v>
      </c>
      <c r="G1012" s="18" t="n">
        <f aca="false">EXP(-'Black-Scholes'!$B$8*'Black-Scholes'!$B$7)*IF(LOWER('Black-Scholes'!$B$11)="put",MAX('Black-Scholes'!$B$6-D1012,0),MAX(D1012-'Black-Scholes'!$B$6,0))</f>
        <v>4.70503418113116</v>
      </c>
    </row>
    <row r="1013" customFormat="false" ht="15" hidden="false" customHeight="false" outlineLevel="0" collapsed="false">
      <c r="A1013" s="0" t="n">
        <v>1002</v>
      </c>
      <c r="B1013" s="15" t="n">
        <v>1.79536626139011</v>
      </c>
      <c r="C1013" s="18" t="n">
        <f aca="false">'Black-Scholes'!$B$5*EXP(('Black-Scholes'!$B$8-'Black-Scholes'!$B$10-'Black-Scholes'!$B$9^2/2)*'Black-Scholes'!$B$7+'Black-Scholes'!$B$9*SQRT('Black-Scholes'!$B$7)*B1013)</f>
        <v>147.561263936147</v>
      </c>
      <c r="D1013" s="18" t="n">
        <f aca="false">'Black-Scholes'!$B$5*EXP(('Black-Scholes'!$B$8-'Black-Scholes'!$B$10-'Black-Scholes'!$B$9^2/2)*'Black-Scholes'!$B$7-'Black-Scholes'!$B$9*SQRT('Black-Scholes'!$B$7)*B1013)</f>
        <v>71.9590303187454</v>
      </c>
      <c r="E1013" s="18" t="n">
        <f aca="false">EXP(-'Black-Scholes'!$B$8*'Black-Scholes'!$B$7)*IF(LOWER('Black-Scholes'!$B$11)="put",MAX('Black-Scholes'!$B$6-C1013,0),MAX(C1013-'Black-Scholes'!$B$6,0))</f>
        <v>45.2416737225076</v>
      </c>
      <c r="F1013" s="18" t="n">
        <f aca="false">(E1013+G1013)/2</f>
        <v>22.6208368612538</v>
      </c>
      <c r="G1013" s="18" t="n">
        <f aca="false">EXP(-'Black-Scholes'!$B$8*'Black-Scholes'!$B$7)*IF(LOWER('Black-Scholes'!$B$11)="put",MAX('Black-Scholes'!$B$6-D1013,0),MAX(D1013-'Black-Scholes'!$B$6,0))</f>
        <v>0</v>
      </c>
    </row>
    <row r="1014" customFormat="false" ht="15" hidden="false" customHeight="false" outlineLevel="0" collapsed="false">
      <c r="A1014" s="0" t="n">
        <v>1003</v>
      </c>
      <c r="B1014" s="15" t="n">
        <v>-1.44225578232056</v>
      </c>
      <c r="C1014" s="18" t="n">
        <f aca="false">'Black-Scholes'!$B$5*EXP(('Black-Scholes'!$B$8-'Black-Scholes'!$B$10-'Black-Scholes'!$B$9^2/2)*'Black-Scholes'!$B$7+'Black-Scholes'!$B$9*SQRT('Black-Scholes'!$B$7)*B1014)</f>
        <v>77.2246749389846</v>
      </c>
      <c r="D1014" s="18" t="n">
        <f aca="false">'Black-Scholes'!$B$5*EXP(('Black-Scholes'!$B$8-'Black-Scholes'!$B$10-'Black-Scholes'!$B$9^2/2)*'Black-Scholes'!$B$7-'Black-Scholes'!$B$9*SQRT('Black-Scholes'!$B$7)*B1014)</f>
        <v>137.499645985473</v>
      </c>
      <c r="E1014" s="18" t="n">
        <f aca="false">EXP(-'Black-Scholes'!$B$8*'Black-Scholes'!$B$7)*IF(LOWER('Black-Scholes'!$B$11)="put",MAX('Black-Scholes'!$B$6-C1014,0),MAX(C1014-'Black-Scholes'!$B$6,0))</f>
        <v>0</v>
      </c>
      <c r="F1014" s="18" t="n">
        <f aca="false">(E1014+G1014)/2</f>
        <v>17.8353833348709</v>
      </c>
      <c r="G1014" s="18" t="n">
        <f aca="false">EXP(-'Black-Scholes'!$B$8*'Black-Scholes'!$B$7)*IF(LOWER('Black-Scholes'!$B$11)="put",MAX('Black-Scholes'!$B$6-D1014,0),MAX(D1014-'Black-Scholes'!$B$6,0))</f>
        <v>35.6707666697417</v>
      </c>
    </row>
    <row r="1015" customFormat="false" ht="15" hidden="false" customHeight="false" outlineLevel="0" collapsed="false">
      <c r="A1015" s="0" t="n">
        <v>1004</v>
      </c>
      <c r="B1015" s="15" t="n">
        <v>-0.512009536191401</v>
      </c>
      <c r="C1015" s="18" t="n">
        <f aca="false">'Black-Scholes'!$B$5*EXP(('Black-Scholes'!$B$8-'Black-Scholes'!$B$10-'Black-Scholes'!$B$9^2/2)*'Black-Scholes'!$B$7+'Black-Scholes'!$B$9*SQRT('Black-Scholes'!$B$7)*B1015)</f>
        <v>93.015698385273</v>
      </c>
      <c r="D1015" s="18" t="n">
        <f aca="false">'Black-Scholes'!$B$5*EXP(('Black-Scholes'!$B$8-'Black-Scholes'!$B$10-'Black-Scholes'!$B$9^2/2)*'Black-Scholes'!$B$7-'Black-Scholes'!$B$9*SQRT('Black-Scholes'!$B$7)*B1015)</f>
        <v>114.156703113405</v>
      </c>
      <c r="E1015" s="18" t="n">
        <f aca="false">EXP(-'Black-Scholes'!$B$8*'Black-Scholes'!$B$7)*IF(LOWER('Black-Scholes'!$B$11)="put",MAX('Black-Scholes'!$B$6-C1015,0),MAX(C1015-'Black-Scholes'!$B$6,0))</f>
        <v>0</v>
      </c>
      <c r="F1015" s="18" t="n">
        <f aca="false">(E1015+G1015)/2</f>
        <v>6.73313627769563</v>
      </c>
      <c r="G1015" s="18" t="n">
        <f aca="false">EXP(-'Black-Scholes'!$B$8*'Black-Scholes'!$B$7)*IF(LOWER('Black-Scholes'!$B$11)="put",MAX('Black-Scholes'!$B$6-D1015,0),MAX(D1015-'Black-Scholes'!$B$6,0))</f>
        <v>13.4662725553913</v>
      </c>
    </row>
    <row r="1016" customFormat="false" ht="15" hidden="false" customHeight="false" outlineLevel="0" collapsed="false">
      <c r="A1016" s="0" t="n">
        <v>1005</v>
      </c>
      <c r="B1016" s="15" t="n">
        <v>0.507313010835362</v>
      </c>
      <c r="C1016" s="18" t="n">
        <f aca="false">'Black-Scholes'!$B$5*EXP(('Black-Scholes'!$B$8-'Black-Scholes'!$B$10-'Black-Scholes'!$B$9^2/2)*'Black-Scholes'!$B$7+'Black-Scholes'!$B$9*SQRT('Black-Scholes'!$B$7)*B1016)</f>
        <v>114.049525487382</v>
      </c>
      <c r="D1016" s="18" t="n">
        <f aca="false">'Black-Scholes'!$B$5*EXP(('Black-Scholes'!$B$8-'Black-Scholes'!$B$10-'Black-Scholes'!$B$9^2/2)*'Black-Scholes'!$B$7-'Black-Scholes'!$B$9*SQRT('Black-Scholes'!$B$7)*B1016)</f>
        <v>93.103109548916</v>
      </c>
      <c r="E1016" s="18" t="n">
        <f aca="false">EXP(-'Black-Scholes'!$B$8*'Black-Scholes'!$B$7)*IF(LOWER('Black-Scholes'!$B$11)="put",MAX('Black-Scholes'!$B$6-C1016,0),MAX(C1016-'Black-Scholes'!$B$6,0))</f>
        <v>13.3643220438703</v>
      </c>
      <c r="F1016" s="18" t="n">
        <f aca="false">(E1016+G1016)/2</f>
        <v>6.68216102193515</v>
      </c>
      <c r="G1016" s="18" t="n">
        <f aca="false">EXP(-'Black-Scholes'!$B$8*'Black-Scholes'!$B$7)*IF(LOWER('Black-Scholes'!$B$11)="put",MAX('Black-Scholes'!$B$6-D1016,0),MAX(D1016-'Black-Scholes'!$B$6,0))</f>
        <v>0</v>
      </c>
    </row>
    <row r="1017" customFormat="false" ht="15" hidden="false" customHeight="false" outlineLevel="0" collapsed="false">
      <c r="A1017" s="0" t="n">
        <v>1006</v>
      </c>
      <c r="B1017" s="15" t="n">
        <v>-1.32171898533315</v>
      </c>
      <c r="C1017" s="18" t="n">
        <f aca="false">'Black-Scholes'!$B$5*EXP(('Black-Scholes'!$B$8-'Black-Scholes'!$B$10-'Black-Scholes'!$B$9^2/2)*'Black-Scholes'!$B$7+'Black-Scholes'!$B$9*SQRT('Black-Scholes'!$B$7)*B1017)</f>
        <v>79.1089794787344</v>
      </c>
      <c r="D1017" s="18" t="n">
        <f aca="false">'Black-Scholes'!$B$5*EXP(('Black-Scholes'!$B$8-'Black-Scholes'!$B$10-'Black-Scholes'!$B$9^2/2)*'Black-Scholes'!$B$7-'Black-Scholes'!$B$9*SQRT('Black-Scholes'!$B$7)*B1017)</f>
        <v>134.224528434322</v>
      </c>
      <c r="E1017" s="18" t="n">
        <f aca="false">EXP(-'Black-Scholes'!$B$8*'Black-Scholes'!$B$7)*IF(LOWER('Black-Scholes'!$B$11)="put",MAX('Black-Scholes'!$B$6-C1017,0),MAX(C1017-'Black-Scholes'!$B$6,0))</f>
        <v>0</v>
      </c>
      <c r="F1017" s="18" t="n">
        <f aca="false">(E1017+G1017)/2</f>
        <v>16.2776892431943</v>
      </c>
      <c r="G1017" s="18" t="n">
        <f aca="false">EXP(-'Black-Scholes'!$B$8*'Black-Scholes'!$B$7)*IF(LOWER('Black-Scholes'!$B$11)="put",MAX('Black-Scholes'!$B$6-D1017,0),MAX(D1017-'Black-Scholes'!$B$6,0))</f>
        <v>32.5553784863886</v>
      </c>
    </row>
    <row r="1018" customFormat="false" ht="15" hidden="false" customHeight="false" outlineLevel="0" collapsed="false">
      <c r="A1018" s="0" t="n">
        <v>1007</v>
      </c>
      <c r="B1018" s="15" t="n">
        <v>0.0695630280408378</v>
      </c>
      <c r="C1018" s="18" t="n">
        <f aca="false">'Black-Scholes'!$B$5*EXP(('Black-Scholes'!$B$8-'Black-Scholes'!$B$10-'Black-Scholes'!$B$9^2/2)*'Black-Scholes'!$B$7+'Black-Scholes'!$B$9*SQRT('Black-Scholes'!$B$7)*B1018)</f>
        <v>104.489103328162</v>
      </c>
      <c r="D1018" s="18" t="n">
        <f aca="false">'Black-Scholes'!$B$5*EXP(('Black-Scholes'!$B$8-'Black-Scholes'!$B$10-'Black-Scholes'!$B$9^2/2)*'Black-Scholes'!$B$7-'Black-Scholes'!$B$9*SQRT('Black-Scholes'!$B$7)*B1018)</f>
        <v>101.621749323518</v>
      </c>
      <c r="E1018" s="18" t="n">
        <f aca="false">EXP(-'Black-Scholes'!$B$8*'Black-Scholes'!$B$7)*IF(LOWER('Black-Scholes'!$B$11)="put",MAX('Black-Scholes'!$B$6-C1018,0),MAX(C1018-'Black-Scholes'!$B$6,0))</f>
        <v>4.27016717537169</v>
      </c>
      <c r="F1018" s="18" t="n">
        <f aca="false">(E1018+G1018)/2</f>
        <v>2.90641142553287</v>
      </c>
      <c r="G1018" s="18" t="n">
        <f aca="false">EXP(-'Black-Scholes'!$B$8*'Black-Scholes'!$B$7)*IF(LOWER('Black-Scholes'!$B$11)="put",MAX('Black-Scholes'!$B$6-D1018,0),MAX(D1018-'Black-Scholes'!$B$6,0))</f>
        <v>1.54265567569406</v>
      </c>
    </row>
    <row r="1019" customFormat="false" ht="15" hidden="false" customHeight="false" outlineLevel="0" collapsed="false">
      <c r="A1019" s="0" t="n">
        <v>1008</v>
      </c>
      <c r="B1019" s="15" t="n">
        <v>-2.12411220603265</v>
      </c>
      <c r="C1019" s="18" t="n">
        <f aca="false">'Black-Scholes'!$B$5*EXP(('Black-Scholes'!$B$8-'Black-Scholes'!$B$10-'Black-Scholes'!$B$9^2/2)*'Black-Scholes'!$B$7+'Black-Scholes'!$B$9*SQRT('Black-Scholes'!$B$7)*B1019)</f>
        <v>67.3799667684047</v>
      </c>
      <c r="D1019" s="18" t="n">
        <f aca="false">'Black-Scholes'!$B$5*EXP(('Black-Scholes'!$B$8-'Black-Scholes'!$B$10-'Black-Scholes'!$B$9^2/2)*'Black-Scholes'!$B$7-'Black-Scholes'!$B$9*SQRT('Black-Scholes'!$B$7)*B1019)</f>
        <v>157.589354443444</v>
      </c>
      <c r="E1019" s="18" t="n">
        <f aca="false">EXP(-'Black-Scholes'!$B$8*'Black-Scholes'!$B$7)*IF(LOWER('Black-Scholes'!$B$11)="put",MAX('Black-Scholes'!$B$6-C1019,0),MAX(C1019-'Black-Scholes'!$B$6,0))</f>
        <v>0</v>
      </c>
      <c r="F1019" s="18" t="n">
        <f aca="false">(E1019+G1019)/2</f>
        <v>27.3903442423024</v>
      </c>
      <c r="G1019" s="18" t="n">
        <f aca="false">EXP(-'Black-Scholes'!$B$8*'Black-Scholes'!$B$7)*IF(LOWER('Black-Scholes'!$B$11)="put",MAX('Black-Scholes'!$B$6-D1019,0),MAX(D1019-'Black-Scholes'!$B$6,0))</f>
        <v>54.7806884846047</v>
      </c>
    </row>
    <row r="1020" customFormat="false" ht="15" hidden="false" customHeight="false" outlineLevel="0" collapsed="false">
      <c r="A1020" s="0" t="n">
        <v>1009</v>
      </c>
      <c r="B1020" s="15" t="n">
        <v>-0.387918473533572</v>
      </c>
      <c r="C1020" s="18" t="n">
        <f aca="false">'Black-Scholes'!$B$5*EXP(('Black-Scholes'!$B$8-'Black-Scholes'!$B$10-'Black-Scholes'!$B$9^2/2)*'Black-Scholes'!$B$7+'Black-Scholes'!$B$9*SQRT('Black-Scholes'!$B$7)*B1020)</f>
        <v>95.3530664323592</v>
      </c>
      <c r="D1020" s="18" t="n">
        <f aca="false">'Black-Scholes'!$B$5*EXP(('Black-Scholes'!$B$8-'Black-Scholes'!$B$10-'Black-Scholes'!$B$9^2/2)*'Black-Scholes'!$B$7-'Black-Scholes'!$B$9*SQRT('Black-Scholes'!$B$7)*B1020)</f>
        <v>111.358405793756</v>
      </c>
      <c r="E1020" s="18" t="n">
        <f aca="false">EXP(-'Black-Scholes'!$B$8*'Black-Scholes'!$B$7)*IF(LOWER('Black-Scholes'!$B$11)="put",MAX('Black-Scholes'!$B$6-C1020,0),MAX(C1020-'Black-Scholes'!$B$6,0))</f>
        <v>0</v>
      </c>
      <c r="F1020" s="18" t="n">
        <f aca="false">(E1020+G1020)/2</f>
        <v>5.4022249032199</v>
      </c>
      <c r="G1020" s="18" t="n">
        <f aca="false">EXP(-'Black-Scholes'!$B$8*'Black-Scholes'!$B$7)*IF(LOWER('Black-Scholes'!$B$11)="put",MAX('Black-Scholes'!$B$6-D1020,0),MAX(D1020-'Black-Scholes'!$B$6,0))</f>
        <v>10.8044498064398</v>
      </c>
    </row>
    <row r="1021" customFormat="false" ht="15" hidden="false" customHeight="false" outlineLevel="0" collapsed="false">
      <c r="A1021" s="0" t="n">
        <v>1010</v>
      </c>
      <c r="B1021" s="15" t="n">
        <v>0.703721950103374</v>
      </c>
      <c r="C1021" s="18" t="n">
        <f aca="false">'Black-Scholes'!$B$5*EXP(('Black-Scholes'!$B$8-'Black-Scholes'!$B$10-'Black-Scholes'!$B$9^2/2)*'Black-Scholes'!$B$7+'Black-Scholes'!$B$9*SQRT('Black-Scholes'!$B$7)*B1021)</f>
        <v>118.618750890314</v>
      </c>
      <c r="D1021" s="18" t="n">
        <f aca="false">'Black-Scholes'!$B$5*EXP(('Black-Scholes'!$B$8-'Black-Scholes'!$B$10-'Black-Scholes'!$B$9^2/2)*'Black-Scholes'!$B$7-'Black-Scholes'!$B$9*SQRT('Black-Scholes'!$B$7)*B1021)</f>
        <v>89.5167533442699</v>
      </c>
      <c r="E1021" s="18" t="n">
        <f aca="false">EXP(-'Black-Scholes'!$B$8*'Black-Scholes'!$B$7)*IF(LOWER('Black-Scholes'!$B$11)="put",MAX('Black-Scholes'!$B$6-C1021,0),MAX(C1021-'Black-Scholes'!$B$6,0))</f>
        <v>17.7107036943152</v>
      </c>
      <c r="F1021" s="18" t="n">
        <f aca="false">(E1021+G1021)/2</f>
        <v>8.85535184715758</v>
      </c>
      <c r="G1021" s="18" t="n">
        <f aca="false">EXP(-'Black-Scholes'!$B$8*'Black-Scholes'!$B$7)*IF(LOWER('Black-Scholes'!$B$11)="put",MAX('Black-Scholes'!$B$6-D1021,0),MAX(D1021-'Black-Scholes'!$B$6,0))</f>
        <v>0</v>
      </c>
    </row>
    <row r="1022" customFormat="false" ht="15" hidden="false" customHeight="false" outlineLevel="0" collapsed="false">
      <c r="A1022" s="0" t="n">
        <v>1011</v>
      </c>
      <c r="B1022" s="15" t="n">
        <v>1.01212731750572</v>
      </c>
      <c r="C1022" s="18" t="n">
        <f aca="false">'Black-Scholes'!$B$5*EXP(('Black-Scholes'!$B$8-'Black-Scholes'!$B$10-'Black-Scholes'!$B$9^2/2)*'Black-Scholes'!$B$7+'Black-Scholes'!$B$9*SQRT('Black-Scholes'!$B$7)*B1022)</f>
        <v>126.165640340314</v>
      </c>
      <c r="D1022" s="18" t="n">
        <f aca="false">'Black-Scholes'!$B$5*EXP(('Black-Scholes'!$B$8-'Black-Scholes'!$B$10-'Black-Scholes'!$B$9^2/2)*'Black-Scholes'!$B$7-'Black-Scholes'!$B$9*SQRT('Black-Scholes'!$B$7)*B1022)</f>
        <v>84.1621017957981</v>
      </c>
      <c r="E1022" s="18" t="n">
        <f aca="false">EXP(-'Black-Scholes'!$B$8*'Black-Scholes'!$B$7)*IF(LOWER('Black-Scholes'!$B$11)="put",MAX('Black-Scholes'!$B$6-C1022,0),MAX(C1022-'Black-Scholes'!$B$6,0))</f>
        <v>24.88952700261</v>
      </c>
      <c r="F1022" s="18" t="n">
        <f aca="false">(E1022+G1022)/2</f>
        <v>12.444763501305</v>
      </c>
      <c r="G1022" s="18" t="n">
        <f aca="false">EXP(-'Black-Scholes'!$B$8*'Black-Scholes'!$B$7)*IF(LOWER('Black-Scholes'!$B$11)="put",MAX('Black-Scholes'!$B$6-D1022,0),MAX(D1022-'Black-Scholes'!$B$6,0))</f>
        <v>0</v>
      </c>
    </row>
    <row r="1023" customFormat="false" ht="15" hidden="false" customHeight="false" outlineLevel="0" collapsed="false">
      <c r="A1023" s="0" t="n">
        <v>1012</v>
      </c>
      <c r="B1023" s="15" t="n">
        <v>0.328813100939731</v>
      </c>
      <c r="C1023" s="18" t="n">
        <f aca="false">'Black-Scholes'!$B$5*EXP(('Black-Scholes'!$B$8-'Black-Scholes'!$B$10-'Black-Scholes'!$B$9^2/2)*'Black-Scholes'!$B$7+'Black-Scholes'!$B$9*SQRT('Black-Scholes'!$B$7)*B1023)</f>
        <v>110.049779702523</v>
      </c>
      <c r="D1023" s="18" t="n">
        <f aca="false">'Black-Scholes'!$B$5*EXP(('Black-Scholes'!$B$8-'Black-Scholes'!$B$10-'Black-Scholes'!$B$9^2/2)*'Black-Scholes'!$B$7-'Black-Scholes'!$B$9*SQRT('Black-Scholes'!$B$7)*B1023)</f>
        <v>96.4869306795183</v>
      </c>
      <c r="E1023" s="18" t="n">
        <f aca="false">EXP(-'Black-Scholes'!$B$8*'Black-Scholes'!$B$7)*IF(LOWER('Black-Scholes'!$B$11)="put",MAX('Black-Scholes'!$B$6-C1023,0),MAX(C1023-'Black-Scholes'!$B$6,0))</f>
        <v>9.55964616278994</v>
      </c>
      <c r="F1023" s="18" t="n">
        <f aca="false">(E1023+G1023)/2</f>
        <v>4.77982308139497</v>
      </c>
      <c r="G1023" s="18" t="n">
        <f aca="false">EXP(-'Black-Scholes'!$B$8*'Black-Scholes'!$B$7)*IF(LOWER('Black-Scholes'!$B$11)="put",MAX('Black-Scholes'!$B$6-D1023,0),MAX(D1023-'Black-Scholes'!$B$6,0))</f>
        <v>0</v>
      </c>
    </row>
    <row r="1024" customFormat="false" ht="15" hidden="false" customHeight="false" outlineLevel="0" collapsed="false">
      <c r="A1024" s="0" t="n">
        <v>1013</v>
      </c>
      <c r="B1024" s="15" t="n">
        <v>-0.311788189449249</v>
      </c>
      <c r="C1024" s="18" t="n">
        <f aca="false">'Black-Scholes'!$B$5*EXP(('Black-Scholes'!$B$8-'Black-Scholes'!$B$10-'Black-Scholes'!$B$9^2/2)*'Black-Scholes'!$B$7+'Black-Scholes'!$B$9*SQRT('Black-Scholes'!$B$7)*B1024)</f>
        <v>96.8160269359844</v>
      </c>
      <c r="D1024" s="18" t="n">
        <f aca="false">'Black-Scholes'!$B$5*EXP(('Black-Scholes'!$B$8-'Black-Scholes'!$B$10-'Black-Scholes'!$B$9^2/2)*'Black-Scholes'!$B$7-'Black-Scholes'!$B$9*SQRT('Black-Scholes'!$B$7)*B1024)</f>
        <v>109.675699380585</v>
      </c>
      <c r="E1024" s="18" t="n">
        <f aca="false">EXP(-'Black-Scholes'!$B$8*'Black-Scholes'!$B$7)*IF(LOWER('Black-Scholes'!$B$11)="put",MAX('Black-Scholes'!$B$6-C1024,0),MAX(C1024-'Black-Scholes'!$B$6,0))</f>
        <v>0</v>
      </c>
      <c r="F1024" s="18" t="n">
        <f aca="false">(E1024+G1024)/2</f>
        <v>4.60190497671768</v>
      </c>
      <c r="G1024" s="18" t="n">
        <f aca="false">EXP(-'Black-Scholes'!$B$8*'Black-Scholes'!$B$7)*IF(LOWER('Black-Scholes'!$B$11)="put",MAX('Black-Scholes'!$B$6-D1024,0),MAX(D1024-'Black-Scholes'!$B$6,0))</f>
        <v>9.20380995343535</v>
      </c>
    </row>
    <row r="1025" customFormat="false" ht="15" hidden="false" customHeight="false" outlineLevel="0" collapsed="false">
      <c r="A1025" s="0" t="n">
        <v>1014</v>
      </c>
      <c r="B1025" s="15" t="n">
        <v>0.386838366938131</v>
      </c>
      <c r="C1025" s="18" t="n">
        <f aca="false">'Black-Scholes'!$B$5*EXP(('Black-Scholes'!$B$8-'Black-Scholes'!$B$10-'Black-Scholes'!$B$9^2/2)*'Black-Scholes'!$B$7+'Black-Scholes'!$B$9*SQRT('Black-Scholes'!$B$7)*B1025)</f>
        <v>111.334352602139</v>
      </c>
      <c r="D1025" s="18" t="n">
        <f aca="false">'Black-Scholes'!$B$5*EXP(('Black-Scholes'!$B$8-'Black-Scholes'!$B$10-'Black-Scholes'!$B$9^2/2)*'Black-Scholes'!$B$7-'Black-Scholes'!$B$9*SQRT('Black-Scholes'!$B$7)*B1025)</f>
        <v>95.3736669525447</v>
      </c>
      <c r="E1025" s="18" t="n">
        <f aca="false">EXP(-'Black-Scholes'!$B$8*'Black-Scholes'!$B$7)*IF(LOWER('Black-Scholes'!$B$11)="put",MAX('Black-Scholes'!$B$6-C1025,0),MAX(C1025-'Black-Scholes'!$B$6,0))</f>
        <v>10.781569702821</v>
      </c>
      <c r="F1025" s="18" t="n">
        <f aca="false">(E1025+G1025)/2</f>
        <v>5.39078485141051</v>
      </c>
      <c r="G1025" s="18" t="n">
        <f aca="false">EXP(-'Black-Scholes'!$B$8*'Black-Scholes'!$B$7)*IF(LOWER('Black-Scholes'!$B$11)="put",MAX('Black-Scholes'!$B$6-D1025,0),MAX(D1025-'Black-Scholes'!$B$6,0))</f>
        <v>0</v>
      </c>
    </row>
    <row r="1026" customFormat="false" ht="15" hidden="false" customHeight="false" outlineLevel="0" collapsed="false">
      <c r="A1026" s="0" t="n">
        <v>1015</v>
      </c>
      <c r="B1026" s="15" t="n">
        <v>0.478107449837218</v>
      </c>
      <c r="C1026" s="18" t="n">
        <f aca="false">'Black-Scholes'!$B$5*EXP(('Black-Scholes'!$B$8-'Black-Scholes'!$B$10-'Black-Scholes'!$B$9^2/2)*'Black-Scholes'!$B$7+'Black-Scholes'!$B$9*SQRT('Black-Scholes'!$B$7)*B1026)</f>
        <v>113.385291234654</v>
      </c>
      <c r="D1026" s="18" t="n">
        <f aca="false">'Black-Scholes'!$B$5*EXP(('Black-Scholes'!$B$8-'Black-Scholes'!$B$10-'Black-Scholes'!$B$9^2/2)*'Black-Scholes'!$B$7-'Black-Scholes'!$B$9*SQRT('Black-Scholes'!$B$7)*B1026)</f>
        <v>93.6485266283662</v>
      </c>
      <c r="E1026" s="18" t="n">
        <f aca="false">EXP(-'Black-Scholes'!$B$8*'Black-Scholes'!$B$7)*IF(LOWER('Black-Scholes'!$B$11)="put",MAX('Black-Scholes'!$B$6-C1026,0),MAX(C1026-'Black-Scholes'!$B$6,0))</f>
        <v>12.7324828779148</v>
      </c>
      <c r="F1026" s="18" t="n">
        <f aca="false">(E1026+G1026)/2</f>
        <v>6.3662414389574</v>
      </c>
      <c r="G1026" s="18" t="n">
        <f aca="false">EXP(-'Black-Scholes'!$B$8*'Black-Scholes'!$B$7)*IF(LOWER('Black-Scholes'!$B$11)="put",MAX('Black-Scholes'!$B$6-D1026,0),MAX(D1026-'Black-Scholes'!$B$6,0))</f>
        <v>0</v>
      </c>
    </row>
    <row r="1027" customFormat="false" ht="15" hidden="false" customHeight="false" outlineLevel="0" collapsed="false">
      <c r="A1027" s="0" t="n">
        <v>1016</v>
      </c>
      <c r="B1027" s="15" t="n">
        <v>-0.281911648308474</v>
      </c>
      <c r="C1027" s="18" t="n">
        <f aca="false">'Black-Scholes'!$B$5*EXP(('Black-Scholes'!$B$8-'Black-Scholes'!$B$10-'Black-Scholes'!$B$9^2/2)*'Black-Scholes'!$B$7+'Black-Scholes'!$B$9*SQRT('Black-Scholes'!$B$7)*B1027)</f>
        <v>97.3962643606676</v>
      </c>
      <c r="D1027" s="18" t="n">
        <f aca="false">'Black-Scholes'!$B$5*EXP(('Black-Scholes'!$B$8-'Black-Scholes'!$B$10-'Black-Scholes'!$B$9^2/2)*'Black-Scholes'!$B$7-'Black-Scholes'!$B$9*SQRT('Black-Scholes'!$B$7)*B1027)</f>
        <v>109.022307325184</v>
      </c>
      <c r="E1027" s="18" t="n">
        <f aca="false">EXP(-'Black-Scholes'!$B$8*'Black-Scholes'!$B$7)*IF(LOWER('Black-Scholes'!$B$11)="put",MAX('Black-Scholes'!$B$6-C1027,0),MAX(C1027-'Black-Scholes'!$B$6,0))</f>
        <v>0</v>
      </c>
      <c r="F1027" s="18" t="n">
        <f aca="false">(E1027+G1027)/2</f>
        <v>4.29114210230182</v>
      </c>
      <c r="G1027" s="18" t="n">
        <f aca="false">EXP(-'Black-Scholes'!$B$8*'Black-Scholes'!$B$7)*IF(LOWER('Black-Scholes'!$B$11)="put",MAX('Black-Scholes'!$B$6-D1027,0),MAX(D1027-'Black-Scholes'!$B$6,0))</f>
        <v>8.58228420460364</v>
      </c>
    </row>
    <row r="1028" customFormat="false" ht="15" hidden="false" customHeight="false" outlineLevel="0" collapsed="false">
      <c r="A1028" s="0" t="n">
        <v>1017</v>
      </c>
      <c r="B1028" s="15" t="n">
        <v>2.04842781418622</v>
      </c>
      <c r="C1028" s="18" t="n">
        <f aca="false">'Black-Scholes'!$B$5*EXP(('Black-Scholes'!$B$8-'Black-Scholes'!$B$10-'Black-Scholes'!$B$9^2/2)*'Black-Scholes'!$B$7+'Black-Scholes'!$B$9*SQRT('Black-Scholes'!$B$7)*B1028)</f>
        <v>155.221906640956</v>
      </c>
      <c r="D1028" s="18" t="n">
        <f aca="false">'Black-Scholes'!$B$5*EXP(('Black-Scholes'!$B$8-'Black-Scholes'!$B$10-'Black-Scholes'!$B$9^2/2)*'Black-Scholes'!$B$7-'Black-Scholes'!$B$9*SQRT('Black-Scholes'!$B$7)*B1028)</f>
        <v>68.4076474464069</v>
      </c>
      <c r="E1028" s="18" t="n">
        <f aca="false">EXP(-'Black-Scholes'!$B$8*'Black-Scholes'!$B$7)*IF(LOWER('Black-Scholes'!$B$11)="put",MAX('Black-Scholes'!$B$6-C1028,0),MAX(C1028-'Black-Scholes'!$B$6,0))</f>
        <v>52.5287024739087</v>
      </c>
      <c r="F1028" s="18" t="n">
        <f aca="false">(E1028+G1028)/2</f>
        <v>26.2643512369544</v>
      </c>
      <c r="G1028" s="18" t="n">
        <f aca="false">EXP(-'Black-Scholes'!$B$8*'Black-Scholes'!$B$7)*IF(LOWER('Black-Scholes'!$B$11)="put",MAX('Black-Scholes'!$B$6-D1028,0),MAX(D1028-'Black-Scholes'!$B$6,0))</f>
        <v>0</v>
      </c>
    </row>
    <row r="1029" customFormat="false" ht="15" hidden="false" customHeight="false" outlineLevel="0" collapsed="false">
      <c r="A1029" s="0" t="n">
        <v>1018</v>
      </c>
      <c r="B1029" s="15" t="n">
        <v>-0.0842019942243859</v>
      </c>
      <c r="C1029" s="18" t="n">
        <f aca="false">'Black-Scholes'!$B$5*EXP(('Black-Scholes'!$B$8-'Black-Scholes'!$B$10-'Black-Scholes'!$B$9^2/2)*'Black-Scholes'!$B$7+'Black-Scholes'!$B$9*SQRT('Black-Scholes'!$B$7)*B1029)</f>
        <v>101.324656977848</v>
      </c>
      <c r="D1029" s="18" t="n">
        <f aca="false">'Black-Scholes'!$B$5*EXP(('Black-Scholes'!$B$8-'Black-Scholes'!$B$10-'Black-Scholes'!$B$9^2/2)*'Black-Scholes'!$B$7-'Black-Scholes'!$B$9*SQRT('Black-Scholes'!$B$7)*B1029)</f>
        <v>104.795474094475</v>
      </c>
      <c r="E1029" s="18" t="n">
        <f aca="false">EXP(-'Black-Scholes'!$B$8*'Black-Scholes'!$B$7)*IF(LOWER('Black-Scholes'!$B$11)="put",MAX('Black-Scholes'!$B$6-C1029,0),MAX(C1029-'Black-Scholes'!$B$6,0))</f>
        <v>1.26005269469926</v>
      </c>
      <c r="F1029" s="18" t="n">
        <f aca="false">(E1029+G1029)/2</f>
        <v>2.91082437889719</v>
      </c>
      <c r="G1029" s="18" t="n">
        <f aca="false">EXP(-'Black-Scholes'!$B$8*'Black-Scholes'!$B$7)*IF(LOWER('Black-Scholes'!$B$11)="put",MAX('Black-Scholes'!$B$6-D1029,0),MAX(D1029-'Black-Scholes'!$B$6,0))</f>
        <v>4.56159606309512</v>
      </c>
    </row>
    <row r="1030" customFormat="false" ht="15" hidden="false" customHeight="false" outlineLevel="0" collapsed="false">
      <c r="A1030" s="0" t="n">
        <v>1019</v>
      </c>
      <c r="B1030" s="15" t="n">
        <v>-0.27166515250148</v>
      </c>
      <c r="C1030" s="18" t="n">
        <f aca="false">'Black-Scholes'!$B$5*EXP(('Black-Scholes'!$B$8-'Black-Scholes'!$B$10-'Black-Scholes'!$B$9^2/2)*'Black-Scholes'!$B$7+'Black-Scholes'!$B$9*SQRT('Black-Scholes'!$B$7)*B1030)</f>
        <v>97.5960630973137</v>
      </c>
      <c r="D1030" s="18" t="n">
        <f aca="false">'Black-Scholes'!$B$5*EXP(('Black-Scholes'!$B$8-'Black-Scholes'!$B$10-'Black-Scholes'!$B$9^2/2)*'Black-Scholes'!$B$7-'Black-Scholes'!$B$9*SQRT('Black-Scholes'!$B$7)*B1030)</f>
        <v>108.799116772425</v>
      </c>
      <c r="E1030" s="18" t="n">
        <f aca="false">EXP(-'Black-Scholes'!$B$8*'Black-Scholes'!$B$7)*IF(LOWER('Black-Scholes'!$B$11)="put",MAX('Black-Scholes'!$B$6-C1030,0),MAX(C1030-'Black-Scholes'!$B$6,0))</f>
        <v>0</v>
      </c>
      <c r="F1030" s="18" t="n">
        <f aca="false">(E1030+G1030)/2</f>
        <v>4.18498939177426</v>
      </c>
      <c r="G1030" s="18" t="n">
        <f aca="false">EXP(-'Black-Scholes'!$B$8*'Black-Scholes'!$B$7)*IF(LOWER('Black-Scholes'!$B$11)="put",MAX('Black-Scholes'!$B$6-D1030,0),MAX(D1030-'Black-Scholes'!$B$6,0))</f>
        <v>8.36997878354852</v>
      </c>
    </row>
    <row r="1031" customFormat="false" ht="15" hidden="false" customHeight="false" outlineLevel="0" collapsed="false">
      <c r="A1031" s="0" t="n">
        <v>1020</v>
      </c>
      <c r="B1031" s="15" t="n">
        <v>-0.731170629732806</v>
      </c>
      <c r="C1031" s="18" t="n">
        <f aca="false">'Black-Scholes'!$B$5*EXP(('Black-Scholes'!$B$8-'Black-Scholes'!$B$10-'Black-Scholes'!$B$9^2/2)*'Black-Scholes'!$B$7+'Black-Scholes'!$B$9*SQRT('Black-Scholes'!$B$7)*B1031)</f>
        <v>89.0266764346706</v>
      </c>
      <c r="D1031" s="18" t="n">
        <f aca="false">'Black-Scholes'!$B$5*EXP(('Black-Scholes'!$B$8-'Black-Scholes'!$B$10-'Black-Scholes'!$B$9^2/2)*'Black-Scholes'!$B$7-'Black-Scholes'!$B$9*SQRT('Black-Scholes'!$B$7)*B1031)</f>
        <v>119.271727202414</v>
      </c>
      <c r="E1031" s="18" t="n">
        <f aca="false">EXP(-'Black-Scholes'!$B$8*'Black-Scholes'!$B$7)*IF(LOWER('Black-Scholes'!$B$11)="put",MAX('Black-Scholes'!$B$6-C1031,0),MAX(C1031-'Black-Scholes'!$B$6,0))</f>
        <v>0</v>
      </c>
      <c r="F1031" s="18" t="n">
        <f aca="false">(E1031+G1031)/2</f>
        <v>9.16591698794346</v>
      </c>
      <c r="G1031" s="18" t="n">
        <f aca="false">EXP(-'Black-Scholes'!$B$8*'Black-Scholes'!$B$7)*IF(LOWER('Black-Scholes'!$B$11)="put",MAX('Black-Scholes'!$B$6-D1031,0),MAX(D1031-'Black-Scholes'!$B$6,0))</f>
        <v>18.3318339758869</v>
      </c>
    </row>
    <row r="1032" customFormat="false" ht="15" hidden="false" customHeight="false" outlineLevel="0" collapsed="false">
      <c r="A1032" s="0" t="n">
        <v>1021</v>
      </c>
      <c r="B1032" s="15" t="n">
        <v>-0.373395235902932</v>
      </c>
      <c r="C1032" s="18" t="n">
        <f aca="false">'Black-Scholes'!$B$5*EXP(('Black-Scholes'!$B$8-'Black-Scholes'!$B$10-'Black-Scholes'!$B$9^2/2)*'Black-Scholes'!$B$7+'Black-Scholes'!$B$9*SQRT('Black-Scholes'!$B$7)*B1032)</f>
        <v>95.6304361164506</v>
      </c>
      <c r="D1032" s="18" t="n">
        <f aca="false">'Black-Scholes'!$B$5*EXP(('Black-Scholes'!$B$8-'Black-Scholes'!$B$10-'Black-Scholes'!$B$9^2/2)*'Black-Scholes'!$B$7-'Black-Scholes'!$B$9*SQRT('Black-Scholes'!$B$7)*B1032)</f>
        <v>111.035418185518</v>
      </c>
      <c r="E1032" s="18" t="n">
        <f aca="false">EXP(-'Black-Scholes'!$B$8*'Black-Scholes'!$B$7)*IF(LOWER('Black-Scholes'!$B$11)="put",MAX('Black-Scholes'!$B$6-C1032,0),MAX(C1032-'Black-Scholes'!$B$6,0))</f>
        <v>0</v>
      </c>
      <c r="F1032" s="18" t="n">
        <f aca="false">(E1032+G1032)/2</f>
        <v>5.24860724486773</v>
      </c>
      <c r="G1032" s="18" t="n">
        <f aca="false">EXP(-'Black-Scholes'!$B$8*'Black-Scholes'!$B$7)*IF(LOWER('Black-Scholes'!$B$11)="put",MAX('Black-Scholes'!$B$6-D1032,0),MAX(D1032-'Black-Scholes'!$B$6,0))</f>
        <v>10.4972144897355</v>
      </c>
    </row>
    <row r="1033" customFormat="false" ht="15" hidden="false" customHeight="false" outlineLevel="0" collapsed="false">
      <c r="A1033" s="0" t="n">
        <v>1022</v>
      </c>
      <c r="B1033" s="15" t="n">
        <v>0.378279175470302</v>
      </c>
      <c r="C1033" s="18" t="n">
        <f aca="false">'Black-Scholes'!$B$5*EXP(('Black-Scholes'!$B$8-'Black-Scholes'!$B$10-'Black-Scholes'!$B$9^2/2)*'Black-Scholes'!$B$7+'Black-Scholes'!$B$9*SQRT('Black-Scholes'!$B$7)*B1033)</f>
        <v>111.143929227479</v>
      </c>
      <c r="D1033" s="18" t="n">
        <f aca="false">'Black-Scholes'!$B$5*EXP(('Black-Scholes'!$B$8-'Black-Scholes'!$B$10-'Black-Scholes'!$B$9^2/2)*'Black-Scholes'!$B$7-'Black-Scholes'!$B$9*SQRT('Black-Scholes'!$B$7)*B1033)</f>
        <v>95.5370710686403</v>
      </c>
      <c r="E1033" s="18" t="n">
        <f aca="false">EXP(-'Black-Scholes'!$B$8*'Black-Scholes'!$B$7)*IF(LOWER('Black-Scholes'!$B$11)="put",MAX('Black-Scholes'!$B$6-C1033,0),MAX(C1033-'Black-Scholes'!$B$6,0))</f>
        <v>10.6004333857316</v>
      </c>
      <c r="F1033" s="18" t="n">
        <f aca="false">(E1033+G1033)/2</f>
        <v>5.30021669286581</v>
      </c>
      <c r="G1033" s="18" t="n">
        <f aca="false">EXP(-'Black-Scholes'!$B$8*'Black-Scholes'!$B$7)*IF(LOWER('Black-Scholes'!$B$11)="put",MAX('Black-Scholes'!$B$6-D1033,0),MAX(D1033-'Black-Scholes'!$B$6,0))</f>
        <v>0</v>
      </c>
    </row>
    <row r="1034" customFormat="false" ht="15" hidden="false" customHeight="false" outlineLevel="0" collapsed="false">
      <c r="A1034" s="0" t="n">
        <v>1023</v>
      </c>
      <c r="B1034" s="15" t="n">
        <v>0.527306011690645</v>
      </c>
      <c r="C1034" s="18" t="n">
        <f aca="false">'Black-Scholes'!$B$5*EXP(('Black-Scholes'!$B$8-'Black-Scholes'!$B$10-'Black-Scholes'!$B$9^2/2)*'Black-Scholes'!$B$7+'Black-Scholes'!$B$9*SQRT('Black-Scholes'!$B$7)*B1034)</f>
        <v>114.506476913688</v>
      </c>
      <c r="D1034" s="18" t="n">
        <f aca="false">'Black-Scholes'!$B$5*EXP(('Black-Scholes'!$B$8-'Black-Scholes'!$B$10-'Black-Scholes'!$B$9^2/2)*'Black-Scholes'!$B$7-'Black-Scholes'!$B$9*SQRT('Black-Scholes'!$B$7)*B1034)</f>
        <v>92.7315707517351</v>
      </c>
      <c r="E1034" s="18" t="n">
        <f aca="false">EXP(-'Black-Scholes'!$B$8*'Black-Scholes'!$B$7)*IF(LOWER('Black-Scholes'!$B$11)="put",MAX('Black-Scholes'!$B$6-C1034,0),MAX(C1034-'Black-Scholes'!$B$6,0))</f>
        <v>13.7989876861405</v>
      </c>
      <c r="F1034" s="18" t="n">
        <f aca="false">(E1034+G1034)/2</f>
        <v>6.89949384307026</v>
      </c>
      <c r="G1034" s="18" t="n">
        <f aca="false">EXP(-'Black-Scholes'!$B$8*'Black-Scholes'!$B$7)*IF(LOWER('Black-Scholes'!$B$11)="put",MAX('Black-Scholes'!$B$6-D1034,0),MAX(D1034-'Black-Scholes'!$B$6,0))</f>
        <v>0</v>
      </c>
    </row>
    <row r="1035" customFormat="false" ht="15" hidden="false" customHeight="false" outlineLevel="0" collapsed="false">
      <c r="A1035" s="0" t="n">
        <v>1024</v>
      </c>
      <c r="B1035" s="15" t="n">
        <v>1.42314511172829</v>
      </c>
      <c r="C1035" s="18" t="n">
        <f aca="false">'Black-Scholes'!$B$5*EXP(('Black-Scholes'!$B$8-'Black-Scholes'!$B$10-'Black-Scholes'!$B$9^2/2)*'Black-Scholes'!$B$7+'Black-Scholes'!$B$9*SQRT('Black-Scholes'!$B$7)*B1035)</f>
        <v>136.975106965089</v>
      </c>
      <c r="D1035" s="18" t="n">
        <f aca="false">'Black-Scholes'!$B$5*EXP(('Black-Scholes'!$B$8-'Black-Scholes'!$B$10-'Black-Scholes'!$B$9^2/2)*'Black-Scholes'!$B$7-'Black-Scholes'!$B$9*SQRT('Black-Scholes'!$B$7)*B1035)</f>
        <v>77.5204027996117</v>
      </c>
      <c r="E1035" s="18" t="n">
        <f aca="false">EXP(-'Black-Scholes'!$B$8*'Black-Scholes'!$B$7)*IF(LOWER('Black-Scholes'!$B$11)="put",MAX('Black-Scholes'!$B$6-C1035,0),MAX(C1035-'Black-Scholes'!$B$6,0))</f>
        <v>35.1718097192539</v>
      </c>
      <c r="F1035" s="18" t="n">
        <f aca="false">(E1035+G1035)/2</f>
        <v>17.585904859627</v>
      </c>
      <c r="G1035" s="18" t="n">
        <f aca="false">EXP(-'Black-Scholes'!$B$8*'Black-Scholes'!$B$7)*IF(LOWER('Black-Scholes'!$B$11)="put",MAX('Black-Scholes'!$B$6-D1035,0),MAX(D1035-'Black-Scholes'!$B$6,0))</f>
        <v>0</v>
      </c>
    </row>
    <row r="1036" customFormat="false" ht="15" hidden="false" customHeight="false" outlineLevel="0" collapsed="false">
      <c r="A1036" s="0" t="n">
        <v>1025</v>
      </c>
      <c r="B1036" s="15" t="n">
        <v>0.17045322858862</v>
      </c>
      <c r="C1036" s="18" t="n">
        <f aca="false">'Black-Scholes'!$B$5*EXP(('Black-Scholes'!$B$8-'Black-Scholes'!$B$10-'Black-Scholes'!$B$9^2/2)*'Black-Scholes'!$B$7+'Black-Scholes'!$B$9*SQRT('Black-Scholes'!$B$7)*B1036)</f>
        <v>106.618903985214</v>
      </c>
      <c r="D1036" s="18" t="n">
        <f aca="false">'Black-Scholes'!$B$5*EXP(('Black-Scholes'!$B$8-'Black-Scholes'!$B$10-'Black-Scholes'!$B$9^2/2)*'Black-Scholes'!$B$7-'Black-Scholes'!$B$9*SQRT('Black-Scholes'!$B$7)*B1036)</f>
        <v>99.5917709576738</v>
      </c>
      <c r="E1036" s="18" t="n">
        <f aca="false">EXP(-'Black-Scholes'!$B$8*'Black-Scholes'!$B$7)*IF(LOWER('Black-Scholes'!$B$11)="put",MAX('Black-Scholes'!$B$6-C1036,0),MAX(C1036-'Black-Scholes'!$B$6,0))</f>
        <v>6.29609622868015</v>
      </c>
      <c r="F1036" s="18" t="n">
        <f aca="false">(E1036+G1036)/2</f>
        <v>3.14804811434008</v>
      </c>
      <c r="G1036" s="18" t="n">
        <f aca="false">EXP(-'Black-Scholes'!$B$8*'Black-Scholes'!$B$7)*IF(LOWER('Black-Scholes'!$B$11)="put",MAX('Black-Scholes'!$B$6-D1036,0),MAX(D1036-'Black-Scholes'!$B$6,0))</f>
        <v>0</v>
      </c>
    </row>
    <row r="1037" customFormat="false" ht="15" hidden="false" customHeight="false" outlineLevel="0" collapsed="false">
      <c r="A1037" s="0" t="n">
        <v>1026</v>
      </c>
      <c r="B1037" s="15" t="n">
        <v>1.97455563080186</v>
      </c>
      <c r="C1037" s="18" t="n">
        <f aca="false">'Black-Scholes'!$B$5*EXP(('Black-Scholes'!$B$8-'Black-Scholes'!$B$10-'Black-Scholes'!$B$9^2/2)*'Black-Scholes'!$B$7+'Black-Scholes'!$B$9*SQRT('Black-Scholes'!$B$7)*B1037)</f>
        <v>152.945448513033</v>
      </c>
      <c r="D1037" s="18" t="n">
        <f aca="false">'Black-Scholes'!$B$5*EXP(('Black-Scholes'!$B$8-'Black-Scholes'!$B$10-'Black-Scholes'!$B$9^2/2)*'Black-Scholes'!$B$7-'Black-Scholes'!$B$9*SQRT('Black-Scholes'!$B$7)*B1037)</f>
        <v>69.4258349541457</v>
      </c>
      <c r="E1037" s="18" t="n">
        <f aca="false">EXP(-'Black-Scholes'!$B$8*'Black-Scholes'!$B$7)*IF(LOWER('Black-Scholes'!$B$11)="put",MAX('Black-Scholes'!$B$6-C1037,0),MAX(C1037-'Black-Scholes'!$B$6,0))</f>
        <v>50.3632685189842</v>
      </c>
      <c r="F1037" s="18" t="n">
        <f aca="false">(E1037+G1037)/2</f>
        <v>25.1816342594921</v>
      </c>
      <c r="G1037" s="18" t="n">
        <f aca="false">EXP(-'Black-Scholes'!$B$8*'Black-Scholes'!$B$7)*IF(LOWER('Black-Scholes'!$B$11)="put",MAX('Black-Scholes'!$B$6-D1037,0),MAX(D1037-'Black-Scholes'!$B$6,0))</f>
        <v>0</v>
      </c>
    </row>
    <row r="1038" customFormat="false" ht="15" hidden="false" customHeight="false" outlineLevel="0" collapsed="false">
      <c r="A1038" s="0" t="n">
        <v>1027</v>
      </c>
      <c r="B1038" s="15" t="n">
        <v>-0.493249241402193</v>
      </c>
      <c r="C1038" s="18" t="n">
        <f aca="false">'Black-Scholes'!$B$5*EXP(('Black-Scholes'!$B$8-'Black-Scholes'!$B$10-'Black-Scholes'!$B$9^2/2)*'Black-Scholes'!$B$7+'Black-Scholes'!$B$9*SQRT('Black-Scholes'!$B$7)*B1038)</f>
        <v>93.3653543242654</v>
      </c>
      <c r="D1038" s="18" t="n">
        <f aca="false">'Black-Scholes'!$B$5*EXP(('Black-Scholes'!$B$8-'Black-Scholes'!$B$10-'Black-Scholes'!$B$9^2/2)*'Black-Scholes'!$B$7-'Black-Scholes'!$B$9*SQRT('Black-Scholes'!$B$7)*B1038)</f>
        <v>113.729182974823</v>
      </c>
      <c r="E1038" s="18" t="n">
        <f aca="false">EXP(-'Black-Scholes'!$B$8*'Black-Scholes'!$B$7)*IF(LOWER('Black-Scholes'!$B$11)="put",MAX('Black-Scholes'!$B$6-C1038,0),MAX(C1038-'Black-Scholes'!$B$6,0))</f>
        <v>0</v>
      </c>
      <c r="F1038" s="18" t="n">
        <f aca="false">(E1038+G1038)/2</f>
        <v>6.52980141000313</v>
      </c>
      <c r="G1038" s="18" t="n">
        <f aca="false">EXP(-'Black-Scholes'!$B$8*'Black-Scholes'!$B$7)*IF(LOWER('Black-Scholes'!$B$11)="put",MAX('Black-Scholes'!$B$6-D1038,0),MAX(D1038-'Black-Scholes'!$B$6,0))</f>
        <v>13.0596028200063</v>
      </c>
    </row>
    <row r="1039" customFormat="false" ht="15" hidden="false" customHeight="false" outlineLevel="0" collapsed="false">
      <c r="A1039" s="0" t="n">
        <v>1028</v>
      </c>
      <c r="B1039" s="15" t="n">
        <v>-0.267779470295204</v>
      </c>
      <c r="C1039" s="18" t="n">
        <f aca="false">'Black-Scholes'!$B$5*EXP(('Black-Scholes'!$B$8-'Black-Scholes'!$B$10-'Black-Scholes'!$B$9^2/2)*'Black-Scholes'!$B$7+'Black-Scholes'!$B$9*SQRT('Black-Scholes'!$B$7)*B1039)</f>
        <v>97.6719380332398</v>
      </c>
      <c r="D1039" s="18" t="n">
        <f aca="false">'Black-Scholes'!$B$5*EXP(('Black-Scholes'!$B$8-'Black-Scholes'!$B$10-'Black-Scholes'!$B$9^2/2)*'Black-Scholes'!$B$7-'Black-Scholes'!$B$9*SQRT('Black-Scholes'!$B$7)*B1039)</f>
        <v>108.714597859622</v>
      </c>
      <c r="E1039" s="18" t="n">
        <f aca="false">EXP(-'Black-Scholes'!$B$8*'Black-Scholes'!$B$7)*IF(LOWER('Black-Scholes'!$B$11)="put",MAX('Black-Scholes'!$B$6-C1039,0),MAX(C1039-'Black-Scholes'!$B$6,0))</f>
        <v>0</v>
      </c>
      <c r="F1039" s="18" t="n">
        <f aca="false">(E1039+G1039)/2</f>
        <v>4.14479095338175</v>
      </c>
      <c r="G1039" s="18" t="n">
        <f aca="false">EXP(-'Black-Scholes'!$B$8*'Black-Scholes'!$B$7)*IF(LOWER('Black-Scholes'!$B$11)="put",MAX('Black-Scholes'!$B$6-D1039,0),MAX(D1039-'Black-Scholes'!$B$6,0))</f>
        <v>8.2895819067635</v>
      </c>
    </row>
    <row r="1040" customFormat="false" ht="15" hidden="false" customHeight="false" outlineLevel="0" collapsed="false">
      <c r="A1040" s="0" t="n">
        <v>1029</v>
      </c>
      <c r="B1040" s="15" t="n">
        <v>-0.201293177788691</v>
      </c>
      <c r="C1040" s="18" t="n">
        <f aca="false">'Black-Scholes'!$B$5*EXP(('Black-Scholes'!$B$8-'Black-Scholes'!$B$10-'Black-Scholes'!$B$9^2/2)*'Black-Scholes'!$B$7+'Black-Scholes'!$B$9*SQRT('Black-Scholes'!$B$7)*B1040)</f>
        <v>98.9793804768754</v>
      </c>
      <c r="D1040" s="18" t="n">
        <f aca="false">'Black-Scholes'!$B$5*EXP(('Black-Scholes'!$B$8-'Black-Scholes'!$B$10-'Black-Scholes'!$B$9^2/2)*'Black-Scholes'!$B$7-'Black-Scholes'!$B$9*SQRT('Black-Scholes'!$B$7)*B1040)</f>
        <v>107.278560588024</v>
      </c>
      <c r="E1040" s="18" t="n">
        <f aca="false">EXP(-'Black-Scholes'!$B$8*'Black-Scholes'!$B$7)*IF(LOWER('Black-Scholes'!$B$11)="put",MAX('Black-Scholes'!$B$6-C1040,0),MAX(C1040-'Black-Scholes'!$B$6,0))</f>
        <v>0</v>
      </c>
      <c r="F1040" s="18" t="n">
        <f aca="false">(E1040+G1040)/2</f>
        <v>3.46179049967002</v>
      </c>
      <c r="G1040" s="18" t="n">
        <f aca="false">EXP(-'Black-Scholes'!$B$8*'Black-Scholes'!$B$7)*IF(LOWER('Black-Scholes'!$B$11)="put",MAX('Black-Scholes'!$B$6-D1040,0),MAX(D1040-'Black-Scholes'!$B$6,0))</f>
        <v>6.92358099934003</v>
      </c>
    </row>
    <row r="1041" customFormat="false" ht="15" hidden="false" customHeight="false" outlineLevel="0" collapsed="false">
      <c r="A1041" s="0" t="n">
        <v>1030</v>
      </c>
      <c r="B1041" s="15" t="n">
        <v>-1.12844669265065</v>
      </c>
      <c r="C1041" s="18" t="n">
        <f aca="false">'Black-Scholes'!$B$5*EXP(('Black-Scholes'!$B$8-'Black-Scholes'!$B$10-'Black-Scholes'!$B$9^2/2)*'Black-Scholes'!$B$7+'Black-Scholes'!$B$9*SQRT('Black-Scholes'!$B$7)*B1041)</f>
        <v>82.2267641877796</v>
      </c>
      <c r="D1041" s="18" t="n">
        <f aca="false">'Black-Scholes'!$B$5*EXP(('Black-Scholes'!$B$8-'Black-Scholes'!$B$10-'Black-Scholes'!$B$9^2/2)*'Black-Scholes'!$B$7-'Black-Scholes'!$B$9*SQRT('Black-Scholes'!$B$7)*B1041)</f>
        <v>129.135149246596</v>
      </c>
      <c r="E1041" s="18" t="n">
        <f aca="false">EXP(-'Black-Scholes'!$B$8*'Black-Scholes'!$B$7)*IF(LOWER('Black-Scholes'!$B$11)="put",MAX('Black-Scholes'!$B$6-C1041,0),MAX(C1041-'Black-Scholes'!$B$6,0))</f>
        <v>0</v>
      </c>
      <c r="F1041" s="18" t="n">
        <f aca="false">(E1041+G1041)/2</f>
        <v>13.8571056252911</v>
      </c>
      <c r="G1041" s="18" t="n">
        <f aca="false">EXP(-'Black-Scholes'!$B$8*'Black-Scholes'!$B$7)*IF(LOWER('Black-Scholes'!$B$11)="put",MAX('Black-Scholes'!$B$6-D1041,0),MAX(D1041-'Black-Scholes'!$B$6,0))</f>
        <v>27.7142112505821</v>
      </c>
    </row>
    <row r="1042" customFormat="false" ht="15" hidden="false" customHeight="false" outlineLevel="0" collapsed="false">
      <c r="A1042" s="0" t="n">
        <v>1031</v>
      </c>
      <c r="B1042" s="15" t="n">
        <v>-0.152685397892628</v>
      </c>
      <c r="C1042" s="18" t="n">
        <f aca="false">'Black-Scholes'!$B$5*EXP(('Black-Scholes'!$B$8-'Black-Scholes'!$B$10-'Black-Scholes'!$B$9^2/2)*'Black-Scholes'!$B$7+'Black-Scholes'!$B$9*SQRT('Black-Scholes'!$B$7)*B1042)</f>
        <v>99.9463064622894</v>
      </c>
      <c r="D1042" s="18" t="n">
        <f aca="false">'Black-Scholes'!$B$5*EXP(('Black-Scholes'!$B$8-'Black-Scholes'!$B$10-'Black-Scholes'!$B$9^2/2)*'Black-Scholes'!$B$7-'Black-Scholes'!$B$9*SQRT('Black-Scholes'!$B$7)*B1042)</f>
        <v>106.240699044341</v>
      </c>
      <c r="E1042" s="18" t="n">
        <f aca="false">EXP(-'Black-Scholes'!$B$8*'Black-Scholes'!$B$7)*IF(LOWER('Black-Scholes'!$B$11)="put",MAX('Black-Scholes'!$B$6-C1042,0),MAX(C1042-'Black-Scholes'!$B$6,0))</f>
        <v>0</v>
      </c>
      <c r="F1042" s="18" t="n">
        <f aca="false">(E1042+G1042)/2</f>
        <v>2.96816828021548</v>
      </c>
      <c r="G1042" s="18" t="n">
        <f aca="false">EXP(-'Black-Scholes'!$B$8*'Black-Scholes'!$B$7)*IF(LOWER('Black-Scholes'!$B$11)="put",MAX('Black-Scholes'!$B$6-D1042,0),MAX(D1042-'Black-Scholes'!$B$6,0))</f>
        <v>5.93633656043096</v>
      </c>
    </row>
    <row r="1043" customFormat="false" ht="15" hidden="false" customHeight="false" outlineLevel="0" collapsed="false">
      <c r="A1043" s="0" t="n">
        <v>1032</v>
      </c>
      <c r="B1043" s="15" t="n">
        <v>-0.639017026648289</v>
      </c>
      <c r="C1043" s="18" t="n">
        <f aca="false">'Black-Scholes'!$B$5*EXP(('Black-Scholes'!$B$8-'Black-Scholes'!$B$10-'Black-Scholes'!$B$9^2/2)*'Black-Scholes'!$B$7+'Black-Scholes'!$B$9*SQRT('Black-Scholes'!$B$7)*B1043)</f>
        <v>90.6827163618166</v>
      </c>
      <c r="D1043" s="18" t="n">
        <f aca="false">'Black-Scholes'!$B$5*EXP(('Black-Scholes'!$B$8-'Black-Scholes'!$B$10-'Black-Scholes'!$B$9^2/2)*'Black-Scholes'!$B$7-'Black-Scholes'!$B$9*SQRT('Black-Scholes'!$B$7)*B1043)</f>
        <v>117.09359723067</v>
      </c>
      <c r="E1043" s="18" t="n">
        <f aca="false">EXP(-'Black-Scholes'!$B$8*'Black-Scholes'!$B$7)*IF(LOWER('Black-Scholes'!$B$11)="put",MAX('Black-Scholes'!$B$6-C1043,0),MAX(C1043-'Black-Scholes'!$B$6,0))</f>
        <v>0</v>
      </c>
      <c r="F1043" s="18" t="n">
        <f aca="false">(E1043+G1043)/2</f>
        <v>8.12996632818837</v>
      </c>
      <c r="G1043" s="18" t="n">
        <f aca="false">EXP(-'Black-Scholes'!$B$8*'Black-Scholes'!$B$7)*IF(LOWER('Black-Scholes'!$B$11)="put",MAX('Black-Scholes'!$B$6-D1043,0),MAX(D1043-'Black-Scholes'!$B$6,0))</f>
        <v>16.2599326563767</v>
      </c>
    </row>
    <row r="1044" customFormat="false" ht="15" hidden="false" customHeight="false" outlineLevel="0" collapsed="false">
      <c r="A1044" s="0" t="n">
        <v>1033</v>
      </c>
      <c r="B1044" s="15" t="n">
        <v>0.563300831939415</v>
      </c>
      <c r="C1044" s="18" t="n">
        <f aca="false">'Black-Scholes'!$B$5*EXP(('Black-Scholes'!$B$8-'Black-Scholes'!$B$10-'Black-Scholes'!$B$9^2/2)*'Black-Scholes'!$B$7+'Black-Scholes'!$B$9*SQRT('Black-Scholes'!$B$7)*B1044)</f>
        <v>115.333779211289</v>
      </c>
      <c r="D1044" s="18" t="n">
        <f aca="false">'Black-Scholes'!$B$5*EXP(('Black-Scholes'!$B$8-'Black-Scholes'!$B$10-'Black-Scholes'!$B$9^2/2)*'Black-Scholes'!$B$7-'Black-Scholes'!$B$9*SQRT('Black-Scholes'!$B$7)*B1044)</f>
        <v>92.0663966625164</v>
      </c>
      <c r="E1044" s="18" t="n">
        <f aca="false">EXP(-'Black-Scholes'!$B$8*'Black-Scholes'!$B$7)*IF(LOWER('Black-Scholes'!$B$11)="put",MAX('Black-Scholes'!$B$6-C1044,0),MAX(C1044-'Black-Scholes'!$B$6,0))</f>
        <v>14.5859419745752</v>
      </c>
      <c r="F1044" s="18" t="n">
        <f aca="false">(E1044+G1044)/2</f>
        <v>7.29297098728759</v>
      </c>
      <c r="G1044" s="18" t="n">
        <f aca="false">EXP(-'Black-Scholes'!$B$8*'Black-Scholes'!$B$7)*IF(LOWER('Black-Scholes'!$B$11)="put",MAX('Black-Scholes'!$B$6-D1044,0),MAX(D1044-'Black-Scholes'!$B$6,0))</f>
        <v>0</v>
      </c>
    </row>
    <row r="1045" customFormat="false" ht="15" hidden="false" customHeight="false" outlineLevel="0" collapsed="false">
      <c r="A1045" s="0" t="n">
        <v>1034</v>
      </c>
      <c r="B1045" s="15" t="n">
        <v>-0.791390551635894</v>
      </c>
      <c r="C1045" s="18" t="n">
        <f aca="false">'Black-Scholes'!$B$5*EXP(('Black-Scholes'!$B$8-'Black-Scholes'!$B$10-'Black-Scholes'!$B$9^2/2)*'Black-Scholes'!$B$7+'Black-Scholes'!$B$9*SQRT('Black-Scholes'!$B$7)*B1045)</f>
        <v>87.9608716856632</v>
      </c>
      <c r="D1045" s="18" t="n">
        <f aca="false">'Black-Scholes'!$B$5*EXP(('Black-Scholes'!$B$8-'Black-Scholes'!$B$10-'Black-Scholes'!$B$9^2/2)*'Black-Scholes'!$B$7-'Black-Scholes'!$B$9*SQRT('Black-Scholes'!$B$7)*B1045)</f>
        <v>120.716919488922</v>
      </c>
      <c r="E1045" s="18" t="n">
        <f aca="false">EXP(-'Black-Scholes'!$B$8*'Black-Scholes'!$B$7)*IF(LOWER('Black-Scholes'!$B$11)="put",MAX('Black-Scholes'!$B$6-C1045,0),MAX(C1045-'Black-Scholes'!$B$6,0))</f>
        <v>0</v>
      </c>
      <c r="F1045" s="18" t="n">
        <f aca="false">(E1045+G1045)/2</f>
        <v>9.85327170143741</v>
      </c>
      <c r="G1045" s="18" t="n">
        <f aca="false">EXP(-'Black-Scholes'!$B$8*'Black-Scholes'!$B$7)*IF(LOWER('Black-Scholes'!$B$11)="put",MAX('Black-Scholes'!$B$6-D1045,0),MAX(D1045-'Black-Scholes'!$B$6,0))</f>
        <v>19.7065434028748</v>
      </c>
    </row>
    <row r="1046" customFormat="false" ht="15" hidden="false" customHeight="false" outlineLevel="0" collapsed="false">
      <c r="A1046" s="0" t="n">
        <v>1035</v>
      </c>
      <c r="B1046" s="15" t="n">
        <v>0.272666398375262</v>
      </c>
      <c r="C1046" s="18" t="n">
        <f aca="false">'Black-Scholes'!$B$5*EXP(('Black-Scholes'!$B$8-'Black-Scholes'!$B$10-'Black-Scholes'!$B$9^2/2)*'Black-Scholes'!$B$7+'Black-Scholes'!$B$9*SQRT('Black-Scholes'!$B$7)*B1046)</f>
        <v>108.820905887326</v>
      </c>
      <c r="D1046" s="18" t="n">
        <f aca="false">'Black-Scholes'!$B$5*EXP(('Black-Scholes'!$B$8-'Black-Scholes'!$B$10-'Black-Scholes'!$B$9^2/2)*'Black-Scholes'!$B$7-'Black-Scholes'!$B$9*SQRT('Black-Scholes'!$B$7)*B1046)</f>
        <v>97.5765215228763</v>
      </c>
      <c r="E1046" s="18" t="n">
        <f aca="false">EXP(-'Black-Scholes'!$B$8*'Black-Scholes'!$B$7)*IF(LOWER('Black-Scholes'!$B$11)="put",MAX('Black-Scholes'!$B$6-C1046,0),MAX(C1046-'Black-Scholes'!$B$6,0))</f>
        <v>8.39070523077639</v>
      </c>
      <c r="F1046" s="18" t="n">
        <f aca="false">(E1046+G1046)/2</f>
        <v>4.19535261538819</v>
      </c>
      <c r="G1046" s="18" t="n">
        <f aca="false">EXP(-'Black-Scholes'!$B$8*'Black-Scholes'!$B$7)*IF(LOWER('Black-Scholes'!$B$11)="put",MAX('Black-Scholes'!$B$6-D1046,0),MAX(D1046-'Black-Scholes'!$B$6,0))</f>
        <v>0</v>
      </c>
    </row>
    <row r="1047" customFormat="false" ht="15" hidden="false" customHeight="false" outlineLevel="0" collapsed="false">
      <c r="A1047" s="0" t="n">
        <v>1036</v>
      </c>
      <c r="B1047" s="15" t="n">
        <v>1.34588130482262</v>
      </c>
      <c r="C1047" s="18" t="n">
        <f aca="false">'Black-Scholes'!$B$5*EXP(('Black-Scholes'!$B$8-'Black-Scholes'!$B$10-'Black-Scholes'!$B$9^2/2)*'Black-Scholes'!$B$7+'Black-Scholes'!$B$9*SQRT('Black-Scholes'!$B$7)*B1047)</f>
        <v>134.874733402875</v>
      </c>
      <c r="D1047" s="18" t="n">
        <f aca="false">'Black-Scholes'!$B$5*EXP(('Black-Scholes'!$B$8-'Black-Scholes'!$B$10-'Black-Scholes'!$B$9^2/2)*'Black-Scholes'!$B$7-'Black-Scholes'!$B$9*SQRT('Black-Scholes'!$B$7)*B1047)</f>
        <v>78.7276104096996</v>
      </c>
      <c r="E1047" s="18" t="n">
        <f aca="false">EXP(-'Black-Scholes'!$B$8*'Black-Scholes'!$B$7)*IF(LOWER('Black-Scholes'!$B$11)="put",MAX('Black-Scholes'!$B$6-C1047,0),MAX(C1047-'Black-Scholes'!$B$6,0))</f>
        <v>33.1738725844322</v>
      </c>
      <c r="F1047" s="18" t="n">
        <f aca="false">(E1047+G1047)/2</f>
        <v>16.5869362922161</v>
      </c>
      <c r="G1047" s="18" t="n">
        <f aca="false">EXP(-'Black-Scholes'!$B$8*'Black-Scholes'!$B$7)*IF(LOWER('Black-Scholes'!$B$11)="put",MAX('Black-Scholes'!$B$6-D1047,0),MAX(D1047-'Black-Scholes'!$B$6,0))</f>
        <v>0</v>
      </c>
    </row>
    <row r="1048" customFormat="false" ht="15" hidden="false" customHeight="false" outlineLevel="0" collapsed="false">
      <c r="A1048" s="0" t="n">
        <v>1037</v>
      </c>
      <c r="B1048" s="15" t="n">
        <v>-0.0897744650989207</v>
      </c>
      <c r="C1048" s="18" t="n">
        <f aca="false">'Black-Scholes'!$B$5*EXP(('Black-Scholes'!$B$8-'Black-Scholes'!$B$10-'Black-Scholes'!$B$9^2/2)*'Black-Scholes'!$B$7+'Black-Scholes'!$B$9*SQRT('Black-Scholes'!$B$7)*B1048)</f>
        <v>101.211794142041</v>
      </c>
      <c r="D1048" s="18" t="n">
        <f aca="false">'Black-Scholes'!$B$5*EXP(('Black-Scholes'!$B$8-'Black-Scholes'!$B$10-'Black-Scholes'!$B$9^2/2)*'Black-Scholes'!$B$7-'Black-Scholes'!$B$9*SQRT('Black-Scholes'!$B$7)*B1048)</f>
        <v>104.91233314718</v>
      </c>
      <c r="E1048" s="18" t="n">
        <f aca="false">EXP(-'Black-Scholes'!$B$8*'Black-Scholes'!$B$7)*IF(LOWER('Black-Scholes'!$B$11)="put",MAX('Black-Scholes'!$B$6-C1048,0),MAX(C1048-'Black-Scholes'!$B$6,0))</f>
        <v>1.15269424434655</v>
      </c>
      <c r="F1048" s="18" t="n">
        <f aca="false">(E1048+G1048)/2</f>
        <v>2.91272503844736</v>
      </c>
      <c r="G1048" s="18" t="n">
        <f aca="false">EXP(-'Black-Scholes'!$B$8*'Black-Scholes'!$B$7)*IF(LOWER('Black-Scholes'!$B$11)="put",MAX('Black-Scholes'!$B$6-D1048,0),MAX(D1048-'Black-Scholes'!$B$6,0))</f>
        <v>4.67275583254817</v>
      </c>
    </row>
    <row r="1049" customFormat="false" ht="15" hidden="false" customHeight="false" outlineLevel="0" collapsed="false">
      <c r="A1049" s="0" t="n">
        <v>1038</v>
      </c>
      <c r="B1049" s="15" t="n">
        <v>1.48810137912441</v>
      </c>
      <c r="C1049" s="18" t="n">
        <f aca="false">'Black-Scholes'!$B$5*EXP(('Black-Scholes'!$B$8-'Black-Scholes'!$B$10-'Black-Scholes'!$B$9^2/2)*'Black-Scholes'!$B$7+'Black-Scholes'!$B$9*SQRT('Black-Scholes'!$B$7)*B1049)</f>
        <v>138.766194344613</v>
      </c>
      <c r="D1049" s="18" t="n">
        <f aca="false">'Black-Scholes'!$B$5*EXP(('Black-Scholes'!$B$8-'Black-Scholes'!$B$10-'Black-Scholes'!$B$9^2/2)*'Black-Scholes'!$B$7-'Black-Scholes'!$B$9*SQRT('Black-Scholes'!$B$7)*B1049)</f>
        <v>76.5198290232263</v>
      </c>
      <c r="E1049" s="18" t="n">
        <f aca="false">EXP(-'Black-Scholes'!$B$8*'Black-Scholes'!$B$7)*IF(LOWER('Black-Scholes'!$B$11)="put",MAX('Black-Scholes'!$B$6-C1049,0),MAX(C1049-'Black-Scholes'!$B$6,0))</f>
        <v>36.8755447365092</v>
      </c>
      <c r="F1049" s="18" t="n">
        <f aca="false">(E1049+G1049)/2</f>
        <v>18.4377723682546</v>
      </c>
      <c r="G1049" s="18" t="n">
        <f aca="false">EXP(-'Black-Scholes'!$B$8*'Black-Scholes'!$B$7)*IF(LOWER('Black-Scholes'!$B$11)="put",MAX('Black-Scholes'!$B$6-D1049,0),MAX(D1049-'Black-Scholes'!$B$6,0))</f>
        <v>0</v>
      </c>
    </row>
    <row r="1050" customFormat="false" ht="15" hidden="false" customHeight="false" outlineLevel="0" collapsed="false">
      <c r="A1050" s="0" t="n">
        <v>1039</v>
      </c>
      <c r="B1050" s="15" t="n">
        <v>-0.954562735345151</v>
      </c>
      <c r="C1050" s="18" t="n">
        <f aca="false">'Black-Scholes'!$B$5*EXP(('Black-Scholes'!$B$8-'Black-Scholes'!$B$10-'Black-Scholes'!$B$9^2/2)*'Black-Scholes'!$B$7+'Black-Scholes'!$B$9*SQRT('Black-Scholes'!$B$7)*B1050)</f>
        <v>85.1366522349323</v>
      </c>
      <c r="D1050" s="18" t="n">
        <f aca="false">'Black-Scholes'!$B$5*EXP(('Black-Scholes'!$B$8-'Black-Scholes'!$B$10-'Black-Scholes'!$B$9^2/2)*'Black-Scholes'!$B$7-'Black-Scholes'!$B$9*SQRT('Black-Scholes'!$B$7)*B1050)</f>
        <v>124.721435324383</v>
      </c>
      <c r="E1050" s="18" t="n">
        <f aca="false">EXP(-'Black-Scholes'!$B$8*'Black-Scholes'!$B$7)*IF(LOWER('Black-Scholes'!$B$11)="put",MAX('Black-Scholes'!$B$6-C1050,0),MAX(C1050-'Black-Scholes'!$B$6,0))</f>
        <v>0</v>
      </c>
      <c r="F1050" s="18" t="n">
        <f aca="false">(E1050+G1050)/2</f>
        <v>11.7578783482222</v>
      </c>
      <c r="G1050" s="18" t="n">
        <f aca="false">EXP(-'Black-Scholes'!$B$8*'Black-Scholes'!$B$7)*IF(LOWER('Black-Scholes'!$B$11)="put",MAX('Black-Scholes'!$B$6-D1050,0),MAX(D1050-'Black-Scholes'!$B$6,0))</f>
        <v>23.5157566964444</v>
      </c>
    </row>
    <row r="1051" customFormat="false" ht="15" hidden="false" customHeight="false" outlineLevel="0" collapsed="false">
      <c r="A1051" s="0" t="n">
        <v>1040</v>
      </c>
      <c r="B1051" s="15" t="n">
        <v>-1.12517659631251</v>
      </c>
      <c r="C1051" s="18" t="n">
        <f aca="false">'Black-Scholes'!$B$5*EXP(('Black-Scholes'!$B$8-'Black-Scholes'!$B$10-'Black-Scholes'!$B$9^2/2)*'Black-Scholes'!$B$7+'Black-Scholes'!$B$9*SQRT('Black-Scholes'!$B$7)*B1051)</f>
        <v>82.2805596655951</v>
      </c>
      <c r="D1051" s="18" t="n">
        <f aca="false">'Black-Scholes'!$B$5*EXP(('Black-Scholes'!$B$8-'Black-Scholes'!$B$10-'Black-Scholes'!$B$9^2/2)*'Black-Scholes'!$B$7-'Black-Scholes'!$B$9*SQRT('Black-Scholes'!$B$7)*B1051)</f>
        <v>129.050719983053</v>
      </c>
      <c r="E1051" s="18" t="n">
        <f aca="false">EXP(-'Black-Scholes'!$B$8*'Black-Scholes'!$B$7)*IF(LOWER('Black-Scholes'!$B$11)="put",MAX('Black-Scholes'!$B$6-C1051,0),MAX(C1051-'Black-Scholes'!$B$6,0))</f>
        <v>0</v>
      </c>
      <c r="F1051" s="18" t="n">
        <f aca="false">(E1051+G1051)/2</f>
        <v>13.8169498254054</v>
      </c>
      <c r="G1051" s="18" t="n">
        <f aca="false">EXP(-'Black-Scholes'!$B$8*'Black-Scholes'!$B$7)*IF(LOWER('Black-Scholes'!$B$11)="put",MAX('Black-Scholes'!$B$6-D1051,0),MAX(D1051-'Black-Scholes'!$B$6,0))</f>
        <v>27.6338996508109</v>
      </c>
    </row>
    <row r="1052" customFormat="false" ht="15" hidden="false" customHeight="false" outlineLevel="0" collapsed="false">
      <c r="A1052" s="0" t="n">
        <v>1041</v>
      </c>
      <c r="B1052" s="15" t="n">
        <v>-0.464534464099918</v>
      </c>
      <c r="C1052" s="18" t="n">
        <f aca="false">'Black-Scholes'!$B$5*EXP(('Black-Scholes'!$B$8-'Black-Scholes'!$B$10-'Black-Scholes'!$B$9^2/2)*'Black-Scholes'!$B$7+'Black-Scholes'!$B$9*SQRT('Black-Scholes'!$B$7)*B1052)</f>
        <v>93.9030900138115</v>
      </c>
      <c r="D1052" s="18" t="n">
        <f aca="false">'Black-Scholes'!$B$5*EXP(('Black-Scholes'!$B$8-'Black-Scholes'!$B$10-'Black-Scholes'!$B$9^2/2)*'Black-Scholes'!$B$7-'Black-Scholes'!$B$9*SQRT('Black-Scholes'!$B$7)*B1052)</f>
        <v>113.077913238977</v>
      </c>
      <c r="E1052" s="18" t="n">
        <f aca="false">EXP(-'Black-Scholes'!$B$8*'Black-Scholes'!$B$7)*IF(LOWER('Black-Scholes'!$B$11)="put",MAX('Black-Scholes'!$B$6-C1052,0),MAX(C1052-'Black-Scholes'!$B$6,0))</f>
        <v>0</v>
      </c>
      <c r="F1052" s="18" t="n">
        <f aca="false">(E1052+G1052)/2</f>
        <v>6.22004794199103</v>
      </c>
      <c r="G1052" s="18" t="n">
        <f aca="false">EXP(-'Black-Scholes'!$B$8*'Black-Scholes'!$B$7)*IF(LOWER('Black-Scholes'!$B$11)="put",MAX('Black-Scholes'!$B$6-D1052,0),MAX(D1052-'Black-Scholes'!$B$6,0))</f>
        <v>12.4400958839821</v>
      </c>
    </row>
    <row r="1053" customFormat="false" ht="15" hidden="false" customHeight="false" outlineLevel="0" collapsed="false">
      <c r="A1053" s="0" t="n">
        <v>1042</v>
      </c>
      <c r="B1053" s="15" t="n">
        <v>0.970475340637161</v>
      </c>
      <c r="C1053" s="18" t="n">
        <f aca="false">'Black-Scholes'!$B$5*EXP(('Black-Scholes'!$B$8-'Black-Scholes'!$B$10-'Black-Scholes'!$B$9^2/2)*'Black-Scholes'!$B$7+'Black-Scholes'!$B$9*SQRT('Black-Scholes'!$B$7)*B1053)</f>
        <v>125.11899620612</v>
      </c>
      <c r="D1053" s="18" t="n">
        <f aca="false">'Black-Scholes'!$B$5*EXP(('Black-Scholes'!$B$8-'Black-Scholes'!$B$10-'Black-Scholes'!$B$9^2/2)*'Black-Scholes'!$B$7-'Black-Scholes'!$B$9*SQRT('Black-Scholes'!$B$7)*B1053)</f>
        <v>84.8661337400836</v>
      </c>
      <c r="E1053" s="18" t="n">
        <f aca="false">EXP(-'Black-Scholes'!$B$8*'Black-Scholes'!$B$7)*IF(LOWER('Black-Scholes'!$B$11)="put",MAX('Black-Scholes'!$B$6-C1053,0),MAX(C1053-'Black-Scholes'!$B$6,0))</f>
        <v>23.8939283051833</v>
      </c>
      <c r="F1053" s="18" t="n">
        <f aca="false">(E1053+G1053)/2</f>
        <v>11.9469641525916</v>
      </c>
      <c r="G1053" s="18" t="n">
        <f aca="false">EXP(-'Black-Scholes'!$B$8*'Black-Scholes'!$B$7)*IF(LOWER('Black-Scholes'!$B$11)="put",MAX('Black-Scholes'!$B$6-D1053,0),MAX(D1053-'Black-Scholes'!$B$6,0))</f>
        <v>0</v>
      </c>
    </row>
    <row r="1054" customFormat="false" ht="15" hidden="false" customHeight="false" outlineLevel="0" collapsed="false">
      <c r="A1054" s="0" t="n">
        <v>1043</v>
      </c>
      <c r="B1054" s="15" t="n">
        <v>-0.182876499299335</v>
      </c>
      <c r="C1054" s="18" t="n">
        <f aca="false">'Black-Scholes'!$B$5*EXP(('Black-Scholes'!$B$8-'Black-Scholes'!$B$10-'Black-Scholes'!$B$9^2/2)*'Black-Scholes'!$B$7+'Black-Scholes'!$B$9*SQRT('Black-Scholes'!$B$7)*B1054)</f>
        <v>99.3446270121997</v>
      </c>
      <c r="D1054" s="18" t="n">
        <f aca="false">'Black-Scholes'!$B$5*EXP(('Black-Scholes'!$B$8-'Black-Scholes'!$B$10-'Black-Scholes'!$B$9^2/2)*'Black-Scholes'!$B$7-'Black-Scholes'!$B$9*SQRT('Black-Scholes'!$B$7)*B1054)</f>
        <v>106.884144465605</v>
      </c>
      <c r="E1054" s="18" t="n">
        <f aca="false">EXP(-'Black-Scholes'!$B$8*'Black-Scholes'!$B$7)*IF(LOWER('Black-Scholes'!$B$11)="put",MAX('Black-Scholes'!$B$6-C1054,0),MAX(C1054-'Black-Scholes'!$B$6,0))</f>
        <v>0</v>
      </c>
      <c r="F1054" s="18" t="n">
        <f aca="false">(E1054+G1054)/2</f>
        <v>3.27420038909861</v>
      </c>
      <c r="G1054" s="18" t="n">
        <f aca="false">EXP(-'Black-Scholes'!$B$8*'Black-Scholes'!$B$7)*IF(LOWER('Black-Scholes'!$B$11)="put",MAX('Black-Scholes'!$B$6-D1054,0),MAX(D1054-'Black-Scholes'!$B$6,0))</f>
        <v>6.54840077819721</v>
      </c>
    </row>
    <row r="1055" customFormat="false" ht="15" hidden="false" customHeight="false" outlineLevel="0" collapsed="false">
      <c r="A1055" s="0" t="n">
        <v>1044</v>
      </c>
      <c r="B1055" s="15" t="n">
        <v>-1.15589488529591</v>
      </c>
      <c r="C1055" s="18" t="n">
        <f aca="false">'Black-Scholes'!$B$5*EXP(('Black-Scholes'!$B$8-'Black-Scholes'!$B$10-'Black-Scholes'!$B$9^2/2)*'Black-Scholes'!$B$7+'Black-Scholes'!$B$9*SQRT('Black-Scholes'!$B$7)*B1055)</f>
        <v>81.7766057091417</v>
      </c>
      <c r="D1055" s="18" t="n">
        <f aca="false">'Black-Scholes'!$B$5*EXP(('Black-Scholes'!$B$8-'Black-Scholes'!$B$10-'Black-Scholes'!$B$9^2/2)*'Black-Scholes'!$B$7-'Black-Scholes'!$B$9*SQRT('Black-Scholes'!$B$7)*B1055)</f>
        <v>129.846003919756</v>
      </c>
      <c r="E1055" s="18" t="n">
        <f aca="false">EXP(-'Black-Scholes'!$B$8*'Black-Scholes'!$B$7)*IF(LOWER('Black-Scholes'!$B$11)="put",MAX('Black-Scholes'!$B$6-C1055,0),MAX(C1055-'Black-Scholes'!$B$6,0))</f>
        <v>0</v>
      </c>
      <c r="F1055" s="18" t="n">
        <f aca="false">(E1055+G1055)/2</f>
        <v>14.195198566118</v>
      </c>
      <c r="G1055" s="18" t="n">
        <f aca="false">EXP(-'Black-Scholes'!$B$8*'Black-Scholes'!$B$7)*IF(LOWER('Black-Scholes'!$B$11)="put",MAX('Black-Scholes'!$B$6-D1055,0),MAX(D1055-'Black-Scholes'!$B$6,0))</f>
        <v>28.390397132236</v>
      </c>
    </row>
    <row r="1056" customFormat="false" ht="15" hidden="false" customHeight="false" outlineLevel="0" collapsed="false">
      <c r="A1056" s="0" t="n">
        <v>1045</v>
      </c>
      <c r="B1056" s="15" t="n">
        <v>0.516653531169406</v>
      </c>
      <c r="C1056" s="18" t="n">
        <f aca="false">'Black-Scholes'!$B$5*EXP(('Black-Scholes'!$B$8-'Black-Scholes'!$B$10-'Black-Scholes'!$B$9^2/2)*'Black-Scholes'!$B$7+'Black-Scholes'!$B$9*SQRT('Black-Scholes'!$B$7)*B1056)</f>
        <v>114.262780999489</v>
      </c>
      <c r="D1056" s="18" t="n">
        <f aca="false">'Black-Scholes'!$B$5*EXP(('Black-Scholes'!$B$8-'Black-Scholes'!$B$10-'Black-Scholes'!$B$9^2/2)*'Black-Scholes'!$B$7-'Black-Scholes'!$B$9*SQRT('Black-Scholes'!$B$7)*B1056)</f>
        <v>92.9293456064326</v>
      </c>
      <c r="E1056" s="18" t="n">
        <f aca="false">EXP(-'Black-Scholes'!$B$8*'Black-Scholes'!$B$7)*IF(LOWER('Black-Scholes'!$B$11)="put",MAX('Black-Scholes'!$B$6-C1056,0),MAX(C1056-'Black-Scholes'!$B$6,0))</f>
        <v>13.5671769619233</v>
      </c>
      <c r="F1056" s="18" t="n">
        <f aca="false">(E1056+G1056)/2</f>
        <v>6.78358848096164</v>
      </c>
      <c r="G1056" s="18" t="n">
        <f aca="false">EXP(-'Black-Scholes'!$B$8*'Black-Scholes'!$B$7)*IF(LOWER('Black-Scholes'!$B$11)="put",MAX('Black-Scholes'!$B$6-D1056,0),MAX(D1056-'Black-Scholes'!$B$6,0))</f>
        <v>0</v>
      </c>
    </row>
    <row r="1057" customFormat="false" ht="15" hidden="false" customHeight="false" outlineLevel="0" collapsed="false">
      <c r="A1057" s="0" t="n">
        <v>1046</v>
      </c>
      <c r="B1057" s="15" t="n">
        <v>0.0683144712887689</v>
      </c>
      <c r="C1057" s="18" t="n">
        <f aca="false">'Black-Scholes'!$B$5*EXP(('Black-Scholes'!$B$8-'Black-Scholes'!$B$10-'Black-Scholes'!$B$9^2/2)*'Black-Scholes'!$B$7+'Black-Scholes'!$B$9*SQRT('Black-Scholes'!$B$7)*B1057)</f>
        <v>104.463014470544</v>
      </c>
      <c r="D1057" s="18" t="n">
        <f aca="false">'Black-Scholes'!$B$5*EXP(('Black-Scholes'!$B$8-'Black-Scholes'!$B$10-'Black-Scholes'!$B$9^2/2)*'Black-Scholes'!$B$7-'Black-Scholes'!$B$9*SQRT('Black-Scholes'!$B$7)*B1057)</f>
        <v>101.647128596387</v>
      </c>
      <c r="E1057" s="18" t="n">
        <f aca="false">EXP(-'Black-Scholes'!$B$8*'Black-Scholes'!$B$7)*IF(LOWER('Black-Scholes'!$B$11)="put",MAX('Black-Scholes'!$B$6-C1057,0),MAX(C1057-'Black-Scholes'!$B$6,0))</f>
        <v>4.24535068635374</v>
      </c>
      <c r="F1057" s="18" t="n">
        <f aca="false">(E1057+G1057)/2</f>
        <v>2.90607393658679</v>
      </c>
      <c r="G1057" s="18" t="n">
        <f aca="false">EXP(-'Black-Scholes'!$B$8*'Black-Scholes'!$B$7)*IF(LOWER('Black-Scholes'!$B$11)="put",MAX('Black-Scholes'!$B$6-D1057,0),MAX(D1057-'Black-Scholes'!$B$6,0))</f>
        <v>1.56679718681984</v>
      </c>
    </row>
    <row r="1058" customFormat="false" ht="15" hidden="false" customHeight="false" outlineLevel="0" collapsed="false">
      <c r="A1058" s="0" t="n">
        <v>1047</v>
      </c>
      <c r="B1058" s="15" t="n">
        <v>-0.0289848003256334</v>
      </c>
      <c r="C1058" s="18" t="n">
        <f aca="false">'Black-Scholes'!$B$5*EXP(('Black-Scholes'!$B$8-'Black-Scholes'!$B$10-'Black-Scholes'!$B$9^2/2)*'Black-Scholes'!$B$7+'Black-Scholes'!$B$9*SQRT('Black-Scholes'!$B$7)*B1058)</f>
        <v>102.449831084478</v>
      </c>
      <c r="D1058" s="18" t="n">
        <f aca="false">'Black-Scholes'!$B$5*EXP(('Black-Scholes'!$B$8-'Black-Scholes'!$B$10-'Black-Scholes'!$B$9^2/2)*'Black-Scholes'!$B$7-'Black-Scholes'!$B$9*SQRT('Black-Scholes'!$B$7)*B1058)</f>
        <v>103.64453853221</v>
      </c>
      <c r="E1058" s="18" t="n">
        <f aca="false">EXP(-'Black-Scholes'!$B$8*'Black-Scholes'!$B$7)*IF(LOWER('Black-Scholes'!$B$11)="put",MAX('Black-Scholes'!$B$6-C1058,0),MAX(C1058-'Black-Scholes'!$B$6,0))</f>
        <v>2.33035141261204</v>
      </c>
      <c r="F1058" s="18" t="n">
        <f aca="false">(E1058+G1058)/2</f>
        <v>2.89857185158844</v>
      </c>
      <c r="G1058" s="18" t="n">
        <f aca="false">EXP(-'Black-Scholes'!$B$8*'Black-Scholes'!$B$7)*IF(LOWER('Black-Scholes'!$B$11)="put",MAX('Black-Scholes'!$B$6-D1058,0),MAX(D1058-'Black-Scholes'!$B$6,0))</f>
        <v>3.46679229056483</v>
      </c>
    </row>
    <row r="1059" customFormat="false" ht="15" hidden="false" customHeight="false" outlineLevel="0" collapsed="false">
      <c r="A1059" s="0" t="n">
        <v>1048</v>
      </c>
      <c r="B1059" s="15" t="n">
        <v>0.676643683989519</v>
      </c>
      <c r="C1059" s="18" t="n">
        <f aca="false">'Black-Scholes'!$B$5*EXP(('Black-Scholes'!$B$8-'Black-Scholes'!$B$10-'Black-Scholes'!$B$9^2/2)*'Black-Scholes'!$B$7+'Black-Scholes'!$B$9*SQRT('Black-Scholes'!$B$7)*B1059)</f>
        <v>117.978089236295</v>
      </c>
      <c r="D1059" s="18" t="n">
        <f aca="false">'Black-Scholes'!$B$5*EXP(('Black-Scholes'!$B$8-'Black-Scholes'!$B$10-'Black-Scholes'!$B$9^2/2)*'Black-Scholes'!$B$7-'Black-Scholes'!$B$9*SQRT('Black-Scholes'!$B$7)*B1059)</f>
        <v>90.0028601428388</v>
      </c>
      <c r="E1059" s="18" t="n">
        <f aca="false">EXP(-'Black-Scholes'!$B$8*'Black-Scholes'!$B$7)*IF(LOWER('Black-Scholes'!$B$11)="put",MAX('Black-Scholes'!$B$6-C1059,0),MAX(C1059-'Black-Scholes'!$B$6,0))</f>
        <v>17.1012874778632</v>
      </c>
      <c r="F1059" s="18" t="n">
        <f aca="false">(E1059+G1059)/2</f>
        <v>8.55064373893158</v>
      </c>
      <c r="G1059" s="18" t="n">
        <f aca="false">EXP(-'Black-Scholes'!$B$8*'Black-Scholes'!$B$7)*IF(LOWER('Black-Scholes'!$B$11)="put",MAX('Black-Scholes'!$B$6-D1059,0),MAX(D1059-'Black-Scholes'!$B$6,0))</f>
        <v>0</v>
      </c>
    </row>
    <row r="1060" customFormat="false" ht="15" hidden="false" customHeight="false" outlineLevel="0" collapsed="false">
      <c r="A1060" s="0" t="n">
        <v>1049</v>
      </c>
      <c r="B1060" s="15" t="n">
        <v>1.53220713916247</v>
      </c>
      <c r="C1060" s="18" t="n">
        <f aca="false">'Black-Scholes'!$B$5*EXP(('Black-Scholes'!$B$8-'Black-Scholes'!$B$10-'Black-Scholes'!$B$9^2/2)*'Black-Scholes'!$B$7+'Black-Scholes'!$B$9*SQRT('Black-Scholes'!$B$7)*B1060)</f>
        <v>139.995686836021</v>
      </c>
      <c r="D1060" s="18" t="n">
        <f aca="false">'Black-Scholes'!$B$5*EXP(('Black-Scholes'!$B$8-'Black-Scholes'!$B$10-'Black-Scholes'!$B$9^2/2)*'Black-Scholes'!$B$7-'Black-Scholes'!$B$9*SQRT('Black-Scholes'!$B$7)*B1060)</f>
        <v>75.8478043533657</v>
      </c>
      <c r="E1060" s="18" t="n">
        <f aca="false">EXP(-'Black-Scholes'!$B$8*'Black-Scholes'!$B$7)*IF(LOWER('Black-Scholes'!$B$11)="put",MAX('Black-Scholes'!$B$6-C1060,0),MAX(C1060-'Black-Scholes'!$B$6,0))</f>
        <v>38.0450741715393</v>
      </c>
      <c r="F1060" s="18" t="n">
        <f aca="false">(E1060+G1060)/2</f>
        <v>19.0225370857697</v>
      </c>
      <c r="G1060" s="18" t="n">
        <f aca="false">EXP(-'Black-Scholes'!$B$8*'Black-Scholes'!$B$7)*IF(LOWER('Black-Scholes'!$B$11)="put",MAX('Black-Scholes'!$B$6-D1060,0),MAX(D1060-'Black-Scholes'!$B$6,0))</f>
        <v>0</v>
      </c>
    </row>
    <row r="1061" customFormat="false" ht="15" hidden="false" customHeight="false" outlineLevel="0" collapsed="false">
      <c r="A1061" s="0" t="n">
        <v>1050</v>
      </c>
      <c r="B1061" s="15" t="n">
        <v>-0.813043601360706</v>
      </c>
      <c r="C1061" s="18" t="n">
        <f aca="false">'Black-Scholes'!$B$5*EXP(('Black-Scholes'!$B$8-'Black-Scholes'!$B$10-'Black-Scholes'!$B$9^2/2)*'Black-Scholes'!$B$7+'Black-Scholes'!$B$9*SQRT('Black-Scholes'!$B$7)*B1061)</f>
        <v>87.5807710877279</v>
      </c>
      <c r="D1061" s="18" t="n">
        <f aca="false">'Black-Scholes'!$B$5*EXP(('Black-Scholes'!$B$8-'Black-Scholes'!$B$10-'Black-Scholes'!$B$9^2/2)*'Black-Scholes'!$B$7-'Black-Scholes'!$B$9*SQRT('Black-Scholes'!$B$7)*B1061)</f>
        <v>121.240830990371</v>
      </c>
      <c r="E1061" s="18" t="n">
        <f aca="false">EXP(-'Black-Scholes'!$B$8*'Black-Scholes'!$B$7)*IF(LOWER('Black-Scholes'!$B$11)="put",MAX('Black-Scholes'!$B$6-C1061,0),MAX(C1061-'Black-Scholes'!$B$6,0))</f>
        <v>0</v>
      </c>
      <c r="F1061" s="18" t="n">
        <f aca="false">(E1061+G1061)/2</f>
        <v>10.1024517194438</v>
      </c>
      <c r="G1061" s="18" t="n">
        <f aca="false">EXP(-'Black-Scholes'!$B$8*'Black-Scholes'!$B$7)*IF(LOWER('Black-Scholes'!$B$11)="put",MAX('Black-Scholes'!$B$6-D1061,0),MAX(D1061-'Black-Scholes'!$B$6,0))</f>
        <v>20.2049034388876</v>
      </c>
    </row>
    <row r="1062" customFormat="false" ht="15" hidden="false" customHeight="false" outlineLevel="0" collapsed="false">
      <c r="A1062" s="0" t="n">
        <v>1051</v>
      </c>
      <c r="B1062" s="15" t="n">
        <v>-0.310909883040221</v>
      </c>
      <c r="C1062" s="18" t="n">
        <f aca="false">'Black-Scholes'!$B$5*EXP(('Black-Scholes'!$B$8-'Black-Scholes'!$B$10-'Black-Scholes'!$B$9^2/2)*'Black-Scholes'!$B$7+'Black-Scholes'!$B$9*SQRT('Black-Scholes'!$B$7)*B1062)</f>
        <v>96.8330352571833</v>
      </c>
      <c r="D1062" s="18" t="n">
        <f aca="false">'Black-Scholes'!$B$5*EXP(('Black-Scholes'!$B$8-'Black-Scholes'!$B$10-'Black-Scholes'!$B$9^2/2)*'Black-Scholes'!$B$7-'Black-Scholes'!$B$9*SQRT('Black-Scholes'!$B$7)*B1062)</f>
        <v>109.656435298675</v>
      </c>
      <c r="E1062" s="18" t="n">
        <f aca="false">EXP(-'Black-Scholes'!$B$8*'Black-Scholes'!$B$7)*IF(LOWER('Black-Scholes'!$B$11)="put",MAX('Black-Scholes'!$B$6-C1062,0),MAX(C1062-'Black-Scholes'!$B$6,0))</f>
        <v>0</v>
      </c>
      <c r="F1062" s="18" t="n">
        <f aca="false">(E1062+G1062)/2</f>
        <v>4.59274269594333</v>
      </c>
      <c r="G1062" s="18" t="n">
        <f aca="false">EXP(-'Black-Scholes'!$B$8*'Black-Scholes'!$B$7)*IF(LOWER('Black-Scholes'!$B$11)="put",MAX('Black-Scholes'!$B$6-D1062,0),MAX(D1062-'Black-Scholes'!$B$6,0))</f>
        <v>9.18548539188666</v>
      </c>
    </row>
    <row r="1063" customFormat="false" ht="15" hidden="false" customHeight="false" outlineLevel="0" collapsed="false">
      <c r="A1063" s="0" t="n">
        <v>1052</v>
      </c>
      <c r="B1063" s="15" t="n">
        <v>0.110343486804895</v>
      </c>
      <c r="C1063" s="18" t="n">
        <f aca="false">'Black-Scholes'!$B$5*EXP(('Black-Scholes'!$B$8-'Black-Scholes'!$B$10-'Black-Scholes'!$B$9^2/2)*'Black-Scholes'!$B$7+'Black-Scholes'!$B$9*SQRT('Black-Scholes'!$B$7)*B1063)</f>
        <v>105.344810913266</v>
      </c>
      <c r="D1063" s="18" t="n">
        <f aca="false">'Black-Scholes'!$B$5*EXP(('Black-Scholes'!$B$8-'Black-Scholes'!$B$10-'Black-Scholes'!$B$9^2/2)*'Black-Scholes'!$B$7-'Black-Scholes'!$B$9*SQRT('Black-Scholes'!$B$7)*B1063)</f>
        <v>100.796283873878</v>
      </c>
      <c r="E1063" s="18" t="n">
        <f aca="false">EXP(-'Black-Scholes'!$B$8*'Black-Scholes'!$B$7)*IF(LOWER('Black-Scholes'!$B$11)="put",MAX('Black-Scholes'!$B$6-C1063,0),MAX(C1063-'Black-Scholes'!$B$6,0))</f>
        <v>5.08414140909155</v>
      </c>
      <c r="F1063" s="18" t="n">
        <f aca="false">(E1063+G1063)/2</f>
        <v>2.92079503008983</v>
      </c>
      <c r="G1063" s="18" t="n">
        <f aca="false">EXP(-'Black-Scholes'!$B$8*'Black-Scholes'!$B$7)*IF(LOWER('Black-Scholes'!$B$11)="put",MAX('Black-Scholes'!$B$6-D1063,0),MAX(D1063-'Black-Scholes'!$B$6,0))</f>
        <v>0.757448651088112</v>
      </c>
    </row>
    <row r="1064" customFormat="false" ht="15" hidden="false" customHeight="false" outlineLevel="0" collapsed="false">
      <c r="A1064" s="0" t="n">
        <v>1053</v>
      </c>
      <c r="B1064" s="15" t="n">
        <v>0.119613129868343</v>
      </c>
      <c r="C1064" s="18" t="n">
        <f aca="false">'Black-Scholes'!$B$5*EXP(('Black-Scholes'!$B$8-'Black-Scholes'!$B$10-'Black-Scholes'!$B$9^2/2)*'Black-Scholes'!$B$7+'Black-Scholes'!$B$9*SQRT('Black-Scholes'!$B$7)*B1064)</f>
        <v>105.540293822105</v>
      </c>
      <c r="D1064" s="18" t="n">
        <f aca="false">'Black-Scholes'!$B$5*EXP(('Black-Scholes'!$B$8-'Black-Scholes'!$B$10-'Black-Scholes'!$B$9^2/2)*'Black-Scholes'!$B$7-'Black-Scholes'!$B$9*SQRT('Black-Scholes'!$B$7)*B1064)</f>
        <v>100.609587873154</v>
      </c>
      <c r="E1064" s="18" t="n">
        <f aca="false">EXP(-'Black-Scholes'!$B$8*'Black-Scholes'!$B$7)*IF(LOWER('Black-Scholes'!$B$11)="put",MAX('Black-Scholes'!$B$6-C1064,0),MAX(C1064-'Black-Scholes'!$B$6,0))</f>
        <v>5.27009050396626</v>
      </c>
      <c r="F1064" s="18" t="n">
        <f aca="false">(E1064+G1064)/2</f>
        <v>2.9249742128645</v>
      </c>
      <c r="G1064" s="18" t="n">
        <f aca="false">EXP(-'Black-Scholes'!$B$8*'Black-Scholes'!$B$7)*IF(LOWER('Black-Scholes'!$B$11)="put",MAX('Black-Scholes'!$B$6-D1064,0),MAX(D1064-'Black-Scholes'!$B$6,0))</f>
        <v>0.579857921762743</v>
      </c>
    </row>
    <row r="1065" customFormat="false" ht="15" hidden="false" customHeight="false" outlineLevel="0" collapsed="false">
      <c r="A1065" s="0" t="n">
        <v>1054</v>
      </c>
      <c r="B1065" s="15" t="n">
        <v>-0.519799892680883</v>
      </c>
      <c r="C1065" s="18" t="n">
        <f aca="false">'Black-Scholes'!$B$5*EXP(('Black-Scholes'!$B$8-'Black-Scholes'!$B$10-'Black-Scholes'!$B$9^2/2)*'Black-Scholes'!$B$7+'Black-Scholes'!$B$9*SQRT('Black-Scholes'!$B$7)*B1065)</f>
        <v>92.8708861385631</v>
      </c>
      <c r="D1065" s="18" t="n">
        <f aca="false">'Black-Scholes'!$B$5*EXP(('Black-Scholes'!$B$8-'Black-Scholes'!$B$10-'Black-Scholes'!$B$9^2/2)*'Black-Scholes'!$B$7-'Black-Scholes'!$B$9*SQRT('Black-Scholes'!$B$7)*B1065)</f>
        <v>114.334706030596</v>
      </c>
      <c r="E1065" s="18" t="n">
        <f aca="false">EXP(-'Black-Scholes'!$B$8*'Black-Scholes'!$B$7)*IF(LOWER('Black-Scholes'!$B$11)="put",MAX('Black-Scholes'!$B$6-C1065,0),MAX(C1065-'Black-Scholes'!$B$6,0))</f>
        <v>0</v>
      </c>
      <c r="F1065" s="18" t="n">
        <f aca="false">(E1065+G1065)/2</f>
        <v>6.81779708393554</v>
      </c>
      <c r="G1065" s="18" t="n">
        <f aca="false">EXP(-'Black-Scholes'!$B$8*'Black-Scholes'!$B$7)*IF(LOWER('Black-Scholes'!$B$11)="put",MAX('Black-Scholes'!$B$6-D1065,0),MAX(D1065-'Black-Scholes'!$B$6,0))</f>
        <v>13.6355941678711</v>
      </c>
    </row>
    <row r="1066" customFormat="false" ht="15" hidden="false" customHeight="false" outlineLevel="0" collapsed="false">
      <c r="A1066" s="0" t="n">
        <v>1055</v>
      </c>
      <c r="B1066" s="15" t="n">
        <v>-0.171039599722616</v>
      </c>
      <c r="C1066" s="18" t="n">
        <f aca="false">'Black-Scholes'!$B$5*EXP(('Black-Scholes'!$B$8-'Black-Scholes'!$B$10-'Black-Scholes'!$B$9^2/2)*'Black-Scholes'!$B$7+'Black-Scholes'!$B$9*SQRT('Black-Scholes'!$B$7)*B1066)</f>
        <v>99.5800920945673</v>
      </c>
      <c r="D1066" s="18" t="n">
        <f aca="false">'Black-Scholes'!$B$5*EXP(('Black-Scholes'!$B$8-'Black-Scholes'!$B$10-'Black-Scholes'!$B$9^2/2)*'Black-Scholes'!$B$7-'Black-Scholes'!$B$9*SQRT('Black-Scholes'!$B$7)*B1066)</f>
        <v>106.631408367947</v>
      </c>
      <c r="E1066" s="18" t="n">
        <f aca="false">EXP(-'Black-Scholes'!$B$8*'Black-Scholes'!$B$7)*IF(LOWER('Black-Scholes'!$B$11)="put",MAX('Black-Scholes'!$B$6-C1066,0),MAX(C1066-'Black-Scholes'!$B$6,0))</f>
        <v>0</v>
      </c>
      <c r="F1066" s="18" t="n">
        <f aca="false">(E1066+G1066)/2</f>
        <v>3.1539953827358</v>
      </c>
      <c r="G1066" s="18" t="n">
        <f aca="false">EXP(-'Black-Scholes'!$B$8*'Black-Scholes'!$B$7)*IF(LOWER('Black-Scholes'!$B$11)="put",MAX('Black-Scholes'!$B$6-D1066,0),MAX(D1066-'Black-Scholes'!$B$6,0))</f>
        <v>6.3079907654716</v>
      </c>
    </row>
    <row r="1067" customFormat="false" ht="15" hidden="false" customHeight="false" outlineLevel="0" collapsed="false">
      <c r="A1067" s="0" t="n">
        <v>1056</v>
      </c>
      <c r="B1067" s="15" t="n">
        <v>0.00225220271215393</v>
      </c>
      <c r="C1067" s="18" t="n">
        <f aca="false">'Black-Scholes'!$B$5*EXP(('Black-Scholes'!$B$8-'Black-Scholes'!$B$10-'Black-Scholes'!$B$9^2/2)*'Black-Scholes'!$B$7+'Black-Scholes'!$B$9*SQRT('Black-Scholes'!$B$7)*B1067)</f>
        <v>103.091879700634</v>
      </c>
      <c r="D1067" s="18" t="n">
        <f aca="false">'Black-Scholes'!$B$5*EXP(('Black-Scholes'!$B$8-'Black-Scholes'!$B$10-'Black-Scholes'!$B$9^2/2)*'Black-Scholes'!$B$7-'Black-Scholes'!$B$9*SQRT('Black-Scholes'!$B$7)*B1067)</f>
        <v>102.99904799765</v>
      </c>
      <c r="E1067" s="18" t="n">
        <f aca="false">EXP(-'Black-Scholes'!$B$8*'Black-Scholes'!$B$7)*IF(LOWER('Black-Scholes'!$B$11)="put",MAX('Black-Scholes'!$B$6-C1067,0),MAX(C1067-'Black-Scholes'!$B$6,0))</f>
        <v>2.94108694825972</v>
      </c>
      <c r="F1067" s="18" t="n">
        <f aca="false">(E1067+G1067)/2</f>
        <v>2.89693482455724</v>
      </c>
      <c r="G1067" s="18" t="n">
        <f aca="false">EXP(-'Black-Scholes'!$B$8*'Black-Scholes'!$B$7)*IF(LOWER('Black-Scholes'!$B$11)="put",MAX('Black-Scholes'!$B$6-D1067,0),MAX(D1067-'Black-Scholes'!$B$6,0))</f>
        <v>2.85278270085476</v>
      </c>
    </row>
    <row r="1068" customFormat="false" ht="15" hidden="false" customHeight="false" outlineLevel="0" collapsed="false">
      <c r="A1068" s="0" t="n">
        <v>1057</v>
      </c>
      <c r="B1068" s="15" t="n">
        <v>-0.451935925773254</v>
      </c>
      <c r="C1068" s="18" t="n">
        <f aca="false">'Black-Scholes'!$B$5*EXP(('Black-Scholes'!$B$8-'Black-Scholes'!$B$10-'Black-Scholes'!$B$9^2/2)*'Black-Scholes'!$B$7+'Black-Scholes'!$B$9*SQRT('Black-Scholes'!$B$7)*B1068)</f>
        <v>94.1399966919623</v>
      </c>
      <c r="D1068" s="18" t="n">
        <f aca="false">'Black-Scholes'!$B$5*EXP(('Black-Scholes'!$B$8-'Black-Scholes'!$B$10-'Black-Scholes'!$B$9^2/2)*'Black-Scholes'!$B$7-'Black-Scholes'!$B$9*SQRT('Black-Scholes'!$B$7)*B1068)</f>
        <v>112.793348614598</v>
      </c>
      <c r="E1068" s="18" t="n">
        <f aca="false">EXP(-'Black-Scholes'!$B$8*'Black-Scholes'!$B$7)*IF(LOWER('Black-Scholes'!$B$11)="put",MAX('Black-Scholes'!$B$6-C1068,0),MAX(C1068-'Black-Scholes'!$B$6,0))</f>
        <v>0</v>
      </c>
      <c r="F1068" s="18" t="n">
        <f aca="false">(E1068+G1068)/2</f>
        <v>6.08470482005049</v>
      </c>
      <c r="G1068" s="18" t="n">
        <f aca="false">EXP(-'Black-Scholes'!$B$8*'Black-Scholes'!$B$7)*IF(LOWER('Black-Scholes'!$B$11)="put",MAX('Black-Scholes'!$B$6-D1068,0),MAX(D1068-'Black-Scholes'!$B$6,0))</f>
        <v>12.169409640101</v>
      </c>
    </row>
    <row r="1069" customFormat="false" ht="15" hidden="false" customHeight="false" outlineLevel="0" collapsed="false">
      <c r="A1069" s="0" t="n">
        <v>1058</v>
      </c>
      <c r="B1069" s="15" t="n">
        <v>-0.16491829390634</v>
      </c>
      <c r="C1069" s="18" t="n">
        <f aca="false">'Black-Scholes'!$B$5*EXP(('Black-Scholes'!$B$8-'Black-Scholes'!$B$10-'Black-Scholes'!$B$9^2/2)*'Black-Scholes'!$B$7+'Black-Scholes'!$B$9*SQRT('Black-Scholes'!$B$7)*B1069)</f>
        <v>99.7020787905029</v>
      </c>
      <c r="D1069" s="18" t="n">
        <f aca="false">'Black-Scholes'!$B$5*EXP(('Black-Scholes'!$B$8-'Black-Scholes'!$B$10-'Black-Scholes'!$B$9^2/2)*'Black-Scholes'!$B$7-'Black-Scholes'!$B$9*SQRT('Black-Scholes'!$B$7)*B1069)</f>
        <v>106.500943553697</v>
      </c>
      <c r="E1069" s="18" t="n">
        <f aca="false">EXP(-'Black-Scholes'!$B$8*'Black-Scholes'!$B$7)*IF(LOWER('Black-Scholes'!$B$11)="put",MAX('Black-Scholes'!$B$6-C1069,0),MAX(C1069-'Black-Scholes'!$B$6,0))</f>
        <v>0</v>
      </c>
      <c r="F1069" s="18" t="n">
        <f aca="false">(E1069+G1069)/2</f>
        <v>3.09194439764738</v>
      </c>
      <c r="G1069" s="18" t="n">
        <f aca="false">EXP(-'Black-Scholes'!$B$8*'Black-Scholes'!$B$7)*IF(LOWER('Black-Scholes'!$B$11)="put",MAX('Black-Scholes'!$B$6-D1069,0),MAX(D1069-'Black-Scholes'!$B$6,0))</f>
        <v>6.18388879529477</v>
      </c>
    </row>
    <row r="1070" customFormat="false" ht="15" hidden="false" customHeight="false" outlineLevel="0" collapsed="false">
      <c r="A1070" s="0" t="n">
        <v>1059</v>
      </c>
      <c r="B1070" s="15" t="n">
        <v>-0.793670191738755</v>
      </c>
      <c r="C1070" s="18" t="n">
        <f aca="false">'Black-Scholes'!$B$5*EXP(('Black-Scholes'!$B$8-'Black-Scholes'!$B$10-'Black-Scholes'!$B$9^2/2)*'Black-Scholes'!$B$7+'Black-Scholes'!$B$9*SQRT('Black-Scholes'!$B$7)*B1070)</f>
        <v>87.9207770003876</v>
      </c>
      <c r="D1070" s="18" t="n">
        <f aca="false">'Black-Scholes'!$B$5*EXP(('Black-Scholes'!$B$8-'Black-Scholes'!$B$10-'Black-Scholes'!$B$9^2/2)*'Black-Scholes'!$B$7-'Black-Scholes'!$B$9*SQRT('Black-Scholes'!$B$7)*B1070)</f>
        <v>120.771970263716</v>
      </c>
      <c r="E1070" s="18" t="n">
        <f aca="false">EXP(-'Black-Scholes'!$B$8*'Black-Scholes'!$B$7)*IF(LOWER('Black-Scholes'!$B$11)="put",MAX('Black-Scholes'!$B$6-C1070,0),MAX(C1070-'Black-Scholes'!$B$6,0))</f>
        <v>0</v>
      </c>
      <c r="F1070" s="18" t="n">
        <f aca="false">(E1070+G1070)/2</f>
        <v>9.87945465985018</v>
      </c>
      <c r="G1070" s="18" t="n">
        <f aca="false">EXP(-'Black-Scholes'!$B$8*'Black-Scholes'!$B$7)*IF(LOWER('Black-Scholes'!$B$11)="put",MAX('Black-Scholes'!$B$6-D1070,0),MAX(D1070-'Black-Scholes'!$B$6,0))</f>
        <v>19.7589093197004</v>
      </c>
    </row>
    <row r="1071" customFormat="false" ht="15" hidden="false" customHeight="false" outlineLevel="0" collapsed="false">
      <c r="A1071" s="0" t="n">
        <v>1060</v>
      </c>
      <c r="B1071" s="15" t="n">
        <v>1.52211338621135</v>
      </c>
      <c r="C1071" s="18" t="n">
        <f aca="false">'Black-Scholes'!$B$5*EXP(('Black-Scholes'!$B$8-'Black-Scholes'!$B$10-'Black-Scholes'!$B$9^2/2)*'Black-Scholes'!$B$7+'Black-Scholes'!$B$9*SQRT('Black-Scholes'!$B$7)*B1071)</f>
        <v>139.713355534716</v>
      </c>
      <c r="D1071" s="18" t="n">
        <f aca="false">'Black-Scholes'!$B$5*EXP(('Black-Scholes'!$B$8-'Black-Scholes'!$B$10-'Black-Scholes'!$B$9^2/2)*'Black-Scholes'!$B$7-'Black-Scholes'!$B$9*SQRT('Black-Scholes'!$B$7)*B1071)</f>
        <v>76.0010768105497</v>
      </c>
      <c r="E1071" s="18" t="n">
        <f aca="false">EXP(-'Black-Scholes'!$B$8*'Black-Scholes'!$B$7)*IF(LOWER('Black-Scholes'!$B$11)="put",MAX('Black-Scholes'!$B$6-C1071,0),MAX(C1071-'Black-Scholes'!$B$6,0))</f>
        <v>37.7765123302803</v>
      </c>
      <c r="F1071" s="18" t="n">
        <f aca="false">(E1071+G1071)/2</f>
        <v>18.8882561651402</v>
      </c>
      <c r="G1071" s="18" t="n">
        <f aca="false">EXP(-'Black-Scholes'!$B$8*'Black-Scholes'!$B$7)*IF(LOWER('Black-Scholes'!$B$11)="put",MAX('Black-Scholes'!$B$6-D1071,0),MAX(D1071-'Black-Scholes'!$B$6,0))</f>
        <v>0</v>
      </c>
    </row>
    <row r="1072" customFormat="false" ht="15" hidden="false" customHeight="false" outlineLevel="0" collapsed="false">
      <c r="A1072" s="0" t="n">
        <v>1061</v>
      </c>
      <c r="B1072" s="15" t="n">
        <v>0.396159682790848</v>
      </c>
      <c r="C1072" s="18" t="n">
        <f aca="false">'Black-Scholes'!$B$5*EXP(('Black-Scholes'!$B$8-'Black-Scholes'!$B$10-'Black-Scholes'!$B$9^2/2)*'Black-Scholes'!$B$7+'Black-Scholes'!$B$9*SQRT('Black-Scholes'!$B$7)*B1072)</f>
        <v>111.542102725594</v>
      </c>
      <c r="D1072" s="18" t="n">
        <f aca="false">'Black-Scholes'!$B$5*EXP(('Black-Scholes'!$B$8-'Black-Scholes'!$B$10-'Black-Scholes'!$B$9^2/2)*'Black-Scholes'!$B$7-'Black-Scholes'!$B$9*SQRT('Black-Scholes'!$B$7)*B1072)</f>
        <v>95.1960309693635</v>
      </c>
      <c r="E1072" s="18" t="n">
        <f aca="false">EXP(-'Black-Scholes'!$B$8*'Black-Scholes'!$B$7)*IF(LOWER('Black-Scholes'!$B$11)="put",MAX('Black-Scholes'!$B$6-C1072,0),MAX(C1072-'Black-Scholes'!$B$6,0))</f>
        <v>10.9791877331952</v>
      </c>
      <c r="F1072" s="18" t="n">
        <f aca="false">(E1072+G1072)/2</f>
        <v>5.48959386659761</v>
      </c>
      <c r="G1072" s="18" t="n">
        <f aca="false">EXP(-'Black-Scholes'!$B$8*'Black-Scholes'!$B$7)*IF(LOWER('Black-Scholes'!$B$11)="put",MAX('Black-Scholes'!$B$6-D1072,0),MAX(D1072-'Black-Scholes'!$B$6,0))</f>
        <v>0</v>
      </c>
    </row>
    <row r="1073" customFormat="false" ht="15" hidden="false" customHeight="false" outlineLevel="0" collapsed="false">
      <c r="A1073" s="0" t="n">
        <v>1062</v>
      </c>
      <c r="B1073" s="15" t="n">
        <v>1.38143313293217</v>
      </c>
      <c r="C1073" s="18" t="n">
        <f aca="false">'Black-Scholes'!$B$5*EXP(('Black-Scholes'!$B$8-'Black-Scholes'!$B$10-'Black-Scholes'!$B$9^2/2)*'Black-Scholes'!$B$7+'Black-Scholes'!$B$9*SQRT('Black-Scholes'!$B$7)*B1073)</f>
        <v>135.837159616857</v>
      </c>
      <c r="D1073" s="18" t="n">
        <f aca="false">'Black-Scholes'!$B$5*EXP(('Black-Scholes'!$B$8-'Black-Scholes'!$B$10-'Black-Scholes'!$B$9^2/2)*'Black-Scholes'!$B$7-'Black-Scholes'!$B$9*SQRT('Black-Scholes'!$B$7)*B1073)</f>
        <v>78.1698137343553</v>
      </c>
      <c r="E1073" s="18" t="n">
        <f aca="false">EXP(-'Black-Scholes'!$B$8*'Black-Scholes'!$B$7)*IF(LOWER('Black-Scholes'!$B$11)="put",MAX('Black-Scholes'!$B$6-C1073,0),MAX(C1073-'Black-Scholes'!$B$6,0))</f>
        <v>34.089360718083</v>
      </c>
      <c r="F1073" s="18" t="n">
        <f aca="false">(E1073+G1073)/2</f>
        <v>17.0446803590415</v>
      </c>
      <c r="G1073" s="18" t="n">
        <f aca="false">EXP(-'Black-Scholes'!$B$8*'Black-Scholes'!$B$7)*IF(LOWER('Black-Scholes'!$B$11)="put",MAX('Black-Scholes'!$B$6-D1073,0),MAX(D1073-'Black-Scholes'!$B$6,0))</f>
        <v>0</v>
      </c>
    </row>
    <row r="1074" customFormat="false" ht="15" hidden="false" customHeight="false" outlineLevel="0" collapsed="false">
      <c r="A1074" s="0" t="n">
        <v>1063</v>
      </c>
      <c r="B1074" s="15" t="n">
        <v>-0.491786370665626</v>
      </c>
      <c r="C1074" s="18" t="n">
        <f aca="false">'Black-Scholes'!$B$5*EXP(('Black-Scholes'!$B$8-'Black-Scholes'!$B$10-'Black-Scholes'!$B$9^2/2)*'Black-Scholes'!$B$7+'Black-Scholes'!$B$9*SQRT('Black-Scholes'!$B$7)*B1074)</f>
        <v>93.3926746096051</v>
      </c>
      <c r="D1074" s="18" t="n">
        <f aca="false">'Black-Scholes'!$B$5*EXP(('Black-Scholes'!$B$8-'Black-Scholes'!$B$10-'Black-Scholes'!$B$9^2/2)*'Black-Scholes'!$B$7-'Black-Scholes'!$B$9*SQRT('Black-Scholes'!$B$7)*B1074)</f>
        <v>113.695913623203</v>
      </c>
      <c r="E1074" s="18" t="n">
        <f aca="false">EXP(-'Black-Scholes'!$B$8*'Black-Scholes'!$B$7)*IF(LOWER('Black-Scholes'!$B$11)="put",MAX('Black-Scholes'!$B$6-C1074,0),MAX(C1074-'Black-Scholes'!$B$6,0))</f>
        <v>0</v>
      </c>
      <c r="F1074" s="18" t="n">
        <f aca="false">(E1074+G1074)/2</f>
        <v>6.51397801690557</v>
      </c>
      <c r="G1074" s="18" t="n">
        <f aca="false">EXP(-'Black-Scholes'!$B$8*'Black-Scholes'!$B$7)*IF(LOWER('Black-Scholes'!$B$11)="put",MAX('Black-Scholes'!$B$6-D1074,0),MAX(D1074-'Black-Scholes'!$B$6,0))</f>
        <v>13.0279560338111</v>
      </c>
    </row>
    <row r="1075" customFormat="false" ht="15" hidden="false" customHeight="false" outlineLevel="0" collapsed="false">
      <c r="A1075" s="0" t="n">
        <v>1064</v>
      </c>
      <c r="B1075" s="15" t="n">
        <v>1.50933996580034</v>
      </c>
      <c r="C1075" s="18" t="n">
        <f aca="false">'Black-Scholes'!$B$5*EXP(('Black-Scholes'!$B$8-'Black-Scholes'!$B$10-'Black-Scholes'!$B$9^2/2)*'Black-Scholes'!$B$7+'Black-Scholes'!$B$9*SQRT('Black-Scholes'!$B$7)*B1075)</f>
        <v>139.356887574644</v>
      </c>
      <c r="D1075" s="18" t="n">
        <f aca="false">'Black-Scholes'!$B$5*EXP(('Black-Scholes'!$B$8-'Black-Scholes'!$B$10-'Black-Scholes'!$B$9^2/2)*'Black-Scholes'!$B$7-'Black-Scholes'!$B$9*SQRT('Black-Scholes'!$B$7)*B1075)</f>
        <v>76.1954837701587</v>
      </c>
      <c r="E1075" s="18" t="n">
        <f aca="false">EXP(-'Black-Scholes'!$B$8*'Black-Scholes'!$B$7)*IF(LOWER('Black-Scholes'!$B$11)="put",MAX('Black-Scholes'!$B$6-C1075,0),MAX(C1075-'Black-Scholes'!$B$6,0))</f>
        <v>37.4374295177678</v>
      </c>
      <c r="F1075" s="18" t="n">
        <f aca="false">(E1075+G1075)/2</f>
        <v>18.7187147588839</v>
      </c>
      <c r="G1075" s="18" t="n">
        <f aca="false">EXP(-'Black-Scholes'!$B$8*'Black-Scholes'!$B$7)*IF(LOWER('Black-Scholes'!$B$11)="put",MAX('Black-Scholes'!$B$6-D1075,0),MAX(D1075-'Black-Scholes'!$B$6,0))</f>
        <v>0</v>
      </c>
    </row>
    <row r="1076" customFormat="false" ht="15" hidden="false" customHeight="false" outlineLevel="0" collapsed="false">
      <c r="A1076" s="0" t="n">
        <v>1065</v>
      </c>
      <c r="B1076" s="15" t="n">
        <v>0.272699207836046</v>
      </c>
      <c r="C1076" s="18" t="n">
        <f aca="false">'Black-Scholes'!$B$5*EXP(('Black-Scholes'!$B$8-'Black-Scholes'!$B$10-'Black-Scholes'!$B$9^2/2)*'Black-Scholes'!$B$7+'Black-Scholes'!$B$9*SQRT('Black-Scholes'!$B$7)*B1076)</f>
        <v>108.821619960718</v>
      </c>
      <c r="D1076" s="18" t="n">
        <f aca="false">'Black-Scholes'!$B$5*EXP(('Black-Scholes'!$B$8-'Black-Scholes'!$B$10-'Black-Scholes'!$B$9^2/2)*'Black-Scholes'!$B$7-'Black-Scholes'!$B$9*SQRT('Black-Scholes'!$B$7)*B1076)</f>
        <v>97.5758812383658</v>
      </c>
      <c r="E1076" s="18" t="n">
        <f aca="false">EXP(-'Black-Scholes'!$B$8*'Black-Scholes'!$B$7)*IF(LOWER('Black-Scholes'!$B$11)="put",MAX('Black-Scholes'!$B$6-C1076,0),MAX(C1076-'Black-Scholes'!$B$6,0))</f>
        <v>8.39138447839782</v>
      </c>
      <c r="F1076" s="18" t="n">
        <f aca="false">(E1076+G1076)/2</f>
        <v>4.19569223919891</v>
      </c>
      <c r="G1076" s="18" t="n">
        <f aca="false">EXP(-'Black-Scholes'!$B$8*'Black-Scholes'!$B$7)*IF(LOWER('Black-Scholes'!$B$11)="put",MAX('Black-Scholes'!$B$6-D1076,0),MAX(D1076-'Black-Scholes'!$B$6,0))</f>
        <v>0</v>
      </c>
    </row>
    <row r="1077" customFormat="false" ht="15" hidden="false" customHeight="false" outlineLevel="0" collapsed="false">
      <c r="A1077" s="0" t="n">
        <v>1066</v>
      </c>
      <c r="B1077" s="15" t="n">
        <v>0.103313270683043</v>
      </c>
      <c r="C1077" s="18" t="n">
        <f aca="false">'Black-Scholes'!$B$5*EXP(('Black-Scholes'!$B$8-'Black-Scholes'!$B$10-'Black-Scholes'!$B$9^2/2)*'Black-Scholes'!$B$7+'Black-Scholes'!$B$9*SQRT('Black-Scholes'!$B$7)*B1077)</f>
        <v>105.196795637982</v>
      </c>
      <c r="D1077" s="18" t="n">
        <f aca="false">'Black-Scholes'!$B$5*EXP(('Black-Scholes'!$B$8-'Black-Scholes'!$B$10-'Black-Scholes'!$B$9^2/2)*'Black-Scholes'!$B$7-'Black-Scholes'!$B$9*SQRT('Black-Scholes'!$B$7)*B1077)</f>
        <v>100.938107487561</v>
      </c>
      <c r="E1077" s="18" t="n">
        <f aca="false">EXP(-'Black-Scholes'!$B$8*'Black-Scholes'!$B$7)*IF(LOWER('Black-Scholes'!$B$11)="put",MAX('Black-Scholes'!$B$6-C1077,0),MAX(C1077-'Black-Scholes'!$B$6,0))</f>
        <v>4.94334492396513</v>
      </c>
      <c r="F1077" s="18" t="n">
        <f aca="false">(E1077+G1077)/2</f>
        <v>2.91785018473885</v>
      </c>
      <c r="G1077" s="18" t="n">
        <f aca="false">EXP(-'Black-Scholes'!$B$8*'Black-Scholes'!$B$7)*IF(LOWER('Black-Scholes'!$B$11)="put",MAX('Black-Scholes'!$B$6-D1077,0),MAX(D1077-'Black-Scholes'!$B$6,0))</f>
        <v>0.892355445512567</v>
      </c>
    </row>
    <row r="1078" customFormat="false" ht="15" hidden="false" customHeight="false" outlineLevel="0" collapsed="false">
      <c r="A1078" s="0" t="n">
        <v>1067</v>
      </c>
      <c r="B1078" s="15" t="n">
        <v>-1.36697460464418</v>
      </c>
      <c r="C1078" s="18" t="n">
        <f aca="false">'Black-Scholes'!$B$5*EXP(('Black-Scholes'!$B$8-'Black-Scholes'!$B$10-'Black-Scholes'!$B$9^2/2)*'Black-Scholes'!$B$7+'Black-Scholes'!$B$9*SQRT('Black-Scholes'!$B$7)*B1078)</f>
        <v>78.3961849687317</v>
      </c>
      <c r="D1078" s="18" t="n">
        <f aca="false">'Black-Scholes'!$B$5*EXP(('Black-Scholes'!$B$8-'Black-Scholes'!$B$10-'Black-Scholes'!$B$9^2/2)*'Black-Scholes'!$B$7-'Black-Scholes'!$B$9*SQRT('Black-Scholes'!$B$7)*B1078)</f>
        <v>135.444925919402</v>
      </c>
      <c r="E1078" s="18" t="n">
        <f aca="false">EXP(-'Black-Scholes'!$B$8*'Black-Scholes'!$B$7)*IF(LOWER('Black-Scholes'!$B$11)="put",MAX('Black-Scholes'!$B$6-C1078,0),MAX(C1078-'Black-Scholes'!$B$6,0))</f>
        <v>0</v>
      </c>
      <c r="F1078" s="18" t="n">
        <f aca="false">(E1078+G1078)/2</f>
        <v>16.8581282418916</v>
      </c>
      <c r="G1078" s="18" t="n">
        <f aca="false">EXP(-'Black-Scholes'!$B$8*'Black-Scholes'!$B$7)*IF(LOWER('Black-Scholes'!$B$11)="put",MAX('Black-Scholes'!$B$6-D1078,0),MAX(D1078-'Black-Scholes'!$B$6,0))</f>
        <v>33.7162564837831</v>
      </c>
    </row>
    <row r="1079" customFormat="false" ht="15" hidden="false" customHeight="false" outlineLevel="0" collapsed="false">
      <c r="A1079" s="0" t="n">
        <v>1068</v>
      </c>
      <c r="B1079" s="15" t="n">
        <v>0.579360380410749</v>
      </c>
      <c r="C1079" s="18" t="n">
        <f aca="false">'Black-Scholes'!$B$5*EXP(('Black-Scholes'!$B$8-'Black-Scholes'!$B$10-'Black-Scholes'!$B$9^2/2)*'Black-Scholes'!$B$7+'Black-Scholes'!$B$9*SQRT('Black-Scholes'!$B$7)*B1079)</f>
        <v>115.704816444878</v>
      </c>
      <c r="D1079" s="18" t="n">
        <f aca="false">'Black-Scholes'!$B$5*EXP(('Black-Scholes'!$B$8-'Black-Scholes'!$B$10-'Black-Scholes'!$B$9^2/2)*'Black-Scholes'!$B$7-'Black-Scholes'!$B$9*SQRT('Black-Scholes'!$B$7)*B1079)</f>
        <v>91.7711620977524</v>
      </c>
      <c r="E1079" s="18" t="n">
        <f aca="false">EXP(-'Black-Scholes'!$B$8*'Black-Scholes'!$B$7)*IF(LOWER('Black-Scholes'!$B$11)="put",MAX('Black-Scholes'!$B$6-C1079,0),MAX(C1079-'Black-Scholes'!$B$6,0))</f>
        <v>14.9388835087507</v>
      </c>
      <c r="F1079" s="18" t="n">
        <f aca="false">(E1079+G1079)/2</f>
        <v>7.46944175437536</v>
      </c>
      <c r="G1079" s="18" t="n">
        <f aca="false">EXP(-'Black-Scholes'!$B$8*'Black-Scholes'!$B$7)*IF(LOWER('Black-Scholes'!$B$11)="put",MAX('Black-Scholes'!$B$6-D1079,0),MAX(D1079-'Black-Scholes'!$B$6,0))</f>
        <v>0</v>
      </c>
    </row>
    <row r="1080" customFormat="false" ht="15" hidden="false" customHeight="false" outlineLevel="0" collapsed="false">
      <c r="A1080" s="0" t="n">
        <v>1069</v>
      </c>
      <c r="B1080" s="15" t="n">
        <v>0.0210093778893056</v>
      </c>
      <c r="C1080" s="18" t="n">
        <f aca="false">'Black-Scholes'!$B$5*EXP(('Black-Scholes'!$B$8-'Black-Scholes'!$B$10-'Black-Scholes'!$B$9^2/2)*'Black-Scholes'!$B$7+'Black-Scholes'!$B$9*SQRT('Black-Scholes'!$B$7)*B1080)</f>
        <v>103.479348517647</v>
      </c>
      <c r="D1080" s="18" t="n">
        <f aca="false">'Black-Scholes'!$B$5*EXP(('Black-Scholes'!$B$8-'Black-Scholes'!$B$10-'Black-Scholes'!$B$9^2/2)*'Black-Scholes'!$B$7-'Black-Scholes'!$B$9*SQRT('Black-Scholes'!$B$7)*B1080)</f>
        <v>102.61337762136</v>
      </c>
      <c r="E1080" s="18" t="n">
        <f aca="false">EXP(-'Black-Scholes'!$B$8*'Black-Scholes'!$B$7)*IF(LOWER('Black-Scholes'!$B$11)="put",MAX('Black-Scholes'!$B$6-C1080,0),MAX(C1080-'Black-Scholes'!$B$6,0))</f>
        <v>3.30965868807844</v>
      </c>
      <c r="F1080" s="18" t="n">
        <f aca="false">(E1080+G1080)/2</f>
        <v>2.89779018942388</v>
      </c>
      <c r="G1080" s="18" t="n">
        <f aca="false">EXP(-'Black-Scholes'!$B$8*'Black-Scholes'!$B$7)*IF(LOWER('Black-Scholes'!$B$11)="put",MAX('Black-Scholes'!$B$6-D1080,0),MAX(D1080-'Black-Scholes'!$B$6,0))</f>
        <v>2.48592169076932</v>
      </c>
    </row>
    <row r="1081" customFormat="false" ht="15" hidden="false" customHeight="false" outlineLevel="0" collapsed="false">
      <c r="A1081" s="0" t="n">
        <v>1070</v>
      </c>
      <c r="B1081" s="15" t="n">
        <v>0.565148444493511</v>
      </c>
      <c r="C1081" s="18" t="n">
        <f aca="false">'Black-Scholes'!$B$5*EXP(('Black-Scholes'!$B$8-'Black-Scholes'!$B$10-'Black-Scholes'!$B$9^2/2)*'Black-Scholes'!$B$7+'Black-Scholes'!$B$9*SQRT('Black-Scholes'!$B$7)*B1081)</f>
        <v>115.376405514169</v>
      </c>
      <c r="D1081" s="18" t="n">
        <f aca="false">'Black-Scholes'!$B$5*EXP(('Black-Scholes'!$B$8-'Black-Scholes'!$B$10-'Black-Scholes'!$B$9^2/2)*'Black-Scholes'!$B$7-'Black-Scholes'!$B$9*SQRT('Black-Scholes'!$B$7)*B1081)</f>
        <v>92.0323823413753</v>
      </c>
      <c r="E1081" s="18" t="n">
        <f aca="false">EXP(-'Black-Scholes'!$B$8*'Black-Scholes'!$B$7)*IF(LOWER('Black-Scholes'!$B$11)="put",MAX('Black-Scholes'!$B$6-C1081,0),MAX(C1081-'Black-Scholes'!$B$6,0))</f>
        <v>14.6264893681329</v>
      </c>
      <c r="F1081" s="18" t="n">
        <f aca="false">(E1081+G1081)/2</f>
        <v>7.31324468406644</v>
      </c>
      <c r="G1081" s="18" t="n">
        <f aca="false">EXP(-'Black-Scholes'!$B$8*'Black-Scholes'!$B$7)*IF(LOWER('Black-Scholes'!$B$11)="put",MAX('Black-Scholes'!$B$6-D1081,0),MAX(D1081-'Black-Scholes'!$B$6,0))</f>
        <v>0</v>
      </c>
    </row>
    <row r="1082" customFormat="false" ht="15" hidden="false" customHeight="false" outlineLevel="0" collapsed="false">
      <c r="A1082" s="0" t="n">
        <v>1071</v>
      </c>
      <c r="B1082" s="15" t="n">
        <v>0.805939841418446</v>
      </c>
      <c r="C1082" s="18" t="n">
        <f aca="false">'Black-Scholes'!$B$5*EXP(('Black-Scholes'!$B$8-'Black-Scholes'!$B$10-'Black-Scholes'!$B$9^2/2)*'Black-Scholes'!$B$7+'Black-Scholes'!$B$9*SQRT('Black-Scholes'!$B$7)*B1082)</f>
        <v>121.068700145235</v>
      </c>
      <c r="D1082" s="18" t="n">
        <f aca="false">'Black-Scholes'!$B$5*EXP(('Black-Scholes'!$B$8-'Black-Scholes'!$B$10-'Black-Scholes'!$B$9^2/2)*'Black-Scholes'!$B$7-'Black-Scholes'!$B$9*SQRT('Black-Scholes'!$B$7)*B1082)</f>
        <v>87.7052900767561</v>
      </c>
      <c r="E1082" s="18" t="n">
        <f aca="false">EXP(-'Black-Scholes'!$B$8*'Black-Scholes'!$B$7)*IF(LOWER('Black-Scholes'!$B$11)="put",MAX('Black-Scholes'!$B$6-C1082,0),MAX(C1082-'Black-Scholes'!$B$6,0))</f>
        <v>20.0411675141295</v>
      </c>
      <c r="F1082" s="18" t="n">
        <f aca="false">(E1082+G1082)/2</f>
        <v>10.0205837570648</v>
      </c>
      <c r="G1082" s="18" t="n">
        <f aca="false">EXP(-'Black-Scholes'!$B$8*'Black-Scholes'!$B$7)*IF(LOWER('Black-Scholes'!$B$11)="put",MAX('Black-Scholes'!$B$6-D1082,0),MAX(D1082-'Black-Scholes'!$B$6,0))</f>
        <v>0</v>
      </c>
    </row>
    <row r="1083" customFormat="false" ht="15" hidden="false" customHeight="false" outlineLevel="0" collapsed="false">
      <c r="A1083" s="0" t="n">
        <v>1072</v>
      </c>
      <c r="B1083" s="15" t="n">
        <v>-1.02157542471571</v>
      </c>
      <c r="C1083" s="18" t="n">
        <f aca="false">'Black-Scholes'!$B$5*EXP(('Black-Scholes'!$B$8-'Black-Scholes'!$B$10-'Black-Scholes'!$B$9^2/2)*'Black-Scholes'!$B$7+'Black-Scholes'!$B$9*SQRT('Black-Scholes'!$B$7)*B1083)</f>
        <v>84.0032174465547</v>
      </c>
      <c r="D1083" s="18" t="n">
        <f aca="false">'Black-Scholes'!$B$5*EXP(('Black-Scholes'!$B$8-'Black-Scholes'!$B$10-'Black-Scholes'!$B$9^2/2)*'Black-Scholes'!$B$7-'Black-Scholes'!$B$9*SQRT('Black-Scholes'!$B$7)*B1083)</f>
        <v>126.404271029372</v>
      </c>
      <c r="E1083" s="18" t="n">
        <f aca="false">EXP(-'Black-Scholes'!$B$8*'Black-Scholes'!$B$7)*IF(LOWER('Black-Scholes'!$B$11)="put",MAX('Black-Scholes'!$B$6-C1083,0),MAX(C1083-'Black-Scholes'!$B$6,0))</f>
        <v>0</v>
      </c>
      <c r="F1083" s="18" t="n">
        <f aca="false">(E1083+G1083)/2</f>
        <v>12.5582597678153</v>
      </c>
      <c r="G1083" s="18" t="n">
        <f aca="false">EXP(-'Black-Scholes'!$B$8*'Black-Scholes'!$B$7)*IF(LOWER('Black-Scholes'!$B$11)="put",MAX('Black-Scholes'!$B$6-D1083,0),MAX(D1083-'Black-Scholes'!$B$6,0))</f>
        <v>25.1165195356307</v>
      </c>
    </row>
    <row r="1084" customFormat="false" ht="15" hidden="false" customHeight="false" outlineLevel="0" collapsed="false">
      <c r="A1084" s="0" t="n">
        <v>1073</v>
      </c>
      <c r="B1084" s="15" t="n">
        <v>-0.233957710459151</v>
      </c>
      <c r="C1084" s="18" t="n">
        <f aca="false">'Black-Scholes'!$B$5*EXP(('Black-Scholes'!$B$8-'Black-Scholes'!$B$10-'Black-Scholes'!$B$9^2/2)*'Black-Scholes'!$B$7+'Black-Scholes'!$B$9*SQRT('Black-Scholes'!$B$7)*B1084)</f>
        <v>98.334865007343</v>
      </c>
      <c r="D1084" s="18" t="n">
        <f aca="false">'Black-Scholes'!$B$5*EXP(('Black-Scholes'!$B$8-'Black-Scholes'!$B$10-'Black-Scholes'!$B$9^2/2)*'Black-Scholes'!$B$7-'Black-Scholes'!$B$9*SQRT('Black-Scholes'!$B$7)*B1084)</f>
        <v>107.981695654544</v>
      </c>
      <c r="E1084" s="18" t="n">
        <f aca="false">EXP(-'Black-Scholes'!$B$8*'Black-Scholes'!$B$7)*IF(LOWER('Black-Scholes'!$B$11)="put",MAX('Black-Scholes'!$B$6-C1084,0),MAX(C1084-'Black-Scholes'!$B$6,0))</f>
        <v>0</v>
      </c>
      <c r="F1084" s="18" t="n">
        <f aca="false">(E1084+G1084)/2</f>
        <v>3.79621188200595</v>
      </c>
      <c r="G1084" s="18" t="n">
        <f aca="false">EXP(-'Black-Scholes'!$B$8*'Black-Scholes'!$B$7)*IF(LOWER('Black-Scholes'!$B$11)="put",MAX('Black-Scholes'!$B$6-D1084,0),MAX(D1084-'Black-Scholes'!$B$6,0))</f>
        <v>7.5924237640119</v>
      </c>
    </row>
    <row r="1085" customFormat="false" ht="15" hidden="false" customHeight="false" outlineLevel="0" collapsed="false">
      <c r="A1085" s="0" t="n">
        <v>1074</v>
      </c>
      <c r="B1085" s="15" t="n">
        <v>0.0954474190566335</v>
      </c>
      <c r="C1085" s="18" t="n">
        <f aca="false">'Black-Scholes'!$B$5*EXP(('Black-Scholes'!$B$8-'Black-Scholes'!$B$10-'Black-Scholes'!$B$9^2/2)*'Black-Scholes'!$B$7+'Black-Scholes'!$B$9*SQRT('Black-Scholes'!$B$7)*B1085)</f>
        <v>105.031433266461</v>
      </c>
      <c r="D1085" s="18" t="n">
        <f aca="false">'Black-Scholes'!$B$5*EXP(('Black-Scholes'!$B$8-'Black-Scholes'!$B$10-'Black-Scholes'!$B$9^2/2)*'Black-Scholes'!$B$7-'Black-Scholes'!$B$9*SQRT('Black-Scholes'!$B$7)*B1085)</f>
        <v>101.097025292563</v>
      </c>
      <c r="E1085" s="18" t="n">
        <f aca="false">EXP(-'Black-Scholes'!$B$8*'Black-Scholes'!$B$7)*IF(LOWER('Black-Scholes'!$B$11)="put",MAX('Black-Scholes'!$B$6-C1085,0),MAX(C1085-'Black-Scholes'!$B$6,0))</f>
        <v>4.78604737046972</v>
      </c>
      <c r="F1085" s="18" t="n">
        <f aca="false">(E1085+G1085)/2</f>
        <v>2.91478505408865</v>
      </c>
      <c r="G1085" s="18" t="n">
        <f aca="false">EXP(-'Black-Scholes'!$B$8*'Black-Scholes'!$B$7)*IF(LOWER('Black-Scholes'!$B$11)="put",MAX('Black-Scholes'!$B$6-D1085,0),MAX(D1085-'Black-Scholes'!$B$6,0))</f>
        <v>1.04352273770757</v>
      </c>
    </row>
    <row r="1086" customFormat="false" ht="15" hidden="false" customHeight="false" outlineLevel="0" collapsed="false">
      <c r="A1086" s="0" t="n">
        <v>1075</v>
      </c>
      <c r="B1086" s="15" t="n">
        <v>0.522194455840954</v>
      </c>
      <c r="C1086" s="18" t="n">
        <f aca="false">'Black-Scholes'!$B$5*EXP(('Black-Scholes'!$B$8-'Black-Scholes'!$B$10-'Black-Scholes'!$B$9^2/2)*'Black-Scholes'!$B$7+'Black-Scholes'!$B$9*SQRT('Black-Scholes'!$B$7)*B1086)</f>
        <v>114.389475479436</v>
      </c>
      <c r="D1086" s="18" t="n">
        <f aca="false">'Black-Scholes'!$B$5*EXP(('Black-Scholes'!$B$8-'Black-Scholes'!$B$10-'Black-Scholes'!$B$9^2/2)*'Black-Scholes'!$B$7-'Black-Scholes'!$B$9*SQRT('Black-Scholes'!$B$7)*B1086)</f>
        <v>92.8264197466533</v>
      </c>
      <c r="E1086" s="18" t="n">
        <f aca="false">EXP(-'Black-Scholes'!$B$8*'Black-Scholes'!$B$7)*IF(LOWER('Black-Scholes'!$B$11)="put",MAX('Black-Scholes'!$B$6-C1086,0),MAX(C1086-'Black-Scholes'!$B$6,0))</f>
        <v>13.6876924791707</v>
      </c>
      <c r="F1086" s="18" t="n">
        <f aca="false">(E1086+G1086)/2</f>
        <v>6.84384623958537</v>
      </c>
      <c r="G1086" s="18" t="n">
        <f aca="false">EXP(-'Black-Scholes'!$B$8*'Black-Scholes'!$B$7)*IF(LOWER('Black-Scholes'!$B$11)="put",MAX('Black-Scholes'!$B$6-D1086,0),MAX(D1086-'Black-Scholes'!$B$6,0))</f>
        <v>0</v>
      </c>
    </row>
    <row r="1087" customFormat="false" ht="15" hidden="false" customHeight="false" outlineLevel="0" collapsed="false">
      <c r="A1087" s="0" t="n">
        <v>1076</v>
      </c>
      <c r="B1087" s="15" t="n">
        <v>-0.141001365981769</v>
      </c>
      <c r="C1087" s="18" t="n">
        <f aca="false">'Black-Scholes'!$B$5*EXP(('Black-Scholes'!$B$8-'Black-Scholes'!$B$10-'Black-Scholes'!$B$9^2/2)*'Black-Scholes'!$B$7+'Black-Scholes'!$B$9*SQRT('Black-Scholes'!$B$7)*B1087)</f>
        <v>100.180134728392</v>
      </c>
      <c r="D1087" s="18" t="n">
        <f aca="false">'Black-Scholes'!$B$5*EXP(('Black-Scholes'!$B$8-'Black-Scholes'!$B$10-'Black-Scholes'!$B$9^2/2)*'Black-Scholes'!$B$7-'Black-Scholes'!$B$9*SQRT('Black-Scholes'!$B$7)*B1087)</f>
        <v>105.992724947336</v>
      </c>
      <c r="E1087" s="18" t="n">
        <f aca="false">EXP(-'Black-Scholes'!$B$8*'Black-Scholes'!$B$7)*IF(LOWER('Black-Scholes'!$B$11)="put",MAX('Black-Scholes'!$B$6-C1087,0),MAX(C1087-'Black-Scholes'!$B$6,0))</f>
        <v>0.171349454021379</v>
      </c>
      <c r="F1087" s="18" t="n">
        <f aca="false">(E1087+G1087)/2</f>
        <v>2.93590287843357</v>
      </c>
      <c r="G1087" s="18" t="n">
        <f aca="false">EXP(-'Black-Scholes'!$B$8*'Black-Scholes'!$B$7)*IF(LOWER('Black-Scholes'!$B$11)="put",MAX('Black-Scholes'!$B$6-D1087,0),MAX(D1087-'Black-Scholes'!$B$6,0))</f>
        <v>5.70045630284575</v>
      </c>
    </row>
    <row r="1088" customFormat="false" ht="15" hidden="false" customHeight="false" outlineLevel="0" collapsed="false">
      <c r="A1088" s="0" t="n">
        <v>1077</v>
      </c>
      <c r="B1088" s="15" t="n">
        <v>-0.528997481758832</v>
      </c>
      <c r="C1088" s="18" t="n">
        <f aca="false">'Black-Scholes'!$B$5*EXP(('Black-Scholes'!$B$8-'Black-Scholes'!$B$10-'Black-Scholes'!$B$9^2/2)*'Black-Scholes'!$B$7+'Black-Scholes'!$B$9*SQRT('Black-Scholes'!$B$7)*B1088)</f>
        <v>92.7002055221084</v>
      </c>
      <c r="D1088" s="18" t="n">
        <f aca="false">'Black-Scholes'!$B$5*EXP(('Black-Scholes'!$B$8-'Black-Scholes'!$B$10-'Black-Scholes'!$B$9^2/2)*'Black-Scholes'!$B$7-'Black-Scholes'!$B$9*SQRT('Black-Scholes'!$B$7)*B1088)</f>
        <v>114.545220322313</v>
      </c>
      <c r="E1088" s="18" t="n">
        <f aca="false">EXP(-'Black-Scholes'!$B$8*'Black-Scholes'!$B$7)*IF(LOWER('Black-Scholes'!$B$11)="put",MAX('Black-Scholes'!$B$6-C1088,0),MAX(C1088-'Black-Scholes'!$B$6,0))</f>
        <v>0</v>
      </c>
      <c r="F1088" s="18" t="n">
        <f aca="false">(E1088+G1088)/2</f>
        <v>6.9179207782149</v>
      </c>
      <c r="G1088" s="18" t="n">
        <f aca="false">EXP(-'Black-Scholes'!$B$8*'Black-Scholes'!$B$7)*IF(LOWER('Black-Scholes'!$B$11)="put",MAX('Black-Scholes'!$B$6-D1088,0),MAX(D1088-'Black-Scholes'!$B$6,0))</f>
        <v>13.8358415564298</v>
      </c>
    </row>
    <row r="1089" customFormat="false" ht="15" hidden="false" customHeight="false" outlineLevel="0" collapsed="false">
      <c r="A1089" s="0" t="n">
        <v>1078</v>
      </c>
      <c r="B1089" s="15" t="n">
        <v>-0.394748063657189</v>
      </c>
      <c r="C1089" s="18" t="n">
        <f aca="false">'Black-Scholes'!$B$5*EXP(('Black-Scholes'!$B$8-'Black-Scholes'!$B$10-'Black-Scholes'!$B$9^2/2)*'Black-Scholes'!$B$7+'Black-Scholes'!$B$9*SQRT('Black-Scholes'!$B$7)*B1089)</f>
        <v>95.2229108713563</v>
      </c>
      <c r="D1089" s="18" t="n">
        <f aca="false">'Black-Scholes'!$B$5*EXP(('Black-Scholes'!$B$8-'Black-Scholes'!$B$10-'Black-Scholes'!$B$9^2/2)*'Black-Scholes'!$B$7-'Black-Scholes'!$B$9*SQRT('Black-Scholes'!$B$7)*B1089)</f>
        <v>111.510616177222</v>
      </c>
      <c r="E1089" s="18" t="n">
        <f aca="false">EXP(-'Black-Scholes'!$B$8*'Black-Scholes'!$B$7)*IF(LOWER('Black-Scholes'!$B$11)="put",MAX('Black-Scholes'!$B$6-C1089,0),MAX(C1089-'Black-Scholes'!$B$6,0))</f>
        <v>0</v>
      </c>
      <c r="F1089" s="18" t="n">
        <f aca="false">(E1089+G1089)/2</f>
        <v>5.47461840095359</v>
      </c>
      <c r="G1089" s="18" t="n">
        <f aca="false">EXP(-'Black-Scholes'!$B$8*'Black-Scholes'!$B$7)*IF(LOWER('Black-Scholes'!$B$11)="put",MAX('Black-Scholes'!$B$6-D1089,0),MAX(D1089-'Black-Scholes'!$B$6,0))</f>
        <v>10.9492368019072</v>
      </c>
    </row>
    <row r="1090" customFormat="false" ht="15" hidden="false" customHeight="false" outlineLevel="0" collapsed="false">
      <c r="A1090" s="0" t="n">
        <v>1079</v>
      </c>
      <c r="B1090" s="15" t="n">
        <v>0.323560010609802</v>
      </c>
      <c r="C1090" s="18" t="n">
        <f aca="false">'Black-Scholes'!$B$5*EXP(('Black-Scholes'!$B$8-'Black-Scholes'!$B$10-'Black-Scholes'!$B$9^2/2)*'Black-Scholes'!$B$7+'Black-Scholes'!$B$9*SQRT('Black-Scholes'!$B$7)*B1090)</f>
        <v>109.934220130926</v>
      </c>
      <c r="D1090" s="18" t="n">
        <f aca="false">'Black-Scholes'!$B$5*EXP(('Black-Scholes'!$B$8-'Black-Scholes'!$B$10-'Black-Scholes'!$B$9^2/2)*'Black-Scholes'!$B$7-'Black-Scholes'!$B$9*SQRT('Black-Scholes'!$B$7)*B1090)</f>
        <v>96.5883548617315</v>
      </c>
      <c r="E1090" s="18" t="n">
        <f aca="false">EXP(-'Black-Scholes'!$B$8*'Black-Scholes'!$B$7)*IF(LOWER('Black-Scholes'!$B$11)="put",MAX('Black-Scholes'!$B$6-C1090,0),MAX(C1090-'Black-Scholes'!$B$6,0))</f>
        <v>9.44972249800429</v>
      </c>
      <c r="F1090" s="18" t="n">
        <f aca="false">(E1090+G1090)/2</f>
        <v>4.72486124900215</v>
      </c>
      <c r="G1090" s="18" t="n">
        <f aca="false">EXP(-'Black-Scholes'!$B$8*'Black-Scholes'!$B$7)*IF(LOWER('Black-Scholes'!$B$11)="put",MAX('Black-Scholes'!$B$6-D1090,0),MAX(D1090-'Black-Scholes'!$B$6,0))</f>
        <v>0</v>
      </c>
    </row>
    <row r="1091" customFormat="false" ht="15" hidden="false" customHeight="false" outlineLevel="0" collapsed="false">
      <c r="A1091" s="0" t="n">
        <v>1080</v>
      </c>
      <c r="B1091" s="15" t="n">
        <v>0.189479876322111</v>
      </c>
      <c r="C1091" s="18" t="n">
        <f aca="false">'Black-Scholes'!$B$5*EXP(('Black-Scholes'!$B$8-'Black-Scholes'!$B$10-'Black-Scholes'!$B$9^2/2)*'Black-Scholes'!$B$7+'Black-Scholes'!$B$9*SQRT('Black-Scholes'!$B$7)*B1091)</f>
        <v>107.025396980168</v>
      </c>
      <c r="D1091" s="18" t="n">
        <f aca="false">'Black-Scholes'!$B$5*EXP(('Black-Scholes'!$B$8-'Black-Scholes'!$B$10-'Black-Scholes'!$B$9^2/2)*'Black-Scholes'!$B$7-'Black-Scholes'!$B$9*SQRT('Black-Scholes'!$B$7)*B1091)</f>
        <v>99.2135116062333</v>
      </c>
      <c r="E1091" s="18" t="n">
        <f aca="false">EXP(-'Black-Scholes'!$B$8*'Black-Scholes'!$B$7)*IF(LOWER('Black-Scholes'!$B$11)="put",MAX('Black-Scholes'!$B$6-C1091,0),MAX(C1091-'Black-Scholes'!$B$6,0))</f>
        <v>6.68276432633396</v>
      </c>
      <c r="F1091" s="18" t="n">
        <f aca="false">(E1091+G1091)/2</f>
        <v>3.34138216316698</v>
      </c>
      <c r="G1091" s="18" t="n">
        <f aca="false">EXP(-'Black-Scholes'!$B$8*'Black-Scholes'!$B$7)*IF(LOWER('Black-Scholes'!$B$11)="put",MAX('Black-Scholes'!$B$6-D1091,0),MAX(D1091-'Black-Scholes'!$B$6,0))</f>
        <v>0</v>
      </c>
    </row>
    <row r="1092" customFormat="false" ht="15" hidden="false" customHeight="false" outlineLevel="0" collapsed="false">
      <c r="A1092" s="0" t="n">
        <v>1081</v>
      </c>
      <c r="B1092" s="15" t="n">
        <v>0.856459977831442</v>
      </c>
      <c r="C1092" s="18" t="n">
        <f aca="false">'Black-Scholes'!$B$5*EXP(('Black-Scholes'!$B$8-'Black-Scholes'!$B$10-'Black-Scholes'!$B$9^2/2)*'Black-Scholes'!$B$7+'Black-Scholes'!$B$9*SQRT('Black-Scholes'!$B$7)*B1092)</f>
        <v>122.298182496236</v>
      </c>
      <c r="D1092" s="18" t="n">
        <f aca="false">'Black-Scholes'!$B$5*EXP(('Black-Scholes'!$B$8-'Black-Scholes'!$B$10-'Black-Scholes'!$B$9^2/2)*'Black-Scholes'!$B$7-'Black-Scholes'!$B$9*SQRT('Black-Scholes'!$B$7)*B1092)</f>
        <v>86.8235753689992</v>
      </c>
      <c r="E1092" s="18" t="n">
        <f aca="false">EXP(-'Black-Scholes'!$B$8*'Black-Scholes'!$B$7)*IF(LOWER('Black-Scholes'!$B$11)="put",MAX('Black-Scholes'!$B$6-C1092,0),MAX(C1092-'Black-Scholes'!$B$6,0))</f>
        <v>21.2106873033068</v>
      </c>
      <c r="F1092" s="18" t="n">
        <f aca="false">(E1092+G1092)/2</f>
        <v>10.6053436516534</v>
      </c>
      <c r="G1092" s="18" t="n">
        <f aca="false">EXP(-'Black-Scholes'!$B$8*'Black-Scholes'!$B$7)*IF(LOWER('Black-Scholes'!$B$11)="put",MAX('Black-Scholes'!$B$6-D1092,0),MAX(D1092-'Black-Scholes'!$B$6,0))</f>
        <v>0</v>
      </c>
    </row>
    <row r="1093" customFormat="false" ht="15" hidden="false" customHeight="false" outlineLevel="0" collapsed="false">
      <c r="A1093" s="0" t="n">
        <v>1082</v>
      </c>
      <c r="B1093" s="15" t="n">
        <v>-0.842804345241153</v>
      </c>
      <c r="C1093" s="18" t="n">
        <f aca="false">'Black-Scholes'!$B$5*EXP(('Black-Scholes'!$B$8-'Black-Scholes'!$B$10-'Black-Scholes'!$B$9^2/2)*'Black-Scholes'!$B$7+'Black-Scholes'!$B$9*SQRT('Black-Scholes'!$B$7)*B1093)</f>
        <v>87.0610256438571</v>
      </c>
      <c r="D1093" s="18" t="n">
        <f aca="false">'Black-Scholes'!$B$5*EXP(('Black-Scholes'!$B$8-'Black-Scholes'!$B$10-'Black-Scholes'!$B$9^2/2)*'Black-Scholes'!$B$7-'Black-Scholes'!$B$9*SQRT('Black-Scholes'!$B$7)*B1093)</f>
        <v>121.964626386214</v>
      </c>
      <c r="E1093" s="18" t="n">
        <f aca="false">EXP(-'Black-Scholes'!$B$8*'Black-Scholes'!$B$7)*IF(LOWER('Black-Scholes'!$B$11)="put",MAX('Black-Scholes'!$B$6-C1093,0),MAX(C1093-'Black-Scholes'!$B$6,0))</f>
        <v>0</v>
      </c>
      <c r="F1093" s="18" t="n">
        <f aca="false">(E1093+G1093)/2</f>
        <v>10.4466994583656</v>
      </c>
      <c r="G1093" s="18" t="n">
        <f aca="false">EXP(-'Black-Scholes'!$B$8*'Black-Scholes'!$B$7)*IF(LOWER('Black-Scholes'!$B$11)="put",MAX('Black-Scholes'!$B$6-D1093,0),MAX(D1093-'Black-Scholes'!$B$6,0))</f>
        <v>20.8933989167312</v>
      </c>
    </row>
    <row r="1094" customFormat="false" ht="15" hidden="false" customHeight="false" outlineLevel="0" collapsed="false">
      <c r="A1094" s="0" t="n">
        <v>1083</v>
      </c>
      <c r="B1094" s="15" t="n">
        <v>-0.330811938003964</v>
      </c>
      <c r="C1094" s="18" t="n">
        <f aca="false">'Black-Scholes'!$B$5*EXP(('Black-Scholes'!$B$8-'Black-Scholes'!$B$10-'Black-Scholes'!$B$9^2/2)*'Black-Scholes'!$B$7+'Black-Scholes'!$B$9*SQRT('Black-Scholes'!$B$7)*B1094)</f>
        <v>96.4483660578201</v>
      </c>
      <c r="D1094" s="18" t="n">
        <f aca="false">'Black-Scholes'!$B$5*EXP(('Black-Scholes'!$B$8-'Black-Scholes'!$B$10-'Black-Scholes'!$B$9^2/2)*'Black-Scholes'!$B$7-'Black-Scholes'!$B$9*SQRT('Black-Scholes'!$B$7)*B1094)</f>
        <v>110.093782813158</v>
      </c>
      <c r="E1094" s="18" t="n">
        <f aca="false">EXP(-'Black-Scholes'!$B$8*'Black-Scholes'!$B$7)*IF(LOWER('Black-Scholes'!$B$11)="put",MAX('Black-Scholes'!$B$6-C1094,0),MAX(C1094-'Black-Scholes'!$B$6,0))</f>
        <v>0</v>
      </c>
      <c r="F1094" s="18" t="n">
        <f aca="false">(E1094+G1094)/2</f>
        <v>4.80075160819768</v>
      </c>
      <c r="G1094" s="18" t="n">
        <f aca="false">EXP(-'Black-Scholes'!$B$8*'Black-Scholes'!$B$7)*IF(LOWER('Black-Scholes'!$B$11)="put",MAX('Black-Scholes'!$B$6-D1094,0),MAX(D1094-'Black-Scholes'!$B$6,0))</f>
        <v>9.60150321639536</v>
      </c>
    </row>
    <row r="1095" customFormat="false" ht="15" hidden="false" customHeight="false" outlineLevel="0" collapsed="false">
      <c r="A1095" s="0" t="n">
        <v>1084</v>
      </c>
      <c r="B1095" s="15" t="n">
        <v>1.51324743889395</v>
      </c>
      <c r="C1095" s="18" t="n">
        <f aca="false">'Black-Scholes'!$B$5*EXP(('Black-Scholes'!$B$8-'Black-Scholes'!$B$10-'Black-Scholes'!$B$9^2/2)*'Black-Scholes'!$B$7+'Black-Scholes'!$B$9*SQRT('Black-Scholes'!$B$7)*B1095)</f>
        <v>139.465836798436</v>
      </c>
      <c r="D1095" s="18" t="n">
        <f aca="false">'Black-Scholes'!$B$5*EXP(('Black-Scholes'!$B$8-'Black-Scholes'!$B$10-'Black-Scholes'!$B$9^2/2)*'Black-Scholes'!$B$7-'Black-Scholes'!$B$9*SQRT('Black-Scholes'!$B$7)*B1095)</f>
        <v>76.1359606711416</v>
      </c>
      <c r="E1095" s="18" t="n">
        <f aca="false">EXP(-'Black-Scholes'!$B$8*'Black-Scholes'!$B$7)*IF(LOWER('Black-Scholes'!$B$11)="put",MAX('Black-Scholes'!$B$6-C1095,0),MAX(C1095-'Black-Scholes'!$B$6,0))</f>
        <v>37.5410652252157</v>
      </c>
      <c r="F1095" s="18" t="n">
        <f aca="false">(E1095+G1095)/2</f>
        <v>18.7705326126078</v>
      </c>
      <c r="G1095" s="18" t="n">
        <f aca="false">EXP(-'Black-Scholes'!$B$8*'Black-Scholes'!$B$7)*IF(LOWER('Black-Scholes'!$B$11)="put",MAX('Black-Scholes'!$B$6-D1095,0),MAX(D1095-'Black-Scholes'!$B$6,0))</f>
        <v>0</v>
      </c>
    </row>
    <row r="1096" customFormat="false" ht="15" hidden="false" customHeight="false" outlineLevel="0" collapsed="false">
      <c r="A1096" s="0" t="n">
        <v>1085</v>
      </c>
      <c r="B1096" s="15" t="n">
        <v>0.137566546523798</v>
      </c>
      <c r="C1096" s="18" t="n">
        <f aca="false">'Black-Scholes'!$B$5*EXP(('Black-Scholes'!$B$8-'Black-Scholes'!$B$10-'Black-Scholes'!$B$9^2/2)*'Black-Scholes'!$B$7+'Black-Scholes'!$B$9*SQRT('Black-Scholes'!$B$7)*B1096)</f>
        <v>105.919936776811</v>
      </c>
      <c r="D1096" s="18" t="n">
        <f aca="false">'Black-Scholes'!$B$5*EXP(('Black-Scholes'!$B$8-'Black-Scholes'!$B$10-'Black-Scholes'!$B$9^2/2)*'Black-Scholes'!$B$7-'Black-Scholes'!$B$9*SQRT('Black-Scholes'!$B$7)*B1096)</f>
        <v>100.248978507494</v>
      </c>
      <c r="E1096" s="18" t="n">
        <f aca="false">EXP(-'Black-Scholes'!$B$8*'Black-Scholes'!$B$7)*IF(LOWER('Black-Scholes'!$B$11)="put",MAX('Black-Scholes'!$B$6-C1096,0),MAX(C1096-'Black-Scholes'!$B$6,0))</f>
        <v>5.63121805328631</v>
      </c>
      <c r="F1096" s="18" t="n">
        <f aca="false">(E1096+G1096)/2</f>
        <v>2.93402686784132</v>
      </c>
      <c r="G1096" s="18" t="n">
        <f aca="false">EXP(-'Black-Scholes'!$B$8*'Black-Scholes'!$B$7)*IF(LOWER('Black-Scholes'!$B$11)="put",MAX('Black-Scholes'!$B$6-D1096,0),MAX(D1096-'Black-Scholes'!$B$6,0))</f>
        <v>0.236835682396323</v>
      </c>
    </row>
    <row r="1097" customFormat="false" ht="15" hidden="false" customHeight="false" outlineLevel="0" collapsed="false">
      <c r="A1097" s="0" t="n">
        <v>1086</v>
      </c>
      <c r="B1097" s="15" t="n">
        <v>-0.132262745951053</v>
      </c>
      <c r="C1097" s="18" t="n">
        <f aca="false">'Black-Scholes'!$B$5*EXP(('Black-Scholes'!$B$8-'Black-Scholes'!$B$10-'Black-Scholes'!$B$9^2/2)*'Black-Scholes'!$B$7+'Black-Scholes'!$B$9*SQRT('Black-Scholes'!$B$7)*B1097)</f>
        <v>100.355375046044</v>
      </c>
      <c r="D1097" s="18" t="n">
        <f aca="false">'Black-Scholes'!$B$5*EXP(('Black-Scholes'!$B$8-'Black-Scholes'!$B$10-'Black-Scholes'!$B$9^2/2)*'Black-Scholes'!$B$7-'Black-Scholes'!$B$9*SQRT('Black-Scholes'!$B$7)*B1097)</f>
        <v>105.80764070267</v>
      </c>
      <c r="E1097" s="18" t="n">
        <f aca="false">EXP(-'Black-Scholes'!$B$8*'Black-Scholes'!$B$7)*IF(LOWER('Black-Scholes'!$B$11)="put",MAX('Black-Scholes'!$B$6-C1097,0),MAX(C1097-'Black-Scholes'!$B$6,0))</f>
        <v>0.338043200530771</v>
      </c>
      <c r="F1097" s="18" t="n">
        <f aca="false">(E1097+G1097)/2</f>
        <v>2.93122096191939</v>
      </c>
      <c r="G1097" s="18" t="n">
        <f aca="false">EXP(-'Black-Scholes'!$B$8*'Black-Scholes'!$B$7)*IF(LOWER('Black-Scholes'!$B$11)="put",MAX('Black-Scholes'!$B$6-D1097,0),MAX(D1097-'Black-Scholes'!$B$6,0))</f>
        <v>5.52439872330802</v>
      </c>
    </row>
    <row r="1098" customFormat="false" ht="15" hidden="false" customHeight="false" outlineLevel="0" collapsed="false">
      <c r="A1098" s="0" t="n">
        <v>1087</v>
      </c>
      <c r="B1098" s="15" t="n">
        <v>-0.740066513541062</v>
      </c>
      <c r="C1098" s="18" t="n">
        <f aca="false">'Black-Scholes'!$B$5*EXP(('Black-Scholes'!$B$8-'Black-Scholes'!$B$10-'Black-Scholes'!$B$9^2/2)*'Black-Scholes'!$B$7+'Black-Scholes'!$B$9*SQRT('Black-Scholes'!$B$7)*B1098)</f>
        <v>88.8684230628972</v>
      </c>
      <c r="D1098" s="18" t="n">
        <f aca="false">'Black-Scholes'!$B$5*EXP(('Black-Scholes'!$B$8-'Black-Scholes'!$B$10-'Black-Scholes'!$B$9^2/2)*'Black-Scholes'!$B$7-'Black-Scholes'!$B$9*SQRT('Black-Scholes'!$B$7)*B1098)</f>
        <v>119.484121575313</v>
      </c>
      <c r="E1098" s="18" t="n">
        <f aca="false">EXP(-'Black-Scholes'!$B$8*'Black-Scholes'!$B$7)*IF(LOWER('Black-Scholes'!$B$11)="put",MAX('Black-Scholes'!$B$6-C1098,0),MAX(C1098-'Black-Scholes'!$B$6,0))</f>
        <v>0</v>
      </c>
      <c r="F1098" s="18" t="n">
        <f aca="false">(E1098+G1098)/2</f>
        <v>9.26693487649365</v>
      </c>
      <c r="G1098" s="18" t="n">
        <f aca="false">EXP(-'Black-Scholes'!$B$8*'Black-Scholes'!$B$7)*IF(LOWER('Black-Scholes'!$B$11)="put",MAX('Black-Scholes'!$B$6-D1098,0),MAX(D1098-'Black-Scholes'!$B$6,0))</f>
        <v>18.5338697529873</v>
      </c>
    </row>
    <row r="1099" customFormat="false" ht="15" hidden="false" customHeight="false" outlineLevel="0" collapsed="false">
      <c r="A1099" s="0" t="n">
        <v>1088</v>
      </c>
      <c r="B1099" s="15" t="n">
        <v>-2.04024770486255</v>
      </c>
      <c r="C1099" s="18" t="n">
        <f aca="false">'Black-Scholes'!$B$5*EXP(('Black-Scholes'!$B$8-'Black-Scholes'!$B$10-'Black-Scholes'!$B$9^2/2)*'Black-Scholes'!$B$7+'Black-Scholes'!$B$9*SQRT('Black-Scholes'!$B$7)*B1099)</f>
        <v>68.5196554521344</v>
      </c>
      <c r="D1099" s="18" t="n">
        <f aca="false">'Black-Scholes'!$B$5*EXP(('Black-Scholes'!$B$8-'Black-Scholes'!$B$10-'Black-Scholes'!$B$9^2/2)*'Black-Scholes'!$B$7-'Black-Scholes'!$B$9*SQRT('Black-Scholes'!$B$7)*B1099)</f>
        <v>154.968167825526</v>
      </c>
      <c r="E1099" s="18" t="n">
        <f aca="false">EXP(-'Black-Scholes'!$B$8*'Black-Scholes'!$B$7)*IF(LOWER('Black-Scholes'!$B$11)="put",MAX('Black-Scholes'!$B$6-C1099,0),MAX(C1099-'Black-Scholes'!$B$6,0))</f>
        <v>0</v>
      </c>
      <c r="F1099" s="18" t="n">
        <f aca="false">(E1099+G1099)/2</f>
        <v>26.143669323267</v>
      </c>
      <c r="G1099" s="18" t="n">
        <f aca="false">EXP(-'Black-Scholes'!$B$8*'Black-Scholes'!$B$7)*IF(LOWER('Black-Scholes'!$B$11)="put",MAX('Black-Scholes'!$B$6-D1099,0),MAX(D1099-'Black-Scholes'!$B$6,0))</f>
        <v>52.287338646534</v>
      </c>
    </row>
    <row r="1100" customFormat="false" ht="15" hidden="false" customHeight="false" outlineLevel="0" collapsed="false">
      <c r="A1100" s="0" t="n">
        <v>1089</v>
      </c>
      <c r="B1100" s="15" t="n">
        <v>-0.979699154297008</v>
      </c>
      <c r="C1100" s="18" t="n">
        <f aca="false">'Black-Scholes'!$B$5*EXP(('Black-Scholes'!$B$8-'Black-Scholes'!$B$10-'Black-Scholes'!$B$9^2/2)*'Black-Scholes'!$B$7+'Black-Scholes'!$B$9*SQRT('Black-Scholes'!$B$7)*B1100)</f>
        <v>84.709720176668</v>
      </c>
      <c r="D1100" s="18" t="n">
        <f aca="false">'Black-Scholes'!$B$5*EXP(('Black-Scholes'!$B$8-'Black-Scholes'!$B$10-'Black-Scholes'!$B$9^2/2)*'Black-Scholes'!$B$7-'Black-Scholes'!$B$9*SQRT('Black-Scholes'!$B$7)*B1100)</f>
        <v>125.350024097686</v>
      </c>
      <c r="E1100" s="18" t="n">
        <f aca="false">EXP(-'Black-Scholes'!$B$8*'Black-Scholes'!$B$7)*IF(LOWER('Black-Scholes'!$B$11)="put",MAX('Black-Scholes'!$B$6-C1100,0),MAX(C1100-'Black-Scholes'!$B$6,0))</f>
        <v>0</v>
      </c>
      <c r="F1100" s="18" t="n">
        <f aca="false">(E1100+G1100)/2</f>
        <v>12.0568444167607</v>
      </c>
      <c r="G1100" s="18" t="n">
        <f aca="false">EXP(-'Black-Scholes'!$B$8*'Black-Scholes'!$B$7)*IF(LOWER('Black-Scholes'!$B$11)="put",MAX('Black-Scholes'!$B$6-D1100,0),MAX(D1100-'Black-Scholes'!$B$6,0))</f>
        <v>24.1136888335213</v>
      </c>
    </row>
    <row r="1101" customFormat="false" ht="15" hidden="false" customHeight="false" outlineLevel="0" collapsed="false">
      <c r="A1101" s="0" t="n">
        <v>1090</v>
      </c>
      <c r="B1101" s="15" t="n">
        <v>-0.717100512637247</v>
      </c>
      <c r="C1101" s="18" t="n">
        <f aca="false">'Black-Scholes'!$B$5*EXP(('Black-Scholes'!$B$8-'Black-Scholes'!$B$10-'Black-Scholes'!$B$9^2/2)*'Black-Scholes'!$B$7+'Black-Scholes'!$B$9*SQRT('Black-Scholes'!$B$7)*B1101)</f>
        <v>89.2775524069625</v>
      </c>
      <c r="D1101" s="18" t="n">
        <f aca="false">'Black-Scholes'!$B$5*EXP(('Black-Scholes'!$B$8-'Black-Scholes'!$B$10-'Black-Scholes'!$B$9^2/2)*'Black-Scholes'!$B$7-'Black-Scholes'!$B$9*SQRT('Black-Scholes'!$B$7)*B1101)</f>
        <v>118.936565566346</v>
      </c>
      <c r="E1101" s="18" t="n">
        <f aca="false">EXP(-'Black-Scholes'!$B$8*'Black-Scholes'!$B$7)*IF(LOWER('Black-Scholes'!$B$11)="put",MAX('Black-Scholes'!$B$6-C1101,0),MAX(C1101-'Black-Scholes'!$B$6,0))</f>
        <v>0</v>
      </c>
      <c r="F1101" s="18" t="n">
        <f aca="false">(E1101+G1101)/2</f>
        <v>9.00650918284769</v>
      </c>
      <c r="G1101" s="18" t="n">
        <f aca="false">EXP(-'Black-Scholes'!$B$8*'Black-Scholes'!$B$7)*IF(LOWER('Black-Scholes'!$B$11)="put",MAX('Black-Scholes'!$B$6-D1101,0),MAX(D1101-'Black-Scholes'!$B$6,0))</f>
        <v>18.0130183656954</v>
      </c>
    </row>
    <row r="1102" customFormat="false" ht="15" hidden="false" customHeight="false" outlineLevel="0" collapsed="false">
      <c r="A1102" s="0" t="n">
        <v>1091</v>
      </c>
      <c r="B1102" s="15" t="n">
        <v>-0.625271200622686</v>
      </c>
      <c r="C1102" s="18" t="n">
        <f aca="false">'Black-Scholes'!$B$5*EXP(('Black-Scholes'!$B$8-'Black-Scholes'!$B$10-'Black-Scholes'!$B$9^2/2)*'Black-Scholes'!$B$7+'Black-Scholes'!$B$9*SQRT('Black-Scholes'!$B$7)*B1102)</f>
        <v>90.9323611304675</v>
      </c>
      <c r="D1102" s="18" t="n">
        <f aca="false">'Black-Scholes'!$B$5*EXP(('Black-Scholes'!$B$8-'Black-Scholes'!$B$10-'Black-Scholes'!$B$9^2/2)*'Black-Scholes'!$B$7-'Black-Scholes'!$B$9*SQRT('Black-Scholes'!$B$7)*B1102)</f>
        <v>116.7721296736</v>
      </c>
      <c r="E1102" s="18" t="n">
        <f aca="false">EXP(-'Black-Scholes'!$B$8*'Black-Scholes'!$B$7)*IF(LOWER('Black-Scholes'!$B$11)="put",MAX('Black-Scholes'!$B$6-C1102,0),MAX(C1102-'Black-Scholes'!$B$6,0))</f>
        <v>0</v>
      </c>
      <c r="F1102" s="18" t="n">
        <f aca="false">(E1102+G1102)/2</f>
        <v>7.97707162853508</v>
      </c>
      <c r="G1102" s="18" t="n">
        <f aca="false">EXP(-'Black-Scholes'!$B$8*'Black-Scholes'!$B$7)*IF(LOWER('Black-Scholes'!$B$11)="put",MAX('Black-Scholes'!$B$6-D1102,0),MAX(D1102-'Black-Scholes'!$B$6,0))</f>
        <v>15.9541432570702</v>
      </c>
    </row>
    <row r="1103" customFormat="false" ht="15" hidden="false" customHeight="false" outlineLevel="0" collapsed="false">
      <c r="A1103" s="0" t="n">
        <v>1092</v>
      </c>
      <c r="B1103" s="15" t="n">
        <v>1.18085756620086</v>
      </c>
      <c r="C1103" s="18" t="n">
        <f aca="false">'Black-Scholes'!$B$5*EXP(('Black-Scholes'!$B$8-'Black-Scholes'!$B$10-'Black-Scholes'!$B$9^2/2)*'Black-Scholes'!$B$7+'Black-Scholes'!$B$9*SQRT('Black-Scholes'!$B$7)*B1103)</f>
        <v>130.495885721607</v>
      </c>
      <c r="D1103" s="18" t="n">
        <f aca="false">'Black-Scholes'!$B$5*EXP(('Black-Scholes'!$B$8-'Black-Scholes'!$B$10-'Black-Scholes'!$B$9^2/2)*'Black-Scholes'!$B$7-'Black-Scholes'!$B$9*SQRT('Black-Scholes'!$B$7)*B1103)</f>
        <v>81.3693505104543</v>
      </c>
      <c r="E1103" s="18" t="n">
        <f aca="false">EXP(-'Black-Scholes'!$B$8*'Black-Scholes'!$B$7)*IF(LOWER('Black-Scholes'!$B$11)="put",MAX('Black-Scholes'!$B$6-C1103,0),MAX(C1103-'Black-Scholes'!$B$6,0))</f>
        <v>29.0085838246034</v>
      </c>
      <c r="F1103" s="18" t="n">
        <f aca="false">(E1103+G1103)/2</f>
        <v>14.5042919123017</v>
      </c>
      <c r="G1103" s="18" t="n">
        <f aca="false">EXP(-'Black-Scholes'!$B$8*'Black-Scholes'!$B$7)*IF(LOWER('Black-Scholes'!$B$11)="put",MAX('Black-Scholes'!$B$6-D1103,0),MAX(D1103-'Black-Scholes'!$B$6,0))</f>
        <v>0</v>
      </c>
    </row>
    <row r="1104" customFormat="false" ht="15" hidden="false" customHeight="false" outlineLevel="0" collapsed="false">
      <c r="A1104" s="0" t="n">
        <v>1093</v>
      </c>
      <c r="B1104" s="15" t="n">
        <v>-0.756251266634327</v>
      </c>
      <c r="C1104" s="18" t="n">
        <f aca="false">'Black-Scholes'!$B$5*EXP(('Black-Scholes'!$B$8-'Black-Scholes'!$B$10-'Black-Scholes'!$B$9^2/2)*'Black-Scholes'!$B$7+'Black-Scholes'!$B$9*SQRT('Black-Scholes'!$B$7)*B1104)</f>
        <v>88.5812254389161</v>
      </c>
      <c r="D1104" s="18" t="n">
        <f aca="false">'Black-Scholes'!$B$5*EXP(('Black-Scholes'!$B$8-'Black-Scholes'!$B$10-'Black-Scholes'!$B$9^2/2)*'Black-Scholes'!$B$7-'Black-Scholes'!$B$9*SQRT('Black-Scholes'!$B$7)*B1104)</f>
        <v>119.871512420832</v>
      </c>
      <c r="E1104" s="18" t="n">
        <f aca="false">EXP(-'Black-Scholes'!$B$8*'Black-Scholes'!$B$7)*IF(LOWER('Black-Scholes'!$B$11)="put",MAX('Black-Scholes'!$B$6-C1104,0),MAX(C1104-'Black-Scholes'!$B$6,0))</f>
        <v>0</v>
      </c>
      <c r="F1104" s="18" t="n">
        <f aca="false">(E1104+G1104)/2</f>
        <v>9.45118366201363</v>
      </c>
      <c r="G1104" s="18" t="n">
        <f aca="false">EXP(-'Black-Scholes'!$B$8*'Black-Scholes'!$B$7)*IF(LOWER('Black-Scholes'!$B$11)="put",MAX('Black-Scholes'!$B$6-D1104,0),MAX(D1104-'Black-Scholes'!$B$6,0))</f>
        <v>18.9023673240273</v>
      </c>
    </row>
    <row r="1105" customFormat="false" ht="15" hidden="false" customHeight="false" outlineLevel="0" collapsed="false">
      <c r="A1105" s="0" t="n">
        <v>1094</v>
      </c>
      <c r="B1105" s="15" t="n">
        <v>0.675033148524981</v>
      </c>
      <c r="C1105" s="18" t="n">
        <f aca="false">'Black-Scholes'!$B$5*EXP(('Black-Scholes'!$B$8-'Black-Scholes'!$B$10-'Black-Scholes'!$B$9^2/2)*'Black-Scholes'!$B$7+'Black-Scholes'!$B$9*SQRT('Black-Scholes'!$B$7)*B1105)</f>
        <v>117.940093776576</v>
      </c>
      <c r="D1105" s="18" t="n">
        <f aca="false">'Black-Scholes'!$B$5*EXP(('Black-Scholes'!$B$8-'Black-Scholes'!$B$10-'Black-Scholes'!$B$9^2/2)*'Black-Scholes'!$B$7-'Black-Scholes'!$B$9*SQRT('Black-Scholes'!$B$7)*B1105)</f>
        <v>90.0318553720066</v>
      </c>
      <c r="E1105" s="18" t="n">
        <f aca="false">EXP(-'Black-Scholes'!$B$8*'Black-Scholes'!$B$7)*IF(LOWER('Black-Scholes'!$B$11)="put",MAX('Black-Scholes'!$B$6-C1105,0),MAX(C1105-'Black-Scholes'!$B$6,0))</f>
        <v>17.0651450785814</v>
      </c>
      <c r="F1105" s="18" t="n">
        <f aca="false">(E1105+G1105)/2</f>
        <v>8.53257253929068</v>
      </c>
      <c r="G1105" s="18" t="n">
        <f aca="false">EXP(-'Black-Scholes'!$B$8*'Black-Scholes'!$B$7)*IF(LOWER('Black-Scholes'!$B$11)="put",MAX('Black-Scholes'!$B$6-D1105,0),MAX(D1105-'Black-Scholes'!$B$6,0))</f>
        <v>0</v>
      </c>
    </row>
    <row r="1106" customFormat="false" ht="15" hidden="false" customHeight="false" outlineLevel="0" collapsed="false">
      <c r="A1106" s="0" t="n">
        <v>1095</v>
      </c>
      <c r="B1106" s="15" t="n">
        <v>-0.811793046714263</v>
      </c>
      <c r="C1106" s="18" t="n">
        <f aca="false">'Black-Scholes'!$B$5*EXP(('Black-Scholes'!$B$8-'Black-Scholes'!$B$10-'Black-Scholes'!$B$9^2/2)*'Black-Scholes'!$B$7+'Black-Scholes'!$B$9*SQRT('Black-Scholes'!$B$7)*B1106)</f>
        <v>87.6026787353294</v>
      </c>
      <c r="D1106" s="18" t="n">
        <f aca="false">'Black-Scholes'!$B$5*EXP(('Black-Scholes'!$B$8-'Black-Scholes'!$B$10-'Black-Scholes'!$B$9^2/2)*'Black-Scholes'!$B$7-'Black-Scholes'!$B$9*SQRT('Black-Scholes'!$B$7)*B1106)</f>
        <v>121.210511125287</v>
      </c>
      <c r="E1106" s="18" t="n">
        <f aca="false">EXP(-'Black-Scholes'!$B$8*'Black-Scholes'!$B$7)*IF(LOWER('Black-Scholes'!$B$11)="put",MAX('Black-Scholes'!$B$6-C1106,0),MAX(C1106-'Black-Scholes'!$B$6,0))</f>
        <v>0</v>
      </c>
      <c r="F1106" s="18" t="n">
        <f aca="false">(E1106+G1106)/2</f>
        <v>10.0880311455365</v>
      </c>
      <c r="G1106" s="18" t="n">
        <f aca="false">EXP(-'Black-Scholes'!$B$8*'Black-Scholes'!$B$7)*IF(LOWER('Black-Scholes'!$B$11)="put",MAX('Black-Scholes'!$B$6-D1106,0),MAX(D1106-'Black-Scholes'!$B$6,0))</f>
        <v>20.1760622910729</v>
      </c>
    </row>
    <row r="1107" customFormat="false" ht="15" hidden="false" customHeight="false" outlineLevel="0" collapsed="false">
      <c r="A1107" s="0" t="n">
        <v>1096</v>
      </c>
      <c r="B1107" s="15" t="n">
        <v>1.87889630730242</v>
      </c>
      <c r="C1107" s="18" t="n">
        <f aca="false">'Black-Scholes'!$B$5*EXP(('Black-Scholes'!$B$8-'Black-Scholes'!$B$10-'Black-Scholes'!$B$9^2/2)*'Black-Scholes'!$B$7+'Black-Scholes'!$B$9*SQRT('Black-Scholes'!$B$7)*B1107)</f>
        <v>150.047130405548</v>
      </c>
      <c r="D1107" s="18" t="n">
        <f aca="false">'Black-Scholes'!$B$5*EXP(('Black-Scholes'!$B$8-'Black-Scholes'!$B$10-'Black-Scholes'!$B$9^2/2)*'Black-Scholes'!$B$7-'Black-Scholes'!$B$9*SQRT('Black-Scholes'!$B$7)*B1107)</f>
        <v>70.7668679617815</v>
      </c>
      <c r="E1107" s="18" t="n">
        <f aca="false">EXP(-'Black-Scholes'!$B$8*'Black-Scholes'!$B$7)*IF(LOWER('Black-Scholes'!$B$11)="put",MAX('Black-Scholes'!$B$6-C1107,0),MAX(C1107-'Black-Scholes'!$B$6,0))</f>
        <v>47.6063030535813</v>
      </c>
      <c r="F1107" s="18" t="n">
        <f aca="false">(E1107+G1107)/2</f>
        <v>23.8031515267907</v>
      </c>
      <c r="G1107" s="18" t="n">
        <f aca="false">EXP(-'Black-Scholes'!$B$8*'Black-Scholes'!$B$7)*IF(LOWER('Black-Scholes'!$B$11)="put",MAX('Black-Scholes'!$B$6-D1107,0),MAX(D1107-'Black-Scholes'!$B$6,0))</f>
        <v>0</v>
      </c>
    </row>
    <row r="1108" customFormat="false" ht="15" hidden="false" customHeight="false" outlineLevel="0" collapsed="false">
      <c r="A1108" s="0" t="n">
        <v>1097</v>
      </c>
      <c r="B1108" s="15" t="n">
        <v>0.182365392731624</v>
      </c>
      <c r="C1108" s="18" t="n">
        <f aca="false">'Black-Scholes'!$B$5*EXP(('Black-Scholes'!$B$8-'Black-Scholes'!$B$10-'Black-Scholes'!$B$9^2/2)*'Black-Scholes'!$B$7+'Black-Scholes'!$B$9*SQRT('Black-Scholes'!$B$7)*B1108)</f>
        <v>106.873219186369</v>
      </c>
      <c r="D1108" s="18" t="n">
        <f aca="false">'Black-Scholes'!$B$5*EXP(('Black-Scholes'!$B$8-'Black-Scholes'!$B$10-'Black-Scholes'!$B$9^2/2)*'Black-Scholes'!$B$7-'Black-Scholes'!$B$9*SQRT('Black-Scholes'!$B$7)*B1108)</f>
        <v>99.3547826695197</v>
      </c>
      <c r="E1108" s="18" t="n">
        <f aca="false">EXP(-'Black-Scholes'!$B$8*'Black-Scholes'!$B$7)*IF(LOWER('Black-Scholes'!$B$11)="put",MAX('Black-Scholes'!$B$6-C1108,0),MAX(C1108-'Black-Scholes'!$B$6,0))</f>
        <v>6.53800833111666</v>
      </c>
      <c r="F1108" s="18" t="n">
        <f aca="false">(E1108+G1108)/2</f>
        <v>3.26900416555833</v>
      </c>
      <c r="G1108" s="18" t="n">
        <f aca="false">EXP(-'Black-Scholes'!$B$8*'Black-Scholes'!$B$7)*IF(LOWER('Black-Scholes'!$B$11)="put",MAX('Black-Scholes'!$B$6-D1108,0),MAX(D1108-'Black-Scholes'!$B$6,0))</f>
        <v>0</v>
      </c>
    </row>
    <row r="1109" customFormat="false" ht="15" hidden="false" customHeight="false" outlineLevel="0" collapsed="false">
      <c r="A1109" s="0" t="n">
        <v>1098</v>
      </c>
      <c r="B1109" s="15" t="n">
        <v>1.84773957736635</v>
      </c>
      <c r="C1109" s="18" t="n">
        <f aca="false">'Black-Scholes'!$B$5*EXP(('Black-Scholes'!$B$8-'Black-Scholes'!$B$10-'Black-Scholes'!$B$9^2/2)*'Black-Scholes'!$B$7+'Black-Scholes'!$B$9*SQRT('Black-Scholes'!$B$7)*B1109)</f>
        <v>149.115041920578</v>
      </c>
      <c r="D1109" s="18" t="n">
        <f aca="false">'Black-Scholes'!$B$5*EXP(('Black-Scholes'!$B$8-'Black-Scholes'!$B$10-'Black-Scholes'!$B$9^2/2)*'Black-Scholes'!$B$7-'Black-Scholes'!$B$9*SQRT('Black-Scholes'!$B$7)*B1109)</f>
        <v>71.2092175859037</v>
      </c>
      <c r="E1109" s="18" t="n">
        <f aca="false">EXP(-'Black-Scholes'!$B$8*'Black-Scholes'!$B$7)*IF(LOWER('Black-Scholes'!$B$11)="put",MAX('Black-Scholes'!$B$6-C1109,0),MAX(C1109-'Black-Scholes'!$B$6,0))</f>
        <v>46.7196730604399</v>
      </c>
      <c r="F1109" s="18" t="n">
        <f aca="false">(E1109+G1109)/2</f>
        <v>23.35983653022</v>
      </c>
      <c r="G1109" s="18" t="n">
        <f aca="false">EXP(-'Black-Scholes'!$B$8*'Black-Scholes'!$B$7)*IF(LOWER('Black-Scholes'!$B$11)="put",MAX('Black-Scholes'!$B$6-D1109,0),MAX(D1109-'Black-Scholes'!$B$6,0))</f>
        <v>0</v>
      </c>
    </row>
    <row r="1110" customFormat="false" ht="15" hidden="false" customHeight="false" outlineLevel="0" collapsed="false">
      <c r="A1110" s="0" t="n">
        <v>1099</v>
      </c>
      <c r="B1110" s="15" t="n">
        <v>1.28284774538301</v>
      </c>
      <c r="C1110" s="18" t="n">
        <f aca="false">'Black-Scholes'!$B$5*EXP(('Black-Scholes'!$B$8-'Black-Scholes'!$B$10-'Black-Scholes'!$B$9^2/2)*'Black-Scholes'!$B$7+'Black-Scholes'!$B$9*SQRT('Black-Scholes'!$B$7)*B1110)</f>
        <v>133.185079366602</v>
      </c>
      <c r="D1110" s="18" t="n">
        <f aca="false">'Black-Scholes'!$B$5*EXP(('Black-Scholes'!$B$8-'Black-Scholes'!$B$10-'Black-Scholes'!$B$9^2/2)*'Black-Scholes'!$B$7-'Black-Scholes'!$B$9*SQRT('Black-Scholes'!$B$7)*B1110)</f>
        <v>79.7263891417274</v>
      </c>
      <c r="E1110" s="18" t="n">
        <f aca="false">EXP(-'Black-Scholes'!$B$8*'Black-Scholes'!$B$7)*IF(LOWER('Black-Scholes'!$B$11)="put",MAX('Black-Scholes'!$B$6-C1110,0),MAX(C1110-'Black-Scholes'!$B$6,0))</f>
        <v>31.5666239479038</v>
      </c>
      <c r="F1110" s="18" t="n">
        <f aca="false">(E1110+G1110)/2</f>
        <v>15.7833119739519</v>
      </c>
      <c r="G1110" s="18" t="n">
        <f aca="false">EXP(-'Black-Scholes'!$B$8*'Black-Scholes'!$B$7)*IF(LOWER('Black-Scholes'!$B$11)="put",MAX('Black-Scholes'!$B$6-D1110,0),MAX(D1110-'Black-Scholes'!$B$6,0))</f>
        <v>0</v>
      </c>
    </row>
    <row r="1111" customFormat="false" ht="15" hidden="false" customHeight="false" outlineLevel="0" collapsed="false">
      <c r="A1111" s="0" t="n">
        <v>1100</v>
      </c>
      <c r="B1111" s="15" t="n">
        <v>0.470116327807711</v>
      </c>
      <c r="C1111" s="18" t="n">
        <f aca="false">'Black-Scholes'!$B$5*EXP(('Black-Scholes'!$B$8-'Black-Scholes'!$B$10-'Black-Scholes'!$B$9^2/2)*'Black-Scholes'!$B$7+'Black-Scholes'!$B$9*SQRT('Black-Scholes'!$B$7)*B1111)</f>
        <v>113.204220829046</v>
      </c>
      <c r="D1111" s="18" t="n">
        <f aca="false">'Black-Scholes'!$B$5*EXP(('Black-Scholes'!$B$8-'Black-Scholes'!$B$10-'Black-Scholes'!$B$9^2/2)*'Black-Scholes'!$B$7-'Black-Scholes'!$B$9*SQRT('Black-Scholes'!$B$7)*B1111)</f>
        <v>93.7983176571549</v>
      </c>
      <c r="E1111" s="18" t="n">
        <f aca="false">EXP(-'Black-Scholes'!$B$8*'Black-Scholes'!$B$7)*IF(LOWER('Black-Scholes'!$B$11)="put",MAX('Black-Scholes'!$B$6-C1111,0),MAX(C1111-'Black-Scholes'!$B$6,0))</f>
        <v>12.5602433801941</v>
      </c>
      <c r="F1111" s="18" t="n">
        <f aca="false">(E1111+G1111)/2</f>
        <v>6.28012169009705</v>
      </c>
      <c r="G1111" s="18" t="n">
        <f aca="false">EXP(-'Black-Scholes'!$B$8*'Black-Scholes'!$B$7)*IF(LOWER('Black-Scholes'!$B$11)="put",MAX('Black-Scholes'!$B$6-D1111,0),MAX(D1111-'Black-Scholes'!$B$6,0))</f>
        <v>0</v>
      </c>
    </row>
    <row r="1112" customFormat="false" ht="15" hidden="false" customHeight="false" outlineLevel="0" collapsed="false">
      <c r="A1112" s="0" t="n">
        <v>1101</v>
      </c>
      <c r="B1112" s="15" t="n">
        <v>0.405588985146125</v>
      </c>
      <c r="C1112" s="18" t="n">
        <f aca="false">'Black-Scholes'!$B$5*EXP(('Black-Scholes'!$B$8-'Black-Scholes'!$B$10-'Black-Scholes'!$B$9^2/2)*'Black-Scholes'!$B$7+'Black-Scholes'!$B$9*SQRT('Black-Scholes'!$B$7)*B1112)</f>
        <v>111.752654040783</v>
      </c>
      <c r="D1112" s="18" t="n">
        <f aca="false">'Black-Scholes'!$B$5*EXP(('Black-Scholes'!$B$8-'Black-Scholes'!$B$10-'Black-Scholes'!$B$9^2/2)*'Black-Scholes'!$B$7-'Black-Scholes'!$B$9*SQRT('Black-Scholes'!$B$7)*B1112)</f>
        <v>95.0166737120944</v>
      </c>
      <c r="E1112" s="18" t="n">
        <f aca="false">EXP(-'Black-Scholes'!$B$8*'Black-Scholes'!$B$7)*IF(LOWER('Black-Scholes'!$B$11)="put",MAX('Black-Scholes'!$B$6-C1112,0),MAX(C1112-'Black-Scholes'!$B$6,0))</f>
        <v>11.1794703395696</v>
      </c>
      <c r="F1112" s="18" t="n">
        <f aca="false">(E1112+G1112)/2</f>
        <v>5.58973516978479</v>
      </c>
      <c r="G1112" s="18" t="n">
        <f aca="false">EXP(-'Black-Scholes'!$B$8*'Black-Scholes'!$B$7)*IF(LOWER('Black-Scholes'!$B$11)="put",MAX('Black-Scholes'!$B$6-D1112,0),MAX(D1112-'Black-Scholes'!$B$6,0))</f>
        <v>0</v>
      </c>
    </row>
    <row r="1113" customFormat="false" ht="15" hidden="false" customHeight="false" outlineLevel="0" collapsed="false">
      <c r="A1113" s="0" t="n">
        <v>1102</v>
      </c>
      <c r="B1113" s="15" t="n">
        <v>-1.58961929351715</v>
      </c>
      <c r="C1113" s="18" t="n">
        <f aca="false">'Black-Scholes'!$B$5*EXP(('Black-Scholes'!$B$8-'Black-Scholes'!$B$10-'Black-Scholes'!$B$9^2/2)*'Black-Scholes'!$B$7+'Black-Scholes'!$B$9*SQRT('Black-Scholes'!$B$7)*B1113)</f>
        <v>74.9818682232219</v>
      </c>
      <c r="D1113" s="18" t="n">
        <f aca="false">'Black-Scholes'!$B$5*EXP(('Black-Scholes'!$B$8-'Black-Scholes'!$B$10-'Black-Scholes'!$B$9^2/2)*'Black-Scholes'!$B$7-'Black-Scholes'!$B$9*SQRT('Black-Scholes'!$B$7)*B1113)</f>
        <v>141.612442008548</v>
      </c>
      <c r="E1113" s="18" t="n">
        <f aca="false">EXP(-'Black-Scholes'!$B$8*'Black-Scholes'!$B$7)*IF(LOWER('Black-Scholes'!$B$11)="put",MAX('Black-Scholes'!$B$6-C1113,0),MAX(C1113-'Black-Scholes'!$B$6,0))</f>
        <v>0</v>
      </c>
      <c r="F1113" s="18" t="n">
        <f aca="false">(E1113+G1113)/2</f>
        <v>19.7914896319302</v>
      </c>
      <c r="G1113" s="18" t="n">
        <f aca="false">EXP(-'Black-Scholes'!$B$8*'Black-Scholes'!$B$7)*IF(LOWER('Black-Scholes'!$B$11)="put",MAX('Black-Scholes'!$B$6-D1113,0),MAX(D1113-'Black-Scholes'!$B$6,0))</f>
        <v>39.5829792638604</v>
      </c>
    </row>
    <row r="1114" customFormat="false" ht="15" hidden="false" customHeight="false" outlineLevel="0" collapsed="false">
      <c r="A1114" s="0" t="n">
        <v>1103</v>
      </c>
      <c r="B1114" s="15" t="n">
        <v>-1.53941469120519</v>
      </c>
      <c r="C1114" s="18" t="n">
        <f aca="false">'Black-Scholes'!$B$5*EXP(('Black-Scholes'!$B$8-'Black-Scholes'!$B$10-'Black-Scholes'!$B$9^2/2)*'Black-Scholes'!$B$7+'Black-Scholes'!$B$9*SQRT('Black-Scholes'!$B$7)*B1114)</f>
        <v>75.7385477201313</v>
      </c>
      <c r="D1114" s="18" t="n">
        <f aca="false">'Black-Scholes'!$B$5*EXP(('Black-Scholes'!$B$8-'Black-Scholes'!$B$10-'Black-Scholes'!$B$9^2/2)*'Black-Scholes'!$B$7-'Black-Scholes'!$B$9*SQRT('Black-Scholes'!$B$7)*B1114)</f>
        <v>140.197637597839</v>
      </c>
      <c r="E1114" s="18" t="n">
        <f aca="false">EXP(-'Black-Scholes'!$B$8*'Black-Scholes'!$B$7)*IF(LOWER('Black-Scholes'!$B$11)="put",MAX('Black-Scholes'!$B$6-C1114,0),MAX(C1114-'Black-Scholes'!$B$6,0))</f>
        <v>0</v>
      </c>
      <c r="F1114" s="18" t="n">
        <f aca="false">(E1114+G1114)/2</f>
        <v>19.1185878392403</v>
      </c>
      <c r="G1114" s="18" t="n">
        <f aca="false">EXP(-'Black-Scholes'!$B$8*'Black-Scholes'!$B$7)*IF(LOWER('Black-Scholes'!$B$11)="put",MAX('Black-Scholes'!$B$6-D1114,0),MAX(D1114-'Black-Scholes'!$B$6,0))</f>
        <v>38.2371756784805</v>
      </c>
    </row>
    <row r="1115" customFormat="false" ht="15" hidden="false" customHeight="false" outlineLevel="0" collapsed="false">
      <c r="A1115" s="0" t="n">
        <v>1104</v>
      </c>
      <c r="B1115" s="15" t="n">
        <v>-0.362275446036024</v>
      </c>
      <c r="C1115" s="18" t="n">
        <f aca="false">'Black-Scholes'!$B$5*EXP(('Black-Scholes'!$B$8-'Black-Scholes'!$B$10-'Black-Scholes'!$B$9^2/2)*'Black-Scholes'!$B$7+'Black-Scholes'!$B$9*SQRT('Black-Scholes'!$B$7)*B1115)</f>
        <v>95.8433508563102</v>
      </c>
      <c r="D1115" s="18" t="n">
        <f aca="false">'Black-Scholes'!$B$5*EXP(('Black-Scholes'!$B$8-'Black-Scholes'!$B$10-'Black-Scholes'!$B$9^2/2)*'Black-Scholes'!$B$7-'Black-Scholes'!$B$9*SQRT('Black-Scholes'!$B$7)*B1115)</f>
        <v>110.788754468454</v>
      </c>
      <c r="E1115" s="18" t="n">
        <f aca="false">EXP(-'Black-Scholes'!$B$8*'Black-Scholes'!$B$7)*IF(LOWER('Black-Scholes'!$B$11)="put",MAX('Black-Scholes'!$B$6-C1115,0),MAX(C1115-'Black-Scholes'!$B$6,0))</f>
        <v>0</v>
      </c>
      <c r="F1115" s="18" t="n">
        <f aca="false">(E1115+G1115)/2</f>
        <v>5.13129035205327</v>
      </c>
      <c r="G1115" s="18" t="n">
        <f aca="false">EXP(-'Black-Scholes'!$B$8*'Black-Scholes'!$B$7)*IF(LOWER('Black-Scholes'!$B$11)="put",MAX('Black-Scholes'!$B$6-D1115,0),MAX(D1115-'Black-Scholes'!$B$6,0))</f>
        <v>10.2625807041065</v>
      </c>
    </row>
    <row r="1116" customFormat="false" ht="15" hidden="false" customHeight="false" outlineLevel="0" collapsed="false">
      <c r="A1116" s="0" t="n">
        <v>1105</v>
      </c>
      <c r="B1116" s="15" t="n">
        <v>0.605807833168916</v>
      </c>
      <c r="C1116" s="18" t="n">
        <f aca="false">'Black-Scholes'!$B$5*EXP(('Black-Scholes'!$B$8-'Black-Scholes'!$B$10-'Black-Scholes'!$B$9^2/2)*'Black-Scholes'!$B$7+'Black-Scholes'!$B$9*SQRT('Black-Scholes'!$B$7)*B1116)</f>
        <v>116.318457471709</v>
      </c>
      <c r="D1116" s="18" t="n">
        <f aca="false">'Black-Scholes'!$B$5*EXP(('Black-Scholes'!$B$8-'Black-Scholes'!$B$10-'Black-Scholes'!$B$9^2/2)*'Black-Scholes'!$B$7-'Black-Scholes'!$B$9*SQRT('Black-Scholes'!$B$7)*B1116)</f>
        <v>91.2870209617095</v>
      </c>
      <c r="E1116" s="18" t="n">
        <f aca="false">EXP(-'Black-Scholes'!$B$8*'Black-Scholes'!$B$7)*IF(LOWER('Black-Scholes'!$B$11)="put",MAX('Black-Scholes'!$B$6-C1116,0),MAX(C1116-'Black-Scholes'!$B$6,0))</f>
        <v>15.5225969095529</v>
      </c>
      <c r="F1116" s="18" t="n">
        <f aca="false">(E1116+G1116)/2</f>
        <v>7.76129845477647</v>
      </c>
      <c r="G1116" s="18" t="n">
        <f aca="false">EXP(-'Black-Scholes'!$B$8*'Black-Scholes'!$B$7)*IF(LOWER('Black-Scholes'!$B$11)="put",MAX('Black-Scholes'!$B$6-D1116,0),MAX(D1116-'Black-Scholes'!$B$6,0))</f>
        <v>0</v>
      </c>
    </row>
    <row r="1117" customFormat="false" ht="15" hidden="false" customHeight="false" outlineLevel="0" collapsed="false">
      <c r="A1117" s="0" t="n">
        <v>1106</v>
      </c>
      <c r="B1117" s="15" t="n">
        <v>0.889520494747614</v>
      </c>
      <c r="C1117" s="18" t="n">
        <f aca="false">'Black-Scholes'!$B$5*EXP(('Black-Scholes'!$B$8-'Black-Scholes'!$B$10-'Black-Scholes'!$B$9^2/2)*'Black-Scholes'!$B$7+'Black-Scholes'!$B$9*SQRT('Black-Scholes'!$B$7)*B1117)</f>
        <v>123.109510057411</v>
      </c>
      <c r="D1117" s="18" t="n">
        <f aca="false">'Black-Scholes'!$B$5*EXP(('Black-Scholes'!$B$8-'Black-Scholes'!$B$10-'Black-Scholes'!$B$9^2/2)*'Black-Scholes'!$B$7-'Black-Scholes'!$B$9*SQRT('Black-Scholes'!$B$7)*B1117)</f>
        <v>86.2513826957954</v>
      </c>
      <c r="E1117" s="18" t="n">
        <f aca="false">EXP(-'Black-Scholes'!$B$8*'Black-Scholes'!$B$7)*IF(LOWER('Black-Scholes'!$B$11)="put",MAX('Black-Scholes'!$B$6-C1117,0),MAX(C1117-'Black-Scholes'!$B$6,0))</f>
        <v>21.9824459524042</v>
      </c>
      <c r="F1117" s="18" t="n">
        <f aca="false">(E1117+G1117)/2</f>
        <v>10.9912229762021</v>
      </c>
      <c r="G1117" s="18" t="n">
        <f aca="false">EXP(-'Black-Scholes'!$B$8*'Black-Scholes'!$B$7)*IF(LOWER('Black-Scholes'!$B$11)="put",MAX('Black-Scholes'!$B$6-D1117,0),MAX(D1117-'Black-Scholes'!$B$6,0))</f>
        <v>0</v>
      </c>
    </row>
    <row r="1118" customFormat="false" ht="15" hidden="false" customHeight="false" outlineLevel="0" collapsed="false">
      <c r="A1118" s="0" t="n">
        <v>1107</v>
      </c>
      <c r="B1118" s="15" t="n">
        <v>-0.215331257563397</v>
      </c>
      <c r="C1118" s="18" t="n">
        <f aca="false">'Black-Scholes'!$B$5*EXP(('Black-Scholes'!$B$8-'Black-Scholes'!$B$10-'Black-Scholes'!$B$9^2/2)*'Black-Scholes'!$B$7+'Black-Scholes'!$B$9*SQRT('Black-Scholes'!$B$7)*B1118)</f>
        <v>98.7018741369439</v>
      </c>
      <c r="D1118" s="18" t="n">
        <f aca="false">'Black-Scholes'!$B$5*EXP(('Black-Scholes'!$B$8-'Black-Scholes'!$B$10-'Black-Scholes'!$B$9^2/2)*'Black-Scholes'!$B$7-'Black-Scholes'!$B$9*SQRT('Black-Scholes'!$B$7)*B1118)</f>
        <v>107.580180805089</v>
      </c>
      <c r="E1118" s="18" t="n">
        <f aca="false">EXP(-'Black-Scholes'!$B$8*'Black-Scholes'!$B$7)*IF(LOWER('Black-Scholes'!$B$11)="put",MAX('Black-Scholes'!$B$6-C1118,0),MAX(C1118-'Black-Scholes'!$B$6,0))</f>
        <v>0</v>
      </c>
      <c r="F1118" s="18" t="n">
        <f aca="false">(E1118+G1118)/2</f>
        <v>3.60524551241826</v>
      </c>
      <c r="G1118" s="18" t="n">
        <f aca="false">EXP(-'Black-Scholes'!$B$8*'Black-Scholes'!$B$7)*IF(LOWER('Black-Scholes'!$B$11)="put",MAX('Black-Scholes'!$B$6-D1118,0),MAX(D1118-'Black-Scholes'!$B$6,0))</f>
        <v>7.21049102483652</v>
      </c>
    </row>
    <row r="1119" customFormat="false" ht="15" hidden="false" customHeight="false" outlineLevel="0" collapsed="false">
      <c r="A1119" s="0" t="n">
        <v>1108</v>
      </c>
      <c r="B1119" s="15" t="n">
        <v>0.479940146354707</v>
      </c>
      <c r="C1119" s="18" t="n">
        <f aca="false">'Black-Scholes'!$B$5*EXP(('Black-Scholes'!$B$8-'Black-Scholes'!$B$10-'Black-Scholes'!$B$9^2/2)*'Black-Scholes'!$B$7+'Black-Scholes'!$B$9*SQRT('Black-Scholes'!$B$7)*B1119)</f>
        <v>113.426859017978</v>
      </c>
      <c r="D1119" s="18" t="n">
        <f aca="false">'Black-Scholes'!$B$5*EXP(('Black-Scholes'!$B$8-'Black-Scholes'!$B$10-'Black-Scholes'!$B$9^2/2)*'Black-Scholes'!$B$7-'Black-Scholes'!$B$9*SQRT('Black-Scholes'!$B$7)*B1119)</f>
        <v>93.6142070527632</v>
      </c>
      <c r="E1119" s="18" t="n">
        <f aca="false">EXP(-'Black-Scholes'!$B$8*'Black-Scholes'!$B$7)*IF(LOWER('Black-Scholes'!$B$11)="put",MAX('Black-Scholes'!$B$6-C1119,0),MAX(C1119-'Black-Scholes'!$B$6,0))</f>
        <v>12.7720233765237</v>
      </c>
      <c r="F1119" s="18" t="n">
        <f aca="false">(E1119+G1119)/2</f>
        <v>6.38601168826183</v>
      </c>
      <c r="G1119" s="18" t="n">
        <f aca="false">EXP(-'Black-Scholes'!$B$8*'Black-Scholes'!$B$7)*IF(LOWER('Black-Scholes'!$B$11)="put",MAX('Black-Scholes'!$B$6-D1119,0),MAX(D1119-'Black-Scholes'!$B$6,0))</f>
        <v>0</v>
      </c>
    </row>
    <row r="1120" customFormat="false" ht="15" hidden="false" customHeight="false" outlineLevel="0" collapsed="false">
      <c r="A1120" s="0" t="n">
        <v>1109</v>
      </c>
      <c r="B1120" s="15" t="n">
        <v>1.50947587894499</v>
      </c>
      <c r="C1120" s="18" t="n">
        <f aca="false">'Black-Scholes'!$B$5*EXP(('Black-Scholes'!$B$8-'Black-Scholes'!$B$10-'Black-Scholes'!$B$9^2/2)*'Black-Scholes'!$B$7+'Black-Scholes'!$B$9*SQRT('Black-Scholes'!$B$7)*B1120)</f>
        <v>139.360675712693</v>
      </c>
      <c r="D1120" s="18" t="n">
        <f aca="false">'Black-Scholes'!$B$5*EXP(('Black-Scholes'!$B$8-'Black-Scholes'!$B$10-'Black-Scholes'!$B$9^2/2)*'Black-Scholes'!$B$7-'Black-Scholes'!$B$9*SQRT('Black-Scholes'!$B$7)*B1120)</f>
        <v>76.1934126047472</v>
      </c>
      <c r="E1120" s="18" t="n">
        <f aca="false">EXP(-'Black-Scholes'!$B$8*'Black-Scholes'!$B$7)*IF(LOWER('Black-Scholes'!$B$11)="put",MAX('Black-Scholes'!$B$6-C1120,0),MAX(C1120-'Black-Scholes'!$B$6,0))</f>
        <v>37.4410329061443</v>
      </c>
      <c r="F1120" s="18" t="n">
        <f aca="false">(E1120+G1120)/2</f>
        <v>18.7205164530722</v>
      </c>
      <c r="G1120" s="18" t="n">
        <f aca="false">EXP(-'Black-Scholes'!$B$8*'Black-Scholes'!$B$7)*IF(LOWER('Black-Scholes'!$B$11)="put",MAX('Black-Scholes'!$B$6-D1120,0),MAX(D1120-'Black-Scholes'!$B$6,0))</f>
        <v>0</v>
      </c>
    </row>
    <row r="1121" customFormat="false" ht="15" hidden="false" customHeight="false" outlineLevel="0" collapsed="false">
      <c r="A1121" s="0" t="n">
        <v>1110</v>
      </c>
      <c r="B1121" s="15" t="n">
        <v>1.88648962693754</v>
      </c>
      <c r="C1121" s="18" t="n">
        <f aca="false">'Black-Scholes'!$B$5*EXP(('Black-Scholes'!$B$8-'Black-Scholes'!$B$10-'Black-Scholes'!$B$9^2/2)*'Black-Scholes'!$B$7+'Black-Scholes'!$B$9*SQRT('Black-Scholes'!$B$7)*B1121)</f>
        <v>150.275174687331</v>
      </c>
      <c r="D1121" s="18" t="n">
        <f aca="false">'Black-Scholes'!$B$5*EXP(('Black-Scholes'!$B$8-'Black-Scholes'!$B$10-'Black-Scholes'!$B$9^2/2)*'Black-Scholes'!$B$7-'Black-Scholes'!$B$9*SQRT('Black-Scholes'!$B$7)*B1121)</f>
        <v>70.6594784371177</v>
      </c>
      <c r="E1121" s="18" t="n">
        <f aca="false">EXP(-'Black-Scholes'!$B$8*'Black-Scholes'!$B$7)*IF(LOWER('Black-Scholes'!$B$11)="put",MAX('Black-Scholes'!$B$6-C1121,0),MAX(C1121-'Black-Scholes'!$B$6,0))</f>
        <v>47.8232254845031</v>
      </c>
      <c r="F1121" s="18" t="n">
        <f aca="false">(E1121+G1121)/2</f>
        <v>23.9116127422516</v>
      </c>
      <c r="G1121" s="18" t="n">
        <f aca="false">EXP(-'Black-Scholes'!$B$8*'Black-Scholes'!$B$7)*IF(LOWER('Black-Scholes'!$B$11)="put",MAX('Black-Scholes'!$B$6-D1121,0),MAX(D1121-'Black-Scholes'!$B$6,0))</f>
        <v>0</v>
      </c>
    </row>
    <row r="1122" customFormat="false" ht="15" hidden="false" customHeight="false" outlineLevel="0" collapsed="false">
      <c r="A1122" s="0" t="n">
        <v>1111</v>
      </c>
      <c r="B1122" s="15" t="n">
        <v>-0.310055128932038</v>
      </c>
      <c r="C1122" s="18" t="n">
        <f aca="false">'Black-Scholes'!$B$5*EXP(('Black-Scholes'!$B$8-'Black-Scholes'!$B$10-'Black-Scholes'!$B$9^2/2)*'Black-Scholes'!$B$7+'Black-Scholes'!$B$9*SQRT('Black-Scholes'!$B$7)*B1122)</f>
        <v>96.8495903591359</v>
      </c>
      <c r="D1122" s="18" t="n">
        <f aca="false">'Black-Scholes'!$B$5*EXP(('Black-Scholes'!$B$8-'Black-Scholes'!$B$10-'Black-Scholes'!$B$9^2/2)*'Black-Scholes'!$B$7-'Black-Scholes'!$B$9*SQRT('Black-Scholes'!$B$7)*B1122)</f>
        <v>109.637691043181</v>
      </c>
      <c r="E1122" s="18" t="n">
        <f aca="false">EXP(-'Black-Scholes'!$B$8*'Black-Scholes'!$B$7)*IF(LOWER('Black-Scholes'!$B$11)="put",MAX('Black-Scholes'!$B$6-C1122,0),MAX(C1122-'Black-Scholes'!$B$6,0))</f>
        <v>0</v>
      </c>
      <c r="F1122" s="18" t="n">
        <f aca="false">(E1122+G1122)/2</f>
        <v>4.58382765226046</v>
      </c>
      <c r="G1122" s="18" t="n">
        <f aca="false">EXP(-'Black-Scholes'!$B$8*'Black-Scholes'!$B$7)*IF(LOWER('Black-Scholes'!$B$11)="put",MAX('Black-Scholes'!$B$6-D1122,0),MAX(D1122-'Black-Scholes'!$B$6,0))</f>
        <v>9.16765530452092</v>
      </c>
    </row>
    <row r="1123" customFormat="false" ht="15" hidden="false" customHeight="false" outlineLevel="0" collapsed="false">
      <c r="A1123" s="0" t="n">
        <v>1112</v>
      </c>
      <c r="B1123" s="15" t="n">
        <v>2.49112050681533</v>
      </c>
      <c r="C1123" s="18" t="n">
        <f aca="false">'Black-Scholes'!$B$5*EXP(('Black-Scholes'!$B$8-'Black-Scholes'!$B$10-'Black-Scholes'!$B$9^2/2)*'Black-Scholes'!$B$7+'Black-Scholes'!$B$9*SQRT('Black-Scholes'!$B$7)*B1123)</f>
        <v>169.591785452214</v>
      </c>
      <c r="D1123" s="18" t="n">
        <f aca="false">'Black-Scholes'!$B$5*EXP(('Black-Scholes'!$B$8-'Black-Scholes'!$B$10-'Black-Scholes'!$B$9^2/2)*'Black-Scholes'!$B$7-'Black-Scholes'!$B$9*SQRT('Black-Scholes'!$B$7)*B1123)</f>
        <v>62.6113195113776</v>
      </c>
      <c r="E1123" s="18" t="n">
        <f aca="false">EXP(-'Black-Scholes'!$B$8*'Black-Scholes'!$B$7)*IF(LOWER('Black-Scholes'!$B$11)="put",MAX('Black-Scholes'!$B$6-C1123,0),MAX(C1123-'Black-Scholes'!$B$6,0))</f>
        <v>66.1977540256871</v>
      </c>
      <c r="F1123" s="18" t="n">
        <f aca="false">(E1123+G1123)/2</f>
        <v>33.0988770128436</v>
      </c>
      <c r="G1123" s="18" t="n">
        <f aca="false">EXP(-'Black-Scholes'!$B$8*'Black-Scholes'!$B$7)*IF(LOWER('Black-Scholes'!$B$11)="put",MAX('Black-Scholes'!$B$6-D1123,0),MAX(D1123-'Black-Scholes'!$B$6,0))</f>
        <v>0</v>
      </c>
    </row>
    <row r="1124" customFormat="false" ht="15" hidden="false" customHeight="false" outlineLevel="0" collapsed="false">
      <c r="A1124" s="0" t="n">
        <v>1113</v>
      </c>
      <c r="B1124" s="15" t="n">
        <v>1.6213339269276</v>
      </c>
      <c r="C1124" s="18" t="n">
        <f aca="false">'Black-Scholes'!$B$5*EXP(('Black-Scholes'!$B$8-'Black-Scholes'!$B$10-'Black-Scholes'!$B$9^2/2)*'Black-Scholes'!$B$7+'Black-Scholes'!$B$9*SQRT('Black-Scholes'!$B$7)*B1124)</f>
        <v>142.513534104917</v>
      </c>
      <c r="D1124" s="18" t="n">
        <f aca="false">'Black-Scholes'!$B$5*EXP(('Black-Scholes'!$B$8-'Black-Scholes'!$B$10-'Black-Scholes'!$B$9^2/2)*'Black-Scholes'!$B$7-'Black-Scholes'!$B$9*SQRT('Black-Scholes'!$B$7)*B1124)</f>
        <v>74.5077689087161</v>
      </c>
      <c r="E1124" s="18" t="n">
        <f aca="false">EXP(-'Black-Scholes'!$B$8*'Black-Scholes'!$B$7)*IF(LOWER('Black-Scholes'!$B$11)="put",MAX('Black-Scholes'!$B$6-C1124,0),MAX(C1124-'Black-Scholes'!$B$6,0))</f>
        <v>40.4401245801118</v>
      </c>
      <c r="F1124" s="18" t="n">
        <f aca="false">(E1124+G1124)/2</f>
        <v>20.2200622900559</v>
      </c>
      <c r="G1124" s="18" t="n">
        <f aca="false">EXP(-'Black-Scholes'!$B$8*'Black-Scholes'!$B$7)*IF(LOWER('Black-Scholes'!$B$11)="put",MAX('Black-Scholes'!$B$6-D1124,0),MAX(D1124-'Black-Scholes'!$B$6,0))</f>
        <v>0</v>
      </c>
    </row>
    <row r="1125" customFormat="false" ht="15" hidden="false" customHeight="false" outlineLevel="0" collapsed="false">
      <c r="A1125" s="0" t="n">
        <v>1114</v>
      </c>
      <c r="B1125" s="15" t="n">
        <v>-0.458501478597398</v>
      </c>
      <c r="C1125" s="18" t="n">
        <f aca="false">'Black-Scholes'!$B$5*EXP(('Black-Scholes'!$B$8-'Black-Scholes'!$B$10-'Black-Scholes'!$B$9^2/2)*'Black-Scholes'!$B$7+'Black-Scholes'!$B$9*SQRT('Black-Scholes'!$B$7)*B1125)</f>
        <v>94.0164615931054</v>
      </c>
      <c r="D1125" s="18" t="n">
        <f aca="false">'Black-Scholes'!$B$5*EXP(('Black-Scholes'!$B$8-'Black-Scholes'!$B$10-'Black-Scholes'!$B$9^2/2)*'Black-Scholes'!$B$7-'Black-Scholes'!$B$9*SQRT('Black-Scholes'!$B$7)*B1125)</f>
        <v>112.941556037377</v>
      </c>
      <c r="E1125" s="18" t="n">
        <f aca="false">EXP(-'Black-Scholes'!$B$8*'Black-Scholes'!$B$7)*IF(LOWER('Black-Scholes'!$B$11)="put",MAX('Black-Scholes'!$B$6-C1125,0),MAX(C1125-'Black-Scholes'!$B$6,0))</f>
        <v>0</v>
      </c>
      <c r="F1125" s="18" t="n">
        <f aca="false">(E1125+G1125)/2</f>
        <v>6.15519445078884</v>
      </c>
      <c r="G1125" s="18" t="n">
        <f aca="false">EXP(-'Black-Scholes'!$B$8*'Black-Scholes'!$B$7)*IF(LOWER('Black-Scholes'!$B$11)="put",MAX('Black-Scholes'!$B$6-D1125,0),MAX(D1125-'Black-Scholes'!$B$6,0))</f>
        <v>12.3103889015777</v>
      </c>
    </row>
    <row r="1126" customFormat="false" ht="15" hidden="false" customHeight="false" outlineLevel="0" collapsed="false">
      <c r="A1126" s="0" t="n">
        <v>1115</v>
      </c>
      <c r="B1126" s="15" t="n">
        <v>-1.63799756086944</v>
      </c>
      <c r="C1126" s="18" t="n">
        <f aca="false">'Black-Scholes'!$B$5*EXP(('Black-Scholes'!$B$8-'Black-Scholes'!$B$10-'Black-Scholes'!$B$9^2/2)*'Black-Scholes'!$B$7+'Black-Scholes'!$B$9*SQRT('Black-Scholes'!$B$7)*B1126)</f>
        <v>74.2598681934638</v>
      </c>
      <c r="D1126" s="18" t="n">
        <f aca="false">'Black-Scholes'!$B$5*EXP(('Black-Scholes'!$B$8-'Black-Scholes'!$B$10-'Black-Scholes'!$B$9^2/2)*'Black-Scholes'!$B$7-'Black-Scholes'!$B$9*SQRT('Black-Scholes'!$B$7)*B1126)</f>
        <v>142.989285111446</v>
      </c>
      <c r="E1126" s="18" t="n">
        <f aca="false">EXP(-'Black-Scholes'!$B$8*'Black-Scholes'!$B$7)*IF(LOWER('Black-Scholes'!$B$11)="put",MAX('Black-Scholes'!$B$6-C1126,0),MAX(C1126-'Black-Scholes'!$B$6,0))</f>
        <v>0</v>
      </c>
      <c r="F1126" s="18" t="n">
        <f aca="false">(E1126+G1126)/2</f>
        <v>20.4463364681289</v>
      </c>
      <c r="G1126" s="18" t="n">
        <f aca="false">EXP(-'Black-Scholes'!$B$8*'Black-Scholes'!$B$7)*IF(LOWER('Black-Scholes'!$B$11)="put",MAX('Black-Scholes'!$B$6-D1126,0),MAX(D1126-'Black-Scholes'!$B$6,0))</f>
        <v>40.8926729362578</v>
      </c>
    </row>
    <row r="1127" customFormat="false" ht="15" hidden="false" customHeight="false" outlineLevel="0" collapsed="false">
      <c r="A1127" s="0" t="n">
        <v>1116</v>
      </c>
      <c r="B1127" s="15" t="n">
        <v>0.955282557512405</v>
      </c>
      <c r="C1127" s="18" t="n">
        <f aca="false">'Black-Scholes'!$B$5*EXP(('Black-Scholes'!$B$8-'Black-Scholes'!$B$10-'Black-Scholes'!$B$9^2/2)*'Black-Scholes'!$B$7+'Black-Scholes'!$B$9*SQRT('Black-Scholes'!$B$7)*B1127)</f>
        <v>124.739392067694</v>
      </c>
      <c r="D1127" s="18" t="n">
        <f aca="false">'Black-Scholes'!$B$5*EXP(('Black-Scholes'!$B$8-'Black-Scholes'!$B$10-'Black-Scholes'!$B$9^2/2)*'Black-Scholes'!$B$7-'Black-Scholes'!$B$9*SQRT('Black-Scholes'!$B$7)*B1127)</f>
        <v>85.1243964672459</v>
      </c>
      <c r="E1127" s="18" t="n">
        <f aca="false">EXP(-'Black-Scholes'!$B$8*'Black-Scholes'!$B$7)*IF(LOWER('Black-Scholes'!$B$11)="put",MAX('Black-Scholes'!$B$6-C1127,0),MAX(C1127-'Black-Scholes'!$B$6,0))</f>
        <v>23.5328376790499</v>
      </c>
      <c r="F1127" s="18" t="n">
        <f aca="false">(E1127+G1127)/2</f>
        <v>11.766418839525</v>
      </c>
      <c r="G1127" s="18" t="n">
        <f aca="false">EXP(-'Black-Scholes'!$B$8*'Black-Scholes'!$B$7)*IF(LOWER('Black-Scholes'!$B$11)="put",MAX('Black-Scholes'!$B$6-D1127,0),MAX(D1127-'Black-Scholes'!$B$6,0))</f>
        <v>0</v>
      </c>
    </row>
    <row r="1128" customFormat="false" ht="15" hidden="false" customHeight="false" outlineLevel="0" collapsed="false">
      <c r="A1128" s="0" t="n">
        <v>1117</v>
      </c>
      <c r="B1128" s="15" t="n">
        <v>0.173488488686316</v>
      </c>
      <c r="C1128" s="18" t="n">
        <f aca="false">'Black-Scholes'!$B$5*EXP(('Black-Scholes'!$B$8-'Black-Scholes'!$B$10-'Black-Scholes'!$B$9^2/2)*'Black-Scholes'!$B$7+'Black-Scholes'!$B$9*SQRT('Black-Scholes'!$B$7)*B1128)</f>
        <v>106.683646855356</v>
      </c>
      <c r="D1128" s="18" t="n">
        <f aca="false">'Black-Scholes'!$B$5*EXP(('Black-Scholes'!$B$8-'Black-Scholes'!$B$10-'Black-Scholes'!$B$9^2/2)*'Black-Scholes'!$B$7-'Black-Scholes'!$B$9*SQRT('Black-Scholes'!$B$7)*B1128)</f>
        <v>99.5313319186608</v>
      </c>
      <c r="E1128" s="18" t="n">
        <f aca="false">EXP(-'Black-Scholes'!$B$8*'Black-Scholes'!$B$7)*IF(LOWER('Black-Scholes'!$B$11)="put",MAX('Black-Scholes'!$B$6-C1128,0),MAX(C1128-'Black-Scholes'!$B$6,0))</f>
        <v>6.35768155178596</v>
      </c>
      <c r="F1128" s="18" t="n">
        <f aca="false">(E1128+G1128)/2</f>
        <v>3.17884077589298</v>
      </c>
      <c r="G1128" s="18" t="n">
        <f aca="false">EXP(-'Black-Scholes'!$B$8*'Black-Scholes'!$B$7)*IF(LOWER('Black-Scholes'!$B$11)="put",MAX('Black-Scholes'!$B$6-D1128,0),MAX(D1128-'Black-Scholes'!$B$6,0))</f>
        <v>0</v>
      </c>
    </row>
    <row r="1129" customFormat="false" ht="15" hidden="false" customHeight="false" outlineLevel="0" collapsed="false">
      <c r="A1129" s="0" t="n">
        <v>1118</v>
      </c>
      <c r="B1129" s="15" t="n">
        <v>0.608606053270473</v>
      </c>
      <c r="C1129" s="18" t="n">
        <f aca="false">'Black-Scholes'!$B$5*EXP(('Black-Scholes'!$B$8-'Black-Scholes'!$B$10-'Black-Scholes'!$B$9^2/2)*'Black-Scholes'!$B$7+'Black-Scholes'!$B$9*SQRT('Black-Scholes'!$B$7)*B1129)</f>
        <v>116.383572619837</v>
      </c>
      <c r="D1129" s="18" t="n">
        <f aca="false">'Black-Scholes'!$B$5*EXP(('Black-Scholes'!$B$8-'Black-Scholes'!$B$10-'Black-Scholes'!$B$9^2/2)*'Black-Scholes'!$B$7-'Black-Scholes'!$B$9*SQRT('Black-Scholes'!$B$7)*B1129)</f>
        <v>91.2359470192425</v>
      </c>
      <c r="E1129" s="18" t="n">
        <f aca="false">EXP(-'Black-Scholes'!$B$8*'Black-Scholes'!$B$7)*IF(LOWER('Black-Scholes'!$B$11)="put",MAX('Black-Scholes'!$B$6-C1129,0),MAX(C1129-'Black-Scholes'!$B$6,0))</f>
        <v>15.584536354433</v>
      </c>
      <c r="F1129" s="18" t="n">
        <f aca="false">(E1129+G1129)/2</f>
        <v>7.79226817721651</v>
      </c>
      <c r="G1129" s="18" t="n">
        <f aca="false">EXP(-'Black-Scholes'!$B$8*'Black-Scholes'!$B$7)*IF(LOWER('Black-Scholes'!$B$11)="put",MAX('Black-Scholes'!$B$6-D1129,0),MAX(D1129-'Black-Scholes'!$B$6,0))</f>
        <v>0</v>
      </c>
    </row>
    <row r="1130" customFormat="false" ht="15" hidden="false" customHeight="false" outlineLevel="0" collapsed="false">
      <c r="A1130" s="0" t="n">
        <v>1119</v>
      </c>
      <c r="B1130" s="15" t="n">
        <v>0.422978490428838</v>
      </c>
      <c r="C1130" s="18" t="n">
        <f aca="false">'Black-Scholes'!$B$5*EXP(('Black-Scholes'!$B$8-'Black-Scholes'!$B$10-'Black-Scholes'!$B$9^2/2)*'Black-Scholes'!$B$7+'Black-Scholes'!$B$9*SQRT('Black-Scholes'!$B$7)*B1130)</f>
        <v>112.141995367198</v>
      </c>
      <c r="D1130" s="18" t="n">
        <f aca="false">'Black-Scholes'!$B$5*EXP(('Black-Scholes'!$B$8-'Black-Scholes'!$B$10-'Black-Scholes'!$B$9^2/2)*'Black-Scholes'!$B$7-'Black-Scholes'!$B$9*SQRT('Black-Scholes'!$B$7)*B1130)</f>
        <v>94.6867891077269</v>
      </c>
      <c r="E1130" s="18" t="n">
        <f aca="false">EXP(-'Black-Scholes'!$B$8*'Black-Scholes'!$B$7)*IF(LOWER('Black-Scholes'!$B$11)="put",MAX('Black-Scholes'!$B$6-C1130,0),MAX(C1130-'Black-Scholes'!$B$6,0))</f>
        <v>11.5498232654304</v>
      </c>
      <c r="F1130" s="18" t="n">
        <f aca="false">(E1130+G1130)/2</f>
        <v>5.77491163271519</v>
      </c>
      <c r="G1130" s="18" t="n">
        <f aca="false">EXP(-'Black-Scholes'!$B$8*'Black-Scholes'!$B$7)*IF(LOWER('Black-Scholes'!$B$11)="put",MAX('Black-Scholes'!$B$6-D1130,0),MAX(D1130-'Black-Scholes'!$B$6,0))</f>
        <v>0</v>
      </c>
    </row>
    <row r="1131" customFormat="false" ht="15" hidden="false" customHeight="false" outlineLevel="0" collapsed="false">
      <c r="A1131" s="0" t="n">
        <v>1120</v>
      </c>
      <c r="B1131" s="15" t="n">
        <v>0.648642835945152</v>
      </c>
      <c r="C1131" s="18" t="n">
        <f aca="false">'Black-Scholes'!$B$5*EXP(('Black-Scholes'!$B$8-'Black-Scholes'!$B$10-'Black-Scholes'!$B$9^2/2)*'Black-Scholes'!$B$7+'Black-Scholes'!$B$9*SQRT('Black-Scholes'!$B$7)*B1131)</f>
        <v>117.319238486314</v>
      </c>
      <c r="D1131" s="18" t="n">
        <f aca="false">'Black-Scholes'!$B$5*EXP(('Black-Scholes'!$B$8-'Black-Scholes'!$B$10-'Black-Scholes'!$B$9^2/2)*'Black-Scholes'!$B$7-'Black-Scholes'!$B$9*SQRT('Black-Scholes'!$B$7)*B1131)</f>
        <v>90.5083053935121</v>
      </c>
      <c r="E1131" s="18" t="n">
        <f aca="false">EXP(-'Black-Scholes'!$B$8*'Black-Scholes'!$B$7)*IF(LOWER('Black-Scholes'!$B$11)="put",MAX('Black-Scholes'!$B$6-C1131,0),MAX(C1131-'Black-Scholes'!$B$6,0))</f>
        <v>16.4745692581272</v>
      </c>
      <c r="F1131" s="18" t="n">
        <f aca="false">(E1131+G1131)/2</f>
        <v>8.23728462906361</v>
      </c>
      <c r="G1131" s="18" t="n">
        <f aca="false">EXP(-'Black-Scholes'!$B$8*'Black-Scholes'!$B$7)*IF(LOWER('Black-Scholes'!$B$11)="put",MAX('Black-Scholes'!$B$6-D1131,0),MAX(D1131-'Black-Scholes'!$B$6,0))</f>
        <v>0</v>
      </c>
    </row>
    <row r="1132" customFormat="false" ht="15" hidden="false" customHeight="false" outlineLevel="0" collapsed="false">
      <c r="A1132" s="0" t="n">
        <v>1121</v>
      </c>
      <c r="B1132" s="15" t="n">
        <v>-0.0477740587046468</v>
      </c>
      <c r="C1132" s="18" t="n">
        <f aca="false">'Black-Scholes'!$B$5*EXP(('Black-Scholes'!$B$8-'Black-Scholes'!$B$10-'Black-Scholes'!$B$9^2/2)*'Black-Scholes'!$B$7+'Black-Scholes'!$B$9*SQRT('Black-Scholes'!$B$7)*B1132)</f>
        <v>102.06556227984</v>
      </c>
      <c r="D1132" s="18" t="n">
        <f aca="false">'Black-Scholes'!$B$5*EXP(('Black-Scholes'!$B$8-'Black-Scholes'!$B$10-'Black-Scholes'!$B$9^2/2)*'Black-Scholes'!$B$7-'Black-Scholes'!$B$9*SQRT('Black-Scholes'!$B$7)*B1132)</f>
        <v>104.034752058099</v>
      </c>
      <c r="E1132" s="18" t="n">
        <f aca="false">EXP(-'Black-Scholes'!$B$8*'Black-Scholes'!$B$7)*IF(LOWER('Black-Scholes'!$B$11)="put",MAX('Black-Scholes'!$B$6-C1132,0),MAX(C1132-'Black-Scholes'!$B$6,0))</f>
        <v>1.96482361872249</v>
      </c>
      <c r="F1132" s="18" t="n">
        <f aca="false">(E1132+G1132)/2</f>
        <v>2.9013992484755</v>
      </c>
      <c r="G1132" s="18" t="n">
        <f aca="false">EXP(-'Black-Scholes'!$B$8*'Black-Scholes'!$B$7)*IF(LOWER('Black-Scholes'!$B$11)="put",MAX('Black-Scholes'!$B$6-D1132,0),MAX(D1132-'Black-Scholes'!$B$6,0))</f>
        <v>3.8379748782285</v>
      </c>
    </row>
    <row r="1133" customFormat="false" ht="15" hidden="false" customHeight="false" outlineLevel="0" collapsed="false">
      <c r="A1133" s="0" t="n">
        <v>1122</v>
      </c>
      <c r="B1133" s="15" t="n">
        <v>1.56089949765976</v>
      </c>
      <c r="C1133" s="18" t="n">
        <f aca="false">'Black-Scholes'!$B$5*EXP(('Black-Scholes'!$B$8-'Black-Scholes'!$B$10-'Black-Scholes'!$B$9^2/2)*'Black-Scholes'!$B$7+'Black-Scholes'!$B$9*SQRT('Black-Scholes'!$B$7)*B1133)</f>
        <v>140.801357571436</v>
      </c>
      <c r="D1133" s="18" t="n">
        <f aca="false">'Black-Scholes'!$B$5*EXP(('Black-Scholes'!$B$8-'Black-Scholes'!$B$10-'Black-Scholes'!$B$9^2/2)*'Black-Scholes'!$B$7-'Black-Scholes'!$B$9*SQRT('Black-Scholes'!$B$7)*B1133)</f>
        <v>75.4138003255143</v>
      </c>
      <c r="E1133" s="18" t="n">
        <f aca="false">EXP(-'Black-Scholes'!$B$8*'Black-Scholes'!$B$7)*IF(LOWER('Black-Scholes'!$B$11)="put",MAX('Black-Scholes'!$B$6-C1133,0),MAX(C1133-'Black-Scholes'!$B$6,0))</f>
        <v>38.8114518815247</v>
      </c>
      <c r="F1133" s="18" t="n">
        <f aca="false">(E1133+G1133)/2</f>
        <v>19.4057259407624</v>
      </c>
      <c r="G1133" s="18" t="n">
        <f aca="false">EXP(-'Black-Scholes'!$B$8*'Black-Scholes'!$B$7)*IF(LOWER('Black-Scholes'!$B$11)="put",MAX('Black-Scholes'!$B$6-D1133,0),MAX(D1133-'Black-Scholes'!$B$6,0))</f>
        <v>0</v>
      </c>
    </row>
    <row r="1134" customFormat="false" ht="15" hidden="false" customHeight="false" outlineLevel="0" collapsed="false">
      <c r="A1134" s="0" t="n">
        <v>1123</v>
      </c>
      <c r="B1134" s="15" t="n">
        <v>0.890958756951402</v>
      </c>
      <c r="C1134" s="18" t="n">
        <f aca="false">'Black-Scholes'!$B$5*EXP(('Black-Scholes'!$B$8-'Black-Scholes'!$B$10-'Black-Scholes'!$B$9^2/2)*'Black-Scholes'!$B$7+'Black-Scholes'!$B$9*SQRT('Black-Scholes'!$B$7)*B1134)</f>
        <v>123.14492790223</v>
      </c>
      <c r="D1134" s="18" t="n">
        <f aca="false">'Black-Scholes'!$B$5*EXP(('Black-Scholes'!$B$8-'Black-Scholes'!$B$10-'Black-Scholes'!$B$9^2/2)*'Black-Scholes'!$B$7-'Black-Scholes'!$B$9*SQRT('Black-Scholes'!$B$7)*B1134)</f>
        <v>86.2265758430911</v>
      </c>
      <c r="E1134" s="18" t="n">
        <f aca="false">EXP(-'Black-Scholes'!$B$8*'Black-Scholes'!$B$7)*IF(LOWER('Black-Scholes'!$B$11)="put",MAX('Black-Scholes'!$B$6-C1134,0),MAX(C1134-'Black-Scholes'!$B$6,0))</f>
        <v>22.0161364485484</v>
      </c>
      <c r="F1134" s="18" t="n">
        <f aca="false">(E1134+G1134)/2</f>
        <v>11.0080682242742</v>
      </c>
      <c r="G1134" s="18" t="n">
        <f aca="false">EXP(-'Black-Scholes'!$B$8*'Black-Scholes'!$B$7)*IF(LOWER('Black-Scholes'!$B$11)="put",MAX('Black-Scholes'!$B$6-D1134,0),MAX(D1134-'Black-Scholes'!$B$6,0))</f>
        <v>0</v>
      </c>
    </row>
    <row r="1135" customFormat="false" ht="15" hidden="false" customHeight="false" outlineLevel="0" collapsed="false">
      <c r="A1135" s="0" t="n">
        <v>1124</v>
      </c>
      <c r="B1135" s="15" t="n">
        <v>-0.117984542993353</v>
      </c>
      <c r="C1135" s="18" t="n">
        <f aca="false">'Black-Scholes'!$B$5*EXP(('Black-Scholes'!$B$8-'Black-Scholes'!$B$10-'Black-Scholes'!$B$9^2/2)*'Black-Scholes'!$B$7+'Black-Scholes'!$B$9*SQRT('Black-Scholes'!$B$7)*B1135)</f>
        <v>100.642363501522</v>
      </c>
      <c r="D1135" s="18" t="n">
        <f aca="false">'Black-Scholes'!$B$5*EXP(('Black-Scholes'!$B$8-'Black-Scholes'!$B$10-'Black-Scholes'!$B$9^2/2)*'Black-Scholes'!$B$7-'Black-Scholes'!$B$9*SQRT('Black-Scholes'!$B$7)*B1135)</f>
        <v>105.505923112518</v>
      </c>
      <c r="E1135" s="18" t="n">
        <f aca="false">EXP(-'Black-Scholes'!$B$8*'Black-Scholes'!$B$7)*IF(LOWER('Black-Scholes'!$B$11)="put",MAX('Black-Scholes'!$B$6-C1135,0),MAX(C1135-'Black-Scholes'!$B$6,0))</f>
        <v>0.611035063872602</v>
      </c>
      <c r="F1135" s="18" t="n">
        <f aca="false">(E1135+G1135)/2</f>
        <v>2.92421556876903</v>
      </c>
      <c r="G1135" s="18" t="n">
        <f aca="false">EXP(-'Black-Scholes'!$B$8*'Black-Scholes'!$B$7)*IF(LOWER('Black-Scholes'!$B$11)="put",MAX('Black-Scholes'!$B$6-D1135,0),MAX(D1135-'Black-Scholes'!$B$6,0))</f>
        <v>5.23739607366545</v>
      </c>
    </row>
    <row r="1136" customFormat="false" ht="15" hidden="false" customHeight="false" outlineLevel="0" collapsed="false">
      <c r="A1136" s="0" t="n">
        <v>1125</v>
      </c>
      <c r="B1136" s="15" t="n">
        <v>0.664512082850784</v>
      </c>
      <c r="C1136" s="18" t="n">
        <f aca="false">'Black-Scholes'!$B$5*EXP(('Black-Scholes'!$B$8-'Black-Scholes'!$B$10-'Black-Scholes'!$B$9^2/2)*'Black-Scholes'!$B$7+'Black-Scholes'!$B$9*SQRT('Black-Scholes'!$B$7)*B1136)</f>
        <v>117.692183601524</v>
      </c>
      <c r="D1136" s="18" t="n">
        <f aca="false">'Black-Scholes'!$B$5*EXP(('Black-Scholes'!$B$8-'Black-Scholes'!$B$10-'Black-Scholes'!$B$9^2/2)*'Black-Scholes'!$B$7-'Black-Scholes'!$B$9*SQRT('Black-Scholes'!$B$7)*B1136)</f>
        <v>90.2215010421146</v>
      </c>
      <c r="E1136" s="18" t="n">
        <f aca="false">EXP(-'Black-Scholes'!$B$8*'Black-Scholes'!$B$7)*IF(LOWER('Black-Scholes'!$B$11)="put",MAX('Black-Scholes'!$B$6-C1136,0),MAX(C1136-'Black-Scholes'!$B$6,0))</f>
        <v>16.8293256254382</v>
      </c>
      <c r="F1136" s="18" t="n">
        <f aca="false">(E1136+G1136)/2</f>
        <v>8.41466281271908</v>
      </c>
      <c r="G1136" s="18" t="n">
        <f aca="false">EXP(-'Black-Scholes'!$B$8*'Black-Scholes'!$B$7)*IF(LOWER('Black-Scholes'!$B$11)="put",MAX('Black-Scholes'!$B$6-D1136,0),MAX(D1136-'Black-Scholes'!$B$6,0))</f>
        <v>0</v>
      </c>
    </row>
    <row r="1137" customFormat="false" ht="15" hidden="false" customHeight="false" outlineLevel="0" collapsed="false">
      <c r="A1137" s="0" t="n">
        <v>1126</v>
      </c>
      <c r="B1137" s="15" t="n">
        <v>-0.221931539381207</v>
      </c>
      <c r="C1137" s="18" t="n">
        <f aca="false">'Black-Scholes'!$B$5*EXP(('Black-Scholes'!$B$8-'Black-Scholes'!$B$10-'Black-Scholes'!$B$9^2/2)*'Black-Scholes'!$B$7+'Black-Scholes'!$B$9*SQRT('Black-Scholes'!$B$7)*B1137)</f>
        <v>98.5716680584827</v>
      </c>
      <c r="D1137" s="18" t="n">
        <f aca="false">'Black-Scholes'!$B$5*EXP(('Black-Scholes'!$B$8-'Black-Scholes'!$B$10-'Black-Scholes'!$B$9^2/2)*'Black-Scholes'!$B$7-'Black-Scholes'!$B$9*SQRT('Black-Scholes'!$B$7)*B1137)</f>
        <v>107.722286480469</v>
      </c>
      <c r="E1137" s="18" t="n">
        <f aca="false">EXP(-'Black-Scholes'!$B$8*'Black-Scholes'!$B$7)*IF(LOWER('Black-Scholes'!$B$11)="put",MAX('Black-Scholes'!$B$6-C1137,0),MAX(C1137-'Black-Scholes'!$B$6,0))</f>
        <v>0</v>
      </c>
      <c r="F1137" s="18" t="n">
        <f aca="false">(E1137+G1137)/2</f>
        <v>3.67283306232325</v>
      </c>
      <c r="G1137" s="18" t="n">
        <f aca="false">EXP(-'Black-Scholes'!$B$8*'Black-Scholes'!$B$7)*IF(LOWER('Black-Scholes'!$B$11)="put",MAX('Black-Scholes'!$B$6-D1137,0),MAX(D1137-'Black-Scholes'!$B$6,0))</f>
        <v>7.34566612464649</v>
      </c>
    </row>
    <row r="1138" customFormat="false" ht="15" hidden="false" customHeight="false" outlineLevel="0" collapsed="false">
      <c r="A1138" s="0" t="n">
        <v>1127</v>
      </c>
      <c r="B1138" s="15" t="n">
        <v>-0.551003750675289</v>
      </c>
      <c r="C1138" s="18" t="n">
        <f aca="false">'Black-Scholes'!$B$5*EXP(('Black-Scholes'!$B$8-'Black-Scholes'!$B$10-'Black-Scholes'!$B$9^2/2)*'Black-Scholes'!$B$7+'Black-Scholes'!$B$9*SQRT('Black-Scholes'!$B$7)*B1138)</f>
        <v>92.2931049255259</v>
      </c>
      <c r="D1138" s="18" t="n">
        <f aca="false">'Black-Scholes'!$B$5*EXP(('Black-Scholes'!$B$8-'Black-Scholes'!$B$10-'Black-Scholes'!$B$9^2/2)*'Black-Scholes'!$B$7-'Black-Scholes'!$B$9*SQRT('Black-Scholes'!$B$7)*B1138)</f>
        <v>115.050473965762</v>
      </c>
      <c r="E1138" s="18" t="n">
        <f aca="false">EXP(-'Black-Scholes'!$B$8*'Black-Scholes'!$B$7)*IF(LOWER('Black-Scholes'!$B$11)="put",MAX('Black-Scholes'!$B$6-C1138,0),MAX(C1138-'Black-Scholes'!$B$6,0))</f>
        <v>0</v>
      </c>
      <c r="F1138" s="18" t="n">
        <f aca="false">(E1138+G1138)/2</f>
        <v>7.15822684445758</v>
      </c>
      <c r="G1138" s="18" t="n">
        <f aca="false">EXP(-'Black-Scholes'!$B$8*'Black-Scholes'!$B$7)*IF(LOWER('Black-Scholes'!$B$11)="put",MAX('Black-Scholes'!$B$6-D1138,0),MAX(D1138-'Black-Scholes'!$B$6,0))</f>
        <v>14.3164536889152</v>
      </c>
    </row>
    <row r="1139" customFormat="false" ht="15" hidden="false" customHeight="false" outlineLevel="0" collapsed="false">
      <c r="A1139" s="0" t="n">
        <v>1128</v>
      </c>
      <c r="B1139" s="15" t="n">
        <v>0.0927404085680903</v>
      </c>
      <c r="C1139" s="18" t="n">
        <f aca="false">'Black-Scholes'!$B$5*EXP(('Black-Scholes'!$B$8-'Black-Scholes'!$B$10-'Black-Scholes'!$B$9^2/2)*'Black-Scholes'!$B$7+'Black-Scholes'!$B$9*SQRT('Black-Scholes'!$B$7)*B1139)</f>
        <v>104.974584418597</v>
      </c>
      <c r="D1139" s="18" t="n">
        <f aca="false">'Black-Scholes'!$B$5*EXP(('Black-Scholes'!$B$8-'Black-Scholes'!$B$10-'Black-Scholes'!$B$9^2/2)*'Black-Scholes'!$B$7-'Black-Scholes'!$B$9*SQRT('Black-Scholes'!$B$7)*B1139)</f>
        <v>101.151774253392</v>
      </c>
      <c r="E1139" s="18" t="n">
        <f aca="false">EXP(-'Black-Scholes'!$B$8*'Black-Scholes'!$B$7)*IF(LOWER('Black-Scholes'!$B$11)="put",MAX('Black-Scholes'!$B$6-C1139,0),MAX(C1139-'Black-Scholes'!$B$6,0))</f>
        <v>4.73197107363209</v>
      </c>
      <c r="F1139" s="18" t="n">
        <f aca="false">(E1139+G1139)/2</f>
        <v>2.91378631692067</v>
      </c>
      <c r="G1139" s="18" t="n">
        <f aca="false">EXP(-'Black-Scholes'!$B$8*'Black-Scholes'!$B$7)*IF(LOWER('Black-Scholes'!$B$11)="put",MAX('Black-Scholes'!$B$6-D1139,0),MAX(D1139-'Black-Scholes'!$B$6,0))</f>
        <v>1.09560156020925</v>
      </c>
    </row>
    <row r="1140" customFormat="false" ht="15" hidden="false" customHeight="false" outlineLevel="0" collapsed="false">
      <c r="A1140" s="0" t="n">
        <v>1129</v>
      </c>
      <c r="B1140" s="15" t="n">
        <v>-0.382622938123312</v>
      </c>
      <c r="C1140" s="18" t="n">
        <f aca="false">'Black-Scholes'!$B$5*EXP(('Black-Scholes'!$B$8-'Black-Scholes'!$B$10-'Black-Scholes'!$B$9^2/2)*'Black-Scholes'!$B$7+'Black-Scholes'!$B$9*SQRT('Black-Scholes'!$B$7)*B1140)</f>
        <v>95.4541090383378</v>
      </c>
      <c r="D1140" s="18" t="n">
        <f aca="false">'Black-Scholes'!$B$5*EXP(('Black-Scholes'!$B$8-'Black-Scholes'!$B$10-'Black-Scholes'!$B$9^2/2)*'Black-Scholes'!$B$7-'Black-Scholes'!$B$9*SQRT('Black-Scholes'!$B$7)*B1140)</f>
        <v>111.240527751287</v>
      </c>
      <c r="E1140" s="18" t="n">
        <f aca="false">EXP(-'Black-Scholes'!$B$8*'Black-Scholes'!$B$7)*IF(LOWER('Black-Scholes'!$B$11)="put",MAX('Black-Scholes'!$B$6-C1140,0),MAX(C1140-'Black-Scholes'!$B$6,0))</f>
        <v>0</v>
      </c>
      <c r="F1140" s="18" t="n">
        <f aca="false">(E1140+G1140)/2</f>
        <v>5.34616037197054</v>
      </c>
      <c r="G1140" s="18" t="n">
        <f aca="false">EXP(-'Black-Scholes'!$B$8*'Black-Scholes'!$B$7)*IF(LOWER('Black-Scholes'!$B$11)="put",MAX('Black-Scholes'!$B$6-D1140,0),MAX(D1140-'Black-Scholes'!$B$6,0))</f>
        <v>10.6923207439411</v>
      </c>
    </row>
    <row r="1141" customFormat="false" ht="15" hidden="false" customHeight="false" outlineLevel="0" collapsed="false">
      <c r="A1141" s="0" t="n">
        <v>1130</v>
      </c>
      <c r="B1141" s="15" t="n">
        <v>0.105356288213471</v>
      </c>
      <c r="C1141" s="18" t="n">
        <f aca="false">'Black-Scholes'!$B$5*EXP(('Black-Scholes'!$B$8-'Black-Scholes'!$B$10-'Black-Scholes'!$B$9^2/2)*'Black-Scholes'!$B$7+'Black-Scholes'!$B$9*SQRT('Black-Scholes'!$B$7)*B1141)</f>
        <v>105.239788200366</v>
      </c>
      <c r="D1141" s="18" t="n">
        <f aca="false">'Black-Scholes'!$B$5*EXP(('Black-Scholes'!$B$8-'Black-Scholes'!$B$10-'Black-Scholes'!$B$9^2/2)*'Black-Scholes'!$B$7-'Black-Scholes'!$B$9*SQRT('Black-Scholes'!$B$7)*B1141)</f>
        <v>100.89687224795</v>
      </c>
      <c r="E1141" s="18" t="n">
        <f aca="false">EXP(-'Black-Scholes'!$B$8*'Black-Scholes'!$B$7)*IF(LOWER('Black-Scholes'!$B$11)="put",MAX('Black-Scholes'!$B$6-C1141,0),MAX(C1141-'Black-Scholes'!$B$6,0))</f>
        <v>4.98424071433982</v>
      </c>
      <c r="F1141" s="18" t="n">
        <f aca="false">(E1141+G1141)/2</f>
        <v>2.91868599330374</v>
      </c>
      <c r="G1141" s="18" t="n">
        <f aca="false">EXP(-'Black-Scholes'!$B$8*'Black-Scholes'!$B$7)*IF(LOWER('Black-Scholes'!$B$11)="put",MAX('Black-Scholes'!$B$6-D1141,0),MAX(D1141-'Black-Scholes'!$B$6,0))</f>
        <v>0.853131272267667</v>
      </c>
    </row>
    <row r="1142" customFormat="false" ht="15" hidden="false" customHeight="false" outlineLevel="0" collapsed="false">
      <c r="A1142" s="0" t="n">
        <v>1131</v>
      </c>
      <c r="B1142" s="15" t="n">
        <v>0.111713695867358</v>
      </c>
      <c r="C1142" s="18" t="n">
        <f aca="false">'Black-Scholes'!$B$5*EXP(('Black-Scholes'!$B$8-'Black-Scholes'!$B$10-'Black-Scholes'!$B$9^2/2)*'Black-Scholes'!$B$7+'Black-Scholes'!$B$9*SQRT('Black-Scholes'!$B$7)*B1142)</f>
        <v>105.373683752188</v>
      </c>
      <c r="D1142" s="18" t="n">
        <f aca="false">'Black-Scholes'!$B$5*EXP(('Black-Scholes'!$B$8-'Black-Scholes'!$B$10-'Black-Scholes'!$B$9^2/2)*'Black-Scholes'!$B$7-'Black-Scholes'!$B$9*SQRT('Black-Scholes'!$B$7)*B1142)</f>
        <v>100.768665262053</v>
      </c>
      <c r="E1142" s="18" t="n">
        <f aca="false">EXP(-'Black-Scholes'!$B$8*'Black-Scholes'!$B$7)*IF(LOWER('Black-Scholes'!$B$11)="put",MAX('Black-Scholes'!$B$6-C1142,0),MAX(C1142-'Black-Scholes'!$B$6,0))</f>
        <v>5.11160610304229</v>
      </c>
      <c r="F1142" s="18" t="n">
        <f aca="false">(E1142+G1142)/2</f>
        <v>2.92139155894918</v>
      </c>
      <c r="G1142" s="18" t="n">
        <f aca="false">EXP(-'Black-Scholes'!$B$8*'Black-Scholes'!$B$7)*IF(LOWER('Black-Scholes'!$B$11)="put",MAX('Black-Scholes'!$B$6-D1142,0),MAX(D1142-'Black-Scholes'!$B$6,0))</f>
        <v>0.73117701485606</v>
      </c>
    </row>
    <row r="1143" customFormat="false" ht="15" hidden="false" customHeight="false" outlineLevel="0" collapsed="false">
      <c r="A1143" s="0" t="n">
        <v>1132</v>
      </c>
      <c r="B1143" s="15" t="n">
        <v>0.135460464376927</v>
      </c>
      <c r="C1143" s="18" t="n">
        <f aca="false">'Black-Scholes'!$B$5*EXP(('Black-Scholes'!$B$8-'Black-Scholes'!$B$10-'Black-Scholes'!$B$9^2/2)*'Black-Scholes'!$B$7+'Black-Scholes'!$B$9*SQRT('Black-Scholes'!$B$7)*B1143)</f>
        <v>105.875330954254</v>
      </c>
      <c r="D1143" s="18" t="n">
        <f aca="false">'Black-Scholes'!$B$5*EXP(('Black-Scholes'!$B$8-'Black-Scholes'!$B$10-'Black-Scholes'!$B$9^2/2)*'Black-Scholes'!$B$7-'Black-Scholes'!$B$9*SQRT('Black-Scholes'!$B$7)*B1143)</f>
        <v>100.291213918769</v>
      </c>
      <c r="E1143" s="18" t="n">
        <f aca="false">EXP(-'Black-Scholes'!$B$8*'Black-Scholes'!$B$7)*IF(LOWER('Black-Scholes'!$B$11)="put",MAX('Black-Scholes'!$B$6-C1143,0),MAX(C1143-'Black-Scholes'!$B$6,0))</f>
        <v>5.58878768236649</v>
      </c>
      <c r="F1143" s="18" t="n">
        <f aca="false">(E1143+G1143)/2</f>
        <v>2.93289946536195</v>
      </c>
      <c r="G1143" s="18" t="n">
        <f aca="false">EXP(-'Black-Scholes'!$B$8*'Black-Scholes'!$B$7)*IF(LOWER('Black-Scholes'!$B$11)="put",MAX('Black-Scholes'!$B$6-D1143,0),MAX(D1143-'Black-Scholes'!$B$6,0))</f>
        <v>0.277011248357412</v>
      </c>
    </row>
    <row r="1144" customFormat="false" ht="15" hidden="false" customHeight="false" outlineLevel="0" collapsed="false">
      <c r="A1144" s="0" t="n">
        <v>1133</v>
      </c>
      <c r="B1144" s="15" t="n">
        <v>-0.568129879687261</v>
      </c>
      <c r="C1144" s="18" t="n">
        <f aca="false">'Black-Scholes'!$B$5*EXP(('Black-Scholes'!$B$8-'Black-Scholes'!$B$10-'Black-Scholes'!$B$9^2/2)*'Black-Scholes'!$B$7+'Black-Scholes'!$B$9*SQRT('Black-Scholes'!$B$7)*B1144)</f>
        <v>91.977520982824</v>
      </c>
      <c r="D1144" s="18" t="n">
        <f aca="false">'Black-Scholes'!$B$5*EXP(('Black-Scholes'!$B$8-'Black-Scholes'!$B$10-'Black-Scholes'!$B$9^2/2)*'Black-Scholes'!$B$7-'Black-Scholes'!$B$9*SQRT('Black-Scholes'!$B$7)*B1144)</f>
        <v>115.445223484948</v>
      </c>
      <c r="E1144" s="18" t="n">
        <f aca="false">EXP(-'Black-Scholes'!$B$8*'Black-Scholes'!$B$7)*IF(LOWER('Black-Scholes'!$B$11)="put",MAX('Black-Scholes'!$B$6-C1144,0),MAX(C1144-'Black-Scholes'!$B$6,0))</f>
        <v>0</v>
      </c>
      <c r="F1144" s="18" t="n">
        <f aca="false">(E1144+G1144)/2</f>
        <v>7.34597552343596</v>
      </c>
      <c r="G1144" s="18" t="n">
        <f aca="false">EXP(-'Black-Scholes'!$B$8*'Black-Scholes'!$B$7)*IF(LOWER('Black-Scholes'!$B$11)="put",MAX('Black-Scholes'!$B$6-D1144,0),MAX(D1144-'Black-Scholes'!$B$6,0))</f>
        <v>14.6919510468719</v>
      </c>
    </row>
    <row r="1145" customFormat="false" ht="15" hidden="false" customHeight="false" outlineLevel="0" collapsed="false">
      <c r="A1145" s="0" t="n">
        <v>1134</v>
      </c>
      <c r="B1145" s="15" t="n">
        <v>-0.435421163586669</v>
      </c>
      <c r="C1145" s="18" t="n">
        <f aca="false">'Black-Scholes'!$B$5*EXP(('Black-Scholes'!$B$8-'Black-Scholes'!$B$10-'Black-Scholes'!$B$9^2/2)*'Black-Scholes'!$B$7+'Black-Scholes'!$B$9*SQRT('Black-Scholes'!$B$7)*B1145)</f>
        <v>94.4514506992208</v>
      </c>
      <c r="D1145" s="18" t="n">
        <f aca="false">'Black-Scholes'!$B$5*EXP(('Black-Scholes'!$B$8-'Black-Scholes'!$B$10-'Black-Scholes'!$B$9^2/2)*'Black-Scholes'!$B$7-'Black-Scholes'!$B$9*SQRT('Black-Scholes'!$B$7)*B1145)</f>
        <v>112.421412131272</v>
      </c>
      <c r="E1145" s="18" t="n">
        <f aca="false">EXP(-'Black-Scholes'!$B$8*'Black-Scholes'!$B$7)*IF(LOWER('Black-Scholes'!$B$11)="put",MAX('Black-Scholes'!$B$6-C1145,0),MAX(C1145-'Black-Scholes'!$B$6,0))</f>
        <v>0</v>
      </c>
      <c r="F1145" s="18" t="n">
        <f aca="false">(E1145+G1145)/2</f>
        <v>5.90780635655793</v>
      </c>
      <c r="G1145" s="18" t="n">
        <f aca="false">EXP(-'Black-Scholes'!$B$8*'Black-Scholes'!$B$7)*IF(LOWER('Black-Scholes'!$B$11)="put",MAX('Black-Scholes'!$B$6-D1145,0),MAX(D1145-'Black-Scholes'!$B$6,0))</f>
        <v>11.8156127131159</v>
      </c>
    </row>
    <row r="1146" customFormat="false" ht="15" hidden="false" customHeight="false" outlineLevel="0" collapsed="false">
      <c r="A1146" s="0" t="n">
        <v>1135</v>
      </c>
      <c r="B1146" s="15" t="n">
        <v>0.238510366281639</v>
      </c>
      <c r="C1146" s="18" t="n">
        <f aca="false">'Black-Scholes'!$B$5*EXP(('Black-Scholes'!$B$8-'Black-Scholes'!$B$10-'Black-Scholes'!$B$9^2/2)*'Black-Scholes'!$B$7+'Black-Scholes'!$B$9*SQRT('Black-Scholes'!$B$7)*B1146)</f>
        <v>108.080061129252</v>
      </c>
      <c r="D1146" s="18" t="n">
        <f aca="false">'Black-Scholes'!$B$5*EXP(('Black-Scholes'!$B$8-'Black-Scholes'!$B$10-'Black-Scholes'!$B$9^2/2)*'Black-Scholes'!$B$7-'Black-Scholes'!$B$9*SQRT('Black-Scholes'!$B$7)*B1146)</f>
        <v>98.2453687989238</v>
      </c>
      <c r="E1146" s="18" t="n">
        <f aca="false">EXP(-'Black-Scholes'!$B$8*'Black-Scholes'!$B$7)*IF(LOWER('Black-Scholes'!$B$11)="put",MAX('Black-Scholes'!$B$6-C1146,0),MAX(C1146-'Black-Scholes'!$B$6,0))</f>
        <v>7.68599189790903</v>
      </c>
      <c r="F1146" s="18" t="n">
        <f aca="false">(E1146+G1146)/2</f>
        <v>3.84299594895451</v>
      </c>
      <c r="G1146" s="18" t="n">
        <f aca="false">EXP(-'Black-Scholes'!$B$8*'Black-Scholes'!$B$7)*IF(LOWER('Black-Scholes'!$B$11)="put",MAX('Black-Scholes'!$B$6-D1146,0),MAX(D1146-'Black-Scholes'!$B$6,0))</f>
        <v>0</v>
      </c>
    </row>
    <row r="1147" customFormat="false" ht="15" hidden="false" customHeight="false" outlineLevel="0" collapsed="false">
      <c r="A1147" s="0" t="n">
        <v>1136</v>
      </c>
      <c r="B1147" s="15" t="n">
        <v>2.53891551872967</v>
      </c>
      <c r="C1147" s="18" t="n">
        <f aca="false">'Black-Scholes'!$B$5*EXP(('Black-Scholes'!$B$8-'Black-Scholes'!$B$10-'Black-Scholes'!$B$9^2/2)*'Black-Scholes'!$B$7+'Black-Scholes'!$B$9*SQRT('Black-Scholes'!$B$7)*B1147)</f>
        <v>171.220686665435</v>
      </c>
      <c r="D1147" s="18" t="n">
        <f aca="false">'Black-Scholes'!$B$5*EXP(('Black-Scholes'!$B$8-'Black-Scholes'!$B$10-'Black-Scholes'!$B$9^2/2)*'Black-Scholes'!$B$7-'Black-Scholes'!$B$9*SQRT('Black-Scholes'!$B$7)*B1147)</f>
        <v>62.0156692059169</v>
      </c>
      <c r="E1147" s="18" t="n">
        <f aca="false">EXP(-'Black-Scholes'!$B$8*'Black-Scholes'!$B$7)*IF(LOWER('Black-Scholes'!$B$11)="put",MAX('Black-Scholes'!$B$6-C1147,0),MAX(C1147-'Black-Scholes'!$B$6,0))</f>
        <v>67.7472127893078</v>
      </c>
      <c r="F1147" s="18" t="n">
        <f aca="false">(E1147+G1147)/2</f>
        <v>33.8736063946539</v>
      </c>
      <c r="G1147" s="18" t="n">
        <f aca="false">EXP(-'Black-Scholes'!$B$8*'Black-Scholes'!$B$7)*IF(LOWER('Black-Scholes'!$B$11)="put",MAX('Black-Scholes'!$B$6-D1147,0),MAX(D1147-'Black-Scholes'!$B$6,0))</f>
        <v>0</v>
      </c>
    </row>
    <row r="1148" customFormat="false" ht="15" hidden="false" customHeight="false" outlineLevel="0" collapsed="false">
      <c r="A1148" s="0" t="n">
        <v>1137</v>
      </c>
      <c r="B1148" s="15" t="n">
        <v>-0.517787212311347</v>
      </c>
      <c r="C1148" s="18" t="n">
        <f aca="false">'Black-Scholes'!$B$5*EXP(('Black-Scholes'!$B$8-'Black-Scholes'!$B$10-'Black-Scholes'!$B$9^2/2)*'Black-Scholes'!$B$7+'Black-Scholes'!$B$9*SQRT('Black-Scholes'!$B$7)*B1148)</f>
        <v>92.9082775456398</v>
      </c>
      <c r="D1148" s="18" t="n">
        <f aca="false">'Black-Scholes'!$B$5*EXP(('Black-Scholes'!$B$8-'Black-Scholes'!$B$10-'Black-Scholes'!$B$9^2/2)*'Black-Scholes'!$B$7-'Black-Scholes'!$B$9*SQRT('Black-Scholes'!$B$7)*B1148)</f>
        <v>114.288691448805</v>
      </c>
      <c r="E1148" s="18" t="n">
        <f aca="false">EXP(-'Black-Scholes'!$B$8*'Black-Scholes'!$B$7)*IF(LOWER('Black-Scholes'!$B$11)="put",MAX('Black-Scholes'!$B$6-C1148,0),MAX(C1148-'Black-Scholes'!$B$6,0))</f>
        <v>0</v>
      </c>
      <c r="F1148" s="18" t="n">
        <f aca="false">(E1148+G1148)/2</f>
        <v>6.79591187185769</v>
      </c>
      <c r="G1148" s="18" t="n">
        <f aca="false">EXP(-'Black-Scholes'!$B$8*'Black-Scholes'!$B$7)*IF(LOWER('Black-Scholes'!$B$11)="put",MAX('Black-Scholes'!$B$6-D1148,0),MAX(D1148-'Black-Scholes'!$B$6,0))</f>
        <v>13.5918237437154</v>
      </c>
    </row>
    <row r="1149" customFormat="false" ht="15" hidden="false" customHeight="false" outlineLevel="0" collapsed="false">
      <c r="A1149" s="0" t="n">
        <v>1138</v>
      </c>
      <c r="B1149" s="15" t="n">
        <v>0.381230962874505</v>
      </c>
      <c r="C1149" s="18" t="n">
        <f aca="false">'Black-Scholes'!$B$5*EXP(('Black-Scholes'!$B$8-'Black-Scholes'!$B$10-'Black-Scholes'!$B$9^2/2)*'Black-Scholes'!$B$7+'Black-Scholes'!$B$9*SQRT('Black-Scholes'!$B$7)*B1149)</f>
        <v>111.20956324941</v>
      </c>
      <c r="D1149" s="18" t="n">
        <f aca="false">'Black-Scholes'!$B$5*EXP(('Black-Scholes'!$B$8-'Black-Scholes'!$B$10-'Black-Scholes'!$B$9^2/2)*'Black-Scholes'!$B$7-'Black-Scholes'!$B$9*SQRT('Black-Scholes'!$B$7)*B1149)</f>
        <v>95.4806866891451</v>
      </c>
      <c r="E1149" s="18" t="n">
        <f aca="false">EXP(-'Black-Scholes'!$B$8*'Black-Scholes'!$B$7)*IF(LOWER('Black-Scholes'!$B$11)="put",MAX('Black-Scholes'!$B$6-C1149,0),MAX(C1149-'Black-Scholes'!$B$6,0))</f>
        <v>10.6628663986408</v>
      </c>
      <c r="F1149" s="18" t="n">
        <f aca="false">(E1149+G1149)/2</f>
        <v>5.33143319932042</v>
      </c>
      <c r="G1149" s="18" t="n">
        <f aca="false">EXP(-'Black-Scholes'!$B$8*'Black-Scholes'!$B$7)*IF(LOWER('Black-Scholes'!$B$11)="put",MAX('Black-Scholes'!$B$6-D1149,0),MAX(D1149-'Black-Scholes'!$B$6,0))</f>
        <v>0</v>
      </c>
    </row>
    <row r="1150" customFormat="false" ht="15" hidden="false" customHeight="false" outlineLevel="0" collapsed="false">
      <c r="A1150" s="0" t="n">
        <v>1139</v>
      </c>
      <c r="B1150" s="15" t="n">
        <v>-1.2480950237819</v>
      </c>
      <c r="C1150" s="18" t="n">
        <f aca="false">'Black-Scholes'!$B$5*EXP(('Black-Scholes'!$B$8-'Black-Scholes'!$B$10-'Black-Scholes'!$B$9^2/2)*'Black-Scholes'!$B$7+'Black-Scholes'!$B$9*SQRT('Black-Scholes'!$B$7)*B1150)</f>
        <v>80.2824612060578</v>
      </c>
      <c r="D1150" s="18" t="n">
        <f aca="false">'Black-Scholes'!$B$5*EXP(('Black-Scholes'!$B$8-'Black-Scholes'!$B$10-'Black-Scholes'!$B$9^2/2)*'Black-Scholes'!$B$7-'Black-Scholes'!$B$9*SQRT('Black-Scholes'!$B$7)*B1150)</f>
        <v>132.262580219107</v>
      </c>
      <c r="E1150" s="18" t="n">
        <f aca="false">EXP(-'Black-Scholes'!$B$8*'Black-Scholes'!$B$7)*IF(LOWER('Black-Scholes'!$B$11)="put",MAX('Black-Scholes'!$B$6-C1150,0),MAX(C1150-'Black-Scholes'!$B$6,0))</f>
        <v>0</v>
      </c>
      <c r="F1150" s="18" t="n">
        <f aca="false">(E1150+G1150)/2</f>
        <v>15.3445578073648</v>
      </c>
      <c r="G1150" s="18" t="n">
        <f aca="false">EXP(-'Black-Scholes'!$B$8*'Black-Scholes'!$B$7)*IF(LOWER('Black-Scholes'!$B$11)="put",MAX('Black-Scholes'!$B$6-D1150,0),MAX(D1150-'Black-Scholes'!$B$6,0))</f>
        <v>30.6891156147297</v>
      </c>
    </row>
    <row r="1151" customFormat="false" ht="15" hidden="false" customHeight="false" outlineLevel="0" collapsed="false">
      <c r="A1151" s="0" t="n">
        <v>1140</v>
      </c>
      <c r="B1151" s="15" t="n">
        <v>-0.759799148438303</v>
      </c>
      <c r="C1151" s="18" t="n">
        <f aca="false">'Black-Scholes'!$B$5*EXP(('Black-Scholes'!$B$8-'Black-Scholes'!$B$10-'Black-Scholes'!$B$9^2/2)*'Black-Scholes'!$B$7+'Black-Scholes'!$B$9*SQRT('Black-Scholes'!$B$7)*B1151)</f>
        <v>88.5183925903228</v>
      </c>
      <c r="D1151" s="18" t="n">
        <f aca="false">'Black-Scholes'!$B$5*EXP(('Black-Scholes'!$B$8-'Black-Scholes'!$B$10-'Black-Scholes'!$B$9^2/2)*'Black-Scholes'!$B$7-'Black-Scholes'!$B$9*SQRT('Black-Scholes'!$B$7)*B1151)</f>
        <v>119.956600597088</v>
      </c>
      <c r="E1151" s="18" t="n">
        <f aca="false">EXP(-'Black-Scholes'!$B$8*'Black-Scholes'!$B$7)*IF(LOWER('Black-Scholes'!$B$11)="put",MAX('Black-Scholes'!$B$6-C1151,0),MAX(C1151-'Black-Scholes'!$B$6,0))</f>
        <v>0</v>
      </c>
      <c r="F1151" s="18" t="n">
        <f aca="false">(E1151+G1151)/2</f>
        <v>9.49165285047938</v>
      </c>
      <c r="G1151" s="18" t="n">
        <f aca="false">EXP(-'Black-Scholes'!$B$8*'Black-Scholes'!$B$7)*IF(LOWER('Black-Scholes'!$B$11)="put",MAX('Black-Scholes'!$B$6-D1151,0),MAX(D1151-'Black-Scholes'!$B$6,0))</f>
        <v>18.9833057009588</v>
      </c>
    </row>
    <row r="1152" customFormat="false" ht="15" hidden="false" customHeight="false" outlineLevel="0" collapsed="false">
      <c r="A1152" s="0" t="n">
        <v>1141</v>
      </c>
      <c r="B1152" s="15" t="n">
        <v>0.298531113242472</v>
      </c>
      <c r="C1152" s="18" t="n">
        <f aca="false">'Black-Scholes'!$B$5*EXP(('Black-Scholes'!$B$8-'Black-Scholes'!$B$10-'Black-Scholes'!$B$9^2/2)*'Black-Scholes'!$B$7+'Black-Scholes'!$B$9*SQRT('Black-Scholes'!$B$7)*B1152)</f>
        <v>109.385288729386</v>
      </c>
      <c r="D1152" s="18" t="n">
        <f aca="false">'Black-Scholes'!$B$5*EXP(('Black-Scholes'!$B$8-'Black-Scholes'!$B$10-'Black-Scholes'!$B$9^2/2)*'Black-Scholes'!$B$7-'Black-Scholes'!$B$9*SQRT('Black-Scholes'!$B$7)*B1152)</f>
        <v>97.0730670348451</v>
      </c>
      <c r="E1152" s="18" t="n">
        <f aca="false">EXP(-'Black-Scholes'!$B$8*'Black-Scholes'!$B$7)*IF(LOWER('Black-Scholes'!$B$11)="put",MAX('Black-Scholes'!$B$6-C1152,0),MAX(C1152-'Black-Scholes'!$B$6,0))</f>
        <v>8.92756279682713</v>
      </c>
      <c r="F1152" s="18" t="n">
        <f aca="false">(E1152+G1152)/2</f>
        <v>4.46378139841357</v>
      </c>
      <c r="G1152" s="18" t="n">
        <f aca="false">EXP(-'Black-Scholes'!$B$8*'Black-Scholes'!$B$7)*IF(LOWER('Black-Scholes'!$B$11)="put",MAX('Black-Scholes'!$B$6-D1152,0),MAX(D1152-'Black-Scholes'!$B$6,0))</f>
        <v>0</v>
      </c>
    </row>
    <row r="1153" customFormat="false" ht="15" hidden="false" customHeight="false" outlineLevel="0" collapsed="false">
      <c r="A1153" s="0" t="n">
        <v>1142</v>
      </c>
      <c r="B1153" s="15" t="n">
        <v>0.365330543106466</v>
      </c>
      <c r="C1153" s="18" t="n">
        <f aca="false">'Black-Scholes'!$B$5*EXP(('Black-Scholes'!$B$8-'Black-Scholes'!$B$10-'Black-Scholes'!$B$9^2/2)*'Black-Scholes'!$B$7+'Black-Scholes'!$B$9*SQRT('Black-Scholes'!$B$7)*B1153)</f>
        <v>110.856469233708</v>
      </c>
      <c r="D1153" s="18" t="n">
        <f aca="false">'Black-Scholes'!$B$5*EXP(('Black-Scholes'!$B$8-'Black-Scholes'!$B$10-'Black-Scholes'!$B$9^2/2)*'Black-Scholes'!$B$7-'Black-Scholes'!$B$9*SQRT('Black-Scholes'!$B$7)*B1153)</f>
        <v>95.784806595887</v>
      </c>
      <c r="E1153" s="18" t="n">
        <f aca="false">EXP(-'Black-Scholes'!$B$8*'Black-Scholes'!$B$7)*IF(LOWER('Black-Scholes'!$B$11)="put",MAX('Black-Scholes'!$B$6-C1153,0),MAX(C1153-'Black-Scholes'!$B$6,0))</f>
        <v>10.3269929812895</v>
      </c>
      <c r="F1153" s="18" t="n">
        <f aca="false">(E1153+G1153)/2</f>
        <v>5.16349649064477</v>
      </c>
      <c r="G1153" s="18" t="n">
        <f aca="false">EXP(-'Black-Scholes'!$B$8*'Black-Scholes'!$B$7)*IF(LOWER('Black-Scholes'!$B$11)="put",MAX('Black-Scholes'!$B$6-D1153,0),MAX(D1153-'Black-Scholes'!$B$6,0))</f>
        <v>0</v>
      </c>
    </row>
    <row r="1154" customFormat="false" ht="15" hidden="false" customHeight="false" outlineLevel="0" collapsed="false">
      <c r="A1154" s="0" t="n">
        <v>1143</v>
      </c>
      <c r="B1154" s="15" t="n">
        <v>-0.757987466025589</v>
      </c>
      <c r="C1154" s="18" t="n">
        <f aca="false">'Black-Scholes'!$B$5*EXP(('Black-Scholes'!$B$8-'Black-Scholes'!$B$10-'Black-Scholes'!$B$9^2/2)*'Black-Scholes'!$B$7+'Black-Scholes'!$B$9*SQRT('Black-Scholes'!$B$7)*B1154)</f>
        <v>88.5504718447254</v>
      </c>
      <c r="D1154" s="18" t="n">
        <f aca="false">'Black-Scholes'!$B$5*EXP(('Black-Scholes'!$B$8-'Black-Scholes'!$B$10-'Black-Scholes'!$B$9^2/2)*'Black-Scholes'!$B$7-'Black-Scholes'!$B$9*SQRT('Black-Scholes'!$B$7)*B1154)</f>
        <v>119.913143817834</v>
      </c>
      <c r="E1154" s="18" t="n">
        <f aca="false">EXP(-'Black-Scholes'!$B$8*'Black-Scholes'!$B$7)*IF(LOWER('Black-Scholes'!$B$11)="put",MAX('Black-Scholes'!$B$6-C1154,0),MAX(C1154-'Black-Scholes'!$B$6,0))</f>
        <v>0</v>
      </c>
      <c r="F1154" s="18" t="n">
        <f aca="false">(E1154+G1154)/2</f>
        <v>9.47098416691896</v>
      </c>
      <c r="G1154" s="18" t="n">
        <f aca="false">EXP(-'Black-Scholes'!$B$8*'Black-Scholes'!$B$7)*IF(LOWER('Black-Scholes'!$B$11)="put",MAX('Black-Scholes'!$B$6-D1154,0),MAX(D1154-'Black-Scholes'!$B$6,0))</f>
        <v>18.9419683338379</v>
      </c>
    </row>
    <row r="1155" customFormat="false" ht="15" hidden="false" customHeight="false" outlineLevel="0" collapsed="false">
      <c r="A1155" s="0" t="n">
        <v>1144</v>
      </c>
      <c r="B1155" s="15" t="n">
        <v>-0.237097935560862</v>
      </c>
      <c r="C1155" s="18" t="n">
        <f aca="false">'Black-Scholes'!$B$5*EXP(('Black-Scholes'!$B$8-'Black-Scholes'!$B$10-'Black-Scholes'!$B$9^2/2)*'Black-Scholes'!$B$7+'Black-Scholes'!$B$9*SQRT('Black-Scholes'!$B$7)*B1155)</f>
        <v>98.2731256746187</v>
      </c>
      <c r="D1155" s="18" t="n">
        <f aca="false">'Black-Scholes'!$B$5*EXP(('Black-Scholes'!$B$8-'Black-Scholes'!$B$10-'Black-Scholes'!$B$9^2/2)*'Black-Scholes'!$B$7-'Black-Scholes'!$B$9*SQRT('Black-Scholes'!$B$7)*B1155)</f>
        <v>108.049534321427</v>
      </c>
      <c r="E1155" s="18" t="n">
        <f aca="false">EXP(-'Black-Scholes'!$B$8*'Black-Scholes'!$B$7)*IF(LOWER('Black-Scholes'!$B$11)="put",MAX('Black-Scholes'!$B$6-C1155,0),MAX(C1155-'Black-Scholes'!$B$6,0))</f>
        <v>0</v>
      </c>
      <c r="F1155" s="18" t="n">
        <f aca="false">(E1155+G1155)/2</f>
        <v>3.82847695003474</v>
      </c>
      <c r="G1155" s="18" t="n">
        <f aca="false">EXP(-'Black-Scholes'!$B$8*'Black-Scholes'!$B$7)*IF(LOWER('Black-Scholes'!$B$11)="put",MAX('Black-Scholes'!$B$6-D1155,0),MAX(D1155-'Black-Scholes'!$B$6,0))</f>
        <v>7.65695390006947</v>
      </c>
    </row>
    <row r="1156" customFormat="false" ht="15" hidden="false" customHeight="false" outlineLevel="0" collapsed="false">
      <c r="A1156" s="0" t="n">
        <v>1145</v>
      </c>
      <c r="B1156" s="15" t="n">
        <v>-1.92136873062451</v>
      </c>
      <c r="C1156" s="18" t="n">
        <f aca="false">'Black-Scholes'!$B$5*EXP(('Black-Scholes'!$B$8-'Black-Scholes'!$B$10-'Black-Scholes'!$B$9^2/2)*'Black-Scholes'!$B$7+'Black-Scholes'!$B$9*SQRT('Black-Scholes'!$B$7)*B1156)</f>
        <v>70.1682858098697</v>
      </c>
      <c r="D1156" s="18" t="n">
        <f aca="false">'Black-Scholes'!$B$5*EXP(('Black-Scholes'!$B$8-'Black-Scholes'!$B$10-'Black-Scholes'!$B$9^2/2)*'Black-Scholes'!$B$7-'Black-Scholes'!$B$9*SQRT('Black-Scholes'!$B$7)*B1156)</f>
        <v>151.327132235002</v>
      </c>
      <c r="E1156" s="18" t="n">
        <f aca="false">EXP(-'Black-Scholes'!$B$8*'Black-Scholes'!$B$7)*IF(LOWER('Black-Scholes'!$B$11)="put",MAX('Black-Scholes'!$B$6-C1156,0),MAX(C1156-'Black-Scholes'!$B$6,0))</f>
        <v>0</v>
      </c>
      <c r="F1156" s="18" t="n">
        <f aca="false">(E1156+G1156)/2</f>
        <v>24.4119392285867</v>
      </c>
      <c r="G1156" s="18" t="n">
        <f aca="false">EXP(-'Black-Scholes'!$B$8*'Black-Scholes'!$B$7)*IF(LOWER('Black-Scholes'!$B$11)="put",MAX('Black-Scholes'!$B$6-D1156,0),MAX(D1156-'Black-Scholes'!$B$6,0))</f>
        <v>48.8238784571733</v>
      </c>
    </row>
    <row r="1157" customFormat="false" ht="15" hidden="false" customHeight="false" outlineLevel="0" collapsed="false">
      <c r="A1157" s="0" t="n">
        <v>1146</v>
      </c>
      <c r="B1157" s="15" t="n">
        <v>0.450694625488394</v>
      </c>
      <c r="C1157" s="18" t="n">
        <f aca="false">'Black-Scholes'!$B$5*EXP(('Black-Scholes'!$B$8-'Black-Scholes'!$B$10-'Black-Scholes'!$B$9^2/2)*'Black-Scholes'!$B$7+'Black-Scholes'!$B$9*SQRT('Black-Scholes'!$B$7)*B1157)</f>
        <v>112.765350007057</v>
      </c>
      <c r="D1157" s="18" t="n">
        <f aca="false">'Black-Scholes'!$B$5*EXP(('Black-Scholes'!$B$8-'Black-Scholes'!$B$10-'Black-Scholes'!$B$9^2/2)*'Black-Scholes'!$B$7-'Black-Scholes'!$B$9*SQRT('Black-Scholes'!$B$7)*B1157)</f>
        <v>94.1633707942123</v>
      </c>
      <c r="E1157" s="18" t="n">
        <f aca="false">EXP(-'Black-Scholes'!$B$8*'Black-Scholes'!$B$7)*IF(LOWER('Black-Scholes'!$B$11)="put",MAX('Black-Scholes'!$B$6-C1157,0),MAX(C1157-'Black-Scholes'!$B$6,0))</f>
        <v>12.1427765407626</v>
      </c>
      <c r="F1157" s="18" t="n">
        <f aca="false">(E1157+G1157)/2</f>
        <v>6.07138827038129</v>
      </c>
      <c r="G1157" s="18" t="n">
        <f aca="false">EXP(-'Black-Scholes'!$B$8*'Black-Scholes'!$B$7)*IF(LOWER('Black-Scholes'!$B$11)="put",MAX('Black-Scholes'!$B$6-D1157,0),MAX(D1157-'Black-Scholes'!$B$6,0))</f>
        <v>0</v>
      </c>
    </row>
    <row r="1158" customFormat="false" ht="15" hidden="false" customHeight="false" outlineLevel="0" collapsed="false">
      <c r="A1158" s="0" t="n">
        <v>1147</v>
      </c>
      <c r="B1158" s="15" t="n">
        <v>0.459800713375649</v>
      </c>
      <c r="C1158" s="18" t="n">
        <f aca="false">'Black-Scholes'!$B$5*EXP(('Black-Scholes'!$B$8-'Black-Scholes'!$B$10-'Black-Scholes'!$B$9^2/2)*'Black-Scholes'!$B$7+'Black-Scholes'!$B$9*SQRT('Black-Scholes'!$B$7)*B1158)</f>
        <v>112.970907370142</v>
      </c>
      <c r="D1158" s="18" t="n">
        <f aca="false">'Black-Scholes'!$B$5*EXP(('Black-Scholes'!$B$8-'Black-Scholes'!$B$10-'Black-Scholes'!$B$9^2/2)*'Black-Scholes'!$B$7-'Black-Scholes'!$B$9*SQRT('Black-Scholes'!$B$7)*B1158)</f>
        <v>93.992034875521</v>
      </c>
      <c r="E1158" s="18" t="n">
        <f aca="false">EXP(-'Black-Scholes'!$B$8*'Black-Scholes'!$B$7)*IF(LOWER('Black-Scholes'!$B$11)="put",MAX('Black-Scholes'!$B$6-C1158,0),MAX(C1158-'Black-Scholes'!$B$6,0))</f>
        <v>12.3383087529519</v>
      </c>
      <c r="F1158" s="18" t="n">
        <f aca="false">(E1158+G1158)/2</f>
        <v>6.16915437647593</v>
      </c>
      <c r="G1158" s="18" t="n">
        <f aca="false">EXP(-'Black-Scholes'!$B$8*'Black-Scholes'!$B$7)*IF(LOWER('Black-Scholes'!$B$11)="put",MAX('Black-Scholes'!$B$6-D1158,0),MAX(D1158-'Black-Scholes'!$B$6,0))</f>
        <v>0</v>
      </c>
    </row>
    <row r="1159" customFormat="false" ht="15" hidden="false" customHeight="false" outlineLevel="0" collapsed="false">
      <c r="A1159" s="0" t="n">
        <v>1148</v>
      </c>
      <c r="B1159" s="15" t="n">
        <v>-0.0765882361677856</v>
      </c>
      <c r="C1159" s="18" t="n">
        <f aca="false">'Black-Scholes'!$B$5*EXP(('Black-Scholes'!$B$8-'Black-Scholes'!$B$10-'Black-Scholes'!$B$9^2/2)*'Black-Scholes'!$B$7+'Black-Scholes'!$B$9*SQRT('Black-Scholes'!$B$7)*B1159)</f>
        <v>101.479066796591</v>
      </c>
      <c r="D1159" s="18" t="n">
        <f aca="false">'Black-Scholes'!$B$5*EXP(('Black-Scholes'!$B$8-'Black-Scholes'!$B$10-'Black-Scholes'!$B$9^2/2)*'Black-Scholes'!$B$7-'Black-Scholes'!$B$9*SQRT('Black-Scholes'!$B$7)*B1159)</f>
        <v>104.636018054221</v>
      </c>
      <c r="E1159" s="18" t="n">
        <f aca="false">EXP(-'Black-Scholes'!$B$8*'Black-Scholes'!$B$7)*IF(LOWER('Black-Scholes'!$B$11)="put",MAX('Black-Scholes'!$B$6-C1159,0),MAX(C1159-'Black-Scholes'!$B$6,0))</f>
        <v>1.40693185771926</v>
      </c>
      <c r="F1159" s="18" t="n">
        <f aca="false">(E1159+G1159)/2</f>
        <v>2.90842432170548</v>
      </c>
      <c r="G1159" s="18" t="n">
        <f aca="false">EXP(-'Black-Scholes'!$B$8*'Black-Scholes'!$B$7)*IF(LOWER('Black-Scholes'!$B$11)="put",MAX('Black-Scholes'!$B$6-D1159,0),MAX(D1159-'Black-Scholes'!$B$6,0))</f>
        <v>4.4099167856917</v>
      </c>
    </row>
    <row r="1160" customFormat="false" ht="15" hidden="false" customHeight="false" outlineLevel="0" collapsed="false">
      <c r="A1160" s="0" t="n">
        <v>1149</v>
      </c>
      <c r="B1160" s="15" t="n">
        <v>0.155274819041087</v>
      </c>
      <c r="C1160" s="18" t="n">
        <f aca="false">'Black-Scholes'!$B$5*EXP(('Black-Scholes'!$B$8-'Black-Scholes'!$B$10-'Black-Scholes'!$B$9^2/2)*'Black-Scholes'!$B$7+'Black-Scholes'!$B$9*SQRT('Black-Scholes'!$B$7)*B1160)</f>
        <v>106.295733676482</v>
      </c>
      <c r="D1160" s="18" t="n">
        <f aca="false">'Black-Scholes'!$B$5*EXP(('Black-Scholes'!$B$8-'Black-Scholes'!$B$10-'Black-Scholes'!$B$9^2/2)*'Black-Scholes'!$B$7-'Black-Scholes'!$B$9*SQRT('Black-Scholes'!$B$7)*B1160)</f>
        <v>99.8945592470466</v>
      </c>
      <c r="E1160" s="18" t="n">
        <f aca="false">EXP(-'Black-Scholes'!$B$8*'Black-Scholes'!$B$7)*IF(LOWER('Black-Scholes'!$B$11)="put",MAX('Black-Scholes'!$B$6-C1160,0),MAX(C1160-'Black-Scholes'!$B$6,0))</f>
        <v>5.98868712188956</v>
      </c>
      <c r="F1160" s="18" t="n">
        <f aca="false">(E1160+G1160)/2</f>
        <v>2.99434356094478</v>
      </c>
      <c r="G1160" s="18" t="n">
        <f aca="false">EXP(-'Black-Scholes'!$B$8*'Black-Scholes'!$B$7)*IF(LOWER('Black-Scholes'!$B$11)="put",MAX('Black-Scholes'!$B$6-D1160,0),MAX(D1160-'Black-Scholes'!$B$6,0))</f>
        <v>0</v>
      </c>
    </row>
    <row r="1161" customFormat="false" ht="15" hidden="false" customHeight="false" outlineLevel="0" collapsed="false">
      <c r="A1161" s="0" t="n">
        <v>1150</v>
      </c>
      <c r="B1161" s="15" t="n">
        <v>0.911100207795041</v>
      </c>
      <c r="C1161" s="18" t="n">
        <f aca="false">'Black-Scholes'!$B$5*EXP(('Black-Scholes'!$B$8-'Black-Scholes'!$B$10-'Black-Scholes'!$B$9^2/2)*'Black-Scholes'!$B$7+'Black-Scholes'!$B$9*SQRT('Black-Scholes'!$B$7)*B1161)</f>
        <v>123.641991891458</v>
      </c>
      <c r="D1161" s="18" t="n">
        <f aca="false">'Black-Scholes'!$B$5*EXP(('Black-Scholes'!$B$8-'Black-Scholes'!$B$10-'Black-Scholes'!$B$9^2/2)*'Black-Scholes'!$B$7-'Black-Scholes'!$B$9*SQRT('Black-Scholes'!$B$7)*B1161)</f>
        <v>85.8799288414505</v>
      </c>
      <c r="E1161" s="18" t="n">
        <f aca="false">EXP(-'Black-Scholes'!$B$8*'Black-Scholes'!$B$7)*IF(LOWER('Black-Scholes'!$B$11)="put",MAX('Black-Scholes'!$B$6-C1161,0),MAX(C1161-'Black-Scholes'!$B$6,0))</f>
        <v>22.4889583409619</v>
      </c>
      <c r="F1161" s="18" t="n">
        <f aca="false">(E1161+G1161)/2</f>
        <v>11.244479170481</v>
      </c>
      <c r="G1161" s="18" t="n">
        <f aca="false">EXP(-'Black-Scholes'!$B$8*'Black-Scholes'!$B$7)*IF(LOWER('Black-Scholes'!$B$11)="put",MAX('Black-Scholes'!$B$6-D1161,0),MAX(D1161-'Black-Scholes'!$B$6,0))</f>
        <v>0</v>
      </c>
    </row>
    <row r="1162" customFormat="false" ht="15" hidden="false" customHeight="false" outlineLevel="0" collapsed="false">
      <c r="A1162" s="0" t="n">
        <v>1151</v>
      </c>
      <c r="B1162" s="15" t="n">
        <v>-0.459517421829749</v>
      </c>
      <c r="C1162" s="18" t="n">
        <f aca="false">'Black-Scholes'!$B$5*EXP(('Black-Scholes'!$B$8-'Black-Scholes'!$B$10-'Black-Scholes'!$B$9^2/2)*'Black-Scholes'!$B$7+'Black-Scholes'!$B$9*SQRT('Black-Scholes'!$B$7)*B1162)</f>
        <v>93.9973604561612</v>
      </c>
      <c r="D1162" s="18" t="n">
        <f aca="false">'Black-Scholes'!$B$5*EXP(('Black-Scholes'!$B$8-'Black-Scholes'!$B$10-'Black-Scholes'!$B$9^2/2)*'Black-Scholes'!$B$7-'Black-Scholes'!$B$9*SQRT('Black-Scholes'!$B$7)*B1162)</f>
        <v>112.964506810868</v>
      </c>
      <c r="E1162" s="18" t="n">
        <f aca="false">EXP(-'Black-Scholes'!$B$8*'Black-Scholes'!$B$7)*IF(LOWER('Black-Scholes'!$B$11)="put",MAX('Black-Scholes'!$B$6-C1162,0),MAX(C1162-'Black-Scholes'!$B$6,0))</f>
        <v>0</v>
      </c>
      <c r="F1162" s="18" t="n">
        <f aca="false">(E1162+G1162)/2</f>
        <v>6.1661101763186</v>
      </c>
      <c r="G1162" s="18" t="n">
        <f aca="false">EXP(-'Black-Scholes'!$B$8*'Black-Scholes'!$B$7)*IF(LOWER('Black-Scholes'!$B$11)="put",MAX('Black-Scholes'!$B$6-D1162,0),MAX(D1162-'Black-Scholes'!$B$6,0))</f>
        <v>12.3322203526372</v>
      </c>
    </row>
    <row r="1163" customFormat="false" ht="15" hidden="false" customHeight="false" outlineLevel="0" collapsed="false">
      <c r="A1163" s="0" t="n">
        <v>1152</v>
      </c>
      <c r="B1163" s="15" t="n">
        <v>-0.545762464135973</v>
      </c>
      <c r="C1163" s="18" t="n">
        <f aca="false">'Black-Scholes'!$B$5*EXP(('Black-Scholes'!$B$8-'Black-Scholes'!$B$10-'Black-Scholes'!$B$9^2/2)*'Black-Scholes'!$B$7+'Black-Scholes'!$B$9*SQRT('Black-Scholes'!$B$7)*B1163)</f>
        <v>92.3899025727862</v>
      </c>
      <c r="D1163" s="18" t="n">
        <f aca="false">'Black-Scholes'!$B$5*EXP(('Black-Scholes'!$B$8-'Black-Scholes'!$B$10-'Black-Scholes'!$B$9^2/2)*'Black-Scholes'!$B$7-'Black-Scholes'!$B$9*SQRT('Black-Scholes'!$B$7)*B1163)</f>
        <v>114.929934654799</v>
      </c>
      <c r="E1163" s="18" t="n">
        <f aca="false">EXP(-'Black-Scholes'!$B$8*'Black-Scholes'!$B$7)*IF(LOWER('Black-Scholes'!$B$11)="put",MAX('Black-Scholes'!$B$6-C1163,0),MAX(C1163-'Black-Scholes'!$B$6,0))</f>
        <v>0</v>
      </c>
      <c r="F1163" s="18" t="n">
        <f aca="false">(E1163+G1163)/2</f>
        <v>7.100896574759</v>
      </c>
      <c r="G1163" s="18" t="n">
        <f aca="false">EXP(-'Black-Scholes'!$B$8*'Black-Scholes'!$B$7)*IF(LOWER('Black-Scholes'!$B$11)="put",MAX('Black-Scholes'!$B$6-D1163,0),MAX(D1163-'Black-Scholes'!$B$6,0))</f>
        <v>14.201793149518</v>
      </c>
    </row>
    <row r="1164" customFormat="false" ht="15" hidden="false" customHeight="false" outlineLevel="0" collapsed="false">
      <c r="A1164" s="0" t="n">
        <v>1153</v>
      </c>
      <c r="B1164" s="15" t="n">
        <v>-1.92863787183387</v>
      </c>
      <c r="C1164" s="18" t="n">
        <f aca="false">'Black-Scholes'!$B$5*EXP(('Black-Scholes'!$B$8-'Black-Scholes'!$B$10-'Black-Scholes'!$B$9^2/2)*'Black-Scholes'!$B$7+'Black-Scholes'!$B$9*SQRT('Black-Scholes'!$B$7)*B1164)</f>
        <v>70.0663472927781</v>
      </c>
      <c r="D1164" s="18" t="n">
        <f aca="false">'Black-Scholes'!$B$5*EXP(('Black-Scholes'!$B$8-'Black-Scholes'!$B$10-'Black-Scholes'!$B$9^2/2)*'Black-Scholes'!$B$7-'Black-Scholes'!$B$9*SQRT('Black-Scholes'!$B$7)*B1164)</f>
        <v>151.547295894902</v>
      </c>
      <c r="E1164" s="18" t="n">
        <f aca="false">EXP(-'Black-Scholes'!$B$8*'Black-Scholes'!$B$7)*IF(LOWER('Black-Scholes'!$B$11)="put",MAX('Black-Scholes'!$B$6-C1164,0),MAX(C1164-'Black-Scholes'!$B$6,0))</f>
        <v>0</v>
      </c>
      <c r="F1164" s="18" t="n">
        <f aca="false">(E1164+G1164)/2</f>
        <v>24.5166523043378</v>
      </c>
      <c r="G1164" s="18" t="n">
        <f aca="false">EXP(-'Black-Scholes'!$B$8*'Black-Scholes'!$B$7)*IF(LOWER('Black-Scholes'!$B$11)="put",MAX('Black-Scholes'!$B$6-D1164,0),MAX(D1164-'Black-Scholes'!$B$6,0))</f>
        <v>49.0333046086756</v>
      </c>
    </row>
    <row r="1165" customFormat="false" ht="15" hidden="false" customHeight="false" outlineLevel="0" collapsed="false">
      <c r="A1165" s="0" t="n">
        <v>1154</v>
      </c>
      <c r="B1165" s="15" t="n">
        <v>0.270218601692393</v>
      </c>
      <c r="C1165" s="18" t="n">
        <f aca="false">'Black-Scholes'!$B$5*EXP(('Black-Scholes'!$B$8-'Black-Scholes'!$B$10-'Black-Scholes'!$B$9^2/2)*'Black-Scholes'!$B$7+'Black-Scholes'!$B$9*SQRT('Black-Scholes'!$B$7)*B1165)</f>
        <v>108.76764463517</v>
      </c>
      <c r="D1165" s="18" t="n">
        <f aca="false">'Black-Scholes'!$B$5*EXP(('Black-Scholes'!$B$8-'Black-Scholes'!$B$10-'Black-Scholes'!$B$9^2/2)*'Black-Scholes'!$B$7-'Black-Scholes'!$B$9*SQRT('Black-Scholes'!$B$7)*B1165)</f>
        <v>97.6243027149283</v>
      </c>
      <c r="E1165" s="18" t="n">
        <f aca="false">EXP(-'Black-Scholes'!$B$8*'Black-Scholes'!$B$7)*IF(LOWER('Black-Scholes'!$B$11)="put",MAX('Black-Scholes'!$B$6-C1165,0),MAX(C1165-'Black-Scholes'!$B$6,0))</f>
        <v>8.34004156053967</v>
      </c>
      <c r="F1165" s="18" t="n">
        <f aca="false">(E1165+G1165)/2</f>
        <v>4.17002078026983</v>
      </c>
      <c r="G1165" s="18" t="n">
        <f aca="false">EXP(-'Black-Scholes'!$B$8*'Black-Scholes'!$B$7)*IF(LOWER('Black-Scholes'!$B$11)="put",MAX('Black-Scholes'!$B$6-D1165,0),MAX(D1165-'Black-Scholes'!$B$6,0))</f>
        <v>0</v>
      </c>
    </row>
    <row r="1166" customFormat="false" ht="15" hidden="false" customHeight="false" outlineLevel="0" collapsed="false">
      <c r="A1166" s="0" t="n">
        <v>1155</v>
      </c>
      <c r="B1166" s="15" t="n">
        <v>2.06446313869823</v>
      </c>
      <c r="C1166" s="18" t="n">
        <f aca="false">'Black-Scholes'!$B$5*EXP(('Black-Scholes'!$B$8-'Black-Scholes'!$B$10-'Black-Scholes'!$B$9^2/2)*'Black-Scholes'!$B$7+'Black-Scholes'!$B$9*SQRT('Black-Scholes'!$B$7)*B1166)</f>
        <v>155.720512473103</v>
      </c>
      <c r="D1166" s="18" t="n">
        <f aca="false">'Black-Scholes'!$B$5*EXP(('Black-Scholes'!$B$8-'Black-Scholes'!$B$10-'Black-Scholes'!$B$9^2/2)*'Black-Scholes'!$B$7-'Black-Scholes'!$B$9*SQRT('Black-Scholes'!$B$7)*B1166)</f>
        <v>68.1886111008509</v>
      </c>
      <c r="E1166" s="18" t="n">
        <f aca="false">EXP(-'Black-Scholes'!$B$8*'Black-Scholes'!$B$7)*IF(LOWER('Black-Scholes'!$B$11)="put",MAX('Black-Scholes'!$B$6-C1166,0),MAX(C1166-'Black-Scholes'!$B$6,0))</f>
        <v>53.0029910126743</v>
      </c>
      <c r="F1166" s="18" t="n">
        <f aca="false">(E1166+G1166)/2</f>
        <v>26.5014955063371</v>
      </c>
      <c r="G1166" s="18" t="n">
        <f aca="false">EXP(-'Black-Scholes'!$B$8*'Black-Scholes'!$B$7)*IF(LOWER('Black-Scholes'!$B$11)="put",MAX('Black-Scholes'!$B$6-D1166,0),MAX(D1166-'Black-Scholes'!$B$6,0))</f>
        <v>0</v>
      </c>
    </row>
    <row r="1167" customFormat="false" ht="15" hidden="false" customHeight="false" outlineLevel="0" collapsed="false">
      <c r="A1167" s="0" t="n">
        <v>1156</v>
      </c>
      <c r="B1167" s="15" t="n">
        <v>0.806804408713053</v>
      </c>
      <c r="C1167" s="18" t="n">
        <f aca="false">'Black-Scholes'!$B$5*EXP(('Black-Scholes'!$B$8-'Black-Scholes'!$B$10-'Black-Scholes'!$B$9^2/2)*'Black-Scholes'!$B$7+'Black-Scholes'!$B$9*SQRT('Black-Scholes'!$B$7)*B1167)</f>
        <v>121.089636362968</v>
      </c>
      <c r="D1167" s="18" t="n">
        <f aca="false">'Black-Scholes'!$B$5*EXP(('Black-Scholes'!$B$8-'Black-Scholes'!$B$10-'Black-Scholes'!$B$9^2/2)*'Black-Scholes'!$B$7-'Black-Scholes'!$B$9*SQRT('Black-Scholes'!$B$7)*B1167)</f>
        <v>87.6901259627607</v>
      </c>
      <c r="E1167" s="18" t="n">
        <f aca="false">EXP(-'Black-Scholes'!$B$8*'Black-Scholes'!$B$7)*IF(LOWER('Black-Scholes'!$B$11)="put",MAX('Black-Scholes'!$B$6-C1167,0),MAX(C1167-'Black-Scholes'!$B$6,0))</f>
        <v>20.0610826604758</v>
      </c>
      <c r="F1167" s="18" t="n">
        <f aca="false">(E1167+G1167)/2</f>
        <v>10.0305413302379</v>
      </c>
      <c r="G1167" s="18" t="n">
        <f aca="false">EXP(-'Black-Scholes'!$B$8*'Black-Scholes'!$B$7)*IF(LOWER('Black-Scholes'!$B$11)="put",MAX('Black-Scholes'!$B$6-D1167,0),MAX(D1167-'Black-Scholes'!$B$6,0))</f>
        <v>0</v>
      </c>
    </row>
    <row r="1168" customFormat="false" ht="15" hidden="false" customHeight="false" outlineLevel="0" collapsed="false">
      <c r="A1168" s="0" t="n">
        <v>1157</v>
      </c>
      <c r="B1168" s="15" t="n">
        <v>-0.0377193235849173</v>
      </c>
      <c r="C1168" s="18" t="n">
        <f aca="false">'Black-Scholes'!$B$5*EXP(('Black-Scholes'!$B$8-'Black-Scholes'!$B$10-'Black-Scholes'!$B$9^2/2)*'Black-Scholes'!$B$7+'Black-Scholes'!$B$9*SQRT('Black-Scholes'!$B$7)*B1168)</f>
        <v>102.271017228826</v>
      </c>
      <c r="D1168" s="18" t="n">
        <f aca="false">'Black-Scholes'!$B$5*EXP(('Black-Scholes'!$B$8-'Black-Scholes'!$B$10-'Black-Scholes'!$B$9^2/2)*'Black-Scholes'!$B$7-'Black-Scholes'!$B$9*SQRT('Black-Scholes'!$B$7)*B1168)</f>
        <v>103.825753895608</v>
      </c>
      <c r="E1168" s="18" t="n">
        <f aca="false">EXP(-'Black-Scholes'!$B$8*'Black-Scholes'!$B$7)*IF(LOWER('Black-Scholes'!$B$11)="put",MAX('Black-Scholes'!$B$6-C1168,0),MAX(C1168-'Black-Scholes'!$B$6,0))</f>
        <v>2.16025841160763</v>
      </c>
      <c r="F1168" s="18" t="n">
        <f aca="false">(E1168+G1168)/2</f>
        <v>2.89971404400406</v>
      </c>
      <c r="G1168" s="18" t="n">
        <f aca="false">EXP(-'Black-Scholes'!$B$8*'Black-Scholes'!$B$7)*IF(LOWER('Black-Scholes'!$B$11)="put",MAX('Black-Scholes'!$B$6-D1168,0),MAX(D1168-'Black-Scholes'!$B$6,0))</f>
        <v>3.6391696764005</v>
      </c>
    </row>
    <row r="1169" customFormat="false" ht="15" hidden="false" customHeight="false" outlineLevel="0" collapsed="false">
      <c r="A1169" s="0" t="n">
        <v>1158</v>
      </c>
      <c r="B1169" s="15" t="n">
        <v>-0.354883856432446</v>
      </c>
      <c r="C1169" s="18" t="n">
        <f aca="false">'Black-Scholes'!$B$5*EXP(('Black-Scholes'!$B$8-'Black-Scholes'!$B$10-'Black-Scholes'!$B$9^2/2)*'Black-Scholes'!$B$7+'Black-Scholes'!$B$9*SQRT('Black-Scholes'!$B$7)*B1169)</f>
        <v>95.9851425802629</v>
      </c>
      <c r="D1169" s="18" t="n">
        <f aca="false">'Black-Scholes'!$B$5*EXP(('Black-Scholes'!$B$8-'Black-Scholes'!$B$10-'Black-Scholes'!$B$9^2/2)*'Black-Scholes'!$B$7-'Black-Scholes'!$B$9*SQRT('Black-Scholes'!$B$7)*B1169)</f>
        <v>110.62509446787</v>
      </c>
      <c r="E1169" s="18" t="n">
        <f aca="false">EXP(-'Black-Scholes'!$B$8*'Black-Scholes'!$B$7)*IF(LOWER('Black-Scholes'!$B$11)="put",MAX('Black-Scholes'!$B$6-C1169,0),MAX(C1169-'Black-Scholes'!$B$6,0))</f>
        <v>0</v>
      </c>
      <c r="F1169" s="18" t="n">
        <f aca="false">(E1169+G1169)/2</f>
        <v>5.05345124796908</v>
      </c>
      <c r="G1169" s="18" t="n">
        <f aca="false">EXP(-'Black-Scholes'!$B$8*'Black-Scholes'!$B$7)*IF(LOWER('Black-Scholes'!$B$11)="put",MAX('Black-Scholes'!$B$6-D1169,0),MAX(D1169-'Black-Scholes'!$B$6,0))</f>
        <v>10.1069024959382</v>
      </c>
    </row>
    <row r="1170" customFormat="false" ht="15" hidden="false" customHeight="false" outlineLevel="0" collapsed="false">
      <c r="A1170" s="0" t="n">
        <v>1159</v>
      </c>
      <c r="B1170" s="15" t="n">
        <v>-1.19545927341441</v>
      </c>
      <c r="C1170" s="18" t="n">
        <f aca="false">'Black-Scholes'!$B$5*EXP(('Black-Scholes'!$B$8-'Black-Scholes'!$B$10-'Black-Scholes'!$B$9^2/2)*'Black-Scholes'!$B$7+'Black-Scholes'!$B$9*SQRT('Black-Scholes'!$B$7)*B1170)</f>
        <v>81.132070861423</v>
      </c>
      <c r="D1170" s="18" t="n">
        <f aca="false">'Black-Scholes'!$B$5*EXP(('Black-Scholes'!$B$8-'Black-Scholes'!$B$10-'Black-Scholes'!$B$9^2/2)*'Black-Scholes'!$B$7-'Black-Scholes'!$B$9*SQRT('Black-Scholes'!$B$7)*B1170)</f>
        <v>130.877535267037</v>
      </c>
      <c r="E1170" s="18" t="n">
        <f aca="false">EXP(-'Black-Scholes'!$B$8*'Black-Scholes'!$B$7)*IF(LOWER('Black-Scholes'!$B$11)="put",MAX('Black-Scholes'!$B$6-C1170,0),MAX(C1170-'Black-Scholes'!$B$6,0))</f>
        <v>0</v>
      </c>
      <c r="F1170" s="18" t="n">
        <f aca="false">(E1170+G1170)/2</f>
        <v>14.6858100510318</v>
      </c>
      <c r="G1170" s="18" t="n">
        <f aca="false">EXP(-'Black-Scholes'!$B$8*'Black-Scholes'!$B$7)*IF(LOWER('Black-Scholes'!$B$11)="put",MAX('Black-Scholes'!$B$6-D1170,0),MAX(D1170-'Black-Scholes'!$B$6,0))</f>
        <v>29.3716201020637</v>
      </c>
    </row>
    <row r="1171" customFormat="false" ht="15" hidden="false" customHeight="false" outlineLevel="0" collapsed="false">
      <c r="A1171" s="0" t="n">
        <v>1160</v>
      </c>
      <c r="B1171" s="15" t="n">
        <v>-2.46997007077902</v>
      </c>
      <c r="C1171" s="18" t="n">
        <f aca="false">'Black-Scholes'!$B$5*EXP(('Black-Scholes'!$B$8-'Black-Scholes'!$B$10-'Black-Scholes'!$B$9^2/2)*'Black-Scholes'!$B$7+'Black-Scholes'!$B$9*SQRT('Black-Scholes'!$B$7)*B1171)</f>
        <v>62.8767318159036</v>
      </c>
      <c r="D1171" s="18" t="n">
        <f aca="false">'Black-Scholes'!$B$5*EXP(('Black-Scholes'!$B$8-'Black-Scholes'!$B$10-'Black-Scholes'!$B$9^2/2)*'Black-Scholes'!$B$7-'Black-Scholes'!$B$9*SQRT('Black-Scholes'!$B$7)*B1171)</f>
        <v>168.87591257992</v>
      </c>
      <c r="E1171" s="18" t="n">
        <f aca="false">EXP(-'Black-Scholes'!$B$8*'Black-Scholes'!$B$7)*IF(LOWER('Black-Scholes'!$B$11)="put",MAX('Black-Scholes'!$B$6-C1171,0),MAX(C1171-'Black-Scholes'!$B$6,0))</f>
        <v>0</v>
      </c>
      <c r="F1171" s="18" t="n">
        <f aca="false">(E1171+G1171)/2</f>
        <v>32.7583973426793</v>
      </c>
      <c r="G1171" s="18" t="n">
        <f aca="false">EXP(-'Black-Scholes'!$B$8*'Black-Scholes'!$B$7)*IF(LOWER('Black-Scholes'!$B$11)="put",MAX('Black-Scholes'!$B$6-D1171,0),MAX(D1171-'Black-Scholes'!$B$6,0))</f>
        <v>65.5167946853587</v>
      </c>
    </row>
    <row r="1172" customFormat="false" ht="15" hidden="false" customHeight="false" outlineLevel="0" collapsed="false">
      <c r="A1172" s="0" t="n">
        <v>1161</v>
      </c>
      <c r="B1172" s="15" t="n">
        <v>1.24645270489241</v>
      </c>
      <c r="C1172" s="18" t="n">
        <f aca="false">'Black-Scholes'!$B$5*EXP(('Black-Scholes'!$B$8-'Black-Scholes'!$B$10-'Black-Scholes'!$B$9^2/2)*'Black-Scholes'!$B$7+'Black-Scholes'!$B$9*SQRT('Black-Scholes'!$B$7)*B1172)</f>
        <v>132.219143886356</v>
      </c>
      <c r="D1172" s="18" t="n">
        <f aca="false">'Black-Scholes'!$B$5*EXP(('Black-Scholes'!$B$8-'Black-Scholes'!$B$10-'Black-Scholes'!$B$9^2/2)*'Black-Scholes'!$B$7-'Black-Scholes'!$B$9*SQRT('Black-Scholes'!$B$7)*B1172)</f>
        <v>80.3088354178138</v>
      </c>
      <c r="E1172" s="18" t="n">
        <f aca="false">EXP(-'Black-Scholes'!$B$8*'Black-Scholes'!$B$7)*IF(LOWER('Black-Scholes'!$B$11)="put",MAX('Black-Scholes'!$B$6-C1172,0),MAX(C1172-'Black-Scholes'!$B$6,0))</f>
        <v>30.647797696924</v>
      </c>
      <c r="F1172" s="18" t="n">
        <f aca="false">(E1172+G1172)/2</f>
        <v>15.323898848462</v>
      </c>
      <c r="G1172" s="18" t="n">
        <f aca="false">EXP(-'Black-Scholes'!$B$8*'Black-Scholes'!$B$7)*IF(LOWER('Black-Scholes'!$B$11)="put",MAX('Black-Scholes'!$B$6-D1172,0),MAX(D1172-'Black-Scholes'!$B$6,0))</f>
        <v>0</v>
      </c>
    </row>
    <row r="1173" customFormat="false" ht="15" hidden="false" customHeight="false" outlineLevel="0" collapsed="false">
      <c r="A1173" s="0" t="n">
        <v>1162</v>
      </c>
      <c r="B1173" s="15" t="n">
        <v>-0.353214378561712</v>
      </c>
      <c r="C1173" s="18" t="n">
        <f aca="false">'Black-Scholes'!$B$5*EXP(('Black-Scholes'!$B$8-'Black-Scholes'!$B$10-'Black-Scholes'!$B$9^2/2)*'Black-Scholes'!$B$7+'Black-Scholes'!$B$9*SQRT('Black-Scholes'!$B$7)*B1173)</f>
        <v>96.0171969456618</v>
      </c>
      <c r="D1173" s="18" t="n">
        <f aca="false">'Black-Scholes'!$B$5*EXP(('Black-Scholes'!$B$8-'Black-Scholes'!$B$10-'Black-Scholes'!$B$9^2/2)*'Black-Scholes'!$B$7-'Black-Scholes'!$B$9*SQRT('Black-Scholes'!$B$7)*B1173)</f>
        <v>110.588163404341</v>
      </c>
      <c r="E1173" s="18" t="n">
        <f aca="false">EXP(-'Black-Scholes'!$B$8*'Black-Scholes'!$B$7)*IF(LOWER('Black-Scholes'!$B$11)="put",MAX('Black-Scholes'!$B$6-C1173,0),MAX(C1173-'Black-Scholes'!$B$6,0))</f>
        <v>0</v>
      </c>
      <c r="F1173" s="18" t="n">
        <f aca="false">(E1173+G1173)/2</f>
        <v>5.03588629081517</v>
      </c>
      <c r="G1173" s="18" t="n">
        <f aca="false">EXP(-'Black-Scholes'!$B$8*'Black-Scholes'!$B$7)*IF(LOWER('Black-Scholes'!$B$11)="put",MAX('Black-Scholes'!$B$6-D1173,0),MAX(D1173-'Black-Scholes'!$B$6,0))</f>
        <v>10.0717725816303</v>
      </c>
    </row>
    <row r="1174" customFormat="false" ht="15" hidden="false" customHeight="false" outlineLevel="0" collapsed="false">
      <c r="A1174" s="0" t="n">
        <v>1163</v>
      </c>
      <c r="B1174" s="15" t="n">
        <v>-0.155032463493915</v>
      </c>
      <c r="C1174" s="18" t="n">
        <f aca="false">'Black-Scholes'!$B$5*EXP(('Black-Scholes'!$B$8-'Black-Scholes'!$B$10-'Black-Scholes'!$B$9^2/2)*'Black-Scholes'!$B$7+'Black-Scholes'!$B$9*SQRT('Black-Scholes'!$B$7)*B1174)</f>
        <v>99.8994013645102</v>
      </c>
      <c r="D1174" s="18" t="n">
        <f aca="false">'Black-Scholes'!$B$5*EXP(('Black-Scholes'!$B$8-'Black-Scholes'!$B$10-'Black-Scholes'!$B$9^2/2)*'Black-Scholes'!$B$7-'Black-Scholes'!$B$9*SQRT('Black-Scholes'!$B$7)*B1174)</f>
        <v>106.290581529209</v>
      </c>
      <c r="E1174" s="18" t="n">
        <f aca="false">EXP(-'Black-Scholes'!$B$8*'Black-Scholes'!$B$7)*IF(LOWER('Black-Scholes'!$B$11)="put",MAX('Black-Scholes'!$B$6-C1174,0),MAX(C1174-'Black-Scholes'!$B$6,0))</f>
        <v>0</v>
      </c>
      <c r="F1174" s="18" t="n">
        <f aca="false">(E1174+G1174)/2</f>
        <v>2.99189312390192</v>
      </c>
      <c r="G1174" s="18" t="n">
        <f aca="false">EXP(-'Black-Scholes'!$B$8*'Black-Scholes'!$B$7)*IF(LOWER('Black-Scholes'!$B$11)="put",MAX('Black-Scholes'!$B$6-D1174,0),MAX(D1174-'Black-Scholes'!$B$6,0))</f>
        <v>5.98378624780383</v>
      </c>
    </row>
    <row r="1175" customFormat="false" ht="15" hidden="false" customHeight="false" outlineLevel="0" collapsed="false">
      <c r="A1175" s="0" t="n">
        <v>1164</v>
      </c>
      <c r="B1175" s="15" t="n">
        <v>-0.0605635496218583</v>
      </c>
      <c r="C1175" s="18" t="n">
        <f aca="false">'Black-Scholes'!$B$5*EXP(('Black-Scholes'!$B$8-'Black-Scholes'!$B$10-'Black-Scholes'!$B$9^2/2)*'Black-Scholes'!$B$7+'Black-Scholes'!$B$9*SQRT('Black-Scholes'!$B$7)*B1175)</f>
        <v>101.804822578461</v>
      </c>
      <c r="D1175" s="18" t="n">
        <f aca="false">'Black-Scholes'!$B$5*EXP(('Black-Scholes'!$B$8-'Black-Scholes'!$B$10-'Black-Scholes'!$B$9^2/2)*'Black-Scholes'!$B$7-'Black-Scholes'!$B$9*SQRT('Black-Scholes'!$B$7)*B1175)</f>
        <v>104.301202993306</v>
      </c>
      <c r="E1175" s="18" t="n">
        <f aca="false">EXP(-'Black-Scholes'!$B$8*'Black-Scholes'!$B$7)*IF(LOWER('Black-Scholes'!$B$11)="put",MAX('Black-Scholes'!$B$6-C1175,0),MAX(C1175-'Black-Scholes'!$B$6,0))</f>
        <v>1.71680034263577</v>
      </c>
      <c r="F1175" s="18" t="n">
        <f aca="false">(E1175+G1175)/2</f>
        <v>2.90411559530944</v>
      </c>
      <c r="G1175" s="18" t="n">
        <f aca="false">EXP(-'Black-Scholes'!$B$8*'Black-Scholes'!$B$7)*IF(LOWER('Black-Scholes'!$B$11)="put",MAX('Black-Scholes'!$B$6-D1175,0),MAX(D1175-'Black-Scholes'!$B$6,0))</f>
        <v>4.0914308479831</v>
      </c>
    </row>
    <row r="1176" customFormat="false" ht="15" hidden="false" customHeight="false" outlineLevel="0" collapsed="false">
      <c r="A1176" s="0" t="n">
        <v>1165</v>
      </c>
      <c r="B1176" s="15" t="n">
        <v>-0.571501710453147</v>
      </c>
      <c r="C1176" s="18" t="n">
        <f aca="false">'Black-Scholes'!$B$5*EXP(('Black-Scholes'!$B$8-'Black-Scholes'!$B$10-'Black-Scholes'!$B$9^2/2)*'Black-Scholes'!$B$7+'Black-Scholes'!$B$9*SQRT('Black-Scholes'!$B$7)*B1176)</f>
        <v>91.9155153654147</v>
      </c>
      <c r="D1176" s="18" t="n">
        <f aca="false">'Black-Scholes'!$B$5*EXP(('Black-Scholes'!$B$8-'Black-Scholes'!$B$10-'Black-Scholes'!$B$9^2/2)*'Black-Scholes'!$B$7-'Black-Scholes'!$B$9*SQRT('Black-Scholes'!$B$7)*B1176)</f>
        <v>115.523102092609</v>
      </c>
      <c r="E1176" s="18" t="n">
        <f aca="false">EXP(-'Black-Scholes'!$B$8*'Black-Scholes'!$B$7)*IF(LOWER('Black-Scholes'!$B$11)="put",MAX('Black-Scholes'!$B$6-C1176,0),MAX(C1176-'Black-Scholes'!$B$6,0))</f>
        <v>0</v>
      </c>
      <c r="F1176" s="18" t="n">
        <f aca="false">(E1176+G1176)/2</f>
        <v>7.38301573500928</v>
      </c>
      <c r="G1176" s="18" t="n">
        <f aca="false">EXP(-'Black-Scholes'!$B$8*'Black-Scholes'!$B$7)*IF(LOWER('Black-Scholes'!$B$11)="put",MAX('Black-Scholes'!$B$6-D1176,0),MAX(D1176-'Black-Scholes'!$B$6,0))</f>
        <v>14.7660314700186</v>
      </c>
    </row>
    <row r="1177" customFormat="false" ht="15" hidden="false" customHeight="false" outlineLevel="0" collapsed="false">
      <c r="A1177" s="0" t="n">
        <v>1166</v>
      </c>
      <c r="B1177" s="15" t="n">
        <v>-0.0471534802738425</v>
      </c>
      <c r="C1177" s="18" t="n">
        <f aca="false">'Black-Scholes'!$B$5*EXP(('Black-Scholes'!$B$8-'Black-Scholes'!$B$10-'Black-Scholes'!$B$9^2/2)*'Black-Scholes'!$B$7+'Black-Scholes'!$B$9*SQRT('Black-Scholes'!$B$7)*B1177)</f>
        <v>102.078231003313</v>
      </c>
      <c r="D1177" s="18" t="n">
        <f aca="false">'Black-Scholes'!$B$5*EXP(('Black-Scholes'!$B$8-'Black-Scholes'!$B$10-'Black-Scholes'!$B$9^2/2)*'Black-Scholes'!$B$7-'Black-Scholes'!$B$9*SQRT('Black-Scholes'!$B$7)*B1177)</f>
        <v>104.021840514742</v>
      </c>
      <c r="E1177" s="18" t="n">
        <f aca="false">EXP(-'Black-Scholes'!$B$8*'Black-Scholes'!$B$7)*IF(LOWER('Black-Scholes'!$B$11)="put",MAX('Black-Scholes'!$B$6-C1177,0),MAX(C1177-'Black-Scholes'!$B$6,0))</f>
        <v>1.97687448126103</v>
      </c>
      <c r="F1177" s="18" t="n">
        <f aca="false">(E1177+G1177)/2</f>
        <v>2.90128375976624</v>
      </c>
      <c r="G1177" s="18" t="n">
        <f aca="false">EXP(-'Black-Scholes'!$B$8*'Black-Scholes'!$B$7)*IF(LOWER('Black-Scholes'!$B$11)="put",MAX('Black-Scholes'!$B$6-D1177,0),MAX(D1177-'Black-Scholes'!$B$6,0))</f>
        <v>3.82569303827145</v>
      </c>
    </row>
    <row r="1178" customFormat="false" ht="15" hidden="false" customHeight="false" outlineLevel="0" collapsed="false">
      <c r="A1178" s="0" t="n">
        <v>1167</v>
      </c>
      <c r="B1178" s="15" t="n">
        <v>-0.337201189276866</v>
      </c>
      <c r="C1178" s="18" t="n">
        <f aca="false">'Black-Scholes'!$B$5*EXP(('Black-Scholes'!$B$8-'Black-Scholes'!$B$10-'Black-Scholes'!$B$9^2/2)*'Black-Scholes'!$B$7+'Black-Scholes'!$B$9*SQRT('Black-Scholes'!$B$7)*B1178)</f>
        <v>96.3251982004983</v>
      </c>
      <c r="D1178" s="18" t="n">
        <f aca="false">'Black-Scholes'!$B$5*EXP(('Black-Scholes'!$B$8-'Black-Scholes'!$B$10-'Black-Scholes'!$B$9^2/2)*'Black-Scholes'!$B$7-'Black-Scholes'!$B$9*SQRT('Black-Scholes'!$B$7)*B1178)</f>
        <v>110.234556105992</v>
      </c>
      <c r="E1178" s="18" t="n">
        <f aca="false">EXP(-'Black-Scholes'!$B$8*'Black-Scholes'!$B$7)*IF(LOWER('Black-Scholes'!$B$11)="put",MAX('Black-Scholes'!$B$6-C1178,0),MAX(C1178-'Black-Scholes'!$B$6,0))</f>
        <v>0</v>
      </c>
      <c r="F1178" s="18" t="n">
        <f aca="false">(E1178+G1178)/2</f>
        <v>4.86770545736137</v>
      </c>
      <c r="G1178" s="18" t="n">
        <f aca="false">EXP(-'Black-Scholes'!$B$8*'Black-Scholes'!$B$7)*IF(LOWER('Black-Scholes'!$B$11)="put",MAX('Black-Scholes'!$B$6-D1178,0),MAX(D1178-'Black-Scholes'!$B$6,0))</f>
        <v>9.73541091472274</v>
      </c>
    </row>
    <row r="1179" customFormat="false" ht="15" hidden="false" customHeight="false" outlineLevel="0" collapsed="false">
      <c r="A1179" s="0" t="n">
        <v>1168</v>
      </c>
      <c r="B1179" s="15" t="n">
        <v>-1.5466885588893</v>
      </c>
      <c r="C1179" s="18" t="n">
        <f aca="false">'Black-Scholes'!$B$5*EXP(('Black-Scholes'!$B$8-'Black-Scholes'!$B$10-'Black-Scholes'!$B$9^2/2)*'Black-Scholes'!$B$7+'Black-Scholes'!$B$9*SQRT('Black-Scholes'!$B$7)*B1179)</f>
        <v>75.6284453915857</v>
      </c>
      <c r="D1179" s="18" t="n">
        <f aca="false">'Black-Scholes'!$B$5*EXP(('Black-Scholes'!$B$8-'Black-Scholes'!$B$10-'Black-Scholes'!$B$9^2/2)*'Black-Scholes'!$B$7-'Black-Scholes'!$B$9*SQRT('Black-Scholes'!$B$7)*B1179)</f>
        <v>140.401741837668</v>
      </c>
      <c r="E1179" s="18" t="n">
        <f aca="false">EXP(-'Black-Scholes'!$B$8*'Black-Scholes'!$B$7)*IF(LOWER('Black-Scholes'!$B$11)="put",MAX('Black-Scholes'!$B$6-C1179,0),MAX(C1179-'Black-Scholes'!$B$6,0))</f>
        <v>0</v>
      </c>
      <c r="F1179" s="18" t="n">
        <f aca="false">(E1179+G1179)/2</f>
        <v>19.2156628185357</v>
      </c>
      <c r="G1179" s="18" t="n">
        <f aca="false">EXP(-'Black-Scholes'!$B$8*'Black-Scholes'!$B$7)*IF(LOWER('Black-Scholes'!$B$11)="put",MAX('Black-Scholes'!$B$6-D1179,0),MAX(D1179-'Black-Scholes'!$B$6,0))</f>
        <v>38.4313256370715</v>
      </c>
    </row>
    <row r="1180" customFormat="false" ht="15" hidden="false" customHeight="false" outlineLevel="0" collapsed="false">
      <c r="A1180" s="0" t="n">
        <v>1169</v>
      </c>
      <c r="B1180" s="15" t="n">
        <v>-0.600221276017201</v>
      </c>
      <c r="C1180" s="18" t="n">
        <f aca="false">'Black-Scholes'!$B$5*EXP(('Black-Scholes'!$B$8-'Black-Scholes'!$B$10-'Black-Scholes'!$B$9^2/2)*'Black-Scholes'!$B$7+'Black-Scholes'!$B$9*SQRT('Black-Scholes'!$B$7)*B1180)</f>
        <v>91.3890739955658</v>
      </c>
      <c r="D1180" s="18" t="n">
        <f aca="false">'Black-Scholes'!$B$5*EXP(('Black-Scholes'!$B$8-'Black-Scholes'!$B$10-'Black-Scholes'!$B$9^2/2)*'Black-Scholes'!$B$7-'Black-Scholes'!$B$9*SQRT('Black-Scholes'!$B$7)*B1180)</f>
        <v>116.188566107682</v>
      </c>
      <c r="E1180" s="18" t="n">
        <f aca="false">EXP(-'Black-Scholes'!$B$8*'Black-Scholes'!$B$7)*IF(LOWER('Black-Scholes'!$B$11)="put",MAX('Black-Scholes'!$B$6-C1180,0),MAX(C1180-'Black-Scholes'!$B$6,0))</f>
        <v>0</v>
      </c>
      <c r="F1180" s="18" t="n">
        <f aca="false">(E1180+G1180)/2</f>
        <v>7.69952021105082</v>
      </c>
      <c r="G1180" s="18" t="n">
        <f aca="false">EXP(-'Black-Scholes'!$B$8*'Black-Scholes'!$B$7)*IF(LOWER('Black-Scholes'!$B$11)="put",MAX('Black-Scholes'!$B$6-D1180,0),MAX(D1180-'Black-Scholes'!$B$6,0))</f>
        <v>15.3990404221016</v>
      </c>
    </row>
    <row r="1181" customFormat="false" ht="15" hidden="false" customHeight="false" outlineLevel="0" collapsed="false">
      <c r="A1181" s="0" t="n">
        <v>1170</v>
      </c>
      <c r="B1181" s="15" t="n">
        <v>0.435525094122417</v>
      </c>
      <c r="C1181" s="18" t="n">
        <f aca="false">'Black-Scholes'!$B$5*EXP(('Black-Scholes'!$B$8-'Black-Scholes'!$B$10-'Black-Scholes'!$B$9^2/2)*'Black-Scholes'!$B$7+'Black-Scholes'!$B$9*SQRT('Black-Scholes'!$B$7)*B1181)</f>
        <v>112.423748959077</v>
      </c>
      <c r="D1181" s="18" t="n">
        <f aca="false">'Black-Scholes'!$B$5*EXP(('Black-Scholes'!$B$8-'Black-Scholes'!$B$10-'Black-Scholes'!$B$9^2/2)*'Black-Scholes'!$B$7-'Black-Scholes'!$B$9*SQRT('Black-Scholes'!$B$7)*B1181)</f>
        <v>94.4494874416504</v>
      </c>
      <c r="E1181" s="18" t="n">
        <f aca="false">EXP(-'Black-Scholes'!$B$8*'Black-Scholes'!$B$7)*IF(LOWER('Black-Scholes'!$B$11)="put",MAX('Black-Scholes'!$B$6-C1181,0),MAX(C1181-'Black-Scholes'!$B$6,0))</f>
        <v>11.8178355724841</v>
      </c>
      <c r="F1181" s="18" t="n">
        <f aca="false">(E1181+G1181)/2</f>
        <v>5.90891778624204</v>
      </c>
      <c r="G1181" s="18" t="n">
        <f aca="false">EXP(-'Black-Scholes'!$B$8*'Black-Scholes'!$B$7)*IF(LOWER('Black-Scholes'!$B$11)="put",MAX('Black-Scholes'!$B$6-D1181,0),MAX(D1181-'Black-Scholes'!$B$6,0))</f>
        <v>0</v>
      </c>
    </row>
    <row r="1182" customFormat="false" ht="15" hidden="false" customHeight="false" outlineLevel="0" collapsed="false">
      <c r="A1182" s="0" t="n">
        <v>1171</v>
      </c>
      <c r="B1182" s="15" t="n">
        <v>2.31790567920038</v>
      </c>
      <c r="C1182" s="18" t="n">
        <f aca="false">'Black-Scholes'!$B$5*EXP(('Black-Scholes'!$B$8-'Black-Scholes'!$B$10-'Black-Scholes'!$B$9^2/2)*'Black-Scholes'!$B$7+'Black-Scholes'!$B$9*SQRT('Black-Scholes'!$B$7)*B1182)</f>
        <v>163.817224542595</v>
      </c>
      <c r="D1182" s="18" t="n">
        <f aca="false">'Black-Scholes'!$B$5*EXP(('Black-Scholes'!$B$8-'Black-Scholes'!$B$10-'Black-Scholes'!$B$9^2/2)*'Black-Scholes'!$B$7-'Black-Scholes'!$B$9*SQRT('Black-Scholes'!$B$7)*B1182)</f>
        <v>64.8183699553076</v>
      </c>
      <c r="E1182" s="18" t="n">
        <f aca="false">EXP(-'Black-Scholes'!$B$8*'Black-Scholes'!$B$7)*IF(LOWER('Black-Scholes'!$B$11)="put",MAX('Black-Scholes'!$B$6-C1182,0),MAX(C1182-'Black-Scholes'!$B$6,0))</f>
        <v>60.7048217748852</v>
      </c>
      <c r="F1182" s="18" t="n">
        <f aca="false">(E1182+G1182)/2</f>
        <v>30.3524108874426</v>
      </c>
      <c r="G1182" s="18" t="n">
        <f aca="false">EXP(-'Black-Scholes'!$B$8*'Black-Scholes'!$B$7)*IF(LOWER('Black-Scholes'!$B$11)="put",MAX('Black-Scholes'!$B$6-D1182,0),MAX(D1182-'Black-Scholes'!$B$6,0))</f>
        <v>0</v>
      </c>
    </row>
    <row r="1183" customFormat="false" ht="15" hidden="false" customHeight="false" outlineLevel="0" collapsed="false">
      <c r="A1183" s="0" t="n">
        <v>1172</v>
      </c>
      <c r="B1183" s="15" t="n">
        <v>1.5821703156079</v>
      </c>
      <c r="C1183" s="18" t="n">
        <f aca="false">'Black-Scholes'!$B$5*EXP(('Black-Scholes'!$B$8-'Black-Scholes'!$B$10-'Black-Scholes'!$B$9^2/2)*'Black-Scholes'!$B$7+'Black-Scholes'!$B$9*SQRT('Black-Scholes'!$B$7)*B1183)</f>
        <v>141.401625493857</v>
      </c>
      <c r="D1183" s="18" t="n">
        <f aca="false">'Black-Scholes'!$B$5*EXP(('Black-Scholes'!$B$8-'Black-Scholes'!$B$10-'Black-Scholes'!$B$9^2/2)*'Black-Scholes'!$B$7-'Black-Scholes'!$B$9*SQRT('Black-Scholes'!$B$7)*B1183)</f>
        <v>75.0936591313436</v>
      </c>
      <c r="E1183" s="18" t="n">
        <f aca="false">EXP(-'Black-Scholes'!$B$8*'Black-Scholes'!$B$7)*IF(LOWER('Black-Scholes'!$B$11)="put",MAX('Black-Scholes'!$B$6-C1183,0),MAX(C1183-'Black-Scholes'!$B$6,0))</f>
        <v>39.3824443919156</v>
      </c>
      <c r="F1183" s="18" t="n">
        <f aca="false">(E1183+G1183)/2</f>
        <v>19.6912221959578</v>
      </c>
      <c r="G1183" s="18" t="n">
        <f aca="false">EXP(-'Black-Scholes'!$B$8*'Black-Scholes'!$B$7)*IF(LOWER('Black-Scholes'!$B$11)="put",MAX('Black-Scholes'!$B$6-D1183,0),MAX(D1183-'Black-Scholes'!$B$6,0))</f>
        <v>0</v>
      </c>
    </row>
    <row r="1184" customFormat="false" ht="15" hidden="false" customHeight="false" outlineLevel="0" collapsed="false">
      <c r="A1184" s="0" t="n">
        <v>1173</v>
      </c>
      <c r="B1184" s="15" t="n">
        <v>-0.410650978653144</v>
      </c>
      <c r="C1184" s="18" t="n">
        <f aca="false">'Black-Scholes'!$B$5*EXP(('Black-Scholes'!$B$8-'Black-Scholes'!$B$10-'Black-Scholes'!$B$9^2/2)*'Black-Scholes'!$B$7+'Black-Scholes'!$B$9*SQRT('Black-Scholes'!$B$7)*B1184)</f>
        <v>94.9205276323118</v>
      </c>
      <c r="D1184" s="18" t="n">
        <f aca="false">'Black-Scholes'!$B$5*EXP(('Black-Scholes'!$B$8-'Black-Scholes'!$B$10-'Black-Scholes'!$B$9^2/2)*'Black-Scholes'!$B$7-'Black-Scholes'!$B$9*SQRT('Black-Scholes'!$B$7)*B1184)</f>
        <v>111.865849572448</v>
      </c>
      <c r="E1184" s="18" t="n">
        <f aca="false">EXP(-'Black-Scholes'!$B$8*'Black-Scholes'!$B$7)*IF(LOWER('Black-Scholes'!$B$11)="put",MAX('Black-Scholes'!$B$6-C1184,0),MAX(C1184-'Black-Scholes'!$B$6,0))</f>
        <v>0</v>
      </c>
      <c r="F1184" s="18" t="n">
        <f aca="false">(E1184+G1184)/2</f>
        <v>5.64357263000595</v>
      </c>
      <c r="G1184" s="18" t="n">
        <f aca="false">EXP(-'Black-Scholes'!$B$8*'Black-Scholes'!$B$7)*IF(LOWER('Black-Scholes'!$B$11)="put",MAX('Black-Scholes'!$B$6-D1184,0),MAX(D1184-'Black-Scholes'!$B$6,0))</f>
        <v>11.2871452600119</v>
      </c>
    </row>
    <row r="1185" customFormat="false" ht="15" hidden="false" customHeight="false" outlineLevel="0" collapsed="false">
      <c r="A1185" s="0" t="n">
        <v>1174</v>
      </c>
      <c r="B1185" s="15" t="n">
        <v>0.841874608032459</v>
      </c>
      <c r="C1185" s="18" t="n">
        <f aca="false">'Black-Scholes'!$B$5*EXP(('Black-Scholes'!$B$8-'Black-Scholes'!$B$10-'Black-Scholes'!$B$9^2/2)*'Black-Scholes'!$B$7+'Black-Scholes'!$B$9*SQRT('Black-Scholes'!$B$7)*B1185)</f>
        <v>121.941949484376</v>
      </c>
      <c r="D1185" s="18" t="n">
        <f aca="false">'Black-Scholes'!$B$5*EXP(('Black-Scholes'!$B$8-'Black-Scholes'!$B$10-'Black-Scholes'!$B$9^2/2)*'Black-Scholes'!$B$7-'Black-Scholes'!$B$9*SQRT('Black-Scholes'!$B$7)*B1185)</f>
        <v>87.0772159240747</v>
      </c>
      <c r="E1185" s="18" t="n">
        <f aca="false">EXP(-'Black-Scholes'!$B$8*'Black-Scholes'!$B$7)*IF(LOWER('Black-Scholes'!$B$11)="put",MAX('Black-Scholes'!$B$6-C1185,0),MAX(C1185-'Black-Scholes'!$B$6,0))</f>
        <v>20.8718279804465</v>
      </c>
      <c r="F1185" s="18" t="n">
        <f aca="false">(E1185+G1185)/2</f>
        <v>10.4359139902233</v>
      </c>
      <c r="G1185" s="18" t="n">
        <f aca="false">EXP(-'Black-Scholes'!$B$8*'Black-Scholes'!$B$7)*IF(LOWER('Black-Scholes'!$B$11)="put",MAX('Black-Scholes'!$B$6-D1185,0),MAX(D1185-'Black-Scholes'!$B$6,0))</f>
        <v>0</v>
      </c>
    </row>
    <row r="1186" customFormat="false" ht="15" hidden="false" customHeight="false" outlineLevel="0" collapsed="false">
      <c r="A1186" s="0" t="n">
        <v>1175</v>
      </c>
      <c r="B1186" s="15" t="n">
        <v>-0.0512118498784739</v>
      </c>
      <c r="C1186" s="18" t="n">
        <f aca="false">'Black-Scholes'!$B$5*EXP(('Black-Scholes'!$B$8-'Black-Scholes'!$B$10-'Black-Scholes'!$B$9^2/2)*'Black-Scholes'!$B$7+'Black-Scholes'!$B$9*SQRT('Black-Scholes'!$B$7)*B1186)</f>
        <v>101.99541038153</v>
      </c>
      <c r="D1186" s="18" t="n">
        <f aca="false">'Black-Scholes'!$B$5*EXP(('Black-Scholes'!$B$8-'Black-Scholes'!$B$10-'Black-Scholes'!$B$9^2/2)*'Black-Scholes'!$B$7-'Black-Scholes'!$B$9*SQRT('Black-Scholes'!$B$7)*B1186)</f>
        <v>104.106306604718</v>
      </c>
      <c r="E1186" s="18" t="n">
        <f aca="false">EXP(-'Black-Scholes'!$B$8*'Black-Scholes'!$B$7)*IF(LOWER('Black-Scholes'!$B$11)="put",MAX('Black-Scholes'!$B$6-C1186,0),MAX(C1186-'Black-Scholes'!$B$6,0))</f>
        <v>1.89809306886527</v>
      </c>
      <c r="F1186" s="18" t="n">
        <f aca="false">(E1186+G1186)/2</f>
        <v>2.90206636864744</v>
      </c>
      <c r="G1186" s="18" t="n">
        <f aca="false">EXP(-'Black-Scholes'!$B$8*'Black-Scholes'!$B$7)*IF(LOWER('Black-Scholes'!$B$11)="put",MAX('Black-Scholes'!$B$6-D1186,0),MAX(D1186-'Black-Scholes'!$B$6,0))</f>
        <v>3.90603966842961</v>
      </c>
    </row>
    <row r="1187" customFormat="false" ht="15" hidden="false" customHeight="false" outlineLevel="0" collapsed="false">
      <c r="A1187" s="0" t="n">
        <v>1176</v>
      </c>
      <c r="B1187" s="15" t="n">
        <v>0.180114351256312</v>
      </c>
      <c r="C1187" s="18" t="n">
        <f aca="false">'Black-Scholes'!$B$5*EXP(('Black-Scholes'!$B$8-'Black-Scholes'!$B$10-'Black-Scholes'!$B$9^2/2)*'Black-Scholes'!$B$7+'Black-Scholes'!$B$9*SQRT('Black-Scholes'!$B$7)*B1187)</f>
        <v>106.825114805879</v>
      </c>
      <c r="D1187" s="18" t="n">
        <f aca="false">'Black-Scholes'!$B$5*EXP(('Black-Scholes'!$B$8-'Black-Scholes'!$B$10-'Black-Scholes'!$B$9^2/2)*'Black-Scholes'!$B$7-'Black-Scholes'!$B$9*SQRT('Black-Scholes'!$B$7)*B1187)</f>
        <v>99.3995230873296</v>
      </c>
      <c r="E1187" s="18" t="n">
        <f aca="false">EXP(-'Black-Scholes'!$B$8*'Black-Scholes'!$B$7)*IF(LOWER('Black-Scholes'!$B$11)="put",MAX('Black-Scholes'!$B$6-C1187,0),MAX(C1187-'Black-Scholes'!$B$6,0))</f>
        <v>6.49225002894754</v>
      </c>
      <c r="F1187" s="18" t="n">
        <f aca="false">(E1187+G1187)/2</f>
        <v>3.24612501447377</v>
      </c>
      <c r="G1187" s="18" t="n">
        <f aca="false">EXP(-'Black-Scholes'!$B$8*'Black-Scholes'!$B$7)*IF(LOWER('Black-Scholes'!$B$11)="put",MAX('Black-Scholes'!$B$6-D1187,0),MAX(D1187-'Black-Scholes'!$B$6,0))</f>
        <v>0</v>
      </c>
    </row>
    <row r="1188" customFormat="false" ht="15" hidden="false" customHeight="false" outlineLevel="0" collapsed="false">
      <c r="A1188" s="0" t="n">
        <v>1177</v>
      </c>
      <c r="B1188" s="15" t="n">
        <v>-1.12350398697998</v>
      </c>
      <c r="C1188" s="18" t="n">
        <f aca="false">'Black-Scholes'!$B$5*EXP(('Black-Scholes'!$B$8-'Black-Scholes'!$B$10-'Black-Scholes'!$B$9^2/2)*'Black-Scholes'!$B$7+'Black-Scholes'!$B$9*SQRT('Black-Scholes'!$B$7)*B1188)</f>
        <v>82.3080889163031</v>
      </c>
      <c r="D1188" s="18" t="n">
        <f aca="false">'Black-Scholes'!$B$5*EXP(('Black-Scholes'!$B$8-'Black-Scholes'!$B$10-'Black-Scholes'!$B$9^2/2)*'Black-Scholes'!$B$7-'Black-Scholes'!$B$9*SQRT('Black-Scholes'!$B$7)*B1188)</f>
        <v>129.007556915228</v>
      </c>
      <c r="E1188" s="18" t="n">
        <f aca="false">EXP(-'Black-Scholes'!$B$8*'Black-Scholes'!$B$7)*IF(LOWER('Black-Scholes'!$B$11)="put",MAX('Black-Scholes'!$B$6-C1188,0),MAX(C1188-'Black-Scholes'!$B$6,0))</f>
        <v>0</v>
      </c>
      <c r="F1188" s="18" t="n">
        <f aca="false">(E1188+G1188)/2</f>
        <v>13.7964208353219</v>
      </c>
      <c r="G1188" s="18" t="n">
        <f aca="false">EXP(-'Black-Scholes'!$B$8*'Black-Scholes'!$B$7)*IF(LOWER('Black-Scholes'!$B$11)="put",MAX('Black-Scholes'!$B$6-D1188,0),MAX(D1188-'Black-Scholes'!$B$6,0))</f>
        <v>27.5928416706437</v>
      </c>
    </row>
    <row r="1189" customFormat="false" ht="15" hidden="false" customHeight="false" outlineLevel="0" collapsed="false">
      <c r="A1189" s="0" t="n">
        <v>1178</v>
      </c>
      <c r="B1189" s="15" t="n">
        <v>-0.801314284137438</v>
      </c>
      <c r="C1189" s="18" t="n">
        <f aca="false">'Black-Scholes'!$B$5*EXP(('Black-Scholes'!$B$8-'Black-Scholes'!$B$10-'Black-Scholes'!$B$9^2/2)*'Black-Scholes'!$B$7+'Black-Scholes'!$B$9*SQRT('Black-Scholes'!$B$7)*B1189)</f>
        <v>87.7864647874137</v>
      </c>
      <c r="D1189" s="18" t="n">
        <f aca="false">'Black-Scholes'!$B$5*EXP(('Black-Scholes'!$B$8-'Black-Scholes'!$B$10-'Black-Scholes'!$B$9^2/2)*'Black-Scholes'!$B$7-'Black-Scholes'!$B$9*SQRT('Black-Scholes'!$B$7)*B1189)</f>
        <v>120.956749894956</v>
      </c>
      <c r="E1189" s="18" t="n">
        <f aca="false">EXP(-'Black-Scholes'!$B$8*'Black-Scholes'!$B$7)*IF(LOWER('Black-Scholes'!$B$11)="put",MAX('Black-Scholes'!$B$6-C1189,0),MAX(C1189-'Black-Scholes'!$B$6,0))</f>
        <v>0</v>
      </c>
      <c r="F1189" s="18" t="n">
        <f aca="false">(E1189+G1189)/2</f>
        <v>9.96733857099242</v>
      </c>
      <c r="G1189" s="18" t="n">
        <f aca="false">EXP(-'Black-Scholes'!$B$8*'Black-Scholes'!$B$7)*IF(LOWER('Black-Scholes'!$B$11)="put",MAX('Black-Scholes'!$B$6-D1189,0),MAX(D1189-'Black-Scholes'!$B$6,0))</f>
        <v>19.9346771419848</v>
      </c>
    </row>
    <row r="1190" customFormat="false" ht="15" hidden="false" customHeight="false" outlineLevel="0" collapsed="false">
      <c r="A1190" s="0" t="n">
        <v>1179</v>
      </c>
      <c r="B1190" s="15" t="n">
        <v>0.392201091756999</v>
      </c>
      <c r="C1190" s="18" t="n">
        <f aca="false">'Black-Scholes'!$B$5*EXP(('Black-Scholes'!$B$8-'Black-Scholes'!$B$10-'Black-Scholes'!$B$9^2/2)*'Black-Scholes'!$B$7+'Black-Scholes'!$B$9*SQRT('Black-Scholes'!$B$7)*B1190)</f>
        <v>111.453827761104</v>
      </c>
      <c r="D1190" s="18" t="n">
        <f aca="false">'Black-Scholes'!$B$5*EXP(('Black-Scholes'!$B$8-'Black-Scholes'!$B$10-'Black-Scholes'!$B$9^2/2)*'Black-Scholes'!$B$7-'Black-Scholes'!$B$9*SQRT('Black-Scholes'!$B$7)*B1190)</f>
        <v>95.2714292434489</v>
      </c>
      <c r="E1190" s="18" t="n">
        <f aca="false">EXP(-'Black-Scholes'!$B$8*'Black-Scholes'!$B$7)*IF(LOWER('Black-Scholes'!$B$11)="put",MAX('Black-Scholes'!$B$6-C1190,0),MAX(C1190-'Black-Scholes'!$B$6,0))</f>
        <v>10.8952179895256</v>
      </c>
      <c r="F1190" s="18" t="n">
        <f aca="false">(E1190+G1190)/2</f>
        <v>5.44760899476282</v>
      </c>
      <c r="G1190" s="18" t="n">
        <f aca="false">EXP(-'Black-Scholes'!$B$8*'Black-Scholes'!$B$7)*IF(LOWER('Black-Scholes'!$B$11)="put",MAX('Black-Scholes'!$B$6-D1190,0),MAX(D1190-'Black-Scholes'!$B$6,0))</f>
        <v>0</v>
      </c>
    </row>
    <row r="1191" customFormat="false" ht="15" hidden="false" customHeight="false" outlineLevel="0" collapsed="false">
      <c r="A1191" s="0" t="n">
        <v>1180</v>
      </c>
      <c r="B1191" s="15" t="n">
        <v>-0.103199563776626</v>
      </c>
      <c r="C1191" s="18" t="n">
        <f aca="false">'Black-Scholes'!$B$5*EXP(('Black-Scholes'!$B$8-'Black-Scholes'!$B$10-'Black-Scholes'!$B$9^2/2)*'Black-Scholes'!$B$7+'Black-Scholes'!$B$9*SQRT('Black-Scholes'!$B$7)*B1191)</f>
        <v>100.940402985651</v>
      </c>
      <c r="D1191" s="18" t="n">
        <f aca="false">'Black-Scholes'!$B$5*EXP(('Black-Scholes'!$B$8-'Black-Scholes'!$B$10-'Black-Scholes'!$B$9^2/2)*'Black-Scholes'!$B$7-'Black-Scholes'!$B$9*SQRT('Black-Scholes'!$B$7)*B1191)</f>
        <v>105.194403344744</v>
      </c>
      <c r="E1191" s="18" t="n">
        <f aca="false">EXP(-'Black-Scholes'!$B$8*'Black-Scholes'!$B$7)*IF(LOWER('Black-Scholes'!$B$11)="put",MAX('Black-Scholes'!$B$6-C1191,0),MAX(C1191-'Black-Scholes'!$B$6,0))</f>
        <v>0.89453899083937</v>
      </c>
      <c r="F1191" s="18" t="n">
        <f aca="false">(E1191+G1191)/2</f>
        <v>2.91780414754259</v>
      </c>
      <c r="G1191" s="18" t="n">
        <f aca="false">EXP(-'Black-Scholes'!$B$8*'Black-Scholes'!$B$7)*IF(LOWER('Black-Scholes'!$B$11)="put",MAX('Black-Scholes'!$B$6-D1191,0),MAX(D1191-'Black-Scholes'!$B$6,0))</f>
        <v>4.94106930424581</v>
      </c>
    </row>
    <row r="1192" customFormat="false" ht="15" hidden="false" customHeight="false" outlineLevel="0" collapsed="false">
      <c r="A1192" s="0" t="n">
        <v>1181</v>
      </c>
      <c r="B1192" s="15" t="n">
        <v>-0.310221474008234</v>
      </c>
      <c r="C1192" s="18" t="n">
        <f aca="false">'Black-Scholes'!$B$5*EXP(('Black-Scholes'!$B$8-'Black-Scholes'!$B$10-'Black-Scholes'!$B$9^2/2)*'Black-Scholes'!$B$7+'Black-Scholes'!$B$9*SQRT('Black-Scholes'!$B$7)*B1192)</f>
        <v>96.8463683222356</v>
      </c>
      <c r="D1192" s="18" t="n">
        <f aca="false">'Black-Scholes'!$B$5*EXP(('Black-Scholes'!$B$8-'Black-Scholes'!$B$10-'Black-Scholes'!$B$9^2/2)*'Black-Scholes'!$B$7-'Black-Scholes'!$B$9*SQRT('Black-Scholes'!$B$7)*B1192)</f>
        <v>109.641338641871</v>
      </c>
      <c r="E1192" s="18" t="n">
        <f aca="false">EXP(-'Black-Scholes'!$B$8*'Black-Scholes'!$B$7)*IF(LOWER('Black-Scholes'!$B$11)="put",MAX('Black-Scholes'!$B$6-C1192,0),MAX(C1192-'Black-Scholes'!$B$6,0))</f>
        <v>0</v>
      </c>
      <c r="F1192" s="18" t="n">
        <f aca="false">(E1192+G1192)/2</f>
        <v>4.5855625038617</v>
      </c>
      <c r="G1192" s="18" t="n">
        <f aca="false">EXP(-'Black-Scholes'!$B$8*'Black-Scholes'!$B$7)*IF(LOWER('Black-Scholes'!$B$11)="put",MAX('Black-Scholes'!$B$6-D1192,0),MAX(D1192-'Black-Scholes'!$B$6,0))</f>
        <v>9.17112500772341</v>
      </c>
    </row>
    <row r="1193" customFormat="false" ht="15" hidden="false" customHeight="false" outlineLevel="0" collapsed="false">
      <c r="A1193" s="0" t="n">
        <v>1182</v>
      </c>
      <c r="B1193" s="15" t="n">
        <v>1.08951052065157</v>
      </c>
      <c r="C1193" s="18" t="n">
        <f aca="false">'Black-Scholes'!$B$5*EXP(('Black-Scholes'!$B$8-'Black-Scholes'!$B$10-'Black-Scholes'!$B$9^2/2)*'Black-Scholes'!$B$7+'Black-Scholes'!$B$9*SQRT('Black-Scholes'!$B$7)*B1193)</f>
        <v>128.133448869979</v>
      </c>
      <c r="D1193" s="18" t="n">
        <f aca="false">'Black-Scholes'!$B$5*EXP(('Black-Scholes'!$B$8-'Black-Scholes'!$B$10-'Black-Scholes'!$B$9^2/2)*'Black-Scholes'!$B$7-'Black-Scholes'!$B$9*SQRT('Black-Scholes'!$B$7)*B1193)</f>
        <v>82.8695829160766</v>
      </c>
      <c r="E1193" s="18" t="n">
        <f aca="false">EXP(-'Black-Scholes'!$B$8*'Black-Scholes'!$B$7)*IF(LOWER('Black-Scholes'!$B$11)="put",MAX('Black-Scholes'!$B$6-C1193,0),MAX(C1193-'Black-Scholes'!$B$6,0))</f>
        <v>26.7613643778105</v>
      </c>
      <c r="F1193" s="18" t="n">
        <f aca="false">(E1193+G1193)/2</f>
        <v>13.3806821889053</v>
      </c>
      <c r="G1193" s="18" t="n">
        <f aca="false">EXP(-'Black-Scholes'!$B$8*'Black-Scholes'!$B$7)*IF(LOWER('Black-Scholes'!$B$11)="put",MAX('Black-Scholes'!$B$6-D1193,0),MAX(D1193-'Black-Scholes'!$B$6,0))</f>
        <v>0</v>
      </c>
    </row>
    <row r="1194" customFormat="false" ht="15" hidden="false" customHeight="false" outlineLevel="0" collapsed="false">
      <c r="A1194" s="0" t="n">
        <v>1183</v>
      </c>
      <c r="B1194" s="15" t="n">
        <v>-0.336926546584914</v>
      </c>
      <c r="C1194" s="18" t="n">
        <f aca="false">'Black-Scholes'!$B$5*EXP(('Black-Scholes'!$B$8-'Black-Scholes'!$B$10-'Black-Scholes'!$B$9^2/2)*'Black-Scholes'!$B$7+'Black-Scholes'!$B$9*SQRT('Black-Scholes'!$B$7)*B1194)</f>
        <v>96.3304893481618</v>
      </c>
      <c r="D1194" s="18" t="n">
        <f aca="false">'Black-Scholes'!$B$5*EXP(('Black-Scholes'!$B$8-'Black-Scholes'!$B$10-'Black-Scholes'!$B$9^2/2)*'Black-Scholes'!$B$7-'Black-Scholes'!$B$9*SQRT('Black-Scholes'!$B$7)*B1194)</f>
        <v>110.228501249238</v>
      </c>
      <c r="E1194" s="18" t="n">
        <f aca="false">EXP(-'Black-Scholes'!$B$8*'Black-Scholes'!$B$7)*IF(LOWER('Black-Scholes'!$B$11)="put",MAX('Black-Scholes'!$B$6-C1194,0),MAX(C1194-'Black-Scholes'!$B$6,0))</f>
        <v>0</v>
      </c>
      <c r="F1194" s="18" t="n">
        <f aca="false">(E1194+G1194)/2</f>
        <v>4.86482567840894</v>
      </c>
      <c r="G1194" s="18" t="n">
        <f aca="false">EXP(-'Black-Scholes'!$B$8*'Black-Scholes'!$B$7)*IF(LOWER('Black-Scholes'!$B$11)="put",MAX('Black-Scholes'!$B$6-D1194,0),MAX(D1194-'Black-Scholes'!$B$6,0))</f>
        <v>9.72965135681787</v>
      </c>
    </row>
    <row r="1195" customFormat="false" ht="15" hidden="false" customHeight="false" outlineLevel="0" collapsed="false">
      <c r="A1195" s="0" t="n">
        <v>1184</v>
      </c>
      <c r="B1195" s="15" t="n">
        <v>-0.222674886635465</v>
      </c>
      <c r="C1195" s="18" t="n">
        <f aca="false">'Black-Scholes'!$B$5*EXP(('Black-Scholes'!$B$8-'Black-Scholes'!$B$10-'Black-Scholes'!$B$9^2/2)*'Black-Scholes'!$B$7+'Black-Scholes'!$B$9*SQRT('Black-Scholes'!$B$7)*B1195)</f>
        <v>98.5570145520143</v>
      </c>
      <c r="D1195" s="18" t="n">
        <f aca="false">'Black-Scholes'!$B$5*EXP(('Black-Scholes'!$B$8-'Black-Scholes'!$B$10-'Black-Scholes'!$B$9^2/2)*'Black-Scholes'!$B$7-'Black-Scholes'!$B$9*SQRT('Black-Scholes'!$B$7)*B1195)</f>
        <v>107.738302684175</v>
      </c>
      <c r="E1195" s="18" t="n">
        <f aca="false">EXP(-'Black-Scholes'!$B$8*'Black-Scholes'!$B$7)*IF(LOWER('Black-Scholes'!$B$11)="put",MAX('Black-Scholes'!$B$6-C1195,0),MAX(C1195-'Black-Scholes'!$B$6,0))</f>
        <v>0</v>
      </c>
      <c r="F1195" s="18" t="n">
        <f aca="false">(E1195+G1195)/2</f>
        <v>3.68045060444027</v>
      </c>
      <c r="G1195" s="18" t="n">
        <f aca="false">EXP(-'Black-Scholes'!$B$8*'Black-Scholes'!$B$7)*IF(LOWER('Black-Scholes'!$B$11)="put",MAX('Black-Scholes'!$B$6-D1195,0),MAX(D1195-'Black-Scholes'!$B$6,0))</f>
        <v>7.36090120888053</v>
      </c>
    </row>
    <row r="1196" customFormat="false" ht="15" hidden="false" customHeight="false" outlineLevel="0" collapsed="false">
      <c r="A1196" s="0" t="n">
        <v>1185</v>
      </c>
      <c r="B1196" s="15" t="n">
        <v>-1.53338206136834</v>
      </c>
      <c r="C1196" s="18" t="n">
        <f aca="false">'Black-Scholes'!$B$5*EXP(('Black-Scholes'!$B$8-'Black-Scholes'!$B$10-'Black-Scholes'!$B$9^2/2)*'Black-Scholes'!$B$7+'Black-Scholes'!$B$9*SQRT('Black-Scholes'!$B$7)*B1196)</f>
        <v>75.8299833933516</v>
      </c>
      <c r="D1196" s="18" t="n">
        <f aca="false">'Black-Scholes'!$B$5*EXP(('Black-Scholes'!$B$8-'Black-Scholes'!$B$10-'Black-Scholes'!$B$9^2/2)*'Black-Scholes'!$B$7-'Black-Scholes'!$B$9*SQRT('Black-Scholes'!$B$7)*B1196)</f>
        <v>140.028587509681</v>
      </c>
      <c r="E1196" s="18" t="n">
        <f aca="false">EXP(-'Black-Scholes'!$B$8*'Black-Scholes'!$B$7)*IF(LOWER('Black-Scholes'!$B$11)="put",MAX('Black-Scholes'!$B$6-C1196,0),MAX(C1196-'Black-Scholes'!$B$6,0))</f>
        <v>0</v>
      </c>
      <c r="F1196" s="18" t="n">
        <f aca="false">(E1196+G1196)/2</f>
        <v>19.0381851302052</v>
      </c>
      <c r="G1196" s="18" t="n">
        <f aca="false">EXP(-'Black-Scholes'!$B$8*'Black-Scholes'!$B$7)*IF(LOWER('Black-Scholes'!$B$11)="put",MAX('Black-Scholes'!$B$6-D1196,0),MAX(D1196-'Black-Scholes'!$B$6,0))</f>
        <v>38.0763702604104</v>
      </c>
    </row>
    <row r="1197" customFormat="false" ht="15" hidden="false" customHeight="false" outlineLevel="0" collapsed="false">
      <c r="A1197" s="0" t="n">
        <v>1186</v>
      </c>
      <c r="B1197" s="15" t="n">
        <v>-1.48181711574828</v>
      </c>
      <c r="C1197" s="18" t="n">
        <f aca="false">'Black-Scholes'!$B$5*EXP(('Black-Scholes'!$B$8-'Black-Scholes'!$B$10-'Black-Scholes'!$B$9^2/2)*'Black-Scholes'!$B$7+'Black-Scholes'!$B$9*SQRT('Black-Scholes'!$B$7)*B1197)</f>
        <v>76.6160636387407</v>
      </c>
      <c r="D1197" s="18" t="n">
        <f aca="false">'Black-Scholes'!$B$5*EXP(('Black-Scholes'!$B$8-'Black-Scholes'!$B$10-'Black-Scholes'!$B$9^2/2)*'Black-Scholes'!$B$7-'Black-Scholes'!$B$9*SQRT('Black-Scholes'!$B$7)*B1197)</f>
        <v>138.591895239113</v>
      </c>
      <c r="E1197" s="18" t="n">
        <f aca="false">EXP(-'Black-Scholes'!$B$8*'Black-Scholes'!$B$7)*IF(LOWER('Black-Scholes'!$B$11)="put",MAX('Black-Scholes'!$B$6-C1197,0),MAX(C1197-'Black-Scholes'!$B$6,0))</f>
        <v>0</v>
      </c>
      <c r="F1197" s="18" t="n">
        <f aca="false">(E1197+G1197)/2</f>
        <v>18.3548731493469</v>
      </c>
      <c r="G1197" s="18" t="n">
        <f aca="false">EXP(-'Black-Scholes'!$B$8*'Black-Scholes'!$B$7)*IF(LOWER('Black-Scholes'!$B$11)="put",MAX('Black-Scholes'!$B$6-D1197,0),MAX(D1197-'Black-Scholes'!$B$6,0))</f>
        <v>36.7097462986937</v>
      </c>
    </row>
    <row r="1198" customFormat="false" ht="15" hidden="false" customHeight="false" outlineLevel="0" collapsed="false">
      <c r="A1198" s="0" t="n">
        <v>1187</v>
      </c>
      <c r="B1198" s="15" t="n">
        <v>-0.284472663748267</v>
      </c>
      <c r="C1198" s="18" t="n">
        <f aca="false">'Black-Scholes'!$B$5*EXP(('Black-Scholes'!$B$8-'Black-Scholes'!$B$10-'Black-Scholes'!$B$9^2/2)*'Black-Scholes'!$B$7+'Black-Scholes'!$B$9*SQRT('Black-Scholes'!$B$7)*B1198)</f>
        <v>97.3463904671779</v>
      </c>
      <c r="D1198" s="18" t="n">
        <f aca="false">'Black-Scholes'!$B$5*EXP(('Black-Scholes'!$B$8-'Black-Scholes'!$B$10-'Black-Scholes'!$B$9^2/2)*'Black-Scholes'!$B$7-'Black-Scholes'!$B$9*SQRT('Black-Scholes'!$B$7)*B1198)</f>
        <v>109.078163191205</v>
      </c>
      <c r="E1198" s="18" t="n">
        <f aca="false">EXP(-'Black-Scholes'!$B$8*'Black-Scholes'!$B$7)*IF(LOWER('Black-Scholes'!$B$11)="put",MAX('Black-Scholes'!$B$6-C1198,0),MAX(C1198-'Black-Scholes'!$B$6,0))</f>
        <v>0</v>
      </c>
      <c r="F1198" s="18" t="n">
        <f aca="false">(E1198+G1198)/2</f>
        <v>4.31770797394675</v>
      </c>
      <c r="G1198" s="18" t="n">
        <f aca="false">EXP(-'Black-Scholes'!$B$8*'Black-Scholes'!$B$7)*IF(LOWER('Black-Scholes'!$B$11)="put",MAX('Black-Scholes'!$B$6-D1198,0),MAX(D1198-'Black-Scholes'!$B$6,0))</f>
        <v>8.6354159478935</v>
      </c>
    </row>
    <row r="1199" customFormat="false" ht="15" hidden="false" customHeight="false" outlineLevel="0" collapsed="false">
      <c r="A1199" s="0" t="n">
        <v>1188</v>
      </c>
      <c r="B1199" s="15" t="n">
        <v>0.00176458151369384</v>
      </c>
      <c r="C1199" s="18" t="n">
        <f aca="false">'Black-Scholes'!$B$5*EXP(('Black-Scholes'!$B$8-'Black-Scholes'!$B$10-'Black-Scholes'!$B$9^2/2)*'Black-Scholes'!$B$7+'Black-Scholes'!$B$9*SQRT('Black-Scholes'!$B$7)*B1199)</f>
        <v>103.081826233684</v>
      </c>
      <c r="D1199" s="18" t="n">
        <f aca="false">'Black-Scholes'!$B$5*EXP(('Black-Scholes'!$B$8-'Black-Scholes'!$B$10-'Black-Scholes'!$B$9^2/2)*'Black-Scholes'!$B$7-'Black-Scholes'!$B$9*SQRT('Black-Scholes'!$B$7)*B1199)</f>
        <v>103.009093391322</v>
      </c>
      <c r="E1199" s="18" t="n">
        <f aca="false">EXP(-'Black-Scholes'!$B$8*'Black-Scholes'!$B$7)*IF(LOWER('Black-Scholes'!$B$11)="put",MAX('Black-Scholes'!$B$6-C1199,0),MAX(C1199-'Black-Scholes'!$B$6,0))</f>
        <v>2.93152379467873</v>
      </c>
      <c r="F1199" s="18" t="n">
        <f aca="false">(E1199+G1199)/2</f>
        <v>2.89693098478736</v>
      </c>
      <c r="G1199" s="18" t="n">
        <f aca="false">EXP(-'Black-Scholes'!$B$8*'Black-Scholes'!$B$7)*IF(LOWER('Black-Scholes'!$B$11)="put",MAX('Black-Scholes'!$B$6-D1199,0),MAX(D1199-'Black-Scholes'!$B$6,0))</f>
        <v>2.86233817489599</v>
      </c>
    </row>
    <row r="1200" customFormat="false" ht="15" hidden="false" customHeight="false" outlineLevel="0" collapsed="false">
      <c r="A1200" s="0" t="n">
        <v>1189</v>
      </c>
      <c r="B1200" s="15" t="n">
        <v>1.73547840066022</v>
      </c>
      <c r="C1200" s="18" t="n">
        <f aca="false">'Black-Scholes'!$B$5*EXP(('Black-Scholes'!$B$8-'Black-Scholes'!$B$10-'Black-Scholes'!$B$9^2/2)*'Black-Scholes'!$B$7+'Black-Scholes'!$B$9*SQRT('Black-Scholes'!$B$7)*B1200)</f>
        <v>145.80438085216</v>
      </c>
      <c r="D1200" s="18" t="n">
        <f aca="false">'Black-Scholes'!$B$5*EXP(('Black-Scholes'!$B$8-'Black-Scholes'!$B$10-'Black-Scholes'!$B$9^2/2)*'Black-Scholes'!$B$7-'Black-Scholes'!$B$9*SQRT('Black-Scholes'!$B$7)*B1200)</f>
        <v>72.8261071676593</v>
      </c>
      <c r="E1200" s="18" t="n">
        <f aca="false">EXP(-'Black-Scholes'!$B$8*'Black-Scholes'!$B$7)*IF(LOWER('Black-Scholes'!$B$11)="put",MAX('Black-Scholes'!$B$6-C1200,0),MAX(C1200-'Black-Scholes'!$B$6,0))</f>
        <v>43.5704748376114</v>
      </c>
      <c r="F1200" s="18" t="n">
        <f aca="false">(E1200+G1200)/2</f>
        <v>21.7852374188057</v>
      </c>
      <c r="G1200" s="18" t="n">
        <f aca="false">EXP(-'Black-Scholes'!$B$8*'Black-Scholes'!$B$7)*IF(LOWER('Black-Scholes'!$B$11)="put",MAX('Black-Scholes'!$B$6-D1200,0),MAX(D1200-'Black-Scholes'!$B$6,0))</f>
        <v>0</v>
      </c>
    </row>
    <row r="1201" customFormat="false" ht="15" hidden="false" customHeight="false" outlineLevel="0" collapsed="false">
      <c r="A1201" s="0" t="n">
        <v>1190</v>
      </c>
      <c r="B1201" s="15" t="n">
        <v>2.15855315784951</v>
      </c>
      <c r="C1201" s="18" t="n">
        <f aca="false">'Black-Scholes'!$B$5*EXP(('Black-Scholes'!$B$8-'Black-Scholes'!$B$10-'Black-Scholes'!$B$9^2/2)*'Black-Scholes'!$B$7+'Black-Scholes'!$B$9*SQRT('Black-Scholes'!$B$7)*B1201)</f>
        <v>158.678607099088</v>
      </c>
      <c r="D1201" s="18" t="n">
        <f aca="false">'Black-Scholes'!$B$5*EXP(('Black-Scholes'!$B$8-'Black-Scholes'!$B$10-'Black-Scholes'!$B$9^2/2)*'Black-Scholes'!$B$7-'Black-Scholes'!$B$9*SQRT('Black-Scholes'!$B$7)*B1201)</f>
        <v>66.9174355609441</v>
      </c>
      <c r="E1201" s="18" t="n">
        <f aca="false">EXP(-'Black-Scholes'!$B$8*'Black-Scholes'!$B$7)*IF(LOWER('Black-Scholes'!$B$11)="put",MAX('Black-Scholes'!$B$6-C1201,0),MAX(C1201-'Black-Scholes'!$B$6,0))</f>
        <v>55.816817661369</v>
      </c>
      <c r="F1201" s="18" t="n">
        <f aca="false">(E1201+G1201)/2</f>
        <v>27.9084088306845</v>
      </c>
      <c r="G1201" s="18" t="n">
        <f aca="false">EXP(-'Black-Scholes'!$B$8*'Black-Scholes'!$B$7)*IF(LOWER('Black-Scholes'!$B$11)="put",MAX('Black-Scholes'!$B$6-D1201,0),MAX(D1201-'Black-Scholes'!$B$6,0))</f>
        <v>0</v>
      </c>
    </row>
    <row r="1202" customFormat="false" ht="15" hidden="false" customHeight="false" outlineLevel="0" collapsed="false">
      <c r="A1202" s="0" t="n">
        <v>1191</v>
      </c>
      <c r="B1202" s="15" t="n">
        <v>-0.290412228704281</v>
      </c>
      <c r="C1202" s="18" t="n">
        <f aca="false">'Black-Scholes'!$B$5*EXP(('Black-Scholes'!$B$8-'Black-Scholes'!$B$10-'Black-Scholes'!$B$9^2/2)*'Black-Scholes'!$B$7+'Black-Scholes'!$B$9*SQRT('Black-Scholes'!$B$7)*B1202)</f>
        <v>97.2308200826663</v>
      </c>
      <c r="D1202" s="18" t="n">
        <f aca="false">'Black-Scholes'!$B$5*EXP(('Black-Scholes'!$B$8-'Black-Scholes'!$B$10-'Black-Scholes'!$B$9^2/2)*'Black-Scholes'!$B$7-'Black-Scholes'!$B$9*SQRT('Black-Scholes'!$B$7)*B1202)</f>
        <v>109.207815550931</v>
      </c>
      <c r="E1202" s="18" t="n">
        <f aca="false">EXP(-'Black-Scholes'!$B$8*'Black-Scholes'!$B$7)*IF(LOWER('Black-Scholes'!$B$11)="put",MAX('Black-Scholes'!$B$6-C1202,0),MAX(C1202-'Black-Scholes'!$B$6,0))</f>
        <v>0</v>
      </c>
      <c r="F1202" s="18" t="n">
        <f aca="false">(E1202+G1202)/2</f>
        <v>4.37937254371049</v>
      </c>
      <c r="G1202" s="18" t="n">
        <f aca="false">EXP(-'Black-Scholes'!$B$8*'Black-Scholes'!$B$7)*IF(LOWER('Black-Scholes'!$B$11)="put",MAX('Black-Scholes'!$B$6-D1202,0),MAX(D1202-'Black-Scholes'!$B$6,0))</f>
        <v>8.75874508742098</v>
      </c>
    </row>
    <row r="1203" customFormat="false" ht="15" hidden="false" customHeight="false" outlineLevel="0" collapsed="false">
      <c r="A1203" s="0" t="n">
        <v>1192</v>
      </c>
      <c r="B1203" s="15" t="n">
        <v>1.31889721354099</v>
      </c>
      <c r="C1203" s="18" t="n">
        <f aca="false">'Black-Scholes'!$B$5*EXP(('Black-Scholes'!$B$8-'Black-Scholes'!$B$10-'Black-Scholes'!$B$9^2/2)*'Black-Scholes'!$B$7+'Black-Scholes'!$B$9*SQRT('Black-Scholes'!$B$7)*B1203)</f>
        <v>134.148799607648</v>
      </c>
      <c r="D1203" s="18" t="n">
        <f aca="false">'Black-Scholes'!$B$5*EXP(('Black-Scholes'!$B$8-'Black-Scholes'!$B$10-'Black-Scholes'!$B$9^2/2)*'Black-Scholes'!$B$7-'Black-Scholes'!$B$9*SQRT('Black-Scholes'!$B$7)*B1203)</f>
        <v>79.1536375764052</v>
      </c>
      <c r="E1203" s="18" t="n">
        <f aca="false">EXP(-'Black-Scholes'!$B$8*'Black-Scholes'!$B$7)*IF(LOWER('Black-Scholes'!$B$11)="put",MAX('Black-Scholes'!$B$6-C1203,0),MAX(C1203-'Black-Scholes'!$B$6,0))</f>
        <v>32.4833429981734</v>
      </c>
      <c r="F1203" s="18" t="n">
        <f aca="false">(E1203+G1203)/2</f>
        <v>16.2416714990867</v>
      </c>
      <c r="G1203" s="18" t="n">
        <f aca="false">EXP(-'Black-Scholes'!$B$8*'Black-Scholes'!$B$7)*IF(LOWER('Black-Scholes'!$B$11)="put",MAX('Black-Scholes'!$B$6-D1203,0),MAX(D1203-'Black-Scholes'!$B$6,0))</f>
        <v>0</v>
      </c>
    </row>
    <row r="1204" customFormat="false" ht="15" hidden="false" customHeight="false" outlineLevel="0" collapsed="false">
      <c r="A1204" s="0" t="n">
        <v>1193</v>
      </c>
      <c r="B1204" s="15" t="n">
        <v>1.61797375585244</v>
      </c>
      <c r="C1204" s="18" t="n">
        <f aca="false">'Black-Scholes'!$B$5*EXP(('Black-Scholes'!$B$8-'Black-Scholes'!$B$10-'Black-Scholes'!$B$9^2/2)*'Black-Scholes'!$B$7+'Black-Scholes'!$B$9*SQRT('Black-Scholes'!$B$7)*B1204)</f>
        <v>142.417792308378</v>
      </c>
      <c r="D1204" s="18" t="n">
        <f aca="false">'Black-Scholes'!$B$5*EXP(('Black-Scholes'!$B$8-'Black-Scholes'!$B$10-'Black-Scholes'!$B$9^2/2)*'Black-Scholes'!$B$7-'Black-Scholes'!$B$9*SQRT('Black-Scholes'!$B$7)*B1204)</f>
        <v>74.5578575074493</v>
      </c>
      <c r="E1204" s="18" t="n">
        <f aca="false">EXP(-'Black-Scholes'!$B$8*'Black-Scholes'!$B$7)*IF(LOWER('Black-Scholes'!$B$11)="put",MAX('Black-Scholes'!$B$6-C1204,0),MAX(C1204-'Black-Scholes'!$B$6,0))</f>
        <v>40.3490521660897</v>
      </c>
      <c r="F1204" s="18" t="n">
        <f aca="false">(E1204+G1204)/2</f>
        <v>20.1745260830448</v>
      </c>
      <c r="G1204" s="18" t="n">
        <f aca="false">EXP(-'Black-Scholes'!$B$8*'Black-Scholes'!$B$7)*IF(LOWER('Black-Scholes'!$B$11)="put",MAX('Black-Scholes'!$B$6-D1204,0),MAX(D1204-'Black-Scholes'!$B$6,0))</f>
        <v>0</v>
      </c>
    </row>
    <row r="1205" customFormat="false" ht="15" hidden="false" customHeight="false" outlineLevel="0" collapsed="false">
      <c r="A1205" s="0" t="n">
        <v>1194</v>
      </c>
      <c r="B1205" s="15" t="n">
        <v>-0.0128595400222237</v>
      </c>
      <c r="C1205" s="18" t="n">
        <f aca="false">'Black-Scholes'!$B$5*EXP(('Black-Scholes'!$B$8-'Black-Scholes'!$B$10-'Black-Scholes'!$B$9^2/2)*'Black-Scholes'!$B$7+'Black-Scholes'!$B$9*SQRT('Black-Scholes'!$B$7)*B1205)</f>
        <v>102.780770484891</v>
      </c>
      <c r="D1205" s="18" t="n">
        <f aca="false">'Black-Scholes'!$B$5*EXP(('Black-Scholes'!$B$8-'Black-Scholes'!$B$10-'Black-Scholes'!$B$9^2/2)*'Black-Scholes'!$B$7-'Black-Scholes'!$B$9*SQRT('Black-Scholes'!$B$7)*B1205)</f>
        <v>103.31081792206</v>
      </c>
      <c r="E1205" s="18" t="n">
        <f aca="false">EXP(-'Black-Scholes'!$B$8*'Black-Scholes'!$B$7)*IF(LOWER('Black-Scholes'!$B$11)="put",MAX('Black-Scholes'!$B$6-C1205,0),MAX(C1205-'Black-Scholes'!$B$6,0))</f>
        <v>2.64515070801108</v>
      </c>
      <c r="F1205" s="18" t="n">
        <f aca="false">(E1205+G1205)/2</f>
        <v>2.89724906731953</v>
      </c>
      <c r="G1205" s="18" t="n">
        <f aca="false">EXP(-'Black-Scholes'!$B$8*'Black-Scholes'!$B$7)*IF(LOWER('Black-Scholes'!$B$11)="put",MAX('Black-Scholes'!$B$6-D1205,0),MAX(D1205-'Black-Scholes'!$B$6,0))</f>
        <v>3.14934742662798</v>
      </c>
    </row>
    <row r="1206" customFormat="false" ht="15" hidden="false" customHeight="false" outlineLevel="0" collapsed="false">
      <c r="A1206" s="0" t="n">
        <v>1195</v>
      </c>
      <c r="B1206" s="15" t="n">
        <v>-0.22707219120764</v>
      </c>
      <c r="C1206" s="18" t="n">
        <f aca="false">'Black-Scholes'!$B$5*EXP(('Black-Scholes'!$B$8-'Black-Scholes'!$B$10-'Black-Scholes'!$B$9^2/2)*'Black-Scholes'!$B$7+'Black-Scholes'!$B$9*SQRT('Black-Scholes'!$B$7)*B1206)</f>
        <v>98.4703756132368</v>
      </c>
      <c r="D1206" s="18" t="n">
        <f aca="false">'Black-Scholes'!$B$5*EXP(('Black-Scholes'!$B$8-'Black-Scholes'!$B$10-'Black-Scholes'!$B$9^2/2)*'Black-Scholes'!$B$7-'Black-Scholes'!$B$9*SQRT('Black-Scholes'!$B$7)*B1206)</f>
        <v>107.833095987767</v>
      </c>
      <c r="E1206" s="18" t="n">
        <f aca="false">EXP(-'Black-Scholes'!$B$8*'Black-Scholes'!$B$7)*IF(LOWER('Black-Scholes'!$B$11)="put",MAX('Black-Scholes'!$B$6-C1206,0),MAX(C1206-'Black-Scholes'!$B$6,0))</f>
        <v>0</v>
      </c>
      <c r="F1206" s="18" t="n">
        <f aca="false">(E1206+G1206)/2</f>
        <v>3.72553569425106</v>
      </c>
      <c r="G1206" s="18" t="n">
        <f aca="false">EXP(-'Black-Scholes'!$B$8*'Black-Scholes'!$B$7)*IF(LOWER('Black-Scholes'!$B$11)="put",MAX('Black-Scholes'!$B$6-D1206,0),MAX(D1206-'Black-Scholes'!$B$6,0))</f>
        <v>7.45107138850213</v>
      </c>
    </row>
    <row r="1207" customFormat="false" ht="15" hidden="false" customHeight="false" outlineLevel="0" collapsed="false">
      <c r="A1207" s="0" t="n">
        <v>1196</v>
      </c>
      <c r="B1207" s="15" t="n">
        <v>0.524640586364969</v>
      </c>
      <c r="C1207" s="18" t="n">
        <f aca="false">'Black-Scholes'!$B$5*EXP(('Black-Scholes'!$B$8-'Black-Scholes'!$B$10-'Black-Scholes'!$B$9^2/2)*'Black-Scholes'!$B$7+'Black-Scholes'!$B$9*SQRT('Black-Scholes'!$B$7)*B1207)</f>
        <v>114.445451488301</v>
      </c>
      <c r="D1207" s="18" t="n">
        <f aca="false">'Black-Scholes'!$B$5*EXP(('Black-Scholes'!$B$8-'Black-Scholes'!$B$10-'Black-Scholes'!$B$9^2/2)*'Black-Scholes'!$B$7-'Black-Scholes'!$B$9*SQRT('Black-Scholes'!$B$7)*B1207)</f>
        <v>92.7810177457254</v>
      </c>
      <c r="E1207" s="18" t="n">
        <f aca="false">EXP(-'Black-Scholes'!$B$8*'Black-Scholes'!$B$7)*IF(LOWER('Black-Scholes'!$B$11)="put",MAX('Black-Scholes'!$B$6-C1207,0),MAX(C1207-'Black-Scholes'!$B$6,0))</f>
        <v>13.7409385058694</v>
      </c>
      <c r="F1207" s="18" t="n">
        <f aca="false">(E1207+G1207)/2</f>
        <v>6.87046925293471</v>
      </c>
      <c r="G1207" s="18" t="n">
        <f aca="false">EXP(-'Black-Scholes'!$B$8*'Black-Scholes'!$B$7)*IF(LOWER('Black-Scholes'!$B$11)="put",MAX('Black-Scholes'!$B$6-D1207,0),MAX(D1207-'Black-Scholes'!$B$6,0))</f>
        <v>0</v>
      </c>
    </row>
    <row r="1208" customFormat="false" ht="15" hidden="false" customHeight="false" outlineLevel="0" collapsed="false">
      <c r="A1208" s="0" t="n">
        <v>1197</v>
      </c>
      <c r="B1208" s="15" t="n">
        <v>0.991588664224514</v>
      </c>
      <c r="C1208" s="18" t="n">
        <f aca="false">'Black-Scholes'!$B$5*EXP(('Black-Scholes'!$B$8-'Black-Scholes'!$B$10-'Black-Scholes'!$B$9^2/2)*'Black-Scholes'!$B$7+'Black-Scholes'!$B$9*SQRT('Black-Scholes'!$B$7)*B1208)</f>
        <v>125.648448840647</v>
      </c>
      <c r="D1208" s="18" t="n">
        <f aca="false">'Black-Scholes'!$B$5*EXP(('Black-Scholes'!$B$8-'Black-Scholes'!$B$10-'Black-Scholes'!$B$9^2/2)*'Black-Scholes'!$B$7-'Black-Scholes'!$B$9*SQRT('Black-Scholes'!$B$7)*B1208)</f>
        <v>84.5085280672289</v>
      </c>
      <c r="E1208" s="18" t="n">
        <f aca="false">EXP(-'Black-Scholes'!$B$8*'Black-Scholes'!$B$7)*IF(LOWER('Black-Scholes'!$B$11)="put",MAX('Black-Scholes'!$B$6-C1208,0),MAX(C1208-'Black-Scholes'!$B$6,0))</f>
        <v>24.3975592300247</v>
      </c>
      <c r="F1208" s="18" t="n">
        <f aca="false">(E1208+G1208)/2</f>
        <v>12.1987796150123</v>
      </c>
      <c r="G1208" s="18" t="n">
        <f aca="false">EXP(-'Black-Scholes'!$B$8*'Black-Scholes'!$B$7)*IF(LOWER('Black-Scholes'!$B$11)="put",MAX('Black-Scholes'!$B$6-D1208,0),MAX(D1208-'Black-Scholes'!$B$6,0))</f>
        <v>0</v>
      </c>
    </row>
    <row r="1209" customFormat="false" ht="15" hidden="false" customHeight="false" outlineLevel="0" collapsed="false">
      <c r="A1209" s="0" t="n">
        <v>1198</v>
      </c>
      <c r="B1209" s="15" t="n">
        <v>0.806538025577519</v>
      </c>
      <c r="C1209" s="18" t="n">
        <f aca="false">'Black-Scholes'!$B$5*EXP(('Black-Scholes'!$B$8-'Black-Scholes'!$B$10-'Black-Scholes'!$B$9^2/2)*'Black-Scholes'!$B$7+'Black-Scholes'!$B$9*SQRT('Black-Scholes'!$B$7)*B1209)</f>
        <v>121.083185287413</v>
      </c>
      <c r="D1209" s="18" t="n">
        <f aca="false">'Black-Scholes'!$B$5*EXP(('Black-Scholes'!$B$8-'Black-Scholes'!$B$10-'Black-Scholes'!$B$9^2/2)*'Black-Scholes'!$B$7-'Black-Scholes'!$B$9*SQRT('Black-Scholes'!$B$7)*B1209)</f>
        <v>87.6947979213546</v>
      </c>
      <c r="E1209" s="18" t="n">
        <f aca="false">EXP(-'Black-Scholes'!$B$8*'Black-Scholes'!$B$7)*IF(LOWER('Black-Scholes'!$B$11)="put",MAX('Black-Scholes'!$B$6-C1209,0),MAX(C1209-'Black-Scholes'!$B$6,0))</f>
        <v>20.0549462075876</v>
      </c>
      <c r="F1209" s="18" t="n">
        <f aca="false">(E1209+G1209)/2</f>
        <v>10.0274731037938</v>
      </c>
      <c r="G1209" s="18" t="n">
        <f aca="false">EXP(-'Black-Scholes'!$B$8*'Black-Scholes'!$B$7)*IF(LOWER('Black-Scholes'!$B$11)="put",MAX('Black-Scholes'!$B$6-D1209,0),MAX(D1209-'Black-Scholes'!$B$6,0))</f>
        <v>0</v>
      </c>
    </row>
    <row r="1210" customFormat="false" ht="15" hidden="false" customHeight="false" outlineLevel="0" collapsed="false">
      <c r="A1210" s="0" t="n">
        <v>1199</v>
      </c>
      <c r="B1210" s="15" t="n">
        <v>-0.655986106596706</v>
      </c>
      <c r="C1210" s="18" t="n">
        <f aca="false">'Black-Scholes'!$B$5*EXP(('Black-Scholes'!$B$8-'Black-Scholes'!$B$10-'Black-Scholes'!$B$9^2/2)*'Black-Scholes'!$B$7+'Black-Scholes'!$B$9*SQRT('Black-Scholes'!$B$7)*B1210)</f>
        <v>90.3754775599169</v>
      </c>
      <c r="D1210" s="18" t="n">
        <f aca="false">'Black-Scholes'!$B$5*EXP(('Black-Scholes'!$B$8-'Black-Scholes'!$B$10-'Black-Scholes'!$B$9^2/2)*'Black-Scholes'!$B$7-'Black-Scholes'!$B$9*SQRT('Black-Scholes'!$B$7)*B1210)</f>
        <v>117.491666458015</v>
      </c>
      <c r="E1210" s="18" t="n">
        <f aca="false">EXP(-'Black-Scholes'!$B$8*'Black-Scholes'!$B$7)*IF(LOWER('Black-Scholes'!$B$11)="put",MAX('Black-Scholes'!$B$6-C1210,0),MAX(C1210-'Black-Scholes'!$B$6,0))</f>
        <v>0</v>
      </c>
      <c r="F1210" s="18" t="n">
        <f aca="false">(E1210+G1210)/2</f>
        <v>8.31929390920816</v>
      </c>
      <c r="G1210" s="18" t="n">
        <f aca="false">EXP(-'Black-Scholes'!$B$8*'Black-Scholes'!$B$7)*IF(LOWER('Black-Scholes'!$B$11)="put",MAX('Black-Scholes'!$B$6-D1210,0),MAX(D1210-'Black-Scholes'!$B$6,0))</f>
        <v>16.6385878184163</v>
      </c>
    </row>
    <row r="1211" customFormat="false" ht="15" hidden="false" customHeight="false" outlineLevel="0" collapsed="false">
      <c r="A1211" s="0" t="n">
        <v>1200</v>
      </c>
      <c r="B1211" s="15" t="n">
        <v>0.494555377442589</v>
      </c>
      <c r="C1211" s="18" t="n">
        <f aca="false">'Black-Scholes'!$B$5*EXP(('Black-Scholes'!$B$8-'Black-Scholes'!$B$10-'Black-Scholes'!$B$9^2/2)*'Black-Scholes'!$B$7+'Black-Scholes'!$B$9*SQRT('Black-Scholes'!$B$7)*B1211)</f>
        <v>113.758896012527</v>
      </c>
      <c r="D1211" s="18" t="n">
        <f aca="false">'Black-Scholes'!$B$5*EXP(('Black-Scholes'!$B$8-'Black-Scholes'!$B$10-'Black-Scholes'!$B$9^2/2)*'Black-Scholes'!$B$7-'Black-Scholes'!$B$9*SQRT('Black-Scholes'!$B$7)*B1211)</f>
        <v>93.3409679387563</v>
      </c>
      <c r="E1211" s="18" t="n">
        <f aca="false">EXP(-'Black-Scholes'!$B$8*'Black-Scholes'!$B$7)*IF(LOWER('Black-Scholes'!$B$11)="put",MAX('Black-Scholes'!$B$6-C1211,0),MAX(C1211-'Black-Scholes'!$B$6,0))</f>
        <v>13.0878667357612</v>
      </c>
      <c r="F1211" s="18" t="n">
        <f aca="false">(E1211+G1211)/2</f>
        <v>6.54393336788062</v>
      </c>
      <c r="G1211" s="18" t="n">
        <f aca="false">EXP(-'Black-Scholes'!$B$8*'Black-Scholes'!$B$7)*IF(LOWER('Black-Scholes'!$B$11)="put",MAX('Black-Scholes'!$B$6-D1211,0),MAX(D1211-'Black-Scholes'!$B$6,0))</f>
        <v>0</v>
      </c>
    </row>
    <row r="1212" customFormat="false" ht="15" hidden="false" customHeight="false" outlineLevel="0" collapsed="false">
      <c r="A1212" s="0" t="n">
        <v>1201</v>
      </c>
      <c r="B1212" s="15" t="n">
        <v>0.0546785123514332</v>
      </c>
      <c r="C1212" s="18" t="n">
        <f aca="false">'Black-Scholes'!$B$5*EXP(('Black-Scholes'!$B$8-'Black-Scholes'!$B$10-'Black-Scholes'!$B$9^2/2)*'Black-Scholes'!$B$7+'Black-Scholes'!$B$9*SQRT('Black-Scholes'!$B$7)*B1212)</f>
        <v>104.178511918232</v>
      </c>
      <c r="D1212" s="18" t="n">
        <f aca="false">'Black-Scholes'!$B$5*EXP(('Black-Scholes'!$B$8-'Black-Scholes'!$B$10-'Black-Scholes'!$B$9^2/2)*'Black-Scholes'!$B$7-'Black-Scholes'!$B$9*SQRT('Black-Scholes'!$B$7)*B1212)</f>
        <v>101.924718158652</v>
      </c>
      <c r="E1212" s="18" t="n">
        <f aca="false">EXP(-'Black-Scholes'!$B$8*'Black-Scholes'!$B$7)*IF(LOWER('Black-Scholes'!$B$11)="put",MAX('Black-Scholes'!$B$6-C1212,0),MAX(C1212-'Black-Scholes'!$B$6,0))</f>
        <v>3.97472348724903</v>
      </c>
      <c r="F1212" s="18" t="n">
        <f aca="false">(E1212+G1212)/2</f>
        <v>2.90278601681505</v>
      </c>
      <c r="G1212" s="18" t="n">
        <f aca="false">EXP(-'Black-Scholes'!$B$8*'Black-Scholes'!$B$7)*IF(LOWER('Black-Scholes'!$B$11)="put",MAX('Black-Scholes'!$B$6-D1212,0),MAX(D1212-'Black-Scholes'!$B$6,0))</f>
        <v>1.83084854638106</v>
      </c>
    </row>
    <row r="1213" customFormat="false" ht="15" hidden="false" customHeight="false" outlineLevel="0" collapsed="false">
      <c r="A1213" s="0" t="n">
        <v>1202</v>
      </c>
      <c r="B1213" s="15" t="n">
        <v>1.11571176341078</v>
      </c>
      <c r="C1213" s="18" t="n">
        <f aca="false">'Black-Scholes'!$B$5*EXP(('Black-Scholes'!$B$8-'Black-Scholes'!$B$10-'Black-Scholes'!$B$9^2/2)*'Black-Scholes'!$B$7+'Black-Scholes'!$B$9*SQRT('Black-Scholes'!$B$7)*B1213)</f>
        <v>128.806662352303</v>
      </c>
      <c r="D1213" s="18" t="n">
        <f aca="false">'Black-Scholes'!$B$5*EXP(('Black-Scholes'!$B$8-'Black-Scholes'!$B$10-'Black-Scholes'!$B$9^2/2)*'Black-Scholes'!$B$7-'Black-Scholes'!$B$9*SQRT('Black-Scholes'!$B$7)*B1213)</f>
        <v>82.4364615272074</v>
      </c>
      <c r="E1213" s="18" t="n">
        <f aca="false">EXP(-'Black-Scholes'!$B$8*'Black-Scholes'!$B$7)*IF(LOWER('Black-Scholes'!$B$11)="put",MAX('Black-Scholes'!$B$6-C1213,0),MAX(C1213-'Black-Scholes'!$B$6,0))</f>
        <v>27.4017448511674</v>
      </c>
      <c r="F1213" s="18" t="n">
        <f aca="false">(E1213+G1213)/2</f>
        <v>13.7008724255837</v>
      </c>
      <c r="G1213" s="18" t="n">
        <f aca="false">EXP(-'Black-Scholes'!$B$8*'Black-Scholes'!$B$7)*IF(LOWER('Black-Scholes'!$B$11)="put",MAX('Black-Scholes'!$B$6-D1213,0),MAX(D1213-'Black-Scholes'!$B$6,0))</f>
        <v>0</v>
      </c>
    </row>
    <row r="1214" customFormat="false" ht="15" hidden="false" customHeight="false" outlineLevel="0" collapsed="false">
      <c r="A1214" s="0" t="n">
        <v>1203</v>
      </c>
      <c r="B1214" s="15" t="n">
        <v>0.954845233374131</v>
      </c>
      <c r="C1214" s="18" t="n">
        <f aca="false">'Black-Scholes'!$B$5*EXP(('Black-Scholes'!$B$8-'Black-Scholes'!$B$10-'Black-Scholes'!$B$9^2/2)*'Black-Scholes'!$B$7+'Black-Scholes'!$B$9*SQRT('Black-Scholes'!$B$7)*B1214)</f>
        <v>124.728482235385</v>
      </c>
      <c r="D1214" s="18" t="n">
        <f aca="false">'Black-Scholes'!$B$5*EXP(('Black-Scholes'!$B$8-'Black-Scholes'!$B$10-'Black-Scholes'!$B$9^2/2)*'Black-Scholes'!$B$7-'Black-Scholes'!$B$9*SQRT('Black-Scholes'!$B$7)*B1214)</f>
        <v>85.1318421835265</v>
      </c>
      <c r="E1214" s="18" t="n">
        <f aca="false">EXP(-'Black-Scholes'!$B$8*'Black-Scholes'!$B$7)*IF(LOWER('Black-Scholes'!$B$11)="put",MAX('Black-Scholes'!$B$6-C1214,0),MAX(C1214-'Black-Scholes'!$B$6,0))</f>
        <v>23.5224599255415</v>
      </c>
      <c r="F1214" s="18" t="n">
        <f aca="false">(E1214+G1214)/2</f>
        <v>11.7612299627708</v>
      </c>
      <c r="G1214" s="18" t="n">
        <f aca="false">EXP(-'Black-Scholes'!$B$8*'Black-Scholes'!$B$7)*IF(LOWER('Black-Scholes'!$B$11)="put",MAX('Black-Scholes'!$B$6-D1214,0),MAX(D1214-'Black-Scholes'!$B$6,0))</f>
        <v>0</v>
      </c>
    </row>
    <row r="1215" customFormat="false" ht="15" hidden="false" customHeight="false" outlineLevel="0" collapsed="false">
      <c r="A1215" s="0" t="n">
        <v>1204</v>
      </c>
      <c r="B1215" s="15" t="n">
        <v>0.0612829699089441</v>
      </c>
      <c r="C1215" s="18" t="n">
        <f aca="false">'Black-Scholes'!$B$5*EXP(('Black-Scholes'!$B$8-'Black-Scholes'!$B$10-'Black-Scholes'!$B$9^2/2)*'Black-Scholes'!$B$7+'Black-Scholes'!$B$9*SQRT('Black-Scholes'!$B$7)*B1215)</f>
        <v>104.316211353292</v>
      </c>
      <c r="D1215" s="18" t="n">
        <f aca="false">'Black-Scholes'!$B$5*EXP(('Black-Scholes'!$B$8-'Black-Scholes'!$B$10-'Black-Scholes'!$B$9^2/2)*'Black-Scholes'!$B$7-'Black-Scholes'!$B$9*SQRT('Black-Scholes'!$B$7)*B1215)</f>
        <v>101.790175541287</v>
      </c>
      <c r="E1215" s="18" t="n">
        <f aca="false">EXP(-'Black-Scholes'!$B$8*'Black-Scholes'!$B$7)*IF(LOWER('Black-Scholes'!$B$11)="put",MAX('Black-Scholes'!$B$6-C1215,0),MAX(C1215-'Black-Scholes'!$B$6,0))</f>
        <v>4.10570724161543</v>
      </c>
      <c r="F1215" s="18" t="n">
        <f aca="false">(E1215+G1215)/2</f>
        <v>2.90428744575458</v>
      </c>
      <c r="G1215" s="18" t="n">
        <f aca="false">EXP(-'Black-Scholes'!$B$8*'Black-Scholes'!$B$7)*IF(LOWER('Black-Scholes'!$B$11)="put",MAX('Black-Scholes'!$B$6-D1215,0),MAX(D1215-'Black-Scholes'!$B$6,0))</f>
        <v>1.70286764989373</v>
      </c>
    </row>
    <row r="1216" customFormat="false" ht="15" hidden="false" customHeight="false" outlineLevel="0" collapsed="false">
      <c r="A1216" s="0" t="n">
        <v>1205</v>
      </c>
      <c r="B1216" s="15" t="n">
        <v>-0.551328269650999</v>
      </c>
      <c r="C1216" s="18" t="n">
        <f aca="false">'Black-Scholes'!$B$5*EXP(('Black-Scholes'!$B$8-'Black-Scholes'!$B$10-'Black-Scholes'!$B$9^2/2)*'Black-Scholes'!$B$7+'Black-Scholes'!$B$9*SQRT('Black-Scholes'!$B$7)*B1216)</f>
        <v>92.2871149471391</v>
      </c>
      <c r="D1216" s="18" t="n">
        <f aca="false">'Black-Scholes'!$B$5*EXP(('Black-Scholes'!$B$8-'Black-Scholes'!$B$10-'Black-Scholes'!$B$9^2/2)*'Black-Scholes'!$B$7-'Black-Scholes'!$B$9*SQRT('Black-Scholes'!$B$7)*B1216)</f>
        <v>115.057941420486</v>
      </c>
      <c r="E1216" s="18" t="n">
        <f aca="false">EXP(-'Black-Scholes'!$B$8*'Black-Scholes'!$B$7)*IF(LOWER('Black-Scholes'!$B$11)="put",MAX('Black-Scholes'!$B$6-C1216,0),MAX(C1216-'Black-Scholes'!$B$6,0))</f>
        <v>0</v>
      </c>
      <c r="F1216" s="18" t="n">
        <f aca="false">(E1216+G1216)/2</f>
        <v>7.16177847578724</v>
      </c>
      <c r="G1216" s="18" t="n">
        <f aca="false">EXP(-'Black-Scholes'!$B$8*'Black-Scholes'!$B$7)*IF(LOWER('Black-Scholes'!$B$11)="put",MAX('Black-Scholes'!$B$6-D1216,0),MAX(D1216-'Black-Scholes'!$B$6,0))</f>
        <v>14.3235569515745</v>
      </c>
    </row>
    <row r="1217" customFormat="false" ht="15" hidden="false" customHeight="false" outlineLevel="0" collapsed="false">
      <c r="A1217" s="0" t="n">
        <v>1206</v>
      </c>
      <c r="B1217" s="15" t="n">
        <v>1.60717166852655</v>
      </c>
      <c r="C1217" s="18" t="n">
        <f aca="false">'Black-Scholes'!$B$5*EXP(('Black-Scholes'!$B$8-'Black-Scholes'!$B$10-'Black-Scholes'!$B$9^2/2)*'Black-Scholes'!$B$7+'Black-Scholes'!$B$9*SQRT('Black-Scholes'!$B$7)*B1217)</f>
        <v>142.110442543967</v>
      </c>
      <c r="D1217" s="18" t="n">
        <f aca="false">'Black-Scholes'!$B$5*EXP(('Black-Scholes'!$B$8-'Black-Scholes'!$B$10-'Black-Scholes'!$B$9^2/2)*'Black-Scholes'!$B$7-'Black-Scholes'!$B$9*SQRT('Black-Scholes'!$B$7)*B1217)</f>
        <v>74.7191077261508</v>
      </c>
      <c r="E1217" s="18" t="n">
        <f aca="false">EXP(-'Black-Scholes'!$B$8*'Black-Scholes'!$B$7)*IF(LOWER('Black-Scholes'!$B$11)="put",MAX('Black-Scholes'!$B$6-C1217,0),MAX(C1217-'Black-Scholes'!$B$6,0))</f>
        <v>40.0566920265677</v>
      </c>
      <c r="F1217" s="18" t="n">
        <f aca="false">(E1217+G1217)/2</f>
        <v>20.0283460132839</v>
      </c>
      <c r="G1217" s="18" t="n">
        <f aca="false">EXP(-'Black-Scholes'!$B$8*'Black-Scholes'!$B$7)*IF(LOWER('Black-Scholes'!$B$11)="put",MAX('Black-Scholes'!$B$6-D1217,0),MAX(D1217-'Black-Scholes'!$B$6,0))</f>
        <v>0</v>
      </c>
    </row>
    <row r="1218" customFormat="false" ht="15" hidden="false" customHeight="false" outlineLevel="0" collapsed="false">
      <c r="A1218" s="0" t="n">
        <v>1207</v>
      </c>
      <c r="B1218" s="15" t="n">
        <v>-0.281660331693845</v>
      </c>
      <c r="C1218" s="18" t="n">
        <f aca="false">'Black-Scholes'!$B$5*EXP(('Black-Scholes'!$B$8-'Black-Scholes'!$B$10-'Black-Scholes'!$B$9^2/2)*'Black-Scholes'!$B$7+'Black-Scholes'!$B$9*SQRT('Black-Scholes'!$B$7)*B1218)</f>
        <v>97.401159943588</v>
      </c>
      <c r="D1218" s="18" t="n">
        <f aca="false">'Black-Scholes'!$B$5*EXP(('Black-Scholes'!$B$8-'Black-Scholes'!$B$10-'Black-Scholes'!$B$9^2/2)*'Black-Scholes'!$B$7-'Black-Scholes'!$B$9*SQRT('Black-Scholes'!$B$7)*B1218)</f>
        <v>109.01682763946</v>
      </c>
      <c r="E1218" s="18" t="n">
        <f aca="false">EXP(-'Black-Scholes'!$B$8*'Black-Scholes'!$B$7)*IF(LOWER('Black-Scholes'!$B$11)="put",MAX('Black-Scholes'!$B$6-C1218,0),MAX(C1218-'Black-Scholes'!$B$6,0))</f>
        <v>0</v>
      </c>
      <c r="F1218" s="18" t="n">
        <f aca="false">(E1218+G1218)/2</f>
        <v>4.28853588315277</v>
      </c>
      <c r="G1218" s="18" t="n">
        <f aca="false">EXP(-'Black-Scholes'!$B$8*'Black-Scholes'!$B$7)*IF(LOWER('Black-Scholes'!$B$11)="put",MAX('Black-Scholes'!$B$6-D1218,0),MAX(D1218-'Black-Scholes'!$B$6,0))</f>
        <v>8.57707176630555</v>
      </c>
    </row>
    <row r="1219" customFormat="false" ht="15" hidden="false" customHeight="false" outlineLevel="0" collapsed="false">
      <c r="A1219" s="0" t="n">
        <v>1208</v>
      </c>
      <c r="B1219" s="15" t="n">
        <v>-0.680732582597238</v>
      </c>
      <c r="C1219" s="18" t="n">
        <f aca="false">'Black-Scholes'!$B$5*EXP(('Black-Scholes'!$B$8-'Black-Scholes'!$B$10-'Black-Scholes'!$B$9^2/2)*'Black-Scholes'!$B$7+'Black-Scholes'!$B$9*SQRT('Black-Scholes'!$B$7)*B1219)</f>
        <v>89.9292877160526</v>
      </c>
      <c r="D1219" s="18" t="n">
        <f aca="false">'Black-Scholes'!$B$5*EXP(('Black-Scholes'!$B$8-'Black-Scholes'!$B$10-'Black-Scholes'!$B$9^2/2)*'Black-Scholes'!$B$7-'Black-Scholes'!$B$9*SQRT('Black-Scholes'!$B$7)*B1219)</f>
        <v>118.074608785745</v>
      </c>
      <c r="E1219" s="18" t="n">
        <f aca="false">EXP(-'Black-Scholes'!$B$8*'Black-Scholes'!$B$7)*IF(LOWER('Black-Scholes'!$B$11)="put",MAX('Black-Scholes'!$B$6-C1219,0),MAX(C1219-'Black-Scholes'!$B$6,0))</f>
        <v>0</v>
      </c>
      <c r="F1219" s="18" t="n">
        <f aca="false">(E1219+G1219)/2</f>
        <v>8.59654985666977</v>
      </c>
      <c r="G1219" s="18" t="n">
        <f aca="false">EXP(-'Black-Scholes'!$B$8*'Black-Scholes'!$B$7)*IF(LOWER('Black-Scholes'!$B$11)="put",MAX('Black-Scholes'!$B$6-D1219,0),MAX(D1219-'Black-Scholes'!$B$6,0))</f>
        <v>17.1930997133395</v>
      </c>
    </row>
    <row r="1220" customFormat="false" ht="15" hidden="false" customHeight="false" outlineLevel="0" collapsed="false">
      <c r="A1220" s="0" t="n">
        <v>1209</v>
      </c>
      <c r="B1220" s="15" t="n">
        <v>-0.556299185482717</v>
      </c>
      <c r="C1220" s="18" t="n">
        <f aca="false">'Black-Scholes'!$B$5*EXP(('Black-Scholes'!$B$8-'Black-Scholes'!$B$10-'Black-Scholes'!$B$9^2/2)*'Black-Scholes'!$B$7+'Black-Scholes'!$B$9*SQRT('Black-Scholes'!$B$7)*B1220)</f>
        <v>92.1954102441776</v>
      </c>
      <c r="D1220" s="18" t="n">
        <f aca="false">'Black-Scholes'!$B$5*EXP(('Black-Scholes'!$B$8-'Black-Scholes'!$B$10-'Black-Scholes'!$B$9^2/2)*'Black-Scholes'!$B$7-'Black-Scholes'!$B$9*SQRT('Black-Scholes'!$B$7)*B1220)</f>
        <v>115.172386969493</v>
      </c>
      <c r="E1220" s="18" t="n">
        <f aca="false">EXP(-'Black-Scholes'!$B$8*'Black-Scholes'!$B$7)*IF(LOWER('Black-Scholes'!$B$11)="put",MAX('Black-Scholes'!$B$6-C1220,0),MAX(C1220-'Black-Scholes'!$B$6,0))</f>
        <v>0</v>
      </c>
      <c r="F1220" s="18" t="n">
        <f aca="false">(E1220+G1220)/2</f>
        <v>7.21621046264656</v>
      </c>
      <c r="G1220" s="18" t="n">
        <f aca="false">EXP(-'Black-Scholes'!$B$8*'Black-Scholes'!$B$7)*IF(LOWER('Black-Scholes'!$B$11)="put",MAX('Black-Scholes'!$B$6-D1220,0),MAX(D1220-'Black-Scholes'!$B$6,0))</f>
        <v>14.4324209252931</v>
      </c>
    </row>
    <row r="1221" customFormat="false" ht="15" hidden="false" customHeight="false" outlineLevel="0" collapsed="false">
      <c r="A1221" s="0" t="n">
        <v>1210</v>
      </c>
      <c r="B1221" s="15" t="n">
        <v>-0.94860579256772</v>
      </c>
      <c r="C1221" s="18" t="n">
        <f aca="false">'Black-Scholes'!$B$5*EXP(('Black-Scholes'!$B$8-'Black-Scholes'!$B$10-'Black-Scholes'!$B$9^2/2)*'Black-Scholes'!$B$7+'Black-Scholes'!$B$9*SQRT('Black-Scholes'!$B$7)*B1221)</f>
        <v>85.2381435138267</v>
      </c>
      <c r="D1221" s="18" t="n">
        <f aca="false">'Black-Scholes'!$B$5*EXP(('Black-Scholes'!$B$8-'Black-Scholes'!$B$10-'Black-Scholes'!$B$9^2/2)*'Black-Scholes'!$B$7-'Black-Scholes'!$B$9*SQRT('Black-Scholes'!$B$7)*B1221)</f>
        <v>124.572932113792</v>
      </c>
      <c r="E1221" s="18" t="n">
        <f aca="false">EXP(-'Black-Scholes'!$B$8*'Black-Scholes'!$B$7)*IF(LOWER('Black-Scholes'!$B$11)="put",MAX('Black-Scholes'!$B$6-C1221,0),MAX(C1221-'Black-Scholes'!$B$6,0))</f>
        <v>0</v>
      </c>
      <c r="F1221" s="18" t="n">
        <f aca="false">(E1221+G1221)/2</f>
        <v>11.6872480364488</v>
      </c>
      <c r="G1221" s="18" t="n">
        <f aca="false">EXP(-'Black-Scholes'!$B$8*'Black-Scholes'!$B$7)*IF(LOWER('Black-Scholes'!$B$11)="put",MAX('Black-Scholes'!$B$6-D1221,0),MAX(D1221-'Black-Scholes'!$B$6,0))</f>
        <v>23.3744960728975</v>
      </c>
    </row>
    <row r="1222" customFormat="false" ht="15" hidden="false" customHeight="false" outlineLevel="0" collapsed="false">
      <c r="A1222" s="0" t="n">
        <v>1211</v>
      </c>
      <c r="B1222" s="15" t="n">
        <v>-1.45587052161681</v>
      </c>
      <c r="C1222" s="18" t="n">
        <f aca="false">'Black-Scholes'!$B$5*EXP(('Black-Scholes'!$B$8-'Black-Scholes'!$B$10-'Black-Scholes'!$B$9^2/2)*'Black-Scholes'!$B$7+'Black-Scholes'!$B$9*SQRT('Black-Scholes'!$B$7)*B1222)</f>
        <v>77.0146822050593</v>
      </c>
      <c r="D1222" s="18" t="n">
        <f aca="false">'Black-Scholes'!$B$5*EXP(('Black-Scholes'!$B$8-'Black-Scholes'!$B$10-'Black-Scholes'!$B$9^2/2)*'Black-Scholes'!$B$7-'Black-Scholes'!$B$9*SQRT('Black-Scholes'!$B$7)*B1222)</f>
        <v>137.874560556923</v>
      </c>
      <c r="E1222" s="18" t="n">
        <f aca="false">EXP(-'Black-Scholes'!$B$8*'Black-Scholes'!$B$7)*IF(LOWER('Black-Scholes'!$B$11)="put",MAX('Black-Scholes'!$B$6-C1222,0),MAX(C1222-'Black-Scholes'!$B$6,0))</f>
        <v>0</v>
      </c>
      <c r="F1222" s="18" t="n">
        <f aca="false">(E1222+G1222)/2</f>
        <v>18.0136982208894</v>
      </c>
      <c r="G1222" s="18" t="n">
        <f aca="false">EXP(-'Black-Scholes'!$B$8*'Black-Scholes'!$B$7)*IF(LOWER('Black-Scholes'!$B$11)="put",MAX('Black-Scholes'!$B$6-D1222,0),MAX(D1222-'Black-Scholes'!$B$6,0))</f>
        <v>36.0273964417789</v>
      </c>
    </row>
    <row r="1223" customFormat="false" ht="15" hidden="false" customHeight="false" outlineLevel="0" collapsed="false">
      <c r="A1223" s="0" t="n">
        <v>1212</v>
      </c>
      <c r="B1223" s="15" t="n">
        <v>-0.588422217961092</v>
      </c>
      <c r="C1223" s="18" t="n">
        <f aca="false">'Black-Scholes'!$B$5*EXP(('Black-Scholes'!$B$8-'Black-Scholes'!$B$10-'Black-Scholes'!$B$9^2/2)*'Black-Scholes'!$B$7+'Black-Scholes'!$B$9*SQRT('Black-Scholes'!$B$7)*B1223)</f>
        <v>91.60498965346</v>
      </c>
      <c r="D1223" s="18" t="n">
        <f aca="false">'Black-Scholes'!$B$5*EXP(('Black-Scholes'!$B$8-'Black-Scholes'!$B$10-'Black-Scholes'!$B$9^2/2)*'Black-Scholes'!$B$7-'Black-Scholes'!$B$9*SQRT('Black-Scholes'!$B$7)*B1223)</f>
        <v>115.914706236229</v>
      </c>
      <c r="E1223" s="18" t="n">
        <f aca="false">EXP(-'Black-Scholes'!$B$8*'Black-Scholes'!$B$7)*IF(LOWER('Black-Scholes'!$B$11)="put",MAX('Black-Scholes'!$B$6-C1223,0),MAX(C1223-'Black-Scholes'!$B$6,0))</f>
        <v>0</v>
      </c>
      <c r="F1223" s="18" t="n">
        <f aca="false">(E1223+G1223)/2</f>
        <v>7.56926842709295</v>
      </c>
      <c r="G1223" s="18" t="n">
        <f aca="false">EXP(-'Black-Scholes'!$B$8*'Black-Scholes'!$B$7)*IF(LOWER('Black-Scholes'!$B$11)="put",MAX('Black-Scholes'!$B$6-D1223,0),MAX(D1223-'Black-Scholes'!$B$6,0))</f>
        <v>15.1385368541859</v>
      </c>
    </row>
    <row r="1224" customFormat="false" ht="15" hidden="false" customHeight="false" outlineLevel="0" collapsed="false">
      <c r="A1224" s="0" t="n">
        <v>1213</v>
      </c>
      <c r="B1224" s="15" t="n">
        <v>1.22752790664052</v>
      </c>
      <c r="C1224" s="18" t="n">
        <f aca="false">'Black-Scholes'!$B$5*EXP(('Black-Scholes'!$B$8-'Black-Scholes'!$B$10-'Black-Scholes'!$B$9^2/2)*'Black-Scholes'!$B$7+'Black-Scholes'!$B$9*SQRT('Black-Scholes'!$B$7)*B1224)</f>
        <v>131.71964564839</v>
      </c>
      <c r="D1224" s="18" t="n">
        <f aca="false">'Black-Scholes'!$B$5*EXP(('Black-Scholes'!$B$8-'Black-Scholes'!$B$10-'Black-Scholes'!$B$9^2/2)*'Black-Scholes'!$B$7-'Black-Scholes'!$B$9*SQRT('Black-Scholes'!$B$7)*B1224)</f>
        <v>80.6133770948491</v>
      </c>
      <c r="E1224" s="18" t="n">
        <f aca="false">EXP(-'Black-Scholes'!$B$8*'Black-Scholes'!$B$7)*IF(LOWER('Black-Scholes'!$B$11)="put",MAX('Black-Scholes'!$B$6-C1224,0),MAX(C1224-'Black-Scholes'!$B$6,0))</f>
        <v>30.172660275485</v>
      </c>
      <c r="F1224" s="18" t="n">
        <f aca="false">(E1224+G1224)/2</f>
        <v>15.0863301377425</v>
      </c>
      <c r="G1224" s="18" t="n">
        <f aca="false">EXP(-'Black-Scholes'!$B$8*'Black-Scholes'!$B$7)*IF(LOWER('Black-Scholes'!$B$11)="put",MAX('Black-Scholes'!$B$6-D1224,0),MAX(D1224-'Black-Scholes'!$B$6,0))</f>
        <v>0</v>
      </c>
    </row>
    <row r="1225" customFormat="false" ht="15" hidden="false" customHeight="false" outlineLevel="0" collapsed="false">
      <c r="A1225" s="0" t="n">
        <v>1214</v>
      </c>
      <c r="B1225" s="15" t="n">
        <v>-0.602389971720073</v>
      </c>
      <c r="C1225" s="18" t="n">
        <f aca="false">'Black-Scholes'!$B$5*EXP(('Black-Scholes'!$B$8-'Black-Scholes'!$B$10-'Black-Scholes'!$B$9^2/2)*'Black-Scholes'!$B$7+'Black-Scholes'!$B$9*SQRT('Black-Scholes'!$B$7)*B1225)</f>
        <v>91.3494435724072</v>
      </c>
      <c r="D1225" s="18" t="n">
        <f aca="false">'Black-Scholes'!$B$5*EXP(('Black-Scholes'!$B$8-'Black-Scholes'!$B$10-'Black-Scholes'!$B$9^2/2)*'Black-Scholes'!$B$7-'Black-Scholes'!$B$9*SQRT('Black-Scholes'!$B$7)*B1225)</f>
        <v>116.238972567327</v>
      </c>
      <c r="E1225" s="18" t="n">
        <f aca="false">EXP(-'Black-Scholes'!$B$8*'Black-Scholes'!$B$7)*IF(LOWER('Black-Scholes'!$B$11)="put",MAX('Black-Scholes'!$B$6-C1225,0),MAX(C1225-'Black-Scholes'!$B$6,0))</f>
        <v>0</v>
      </c>
      <c r="F1225" s="18" t="n">
        <f aca="false">(E1225+G1225)/2</f>
        <v>7.7234942648505</v>
      </c>
      <c r="G1225" s="18" t="n">
        <f aca="false">EXP(-'Black-Scholes'!$B$8*'Black-Scholes'!$B$7)*IF(LOWER('Black-Scholes'!$B$11)="put",MAX('Black-Scholes'!$B$6-D1225,0),MAX(D1225-'Black-Scholes'!$B$6,0))</f>
        <v>15.446988529701</v>
      </c>
    </row>
    <row r="1226" customFormat="false" ht="15" hidden="false" customHeight="false" outlineLevel="0" collapsed="false">
      <c r="A1226" s="0" t="n">
        <v>1215</v>
      </c>
      <c r="B1226" s="15" t="n">
        <v>-2.7066634144634</v>
      </c>
      <c r="C1226" s="18" t="n">
        <f aca="false">'Black-Scholes'!$B$5*EXP(('Black-Scholes'!$B$8-'Black-Scholes'!$B$10-'Black-Scholes'!$B$9^2/2)*'Black-Scholes'!$B$7+'Black-Scholes'!$B$9*SQRT('Black-Scholes'!$B$7)*B1226)</f>
        <v>59.9695841643639</v>
      </c>
      <c r="D1226" s="18" t="n">
        <f aca="false">'Black-Scholes'!$B$5*EXP(('Black-Scholes'!$B$8-'Black-Scholes'!$B$10-'Black-Scholes'!$B$9^2/2)*'Black-Scholes'!$B$7-'Black-Scholes'!$B$9*SQRT('Black-Scholes'!$B$7)*B1226)</f>
        <v>177.062516164043</v>
      </c>
      <c r="E1226" s="18" t="n">
        <f aca="false">EXP(-'Black-Scholes'!$B$8*'Black-Scholes'!$B$7)*IF(LOWER('Black-Scholes'!$B$11)="put",MAX('Black-Scholes'!$B$6-C1226,0),MAX(C1226-'Black-Scholes'!$B$6,0))</f>
        <v>0</v>
      </c>
      <c r="F1226" s="18" t="n">
        <f aca="false">(E1226+G1226)/2</f>
        <v>36.6520664506496</v>
      </c>
      <c r="G1226" s="18" t="n">
        <f aca="false">EXP(-'Black-Scholes'!$B$8*'Black-Scholes'!$B$7)*IF(LOWER('Black-Scholes'!$B$11)="put",MAX('Black-Scholes'!$B$6-D1226,0),MAX(D1226-'Black-Scholes'!$B$6,0))</f>
        <v>73.3041329012992</v>
      </c>
    </row>
    <row r="1227" customFormat="false" ht="15" hidden="false" customHeight="false" outlineLevel="0" collapsed="false">
      <c r="A1227" s="0" t="n">
        <v>1216</v>
      </c>
      <c r="B1227" s="15" t="n">
        <v>0.322416567626209</v>
      </c>
      <c r="C1227" s="18" t="n">
        <f aca="false">'Black-Scholes'!$B$5*EXP(('Black-Scholes'!$B$8-'Black-Scholes'!$B$10-'Black-Scholes'!$B$9^2/2)*'Black-Scholes'!$B$7+'Black-Scholes'!$B$9*SQRT('Black-Scholes'!$B$7)*B1227)</f>
        <v>109.90908230287</v>
      </c>
      <c r="D1227" s="18" t="n">
        <f aca="false">'Black-Scholes'!$B$5*EXP(('Black-Scholes'!$B$8-'Black-Scholes'!$B$10-'Black-Scholes'!$B$9^2/2)*'Black-Scholes'!$B$7-'Black-Scholes'!$B$9*SQRT('Black-Scholes'!$B$7)*B1227)</f>
        <v>96.6104460429685</v>
      </c>
      <c r="E1227" s="18" t="n">
        <f aca="false">EXP(-'Black-Scholes'!$B$8*'Black-Scholes'!$B$7)*IF(LOWER('Black-Scholes'!$B$11)="put",MAX('Black-Scholes'!$B$6-C1227,0),MAX(C1227-'Black-Scholes'!$B$6,0))</f>
        <v>9.42581065628918</v>
      </c>
      <c r="F1227" s="18" t="n">
        <f aca="false">(E1227+G1227)/2</f>
        <v>4.71290532814459</v>
      </c>
      <c r="G1227" s="18" t="n">
        <f aca="false">EXP(-'Black-Scholes'!$B$8*'Black-Scholes'!$B$7)*IF(LOWER('Black-Scholes'!$B$11)="put",MAX('Black-Scholes'!$B$6-D1227,0),MAX(D1227-'Black-Scholes'!$B$6,0))</f>
        <v>0</v>
      </c>
    </row>
    <row r="1228" customFormat="false" ht="15" hidden="false" customHeight="false" outlineLevel="0" collapsed="false">
      <c r="A1228" s="0" t="n">
        <v>1217</v>
      </c>
      <c r="B1228" s="15" t="n">
        <v>-1.55766627987599</v>
      </c>
      <c r="C1228" s="18" t="n">
        <f aca="false">'Black-Scholes'!$B$5*EXP(('Black-Scholes'!$B$8-'Black-Scholes'!$B$10-'Black-Scholes'!$B$9^2/2)*'Black-Scholes'!$B$7+'Black-Scholes'!$B$9*SQRT('Black-Scholes'!$B$7)*B1228)</f>
        <v>75.462581944045</v>
      </c>
      <c r="D1228" s="18" t="n">
        <f aca="false">'Black-Scholes'!$B$5*EXP(('Black-Scholes'!$B$8-'Black-Scholes'!$B$10-'Black-Scholes'!$B$9^2/2)*'Black-Scholes'!$B$7-'Black-Scholes'!$B$9*SQRT('Black-Scholes'!$B$7)*B1228)</f>
        <v>140.710338712331</v>
      </c>
      <c r="E1228" s="18" t="n">
        <f aca="false">EXP(-'Black-Scholes'!$B$8*'Black-Scholes'!$B$7)*IF(LOWER('Black-Scholes'!$B$11)="put",MAX('Black-Scholes'!$B$6-C1228,0),MAX(C1228-'Black-Scholes'!$B$6,0))</f>
        <v>0</v>
      </c>
      <c r="F1228" s="18" t="n">
        <f aca="false">(E1228+G1228)/2</f>
        <v>19.3624360322799</v>
      </c>
      <c r="G1228" s="18" t="n">
        <f aca="false">EXP(-'Black-Scholes'!$B$8*'Black-Scholes'!$B$7)*IF(LOWER('Black-Scholes'!$B$11)="put",MAX('Black-Scholes'!$B$6-D1228,0),MAX(D1228-'Black-Scholes'!$B$6,0))</f>
        <v>38.7248720645597</v>
      </c>
    </row>
    <row r="1229" customFormat="false" ht="15" hidden="false" customHeight="false" outlineLevel="0" collapsed="false">
      <c r="A1229" s="0" t="n">
        <v>1218</v>
      </c>
      <c r="B1229" s="15" t="n">
        <v>0.682126969358602</v>
      </c>
      <c r="C1229" s="18" t="n">
        <f aca="false">'Black-Scholes'!$B$5*EXP(('Black-Scholes'!$B$8-'Black-Scholes'!$B$10-'Black-Scholes'!$B$9^2/2)*'Black-Scholes'!$B$7+'Black-Scholes'!$B$9*SQRT('Black-Scholes'!$B$7)*B1229)</f>
        <v>118.107541711924</v>
      </c>
      <c r="D1229" s="18" t="n">
        <f aca="false">'Black-Scholes'!$B$5*EXP(('Black-Scholes'!$B$8-'Black-Scholes'!$B$10-'Black-Scholes'!$B$9^2/2)*'Black-Scholes'!$B$7-'Black-Scholes'!$B$9*SQRT('Black-Scholes'!$B$7)*B1229)</f>
        <v>89.9042119710938</v>
      </c>
      <c r="E1229" s="18" t="n">
        <f aca="false">EXP(-'Black-Scholes'!$B$8*'Black-Scholes'!$B$7)*IF(LOWER('Black-Scholes'!$B$11)="put",MAX('Black-Scholes'!$B$6-C1229,0),MAX(C1229-'Black-Scholes'!$B$6,0))</f>
        <v>17.2244264817559</v>
      </c>
      <c r="F1229" s="18" t="n">
        <f aca="false">(E1229+G1229)/2</f>
        <v>8.61221324087796</v>
      </c>
      <c r="G1229" s="18" t="n">
        <f aca="false">EXP(-'Black-Scholes'!$B$8*'Black-Scholes'!$B$7)*IF(LOWER('Black-Scholes'!$B$11)="put",MAX('Black-Scholes'!$B$6-D1229,0),MAX(D1229-'Black-Scholes'!$B$6,0))</f>
        <v>0</v>
      </c>
    </row>
    <row r="1230" customFormat="false" ht="15" hidden="false" customHeight="false" outlineLevel="0" collapsed="false">
      <c r="A1230" s="0" t="n">
        <v>1219</v>
      </c>
      <c r="B1230" s="15" t="n">
        <v>1.76398736781434</v>
      </c>
      <c r="C1230" s="18" t="n">
        <f aca="false">'Black-Scholes'!$B$5*EXP(('Black-Scholes'!$B$8-'Black-Scholes'!$B$10-'Black-Scholes'!$B$9^2/2)*'Black-Scholes'!$B$7+'Black-Scholes'!$B$9*SQRT('Black-Scholes'!$B$7)*B1230)</f>
        <v>146.638101906985</v>
      </c>
      <c r="D1230" s="18" t="n">
        <f aca="false">'Black-Scholes'!$B$5*EXP(('Black-Scholes'!$B$8-'Black-Scholes'!$B$10-'Black-Scholes'!$B$9^2/2)*'Black-Scholes'!$B$7-'Black-Scholes'!$B$9*SQRT('Black-Scholes'!$B$7)*B1230)</f>
        <v>72.4120493061822</v>
      </c>
      <c r="E1230" s="18" t="n">
        <f aca="false">EXP(-'Black-Scholes'!$B$8*'Black-Scholes'!$B$7)*IF(LOWER('Black-Scholes'!$B$11)="put",MAX('Black-Scholes'!$B$6-C1230,0),MAX(C1230-'Black-Scholes'!$B$6,0))</f>
        <v>44.3635348367873</v>
      </c>
      <c r="F1230" s="18" t="n">
        <f aca="false">(E1230+G1230)/2</f>
        <v>22.1817674183937</v>
      </c>
      <c r="G1230" s="18" t="n">
        <f aca="false">EXP(-'Black-Scholes'!$B$8*'Black-Scholes'!$B$7)*IF(LOWER('Black-Scholes'!$B$11)="put",MAX('Black-Scholes'!$B$6-D1230,0),MAX(D1230-'Black-Scholes'!$B$6,0))</f>
        <v>0</v>
      </c>
    </row>
    <row r="1231" customFormat="false" ht="15" hidden="false" customHeight="false" outlineLevel="0" collapsed="false">
      <c r="A1231" s="0" t="n">
        <v>1220</v>
      </c>
      <c r="B1231" s="15" t="n">
        <v>0.986189308774328</v>
      </c>
      <c r="C1231" s="18" t="n">
        <f aca="false">'Black-Scholes'!$B$5*EXP(('Black-Scholes'!$B$8-'Black-Scholes'!$B$10-'Black-Scholes'!$B$9^2/2)*'Black-Scholes'!$B$7+'Black-Scholes'!$B$9*SQRT('Black-Scholes'!$B$7)*B1231)</f>
        <v>125.512837947556</v>
      </c>
      <c r="D1231" s="18" t="n">
        <f aca="false">'Black-Scholes'!$B$5*EXP(('Black-Scholes'!$B$8-'Black-Scholes'!$B$10-'Black-Scholes'!$B$9^2/2)*'Black-Scholes'!$B$7-'Black-Scholes'!$B$9*SQRT('Black-Scholes'!$B$7)*B1231)</f>
        <v>84.5998356749003</v>
      </c>
      <c r="E1231" s="18" t="n">
        <f aca="false">EXP(-'Black-Scholes'!$B$8*'Black-Scholes'!$B$7)*IF(LOWER('Black-Scholes'!$B$11)="put",MAX('Black-Scholes'!$B$6-C1231,0),MAX(C1231-'Black-Scholes'!$B$6,0))</f>
        <v>24.2685621582334</v>
      </c>
      <c r="F1231" s="18" t="n">
        <f aca="false">(E1231+G1231)/2</f>
        <v>12.1342810791167</v>
      </c>
      <c r="G1231" s="18" t="n">
        <f aca="false">EXP(-'Black-Scholes'!$B$8*'Black-Scholes'!$B$7)*IF(LOWER('Black-Scholes'!$B$11)="put",MAX('Black-Scholes'!$B$6-D1231,0),MAX(D1231-'Black-Scholes'!$B$6,0))</f>
        <v>0</v>
      </c>
    </row>
    <row r="1232" customFormat="false" ht="15" hidden="false" customHeight="false" outlineLevel="0" collapsed="false">
      <c r="A1232" s="0" t="n">
        <v>1221</v>
      </c>
      <c r="B1232" s="15" t="n">
        <v>-0.264990216890093</v>
      </c>
      <c r="C1232" s="18" t="n">
        <f aca="false">'Black-Scholes'!$B$5*EXP(('Black-Scholes'!$B$8-'Black-Scholes'!$B$10-'Black-Scholes'!$B$9^2/2)*'Black-Scholes'!$B$7+'Black-Scholes'!$B$9*SQRT('Black-Scholes'!$B$7)*B1232)</f>
        <v>97.7264395908405</v>
      </c>
      <c r="D1232" s="18" t="n">
        <f aca="false">'Black-Scholes'!$B$5*EXP(('Black-Scholes'!$B$8-'Black-Scholes'!$B$10-'Black-Scholes'!$B$9^2/2)*'Black-Scholes'!$B$7-'Black-Scholes'!$B$9*SQRT('Black-Scholes'!$B$7)*B1232)</f>
        <v>108.653968259873</v>
      </c>
      <c r="E1232" s="18" t="n">
        <f aca="false">EXP(-'Black-Scholes'!$B$8*'Black-Scholes'!$B$7)*IF(LOWER('Black-Scholes'!$B$11)="put",MAX('Black-Scholes'!$B$6-C1232,0),MAX(C1232-'Black-Scholes'!$B$6,0))</f>
        <v>0</v>
      </c>
      <c r="F1232" s="18" t="n">
        <f aca="false">(E1232+G1232)/2</f>
        <v>4.11595462374329</v>
      </c>
      <c r="G1232" s="18" t="n">
        <f aca="false">EXP(-'Black-Scholes'!$B$8*'Black-Scholes'!$B$7)*IF(LOWER('Black-Scholes'!$B$11)="put",MAX('Black-Scholes'!$B$6-D1232,0),MAX(D1232-'Black-Scholes'!$B$6,0))</f>
        <v>8.23190924748659</v>
      </c>
    </row>
    <row r="1233" customFormat="false" ht="15" hidden="false" customHeight="false" outlineLevel="0" collapsed="false">
      <c r="A1233" s="0" t="n">
        <v>1222</v>
      </c>
      <c r="B1233" s="15" t="n">
        <v>0.752758538706805</v>
      </c>
      <c r="C1233" s="18" t="n">
        <f aca="false">'Black-Scholes'!$B$5*EXP(('Black-Scholes'!$B$8-'Black-Scholes'!$B$10-'Black-Scholes'!$B$9^2/2)*'Black-Scholes'!$B$7+'Black-Scholes'!$B$9*SQRT('Black-Scholes'!$B$7)*B1233)</f>
        <v>119.787805944802</v>
      </c>
      <c r="D1233" s="18" t="n">
        <f aca="false">'Black-Scholes'!$B$5*EXP(('Black-Scholes'!$B$8-'Black-Scholes'!$B$10-'Black-Scholes'!$B$9^2/2)*'Black-Scholes'!$B$7-'Black-Scholes'!$B$9*SQRT('Black-Scholes'!$B$7)*B1233)</f>
        <v>88.6431250802486</v>
      </c>
      <c r="E1233" s="18" t="n">
        <f aca="false">EXP(-'Black-Scholes'!$B$8*'Black-Scholes'!$B$7)*IF(LOWER('Black-Scholes'!$B$11)="put",MAX('Black-Scholes'!$B$6-C1233,0),MAX(C1233-'Black-Scholes'!$B$6,0))</f>
        <v>18.8227432610055</v>
      </c>
      <c r="F1233" s="18" t="n">
        <f aca="false">(E1233+G1233)/2</f>
        <v>9.41137163050274</v>
      </c>
      <c r="G1233" s="18" t="n">
        <f aca="false">EXP(-'Black-Scholes'!$B$8*'Black-Scholes'!$B$7)*IF(LOWER('Black-Scholes'!$B$11)="put",MAX('Black-Scholes'!$B$6-D1233,0),MAX(D1233-'Black-Scholes'!$B$6,0))</f>
        <v>0</v>
      </c>
    </row>
    <row r="1234" customFormat="false" ht="15" hidden="false" customHeight="false" outlineLevel="0" collapsed="false">
      <c r="A1234" s="0" t="n">
        <v>1223</v>
      </c>
      <c r="B1234" s="15" t="n">
        <v>-0.284404460110946</v>
      </c>
      <c r="C1234" s="18" t="n">
        <f aca="false">'Black-Scholes'!$B$5*EXP(('Black-Scholes'!$B$8-'Black-Scholes'!$B$10-'Black-Scholes'!$B$9^2/2)*'Black-Scholes'!$B$7+'Black-Scholes'!$B$9*SQRT('Black-Scholes'!$B$7)*B1234)</f>
        <v>97.3477183518165</v>
      </c>
      <c r="D1234" s="18" t="n">
        <f aca="false">'Black-Scholes'!$B$5*EXP(('Black-Scholes'!$B$8-'Black-Scholes'!$B$10-'Black-Scholes'!$B$9^2/2)*'Black-Scholes'!$B$7-'Black-Scholes'!$B$9*SQRT('Black-Scholes'!$B$7)*B1234)</f>
        <v>109.076675295857</v>
      </c>
      <c r="E1234" s="18" t="n">
        <f aca="false">EXP(-'Black-Scholes'!$B$8*'Black-Scholes'!$B$7)*IF(LOWER('Black-Scholes'!$B$11)="put",MAX('Black-Scholes'!$B$6-C1234,0),MAX(C1234-'Black-Scholes'!$B$6,0))</f>
        <v>0</v>
      </c>
      <c r="F1234" s="18" t="n">
        <f aca="false">(E1234+G1234)/2</f>
        <v>4.31700030902878</v>
      </c>
      <c r="G1234" s="18" t="n">
        <f aca="false">EXP(-'Black-Scholes'!$B$8*'Black-Scholes'!$B$7)*IF(LOWER('Black-Scholes'!$B$11)="put",MAX('Black-Scholes'!$B$6-D1234,0),MAX(D1234-'Black-Scholes'!$B$6,0))</f>
        <v>8.63400061805755</v>
      </c>
    </row>
    <row r="1235" customFormat="false" ht="15" hidden="false" customHeight="false" outlineLevel="0" collapsed="false">
      <c r="A1235" s="0" t="n">
        <v>1224</v>
      </c>
      <c r="B1235" s="15" t="n">
        <v>-0.16864736104781</v>
      </c>
      <c r="C1235" s="18" t="n">
        <f aca="false">'Black-Scholes'!$B$5*EXP(('Black-Scholes'!$B$8-'Black-Scholes'!$B$10-'Black-Scholes'!$B$9^2/2)*'Black-Scholes'!$B$7+'Black-Scholes'!$B$9*SQRT('Black-Scholes'!$B$7)*B1235)</f>
        <v>99.6277473634459</v>
      </c>
      <c r="D1235" s="18" t="n">
        <f aca="false">'Black-Scholes'!$B$5*EXP(('Black-Scholes'!$B$8-'Black-Scholes'!$B$10-'Black-Scholes'!$B$9^2/2)*'Black-Scholes'!$B$7-'Black-Scholes'!$B$9*SQRT('Black-Scholes'!$B$7)*B1235)</f>
        <v>106.580403014809</v>
      </c>
      <c r="E1235" s="18" t="n">
        <f aca="false">EXP(-'Black-Scholes'!$B$8*'Black-Scholes'!$B$7)*IF(LOWER('Black-Scholes'!$B$11)="put",MAX('Black-Scholes'!$B$6-C1235,0),MAX(C1235-'Black-Scholes'!$B$6,0))</f>
        <v>0</v>
      </c>
      <c r="F1235" s="18" t="n">
        <f aca="false">(E1235+G1235)/2</f>
        <v>3.12973648637959</v>
      </c>
      <c r="G1235" s="18" t="n">
        <f aca="false">EXP(-'Black-Scholes'!$B$8*'Black-Scholes'!$B$7)*IF(LOWER('Black-Scholes'!$B$11)="put",MAX('Black-Scholes'!$B$6-D1235,0),MAX(D1235-'Black-Scholes'!$B$6,0))</f>
        <v>6.25947297275917</v>
      </c>
    </row>
    <row r="1236" customFormat="false" ht="15" hidden="false" customHeight="false" outlineLevel="0" collapsed="false">
      <c r="A1236" s="0" t="n">
        <v>1225</v>
      </c>
      <c r="B1236" s="15" t="n">
        <v>0.331639264093666</v>
      </c>
      <c r="C1236" s="18" t="n">
        <f aca="false">'Black-Scholes'!$B$5*EXP(('Black-Scholes'!$B$8-'Black-Scholes'!$B$10-'Black-Scholes'!$B$9^2/2)*'Black-Scholes'!$B$7+'Black-Scholes'!$B$9*SQRT('Black-Scholes'!$B$7)*B1236)</f>
        <v>110.112001012122</v>
      </c>
      <c r="D1236" s="18" t="n">
        <f aca="false">'Black-Scholes'!$B$5*EXP(('Black-Scholes'!$B$8-'Black-Scholes'!$B$10-'Black-Scholes'!$B$9^2/2)*'Black-Scholes'!$B$7-'Black-Scholes'!$B$9*SQRT('Black-Scholes'!$B$7)*B1236)</f>
        <v>96.4324085281548</v>
      </c>
      <c r="E1236" s="18" t="n">
        <f aca="false">EXP(-'Black-Scholes'!$B$8*'Black-Scholes'!$B$7)*IF(LOWER('Black-Scholes'!$B$11)="put",MAX('Black-Scholes'!$B$6-C1236,0),MAX(C1236-'Black-Scholes'!$B$6,0))</f>
        <v>9.61883290331192</v>
      </c>
      <c r="F1236" s="18" t="n">
        <f aca="false">(E1236+G1236)/2</f>
        <v>4.80941645165596</v>
      </c>
      <c r="G1236" s="18" t="n">
        <f aca="false">EXP(-'Black-Scholes'!$B$8*'Black-Scholes'!$B$7)*IF(LOWER('Black-Scholes'!$B$11)="put",MAX('Black-Scholes'!$B$6-D1236,0),MAX(D1236-'Black-Scholes'!$B$6,0))</f>
        <v>0</v>
      </c>
    </row>
    <row r="1237" customFormat="false" ht="15" hidden="false" customHeight="false" outlineLevel="0" collapsed="false">
      <c r="A1237" s="0" t="n">
        <v>1226</v>
      </c>
      <c r="B1237" s="15" t="n">
        <v>1.13881426770969</v>
      </c>
      <c r="C1237" s="18" t="n">
        <f aca="false">'Black-Scholes'!$B$5*EXP(('Black-Scholes'!$B$8-'Black-Scholes'!$B$10-'Black-Scholes'!$B$9^2/2)*'Black-Scholes'!$B$7+'Black-Scholes'!$B$9*SQRT('Black-Scholes'!$B$7)*B1237)</f>
        <v>129.403190715079</v>
      </c>
      <c r="D1237" s="18" t="n">
        <f aca="false">'Black-Scholes'!$B$5*EXP(('Black-Scholes'!$B$8-'Black-Scholes'!$B$10-'Black-Scholes'!$B$9^2/2)*'Black-Scholes'!$B$7-'Black-Scholes'!$B$9*SQRT('Black-Scholes'!$B$7)*B1237)</f>
        <v>82.0564424012789</v>
      </c>
      <c r="E1237" s="18" t="n">
        <f aca="false">EXP(-'Black-Scholes'!$B$8*'Black-Scholes'!$B$7)*IF(LOWER('Black-Scholes'!$B$11)="put",MAX('Black-Scholes'!$B$6-C1237,0),MAX(C1237-'Black-Scholes'!$B$6,0))</f>
        <v>27.9691801823894</v>
      </c>
      <c r="F1237" s="18" t="n">
        <f aca="false">(E1237+G1237)/2</f>
        <v>13.9845900911947</v>
      </c>
      <c r="G1237" s="18" t="n">
        <f aca="false">EXP(-'Black-Scholes'!$B$8*'Black-Scholes'!$B$7)*IF(LOWER('Black-Scholes'!$B$11)="put",MAX('Black-Scholes'!$B$6-D1237,0),MAX(D1237-'Black-Scholes'!$B$6,0))</f>
        <v>0</v>
      </c>
    </row>
    <row r="1238" customFormat="false" ht="15" hidden="false" customHeight="false" outlineLevel="0" collapsed="false">
      <c r="A1238" s="0" t="n">
        <v>1227</v>
      </c>
      <c r="B1238" s="15" t="n">
        <v>0.378468237332605</v>
      </c>
      <c r="C1238" s="18" t="n">
        <f aca="false">'Black-Scholes'!$B$5*EXP(('Black-Scholes'!$B$8-'Black-Scholes'!$B$10-'Black-Scholes'!$B$9^2/2)*'Black-Scholes'!$B$7+'Black-Scholes'!$B$9*SQRT('Black-Scholes'!$B$7)*B1238)</f>
        <v>111.148131922584</v>
      </c>
      <c r="D1238" s="18" t="n">
        <f aca="false">'Black-Scholes'!$B$5*EXP(('Black-Scholes'!$B$8-'Black-Scholes'!$B$10-'Black-Scholes'!$B$9^2/2)*'Black-Scholes'!$B$7-'Black-Scholes'!$B$9*SQRT('Black-Scholes'!$B$7)*B1238)</f>
        <v>95.5334586536227</v>
      </c>
      <c r="E1238" s="18" t="n">
        <f aca="false">EXP(-'Black-Scholes'!$B$8*'Black-Scholes'!$B$7)*IF(LOWER('Black-Scholes'!$B$11)="put",MAX('Black-Scholes'!$B$6-C1238,0),MAX(C1238-'Black-Scholes'!$B$6,0))</f>
        <v>10.6044311129778</v>
      </c>
      <c r="F1238" s="18" t="n">
        <f aca="false">(E1238+G1238)/2</f>
        <v>5.3022155564889</v>
      </c>
      <c r="G1238" s="18" t="n">
        <f aca="false">EXP(-'Black-Scholes'!$B$8*'Black-Scholes'!$B$7)*IF(LOWER('Black-Scholes'!$B$11)="put",MAX('Black-Scholes'!$B$6-D1238,0),MAX(D1238-'Black-Scholes'!$B$6,0))</f>
        <v>0</v>
      </c>
    </row>
    <row r="1239" customFormat="false" ht="15" hidden="false" customHeight="false" outlineLevel="0" collapsed="false">
      <c r="A1239" s="0" t="n">
        <v>1228</v>
      </c>
      <c r="B1239" s="15" t="n">
        <v>-1.17869688684919</v>
      </c>
      <c r="C1239" s="18" t="n">
        <f aca="false">'Black-Scholes'!$B$5*EXP(('Black-Scholes'!$B$8-'Black-Scholes'!$B$10-'Black-Scholes'!$B$9^2/2)*'Black-Scholes'!$B$7+'Black-Scholes'!$B$9*SQRT('Black-Scholes'!$B$7)*B1239)</f>
        <v>81.4045207241638</v>
      </c>
      <c r="D1239" s="18" t="n">
        <f aca="false">'Black-Scholes'!$B$5*EXP(('Black-Scholes'!$B$8-'Black-Scholes'!$B$10-'Black-Scholes'!$B$9^2/2)*'Black-Scholes'!$B$7-'Black-Scholes'!$B$9*SQRT('Black-Scholes'!$B$7)*B1239)</f>
        <v>130.439505951193</v>
      </c>
      <c r="E1239" s="18" t="n">
        <f aca="false">EXP(-'Black-Scholes'!$B$8*'Black-Scholes'!$B$7)*IF(LOWER('Black-Scholes'!$B$11)="put",MAX('Black-Scholes'!$B$6-C1239,0),MAX(C1239-'Black-Scholes'!$B$6,0))</f>
        <v>0</v>
      </c>
      <c r="F1239" s="18" t="n">
        <f aca="false">(E1239+G1239)/2</f>
        <v>14.4774768640198</v>
      </c>
      <c r="G1239" s="18" t="n">
        <f aca="false">EXP(-'Black-Scholes'!$B$8*'Black-Scholes'!$B$7)*IF(LOWER('Black-Scholes'!$B$11)="put",MAX('Black-Scholes'!$B$6-D1239,0),MAX(D1239-'Black-Scholes'!$B$6,0))</f>
        <v>28.9549537280397</v>
      </c>
    </row>
    <row r="1240" customFormat="false" ht="15" hidden="false" customHeight="false" outlineLevel="0" collapsed="false">
      <c r="A1240" s="0" t="n">
        <v>1229</v>
      </c>
      <c r="B1240" s="15" t="n">
        <v>1.69366780745116</v>
      </c>
      <c r="C1240" s="18" t="n">
        <f aca="false">'Black-Scholes'!$B$5*EXP(('Black-Scholes'!$B$8-'Black-Scholes'!$B$10-'Black-Scholes'!$B$9^2/2)*'Black-Scholes'!$B$7+'Black-Scholes'!$B$9*SQRT('Black-Scholes'!$B$7)*B1240)</f>
        <v>144.590230829196</v>
      </c>
      <c r="D1240" s="18" t="n">
        <f aca="false">'Black-Scholes'!$B$5*EXP(('Black-Scholes'!$B$8-'Black-Scholes'!$B$10-'Black-Scholes'!$B$9^2/2)*'Black-Scholes'!$B$7-'Black-Scholes'!$B$9*SQRT('Black-Scholes'!$B$7)*B1240)</f>
        <v>73.43764101184</v>
      </c>
      <c r="E1240" s="18" t="n">
        <f aca="false">EXP(-'Black-Scholes'!$B$8*'Black-Scholes'!$B$7)*IF(LOWER('Black-Scholes'!$B$11)="put",MAX('Black-Scholes'!$B$6-C1240,0),MAX(C1240-'Black-Scholes'!$B$6,0))</f>
        <v>42.4155396100104</v>
      </c>
      <c r="F1240" s="18" t="n">
        <f aca="false">(E1240+G1240)/2</f>
        <v>21.2077698050052</v>
      </c>
      <c r="G1240" s="18" t="n">
        <f aca="false">EXP(-'Black-Scholes'!$B$8*'Black-Scholes'!$B$7)*IF(LOWER('Black-Scholes'!$B$11)="put",MAX('Black-Scholes'!$B$6-D1240,0),MAX(D1240-'Black-Scholes'!$B$6,0))</f>
        <v>0</v>
      </c>
    </row>
    <row r="1241" customFormat="false" ht="15" hidden="false" customHeight="false" outlineLevel="0" collapsed="false">
      <c r="A1241" s="0" t="n">
        <v>1230</v>
      </c>
      <c r="B1241" s="15" t="n">
        <v>0.798301861438023</v>
      </c>
      <c r="C1241" s="18" t="n">
        <f aca="false">'Black-Scholes'!$B$5*EXP(('Black-Scholes'!$B$8-'Black-Scholes'!$B$10-'Black-Scholes'!$B$9^2/2)*'Black-Scholes'!$B$7+'Black-Scholes'!$B$9*SQRT('Black-Scholes'!$B$7)*B1241)</f>
        <v>120.883897271644</v>
      </c>
      <c r="D1241" s="18" t="n">
        <f aca="false">'Black-Scholes'!$B$5*EXP(('Black-Scholes'!$B$8-'Black-Scholes'!$B$10-'Black-Scholes'!$B$9^2/2)*'Black-Scholes'!$B$7-'Black-Scholes'!$B$9*SQRT('Black-Scholes'!$B$7)*B1241)</f>
        <v>87.8393707111593</v>
      </c>
      <c r="E1241" s="18" t="n">
        <f aca="false">EXP(-'Black-Scholes'!$B$8*'Black-Scholes'!$B$7)*IF(LOWER('Black-Scholes'!$B$11)="put",MAX('Black-Scholes'!$B$6-C1241,0),MAX(C1241-'Black-Scholes'!$B$6,0))</f>
        <v>19.8653775830376</v>
      </c>
      <c r="F1241" s="18" t="n">
        <f aca="false">(E1241+G1241)/2</f>
        <v>9.93268879151878</v>
      </c>
      <c r="G1241" s="18" t="n">
        <f aca="false">EXP(-'Black-Scholes'!$B$8*'Black-Scholes'!$B$7)*IF(LOWER('Black-Scholes'!$B$11)="put",MAX('Black-Scholes'!$B$6-D1241,0),MAX(D1241-'Black-Scholes'!$B$6,0))</f>
        <v>0</v>
      </c>
    </row>
    <row r="1242" customFormat="false" ht="15" hidden="false" customHeight="false" outlineLevel="0" collapsed="false">
      <c r="A1242" s="0" t="n">
        <v>1231</v>
      </c>
      <c r="B1242" s="15" t="n">
        <v>0.763790761440041</v>
      </c>
      <c r="C1242" s="18" t="n">
        <f aca="false">'Black-Scholes'!$B$5*EXP(('Black-Scholes'!$B$8-'Black-Scholes'!$B$10-'Black-Scholes'!$B$9^2/2)*'Black-Scholes'!$B$7+'Black-Scholes'!$B$9*SQRT('Black-Scholes'!$B$7)*B1242)</f>
        <v>120.052402897889</v>
      </c>
      <c r="D1242" s="18" t="n">
        <f aca="false">'Black-Scholes'!$B$5*EXP(('Black-Scholes'!$B$8-'Black-Scholes'!$B$10-'Black-Scholes'!$B$9^2/2)*'Black-Scholes'!$B$7-'Black-Scholes'!$B$9*SQRT('Black-Scholes'!$B$7)*B1242)</f>
        <v>88.4477545566924</v>
      </c>
      <c r="E1242" s="18" t="n">
        <f aca="false">EXP(-'Black-Scholes'!$B$8*'Black-Scholes'!$B$7)*IF(LOWER('Black-Scholes'!$B$11)="put",MAX('Black-Scholes'!$B$6-C1242,0),MAX(C1242-'Black-Scholes'!$B$6,0))</f>
        <v>19.074435668415</v>
      </c>
      <c r="F1242" s="18" t="n">
        <f aca="false">(E1242+G1242)/2</f>
        <v>9.5372178342075</v>
      </c>
      <c r="G1242" s="18" t="n">
        <f aca="false">EXP(-'Black-Scholes'!$B$8*'Black-Scholes'!$B$7)*IF(LOWER('Black-Scholes'!$B$11)="put",MAX('Black-Scholes'!$B$6-D1242,0),MAX(D1242-'Black-Scholes'!$B$6,0))</f>
        <v>0</v>
      </c>
    </row>
    <row r="1243" customFormat="false" ht="15" hidden="false" customHeight="false" outlineLevel="0" collapsed="false">
      <c r="A1243" s="0" t="n">
        <v>1232</v>
      </c>
      <c r="B1243" s="15" t="n">
        <v>-0.162666183196327</v>
      </c>
      <c r="C1243" s="18" t="n">
        <f aca="false">'Black-Scholes'!$B$5*EXP(('Black-Scholes'!$B$8-'Black-Scholes'!$B$10-'Black-Scholes'!$B$9^2/2)*'Black-Scholes'!$B$7+'Black-Scholes'!$B$9*SQRT('Black-Scholes'!$B$7)*B1243)</f>
        <v>99.7469969296967</v>
      </c>
      <c r="D1243" s="18" t="n">
        <f aca="false">'Black-Scholes'!$B$5*EXP(('Black-Scholes'!$B$8-'Black-Scholes'!$B$10-'Black-Scholes'!$B$9^2/2)*'Black-Scholes'!$B$7-'Black-Scholes'!$B$9*SQRT('Black-Scholes'!$B$7)*B1243)</f>
        <v>106.452983972416</v>
      </c>
      <c r="E1243" s="18" t="n">
        <f aca="false">EXP(-'Black-Scholes'!$B$8*'Black-Scholes'!$B$7)*IF(LOWER('Black-Scholes'!$B$11)="put",MAX('Black-Scholes'!$B$6-C1243,0),MAX(C1243-'Black-Scholes'!$B$6,0))</f>
        <v>0</v>
      </c>
      <c r="F1243" s="18" t="n">
        <f aca="false">(E1243+G1243)/2</f>
        <v>3.06913411519666</v>
      </c>
      <c r="G1243" s="18" t="n">
        <f aca="false">EXP(-'Black-Scholes'!$B$8*'Black-Scholes'!$B$7)*IF(LOWER('Black-Scholes'!$B$11)="put",MAX('Black-Scholes'!$B$6-D1243,0),MAX(D1243-'Black-Scholes'!$B$6,0))</f>
        <v>6.13826823039331</v>
      </c>
    </row>
    <row r="1244" customFormat="false" ht="15" hidden="false" customHeight="false" outlineLevel="0" collapsed="false">
      <c r="A1244" s="0" t="n">
        <v>1233</v>
      </c>
      <c r="B1244" s="15" t="n">
        <v>0.794836224824327</v>
      </c>
      <c r="C1244" s="18" t="n">
        <f aca="false">'Black-Scholes'!$B$5*EXP(('Black-Scholes'!$B$8-'Black-Scholes'!$B$10-'Black-Scholes'!$B$9^2/2)*'Black-Scholes'!$B$7+'Black-Scholes'!$B$9*SQRT('Black-Scholes'!$B$7)*B1244)</f>
        <v>120.80013837071</v>
      </c>
      <c r="D1244" s="18" t="n">
        <f aca="false">'Black-Scholes'!$B$5*EXP(('Black-Scholes'!$B$8-'Black-Scholes'!$B$10-'Black-Scholes'!$B$9^2/2)*'Black-Scholes'!$B$7-'Black-Scholes'!$B$9*SQRT('Black-Scholes'!$B$7)*B1244)</f>
        <v>87.9002756840234</v>
      </c>
      <c r="E1244" s="18" t="n">
        <f aca="false">EXP(-'Black-Scholes'!$B$8*'Black-Scholes'!$B$7)*IF(LOWER('Black-Scholes'!$B$11)="put",MAX('Black-Scholes'!$B$6-C1244,0),MAX(C1244-'Black-Scholes'!$B$6,0))</f>
        <v>19.7857036519058</v>
      </c>
      <c r="F1244" s="18" t="n">
        <f aca="false">(E1244+G1244)/2</f>
        <v>9.89285182595289</v>
      </c>
      <c r="G1244" s="18" t="n">
        <f aca="false">EXP(-'Black-Scholes'!$B$8*'Black-Scholes'!$B$7)*IF(LOWER('Black-Scholes'!$B$11)="put",MAX('Black-Scholes'!$B$6-D1244,0),MAX(D1244-'Black-Scholes'!$B$6,0))</f>
        <v>0</v>
      </c>
    </row>
    <row r="1245" customFormat="false" ht="15" hidden="false" customHeight="false" outlineLevel="0" collapsed="false">
      <c r="A1245" s="0" t="n">
        <v>1234</v>
      </c>
      <c r="B1245" s="15" t="n">
        <v>0.241804029197054</v>
      </c>
      <c r="C1245" s="18" t="n">
        <f aca="false">'Black-Scholes'!$B$5*EXP(('Black-Scholes'!$B$8-'Black-Scholes'!$B$10-'Black-Scholes'!$B$9^2/2)*'Black-Scholes'!$B$7+'Black-Scholes'!$B$9*SQRT('Black-Scholes'!$B$7)*B1245)</f>
        <v>108.151280441765</v>
      </c>
      <c r="D1245" s="18" t="n">
        <f aca="false">'Black-Scholes'!$B$5*EXP(('Black-Scholes'!$B$8-'Black-Scholes'!$B$10-'Black-Scholes'!$B$9^2/2)*'Black-Scholes'!$B$7-'Black-Scholes'!$B$9*SQRT('Black-Scholes'!$B$7)*B1245)</f>
        <v>98.1806726844177</v>
      </c>
      <c r="E1245" s="18" t="n">
        <f aca="false">EXP(-'Black-Scholes'!$B$8*'Black-Scholes'!$B$7)*IF(LOWER('Black-Scholes'!$B$11)="put",MAX('Black-Scholes'!$B$6-C1245,0),MAX(C1245-'Black-Scholes'!$B$6,0))</f>
        <v>7.75373780356406</v>
      </c>
      <c r="F1245" s="18" t="n">
        <f aca="false">(E1245+G1245)/2</f>
        <v>3.87686890178203</v>
      </c>
      <c r="G1245" s="18" t="n">
        <f aca="false">EXP(-'Black-Scholes'!$B$8*'Black-Scholes'!$B$7)*IF(LOWER('Black-Scholes'!$B$11)="put",MAX('Black-Scholes'!$B$6-D1245,0),MAX(D1245-'Black-Scholes'!$B$6,0))</f>
        <v>0</v>
      </c>
    </row>
    <row r="1246" customFormat="false" ht="15" hidden="false" customHeight="false" outlineLevel="0" collapsed="false">
      <c r="A1246" s="0" t="n">
        <v>1235</v>
      </c>
      <c r="B1246" s="15" t="n">
        <v>1.28635842559092</v>
      </c>
      <c r="C1246" s="18" t="n">
        <f aca="false">'Black-Scholes'!$B$5*EXP(('Black-Scholes'!$B$8-'Black-Scholes'!$B$10-'Black-Scholes'!$B$9^2/2)*'Black-Scholes'!$B$7+'Black-Scholes'!$B$9*SQRT('Black-Scholes'!$B$7)*B1246)</f>
        <v>133.278626248502</v>
      </c>
      <c r="D1246" s="18" t="n">
        <f aca="false">'Black-Scholes'!$B$5*EXP(('Black-Scholes'!$B$8-'Black-Scholes'!$B$10-'Black-Scholes'!$B$9^2/2)*'Black-Scholes'!$B$7-'Black-Scholes'!$B$9*SQRT('Black-Scholes'!$B$7)*B1246)</f>
        <v>79.6704300182035</v>
      </c>
      <c r="E1246" s="18" t="n">
        <f aca="false">EXP(-'Black-Scholes'!$B$8*'Black-Scholes'!$B$7)*IF(LOWER('Black-Scholes'!$B$11)="put",MAX('Black-Scholes'!$B$6-C1246,0),MAX(C1246-'Black-Scholes'!$B$6,0))</f>
        <v>31.6556084945371</v>
      </c>
      <c r="F1246" s="18" t="n">
        <f aca="false">(E1246+G1246)/2</f>
        <v>15.8278042472686</v>
      </c>
      <c r="G1246" s="18" t="n">
        <f aca="false">EXP(-'Black-Scholes'!$B$8*'Black-Scholes'!$B$7)*IF(LOWER('Black-Scholes'!$B$11)="put",MAX('Black-Scholes'!$B$6-D1246,0),MAX(D1246-'Black-Scholes'!$B$6,0))</f>
        <v>0</v>
      </c>
    </row>
    <row r="1247" customFormat="false" ht="15" hidden="false" customHeight="false" outlineLevel="0" collapsed="false">
      <c r="A1247" s="0" t="n">
        <v>1236</v>
      </c>
      <c r="B1247" s="15" t="n">
        <v>-0.281818145351762</v>
      </c>
      <c r="C1247" s="18" t="n">
        <f aca="false">'Black-Scholes'!$B$5*EXP(('Black-Scholes'!$B$8-'Black-Scholes'!$B$10-'Black-Scholes'!$B$9^2/2)*'Black-Scholes'!$B$7+'Black-Scholes'!$B$9*SQRT('Black-Scholes'!$B$7)*B1247)</f>
        <v>97.3980857454361</v>
      </c>
      <c r="D1247" s="18" t="n">
        <f aca="false">'Black-Scholes'!$B$5*EXP(('Black-Scholes'!$B$8-'Black-Scholes'!$B$10-'Black-Scholes'!$B$9^2/2)*'Black-Scholes'!$B$7-'Black-Scholes'!$B$9*SQRT('Black-Scholes'!$B$7)*B1247)</f>
        <v>109.020268562631</v>
      </c>
      <c r="E1247" s="18" t="n">
        <f aca="false">EXP(-'Black-Scholes'!$B$8*'Black-Scholes'!$B$7)*IF(LOWER('Black-Scholes'!$B$11)="put",MAX('Black-Scholes'!$B$6-C1247,0),MAX(C1247-'Black-Scholes'!$B$6,0))</f>
        <v>0</v>
      </c>
      <c r="F1247" s="18" t="n">
        <f aca="false">(E1247+G1247)/2</f>
        <v>4.29017243683663</v>
      </c>
      <c r="G1247" s="18" t="n">
        <f aca="false">EXP(-'Black-Scholes'!$B$8*'Black-Scholes'!$B$7)*IF(LOWER('Black-Scholes'!$B$11)="put",MAX('Black-Scholes'!$B$6-D1247,0),MAX(D1247-'Black-Scholes'!$B$6,0))</f>
        <v>8.58034487367326</v>
      </c>
    </row>
    <row r="1248" customFormat="false" ht="15" hidden="false" customHeight="false" outlineLevel="0" collapsed="false">
      <c r="A1248" s="0" t="n">
        <v>1237</v>
      </c>
      <c r="B1248" s="15" t="n">
        <v>-1.9670323481534</v>
      </c>
      <c r="C1248" s="18" t="n">
        <f aca="false">'Black-Scholes'!$B$5*EXP(('Black-Scholes'!$B$8-'Black-Scholes'!$B$10-'Black-Scholes'!$B$9^2/2)*'Black-Scholes'!$B$7+'Black-Scholes'!$B$9*SQRT('Black-Scholes'!$B$7)*B1248)</f>
        <v>69.5303756192126</v>
      </c>
      <c r="D1248" s="18" t="n">
        <f aca="false">'Black-Scholes'!$B$5*EXP(('Black-Scholes'!$B$8-'Black-Scholes'!$B$10-'Black-Scholes'!$B$9^2/2)*'Black-Scholes'!$B$7-'Black-Scholes'!$B$9*SQRT('Black-Scholes'!$B$7)*B1248)</f>
        <v>152.715491192018</v>
      </c>
      <c r="E1248" s="18" t="n">
        <f aca="false">EXP(-'Black-Scholes'!$B$8*'Black-Scholes'!$B$7)*IF(LOWER('Black-Scholes'!$B$11)="put",MAX('Black-Scholes'!$B$6-C1248,0),MAX(C1248-'Black-Scholes'!$B$6,0))</f>
        <v>0</v>
      </c>
      <c r="F1248" s="18" t="n">
        <f aca="false">(E1248+G1248)/2</f>
        <v>25.072263174428</v>
      </c>
      <c r="G1248" s="18" t="n">
        <f aca="false">EXP(-'Black-Scholes'!$B$8*'Black-Scholes'!$B$7)*IF(LOWER('Black-Scholes'!$B$11)="put",MAX('Black-Scholes'!$B$6-D1248,0),MAX(D1248-'Black-Scholes'!$B$6,0))</f>
        <v>50.1445263488561</v>
      </c>
    </row>
    <row r="1249" customFormat="false" ht="15" hidden="false" customHeight="false" outlineLevel="0" collapsed="false">
      <c r="A1249" s="0" t="n">
        <v>1238</v>
      </c>
      <c r="B1249" s="15" t="n">
        <v>-0.341679198722504</v>
      </c>
      <c r="C1249" s="18" t="n">
        <f aca="false">'Black-Scholes'!$B$5*EXP(('Black-Scholes'!$B$8-'Black-Scholes'!$B$10-'Black-Scholes'!$B$9^2/2)*'Black-Scholes'!$B$7+'Black-Scholes'!$B$9*SQRT('Black-Scholes'!$B$7)*B1249)</f>
        <v>96.238967790842</v>
      </c>
      <c r="D1249" s="18" t="n">
        <f aca="false">'Black-Scholes'!$B$5*EXP(('Black-Scholes'!$B$8-'Black-Scholes'!$B$10-'Black-Scholes'!$B$9^2/2)*'Black-Scholes'!$B$7-'Black-Scholes'!$B$9*SQRT('Black-Scholes'!$B$7)*B1249)</f>
        <v>110.333326605608</v>
      </c>
      <c r="E1249" s="18" t="n">
        <f aca="false">EXP(-'Black-Scholes'!$B$8*'Black-Scholes'!$B$7)*IF(LOWER('Black-Scholes'!$B$11)="put",MAX('Black-Scholes'!$B$6-C1249,0),MAX(C1249-'Black-Scholes'!$B$6,0))</f>
        <v>0</v>
      </c>
      <c r="F1249" s="18" t="n">
        <f aca="false">(E1249+G1249)/2</f>
        <v>4.91468216011539</v>
      </c>
      <c r="G1249" s="18" t="n">
        <f aca="false">EXP(-'Black-Scholes'!$B$8*'Black-Scholes'!$B$7)*IF(LOWER('Black-Scholes'!$B$11)="put",MAX('Black-Scholes'!$B$6-D1249,0),MAX(D1249-'Black-Scholes'!$B$6,0))</f>
        <v>9.82936432023077</v>
      </c>
    </row>
    <row r="1250" customFormat="false" ht="15" hidden="false" customHeight="false" outlineLevel="0" collapsed="false">
      <c r="A1250" s="0" t="n">
        <v>1239</v>
      </c>
      <c r="B1250" s="15" t="n">
        <v>-2.19115927590423</v>
      </c>
      <c r="C1250" s="18" t="n">
        <f aca="false">'Black-Scholes'!$B$5*EXP(('Black-Scholes'!$B$8-'Black-Scholes'!$B$10-'Black-Scholes'!$B$9^2/2)*'Black-Scholes'!$B$7+'Black-Scholes'!$B$9*SQRT('Black-Scholes'!$B$7)*B1250)</f>
        <v>66.4824717896389</v>
      </c>
      <c r="D1250" s="18" t="n">
        <f aca="false">'Black-Scholes'!$B$5*EXP(('Black-Scholes'!$B$8-'Black-Scholes'!$B$10-'Black-Scholes'!$B$9^2/2)*'Black-Scholes'!$B$7-'Black-Scholes'!$B$9*SQRT('Black-Scholes'!$B$7)*B1250)</f>
        <v>159.716767136033</v>
      </c>
      <c r="E1250" s="18" t="n">
        <f aca="false">EXP(-'Black-Scholes'!$B$8*'Black-Scholes'!$B$7)*IF(LOWER('Black-Scholes'!$B$11)="put",MAX('Black-Scholes'!$B$6-C1250,0),MAX(C1250-'Black-Scholes'!$B$6,0))</f>
        <v>0</v>
      </c>
      <c r="F1250" s="18" t="n">
        <f aca="false">(E1250+G1250)/2</f>
        <v>28.4021730179257</v>
      </c>
      <c r="G1250" s="18" t="n">
        <f aca="false">EXP(-'Black-Scholes'!$B$8*'Black-Scholes'!$B$7)*IF(LOWER('Black-Scholes'!$B$11)="put",MAX('Black-Scholes'!$B$6-D1250,0),MAX(D1250-'Black-Scholes'!$B$6,0))</f>
        <v>56.8043460358513</v>
      </c>
    </row>
    <row r="1251" customFormat="false" ht="15" hidden="false" customHeight="false" outlineLevel="0" collapsed="false">
      <c r="A1251" s="0" t="n">
        <v>1240</v>
      </c>
      <c r="B1251" s="15" t="n">
        <v>-0.325307198135027</v>
      </c>
      <c r="C1251" s="18" t="n">
        <f aca="false">'Black-Scholes'!$B$5*EXP(('Black-Scholes'!$B$8-'Black-Scholes'!$B$10-'Black-Scholes'!$B$9^2/2)*'Black-Scholes'!$B$7+'Black-Scholes'!$B$9*SQRT('Black-Scholes'!$B$7)*B1251)</f>
        <v>96.5546091643417</v>
      </c>
      <c r="D1251" s="18" t="n">
        <f aca="false">'Black-Scholes'!$B$5*EXP(('Black-Scholes'!$B$8-'Black-Scholes'!$B$10-'Black-Scholes'!$B$9^2/2)*'Black-Scholes'!$B$7-'Black-Scholes'!$B$9*SQRT('Black-Scholes'!$B$7)*B1251)</f>
        <v>109.972641983155</v>
      </c>
      <c r="E1251" s="18" t="n">
        <f aca="false">EXP(-'Black-Scholes'!$B$8*'Black-Scholes'!$B$7)*IF(LOWER('Black-Scholes'!$B$11)="put",MAX('Black-Scholes'!$B$6-C1251,0),MAX(C1251-'Black-Scholes'!$B$6,0))</f>
        <v>0</v>
      </c>
      <c r="F1251" s="18" t="n">
        <f aca="false">(E1251+G1251)/2</f>
        <v>4.74313524719405</v>
      </c>
      <c r="G1251" s="18" t="n">
        <f aca="false">EXP(-'Black-Scholes'!$B$8*'Black-Scholes'!$B$7)*IF(LOWER('Black-Scholes'!$B$11)="put",MAX('Black-Scholes'!$B$6-D1251,0),MAX(D1251-'Black-Scholes'!$B$6,0))</f>
        <v>9.4862704943881</v>
      </c>
    </row>
    <row r="1252" customFormat="false" ht="15" hidden="false" customHeight="false" outlineLevel="0" collapsed="false">
      <c r="A1252" s="0" t="n">
        <v>1241</v>
      </c>
      <c r="B1252" s="15" t="n">
        <v>1.12659219628629</v>
      </c>
      <c r="C1252" s="18" t="n">
        <f aca="false">'Black-Scholes'!$B$5*EXP(('Black-Scholes'!$B$8-'Black-Scholes'!$B$10-'Black-Scholes'!$B$9^2/2)*'Black-Scholes'!$B$7+'Black-Scholes'!$B$9*SQRT('Black-Scholes'!$B$7)*B1252)</f>
        <v>129.087261994861</v>
      </c>
      <c r="D1252" s="18" t="n">
        <f aca="false">'Black-Scholes'!$B$5*EXP(('Black-Scholes'!$B$8-'Black-Scholes'!$B$10-'Black-Scholes'!$B$9^2/2)*'Black-Scholes'!$B$7-'Black-Scholes'!$B$9*SQRT('Black-Scholes'!$B$7)*B1252)</f>
        <v>82.2572676913415</v>
      </c>
      <c r="E1252" s="18" t="n">
        <f aca="false">EXP(-'Black-Scholes'!$B$8*'Black-Scholes'!$B$7)*IF(LOWER('Black-Scholes'!$B$11)="put",MAX('Black-Scholes'!$B$6-C1252,0),MAX(C1252-'Black-Scholes'!$B$6,0))</f>
        <v>27.6686594876729</v>
      </c>
      <c r="F1252" s="18" t="n">
        <f aca="false">(E1252+G1252)/2</f>
        <v>13.8343297438364</v>
      </c>
      <c r="G1252" s="18" t="n">
        <f aca="false">EXP(-'Black-Scholes'!$B$8*'Black-Scholes'!$B$7)*IF(LOWER('Black-Scholes'!$B$11)="put",MAX('Black-Scholes'!$B$6-D1252,0),MAX(D1252-'Black-Scholes'!$B$6,0))</f>
        <v>0</v>
      </c>
    </row>
    <row r="1253" customFormat="false" ht="15" hidden="false" customHeight="false" outlineLevel="0" collapsed="false">
      <c r="A1253" s="0" t="n">
        <v>1242</v>
      </c>
      <c r="B1253" s="15" t="n">
        <v>-0.684705597055981</v>
      </c>
      <c r="C1253" s="18" t="n">
        <f aca="false">'Black-Scholes'!$B$5*EXP(('Black-Scholes'!$B$8-'Black-Scholes'!$B$10-'Black-Scholes'!$B$9^2/2)*'Black-Scholes'!$B$7+'Black-Scholes'!$B$9*SQRT('Black-Scholes'!$B$7)*B1253)</f>
        <v>89.8578580268577</v>
      </c>
      <c r="D1253" s="18" t="n">
        <f aca="false">'Black-Scholes'!$B$5*EXP(('Black-Scholes'!$B$8-'Black-Scholes'!$B$10-'Black-Scholes'!$B$9^2/2)*'Black-Scholes'!$B$7-'Black-Scholes'!$B$9*SQRT('Black-Scholes'!$B$7)*B1253)</f>
        <v>118.168468496988</v>
      </c>
      <c r="E1253" s="18" t="n">
        <f aca="false">EXP(-'Black-Scholes'!$B$8*'Black-Scholes'!$B$7)*IF(LOWER('Black-Scholes'!$B$11)="put",MAX('Black-Scholes'!$B$6-C1253,0),MAX(C1253-'Black-Scholes'!$B$6,0))</f>
        <v>0</v>
      </c>
      <c r="F1253" s="18" t="n">
        <f aca="false">(E1253+G1253)/2</f>
        <v>8.64119091622484</v>
      </c>
      <c r="G1253" s="18" t="n">
        <f aca="false">EXP(-'Black-Scholes'!$B$8*'Black-Scholes'!$B$7)*IF(LOWER('Black-Scholes'!$B$11)="put",MAX('Black-Scholes'!$B$6-D1253,0),MAX(D1253-'Black-Scholes'!$B$6,0))</f>
        <v>17.2823818324497</v>
      </c>
    </row>
    <row r="1254" customFormat="false" ht="15" hidden="false" customHeight="false" outlineLevel="0" collapsed="false">
      <c r="A1254" s="0" t="n">
        <v>1243</v>
      </c>
      <c r="B1254" s="15" t="n">
        <v>0.175224124897372</v>
      </c>
      <c r="C1254" s="18" t="n">
        <f aca="false">'Black-Scholes'!$B$5*EXP(('Black-Scholes'!$B$8-'Black-Scholes'!$B$10-'Black-Scholes'!$B$9^2/2)*'Black-Scholes'!$B$7+'Black-Scholes'!$B$9*SQRT('Black-Scholes'!$B$7)*B1254)</f>
        <v>106.720686083768</v>
      </c>
      <c r="D1254" s="18" t="n">
        <f aca="false">'Black-Scholes'!$B$5*EXP(('Black-Scholes'!$B$8-'Black-Scholes'!$B$10-'Black-Scholes'!$B$9^2/2)*'Black-Scholes'!$B$7-'Black-Scholes'!$B$9*SQRT('Black-Scholes'!$B$7)*B1254)</f>
        <v>99.496787877834</v>
      </c>
      <c r="E1254" s="18" t="n">
        <f aca="false">EXP(-'Black-Scholes'!$B$8*'Black-Scholes'!$B$7)*IF(LOWER('Black-Scholes'!$B$11)="put",MAX('Black-Scholes'!$B$6-C1254,0),MAX(C1254-'Black-Scholes'!$B$6,0))</f>
        <v>6.39291435571284</v>
      </c>
      <c r="F1254" s="18" t="n">
        <f aca="false">(E1254+G1254)/2</f>
        <v>3.19645717785642</v>
      </c>
      <c r="G1254" s="18" t="n">
        <f aca="false">EXP(-'Black-Scholes'!$B$8*'Black-Scholes'!$B$7)*IF(LOWER('Black-Scholes'!$B$11)="put",MAX('Black-Scholes'!$B$6-D1254,0),MAX(D1254-'Black-Scholes'!$B$6,0))</f>
        <v>0</v>
      </c>
    </row>
    <row r="1255" customFormat="false" ht="15" hidden="false" customHeight="false" outlineLevel="0" collapsed="false">
      <c r="A1255" s="0" t="n">
        <v>1244</v>
      </c>
      <c r="B1255" s="15" t="n">
        <v>0.58210684910534</v>
      </c>
      <c r="C1255" s="18" t="n">
        <f aca="false">'Black-Scholes'!$B$5*EXP(('Black-Scholes'!$B$8-'Black-Scholes'!$B$10-'Black-Scholes'!$B$9^2/2)*'Black-Scholes'!$B$7+'Black-Scholes'!$B$9*SQRT('Black-Scholes'!$B$7)*B1255)</f>
        <v>115.768389834748</v>
      </c>
      <c r="D1255" s="18" t="n">
        <f aca="false">'Black-Scholes'!$B$5*EXP(('Black-Scholes'!$B$8-'Black-Scholes'!$B$10-'Black-Scholes'!$B$9^2/2)*'Black-Scholes'!$B$7-'Black-Scholes'!$B$9*SQRT('Black-Scholes'!$B$7)*B1255)</f>
        <v>91.7207666152275</v>
      </c>
      <c r="E1255" s="18" t="n">
        <f aca="false">EXP(-'Black-Scholes'!$B$8*'Black-Scholes'!$B$7)*IF(LOWER('Black-Scholes'!$B$11)="put",MAX('Black-Scholes'!$B$6-C1255,0),MAX(C1255-'Black-Scholes'!$B$6,0))</f>
        <v>14.9993563878102</v>
      </c>
      <c r="F1255" s="18" t="n">
        <f aca="false">(E1255+G1255)/2</f>
        <v>7.49967819390512</v>
      </c>
      <c r="G1255" s="18" t="n">
        <f aca="false">EXP(-'Black-Scholes'!$B$8*'Black-Scholes'!$B$7)*IF(LOWER('Black-Scholes'!$B$11)="put",MAX('Black-Scholes'!$B$6-D1255,0),MAX(D1255-'Black-Scholes'!$B$6,0))</f>
        <v>0</v>
      </c>
    </row>
    <row r="1256" customFormat="false" ht="15" hidden="false" customHeight="false" outlineLevel="0" collapsed="false">
      <c r="A1256" s="0" t="n">
        <v>1245</v>
      </c>
      <c r="B1256" s="15" t="n">
        <v>0.0267472202528457</v>
      </c>
      <c r="C1256" s="18" t="n">
        <f aca="false">'Black-Scholes'!$B$5*EXP(('Black-Scholes'!$B$8-'Black-Scholes'!$B$10-'Black-Scholes'!$B$9^2/2)*'Black-Scholes'!$B$7+'Black-Scholes'!$B$9*SQRT('Black-Scholes'!$B$7)*B1256)</f>
        <v>103.598166318324</v>
      </c>
      <c r="D1256" s="18" t="n">
        <f aca="false">'Black-Scholes'!$B$5*EXP(('Black-Scholes'!$B$8-'Black-Scholes'!$B$10-'Black-Scholes'!$B$9^2/2)*'Black-Scholes'!$B$7-'Black-Scholes'!$B$9*SQRT('Black-Scholes'!$B$7)*B1256)</f>
        <v>102.495689284951</v>
      </c>
      <c r="E1256" s="18" t="n">
        <f aca="false">EXP(-'Black-Scholes'!$B$8*'Black-Scholes'!$B$7)*IF(LOWER('Black-Scholes'!$B$11)="put",MAX('Black-Scholes'!$B$6-C1256,0),MAX(C1256-'Black-Scholes'!$B$6,0))</f>
        <v>3.42268167623674</v>
      </c>
      <c r="F1256" s="18" t="n">
        <f aca="false">(E1256+G1256)/2</f>
        <v>2.89832737924679</v>
      </c>
      <c r="G1256" s="18" t="n">
        <f aca="false">EXP(-'Black-Scholes'!$B$8*'Black-Scholes'!$B$7)*IF(LOWER('Black-Scholes'!$B$11)="put",MAX('Black-Scholes'!$B$6-D1256,0),MAX(D1256-'Black-Scholes'!$B$6,0))</f>
        <v>2.37397308225685</v>
      </c>
    </row>
    <row r="1257" customFormat="false" ht="15" hidden="false" customHeight="false" outlineLevel="0" collapsed="false">
      <c r="A1257" s="0" t="n">
        <v>1246</v>
      </c>
      <c r="B1257" s="15" t="n">
        <v>-0.956199139195336</v>
      </c>
      <c r="C1257" s="18" t="n">
        <f aca="false">'Black-Scholes'!$B$5*EXP(('Black-Scholes'!$B$8-'Black-Scholes'!$B$10-'Black-Scholes'!$B$9^2/2)*'Black-Scholes'!$B$7+'Black-Scholes'!$B$9*SQRT('Black-Scholes'!$B$7)*B1257)</f>
        <v>85.1087932049416</v>
      </c>
      <c r="D1257" s="18" t="n">
        <f aca="false">'Black-Scholes'!$B$5*EXP(('Black-Scholes'!$B$8-'Black-Scholes'!$B$10-'Black-Scholes'!$B$9^2/2)*'Black-Scholes'!$B$7-'Black-Scholes'!$B$9*SQRT('Black-Scholes'!$B$7)*B1257)</f>
        <v>124.76226093213</v>
      </c>
      <c r="E1257" s="18" t="n">
        <f aca="false">EXP(-'Black-Scholes'!$B$8*'Black-Scholes'!$B$7)*IF(LOWER('Black-Scholes'!$B$11)="put",MAX('Black-Scholes'!$B$6-C1257,0),MAX(C1257-'Black-Scholes'!$B$6,0))</f>
        <v>0</v>
      </c>
      <c r="F1257" s="18" t="n">
        <f aca="false">(E1257+G1257)/2</f>
        <v>11.7772956079032</v>
      </c>
      <c r="G1257" s="18" t="n">
        <f aca="false">EXP(-'Black-Scholes'!$B$8*'Black-Scholes'!$B$7)*IF(LOWER('Black-Scholes'!$B$11)="put",MAX('Black-Scholes'!$B$6-D1257,0),MAX(D1257-'Black-Scholes'!$B$6,0))</f>
        <v>23.5545912158064</v>
      </c>
    </row>
    <row r="1258" customFormat="false" ht="15" hidden="false" customHeight="false" outlineLevel="0" collapsed="false">
      <c r="A1258" s="0" t="n">
        <v>1247</v>
      </c>
      <c r="B1258" s="15" t="n">
        <v>-0.321656476737039</v>
      </c>
      <c r="C1258" s="18" t="n">
        <f aca="false">'Black-Scholes'!$B$5*EXP(('Black-Scholes'!$B$8-'Black-Scholes'!$B$10-'Black-Scholes'!$B$9^2/2)*'Black-Scholes'!$B$7+'Black-Scholes'!$B$9*SQRT('Black-Scholes'!$B$7)*B1258)</f>
        <v>96.6251337033031</v>
      </c>
      <c r="D1258" s="18" t="n">
        <f aca="false">'Black-Scholes'!$B$5*EXP(('Black-Scholes'!$B$8-'Black-Scholes'!$B$10-'Black-Scholes'!$B$9^2/2)*'Black-Scholes'!$B$7-'Black-Scholes'!$B$9*SQRT('Black-Scholes'!$B$7)*B1258)</f>
        <v>109.89237539436</v>
      </c>
      <c r="E1258" s="18" t="n">
        <f aca="false">EXP(-'Black-Scholes'!$B$8*'Black-Scholes'!$B$7)*IF(LOWER('Black-Scholes'!$B$11)="put",MAX('Black-Scholes'!$B$6-C1258,0),MAX(C1258-'Black-Scholes'!$B$6,0))</f>
        <v>0</v>
      </c>
      <c r="F1258" s="18" t="n">
        <f aca="false">(E1258+G1258)/2</f>
        <v>4.704959276661</v>
      </c>
      <c r="G1258" s="18" t="n">
        <f aca="false">EXP(-'Black-Scholes'!$B$8*'Black-Scholes'!$B$7)*IF(LOWER('Black-Scholes'!$B$11)="put",MAX('Black-Scholes'!$B$6-D1258,0),MAX(D1258-'Black-Scholes'!$B$6,0))</f>
        <v>9.40991855332199</v>
      </c>
    </row>
    <row r="1259" customFormat="false" ht="15" hidden="false" customHeight="false" outlineLevel="0" collapsed="false">
      <c r="A1259" s="0" t="n">
        <v>1248</v>
      </c>
      <c r="B1259" s="15" t="n">
        <v>0.448774531637593</v>
      </c>
      <c r="C1259" s="18" t="n">
        <f aca="false">'Black-Scholes'!$B$5*EXP(('Black-Scholes'!$B$8-'Black-Scholes'!$B$10-'Black-Scholes'!$B$9^2/2)*'Black-Scholes'!$B$7+'Black-Scholes'!$B$9*SQRT('Black-Scholes'!$B$7)*B1259)</f>
        <v>112.722054309742</v>
      </c>
      <c r="D1259" s="18" t="n">
        <f aca="false">'Black-Scholes'!$B$5*EXP(('Black-Scholes'!$B$8-'Black-Scholes'!$B$10-'Black-Scholes'!$B$9^2/2)*'Black-Scholes'!$B$7-'Black-Scholes'!$B$9*SQRT('Black-Scholes'!$B$7)*B1259)</f>
        <v>94.1995382401034</v>
      </c>
      <c r="E1259" s="18" t="n">
        <f aca="false">EXP(-'Black-Scholes'!$B$8*'Black-Scholes'!$B$7)*IF(LOWER('Black-Scholes'!$B$11)="put",MAX('Black-Scholes'!$B$6-C1259,0),MAX(C1259-'Black-Scholes'!$B$6,0))</f>
        <v>12.1015923995231</v>
      </c>
      <c r="F1259" s="18" t="n">
        <f aca="false">(E1259+G1259)/2</f>
        <v>6.05079619976157</v>
      </c>
      <c r="G1259" s="18" t="n">
        <f aca="false">EXP(-'Black-Scholes'!$B$8*'Black-Scholes'!$B$7)*IF(LOWER('Black-Scholes'!$B$11)="put",MAX('Black-Scholes'!$B$6-D1259,0),MAX(D1259-'Black-Scholes'!$B$6,0))</f>
        <v>0</v>
      </c>
    </row>
    <row r="1260" customFormat="false" ht="15" hidden="false" customHeight="false" outlineLevel="0" collapsed="false">
      <c r="A1260" s="0" t="n">
        <v>1249</v>
      </c>
      <c r="B1260" s="15" t="n">
        <v>0.572179904374337</v>
      </c>
      <c r="C1260" s="18" t="n">
        <f aca="false">'Black-Scholes'!$B$5*EXP(('Black-Scholes'!$B$8-'Black-Scholes'!$B$10-'Black-Scholes'!$B$9^2/2)*'Black-Scholes'!$B$7+'Black-Scholes'!$B$9*SQRT('Black-Scholes'!$B$7)*B1260)</f>
        <v>115.538772568467</v>
      </c>
      <c r="D1260" s="18" t="n">
        <f aca="false">'Black-Scholes'!$B$5*EXP(('Black-Scholes'!$B$8-'Black-Scholes'!$B$10-'Black-Scholes'!$B$9^2/2)*'Black-Scholes'!$B$7-'Black-Scholes'!$B$9*SQRT('Black-Scholes'!$B$7)*B1260)</f>
        <v>91.903048902145</v>
      </c>
      <c r="E1260" s="18" t="n">
        <f aca="false">EXP(-'Black-Scholes'!$B$8*'Black-Scholes'!$B$7)*IF(LOWER('Black-Scholes'!$B$11)="put",MAX('Black-Scholes'!$B$6-C1260,0),MAX(C1260-'Black-Scholes'!$B$6,0))</f>
        <v>14.78093768775</v>
      </c>
      <c r="F1260" s="18" t="n">
        <f aca="false">(E1260+G1260)/2</f>
        <v>7.39046884387501</v>
      </c>
      <c r="G1260" s="18" t="n">
        <f aca="false">EXP(-'Black-Scholes'!$B$8*'Black-Scholes'!$B$7)*IF(LOWER('Black-Scholes'!$B$11)="put",MAX('Black-Scholes'!$B$6-D1260,0),MAX(D1260-'Black-Scholes'!$B$6,0))</f>
        <v>0</v>
      </c>
    </row>
    <row r="1261" customFormat="false" ht="15" hidden="false" customHeight="false" outlineLevel="0" collapsed="false">
      <c r="A1261" s="0" t="n">
        <v>1250</v>
      </c>
      <c r="B1261" s="15" t="n">
        <v>0.337874941252845</v>
      </c>
      <c r="C1261" s="18" t="n">
        <f aca="false">'Black-Scholes'!$B$5*EXP(('Black-Scholes'!$B$8-'Black-Scholes'!$B$10-'Black-Scholes'!$B$9^2/2)*'Black-Scholes'!$B$7+'Black-Scholes'!$B$9*SQRT('Black-Scholes'!$B$7)*B1261)</f>
        <v>110.249411256837</v>
      </c>
      <c r="D1261" s="18" t="n">
        <f aca="false">'Black-Scholes'!$B$5*EXP(('Black-Scholes'!$B$8-'Black-Scholes'!$B$10-'Black-Scholes'!$B$9^2/2)*'Black-Scholes'!$B$7-'Black-Scholes'!$B$9*SQRT('Black-Scholes'!$B$7)*B1261)</f>
        <v>96.3122192164547</v>
      </c>
      <c r="E1261" s="18" t="n">
        <f aca="false">EXP(-'Black-Scholes'!$B$8*'Black-Scholes'!$B$7)*IF(LOWER('Black-Scholes'!$B$11)="put",MAX('Black-Scholes'!$B$6-C1261,0),MAX(C1261-'Black-Scholes'!$B$6,0))</f>
        <v>9.74954157131263</v>
      </c>
      <c r="F1261" s="18" t="n">
        <f aca="false">(E1261+G1261)/2</f>
        <v>4.87477078565631</v>
      </c>
      <c r="G1261" s="18" t="n">
        <f aca="false">EXP(-'Black-Scholes'!$B$8*'Black-Scholes'!$B$7)*IF(LOWER('Black-Scholes'!$B$11)="put",MAX('Black-Scholes'!$B$6-D1261,0),MAX(D1261-'Black-Scholes'!$B$6,0))</f>
        <v>0</v>
      </c>
    </row>
    <row r="1262" customFormat="false" ht="15" hidden="false" customHeight="false" outlineLevel="0" collapsed="false">
      <c r="A1262" s="0" t="n">
        <v>1251</v>
      </c>
      <c r="B1262" s="15" t="n">
        <v>0.740805816110703</v>
      </c>
      <c r="C1262" s="18" t="n">
        <f aca="false">'Black-Scholes'!$B$5*EXP(('Black-Scholes'!$B$8-'Black-Scholes'!$B$10-'Black-Scholes'!$B$9^2/2)*'Black-Scholes'!$B$7+'Black-Scholes'!$B$9*SQRT('Black-Scholes'!$B$7)*B1262)</f>
        <v>119.501789865125</v>
      </c>
      <c r="D1262" s="18" t="n">
        <f aca="false">'Black-Scholes'!$B$5*EXP(('Black-Scholes'!$B$8-'Black-Scholes'!$B$10-'Black-Scholes'!$B$9^2/2)*'Black-Scholes'!$B$7-'Black-Scholes'!$B$9*SQRT('Black-Scholes'!$B$7)*B1262)</f>
        <v>88.8552839035965</v>
      </c>
      <c r="E1262" s="18" t="n">
        <f aca="false">EXP(-'Black-Scholes'!$B$8*'Black-Scholes'!$B$7)*IF(LOWER('Black-Scholes'!$B$11)="put",MAX('Black-Scholes'!$B$6-C1262,0),MAX(C1262-'Black-Scholes'!$B$6,0))</f>
        <v>18.5506763501365</v>
      </c>
      <c r="F1262" s="18" t="n">
        <f aca="false">(E1262+G1262)/2</f>
        <v>9.27533817506824</v>
      </c>
      <c r="G1262" s="18" t="n">
        <f aca="false">EXP(-'Black-Scholes'!$B$8*'Black-Scholes'!$B$7)*IF(LOWER('Black-Scholes'!$B$11)="put",MAX('Black-Scholes'!$B$6-D1262,0),MAX(D1262-'Black-Scholes'!$B$6,0))</f>
        <v>0</v>
      </c>
    </row>
    <row r="1263" customFormat="false" ht="15" hidden="false" customHeight="false" outlineLevel="0" collapsed="false">
      <c r="A1263" s="0" t="n">
        <v>1252</v>
      </c>
      <c r="B1263" s="15" t="n">
        <v>-1.3441862118732</v>
      </c>
      <c r="C1263" s="18" t="n">
        <f aca="false">'Black-Scholes'!$B$5*EXP(('Black-Scholes'!$B$8-'Black-Scholes'!$B$10-'Black-Scholes'!$B$9^2/2)*'Black-Scholes'!$B$7+'Black-Scholes'!$B$9*SQRT('Black-Scholes'!$B$7)*B1263)</f>
        <v>78.754305057901</v>
      </c>
      <c r="D1263" s="18" t="n">
        <f aca="false">'Black-Scholes'!$B$5*EXP(('Black-Scholes'!$B$8-'Black-Scholes'!$B$10-'Black-Scholes'!$B$9^2/2)*'Black-Scholes'!$B$7-'Black-Scholes'!$B$9*SQRT('Black-Scholes'!$B$7)*B1263)</f>
        <v>134.829016110889</v>
      </c>
      <c r="E1263" s="18" t="n">
        <f aca="false">EXP(-'Black-Scholes'!$B$8*'Black-Scholes'!$B$7)*IF(LOWER('Black-Scholes'!$B$11)="put",MAX('Black-Scholes'!$B$6-C1263,0),MAX(C1263-'Black-Scholes'!$B$6,0))</f>
        <v>0</v>
      </c>
      <c r="F1263" s="18" t="n">
        <f aca="false">(E1263+G1263)/2</f>
        <v>16.5651924755435</v>
      </c>
      <c r="G1263" s="18" t="n">
        <f aca="false">EXP(-'Black-Scholes'!$B$8*'Black-Scholes'!$B$7)*IF(LOWER('Black-Scholes'!$B$11)="put",MAX('Black-Scholes'!$B$6-D1263,0),MAX(D1263-'Black-Scholes'!$B$6,0))</f>
        <v>33.1303849510869</v>
      </c>
    </row>
    <row r="1264" customFormat="false" ht="15" hidden="false" customHeight="false" outlineLevel="0" collapsed="false">
      <c r="A1264" s="0" t="n">
        <v>1253</v>
      </c>
      <c r="B1264" s="15" t="n">
        <v>-0.0676946016841228</v>
      </c>
      <c r="C1264" s="18" t="n">
        <f aca="false">'Black-Scholes'!$B$5*EXP(('Black-Scholes'!$B$8-'Black-Scholes'!$B$10-'Black-Scholes'!$B$9^2/2)*'Black-Scholes'!$B$7+'Black-Scholes'!$B$9*SQRT('Black-Scholes'!$B$7)*B1264)</f>
        <v>101.659730970637</v>
      </c>
      <c r="D1264" s="18" t="n">
        <f aca="false">'Black-Scholes'!$B$5*EXP(('Black-Scholes'!$B$8-'Black-Scholes'!$B$10-'Black-Scholes'!$B$9^2/2)*'Black-Scholes'!$B$7-'Black-Scholes'!$B$9*SQRT('Black-Scholes'!$B$7)*B1264)</f>
        <v>104.450064583788</v>
      </c>
      <c r="E1264" s="18" t="n">
        <f aca="false">EXP(-'Black-Scholes'!$B$8*'Black-Scholes'!$B$7)*IF(LOWER('Black-Scholes'!$B$11)="put",MAX('Black-Scholes'!$B$6-C1264,0),MAX(C1264-'Black-Scholes'!$B$6,0))</f>
        <v>1.57878493602503</v>
      </c>
      <c r="F1264" s="18" t="n">
        <f aca="false">(E1264+G1264)/2</f>
        <v>2.90590865452658</v>
      </c>
      <c r="G1264" s="18" t="n">
        <f aca="false">EXP(-'Black-Scholes'!$B$8*'Black-Scholes'!$B$7)*IF(LOWER('Black-Scholes'!$B$11)="put",MAX('Black-Scholes'!$B$6-D1264,0),MAX(D1264-'Black-Scholes'!$B$6,0))</f>
        <v>4.23303237302813</v>
      </c>
    </row>
    <row r="1265" customFormat="false" ht="15" hidden="false" customHeight="false" outlineLevel="0" collapsed="false">
      <c r="A1265" s="0" t="n">
        <v>1254</v>
      </c>
      <c r="B1265" s="15" t="n">
        <v>-1.34210179452271</v>
      </c>
      <c r="C1265" s="18" t="n">
        <f aca="false">'Black-Scholes'!$B$5*EXP(('Black-Scholes'!$B$8-'Black-Scholes'!$B$10-'Black-Scholes'!$B$9^2/2)*'Black-Scholes'!$B$7+'Black-Scholes'!$B$9*SQRT('Black-Scholes'!$B$7)*B1265)</f>
        <v>78.7871432702571</v>
      </c>
      <c r="D1265" s="18" t="n">
        <f aca="false">'Black-Scholes'!$B$5*EXP(('Black-Scholes'!$B$8-'Black-Scholes'!$B$10-'Black-Scholes'!$B$9^2/2)*'Black-Scholes'!$B$7-'Black-Scholes'!$B$9*SQRT('Black-Scholes'!$B$7)*B1265)</f>
        <v>134.772819837245</v>
      </c>
      <c r="E1265" s="18" t="n">
        <f aca="false">EXP(-'Black-Scholes'!$B$8*'Black-Scholes'!$B$7)*IF(LOWER('Black-Scholes'!$B$11)="put",MAX('Black-Scholes'!$B$6-C1265,0),MAX(C1265-'Black-Scholes'!$B$6,0))</f>
        <v>0</v>
      </c>
      <c r="F1265" s="18" t="n">
        <f aca="false">(E1265+G1265)/2</f>
        <v>16.5384647010249</v>
      </c>
      <c r="G1265" s="18" t="n">
        <f aca="false">EXP(-'Black-Scholes'!$B$8*'Black-Scholes'!$B$7)*IF(LOWER('Black-Scholes'!$B$11)="put",MAX('Black-Scholes'!$B$6-D1265,0),MAX(D1265-'Black-Scholes'!$B$6,0))</f>
        <v>33.0769294020499</v>
      </c>
    </row>
    <row r="1266" customFormat="false" ht="15" hidden="false" customHeight="false" outlineLevel="0" collapsed="false">
      <c r="A1266" s="0" t="n">
        <v>1255</v>
      </c>
      <c r="B1266" s="15" t="n">
        <v>0.152474531935581</v>
      </c>
      <c r="C1266" s="18" t="n">
        <f aca="false">'Black-Scholes'!$B$5*EXP(('Black-Scholes'!$B$8-'Black-Scholes'!$B$10-'Black-Scholes'!$B$9^2/2)*'Black-Scholes'!$B$7+'Black-Scholes'!$B$9*SQRT('Black-Scholes'!$B$7)*B1266)</f>
        <v>106.236218629482</v>
      </c>
      <c r="D1266" s="18" t="n">
        <f aca="false">'Black-Scholes'!$B$5*EXP(('Black-Scholes'!$B$8-'Black-Scholes'!$B$10-'Black-Scholes'!$B$9^2/2)*'Black-Scholes'!$B$7-'Black-Scholes'!$B$9*SQRT('Black-Scholes'!$B$7)*B1266)</f>
        <v>99.9505216058849</v>
      </c>
      <c r="E1266" s="18" t="n">
        <f aca="false">EXP(-'Black-Scholes'!$B$8*'Black-Scholes'!$B$7)*IF(LOWER('Black-Scholes'!$B$11)="put",MAX('Black-Scholes'!$B$6-C1266,0),MAX(C1266-'Black-Scholes'!$B$6,0))</f>
        <v>5.93207465798318</v>
      </c>
      <c r="F1266" s="18" t="n">
        <f aca="false">(E1266+G1266)/2</f>
        <v>2.96603732899159</v>
      </c>
      <c r="G1266" s="18" t="n">
        <f aca="false">EXP(-'Black-Scholes'!$B$8*'Black-Scholes'!$B$7)*IF(LOWER('Black-Scholes'!$B$11)="put",MAX('Black-Scholes'!$B$6-D1266,0),MAX(D1266-'Black-Scholes'!$B$6,0))</f>
        <v>0</v>
      </c>
    </row>
    <row r="1267" customFormat="false" ht="15" hidden="false" customHeight="false" outlineLevel="0" collapsed="false">
      <c r="A1267" s="0" t="n">
        <v>1256</v>
      </c>
      <c r="B1267" s="15" t="n">
        <v>-1.01850869765991</v>
      </c>
      <c r="C1267" s="18" t="n">
        <f aca="false">'Black-Scholes'!$B$5*EXP(('Black-Scholes'!$B$8-'Black-Scholes'!$B$10-'Black-Scholes'!$B$9^2/2)*'Black-Scholes'!$B$7+'Black-Scholes'!$B$9*SQRT('Black-Scholes'!$B$7)*B1267)</f>
        <v>84.0547562384232</v>
      </c>
      <c r="D1267" s="18" t="n">
        <f aca="false">'Black-Scholes'!$B$5*EXP(('Black-Scholes'!$B$8-'Black-Scholes'!$B$10-'Black-Scholes'!$B$9^2/2)*'Black-Scholes'!$B$7-'Black-Scholes'!$B$9*SQRT('Black-Scholes'!$B$7)*B1267)</f>
        <v>126.326765321101</v>
      </c>
      <c r="E1267" s="18" t="n">
        <f aca="false">EXP(-'Black-Scholes'!$B$8*'Black-Scholes'!$B$7)*IF(LOWER('Black-Scholes'!$B$11)="put",MAX('Black-Scholes'!$B$6-C1267,0),MAX(C1267-'Black-Scholes'!$B$6,0))</f>
        <v>0</v>
      </c>
      <c r="F1267" s="18" t="n">
        <f aca="false">(E1267+G1267)/2</f>
        <v>12.5213969126779</v>
      </c>
      <c r="G1267" s="18" t="n">
        <f aca="false">EXP(-'Black-Scholes'!$B$8*'Black-Scholes'!$B$7)*IF(LOWER('Black-Scholes'!$B$11)="put",MAX('Black-Scholes'!$B$6-D1267,0),MAX(D1267-'Black-Scholes'!$B$6,0))</f>
        <v>25.0427938253558</v>
      </c>
    </row>
    <row r="1268" customFormat="false" ht="15" hidden="false" customHeight="false" outlineLevel="0" collapsed="false">
      <c r="A1268" s="0" t="n">
        <v>1257</v>
      </c>
      <c r="B1268" s="15" t="n">
        <v>-0.549638176137143</v>
      </c>
      <c r="C1268" s="18" t="n">
        <f aca="false">'Black-Scholes'!$B$5*EXP(('Black-Scholes'!$B$8-'Black-Scholes'!$B$10-'Black-Scholes'!$B$9^2/2)*'Black-Scholes'!$B$7+'Black-Scholes'!$B$9*SQRT('Black-Scholes'!$B$7)*B1268)</f>
        <v>92.3183149908181</v>
      </c>
      <c r="D1268" s="18" t="n">
        <f aca="false">'Black-Scholes'!$B$5*EXP(('Black-Scholes'!$B$8-'Black-Scholes'!$B$10-'Black-Scholes'!$B$9^2/2)*'Black-Scholes'!$B$7-'Black-Scholes'!$B$9*SQRT('Black-Scholes'!$B$7)*B1268)</f>
        <v>115.01905625671</v>
      </c>
      <c r="E1268" s="18" t="n">
        <f aca="false">EXP(-'Black-Scholes'!$B$8*'Black-Scholes'!$B$7)*IF(LOWER('Black-Scholes'!$B$11)="put",MAX('Black-Scholes'!$B$6-C1268,0),MAX(C1268-'Black-Scholes'!$B$6,0))</f>
        <v>0</v>
      </c>
      <c r="F1268" s="18" t="n">
        <f aca="false">(E1268+G1268)/2</f>
        <v>7.14328411980715</v>
      </c>
      <c r="G1268" s="18" t="n">
        <f aca="false">EXP(-'Black-Scholes'!$B$8*'Black-Scholes'!$B$7)*IF(LOWER('Black-Scholes'!$B$11)="put",MAX('Black-Scholes'!$B$6-D1268,0),MAX(D1268-'Black-Scholes'!$B$6,0))</f>
        <v>14.2865682396143</v>
      </c>
    </row>
    <row r="1269" customFormat="false" ht="15" hidden="false" customHeight="false" outlineLevel="0" collapsed="false">
      <c r="A1269" s="0" t="n">
        <v>1258</v>
      </c>
      <c r="B1269" s="15" t="n">
        <v>0.558484343130365</v>
      </c>
      <c r="C1269" s="18" t="n">
        <f aca="false">'Black-Scholes'!$B$5*EXP(('Black-Scholes'!$B$8-'Black-Scholes'!$B$10-'Black-Scholes'!$B$9^2/2)*'Black-Scholes'!$B$7+'Black-Scholes'!$B$9*SQRT('Black-Scholes'!$B$7)*B1269)</f>
        <v>115.222731934297</v>
      </c>
      <c r="D1269" s="18" t="n">
        <f aca="false">'Black-Scholes'!$B$5*EXP(('Black-Scholes'!$B$8-'Black-Scholes'!$B$10-'Black-Scholes'!$B$9^2/2)*'Black-Scholes'!$B$7-'Black-Scholes'!$B$9*SQRT('Black-Scholes'!$B$7)*B1269)</f>
        <v>92.1551267462435</v>
      </c>
      <c r="E1269" s="18" t="n">
        <f aca="false">EXP(-'Black-Scholes'!$B$8*'Black-Scholes'!$B$7)*IF(LOWER('Black-Scholes'!$B$11)="put",MAX('Black-Scholes'!$B$6-C1269,0),MAX(C1269-'Black-Scholes'!$B$6,0))</f>
        <v>14.4803105371902</v>
      </c>
      <c r="F1269" s="18" t="n">
        <f aca="false">(E1269+G1269)/2</f>
        <v>7.24015526859508</v>
      </c>
      <c r="G1269" s="18" t="n">
        <f aca="false">EXP(-'Black-Scholes'!$B$8*'Black-Scholes'!$B$7)*IF(LOWER('Black-Scholes'!$B$11)="put",MAX('Black-Scholes'!$B$6-D1269,0),MAX(D1269-'Black-Scholes'!$B$6,0))</f>
        <v>0</v>
      </c>
    </row>
    <row r="1270" customFormat="false" ht="15" hidden="false" customHeight="false" outlineLevel="0" collapsed="false">
      <c r="A1270" s="0" t="n">
        <v>1259</v>
      </c>
      <c r="B1270" s="15" t="n">
        <v>-0.522046167528741</v>
      </c>
      <c r="C1270" s="18" t="n">
        <f aca="false">'Black-Scholes'!$B$5*EXP(('Black-Scholes'!$B$8-'Black-Scholes'!$B$10-'Black-Scholes'!$B$9^2/2)*'Black-Scholes'!$B$7+'Black-Scholes'!$B$9*SQRT('Black-Scholes'!$B$7)*B1270)</f>
        <v>92.8291728021003</v>
      </c>
      <c r="D1270" s="18" t="n">
        <f aca="false">'Black-Scholes'!$B$5*EXP(('Black-Scholes'!$B$8-'Black-Scholes'!$B$10-'Black-Scholes'!$B$9^2/2)*'Black-Scholes'!$B$7-'Black-Scholes'!$B$9*SQRT('Black-Scholes'!$B$7)*B1270)</f>
        <v>114.386083005292</v>
      </c>
      <c r="E1270" s="18" t="n">
        <f aca="false">EXP(-'Black-Scholes'!$B$8*'Black-Scholes'!$B$7)*IF(LOWER('Black-Scholes'!$B$11)="put",MAX('Black-Scholes'!$B$6-C1270,0),MAX(C1270-'Black-Scholes'!$B$6,0))</f>
        <v>0</v>
      </c>
      <c r="F1270" s="18" t="n">
        <f aca="false">(E1270+G1270)/2</f>
        <v>6.84223272897151</v>
      </c>
      <c r="G1270" s="18" t="n">
        <f aca="false">EXP(-'Black-Scholes'!$B$8*'Black-Scholes'!$B$7)*IF(LOWER('Black-Scholes'!$B$11)="put",MAX('Black-Scholes'!$B$6-D1270,0),MAX(D1270-'Black-Scholes'!$B$6,0))</f>
        <v>13.684465457943</v>
      </c>
    </row>
    <row r="1271" customFormat="false" ht="15" hidden="false" customHeight="false" outlineLevel="0" collapsed="false">
      <c r="A1271" s="0" t="n">
        <v>1260</v>
      </c>
      <c r="B1271" s="15" t="n">
        <v>0.369176162162035</v>
      </c>
      <c r="C1271" s="18" t="n">
        <f aca="false">'Black-Scholes'!$B$5*EXP(('Black-Scholes'!$B$8-'Black-Scholes'!$B$10-'Black-Scholes'!$B$9^2/2)*'Black-Scholes'!$B$7+'Black-Scholes'!$B$9*SQRT('Black-Scholes'!$B$7)*B1271)</f>
        <v>110.941764380871</v>
      </c>
      <c r="D1271" s="18" t="n">
        <f aca="false">'Black-Scholes'!$B$5*EXP(('Black-Scholes'!$B$8-'Black-Scholes'!$B$10-'Black-Scholes'!$B$9^2/2)*'Black-Scholes'!$B$7-'Black-Scholes'!$B$9*SQRT('Black-Scholes'!$B$7)*B1271)</f>
        <v>95.7111645439493</v>
      </c>
      <c r="E1271" s="18" t="n">
        <f aca="false">EXP(-'Black-Scholes'!$B$8*'Black-Scholes'!$B$7)*IF(LOWER('Black-Scholes'!$B$11)="put",MAX('Black-Scholes'!$B$6-C1271,0),MAX(C1271-'Black-Scholes'!$B$6,0))</f>
        <v>10.4081282350384</v>
      </c>
      <c r="F1271" s="18" t="n">
        <f aca="false">(E1271+G1271)/2</f>
        <v>5.20406411751918</v>
      </c>
      <c r="G1271" s="18" t="n">
        <f aca="false">EXP(-'Black-Scholes'!$B$8*'Black-Scholes'!$B$7)*IF(LOWER('Black-Scholes'!$B$11)="put",MAX('Black-Scholes'!$B$6-D1271,0),MAX(D1271-'Black-Scholes'!$B$6,0))</f>
        <v>0</v>
      </c>
    </row>
    <row r="1272" customFormat="false" ht="15" hidden="false" customHeight="false" outlineLevel="0" collapsed="false">
      <c r="A1272" s="0" t="n">
        <v>1261</v>
      </c>
      <c r="B1272" s="15" t="n">
        <v>0.317458857701252</v>
      </c>
      <c r="C1272" s="18" t="n">
        <f aca="false">'Black-Scholes'!$B$5*EXP(('Black-Scholes'!$B$8-'Black-Scholes'!$B$10-'Black-Scholes'!$B$9^2/2)*'Black-Scholes'!$B$7+'Black-Scholes'!$B$9*SQRT('Black-Scholes'!$B$7)*B1272)</f>
        <v>109.800156844242</v>
      </c>
      <c r="D1272" s="18" t="n">
        <f aca="false">'Black-Scholes'!$B$5*EXP(('Black-Scholes'!$B$8-'Black-Scholes'!$B$10-'Black-Scholes'!$B$9^2/2)*'Black-Scholes'!$B$7-'Black-Scholes'!$B$9*SQRT('Black-Scholes'!$B$7)*B1272)</f>
        <v>96.7062868636554</v>
      </c>
      <c r="E1272" s="18" t="n">
        <f aca="false">EXP(-'Black-Scholes'!$B$8*'Black-Scholes'!$B$7)*IF(LOWER('Black-Scholes'!$B$11)="put",MAX('Black-Scholes'!$B$6-C1272,0),MAX(C1272-'Black-Scholes'!$B$6,0))</f>
        <v>9.32219755496478</v>
      </c>
      <c r="F1272" s="18" t="n">
        <f aca="false">(E1272+G1272)/2</f>
        <v>4.66109877748239</v>
      </c>
      <c r="G1272" s="18" t="n">
        <f aca="false">EXP(-'Black-Scholes'!$B$8*'Black-Scholes'!$B$7)*IF(LOWER('Black-Scholes'!$B$11)="put",MAX('Black-Scholes'!$B$6-D1272,0),MAX(D1272-'Black-Scholes'!$B$6,0))</f>
        <v>0</v>
      </c>
    </row>
    <row r="1273" customFormat="false" ht="15" hidden="false" customHeight="false" outlineLevel="0" collapsed="false">
      <c r="A1273" s="0" t="n">
        <v>1262</v>
      </c>
      <c r="B1273" s="15" t="n">
        <v>-0.0298661787102581</v>
      </c>
      <c r="C1273" s="18" t="n">
        <f aca="false">'Black-Scholes'!$B$5*EXP(('Black-Scholes'!$B$8-'Black-Scholes'!$B$10-'Black-Scholes'!$B$9^2/2)*'Black-Scholes'!$B$7+'Black-Scholes'!$B$9*SQRT('Black-Scholes'!$B$7)*B1273)</f>
        <v>102.431773262777</v>
      </c>
      <c r="D1273" s="18" t="n">
        <f aca="false">'Black-Scholes'!$B$5*EXP(('Black-Scholes'!$B$8-'Black-Scholes'!$B$10-'Black-Scholes'!$B$9^2/2)*'Black-Scholes'!$B$7-'Black-Scholes'!$B$9*SQRT('Black-Scholes'!$B$7)*B1273)</f>
        <v>103.662810153773</v>
      </c>
      <c r="E1273" s="18" t="n">
        <f aca="false">EXP(-'Black-Scholes'!$B$8*'Black-Scholes'!$B$7)*IF(LOWER('Black-Scholes'!$B$11)="put",MAX('Black-Scholes'!$B$6-C1273,0),MAX(C1273-'Black-Scholes'!$B$6,0))</f>
        <v>2.31317428126754</v>
      </c>
      <c r="F1273" s="18" t="n">
        <f aca="false">(E1273+G1273)/2</f>
        <v>2.89867353794833</v>
      </c>
      <c r="G1273" s="18" t="n">
        <f aca="false">EXP(-'Black-Scholes'!$B$8*'Black-Scholes'!$B$7)*IF(LOWER('Black-Scholes'!$B$11)="put",MAX('Black-Scholes'!$B$6-D1273,0),MAX(D1273-'Black-Scholes'!$B$6,0))</f>
        <v>3.48417279462913</v>
      </c>
    </row>
    <row r="1274" customFormat="false" ht="15" hidden="false" customHeight="false" outlineLevel="0" collapsed="false">
      <c r="A1274" s="0" t="n">
        <v>1263</v>
      </c>
      <c r="B1274" s="15" t="n">
        <v>-0.415185431583292</v>
      </c>
      <c r="C1274" s="18" t="n">
        <f aca="false">'Black-Scholes'!$B$5*EXP(('Black-Scholes'!$B$8-'Black-Scholes'!$B$10-'Black-Scholes'!$B$9^2/2)*'Black-Scholes'!$B$7+'Black-Scholes'!$B$9*SQRT('Black-Scholes'!$B$7)*B1274)</f>
        <v>94.8344841213033</v>
      </c>
      <c r="D1274" s="18" t="n">
        <f aca="false">'Black-Scholes'!$B$5*EXP(('Black-Scholes'!$B$8-'Black-Scholes'!$B$10-'Black-Scholes'!$B$9^2/2)*'Black-Scholes'!$B$7-'Black-Scholes'!$B$9*SQRT('Black-Scholes'!$B$7)*B1274)</f>
        <v>111.967345674297</v>
      </c>
      <c r="E1274" s="18" t="n">
        <f aca="false">EXP(-'Black-Scholes'!$B$8*'Black-Scholes'!$B$7)*IF(LOWER('Black-Scholes'!$B$11)="put",MAX('Black-Scholes'!$B$6-C1274,0),MAX(C1274-'Black-Scholes'!$B$6,0))</f>
        <v>0</v>
      </c>
      <c r="F1274" s="18" t="n">
        <f aca="false">(E1274+G1274)/2</f>
        <v>5.69184566928131</v>
      </c>
      <c r="G1274" s="18" t="n">
        <f aca="false">EXP(-'Black-Scholes'!$B$8*'Black-Scholes'!$B$7)*IF(LOWER('Black-Scholes'!$B$11)="put",MAX('Black-Scholes'!$B$6-D1274,0),MAX(D1274-'Black-Scholes'!$B$6,0))</f>
        <v>11.3836913385626</v>
      </c>
    </row>
    <row r="1275" customFormat="false" ht="15" hidden="false" customHeight="false" outlineLevel="0" collapsed="false">
      <c r="A1275" s="0" t="n">
        <v>1264</v>
      </c>
      <c r="B1275" s="15" t="n">
        <v>0.87774616546765</v>
      </c>
      <c r="C1275" s="18" t="n">
        <f aca="false">'Black-Scholes'!$B$5*EXP(('Black-Scholes'!$B$8-'Black-Scholes'!$B$10-'Black-Scholes'!$B$9^2/2)*'Black-Scholes'!$B$7+'Black-Scholes'!$B$9*SQRT('Black-Scholes'!$B$7)*B1275)</f>
        <v>122.819944753165</v>
      </c>
      <c r="D1275" s="18" t="n">
        <f aca="false">'Black-Scholes'!$B$5*EXP(('Black-Scholes'!$B$8-'Black-Scholes'!$B$10-'Black-Scholes'!$B$9^2/2)*'Black-Scholes'!$B$7-'Black-Scholes'!$B$9*SQRT('Black-Scholes'!$B$7)*B1275)</f>
        <v>86.4547324686852</v>
      </c>
      <c r="E1275" s="18" t="n">
        <f aca="false">EXP(-'Black-Scholes'!$B$8*'Black-Scholes'!$B$7)*IF(LOWER('Black-Scholes'!$B$11)="put",MAX('Black-Scholes'!$B$6-C1275,0),MAX(C1275-'Black-Scholes'!$B$6,0))</f>
        <v>21.7070029146915</v>
      </c>
      <c r="F1275" s="18" t="n">
        <f aca="false">(E1275+G1275)/2</f>
        <v>10.8535014573457</v>
      </c>
      <c r="G1275" s="18" t="n">
        <f aca="false">EXP(-'Black-Scholes'!$B$8*'Black-Scholes'!$B$7)*IF(LOWER('Black-Scholes'!$B$11)="put",MAX('Black-Scholes'!$B$6-D1275,0),MAX(D1275-'Black-Scholes'!$B$6,0))</f>
        <v>0</v>
      </c>
    </row>
    <row r="1276" customFormat="false" ht="15" hidden="false" customHeight="false" outlineLevel="0" collapsed="false">
      <c r="A1276" s="0" t="n">
        <v>1265</v>
      </c>
      <c r="B1276" s="15" t="n">
        <v>-0.653940152260418</v>
      </c>
      <c r="C1276" s="18" t="n">
        <f aca="false">'Black-Scholes'!$B$5*EXP(('Black-Scholes'!$B$8-'Black-Scholes'!$B$10-'Black-Scholes'!$B$9^2/2)*'Black-Scholes'!$B$7+'Black-Scholes'!$B$9*SQRT('Black-Scholes'!$B$7)*B1276)</f>
        <v>90.4124659470974</v>
      </c>
      <c r="D1276" s="18" t="n">
        <f aca="false">'Black-Scholes'!$B$5*EXP(('Black-Scholes'!$B$8-'Black-Scholes'!$B$10-'Black-Scholes'!$B$9^2/2)*'Black-Scholes'!$B$7-'Black-Scholes'!$B$9*SQRT('Black-Scholes'!$B$7)*B1276)</f>
        <v>117.443599776016</v>
      </c>
      <c r="E1276" s="18" t="n">
        <f aca="false">EXP(-'Black-Scholes'!$B$8*'Black-Scholes'!$B$7)*IF(LOWER('Black-Scholes'!$B$11)="put",MAX('Black-Scholes'!$B$6-C1276,0),MAX(C1276-'Black-Scholes'!$B$6,0))</f>
        <v>0</v>
      </c>
      <c r="F1276" s="18" t="n">
        <f aca="false">(E1276+G1276)/2</f>
        <v>8.29643268808029</v>
      </c>
      <c r="G1276" s="18" t="n">
        <f aca="false">EXP(-'Black-Scholes'!$B$8*'Black-Scholes'!$B$7)*IF(LOWER('Black-Scholes'!$B$11)="put",MAX('Black-Scholes'!$B$6-D1276,0),MAX(D1276-'Black-Scholes'!$B$6,0))</f>
        <v>16.5928653761606</v>
      </c>
    </row>
    <row r="1277" customFormat="false" ht="15" hidden="false" customHeight="false" outlineLevel="0" collapsed="false">
      <c r="A1277" s="0" t="n">
        <v>1266</v>
      </c>
      <c r="B1277" s="15" t="n">
        <v>-0.536432108778373</v>
      </c>
      <c r="C1277" s="18" t="n">
        <f aca="false">'Black-Scholes'!$B$5*EXP(('Black-Scholes'!$B$8-'Black-Scholes'!$B$10-'Black-Scholes'!$B$9^2/2)*'Black-Scholes'!$B$7+'Black-Scholes'!$B$9*SQRT('Black-Scholes'!$B$7)*B1277)</f>
        <v>92.5624696584247</v>
      </c>
      <c r="D1277" s="18" t="n">
        <f aca="false">'Black-Scholes'!$B$5*EXP(('Black-Scholes'!$B$8-'Black-Scholes'!$B$10-'Black-Scholes'!$B$9^2/2)*'Black-Scholes'!$B$7-'Black-Scholes'!$B$9*SQRT('Black-Scholes'!$B$7)*B1277)</f>
        <v>114.715667209806</v>
      </c>
      <c r="E1277" s="18" t="n">
        <f aca="false">EXP(-'Black-Scholes'!$B$8*'Black-Scholes'!$B$7)*IF(LOWER('Black-Scholes'!$B$11)="put",MAX('Black-Scholes'!$B$6-C1277,0),MAX(C1277-'Black-Scholes'!$B$6,0))</f>
        <v>0</v>
      </c>
      <c r="F1277" s="18" t="n">
        <f aca="false">(E1277+G1277)/2</f>
        <v>6.99898782556382</v>
      </c>
      <c r="G1277" s="18" t="n">
        <f aca="false">EXP(-'Black-Scholes'!$B$8*'Black-Scholes'!$B$7)*IF(LOWER('Black-Scholes'!$B$11)="put",MAX('Black-Scholes'!$B$6-D1277,0),MAX(D1277-'Black-Scholes'!$B$6,0))</f>
        <v>13.9979756511276</v>
      </c>
    </row>
    <row r="1278" customFormat="false" ht="15" hidden="false" customHeight="false" outlineLevel="0" collapsed="false">
      <c r="A1278" s="0" t="n">
        <v>1267</v>
      </c>
      <c r="B1278" s="15" t="n">
        <v>-0.759897088777066</v>
      </c>
      <c r="C1278" s="18" t="n">
        <f aca="false">'Black-Scholes'!$B$5*EXP(('Black-Scholes'!$B$8-'Black-Scholes'!$B$10-'Black-Scholes'!$B$9^2/2)*'Black-Scholes'!$B$7+'Black-Scholes'!$B$9*SQRT('Black-Scholes'!$B$7)*B1278)</f>
        <v>88.5166587030332</v>
      </c>
      <c r="D1278" s="18" t="n">
        <f aca="false">'Black-Scholes'!$B$5*EXP(('Black-Scholes'!$B$8-'Black-Scholes'!$B$10-'Black-Scholes'!$B$9^2/2)*'Black-Scholes'!$B$7-'Black-Scholes'!$B$9*SQRT('Black-Scholes'!$B$7)*B1278)</f>
        <v>119.958950338121</v>
      </c>
      <c r="E1278" s="18" t="n">
        <f aca="false">EXP(-'Black-Scholes'!$B$8*'Black-Scholes'!$B$7)*IF(LOWER('Black-Scholes'!$B$11)="put",MAX('Black-Scholes'!$B$6-C1278,0),MAX(C1278-'Black-Scholes'!$B$6,0))</f>
        <v>0</v>
      </c>
      <c r="F1278" s="18" t="n">
        <f aca="false">(E1278+G1278)/2</f>
        <v>9.49277042188477</v>
      </c>
      <c r="G1278" s="18" t="n">
        <f aca="false">EXP(-'Black-Scholes'!$B$8*'Black-Scholes'!$B$7)*IF(LOWER('Black-Scholes'!$B$11)="put",MAX('Black-Scholes'!$B$6-D1278,0),MAX(D1278-'Black-Scholes'!$B$6,0))</f>
        <v>18.9855408437695</v>
      </c>
    </row>
    <row r="1279" customFormat="false" ht="15" hidden="false" customHeight="false" outlineLevel="0" collapsed="false">
      <c r="A1279" s="0" t="n">
        <v>1268</v>
      </c>
      <c r="B1279" s="15" t="n">
        <v>0.320451824039194</v>
      </c>
      <c r="C1279" s="18" t="n">
        <f aca="false">'Black-Scholes'!$B$5*EXP(('Black-Scholes'!$B$8-'Black-Scholes'!$B$10-'Black-Scholes'!$B$9^2/2)*'Black-Scholes'!$B$7+'Black-Scholes'!$B$9*SQRT('Black-Scholes'!$B$7)*B1279)</f>
        <v>109.865902154296</v>
      </c>
      <c r="D1279" s="18" t="n">
        <f aca="false">'Black-Scholes'!$B$5*EXP(('Black-Scholes'!$B$8-'Black-Scholes'!$B$10-'Black-Scholes'!$B$9^2/2)*'Black-Scholes'!$B$7-'Black-Scholes'!$B$9*SQRT('Black-Scholes'!$B$7)*B1279)</f>
        <v>96.6484164535523</v>
      </c>
      <c r="E1279" s="18" t="n">
        <f aca="false">EXP(-'Black-Scholes'!$B$8*'Black-Scholes'!$B$7)*IF(LOWER('Black-Scholes'!$B$11)="put",MAX('Black-Scholes'!$B$6-C1279,0),MAX(C1279-'Black-Scholes'!$B$6,0))</f>
        <v>9.38473642841104</v>
      </c>
      <c r="F1279" s="18" t="n">
        <f aca="false">(E1279+G1279)/2</f>
        <v>4.69236821420552</v>
      </c>
      <c r="G1279" s="18" t="n">
        <f aca="false">EXP(-'Black-Scholes'!$B$8*'Black-Scholes'!$B$7)*IF(LOWER('Black-Scholes'!$B$11)="put",MAX('Black-Scholes'!$B$6-D1279,0),MAX(D1279-'Black-Scholes'!$B$6,0))</f>
        <v>0</v>
      </c>
    </row>
    <row r="1280" customFormat="false" ht="15" hidden="false" customHeight="false" outlineLevel="0" collapsed="false">
      <c r="A1280" s="0" t="n">
        <v>1269</v>
      </c>
      <c r="B1280" s="15" t="n">
        <v>-1.41923399996634</v>
      </c>
      <c r="C1280" s="18" t="n">
        <f aca="false">'Black-Scholes'!$B$5*EXP(('Black-Scholes'!$B$8-'Black-Scholes'!$B$10-'Black-Scholes'!$B$9^2/2)*'Black-Scholes'!$B$7+'Black-Scholes'!$B$9*SQRT('Black-Scholes'!$B$7)*B1280)</f>
        <v>77.5810647139073</v>
      </c>
      <c r="D1280" s="18" t="n">
        <f aca="false">'Black-Scholes'!$B$5*EXP(('Black-Scholes'!$B$8-'Black-Scholes'!$B$10-'Black-Scholes'!$B$9^2/2)*'Black-Scholes'!$B$7-'Black-Scholes'!$B$9*SQRT('Black-Scholes'!$B$7)*B1280)</f>
        <v>136.868003869379</v>
      </c>
      <c r="E1280" s="18" t="n">
        <f aca="false">EXP(-'Black-Scholes'!$B$8*'Black-Scholes'!$B$7)*IF(LOWER('Black-Scholes'!$B$11)="put",MAX('Black-Scholes'!$B$6-C1280,0),MAX(C1280-'Black-Scholes'!$B$6,0))</f>
        <v>0</v>
      </c>
      <c r="F1280" s="18" t="n">
        <f aca="false">(E1280+G1280)/2</f>
        <v>17.5349650515797</v>
      </c>
      <c r="G1280" s="18" t="n">
        <f aca="false">EXP(-'Black-Scholes'!$B$8*'Black-Scholes'!$B$7)*IF(LOWER('Black-Scholes'!$B$11)="put",MAX('Black-Scholes'!$B$6-D1280,0),MAX(D1280-'Black-Scholes'!$B$6,0))</f>
        <v>35.0699301031593</v>
      </c>
    </row>
    <row r="1281" customFormat="false" ht="15" hidden="false" customHeight="false" outlineLevel="0" collapsed="false">
      <c r="A1281" s="0" t="n">
        <v>1270</v>
      </c>
      <c r="B1281" s="15" t="n">
        <v>-1.92471861009606</v>
      </c>
      <c r="C1281" s="18" t="n">
        <f aca="false">'Black-Scholes'!$B$5*EXP(('Black-Scholes'!$B$8-'Black-Scholes'!$B$10-'Black-Scholes'!$B$9^2/2)*'Black-Scholes'!$B$7+'Black-Scholes'!$B$9*SQRT('Black-Scholes'!$B$7)*B1281)</f>
        <v>70.1212904944541</v>
      </c>
      <c r="D1281" s="18" t="n">
        <f aca="false">'Black-Scholes'!$B$5*EXP(('Black-Scholes'!$B$8-'Black-Scholes'!$B$10-'Black-Scholes'!$B$9^2/2)*'Black-Scholes'!$B$7-'Black-Scholes'!$B$9*SQRT('Black-Scholes'!$B$7)*B1281)</f>
        <v>151.428551736272</v>
      </c>
      <c r="E1281" s="18" t="n">
        <f aca="false">EXP(-'Black-Scholes'!$B$8*'Black-Scholes'!$B$7)*IF(LOWER('Black-Scholes'!$B$11)="put",MAX('Black-Scholes'!$B$6-C1281,0),MAX(C1281-'Black-Scholes'!$B$6,0))</f>
        <v>0</v>
      </c>
      <c r="F1281" s="18" t="n">
        <f aca="false">(E1281+G1281)/2</f>
        <v>24.4601758354996</v>
      </c>
      <c r="G1281" s="18" t="n">
        <f aca="false">EXP(-'Black-Scholes'!$B$8*'Black-Scholes'!$B$7)*IF(LOWER('Black-Scholes'!$B$11)="put",MAX('Black-Scholes'!$B$6-D1281,0),MAX(D1281-'Black-Scholes'!$B$6,0))</f>
        <v>48.9203516709992</v>
      </c>
    </row>
    <row r="1282" customFormat="false" ht="15" hidden="false" customHeight="false" outlineLevel="0" collapsed="false">
      <c r="A1282" s="0" t="n">
        <v>1271</v>
      </c>
      <c r="B1282" s="15" t="n">
        <v>-1.01730769571972</v>
      </c>
      <c r="C1282" s="18" t="n">
        <f aca="false">'Black-Scholes'!$B$5*EXP(('Black-Scholes'!$B$8-'Black-Scholes'!$B$10-'Black-Scholes'!$B$9^2/2)*'Black-Scholes'!$B$7+'Black-Scholes'!$B$9*SQRT('Black-Scholes'!$B$7)*B1282)</f>
        <v>84.0749486485034</v>
      </c>
      <c r="D1282" s="18" t="n">
        <f aca="false">'Black-Scholes'!$B$5*EXP(('Black-Scholes'!$B$8-'Black-Scholes'!$B$10-'Black-Scholes'!$B$9^2/2)*'Black-Scholes'!$B$7-'Black-Scholes'!$B$9*SQRT('Black-Scholes'!$B$7)*B1282)</f>
        <v>126.296425227048</v>
      </c>
      <c r="E1282" s="18" t="n">
        <f aca="false">EXP(-'Black-Scholes'!$B$8*'Black-Scholes'!$B$7)*IF(LOWER('Black-Scholes'!$B$11)="put",MAX('Black-Scholes'!$B$6-C1282,0),MAX(C1282-'Black-Scholes'!$B$6,0))</f>
        <v>0</v>
      </c>
      <c r="F1282" s="18" t="n">
        <f aca="false">(E1282+G1282)/2</f>
        <v>12.5069667175754</v>
      </c>
      <c r="G1282" s="18" t="n">
        <f aca="false">EXP(-'Black-Scholes'!$B$8*'Black-Scholes'!$B$7)*IF(LOWER('Black-Scholes'!$B$11)="put",MAX('Black-Scholes'!$B$6-D1282,0),MAX(D1282-'Black-Scholes'!$B$6,0))</f>
        <v>25.0139334351507</v>
      </c>
    </row>
    <row r="1283" customFormat="false" ht="15" hidden="false" customHeight="false" outlineLevel="0" collapsed="false">
      <c r="A1283" s="0" t="n">
        <v>1272</v>
      </c>
      <c r="B1283" s="15" t="n">
        <v>-1.22911483774539</v>
      </c>
      <c r="C1283" s="18" t="n">
        <f aca="false">'Black-Scholes'!$B$5*EXP(('Black-Scholes'!$B$8-'Black-Scholes'!$B$10-'Black-Scholes'!$B$9^2/2)*'Black-Scholes'!$B$7+'Black-Scholes'!$B$9*SQRT('Black-Scholes'!$B$7)*B1283)</f>
        <v>80.5877955795579</v>
      </c>
      <c r="D1283" s="18" t="n">
        <f aca="false">'Black-Scholes'!$B$5*EXP(('Black-Scholes'!$B$8-'Black-Scholes'!$B$10-'Black-Scholes'!$B$9^2/2)*'Black-Scholes'!$B$7-'Black-Scholes'!$B$9*SQRT('Black-Scholes'!$B$7)*B1283)</f>
        <v>131.761458283977</v>
      </c>
      <c r="E1283" s="18" t="n">
        <f aca="false">EXP(-'Black-Scholes'!$B$8*'Black-Scholes'!$B$7)*IF(LOWER('Black-Scholes'!$B$11)="put",MAX('Black-Scholes'!$B$6-C1283,0),MAX(C1283-'Black-Scholes'!$B$6,0))</f>
        <v>0</v>
      </c>
      <c r="F1283" s="18" t="n">
        <f aca="false">(E1283+G1283)/2</f>
        <v>15.1062168423855</v>
      </c>
      <c r="G1283" s="18" t="n">
        <f aca="false">EXP(-'Black-Scholes'!$B$8*'Black-Scholes'!$B$7)*IF(LOWER('Black-Scholes'!$B$11)="put",MAX('Black-Scholes'!$B$6-D1283,0),MAX(D1283-'Black-Scholes'!$B$6,0))</f>
        <v>30.212433684771</v>
      </c>
    </row>
    <row r="1284" customFormat="false" ht="15" hidden="false" customHeight="false" outlineLevel="0" collapsed="false">
      <c r="A1284" s="0" t="n">
        <v>1273</v>
      </c>
      <c r="B1284" s="15" t="n">
        <v>0.16821078507874</v>
      </c>
      <c r="C1284" s="18" t="n">
        <f aca="false">'Black-Scholes'!$B$5*EXP(('Black-Scholes'!$B$8-'Black-Scholes'!$B$10-'Black-Scholes'!$B$9^2/2)*'Black-Scholes'!$B$7+'Black-Scholes'!$B$9*SQRT('Black-Scholes'!$B$7)*B1284)</f>
        <v>106.571097332532</v>
      </c>
      <c r="D1284" s="18" t="n">
        <f aca="false">'Black-Scholes'!$B$5*EXP(('Black-Scholes'!$B$8-'Black-Scholes'!$B$10-'Black-Scholes'!$B$9^2/2)*'Black-Scholes'!$B$7-'Black-Scholes'!$B$9*SQRT('Black-Scholes'!$B$7)*B1284)</f>
        <v>99.6364467593054</v>
      </c>
      <c r="E1284" s="18" t="n">
        <f aca="false">EXP(-'Black-Scholes'!$B$8*'Black-Scholes'!$B$7)*IF(LOWER('Black-Scholes'!$B$11)="put",MAX('Black-Scholes'!$B$6-C1284,0),MAX(C1284-'Black-Scholes'!$B$6,0))</f>
        <v>6.25062113396281</v>
      </c>
      <c r="F1284" s="18" t="n">
        <f aca="false">(E1284+G1284)/2</f>
        <v>3.12531056698141</v>
      </c>
      <c r="G1284" s="18" t="n">
        <f aca="false">EXP(-'Black-Scholes'!$B$8*'Black-Scholes'!$B$7)*IF(LOWER('Black-Scholes'!$B$11)="put",MAX('Black-Scholes'!$B$6-D1284,0),MAX(D1284-'Black-Scholes'!$B$6,0))</f>
        <v>0</v>
      </c>
    </row>
    <row r="1285" customFormat="false" ht="15" hidden="false" customHeight="false" outlineLevel="0" collapsed="false">
      <c r="A1285" s="0" t="n">
        <v>1274</v>
      </c>
      <c r="B1285" s="15" t="n">
        <v>2.09854874756538</v>
      </c>
      <c r="C1285" s="18" t="n">
        <f aca="false">'Black-Scholes'!$B$5*EXP(('Black-Scholes'!$B$8-'Black-Scholes'!$B$10-'Black-Scholes'!$B$9^2/2)*'Black-Scholes'!$B$7+'Black-Scholes'!$B$9*SQRT('Black-Scholes'!$B$7)*B1285)</f>
        <v>156.785704816979</v>
      </c>
      <c r="D1285" s="18" t="n">
        <f aca="false">'Black-Scholes'!$B$5*EXP(('Black-Scholes'!$B$8-'Black-Scholes'!$B$10-'Black-Scholes'!$B$9^2/2)*'Black-Scholes'!$B$7-'Black-Scholes'!$B$9*SQRT('Black-Scholes'!$B$7)*B1285)</f>
        <v>67.7253419107867</v>
      </c>
      <c r="E1285" s="18" t="n">
        <f aca="false">EXP(-'Black-Scholes'!$B$8*'Black-Scholes'!$B$7)*IF(LOWER('Black-Scholes'!$B$11)="put",MAX('Black-Scholes'!$B$6-C1285,0),MAX(C1285-'Black-Scholes'!$B$6,0))</f>
        <v>54.0162333129226</v>
      </c>
      <c r="F1285" s="18" t="n">
        <f aca="false">(E1285+G1285)/2</f>
        <v>27.0081166564613</v>
      </c>
      <c r="G1285" s="18" t="n">
        <f aca="false">EXP(-'Black-Scholes'!$B$8*'Black-Scholes'!$B$7)*IF(LOWER('Black-Scholes'!$B$11)="put",MAX('Black-Scholes'!$B$6-D1285,0),MAX(D1285-'Black-Scholes'!$B$6,0))</f>
        <v>0</v>
      </c>
    </row>
    <row r="1286" customFormat="false" ht="15" hidden="false" customHeight="false" outlineLevel="0" collapsed="false">
      <c r="A1286" s="0" t="n">
        <v>1275</v>
      </c>
      <c r="B1286" s="15" t="n">
        <v>1.11267465254401</v>
      </c>
      <c r="C1286" s="18" t="n">
        <f aca="false">'Black-Scholes'!$B$5*EXP(('Black-Scholes'!$B$8-'Black-Scholes'!$B$10-'Black-Scholes'!$B$9^2/2)*'Black-Scholes'!$B$7+'Black-Scholes'!$B$9*SQRT('Black-Scholes'!$B$7)*B1286)</f>
        <v>128.728446087066</v>
      </c>
      <c r="D1286" s="18" t="n">
        <f aca="false">'Black-Scholes'!$B$5*EXP(('Black-Scholes'!$B$8-'Black-Scholes'!$B$10-'Black-Scholes'!$B$9^2/2)*'Black-Scholes'!$B$7-'Black-Scholes'!$B$9*SQRT('Black-Scholes'!$B$7)*B1286)</f>
        <v>82.4865504728599</v>
      </c>
      <c r="E1286" s="18" t="n">
        <f aca="false">EXP(-'Black-Scholes'!$B$8*'Black-Scholes'!$B$7)*IF(LOWER('Black-Scholes'!$B$11)="put",MAX('Black-Scholes'!$B$6-C1286,0),MAX(C1286-'Black-Scholes'!$B$6,0))</f>
        <v>27.3273432381996</v>
      </c>
      <c r="F1286" s="18" t="n">
        <f aca="false">(E1286+G1286)/2</f>
        <v>13.6636716190998</v>
      </c>
      <c r="G1286" s="18" t="n">
        <f aca="false">EXP(-'Black-Scholes'!$B$8*'Black-Scholes'!$B$7)*IF(LOWER('Black-Scholes'!$B$11)="put",MAX('Black-Scholes'!$B$6-D1286,0),MAX(D1286-'Black-Scholes'!$B$6,0))</f>
        <v>0</v>
      </c>
    </row>
    <row r="1287" customFormat="false" ht="15" hidden="false" customHeight="false" outlineLevel="0" collapsed="false">
      <c r="A1287" s="0" t="n">
        <v>1276</v>
      </c>
      <c r="B1287" s="15" t="n">
        <v>-1.48284882298937</v>
      </c>
      <c r="C1287" s="18" t="n">
        <f aca="false">'Black-Scholes'!$B$5*EXP(('Black-Scholes'!$B$8-'Black-Scholes'!$B$10-'Black-Scholes'!$B$9^2/2)*'Black-Scholes'!$B$7+'Black-Scholes'!$B$9*SQRT('Black-Scholes'!$B$7)*B1287)</f>
        <v>76.6002562001338</v>
      </c>
      <c r="D1287" s="18" t="n">
        <f aca="false">'Black-Scholes'!$B$5*EXP(('Black-Scholes'!$B$8-'Black-Scholes'!$B$10-'Black-Scholes'!$B$9^2/2)*'Black-Scholes'!$B$7-'Black-Scholes'!$B$9*SQRT('Black-Scholes'!$B$7)*B1287)</f>
        <v>138.62049544209</v>
      </c>
      <c r="E1287" s="18" t="n">
        <f aca="false">EXP(-'Black-Scholes'!$B$8*'Black-Scholes'!$B$7)*IF(LOWER('Black-Scholes'!$B$11)="put",MAX('Black-Scholes'!$B$6-C1287,0),MAX(C1287-'Black-Scholes'!$B$6,0))</f>
        <v>0</v>
      </c>
      <c r="F1287" s="18" t="n">
        <f aca="false">(E1287+G1287)/2</f>
        <v>18.368475826656</v>
      </c>
      <c r="G1287" s="18" t="n">
        <f aca="false">EXP(-'Black-Scholes'!$B$8*'Black-Scholes'!$B$7)*IF(LOWER('Black-Scholes'!$B$11)="put",MAX('Black-Scholes'!$B$6-D1287,0),MAX(D1287-'Black-Scholes'!$B$6,0))</f>
        <v>36.736951653312</v>
      </c>
    </row>
    <row r="1288" customFormat="false" ht="15" hidden="false" customHeight="false" outlineLevel="0" collapsed="false">
      <c r="A1288" s="0" t="n">
        <v>1277</v>
      </c>
      <c r="B1288" s="15" t="n">
        <v>0.237658236027595</v>
      </c>
      <c r="C1288" s="18" t="n">
        <f aca="false">'Black-Scholes'!$B$5*EXP(('Black-Scholes'!$B$8-'Black-Scholes'!$B$10-'Black-Scholes'!$B$9^2/2)*'Black-Scholes'!$B$7+'Black-Scholes'!$B$9*SQRT('Black-Scholes'!$B$7)*B1288)</f>
        <v>108.061643040768</v>
      </c>
      <c r="D1288" s="18" t="n">
        <f aca="false">'Black-Scholes'!$B$5*EXP(('Black-Scholes'!$B$8-'Black-Scholes'!$B$10-'Black-Scholes'!$B$9^2/2)*'Black-Scholes'!$B$7-'Black-Scholes'!$B$9*SQRT('Black-Scholes'!$B$7)*B1288)</f>
        <v>98.2621137959898</v>
      </c>
      <c r="E1288" s="18" t="n">
        <f aca="false">EXP(-'Black-Scholes'!$B$8*'Black-Scholes'!$B$7)*IF(LOWER('Black-Scholes'!$B$11)="put",MAX('Black-Scholes'!$B$6-C1288,0),MAX(C1288-'Black-Scholes'!$B$6,0))</f>
        <v>7.66847207020018</v>
      </c>
      <c r="F1288" s="18" t="n">
        <f aca="false">(E1288+G1288)/2</f>
        <v>3.83423603510009</v>
      </c>
      <c r="G1288" s="18" t="n">
        <f aca="false">EXP(-'Black-Scholes'!$B$8*'Black-Scholes'!$B$7)*IF(LOWER('Black-Scholes'!$B$11)="put",MAX('Black-Scholes'!$B$6-D1288,0),MAX(D1288-'Black-Scholes'!$B$6,0))</f>
        <v>0</v>
      </c>
    </row>
    <row r="1289" customFormat="false" ht="15" hidden="false" customHeight="false" outlineLevel="0" collapsed="false">
      <c r="A1289" s="0" t="n">
        <v>1278</v>
      </c>
      <c r="B1289" s="15" t="n">
        <v>-0.109409317893767</v>
      </c>
      <c r="C1289" s="18" t="n">
        <f aca="false">'Black-Scholes'!$B$5*EXP(('Black-Scholes'!$B$8-'Black-Scholes'!$B$10-'Black-Scholes'!$B$9^2/2)*'Black-Scholes'!$B$7+'Black-Scholes'!$B$9*SQRT('Black-Scholes'!$B$7)*B1289)</f>
        <v>100.815117784179</v>
      </c>
      <c r="D1289" s="18" t="n">
        <f aca="false">'Black-Scholes'!$B$5*EXP(('Black-Scholes'!$B$8-'Black-Scholes'!$B$10-'Black-Scholes'!$B$9^2/2)*'Black-Scholes'!$B$7-'Black-Scholes'!$B$9*SQRT('Black-Scholes'!$B$7)*B1289)</f>
        <v>105.32513078232</v>
      </c>
      <c r="E1289" s="18" t="n">
        <f aca="false">EXP(-'Black-Scholes'!$B$8*'Black-Scholes'!$B$7)*IF(LOWER('Black-Scholes'!$B$11)="put",MAX('Black-Scholes'!$B$6-C1289,0),MAX(C1289-'Black-Scholes'!$B$6,0))</f>
        <v>0.775364020744842</v>
      </c>
      <c r="F1289" s="18" t="n">
        <f aca="false">(E1289+G1289)/2</f>
        <v>2.92039255510085</v>
      </c>
      <c r="G1289" s="18" t="n">
        <f aca="false">EXP(-'Black-Scholes'!$B$8*'Black-Scholes'!$B$7)*IF(LOWER('Black-Scholes'!$B$11)="put",MAX('Black-Scholes'!$B$6-D1289,0),MAX(D1289-'Black-Scholes'!$B$6,0))</f>
        <v>5.06542108945686</v>
      </c>
    </row>
    <row r="1290" customFormat="false" ht="15" hidden="false" customHeight="false" outlineLevel="0" collapsed="false">
      <c r="A1290" s="0" t="n">
        <v>1279</v>
      </c>
      <c r="B1290" s="15" t="n">
        <v>0.173071522424677</v>
      </c>
      <c r="C1290" s="18" t="n">
        <f aca="false">'Black-Scholes'!$B$5*EXP(('Black-Scholes'!$B$8-'Black-Scholes'!$B$10-'Black-Scholes'!$B$9^2/2)*'Black-Scholes'!$B$7+'Black-Scholes'!$B$9*SQRT('Black-Scholes'!$B$7)*B1290)</f>
        <v>106.674750530026</v>
      </c>
      <c r="D1290" s="18" t="n">
        <f aca="false">'Black-Scholes'!$B$5*EXP(('Black-Scholes'!$B$8-'Black-Scholes'!$B$10-'Black-Scholes'!$B$9^2/2)*'Black-Scholes'!$B$7-'Black-Scholes'!$B$9*SQRT('Black-Scholes'!$B$7)*B1290)</f>
        <v>99.5396325062397</v>
      </c>
      <c r="E1290" s="18" t="n">
        <f aca="false">EXP(-'Black-Scholes'!$B$8*'Black-Scholes'!$B$7)*IF(LOWER('Black-Scholes'!$B$11)="put",MAX('Black-Scholes'!$B$6-C1290,0),MAX(C1290-'Black-Scholes'!$B$6,0))</f>
        <v>6.34921910536257</v>
      </c>
      <c r="F1290" s="18" t="n">
        <f aca="false">(E1290+G1290)/2</f>
        <v>3.17460955268128</v>
      </c>
      <c r="G1290" s="18" t="n">
        <f aca="false">EXP(-'Black-Scholes'!$B$8*'Black-Scholes'!$B$7)*IF(LOWER('Black-Scholes'!$B$11)="put",MAX('Black-Scholes'!$B$6-D1290,0),MAX(D1290-'Black-Scholes'!$B$6,0))</f>
        <v>0</v>
      </c>
    </row>
    <row r="1291" customFormat="false" ht="15" hidden="false" customHeight="false" outlineLevel="0" collapsed="false">
      <c r="A1291" s="0" t="n">
        <v>1280</v>
      </c>
      <c r="B1291" s="15" t="n">
        <v>1.88122357899077</v>
      </c>
      <c r="C1291" s="18" t="n">
        <f aca="false">'Black-Scholes'!$B$5*EXP(('Black-Scholes'!$B$8-'Black-Scholes'!$B$10-'Black-Scholes'!$B$9^2/2)*'Black-Scholes'!$B$7+'Black-Scholes'!$B$9*SQRT('Black-Scholes'!$B$7)*B1291)</f>
        <v>150.116986749458</v>
      </c>
      <c r="D1291" s="18" t="n">
        <f aca="false">'Black-Scholes'!$B$5*EXP(('Black-Scholes'!$B$8-'Black-Scholes'!$B$10-'Black-Scholes'!$B$9^2/2)*'Black-Scholes'!$B$7-'Black-Scholes'!$B$9*SQRT('Black-Scholes'!$B$7)*B1291)</f>
        <v>70.7339368806771</v>
      </c>
      <c r="E1291" s="18" t="n">
        <f aca="false">EXP(-'Black-Scholes'!$B$8*'Black-Scholes'!$B$7)*IF(LOWER('Black-Scholes'!$B$11)="put",MAX('Black-Scholes'!$B$6-C1291,0),MAX(C1291-'Black-Scholes'!$B$6,0))</f>
        <v>47.6727524633968</v>
      </c>
      <c r="F1291" s="18" t="n">
        <f aca="false">(E1291+G1291)/2</f>
        <v>23.8363762316984</v>
      </c>
      <c r="G1291" s="18" t="n">
        <f aca="false">EXP(-'Black-Scholes'!$B$8*'Black-Scholes'!$B$7)*IF(LOWER('Black-Scholes'!$B$11)="put",MAX('Black-Scholes'!$B$6-D1291,0),MAX(D1291-'Black-Scholes'!$B$6,0))</f>
        <v>0</v>
      </c>
    </row>
    <row r="1292" customFormat="false" ht="15" hidden="false" customHeight="false" outlineLevel="0" collapsed="false">
      <c r="A1292" s="0" t="n">
        <v>1281</v>
      </c>
      <c r="B1292" s="15" t="n">
        <v>1.49078098453403</v>
      </c>
      <c r="C1292" s="18" t="n">
        <f aca="false">'Black-Scholes'!$B$5*EXP(('Black-Scholes'!$B$8-'Black-Scholes'!$B$10-'Black-Scholes'!$B$9^2/2)*'Black-Scholes'!$B$7+'Black-Scholes'!$B$9*SQRT('Black-Scholes'!$B$7)*B1292)</f>
        <v>138.840582004798</v>
      </c>
      <c r="D1292" s="18" t="n">
        <f aca="false">'Black-Scholes'!$B$5*EXP(('Black-Scholes'!$B$8-'Black-Scholes'!$B$10-'Black-Scholes'!$B$9^2/2)*'Black-Scholes'!$B$7-'Black-Scholes'!$B$9*SQRT('Black-Scholes'!$B$7)*B1292)</f>
        <v>76.4788314203886</v>
      </c>
      <c r="E1292" s="18" t="n">
        <f aca="false">EXP(-'Black-Scholes'!$B$8*'Black-Scholes'!$B$7)*IF(LOWER('Black-Scholes'!$B$11)="put",MAX('Black-Scholes'!$B$6-C1292,0),MAX(C1292-'Black-Scholes'!$B$6,0))</f>
        <v>36.9463044676968</v>
      </c>
      <c r="F1292" s="18" t="n">
        <f aca="false">(E1292+G1292)/2</f>
        <v>18.4731522338484</v>
      </c>
      <c r="G1292" s="18" t="n">
        <f aca="false">EXP(-'Black-Scholes'!$B$8*'Black-Scholes'!$B$7)*IF(LOWER('Black-Scholes'!$B$11)="put",MAX('Black-Scholes'!$B$6-D1292,0),MAX(D1292-'Black-Scholes'!$B$6,0))</f>
        <v>0</v>
      </c>
    </row>
    <row r="1293" customFormat="false" ht="15" hidden="false" customHeight="false" outlineLevel="0" collapsed="false">
      <c r="A1293" s="0" t="n">
        <v>1282</v>
      </c>
      <c r="B1293" s="15" t="n">
        <v>-0.957925004910322</v>
      </c>
      <c r="C1293" s="18" t="n">
        <f aca="false">'Black-Scholes'!$B$5*EXP(('Black-Scholes'!$B$8-'Black-Scholes'!$B$10-'Black-Scholes'!$B$9^2/2)*'Black-Scholes'!$B$7+'Black-Scholes'!$B$9*SQRT('Black-Scholes'!$B$7)*B1293)</f>
        <v>85.0794210048332</v>
      </c>
      <c r="D1293" s="18" t="n">
        <f aca="false">'Black-Scholes'!$B$5*EXP(('Black-Scholes'!$B$8-'Black-Scholes'!$B$10-'Black-Scholes'!$B$9^2/2)*'Black-Scholes'!$B$7-'Black-Scholes'!$B$9*SQRT('Black-Scholes'!$B$7)*B1293)</f>
        <v>124.805332947087</v>
      </c>
      <c r="E1293" s="18" t="n">
        <f aca="false">EXP(-'Black-Scholes'!$B$8*'Black-Scholes'!$B$7)*IF(LOWER('Black-Scholes'!$B$11)="put",MAX('Black-Scholes'!$B$6-C1293,0),MAX(C1293-'Black-Scholes'!$B$6,0))</f>
        <v>0</v>
      </c>
      <c r="F1293" s="18" t="n">
        <f aca="false">(E1293+G1293)/2</f>
        <v>11.7977812919031</v>
      </c>
      <c r="G1293" s="18" t="n">
        <f aca="false">EXP(-'Black-Scholes'!$B$8*'Black-Scholes'!$B$7)*IF(LOWER('Black-Scholes'!$B$11)="put",MAX('Black-Scholes'!$B$6-D1293,0),MAX(D1293-'Black-Scholes'!$B$6,0))</f>
        <v>23.5955625838061</v>
      </c>
    </row>
    <row r="1294" customFormat="false" ht="15" hidden="false" customHeight="false" outlineLevel="0" collapsed="false">
      <c r="A1294" s="0" t="n">
        <v>1283</v>
      </c>
      <c r="B1294" s="15" t="n">
        <v>0.251030243925006</v>
      </c>
      <c r="C1294" s="18" t="n">
        <f aca="false">'Black-Scholes'!$B$5*EXP(('Black-Scholes'!$B$8-'Black-Scholes'!$B$10-'Black-Scholes'!$B$9^2/2)*'Black-Scholes'!$B$7+'Black-Scholes'!$B$9*SQRT('Black-Scholes'!$B$7)*B1294)</f>
        <v>108.351030065671</v>
      </c>
      <c r="D1294" s="18" t="n">
        <f aca="false">'Black-Scholes'!$B$5*EXP(('Black-Scholes'!$B$8-'Black-Scholes'!$B$10-'Black-Scholes'!$B$9^2/2)*'Black-Scholes'!$B$7-'Black-Scholes'!$B$9*SQRT('Black-Scholes'!$B$7)*B1294)</f>
        <v>97.9996725367339</v>
      </c>
      <c r="E1294" s="18" t="n">
        <f aca="false">EXP(-'Black-Scholes'!$B$8*'Black-Scholes'!$B$7)*IF(LOWER('Black-Scholes'!$B$11)="put",MAX('Black-Scholes'!$B$6-C1294,0),MAX(C1294-'Black-Scholes'!$B$6,0))</f>
        <v>7.94374552335668</v>
      </c>
      <c r="F1294" s="18" t="n">
        <f aca="false">(E1294+G1294)/2</f>
        <v>3.97187276167834</v>
      </c>
      <c r="G1294" s="18" t="n">
        <f aca="false">EXP(-'Black-Scholes'!$B$8*'Black-Scholes'!$B$7)*IF(LOWER('Black-Scholes'!$B$11)="put",MAX('Black-Scholes'!$B$6-D1294,0),MAX(D1294-'Black-Scholes'!$B$6,0))</f>
        <v>0</v>
      </c>
    </row>
    <row r="1295" customFormat="false" ht="15" hidden="false" customHeight="false" outlineLevel="0" collapsed="false">
      <c r="A1295" s="0" t="n">
        <v>1284</v>
      </c>
      <c r="B1295" s="15" t="n">
        <v>-0.829084078464149</v>
      </c>
      <c r="C1295" s="18" t="n">
        <f aca="false">'Black-Scholes'!$B$5*EXP(('Black-Scholes'!$B$8-'Black-Scholes'!$B$10-'Black-Scholes'!$B$9^2/2)*'Black-Scholes'!$B$7+'Black-Scholes'!$B$9*SQRT('Black-Scholes'!$B$7)*B1295)</f>
        <v>87.3002538207282</v>
      </c>
      <c r="D1295" s="18" t="n">
        <f aca="false">'Black-Scholes'!$B$5*EXP(('Black-Scholes'!$B$8-'Black-Scholes'!$B$10-'Black-Scholes'!$B$9^2/2)*'Black-Scholes'!$B$7-'Black-Scholes'!$B$9*SQRT('Black-Scholes'!$B$7)*B1295)</f>
        <v>121.630407710595</v>
      </c>
      <c r="E1295" s="18" t="n">
        <f aca="false">EXP(-'Black-Scholes'!$B$8*'Black-Scholes'!$B$7)*IF(LOWER('Black-Scholes'!$B$11)="put",MAX('Black-Scholes'!$B$6-C1295,0),MAX(C1295-'Black-Scholes'!$B$6,0))</f>
        <v>0</v>
      </c>
      <c r="F1295" s="18" t="n">
        <f aca="false">(E1295+G1295)/2</f>
        <v>10.2877401391325</v>
      </c>
      <c r="G1295" s="18" t="n">
        <f aca="false">EXP(-'Black-Scholes'!$B$8*'Black-Scholes'!$B$7)*IF(LOWER('Black-Scholes'!$B$11)="put",MAX('Black-Scholes'!$B$6-D1295,0),MAX(D1295-'Black-Scholes'!$B$6,0))</f>
        <v>20.575480278265</v>
      </c>
    </row>
    <row r="1296" customFormat="false" ht="15" hidden="false" customHeight="false" outlineLevel="0" collapsed="false">
      <c r="A1296" s="0" t="n">
        <v>1285</v>
      </c>
      <c r="B1296" s="15" t="n">
        <v>-0.78061543903817</v>
      </c>
      <c r="C1296" s="18" t="n">
        <f aca="false">'Black-Scholes'!$B$5*EXP(('Black-Scholes'!$B$8-'Black-Scholes'!$B$10-'Black-Scholes'!$B$9^2/2)*'Black-Scholes'!$B$7+'Black-Scholes'!$B$9*SQRT('Black-Scholes'!$B$7)*B1296)</f>
        <v>88.1506337422974</v>
      </c>
      <c r="D1296" s="18" t="n">
        <f aca="false">'Black-Scholes'!$B$5*EXP(('Black-Scholes'!$B$8-'Black-Scholes'!$B$10-'Black-Scholes'!$B$9^2/2)*'Black-Scholes'!$B$7-'Black-Scholes'!$B$9*SQRT('Black-Scholes'!$B$7)*B1296)</f>
        <v>120.457051919736</v>
      </c>
      <c r="E1296" s="18" t="n">
        <f aca="false">EXP(-'Black-Scholes'!$B$8*'Black-Scholes'!$B$7)*IF(LOWER('Black-Scholes'!$B$11)="put",MAX('Black-Scholes'!$B$6-C1296,0),MAX(C1296-'Black-Scholes'!$B$6,0))</f>
        <v>0</v>
      </c>
      <c r="F1296" s="18" t="n">
        <f aca="false">(E1296+G1296)/2</f>
        <v>9.72967486229607</v>
      </c>
      <c r="G1296" s="18" t="n">
        <f aca="false">EXP(-'Black-Scholes'!$B$8*'Black-Scholes'!$B$7)*IF(LOWER('Black-Scholes'!$B$11)="put",MAX('Black-Scholes'!$B$6-D1296,0),MAX(D1296-'Black-Scholes'!$B$6,0))</f>
        <v>19.4593497245921</v>
      </c>
    </row>
    <row r="1297" customFormat="false" ht="15" hidden="false" customHeight="false" outlineLevel="0" collapsed="false">
      <c r="A1297" s="0" t="n">
        <v>1286</v>
      </c>
      <c r="B1297" s="15" t="n">
        <v>-0.34894184211085</v>
      </c>
      <c r="C1297" s="18" t="n">
        <f aca="false">'Black-Scholes'!$B$5*EXP(('Black-Scholes'!$B$8-'Black-Scholes'!$B$10-'Black-Scholes'!$B$9^2/2)*'Black-Scholes'!$B$7+'Black-Scholes'!$B$9*SQRT('Black-Scholes'!$B$7)*B1297)</f>
        <v>96.0992794054694</v>
      </c>
      <c r="D1297" s="18" t="n">
        <f aca="false">'Black-Scholes'!$B$5*EXP(('Black-Scholes'!$B$8-'Black-Scholes'!$B$10-'Black-Scholes'!$B$9^2/2)*'Black-Scholes'!$B$7-'Black-Scholes'!$B$9*SQRT('Black-Scholes'!$B$7)*B1297)</f>
        <v>110.493705375789</v>
      </c>
      <c r="E1297" s="18" t="n">
        <f aca="false">EXP(-'Black-Scholes'!$B$8*'Black-Scholes'!$B$7)*IF(LOWER('Black-Scholes'!$B$11)="put",MAX('Black-Scholes'!$B$6-C1297,0),MAX(C1297-'Black-Scholes'!$B$6,0))</f>
        <v>0</v>
      </c>
      <c r="F1297" s="18" t="n">
        <f aca="false">(E1297+G1297)/2</f>
        <v>4.99096066274609</v>
      </c>
      <c r="G1297" s="18" t="n">
        <f aca="false">EXP(-'Black-Scholes'!$B$8*'Black-Scholes'!$B$7)*IF(LOWER('Black-Scholes'!$B$11)="put",MAX('Black-Scholes'!$B$6-D1297,0),MAX(D1297-'Black-Scholes'!$B$6,0))</f>
        <v>9.98192132549218</v>
      </c>
    </row>
    <row r="1298" customFormat="false" ht="15" hidden="false" customHeight="false" outlineLevel="0" collapsed="false">
      <c r="A1298" s="0" t="n">
        <v>1287</v>
      </c>
      <c r="B1298" s="15" t="n">
        <v>0.0408998673386111</v>
      </c>
      <c r="C1298" s="18" t="n">
        <f aca="false">'Black-Scholes'!$B$5*EXP(('Black-Scholes'!$B$8-'Black-Scholes'!$B$10-'Black-Scholes'!$B$9^2/2)*'Black-Scholes'!$B$7+'Black-Scholes'!$B$9*SQRT('Black-Scholes'!$B$7)*B1298)</f>
        <v>103.891819376401</v>
      </c>
      <c r="D1298" s="18" t="n">
        <f aca="false">'Black-Scholes'!$B$5*EXP(('Black-Scholes'!$B$8-'Black-Scholes'!$B$10-'Black-Scholes'!$B$9^2/2)*'Black-Scholes'!$B$7-'Black-Scholes'!$B$9*SQRT('Black-Scholes'!$B$7)*B1298)</f>
        <v>102.205982426616</v>
      </c>
      <c r="E1298" s="18" t="n">
        <f aca="false">EXP(-'Black-Scholes'!$B$8*'Black-Scholes'!$B$7)*IF(LOWER('Black-Scholes'!$B$11)="put",MAX('Black-Scholes'!$B$6-C1298,0),MAX(C1298-'Black-Scholes'!$B$6,0))</f>
        <v>3.70201310567418</v>
      </c>
      <c r="F1298" s="18" t="n">
        <f aca="false">(E1298+G1298)/2</f>
        <v>2.90020424990159</v>
      </c>
      <c r="G1298" s="18" t="n">
        <f aca="false">EXP(-'Black-Scholes'!$B$8*'Black-Scholes'!$B$7)*IF(LOWER('Black-Scholes'!$B$11)="put",MAX('Black-Scholes'!$B$6-D1298,0),MAX(D1298-'Black-Scholes'!$B$6,0))</f>
        <v>2.09839539412901</v>
      </c>
    </row>
    <row r="1299" customFormat="false" ht="15" hidden="false" customHeight="false" outlineLevel="0" collapsed="false">
      <c r="A1299" s="0" t="n">
        <v>1288</v>
      </c>
      <c r="B1299" s="15" t="n">
        <v>-0.336973542374098</v>
      </c>
      <c r="C1299" s="18" t="n">
        <f aca="false">'Black-Scholes'!$B$5*EXP(('Black-Scholes'!$B$8-'Black-Scholes'!$B$10-'Black-Scholes'!$B$9^2/2)*'Black-Scholes'!$B$7+'Black-Scholes'!$B$9*SQRT('Black-Scholes'!$B$7)*B1299)</f>
        <v>96.329583926943</v>
      </c>
      <c r="D1299" s="18" t="n">
        <f aca="false">'Black-Scholes'!$B$5*EXP(('Black-Scholes'!$B$8-'Black-Scholes'!$B$10-'Black-Scholes'!$B$9^2/2)*'Black-Scholes'!$B$7-'Black-Scholes'!$B$9*SQRT('Black-Scholes'!$B$7)*B1299)</f>
        <v>110.229537309189</v>
      </c>
      <c r="E1299" s="18" t="n">
        <f aca="false">EXP(-'Black-Scholes'!$B$8*'Black-Scholes'!$B$7)*IF(LOWER('Black-Scholes'!$B$11)="put",MAX('Black-Scholes'!$B$6-C1299,0),MAX(C1299-'Black-Scholes'!$B$6,0))</f>
        <v>0</v>
      </c>
      <c r="F1299" s="18" t="n">
        <f aca="false">(E1299+G1299)/2</f>
        <v>4.86531844376413</v>
      </c>
      <c r="G1299" s="18" t="n">
        <f aca="false">EXP(-'Black-Scholes'!$B$8*'Black-Scholes'!$B$7)*IF(LOWER('Black-Scholes'!$B$11)="put",MAX('Black-Scholes'!$B$6-D1299,0),MAX(D1299-'Black-Scholes'!$B$6,0))</f>
        <v>9.73063688752826</v>
      </c>
    </row>
    <row r="1300" customFormat="false" ht="15" hidden="false" customHeight="false" outlineLevel="0" collapsed="false">
      <c r="A1300" s="0" t="n">
        <v>1289</v>
      </c>
      <c r="B1300" s="15" t="n">
        <v>0.601938055548766</v>
      </c>
      <c r="C1300" s="18" t="n">
        <f aca="false">'Black-Scholes'!$B$5*EXP(('Black-Scholes'!$B$8-'Black-Scholes'!$B$10-'Black-Scholes'!$B$9^2/2)*'Black-Scholes'!$B$7+'Black-Scholes'!$B$9*SQRT('Black-Scholes'!$B$7)*B1300)</f>
        <v>116.22846698781</v>
      </c>
      <c r="D1300" s="18" t="n">
        <f aca="false">'Black-Scholes'!$B$5*EXP(('Black-Scholes'!$B$8-'Black-Scholes'!$B$10-'Black-Scholes'!$B$9^2/2)*'Black-Scholes'!$B$7-'Black-Scholes'!$B$9*SQRT('Black-Scholes'!$B$7)*B1300)</f>
        <v>91.3577004036992</v>
      </c>
      <c r="E1300" s="18" t="n">
        <f aca="false">EXP(-'Black-Scholes'!$B$8*'Black-Scholes'!$B$7)*IF(LOWER('Black-Scholes'!$B$11)="put",MAX('Black-Scholes'!$B$6-C1300,0),MAX(C1300-'Black-Scholes'!$B$6,0))</f>
        <v>15.4369953133434</v>
      </c>
      <c r="F1300" s="18" t="n">
        <f aca="false">(E1300+G1300)/2</f>
        <v>7.7184976566717</v>
      </c>
      <c r="G1300" s="18" t="n">
        <f aca="false">EXP(-'Black-Scholes'!$B$8*'Black-Scholes'!$B$7)*IF(LOWER('Black-Scholes'!$B$11)="put",MAX('Black-Scholes'!$B$6-D1300,0),MAX(D1300-'Black-Scholes'!$B$6,0))</f>
        <v>0</v>
      </c>
    </row>
    <row r="1301" customFormat="false" ht="15" hidden="false" customHeight="false" outlineLevel="0" collapsed="false">
      <c r="A1301" s="0" t="n">
        <v>1290</v>
      </c>
      <c r="B1301" s="15" t="n">
        <v>0.927839921646601</v>
      </c>
      <c r="C1301" s="18" t="n">
        <f aca="false">'Black-Scholes'!$B$5*EXP(('Black-Scholes'!$B$8-'Black-Scholes'!$B$10-'Black-Scholes'!$B$9^2/2)*'Black-Scholes'!$B$7+'Black-Scholes'!$B$9*SQRT('Black-Scholes'!$B$7)*B1301)</f>
        <v>124.05663191255</v>
      </c>
      <c r="D1301" s="18" t="n">
        <f aca="false">'Black-Scholes'!$B$5*EXP(('Black-Scholes'!$B$8-'Black-Scholes'!$B$10-'Black-Scholes'!$B$9^2/2)*'Black-Scholes'!$B$7-'Black-Scholes'!$B$9*SQRT('Black-Scholes'!$B$7)*B1301)</f>
        <v>85.5928885199683</v>
      </c>
      <c r="E1301" s="18" t="n">
        <f aca="false">EXP(-'Black-Scholes'!$B$8*'Black-Scholes'!$B$7)*IF(LOWER('Black-Scholes'!$B$11)="put",MAX('Black-Scholes'!$B$6-C1301,0),MAX(C1301-'Black-Scholes'!$B$6,0))</f>
        <v>22.8833761296001</v>
      </c>
      <c r="F1301" s="18" t="n">
        <f aca="false">(E1301+G1301)/2</f>
        <v>11.4416880648</v>
      </c>
      <c r="G1301" s="18" t="n">
        <f aca="false">EXP(-'Black-Scholes'!$B$8*'Black-Scholes'!$B$7)*IF(LOWER('Black-Scholes'!$B$11)="put",MAX('Black-Scholes'!$B$6-D1301,0),MAX(D1301-'Black-Scholes'!$B$6,0))</f>
        <v>0</v>
      </c>
    </row>
    <row r="1302" customFormat="false" ht="15" hidden="false" customHeight="false" outlineLevel="0" collapsed="false">
      <c r="A1302" s="0" t="n">
        <v>1291</v>
      </c>
      <c r="B1302" s="15" t="n">
        <v>0.117856761629668</v>
      </c>
      <c r="C1302" s="18" t="n">
        <f aca="false">'Black-Scholes'!$B$5*EXP(('Black-Scholes'!$B$8-'Black-Scholes'!$B$10-'Black-Scholes'!$B$9^2/2)*'Black-Scholes'!$B$7+'Black-Scholes'!$B$9*SQRT('Black-Scholes'!$B$7)*B1302)</f>
        <v>105.503226808825</v>
      </c>
      <c r="D1302" s="18" t="n">
        <f aca="false">'Black-Scholes'!$B$5*EXP(('Black-Scholes'!$B$8-'Black-Scholes'!$B$10-'Black-Scholes'!$B$9^2/2)*'Black-Scholes'!$B$7-'Black-Scholes'!$B$9*SQRT('Black-Scholes'!$B$7)*B1302)</f>
        <v>100.644935578078</v>
      </c>
      <c r="E1302" s="18" t="n">
        <f aca="false">EXP(-'Black-Scholes'!$B$8*'Black-Scholes'!$B$7)*IF(LOWER('Black-Scholes'!$B$11)="put",MAX('Black-Scholes'!$B$6-C1302,0),MAX(C1302-'Black-Scholes'!$B$6,0))</f>
        <v>5.2348312702557</v>
      </c>
      <c r="F1302" s="18" t="n">
        <f aca="false">(E1302+G1302)/2</f>
        <v>2.92415648451558</v>
      </c>
      <c r="G1302" s="18" t="n">
        <f aca="false">EXP(-'Black-Scholes'!$B$8*'Black-Scholes'!$B$7)*IF(LOWER('Black-Scholes'!$B$11)="put",MAX('Black-Scholes'!$B$6-D1302,0),MAX(D1302-'Black-Scholes'!$B$6,0))</f>
        <v>0.61348169877546</v>
      </c>
    </row>
    <row r="1303" customFormat="false" ht="15" hidden="false" customHeight="false" outlineLevel="0" collapsed="false">
      <c r="A1303" s="0" t="n">
        <v>1292</v>
      </c>
      <c r="B1303" s="15" t="n">
        <v>1.66083649244164</v>
      </c>
      <c r="C1303" s="18" t="n">
        <f aca="false">'Black-Scholes'!$B$5*EXP(('Black-Scholes'!$B$8-'Black-Scholes'!$B$10-'Black-Scholes'!$B$9^2/2)*'Black-Scholes'!$B$7+'Black-Scholes'!$B$9*SQRT('Black-Scholes'!$B$7)*B1303)</f>
        <v>143.643923597213</v>
      </c>
      <c r="D1303" s="18" t="n">
        <f aca="false">'Black-Scholes'!$B$5*EXP(('Black-Scholes'!$B$8-'Black-Scholes'!$B$10-'Black-Scholes'!$B$9^2/2)*'Black-Scholes'!$B$7-'Black-Scholes'!$B$9*SQRT('Black-Scholes'!$B$7)*B1303)</f>
        <v>73.9214385094922</v>
      </c>
      <c r="E1303" s="18" t="n">
        <f aca="false">EXP(-'Black-Scholes'!$B$8*'Black-Scholes'!$B$7)*IF(LOWER('Black-Scholes'!$B$11)="put",MAX('Black-Scholes'!$B$6-C1303,0),MAX(C1303-'Black-Scholes'!$B$6,0))</f>
        <v>41.5153843263304</v>
      </c>
      <c r="F1303" s="18" t="n">
        <f aca="false">(E1303+G1303)/2</f>
        <v>20.7576921631652</v>
      </c>
      <c r="G1303" s="18" t="n">
        <f aca="false">EXP(-'Black-Scholes'!$B$8*'Black-Scholes'!$B$7)*IF(LOWER('Black-Scholes'!$B$11)="put",MAX('Black-Scholes'!$B$6-D1303,0),MAX(D1303-'Black-Scholes'!$B$6,0))</f>
        <v>0</v>
      </c>
    </row>
    <row r="1304" customFormat="false" ht="15" hidden="false" customHeight="false" outlineLevel="0" collapsed="false">
      <c r="A1304" s="0" t="n">
        <v>1293</v>
      </c>
      <c r="B1304" s="15" t="n">
        <v>0.483641156502422</v>
      </c>
      <c r="C1304" s="18" t="n">
        <f aca="false">'Black-Scholes'!$B$5*EXP(('Black-Scholes'!$B$8-'Black-Scholes'!$B$10-'Black-Scholes'!$B$9^2/2)*'Black-Scholes'!$B$7+'Black-Scholes'!$B$9*SQRT('Black-Scholes'!$B$7)*B1304)</f>
        <v>113.51084889013</v>
      </c>
      <c r="D1304" s="18" t="n">
        <f aca="false">'Black-Scholes'!$B$5*EXP(('Black-Scholes'!$B$8-'Black-Scholes'!$B$10-'Black-Scholes'!$B$9^2/2)*'Black-Scholes'!$B$7-'Black-Scholes'!$B$9*SQRT('Black-Scholes'!$B$7)*B1304)</f>
        <v>93.5449392659495</v>
      </c>
      <c r="E1304" s="18" t="n">
        <f aca="false">EXP(-'Black-Scholes'!$B$8*'Black-Scholes'!$B$7)*IF(LOWER('Black-Scholes'!$B$11)="put",MAX('Black-Scholes'!$B$6-C1304,0),MAX(C1304-'Black-Scholes'!$B$6,0))</f>
        <v>12.8519170142746</v>
      </c>
      <c r="F1304" s="18" t="n">
        <f aca="false">(E1304+G1304)/2</f>
        <v>6.42595850713729</v>
      </c>
      <c r="G1304" s="18" t="n">
        <f aca="false">EXP(-'Black-Scholes'!$B$8*'Black-Scholes'!$B$7)*IF(LOWER('Black-Scholes'!$B$11)="put",MAX('Black-Scholes'!$B$6-D1304,0),MAX(D1304-'Black-Scholes'!$B$6,0))</f>
        <v>0</v>
      </c>
    </row>
    <row r="1305" customFormat="false" ht="15" hidden="false" customHeight="false" outlineLevel="0" collapsed="false">
      <c r="A1305" s="0" t="n">
        <v>1294</v>
      </c>
      <c r="B1305" s="15" t="n">
        <v>0.632613561999167</v>
      </c>
      <c r="C1305" s="18" t="n">
        <f aca="false">'Black-Scholes'!$B$5*EXP(('Black-Scholes'!$B$8-'Black-Scholes'!$B$10-'Black-Scholes'!$B$9^2/2)*'Black-Scholes'!$B$7+'Black-Scholes'!$B$9*SQRT('Black-Scholes'!$B$7)*B1305)</f>
        <v>116.943732274547</v>
      </c>
      <c r="D1305" s="18" t="n">
        <f aca="false">'Black-Scholes'!$B$5*EXP(('Black-Scholes'!$B$8-'Black-Scholes'!$B$10-'Black-Scholes'!$B$9^2/2)*'Black-Scholes'!$B$7-'Black-Scholes'!$B$9*SQRT('Black-Scholes'!$B$7)*B1305)</f>
        <v>90.7989274750101</v>
      </c>
      <c r="E1305" s="18" t="n">
        <f aca="false">EXP(-'Black-Scholes'!$B$8*'Black-Scholes'!$B$7)*IF(LOWER('Black-Scholes'!$B$11)="put",MAX('Black-Scholes'!$B$6-C1305,0),MAX(C1305-'Black-Scholes'!$B$6,0))</f>
        <v>16.1173767004116</v>
      </c>
      <c r="F1305" s="18" t="n">
        <f aca="false">(E1305+G1305)/2</f>
        <v>8.05868835020579</v>
      </c>
      <c r="G1305" s="18" t="n">
        <f aca="false">EXP(-'Black-Scholes'!$B$8*'Black-Scholes'!$B$7)*IF(LOWER('Black-Scholes'!$B$11)="put",MAX('Black-Scholes'!$B$6-D1305,0),MAX(D1305-'Black-Scholes'!$B$6,0))</f>
        <v>0</v>
      </c>
    </row>
    <row r="1306" customFormat="false" ht="15" hidden="false" customHeight="false" outlineLevel="0" collapsed="false">
      <c r="A1306" s="0" t="n">
        <v>1295</v>
      </c>
      <c r="B1306" s="15" t="n">
        <v>-0.347821689170474</v>
      </c>
      <c r="C1306" s="18" t="n">
        <f aca="false">'Black-Scholes'!$B$5*EXP(('Black-Scholes'!$B$8-'Black-Scholes'!$B$10-'Black-Scholes'!$B$9^2/2)*'Black-Scholes'!$B$7+'Black-Scholes'!$B$9*SQRT('Black-Scholes'!$B$7)*B1306)</f>
        <v>96.1208109953255</v>
      </c>
      <c r="D1306" s="18" t="n">
        <f aca="false">'Black-Scholes'!$B$5*EXP(('Black-Scholes'!$B$8-'Black-Scholes'!$B$10-'Black-Scholes'!$B$9^2/2)*'Black-Scholes'!$B$7-'Black-Scholes'!$B$9*SQRT('Black-Scholes'!$B$7)*B1306)</f>
        <v>110.468954178612</v>
      </c>
      <c r="E1306" s="18" t="n">
        <f aca="false">EXP(-'Black-Scholes'!$B$8*'Black-Scholes'!$B$7)*IF(LOWER('Black-Scholes'!$B$11)="put",MAX('Black-Scholes'!$B$6-C1306,0),MAX(C1306-'Black-Scholes'!$B$6,0))</f>
        <v>0</v>
      </c>
      <c r="F1306" s="18" t="n">
        <f aca="false">(E1306+G1306)/2</f>
        <v>4.97918862922251</v>
      </c>
      <c r="G1306" s="18" t="n">
        <f aca="false">EXP(-'Black-Scholes'!$B$8*'Black-Scholes'!$B$7)*IF(LOWER('Black-Scholes'!$B$11)="put",MAX('Black-Scholes'!$B$6-D1306,0),MAX(D1306-'Black-Scholes'!$B$6,0))</f>
        <v>9.95837725844501</v>
      </c>
    </row>
    <row r="1307" customFormat="false" ht="15" hidden="false" customHeight="false" outlineLevel="0" collapsed="false">
      <c r="A1307" s="0" t="n">
        <v>1296</v>
      </c>
      <c r="B1307" s="15" t="n">
        <v>0.950627158251634</v>
      </c>
      <c r="C1307" s="18" t="n">
        <f aca="false">'Black-Scholes'!$B$5*EXP(('Black-Scholes'!$B$8-'Black-Scholes'!$B$10-'Black-Scholes'!$B$9^2/2)*'Black-Scholes'!$B$7+'Black-Scholes'!$B$9*SQRT('Black-Scholes'!$B$7)*B1307)</f>
        <v>124.623303785087</v>
      </c>
      <c r="D1307" s="18" t="n">
        <f aca="false">'Black-Scholes'!$B$5*EXP(('Black-Scholes'!$B$8-'Black-Scholes'!$B$10-'Black-Scholes'!$B$9^2/2)*'Black-Scholes'!$B$7-'Black-Scholes'!$B$9*SQRT('Black-Scholes'!$B$7)*B1307)</f>
        <v>85.2036909867597</v>
      </c>
      <c r="E1307" s="18" t="n">
        <f aca="false">EXP(-'Black-Scholes'!$B$8*'Black-Scholes'!$B$7)*IF(LOWER('Black-Scholes'!$B$11)="put",MAX('Black-Scholes'!$B$6-C1307,0),MAX(C1307-'Black-Scholes'!$B$6,0))</f>
        <v>23.4224110887942</v>
      </c>
      <c r="F1307" s="18" t="n">
        <f aca="false">(E1307+G1307)/2</f>
        <v>11.7112055443971</v>
      </c>
      <c r="G1307" s="18" t="n">
        <f aca="false">EXP(-'Black-Scholes'!$B$8*'Black-Scholes'!$B$7)*IF(LOWER('Black-Scholes'!$B$11)="put",MAX('Black-Scholes'!$B$6-D1307,0),MAX(D1307-'Black-Scholes'!$B$6,0))</f>
        <v>0</v>
      </c>
    </row>
    <row r="1308" customFormat="false" ht="15" hidden="false" customHeight="false" outlineLevel="0" collapsed="false">
      <c r="A1308" s="0" t="n">
        <v>1297</v>
      </c>
      <c r="B1308" s="15" t="n">
        <v>-1.07560988700354</v>
      </c>
      <c r="C1308" s="18" t="n">
        <f aca="false">'Black-Scholes'!$B$5*EXP(('Black-Scholes'!$B$8-'Black-Scholes'!$B$10-'Black-Scholes'!$B$9^2/2)*'Black-Scholes'!$B$7+'Black-Scholes'!$B$9*SQRT('Black-Scholes'!$B$7)*B1308)</f>
        <v>83.1002914094399</v>
      </c>
      <c r="D1308" s="18" t="n">
        <f aca="false">'Black-Scholes'!$B$5*EXP(('Black-Scholes'!$B$8-'Black-Scholes'!$B$10-'Black-Scholes'!$B$9^2/2)*'Black-Scholes'!$B$7-'Black-Scholes'!$B$9*SQRT('Black-Scholes'!$B$7)*B1308)</f>
        <v>127.777716363668</v>
      </c>
      <c r="E1308" s="18" t="n">
        <f aca="false">EXP(-'Black-Scholes'!$B$8*'Black-Scholes'!$B$7)*IF(LOWER('Black-Scholes'!$B$11)="put",MAX('Black-Scholes'!$B$6-C1308,0),MAX(C1308-'Black-Scholes'!$B$6,0))</f>
        <v>0</v>
      </c>
      <c r="F1308" s="18" t="n">
        <f aca="false">(E1308+G1308)/2</f>
        <v>13.2114905752781</v>
      </c>
      <c r="G1308" s="18" t="n">
        <f aca="false">EXP(-'Black-Scholes'!$B$8*'Black-Scholes'!$B$7)*IF(LOWER('Black-Scholes'!$B$11)="put",MAX('Black-Scholes'!$B$6-D1308,0),MAX(D1308-'Black-Scholes'!$B$6,0))</f>
        <v>26.4229811505563</v>
      </c>
    </row>
    <row r="1309" customFormat="false" ht="15" hidden="false" customHeight="false" outlineLevel="0" collapsed="false">
      <c r="A1309" s="0" t="n">
        <v>1298</v>
      </c>
      <c r="B1309" s="15" t="n">
        <v>1.1775861114083</v>
      </c>
      <c r="C1309" s="18" t="n">
        <f aca="false">'Black-Scholes'!$B$5*EXP(('Black-Scholes'!$B$8-'Black-Scholes'!$B$10-'Black-Scholes'!$B$9^2/2)*'Black-Scholes'!$B$7+'Black-Scholes'!$B$9*SQRT('Black-Scholes'!$B$7)*B1309)</f>
        <v>130.410531369791</v>
      </c>
      <c r="D1309" s="18" t="n">
        <f aca="false">'Black-Scholes'!$B$5*EXP(('Black-Scholes'!$B$8-'Black-Scholes'!$B$10-'Black-Scholes'!$B$9^2/2)*'Black-Scholes'!$B$7-'Black-Scholes'!$B$9*SQRT('Black-Scholes'!$B$7)*B1309)</f>
        <v>81.4226071615661</v>
      </c>
      <c r="E1309" s="18" t="n">
        <f aca="false">EXP(-'Black-Scholes'!$B$8*'Black-Scholes'!$B$7)*IF(LOWER('Black-Scholes'!$B$11)="put",MAX('Black-Scholes'!$B$6-C1309,0),MAX(C1309-'Black-Scholes'!$B$6,0))</f>
        <v>28.9273922536474</v>
      </c>
      <c r="F1309" s="18" t="n">
        <f aca="false">(E1309+G1309)/2</f>
        <v>14.4636961268237</v>
      </c>
      <c r="G1309" s="18" t="n">
        <f aca="false">EXP(-'Black-Scholes'!$B$8*'Black-Scholes'!$B$7)*IF(LOWER('Black-Scholes'!$B$11)="put",MAX('Black-Scholes'!$B$6-D1309,0),MAX(D1309-'Black-Scholes'!$B$6,0))</f>
        <v>0</v>
      </c>
    </row>
    <row r="1310" customFormat="false" ht="15" hidden="false" customHeight="false" outlineLevel="0" collapsed="false">
      <c r="A1310" s="0" t="n">
        <v>1299</v>
      </c>
      <c r="B1310" s="15" t="n">
        <v>-0.537693118605584</v>
      </c>
      <c r="C1310" s="18" t="n">
        <f aca="false">'Black-Scholes'!$B$5*EXP(('Black-Scholes'!$B$8-'Black-Scholes'!$B$10-'Black-Scholes'!$B$9^2/2)*'Black-Scholes'!$B$7+'Black-Scholes'!$B$9*SQRT('Black-Scholes'!$B$7)*B1310)</f>
        <v>92.5391281651596</v>
      </c>
      <c r="D1310" s="18" t="n">
        <f aca="false">'Black-Scholes'!$B$5*EXP(('Black-Scholes'!$B$8-'Black-Scholes'!$B$10-'Black-Scholes'!$B$9^2/2)*'Black-Scholes'!$B$7-'Black-Scholes'!$B$9*SQRT('Black-Scholes'!$B$7)*B1310)</f>
        <v>114.744602375143</v>
      </c>
      <c r="E1310" s="18" t="n">
        <f aca="false">EXP(-'Black-Scholes'!$B$8*'Black-Scholes'!$B$7)*IF(LOWER('Black-Scholes'!$B$11)="put",MAX('Black-Scholes'!$B$6-C1310,0),MAX(C1310-'Black-Scholes'!$B$6,0))</f>
        <v>0</v>
      </c>
      <c r="F1310" s="18" t="n">
        <f aca="false">(E1310+G1310)/2</f>
        <v>7.01274981589937</v>
      </c>
      <c r="G1310" s="18" t="n">
        <f aca="false">EXP(-'Black-Scholes'!$B$8*'Black-Scholes'!$B$7)*IF(LOWER('Black-Scholes'!$B$11)="put",MAX('Black-Scholes'!$B$6-D1310,0),MAX(D1310-'Black-Scholes'!$B$6,0))</f>
        <v>14.0254996317987</v>
      </c>
    </row>
    <row r="1311" customFormat="false" ht="15" hidden="false" customHeight="false" outlineLevel="0" collapsed="false">
      <c r="A1311" s="0" t="n">
        <v>1300</v>
      </c>
      <c r="B1311" s="15" t="n">
        <v>-0.804471572213789</v>
      </c>
      <c r="C1311" s="18" t="n">
        <f aca="false">'Black-Scholes'!$B$5*EXP(('Black-Scholes'!$B$8-'Black-Scholes'!$B$10-'Black-Scholes'!$B$9^2/2)*'Black-Scholes'!$B$7+'Black-Scholes'!$B$9*SQRT('Black-Scholes'!$B$7)*B1311)</f>
        <v>87.731048853954</v>
      </c>
      <c r="D1311" s="18" t="n">
        <f aca="false">'Black-Scholes'!$B$5*EXP(('Black-Scholes'!$B$8-'Black-Scholes'!$B$10-'Black-Scholes'!$B$9^2/2)*'Black-Scholes'!$B$7-'Black-Scholes'!$B$9*SQRT('Black-Scholes'!$B$7)*B1311)</f>
        <v>121.033153075942</v>
      </c>
      <c r="E1311" s="18" t="n">
        <f aca="false">EXP(-'Black-Scholes'!$B$8*'Black-Scholes'!$B$7)*IF(LOWER('Black-Scholes'!$B$11)="put",MAX('Black-Scholes'!$B$6-C1311,0),MAX(C1311-'Black-Scholes'!$B$6,0))</f>
        <v>0</v>
      </c>
      <c r="F1311" s="18" t="n">
        <f aca="false">(E1311+G1311)/2</f>
        <v>10.0036770479321</v>
      </c>
      <c r="G1311" s="18" t="n">
        <f aca="false">EXP(-'Black-Scholes'!$B$8*'Black-Scholes'!$B$7)*IF(LOWER('Black-Scholes'!$B$11)="put",MAX('Black-Scholes'!$B$6-D1311,0),MAX(D1311-'Black-Scholes'!$B$6,0))</f>
        <v>20.0073540958642</v>
      </c>
    </row>
    <row r="1312" customFormat="false" ht="15" hidden="false" customHeight="false" outlineLevel="0" collapsed="false">
      <c r="A1312" s="0" t="n">
        <v>1301</v>
      </c>
      <c r="B1312" s="15" t="n">
        <v>-0.798802995107118</v>
      </c>
      <c r="C1312" s="18" t="n">
        <f aca="false">'Black-Scholes'!$B$5*EXP(('Black-Scholes'!$B$8-'Black-Scholes'!$B$10-'Black-Scholes'!$B$9^2/2)*'Black-Scholes'!$B$7+'Black-Scholes'!$B$9*SQRT('Black-Scholes'!$B$7)*B1312)</f>
        <v>87.8305672991082</v>
      </c>
      <c r="D1312" s="18" t="n">
        <f aca="false">'Black-Scholes'!$B$5*EXP(('Black-Scholes'!$B$8-'Black-Scholes'!$B$10-'Black-Scholes'!$B$9^2/2)*'Black-Scholes'!$B$7-'Black-Scholes'!$B$9*SQRT('Black-Scholes'!$B$7)*B1312)</f>
        <v>120.896013677022</v>
      </c>
      <c r="E1312" s="18" t="n">
        <f aca="false">EXP(-'Black-Scholes'!$B$8*'Black-Scholes'!$B$7)*IF(LOWER('Black-Scholes'!$B$11)="put",MAX('Black-Scholes'!$B$6-C1312,0),MAX(C1312-'Black-Scholes'!$B$6,0))</f>
        <v>0</v>
      </c>
      <c r="F1312" s="18" t="n">
        <f aca="false">(E1312+G1312)/2</f>
        <v>9.93845153217641</v>
      </c>
      <c r="G1312" s="18" t="n">
        <f aca="false">EXP(-'Black-Scholes'!$B$8*'Black-Scholes'!$B$7)*IF(LOWER('Black-Scholes'!$B$11)="put",MAX('Black-Scholes'!$B$6-D1312,0),MAX(D1312-'Black-Scholes'!$B$6,0))</f>
        <v>19.8769030643528</v>
      </c>
    </row>
    <row r="1313" customFormat="false" ht="15" hidden="false" customHeight="false" outlineLevel="0" collapsed="false">
      <c r="A1313" s="0" t="n">
        <v>1302</v>
      </c>
      <c r="B1313" s="15" t="n">
        <v>0.977150410141345</v>
      </c>
      <c r="C1313" s="18" t="n">
        <f aca="false">'Black-Scholes'!$B$5*EXP(('Black-Scholes'!$B$8-'Black-Scholes'!$B$10-'Black-Scholes'!$B$9^2/2)*'Black-Scholes'!$B$7+'Black-Scholes'!$B$9*SQRT('Black-Scholes'!$B$7)*B1313)</f>
        <v>125.286143352371</v>
      </c>
      <c r="D1313" s="18" t="n">
        <f aca="false">'Black-Scholes'!$B$5*EXP(('Black-Scholes'!$B$8-'Black-Scholes'!$B$10-'Black-Scholes'!$B$9^2/2)*'Black-Scholes'!$B$7-'Black-Scholes'!$B$9*SQRT('Black-Scholes'!$B$7)*B1313)</f>
        <v>84.7529118650347</v>
      </c>
      <c r="E1313" s="18" t="n">
        <f aca="false">EXP(-'Black-Scholes'!$B$8*'Black-Scholes'!$B$7)*IF(LOWER('Black-Scholes'!$B$11)="put",MAX('Black-Scholes'!$B$6-C1313,0),MAX(C1313-'Black-Scholes'!$B$6,0))</f>
        <v>24.0529235889183</v>
      </c>
      <c r="F1313" s="18" t="n">
        <f aca="false">(E1313+G1313)/2</f>
        <v>12.0264617944592</v>
      </c>
      <c r="G1313" s="18" t="n">
        <f aca="false">EXP(-'Black-Scholes'!$B$8*'Black-Scholes'!$B$7)*IF(LOWER('Black-Scholes'!$B$11)="put",MAX('Black-Scholes'!$B$6-D1313,0),MAX(D1313-'Black-Scholes'!$B$6,0))</f>
        <v>0</v>
      </c>
    </row>
    <row r="1314" customFormat="false" ht="15" hidden="false" customHeight="false" outlineLevel="0" collapsed="false">
      <c r="A1314" s="0" t="n">
        <v>1303</v>
      </c>
      <c r="B1314" s="15" t="n">
        <v>0.474348658460823</v>
      </c>
      <c r="C1314" s="18" t="n">
        <f aca="false">'Black-Scholes'!$B$5*EXP(('Black-Scholes'!$B$8-'Black-Scholes'!$B$10-'Black-Scholes'!$B$9^2/2)*'Black-Scholes'!$B$7+'Black-Scholes'!$B$9*SQRT('Black-Scholes'!$B$7)*B1314)</f>
        <v>113.300084934957</v>
      </c>
      <c r="D1314" s="18" t="n">
        <f aca="false">'Black-Scholes'!$B$5*EXP(('Black-Scholes'!$B$8-'Black-Scholes'!$B$10-'Black-Scholes'!$B$9^2/2)*'Black-Scholes'!$B$7-'Black-Scholes'!$B$9*SQRT('Black-Scholes'!$B$7)*B1314)</f>
        <v>93.7189541521469</v>
      </c>
      <c r="E1314" s="18" t="n">
        <f aca="false">EXP(-'Black-Scholes'!$B$8*'Black-Scholes'!$B$7)*IF(LOWER('Black-Scholes'!$B$11)="put",MAX('Black-Scholes'!$B$6-C1314,0),MAX(C1314-'Black-Scholes'!$B$6,0))</f>
        <v>12.6514321384899</v>
      </c>
      <c r="F1314" s="18" t="n">
        <f aca="false">(E1314+G1314)/2</f>
        <v>6.32571606924494</v>
      </c>
      <c r="G1314" s="18" t="n">
        <f aca="false">EXP(-'Black-Scholes'!$B$8*'Black-Scholes'!$B$7)*IF(LOWER('Black-Scholes'!$B$11)="put",MAX('Black-Scholes'!$B$6-D1314,0),MAX(D1314-'Black-Scholes'!$B$6,0))</f>
        <v>0</v>
      </c>
    </row>
    <row r="1315" customFormat="false" ht="15" hidden="false" customHeight="false" outlineLevel="0" collapsed="false">
      <c r="A1315" s="0" t="n">
        <v>1304</v>
      </c>
      <c r="B1315" s="15" t="n">
        <v>-0.951436573525046</v>
      </c>
      <c r="C1315" s="18" t="n">
        <f aca="false">'Black-Scholes'!$B$5*EXP(('Black-Scholes'!$B$8-'Black-Scholes'!$B$10-'Black-Scholes'!$B$9^2/2)*'Black-Scholes'!$B$7+'Black-Scholes'!$B$9*SQRT('Black-Scholes'!$B$7)*B1315)</f>
        <v>85.1898990693615</v>
      </c>
      <c r="D1315" s="18" t="n">
        <f aca="false">'Black-Scholes'!$B$5*EXP(('Black-Scholes'!$B$8-'Black-Scholes'!$B$10-'Black-Scholes'!$B$9^2/2)*'Black-Scholes'!$B$7-'Black-Scholes'!$B$9*SQRT('Black-Scholes'!$B$7)*B1315)</f>
        <v>124.643479819223</v>
      </c>
      <c r="E1315" s="18" t="n">
        <f aca="false">EXP(-'Black-Scholes'!$B$8*'Black-Scholes'!$B$7)*IF(LOWER('Black-Scholes'!$B$11)="put",MAX('Black-Scholes'!$B$6-C1315,0),MAX(C1315-'Black-Scholes'!$B$6,0))</f>
        <v>0</v>
      </c>
      <c r="F1315" s="18" t="n">
        <f aca="false">(E1315+G1315)/2</f>
        <v>11.7208015630672</v>
      </c>
      <c r="G1315" s="18" t="n">
        <f aca="false">EXP(-'Black-Scholes'!$B$8*'Black-Scholes'!$B$7)*IF(LOWER('Black-Scholes'!$B$11)="put",MAX('Black-Scholes'!$B$6-D1315,0),MAX(D1315-'Black-Scholes'!$B$6,0))</f>
        <v>23.4416031261344</v>
      </c>
    </row>
    <row r="1316" customFormat="false" ht="15" hidden="false" customHeight="false" outlineLevel="0" collapsed="false">
      <c r="A1316" s="0" t="n">
        <v>1305</v>
      </c>
      <c r="B1316" s="15" t="n">
        <v>-1.57411713156878</v>
      </c>
      <c r="C1316" s="18" t="n">
        <f aca="false">'Black-Scholes'!$B$5*EXP(('Black-Scholes'!$B$8-'Black-Scholes'!$B$10-'Black-Scholes'!$B$9^2/2)*'Black-Scholes'!$B$7+'Black-Scholes'!$B$9*SQRT('Black-Scholes'!$B$7)*B1316)</f>
        <v>75.2147051972317</v>
      </c>
      <c r="D1316" s="18" t="n">
        <f aca="false">'Black-Scholes'!$B$5*EXP(('Black-Scholes'!$B$8-'Black-Scholes'!$B$10-'Black-Scholes'!$B$9^2/2)*'Black-Scholes'!$B$7-'Black-Scholes'!$B$9*SQRT('Black-Scholes'!$B$7)*B1316)</f>
        <v>141.174062141301</v>
      </c>
      <c r="E1316" s="18" t="n">
        <f aca="false">EXP(-'Black-Scholes'!$B$8*'Black-Scholes'!$B$7)*IF(LOWER('Black-Scholes'!$B$11)="put",MAX('Black-Scholes'!$B$6-C1316,0),MAX(C1316-'Black-Scholes'!$B$6,0))</f>
        <v>0</v>
      </c>
      <c r="F1316" s="18" t="n">
        <f aca="false">(E1316+G1316)/2</f>
        <v>19.582989717513</v>
      </c>
      <c r="G1316" s="18" t="n">
        <f aca="false">EXP(-'Black-Scholes'!$B$8*'Black-Scholes'!$B$7)*IF(LOWER('Black-Scholes'!$B$11)="put",MAX('Black-Scholes'!$B$6-D1316,0),MAX(D1316-'Black-Scholes'!$B$6,0))</f>
        <v>39.1659794350261</v>
      </c>
    </row>
    <row r="1317" customFormat="false" ht="15" hidden="false" customHeight="false" outlineLevel="0" collapsed="false">
      <c r="A1317" s="0" t="n">
        <v>1306</v>
      </c>
      <c r="B1317" s="15" t="n">
        <v>-0.235381795473438</v>
      </c>
      <c r="C1317" s="18" t="n">
        <f aca="false">'Black-Scholes'!$B$5*EXP(('Black-Scholes'!$B$8-'Black-Scholes'!$B$10-'Black-Scholes'!$B$9^2/2)*'Black-Scholes'!$B$7+'Black-Scholes'!$B$9*SQRT('Black-Scholes'!$B$7)*B1317)</f>
        <v>98.3068615539344</v>
      </c>
      <c r="D1317" s="18" t="n">
        <f aca="false">'Black-Scholes'!$B$5*EXP(('Black-Scholes'!$B$8-'Black-Scholes'!$B$10-'Black-Scholes'!$B$9^2/2)*'Black-Scholes'!$B$7-'Black-Scholes'!$B$9*SQRT('Black-Scholes'!$B$7)*B1317)</f>
        <v>108.012455057657</v>
      </c>
      <c r="E1317" s="18" t="n">
        <f aca="false">EXP(-'Black-Scholes'!$B$8*'Black-Scholes'!$B$7)*IF(LOWER('Black-Scholes'!$B$11)="put",MAX('Black-Scholes'!$B$6-C1317,0),MAX(C1317-'Black-Scholes'!$B$6,0))</f>
        <v>0</v>
      </c>
      <c r="F1317" s="18" t="n">
        <f aca="false">(E1317+G1317)/2</f>
        <v>3.81084150666622</v>
      </c>
      <c r="G1317" s="18" t="n">
        <f aca="false">EXP(-'Black-Scholes'!$B$8*'Black-Scholes'!$B$7)*IF(LOWER('Black-Scholes'!$B$11)="put",MAX('Black-Scholes'!$B$6-D1317,0),MAX(D1317-'Black-Scholes'!$B$6,0))</f>
        <v>7.62168301333244</v>
      </c>
    </row>
    <row r="1318" customFormat="false" ht="15" hidden="false" customHeight="false" outlineLevel="0" collapsed="false">
      <c r="A1318" s="0" t="n">
        <v>1307</v>
      </c>
      <c r="B1318" s="15" t="n">
        <v>0.414657393334229</v>
      </c>
      <c r="C1318" s="18" t="n">
        <f aca="false">'Black-Scholes'!$B$5*EXP(('Black-Scholes'!$B$8-'Black-Scholes'!$B$10-'Black-Scholes'!$B$9^2/2)*'Black-Scholes'!$B$7+'Black-Scholes'!$B$9*SQRT('Black-Scholes'!$B$7)*B1318)</f>
        <v>111.955521690427</v>
      </c>
      <c r="D1318" s="18" t="n">
        <f aca="false">'Black-Scholes'!$B$5*EXP(('Black-Scholes'!$B$8-'Black-Scholes'!$B$10-'Black-Scholes'!$B$9^2/2)*'Black-Scholes'!$B$7-'Black-Scholes'!$B$9*SQRT('Black-Scholes'!$B$7)*B1318)</f>
        <v>94.8444998971545</v>
      </c>
      <c r="E1318" s="18" t="n">
        <f aca="false">EXP(-'Black-Scholes'!$B$8*'Black-Scholes'!$B$7)*IF(LOWER('Black-Scholes'!$B$11)="put",MAX('Black-Scholes'!$B$6-C1318,0),MAX(C1318-'Black-Scholes'!$B$6,0))</f>
        <v>11.3724440171908</v>
      </c>
      <c r="F1318" s="18" t="n">
        <f aca="false">(E1318+G1318)/2</f>
        <v>5.68622200859539</v>
      </c>
      <c r="G1318" s="18" t="n">
        <f aca="false">EXP(-'Black-Scholes'!$B$8*'Black-Scholes'!$B$7)*IF(LOWER('Black-Scholes'!$B$11)="put",MAX('Black-Scholes'!$B$6-D1318,0),MAX(D1318-'Black-Scholes'!$B$6,0))</f>
        <v>0</v>
      </c>
    </row>
    <row r="1319" customFormat="false" ht="15" hidden="false" customHeight="false" outlineLevel="0" collapsed="false">
      <c r="A1319" s="0" t="n">
        <v>1308</v>
      </c>
      <c r="B1319" s="15" t="n">
        <v>-0.0778377287720013</v>
      </c>
      <c r="C1319" s="18" t="n">
        <f aca="false">'Black-Scholes'!$B$5*EXP(('Black-Scholes'!$B$8-'Black-Scholes'!$B$10-'Black-Scholes'!$B$9^2/2)*'Black-Scholes'!$B$7+'Black-Scholes'!$B$9*SQRT('Black-Scholes'!$B$7)*B1319)</f>
        <v>101.453710496285</v>
      </c>
      <c r="D1319" s="18" t="n">
        <f aca="false">'Black-Scholes'!$B$5*EXP(('Black-Scholes'!$B$8-'Black-Scholes'!$B$10-'Black-Scholes'!$B$9^2/2)*'Black-Scholes'!$B$7-'Black-Scholes'!$B$9*SQRT('Black-Scholes'!$B$7)*B1319)</f>
        <v>104.662169707853</v>
      </c>
      <c r="E1319" s="18" t="n">
        <f aca="false">EXP(-'Black-Scholes'!$B$8*'Black-Scholes'!$B$7)*IF(LOWER('Black-Scholes'!$B$11)="put",MAX('Black-Scholes'!$B$6-C1319,0),MAX(C1319-'Black-Scholes'!$B$6,0))</f>
        <v>1.38281219877164</v>
      </c>
      <c r="F1319" s="18" t="n">
        <f aca="false">(E1319+G1319)/2</f>
        <v>2.90880260344888</v>
      </c>
      <c r="G1319" s="18" t="n">
        <f aca="false">EXP(-'Black-Scholes'!$B$8*'Black-Scholes'!$B$7)*IF(LOWER('Black-Scholes'!$B$11)="put",MAX('Black-Scholes'!$B$6-D1319,0),MAX(D1319-'Black-Scholes'!$B$6,0))</f>
        <v>4.43479300812611</v>
      </c>
    </row>
    <row r="1320" customFormat="false" ht="15" hidden="false" customHeight="false" outlineLevel="0" collapsed="false">
      <c r="A1320" s="0" t="n">
        <v>1309</v>
      </c>
      <c r="B1320" s="15" t="n">
        <v>-0.796675212506149</v>
      </c>
      <c r="C1320" s="18" t="n">
        <f aca="false">'Black-Scholes'!$B$5*EXP(('Black-Scholes'!$B$8-'Black-Scholes'!$B$10-'Black-Scholes'!$B$9^2/2)*'Black-Scholes'!$B$7+'Black-Scholes'!$B$9*SQRT('Black-Scholes'!$B$7)*B1320)</f>
        <v>87.8679521238084</v>
      </c>
      <c r="D1320" s="18" t="n">
        <f aca="false">'Black-Scholes'!$B$5*EXP(('Black-Scholes'!$B$8-'Black-Scholes'!$B$10-'Black-Scholes'!$B$9^2/2)*'Black-Scholes'!$B$7-'Black-Scholes'!$B$9*SQRT('Black-Scholes'!$B$7)*B1320)</f>
        <v>120.844576535618</v>
      </c>
      <c r="E1320" s="18" t="n">
        <f aca="false">EXP(-'Black-Scholes'!$B$8*'Black-Scholes'!$B$7)*IF(LOWER('Black-Scholes'!$B$11)="put",MAX('Black-Scholes'!$B$6-C1320,0),MAX(C1320-'Black-Scholes'!$B$6,0))</f>
        <v>0</v>
      </c>
      <c r="F1320" s="18" t="n">
        <f aca="false">(E1320+G1320)/2</f>
        <v>9.91398727096858</v>
      </c>
      <c r="G1320" s="18" t="n">
        <f aca="false">EXP(-'Black-Scholes'!$B$8*'Black-Scholes'!$B$7)*IF(LOWER('Black-Scholes'!$B$11)="put",MAX('Black-Scholes'!$B$6-D1320,0),MAX(D1320-'Black-Scholes'!$B$6,0))</f>
        <v>19.8279745419372</v>
      </c>
    </row>
    <row r="1321" customFormat="false" ht="15" hidden="false" customHeight="false" outlineLevel="0" collapsed="false">
      <c r="A1321" s="0" t="n">
        <v>1310</v>
      </c>
      <c r="B1321" s="15" t="n">
        <v>1.34866965942657</v>
      </c>
      <c r="C1321" s="18" t="n">
        <f aca="false">'Black-Scholes'!$B$5*EXP(('Black-Scholes'!$B$8-'Black-Scholes'!$B$10-'Black-Scholes'!$B$9^2/2)*'Black-Scholes'!$B$7+'Black-Scholes'!$B$9*SQRT('Black-Scholes'!$B$7)*B1321)</f>
        <v>134.949970096351</v>
      </c>
      <c r="D1321" s="18" t="n">
        <f aca="false">'Black-Scholes'!$B$5*EXP(('Black-Scholes'!$B$8-'Black-Scholes'!$B$10-'Black-Scholes'!$B$9^2/2)*'Black-Scholes'!$B$7-'Black-Scholes'!$B$9*SQRT('Black-Scholes'!$B$7)*B1321)</f>
        <v>78.6837185504551</v>
      </c>
      <c r="E1321" s="18" t="n">
        <f aca="false">EXP(-'Black-Scholes'!$B$8*'Black-Scholes'!$B$7)*IF(LOWER('Black-Scholes'!$B$11)="put",MAX('Black-Scholes'!$B$6-C1321,0),MAX(C1321-'Black-Scholes'!$B$6,0))</f>
        <v>33.245439941069</v>
      </c>
      <c r="F1321" s="18" t="n">
        <f aca="false">(E1321+G1321)/2</f>
        <v>16.6227199705345</v>
      </c>
      <c r="G1321" s="18" t="n">
        <f aca="false">EXP(-'Black-Scholes'!$B$8*'Black-Scholes'!$B$7)*IF(LOWER('Black-Scholes'!$B$11)="put",MAX('Black-Scholes'!$B$6-D1321,0),MAX(D1321-'Black-Scholes'!$B$6,0))</f>
        <v>0</v>
      </c>
    </row>
    <row r="1322" customFormat="false" ht="15" hidden="false" customHeight="false" outlineLevel="0" collapsed="false">
      <c r="A1322" s="0" t="n">
        <v>1311</v>
      </c>
      <c r="B1322" s="15" t="n">
        <v>-1.31190131073176</v>
      </c>
      <c r="C1322" s="18" t="n">
        <f aca="false">'Black-Scholes'!$B$5*EXP(('Black-Scholes'!$B$8-'Black-Scholes'!$B$10-'Black-Scholes'!$B$9^2/2)*'Black-Scholes'!$B$7+'Black-Scholes'!$B$9*SQRT('Black-Scholes'!$B$7)*B1322)</f>
        <v>79.2644653234355</v>
      </c>
      <c r="D1322" s="18" t="n">
        <f aca="false">'Black-Scholes'!$B$5*EXP(('Black-Scholes'!$B$8-'Black-Scholes'!$B$10-'Black-Scholes'!$B$9^2/2)*'Black-Scholes'!$B$7-'Black-Scholes'!$B$9*SQRT('Black-Scholes'!$B$7)*B1322)</f>
        <v>133.961232465592</v>
      </c>
      <c r="E1322" s="18" t="n">
        <f aca="false">EXP(-'Black-Scholes'!$B$8*'Black-Scholes'!$B$7)*IF(LOWER('Black-Scholes'!$B$11)="put",MAX('Black-Scholes'!$B$6-C1322,0),MAX(C1322-'Black-Scholes'!$B$6,0))</f>
        <v>0</v>
      </c>
      <c r="F1322" s="18" t="n">
        <f aca="false">(E1322+G1322)/2</f>
        <v>16.15246180679</v>
      </c>
      <c r="G1322" s="18" t="n">
        <f aca="false">EXP(-'Black-Scholes'!$B$8*'Black-Scholes'!$B$7)*IF(LOWER('Black-Scholes'!$B$11)="put",MAX('Black-Scholes'!$B$6-D1322,0),MAX(D1322-'Black-Scholes'!$B$6,0))</f>
        <v>32.3049236135801</v>
      </c>
    </row>
    <row r="1323" customFormat="false" ht="15" hidden="false" customHeight="false" outlineLevel="0" collapsed="false">
      <c r="A1323" s="0" t="n">
        <v>1312</v>
      </c>
      <c r="B1323" s="15" t="n">
        <v>0.900283285940069</v>
      </c>
      <c r="C1323" s="18" t="n">
        <f aca="false">'Black-Scholes'!$B$5*EXP(('Black-Scholes'!$B$8-'Black-Scholes'!$B$10-'Black-Scholes'!$B$9^2/2)*'Black-Scholes'!$B$7+'Black-Scholes'!$B$9*SQRT('Black-Scholes'!$B$7)*B1323)</f>
        <v>123.374795866665</v>
      </c>
      <c r="D1323" s="18" t="n">
        <f aca="false">'Black-Scholes'!$B$5*EXP(('Black-Scholes'!$B$8-'Black-Scholes'!$B$10-'Black-Scholes'!$B$9^2/2)*'Black-Scholes'!$B$7-'Black-Scholes'!$B$9*SQRT('Black-Scholes'!$B$7)*B1323)</f>
        <v>86.0659212512839</v>
      </c>
      <c r="E1323" s="18" t="n">
        <f aca="false">EXP(-'Black-Scholes'!$B$8*'Black-Scholes'!$B$7)*IF(LOWER('Black-Scholes'!$B$11)="put",MAX('Black-Scholes'!$B$6-C1323,0),MAX(C1323-'Black-Scholes'!$B$6,0))</f>
        <v>22.2347936200693</v>
      </c>
      <c r="F1323" s="18" t="n">
        <f aca="false">(E1323+G1323)/2</f>
        <v>11.1173968100346</v>
      </c>
      <c r="G1323" s="18" t="n">
        <f aca="false">EXP(-'Black-Scholes'!$B$8*'Black-Scholes'!$B$7)*IF(LOWER('Black-Scholes'!$B$11)="put",MAX('Black-Scholes'!$B$6-D1323,0),MAX(D1323-'Black-Scholes'!$B$6,0))</f>
        <v>0</v>
      </c>
    </row>
    <row r="1324" customFormat="false" ht="15" hidden="false" customHeight="false" outlineLevel="0" collapsed="false">
      <c r="A1324" s="0" t="n">
        <v>1313</v>
      </c>
      <c r="B1324" s="15" t="n">
        <v>1.81420808605797</v>
      </c>
      <c r="C1324" s="18" t="n">
        <f aca="false">'Black-Scholes'!$B$5*EXP(('Black-Scholes'!$B$8-'Black-Scholes'!$B$10-'Black-Scholes'!$B$9^2/2)*'Black-Scholes'!$B$7+'Black-Scholes'!$B$9*SQRT('Black-Scholes'!$B$7)*B1324)</f>
        <v>148.118377673376</v>
      </c>
      <c r="D1324" s="18" t="n">
        <f aca="false">'Black-Scholes'!$B$5*EXP(('Black-Scholes'!$B$8-'Black-Scholes'!$B$10-'Black-Scholes'!$B$9^2/2)*'Black-Scholes'!$B$7-'Black-Scholes'!$B$9*SQRT('Black-Scholes'!$B$7)*B1324)</f>
        <v>71.6883727208299</v>
      </c>
      <c r="E1324" s="18" t="n">
        <f aca="false">EXP(-'Black-Scholes'!$B$8*'Black-Scholes'!$B$7)*IF(LOWER('Black-Scholes'!$B$11)="put",MAX('Black-Scholes'!$B$6-C1324,0),MAX(C1324-'Black-Scholes'!$B$6,0))</f>
        <v>45.771616702153</v>
      </c>
      <c r="F1324" s="18" t="n">
        <f aca="false">(E1324+G1324)/2</f>
        <v>22.8858083510765</v>
      </c>
      <c r="G1324" s="18" t="n">
        <f aca="false">EXP(-'Black-Scholes'!$B$8*'Black-Scholes'!$B$7)*IF(LOWER('Black-Scholes'!$B$11)="put",MAX('Black-Scholes'!$B$6-D1324,0),MAX(D1324-'Black-Scholes'!$B$6,0))</f>
        <v>0</v>
      </c>
    </row>
    <row r="1325" customFormat="false" ht="15" hidden="false" customHeight="false" outlineLevel="0" collapsed="false">
      <c r="A1325" s="0" t="n">
        <v>1314</v>
      </c>
      <c r="B1325" s="15" t="n">
        <v>0.618727599060777</v>
      </c>
      <c r="C1325" s="18" t="n">
        <f aca="false">'Black-Scholes'!$B$5*EXP(('Black-Scholes'!$B$8-'Black-Scholes'!$B$10-'Black-Scholes'!$B$9^2/2)*'Black-Scholes'!$B$7+'Black-Scholes'!$B$9*SQRT('Black-Scholes'!$B$7)*B1325)</f>
        <v>116.619407572632</v>
      </c>
      <c r="D1325" s="18" t="n">
        <f aca="false">'Black-Scholes'!$B$5*EXP(('Black-Scholes'!$B$8-'Black-Scholes'!$B$10-'Black-Scholes'!$B$9^2/2)*'Black-Scholes'!$B$7-'Black-Scholes'!$B$9*SQRT('Black-Scholes'!$B$7)*B1325)</f>
        <v>91.0514440646626</v>
      </c>
      <c r="E1325" s="18" t="n">
        <f aca="false">EXP(-'Black-Scholes'!$B$8*'Black-Scholes'!$B$7)*IF(LOWER('Black-Scholes'!$B$11)="put",MAX('Black-Scholes'!$B$6-C1325,0),MAX(C1325-'Black-Scholes'!$B$6,0))</f>
        <v>15.8088695008576</v>
      </c>
      <c r="F1325" s="18" t="n">
        <f aca="false">(E1325+G1325)/2</f>
        <v>7.90443475042882</v>
      </c>
      <c r="G1325" s="18" t="n">
        <f aca="false">EXP(-'Black-Scholes'!$B$8*'Black-Scholes'!$B$7)*IF(LOWER('Black-Scholes'!$B$11)="put",MAX('Black-Scholes'!$B$6-D1325,0),MAX(D1325-'Black-Scholes'!$B$6,0))</f>
        <v>0</v>
      </c>
    </row>
    <row r="1326" customFormat="false" ht="15" hidden="false" customHeight="false" outlineLevel="0" collapsed="false">
      <c r="A1326" s="0" t="n">
        <v>1315</v>
      </c>
      <c r="B1326" s="15" t="n">
        <v>0.094253696143959</v>
      </c>
      <c r="C1326" s="18" t="n">
        <f aca="false">'Black-Scholes'!$B$5*EXP(('Black-Scholes'!$B$8-'Black-Scholes'!$B$10-'Black-Scholes'!$B$9^2/2)*'Black-Scholes'!$B$7+'Black-Scholes'!$B$9*SQRT('Black-Scholes'!$B$7)*B1326)</f>
        <v>105.006360573877</v>
      </c>
      <c r="D1326" s="18" t="n">
        <f aca="false">'Black-Scholes'!$B$5*EXP(('Black-Scholes'!$B$8-'Black-Scholes'!$B$10-'Black-Scholes'!$B$9^2/2)*'Black-Scholes'!$B$7-'Black-Scholes'!$B$9*SQRT('Black-Scholes'!$B$7)*B1326)</f>
        <v>101.121164541105</v>
      </c>
      <c r="E1326" s="18" t="n">
        <f aca="false">EXP(-'Black-Scholes'!$B$8*'Black-Scholes'!$B$7)*IF(LOWER('Black-Scholes'!$B$11)="put",MAX('Black-Scholes'!$B$6-C1326,0),MAX(C1326-'Black-Scholes'!$B$6,0))</f>
        <v>4.76219748753201</v>
      </c>
      <c r="F1326" s="18" t="n">
        <f aca="false">(E1326+G1326)/2</f>
        <v>2.91434109436891</v>
      </c>
      <c r="G1326" s="18" t="n">
        <f aca="false">EXP(-'Black-Scholes'!$B$8*'Black-Scholes'!$B$7)*IF(LOWER('Black-Scholes'!$B$11)="put",MAX('Black-Scholes'!$B$6-D1326,0),MAX(D1326-'Black-Scholes'!$B$6,0))</f>
        <v>1.06648470120581</v>
      </c>
    </row>
    <row r="1327" customFormat="false" ht="15" hidden="false" customHeight="false" outlineLevel="0" collapsed="false">
      <c r="A1327" s="0" t="n">
        <v>1316</v>
      </c>
      <c r="B1327" s="15" t="n">
        <v>1.30342673665578</v>
      </c>
      <c r="C1327" s="18" t="n">
        <f aca="false">'Black-Scholes'!$B$5*EXP(('Black-Scholes'!$B$8-'Black-Scholes'!$B$10-'Black-Scholes'!$B$9^2/2)*'Black-Scholes'!$B$7+'Black-Scholes'!$B$9*SQRT('Black-Scholes'!$B$7)*B1327)</f>
        <v>133.734371897003</v>
      </c>
      <c r="D1327" s="18" t="n">
        <f aca="false">'Black-Scholes'!$B$5*EXP(('Black-Scholes'!$B$8-'Black-Scholes'!$B$10-'Black-Scholes'!$B$9^2/2)*'Black-Scholes'!$B$7-'Black-Scholes'!$B$9*SQRT('Black-Scholes'!$B$7)*B1327)</f>
        <v>79.3989257573324</v>
      </c>
      <c r="E1327" s="18" t="n">
        <f aca="false">EXP(-'Black-Scholes'!$B$8*'Black-Scholes'!$B$7)*IF(LOWER('Black-Scholes'!$B$11)="put",MAX('Black-Scholes'!$B$6-C1327,0),MAX(C1327-'Black-Scholes'!$B$6,0))</f>
        <v>32.0891271654789</v>
      </c>
      <c r="F1327" s="18" t="n">
        <f aca="false">(E1327+G1327)/2</f>
        <v>16.0445635827394</v>
      </c>
      <c r="G1327" s="18" t="n">
        <f aca="false">EXP(-'Black-Scholes'!$B$8*'Black-Scholes'!$B$7)*IF(LOWER('Black-Scholes'!$B$11)="put",MAX('Black-Scholes'!$B$6-D1327,0),MAX(D1327-'Black-Scholes'!$B$6,0))</f>
        <v>0</v>
      </c>
    </row>
    <row r="1328" customFormat="false" ht="15" hidden="false" customHeight="false" outlineLevel="0" collapsed="false">
      <c r="A1328" s="0" t="n">
        <v>1317</v>
      </c>
      <c r="B1328" s="15" t="n">
        <v>0.662807462137984</v>
      </c>
      <c r="C1328" s="18" t="n">
        <f aca="false">'Black-Scholes'!$B$5*EXP(('Black-Scholes'!$B$8-'Black-Scholes'!$B$10-'Black-Scholes'!$B$9^2/2)*'Black-Scholes'!$B$7+'Black-Scholes'!$B$9*SQRT('Black-Scholes'!$B$7)*B1328)</f>
        <v>117.652066333604</v>
      </c>
      <c r="D1328" s="18" t="n">
        <f aca="false">'Black-Scholes'!$B$5*EXP(('Black-Scholes'!$B$8-'Black-Scholes'!$B$10-'Black-Scholes'!$B$9^2/2)*'Black-Scholes'!$B$7-'Black-Scholes'!$B$9*SQRT('Black-Scholes'!$B$7)*B1328)</f>
        <v>90.2522649737834</v>
      </c>
      <c r="E1328" s="18" t="n">
        <f aca="false">EXP(-'Black-Scholes'!$B$8*'Black-Scholes'!$B$7)*IF(LOWER('Black-Scholes'!$B$11)="put",MAX('Black-Scholes'!$B$6-C1328,0),MAX(C1328-'Black-Scholes'!$B$6,0))</f>
        <v>16.7911648997628</v>
      </c>
      <c r="F1328" s="18" t="n">
        <f aca="false">(E1328+G1328)/2</f>
        <v>8.3955824498814</v>
      </c>
      <c r="G1328" s="18" t="n">
        <f aca="false">EXP(-'Black-Scholes'!$B$8*'Black-Scholes'!$B$7)*IF(LOWER('Black-Scholes'!$B$11)="put",MAX('Black-Scholes'!$B$6-D1328,0),MAX(D1328-'Black-Scholes'!$B$6,0))</f>
        <v>0</v>
      </c>
    </row>
    <row r="1329" customFormat="false" ht="15" hidden="false" customHeight="false" outlineLevel="0" collapsed="false">
      <c r="A1329" s="0" t="n">
        <v>1318</v>
      </c>
      <c r="B1329" s="15" t="n">
        <v>-1.39872397784175</v>
      </c>
      <c r="C1329" s="18" t="n">
        <f aca="false">'Black-Scholes'!$B$5*EXP(('Black-Scholes'!$B$8-'Black-Scholes'!$B$10-'Black-Scholes'!$B$9^2/2)*'Black-Scholes'!$B$7+'Black-Scholes'!$B$9*SQRT('Black-Scholes'!$B$7)*B1329)</f>
        <v>77.8999561846151</v>
      </c>
      <c r="D1329" s="18" t="n">
        <f aca="false">'Black-Scholes'!$B$5*EXP(('Black-Scholes'!$B$8-'Black-Scholes'!$B$10-'Black-Scholes'!$B$9^2/2)*'Black-Scholes'!$B$7-'Black-Scholes'!$B$9*SQRT('Black-Scholes'!$B$7)*B1329)</f>
        <v>136.307720639651</v>
      </c>
      <c r="E1329" s="18" t="n">
        <f aca="false">EXP(-'Black-Scholes'!$B$8*'Black-Scholes'!$B$7)*IF(LOWER('Black-Scholes'!$B$11)="put",MAX('Black-Scholes'!$B$6-C1329,0),MAX(C1329-'Black-Scholes'!$B$6,0))</f>
        <v>0</v>
      </c>
      <c r="F1329" s="18" t="n">
        <f aca="false">(E1329+G1329)/2</f>
        <v>17.2684861044941</v>
      </c>
      <c r="G1329" s="18" t="n">
        <f aca="false">EXP(-'Black-Scholes'!$B$8*'Black-Scholes'!$B$7)*IF(LOWER('Black-Scholes'!$B$11)="put",MAX('Black-Scholes'!$B$6-D1329,0),MAX(D1329-'Black-Scholes'!$B$6,0))</f>
        <v>34.5369722089883</v>
      </c>
    </row>
    <row r="1330" customFormat="false" ht="15" hidden="false" customHeight="false" outlineLevel="0" collapsed="false">
      <c r="A1330" s="0" t="n">
        <v>1319</v>
      </c>
      <c r="B1330" s="15" t="n">
        <v>1.50046424226479</v>
      </c>
      <c r="C1330" s="18" t="n">
        <f aca="false">'Black-Scholes'!$B$5*EXP(('Black-Scholes'!$B$8-'Black-Scholes'!$B$10-'Black-Scholes'!$B$9^2/2)*'Black-Scholes'!$B$7+'Black-Scholes'!$B$9*SQRT('Black-Scholes'!$B$7)*B1330)</f>
        <v>139.109728369846</v>
      </c>
      <c r="D1330" s="18" t="n">
        <f aca="false">'Black-Scholes'!$B$5*EXP(('Black-Scholes'!$B$8-'Black-Scholes'!$B$10-'Black-Scholes'!$B$9^2/2)*'Black-Scholes'!$B$7-'Black-Scholes'!$B$9*SQRT('Black-Scholes'!$B$7)*B1330)</f>
        <v>76.3308619022167</v>
      </c>
      <c r="E1330" s="18" t="n">
        <f aca="false">EXP(-'Black-Scholes'!$B$8*'Black-Scholes'!$B$7)*IF(LOWER('Black-Scholes'!$B$11)="put",MAX('Black-Scholes'!$B$6-C1330,0),MAX(C1330-'Black-Scholes'!$B$6,0))</f>
        <v>37.202324409628</v>
      </c>
      <c r="F1330" s="18" t="n">
        <f aca="false">(E1330+G1330)/2</f>
        <v>18.601162204814</v>
      </c>
      <c r="G1330" s="18" t="n">
        <f aca="false">EXP(-'Black-Scholes'!$B$8*'Black-Scholes'!$B$7)*IF(LOWER('Black-Scholes'!$B$11)="put",MAX('Black-Scholes'!$B$6-D1330,0),MAX(D1330-'Black-Scholes'!$B$6,0))</f>
        <v>0</v>
      </c>
    </row>
    <row r="1331" customFormat="false" ht="15" hidden="false" customHeight="false" outlineLevel="0" collapsed="false">
      <c r="A1331" s="0" t="n">
        <v>1320</v>
      </c>
      <c r="B1331" s="15" t="n">
        <v>1.3813536791826</v>
      </c>
      <c r="C1331" s="18" t="n">
        <f aca="false">'Black-Scholes'!$B$5*EXP(('Black-Scholes'!$B$8-'Black-Scholes'!$B$10-'Black-Scholes'!$B$9^2/2)*'Black-Scholes'!$B$7+'Black-Scholes'!$B$9*SQRT('Black-Scholes'!$B$7)*B1331)</f>
        <v>135.835001079675</v>
      </c>
      <c r="D1331" s="18" t="n">
        <f aca="false">'Black-Scholes'!$B$5*EXP(('Black-Scholes'!$B$8-'Black-Scholes'!$B$10-'Black-Scholes'!$B$9^2/2)*'Black-Scholes'!$B$7-'Black-Scholes'!$B$9*SQRT('Black-Scholes'!$B$7)*B1331)</f>
        <v>78.1710559211859</v>
      </c>
      <c r="E1331" s="18" t="n">
        <f aca="false">EXP(-'Black-Scholes'!$B$8*'Black-Scholes'!$B$7)*IF(LOWER('Black-Scholes'!$B$11)="put",MAX('Black-Scholes'!$B$6-C1331,0),MAX(C1331-'Black-Scholes'!$B$6,0))</f>
        <v>34.0873074540015</v>
      </c>
      <c r="F1331" s="18" t="n">
        <f aca="false">(E1331+G1331)/2</f>
        <v>17.0436537270007</v>
      </c>
      <c r="G1331" s="18" t="n">
        <f aca="false">EXP(-'Black-Scholes'!$B$8*'Black-Scholes'!$B$7)*IF(LOWER('Black-Scholes'!$B$11)="put",MAX('Black-Scholes'!$B$6-D1331,0),MAX(D1331-'Black-Scholes'!$B$6,0))</f>
        <v>0</v>
      </c>
    </row>
    <row r="1332" customFormat="false" ht="15" hidden="false" customHeight="false" outlineLevel="0" collapsed="false">
      <c r="A1332" s="0" t="n">
        <v>1321</v>
      </c>
      <c r="B1332" s="15" t="n">
        <v>-0.380834504876771</v>
      </c>
      <c r="C1332" s="18" t="n">
        <f aca="false">'Black-Scholes'!$B$5*EXP(('Black-Scholes'!$B$8-'Black-Scholes'!$B$10-'Black-Scholes'!$B$9^2/2)*'Black-Scholes'!$B$7+'Black-Scholes'!$B$9*SQRT('Black-Scholes'!$B$7)*B1332)</f>
        <v>95.4882578056775</v>
      </c>
      <c r="D1332" s="18" t="n">
        <f aca="false">'Black-Scholes'!$B$5*EXP(('Black-Scholes'!$B$8-'Black-Scholes'!$B$10-'Black-Scholes'!$B$9^2/2)*'Black-Scholes'!$B$7-'Black-Scholes'!$B$9*SQRT('Black-Scholes'!$B$7)*B1332)</f>
        <v>111.200745614842</v>
      </c>
      <c r="E1332" s="18" t="n">
        <f aca="false">EXP(-'Black-Scholes'!$B$8*'Black-Scholes'!$B$7)*IF(LOWER('Black-Scholes'!$B$11)="put",MAX('Black-Scholes'!$B$6-C1332,0),MAX(C1332-'Black-Scholes'!$B$6,0))</f>
        <v>0</v>
      </c>
      <c r="F1332" s="18" t="n">
        <f aca="false">(E1332+G1332)/2</f>
        <v>5.32723940259256</v>
      </c>
      <c r="G1332" s="18" t="n">
        <f aca="false">EXP(-'Black-Scholes'!$B$8*'Black-Scholes'!$B$7)*IF(LOWER('Black-Scholes'!$B$11)="put",MAX('Black-Scholes'!$B$6-D1332,0),MAX(D1332-'Black-Scholes'!$B$6,0))</f>
        <v>10.6544788051851</v>
      </c>
    </row>
    <row r="1333" customFormat="false" ht="15" hidden="false" customHeight="false" outlineLevel="0" collapsed="false">
      <c r="A1333" s="0" t="n">
        <v>1322</v>
      </c>
      <c r="B1333" s="15" t="n">
        <v>-0.0867034265018162</v>
      </c>
      <c r="C1333" s="18" t="n">
        <f aca="false">'Black-Scholes'!$B$5*EXP(('Black-Scholes'!$B$8-'Black-Scholes'!$B$10-'Black-Scholes'!$B$9^2/2)*'Black-Scholes'!$B$7+'Black-Scholes'!$B$9*SQRT('Black-Scholes'!$B$7)*B1333)</f>
        <v>101.27397830234</v>
      </c>
      <c r="D1333" s="18" t="n">
        <f aca="false">'Black-Scholes'!$B$5*EXP(('Black-Scholes'!$B$8-'Black-Scholes'!$B$10-'Black-Scholes'!$B$9^2/2)*'Black-Scholes'!$B$7-'Black-Scholes'!$B$9*SQRT('Black-Scholes'!$B$7)*B1333)</f>
        <v>104.847914967396</v>
      </c>
      <c r="E1333" s="18" t="n">
        <f aca="false">EXP(-'Black-Scholes'!$B$8*'Black-Scholes'!$B$7)*IF(LOWER('Black-Scholes'!$B$11)="put",MAX('Black-Scholes'!$B$6-C1333,0),MAX(C1333-'Black-Scholes'!$B$6,0))</f>
        <v>1.21184564736102</v>
      </c>
      <c r="F1333" s="18" t="n">
        <f aca="false">(E1333+G1333)/2</f>
        <v>2.91166250591262</v>
      </c>
      <c r="G1333" s="18" t="n">
        <f aca="false">EXP(-'Black-Scholes'!$B$8*'Black-Scholes'!$B$7)*IF(LOWER('Black-Scholes'!$B$11)="put",MAX('Black-Scholes'!$B$6-D1333,0),MAX(D1333-'Black-Scholes'!$B$6,0))</f>
        <v>4.61147936446423</v>
      </c>
    </row>
    <row r="1334" customFormat="false" ht="15" hidden="false" customHeight="false" outlineLevel="0" collapsed="false">
      <c r="A1334" s="0" t="n">
        <v>1323</v>
      </c>
      <c r="B1334" s="15" t="n">
        <v>0.245843978873687</v>
      </c>
      <c r="C1334" s="18" t="n">
        <f aca="false">'Black-Scholes'!$B$5*EXP(('Black-Scholes'!$B$8-'Black-Scholes'!$B$10-'Black-Scholes'!$B$9^2/2)*'Black-Scholes'!$B$7+'Black-Scholes'!$B$9*SQRT('Black-Scholes'!$B$7)*B1334)</f>
        <v>108.238700900524</v>
      </c>
      <c r="D1334" s="18" t="n">
        <f aca="false">'Black-Scholes'!$B$5*EXP(('Black-Scholes'!$B$8-'Black-Scholes'!$B$10-'Black-Scholes'!$B$9^2/2)*'Black-Scholes'!$B$7-'Black-Scholes'!$B$9*SQRT('Black-Scholes'!$B$7)*B1334)</f>
        <v>98.1013757289301</v>
      </c>
      <c r="E1334" s="18" t="n">
        <f aca="false">EXP(-'Black-Scholes'!$B$8*'Black-Scholes'!$B$7)*IF(LOWER('Black-Scholes'!$B$11)="put",MAX('Black-Scholes'!$B$6-C1334,0),MAX(C1334-'Black-Scholes'!$B$6,0))</f>
        <v>7.83689471623899</v>
      </c>
      <c r="F1334" s="18" t="n">
        <f aca="false">(E1334+G1334)/2</f>
        <v>3.9184473581195</v>
      </c>
      <c r="G1334" s="18" t="n">
        <f aca="false">EXP(-'Black-Scholes'!$B$8*'Black-Scholes'!$B$7)*IF(LOWER('Black-Scholes'!$B$11)="put",MAX('Black-Scholes'!$B$6-D1334,0),MAX(D1334-'Black-Scholes'!$B$6,0))</f>
        <v>0</v>
      </c>
    </row>
    <row r="1335" customFormat="false" ht="15" hidden="false" customHeight="false" outlineLevel="0" collapsed="false">
      <c r="A1335" s="0" t="n">
        <v>1324</v>
      </c>
      <c r="B1335" s="15" t="n">
        <v>-1.10639047481188</v>
      </c>
      <c r="C1335" s="18" t="n">
        <f aca="false">'Black-Scholes'!$B$5*EXP(('Black-Scholes'!$B$8-'Black-Scholes'!$B$10-'Black-Scholes'!$B$9^2/2)*'Black-Scholes'!$B$7+'Black-Scholes'!$B$9*SQRT('Black-Scholes'!$B$7)*B1335)</f>
        <v>82.5902876782442</v>
      </c>
      <c r="D1335" s="18" t="n">
        <f aca="false">'Black-Scholes'!$B$5*EXP(('Black-Scholes'!$B$8-'Black-Scholes'!$B$10-'Black-Scholes'!$B$9^2/2)*'Black-Scholes'!$B$7-'Black-Scholes'!$B$9*SQRT('Black-Scholes'!$B$7)*B1335)</f>
        <v>128.566757229624</v>
      </c>
      <c r="E1335" s="18" t="n">
        <f aca="false">EXP(-'Black-Scholes'!$B$8*'Black-Scholes'!$B$7)*IF(LOWER('Black-Scholes'!$B$11)="put",MAX('Black-Scholes'!$B$6-C1335,0),MAX(C1335-'Black-Scholes'!$B$6,0))</f>
        <v>0</v>
      </c>
      <c r="F1335" s="18" t="n">
        <f aca="false">(E1335+G1335)/2</f>
        <v>13.5867700196933</v>
      </c>
      <c r="G1335" s="18" t="n">
        <f aca="false">EXP(-'Black-Scholes'!$B$8*'Black-Scholes'!$B$7)*IF(LOWER('Black-Scholes'!$B$11)="put",MAX('Black-Scholes'!$B$6-D1335,0),MAX(D1335-'Black-Scholes'!$B$6,0))</f>
        <v>27.1735400393865</v>
      </c>
    </row>
    <row r="1336" customFormat="false" ht="15" hidden="false" customHeight="false" outlineLevel="0" collapsed="false">
      <c r="A1336" s="0" t="n">
        <v>1325</v>
      </c>
      <c r="B1336" s="15" t="n">
        <v>0.107438729035579</v>
      </c>
      <c r="C1336" s="18" t="n">
        <f aca="false">'Black-Scholes'!$B$5*EXP(('Black-Scholes'!$B$8-'Black-Scholes'!$B$10-'Black-Scholes'!$B$9^2/2)*'Black-Scholes'!$B$7+'Black-Scholes'!$B$9*SQRT('Black-Scholes'!$B$7)*B1336)</f>
        <v>105.283628455418</v>
      </c>
      <c r="D1336" s="18" t="n">
        <f aca="false">'Black-Scholes'!$B$5*EXP(('Black-Scholes'!$B$8-'Black-Scholes'!$B$10-'Black-Scholes'!$B$9^2/2)*'Black-Scholes'!$B$7-'Black-Scholes'!$B$9*SQRT('Black-Scholes'!$B$7)*B1336)</f>
        <v>100.854858644523</v>
      </c>
      <c r="E1336" s="18" t="n">
        <f aca="false">EXP(-'Black-Scholes'!$B$8*'Black-Scholes'!$B$7)*IF(LOWER('Black-Scholes'!$B$11)="put",MAX('Black-Scholes'!$B$6-C1336,0),MAX(C1336-'Black-Scholes'!$B$6,0))</f>
        <v>5.02594285492257</v>
      </c>
      <c r="F1336" s="18" t="n">
        <f aca="false">(E1336+G1336)/2</f>
        <v>2.91955477569066</v>
      </c>
      <c r="G1336" s="18" t="n">
        <f aca="false">EXP(-'Black-Scholes'!$B$8*'Black-Scholes'!$B$7)*IF(LOWER('Black-Scholes'!$B$11)="put",MAX('Black-Scholes'!$B$6-D1336,0),MAX(D1336-'Black-Scholes'!$B$6,0))</f>
        <v>0.813166696458755</v>
      </c>
    </row>
    <row r="1337" customFormat="false" ht="15" hidden="false" customHeight="false" outlineLevel="0" collapsed="false">
      <c r="A1337" s="0" t="n">
        <v>1326</v>
      </c>
      <c r="B1337" s="15" t="n">
        <v>0.91346180447161</v>
      </c>
      <c r="C1337" s="18" t="n">
        <f aca="false">'Black-Scholes'!$B$5*EXP(('Black-Scholes'!$B$8-'Black-Scholes'!$B$10-'Black-Scholes'!$B$9^2/2)*'Black-Scholes'!$B$7+'Black-Scholes'!$B$9*SQRT('Black-Scholes'!$B$7)*B1337)</f>
        <v>123.700404188428</v>
      </c>
      <c r="D1337" s="18" t="n">
        <f aca="false">'Black-Scholes'!$B$5*EXP(('Black-Scholes'!$B$8-'Black-Scholes'!$B$10-'Black-Scholes'!$B$9^2/2)*'Black-Scholes'!$B$7-'Black-Scholes'!$B$9*SQRT('Black-Scholes'!$B$7)*B1337)</f>
        <v>85.8393756683211</v>
      </c>
      <c r="E1337" s="18" t="n">
        <f aca="false">EXP(-'Black-Scholes'!$B$8*'Black-Scholes'!$B$7)*IF(LOWER('Black-Scholes'!$B$11)="put",MAX('Black-Scholes'!$B$6-C1337,0),MAX(C1337-'Black-Scholes'!$B$6,0))</f>
        <v>22.5445218365923</v>
      </c>
      <c r="F1337" s="18" t="n">
        <f aca="false">(E1337+G1337)/2</f>
        <v>11.2722609182961</v>
      </c>
      <c r="G1337" s="18" t="n">
        <f aca="false">EXP(-'Black-Scholes'!$B$8*'Black-Scholes'!$B$7)*IF(LOWER('Black-Scholes'!$B$11)="put",MAX('Black-Scholes'!$B$6-D1337,0),MAX(D1337-'Black-Scholes'!$B$6,0))</f>
        <v>0</v>
      </c>
    </row>
    <row r="1338" customFormat="false" ht="15" hidden="false" customHeight="false" outlineLevel="0" collapsed="false">
      <c r="A1338" s="0" t="n">
        <v>1327</v>
      </c>
      <c r="B1338" s="15" t="n">
        <v>0.825870516914019</v>
      </c>
      <c r="C1338" s="18" t="n">
        <f aca="false">'Black-Scholes'!$B$5*EXP(('Black-Scholes'!$B$8-'Black-Scholes'!$B$10-'Black-Scholes'!$B$9^2/2)*'Black-Scholes'!$B$7+'Black-Scholes'!$B$9*SQRT('Black-Scholes'!$B$7)*B1338)</f>
        <v>121.552259466395</v>
      </c>
      <c r="D1338" s="18" t="n">
        <f aca="false">'Black-Scholes'!$B$5*EXP(('Black-Scholes'!$B$8-'Black-Scholes'!$B$10-'Black-Scholes'!$B$9^2/2)*'Black-Scholes'!$B$7-'Black-Scholes'!$B$9*SQRT('Black-Scholes'!$B$7)*B1338)</f>
        <v>87.3563808033465</v>
      </c>
      <c r="E1338" s="18" t="n">
        <f aca="false">EXP(-'Black-Scholes'!$B$8*'Black-Scholes'!$B$7)*IF(LOWER('Black-Scholes'!$B$11)="put",MAX('Black-Scholes'!$B$6-C1338,0),MAX(C1338-'Black-Scholes'!$B$6,0))</f>
        <v>20.5011433689092</v>
      </c>
      <c r="F1338" s="18" t="n">
        <f aca="false">(E1338+G1338)/2</f>
        <v>10.2505716844546</v>
      </c>
      <c r="G1338" s="18" t="n">
        <f aca="false">EXP(-'Black-Scholes'!$B$8*'Black-Scholes'!$B$7)*IF(LOWER('Black-Scholes'!$B$11)="put",MAX('Black-Scholes'!$B$6-D1338,0),MAX(D1338-'Black-Scholes'!$B$6,0))</f>
        <v>0</v>
      </c>
    </row>
    <row r="1339" customFormat="false" ht="15" hidden="false" customHeight="false" outlineLevel="0" collapsed="false">
      <c r="A1339" s="0" t="n">
        <v>1328</v>
      </c>
      <c r="B1339" s="15" t="n">
        <v>-0.261998759493325</v>
      </c>
      <c r="C1339" s="18" t="n">
        <f aca="false">'Black-Scholes'!$B$5*EXP(('Black-Scholes'!$B$8-'Black-Scholes'!$B$10-'Black-Scholes'!$B$9^2/2)*'Black-Scholes'!$B$7+'Black-Scholes'!$B$9*SQRT('Black-Scholes'!$B$7)*B1339)</f>
        <v>97.7849259811652</v>
      </c>
      <c r="D1339" s="18" t="n">
        <f aca="false">'Black-Scholes'!$B$5*EXP(('Black-Scholes'!$B$8-'Black-Scholes'!$B$10-'Black-Scholes'!$B$9^2/2)*'Black-Scholes'!$B$7-'Black-Scholes'!$B$9*SQRT('Black-Scholes'!$B$7)*B1339)</f>
        <v>108.588980959078</v>
      </c>
      <c r="E1339" s="18" t="n">
        <f aca="false">EXP(-'Black-Scholes'!$B$8*'Black-Scholes'!$B$7)*IF(LOWER('Black-Scholes'!$B$11)="put",MAX('Black-Scholes'!$B$6-C1339,0),MAX(C1339-'Black-Scholes'!$B$6,0))</f>
        <v>0</v>
      </c>
      <c r="F1339" s="18" t="n">
        <f aca="false">(E1339+G1339)/2</f>
        <v>4.08504570737569</v>
      </c>
      <c r="G1339" s="18" t="n">
        <f aca="false">EXP(-'Black-Scholes'!$B$8*'Black-Scholes'!$B$7)*IF(LOWER('Black-Scholes'!$B$11)="put",MAX('Black-Scholes'!$B$6-D1339,0),MAX(D1339-'Black-Scholes'!$B$6,0))</f>
        <v>8.17009141475137</v>
      </c>
    </row>
    <row r="1340" customFormat="false" ht="15" hidden="false" customHeight="false" outlineLevel="0" collapsed="false">
      <c r="A1340" s="0" t="n">
        <v>1329</v>
      </c>
      <c r="B1340" s="15" t="n">
        <v>0.176074443050493</v>
      </c>
      <c r="C1340" s="18" t="n">
        <f aca="false">'Black-Scholes'!$B$5*EXP(('Black-Scholes'!$B$8-'Black-Scholes'!$B$10-'Black-Scholes'!$B$9^2/2)*'Black-Scholes'!$B$7+'Black-Scholes'!$B$9*SQRT('Black-Scholes'!$B$7)*B1340)</f>
        <v>106.738836934462</v>
      </c>
      <c r="D1340" s="18" t="n">
        <f aca="false">'Black-Scholes'!$B$5*EXP(('Black-Scholes'!$B$8-'Black-Scholes'!$B$10-'Black-Scholes'!$B$9^2/2)*'Black-Scholes'!$B$7-'Black-Scholes'!$B$9*SQRT('Black-Scholes'!$B$7)*B1340)</f>
        <v>99.4798685315755</v>
      </c>
      <c r="E1340" s="18" t="n">
        <f aca="false">EXP(-'Black-Scholes'!$B$8*'Black-Scholes'!$B$7)*IF(LOWER('Black-Scholes'!$B$11)="put",MAX('Black-Scholes'!$B$6-C1340,0),MAX(C1340-'Black-Scholes'!$B$6,0))</f>
        <v>6.41017997897285</v>
      </c>
      <c r="F1340" s="18" t="n">
        <f aca="false">(E1340+G1340)/2</f>
        <v>3.20508998948643</v>
      </c>
      <c r="G1340" s="18" t="n">
        <f aca="false">EXP(-'Black-Scholes'!$B$8*'Black-Scholes'!$B$7)*IF(LOWER('Black-Scholes'!$B$11)="put",MAX('Black-Scholes'!$B$6-D1340,0),MAX(D1340-'Black-Scholes'!$B$6,0))</f>
        <v>0</v>
      </c>
    </row>
    <row r="1341" customFormat="false" ht="15" hidden="false" customHeight="false" outlineLevel="0" collapsed="false">
      <c r="A1341" s="0" t="n">
        <v>1330</v>
      </c>
      <c r="B1341" s="15" t="n">
        <v>-0.377368101399124</v>
      </c>
      <c r="C1341" s="18" t="n">
        <f aca="false">'Black-Scholes'!$B$5*EXP(('Black-Scholes'!$B$8-'Black-Scholes'!$B$10-'Black-Scholes'!$B$9^2/2)*'Black-Scholes'!$B$7+'Black-Scholes'!$B$9*SQRT('Black-Scholes'!$B$7)*B1341)</f>
        <v>95.5544809244163</v>
      </c>
      <c r="D1341" s="18" t="n">
        <f aca="false">'Black-Scholes'!$B$5*EXP(('Black-Scholes'!$B$8-'Black-Scholes'!$B$10-'Black-Scholes'!$B$9^2/2)*'Black-Scholes'!$B$7-'Black-Scholes'!$B$9*SQRT('Black-Scholes'!$B$7)*B1341)</f>
        <v>111.123679002063</v>
      </c>
      <c r="E1341" s="18" t="n">
        <f aca="false">EXP(-'Black-Scholes'!$B$8*'Black-Scholes'!$B$7)*IF(LOWER('Black-Scholes'!$B$11)="put",MAX('Black-Scholes'!$B$6-C1341,0),MAX(C1341-'Black-Scholes'!$B$6,0))</f>
        <v>0</v>
      </c>
      <c r="F1341" s="18" t="n">
        <f aca="false">(E1341+G1341)/2</f>
        <v>5.29058538773155</v>
      </c>
      <c r="G1341" s="18" t="n">
        <f aca="false">EXP(-'Black-Scholes'!$B$8*'Black-Scholes'!$B$7)*IF(LOWER('Black-Scholes'!$B$11)="put",MAX('Black-Scholes'!$B$6-D1341,0),MAX(D1341-'Black-Scholes'!$B$6,0))</f>
        <v>10.5811707754631</v>
      </c>
    </row>
    <row r="1342" customFormat="false" ht="15" hidden="false" customHeight="false" outlineLevel="0" collapsed="false">
      <c r="A1342" s="0" t="n">
        <v>1331</v>
      </c>
      <c r="B1342" s="15" t="n">
        <v>-2.51309052026676</v>
      </c>
      <c r="C1342" s="18" t="n">
        <f aca="false">'Black-Scholes'!$B$5*EXP(('Black-Scholes'!$B$8-'Black-Scholes'!$B$10-'Black-Scholes'!$B$9^2/2)*'Black-Scholes'!$B$7+'Black-Scholes'!$B$9*SQRT('Black-Scholes'!$B$7)*B1342)</f>
        <v>62.3368087471911</v>
      </c>
      <c r="D1342" s="18" t="n">
        <f aca="false">'Black-Scholes'!$B$5*EXP(('Black-Scholes'!$B$8-'Black-Scholes'!$B$10-'Black-Scholes'!$B$9^2/2)*'Black-Scholes'!$B$7-'Black-Scholes'!$B$9*SQRT('Black-Scholes'!$B$7)*B1342)</f>
        <v>170.338611790615</v>
      </c>
      <c r="E1342" s="18" t="n">
        <f aca="false">EXP(-'Black-Scholes'!$B$8*'Black-Scholes'!$B$7)*IF(LOWER('Black-Scholes'!$B$11)="put",MAX('Black-Scholes'!$B$6-C1342,0),MAX(C1342-'Black-Scholes'!$B$6,0))</f>
        <v>0</v>
      </c>
      <c r="F1342" s="18" t="n">
        <f aca="false">(E1342+G1342)/2</f>
        <v>33.4540786068829</v>
      </c>
      <c r="G1342" s="18" t="n">
        <f aca="false">EXP(-'Black-Scholes'!$B$8*'Black-Scholes'!$B$7)*IF(LOWER('Black-Scholes'!$B$11)="put",MAX('Black-Scholes'!$B$6-D1342,0),MAX(D1342-'Black-Scholes'!$B$6,0))</f>
        <v>66.9081572137659</v>
      </c>
    </row>
    <row r="1343" customFormat="false" ht="15" hidden="false" customHeight="false" outlineLevel="0" collapsed="false">
      <c r="A1343" s="0" t="n">
        <v>1332</v>
      </c>
      <c r="B1343" s="15" t="n">
        <v>-0.461941780131722</v>
      </c>
      <c r="C1343" s="18" t="n">
        <f aca="false">'Black-Scholes'!$B$5*EXP(('Black-Scholes'!$B$8-'Black-Scholes'!$B$10-'Black-Scholes'!$B$9^2/2)*'Black-Scholes'!$B$7+'Black-Scholes'!$B$9*SQRT('Black-Scholes'!$B$7)*B1343)</f>
        <v>93.9517948475529</v>
      </c>
      <c r="D1343" s="18" t="n">
        <f aca="false">'Black-Scholes'!$B$5*EXP(('Black-Scholes'!$B$8-'Black-Scholes'!$B$10-'Black-Scholes'!$B$9^2/2)*'Black-Scholes'!$B$7-'Black-Scholes'!$B$9*SQRT('Black-Scholes'!$B$7)*B1343)</f>
        <v>113.019293380005</v>
      </c>
      <c r="E1343" s="18" t="n">
        <f aca="false">EXP(-'Black-Scholes'!$B$8*'Black-Scholes'!$B$7)*IF(LOWER('Black-Scholes'!$B$11)="put",MAX('Black-Scholes'!$B$6-C1343,0),MAX(C1343-'Black-Scholes'!$B$6,0))</f>
        <v>0</v>
      </c>
      <c r="F1343" s="18" t="n">
        <f aca="false">(E1343+G1343)/2</f>
        <v>6.1921674746339</v>
      </c>
      <c r="G1343" s="18" t="n">
        <f aca="false">EXP(-'Black-Scholes'!$B$8*'Black-Scholes'!$B$7)*IF(LOWER('Black-Scholes'!$B$11)="put",MAX('Black-Scholes'!$B$6-D1343,0),MAX(D1343-'Black-Scholes'!$B$6,0))</f>
        <v>12.3843349492678</v>
      </c>
    </row>
    <row r="1344" customFormat="false" ht="15" hidden="false" customHeight="false" outlineLevel="0" collapsed="false">
      <c r="A1344" s="0" t="n">
        <v>1333</v>
      </c>
      <c r="B1344" s="15" t="n">
        <v>-0.267085307646426</v>
      </c>
      <c r="C1344" s="18" t="n">
        <f aca="false">'Black-Scholes'!$B$5*EXP(('Black-Scholes'!$B$8-'Black-Scholes'!$B$10-'Black-Scholes'!$B$9^2/2)*'Black-Scholes'!$B$7+'Black-Scholes'!$B$9*SQRT('Black-Scholes'!$B$7)*B1344)</f>
        <v>97.6854990168141</v>
      </c>
      <c r="D1344" s="18" t="n">
        <f aca="false">'Black-Scholes'!$B$5*EXP(('Black-Scholes'!$B$8-'Black-Scholes'!$B$10-'Black-Scholes'!$B$9^2/2)*'Black-Scholes'!$B$7-'Black-Scholes'!$B$9*SQRT('Black-Scholes'!$B$7)*B1344)</f>
        <v>108.69950578464</v>
      </c>
      <c r="E1344" s="18" t="n">
        <f aca="false">EXP(-'Black-Scholes'!$B$8*'Black-Scholes'!$B$7)*IF(LOWER('Black-Scholes'!$B$11)="put",MAX('Black-Scholes'!$B$6-C1344,0),MAX(C1344-'Black-Scholes'!$B$6,0))</f>
        <v>0</v>
      </c>
      <c r="F1344" s="18" t="n">
        <f aca="false">(E1344+G1344)/2</f>
        <v>4.13761294048169</v>
      </c>
      <c r="G1344" s="18" t="n">
        <f aca="false">EXP(-'Black-Scholes'!$B$8*'Black-Scholes'!$B$7)*IF(LOWER('Black-Scholes'!$B$11)="put",MAX('Black-Scholes'!$B$6-D1344,0),MAX(D1344-'Black-Scholes'!$B$6,0))</f>
        <v>8.27522588096339</v>
      </c>
    </row>
    <row r="1345" customFormat="false" ht="15" hidden="false" customHeight="false" outlineLevel="0" collapsed="false">
      <c r="A1345" s="0" t="n">
        <v>1334</v>
      </c>
      <c r="B1345" s="15" t="n">
        <v>0.700190345009516</v>
      </c>
      <c r="C1345" s="18" t="n">
        <f aca="false">'Black-Scholes'!$B$5*EXP(('Black-Scholes'!$B$8-'Black-Scholes'!$B$10-'Black-Scholes'!$B$9^2/2)*'Black-Scholes'!$B$7+'Black-Scholes'!$B$9*SQRT('Black-Scholes'!$B$7)*B1345)</f>
        <v>118.534997555192</v>
      </c>
      <c r="D1345" s="18" t="n">
        <f aca="false">'Black-Scholes'!$B$5*EXP(('Black-Scholes'!$B$8-'Black-Scholes'!$B$10-'Black-Scholes'!$B$9^2/2)*'Black-Scholes'!$B$7-'Black-Scholes'!$B$9*SQRT('Black-Scholes'!$B$7)*B1345)</f>
        <v>89.5800032434262</v>
      </c>
      <c r="E1345" s="18" t="n">
        <f aca="false">EXP(-'Black-Scholes'!$B$8*'Black-Scholes'!$B$7)*IF(LOWER('Black-Scholes'!$B$11)="put",MAX('Black-Scholes'!$B$6-C1345,0),MAX(C1345-'Black-Scholes'!$B$6,0))</f>
        <v>17.6310350575472</v>
      </c>
      <c r="F1345" s="18" t="n">
        <f aca="false">(E1345+G1345)/2</f>
        <v>8.81551752877362</v>
      </c>
      <c r="G1345" s="18" t="n">
        <f aca="false">EXP(-'Black-Scholes'!$B$8*'Black-Scholes'!$B$7)*IF(LOWER('Black-Scholes'!$B$11)="put",MAX('Black-Scholes'!$B$6-D1345,0),MAX(D1345-'Black-Scholes'!$B$6,0))</f>
        <v>0</v>
      </c>
    </row>
    <row r="1346" customFormat="false" ht="15" hidden="false" customHeight="false" outlineLevel="0" collapsed="false">
      <c r="A1346" s="0" t="n">
        <v>1335</v>
      </c>
      <c r="B1346" s="15" t="n">
        <v>-0.677154408831475</v>
      </c>
      <c r="C1346" s="18" t="n">
        <f aca="false">'Black-Scholes'!$B$5*EXP(('Black-Scholes'!$B$8-'Black-Scholes'!$B$10-'Black-Scholes'!$B$9^2/2)*'Black-Scholes'!$B$7+'Black-Scholes'!$B$9*SQRT('Black-Scholes'!$B$7)*B1346)</f>
        <v>89.9936672730451</v>
      </c>
      <c r="D1346" s="18" t="n">
        <f aca="false">'Black-Scholes'!$B$5*EXP(('Black-Scholes'!$B$8-'Black-Scholes'!$B$10-'Black-Scholes'!$B$9^2/2)*'Black-Scholes'!$B$7-'Black-Scholes'!$B$9*SQRT('Black-Scholes'!$B$7)*B1346)</f>
        <v>117.990140719979</v>
      </c>
      <c r="E1346" s="18" t="n">
        <f aca="false">EXP(-'Black-Scholes'!$B$8*'Black-Scholes'!$B$7)*IF(LOWER('Black-Scholes'!$B$11)="put",MAX('Black-Scholes'!$B$6-C1346,0),MAX(C1346-'Black-Scholes'!$B$6,0))</f>
        <v>0</v>
      </c>
      <c r="F1346" s="18" t="n">
        <f aca="false">(E1346+G1346)/2</f>
        <v>8.55637560187643</v>
      </c>
      <c r="G1346" s="18" t="n">
        <f aca="false">EXP(-'Black-Scholes'!$B$8*'Black-Scholes'!$B$7)*IF(LOWER('Black-Scholes'!$B$11)="put",MAX('Black-Scholes'!$B$6-D1346,0),MAX(D1346-'Black-Scholes'!$B$6,0))</f>
        <v>17.1127512037529</v>
      </c>
    </row>
    <row r="1347" customFormat="false" ht="15" hidden="false" customHeight="false" outlineLevel="0" collapsed="false">
      <c r="A1347" s="0" t="n">
        <v>1336</v>
      </c>
      <c r="B1347" s="15" t="n">
        <v>0.525934254972457</v>
      </c>
      <c r="C1347" s="18" t="n">
        <f aca="false">'Black-Scholes'!$B$5*EXP(('Black-Scholes'!$B$8-'Black-Scholes'!$B$10-'Black-Scholes'!$B$9^2/2)*'Black-Scholes'!$B$7+'Black-Scholes'!$B$9*SQRT('Black-Scholes'!$B$7)*B1347)</f>
        <v>114.475066216872</v>
      </c>
      <c r="D1347" s="18" t="n">
        <f aca="false">'Black-Scholes'!$B$5*EXP(('Black-Scholes'!$B$8-'Black-Scholes'!$B$10-'Black-Scholes'!$B$9^2/2)*'Black-Scholes'!$B$7-'Black-Scholes'!$B$9*SQRT('Black-Scholes'!$B$7)*B1347)</f>
        <v>92.7570152729781</v>
      </c>
      <c r="E1347" s="18" t="n">
        <f aca="false">EXP(-'Black-Scholes'!$B$8*'Black-Scholes'!$B$7)*IF(LOWER('Black-Scholes'!$B$11)="put",MAX('Black-Scholes'!$B$6-C1347,0),MAX(C1347-'Black-Scholes'!$B$6,0))</f>
        <v>13.7691089070851</v>
      </c>
      <c r="F1347" s="18" t="n">
        <f aca="false">(E1347+G1347)/2</f>
        <v>6.88455445354253</v>
      </c>
      <c r="G1347" s="18" t="n">
        <f aca="false">EXP(-'Black-Scholes'!$B$8*'Black-Scholes'!$B$7)*IF(LOWER('Black-Scholes'!$B$11)="put",MAX('Black-Scholes'!$B$6-D1347,0),MAX(D1347-'Black-Scholes'!$B$6,0))</f>
        <v>0</v>
      </c>
    </row>
    <row r="1348" customFormat="false" ht="15" hidden="false" customHeight="false" outlineLevel="0" collapsed="false">
      <c r="A1348" s="0" t="n">
        <v>1337</v>
      </c>
      <c r="B1348" s="15" t="n">
        <v>2.24325216312285</v>
      </c>
      <c r="C1348" s="18" t="n">
        <f aca="false">'Black-Scholes'!$B$5*EXP(('Black-Scholes'!$B$8-'Black-Scholes'!$B$10-'Black-Scholes'!$B$9^2/2)*'Black-Scholes'!$B$7+'Black-Scholes'!$B$9*SQRT('Black-Scholes'!$B$7)*B1348)</f>
        <v>161.389487194569</v>
      </c>
      <c r="D1348" s="18" t="n">
        <f aca="false">'Black-Scholes'!$B$5*EXP(('Black-Scholes'!$B$8-'Black-Scholes'!$B$10-'Black-Scholes'!$B$9^2/2)*'Black-Scholes'!$B$7-'Black-Scholes'!$B$9*SQRT('Black-Scholes'!$B$7)*B1348)</f>
        <v>65.7934147386703</v>
      </c>
      <c r="E1348" s="18" t="n">
        <f aca="false">EXP(-'Black-Scholes'!$B$8*'Black-Scholes'!$B$7)*IF(LOWER('Black-Scholes'!$B$11)="put",MAX('Black-Scholes'!$B$6-C1348,0),MAX(C1348-'Black-Scholes'!$B$6,0))</f>
        <v>58.3954865744838</v>
      </c>
      <c r="F1348" s="18" t="n">
        <f aca="false">(E1348+G1348)/2</f>
        <v>29.1977432872419</v>
      </c>
      <c r="G1348" s="18" t="n">
        <f aca="false">EXP(-'Black-Scholes'!$B$8*'Black-Scholes'!$B$7)*IF(LOWER('Black-Scholes'!$B$11)="put",MAX('Black-Scholes'!$B$6-D1348,0),MAX(D1348-'Black-Scholes'!$B$6,0))</f>
        <v>0</v>
      </c>
    </row>
    <row r="1349" customFormat="false" ht="15" hidden="false" customHeight="false" outlineLevel="0" collapsed="false">
      <c r="A1349" s="0" t="n">
        <v>1338</v>
      </c>
      <c r="B1349" s="15" t="n">
        <v>-0.0730587228255158</v>
      </c>
      <c r="C1349" s="18" t="n">
        <f aca="false">'Black-Scholes'!$B$5*EXP(('Black-Scholes'!$B$8-'Black-Scholes'!$B$10-'Black-Scholes'!$B$9^2/2)*'Black-Scholes'!$B$7+'Black-Scholes'!$B$9*SQRT('Black-Scholes'!$B$7)*B1349)</f>
        <v>101.550726430022</v>
      </c>
      <c r="D1349" s="18" t="n">
        <f aca="false">'Black-Scholes'!$B$5*EXP(('Black-Scholes'!$B$8-'Black-Scholes'!$B$10-'Black-Scholes'!$B$9^2/2)*'Black-Scholes'!$B$7-'Black-Scholes'!$B$9*SQRT('Black-Scholes'!$B$7)*B1349)</f>
        <v>104.562181273717</v>
      </c>
      <c r="E1349" s="18" t="n">
        <f aca="false">EXP(-'Black-Scholes'!$B$8*'Black-Scholes'!$B$7)*IF(LOWER('Black-Scholes'!$B$11)="put",MAX('Black-Scholes'!$B$6-C1349,0),MAX(C1349-'Black-Scholes'!$B$6,0))</f>
        <v>1.47509660958825</v>
      </c>
      <c r="F1349" s="18" t="n">
        <f aca="false">(E1349+G1349)/2</f>
        <v>2.90738883852678</v>
      </c>
      <c r="G1349" s="18" t="n">
        <f aca="false">EXP(-'Black-Scholes'!$B$8*'Black-Scholes'!$B$7)*IF(LOWER('Black-Scholes'!$B$11)="put",MAX('Black-Scholes'!$B$6-D1349,0),MAX(D1349-'Black-Scholes'!$B$6,0))</f>
        <v>4.33968106746531</v>
      </c>
    </row>
    <row r="1350" customFormat="false" ht="15" hidden="false" customHeight="false" outlineLevel="0" collapsed="false">
      <c r="A1350" s="0" t="n">
        <v>1339</v>
      </c>
      <c r="B1350" s="15" t="n">
        <v>-0.464545671002803</v>
      </c>
      <c r="C1350" s="18" t="n">
        <f aca="false">'Black-Scholes'!$B$5*EXP(('Black-Scholes'!$B$8-'Black-Scholes'!$B$10-'Black-Scholes'!$B$9^2/2)*'Black-Scholes'!$B$7+'Black-Scholes'!$B$9*SQRT('Black-Scholes'!$B$7)*B1350)</f>
        <v>93.9028795414853</v>
      </c>
      <c r="D1350" s="18" t="n">
        <f aca="false">'Black-Scholes'!$B$5*EXP(('Black-Scholes'!$B$8-'Black-Scholes'!$B$10-'Black-Scholes'!$B$9^2/2)*'Black-Scholes'!$B$7-'Black-Scholes'!$B$9*SQRT('Black-Scholes'!$B$7)*B1350)</f>
        <v>113.078166689899</v>
      </c>
      <c r="E1350" s="18" t="n">
        <f aca="false">EXP(-'Black-Scholes'!$B$8*'Black-Scholes'!$B$7)*IF(LOWER('Black-Scholes'!$B$11)="put",MAX('Black-Scholes'!$B$6-C1350,0),MAX(C1350-'Black-Scholes'!$B$6,0))</f>
        <v>0</v>
      </c>
      <c r="F1350" s="18" t="n">
        <f aca="false">(E1350+G1350)/2</f>
        <v>6.22016848697859</v>
      </c>
      <c r="G1350" s="18" t="n">
        <f aca="false">EXP(-'Black-Scholes'!$B$8*'Black-Scholes'!$B$7)*IF(LOWER('Black-Scholes'!$B$11)="put",MAX('Black-Scholes'!$B$6-D1350,0),MAX(D1350-'Black-Scholes'!$B$6,0))</f>
        <v>12.4403369739572</v>
      </c>
    </row>
    <row r="1351" customFormat="false" ht="15" hidden="false" customHeight="false" outlineLevel="0" collapsed="false">
      <c r="A1351" s="0" t="n">
        <v>1340</v>
      </c>
      <c r="B1351" s="15" t="n">
        <v>0.181181720309908</v>
      </c>
      <c r="C1351" s="18" t="n">
        <f aca="false">'Black-Scholes'!$B$5*EXP(('Black-Scholes'!$B$8-'Black-Scholes'!$B$10-'Black-Scholes'!$B$9^2/2)*'Black-Scholes'!$B$7+'Black-Scholes'!$B$9*SQRT('Black-Scholes'!$B$7)*B1351)</f>
        <v>106.847921604458</v>
      </c>
      <c r="D1351" s="18" t="n">
        <f aca="false">'Black-Scholes'!$B$5*EXP(('Black-Scholes'!$B$8-'Black-Scholes'!$B$10-'Black-Scholes'!$B$9^2/2)*'Black-Scholes'!$B$7-'Black-Scholes'!$B$9*SQRT('Black-Scholes'!$B$7)*B1351)</f>
        <v>99.3783061570625</v>
      </c>
      <c r="E1351" s="18" t="n">
        <f aca="false">EXP(-'Black-Scholes'!$B$8*'Black-Scholes'!$B$7)*IF(LOWER('Black-Scholes'!$B$11)="put",MAX('Black-Scholes'!$B$6-C1351,0),MAX(C1351-'Black-Scholes'!$B$6,0))</f>
        <v>6.51394452683417</v>
      </c>
      <c r="F1351" s="18" t="n">
        <f aca="false">(E1351+G1351)/2</f>
        <v>3.25697226341708</v>
      </c>
      <c r="G1351" s="18" t="n">
        <f aca="false">EXP(-'Black-Scholes'!$B$8*'Black-Scholes'!$B$7)*IF(LOWER('Black-Scholes'!$B$11)="put",MAX('Black-Scholes'!$B$6-D1351,0),MAX(D1351-'Black-Scholes'!$B$6,0))</f>
        <v>0</v>
      </c>
    </row>
    <row r="1352" customFormat="false" ht="15" hidden="false" customHeight="false" outlineLevel="0" collapsed="false">
      <c r="A1352" s="0" t="n">
        <v>1341</v>
      </c>
      <c r="B1352" s="15" t="n">
        <v>1.51923304389347</v>
      </c>
      <c r="C1352" s="18" t="n">
        <f aca="false">'Black-Scholes'!$B$5*EXP(('Black-Scholes'!$B$8-'Black-Scholes'!$B$10-'Black-Scholes'!$B$9^2/2)*'Black-Scholes'!$B$7+'Black-Scholes'!$B$9*SQRT('Black-Scholes'!$B$7)*B1352)</f>
        <v>139.63289425448</v>
      </c>
      <c r="D1352" s="18" t="n">
        <f aca="false">'Black-Scholes'!$B$5*EXP(('Black-Scholes'!$B$8-'Black-Scholes'!$B$10-'Black-Scholes'!$B$9^2/2)*'Black-Scholes'!$B$7-'Black-Scholes'!$B$9*SQRT('Black-Scholes'!$B$7)*B1352)</f>
        <v>76.0448712471838</v>
      </c>
      <c r="E1352" s="18" t="n">
        <f aca="false">EXP(-'Black-Scholes'!$B$8*'Black-Scholes'!$B$7)*IF(LOWER('Black-Scholes'!$B$11)="put",MAX('Black-Scholes'!$B$6-C1352,0),MAX(C1352-'Black-Scholes'!$B$6,0))</f>
        <v>37.6999751929871</v>
      </c>
      <c r="F1352" s="18" t="n">
        <f aca="false">(E1352+G1352)/2</f>
        <v>18.8499875964936</v>
      </c>
      <c r="G1352" s="18" t="n">
        <f aca="false">EXP(-'Black-Scholes'!$B$8*'Black-Scholes'!$B$7)*IF(LOWER('Black-Scholes'!$B$11)="put",MAX('Black-Scholes'!$B$6-D1352,0),MAX(D1352-'Black-Scholes'!$B$6,0))</f>
        <v>0</v>
      </c>
    </row>
    <row r="1353" customFormat="false" ht="15" hidden="false" customHeight="false" outlineLevel="0" collapsed="false">
      <c r="A1353" s="0" t="n">
        <v>1342</v>
      </c>
      <c r="B1353" s="15" t="n">
        <v>0.735353475441563</v>
      </c>
      <c r="C1353" s="18" t="n">
        <f aca="false">'Black-Scholes'!$B$5*EXP(('Black-Scholes'!$B$8-'Black-Scholes'!$B$10-'Black-Scholes'!$B$9^2/2)*'Black-Scholes'!$B$7+'Black-Scholes'!$B$9*SQRT('Black-Scholes'!$B$7)*B1353)</f>
        <v>119.371547996551</v>
      </c>
      <c r="D1353" s="18" t="n">
        <f aca="false">'Black-Scholes'!$B$5*EXP(('Black-Scholes'!$B$8-'Black-Scholes'!$B$10-'Black-Scholes'!$B$9^2/2)*'Black-Scholes'!$B$7-'Black-Scholes'!$B$9*SQRT('Black-Scholes'!$B$7)*B1353)</f>
        <v>88.9522306082549</v>
      </c>
      <c r="E1353" s="18" t="n">
        <f aca="false">EXP(-'Black-Scholes'!$B$8*'Black-Scholes'!$B$7)*IF(LOWER('Black-Scholes'!$B$11)="put",MAX('Black-Scholes'!$B$6-C1353,0),MAX(C1353-'Black-Scholes'!$B$6,0))</f>
        <v>18.4267864524474</v>
      </c>
      <c r="F1353" s="18" t="n">
        <f aca="false">(E1353+G1353)/2</f>
        <v>9.21339322622371</v>
      </c>
      <c r="G1353" s="18" t="n">
        <f aca="false">EXP(-'Black-Scholes'!$B$8*'Black-Scholes'!$B$7)*IF(LOWER('Black-Scholes'!$B$11)="put",MAX('Black-Scholes'!$B$6-D1353,0),MAX(D1353-'Black-Scholes'!$B$6,0))</f>
        <v>0</v>
      </c>
    </row>
    <row r="1354" customFormat="false" ht="15" hidden="false" customHeight="false" outlineLevel="0" collapsed="false">
      <c r="A1354" s="0" t="n">
        <v>1343</v>
      </c>
      <c r="B1354" s="15" t="n">
        <v>1.09698970206668</v>
      </c>
      <c r="C1354" s="18" t="n">
        <f aca="false">'Black-Scholes'!$B$5*EXP(('Black-Scholes'!$B$8-'Black-Scholes'!$B$10-'Black-Scholes'!$B$9^2/2)*'Black-Scholes'!$B$7+'Black-Scholes'!$B$9*SQRT('Black-Scholes'!$B$7)*B1354)</f>
        <v>128.325258954344</v>
      </c>
      <c r="D1354" s="18" t="n">
        <f aca="false">'Black-Scholes'!$B$5*EXP(('Black-Scholes'!$B$8-'Black-Scholes'!$B$10-'Black-Scholes'!$B$9^2/2)*'Black-Scholes'!$B$7-'Black-Scholes'!$B$9*SQRT('Black-Scholes'!$B$7)*B1354)</f>
        <v>82.7457162524129</v>
      </c>
      <c r="E1354" s="18" t="n">
        <f aca="false">EXP(-'Black-Scholes'!$B$8*'Black-Scholes'!$B$7)*IF(LOWER('Black-Scholes'!$B$11)="put",MAX('Black-Scholes'!$B$6-C1354,0),MAX(C1354-'Black-Scholes'!$B$6,0))</f>
        <v>26.9438197739748</v>
      </c>
      <c r="F1354" s="18" t="n">
        <f aca="false">(E1354+G1354)/2</f>
        <v>13.4719098869874</v>
      </c>
      <c r="G1354" s="18" t="n">
        <f aca="false">EXP(-'Black-Scholes'!$B$8*'Black-Scholes'!$B$7)*IF(LOWER('Black-Scholes'!$B$11)="put",MAX('Black-Scholes'!$B$6-D1354,0),MAX(D1354-'Black-Scholes'!$B$6,0))</f>
        <v>0</v>
      </c>
    </row>
    <row r="1355" customFormat="false" ht="15" hidden="false" customHeight="false" outlineLevel="0" collapsed="false">
      <c r="A1355" s="0" t="n">
        <v>1344</v>
      </c>
      <c r="B1355" s="15" t="n">
        <v>-0.902795090468162</v>
      </c>
      <c r="C1355" s="18" t="n">
        <f aca="false">'Black-Scholes'!$B$5*EXP(('Black-Scholes'!$B$8-'Black-Scholes'!$B$10-'Black-Scholes'!$B$9^2/2)*'Black-Scholes'!$B$7+'Black-Scholes'!$B$9*SQRT('Black-Scholes'!$B$7)*B1355)</f>
        <v>86.0226959553996</v>
      </c>
      <c r="D1355" s="18" t="n">
        <f aca="false">'Black-Scholes'!$B$5*EXP(('Black-Scholes'!$B$8-'Black-Scholes'!$B$10-'Black-Scholes'!$B$9^2/2)*'Black-Scholes'!$B$7-'Black-Scholes'!$B$9*SQRT('Black-Scholes'!$B$7)*B1355)</f>
        <v>123.436790111286</v>
      </c>
      <c r="E1355" s="18" t="n">
        <f aca="false">EXP(-'Black-Scholes'!$B$8*'Black-Scholes'!$B$7)*IF(LOWER('Black-Scholes'!$B$11)="put",MAX('Black-Scholes'!$B$6-C1355,0),MAX(C1355-'Black-Scholes'!$B$6,0))</f>
        <v>0</v>
      </c>
      <c r="F1355" s="18" t="n">
        <f aca="false">(E1355+G1355)/2</f>
        <v>11.1468821848511</v>
      </c>
      <c r="G1355" s="18" t="n">
        <f aca="false">EXP(-'Black-Scholes'!$B$8*'Black-Scholes'!$B$7)*IF(LOWER('Black-Scholes'!$B$11)="put",MAX('Black-Scholes'!$B$6-D1355,0),MAX(D1355-'Black-Scholes'!$B$6,0))</f>
        <v>22.2937643697022</v>
      </c>
    </row>
    <row r="1356" customFormat="false" ht="15" hidden="false" customHeight="false" outlineLevel="0" collapsed="false">
      <c r="A1356" s="0" t="n">
        <v>1345</v>
      </c>
      <c r="B1356" s="15" t="n">
        <v>-0.36165778251379</v>
      </c>
      <c r="C1356" s="18" t="n">
        <f aca="false">'Black-Scholes'!$B$5*EXP(('Black-Scholes'!$B$8-'Black-Scholes'!$B$10-'Black-Scholes'!$B$9^2/2)*'Black-Scholes'!$B$7+'Black-Scholes'!$B$9*SQRT('Black-Scholes'!$B$7)*B1356)</f>
        <v>95.8551913759754</v>
      </c>
      <c r="D1356" s="18" t="n">
        <f aca="false">'Black-Scholes'!$B$5*EXP(('Black-Scholes'!$B$8-'Black-Scholes'!$B$10-'Black-Scholes'!$B$9^2/2)*'Black-Scholes'!$B$7-'Black-Scholes'!$B$9*SQRT('Black-Scholes'!$B$7)*B1356)</f>
        <v>110.775069279293</v>
      </c>
      <c r="E1356" s="18" t="n">
        <f aca="false">EXP(-'Black-Scholes'!$B$8*'Black-Scholes'!$B$7)*IF(LOWER('Black-Scholes'!$B$11)="put",MAX('Black-Scholes'!$B$6-C1356,0),MAX(C1356-'Black-Scholes'!$B$6,0))</f>
        <v>0</v>
      </c>
      <c r="F1356" s="18" t="n">
        <f aca="false">(E1356+G1356)/2</f>
        <v>5.12478147474877</v>
      </c>
      <c r="G1356" s="18" t="n">
        <f aca="false">EXP(-'Black-Scholes'!$B$8*'Black-Scholes'!$B$7)*IF(LOWER('Black-Scholes'!$B$11)="put",MAX('Black-Scholes'!$B$6-D1356,0),MAX(D1356-'Black-Scholes'!$B$6,0))</f>
        <v>10.2495629494975</v>
      </c>
    </row>
    <row r="1357" customFormat="false" ht="15" hidden="false" customHeight="false" outlineLevel="0" collapsed="false">
      <c r="A1357" s="0" t="n">
        <v>1346</v>
      </c>
      <c r="B1357" s="15" t="n">
        <v>-0.306882251515212</v>
      </c>
      <c r="C1357" s="18" t="n">
        <f aca="false">'Black-Scholes'!$B$5*EXP(('Black-Scholes'!$B$8-'Black-Scholes'!$B$10-'Black-Scholes'!$B$9^2/2)*'Black-Scholes'!$B$7+'Black-Scholes'!$B$9*SQRT('Black-Scholes'!$B$7)*B1357)</f>
        <v>96.9110682388663</v>
      </c>
      <c r="D1357" s="18" t="n">
        <f aca="false">'Black-Scholes'!$B$5*EXP(('Black-Scholes'!$B$8-'Black-Scholes'!$B$10-'Black-Scholes'!$B$9^2/2)*'Black-Scholes'!$B$7-'Black-Scholes'!$B$9*SQRT('Black-Scholes'!$B$7)*B1357)</f>
        <v>109.568139722508</v>
      </c>
      <c r="E1357" s="18" t="n">
        <f aca="false">EXP(-'Black-Scholes'!$B$8*'Black-Scholes'!$B$7)*IF(LOWER('Black-Scholes'!$B$11)="put",MAX('Black-Scholes'!$B$6-C1357,0),MAX(C1357-'Black-Scholes'!$B$6,0))</f>
        <v>0</v>
      </c>
      <c r="F1357" s="18" t="n">
        <f aca="false">(E1357+G1357)/2</f>
        <v>4.55074802089176</v>
      </c>
      <c r="G1357" s="18" t="n">
        <f aca="false">EXP(-'Black-Scholes'!$B$8*'Black-Scholes'!$B$7)*IF(LOWER('Black-Scholes'!$B$11)="put",MAX('Black-Scholes'!$B$6-D1357,0),MAX(D1357-'Black-Scholes'!$B$6,0))</f>
        <v>9.10149604178353</v>
      </c>
    </row>
    <row r="1358" customFormat="false" ht="15" hidden="false" customHeight="false" outlineLevel="0" collapsed="false">
      <c r="A1358" s="0" t="n">
        <v>1347</v>
      </c>
      <c r="B1358" s="15" t="n">
        <v>0.0446379175970831</v>
      </c>
      <c r="C1358" s="18" t="n">
        <f aca="false">'Black-Scholes'!$B$5*EXP(('Black-Scholes'!$B$8-'Black-Scholes'!$B$10-'Black-Scholes'!$B$9^2/2)*'Black-Scholes'!$B$7+'Black-Scholes'!$B$9*SQRT('Black-Scholes'!$B$7)*B1358)</f>
        <v>103.969518985741</v>
      </c>
      <c r="D1358" s="18" t="n">
        <f aca="false">'Black-Scholes'!$B$5*EXP(('Black-Scholes'!$B$8-'Black-Scholes'!$B$10-'Black-Scholes'!$B$9^2/2)*'Black-Scholes'!$B$7-'Black-Scholes'!$B$9*SQRT('Black-Scholes'!$B$7)*B1358)</f>
        <v>102.129600762219</v>
      </c>
      <c r="E1358" s="18" t="n">
        <f aca="false">EXP(-'Black-Scholes'!$B$8*'Black-Scholes'!$B$7)*IF(LOWER('Black-Scholes'!$B$11)="put",MAX('Black-Scholes'!$B$6-C1358,0),MAX(C1358-'Black-Scholes'!$B$6,0))</f>
        <v>3.7759232603507</v>
      </c>
      <c r="F1358" s="18" t="n">
        <f aca="false">(E1358+G1358)/2</f>
        <v>2.9008310839061</v>
      </c>
      <c r="G1358" s="18" t="n">
        <f aca="false">EXP(-'Black-Scholes'!$B$8*'Black-Scholes'!$B$7)*IF(LOWER('Black-Scholes'!$B$11)="put",MAX('Black-Scholes'!$B$6-D1358,0),MAX(D1358-'Black-Scholes'!$B$6,0))</f>
        <v>2.0257389074615</v>
      </c>
    </row>
    <row r="1359" customFormat="false" ht="15" hidden="false" customHeight="false" outlineLevel="0" collapsed="false">
      <c r="A1359" s="0" t="n">
        <v>1348</v>
      </c>
      <c r="B1359" s="15" t="n">
        <v>1.10654345430588</v>
      </c>
      <c r="C1359" s="18" t="n">
        <f aca="false">'Black-Scholes'!$B$5*EXP(('Black-Scholes'!$B$8-'Black-Scholes'!$B$10-'Black-Scholes'!$B$9^2/2)*'Black-Scholes'!$B$7+'Black-Scholes'!$B$9*SQRT('Black-Scholes'!$B$7)*B1359)</f>
        <v>128.570690905294</v>
      </c>
      <c r="D1359" s="18" t="n">
        <f aca="false">'Black-Scholes'!$B$5*EXP(('Black-Scholes'!$B$8-'Black-Scholes'!$B$10-'Black-Scholes'!$B$9^2/2)*'Black-Scholes'!$B$7-'Black-Scholes'!$B$9*SQRT('Black-Scholes'!$B$7)*B1359)</f>
        <v>82.5877607928169</v>
      </c>
      <c r="E1359" s="18" t="n">
        <f aca="false">EXP(-'Black-Scholes'!$B$8*'Black-Scholes'!$B$7)*IF(LOWER('Black-Scholes'!$B$11)="put",MAX('Black-Scholes'!$B$6-C1359,0),MAX(C1359-'Black-Scholes'!$B$6,0))</f>
        <v>27.1772818674304</v>
      </c>
      <c r="F1359" s="18" t="n">
        <f aca="false">(E1359+G1359)/2</f>
        <v>13.5886409337152</v>
      </c>
      <c r="G1359" s="18" t="n">
        <f aca="false">EXP(-'Black-Scholes'!$B$8*'Black-Scholes'!$B$7)*IF(LOWER('Black-Scholes'!$B$11)="put",MAX('Black-Scholes'!$B$6-D1359,0),MAX(D1359-'Black-Scholes'!$B$6,0))</f>
        <v>0</v>
      </c>
    </row>
    <row r="1360" customFormat="false" ht="15" hidden="false" customHeight="false" outlineLevel="0" collapsed="false">
      <c r="A1360" s="0" t="n">
        <v>1349</v>
      </c>
      <c r="B1360" s="15" t="n">
        <v>-0.880511749800504</v>
      </c>
      <c r="C1360" s="18" t="n">
        <f aca="false">'Black-Scholes'!$B$5*EXP(('Black-Scholes'!$B$8-'Black-Scholes'!$B$10-'Black-Scholes'!$B$9^2/2)*'Black-Scholes'!$B$7+'Black-Scholes'!$B$9*SQRT('Black-Scholes'!$B$7)*B1360)</f>
        <v>86.4069261204295</v>
      </c>
      <c r="D1360" s="18" t="n">
        <f aca="false">'Black-Scholes'!$B$5*EXP(('Black-Scholes'!$B$8-'Black-Scholes'!$B$10-'Black-Scholes'!$B$9^2/2)*'Black-Scholes'!$B$7-'Black-Scholes'!$B$9*SQRT('Black-Scholes'!$B$7)*B1360)</f>
        <v>122.887897327285</v>
      </c>
      <c r="E1360" s="18" t="n">
        <f aca="false">EXP(-'Black-Scholes'!$B$8*'Black-Scholes'!$B$7)*IF(LOWER('Black-Scholes'!$B$11)="put",MAX('Black-Scholes'!$B$6-C1360,0),MAX(C1360-'Black-Scholes'!$B$6,0))</f>
        <v>0</v>
      </c>
      <c r="F1360" s="18" t="n">
        <f aca="false">(E1360+G1360)/2</f>
        <v>10.8858207013321</v>
      </c>
      <c r="G1360" s="18" t="n">
        <f aca="false">EXP(-'Black-Scholes'!$B$8*'Black-Scholes'!$B$7)*IF(LOWER('Black-Scholes'!$B$11)="put",MAX('Black-Scholes'!$B$6-D1360,0),MAX(D1360-'Black-Scholes'!$B$6,0))</f>
        <v>21.7716414026643</v>
      </c>
    </row>
    <row r="1361" customFormat="false" ht="15" hidden="false" customHeight="false" outlineLevel="0" collapsed="false">
      <c r="A1361" s="0" t="n">
        <v>1350</v>
      </c>
      <c r="B1361" s="15" t="n">
        <v>-1.18678777170741</v>
      </c>
      <c r="C1361" s="18" t="n">
        <f aca="false">'Black-Scholes'!$B$5*EXP(('Black-Scholes'!$B$8-'Black-Scholes'!$B$10-'Black-Scholes'!$B$9^2/2)*'Black-Scholes'!$B$7+'Black-Scholes'!$B$9*SQRT('Black-Scholes'!$B$7)*B1361)</f>
        <v>81.2729003246106</v>
      </c>
      <c r="D1361" s="18" t="n">
        <f aca="false">'Black-Scholes'!$B$5*EXP(('Black-Scholes'!$B$8-'Black-Scholes'!$B$10-'Black-Scholes'!$B$9^2/2)*'Black-Scholes'!$B$7-'Black-Scholes'!$B$9*SQRT('Black-Scholes'!$B$7)*B1361)</f>
        <v>130.650751025778</v>
      </c>
      <c r="E1361" s="18" t="n">
        <f aca="false">EXP(-'Black-Scholes'!$B$8*'Black-Scholes'!$B$7)*IF(LOWER('Black-Scholes'!$B$11)="put",MAX('Black-Scholes'!$B$6-C1361,0),MAX(C1361-'Black-Scholes'!$B$6,0))</f>
        <v>0</v>
      </c>
      <c r="F1361" s="18" t="n">
        <f aca="false">(E1361+G1361)/2</f>
        <v>14.5779481293829</v>
      </c>
      <c r="G1361" s="18" t="n">
        <f aca="false">EXP(-'Black-Scholes'!$B$8*'Black-Scholes'!$B$7)*IF(LOWER('Black-Scholes'!$B$11)="put",MAX('Black-Scholes'!$B$6-D1361,0),MAX(D1361-'Black-Scholes'!$B$6,0))</f>
        <v>29.1558962587658</v>
      </c>
    </row>
    <row r="1362" customFormat="false" ht="15" hidden="false" customHeight="false" outlineLevel="0" collapsed="false">
      <c r="A1362" s="0" t="n">
        <v>1351</v>
      </c>
      <c r="B1362" s="15" t="n">
        <v>-1.61601134464879</v>
      </c>
      <c r="C1362" s="18" t="n">
        <f aca="false">'Black-Scholes'!$B$5*EXP(('Black-Scholes'!$B$8-'Black-Scholes'!$B$10-'Black-Scholes'!$B$9^2/2)*'Black-Scholes'!$B$7+'Black-Scholes'!$B$9*SQRT('Black-Scholes'!$B$7)*B1362)</f>
        <v>74.5871258857116</v>
      </c>
      <c r="D1362" s="18" t="n">
        <f aca="false">'Black-Scholes'!$B$5*EXP(('Black-Scholes'!$B$8-'Black-Scholes'!$B$10-'Black-Scholes'!$B$9^2/2)*'Black-Scholes'!$B$7-'Black-Scholes'!$B$9*SQRT('Black-Scholes'!$B$7)*B1362)</f>
        <v>142.361906821881</v>
      </c>
      <c r="E1362" s="18" t="n">
        <f aca="false">EXP(-'Black-Scholes'!$B$8*'Black-Scholes'!$B$7)*IF(LOWER('Black-Scholes'!$B$11)="put",MAX('Black-Scholes'!$B$6-C1362,0),MAX(C1362-'Black-Scholes'!$B$6,0))</f>
        <v>0</v>
      </c>
      <c r="F1362" s="18" t="n">
        <f aca="false">(E1362+G1362)/2</f>
        <v>20.1479461234655</v>
      </c>
      <c r="G1362" s="18" t="n">
        <f aca="false">EXP(-'Black-Scholes'!$B$8*'Black-Scholes'!$B$7)*IF(LOWER('Black-Scholes'!$B$11)="put",MAX('Black-Scholes'!$B$6-D1362,0),MAX(D1362-'Black-Scholes'!$B$6,0))</f>
        <v>40.295892246931</v>
      </c>
    </row>
    <row r="1363" customFormat="false" ht="15" hidden="false" customHeight="false" outlineLevel="0" collapsed="false">
      <c r="A1363" s="0" t="n">
        <v>1352</v>
      </c>
      <c r="B1363" s="15" t="n">
        <v>0.88978130402488</v>
      </c>
      <c r="C1363" s="18" t="n">
        <f aca="false">'Black-Scholes'!$B$5*EXP(('Black-Scholes'!$B$8-'Black-Scholes'!$B$10-'Black-Scholes'!$B$9^2/2)*'Black-Scholes'!$B$7+'Black-Scholes'!$B$9*SQRT('Black-Scholes'!$B$7)*B1363)</f>
        <v>123.115931845364</v>
      </c>
      <c r="D1363" s="18" t="n">
        <f aca="false">'Black-Scholes'!$B$5*EXP(('Black-Scholes'!$B$8-'Black-Scholes'!$B$10-'Black-Scholes'!$B$9^2/2)*'Black-Scholes'!$B$7-'Black-Scholes'!$B$9*SQRT('Black-Scholes'!$B$7)*B1363)</f>
        <v>86.2468837809755</v>
      </c>
      <c r="E1363" s="18" t="n">
        <f aca="false">EXP(-'Black-Scholes'!$B$8*'Black-Scholes'!$B$7)*IF(LOWER('Black-Scholes'!$B$11)="put",MAX('Black-Scholes'!$B$6-C1363,0),MAX(C1363-'Black-Scholes'!$B$6,0))</f>
        <v>21.9885545460633</v>
      </c>
      <c r="F1363" s="18" t="n">
        <f aca="false">(E1363+G1363)/2</f>
        <v>10.9942772730316</v>
      </c>
      <c r="G1363" s="18" t="n">
        <f aca="false">EXP(-'Black-Scholes'!$B$8*'Black-Scholes'!$B$7)*IF(LOWER('Black-Scholes'!$B$11)="put",MAX('Black-Scholes'!$B$6-D1363,0),MAX(D1363-'Black-Scholes'!$B$6,0))</f>
        <v>0</v>
      </c>
    </row>
    <row r="1364" customFormat="false" ht="15" hidden="false" customHeight="false" outlineLevel="0" collapsed="false">
      <c r="A1364" s="0" t="n">
        <v>1353</v>
      </c>
      <c r="B1364" s="15" t="n">
        <v>-0.075763243696532</v>
      </c>
      <c r="C1364" s="18" t="n">
        <f aca="false">'Black-Scholes'!$B$5*EXP(('Black-Scholes'!$B$8-'Black-Scholes'!$B$10-'Black-Scholes'!$B$9^2/2)*'Black-Scholes'!$B$7+'Black-Scholes'!$B$9*SQRT('Black-Scholes'!$B$7)*B1364)</f>
        <v>101.495812071245</v>
      </c>
      <c r="D1364" s="18" t="n">
        <f aca="false">'Black-Scholes'!$B$5*EXP(('Black-Scholes'!$B$8-'Black-Scholes'!$B$10-'Black-Scholes'!$B$9^2/2)*'Black-Scholes'!$B$7-'Black-Scholes'!$B$9*SQRT('Black-Scholes'!$B$7)*B1364)</f>
        <v>104.618754693051</v>
      </c>
      <c r="E1364" s="18" t="n">
        <f aca="false">EXP(-'Black-Scholes'!$B$8*'Black-Scholes'!$B$7)*IF(LOWER('Black-Scholes'!$B$11)="put",MAX('Black-Scholes'!$B$6-C1364,0),MAX(C1364-'Black-Scholes'!$B$6,0))</f>
        <v>1.42286045569147</v>
      </c>
      <c r="F1364" s="18" t="n">
        <f aca="false">(E1364+G1364)/2</f>
        <v>2.90817791213629</v>
      </c>
      <c r="G1364" s="18" t="n">
        <f aca="false">EXP(-'Black-Scholes'!$B$8*'Black-Scholes'!$B$7)*IF(LOWER('Black-Scholes'!$B$11)="put",MAX('Black-Scholes'!$B$6-D1364,0),MAX(D1364-'Black-Scholes'!$B$6,0))</f>
        <v>4.39349536858112</v>
      </c>
    </row>
    <row r="1365" customFormat="false" ht="15" hidden="false" customHeight="false" outlineLevel="0" collapsed="false">
      <c r="A1365" s="0" t="n">
        <v>1354</v>
      </c>
      <c r="B1365" s="15" t="n">
        <v>-0.603346251244392</v>
      </c>
      <c r="C1365" s="18" t="n">
        <f aca="false">'Black-Scholes'!$B$5*EXP(('Black-Scholes'!$B$8-'Black-Scholes'!$B$10-'Black-Scholes'!$B$9^2/2)*'Black-Scholes'!$B$7+'Black-Scholes'!$B$9*SQRT('Black-Scholes'!$B$7)*B1365)</f>
        <v>91.331974122539</v>
      </c>
      <c r="D1365" s="18" t="n">
        <f aca="false">'Black-Scholes'!$B$5*EXP(('Black-Scholes'!$B$8-'Black-Scholes'!$B$10-'Black-Scholes'!$B$9^2/2)*'Black-Scholes'!$B$7-'Black-Scholes'!$B$9*SQRT('Black-Scholes'!$B$7)*B1365)</f>
        <v>116.261206083283</v>
      </c>
      <c r="E1365" s="18" t="n">
        <f aca="false">EXP(-'Black-Scholes'!$B$8*'Black-Scholes'!$B$7)*IF(LOWER('Black-Scholes'!$B$11)="put",MAX('Black-Scholes'!$B$6-C1365,0),MAX(C1365-'Black-Scholes'!$B$6,0))</f>
        <v>0</v>
      </c>
      <c r="F1365" s="18" t="n">
        <f aca="false">(E1365+G1365)/2</f>
        <v>7.73406885214453</v>
      </c>
      <c r="G1365" s="18" t="n">
        <f aca="false">EXP(-'Black-Scholes'!$B$8*'Black-Scholes'!$B$7)*IF(LOWER('Black-Scholes'!$B$11)="put",MAX('Black-Scholes'!$B$6-D1365,0),MAX(D1365-'Black-Scholes'!$B$6,0))</f>
        <v>15.4681377042891</v>
      </c>
    </row>
    <row r="1366" customFormat="false" ht="15" hidden="false" customHeight="false" outlineLevel="0" collapsed="false">
      <c r="A1366" s="0" t="n">
        <v>1355</v>
      </c>
      <c r="B1366" s="15" t="n">
        <v>0.368084783930729</v>
      </c>
      <c r="C1366" s="18" t="n">
        <f aca="false">'Black-Scholes'!$B$5*EXP(('Black-Scholes'!$B$8-'Black-Scholes'!$B$10-'Black-Scholes'!$B$9^2/2)*'Black-Scholes'!$B$7+'Black-Scholes'!$B$9*SQRT('Black-Scholes'!$B$7)*B1366)</f>
        <v>110.91755113823</v>
      </c>
      <c r="D1366" s="18" t="n">
        <f aca="false">'Black-Scholes'!$B$5*EXP(('Black-Scholes'!$B$8-'Black-Scholes'!$B$10-'Black-Scholes'!$B$9^2/2)*'Black-Scholes'!$B$7-'Black-Scholes'!$B$9*SQRT('Black-Scholes'!$B$7)*B1366)</f>
        <v>95.7320582404541</v>
      </c>
      <c r="E1366" s="18" t="n">
        <f aca="false">EXP(-'Black-Scholes'!$B$8*'Black-Scholes'!$B$7)*IF(LOWER('Black-Scholes'!$B$11)="put",MAX('Black-Scholes'!$B$6-C1366,0),MAX(C1366-'Black-Scholes'!$B$6,0))</f>
        <v>10.3850958861758</v>
      </c>
      <c r="F1366" s="18" t="n">
        <f aca="false">(E1366+G1366)/2</f>
        <v>5.1925479430879</v>
      </c>
      <c r="G1366" s="18" t="n">
        <f aca="false">EXP(-'Black-Scholes'!$B$8*'Black-Scholes'!$B$7)*IF(LOWER('Black-Scholes'!$B$11)="put",MAX('Black-Scholes'!$B$6-D1366,0),MAX(D1366-'Black-Scholes'!$B$6,0))</f>
        <v>0</v>
      </c>
    </row>
    <row r="1367" customFormat="false" ht="15" hidden="false" customHeight="false" outlineLevel="0" collapsed="false">
      <c r="A1367" s="0" t="n">
        <v>1356</v>
      </c>
      <c r="B1367" s="15" t="n">
        <v>-0.0526931474183518</v>
      </c>
      <c r="C1367" s="18" t="n">
        <f aca="false">'Black-Scholes'!$B$5*EXP(('Black-Scholes'!$B$8-'Black-Scholes'!$B$10-'Black-Scholes'!$B$9^2/2)*'Black-Scholes'!$B$7+'Black-Scholes'!$B$9*SQRT('Black-Scholes'!$B$7)*B1367)</f>
        <v>101.965197747045</v>
      </c>
      <c r="D1367" s="18" t="n">
        <f aca="false">'Black-Scholes'!$B$5*EXP(('Black-Scholes'!$B$8-'Black-Scholes'!$B$10-'Black-Scholes'!$B$9^2/2)*'Black-Scholes'!$B$7-'Black-Scholes'!$B$9*SQRT('Black-Scholes'!$B$7)*B1367)</f>
        <v>104.137153657031</v>
      </c>
      <c r="E1367" s="18" t="n">
        <f aca="false">EXP(-'Black-Scholes'!$B$8*'Black-Scholes'!$B$7)*IF(LOWER('Black-Scholes'!$B$11)="put",MAX('Black-Scholes'!$B$6-C1367,0),MAX(C1367-'Black-Scholes'!$B$6,0))</f>
        <v>1.86935392195212</v>
      </c>
      <c r="F1367" s="18" t="n">
        <f aca="false">(E1367+G1367)/2</f>
        <v>2.90236810710025</v>
      </c>
      <c r="G1367" s="18" t="n">
        <f aca="false">EXP(-'Black-Scholes'!$B$8*'Black-Scholes'!$B$7)*IF(LOWER('Black-Scholes'!$B$11)="put",MAX('Black-Scholes'!$B$6-D1367,0),MAX(D1367-'Black-Scholes'!$B$6,0))</f>
        <v>3.93538229224839</v>
      </c>
    </row>
    <row r="1368" customFormat="false" ht="15" hidden="false" customHeight="false" outlineLevel="0" collapsed="false">
      <c r="A1368" s="0" t="n">
        <v>1357</v>
      </c>
      <c r="B1368" s="15" t="n">
        <v>0.907267639883829</v>
      </c>
      <c r="C1368" s="18" t="n">
        <f aca="false">'Black-Scholes'!$B$5*EXP(('Black-Scholes'!$B$8-'Black-Scholes'!$B$10-'Black-Scholes'!$B$9^2/2)*'Black-Scholes'!$B$7+'Black-Scholes'!$B$9*SQRT('Black-Scholes'!$B$7)*B1368)</f>
        <v>123.547254938557</v>
      </c>
      <c r="D1368" s="18" t="n">
        <f aca="false">'Black-Scholes'!$B$5*EXP(('Black-Scholes'!$B$8-'Black-Scholes'!$B$10-'Black-Scholes'!$B$9^2/2)*'Black-Scholes'!$B$7-'Black-Scholes'!$B$9*SQRT('Black-Scholes'!$B$7)*B1368)</f>
        <v>85.9457822088755</v>
      </c>
      <c r="E1368" s="18" t="n">
        <f aca="false">EXP(-'Black-Scholes'!$B$8*'Black-Scholes'!$B$7)*IF(LOWER('Black-Scholes'!$B$11)="put",MAX('Black-Scholes'!$B$6-C1368,0),MAX(C1368-'Black-Scholes'!$B$6,0))</f>
        <v>22.3988417637748</v>
      </c>
      <c r="F1368" s="18" t="n">
        <f aca="false">(E1368+G1368)/2</f>
        <v>11.1994208818874</v>
      </c>
      <c r="G1368" s="18" t="n">
        <f aca="false">EXP(-'Black-Scholes'!$B$8*'Black-Scholes'!$B$7)*IF(LOWER('Black-Scholes'!$B$11)="put",MAX('Black-Scholes'!$B$6-D1368,0),MAX(D1368-'Black-Scholes'!$B$6,0))</f>
        <v>0</v>
      </c>
    </row>
    <row r="1369" customFormat="false" ht="15" hidden="false" customHeight="false" outlineLevel="0" collapsed="false">
      <c r="A1369" s="0" t="n">
        <v>1358</v>
      </c>
      <c r="B1369" s="15" t="n">
        <v>-0.303064229179972</v>
      </c>
      <c r="C1369" s="18" t="n">
        <f aca="false">'Black-Scholes'!$B$5*EXP(('Black-Scholes'!$B$8-'Black-Scholes'!$B$10-'Black-Scholes'!$B$9^2/2)*'Black-Scholes'!$B$7+'Black-Scholes'!$B$9*SQRT('Black-Scholes'!$B$7)*B1369)</f>
        <v>96.9850982246967</v>
      </c>
      <c r="D1369" s="18" t="n">
        <f aca="false">'Black-Scholes'!$B$5*EXP(('Black-Scholes'!$B$8-'Black-Scholes'!$B$10-'Black-Scholes'!$B$9^2/2)*'Black-Scholes'!$B$7-'Black-Scholes'!$B$9*SQRT('Black-Scholes'!$B$7)*B1369)</f>
        <v>109.484504937581</v>
      </c>
      <c r="E1369" s="18" t="n">
        <f aca="false">EXP(-'Black-Scholes'!$B$8*'Black-Scholes'!$B$7)*IF(LOWER('Black-Scholes'!$B$11)="put",MAX('Black-Scholes'!$B$6-C1369,0),MAX(C1369-'Black-Scholes'!$B$6,0))</f>
        <v>0</v>
      </c>
      <c r="F1369" s="18" t="n">
        <f aca="false">(E1369+G1369)/2</f>
        <v>4.51097008672475</v>
      </c>
      <c r="G1369" s="18" t="n">
        <f aca="false">EXP(-'Black-Scholes'!$B$8*'Black-Scholes'!$B$7)*IF(LOWER('Black-Scholes'!$B$11)="put",MAX('Black-Scholes'!$B$6-D1369,0),MAX(D1369-'Black-Scholes'!$B$6,0))</f>
        <v>9.0219401734495</v>
      </c>
    </row>
    <row r="1370" customFormat="false" ht="15" hidden="false" customHeight="false" outlineLevel="0" collapsed="false">
      <c r="A1370" s="0" t="n">
        <v>1359</v>
      </c>
      <c r="B1370" s="15" t="n">
        <v>-0.313888662757978</v>
      </c>
      <c r="C1370" s="18" t="n">
        <f aca="false">'Black-Scholes'!$B$5*EXP(('Black-Scholes'!$B$8-'Black-Scholes'!$B$10-'Black-Scholes'!$B$9^2/2)*'Black-Scholes'!$B$7+'Black-Scholes'!$B$9*SQRT('Black-Scholes'!$B$7)*B1370)</f>
        <v>96.7753635817242</v>
      </c>
      <c r="D1370" s="18" t="n">
        <f aca="false">'Black-Scholes'!$B$5*EXP(('Black-Scholes'!$B$8-'Black-Scholes'!$B$10-'Black-Scholes'!$B$9^2/2)*'Black-Scholes'!$B$7-'Black-Scholes'!$B$9*SQRT('Black-Scholes'!$B$7)*B1370)</f>
        <v>109.721783235531</v>
      </c>
      <c r="E1370" s="18" t="n">
        <f aca="false">EXP(-'Black-Scholes'!$B$8*'Black-Scholes'!$B$7)*IF(LOWER('Black-Scholes'!$B$11)="put",MAX('Black-Scholes'!$B$6-C1370,0),MAX(C1370-'Black-Scholes'!$B$6,0))</f>
        <v>0</v>
      </c>
      <c r="F1370" s="18" t="n">
        <f aca="false">(E1370+G1370)/2</f>
        <v>4.62382313612722</v>
      </c>
      <c r="G1370" s="18" t="n">
        <f aca="false">EXP(-'Black-Scholes'!$B$8*'Black-Scholes'!$B$7)*IF(LOWER('Black-Scholes'!$B$11)="put",MAX('Black-Scholes'!$B$6-D1370,0),MAX(D1370-'Black-Scholes'!$B$6,0))</f>
        <v>9.24764627225443</v>
      </c>
    </row>
    <row r="1371" customFormat="false" ht="15" hidden="false" customHeight="false" outlineLevel="0" collapsed="false">
      <c r="A1371" s="0" t="n">
        <v>1360</v>
      </c>
      <c r="B1371" s="15" t="n">
        <v>-1.90980767423386</v>
      </c>
      <c r="C1371" s="18" t="n">
        <f aca="false">'Black-Scholes'!$B$5*EXP(('Black-Scholes'!$B$8-'Black-Scholes'!$B$10-'Black-Scholes'!$B$9^2/2)*'Black-Scholes'!$B$7+'Black-Scholes'!$B$9*SQRT('Black-Scholes'!$B$7)*B1371)</f>
        <v>70.3307174274277</v>
      </c>
      <c r="D1371" s="18" t="n">
        <f aca="false">'Black-Scholes'!$B$5*EXP(('Black-Scholes'!$B$8-'Black-Scholes'!$B$10-'Black-Scholes'!$B$9^2/2)*'Black-Scholes'!$B$7-'Black-Scholes'!$B$9*SQRT('Black-Scholes'!$B$7)*B1371)</f>
        <v>150.977636143274</v>
      </c>
      <c r="E1371" s="18" t="n">
        <f aca="false">EXP(-'Black-Scholes'!$B$8*'Black-Scholes'!$B$7)*IF(LOWER('Black-Scholes'!$B$11)="put",MAX('Black-Scholes'!$B$6-C1371,0),MAX(C1371-'Black-Scholes'!$B$6,0))</f>
        <v>0</v>
      </c>
      <c r="F1371" s="18" t="n">
        <f aca="false">(E1371+G1371)/2</f>
        <v>24.2457137454866</v>
      </c>
      <c r="G1371" s="18" t="n">
        <f aca="false">EXP(-'Black-Scholes'!$B$8*'Black-Scholes'!$B$7)*IF(LOWER('Black-Scholes'!$B$11)="put",MAX('Black-Scholes'!$B$6-D1371,0),MAX(D1371-'Black-Scholes'!$B$6,0))</f>
        <v>48.4914274909732</v>
      </c>
    </row>
    <row r="1372" customFormat="false" ht="15" hidden="false" customHeight="false" outlineLevel="0" collapsed="false">
      <c r="A1372" s="0" t="n">
        <v>1361</v>
      </c>
      <c r="B1372" s="15" t="n">
        <v>0.570125146677527</v>
      </c>
      <c r="C1372" s="18" t="n">
        <f aca="false">'Black-Scholes'!$B$5*EXP(('Black-Scholes'!$B$8-'Black-Scholes'!$B$10-'Black-Scholes'!$B$9^2/2)*'Black-Scholes'!$B$7+'Black-Scholes'!$B$9*SQRT('Black-Scholes'!$B$7)*B1372)</f>
        <v>115.491301486849</v>
      </c>
      <c r="D1372" s="18" t="n">
        <f aca="false">'Black-Scholes'!$B$5*EXP(('Black-Scholes'!$B$8-'Black-Scholes'!$B$10-'Black-Scholes'!$B$9^2/2)*'Black-Scholes'!$B$7-'Black-Scholes'!$B$9*SQRT('Black-Scholes'!$B$7)*B1372)</f>
        <v>91.9408243629736</v>
      </c>
      <c r="E1372" s="18" t="n">
        <f aca="false">EXP(-'Black-Scholes'!$B$8*'Black-Scholes'!$B$7)*IF(LOWER('Black-Scholes'!$B$11)="put",MAX('Black-Scholes'!$B$6-C1372,0),MAX(C1372-'Black-Scholes'!$B$6,0))</f>
        <v>14.7357817981022</v>
      </c>
      <c r="F1372" s="18" t="n">
        <f aca="false">(E1372+G1372)/2</f>
        <v>7.36789089905111</v>
      </c>
      <c r="G1372" s="18" t="n">
        <f aca="false">EXP(-'Black-Scholes'!$B$8*'Black-Scholes'!$B$7)*IF(LOWER('Black-Scholes'!$B$11)="put",MAX('Black-Scholes'!$B$6-D1372,0),MAX(D1372-'Black-Scholes'!$B$6,0))</f>
        <v>0</v>
      </c>
    </row>
    <row r="1373" customFormat="false" ht="15" hidden="false" customHeight="false" outlineLevel="0" collapsed="false">
      <c r="A1373" s="0" t="n">
        <v>1362</v>
      </c>
      <c r="B1373" s="15" t="n">
        <v>1.11791626304316</v>
      </c>
      <c r="C1373" s="18" t="n">
        <f aca="false">'Black-Scholes'!$B$5*EXP(('Black-Scholes'!$B$8-'Black-Scholes'!$B$10-'Black-Scholes'!$B$9^2/2)*'Black-Scholes'!$B$7+'Black-Scholes'!$B$9*SQRT('Black-Scholes'!$B$7)*B1373)</f>
        <v>128.863465721644</v>
      </c>
      <c r="D1373" s="18" t="n">
        <f aca="false">'Black-Scholes'!$B$5*EXP(('Black-Scholes'!$B$8-'Black-Scholes'!$B$10-'Black-Scholes'!$B$9^2/2)*'Black-Scholes'!$B$7-'Black-Scholes'!$B$9*SQRT('Black-Scholes'!$B$7)*B1373)</f>
        <v>82.4001233087287</v>
      </c>
      <c r="E1373" s="18" t="n">
        <f aca="false">EXP(-'Black-Scholes'!$B$8*'Black-Scholes'!$B$7)*IF(LOWER('Black-Scholes'!$B$11)="put",MAX('Black-Scholes'!$B$6-C1373,0),MAX(C1373-'Black-Scholes'!$B$6,0))</f>
        <v>27.4557778874955</v>
      </c>
      <c r="F1373" s="18" t="n">
        <f aca="false">(E1373+G1373)/2</f>
        <v>13.7278889437478</v>
      </c>
      <c r="G1373" s="18" t="n">
        <f aca="false">EXP(-'Black-Scholes'!$B$8*'Black-Scholes'!$B$7)*IF(LOWER('Black-Scholes'!$B$11)="put",MAX('Black-Scholes'!$B$6-D1373,0),MAX(D1373-'Black-Scholes'!$B$6,0))</f>
        <v>0</v>
      </c>
    </row>
    <row r="1374" customFormat="false" ht="15" hidden="false" customHeight="false" outlineLevel="0" collapsed="false">
      <c r="A1374" s="0" t="n">
        <v>1363</v>
      </c>
      <c r="B1374" s="15" t="n">
        <v>-0.609139422548527</v>
      </c>
      <c r="C1374" s="18" t="n">
        <f aca="false">'Black-Scholes'!$B$5*EXP(('Black-Scholes'!$B$8-'Black-Scholes'!$B$10-'Black-Scholes'!$B$9^2/2)*'Black-Scholes'!$B$7+'Black-Scholes'!$B$9*SQRT('Black-Scholes'!$B$7)*B1374)</f>
        <v>91.2262150480864</v>
      </c>
      <c r="D1374" s="18" t="n">
        <f aca="false">'Black-Scholes'!$B$5*EXP(('Black-Scholes'!$B$8-'Black-Scholes'!$B$10-'Black-Scholes'!$B$9^2/2)*'Black-Scholes'!$B$7-'Black-Scholes'!$B$9*SQRT('Black-Scholes'!$B$7)*B1374)</f>
        <v>116.395988366464</v>
      </c>
      <c r="E1374" s="18" t="n">
        <f aca="false">EXP(-'Black-Scholes'!$B$8*'Black-Scholes'!$B$7)*IF(LOWER('Black-Scholes'!$B$11)="put",MAX('Black-Scholes'!$B$6-C1374,0),MAX(C1374-'Black-Scholes'!$B$6,0))</f>
        <v>0</v>
      </c>
      <c r="F1374" s="18" t="n">
        <f aca="false">(E1374+G1374)/2</f>
        <v>7.79817328897594</v>
      </c>
      <c r="G1374" s="18" t="n">
        <f aca="false">EXP(-'Black-Scholes'!$B$8*'Black-Scholes'!$B$7)*IF(LOWER('Black-Scholes'!$B$11)="put",MAX('Black-Scholes'!$B$6-D1374,0),MAX(D1374-'Black-Scholes'!$B$6,0))</f>
        <v>15.5963465779519</v>
      </c>
    </row>
    <row r="1375" customFormat="false" ht="15" hidden="false" customHeight="false" outlineLevel="0" collapsed="false">
      <c r="A1375" s="0" t="n">
        <v>1364</v>
      </c>
      <c r="B1375" s="15" t="n">
        <v>-1.17506293844873</v>
      </c>
      <c r="C1375" s="18" t="n">
        <f aca="false">'Black-Scholes'!$B$5*EXP(('Black-Scholes'!$B$8-'Black-Scholes'!$B$10-'Black-Scholes'!$B$9^2/2)*'Black-Scholes'!$B$7+'Black-Scholes'!$B$9*SQRT('Black-Scholes'!$B$7)*B1375)</f>
        <v>81.4637061948284</v>
      </c>
      <c r="D1375" s="18" t="n">
        <f aca="false">'Black-Scholes'!$B$5*EXP(('Black-Scholes'!$B$8-'Black-Scholes'!$B$10-'Black-Scholes'!$B$9^2/2)*'Black-Scholes'!$B$7-'Black-Scholes'!$B$9*SQRT('Black-Scholes'!$B$7)*B1375)</f>
        <v>130.344738306636</v>
      </c>
      <c r="E1375" s="18" t="n">
        <f aca="false">EXP(-'Black-Scholes'!$B$8*'Black-Scholes'!$B$7)*IF(LOWER('Black-Scholes'!$B$11)="put",MAX('Black-Scholes'!$B$6-C1375,0),MAX(C1375-'Black-Scholes'!$B$6,0))</f>
        <v>0</v>
      </c>
      <c r="F1375" s="18" t="n">
        <f aca="false">(E1375+G1375)/2</f>
        <v>14.4324039780231</v>
      </c>
      <c r="G1375" s="18" t="n">
        <f aca="false">EXP(-'Black-Scholes'!$B$8*'Black-Scholes'!$B$7)*IF(LOWER('Black-Scholes'!$B$11)="put",MAX('Black-Scholes'!$B$6-D1375,0),MAX(D1375-'Black-Scholes'!$B$6,0))</f>
        <v>28.8648079560463</v>
      </c>
    </row>
    <row r="1376" customFormat="false" ht="15" hidden="false" customHeight="false" outlineLevel="0" collapsed="false">
      <c r="A1376" s="0" t="n">
        <v>1365</v>
      </c>
      <c r="B1376" s="15" t="n">
        <v>0.806422141587736</v>
      </c>
      <c r="C1376" s="18" t="n">
        <f aca="false">'Black-Scholes'!$B$5*EXP(('Black-Scholes'!$B$8-'Black-Scholes'!$B$10-'Black-Scholes'!$B$9^2/2)*'Black-Scholes'!$B$7+'Black-Scholes'!$B$9*SQRT('Black-Scholes'!$B$7)*B1376)</f>
        <v>121.080378999412</v>
      </c>
      <c r="D1376" s="18" t="n">
        <f aca="false">'Black-Scholes'!$B$5*EXP(('Black-Scholes'!$B$8-'Black-Scholes'!$B$10-'Black-Scholes'!$B$9^2/2)*'Black-Scholes'!$B$7-'Black-Scholes'!$B$9*SQRT('Black-Scholes'!$B$7)*B1376)</f>
        <v>87.6968304295213</v>
      </c>
      <c r="E1376" s="18" t="n">
        <f aca="false">EXP(-'Black-Scholes'!$B$8*'Black-Scholes'!$B$7)*IF(LOWER('Black-Scholes'!$B$11)="put",MAX('Black-Scholes'!$B$6-C1376,0),MAX(C1376-'Black-Scholes'!$B$6,0))</f>
        <v>20.0522767838676</v>
      </c>
      <c r="F1376" s="18" t="n">
        <f aca="false">(E1376+G1376)/2</f>
        <v>10.0261383919338</v>
      </c>
      <c r="G1376" s="18" t="n">
        <f aca="false">EXP(-'Black-Scholes'!$B$8*'Black-Scholes'!$B$7)*IF(LOWER('Black-Scholes'!$B$11)="put",MAX('Black-Scholes'!$B$6-D1376,0),MAX(D1376-'Black-Scholes'!$B$6,0))</f>
        <v>0</v>
      </c>
    </row>
    <row r="1377" customFormat="false" ht="15" hidden="false" customHeight="false" outlineLevel="0" collapsed="false">
      <c r="A1377" s="0" t="n">
        <v>1366</v>
      </c>
      <c r="B1377" s="15" t="n">
        <v>0.0958626548324095</v>
      </c>
      <c r="C1377" s="18" t="n">
        <f aca="false">'Black-Scholes'!$B$5*EXP(('Black-Scholes'!$B$8-'Black-Scholes'!$B$10-'Black-Scholes'!$B$9^2/2)*'Black-Scholes'!$B$7+'Black-Scholes'!$B$9*SQRT('Black-Scholes'!$B$7)*B1377)</f>
        <v>105.040156190398</v>
      </c>
      <c r="D1377" s="18" t="n">
        <f aca="false">'Black-Scholes'!$B$5*EXP(('Black-Scholes'!$B$8-'Black-Scholes'!$B$10-'Black-Scholes'!$B$9^2/2)*'Black-Scholes'!$B$7-'Black-Scholes'!$B$9*SQRT('Black-Scholes'!$B$7)*B1377)</f>
        <v>101.088629820833</v>
      </c>
      <c r="E1377" s="18" t="n">
        <f aca="false">EXP(-'Black-Scholes'!$B$8*'Black-Scholes'!$B$7)*IF(LOWER('Black-Scholes'!$B$11)="put",MAX('Black-Scholes'!$B$6-C1377,0),MAX(C1377-'Black-Scholes'!$B$6,0))</f>
        <v>4.79434487238595</v>
      </c>
      <c r="F1377" s="18" t="n">
        <f aca="false">(E1377+G1377)/2</f>
        <v>2.91494079517552</v>
      </c>
      <c r="G1377" s="18" t="n">
        <f aca="false">EXP(-'Black-Scholes'!$B$8*'Black-Scholes'!$B$7)*IF(LOWER('Black-Scholes'!$B$11)="put",MAX('Black-Scholes'!$B$6-D1377,0),MAX(D1377-'Black-Scholes'!$B$6,0))</f>
        <v>1.03553671796509</v>
      </c>
    </row>
    <row r="1378" customFormat="false" ht="15" hidden="false" customHeight="false" outlineLevel="0" collapsed="false">
      <c r="A1378" s="0" t="n">
        <v>1367</v>
      </c>
      <c r="B1378" s="15" t="n">
        <v>-2.42379859550565</v>
      </c>
      <c r="C1378" s="18" t="n">
        <f aca="false">'Black-Scholes'!$B$5*EXP(('Black-Scholes'!$B$8-'Black-Scholes'!$B$10-'Black-Scholes'!$B$9^2/2)*'Black-Scholes'!$B$7+'Black-Scholes'!$B$9*SQRT('Black-Scholes'!$B$7)*B1378)</f>
        <v>63.4600431992618</v>
      </c>
      <c r="D1378" s="18" t="n">
        <f aca="false">'Black-Scholes'!$B$5*EXP(('Black-Scholes'!$B$8-'Black-Scholes'!$B$10-'Black-Scholes'!$B$9^2/2)*'Black-Scholes'!$B$7-'Black-Scholes'!$B$9*SQRT('Black-Scholes'!$B$7)*B1378)</f>
        <v>167.323640674375</v>
      </c>
      <c r="E1378" s="18" t="n">
        <f aca="false">EXP(-'Black-Scholes'!$B$8*'Black-Scholes'!$B$7)*IF(LOWER('Black-Scholes'!$B$11)="put",MAX('Black-Scholes'!$B$6-C1378,0),MAX(C1378-'Black-Scholes'!$B$6,0))</f>
        <v>0</v>
      </c>
      <c r="F1378" s="18" t="n">
        <f aca="false">(E1378+G1378)/2</f>
        <v>32.0201139869893</v>
      </c>
      <c r="G1378" s="18" t="n">
        <f aca="false">EXP(-'Black-Scholes'!$B$8*'Black-Scholes'!$B$7)*IF(LOWER('Black-Scholes'!$B$11)="put",MAX('Black-Scholes'!$B$6-D1378,0),MAX(D1378-'Black-Scholes'!$B$6,0))</f>
        <v>64.0402279739786</v>
      </c>
    </row>
    <row r="1379" customFormat="false" ht="15" hidden="false" customHeight="false" outlineLevel="0" collapsed="false">
      <c r="A1379" s="0" t="n">
        <v>1368</v>
      </c>
      <c r="B1379" s="15" t="n">
        <v>1.1656636267365</v>
      </c>
      <c r="C1379" s="18" t="n">
        <f aca="false">'Black-Scholes'!$B$5*EXP(('Black-Scholes'!$B$8-'Black-Scholes'!$B$10-'Black-Scholes'!$B$9^2/2)*'Black-Scholes'!$B$7+'Black-Scholes'!$B$9*SQRT('Black-Scholes'!$B$7)*B1379)</f>
        <v>130.099938308797</v>
      </c>
      <c r="D1379" s="18" t="n">
        <f aca="false">'Black-Scholes'!$B$5*EXP(('Black-Scholes'!$B$8-'Black-Scholes'!$B$10-'Black-Scholes'!$B$9^2/2)*'Black-Scholes'!$B$7-'Black-Scholes'!$B$9*SQRT('Black-Scholes'!$B$7)*B1379)</f>
        <v>81.6169907801992</v>
      </c>
      <c r="E1379" s="18" t="n">
        <f aca="false">EXP(-'Black-Scholes'!$B$8*'Black-Scholes'!$B$7)*IF(LOWER('Black-Scholes'!$B$11)="put",MAX('Black-Scholes'!$B$6-C1379,0),MAX(C1379-'Black-Scholes'!$B$6,0))</f>
        <v>28.6319469949843</v>
      </c>
      <c r="F1379" s="18" t="n">
        <f aca="false">(E1379+G1379)/2</f>
        <v>14.3159734974922</v>
      </c>
      <c r="G1379" s="18" t="n">
        <f aca="false">EXP(-'Black-Scholes'!$B$8*'Black-Scholes'!$B$7)*IF(LOWER('Black-Scholes'!$B$11)="put",MAX('Black-Scholes'!$B$6-D1379,0),MAX(D1379-'Black-Scholes'!$B$6,0))</f>
        <v>0</v>
      </c>
    </row>
    <row r="1380" customFormat="false" ht="15" hidden="false" customHeight="false" outlineLevel="0" collapsed="false">
      <c r="A1380" s="0" t="n">
        <v>1369</v>
      </c>
      <c r="B1380" s="15" t="n">
        <v>1.48389505427334</v>
      </c>
      <c r="C1380" s="18" t="n">
        <f aca="false">'Black-Scholes'!$B$5*EXP(('Black-Scholes'!$B$8-'Black-Scholes'!$B$10-'Black-Scholes'!$B$9^2/2)*'Black-Scholes'!$B$7+'Black-Scholes'!$B$9*SQRT('Black-Scholes'!$B$7)*B1380)</f>
        <v>138.649504296768</v>
      </c>
      <c r="D1380" s="18" t="n">
        <f aca="false">'Black-Scholes'!$B$5*EXP(('Black-Scholes'!$B$8-'Black-Scholes'!$B$10-'Black-Scholes'!$B$9^2/2)*'Black-Scholes'!$B$7-'Black-Scholes'!$B$9*SQRT('Black-Scholes'!$B$7)*B1380)</f>
        <v>76.58422956007</v>
      </c>
      <c r="E1380" s="18" t="n">
        <f aca="false">EXP(-'Black-Scholes'!$B$8*'Black-Scholes'!$B$7)*IF(LOWER('Black-Scholes'!$B$11)="put",MAX('Black-Scholes'!$B$6-C1380,0),MAX(C1380-'Black-Scholes'!$B$6,0))</f>
        <v>36.7645457294525</v>
      </c>
      <c r="F1380" s="18" t="n">
        <f aca="false">(E1380+G1380)/2</f>
        <v>18.3822728647262</v>
      </c>
      <c r="G1380" s="18" t="n">
        <f aca="false">EXP(-'Black-Scholes'!$B$8*'Black-Scholes'!$B$7)*IF(LOWER('Black-Scholes'!$B$11)="put",MAX('Black-Scholes'!$B$6-D1380,0),MAX(D1380-'Black-Scholes'!$B$6,0))</f>
        <v>0</v>
      </c>
    </row>
    <row r="1381" customFormat="false" ht="15" hidden="false" customHeight="false" outlineLevel="0" collapsed="false">
      <c r="A1381" s="0" t="n">
        <v>1370</v>
      </c>
      <c r="B1381" s="15" t="n">
        <v>0.220713032822187</v>
      </c>
      <c r="C1381" s="18" t="n">
        <f aca="false">'Black-Scholes'!$B$5*EXP(('Black-Scholes'!$B$8-'Black-Scholes'!$B$10-'Black-Scholes'!$B$9^2/2)*'Black-Scholes'!$B$7+'Black-Scholes'!$B$9*SQRT('Black-Scholes'!$B$7)*B1381)</f>
        <v>107.696037616515</v>
      </c>
      <c r="D1381" s="18" t="n">
        <f aca="false">'Black-Scholes'!$B$5*EXP(('Black-Scholes'!$B$8-'Black-Scholes'!$B$10-'Black-Scholes'!$B$9^2/2)*'Black-Scholes'!$B$7-'Black-Scholes'!$B$9*SQRT('Black-Scholes'!$B$7)*B1381)</f>
        <v>98.5956930306349</v>
      </c>
      <c r="E1381" s="18" t="n">
        <f aca="false">EXP(-'Black-Scholes'!$B$8*'Black-Scholes'!$B$7)*IF(LOWER('Black-Scholes'!$B$11)="put",MAX('Black-Scholes'!$B$6-C1381,0),MAX(C1381-'Black-Scholes'!$B$6,0))</f>
        <v>7.32069743289314</v>
      </c>
      <c r="F1381" s="18" t="n">
        <f aca="false">(E1381+G1381)/2</f>
        <v>3.66034871644657</v>
      </c>
      <c r="G1381" s="18" t="n">
        <f aca="false">EXP(-'Black-Scholes'!$B$8*'Black-Scholes'!$B$7)*IF(LOWER('Black-Scholes'!$B$11)="put",MAX('Black-Scholes'!$B$6-D1381,0),MAX(D1381-'Black-Scholes'!$B$6,0))</f>
        <v>0</v>
      </c>
    </row>
    <row r="1382" customFormat="false" ht="15" hidden="false" customHeight="false" outlineLevel="0" collapsed="false">
      <c r="A1382" s="0" t="n">
        <v>1371</v>
      </c>
      <c r="B1382" s="15" t="n">
        <v>-0.330830330516141</v>
      </c>
      <c r="C1382" s="18" t="n">
        <f aca="false">'Black-Scholes'!$B$5*EXP(('Black-Scholes'!$B$8-'Black-Scholes'!$B$10-'Black-Scholes'!$B$9^2/2)*'Black-Scholes'!$B$7+'Black-Scholes'!$B$9*SQRT('Black-Scholes'!$B$7)*B1382)</f>
        <v>96.4480112729232</v>
      </c>
      <c r="D1382" s="18" t="n">
        <f aca="false">'Black-Scholes'!$B$5*EXP(('Black-Scholes'!$B$8-'Black-Scholes'!$B$10-'Black-Scholes'!$B$9^2/2)*'Black-Scholes'!$B$7-'Black-Scholes'!$B$9*SQRT('Black-Scholes'!$B$7)*B1382)</f>
        <v>110.094187794151</v>
      </c>
      <c r="E1382" s="18" t="n">
        <f aca="false">EXP(-'Black-Scholes'!$B$8*'Black-Scholes'!$B$7)*IF(LOWER('Black-Scholes'!$B$11)="put",MAX('Black-Scholes'!$B$6-C1382,0),MAX(C1382-'Black-Scholes'!$B$6,0))</f>
        <v>0</v>
      </c>
      <c r="F1382" s="18" t="n">
        <f aca="false">(E1382+G1382)/2</f>
        <v>4.80094422311616</v>
      </c>
      <c r="G1382" s="18" t="n">
        <f aca="false">EXP(-'Black-Scholes'!$B$8*'Black-Scholes'!$B$7)*IF(LOWER('Black-Scholes'!$B$11)="put",MAX('Black-Scholes'!$B$6-D1382,0),MAX(D1382-'Black-Scholes'!$B$6,0))</f>
        <v>9.60188844623232</v>
      </c>
    </row>
    <row r="1383" customFormat="false" ht="15" hidden="false" customHeight="false" outlineLevel="0" collapsed="false">
      <c r="A1383" s="0" t="n">
        <v>1372</v>
      </c>
      <c r="B1383" s="15" t="n">
        <v>1.03221539726716</v>
      </c>
      <c r="C1383" s="18" t="n">
        <f aca="false">'Black-Scholes'!$B$5*EXP(('Black-Scholes'!$B$8-'Black-Scholes'!$B$10-'Black-Scholes'!$B$9^2/2)*'Black-Scholes'!$B$7+'Black-Scholes'!$B$9*SQRT('Black-Scholes'!$B$7)*B1383)</f>
        <v>126.673545029383</v>
      </c>
      <c r="D1383" s="18" t="n">
        <f aca="false">'Black-Scholes'!$B$5*EXP(('Black-Scholes'!$B$8-'Black-Scholes'!$B$10-'Black-Scholes'!$B$9^2/2)*'Black-Scholes'!$B$7-'Black-Scholes'!$B$9*SQRT('Black-Scholes'!$B$7)*B1383)</f>
        <v>83.8246491245713</v>
      </c>
      <c r="E1383" s="18" t="n">
        <f aca="false">EXP(-'Black-Scholes'!$B$8*'Black-Scholes'!$B$7)*IF(LOWER('Black-Scholes'!$B$11)="put",MAX('Black-Scholes'!$B$6-C1383,0),MAX(C1383-'Black-Scholes'!$B$6,0))</f>
        <v>25.3726608876937</v>
      </c>
      <c r="F1383" s="18" t="n">
        <f aca="false">(E1383+G1383)/2</f>
        <v>12.6863304438469</v>
      </c>
      <c r="G1383" s="18" t="n">
        <f aca="false">EXP(-'Black-Scholes'!$B$8*'Black-Scholes'!$B$7)*IF(LOWER('Black-Scholes'!$B$11)="put",MAX('Black-Scholes'!$B$6-D1383,0),MAX(D1383-'Black-Scholes'!$B$6,0))</f>
        <v>0</v>
      </c>
    </row>
    <row r="1384" customFormat="false" ht="15" hidden="false" customHeight="false" outlineLevel="0" collapsed="false">
      <c r="A1384" s="0" t="n">
        <v>1373</v>
      </c>
      <c r="B1384" s="15" t="n">
        <v>-2.36715394807282</v>
      </c>
      <c r="C1384" s="18" t="n">
        <f aca="false">'Black-Scholes'!$B$5*EXP(('Black-Scholes'!$B$8-'Black-Scholes'!$B$10-'Black-Scholes'!$B$9^2/2)*'Black-Scholes'!$B$7+'Black-Scholes'!$B$9*SQRT('Black-Scholes'!$B$7)*B1384)</f>
        <v>64.1830653544019</v>
      </c>
      <c r="D1384" s="18" t="n">
        <f aca="false">'Black-Scholes'!$B$5*EXP(('Black-Scholes'!$B$8-'Black-Scholes'!$B$10-'Black-Scholes'!$B$9^2/2)*'Black-Scholes'!$B$7-'Black-Scholes'!$B$9*SQRT('Black-Scholes'!$B$7)*B1384)</f>
        <v>165.43874006051</v>
      </c>
      <c r="E1384" s="18" t="n">
        <f aca="false">EXP(-'Black-Scholes'!$B$8*'Black-Scholes'!$B$7)*IF(LOWER('Black-Scholes'!$B$11)="put",MAX('Black-Scholes'!$B$6-C1384,0),MAX(C1384-'Black-Scholes'!$B$6,0))</f>
        <v>0</v>
      </c>
      <c r="F1384" s="18" t="n">
        <f aca="false">(E1384+G1384)/2</f>
        <v>31.1236275239052</v>
      </c>
      <c r="G1384" s="18" t="n">
        <f aca="false">EXP(-'Black-Scholes'!$B$8*'Black-Scholes'!$B$7)*IF(LOWER('Black-Scholes'!$B$11)="put",MAX('Black-Scholes'!$B$6-D1384,0),MAX(D1384-'Black-Scholes'!$B$6,0))</f>
        <v>62.2472550478104</v>
      </c>
    </row>
    <row r="1385" customFormat="false" ht="15" hidden="false" customHeight="false" outlineLevel="0" collapsed="false">
      <c r="A1385" s="0" t="n">
        <v>1374</v>
      </c>
      <c r="B1385" s="15" t="n">
        <v>-0.758474285474021</v>
      </c>
      <c r="C1385" s="18" t="n">
        <f aca="false">'Black-Scholes'!$B$5*EXP(('Black-Scholes'!$B$8-'Black-Scholes'!$B$10-'Black-Scholes'!$B$9^2/2)*'Black-Scholes'!$B$7+'Black-Scholes'!$B$9*SQRT('Black-Scholes'!$B$7)*B1385)</f>
        <v>88.5418506460566</v>
      </c>
      <c r="D1385" s="18" t="n">
        <f aca="false">'Black-Scholes'!$B$5*EXP(('Black-Scholes'!$B$8-'Black-Scholes'!$B$10-'Black-Scholes'!$B$9^2/2)*'Black-Scholes'!$B$7-'Black-Scholes'!$B$9*SQRT('Black-Scholes'!$B$7)*B1385)</f>
        <v>119.924819596331</v>
      </c>
      <c r="E1385" s="18" t="n">
        <f aca="false">EXP(-'Black-Scholes'!$B$8*'Black-Scholes'!$B$7)*IF(LOWER('Black-Scholes'!$B$11)="put",MAX('Black-Scholes'!$B$6-C1385,0),MAX(C1385-'Black-Scholes'!$B$6,0))</f>
        <v>0</v>
      </c>
      <c r="F1385" s="18" t="n">
        <f aca="false">(E1385+G1385)/2</f>
        <v>9.47653733894911</v>
      </c>
      <c r="G1385" s="18" t="n">
        <f aca="false">EXP(-'Black-Scholes'!$B$8*'Black-Scholes'!$B$7)*IF(LOWER('Black-Scholes'!$B$11)="put",MAX('Black-Scholes'!$B$6-D1385,0),MAX(D1385-'Black-Scholes'!$B$6,0))</f>
        <v>18.9530746778982</v>
      </c>
    </row>
    <row r="1386" customFormat="false" ht="15" hidden="false" customHeight="false" outlineLevel="0" collapsed="false">
      <c r="A1386" s="0" t="n">
        <v>1375</v>
      </c>
      <c r="B1386" s="15" t="n">
        <v>-0.343230116538209</v>
      </c>
      <c r="C1386" s="18" t="n">
        <f aca="false">'Black-Scholes'!$B$5*EXP(('Black-Scholes'!$B$8-'Black-Scholes'!$B$10-'Black-Scholes'!$B$9^2/2)*'Black-Scholes'!$B$7+'Black-Scholes'!$B$9*SQRT('Black-Scholes'!$B$7)*B1386)</f>
        <v>96.2091206741815</v>
      </c>
      <c r="D1386" s="18" t="n">
        <f aca="false">'Black-Scholes'!$B$5*EXP(('Black-Scholes'!$B$8-'Black-Scholes'!$B$10-'Black-Scholes'!$B$9^2/2)*'Black-Scholes'!$B$7-'Black-Scholes'!$B$9*SQRT('Black-Scholes'!$B$7)*B1386)</f>
        <v>110.367555498334</v>
      </c>
      <c r="E1386" s="18" t="n">
        <f aca="false">EXP(-'Black-Scholes'!$B$8*'Black-Scholes'!$B$7)*IF(LOWER('Black-Scholes'!$B$11)="put",MAX('Black-Scholes'!$B$6-C1386,0),MAX(C1386-'Black-Scholes'!$B$6,0))</f>
        <v>0</v>
      </c>
      <c r="F1386" s="18" t="n">
        <f aca="false">(E1386+G1386)/2</f>
        <v>4.93096192507955</v>
      </c>
      <c r="G1386" s="18" t="n">
        <f aca="false">EXP(-'Black-Scholes'!$B$8*'Black-Scholes'!$B$7)*IF(LOWER('Black-Scholes'!$B$11)="put",MAX('Black-Scholes'!$B$6-D1386,0),MAX(D1386-'Black-Scholes'!$B$6,0))</f>
        <v>9.8619238501591</v>
      </c>
    </row>
    <row r="1387" customFormat="false" ht="15" hidden="false" customHeight="false" outlineLevel="0" collapsed="false">
      <c r="A1387" s="0" t="n">
        <v>1376</v>
      </c>
      <c r="B1387" s="15" t="n">
        <v>1.32411194835723</v>
      </c>
      <c r="C1387" s="18" t="n">
        <f aca="false">'Black-Scholes'!$B$5*EXP(('Black-Scholes'!$B$8-'Black-Scholes'!$B$10-'Black-Scholes'!$B$9^2/2)*'Black-Scholes'!$B$7+'Black-Scholes'!$B$9*SQRT('Black-Scholes'!$B$7)*B1387)</f>
        <v>134.288782675592</v>
      </c>
      <c r="D1387" s="18" t="n">
        <f aca="false">'Black-Scholes'!$B$5*EXP(('Black-Scholes'!$B$8-'Black-Scholes'!$B$10-'Black-Scholes'!$B$9^2/2)*'Black-Scholes'!$B$7-'Black-Scholes'!$B$9*SQRT('Black-Scholes'!$B$7)*B1387)</f>
        <v>79.071127564727</v>
      </c>
      <c r="E1387" s="18" t="n">
        <f aca="false">EXP(-'Black-Scholes'!$B$8*'Black-Scholes'!$B$7)*IF(LOWER('Black-Scholes'!$B$11)="put",MAX('Black-Scholes'!$B$6-C1387,0),MAX(C1387-'Black-Scholes'!$B$6,0))</f>
        <v>32.616499011333</v>
      </c>
      <c r="F1387" s="18" t="n">
        <f aca="false">(E1387+G1387)/2</f>
        <v>16.3082495056665</v>
      </c>
      <c r="G1387" s="18" t="n">
        <f aca="false">EXP(-'Black-Scholes'!$B$8*'Black-Scholes'!$B$7)*IF(LOWER('Black-Scholes'!$B$11)="put",MAX('Black-Scholes'!$B$6-D1387,0),MAX(D1387-'Black-Scholes'!$B$6,0))</f>
        <v>0</v>
      </c>
    </row>
    <row r="1388" customFormat="false" ht="15" hidden="false" customHeight="false" outlineLevel="0" collapsed="false">
      <c r="A1388" s="0" t="n">
        <v>1377</v>
      </c>
      <c r="B1388" s="15" t="n">
        <v>1.57933038542497</v>
      </c>
      <c r="C1388" s="18" t="n">
        <f aca="false">'Black-Scholes'!$B$5*EXP(('Black-Scholes'!$B$8-'Black-Scholes'!$B$10-'Black-Scholes'!$B$9^2/2)*'Black-Scholes'!$B$7+'Black-Scholes'!$B$9*SQRT('Black-Scholes'!$B$7)*B1388)</f>
        <v>141.321334149366</v>
      </c>
      <c r="D1388" s="18" t="n">
        <f aca="false">'Black-Scholes'!$B$5*EXP(('Black-Scholes'!$B$8-'Black-Scholes'!$B$10-'Black-Scholes'!$B$9^2/2)*'Black-Scholes'!$B$7-'Black-Scholes'!$B$9*SQRT('Black-Scholes'!$B$7)*B1388)</f>
        <v>75.1363233963728</v>
      </c>
      <c r="E1388" s="18" t="n">
        <f aca="false">EXP(-'Black-Scholes'!$B$8*'Black-Scholes'!$B$7)*IF(LOWER('Black-Scholes'!$B$11)="put",MAX('Black-Scholes'!$B$6-C1388,0),MAX(C1388-'Black-Scholes'!$B$6,0))</f>
        <v>39.3060689025028</v>
      </c>
      <c r="F1388" s="18" t="n">
        <f aca="false">(E1388+G1388)/2</f>
        <v>19.6530344512514</v>
      </c>
      <c r="G1388" s="18" t="n">
        <f aca="false">EXP(-'Black-Scholes'!$B$8*'Black-Scholes'!$B$7)*IF(LOWER('Black-Scholes'!$B$11)="put",MAX('Black-Scholes'!$B$6-D1388,0),MAX(D1388-'Black-Scholes'!$B$6,0))</f>
        <v>0</v>
      </c>
    </row>
    <row r="1389" customFormat="false" ht="15" hidden="false" customHeight="false" outlineLevel="0" collapsed="false">
      <c r="A1389" s="0" t="n">
        <v>1378</v>
      </c>
      <c r="B1389" s="15" t="n">
        <v>-0.594204463406363</v>
      </c>
      <c r="C1389" s="18" t="n">
        <f aca="false">'Black-Scholes'!$B$5*EXP(('Black-Scholes'!$B$8-'Black-Scholes'!$B$10-'Black-Scholes'!$B$9^2/2)*'Black-Scholes'!$B$7+'Black-Scholes'!$B$9*SQRT('Black-Scholes'!$B$7)*B1389)</f>
        <v>91.4991143781049</v>
      </c>
      <c r="D1389" s="18" t="n">
        <f aca="false">'Black-Scholes'!$B$5*EXP(('Black-Scholes'!$B$8-'Black-Scholes'!$B$10-'Black-Scholes'!$B$9^2/2)*'Black-Scholes'!$B$7-'Black-Scholes'!$B$9*SQRT('Black-Scholes'!$B$7)*B1389)</f>
        <v>116.048833233237</v>
      </c>
      <c r="E1389" s="18" t="n">
        <f aca="false">EXP(-'Black-Scholes'!$B$8*'Black-Scholes'!$B$7)*IF(LOWER('Black-Scholes'!$B$11)="put",MAX('Black-Scholes'!$B$6-C1389,0),MAX(C1389-'Black-Scholes'!$B$6,0))</f>
        <v>0</v>
      </c>
      <c r="F1389" s="18" t="n">
        <f aca="false">(E1389+G1389)/2</f>
        <v>7.63306120018013</v>
      </c>
      <c r="G1389" s="18" t="n">
        <f aca="false">EXP(-'Black-Scholes'!$B$8*'Black-Scholes'!$B$7)*IF(LOWER('Black-Scholes'!$B$11)="put",MAX('Black-Scholes'!$B$6-D1389,0),MAX(D1389-'Black-Scholes'!$B$6,0))</f>
        <v>15.2661224003603</v>
      </c>
    </row>
    <row r="1390" customFormat="false" ht="15" hidden="false" customHeight="false" outlineLevel="0" collapsed="false">
      <c r="A1390" s="0" t="n">
        <v>1379</v>
      </c>
      <c r="B1390" s="15" t="n">
        <v>-0.0253913197171497</v>
      </c>
      <c r="C1390" s="18" t="n">
        <f aca="false">'Black-Scholes'!$B$5*EXP(('Black-Scholes'!$B$8-'Black-Scholes'!$B$10-'Black-Scholes'!$B$9^2/2)*'Black-Scholes'!$B$7+'Black-Scholes'!$B$9*SQRT('Black-Scholes'!$B$7)*B1390)</f>
        <v>102.523487845991</v>
      </c>
      <c r="D1390" s="18" t="n">
        <f aca="false">'Black-Scholes'!$B$5*EXP(('Black-Scholes'!$B$8-'Black-Scholes'!$B$10-'Black-Scholes'!$B$9^2/2)*'Black-Scholes'!$B$7-'Black-Scholes'!$B$9*SQRT('Black-Scholes'!$B$7)*B1390)</f>
        <v>103.570076365372</v>
      </c>
      <c r="E1390" s="18" t="n">
        <f aca="false">EXP(-'Black-Scholes'!$B$8*'Black-Scholes'!$B$7)*IF(LOWER('Black-Scholes'!$B$11)="put",MAX('Black-Scholes'!$B$6-C1390,0),MAX(C1390-'Black-Scholes'!$B$6,0))</f>
        <v>2.40041589147651</v>
      </c>
      <c r="F1390" s="18" t="n">
        <f aca="false">(E1390+G1390)/2</f>
        <v>2.89818878896658</v>
      </c>
      <c r="G1390" s="18" t="n">
        <f aca="false">EXP(-'Black-Scholes'!$B$8*'Black-Scholes'!$B$7)*IF(LOWER('Black-Scholes'!$B$11)="put",MAX('Black-Scholes'!$B$6-D1390,0),MAX(D1390-'Black-Scholes'!$B$6,0))</f>
        <v>3.39596168645666</v>
      </c>
    </row>
    <row r="1391" customFormat="false" ht="15" hidden="false" customHeight="false" outlineLevel="0" collapsed="false">
      <c r="A1391" s="0" t="n">
        <v>1380</v>
      </c>
      <c r="B1391" s="15" t="n">
        <v>1.2978251765073</v>
      </c>
      <c r="C1391" s="18" t="n">
        <f aca="false">'Black-Scholes'!$B$5*EXP(('Black-Scholes'!$B$8-'Black-Scholes'!$B$10-'Black-Scholes'!$B$9^2/2)*'Black-Scholes'!$B$7+'Black-Scholes'!$B$9*SQRT('Black-Scholes'!$B$7)*B1391)</f>
        <v>133.584631564992</v>
      </c>
      <c r="D1391" s="18" t="n">
        <f aca="false">'Black-Scholes'!$B$5*EXP(('Black-Scholes'!$B$8-'Black-Scholes'!$B$10-'Black-Scholes'!$B$9^2/2)*'Black-Scholes'!$B$7-'Black-Scholes'!$B$9*SQRT('Black-Scholes'!$B$7)*B1391)</f>
        <v>79.4879271743736</v>
      </c>
      <c r="E1391" s="18" t="n">
        <f aca="false">EXP(-'Black-Scholes'!$B$8*'Black-Scholes'!$B$7)*IF(LOWER('Black-Scholes'!$B$11)="put",MAX('Black-Scholes'!$B$6-C1391,0),MAX(C1391-'Black-Scholes'!$B$6,0))</f>
        <v>31.9466897556357</v>
      </c>
      <c r="F1391" s="18" t="n">
        <f aca="false">(E1391+G1391)/2</f>
        <v>15.9733448778179</v>
      </c>
      <c r="G1391" s="18" t="n">
        <f aca="false">EXP(-'Black-Scholes'!$B$8*'Black-Scholes'!$B$7)*IF(LOWER('Black-Scholes'!$B$11)="put",MAX('Black-Scholes'!$B$6-D1391,0),MAX(D1391-'Black-Scholes'!$B$6,0))</f>
        <v>0</v>
      </c>
    </row>
    <row r="1392" customFormat="false" ht="15" hidden="false" customHeight="false" outlineLevel="0" collapsed="false">
      <c r="A1392" s="0" t="n">
        <v>1381</v>
      </c>
      <c r="B1392" s="15" t="n">
        <v>0.650285515879911</v>
      </c>
      <c r="C1392" s="18" t="n">
        <f aca="false">'Black-Scholes'!$B$5*EXP(('Black-Scholes'!$B$8-'Black-Scholes'!$B$10-'Black-Scholes'!$B$9^2/2)*'Black-Scholes'!$B$7+'Black-Scholes'!$B$9*SQRT('Black-Scholes'!$B$7)*B1392)</f>
        <v>117.357788410291</v>
      </c>
      <c r="D1392" s="18" t="n">
        <f aca="false">'Black-Scholes'!$B$5*EXP(('Black-Scholes'!$B$8-'Black-Scholes'!$B$10-'Black-Scholes'!$B$9^2/2)*'Black-Scholes'!$B$7-'Black-Scholes'!$B$9*SQRT('Black-Scholes'!$B$7)*B1392)</f>
        <v>90.4785750420849</v>
      </c>
      <c r="E1392" s="18" t="n">
        <f aca="false">EXP(-'Black-Scholes'!$B$8*'Black-Scholes'!$B$7)*IF(LOWER('Black-Scholes'!$B$11)="put",MAX('Black-Scholes'!$B$6-C1392,0),MAX(C1392-'Black-Scholes'!$B$6,0))</f>
        <v>16.5112390801259</v>
      </c>
      <c r="F1392" s="18" t="n">
        <f aca="false">(E1392+G1392)/2</f>
        <v>8.25561954006294</v>
      </c>
      <c r="G1392" s="18" t="n">
        <f aca="false">EXP(-'Black-Scholes'!$B$8*'Black-Scholes'!$B$7)*IF(LOWER('Black-Scholes'!$B$11)="put",MAX('Black-Scholes'!$B$6-D1392,0),MAX(D1392-'Black-Scholes'!$B$6,0))</f>
        <v>0</v>
      </c>
    </row>
    <row r="1393" customFormat="false" ht="15" hidden="false" customHeight="false" outlineLevel="0" collapsed="false">
      <c r="A1393" s="0" t="n">
        <v>1382</v>
      </c>
      <c r="B1393" s="15" t="n">
        <v>1.16656493572094</v>
      </c>
      <c r="C1393" s="18" t="n">
        <f aca="false">'Black-Scholes'!$B$5*EXP(('Black-Scholes'!$B$8-'Black-Scholes'!$B$10-'Black-Scholes'!$B$9^2/2)*'Black-Scholes'!$B$7+'Black-Scholes'!$B$9*SQRT('Black-Scholes'!$B$7)*B1393)</f>
        <v>130.123392471333</v>
      </c>
      <c r="D1393" s="18" t="n">
        <f aca="false">'Black-Scholes'!$B$5*EXP(('Black-Scholes'!$B$8-'Black-Scholes'!$B$10-'Black-Scholes'!$B$9^2/2)*'Black-Scholes'!$B$7-'Black-Scholes'!$B$9*SQRT('Black-Scholes'!$B$7)*B1393)</f>
        <v>81.602279680749</v>
      </c>
      <c r="E1393" s="18" t="n">
        <f aca="false">EXP(-'Black-Scholes'!$B$8*'Black-Scholes'!$B$7)*IF(LOWER('Black-Scholes'!$B$11)="put",MAX('Black-Scholes'!$B$6-C1393,0),MAX(C1393-'Black-Scholes'!$B$6,0))</f>
        <v>28.6542572845153</v>
      </c>
      <c r="F1393" s="18" t="n">
        <f aca="false">(E1393+G1393)/2</f>
        <v>14.3271286422577</v>
      </c>
      <c r="G1393" s="18" t="n">
        <f aca="false">EXP(-'Black-Scholes'!$B$8*'Black-Scholes'!$B$7)*IF(LOWER('Black-Scholes'!$B$11)="put",MAX('Black-Scholes'!$B$6-D1393,0),MAX(D1393-'Black-Scholes'!$B$6,0))</f>
        <v>0</v>
      </c>
    </row>
    <row r="1394" customFormat="false" ht="15" hidden="false" customHeight="false" outlineLevel="0" collapsed="false">
      <c r="A1394" s="0" t="n">
        <v>1383</v>
      </c>
      <c r="B1394" s="15" t="n">
        <v>0.334692686259263</v>
      </c>
      <c r="C1394" s="18" t="n">
        <f aca="false">'Black-Scholes'!$B$5*EXP(('Black-Scholes'!$B$8-'Black-Scholes'!$B$10-'Black-Scholes'!$B$9^2/2)*'Black-Scholes'!$B$7+'Black-Scholes'!$B$9*SQRT('Black-Scholes'!$B$7)*B1394)</f>
        <v>110.179265233556</v>
      </c>
      <c r="D1394" s="18" t="n">
        <f aca="false">'Black-Scholes'!$B$5*EXP(('Black-Scholes'!$B$8-'Black-Scholes'!$B$10-'Black-Scholes'!$B$9^2/2)*'Black-Scholes'!$B$7-'Black-Scholes'!$B$9*SQRT('Black-Scholes'!$B$7)*B1394)</f>
        <v>96.3735367352918</v>
      </c>
      <c r="E1394" s="18" t="n">
        <f aca="false">EXP(-'Black-Scholes'!$B$8*'Black-Scholes'!$B$7)*IF(LOWER('Black-Scholes'!$B$11)="put",MAX('Black-Scholes'!$B$6-C1394,0),MAX(C1394-'Black-Scholes'!$B$6,0))</f>
        <v>9.68281660995584</v>
      </c>
      <c r="F1394" s="18" t="n">
        <f aca="false">(E1394+G1394)/2</f>
        <v>4.84140830497792</v>
      </c>
      <c r="G1394" s="18" t="n">
        <f aca="false">EXP(-'Black-Scholes'!$B$8*'Black-Scholes'!$B$7)*IF(LOWER('Black-Scholes'!$B$11)="put",MAX('Black-Scholes'!$B$6-D1394,0),MAX(D1394-'Black-Scholes'!$B$6,0))</f>
        <v>0</v>
      </c>
    </row>
    <row r="1395" customFormat="false" ht="15" hidden="false" customHeight="false" outlineLevel="0" collapsed="false">
      <c r="A1395" s="0" t="n">
        <v>1384</v>
      </c>
      <c r="B1395" s="15" t="n">
        <v>0.358950286977574</v>
      </c>
      <c r="C1395" s="18" t="n">
        <f aca="false">'Black-Scholes'!$B$5*EXP(('Black-Scholes'!$B$8-'Black-Scholes'!$B$10-'Black-Scholes'!$B$9^2/2)*'Black-Scholes'!$B$7+'Black-Scholes'!$B$9*SQRT('Black-Scholes'!$B$7)*B1395)</f>
        <v>110.715100916047</v>
      </c>
      <c r="D1395" s="18" t="n">
        <f aca="false">'Black-Scholes'!$B$5*EXP(('Black-Scholes'!$B$8-'Black-Scholes'!$B$10-'Black-Scholes'!$B$9^2/2)*'Black-Scholes'!$B$7-'Black-Scholes'!$B$9*SQRT('Black-Scholes'!$B$7)*B1395)</f>
        <v>95.9071109324582</v>
      </c>
      <c r="E1395" s="18" t="n">
        <f aca="false">EXP(-'Black-Scholes'!$B$8*'Black-Scholes'!$B$7)*IF(LOWER('Black-Scholes'!$B$11)="put",MAX('Black-Scholes'!$B$6-C1395,0),MAX(C1395-'Black-Scholes'!$B$6,0))</f>
        <v>10.1925192778382</v>
      </c>
      <c r="F1395" s="18" t="n">
        <f aca="false">(E1395+G1395)/2</f>
        <v>5.09625963891909</v>
      </c>
      <c r="G1395" s="18" t="n">
        <f aca="false">EXP(-'Black-Scholes'!$B$8*'Black-Scholes'!$B$7)*IF(LOWER('Black-Scholes'!$B$11)="put",MAX('Black-Scholes'!$B$6-D1395,0),MAX(D1395-'Black-Scholes'!$B$6,0))</f>
        <v>0</v>
      </c>
    </row>
    <row r="1396" customFormat="false" ht="15" hidden="false" customHeight="false" outlineLevel="0" collapsed="false">
      <c r="A1396" s="0" t="n">
        <v>1385</v>
      </c>
      <c r="B1396" s="15" t="n">
        <v>0.591598952827149</v>
      </c>
      <c r="C1396" s="18" t="n">
        <f aca="false">'Black-Scholes'!$B$5*EXP(('Black-Scholes'!$B$8-'Black-Scholes'!$B$10-'Black-Scholes'!$B$9^2/2)*'Black-Scholes'!$B$7+'Black-Scholes'!$B$9*SQRT('Black-Scholes'!$B$7)*B1396)</f>
        <v>115.988375694342</v>
      </c>
      <c r="D1396" s="18" t="n">
        <f aca="false">'Black-Scholes'!$B$5*EXP(('Black-Scholes'!$B$8-'Black-Scholes'!$B$10-'Black-Scholes'!$B$9^2/2)*'Black-Scholes'!$B$7-'Black-Scholes'!$B$9*SQRT('Black-Scholes'!$B$7)*B1396)</f>
        <v>91.5468071855372</v>
      </c>
      <c r="E1396" s="18" t="n">
        <f aca="false">EXP(-'Black-Scholes'!$B$8*'Black-Scholes'!$B$7)*IF(LOWER('Black-Scholes'!$B$11)="put",MAX('Black-Scholes'!$B$6-C1396,0),MAX(C1396-'Black-Scholes'!$B$6,0))</f>
        <v>15.2086134104303</v>
      </c>
      <c r="F1396" s="18" t="n">
        <f aca="false">(E1396+G1396)/2</f>
        <v>7.60430670521515</v>
      </c>
      <c r="G1396" s="18" t="n">
        <f aca="false">EXP(-'Black-Scholes'!$B$8*'Black-Scholes'!$B$7)*IF(LOWER('Black-Scholes'!$B$11)="put",MAX('Black-Scholes'!$B$6-D1396,0),MAX(D1396-'Black-Scholes'!$B$6,0))</f>
        <v>0</v>
      </c>
    </row>
    <row r="1397" customFormat="false" ht="15" hidden="false" customHeight="false" outlineLevel="0" collapsed="false">
      <c r="A1397" s="0" t="n">
        <v>1386</v>
      </c>
      <c r="B1397" s="15" t="n">
        <v>0.268836716355957</v>
      </c>
      <c r="C1397" s="18" t="n">
        <f aca="false">'Black-Scholes'!$B$5*EXP(('Black-Scholes'!$B$8-'Black-Scholes'!$B$10-'Black-Scholes'!$B$9^2/2)*'Black-Scholes'!$B$7+'Black-Scholes'!$B$9*SQRT('Black-Scholes'!$B$7)*B1397)</f>
        <v>108.737587906217</v>
      </c>
      <c r="D1397" s="18" t="n">
        <f aca="false">'Black-Scholes'!$B$5*EXP(('Black-Scholes'!$B$8-'Black-Scholes'!$B$10-'Black-Scholes'!$B$9^2/2)*'Black-Scholes'!$B$7-'Black-Scholes'!$B$9*SQRT('Black-Scholes'!$B$7)*B1397)</f>
        <v>97.6512875622333</v>
      </c>
      <c r="E1397" s="18" t="n">
        <f aca="false">EXP(-'Black-Scholes'!$B$8*'Black-Scholes'!$B$7)*IF(LOWER('Black-Scholes'!$B$11)="put",MAX('Black-Scholes'!$B$6-C1397,0),MAX(C1397-'Black-Scholes'!$B$6,0))</f>
        <v>8.31145071555498</v>
      </c>
      <c r="F1397" s="18" t="n">
        <f aca="false">(E1397+G1397)/2</f>
        <v>4.15572535777749</v>
      </c>
      <c r="G1397" s="18" t="n">
        <f aca="false">EXP(-'Black-Scholes'!$B$8*'Black-Scholes'!$B$7)*IF(LOWER('Black-Scholes'!$B$11)="put",MAX('Black-Scholes'!$B$6-D1397,0),MAX(D1397-'Black-Scholes'!$B$6,0))</f>
        <v>0</v>
      </c>
    </row>
    <row r="1398" customFormat="false" ht="15" hidden="false" customHeight="false" outlineLevel="0" collapsed="false">
      <c r="A1398" s="0" t="n">
        <v>1387</v>
      </c>
      <c r="B1398" s="15" t="n">
        <v>1.58813555528871</v>
      </c>
      <c r="C1398" s="18" t="n">
        <f aca="false">'Black-Scholes'!$B$5*EXP(('Black-Scholes'!$B$8-'Black-Scholes'!$B$10-'Black-Scholes'!$B$9^2/2)*'Black-Scholes'!$B$7+'Black-Scholes'!$B$9*SQRT('Black-Scholes'!$B$7)*B1398)</f>
        <v>141.570425084302</v>
      </c>
      <c r="D1398" s="18" t="n">
        <f aca="false">'Black-Scholes'!$B$5*EXP(('Black-Scholes'!$B$8-'Black-Scholes'!$B$10-'Black-Scholes'!$B$9^2/2)*'Black-Scholes'!$B$7-'Black-Scholes'!$B$9*SQRT('Black-Scholes'!$B$7)*B1398)</f>
        <v>75.0041222178333</v>
      </c>
      <c r="E1398" s="18" t="n">
        <f aca="false">EXP(-'Black-Scholes'!$B$8*'Black-Scholes'!$B$7)*IF(LOWER('Black-Scholes'!$B$11)="put",MAX('Black-Scholes'!$B$6-C1398,0),MAX(C1398-'Black-Scholes'!$B$6,0))</f>
        <v>39.5430115291906</v>
      </c>
      <c r="F1398" s="18" t="n">
        <f aca="false">(E1398+G1398)/2</f>
        <v>19.7715057645953</v>
      </c>
      <c r="G1398" s="18" t="n">
        <f aca="false">EXP(-'Black-Scholes'!$B$8*'Black-Scholes'!$B$7)*IF(LOWER('Black-Scholes'!$B$11)="put",MAX('Black-Scholes'!$B$6-D1398,0),MAX(D1398-'Black-Scholes'!$B$6,0))</f>
        <v>0</v>
      </c>
    </row>
    <row r="1399" customFormat="false" ht="15" hidden="false" customHeight="false" outlineLevel="0" collapsed="false">
      <c r="A1399" s="0" t="n">
        <v>1388</v>
      </c>
      <c r="B1399" s="15" t="n">
        <v>1.56784648440895</v>
      </c>
      <c r="C1399" s="18" t="n">
        <f aca="false">'Black-Scholes'!$B$5*EXP(('Black-Scholes'!$B$8-'Black-Scholes'!$B$10-'Black-Scholes'!$B$9^2/2)*'Black-Scholes'!$B$7+'Black-Scholes'!$B$9*SQRT('Black-Scholes'!$B$7)*B1399)</f>
        <v>140.997122570692</v>
      </c>
      <c r="D1399" s="18" t="n">
        <f aca="false">'Black-Scholes'!$B$5*EXP(('Black-Scholes'!$B$8-'Black-Scholes'!$B$10-'Black-Scholes'!$B$9^2/2)*'Black-Scholes'!$B$7-'Black-Scholes'!$B$9*SQRT('Black-Scholes'!$B$7)*B1399)</f>
        <v>75.3090933478435</v>
      </c>
      <c r="E1399" s="18" t="n">
        <f aca="false">EXP(-'Black-Scholes'!$B$8*'Black-Scholes'!$B$7)*IF(LOWER('Black-Scholes'!$B$11)="put",MAX('Black-Scholes'!$B$6-C1399,0),MAX(C1399-'Black-Scholes'!$B$6,0))</f>
        <v>38.9976693091048</v>
      </c>
      <c r="F1399" s="18" t="n">
        <f aca="false">(E1399+G1399)/2</f>
        <v>19.4988346545524</v>
      </c>
      <c r="G1399" s="18" t="n">
        <f aca="false">EXP(-'Black-Scholes'!$B$8*'Black-Scholes'!$B$7)*IF(LOWER('Black-Scholes'!$B$11)="put",MAX('Black-Scholes'!$B$6-D1399,0),MAX(D1399-'Black-Scholes'!$B$6,0))</f>
        <v>0</v>
      </c>
    </row>
    <row r="1400" customFormat="false" ht="15" hidden="false" customHeight="false" outlineLevel="0" collapsed="false">
      <c r="A1400" s="0" t="n">
        <v>1389</v>
      </c>
      <c r="B1400" s="15" t="n">
        <v>-0.944461291008563</v>
      </c>
      <c r="C1400" s="18" t="n">
        <f aca="false">'Black-Scholes'!$B$5*EXP(('Black-Scholes'!$B$8-'Black-Scholes'!$B$10-'Black-Scholes'!$B$9^2/2)*'Black-Scholes'!$B$7+'Black-Scholes'!$B$9*SQRT('Black-Scholes'!$B$7)*B1400)</f>
        <v>85.3088267281874</v>
      </c>
      <c r="D1400" s="18" t="n">
        <f aca="false">'Black-Scholes'!$B$5*EXP(('Black-Scholes'!$B$8-'Black-Scholes'!$B$10-'Black-Scholes'!$B$9^2/2)*'Black-Scholes'!$B$7-'Black-Scholes'!$B$9*SQRT('Black-Scholes'!$B$7)*B1400)</f>
        <v>124.469716355214</v>
      </c>
      <c r="E1400" s="18" t="n">
        <f aca="false">EXP(-'Black-Scholes'!$B$8*'Black-Scholes'!$B$7)*IF(LOWER('Black-Scholes'!$B$11)="put",MAX('Black-Scholes'!$B$6-C1400,0),MAX(C1400-'Black-Scholes'!$B$6,0))</f>
        <v>0</v>
      </c>
      <c r="F1400" s="18" t="n">
        <f aca="false">(E1400+G1400)/2</f>
        <v>11.638157103133</v>
      </c>
      <c r="G1400" s="18" t="n">
        <f aca="false">EXP(-'Black-Scholes'!$B$8*'Black-Scholes'!$B$7)*IF(LOWER('Black-Scholes'!$B$11)="put",MAX('Black-Scholes'!$B$6-D1400,0),MAX(D1400-'Black-Scholes'!$B$6,0))</f>
        <v>23.2763142062661</v>
      </c>
    </row>
    <row r="1401" customFormat="false" ht="15" hidden="false" customHeight="false" outlineLevel="0" collapsed="false">
      <c r="A1401" s="0" t="n">
        <v>1390</v>
      </c>
      <c r="B1401" s="15" t="n">
        <v>0.697207945818358</v>
      </c>
      <c r="C1401" s="18" t="n">
        <f aca="false">'Black-Scholes'!$B$5*EXP(('Black-Scholes'!$B$8-'Black-Scholes'!$B$10-'Black-Scholes'!$B$9^2/2)*'Black-Scholes'!$B$7+'Black-Scholes'!$B$9*SQRT('Black-Scholes'!$B$7)*B1401)</f>
        <v>118.46431490151</v>
      </c>
      <c r="D1401" s="18" t="n">
        <f aca="false">'Black-Scholes'!$B$5*EXP(('Black-Scholes'!$B$8-'Black-Scholes'!$B$10-'Black-Scholes'!$B$9^2/2)*'Black-Scholes'!$B$7-'Black-Scholes'!$B$9*SQRT('Black-Scholes'!$B$7)*B1401)</f>
        <v>89.6334518481925</v>
      </c>
      <c r="E1401" s="18" t="n">
        <f aca="false">EXP(-'Black-Scholes'!$B$8*'Black-Scholes'!$B$7)*IF(LOWER('Black-Scholes'!$B$11)="put",MAX('Black-Scholes'!$B$6-C1401,0),MAX(C1401-'Black-Scholes'!$B$6,0))</f>
        <v>17.5637996375632</v>
      </c>
      <c r="F1401" s="18" t="n">
        <f aca="false">(E1401+G1401)/2</f>
        <v>8.78189981878161</v>
      </c>
      <c r="G1401" s="18" t="n">
        <f aca="false">EXP(-'Black-Scholes'!$B$8*'Black-Scholes'!$B$7)*IF(LOWER('Black-Scholes'!$B$11)="put",MAX('Black-Scholes'!$B$6-D1401,0),MAX(D1401-'Black-Scholes'!$B$6,0))</f>
        <v>0</v>
      </c>
    </row>
    <row r="1402" customFormat="false" ht="15" hidden="false" customHeight="false" outlineLevel="0" collapsed="false">
      <c r="A1402" s="0" t="n">
        <v>1391</v>
      </c>
      <c r="B1402" s="15" t="n">
        <v>-0.0747331259857729</v>
      </c>
      <c r="C1402" s="18" t="n">
        <f aca="false">'Black-Scholes'!$B$5*EXP(('Black-Scholes'!$B$8-'Black-Scholes'!$B$10-'Black-Scholes'!$B$9^2/2)*'Black-Scholes'!$B$7+'Black-Scholes'!$B$9*SQRT('Black-Scholes'!$B$7)*B1402)</f>
        <v>101.51672475214</v>
      </c>
      <c r="D1402" s="18" t="n">
        <f aca="false">'Black-Scholes'!$B$5*EXP(('Black-Scholes'!$B$8-'Black-Scholes'!$B$10-'Black-Scholes'!$B$9^2/2)*'Black-Scholes'!$B$7-'Black-Scholes'!$B$9*SQRT('Black-Scholes'!$B$7)*B1402)</f>
        <v>104.59720298679</v>
      </c>
      <c r="E1402" s="18" t="n">
        <f aca="false">EXP(-'Black-Scholes'!$B$8*'Black-Scholes'!$B$7)*IF(LOWER('Black-Scholes'!$B$11)="put",MAX('Black-Scholes'!$B$6-C1402,0),MAX(C1402-'Black-Scholes'!$B$6,0))</f>
        <v>1.4427532131038</v>
      </c>
      <c r="F1402" s="18" t="n">
        <f aca="false">(E1402+G1402)/2</f>
        <v>2.90787398227029</v>
      </c>
      <c r="G1402" s="18" t="n">
        <f aca="false">EXP(-'Black-Scholes'!$B$8*'Black-Scholes'!$B$7)*IF(LOWER('Black-Scholes'!$B$11)="put",MAX('Black-Scholes'!$B$6-D1402,0),MAX(D1402-'Black-Scholes'!$B$6,0))</f>
        <v>4.37299475143678</v>
      </c>
    </row>
    <row r="1403" customFormat="false" ht="15" hidden="false" customHeight="false" outlineLevel="0" collapsed="false">
      <c r="A1403" s="0" t="n">
        <v>1392</v>
      </c>
      <c r="B1403" s="15" t="n">
        <v>-1.15641651831975</v>
      </c>
      <c r="C1403" s="18" t="n">
        <f aca="false">'Black-Scholes'!$B$5*EXP(('Black-Scholes'!$B$8-'Black-Scholes'!$B$10-'Black-Scholes'!$B$9^2/2)*'Black-Scholes'!$B$7+'Black-Scholes'!$B$9*SQRT('Black-Scholes'!$B$7)*B1403)</f>
        <v>81.7680746785331</v>
      </c>
      <c r="D1403" s="18" t="n">
        <f aca="false">'Black-Scholes'!$B$5*EXP(('Black-Scholes'!$B$8-'Black-Scholes'!$B$10-'Black-Scholes'!$B$9^2/2)*'Black-Scholes'!$B$7-'Black-Scholes'!$B$9*SQRT('Black-Scholes'!$B$7)*B1403)</f>
        <v>129.859551019137</v>
      </c>
      <c r="E1403" s="18" t="n">
        <f aca="false">EXP(-'Black-Scholes'!$B$8*'Black-Scholes'!$B$7)*IF(LOWER('Black-Scholes'!$B$11)="put",MAX('Black-Scholes'!$B$6-C1403,0),MAX(C1403-'Black-Scholes'!$B$6,0))</f>
        <v>0</v>
      </c>
      <c r="F1403" s="18" t="n">
        <f aca="false">(E1403+G1403)/2</f>
        <v>14.2016417658918</v>
      </c>
      <c r="G1403" s="18" t="n">
        <f aca="false">EXP(-'Black-Scholes'!$B$8*'Black-Scholes'!$B$7)*IF(LOWER('Black-Scholes'!$B$11)="put",MAX('Black-Scholes'!$B$6-D1403,0),MAX(D1403-'Black-Scholes'!$B$6,0))</f>
        <v>28.4032835317836</v>
      </c>
    </row>
    <row r="1404" customFormat="false" ht="15" hidden="false" customHeight="false" outlineLevel="0" collapsed="false">
      <c r="A1404" s="0" t="n">
        <v>1393</v>
      </c>
      <c r="B1404" s="15" t="n">
        <v>-0.440124101491229</v>
      </c>
      <c r="C1404" s="18" t="n">
        <f aca="false">'Black-Scholes'!$B$5*EXP(('Black-Scholes'!$B$8-'Black-Scholes'!$B$10-'Black-Scholes'!$B$9^2/2)*'Black-Scholes'!$B$7+'Black-Scholes'!$B$9*SQRT('Black-Scholes'!$B$7)*B1404)</f>
        <v>94.3626526054328</v>
      </c>
      <c r="D1404" s="18" t="n">
        <f aca="false">'Black-Scholes'!$B$5*EXP(('Black-Scholes'!$B$8-'Black-Scholes'!$B$10-'Black-Scholes'!$B$9^2/2)*'Black-Scholes'!$B$7-'Black-Scholes'!$B$9*SQRT('Black-Scholes'!$B$7)*B1404)</f>
        <v>112.527204060839</v>
      </c>
      <c r="E1404" s="18" t="n">
        <f aca="false">EXP(-'Black-Scholes'!$B$8*'Black-Scholes'!$B$7)*IF(LOWER('Black-Scholes'!$B$11)="put",MAX('Black-Scholes'!$B$6-C1404,0),MAX(C1404-'Black-Scholes'!$B$6,0))</f>
        <v>0</v>
      </c>
      <c r="F1404" s="18" t="n">
        <f aca="false">(E1404+G1404)/2</f>
        <v>5.95812255469746</v>
      </c>
      <c r="G1404" s="18" t="n">
        <f aca="false">EXP(-'Black-Scholes'!$B$8*'Black-Scholes'!$B$7)*IF(LOWER('Black-Scholes'!$B$11)="put",MAX('Black-Scholes'!$B$6-D1404,0),MAX(D1404-'Black-Scholes'!$B$6,0))</f>
        <v>11.9162451093949</v>
      </c>
    </row>
    <row r="1405" customFormat="false" ht="15" hidden="false" customHeight="false" outlineLevel="0" collapsed="false">
      <c r="A1405" s="0" t="n">
        <v>1394</v>
      </c>
      <c r="B1405" s="15" t="n">
        <v>1.80819478962382</v>
      </c>
      <c r="C1405" s="18" t="n">
        <f aca="false">'Black-Scholes'!$B$5*EXP(('Black-Scholes'!$B$8-'Black-Scholes'!$B$10-'Black-Scholes'!$B$9^2/2)*'Black-Scholes'!$B$7+'Black-Scholes'!$B$9*SQRT('Black-Scholes'!$B$7)*B1405)</f>
        <v>147.94034880641</v>
      </c>
      <c r="D1405" s="18" t="n">
        <f aca="false">'Black-Scholes'!$B$5*EXP(('Black-Scholes'!$B$8-'Black-Scholes'!$B$10-'Black-Scholes'!$B$9^2/2)*'Black-Scholes'!$B$7-'Black-Scholes'!$B$9*SQRT('Black-Scholes'!$B$7)*B1405)</f>
        <v>71.7746412734802</v>
      </c>
      <c r="E1405" s="18" t="n">
        <f aca="false">EXP(-'Black-Scholes'!$B$8*'Black-Scholes'!$B$7)*IF(LOWER('Black-Scholes'!$B$11)="put",MAX('Black-Scholes'!$B$6-C1405,0),MAX(C1405-'Black-Scholes'!$B$6,0))</f>
        <v>45.6022704054847</v>
      </c>
      <c r="F1405" s="18" t="n">
        <f aca="false">(E1405+G1405)/2</f>
        <v>22.8011352027424</v>
      </c>
      <c r="G1405" s="18" t="n">
        <f aca="false">EXP(-'Black-Scholes'!$B$8*'Black-Scholes'!$B$7)*IF(LOWER('Black-Scholes'!$B$11)="put",MAX('Black-Scholes'!$B$6-D1405,0),MAX(D1405-'Black-Scholes'!$B$6,0))</f>
        <v>0</v>
      </c>
    </row>
    <row r="1406" customFormat="false" ht="15" hidden="false" customHeight="false" outlineLevel="0" collapsed="false">
      <c r="A1406" s="0" t="n">
        <v>1395</v>
      </c>
      <c r="B1406" s="15" t="n">
        <v>1.58052587845265</v>
      </c>
      <c r="C1406" s="18" t="n">
        <f aca="false">'Black-Scholes'!$B$5*EXP(('Black-Scholes'!$B$8-'Black-Scholes'!$B$10-'Black-Scholes'!$B$9^2/2)*'Black-Scholes'!$B$7+'Black-Scholes'!$B$9*SQRT('Black-Scholes'!$B$7)*B1406)</f>
        <v>141.355127923154</v>
      </c>
      <c r="D1406" s="18" t="n">
        <f aca="false">'Black-Scholes'!$B$5*EXP(('Black-Scholes'!$B$8-'Black-Scholes'!$B$10-'Black-Scholes'!$B$9^2/2)*'Black-Scholes'!$B$7-'Black-Scholes'!$B$9*SQRT('Black-Scholes'!$B$7)*B1406)</f>
        <v>75.1183605537544</v>
      </c>
      <c r="E1406" s="18" t="n">
        <f aca="false">EXP(-'Black-Scholes'!$B$8*'Black-Scholes'!$B$7)*IF(LOWER('Black-Scholes'!$B$11)="put",MAX('Black-Scholes'!$B$6-C1406,0),MAX(C1406-'Black-Scholes'!$B$6,0))</f>
        <v>39.3382145344956</v>
      </c>
      <c r="F1406" s="18" t="n">
        <f aca="false">(E1406+G1406)/2</f>
        <v>19.6691072672478</v>
      </c>
      <c r="G1406" s="18" t="n">
        <f aca="false">EXP(-'Black-Scholes'!$B$8*'Black-Scholes'!$B$7)*IF(LOWER('Black-Scholes'!$B$11)="put",MAX('Black-Scholes'!$B$6-D1406,0),MAX(D1406-'Black-Scholes'!$B$6,0))</f>
        <v>0</v>
      </c>
    </row>
    <row r="1407" customFormat="false" ht="15" hidden="false" customHeight="false" outlineLevel="0" collapsed="false">
      <c r="A1407" s="0" t="n">
        <v>1396</v>
      </c>
      <c r="B1407" s="15" t="n">
        <v>-1.61169959165133</v>
      </c>
      <c r="C1407" s="18" t="n">
        <f aca="false">'Black-Scholes'!$B$5*EXP(('Black-Scholes'!$B$8-'Black-Scholes'!$B$10-'Black-Scholes'!$B$9^2/2)*'Black-Scholes'!$B$7+'Black-Scholes'!$B$9*SQRT('Black-Scholes'!$B$7)*B1407)</f>
        <v>74.6514738797114</v>
      </c>
      <c r="D1407" s="18" t="n">
        <f aca="false">'Black-Scholes'!$B$5*EXP(('Black-Scholes'!$B$8-'Black-Scholes'!$B$10-'Black-Scholes'!$B$9^2/2)*'Black-Scholes'!$B$7-'Black-Scholes'!$B$9*SQRT('Black-Scholes'!$B$7)*B1407)</f>
        <v>142.239193864589</v>
      </c>
      <c r="E1407" s="18" t="n">
        <f aca="false">EXP(-'Black-Scholes'!$B$8*'Black-Scholes'!$B$7)*IF(LOWER('Black-Scholes'!$B$11)="put",MAX('Black-Scholes'!$B$6-C1407,0),MAX(C1407-'Black-Scholes'!$B$6,0))</f>
        <v>0</v>
      </c>
      <c r="F1407" s="18" t="n">
        <f aca="false">(E1407+G1407)/2</f>
        <v>20.0895820355937</v>
      </c>
      <c r="G1407" s="18" t="n">
        <f aca="false">EXP(-'Black-Scholes'!$B$8*'Black-Scholes'!$B$7)*IF(LOWER('Black-Scholes'!$B$11)="put",MAX('Black-Scholes'!$B$6-D1407,0),MAX(D1407-'Black-Scholes'!$B$6,0))</f>
        <v>40.1791640711874</v>
      </c>
    </row>
    <row r="1408" customFormat="false" ht="15" hidden="false" customHeight="false" outlineLevel="0" collapsed="false">
      <c r="A1408" s="0" t="n">
        <v>1397</v>
      </c>
      <c r="B1408" s="15" t="n">
        <v>2.56715807540614</v>
      </c>
      <c r="C1408" s="18" t="n">
        <f aca="false">'Black-Scholes'!$B$5*EXP(('Black-Scholes'!$B$8-'Black-Scholes'!$B$10-'Black-Scholes'!$B$9^2/2)*'Black-Scholes'!$B$7+'Black-Scholes'!$B$9*SQRT('Black-Scholes'!$B$7)*B1408)</f>
        <v>172.190565261305</v>
      </c>
      <c r="D1408" s="18" t="n">
        <f aca="false">'Black-Scholes'!$B$5*EXP(('Black-Scholes'!$B$8-'Black-Scholes'!$B$10-'Black-Scholes'!$B$9^2/2)*'Black-Scholes'!$B$7-'Black-Scholes'!$B$9*SQRT('Black-Scholes'!$B$7)*B1408)</f>
        <v>61.6663604613869</v>
      </c>
      <c r="E1408" s="18" t="n">
        <f aca="false">EXP(-'Black-Scholes'!$B$8*'Black-Scholes'!$B$7)*IF(LOWER('Black-Scholes'!$B$11)="put",MAX('Black-Scholes'!$B$6-C1408,0),MAX(C1408-'Black-Scholes'!$B$6,0))</f>
        <v>68.6697898478924</v>
      </c>
      <c r="F1408" s="18" t="n">
        <f aca="false">(E1408+G1408)/2</f>
        <v>34.3348949239462</v>
      </c>
      <c r="G1408" s="18" t="n">
        <f aca="false">EXP(-'Black-Scholes'!$B$8*'Black-Scholes'!$B$7)*IF(LOWER('Black-Scholes'!$B$11)="put",MAX('Black-Scholes'!$B$6-D1408,0),MAX(D1408-'Black-Scholes'!$B$6,0))</f>
        <v>0</v>
      </c>
    </row>
    <row r="1409" customFormat="false" ht="15" hidden="false" customHeight="false" outlineLevel="0" collapsed="false">
      <c r="A1409" s="0" t="n">
        <v>1398</v>
      </c>
      <c r="B1409" s="15" t="n">
        <v>-0.743862891759302</v>
      </c>
      <c r="C1409" s="18" t="n">
        <f aca="false">'Black-Scholes'!$B$5*EXP(('Black-Scholes'!$B$8-'Black-Scholes'!$B$10-'Black-Scholes'!$B$9^2/2)*'Black-Scholes'!$B$7+'Black-Scholes'!$B$9*SQRT('Black-Scholes'!$B$7)*B1409)</f>
        <v>88.800973043595</v>
      </c>
      <c r="D1409" s="18" t="n">
        <f aca="false">'Black-Scholes'!$B$5*EXP(('Black-Scholes'!$B$8-'Black-Scholes'!$B$10-'Black-Scholes'!$B$9^2/2)*'Black-Scholes'!$B$7-'Black-Scholes'!$B$9*SQRT('Black-Scholes'!$B$7)*B1409)</f>
        <v>119.574877408615</v>
      </c>
      <c r="E1409" s="18" t="n">
        <f aca="false">EXP(-'Black-Scholes'!$B$8*'Black-Scholes'!$B$7)*IF(LOWER('Black-Scholes'!$B$11)="put",MAX('Black-Scholes'!$B$6-C1409,0),MAX(C1409-'Black-Scholes'!$B$6,0))</f>
        <v>0</v>
      </c>
      <c r="F1409" s="18" t="n">
        <f aca="false">(E1409+G1409)/2</f>
        <v>9.31009968603444</v>
      </c>
      <c r="G1409" s="18" t="n">
        <f aca="false">EXP(-'Black-Scholes'!$B$8*'Black-Scholes'!$B$7)*IF(LOWER('Black-Scholes'!$B$11)="put",MAX('Black-Scholes'!$B$6-D1409,0),MAX(D1409-'Black-Scholes'!$B$6,0))</f>
        <v>18.6201993720689</v>
      </c>
    </row>
    <row r="1410" customFormat="false" ht="15" hidden="false" customHeight="false" outlineLevel="0" collapsed="false">
      <c r="A1410" s="0" t="n">
        <v>1399</v>
      </c>
      <c r="B1410" s="15" t="n">
        <v>-0.49790934744968</v>
      </c>
      <c r="C1410" s="18" t="n">
        <f aca="false">'Black-Scholes'!$B$5*EXP(('Black-Scholes'!$B$8-'Black-Scholes'!$B$10-'Black-Scholes'!$B$9^2/2)*'Black-Scholes'!$B$7+'Black-Scholes'!$B$9*SQRT('Black-Scholes'!$B$7)*B1410)</f>
        <v>93.2783763727469</v>
      </c>
      <c r="D1410" s="18" t="n">
        <f aca="false">'Black-Scholes'!$B$5*EXP(('Black-Scholes'!$B$8-'Black-Scholes'!$B$10-'Black-Scholes'!$B$9^2/2)*'Black-Scholes'!$B$7-'Black-Scholes'!$B$9*SQRT('Black-Scholes'!$B$7)*B1410)</f>
        <v>113.835230397041</v>
      </c>
      <c r="E1410" s="18" t="n">
        <f aca="false">EXP(-'Black-Scholes'!$B$8*'Black-Scholes'!$B$7)*IF(LOWER('Black-Scholes'!$B$11)="put",MAX('Black-Scholes'!$B$6-C1410,0),MAX(C1410-'Black-Scholes'!$B$6,0))</f>
        <v>0</v>
      </c>
      <c r="F1410" s="18" t="n">
        <f aca="false">(E1410+G1410)/2</f>
        <v>6.58023912420628</v>
      </c>
      <c r="G1410" s="18" t="n">
        <f aca="false">EXP(-'Black-Scholes'!$B$8*'Black-Scholes'!$B$7)*IF(LOWER('Black-Scholes'!$B$11)="put",MAX('Black-Scholes'!$B$6-D1410,0),MAX(D1410-'Black-Scholes'!$B$6,0))</f>
        <v>13.1604782484126</v>
      </c>
    </row>
    <row r="1411" customFormat="false" ht="15" hidden="false" customHeight="false" outlineLevel="0" collapsed="false">
      <c r="A1411" s="0" t="n">
        <v>1400</v>
      </c>
      <c r="B1411" s="15" t="n">
        <v>0.23968149990964</v>
      </c>
      <c r="C1411" s="18" t="n">
        <f aca="false">'Black-Scholes'!$B$5*EXP(('Black-Scholes'!$B$8-'Black-Scholes'!$B$10-'Black-Scholes'!$B$9^2/2)*'Black-Scholes'!$B$7+'Black-Scholes'!$B$9*SQRT('Black-Scholes'!$B$7)*B1411)</f>
        <v>108.105379333057</v>
      </c>
      <c r="D1411" s="18" t="n">
        <f aca="false">'Black-Scholes'!$B$5*EXP(('Black-Scholes'!$B$8-'Black-Scholes'!$B$10-'Black-Scholes'!$B$9^2/2)*'Black-Scholes'!$B$7-'Black-Scholes'!$B$9*SQRT('Black-Scholes'!$B$7)*B1411)</f>
        <v>98.2223598026507</v>
      </c>
      <c r="E1411" s="18" t="n">
        <f aca="false">EXP(-'Black-Scholes'!$B$8*'Black-Scholes'!$B$7)*IF(LOWER('Black-Scholes'!$B$11)="put",MAX('Black-Scholes'!$B$6-C1411,0),MAX(C1411-'Black-Scholes'!$B$6,0))</f>
        <v>7.71007531834406</v>
      </c>
      <c r="F1411" s="18" t="n">
        <f aca="false">(E1411+G1411)/2</f>
        <v>3.85503765917203</v>
      </c>
      <c r="G1411" s="18" t="n">
        <f aca="false">EXP(-'Black-Scholes'!$B$8*'Black-Scholes'!$B$7)*IF(LOWER('Black-Scholes'!$B$11)="put",MAX('Black-Scholes'!$B$6-D1411,0),MAX(D1411-'Black-Scholes'!$B$6,0))</f>
        <v>0</v>
      </c>
    </row>
    <row r="1412" customFormat="false" ht="15" hidden="false" customHeight="false" outlineLevel="0" collapsed="false">
      <c r="A1412" s="0" t="n">
        <v>1401</v>
      </c>
      <c r="B1412" s="15" t="n">
        <v>0.555345302873646</v>
      </c>
      <c r="C1412" s="18" t="n">
        <f aca="false">'Black-Scholes'!$B$5*EXP(('Black-Scholes'!$B$8-'Black-Scholes'!$B$10-'Black-Scholes'!$B$9^2/2)*'Black-Scholes'!$B$7+'Black-Scholes'!$B$9*SQRT('Black-Scholes'!$B$7)*B1412)</f>
        <v>115.150416877854</v>
      </c>
      <c r="D1412" s="18" t="n">
        <f aca="false">'Black-Scholes'!$B$5*EXP(('Black-Scholes'!$B$8-'Black-Scholes'!$B$10-'Black-Scholes'!$B$9^2/2)*'Black-Scholes'!$B$7-'Black-Scholes'!$B$9*SQRT('Black-Scholes'!$B$7)*B1412)</f>
        <v>92.2130006417353</v>
      </c>
      <c r="E1412" s="18" t="n">
        <f aca="false">EXP(-'Black-Scholes'!$B$8*'Black-Scholes'!$B$7)*IF(LOWER('Black-Scholes'!$B$11)="put",MAX('Black-Scholes'!$B$6-C1412,0),MAX(C1412-'Black-Scholes'!$B$6,0))</f>
        <v>14.4115223276666</v>
      </c>
      <c r="F1412" s="18" t="n">
        <f aca="false">(E1412+G1412)/2</f>
        <v>7.20576116383328</v>
      </c>
      <c r="G1412" s="18" t="n">
        <f aca="false">EXP(-'Black-Scholes'!$B$8*'Black-Scholes'!$B$7)*IF(LOWER('Black-Scholes'!$B$11)="put",MAX('Black-Scholes'!$B$6-D1412,0),MAX(D1412-'Black-Scholes'!$B$6,0))</f>
        <v>0</v>
      </c>
    </row>
    <row r="1413" customFormat="false" ht="15" hidden="false" customHeight="false" outlineLevel="0" collapsed="false">
      <c r="A1413" s="0" t="n">
        <v>1402</v>
      </c>
      <c r="B1413" s="15" t="n">
        <v>0.407476335122636</v>
      </c>
      <c r="C1413" s="18" t="n">
        <f aca="false">'Black-Scholes'!$B$5*EXP(('Black-Scholes'!$B$8-'Black-Scholes'!$B$10-'Black-Scholes'!$B$9^2/2)*'Black-Scholes'!$B$7+'Black-Scholes'!$B$9*SQRT('Black-Scholes'!$B$7)*B1413)</f>
        <v>111.79484527704</v>
      </c>
      <c r="D1413" s="18" t="n">
        <f aca="false">'Black-Scholes'!$B$5*EXP(('Black-Scholes'!$B$8-'Black-Scholes'!$B$10-'Black-Scholes'!$B$9^2/2)*'Black-Scholes'!$B$7-'Black-Scholes'!$B$9*SQRT('Black-Scholes'!$B$7)*B1413)</f>
        <v>94.9808145370217</v>
      </c>
      <c r="E1413" s="18" t="n">
        <f aca="false">EXP(-'Black-Scholes'!$B$8*'Black-Scholes'!$B$7)*IF(LOWER('Black-Scholes'!$B$11)="put",MAX('Black-Scholes'!$B$6-C1413,0),MAX(C1413-'Black-Scholes'!$B$6,0))</f>
        <v>11.219603884954</v>
      </c>
      <c r="F1413" s="18" t="n">
        <f aca="false">(E1413+G1413)/2</f>
        <v>5.60980194247698</v>
      </c>
      <c r="G1413" s="18" t="n">
        <f aca="false">EXP(-'Black-Scholes'!$B$8*'Black-Scholes'!$B$7)*IF(LOWER('Black-Scholes'!$B$11)="put",MAX('Black-Scholes'!$B$6-D1413,0),MAX(D1413-'Black-Scholes'!$B$6,0))</f>
        <v>0</v>
      </c>
    </row>
    <row r="1414" customFormat="false" ht="15" hidden="false" customHeight="false" outlineLevel="0" collapsed="false">
      <c r="A1414" s="0" t="n">
        <v>1403</v>
      </c>
      <c r="B1414" s="15" t="n">
        <v>-0.312360611943317</v>
      </c>
      <c r="C1414" s="18" t="n">
        <f aca="false">'Black-Scholes'!$B$5*EXP(('Black-Scholes'!$B$8-'Black-Scholes'!$B$10-'Black-Scholes'!$B$9^2/2)*'Black-Scholes'!$B$7+'Black-Scholes'!$B$9*SQRT('Black-Scholes'!$B$7)*B1414)</f>
        <v>96.8049436361086</v>
      </c>
      <c r="D1414" s="18" t="n">
        <f aca="false">'Black-Scholes'!$B$5*EXP(('Black-Scholes'!$B$8-'Black-Scholes'!$B$10-'Black-Scholes'!$B$9^2/2)*'Black-Scholes'!$B$7-'Black-Scholes'!$B$9*SQRT('Black-Scholes'!$B$7)*B1414)</f>
        <v>109.688256266831</v>
      </c>
      <c r="E1414" s="18" t="n">
        <f aca="false">EXP(-'Black-Scholes'!$B$8*'Black-Scholes'!$B$7)*IF(LOWER('Black-Scholes'!$B$11)="put",MAX('Black-Scholes'!$B$6-C1414,0),MAX(C1414-'Black-Scholes'!$B$6,0))</f>
        <v>0</v>
      </c>
      <c r="F1414" s="18" t="n">
        <f aca="false">(E1414+G1414)/2</f>
        <v>4.60787721655647</v>
      </c>
      <c r="G1414" s="18" t="n">
        <f aca="false">EXP(-'Black-Scholes'!$B$8*'Black-Scholes'!$B$7)*IF(LOWER('Black-Scholes'!$B$11)="put",MAX('Black-Scholes'!$B$6-D1414,0),MAX(D1414-'Black-Scholes'!$B$6,0))</f>
        <v>9.21575443311294</v>
      </c>
    </row>
    <row r="1415" customFormat="false" ht="15" hidden="false" customHeight="false" outlineLevel="0" collapsed="false">
      <c r="A1415" s="0" t="n">
        <v>1404</v>
      </c>
      <c r="B1415" s="15" t="n">
        <v>0.429440736042313</v>
      </c>
      <c r="C1415" s="18" t="n">
        <f aca="false">'Black-Scholes'!$B$5*EXP(('Black-Scholes'!$B$8-'Black-Scholes'!$B$10-'Black-Scholes'!$B$9^2/2)*'Black-Scholes'!$B$7+'Black-Scholes'!$B$9*SQRT('Black-Scholes'!$B$7)*B1415)</f>
        <v>112.287026893474</v>
      </c>
      <c r="D1415" s="18" t="n">
        <f aca="false">'Black-Scholes'!$B$5*EXP(('Black-Scholes'!$B$8-'Black-Scholes'!$B$10-'Black-Scholes'!$B$9^2/2)*'Black-Scholes'!$B$7-'Black-Scholes'!$B$9*SQRT('Black-Scholes'!$B$7)*B1415)</f>
        <v>94.5644902997316</v>
      </c>
      <c r="E1415" s="18" t="n">
        <f aca="false">EXP(-'Black-Scholes'!$B$8*'Black-Scholes'!$B$7)*IF(LOWER('Black-Scholes'!$B$11)="put",MAX('Black-Scholes'!$B$6-C1415,0),MAX(C1415-'Black-Scholes'!$B$6,0))</f>
        <v>11.6877815207038</v>
      </c>
      <c r="F1415" s="18" t="n">
        <f aca="false">(E1415+G1415)/2</f>
        <v>5.84389076035188</v>
      </c>
      <c r="G1415" s="18" t="n">
        <f aca="false">EXP(-'Black-Scholes'!$B$8*'Black-Scholes'!$B$7)*IF(LOWER('Black-Scholes'!$B$11)="put",MAX('Black-Scholes'!$B$6-D1415,0),MAX(D1415-'Black-Scholes'!$B$6,0))</f>
        <v>0</v>
      </c>
    </row>
    <row r="1416" customFormat="false" ht="15" hidden="false" customHeight="false" outlineLevel="0" collapsed="false">
      <c r="A1416" s="0" t="n">
        <v>1405</v>
      </c>
      <c r="B1416" s="15" t="n">
        <v>0.491753175420534</v>
      </c>
      <c r="C1416" s="18" t="n">
        <f aca="false">'Black-Scholes'!$B$5*EXP(('Black-Scholes'!$B$8-'Black-Scholes'!$B$10-'Black-Scholes'!$B$9^2/2)*'Black-Scholes'!$B$7+'Black-Scholes'!$B$9*SQRT('Black-Scholes'!$B$7)*B1416)</f>
        <v>113.695158792965</v>
      </c>
      <c r="D1416" s="18" t="n">
        <f aca="false">'Black-Scholes'!$B$5*EXP(('Black-Scholes'!$B$8-'Black-Scholes'!$B$10-'Black-Scholes'!$B$9^2/2)*'Black-Scholes'!$B$7-'Black-Scholes'!$B$9*SQRT('Black-Scholes'!$B$7)*B1416)</f>
        <v>93.3932946502081</v>
      </c>
      <c r="E1416" s="18" t="n">
        <f aca="false">EXP(-'Black-Scholes'!$B$8*'Black-Scholes'!$B$7)*IF(LOWER('Black-Scholes'!$B$11)="put",MAX('Black-Scholes'!$B$6-C1416,0),MAX(C1416-'Black-Scholes'!$B$6,0))</f>
        <v>13.0272380170782</v>
      </c>
      <c r="F1416" s="18" t="n">
        <f aca="false">(E1416+G1416)/2</f>
        <v>6.51361900853912</v>
      </c>
      <c r="G1416" s="18" t="n">
        <f aca="false">EXP(-'Black-Scholes'!$B$8*'Black-Scholes'!$B$7)*IF(LOWER('Black-Scholes'!$B$11)="put",MAX('Black-Scholes'!$B$6-D1416,0),MAX(D1416-'Black-Scholes'!$B$6,0))</f>
        <v>0</v>
      </c>
    </row>
    <row r="1417" customFormat="false" ht="15" hidden="false" customHeight="false" outlineLevel="0" collapsed="false">
      <c r="A1417" s="0" t="n">
        <v>1406</v>
      </c>
      <c r="B1417" s="15" t="n">
        <v>1.36863260983802</v>
      </c>
      <c r="C1417" s="18" t="n">
        <f aca="false">'Black-Scholes'!$B$5*EXP(('Black-Scholes'!$B$8-'Black-Scholes'!$B$10-'Black-Scholes'!$B$9^2/2)*'Black-Scholes'!$B$7+'Black-Scholes'!$B$9*SQRT('Black-Scholes'!$B$7)*B1417)</f>
        <v>135.489847045067</v>
      </c>
      <c r="D1417" s="18" t="n">
        <f aca="false">'Black-Scholes'!$B$5*EXP(('Black-Scholes'!$B$8-'Black-Scholes'!$B$10-'Black-Scholes'!$B$9^2/2)*'Black-Scholes'!$B$7-'Black-Scholes'!$B$9*SQRT('Black-Scholes'!$B$7)*B1417)</f>
        <v>78.3701930220771</v>
      </c>
      <c r="E1417" s="18" t="n">
        <f aca="false">EXP(-'Black-Scholes'!$B$8*'Black-Scholes'!$B$7)*IF(LOWER('Black-Scholes'!$B$11)="put",MAX('Black-Scholes'!$B$6-C1417,0),MAX(C1417-'Black-Scholes'!$B$6,0))</f>
        <v>33.7589867802974</v>
      </c>
      <c r="F1417" s="18" t="n">
        <f aca="false">(E1417+G1417)/2</f>
        <v>16.8794933901487</v>
      </c>
      <c r="G1417" s="18" t="n">
        <f aca="false">EXP(-'Black-Scholes'!$B$8*'Black-Scholes'!$B$7)*IF(LOWER('Black-Scholes'!$B$11)="put",MAX('Black-Scholes'!$B$6-D1417,0),MAX(D1417-'Black-Scholes'!$B$6,0))</f>
        <v>0</v>
      </c>
    </row>
    <row r="1418" customFormat="false" ht="15" hidden="false" customHeight="false" outlineLevel="0" collapsed="false">
      <c r="A1418" s="0" t="n">
        <v>1407</v>
      </c>
      <c r="B1418" s="15" t="n">
        <v>0.61909671393791</v>
      </c>
      <c r="C1418" s="18" t="n">
        <f aca="false">'Black-Scholes'!$B$5*EXP(('Black-Scholes'!$B$8-'Black-Scholes'!$B$10-'Black-Scholes'!$B$9^2/2)*'Black-Scholes'!$B$7+'Black-Scholes'!$B$9*SQRT('Black-Scholes'!$B$7)*B1418)</f>
        <v>116.628017082077</v>
      </c>
      <c r="D1418" s="18" t="n">
        <f aca="false">'Black-Scholes'!$B$5*EXP(('Black-Scholes'!$B$8-'Black-Scholes'!$B$10-'Black-Scholes'!$B$9^2/2)*'Black-Scholes'!$B$7-'Black-Scholes'!$B$9*SQRT('Black-Scholes'!$B$7)*B1418)</f>
        <v>91.0447226242462</v>
      </c>
      <c r="E1418" s="18" t="n">
        <f aca="false">EXP(-'Black-Scholes'!$B$8*'Black-Scholes'!$B$7)*IF(LOWER('Black-Scholes'!$B$11)="put",MAX('Black-Scholes'!$B$6-C1418,0),MAX(C1418-'Black-Scholes'!$B$6,0))</f>
        <v>15.8170591195726</v>
      </c>
      <c r="F1418" s="18" t="n">
        <f aca="false">(E1418+G1418)/2</f>
        <v>7.90852955978631</v>
      </c>
      <c r="G1418" s="18" t="n">
        <f aca="false">EXP(-'Black-Scholes'!$B$8*'Black-Scholes'!$B$7)*IF(LOWER('Black-Scholes'!$B$11)="put",MAX('Black-Scholes'!$B$6-D1418,0),MAX(D1418-'Black-Scholes'!$B$6,0))</f>
        <v>0</v>
      </c>
    </row>
    <row r="1419" customFormat="false" ht="15" hidden="false" customHeight="false" outlineLevel="0" collapsed="false">
      <c r="A1419" s="0" t="n">
        <v>1408</v>
      </c>
      <c r="B1419" s="15" t="n">
        <v>-0.578382817591501</v>
      </c>
      <c r="C1419" s="18" t="n">
        <f aca="false">'Black-Scholes'!$B$5*EXP(('Black-Scholes'!$B$8-'Black-Scholes'!$B$10-'Black-Scholes'!$B$9^2/2)*'Black-Scholes'!$B$7+'Black-Scholes'!$B$9*SQRT('Black-Scholes'!$B$7)*B1419)</f>
        <v>91.7891062670397</v>
      </c>
      <c r="D1419" s="18" t="n">
        <f aca="false">'Black-Scholes'!$B$5*EXP(('Black-Scholes'!$B$8-'Black-Scholes'!$B$10-'Black-Scholes'!$B$9^2/2)*'Black-Scholes'!$B$7-'Black-Scholes'!$B$9*SQRT('Black-Scholes'!$B$7)*B1419)</f>
        <v>115.682196910839</v>
      </c>
      <c r="E1419" s="18" t="n">
        <f aca="false">EXP(-'Black-Scholes'!$B$8*'Black-Scholes'!$B$7)*IF(LOWER('Black-Scholes'!$B$11)="put",MAX('Black-Scholes'!$B$6-C1419,0),MAX(C1419-'Black-Scholes'!$B$6,0))</f>
        <v>0</v>
      </c>
      <c r="F1419" s="18" t="n">
        <f aca="false">(E1419+G1419)/2</f>
        <v>7.45868357120203</v>
      </c>
      <c r="G1419" s="18" t="n">
        <f aca="false">EXP(-'Black-Scholes'!$B$8*'Black-Scholes'!$B$7)*IF(LOWER('Black-Scholes'!$B$11)="put",MAX('Black-Scholes'!$B$6-D1419,0),MAX(D1419-'Black-Scholes'!$B$6,0))</f>
        <v>14.9173671424041</v>
      </c>
    </row>
    <row r="1420" customFormat="false" ht="15" hidden="false" customHeight="false" outlineLevel="0" collapsed="false">
      <c r="A1420" s="0" t="n">
        <v>1409</v>
      </c>
      <c r="B1420" s="15" t="n">
        <v>-0.923041266853211</v>
      </c>
      <c r="C1420" s="18" t="n">
        <f aca="false">'Black-Scholes'!$B$5*EXP(('Black-Scholes'!$B$8-'Black-Scholes'!$B$10-'Black-Scholes'!$B$9^2/2)*'Black-Scholes'!$B$7+'Black-Scholes'!$B$9*SQRT('Black-Scholes'!$B$7)*B1420)</f>
        <v>85.6750740966364</v>
      </c>
      <c r="D1420" s="18" t="n">
        <f aca="false">'Black-Scholes'!$B$5*EXP(('Black-Scholes'!$B$8-'Black-Scholes'!$B$10-'Black-Scholes'!$B$9^2/2)*'Black-Scholes'!$B$7-'Black-Scholes'!$B$9*SQRT('Black-Scholes'!$B$7)*B1420)</f>
        <v>123.93762803726</v>
      </c>
      <c r="E1420" s="18" t="n">
        <f aca="false">EXP(-'Black-Scholes'!$B$8*'Black-Scholes'!$B$7)*IF(LOWER('Black-Scholes'!$B$11)="put",MAX('Black-Scholes'!$B$6-C1420,0),MAX(C1420-'Black-Scholes'!$B$6,0))</f>
        <v>0</v>
      </c>
      <c r="F1420" s="18" t="n">
        <f aca="false">(E1420+G1420)/2</f>
        <v>11.3850880708974</v>
      </c>
      <c r="G1420" s="18" t="n">
        <f aca="false">EXP(-'Black-Scholes'!$B$8*'Black-Scholes'!$B$7)*IF(LOWER('Black-Scholes'!$B$11)="put",MAX('Black-Scholes'!$B$6-D1420,0),MAX(D1420-'Black-Scholes'!$B$6,0))</f>
        <v>22.7701761417949</v>
      </c>
    </row>
    <row r="1421" customFormat="false" ht="15" hidden="false" customHeight="false" outlineLevel="0" collapsed="false">
      <c r="A1421" s="0" t="n">
        <v>1410</v>
      </c>
      <c r="B1421" s="15" t="n">
        <v>-0.747162576293619</v>
      </c>
      <c r="C1421" s="18" t="n">
        <f aca="false">'Black-Scholes'!$B$5*EXP(('Black-Scholes'!$B$8-'Black-Scholes'!$B$10-'Black-Scholes'!$B$9^2/2)*'Black-Scholes'!$B$7+'Black-Scholes'!$B$9*SQRT('Black-Scholes'!$B$7)*B1421)</f>
        <v>88.7423893370194</v>
      </c>
      <c r="D1421" s="18" t="n">
        <f aca="false">'Black-Scholes'!$B$5*EXP(('Black-Scholes'!$B$8-'Black-Scholes'!$B$10-'Black-Scholes'!$B$9^2/2)*'Black-Scholes'!$B$7-'Black-Scholes'!$B$9*SQRT('Black-Scholes'!$B$7)*B1421)</f>
        <v>119.653815327509</v>
      </c>
      <c r="E1421" s="18" t="n">
        <f aca="false">EXP(-'Black-Scholes'!$B$8*'Black-Scholes'!$B$7)*IF(LOWER('Black-Scholes'!$B$11)="put",MAX('Black-Scholes'!$B$6-C1421,0),MAX(C1421-'Black-Scholes'!$B$6,0))</f>
        <v>0</v>
      </c>
      <c r="F1421" s="18" t="n">
        <f aca="false">(E1421+G1421)/2</f>
        <v>9.34764372161473</v>
      </c>
      <c r="G1421" s="18" t="n">
        <f aca="false">EXP(-'Black-Scholes'!$B$8*'Black-Scholes'!$B$7)*IF(LOWER('Black-Scholes'!$B$11)="put",MAX('Black-Scholes'!$B$6-D1421,0),MAX(D1421-'Black-Scholes'!$B$6,0))</f>
        <v>18.6952874432295</v>
      </c>
    </row>
    <row r="1422" customFormat="false" ht="15" hidden="false" customHeight="false" outlineLevel="0" collapsed="false">
      <c r="A1422" s="0" t="n">
        <v>1411</v>
      </c>
      <c r="B1422" s="15" t="n">
        <v>-0.0083233727073824</v>
      </c>
      <c r="C1422" s="18" t="n">
        <f aca="false">'Black-Scholes'!$B$5*EXP(('Black-Scholes'!$B$8-'Black-Scholes'!$B$10-'Black-Scholes'!$B$9^2/2)*'Black-Scholes'!$B$7+'Black-Scholes'!$B$9*SQRT('Black-Scholes'!$B$7)*B1422)</f>
        <v>102.874058950034</v>
      </c>
      <c r="D1422" s="18" t="n">
        <f aca="false">'Black-Scholes'!$B$5*EXP(('Black-Scholes'!$B$8-'Black-Scholes'!$B$10-'Black-Scholes'!$B$9^2/2)*'Black-Scholes'!$B$7-'Black-Scholes'!$B$9*SQRT('Black-Scholes'!$B$7)*B1422)</f>
        <v>103.21713339425</v>
      </c>
      <c r="E1422" s="18" t="n">
        <f aca="false">EXP(-'Black-Scholes'!$B$8*'Black-Scholes'!$B$7)*IF(LOWER('Black-Scholes'!$B$11)="put",MAX('Black-Scholes'!$B$6-C1422,0),MAX(C1422-'Black-Scholes'!$B$6,0))</f>
        <v>2.73388944102218</v>
      </c>
      <c r="F1422" s="18" t="n">
        <f aca="false">(E1422+G1422)/2</f>
        <v>2.8970606940882</v>
      </c>
      <c r="G1422" s="18" t="n">
        <f aca="false">EXP(-'Black-Scholes'!$B$8*'Black-Scholes'!$B$7)*IF(LOWER('Black-Scholes'!$B$11)="put",MAX('Black-Scholes'!$B$6-D1422,0),MAX(D1422-'Black-Scholes'!$B$6,0))</f>
        <v>3.06023194715422</v>
      </c>
    </row>
    <row r="1423" customFormat="false" ht="15" hidden="false" customHeight="false" outlineLevel="0" collapsed="false">
      <c r="A1423" s="0" t="n">
        <v>1412</v>
      </c>
      <c r="B1423" s="15" t="n">
        <v>-0.116559924590033</v>
      </c>
      <c r="C1423" s="18" t="n">
        <f aca="false">'Black-Scholes'!$B$5*EXP(('Black-Scholes'!$B$8-'Black-Scholes'!$B$10-'Black-Scholes'!$B$9^2/2)*'Black-Scholes'!$B$7+'Black-Scholes'!$B$9*SQRT('Black-Scholes'!$B$7)*B1423)</f>
        <v>100.671042979698</v>
      </c>
      <c r="D1423" s="18" t="n">
        <f aca="false">'Black-Scholes'!$B$5*EXP(('Black-Scholes'!$B$8-'Black-Scholes'!$B$10-'Black-Scholes'!$B$9^2/2)*'Black-Scholes'!$B$7-'Black-Scholes'!$B$9*SQRT('Black-Scholes'!$B$7)*B1423)</f>
        <v>105.475866258731</v>
      </c>
      <c r="E1423" s="18" t="n">
        <f aca="false">EXP(-'Black-Scholes'!$B$8*'Black-Scholes'!$B$7)*IF(LOWER('Black-Scholes'!$B$11)="put",MAX('Black-Scholes'!$B$6-C1423,0),MAX(C1423-'Black-Scholes'!$B$6,0))</f>
        <v>0.638315827393712</v>
      </c>
      <c r="F1423" s="18" t="n">
        <f aca="false">(E1423+G1423)/2</f>
        <v>2.92356046866451</v>
      </c>
      <c r="G1423" s="18" t="n">
        <f aca="false">EXP(-'Black-Scholes'!$B$8*'Black-Scholes'!$B$7)*IF(LOWER('Black-Scholes'!$B$11)="put",MAX('Black-Scholes'!$B$6-D1423,0),MAX(D1423-'Black-Scholes'!$B$6,0))</f>
        <v>5.20880510993531</v>
      </c>
    </row>
    <row r="1424" customFormat="false" ht="15" hidden="false" customHeight="false" outlineLevel="0" collapsed="false">
      <c r="A1424" s="0" t="n">
        <v>1413</v>
      </c>
      <c r="B1424" s="15" t="n">
        <v>-0.169566757908502</v>
      </c>
      <c r="C1424" s="18" t="n">
        <f aca="false">'Black-Scholes'!$B$5*EXP(('Black-Scholes'!$B$8-'Black-Scholes'!$B$10-'Black-Scholes'!$B$9^2/2)*'Black-Scholes'!$B$7+'Black-Scholes'!$B$9*SQRT('Black-Scholes'!$B$7)*B1424)</f>
        <v>99.6094295599978</v>
      </c>
      <c r="D1424" s="18" t="n">
        <f aca="false">'Black-Scholes'!$B$5*EXP(('Black-Scholes'!$B$8-'Black-Scholes'!$B$10-'Black-Scholes'!$B$9^2/2)*'Black-Scholes'!$B$7-'Black-Scholes'!$B$9*SQRT('Black-Scholes'!$B$7)*B1424)</f>
        <v>106.600002754336</v>
      </c>
      <c r="E1424" s="18" t="n">
        <f aca="false">EXP(-'Black-Scholes'!$B$8*'Black-Scholes'!$B$7)*IF(LOWER('Black-Scholes'!$B$11)="put",MAX('Black-Scholes'!$B$6-C1424,0),MAX(C1424-'Black-Scholes'!$B$6,0))</f>
        <v>0</v>
      </c>
      <c r="F1424" s="18" t="n">
        <f aca="false">(E1424+G1424)/2</f>
        <v>3.13905841085504</v>
      </c>
      <c r="G1424" s="18" t="n">
        <f aca="false">EXP(-'Black-Scholes'!$B$8*'Black-Scholes'!$B$7)*IF(LOWER('Black-Scholes'!$B$11)="put",MAX('Black-Scholes'!$B$6-D1424,0),MAX(D1424-'Black-Scholes'!$B$6,0))</f>
        <v>6.27811682171007</v>
      </c>
    </row>
    <row r="1425" customFormat="false" ht="15" hidden="false" customHeight="false" outlineLevel="0" collapsed="false">
      <c r="A1425" s="0" t="n">
        <v>1414</v>
      </c>
      <c r="B1425" s="15" t="n">
        <v>0.901014208451244</v>
      </c>
      <c r="C1425" s="18" t="n">
        <f aca="false">'Black-Scholes'!$B$5*EXP(('Black-Scholes'!$B$8-'Black-Scholes'!$B$10-'Black-Scholes'!$B$9^2/2)*'Black-Scholes'!$B$7+'Black-Scholes'!$B$9*SQRT('Black-Scholes'!$B$7)*B1425)</f>
        <v>123.392832668105</v>
      </c>
      <c r="D1425" s="18" t="n">
        <f aca="false">'Black-Scholes'!$B$5*EXP(('Black-Scholes'!$B$8-'Black-Scholes'!$B$10-'Black-Scholes'!$B$9^2/2)*'Black-Scholes'!$B$7-'Black-Scholes'!$B$9*SQRT('Black-Scholes'!$B$7)*B1425)</f>
        <v>86.053340666992</v>
      </c>
      <c r="E1425" s="18" t="n">
        <f aca="false">EXP(-'Black-Scholes'!$B$8*'Black-Scholes'!$B$7)*IF(LOWER('Black-Scholes'!$B$11)="put",MAX('Black-Scholes'!$B$6-C1425,0),MAX(C1425-'Black-Scholes'!$B$6,0))</f>
        <v>22.2519507563232</v>
      </c>
      <c r="F1425" s="18" t="n">
        <f aca="false">(E1425+G1425)/2</f>
        <v>11.1259753781616</v>
      </c>
      <c r="G1425" s="18" t="n">
        <f aca="false">EXP(-'Black-Scholes'!$B$8*'Black-Scholes'!$B$7)*IF(LOWER('Black-Scholes'!$B$11)="put",MAX('Black-Scholes'!$B$6-D1425,0),MAX(D1425-'Black-Scholes'!$B$6,0))</f>
        <v>0</v>
      </c>
    </row>
    <row r="1426" customFormat="false" ht="15" hidden="false" customHeight="false" outlineLevel="0" collapsed="false">
      <c r="A1426" s="0" t="n">
        <v>1415</v>
      </c>
      <c r="B1426" s="15" t="n">
        <v>0.918803159422826</v>
      </c>
      <c r="C1426" s="18" t="n">
        <f aca="false">'Black-Scholes'!$B$5*EXP(('Black-Scholes'!$B$8-'Black-Scholes'!$B$10-'Black-Scholes'!$B$9^2/2)*'Black-Scholes'!$B$7+'Black-Scholes'!$B$9*SQRT('Black-Scholes'!$B$7)*B1426)</f>
        <v>123.832620350475</v>
      </c>
      <c r="D1426" s="18" t="n">
        <f aca="false">'Black-Scholes'!$B$5*EXP(('Black-Scholes'!$B$8-'Black-Scholes'!$B$10-'Black-Scholes'!$B$9^2/2)*'Black-Scholes'!$B$7-'Black-Scholes'!$B$9*SQRT('Black-Scholes'!$B$7)*B1426)</f>
        <v>85.74772491611</v>
      </c>
      <c r="E1426" s="18" t="n">
        <f aca="false">EXP(-'Black-Scholes'!$B$8*'Black-Scholes'!$B$7)*IF(LOWER('Black-Scholes'!$B$11)="put",MAX('Black-Scholes'!$B$6-C1426,0),MAX(C1426-'Black-Scholes'!$B$6,0))</f>
        <v>22.6702897403262</v>
      </c>
      <c r="F1426" s="18" t="n">
        <f aca="false">(E1426+G1426)/2</f>
        <v>11.3351448701631</v>
      </c>
      <c r="G1426" s="18" t="n">
        <f aca="false">EXP(-'Black-Scholes'!$B$8*'Black-Scholes'!$B$7)*IF(LOWER('Black-Scholes'!$B$11)="put",MAX('Black-Scholes'!$B$6-D1426,0),MAX(D1426-'Black-Scholes'!$B$6,0))</f>
        <v>0</v>
      </c>
    </row>
    <row r="1427" customFormat="false" ht="15" hidden="false" customHeight="false" outlineLevel="0" collapsed="false">
      <c r="A1427" s="0" t="n">
        <v>1416</v>
      </c>
      <c r="B1427" s="15" t="n">
        <v>0.107645122391471</v>
      </c>
      <c r="C1427" s="18" t="n">
        <f aca="false">'Black-Scholes'!$B$5*EXP(('Black-Scholes'!$B$8-'Black-Scholes'!$B$10-'Black-Scholes'!$B$9^2/2)*'Black-Scholes'!$B$7+'Black-Scholes'!$B$9*SQRT('Black-Scholes'!$B$7)*B1427)</f>
        <v>105.287974513396</v>
      </c>
      <c r="D1427" s="18" t="n">
        <f aca="false">'Black-Scholes'!$B$5*EXP(('Black-Scholes'!$B$8-'Black-Scholes'!$B$10-'Black-Scholes'!$B$9^2/2)*'Black-Scholes'!$B$7-'Black-Scholes'!$B$9*SQRT('Black-Scholes'!$B$7)*B1427)</f>
        <v>100.8506955759</v>
      </c>
      <c r="E1427" s="18" t="n">
        <f aca="false">EXP(-'Black-Scholes'!$B$8*'Black-Scholes'!$B$7)*IF(LOWER('Black-Scholes'!$B$11)="put",MAX('Black-Scholes'!$B$6-C1427,0),MAX(C1427-'Black-Scholes'!$B$6,0))</f>
        <v>5.0300769531524</v>
      </c>
      <c r="F1427" s="18" t="n">
        <f aca="false">(E1427+G1427)/2</f>
        <v>2.9196418081203</v>
      </c>
      <c r="G1427" s="18" t="n">
        <f aca="false">EXP(-'Black-Scholes'!$B$8*'Black-Scholes'!$B$7)*IF(LOWER('Black-Scholes'!$B$11)="put",MAX('Black-Scholes'!$B$6-D1427,0),MAX(D1427-'Black-Scholes'!$B$6,0))</f>
        <v>0.809206663088206</v>
      </c>
    </row>
    <row r="1428" customFormat="false" ht="15" hidden="false" customHeight="false" outlineLevel="0" collapsed="false">
      <c r="A1428" s="0" t="n">
        <v>1417</v>
      </c>
      <c r="B1428" s="15" t="n">
        <v>0.530788196439694</v>
      </c>
      <c r="C1428" s="18" t="n">
        <f aca="false">'Black-Scholes'!$B$5*EXP(('Black-Scholes'!$B$8-'Black-Scholes'!$B$10-'Black-Scholes'!$B$9^2/2)*'Black-Scholes'!$B$7+'Black-Scholes'!$B$9*SQRT('Black-Scholes'!$B$7)*B1428)</f>
        <v>114.58625123087</v>
      </c>
      <c r="D1428" s="18" t="n">
        <f aca="false">'Black-Scholes'!$B$5*EXP(('Black-Scholes'!$B$8-'Black-Scholes'!$B$10-'Black-Scholes'!$B$9^2/2)*'Black-Scholes'!$B$7-'Black-Scholes'!$B$9*SQRT('Black-Scholes'!$B$7)*B1428)</f>
        <v>92.6670115427684</v>
      </c>
      <c r="E1428" s="18" t="n">
        <f aca="false">EXP(-'Black-Scholes'!$B$8*'Black-Scholes'!$B$7)*IF(LOWER('Black-Scholes'!$B$11)="put",MAX('Black-Scholes'!$B$6-C1428,0),MAX(C1428-'Black-Scholes'!$B$6,0))</f>
        <v>13.8748713639634</v>
      </c>
      <c r="F1428" s="18" t="n">
        <f aca="false">(E1428+G1428)/2</f>
        <v>6.93743568198171</v>
      </c>
      <c r="G1428" s="18" t="n">
        <f aca="false">EXP(-'Black-Scholes'!$B$8*'Black-Scholes'!$B$7)*IF(LOWER('Black-Scholes'!$B$11)="put",MAX('Black-Scholes'!$B$6-D1428,0),MAX(D1428-'Black-Scholes'!$B$6,0))</f>
        <v>0</v>
      </c>
    </row>
    <row r="1429" customFormat="false" ht="15" hidden="false" customHeight="false" outlineLevel="0" collapsed="false">
      <c r="A1429" s="0" t="n">
        <v>1418</v>
      </c>
      <c r="B1429" s="15" t="n">
        <v>1.29197395143557</v>
      </c>
      <c r="C1429" s="18" t="n">
        <f aca="false">'Black-Scholes'!$B$5*EXP(('Black-Scholes'!$B$8-'Black-Scholes'!$B$10-'Black-Scholes'!$B$9^2/2)*'Black-Scholes'!$B$7+'Black-Scholes'!$B$9*SQRT('Black-Scholes'!$B$7)*B1429)</f>
        <v>133.428396250539</v>
      </c>
      <c r="D1429" s="18" t="n">
        <f aca="false">'Black-Scholes'!$B$5*EXP(('Black-Scholes'!$B$8-'Black-Scholes'!$B$10-'Black-Scholes'!$B$9^2/2)*'Black-Scholes'!$B$7-'Black-Scholes'!$B$9*SQRT('Black-Scholes'!$B$7)*B1429)</f>
        <v>79.5810019743884</v>
      </c>
      <c r="E1429" s="18" t="n">
        <f aca="false">EXP(-'Black-Scholes'!$B$8*'Black-Scholes'!$B$7)*IF(LOWER('Black-Scholes'!$B$11)="put",MAX('Black-Scholes'!$B$6-C1429,0),MAX(C1429-'Black-Scholes'!$B$6,0))</f>
        <v>31.7980741273817</v>
      </c>
      <c r="F1429" s="18" t="n">
        <f aca="false">(E1429+G1429)/2</f>
        <v>15.8990370636909</v>
      </c>
      <c r="G1429" s="18" t="n">
        <f aca="false">EXP(-'Black-Scholes'!$B$8*'Black-Scholes'!$B$7)*IF(LOWER('Black-Scholes'!$B$11)="put",MAX('Black-Scholes'!$B$6-D1429,0),MAX(D1429-'Black-Scholes'!$B$6,0))</f>
        <v>0</v>
      </c>
    </row>
    <row r="1430" customFormat="false" ht="15" hidden="false" customHeight="false" outlineLevel="0" collapsed="false">
      <c r="A1430" s="0" t="n">
        <v>1419</v>
      </c>
      <c r="B1430" s="15" t="n">
        <v>0.448214952318214</v>
      </c>
      <c r="C1430" s="18" t="n">
        <f aca="false">'Black-Scholes'!$B$5*EXP(('Black-Scholes'!$B$8-'Black-Scholes'!$B$10-'Black-Scholes'!$B$9^2/2)*'Black-Scholes'!$B$7+'Black-Scholes'!$B$9*SQRT('Black-Scholes'!$B$7)*B1430)</f>
        <v>112.709439629561</v>
      </c>
      <c r="D1430" s="18" t="n">
        <f aca="false">'Black-Scholes'!$B$5*EXP(('Black-Scholes'!$B$8-'Black-Scholes'!$B$10-'Black-Scholes'!$B$9^2/2)*'Black-Scholes'!$B$7-'Black-Scholes'!$B$9*SQRT('Black-Scholes'!$B$7)*B1430)</f>
        <v>94.2100812527564</v>
      </c>
      <c r="E1430" s="18" t="n">
        <f aca="false">EXP(-'Black-Scholes'!$B$8*'Black-Scholes'!$B$7)*IF(LOWER('Black-Scholes'!$B$11)="put",MAX('Black-Scholes'!$B$6-C1430,0),MAX(C1430-'Black-Scholes'!$B$6,0))</f>
        <v>12.089592944554</v>
      </c>
      <c r="F1430" s="18" t="n">
        <f aca="false">(E1430+G1430)/2</f>
        <v>6.04479647227698</v>
      </c>
      <c r="G1430" s="18" t="n">
        <f aca="false">EXP(-'Black-Scholes'!$B$8*'Black-Scholes'!$B$7)*IF(LOWER('Black-Scholes'!$B$11)="put",MAX('Black-Scholes'!$B$6-D1430,0),MAX(D1430-'Black-Scholes'!$B$6,0))</f>
        <v>0</v>
      </c>
    </row>
    <row r="1431" customFormat="false" ht="15" hidden="false" customHeight="false" outlineLevel="0" collapsed="false">
      <c r="A1431" s="0" t="n">
        <v>1420</v>
      </c>
      <c r="B1431" s="15" t="n">
        <v>-0.013974941680554</v>
      </c>
      <c r="C1431" s="18" t="n">
        <f aca="false">'Black-Scholes'!$B$5*EXP(('Black-Scholes'!$B$8-'Black-Scholes'!$B$10-'Black-Scholes'!$B$9^2/2)*'Black-Scholes'!$B$7+'Black-Scholes'!$B$9*SQRT('Black-Scholes'!$B$7)*B1431)</f>
        <v>102.757844673766</v>
      </c>
      <c r="D1431" s="18" t="n">
        <f aca="false">'Black-Scholes'!$B$5*EXP(('Black-Scholes'!$B$8-'Black-Scholes'!$B$10-'Black-Scholes'!$B$9^2/2)*'Black-Scholes'!$B$7-'Black-Scholes'!$B$9*SQRT('Black-Scholes'!$B$7)*B1431)</f>
        <v>103.333867104401</v>
      </c>
      <c r="E1431" s="18" t="n">
        <f aca="false">EXP(-'Black-Scholes'!$B$8*'Black-Scholes'!$B$7)*IF(LOWER('Black-Scholes'!$B$11)="put",MAX('Black-Scholes'!$B$6-C1431,0),MAX(C1431-'Black-Scholes'!$B$6,0))</f>
        <v>2.6233430018886</v>
      </c>
      <c r="F1431" s="18" t="n">
        <f aca="false">(E1431+G1431)/2</f>
        <v>2.89730774448491</v>
      </c>
      <c r="G1431" s="18" t="n">
        <f aca="false">EXP(-'Black-Scholes'!$B$8*'Black-Scholes'!$B$7)*IF(LOWER('Black-Scholes'!$B$11)="put",MAX('Black-Scholes'!$B$6-D1431,0),MAX(D1431-'Black-Scholes'!$B$6,0))</f>
        <v>3.17127248708122</v>
      </c>
    </row>
    <row r="1432" customFormat="false" ht="15" hidden="false" customHeight="false" outlineLevel="0" collapsed="false">
      <c r="A1432" s="0" t="n">
        <v>1421</v>
      </c>
      <c r="B1432" s="15" t="n">
        <v>0.689048928564782</v>
      </c>
      <c r="C1432" s="18" t="n">
        <f aca="false">'Black-Scholes'!$B$5*EXP(('Black-Scholes'!$B$8-'Black-Scholes'!$B$10-'Black-Scholes'!$B$9^2/2)*'Black-Scholes'!$B$7+'Black-Scholes'!$B$9*SQRT('Black-Scholes'!$B$7)*B1432)</f>
        <v>118.271162060264</v>
      </c>
      <c r="D1432" s="18" t="n">
        <f aca="false">'Black-Scholes'!$B$5*EXP(('Black-Scholes'!$B$8-'Black-Scholes'!$B$10-'Black-Scholes'!$B$9^2/2)*'Black-Scholes'!$B$7-'Black-Scholes'!$B$9*SQRT('Black-Scholes'!$B$7)*B1432)</f>
        <v>89.7798354263496</v>
      </c>
      <c r="E1432" s="18" t="n">
        <f aca="false">EXP(-'Black-Scholes'!$B$8*'Black-Scholes'!$B$7)*IF(LOWER('Black-Scholes'!$B$11)="put",MAX('Black-Scholes'!$B$6-C1432,0),MAX(C1432-'Black-Scholes'!$B$6,0))</f>
        <v>17.380066971544</v>
      </c>
      <c r="F1432" s="18" t="n">
        <f aca="false">(E1432+G1432)/2</f>
        <v>8.69003348577199</v>
      </c>
      <c r="G1432" s="18" t="n">
        <f aca="false">EXP(-'Black-Scholes'!$B$8*'Black-Scholes'!$B$7)*IF(LOWER('Black-Scholes'!$B$11)="put",MAX('Black-Scholes'!$B$6-D1432,0),MAX(D1432-'Black-Scholes'!$B$6,0))</f>
        <v>0</v>
      </c>
    </row>
    <row r="1433" customFormat="false" ht="15" hidden="false" customHeight="false" outlineLevel="0" collapsed="false">
      <c r="A1433" s="0" t="n">
        <v>1422</v>
      </c>
      <c r="B1433" s="15" t="n">
        <v>0.820536290292313</v>
      </c>
      <c r="C1433" s="18" t="n">
        <f aca="false">'Black-Scholes'!$B$5*EXP(('Black-Scholes'!$B$8-'Black-Scholes'!$B$10-'Black-Scholes'!$B$9^2/2)*'Black-Scholes'!$B$7+'Black-Scholes'!$B$9*SQRT('Black-Scholes'!$B$7)*B1433)</f>
        <v>121.422651155024</v>
      </c>
      <c r="D1433" s="18" t="n">
        <f aca="false">'Black-Scholes'!$B$5*EXP(('Black-Scholes'!$B$8-'Black-Scholes'!$B$10-'Black-Scholes'!$B$9^2/2)*'Black-Scholes'!$B$7-'Black-Scholes'!$B$9*SQRT('Black-Scholes'!$B$7)*B1433)</f>
        <v>87.4496262801644</v>
      </c>
      <c r="E1433" s="18" t="n">
        <f aca="false">EXP(-'Black-Scholes'!$B$8*'Black-Scholes'!$B$7)*IF(LOWER('Black-Scholes'!$B$11)="put",MAX('Black-Scholes'!$B$6-C1433,0),MAX(C1433-'Black-Scholes'!$B$6,0))</f>
        <v>20.3778561294728</v>
      </c>
      <c r="F1433" s="18" t="n">
        <f aca="false">(E1433+G1433)/2</f>
        <v>10.1889280647364</v>
      </c>
      <c r="G1433" s="18" t="n">
        <f aca="false">EXP(-'Black-Scholes'!$B$8*'Black-Scholes'!$B$7)*IF(LOWER('Black-Scholes'!$B$11)="put",MAX('Black-Scholes'!$B$6-D1433,0),MAX(D1433-'Black-Scholes'!$B$6,0))</f>
        <v>0</v>
      </c>
    </row>
    <row r="1434" customFormat="false" ht="15" hidden="false" customHeight="false" outlineLevel="0" collapsed="false">
      <c r="A1434" s="0" t="n">
        <v>1423</v>
      </c>
      <c r="B1434" s="15" t="n">
        <v>-1.0482113329108</v>
      </c>
      <c r="C1434" s="18" t="n">
        <f aca="false">'Black-Scholes'!$B$5*EXP(('Black-Scholes'!$B$8-'Black-Scholes'!$B$10-'Black-Scholes'!$B$9^2/2)*'Black-Scholes'!$B$7+'Black-Scholes'!$B$9*SQRT('Black-Scholes'!$B$7)*B1434)</f>
        <v>83.5569068931295</v>
      </c>
      <c r="D1434" s="18" t="n">
        <f aca="false">'Black-Scholes'!$B$5*EXP(('Black-Scholes'!$B$8-'Black-Scholes'!$B$10-'Black-Scholes'!$B$9^2/2)*'Black-Scholes'!$B$7-'Black-Scholes'!$B$9*SQRT('Black-Scholes'!$B$7)*B1434)</f>
        <v>127.079446335114</v>
      </c>
      <c r="E1434" s="18" t="n">
        <f aca="false">EXP(-'Black-Scholes'!$B$8*'Black-Scholes'!$B$7)*IF(LOWER('Black-Scholes'!$B$11)="put",MAX('Black-Scholes'!$B$6-C1434,0),MAX(C1434-'Black-Scholes'!$B$6,0))</f>
        <v>0</v>
      </c>
      <c r="F1434" s="18" t="n">
        <f aca="false">(E1434+G1434)/2</f>
        <v>12.8793830765744</v>
      </c>
      <c r="G1434" s="18" t="n">
        <f aca="false">EXP(-'Black-Scholes'!$B$8*'Black-Scholes'!$B$7)*IF(LOWER('Black-Scholes'!$B$11)="put",MAX('Black-Scholes'!$B$6-D1434,0),MAX(D1434-'Black-Scholes'!$B$6,0))</f>
        <v>25.7587661531488</v>
      </c>
    </row>
    <row r="1435" customFormat="false" ht="15" hidden="false" customHeight="false" outlineLevel="0" collapsed="false">
      <c r="A1435" s="0" t="n">
        <v>1424</v>
      </c>
      <c r="B1435" s="15" t="n">
        <v>-0.530775861424694</v>
      </c>
      <c r="C1435" s="18" t="n">
        <f aca="false">'Black-Scholes'!$B$5*EXP(('Black-Scholes'!$B$8-'Black-Scholes'!$B$10-'Black-Scholes'!$B$9^2/2)*'Black-Scholes'!$B$7+'Black-Scholes'!$B$9*SQRT('Black-Scholes'!$B$7)*B1435)</f>
        <v>92.6672401528458</v>
      </c>
      <c r="D1435" s="18" t="n">
        <f aca="false">'Black-Scholes'!$B$5*EXP(('Black-Scholes'!$B$8-'Black-Scholes'!$B$10-'Black-Scholes'!$B$9^2/2)*'Black-Scholes'!$B$7-'Black-Scholes'!$B$9*SQRT('Black-Scholes'!$B$7)*B1435)</f>
        <v>114.585968546593</v>
      </c>
      <c r="E1435" s="18" t="n">
        <f aca="false">EXP(-'Black-Scholes'!$B$8*'Black-Scholes'!$B$7)*IF(LOWER('Black-Scholes'!$B$11)="put",MAX('Black-Scholes'!$B$6-C1435,0),MAX(C1435-'Black-Scholes'!$B$6,0))</f>
        <v>0</v>
      </c>
      <c r="F1435" s="18" t="n">
        <f aca="false">(E1435+G1435)/2</f>
        <v>6.93730123318071</v>
      </c>
      <c r="G1435" s="18" t="n">
        <f aca="false">EXP(-'Black-Scholes'!$B$8*'Black-Scholes'!$B$7)*IF(LOWER('Black-Scholes'!$B$11)="put",MAX('Black-Scholes'!$B$6-D1435,0),MAX(D1435-'Black-Scholes'!$B$6,0))</f>
        <v>13.8746024663614</v>
      </c>
    </row>
    <row r="1436" customFormat="false" ht="15" hidden="false" customHeight="false" outlineLevel="0" collapsed="false">
      <c r="A1436" s="0" t="n">
        <v>1425</v>
      </c>
      <c r="B1436" s="15" t="n">
        <v>0.637333055858516</v>
      </c>
      <c r="C1436" s="18" t="n">
        <f aca="false">'Black-Scholes'!$B$5*EXP(('Black-Scholes'!$B$8-'Black-Scholes'!$B$10-'Black-Scholes'!$B$9^2/2)*'Black-Scholes'!$B$7+'Black-Scholes'!$B$9*SQRT('Black-Scholes'!$B$7)*B1436)</f>
        <v>117.054167431424</v>
      </c>
      <c r="D1436" s="18" t="n">
        <f aca="false">'Black-Scholes'!$B$5*EXP(('Black-Scholes'!$B$8-'Black-Scholes'!$B$10-'Black-Scholes'!$B$9^2/2)*'Black-Scholes'!$B$7-'Black-Scholes'!$B$9*SQRT('Black-Scholes'!$B$7)*B1436)</f>
        <v>90.7132629145763</v>
      </c>
      <c r="E1436" s="18" t="n">
        <f aca="false">EXP(-'Black-Scholes'!$B$8*'Black-Scholes'!$B$7)*IF(LOWER('Black-Scholes'!$B$11)="put",MAX('Black-Scholes'!$B$6-C1436,0),MAX(C1436-'Black-Scholes'!$B$6,0))</f>
        <v>16.2224258711323</v>
      </c>
      <c r="F1436" s="18" t="n">
        <f aca="false">(E1436+G1436)/2</f>
        <v>8.11121293556615</v>
      </c>
      <c r="G1436" s="18" t="n">
        <f aca="false">EXP(-'Black-Scholes'!$B$8*'Black-Scholes'!$B$7)*IF(LOWER('Black-Scholes'!$B$11)="put",MAX('Black-Scholes'!$B$6-D1436,0),MAX(D1436-'Black-Scholes'!$B$6,0))</f>
        <v>0</v>
      </c>
    </row>
    <row r="1437" customFormat="false" ht="15" hidden="false" customHeight="false" outlineLevel="0" collapsed="false">
      <c r="A1437" s="0" t="n">
        <v>1426</v>
      </c>
      <c r="B1437" s="15" t="n">
        <v>-0.665405781368192</v>
      </c>
      <c r="C1437" s="18" t="n">
        <f aca="false">'Black-Scholes'!$B$5*EXP(('Black-Scholes'!$B$8-'Black-Scholes'!$B$10-'Black-Scholes'!$B$9^2/2)*'Black-Scholes'!$B$7+'Black-Scholes'!$B$9*SQRT('Black-Scholes'!$B$7)*B1437)</f>
        <v>90.2053763188778</v>
      </c>
      <c r="D1437" s="18" t="n">
        <f aca="false">'Black-Scholes'!$B$5*EXP(('Black-Scholes'!$B$8-'Black-Scholes'!$B$10-'Black-Scholes'!$B$9^2/2)*'Black-Scholes'!$B$7-'Black-Scholes'!$B$9*SQRT('Black-Scholes'!$B$7)*B1437)</f>
        <v>117.713221747643</v>
      </c>
      <c r="E1437" s="18" t="n">
        <f aca="false">EXP(-'Black-Scholes'!$B$8*'Black-Scholes'!$B$7)*IF(LOWER('Black-Scholes'!$B$11)="put",MAX('Black-Scholes'!$B$6-C1437,0),MAX(C1437-'Black-Scholes'!$B$6,0))</f>
        <v>0</v>
      </c>
      <c r="F1437" s="18" t="n">
        <f aca="false">(E1437+G1437)/2</f>
        <v>8.42466886453176</v>
      </c>
      <c r="G1437" s="18" t="n">
        <f aca="false">EXP(-'Black-Scholes'!$B$8*'Black-Scholes'!$B$7)*IF(LOWER('Black-Scholes'!$B$11)="put",MAX('Black-Scholes'!$B$6-D1437,0),MAX(D1437-'Black-Scholes'!$B$6,0))</f>
        <v>16.8493377290635</v>
      </c>
    </row>
    <row r="1438" customFormat="false" ht="15" hidden="false" customHeight="false" outlineLevel="0" collapsed="false">
      <c r="A1438" s="0" t="n">
        <v>1427</v>
      </c>
      <c r="B1438" s="15" t="n">
        <v>-0.519543504309953</v>
      </c>
      <c r="C1438" s="18" t="n">
        <f aca="false">'Black-Scholes'!$B$5*EXP(('Black-Scholes'!$B$8-'Black-Scholes'!$B$10-'Black-Scholes'!$B$9^2/2)*'Black-Scholes'!$B$7+'Black-Scholes'!$B$9*SQRT('Black-Scholes'!$B$7)*B1438)</f>
        <v>92.8756484637033</v>
      </c>
      <c r="D1438" s="18" t="n">
        <f aca="false">'Black-Scholes'!$B$5*EXP(('Black-Scholes'!$B$8-'Black-Scholes'!$B$10-'Black-Scholes'!$B$9^2/2)*'Black-Scholes'!$B$7-'Black-Scholes'!$B$9*SQRT('Black-Scholes'!$B$7)*B1438)</f>
        <v>114.328843363106</v>
      </c>
      <c r="E1438" s="18" t="n">
        <f aca="false">EXP(-'Black-Scholes'!$B$8*'Black-Scholes'!$B$7)*IF(LOWER('Black-Scholes'!$B$11)="put",MAX('Black-Scholes'!$B$6-C1438,0),MAX(C1438-'Black-Scholes'!$B$6,0))</f>
        <v>0</v>
      </c>
      <c r="F1438" s="18" t="n">
        <f aca="false">(E1438+G1438)/2</f>
        <v>6.81500871302392</v>
      </c>
      <c r="G1438" s="18" t="n">
        <f aca="false">EXP(-'Black-Scholes'!$B$8*'Black-Scholes'!$B$7)*IF(LOWER('Black-Scholes'!$B$11)="put",MAX('Black-Scholes'!$B$6-D1438,0),MAX(D1438-'Black-Scholes'!$B$6,0))</f>
        <v>13.6300174260478</v>
      </c>
    </row>
    <row r="1439" customFormat="false" ht="15" hidden="false" customHeight="false" outlineLevel="0" collapsed="false">
      <c r="A1439" s="0" t="n">
        <v>1428</v>
      </c>
      <c r="B1439" s="15" t="n">
        <v>-0.96775736716046</v>
      </c>
      <c r="C1439" s="18" t="n">
        <f aca="false">'Black-Scholes'!$B$5*EXP(('Black-Scholes'!$B$8-'Black-Scholes'!$B$10-'Black-Scholes'!$B$9^2/2)*'Black-Scholes'!$B$7+'Black-Scholes'!$B$9*SQRT('Black-Scholes'!$B$7)*B1439)</f>
        <v>84.9122790612383</v>
      </c>
      <c r="D1439" s="18" t="n">
        <f aca="false">'Black-Scholes'!$B$5*EXP(('Black-Scholes'!$B$8-'Black-Scholes'!$B$10-'Black-Scholes'!$B$9^2/2)*'Black-Scholes'!$B$7-'Black-Scholes'!$B$9*SQRT('Black-Scholes'!$B$7)*B1439)</f>
        <v>125.051000666178</v>
      </c>
      <c r="E1439" s="18" t="n">
        <f aca="false">EXP(-'Black-Scholes'!$B$8*'Black-Scholes'!$B$7)*IF(LOWER('Black-Scholes'!$B$11)="put",MAX('Black-Scholes'!$B$6-C1439,0),MAX(C1439-'Black-Scholes'!$B$6,0))</f>
        <v>0</v>
      </c>
      <c r="F1439" s="18" t="n">
        <f aca="false">(E1439+G1439)/2</f>
        <v>11.9146244734277</v>
      </c>
      <c r="G1439" s="18" t="n">
        <f aca="false">EXP(-'Black-Scholes'!$B$8*'Black-Scholes'!$B$7)*IF(LOWER('Black-Scholes'!$B$11)="put",MAX('Black-Scholes'!$B$6-D1439,0),MAX(D1439-'Black-Scholes'!$B$6,0))</f>
        <v>23.8292489468555</v>
      </c>
    </row>
    <row r="1440" customFormat="false" ht="15" hidden="false" customHeight="false" outlineLevel="0" collapsed="false">
      <c r="A1440" s="0" t="n">
        <v>1429</v>
      </c>
      <c r="B1440" s="15" t="n">
        <v>-1.33234225069266</v>
      </c>
      <c r="C1440" s="18" t="n">
        <f aca="false">'Black-Scholes'!$B$5*EXP(('Black-Scholes'!$B$8-'Black-Scholes'!$B$10-'Black-Scholes'!$B$9^2/2)*'Black-Scholes'!$B$7+'Black-Scholes'!$B$9*SQRT('Black-Scholes'!$B$7)*B1440)</f>
        <v>78.9410787710079</v>
      </c>
      <c r="D1440" s="18" t="n">
        <f aca="false">'Black-Scholes'!$B$5*EXP(('Black-Scholes'!$B$8-'Black-Scholes'!$B$10-'Black-Scholes'!$B$9^2/2)*'Black-Scholes'!$B$7-'Black-Scholes'!$B$9*SQRT('Black-Scholes'!$B$7)*B1440)</f>
        <v>134.51001216053</v>
      </c>
      <c r="E1440" s="18" t="n">
        <f aca="false">EXP(-'Black-Scholes'!$B$8*'Black-Scholes'!$B$7)*IF(LOWER('Black-Scholes'!$B$11)="put",MAX('Black-Scholes'!$B$6-C1440,0),MAX(C1440-'Black-Scholes'!$B$6,0))</f>
        <v>0</v>
      </c>
      <c r="F1440" s="18" t="n">
        <f aca="false">(E1440+G1440)/2</f>
        <v>16.4134695034866</v>
      </c>
      <c r="G1440" s="18" t="n">
        <f aca="false">EXP(-'Black-Scholes'!$B$8*'Black-Scholes'!$B$7)*IF(LOWER('Black-Scholes'!$B$11)="put",MAX('Black-Scholes'!$B$6-D1440,0),MAX(D1440-'Black-Scholes'!$B$6,0))</f>
        <v>32.8269390069732</v>
      </c>
    </row>
    <row r="1441" customFormat="false" ht="15" hidden="false" customHeight="false" outlineLevel="0" collapsed="false">
      <c r="A1441" s="0" t="n">
        <v>1430</v>
      </c>
      <c r="B1441" s="15" t="n">
        <v>0.280139500292346</v>
      </c>
      <c r="C1441" s="18" t="n">
        <f aca="false">'Black-Scholes'!$B$5*EXP(('Black-Scholes'!$B$8-'Black-Scholes'!$B$10-'Black-Scholes'!$B$9^2/2)*'Black-Scholes'!$B$7+'Black-Scholes'!$B$9*SQRT('Black-Scholes'!$B$7)*B1441)</f>
        <v>108.983673438957</v>
      </c>
      <c r="D1441" s="18" t="n">
        <f aca="false">'Black-Scholes'!$B$5*EXP(('Black-Scholes'!$B$8-'Black-Scholes'!$B$10-'Black-Scholes'!$B$9^2/2)*'Black-Scholes'!$B$7-'Black-Scholes'!$B$9*SQRT('Black-Scholes'!$B$7)*B1441)</f>
        <v>97.4307905981995</v>
      </c>
      <c r="E1441" s="18" t="n">
        <f aca="false">EXP(-'Black-Scholes'!$B$8*'Black-Scholes'!$B$7)*IF(LOWER('Black-Scholes'!$B$11)="put",MAX('Black-Scholes'!$B$6-C1441,0),MAX(C1441-'Black-Scholes'!$B$6,0))</f>
        <v>8.54553451524163</v>
      </c>
      <c r="F1441" s="18" t="n">
        <f aca="false">(E1441+G1441)/2</f>
        <v>4.27276725762082</v>
      </c>
      <c r="G1441" s="18" t="n">
        <f aca="false">EXP(-'Black-Scholes'!$B$8*'Black-Scholes'!$B$7)*IF(LOWER('Black-Scholes'!$B$11)="put",MAX('Black-Scholes'!$B$6-D1441,0),MAX(D1441-'Black-Scholes'!$B$6,0))</f>
        <v>0</v>
      </c>
    </row>
    <row r="1442" customFormat="false" ht="15" hidden="false" customHeight="false" outlineLevel="0" collapsed="false">
      <c r="A1442" s="0" t="n">
        <v>1431</v>
      </c>
      <c r="B1442" s="15" t="n">
        <v>-0.253977069196683</v>
      </c>
      <c r="C1442" s="18" t="n">
        <f aca="false">'Black-Scholes'!$B$5*EXP(('Black-Scholes'!$B$8-'Black-Scholes'!$B$10-'Black-Scholes'!$B$9^2/2)*'Black-Scholes'!$B$7+'Black-Scholes'!$B$9*SQRT('Black-Scholes'!$B$7)*B1442)</f>
        <v>97.9419319712116</v>
      </c>
      <c r="D1442" s="18" t="n">
        <f aca="false">'Black-Scholes'!$B$5*EXP(('Black-Scholes'!$B$8-'Black-Scholes'!$B$10-'Black-Scholes'!$B$9^2/2)*'Black-Scholes'!$B$7-'Black-Scholes'!$B$9*SQRT('Black-Scholes'!$B$7)*B1442)</f>
        <v>108.414907198019</v>
      </c>
      <c r="E1442" s="18" t="n">
        <f aca="false">EXP(-'Black-Scholes'!$B$8*'Black-Scholes'!$B$7)*IF(LOWER('Black-Scholes'!$B$11)="put",MAX('Black-Scholes'!$B$6-C1442,0),MAX(C1442-'Black-Scholes'!$B$6,0))</f>
        <v>0</v>
      </c>
      <c r="F1442" s="18" t="n">
        <f aca="false">(E1442+G1442)/2</f>
        <v>4.00225366559929</v>
      </c>
      <c r="G1442" s="18" t="n">
        <f aca="false">EXP(-'Black-Scholes'!$B$8*'Black-Scholes'!$B$7)*IF(LOWER('Black-Scholes'!$B$11)="put",MAX('Black-Scholes'!$B$6-D1442,0),MAX(D1442-'Black-Scholes'!$B$6,0))</f>
        <v>8.00450733119858</v>
      </c>
    </row>
    <row r="1443" customFormat="false" ht="15" hidden="false" customHeight="false" outlineLevel="0" collapsed="false">
      <c r="A1443" s="0" t="n">
        <v>1432</v>
      </c>
      <c r="B1443" s="15" t="n">
        <v>0.722983542871693</v>
      </c>
      <c r="C1443" s="18" t="n">
        <f aca="false">'Black-Scholes'!$B$5*EXP(('Black-Scholes'!$B$8-'Black-Scholes'!$B$10-'Black-Scholes'!$B$9^2/2)*'Black-Scholes'!$B$7+'Black-Scholes'!$B$9*SQRT('Black-Scholes'!$B$7)*B1443)</f>
        <v>119.076589408883</v>
      </c>
      <c r="D1443" s="18" t="n">
        <f aca="false">'Black-Scholes'!$B$5*EXP(('Black-Scholes'!$B$8-'Black-Scholes'!$B$10-'Black-Scholes'!$B$9^2/2)*'Black-Scholes'!$B$7-'Black-Scholes'!$B$9*SQRT('Black-Scholes'!$B$7)*B1443)</f>
        <v>89.1725696727205</v>
      </c>
      <c r="E1443" s="18" t="n">
        <f aca="false">EXP(-'Black-Scholes'!$B$8*'Black-Scholes'!$B$7)*IF(LOWER('Black-Scholes'!$B$11)="put",MAX('Black-Scholes'!$B$6-C1443,0),MAX(C1443-'Black-Scholes'!$B$6,0))</f>
        <v>18.1462131648486</v>
      </c>
      <c r="F1443" s="18" t="n">
        <f aca="false">(E1443+G1443)/2</f>
        <v>9.07310658242432</v>
      </c>
      <c r="G1443" s="18" t="n">
        <f aca="false">EXP(-'Black-Scholes'!$B$8*'Black-Scholes'!$B$7)*IF(LOWER('Black-Scholes'!$B$11)="put",MAX('Black-Scholes'!$B$6-D1443,0),MAX(D1443-'Black-Scholes'!$B$6,0))</f>
        <v>0</v>
      </c>
    </row>
    <row r="1444" customFormat="false" ht="15" hidden="false" customHeight="false" outlineLevel="0" collapsed="false">
      <c r="A1444" s="0" t="n">
        <v>1433</v>
      </c>
      <c r="B1444" s="15" t="n">
        <v>0.902142428367762</v>
      </c>
      <c r="C1444" s="18" t="n">
        <f aca="false">'Black-Scholes'!$B$5*EXP(('Black-Scholes'!$B$8-'Black-Scholes'!$B$10-'Black-Scholes'!$B$9^2/2)*'Black-Scholes'!$B$7+'Black-Scholes'!$B$9*SQRT('Black-Scholes'!$B$7)*B1444)</f>
        <v>123.420678659902</v>
      </c>
      <c r="D1444" s="18" t="n">
        <f aca="false">'Black-Scholes'!$B$5*EXP(('Black-Scholes'!$B$8-'Black-Scholes'!$B$10-'Black-Scholes'!$B$9^2/2)*'Black-Scholes'!$B$7-'Black-Scholes'!$B$9*SQRT('Black-Scholes'!$B$7)*B1444)</f>
        <v>86.0339254389744</v>
      </c>
      <c r="E1444" s="18" t="n">
        <f aca="false">EXP(-'Black-Scholes'!$B$8*'Black-Scholes'!$B$7)*IF(LOWER('Black-Scholes'!$B$11)="put",MAX('Black-Scholes'!$B$6-C1444,0),MAX(C1444-'Black-Scholes'!$B$6,0))</f>
        <v>22.2784386830744</v>
      </c>
      <c r="F1444" s="18" t="n">
        <f aca="false">(E1444+G1444)/2</f>
        <v>11.1392193415372</v>
      </c>
      <c r="G1444" s="18" t="n">
        <f aca="false">EXP(-'Black-Scholes'!$B$8*'Black-Scholes'!$B$7)*IF(LOWER('Black-Scholes'!$B$11)="put",MAX('Black-Scholes'!$B$6-D1444,0),MAX(D1444-'Black-Scholes'!$B$6,0))</f>
        <v>0</v>
      </c>
    </row>
    <row r="1445" customFormat="false" ht="15" hidden="false" customHeight="false" outlineLevel="0" collapsed="false">
      <c r="A1445" s="0" t="n">
        <v>1434</v>
      </c>
      <c r="B1445" s="15" t="n">
        <v>2.11767213054435</v>
      </c>
      <c r="C1445" s="18" t="n">
        <f aca="false">'Black-Scholes'!$B$5*EXP(('Black-Scholes'!$B$8-'Black-Scholes'!$B$10-'Black-Scholes'!$B$9^2/2)*'Black-Scholes'!$B$7+'Black-Scholes'!$B$9*SQRT('Black-Scholes'!$B$7)*B1445)</f>
        <v>157.386507638607</v>
      </c>
      <c r="D1445" s="18" t="n">
        <f aca="false">'Black-Scholes'!$B$5*EXP(('Black-Scholes'!$B$8-'Black-Scholes'!$B$10-'Black-Scholes'!$B$9^2/2)*'Black-Scholes'!$B$7-'Black-Scholes'!$B$9*SQRT('Black-Scholes'!$B$7)*B1445)</f>
        <v>67.4668090979923</v>
      </c>
      <c r="E1445" s="18" t="n">
        <f aca="false">EXP(-'Black-Scholes'!$B$8*'Black-Scholes'!$B$7)*IF(LOWER('Black-Scholes'!$B$11)="put",MAX('Black-Scholes'!$B$6-C1445,0),MAX(C1445-'Black-Scholes'!$B$6,0))</f>
        <v>54.5877346351779</v>
      </c>
      <c r="F1445" s="18" t="n">
        <f aca="false">(E1445+G1445)/2</f>
        <v>27.2938673175889</v>
      </c>
      <c r="G1445" s="18" t="n">
        <f aca="false">EXP(-'Black-Scholes'!$B$8*'Black-Scholes'!$B$7)*IF(LOWER('Black-Scholes'!$B$11)="put",MAX('Black-Scholes'!$B$6-D1445,0),MAX(D1445-'Black-Scholes'!$B$6,0))</f>
        <v>0</v>
      </c>
    </row>
    <row r="1446" customFormat="false" ht="15" hidden="false" customHeight="false" outlineLevel="0" collapsed="false">
      <c r="A1446" s="0" t="n">
        <v>1435</v>
      </c>
      <c r="B1446" s="15" t="n">
        <v>-0.00408038988817232</v>
      </c>
      <c r="C1446" s="18" t="n">
        <f aca="false">'Black-Scholes'!$B$5*EXP(('Black-Scholes'!$B$8-'Black-Scholes'!$B$10-'Black-Scholes'!$B$9^2/2)*'Black-Scholes'!$B$7+'Black-Scholes'!$B$9*SQRT('Black-Scholes'!$B$7)*B1446)</f>
        <v>102.961394574082</v>
      </c>
      <c r="D1446" s="18" t="n">
        <f aca="false">'Black-Scholes'!$B$5*EXP(('Black-Scholes'!$B$8-'Black-Scholes'!$B$10-'Black-Scholes'!$B$9^2/2)*'Black-Scholes'!$B$7-'Black-Scholes'!$B$9*SQRT('Black-Scholes'!$B$7)*B1446)</f>
        <v>103.129580843173</v>
      </c>
      <c r="E1446" s="18" t="n">
        <f aca="false">EXP(-'Black-Scholes'!$B$8*'Black-Scholes'!$B$7)*IF(LOWER('Black-Scholes'!$B$11)="put",MAX('Black-Scholes'!$B$6-C1446,0),MAX(C1446-'Black-Scholes'!$B$6,0))</f>
        <v>2.81696565642351</v>
      </c>
      <c r="F1446" s="18" t="n">
        <f aca="false">(E1446+G1446)/2</f>
        <v>2.89695752040161</v>
      </c>
      <c r="G1446" s="18" t="n">
        <f aca="false">EXP(-'Black-Scholes'!$B$8*'Black-Scholes'!$B$7)*IF(LOWER('Black-Scholes'!$B$11)="put",MAX('Black-Scholes'!$B$6-D1446,0),MAX(D1446-'Black-Scholes'!$B$6,0))</f>
        <v>2.97694938437971</v>
      </c>
    </row>
    <row r="1447" customFormat="false" ht="15" hidden="false" customHeight="false" outlineLevel="0" collapsed="false">
      <c r="A1447" s="0" t="n">
        <v>1436</v>
      </c>
      <c r="B1447" s="15" t="n">
        <v>-0.703784878767683</v>
      </c>
      <c r="C1447" s="18" t="n">
        <f aca="false">'Black-Scholes'!$B$5*EXP(('Black-Scholes'!$B$8-'Black-Scholes'!$B$10-'Black-Scholes'!$B$9^2/2)*'Black-Scholes'!$B$7+'Black-Scholes'!$B$9*SQRT('Black-Scholes'!$B$7)*B1447)</f>
        <v>89.5156267174154</v>
      </c>
      <c r="D1447" s="18" t="n">
        <f aca="false">'Black-Scholes'!$B$5*EXP(('Black-Scholes'!$B$8-'Black-Scholes'!$B$10-'Black-Scholes'!$B$9^2/2)*'Black-Scholes'!$B$7-'Black-Scholes'!$B$9*SQRT('Black-Scholes'!$B$7)*B1447)</f>
        <v>118.620243803619</v>
      </c>
      <c r="E1447" s="18" t="n">
        <f aca="false">EXP(-'Black-Scholes'!$B$8*'Black-Scholes'!$B$7)*IF(LOWER('Black-Scholes'!$B$11)="put",MAX('Black-Scholes'!$B$6-C1447,0),MAX(C1447-'Black-Scholes'!$B$6,0))</f>
        <v>0</v>
      </c>
      <c r="F1447" s="18" t="n">
        <f aca="false">(E1447+G1447)/2</f>
        <v>8.85606189868994</v>
      </c>
      <c r="G1447" s="18" t="n">
        <f aca="false">EXP(-'Black-Scholes'!$B$8*'Black-Scholes'!$B$7)*IF(LOWER('Black-Scholes'!$B$11)="put",MAX('Black-Scholes'!$B$6-D1447,0),MAX(D1447-'Black-Scholes'!$B$6,0))</f>
        <v>17.7121237973799</v>
      </c>
    </row>
    <row r="1448" customFormat="false" ht="15" hidden="false" customHeight="false" outlineLevel="0" collapsed="false">
      <c r="A1448" s="0" t="n">
        <v>1437</v>
      </c>
      <c r="B1448" s="15" t="n">
        <v>-0.746404469580647</v>
      </c>
      <c r="C1448" s="18" t="n">
        <f aca="false">'Black-Scholes'!$B$5*EXP(('Black-Scholes'!$B$8-'Black-Scholes'!$B$10-'Black-Scholes'!$B$9^2/2)*'Black-Scholes'!$B$7+'Black-Scholes'!$B$9*SQRT('Black-Scholes'!$B$7)*B1448)</f>
        <v>88.755845597338</v>
      </c>
      <c r="D1448" s="18" t="n">
        <f aca="false">'Black-Scholes'!$B$5*EXP(('Black-Scholes'!$B$8-'Black-Scholes'!$B$10-'Black-Scholes'!$B$9^2/2)*'Black-Scholes'!$B$7-'Black-Scholes'!$B$9*SQRT('Black-Scholes'!$B$7)*B1448)</f>
        <v>119.635674630675</v>
      </c>
      <c r="E1448" s="18" t="n">
        <f aca="false">EXP(-'Black-Scholes'!$B$8*'Black-Scholes'!$B$7)*IF(LOWER('Black-Scholes'!$B$11)="put",MAX('Black-Scholes'!$B$6-C1448,0),MAX(C1448-'Black-Scholes'!$B$6,0))</f>
        <v>0</v>
      </c>
      <c r="F1448" s="18" t="n">
        <f aca="false">(E1448+G1448)/2</f>
        <v>9.33901573931031</v>
      </c>
      <c r="G1448" s="18" t="n">
        <f aca="false">EXP(-'Black-Scholes'!$B$8*'Black-Scholes'!$B$7)*IF(LOWER('Black-Scholes'!$B$11)="put",MAX('Black-Scholes'!$B$6-D1448,0),MAX(D1448-'Black-Scholes'!$B$6,0))</f>
        <v>18.6780314786206</v>
      </c>
    </row>
    <row r="1449" customFormat="false" ht="15" hidden="false" customHeight="false" outlineLevel="0" collapsed="false">
      <c r="A1449" s="0" t="n">
        <v>1438</v>
      </c>
      <c r="B1449" s="15" t="n">
        <v>-0.567260118071337</v>
      </c>
      <c r="C1449" s="18" t="n">
        <f aca="false">'Black-Scholes'!$B$5*EXP(('Black-Scholes'!$B$8-'Black-Scholes'!$B$10-'Black-Scholes'!$B$9^2/2)*'Black-Scholes'!$B$7+'Black-Scholes'!$B$9*SQRT('Black-Scholes'!$B$7)*B1449)</f>
        <v>91.9935220779531</v>
      </c>
      <c r="D1449" s="18" t="n">
        <f aca="false">'Black-Scholes'!$B$5*EXP(('Black-Scholes'!$B$8-'Black-Scholes'!$B$10-'Black-Scholes'!$B$9^2/2)*'Black-Scholes'!$B$7-'Black-Scholes'!$B$9*SQRT('Black-Scholes'!$B$7)*B1449)</f>
        <v>115.425143266673</v>
      </c>
      <c r="E1449" s="18" t="n">
        <f aca="false">EXP(-'Black-Scholes'!$B$8*'Black-Scholes'!$B$7)*IF(LOWER('Black-Scholes'!$B$11)="put",MAX('Black-Scholes'!$B$6-C1449,0),MAX(C1449-'Black-Scholes'!$B$6,0))</f>
        <v>0</v>
      </c>
      <c r="F1449" s="18" t="n">
        <f aca="false">(E1449+G1449)/2</f>
        <v>7.33642507619925</v>
      </c>
      <c r="G1449" s="18" t="n">
        <f aca="false">EXP(-'Black-Scholes'!$B$8*'Black-Scholes'!$B$7)*IF(LOWER('Black-Scholes'!$B$11)="put",MAX('Black-Scholes'!$B$6-D1449,0),MAX(D1449-'Black-Scholes'!$B$6,0))</f>
        <v>14.6728501523985</v>
      </c>
    </row>
    <row r="1450" customFormat="false" ht="15" hidden="false" customHeight="false" outlineLevel="0" collapsed="false">
      <c r="A1450" s="0" t="n">
        <v>1439</v>
      </c>
      <c r="B1450" s="15" t="n">
        <v>-2.02248032908695</v>
      </c>
      <c r="C1450" s="18" t="n">
        <f aca="false">'Black-Scholes'!$B$5*EXP(('Black-Scholes'!$B$8-'Black-Scholes'!$B$10-'Black-Scholes'!$B$9^2/2)*'Black-Scholes'!$B$7+'Black-Scholes'!$B$9*SQRT('Black-Scholes'!$B$7)*B1450)</f>
        <v>68.7635714634997</v>
      </c>
      <c r="D1450" s="18" t="n">
        <f aca="false">'Black-Scholes'!$B$5*EXP(('Black-Scholes'!$B$8-'Black-Scholes'!$B$10-'Black-Scholes'!$B$9^2/2)*'Black-Scholes'!$B$7-'Black-Scholes'!$B$9*SQRT('Black-Scholes'!$B$7)*B1450)</f>
        <v>154.418469539354</v>
      </c>
      <c r="E1450" s="18" t="n">
        <f aca="false">EXP(-'Black-Scholes'!$B$8*'Black-Scholes'!$B$7)*IF(LOWER('Black-Scholes'!$B$11)="put",MAX('Black-Scholes'!$B$6-C1450,0),MAX(C1450-'Black-Scholes'!$B$6,0))</f>
        <v>0</v>
      </c>
      <c r="F1450" s="18" t="n">
        <f aca="false">(E1450+G1450)/2</f>
        <v>25.8822247310645</v>
      </c>
      <c r="G1450" s="18" t="n">
        <f aca="false">EXP(-'Black-Scholes'!$B$8*'Black-Scholes'!$B$7)*IF(LOWER('Black-Scholes'!$B$11)="put",MAX('Black-Scholes'!$B$6-D1450,0),MAX(D1450-'Black-Scholes'!$B$6,0))</f>
        <v>51.7644494621289</v>
      </c>
    </row>
    <row r="1451" customFormat="false" ht="15" hidden="false" customHeight="false" outlineLevel="0" collapsed="false">
      <c r="A1451" s="0" t="n">
        <v>1440</v>
      </c>
      <c r="B1451" s="15" t="n">
        <v>0.26994096012499</v>
      </c>
      <c r="C1451" s="18" t="n">
        <f aca="false">'Black-Scholes'!$B$5*EXP(('Black-Scholes'!$B$8-'Black-Scholes'!$B$10-'Black-Scholes'!$B$9^2/2)*'Black-Scholes'!$B$7+'Black-Scholes'!$B$9*SQRT('Black-Scholes'!$B$7)*B1451)</f>
        <v>108.761605118986</v>
      </c>
      <c r="D1451" s="18" t="n">
        <f aca="false">'Black-Scholes'!$B$5*EXP(('Black-Scholes'!$B$8-'Black-Scholes'!$B$10-'Black-Scholes'!$B$9^2/2)*'Black-Scholes'!$B$7-'Black-Scholes'!$B$9*SQRT('Black-Scholes'!$B$7)*B1451)</f>
        <v>97.6297237783226</v>
      </c>
      <c r="E1451" s="18" t="n">
        <f aca="false">EXP(-'Black-Scholes'!$B$8*'Black-Scholes'!$B$7)*IF(LOWER('Black-Scholes'!$B$11)="put",MAX('Black-Scholes'!$B$6-C1451,0),MAX(C1451-'Black-Scholes'!$B$6,0))</f>
        <v>8.33429659503551</v>
      </c>
      <c r="F1451" s="18" t="n">
        <f aca="false">(E1451+G1451)/2</f>
        <v>4.16714829751775</v>
      </c>
      <c r="G1451" s="18" t="n">
        <f aca="false">EXP(-'Black-Scholes'!$B$8*'Black-Scholes'!$B$7)*IF(LOWER('Black-Scholes'!$B$11)="put",MAX('Black-Scholes'!$B$6-D1451,0),MAX(D1451-'Black-Scholes'!$B$6,0))</f>
        <v>0</v>
      </c>
    </row>
    <row r="1452" customFormat="false" ht="15" hidden="false" customHeight="false" outlineLevel="0" collapsed="false">
      <c r="A1452" s="0" t="n">
        <v>1441</v>
      </c>
      <c r="B1452" s="15" t="n">
        <v>0.313239758149437</v>
      </c>
      <c r="C1452" s="18" t="n">
        <f aca="false">'Black-Scholes'!$B$5*EXP(('Black-Scholes'!$B$8-'Black-Scholes'!$B$10-'Black-Scholes'!$B$9^2/2)*'Black-Scholes'!$B$7+'Black-Scholes'!$B$9*SQRT('Black-Scholes'!$B$7)*B1452)</f>
        <v>109.707544365358</v>
      </c>
      <c r="D1452" s="18" t="n">
        <f aca="false">'Black-Scholes'!$B$5*EXP(('Black-Scholes'!$B$8-'Black-Scholes'!$B$10-'Black-Scholes'!$B$9^2/2)*'Black-Scholes'!$B$7-'Black-Scholes'!$B$9*SQRT('Black-Scholes'!$B$7)*B1452)</f>
        <v>96.7879239926417</v>
      </c>
      <c r="E1452" s="18" t="n">
        <f aca="false">EXP(-'Black-Scholes'!$B$8*'Black-Scholes'!$B$7)*IF(LOWER('Black-Scholes'!$B$11)="put",MAX('Black-Scholes'!$B$6-C1452,0),MAX(C1452-'Black-Scholes'!$B$6,0))</f>
        <v>9.23410183997427</v>
      </c>
      <c r="F1452" s="18" t="n">
        <f aca="false">(E1452+G1452)/2</f>
        <v>4.61705091998713</v>
      </c>
      <c r="G1452" s="18" t="n">
        <f aca="false">EXP(-'Black-Scholes'!$B$8*'Black-Scholes'!$B$7)*IF(LOWER('Black-Scholes'!$B$11)="put",MAX('Black-Scholes'!$B$6-D1452,0),MAX(D1452-'Black-Scholes'!$B$6,0))</f>
        <v>0</v>
      </c>
    </row>
    <row r="1453" customFormat="false" ht="15" hidden="false" customHeight="false" outlineLevel="0" collapsed="false">
      <c r="A1453" s="0" t="n">
        <v>1442</v>
      </c>
      <c r="B1453" s="15" t="n">
        <v>-0.871969765823504</v>
      </c>
      <c r="C1453" s="18" t="n">
        <f aca="false">'Black-Scholes'!$B$5*EXP(('Black-Scholes'!$B$8-'Black-Scholes'!$B$10-'Black-Scholes'!$B$9^2/2)*'Black-Scholes'!$B$7+'Black-Scholes'!$B$9*SQRT('Black-Scholes'!$B$7)*B1453)</f>
        <v>86.5546696024257</v>
      </c>
      <c r="D1453" s="18" t="n">
        <f aca="false">'Black-Scholes'!$B$5*EXP(('Black-Scholes'!$B$8-'Black-Scholes'!$B$10-'Black-Scholes'!$B$9^2/2)*'Black-Scholes'!$B$7-'Black-Scholes'!$B$9*SQRT('Black-Scholes'!$B$7)*B1453)</f>
        <v>122.678135266731</v>
      </c>
      <c r="E1453" s="18" t="n">
        <f aca="false">EXP(-'Black-Scholes'!$B$8*'Black-Scholes'!$B$7)*IF(LOWER('Black-Scholes'!$B$11)="put",MAX('Black-Scholes'!$B$6-C1453,0),MAX(C1453-'Black-Scholes'!$B$6,0))</f>
        <v>0</v>
      </c>
      <c r="F1453" s="18" t="n">
        <f aca="false">(E1453+G1453)/2</f>
        <v>10.786054779261</v>
      </c>
      <c r="G1453" s="18" t="n">
        <f aca="false">EXP(-'Black-Scholes'!$B$8*'Black-Scholes'!$B$7)*IF(LOWER('Black-Scholes'!$B$11)="put",MAX('Black-Scholes'!$B$6-D1453,0),MAX(D1453-'Black-Scholes'!$B$6,0))</f>
        <v>21.572109558522</v>
      </c>
    </row>
    <row r="1454" customFormat="false" ht="15" hidden="false" customHeight="false" outlineLevel="0" collapsed="false">
      <c r="A1454" s="0" t="n">
        <v>1443</v>
      </c>
      <c r="B1454" s="15" t="n">
        <v>0.508780035143109</v>
      </c>
      <c r="C1454" s="18" t="n">
        <f aca="false">'Black-Scholes'!$B$5*EXP(('Black-Scholes'!$B$8-'Black-Scholes'!$B$10-'Black-Scholes'!$B$9^2/2)*'Black-Scholes'!$B$7+'Black-Scholes'!$B$9*SQRT('Black-Scholes'!$B$7)*B1454)</f>
        <v>114.082993082155</v>
      </c>
      <c r="D1454" s="18" t="n">
        <f aca="false">'Black-Scholes'!$B$5*EXP(('Black-Scholes'!$B$8-'Black-Scholes'!$B$10-'Black-Scholes'!$B$9^2/2)*'Black-Scholes'!$B$7-'Black-Scholes'!$B$9*SQRT('Black-Scholes'!$B$7)*B1454)</f>
        <v>93.0757966510135</v>
      </c>
      <c r="E1454" s="18" t="n">
        <f aca="false">EXP(-'Black-Scholes'!$B$8*'Black-Scholes'!$B$7)*IF(LOWER('Black-Scholes'!$B$11)="put",MAX('Black-Scholes'!$B$6-C1454,0),MAX(C1454-'Black-Scholes'!$B$6,0))</f>
        <v>13.3961574047854</v>
      </c>
      <c r="F1454" s="18" t="n">
        <f aca="false">(E1454+G1454)/2</f>
        <v>6.69807870239272</v>
      </c>
      <c r="G1454" s="18" t="n">
        <f aca="false">EXP(-'Black-Scholes'!$B$8*'Black-Scholes'!$B$7)*IF(LOWER('Black-Scholes'!$B$11)="put",MAX('Black-Scholes'!$B$6-D1454,0),MAX(D1454-'Black-Scholes'!$B$6,0))</f>
        <v>0</v>
      </c>
    </row>
    <row r="1455" customFormat="false" ht="15" hidden="false" customHeight="false" outlineLevel="0" collapsed="false">
      <c r="A1455" s="0" t="n">
        <v>1444</v>
      </c>
      <c r="B1455" s="15" t="n">
        <v>0.625404809463338</v>
      </c>
      <c r="C1455" s="18" t="n">
        <f aca="false">'Black-Scholes'!$B$5*EXP(('Black-Scholes'!$B$8-'Black-Scholes'!$B$10-'Black-Scholes'!$B$9^2/2)*'Black-Scholes'!$B$7+'Black-Scholes'!$B$9*SQRT('Black-Scholes'!$B$7)*B1455)</f>
        <v>116.775250073065</v>
      </c>
      <c r="D1455" s="18" t="n">
        <f aca="false">'Black-Scholes'!$B$5*EXP(('Black-Scholes'!$B$8-'Black-Scholes'!$B$10-'Black-Scholes'!$B$9^2/2)*'Black-Scholes'!$B$7-'Black-Scholes'!$B$9*SQRT('Black-Scholes'!$B$7)*B1455)</f>
        <v>90.9299312894627</v>
      </c>
      <c r="E1455" s="18" t="n">
        <f aca="false">EXP(-'Black-Scholes'!$B$8*'Black-Scholes'!$B$7)*IF(LOWER('Black-Scholes'!$B$11)="put",MAX('Black-Scholes'!$B$6-C1455,0),MAX(C1455-'Black-Scholes'!$B$6,0))</f>
        <v>15.9571114728568</v>
      </c>
      <c r="F1455" s="18" t="n">
        <f aca="false">(E1455+G1455)/2</f>
        <v>7.97855573642842</v>
      </c>
      <c r="G1455" s="18" t="n">
        <f aca="false">EXP(-'Black-Scholes'!$B$8*'Black-Scholes'!$B$7)*IF(LOWER('Black-Scholes'!$B$11)="put",MAX('Black-Scholes'!$B$6-D1455,0),MAX(D1455-'Black-Scholes'!$B$6,0))</f>
        <v>0</v>
      </c>
    </row>
    <row r="1456" customFormat="false" ht="15" hidden="false" customHeight="false" outlineLevel="0" collapsed="false">
      <c r="A1456" s="0" t="n">
        <v>1445</v>
      </c>
      <c r="B1456" s="15" t="n">
        <v>-0.881113603917117</v>
      </c>
      <c r="C1456" s="18" t="n">
        <f aca="false">'Black-Scholes'!$B$5*EXP(('Black-Scholes'!$B$8-'Black-Scholes'!$B$10-'Black-Scholes'!$B$9^2/2)*'Black-Scholes'!$B$7+'Black-Scholes'!$B$9*SQRT('Black-Scholes'!$B$7)*B1456)</f>
        <v>86.3965258735473</v>
      </c>
      <c r="D1456" s="18" t="n">
        <f aca="false">'Black-Scholes'!$B$5*EXP(('Black-Scholes'!$B$8-'Black-Scholes'!$B$10-'Black-Scholes'!$B$9^2/2)*'Black-Scholes'!$B$7-'Black-Scholes'!$B$9*SQRT('Black-Scholes'!$B$7)*B1456)</f>
        <v>122.902690334968</v>
      </c>
      <c r="E1456" s="18" t="n">
        <f aca="false">EXP(-'Black-Scholes'!$B$8*'Black-Scholes'!$B$7)*IF(LOWER('Black-Scholes'!$B$11)="put",MAX('Black-Scholes'!$B$6-C1456,0),MAX(C1456-'Black-Scholes'!$B$6,0))</f>
        <v>0</v>
      </c>
      <c r="F1456" s="18" t="n">
        <f aca="false">(E1456+G1456)/2</f>
        <v>10.8928564734246</v>
      </c>
      <c r="G1456" s="18" t="n">
        <f aca="false">EXP(-'Black-Scholes'!$B$8*'Black-Scholes'!$B$7)*IF(LOWER('Black-Scholes'!$B$11)="put",MAX('Black-Scholes'!$B$6-D1456,0),MAX(D1456-'Black-Scholes'!$B$6,0))</f>
        <v>21.7857129468493</v>
      </c>
    </row>
    <row r="1457" customFormat="false" ht="15" hidden="false" customHeight="false" outlineLevel="0" collapsed="false">
      <c r="A1457" s="0" t="n">
        <v>1446</v>
      </c>
      <c r="B1457" s="15" t="n">
        <v>2.23988430556261</v>
      </c>
      <c r="C1457" s="18" t="n">
        <f aca="false">'Black-Scholes'!$B$5*EXP(('Black-Scholes'!$B$8-'Black-Scholes'!$B$10-'Black-Scholes'!$B$9^2/2)*'Black-Scholes'!$B$7+'Black-Scholes'!$B$9*SQRT('Black-Scholes'!$B$7)*B1457)</f>
        <v>161.280816436523</v>
      </c>
      <c r="D1457" s="18" t="n">
        <f aca="false">'Black-Scholes'!$B$5*EXP(('Black-Scholes'!$B$8-'Black-Scholes'!$B$10-'Black-Scholes'!$B$9^2/2)*'Black-Scholes'!$B$7-'Black-Scholes'!$B$9*SQRT('Black-Scholes'!$B$7)*B1457)</f>
        <v>65.8377462370598</v>
      </c>
      <c r="E1457" s="18" t="n">
        <f aca="false">EXP(-'Black-Scholes'!$B$8*'Black-Scholes'!$B$7)*IF(LOWER('Black-Scholes'!$B$11)="put",MAX('Black-Scholes'!$B$6-C1457,0),MAX(C1457-'Black-Scholes'!$B$6,0))</f>
        <v>58.2921157518472</v>
      </c>
      <c r="F1457" s="18" t="n">
        <f aca="false">(E1457+G1457)/2</f>
        <v>29.1460578759236</v>
      </c>
      <c r="G1457" s="18" t="n">
        <f aca="false">EXP(-'Black-Scholes'!$B$8*'Black-Scholes'!$B$7)*IF(LOWER('Black-Scholes'!$B$11)="put",MAX('Black-Scholes'!$B$6-D1457,0),MAX(D1457-'Black-Scholes'!$B$6,0))</f>
        <v>0</v>
      </c>
    </row>
    <row r="1458" customFormat="false" ht="15" hidden="false" customHeight="false" outlineLevel="0" collapsed="false">
      <c r="A1458" s="0" t="n">
        <v>1447</v>
      </c>
      <c r="B1458" s="15" t="n">
        <v>-0.313056087386118</v>
      </c>
      <c r="C1458" s="18" t="n">
        <f aca="false">'Black-Scholes'!$B$5*EXP(('Black-Scholes'!$B$8-'Black-Scholes'!$B$10-'Black-Scholes'!$B$9^2/2)*'Black-Scholes'!$B$7+'Black-Scholes'!$B$9*SQRT('Black-Scholes'!$B$7)*B1458)</f>
        <v>96.7914794803211</v>
      </c>
      <c r="D1458" s="18" t="n">
        <f aca="false">'Black-Scholes'!$B$5*EXP(('Black-Scholes'!$B$8-'Black-Scholes'!$B$10-'Black-Scholes'!$B$9^2/2)*'Black-Scholes'!$B$7-'Black-Scholes'!$B$9*SQRT('Black-Scholes'!$B$7)*B1458)</f>
        <v>109.703514425693</v>
      </c>
      <c r="E1458" s="18" t="n">
        <f aca="false">EXP(-'Black-Scholes'!$B$8*'Black-Scholes'!$B$7)*IF(LOWER('Black-Scholes'!$B$11)="put",MAX('Black-Scholes'!$B$6-C1458,0),MAX(C1458-'Black-Scholes'!$B$6,0))</f>
        <v>0</v>
      </c>
      <c r="F1458" s="18" t="n">
        <f aca="false">(E1458+G1458)/2</f>
        <v>4.61513422139327</v>
      </c>
      <c r="G1458" s="18" t="n">
        <f aca="false">EXP(-'Black-Scholes'!$B$8*'Black-Scholes'!$B$7)*IF(LOWER('Black-Scholes'!$B$11)="put",MAX('Black-Scholes'!$B$6-D1458,0),MAX(D1458-'Black-Scholes'!$B$6,0))</f>
        <v>9.23026844278653</v>
      </c>
    </row>
    <row r="1459" customFormat="false" ht="15" hidden="false" customHeight="false" outlineLevel="0" collapsed="false">
      <c r="A1459" s="0" t="n">
        <v>1448</v>
      </c>
      <c r="B1459" s="15" t="n">
        <v>1.55989108734464</v>
      </c>
      <c r="C1459" s="18" t="n">
        <f aca="false">'Black-Scholes'!$B$5*EXP(('Black-Scholes'!$B$8-'Black-Scholes'!$B$10-'Black-Scholes'!$B$9^2/2)*'Black-Scholes'!$B$7+'Black-Scholes'!$B$9*SQRT('Black-Scholes'!$B$7)*B1459)</f>
        <v>140.772963326565</v>
      </c>
      <c r="D1459" s="18" t="n">
        <f aca="false">'Black-Scholes'!$B$5*EXP(('Black-Scholes'!$B$8-'Black-Scholes'!$B$10-'Black-Scholes'!$B$9^2/2)*'Black-Scholes'!$B$7-'Black-Scholes'!$B$9*SQRT('Black-Scholes'!$B$7)*B1459)</f>
        <v>75.4290114702005</v>
      </c>
      <c r="E1459" s="18" t="n">
        <f aca="false">EXP(-'Black-Scholes'!$B$8*'Black-Scholes'!$B$7)*IF(LOWER('Black-Scholes'!$B$11)="put",MAX('Black-Scholes'!$B$6-C1459,0),MAX(C1459-'Black-Scholes'!$B$6,0))</f>
        <v>38.7844424403174</v>
      </c>
      <c r="F1459" s="18" t="n">
        <f aca="false">(E1459+G1459)/2</f>
        <v>19.3922212201587</v>
      </c>
      <c r="G1459" s="18" t="n">
        <f aca="false">EXP(-'Black-Scholes'!$B$8*'Black-Scholes'!$B$7)*IF(LOWER('Black-Scholes'!$B$11)="put",MAX('Black-Scholes'!$B$6-D1459,0),MAX(D1459-'Black-Scholes'!$B$6,0))</f>
        <v>0</v>
      </c>
    </row>
    <row r="1460" customFormat="false" ht="15" hidden="false" customHeight="false" outlineLevel="0" collapsed="false">
      <c r="A1460" s="0" t="n">
        <v>1449</v>
      </c>
      <c r="B1460" s="15" t="n">
        <v>1.95044483860995</v>
      </c>
      <c r="C1460" s="18" t="n">
        <f aca="false">'Black-Scholes'!$B$5*EXP(('Black-Scholes'!$B$8-'Black-Scholes'!$B$10-'Black-Scholes'!$B$9^2/2)*'Black-Scholes'!$B$7+'Black-Scholes'!$B$9*SQRT('Black-Scholes'!$B$7)*B1460)</f>
        <v>152.209696709473</v>
      </c>
      <c r="D1460" s="18" t="n">
        <f aca="false">'Black-Scholes'!$B$5*EXP(('Black-Scholes'!$B$8-'Black-Scholes'!$B$10-'Black-Scholes'!$B$9^2/2)*'Black-Scholes'!$B$7-'Black-Scholes'!$B$9*SQRT('Black-Scholes'!$B$7)*B1460)</f>
        <v>69.7614258158676</v>
      </c>
      <c r="E1460" s="18" t="n">
        <f aca="false">EXP(-'Black-Scholes'!$B$8*'Black-Scholes'!$B$7)*IF(LOWER('Black-Scholes'!$B$11)="put",MAX('Black-Scholes'!$B$6-C1460,0),MAX(C1460-'Black-Scholes'!$B$6,0))</f>
        <v>49.6633997543088</v>
      </c>
      <c r="F1460" s="18" t="n">
        <f aca="false">(E1460+G1460)/2</f>
        <v>24.8316998771544</v>
      </c>
      <c r="G1460" s="18" t="n">
        <f aca="false">EXP(-'Black-Scholes'!$B$8*'Black-Scholes'!$B$7)*IF(LOWER('Black-Scholes'!$B$11)="put",MAX('Black-Scholes'!$B$6-D1460,0),MAX(D1460-'Black-Scholes'!$B$6,0))</f>
        <v>0</v>
      </c>
    </row>
    <row r="1461" customFormat="false" ht="15" hidden="false" customHeight="false" outlineLevel="0" collapsed="false">
      <c r="A1461" s="0" t="n">
        <v>1450</v>
      </c>
      <c r="B1461" s="15" t="n">
        <v>-0.267910428325194</v>
      </c>
      <c r="C1461" s="18" t="n">
        <f aca="false">'Black-Scholes'!$B$5*EXP(('Black-Scholes'!$B$8-'Black-Scholes'!$B$10-'Black-Scholes'!$B$9^2/2)*'Black-Scholes'!$B$7+'Black-Scholes'!$B$9*SQRT('Black-Scholes'!$B$7)*B1461)</f>
        <v>97.669379881823</v>
      </c>
      <c r="D1461" s="18" t="n">
        <f aca="false">'Black-Scholes'!$B$5*EXP(('Black-Scholes'!$B$8-'Black-Scholes'!$B$10-'Black-Scholes'!$B$9^2/2)*'Black-Scholes'!$B$7-'Black-Scholes'!$B$9*SQRT('Black-Scholes'!$B$7)*B1461)</f>
        <v>108.717445306825</v>
      </c>
      <c r="E1461" s="18" t="n">
        <f aca="false">EXP(-'Black-Scholes'!$B$8*'Black-Scholes'!$B$7)*IF(LOWER('Black-Scholes'!$B$11)="put",MAX('Black-Scholes'!$B$6-C1461,0),MAX(C1461-'Black-Scholes'!$B$6,0))</f>
        <v>0</v>
      </c>
      <c r="F1461" s="18" t="n">
        <f aca="false">(E1461+G1461)/2</f>
        <v>4.14614524116377</v>
      </c>
      <c r="G1461" s="18" t="n">
        <f aca="false">EXP(-'Black-Scholes'!$B$8*'Black-Scholes'!$B$7)*IF(LOWER('Black-Scholes'!$B$11)="put",MAX('Black-Scholes'!$B$6-D1461,0),MAX(D1461-'Black-Scholes'!$B$6,0))</f>
        <v>8.29229048232754</v>
      </c>
    </row>
    <row r="1462" customFormat="false" ht="15" hidden="false" customHeight="false" outlineLevel="0" collapsed="false">
      <c r="A1462" s="0" t="n">
        <v>1451</v>
      </c>
      <c r="B1462" s="15" t="n">
        <v>-0.92971844542025</v>
      </c>
      <c r="C1462" s="18" t="n">
        <f aca="false">'Black-Scholes'!$B$5*EXP(('Black-Scholes'!$B$8-'Black-Scholes'!$B$10-'Black-Scholes'!$B$9^2/2)*'Black-Scholes'!$B$7+'Black-Scholes'!$B$9*SQRT('Black-Scholes'!$B$7)*B1462)</f>
        <v>85.5607369049158</v>
      </c>
      <c r="D1462" s="18" t="n">
        <f aca="false">'Black-Scholes'!$B$5*EXP(('Black-Scholes'!$B$8-'Black-Scholes'!$B$10-'Black-Scholes'!$B$9^2/2)*'Black-Scholes'!$B$7-'Black-Scholes'!$B$9*SQRT('Black-Scholes'!$B$7)*B1462)</f>
        <v>124.10324933566</v>
      </c>
      <c r="E1462" s="18" t="n">
        <f aca="false">EXP(-'Black-Scholes'!$B$8*'Black-Scholes'!$B$7)*IF(LOWER('Black-Scholes'!$B$11)="put",MAX('Black-Scholes'!$B$6-C1462,0),MAX(C1462-'Black-Scholes'!$B$6,0))</f>
        <v>0</v>
      </c>
      <c r="F1462" s="18" t="n">
        <f aca="false">(E1462+G1462)/2</f>
        <v>11.4638599970787</v>
      </c>
      <c r="G1462" s="18" t="n">
        <f aca="false">EXP(-'Black-Scholes'!$B$8*'Black-Scholes'!$B$7)*IF(LOWER('Black-Scholes'!$B$11)="put",MAX('Black-Scholes'!$B$6-D1462,0),MAX(D1462-'Black-Scholes'!$B$6,0))</f>
        <v>22.9277199941574</v>
      </c>
    </row>
    <row r="1463" customFormat="false" ht="15" hidden="false" customHeight="false" outlineLevel="0" collapsed="false">
      <c r="A1463" s="0" t="n">
        <v>1452</v>
      </c>
      <c r="B1463" s="15" t="n">
        <v>-2.04979258204</v>
      </c>
      <c r="C1463" s="18" t="n">
        <f aca="false">'Black-Scholes'!$B$5*EXP(('Black-Scholes'!$B$8-'Black-Scholes'!$B$10-'Black-Scholes'!$B$9^2/2)*'Black-Scholes'!$B$7+'Black-Scholes'!$B$9*SQRT('Black-Scholes'!$B$7)*B1463)</f>
        <v>68.3889778828473</v>
      </c>
      <c r="D1463" s="18" t="n">
        <f aca="false">'Black-Scholes'!$B$5*EXP(('Black-Scholes'!$B$8-'Black-Scholes'!$B$10-'Black-Scholes'!$B$9^2/2)*'Black-Scholes'!$B$7-'Black-Scholes'!$B$9*SQRT('Black-Scholes'!$B$7)*B1463)</f>
        <v>155.264280797459</v>
      </c>
      <c r="E1463" s="18" t="n">
        <f aca="false">EXP(-'Black-Scholes'!$B$8*'Black-Scholes'!$B$7)*IF(LOWER('Black-Scholes'!$B$11)="put",MAX('Black-Scholes'!$B$6-C1463,0),MAX(C1463-'Black-Scholes'!$B$6,0))</f>
        <v>0</v>
      </c>
      <c r="F1463" s="18" t="n">
        <f aca="false">(E1463+G1463)/2</f>
        <v>26.2845050092063</v>
      </c>
      <c r="G1463" s="18" t="n">
        <f aca="false">EXP(-'Black-Scholes'!$B$8*'Black-Scholes'!$B$7)*IF(LOWER('Black-Scholes'!$B$11)="put",MAX('Black-Scholes'!$B$6-D1463,0),MAX(D1463-'Black-Scholes'!$B$6,0))</f>
        <v>52.5690100184125</v>
      </c>
    </row>
    <row r="1464" customFormat="false" ht="15" hidden="false" customHeight="false" outlineLevel="0" collapsed="false">
      <c r="A1464" s="0" t="n">
        <v>1453</v>
      </c>
      <c r="B1464" s="15" t="n">
        <v>-0.0356847571897846</v>
      </c>
      <c r="C1464" s="18" t="n">
        <f aca="false">'Black-Scholes'!$B$5*EXP(('Black-Scholes'!$B$8-'Black-Scholes'!$B$10-'Black-Scholes'!$B$9^2/2)*'Black-Scholes'!$B$7+'Black-Scholes'!$B$9*SQRT('Black-Scholes'!$B$7)*B1464)</f>
        <v>102.312641131881</v>
      </c>
      <c r="D1464" s="18" t="n">
        <f aca="false">'Black-Scholes'!$B$5*EXP(('Black-Scholes'!$B$8-'Black-Scholes'!$B$10-'Black-Scholes'!$B$9^2/2)*'Black-Scholes'!$B$7-'Black-Scholes'!$B$9*SQRT('Black-Scholes'!$B$7)*B1464)</f>
        <v>103.783514412129</v>
      </c>
      <c r="E1464" s="18" t="n">
        <f aca="false">EXP(-'Black-Scholes'!$B$8*'Black-Scholes'!$B$7)*IF(LOWER('Black-Scholes'!$B$11)="put",MAX('Black-Scholes'!$B$6-C1464,0),MAX(C1464-'Black-Scholes'!$B$6,0))</f>
        <v>2.19985229295618</v>
      </c>
      <c r="F1464" s="18" t="n">
        <f aca="false">(E1464+G1464)/2</f>
        <v>2.89942126489793</v>
      </c>
      <c r="G1464" s="18" t="n">
        <f aca="false">EXP(-'Black-Scholes'!$B$8*'Black-Scholes'!$B$7)*IF(LOWER('Black-Scholes'!$B$11)="put",MAX('Black-Scholes'!$B$6-D1464,0),MAX(D1464-'Black-Scholes'!$B$6,0))</f>
        <v>3.59899023683967</v>
      </c>
    </row>
    <row r="1465" customFormat="false" ht="15" hidden="false" customHeight="false" outlineLevel="0" collapsed="false">
      <c r="A1465" s="0" t="n">
        <v>1454</v>
      </c>
      <c r="B1465" s="15" t="n">
        <v>2.56379509133194</v>
      </c>
      <c r="C1465" s="18" t="n">
        <f aca="false">'Black-Scholes'!$B$5*EXP(('Black-Scholes'!$B$8-'Black-Scholes'!$B$10-'Black-Scholes'!$B$9^2/2)*'Black-Scholes'!$B$7+'Black-Scholes'!$B$9*SQRT('Black-Scholes'!$B$7)*B1465)</f>
        <v>172.074789375176</v>
      </c>
      <c r="D1465" s="18" t="n">
        <f aca="false">'Black-Scholes'!$B$5*EXP(('Black-Scholes'!$B$8-'Black-Scholes'!$B$10-'Black-Scholes'!$B$9^2/2)*'Black-Scholes'!$B$7-'Black-Scholes'!$B$9*SQRT('Black-Scholes'!$B$7)*B1465)</f>
        <v>61.7078510106574</v>
      </c>
      <c r="E1465" s="18" t="n">
        <f aca="false">EXP(-'Black-Scholes'!$B$8*'Black-Scholes'!$B$7)*IF(LOWER('Black-Scholes'!$B$11)="put",MAX('Black-Scholes'!$B$6-C1465,0),MAX(C1465-'Black-Scholes'!$B$6,0))</f>
        <v>68.5596604183585</v>
      </c>
      <c r="F1465" s="18" t="n">
        <f aca="false">(E1465+G1465)/2</f>
        <v>34.2798302091793</v>
      </c>
      <c r="G1465" s="18" t="n">
        <f aca="false">EXP(-'Black-Scholes'!$B$8*'Black-Scholes'!$B$7)*IF(LOWER('Black-Scholes'!$B$11)="put",MAX('Black-Scholes'!$B$6-D1465,0),MAX(D1465-'Black-Scholes'!$B$6,0))</f>
        <v>0</v>
      </c>
    </row>
    <row r="1466" customFormat="false" ht="15" hidden="false" customHeight="false" outlineLevel="0" collapsed="false">
      <c r="A1466" s="0" t="n">
        <v>1455</v>
      </c>
      <c r="B1466" s="15" t="n">
        <v>-0.263550867053641</v>
      </c>
      <c r="C1466" s="18" t="n">
        <f aca="false">'Black-Scholes'!$B$5*EXP(('Black-Scholes'!$B$8-'Black-Scholes'!$B$10-'Black-Scholes'!$B$9^2/2)*'Black-Scholes'!$B$7+'Black-Scholes'!$B$9*SQRT('Black-Scholes'!$B$7)*B1466)</f>
        <v>97.7545761474494</v>
      </c>
      <c r="D1466" s="18" t="n">
        <f aca="false">'Black-Scholes'!$B$5*EXP(('Black-Scholes'!$B$8-'Black-Scholes'!$B$10-'Black-Scholes'!$B$9^2/2)*'Black-Scholes'!$B$7-'Black-Scholes'!$B$9*SQRT('Black-Scholes'!$B$7)*B1466)</f>
        <v>108.622694547182</v>
      </c>
      <c r="E1466" s="18" t="n">
        <f aca="false">EXP(-'Black-Scholes'!$B$8*'Black-Scholes'!$B$7)*IF(LOWER('Black-Scholes'!$B$11)="put",MAX('Black-Scholes'!$B$6-C1466,0),MAX(C1466-'Black-Scholes'!$B$6,0))</f>
        <v>0</v>
      </c>
      <c r="F1466" s="18" t="n">
        <f aca="false">(E1466+G1466)/2</f>
        <v>4.10108038588045</v>
      </c>
      <c r="G1466" s="18" t="n">
        <f aca="false">EXP(-'Black-Scholes'!$B$8*'Black-Scholes'!$B$7)*IF(LOWER('Black-Scholes'!$B$11)="put",MAX('Black-Scholes'!$B$6-D1466,0),MAX(D1466-'Black-Scholes'!$B$6,0))</f>
        <v>8.2021607717609</v>
      </c>
    </row>
    <row r="1467" customFormat="false" ht="15" hidden="false" customHeight="false" outlineLevel="0" collapsed="false">
      <c r="A1467" s="0" t="n">
        <v>1456</v>
      </c>
      <c r="B1467" s="15" t="n">
        <v>0.313321525006849</v>
      </c>
      <c r="C1467" s="18" t="n">
        <f aca="false">'Black-Scholes'!$B$5*EXP(('Black-Scholes'!$B$8-'Black-Scholes'!$B$10-'Black-Scholes'!$B$9^2/2)*'Black-Scholes'!$B$7+'Black-Scholes'!$B$9*SQRT('Black-Scholes'!$B$7)*B1467)</f>
        <v>109.709338468255</v>
      </c>
      <c r="D1467" s="18" t="n">
        <f aca="false">'Black-Scholes'!$B$5*EXP(('Black-Scholes'!$B$8-'Black-Scholes'!$B$10-'Black-Scholes'!$B$9^2/2)*'Black-Scholes'!$B$7-'Black-Scholes'!$B$9*SQRT('Black-Scholes'!$B$7)*B1467)</f>
        <v>96.7863411967077</v>
      </c>
      <c r="E1467" s="18" t="n">
        <f aca="false">EXP(-'Black-Scholes'!$B$8*'Black-Scholes'!$B$7)*IF(LOWER('Black-Scholes'!$B$11)="put",MAX('Black-Scholes'!$B$6-C1467,0),MAX(C1467-'Black-Scholes'!$B$6,0))</f>
        <v>9.2358084434407</v>
      </c>
      <c r="F1467" s="18" t="n">
        <f aca="false">(E1467+G1467)/2</f>
        <v>4.61790422172035</v>
      </c>
      <c r="G1467" s="18" t="n">
        <f aca="false">EXP(-'Black-Scholes'!$B$8*'Black-Scholes'!$B$7)*IF(LOWER('Black-Scholes'!$B$11)="put",MAX('Black-Scholes'!$B$6-D1467,0),MAX(D1467-'Black-Scholes'!$B$6,0))</f>
        <v>0</v>
      </c>
    </row>
    <row r="1468" customFormat="false" ht="15" hidden="false" customHeight="false" outlineLevel="0" collapsed="false">
      <c r="A1468" s="0" t="n">
        <v>1457</v>
      </c>
      <c r="B1468" s="15" t="n">
        <v>-1.17179740977663</v>
      </c>
      <c r="C1468" s="18" t="n">
        <f aca="false">'Black-Scholes'!$B$5*EXP(('Black-Scholes'!$B$8-'Black-Scholes'!$B$10-'Black-Scholes'!$B$9^2/2)*'Black-Scholes'!$B$7+'Black-Scholes'!$B$9*SQRT('Black-Scholes'!$B$7)*B1468)</f>
        <v>81.5169279863281</v>
      </c>
      <c r="D1468" s="18" t="n">
        <f aca="false">'Black-Scholes'!$B$5*EXP(('Black-Scholes'!$B$8-'Black-Scholes'!$B$10-'Black-Scholes'!$B$9^2/2)*'Black-Scholes'!$B$7-'Black-Scholes'!$B$9*SQRT('Black-Scholes'!$B$7)*B1468)</f>
        <v>130.259637203631</v>
      </c>
      <c r="E1468" s="18" t="n">
        <f aca="false">EXP(-'Black-Scholes'!$B$8*'Black-Scholes'!$B$7)*IF(LOWER('Black-Scholes'!$B$11)="put",MAX('Black-Scholes'!$B$6-C1468,0),MAX(C1468-'Black-Scholes'!$B$6,0))</f>
        <v>0</v>
      </c>
      <c r="F1468" s="18" t="n">
        <f aca="false">(E1468+G1468)/2</f>
        <v>14.3919286414051</v>
      </c>
      <c r="G1468" s="18" t="n">
        <f aca="false">EXP(-'Black-Scholes'!$B$8*'Black-Scholes'!$B$7)*IF(LOWER('Black-Scholes'!$B$11)="put",MAX('Black-Scholes'!$B$6-D1468,0),MAX(D1468-'Black-Scholes'!$B$6,0))</f>
        <v>28.7838572828101</v>
      </c>
    </row>
    <row r="1469" customFormat="false" ht="15" hidden="false" customHeight="false" outlineLevel="0" collapsed="false">
      <c r="A1469" s="0" t="n">
        <v>1458</v>
      </c>
      <c r="B1469" s="15" t="n">
        <v>2.0292467040737</v>
      </c>
      <c r="C1469" s="18" t="n">
        <f aca="false">'Black-Scholes'!$B$5*EXP(('Black-Scholes'!$B$8-'Black-Scholes'!$B$10-'Black-Scholes'!$B$9^2/2)*'Black-Scholes'!$B$7+'Black-Scholes'!$B$9*SQRT('Black-Scholes'!$B$7)*B1469)</f>
        <v>154.627581654496</v>
      </c>
      <c r="D1469" s="18" t="n">
        <f aca="false">'Black-Scholes'!$B$5*EXP(('Black-Scholes'!$B$8-'Black-Scholes'!$B$10-'Black-Scholes'!$B$9^2/2)*'Black-Scholes'!$B$7-'Black-Scholes'!$B$9*SQRT('Black-Scholes'!$B$7)*B1469)</f>
        <v>68.6705783783101</v>
      </c>
      <c r="E1469" s="18" t="n">
        <f aca="false">EXP(-'Black-Scholes'!$B$8*'Black-Scholes'!$B$7)*IF(LOWER('Black-Scholes'!$B$11)="put",MAX('Black-Scholes'!$B$6-C1469,0),MAX(C1469-'Black-Scholes'!$B$6,0))</f>
        <v>51.9633630590717</v>
      </c>
      <c r="F1469" s="18" t="n">
        <f aca="false">(E1469+G1469)/2</f>
        <v>25.9816815295359</v>
      </c>
      <c r="G1469" s="18" t="n">
        <f aca="false">EXP(-'Black-Scholes'!$B$8*'Black-Scholes'!$B$7)*IF(LOWER('Black-Scholes'!$B$11)="put",MAX('Black-Scholes'!$B$6-D1469,0),MAX(D1469-'Black-Scholes'!$B$6,0))</f>
        <v>0</v>
      </c>
    </row>
    <row r="1470" customFormat="false" ht="15" hidden="false" customHeight="false" outlineLevel="0" collapsed="false">
      <c r="A1470" s="0" t="n">
        <v>1459</v>
      </c>
      <c r="B1470" s="15" t="n">
        <v>-1.3716273364144</v>
      </c>
      <c r="C1470" s="18" t="n">
        <f aca="false">'Black-Scholes'!$B$5*EXP(('Black-Scholes'!$B$8-'Black-Scholes'!$B$10-'Black-Scholes'!$B$9^2/2)*'Black-Scholes'!$B$7+'Black-Scholes'!$B$9*SQRT('Black-Scholes'!$B$7)*B1470)</f>
        <v>78.3232676163879</v>
      </c>
      <c r="D1470" s="18" t="n">
        <f aca="false">'Black-Scholes'!$B$5*EXP(('Black-Scholes'!$B$8-'Black-Scholes'!$B$10-'Black-Scholes'!$B$9^2/2)*'Black-Scholes'!$B$7-'Black-Scholes'!$B$9*SQRT('Black-Scholes'!$B$7)*B1470)</f>
        <v>135.571022361583</v>
      </c>
      <c r="E1470" s="18" t="n">
        <f aca="false">EXP(-'Black-Scholes'!$B$8*'Black-Scholes'!$B$7)*IF(LOWER('Black-Scholes'!$B$11)="put",MAX('Black-Scholes'!$B$6-C1470,0),MAX(C1470-'Black-Scholes'!$B$6,0))</f>
        <v>0</v>
      </c>
      <c r="F1470" s="18" t="n">
        <f aca="false">(E1470+G1470)/2</f>
        <v>16.9181015649554</v>
      </c>
      <c r="G1470" s="18" t="n">
        <f aca="false">EXP(-'Black-Scholes'!$B$8*'Black-Scholes'!$B$7)*IF(LOWER('Black-Scholes'!$B$11)="put",MAX('Black-Scholes'!$B$6-D1470,0),MAX(D1470-'Black-Scholes'!$B$6,0))</f>
        <v>33.8362031299109</v>
      </c>
    </row>
    <row r="1471" customFormat="false" ht="15" hidden="false" customHeight="false" outlineLevel="0" collapsed="false">
      <c r="A1471" s="0" t="n">
        <v>1460</v>
      </c>
      <c r="B1471" s="15" t="n">
        <v>0.886405136905381</v>
      </c>
      <c r="C1471" s="18" t="n">
        <f aca="false">'Black-Scholes'!$B$5*EXP(('Black-Scholes'!$B$8-'Black-Scholes'!$B$10-'Black-Scholes'!$B$9^2/2)*'Black-Scholes'!$B$7+'Black-Scholes'!$B$9*SQRT('Black-Scholes'!$B$7)*B1471)</f>
        <v>123.032827913601</v>
      </c>
      <c r="D1471" s="18" t="n">
        <f aca="false">'Black-Scholes'!$B$5*EXP(('Black-Scholes'!$B$8-'Black-Scholes'!$B$10-'Black-Scholes'!$B$9^2/2)*'Black-Scholes'!$B$7-'Black-Scholes'!$B$9*SQRT('Black-Scholes'!$B$7)*B1471)</f>
        <v>86.3051402257475</v>
      </c>
      <c r="E1471" s="18" t="n">
        <f aca="false">EXP(-'Black-Scholes'!$B$8*'Black-Scholes'!$B$7)*IF(LOWER('Black-Scholes'!$B$11)="put",MAX('Black-Scholes'!$B$6-C1471,0),MAX(C1471-'Black-Scholes'!$B$6,0))</f>
        <v>21.9095036408787</v>
      </c>
      <c r="F1471" s="18" t="n">
        <f aca="false">(E1471+G1471)/2</f>
        <v>10.9547518204394</v>
      </c>
      <c r="G1471" s="18" t="n">
        <f aca="false">EXP(-'Black-Scholes'!$B$8*'Black-Scholes'!$B$7)*IF(LOWER('Black-Scholes'!$B$11)="put",MAX('Black-Scholes'!$B$6-D1471,0),MAX(D1471-'Black-Scholes'!$B$6,0))</f>
        <v>0</v>
      </c>
    </row>
    <row r="1472" customFormat="false" ht="15" hidden="false" customHeight="false" outlineLevel="0" collapsed="false">
      <c r="A1472" s="0" t="n">
        <v>1461</v>
      </c>
      <c r="B1472" s="15" t="n">
        <v>-2.05725790537686</v>
      </c>
      <c r="C1472" s="18" t="n">
        <f aca="false">'Black-Scholes'!$B$5*EXP(('Black-Scholes'!$B$8-'Black-Scholes'!$B$10-'Black-Scholes'!$B$9^2/2)*'Black-Scholes'!$B$7+'Black-Scholes'!$B$9*SQRT('Black-Scholes'!$B$7)*B1472)</f>
        <v>68.2869449062035</v>
      </c>
      <c r="D1472" s="18" t="n">
        <f aca="false">'Black-Scholes'!$B$5*EXP(('Black-Scholes'!$B$8-'Black-Scholes'!$B$10-'Black-Scholes'!$B$9^2/2)*'Black-Scholes'!$B$7-'Black-Scholes'!$B$9*SQRT('Black-Scholes'!$B$7)*B1472)</f>
        <v>155.496273556221</v>
      </c>
      <c r="E1472" s="18" t="n">
        <f aca="false">EXP(-'Black-Scholes'!$B$8*'Black-Scholes'!$B$7)*IF(LOWER('Black-Scholes'!$B$11)="put",MAX('Black-Scholes'!$B$6-C1472,0),MAX(C1472-'Black-Scholes'!$B$6,0))</f>
        <v>0</v>
      </c>
      <c r="F1472" s="18" t="n">
        <f aca="false">(E1472+G1472)/2</f>
        <v>26.394844178409</v>
      </c>
      <c r="G1472" s="18" t="n">
        <f aca="false">EXP(-'Black-Scholes'!$B$8*'Black-Scholes'!$B$7)*IF(LOWER('Black-Scholes'!$B$11)="put",MAX('Black-Scholes'!$B$6-D1472,0),MAX(D1472-'Black-Scholes'!$B$6,0))</f>
        <v>52.789688356818</v>
      </c>
    </row>
    <row r="1473" customFormat="false" ht="15" hidden="false" customHeight="false" outlineLevel="0" collapsed="false">
      <c r="A1473" s="0" t="n">
        <v>1462</v>
      </c>
      <c r="B1473" s="15" t="n">
        <v>-0.665091693138218</v>
      </c>
      <c r="C1473" s="18" t="n">
        <f aca="false">'Black-Scholes'!$B$5*EXP(('Black-Scholes'!$B$8-'Black-Scholes'!$B$10-'Black-Scholes'!$B$9^2/2)*'Black-Scholes'!$B$7+'Black-Scholes'!$B$9*SQRT('Black-Scholes'!$B$7)*B1473)</f>
        <v>90.2110429862557</v>
      </c>
      <c r="D1473" s="18" t="n">
        <f aca="false">'Black-Scholes'!$B$5*EXP(('Black-Scholes'!$B$8-'Black-Scholes'!$B$10-'Black-Scholes'!$B$9^2/2)*'Black-Scholes'!$B$7-'Black-Scholes'!$B$9*SQRT('Black-Scholes'!$B$7)*B1473)</f>
        <v>117.705827512397</v>
      </c>
      <c r="E1473" s="18" t="n">
        <f aca="false">EXP(-'Black-Scholes'!$B$8*'Black-Scholes'!$B$7)*IF(LOWER('Black-Scholes'!$B$11)="put",MAX('Black-Scholes'!$B$6-C1473,0),MAX(C1473-'Black-Scholes'!$B$6,0))</f>
        <v>0</v>
      </c>
      <c r="F1473" s="18" t="n">
        <f aca="false">(E1473+G1473)/2</f>
        <v>8.42115205746292</v>
      </c>
      <c r="G1473" s="18" t="n">
        <f aca="false">EXP(-'Black-Scholes'!$B$8*'Black-Scholes'!$B$7)*IF(LOWER('Black-Scholes'!$B$11)="put",MAX('Black-Scholes'!$B$6-D1473,0),MAX(D1473-'Black-Scholes'!$B$6,0))</f>
        <v>16.8423041149258</v>
      </c>
    </row>
    <row r="1474" customFormat="false" ht="15" hidden="false" customHeight="false" outlineLevel="0" collapsed="false">
      <c r="A1474" s="0" t="n">
        <v>1463</v>
      </c>
      <c r="B1474" s="15" t="n">
        <v>0.927181708505261</v>
      </c>
      <c r="C1474" s="18" t="n">
        <f aca="false">'Black-Scholes'!$B$5*EXP(('Black-Scholes'!$B$8-'Black-Scholes'!$B$10-'Black-Scholes'!$B$9^2/2)*'Black-Scholes'!$B$7+'Black-Scholes'!$B$9*SQRT('Black-Scholes'!$B$7)*B1474)</f>
        <v>124.040301846361</v>
      </c>
      <c r="D1474" s="18" t="n">
        <f aca="false">'Black-Scholes'!$B$5*EXP(('Black-Scholes'!$B$8-'Black-Scholes'!$B$10-'Black-Scholes'!$B$9^2/2)*'Black-Scholes'!$B$7-'Black-Scholes'!$B$9*SQRT('Black-Scholes'!$B$7)*B1474)</f>
        <v>85.6041569344597</v>
      </c>
      <c r="E1474" s="18" t="n">
        <f aca="false">EXP(-'Black-Scholes'!$B$8*'Black-Scholes'!$B$7)*IF(LOWER('Black-Scholes'!$B$11)="put",MAX('Black-Scholes'!$B$6-C1474,0),MAX(C1474-'Black-Scholes'!$B$6,0))</f>
        <v>22.867842490137</v>
      </c>
      <c r="F1474" s="18" t="n">
        <f aca="false">(E1474+G1474)/2</f>
        <v>11.4339212450685</v>
      </c>
      <c r="G1474" s="18" t="n">
        <f aca="false">EXP(-'Black-Scholes'!$B$8*'Black-Scholes'!$B$7)*IF(LOWER('Black-Scholes'!$B$11)="put",MAX('Black-Scholes'!$B$6-D1474,0),MAX(D1474-'Black-Scholes'!$B$6,0))</f>
        <v>0</v>
      </c>
    </row>
    <row r="1475" customFormat="false" ht="15" hidden="false" customHeight="false" outlineLevel="0" collapsed="false">
      <c r="A1475" s="0" t="n">
        <v>1464</v>
      </c>
      <c r="B1475" s="15" t="n">
        <v>-1.96968748903055</v>
      </c>
      <c r="C1475" s="18" t="n">
        <f aca="false">'Black-Scholes'!$B$5*EXP(('Black-Scholes'!$B$8-'Black-Scholes'!$B$10-'Black-Scholes'!$B$9^2/2)*'Black-Scholes'!$B$7+'Black-Scholes'!$B$9*SQRT('Black-Scholes'!$B$7)*B1475)</f>
        <v>69.4934628324429</v>
      </c>
      <c r="D1475" s="18" t="n">
        <f aca="false">'Black-Scholes'!$B$5*EXP(('Black-Scholes'!$B$8-'Black-Scholes'!$B$10-'Black-Scholes'!$B$9^2/2)*'Black-Scholes'!$B$7-'Black-Scholes'!$B$9*SQRT('Black-Scholes'!$B$7)*B1475)</f>
        <v>152.796608956669</v>
      </c>
      <c r="E1475" s="18" t="n">
        <f aca="false">EXP(-'Black-Scholes'!$B$8*'Black-Scholes'!$B$7)*IF(LOWER('Black-Scholes'!$B$11)="put",MAX('Black-Scholes'!$B$6-C1475,0),MAX(C1475-'Black-Scholes'!$B$6,0))</f>
        <v>0</v>
      </c>
      <c r="F1475" s="18" t="n">
        <f aca="false">(E1475+G1475)/2</f>
        <v>25.1108439767208</v>
      </c>
      <c r="G1475" s="18" t="n">
        <f aca="false">EXP(-'Black-Scholes'!$B$8*'Black-Scholes'!$B$7)*IF(LOWER('Black-Scholes'!$B$11)="put",MAX('Black-Scholes'!$B$6-D1475,0),MAX(D1475-'Black-Scholes'!$B$6,0))</f>
        <v>50.2216879534415</v>
      </c>
    </row>
    <row r="1476" customFormat="false" ht="15" hidden="false" customHeight="false" outlineLevel="0" collapsed="false">
      <c r="A1476" s="0" t="n">
        <v>1465</v>
      </c>
      <c r="B1476" s="15" t="n">
        <v>0.986803043246516</v>
      </c>
      <c r="C1476" s="18" t="n">
        <f aca="false">'Black-Scholes'!$B$5*EXP(('Black-Scholes'!$B$8-'Black-Scholes'!$B$10-'Black-Scholes'!$B$9^2/2)*'Black-Scholes'!$B$7+'Black-Scholes'!$B$9*SQRT('Black-Scholes'!$B$7)*B1476)</f>
        <v>125.528245204203</v>
      </c>
      <c r="D1476" s="18" t="n">
        <f aca="false">'Black-Scholes'!$B$5*EXP(('Black-Scholes'!$B$8-'Black-Scholes'!$B$10-'Black-Scholes'!$B$9^2/2)*'Black-Scholes'!$B$7-'Black-Scholes'!$B$9*SQRT('Black-Scholes'!$B$7)*B1476)</f>
        <v>84.5894519450996</v>
      </c>
      <c r="E1476" s="18" t="n">
        <f aca="false">EXP(-'Black-Scholes'!$B$8*'Black-Scholes'!$B$7)*IF(LOWER('Black-Scholes'!$B$11)="put",MAX('Black-Scholes'!$B$6-C1476,0),MAX(C1476-'Black-Scholes'!$B$6,0))</f>
        <v>24.283217994107</v>
      </c>
      <c r="F1476" s="18" t="n">
        <f aca="false">(E1476+G1476)/2</f>
        <v>12.1416089970535</v>
      </c>
      <c r="G1476" s="18" t="n">
        <f aca="false">EXP(-'Black-Scholes'!$B$8*'Black-Scholes'!$B$7)*IF(LOWER('Black-Scholes'!$B$11)="put",MAX('Black-Scholes'!$B$6-D1476,0),MAX(D1476-'Black-Scholes'!$B$6,0))</f>
        <v>0</v>
      </c>
    </row>
    <row r="1477" customFormat="false" ht="15" hidden="false" customHeight="false" outlineLevel="0" collapsed="false">
      <c r="A1477" s="0" t="n">
        <v>1466</v>
      </c>
      <c r="B1477" s="15" t="n">
        <v>0.151569579847023</v>
      </c>
      <c r="C1477" s="18" t="n">
        <f aca="false">'Black-Scholes'!$B$5*EXP(('Black-Scholes'!$B$8-'Black-Scholes'!$B$10-'Black-Scholes'!$B$9^2/2)*'Black-Scholes'!$B$7+'Black-Scholes'!$B$9*SQRT('Black-Scholes'!$B$7)*B1477)</f>
        <v>106.21699263181</v>
      </c>
      <c r="D1477" s="18" t="n">
        <f aca="false">'Black-Scholes'!$B$5*EXP(('Black-Scholes'!$B$8-'Black-Scholes'!$B$10-'Black-Scholes'!$B$9^2/2)*'Black-Scholes'!$B$7-'Black-Scholes'!$B$9*SQRT('Black-Scholes'!$B$7)*B1477)</f>
        <v>99.9686133297058</v>
      </c>
      <c r="E1477" s="18" t="n">
        <f aca="false">EXP(-'Black-Scholes'!$B$8*'Black-Scholes'!$B$7)*IF(LOWER('Black-Scholes'!$B$11)="put",MAX('Black-Scholes'!$B$6-C1477,0),MAX(C1477-'Black-Scholes'!$B$6,0))</f>
        <v>5.91378632328155</v>
      </c>
      <c r="F1477" s="18" t="n">
        <f aca="false">(E1477+G1477)/2</f>
        <v>2.95689316164078</v>
      </c>
      <c r="G1477" s="18" t="n">
        <f aca="false">EXP(-'Black-Scholes'!$B$8*'Black-Scholes'!$B$7)*IF(LOWER('Black-Scholes'!$B$11)="put",MAX('Black-Scholes'!$B$6-D1477,0),MAX(D1477-'Black-Scholes'!$B$6,0))</f>
        <v>0</v>
      </c>
    </row>
    <row r="1478" customFormat="false" ht="15" hidden="false" customHeight="false" outlineLevel="0" collapsed="false">
      <c r="A1478" s="0" t="n">
        <v>1467</v>
      </c>
      <c r="B1478" s="15" t="n">
        <v>-0.109115882204881</v>
      </c>
      <c r="C1478" s="18" t="n">
        <f aca="false">'Black-Scholes'!$B$5*EXP(('Black-Scholes'!$B$8-'Black-Scholes'!$B$10-'Black-Scholes'!$B$9^2/2)*'Black-Scholes'!$B$7+'Black-Scholes'!$B$9*SQRT('Black-Scholes'!$B$7)*B1478)</f>
        <v>100.821034508502</v>
      </c>
      <c r="D1478" s="18" t="n">
        <f aca="false">'Black-Scholes'!$B$5*EXP(('Black-Scholes'!$B$8-'Black-Scholes'!$B$10-'Black-Scholes'!$B$9^2/2)*'Black-Scholes'!$B$7-'Black-Scholes'!$B$9*SQRT('Black-Scholes'!$B$7)*B1478)</f>
        <v>105.318949733234</v>
      </c>
      <c r="E1478" s="18" t="n">
        <f aca="false">EXP(-'Black-Scholes'!$B$8*'Black-Scholes'!$B$7)*IF(LOWER('Black-Scholes'!$B$11)="put",MAX('Black-Scholes'!$B$6-C1478,0),MAX(C1478-'Black-Scholes'!$B$6,0))</f>
        <v>0.780992183018039</v>
      </c>
      <c r="F1478" s="18" t="n">
        <f aca="false">(E1478+G1478)/2</f>
        <v>2.9202668383551</v>
      </c>
      <c r="G1478" s="18" t="n">
        <f aca="false">EXP(-'Black-Scholes'!$B$8*'Black-Scholes'!$B$7)*IF(LOWER('Black-Scholes'!$B$11)="put",MAX('Black-Scholes'!$B$6-D1478,0),MAX(D1478-'Black-Scholes'!$B$6,0))</f>
        <v>5.05954149369217</v>
      </c>
    </row>
    <row r="1479" customFormat="false" ht="15" hidden="false" customHeight="false" outlineLevel="0" collapsed="false">
      <c r="A1479" s="0" t="n">
        <v>1468</v>
      </c>
      <c r="B1479" s="15" t="n">
        <v>-0.023402737334587</v>
      </c>
      <c r="C1479" s="18" t="n">
        <f aca="false">'Black-Scholes'!$B$5*EXP(('Black-Scholes'!$B$8-'Black-Scholes'!$B$10-'Black-Scholes'!$B$9^2/2)*'Black-Scholes'!$B$7+'Black-Scholes'!$B$9*SQRT('Black-Scholes'!$B$7)*B1479)</f>
        <v>102.564271235912</v>
      </c>
      <c r="D1479" s="18" t="n">
        <f aca="false">'Black-Scholes'!$B$5*EXP(('Black-Scholes'!$B$8-'Black-Scholes'!$B$10-'Black-Scholes'!$B$9^2/2)*'Black-Scholes'!$B$7-'Black-Scholes'!$B$9*SQRT('Black-Scholes'!$B$7)*B1479)</f>
        <v>103.528893029717</v>
      </c>
      <c r="E1479" s="18" t="n">
        <f aca="false">EXP(-'Black-Scholes'!$B$8*'Black-Scholes'!$B$7)*IF(LOWER('Black-Scholes'!$B$11)="put",MAX('Black-Scholes'!$B$6-C1479,0),MAX(C1479-'Black-Scholes'!$B$6,0))</f>
        <v>2.43921025200059</v>
      </c>
      <c r="F1479" s="18" t="n">
        <f aca="false">(E1479+G1479)/2</f>
        <v>2.89799856889121</v>
      </c>
      <c r="G1479" s="18" t="n">
        <f aca="false">EXP(-'Black-Scholes'!$B$8*'Black-Scholes'!$B$7)*IF(LOWER('Black-Scholes'!$B$11)="put",MAX('Black-Scholes'!$B$6-D1479,0),MAX(D1479-'Black-Scholes'!$B$6,0))</f>
        <v>3.35678688578183</v>
      </c>
    </row>
    <row r="1480" customFormat="false" ht="15" hidden="false" customHeight="false" outlineLevel="0" collapsed="false">
      <c r="A1480" s="0" t="n">
        <v>1469</v>
      </c>
      <c r="B1480" s="15" t="n">
        <v>0.186251438578428</v>
      </c>
      <c r="C1480" s="18" t="n">
        <f aca="false">'Black-Scholes'!$B$5*EXP(('Black-Scholes'!$B$8-'Black-Scholes'!$B$10-'Black-Scholes'!$B$9^2/2)*'Black-Scholes'!$B$7+'Black-Scholes'!$B$9*SQRT('Black-Scholes'!$B$7)*B1480)</f>
        <v>106.956314319246</v>
      </c>
      <c r="D1480" s="18" t="n">
        <f aca="false">'Black-Scholes'!$B$5*EXP(('Black-Scholes'!$B$8-'Black-Scholes'!$B$10-'Black-Scholes'!$B$9^2/2)*'Black-Scholes'!$B$7-'Black-Scholes'!$B$9*SQRT('Black-Scholes'!$B$7)*B1480)</f>
        <v>99.2775932214681</v>
      </c>
      <c r="E1480" s="18" t="n">
        <f aca="false">EXP(-'Black-Scholes'!$B$8*'Black-Scholes'!$B$7)*IF(LOWER('Black-Scholes'!$B$11)="put",MAX('Black-Scholes'!$B$6-C1480,0),MAX(C1480-'Black-Scholes'!$B$6,0))</f>
        <v>6.61705086654255</v>
      </c>
      <c r="F1480" s="18" t="n">
        <f aca="false">(E1480+G1480)/2</f>
        <v>3.30852543327127</v>
      </c>
      <c r="G1480" s="18" t="n">
        <f aca="false">EXP(-'Black-Scholes'!$B$8*'Black-Scholes'!$B$7)*IF(LOWER('Black-Scholes'!$B$11)="put",MAX('Black-Scholes'!$B$6-D1480,0),MAX(D1480-'Black-Scholes'!$B$6,0))</f>
        <v>0</v>
      </c>
    </row>
    <row r="1481" customFormat="false" ht="15" hidden="false" customHeight="false" outlineLevel="0" collapsed="false">
      <c r="A1481" s="0" t="n">
        <v>1470</v>
      </c>
      <c r="B1481" s="15" t="n">
        <v>-0.729685038271711</v>
      </c>
      <c r="C1481" s="18" t="n">
        <f aca="false">'Black-Scholes'!$B$5*EXP(('Black-Scholes'!$B$8-'Black-Scholes'!$B$10-'Black-Scholes'!$B$9^2/2)*'Black-Scholes'!$B$7+'Black-Scholes'!$B$9*SQRT('Black-Scholes'!$B$7)*B1481)</f>
        <v>89.0531318187294</v>
      </c>
      <c r="D1481" s="18" t="n">
        <f aca="false">'Black-Scholes'!$B$5*EXP(('Black-Scholes'!$B$8-'Black-Scholes'!$B$10-'Black-Scholes'!$B$9^2/2)*'Black-Scholes'!$B$7-'Black-Scholes'!$B$9*SQRT('Black-Scholes'!$B$7)*B1481)</f>
        <v>119.236294654607</v>
      </c>
      <c r="E1481" s="18" t="n">
        <f aca="false">EXP(-'Black-Scholes'!$B$8*'Black-Scholes'!$B$7)*IF(LOWER('Black-Scholes'!$B$11)="put",MAX('Black-Scholes'!$B$6-C1481,0),MAX(C1481-'Black-Scholes'!$B$6,0))</f>
        <v>0</v>
      </c>
      <c r="F1481" s="18" t="n">
        <f aca="false">(E1481+G1481)/2</f>
        <v>9.14906474691409</v>
      </c>
      <c r="G1481" s="18" t="n">
        <f aca="false">EXP(-'Black-Scholes'!$B$8*'Black-Scholes'!$B$7)*IF(LOWER('Black-Scholes'!$B$11)="put",MAX('Black-Scholes'!$B$6-D1481,0),MAX(D1481-'Black-Scholes'!$B$6,0))</f>
        <v>18.2981294938282</v>
      </c>
    </row>
    <row r="1482" customFormat="false" ht="15" hidden="false" customHeight="false" outlineLevel="0" collapsed="false">
      <c r="A1482" s="0" t="n">
        <v>1471</v>
      </c>
      <c r="B1482" s="15" t="n">
        <v>-1.21044535763549</v>
      </c>
      <c r="C1482" s="18" t="n">
        <f aca="false">'Black-Scholes'!$B$5*EXP(('Black-Scholes'!$B$8-'Black-Scholes'!$B$10-'Black-Scholes'!$B$9^2/2)*'Black-Scholes'!$B$7+'Black-Scholes'!$B$9*SQRT('Black-Scholes'!$B$7)*B1482)</f>
        <v>80.8892645054481</v>
      </c>
      <c r="D1482" s="18" t="n">
        <f aca="false">'Black-Scholes'!$B$5*EXP(('Black-Scholes'!$B$8-'Black-Scholes'!$B$10-'Black-Scholes'!$B$9^2/2)*'Black-Scholes'!$B$7-'Black-Scholes'!$B$9*SQRT('Black-Scholes'!$B$7)*B1482)</f>
        <v>131.270392064678</v>
      </c>
      <c r="E1482" s="18" t="n">
        <f aca="false">EXP(-'Black-Scholes'!$B$8*'Black-Scholes'!$B$7)*IF(LOWER('Black-Scholes'!$B$11)="put",MAX('Black-Scholes'!$B$6-C1482,0),MAX(C1482-'Black-Scholes'!$B$6,0))</f>
        <v>0</v>
      </c>
      <c r="F1482" s="18" t="n">
        <f aca="false">(E1482+G1482)/2</f>
        <v>14.8726585237976</v>
      </c>
      <c r="G1482" s="18" t="n">
        <f aca="false">EXP(-'Black-Scholes'!$B$8*'Black-Scholes'!$B$7)*IF(LOWER('Black-Scholes'!$B$11)="put",MAX('Black-Scholes'!$B$6-D1482,0),MAX(D1482-'Black-Scholes'!$B$6,0))</f>
        <v>29.7453170475952</v>
      </c>
    </row>
    <row r="1483" customFormat="false" ht="15" hidden="false" customHeight="false" outlineLevel="0" collapsed="false">
      <c r="A1483" s="0" t="n">
        <v>1472</v>
      </c>
      <c r="B1483" s="15" t="n">
        <v>-0.818287712127503</v>
      </c>
      <c r="C1483" s="18" t="n">
        <f aca="false">'Black-Scholes'!$B$5*EXP(('Black-Scholes'!$B$8-'Black-Scholes'!$B$10-'Black-Scholes'!$B$9^2/2)*'Black-Scholes'!$B$7+'Black-Scholes'!$B$9*SQRT('Black-Scholes'!$B$7)*B1483)</f>
        <v>87.4889625886127</v>
      </c>
      <c r="D1483" s="18" t="n">
        <f aca="false">'Black-Scholes'!$B$5*EXP(('Black-Scholes'!$B$8-'Black-Scholes'!$B$10-'Black-Scholes'!$B$9^2/2)*'Black-Scholes'!$B$7-'Black-Scholes'!$B$9*SQRT('Black-Scholes'!$B$7)*B1483)</f>
        <v>121.368057767274</v>
      </c>
      <c r="E1483" s="18" t="n">
        <f aca="false">EXP(-'Black-Scholes'!$B$8*'Black-Scholes'!$B$7)*IF(LOWER('Black-Scholes'!$B$11)="put",MAX('Black-Scholes'!$B$6-C1483,0),MAX(C1483-'Black-Scholes'!$B$6,0))</f>
        <v>0</v>
      </c>
      <c r="F1483" s="18" t="n">
        <f aca="false">(E1483+G1483)/2</f>
        <v>10.1629626463309</v>
      </c>
      <c r="G1483" s="18" t="n">
        <f aca="false">EXP(-'Black-Scholes'!$B$8*'Black-Scholes'!$B$7)*IF(LOWER('Black-Scholes'!$B$11)="put",MAX('Black-Scholes'!$B$6-D1483,0),MAX(D1483-'Black-Scholes'!$B$6,0))</f>
        <v>20.3259252926618</v>
      </c>
    </row>
    <row r="1484" customFormat="false" ht="15" hidden="false" customHeight="false" outlineLevel="0" collapsed="false">
      <c r="A1484" s="0" t="n">
        <v>1473</v>
      </c>
      <c r="B1484" s="15" t="n">
        <v>-0.866415478490182</v>
      </c>
      <c r="C1484" s="18" t="n">
        <f aca="false">'Black-Scholes'!$B$5*EXP(('Black-Scholes'!$B$8-'Black-Scholes'!$B$10-'Black-Scholes'!$B$9^2/2)*'Black-Scholes'!$B$7+'Black-Scholes'!$B$9*SQRT('Black-Scholes'!$B$7)*B1484)</f>
        <v>86.6508729276263</v>
      </c>
      <c r="D1484" s="18" t="n">
        <f aca="false">'Black-Scholes'!$B$5*EXP(('Black-Scholes'!$B$8-'Black-Scholes'!$B$10-'Black-Scholes'!$B$9^2/2)*'Black-Scholes'!$B$7-'Black-Scholes'!$B$9*SQRT('Black-Scholes'!$B$7)*B1484)</f>
        <v>122.541933008827</v>
      </c>
      <c r="E1484" s="18" t="n">
        <f aca="false">EXP(-'Black-Scholes'!$B$8*'Black-Scholes'!$B$7)*IF(LOWER('Black-Scholes'!$B$11)="put",MAX('Black-Scholes'!$B$6-C1484,0),MAX(C1484-'Black-Scholes'!$B$6,0))</f>
        <v>0</v>
      </c>
      <c r="F1484" s="18" t="n">
        <f aca="false">(E1484+G1484)/2</f>
        <v>10.7212749815603</v>
      </c>
      <c r="G1484" s="18" t="n">
        <f aca="false">EXP(-'Black-Scholes'!$B$8*'Black-Scholes'!$B$7)*IF(LOWER('Black-Scholes'!$B$11)="put",MAX('Black-Scholes'!$B$6-D1484,0),MAX(D1484-'Black-Scholes'!$B$6,0))</f>
        <v>21.4425499631205</v>
      </c>
    </row>
    <row r="1485" customFormat="false" ht="15" hidden="false" customHeight="false" outlineLevel="0" collapsed="false">
      <c r="A1485" s="0" t="n">
        <v>1474</v>
      </c>
      <c r="B1485" s="15" t="n">
        <v>-1.47603199516681</v>
      </c>
      <c r="C1485" s="18" t="n">
        <f aca="false">'Black-Scholes'!$B$5*EXP(('Black-Scholes'!$B$8-'Black-Scholes'!$B$10-'Black-Scholes'!$B$9^2/2)*'Black-Scholes'!$B$7+'Black-Scholes'!$B$9*SQRT('Black-Scholes'!$B$7)*B1485)</f>
        <v>76.7047615749969</v>
      </c>
      <c r="D1485" s="18" t="n">
        <f aca="false">'Black-Scholes'!$B$5*EXP(('Black-Scholes'!$B$8-'Black-Scholes'!$B$10-'Black-Scholes'!$B$9^2/2)*'Black-Scholes'!$B$7-'Black-Scholes'!$B$9*SQRT('Black-Scholes'!$B$7)*B1485)</f>
        <v>138.431633805049</v>
      </c>
      <c r="E1485" s="18" t="n">
        <f aca="false">EXP(-'Black-Scholes'!$B$8*'Black-Scholes'!$B$7)*IF(LOWER('Black-Scholes'!$B$11)="put",MAX('Black-Scholes'!$B$6-C1485,0),MAX(C1485-'Black-Scholes'!$B$6,0))</f>
        <v>0</v>
      </c>
      <c r="F1485" s="18" t="n">
        <f aca="false">(E1485+G1485)/2</f>
        <v>18.2786504534996</v>
      </c>
      <c r="G1485" s="18" t="n">
        <f aca="false">EXP(-'Black-Scholes'!$B$8*'Black-Scholes'!$B$7)*IF(LOWER('Black-Scholes'!$B$11)="put",MAX('Black-Scholes'!$B$6-D1485,0),MAX(D1485-'Black-Scholes'!$B$6,0))</f>
        <v>36.5573009069993</v>
      </c>
    </row>
    <row r="1486" customFormat="false" ht="15" hidden="false" customHeight="false" outlineLevel="0" collapsed="false">
      <c r="A1486" s="0" t="n">
        <v>1475</v>
      </c>
      <c r="B1486" s="15" t="n">
        <v>0.202493950247749</v>
      </c>
      <c r="C1486" s="18" t="n">
        <f aca="false">'Black-Scholes'!$B$5*EXP(('Black-Scholes'!$B$8-'Black-Scholes'!$B$10-'Black-Scholes'!$B$9^2/2)*'Black-Scholes'!$B$7+'Black-Scholes'!$B$9*SQRT('Black-Scholes'!$B$7)*B1486)</f>
        <v>107.304327110074</v>
      </c>
      <c r="D1486" s="18" t="n">
        <f aca="false">'Black-Scholes'!$B$5*EXP(('Black-Scholes'!$B$8-'Black-Scholes'!$B$10-'Black-Scholes'!$B$9^2/2)*'Black-Scholes'!$B$7-'Black-Scholes'!$B$9*SQRT('Black-Scholes'!$B$7)*B1486)</f>
        <v>98.955612988106</v>
      </c>
      <c r="E1486" s="18" t="n">
        <f aca="false">EXP(-'Black-Scholes'!$B$8*'Black-Scholes'!$B$7)*IF(LOWER('Black-Scholes'!$B$11)="put",MAX('Black-Scholes'!$B$6-C1486,0),MAX(C1486-'Black-Scholes'!$B$6,0))</f>
        <v>6.9480908732805</v>
      </c>
      <c r="F1486" s="18" t="n">
        <f aca="false">(E1486+G1486)/2</f>
        <v>3.47404543664025</v>
      </c>
      <c r="G1486" s="18" t="n">
        <f aca="false">EXP(-'Black-Scholes'!$B$8*'Black-Scholes'!$B$7)*IF(LOWER('Black-Scholes'!$B$11)="put",MAX('Black-Scholes'!$B$6-D1486,0),MAX(D1486-'Black-Scholes'!$B$6,0))</f>
        <v>0</v>
      </c>
    </row>
    <row r="1487" customFormat="false" ht="15" hidden="false" customHeight="false" outlineLevel="0" collapsed="false">
      <c r="A1487" s="0" t="n">
        <v>1476</v>
      </c>
      <c r="B1487" s="15" t="n">
        <v>-1.45937505346318</v>
      </c>
      <c r="C1487" s="18" t="n">
        <f aca="false">'Black-Scholes'!$B$5*EXP(('Black-Scholes'!$B$8-'Black-Scholes'!$B$10-'Black-Scholes'!$B$9^2/2)*'Black-Scholes'!$B$7+'Black-Scholes'!$B$9*SQRT('Black-Scholes'!$B$7)*B1487)</f>
        <v>76.9607210368465</v>
      </c>
      <c r="D1487" s="18" t="n">
        <f aca="false">'Black-Scholes'!$B$5*EXP(('Black-Scholes'!$B$8-'Black-Scholes'!$B$10-'Black-Scholes'!$B$9^2/2)*'Black-Scholes'!$B$7-'Black-Scholes'!$B$9*SQRT('Black-Scholes'!$B$7)*B1487)</f>
        <v>137.971231589291</v>
      </c>
      <c r="E1487" s="18" t="n">
        <f aca="false">EXP(-'Black-Scholes'!$B$8*'Black-Scholes'!$B$7)*IF(LOWER('Black-Scholes'!$B$11)="put",MAX('Black-Scholes'!$B$6-C1487,0),MAX(C1487-'Black-Scholes'!$B$6,0))</f>
        <v>0</v>
      </c>
      <c r="F1487" s="18" t="n">
        <f aca="false">(E1487+G1487)/2</f>
        <v>18.0596763861325</v>
      </c>
      <c r="G1487" s="18" t="n">
        <f aca="false">EXP(-'Black-Scholes'!$B$8*'Black-Scholes'!$B$7)*IF(LOWER('Black-Scholes'!$B$11)="put",MAX('Black-Scholes'!$B$6-D1487,0),MAX(D1487-'Black-Scholes'!$B$6,0))</f>
        <v>36.119352772265</v>
      </c>
    </row>
    <row r="1488" customFormat="false" ht="15" hidden="false" customHeight="false" outlineLevel="0" collapsed="false">
      <c r="A1488" s="0" t="n">
        <v>1477</v>
      </c>
      <c r="B1488" s="15" t="n">
        <v>-0.154696006002587</v>
      </c>
      <c r="C1488" s="18" t="n">
        <f aca="false">'Black-Scholes'!$B$5*EXP(('Black-Scholes'!$B$8-'Black-Scholes'!$B$10-'Black-Scholes'!$B$9^2/2)*'Black-Scholes'!$B$7+'Black-Scholes'!$B$9*SQRT('Black-Scholes'!$B$7)*B1488)</f>
        <v>99.9061239710885</v>
      </c>
      <c r="D1488" s="18" t="n">
        <f aca="false">'Black-Scholes'!$B$5*EXP(('Black-Scholes'!$B$8-'Black-Scholes'!$B$10-'Black-Scholes'!$B$9^2/2)*'Black-Scholes'!$B$7-'Black-Scholes'!$B$9*SQRT('Black-Scholes'!$B$7)*B1488)</f>
        <v>106.28342931737</v>
      </c>
      <c r="E1488" s="18" t="n">
        <f aca="false">EXP(-'Black-Scholes'!$B$8*'Black-Scholes'!$B$7)*IF(LOWER('Black-Scholes'!$B$11)="put",MAX('Black-Scholes'!$B$6-C1488,0),MAX(C1488-'Black-Scholes'!$B$6,0))</f>
        <v>0</v>
      </c>
      <c r="F1488" s="18" t="n">
        <f aca="false">(E1488+G1488)/2</f>
        <v>2.98849142672645</v>
      </c>
      <c r="G1488" s="18" t="n">
        <f aca="false">EXP(-'Black-Scholes'!$B$8*'Black-Scholes'!$B$7)*IF(LOWER('Black-Scholes'!$B$11)="put",MAX('Black-Scholes'!$B$6-D1488,0),MAX(D1488-'Black-Scholes'!$B$6,0))</f>
        <v>5.97698285345291</v>
      </c>
    </row>
    <row r="1489" customFormat="false" ht="15" hidden="false" customHeight="false" outlineLevel="0" collapsed="false">
      <c r="A1489" s="0" t="n">
        <v>1478</v>
      </c>
      <c r="B1489" s="15" t="n">
        <v>0.379022787925621</v>
      </c>
      <c r="C1489" s="18" t="n">
        <f aca="false">'Black-Scholes'!$B$5*EXP(('Black-Scholes'!$B$8-'Black-Scholes'!$B$10-'Black-Scholes'!$B$9^2/2)*'Black-Scholes'!$B$7+'Black-Scholes'!$B$9*SQRT('Black-Scholes'!$B$7)*B1489)</f>
        <v>111.160460058723</v>
      </c>
      <c r="D1489" s="18" t="n">
        <f aca="false">'Black-Scholes'!$B$5*EXP(('Black-Scholes'!$B$8-'Black-Scholes'!$B$10-'Black-Scholes'!$B$9^2/2)*'Black-Scholes'!$B$7-'Black-Scholes'!$B$9*SQRT('Black-Scholes'!$B$7)*B1489)</f>
        <v>95.5228636139522</v>
      </c>
      <c r="E1489" s="18" t="n">
        <f aca="false">EXP(-'Black-Scholes'!$B$8*'Black-Scholes'!$B$7)*IF(LOWER('Black-Scholes'!$B$11)="put",MAX('Black-Scholes'!$B$6-C1489,0),MAX(C1489-'Black-Scholes'!$B$6,0))</f>
        <v>10.6161579988224</v>
      </c>
      <c r="F1489" s="18" t="n">
        <f aca="false">(E1489+G1489)/2</f>
        <v>5.30807899941122</v>
      </c>
      <c r="G1489" s="18" t="n">
        <f aca="false">EXP(-'Black-Scholes'!$B$8*'Black-Scholes'!$B$7)*IF(LOWER('Black-Scholes'!$B$11)="put",MAX('Black-Scholes'!$B$6-D1489,0),MAX(D1489-'Black-Scholes'!$B$6,0))</f>
        <v>0</v>
      </c>
    </row>
    <row r="1490" customFormat="false" ht="15" hidden="false" customHeight="false" outlineLevel="0" collapsed="false">
      <c r="A1490" s="0" t="n">
        <v>1479</v>
      </c>
      <c r="B1490" s="15" t="n">
        <v>-0.0633999184064177</v>
      </c>
      <c r="C1490" s="18" t="n">
        <f aca="false">'Black-Scholes'!$B$5*EXP(('Black-Scholes'!$B$8-'Black-Scholes'!$B$10-'Black-Scholes'!$B$9^2/2)*'Black-Scholes'!$B$7+'Black-Scholes'!$B$9*SQRT('Black-Scholes'!$B$7)*B1490)</f>
        <v>101.74708775156</v>
      </c>
      <c r="D1490" s="18" t="n">
        <f aca="false">'Black-Scholes'!$B$5*EXP(('Black-Scholes'!$B$8-'Black-Scholes'!$B$10-'Black-Scholes'!$B$9^2/2)*'Black-Scholes'!$B$7-'Black-Scholes'!$B$9*SQRT('Black-Scholes'!$B$7)*B1490)</f>
        <v>104.36038711379</v>
      </c>
      <c r="E1490" s="18" t="n">
        <f aca="false">EXP(-'Black-Scholes'!$B$8*'Black-Scholes'!$B$7)*IF(LOWER('Black-Scholes'!$B$11)="put",MAX('Black-Scholes'!$B$6-C1490,0),MAX(C1490-'Black-Scholes'!$B$6,0))</f>
        <v>1.66188127646861</v>
      </c>
      <c r="F1490" s="18" t="n">
        <f aca="false">(E1490+G1490)/2</f>
        <v>2.90480490065988</v>
      </c>
      <c r="G1490" s="18" t="n">
        <f aca="false">EXP(-'Black-Scholes'!$B$8*'Black-Scholes'!$B$7)*IF(LOWER('Black-Scholes'!$B$11)="put",MAX('Black-Scholes'!$B$6-D1490,0),MAX(D1490-'Black-Scholes'!$B$6,0))</f>
        <v>4.14772852485115</v>
      </c>
    </row>
    <row r="1491" customFormat="false" ht="15" hidden="false" customHeight="false" outlineLevel="0" collapsed="false">
      <c r="A1491" s="0" t="n">
        <v>1480</v>
      </c>
      <c r="B1491" s="15" t="n">
        <v>0.931094186121718</v>
      </c>
      <c r="C1491" s="18" t="n">
        <f aca="false">'Black-Scholes'!$B$5*EXP(('Black-Scholes'!$B$8-'Black-Scholes'!$B$10-'Black-Scholes'!$B$9^2/2)*'Black-Scholes'!$B$7+'Black-Scholes'!$B$9*SQRT('Black-Scholes'!$B$7)*B1491)</f>
        <v>124.137400812062</v>
      </c>
      <c r="D1491" s="18" t="n">
        <f aca="false">'Black-Scholes'!$B$5*EXP(('Black-Scholes'!$B$8-'Black-Scholes'!$B$10-'Black-Scholes'!$B$9^2/2)*'Black-Scholes'!$B$7-'Black-Scholes'!$B$9*SQRT('Black-Scholes'!$B$7)*B1491)</f>
        <v>85.5371982657291</v>
      </c>
      <c r="E1491" s="18" t="n">
        <f aca="false">EXP(-'Black-Scholes'!$B$8*'Black-Scholes'!$B$7)*IF(LOWER('Black-Scholes'!$B$11)="put",MAX('Black-Scholes'!$B$6-C1491,0),MAX(C1491-'Black-Scholes'!$B$6,0))</f>
        <v>22.9602058834004</v>
      </c>
      <c r="F1491" s="18" t="n">
        <f aca="false">(E1491+G1491)/2</f>
        <v>11.4801029417002</v>
      </c>
      <c r="G1491" s="18" t="n">
        <f aca="false">EXP(-'Black-Scholes'!$B$8*'Black-Scholes'!$B$7)*IF(LOWER('Black-Scholes'!$B$11)="put",MAX('Black-Scholes'!$B$6-D1491,0),MAX(D1491-'Black-Scholes'!$B$6,0))</f>
        <v>0</v>
      </c>
    </row>
    <row r="1492" customFormat="false" ht="15" hidden="false" customHeight="false" outlineLevel="0" collapsed="false">
      <c r="A1492" s="0" t="n">
        <v>1481</v>
      </c>
      <c r="B1492" s="15" t="n">
        <v>1.17739699309912</v>
      </c>
      <c r="C1492" s="18" t="n">
        <f aca="false">'Black-Scholes'!$B$5*EXP(('Black-Scholes'!$B$8-'Black-Scholes'!$B$10-'Black-Scholes'!$B$9^2/2)*'Black-Scholes'!$B$7+'Black-Scholes'!$B$9*SQRT('Black-Scholes'!$B$7)*B1492)</f>
        <v>130.405598859236</v>
      </c>
      <c r="D1492" s="18" t="n">
        <f aca="false">'Black-Scholes'!$B$5*EXP(('Black-Scholes'!$B$8-'Black-Scholes'!$B$10-'Black-Scholes'!$B$9^2/2)*'Black-Scholes'!$B$7-'Black-Scholes'!$B$9*SQRT('Black-Scholes'!$B$7)*B1492)</f>
        <v>81.4256869209687</v>
      </c>
      <c r="E1492" s="18" t="n">
        <f aca="false">EXP(-'Black-Scholes'!$B$8*'Black-Scholes'!$B$7)*IF(LOWER('Black-Scholes'!$B$11)="put",MAX('Black-Scholes'!$B$6-C1492,0),MAX(C1492-'Black-Scholes'!$B$6,0))</f>
        <v>28.9227003044708</v>
      </c>
      <c r="F1492" s="18" t="n">
        <f aca="false">(E1492+G1492)/2</f>
        <v>14.4613501522354</v>
      </c>
      <c r="G1492" s="18" t="n">
        <f aca="false">EXP(-'Black-Scholes'!$B$8*'Black-Scholes'!$B$7)*IF(LOWER('Black-Scholes'!$B$11)="put",MAX('Black-Scholes'!$B$6-D1492,0),MAX(D1492-'Black-Scholes'!$B$6,0))</f>
        <v>0</v>
      </c>
    </row>
    <row r="1493" customFormat="false" ht="15" hidden="false" customHeight="false" outlineLevel="0" collapsed="false">
      <c r="A1493" s="0" t="n">
        <v>1482</v>
      </c>
      <c r="B1493" s="15" t="n">
        <v>-1.21935573921931</v>
      </c>
      <c r="C1493" s="18" t="n">
        <f aca="false">'Black-Scholes'!$B$5*EXP(('Black-Scholes'!$B$8-'Black-Scholes'!$B$10-'Black-Scholes'!$B$9^2/2)*'Black-Scholes'!$B$7+'Black-Scholes'!$B$9*SQRT('Black-Scholes'!$B$7)*B1493)</f>
        <v>80.7452420305288</v>
      </c>
      <c r="D1493" s="18" t="n">
        <f aca="false">'Black-Scholes'!$B$5*EXP(('Black-Scholes'!$B$8-'Black-Scholes'!$B$10-'Black-Scholes'!$B$9^2/2)*'Black-Scholes'!$B$7-'Black-Scholes'!$B$9*SQRT('Black-Scholes'!$B$7)*B1493)</f>
        <v>131.504534489338</v>
      </c>
      <c r="E1493" s="18" t="n">
        <f aca="false">EXP(-'Black-Scholes'!$B$8*'Black-Scholes'!$B$7)*IF(LOWER('Black-Scholes'!$B$11)="put",MAX('Black-Scholes'!$B$6-C1493,0),MAX(C1493-'Black-Scholes'!$B$6,0))</f>
        <v>0</v>
      </c>
      <c r="F1493" s="18" t="n">
        <f aca="false">(E1493+G1493)/2</f>
        <v>14.9840201057278</v>
      </c>
      <c r="G1493" s="18" t="n">
        <f aca="false">EXP(-'Black-Scholes'!$B$8*'Black-Scholes'!$B$7)*IF(LOWER('Black-Scholes'!$B$11)="put",MAX('Black-Scholes'!$B$6-D1493,0),MAX(D1493-'Black-Scholes'!$B$6,0))</f>
        <v>29.9680402114557</v>
      </c>
    </row>
    <row r="1494" customFormat="false" ht="15" hidden="false" customHeight="false" outlineLevel="0" collapsed="false">
      <c r="A1494" s="0" t="n">
        <v>1483</v>
      </c>
      <c r="B1494" s="15" t="n">
        <v>-1.09399722213156</v>
      </c>
      <c r="C1494" s="18" t="n">
        <f aca="false">'Black-Scholes'!$B$5*EXP(('Black-Scholes'!$B$8-'Black-Scholes'!$B$10-'Black-Scholes'!$B$9^2/2)*'Black-Scholes'!$B$7+'Black-Scholes'!$B$9*SQRT('Black-Scholes'!$B$7)*B1494)</f>
        <v>82.7952540541425</v>
      </c>
      <c r="D1494" s="18" t="n">
        <f aca="false">'Black-Scholes'!$B$5*EXP(('Black-Scholes'!$B$8-'Black-Scholes'!$B$10-'Black-Scholes'!$B$9^2/2)*'Black-Scholes'!$B$7-'Black-Scholes'!$B$9*SQRT('Black-Scholes'!$B$7)*B1494)</f>
        <v>128.248479780132</v>
      </c>
      <c r="E1494" s="18" t="n">
        <f aca="false">EXP(-'Black-Scholes'!$B$8*'Black-Scholes'!$B$7)*IF(LOWER('Black-Scholes'!$B$11)="put",MAX('Black-Scholes'!$B$6-C1494,0),MAX(C1494-'Black-Scholes'!$B$6,0))</f>
        <v>0</v>
      </c>
      <c r="F1494" s="18" t="n">
        <f aca="false">(E1494+G1494)/2</f>
        <v>13.4353925821376</v>
      </c>
      <c r="G1494" s="18" t="n">
        <f aca="false">EXP(-'Black-Scholes'!$B$8*'Black-Scholes'!$B$7)*IF(LOWER('Black-Scholes'!$B$11)="put",MAX('Black-Scholes'!$B$6-D1494,0),MAX(D1494-'Black-Scholes'!$B$6,0))</f>
        <v>26.8707851642752</v>
      </c>
    </row>
    <row r="1495" customFormat="false" ht="15" hidden="false" customHeight="false" outlineLevel="0" collapsed="false">
      <c r="A1495" s="0" t="n">
        <v>1484</v>
      </c>
      <c r="B1495" s="15" t="n">
        <v>-0.165790462175889</v>
      </c>
      <c r="C1495" s="18" t="n">
        <f aca="false">'Black-Scholes'!$B$5*EXP(('Black-Scholes'!$B$8-'Black-Scholes'!$B$10-'Black-Scholes'!$B$9^2/2)*'Black-Scholes'!$B$7+'Black-Scholes'!$B$9*SQRT('Black-Scholes'!$B$7)*B1495)</f>
        <v>99.6846889093315</v>
      </c>
      <c r="D1495" s="18" t="n">
        <f aca="false">'Black-Scholes'!$B$5*EXP(('Black-Scholes'!$B$8-'Black-Scholes'!$B$10-'Black-Scholes'!$B$9^2/2)*'Black-Scholes'!$B$7-'Black-Scholes'!$B$9*SQRT('Black-Scholes'!$B$7)*B1495)</f>
        <v>106.519522522777</v>
      </c>
      <c r="E1495" s="18" t="n">
        <f aca="false">EXP(-'Black-Scholes'!$B$8*'Black-Scholes'!$B$7)*IF(LOWER('Black-Scholes'!$B$11)="put",MAX('Black-Scholes'!$B$6-C1495,0),MAX(C1495-'Black-Scholes'!$B$6,0))</f>
        <v>0</v>
      </c>
      <c r="F1495" s="18" t="n">
        <f aca="false">(E1495+G1495)/2</f>
        <v>3.10078082868052</v>
      </c>
      <c r="G1495" s="18" t="n">
        <f aca="false">EXP(-'Black-Scholes'!$B$8*'Black-Scholes'!$B$7)*IF(LOWER('Black-Scholes'!$B$11)="put",MAX('Black-Scholes'!$B$6-D1495,0),MAX(D1495-'Black-Scholes'!$B$6,0))</f>
        <v>6.20156165736104</v>
      </c>
    </row>
    <row r="1496" customFormat="false" ht="15" hidden="false" customHeight="false" outlineLevel="0" collapsed="false">
      <c r="A1496" s="0" t="n">
        <v>1485</v>
      </c>
      <c r="B1496" s="15" t="n">
        <v>0.434157902260245</v>
      </c>
      <c r="C1496" s="18" t="n">
        <f aca="false">'Black-Scholes'!$B$5*EXP(('Black-Scholes'!$B$8-'Black-Scholes'!$B$10-'Black-Scholes'!$B$9^2/2)*'Black-Scholes'!$B$7+'Black-Scholes'!$B$9*SQRT('Black-Scholes'!$B$7)*B1496)</f>
        <v>112.393012194636</v>
      </c>
      <c r="D1496" s="18" t="n">
        <f aca="false">'Black-Scholes'!$B$5*EXP(('Black-Scholes'!$B$8-'Black-Scholes'!$B$10-'Black-Scholes'!$B$9^2/2)*'Black-Scholes'!$B$7-'Black-Scholes'!$B$9*SQRT('Black-Scholes'!$B$7)*B1496)</f>
        <v>94.4753170870209</v>
      </c>
      <c r="E1496" s="18" t="n">
        <f aca="false">EXP(-'Black-Scholes'!$B$8*'Black-Scholes'!$B$7)*IF(LOWER('Black-Scholes'!$B$11)="put",MAX('Black-Scholes'!$B$6-C1496,0),MAX(C1496-'Black-Scholes'!$B$6,0))</f>
        <v>11.7885978577335</v>
      </c>
      <c r="F1496" s="18" t="n">
        <f aca="false">(E1496+G1496)/2</f>
        <v>5.89429892886674</v>
      </c>
      <c r="G1496" s="18" t="n">
        <f aca="false">EXP(-'Black-Scholes'!$B$8*'Black-Scholes'!$B$7)*IF(LOWER('Black-Scholes'!$B$11)="put",MAX('Black-Scholes'!$B$6-D1496,0),MAX(D1496-'Black-Scholes'!$B$6,0))</f>
        <v>0</v>
      </c>
    </row>
    <row r="1497" customFormat="false" ht="15" hidden="false" customHeight="false" outlineLevel="0" collapsed="false">
      <c r="A1497" s="0" t="n">
        <v>1486</v>
      </c>
      <c r="B1497" s="15" t="n">
        <v>1.90890278797004</v>
      </c>
      <c r="C1497" s="18" t="n">
        <f aca="false">'Black-Scholes'!$B$5*EXP(('Black-Scholes'!$B$8-'Black-Scholes'!$B$10-'Black-Scholes'!$B$9^2/2)*'Black-Scholes'!$B$7+'Black-Scholes'!$B$9*SQRT('Black-Scholes'!$B$7)*B1497)</f>
        <v>150.950315097774</v>
      </c>
      <c r="D1497" s="18" t="n">
        <f aca="false">'Black-Scholes'!$B$5*EXP(('Black-Scholes'!$B$8-'Black-Scholes'!$B$10-'Black-Scholes'!$B$9^2/2)*'Black-Scholes'!$B$7-'Black-Scholes'!$B$9*SQRT('Black-Scholes'!$B$7)*B1497)</f>
        <v>70.3434468392849</v>
      </c>
      <c r="E1497" s="18" t="n">
        <f aca="false">EXP(-'Black-Scholes'!$B$8*'Black-Scholes'!$B$7)*IF(LOWER('Black-Scholes'!$B$11)="put",MAX('Black-Scholes'!$B$6-C1497,0),MAX(C1497-'Black-Scholes'!$B$6,0))</f>
        <v>48.465438908586</v>
      </c>
      <c r="F1497" s="18" t="n">
        <f aca="false">(E1497+G1497)/2</f>
        <v>24.232719454293</v>
      </c>
      <c r="G1497" s="18" t="n">
        <f aca="false">EXP(-'Black-Scholes'!$B$8*'Black-Scholes'!$B$7)*IF(LOWER('Black-Scholes'!$B$11)="put",MAX('Black-Scholes'!$B$6-D1497,0),MAX(D1497-'Black-Scholes'!$B$6,0))</f>
        <v>0</v>
      </c>
    </row>
    <row r="1498" customFormat="false" ht="15" hidden="false" customHeight="false" outlineLevel="0" collapsed="false">
      <c r="A1498" s="0" t="n">
        <v>1487</v>
      </c>
      <c r="B1498" s="15" t="n">
        <v>-1.42907118962618</v>
      </c>
      <c r="C1498" s="18" t="n">
        <f aca="false">'Black-Scholes'!$B$5*EXP(('Black-Scholes'!$B$8-'Black-Scholes'!$B$10-'Black-Scholes'!$B$9^2/2)*'Black-Scholes'!$B$7+'Black-Scholes'!$B$9*SQRT('Black-Scholes'!$B$7)*B1498)</f>
        <v>77.4285788368231</v>
      </c>
      <c r="D1498" s="18" t="n">
        <f aca="false">'Black-Scholes'!$B$5*EXP(('Black-Scholes'!$B$8-'Black-Scholes'!$B$10-'Black-Scholes'!$B$9^2/2)*'Black-Scholes'!$B$7-'Black-Scholes'!$B$9*SQRT('Black-Scholes'!$B$7)*B1498)</f>
        <v>137.137548240828</v>
      </c>
      <c r="E1498" s="18" t="n">
        <f aca="false">EXP(-'Black-Scholes'!$B$8*'Black-Scholes'!$B$7)*IF(LOWER('Black-Scholes'!$B$11)="put",MAX('Black-Scholes'!$B$6-C1498,0),MAX(C1498-'Black-Scholes'!$B$6,0))</f>
        <v>0</v>
      </c>
      <c r="F1498" s="18" t="n">
        <f aca="false">(E1498+G1498)/2</f>
        <v>17.6631643202453</v>
      </c>
      <c r="G1498" s="18" t="n">
        <f aca="false">EXP(-'Black-Scholes'!$B$8*'Black-Scholes'!$B$7)*IF(LOWER('Black-Scholes'!$B$11)="put",MAX('Black-Scholes'!$B$6-D1498,0),MAX(D1498-'Black-Scholes'!$B$6,0))</f>
        <v>35.3263286404906</v>
      </c>
    </row>
    <row r="1499" customFormat="false" ht="15" hidden="false" customHeight="false" outlineLevel="0" collapsed="false">
      <c r="A1499" s="0" t="n">
        <v>1488</v>
      </c>
      <c r="B1499" s="15" t="n">
        <v>-0.0366044874425041</v>
      </c>
      <c r="C1499" s="18" t="n">
        <f aca="false">'Black-Scholes'!$B$5*EXP(('Black-Scholes'!$B$8-'Black-Scholes'!$B$10-'Black-Scholes'!$B$9^2/2)*'Black-Scholes'!$B$7+'Black-Scholes'!$B$9*SQRT('Black-Scholes'!$B$7)*B1499)</f>
        <v>102.293822856451</v>
      </c>
      <c r="D1499" s="18" t="n">
        <f aca="false">'Black-Scholes'!$B$5*EXP(('Black-Scholes'!$B$8-'Black-Scholes'!$B$10-'Black-Scholes'!$B$9^2/2)*'Black-Scholes'!$B$7-'Black-Scholes'!$B$9*SQRT('Black-Scholes'!$B$7)*B1499)</f>
        <v>103.802606735642</v>
      </c>
      <c r="E1499" s="18" t="n">
        <f aca="false">EXP(-'Black-Scholes'!$B$8*'Black-Scholes'!$B$7)*IF(LOWER('Black-Scholes'!$B$11)="put",MAX('Black-Scholes'!$B$6-C1499,0),MAX(C1499-'Black-Scholes'!$B$6,0))</f>
        <v>2.18195179564867</v>
      </c>
      <c r="F1499" s="18" t="n">
        <f aca="false">(E1499+G1499)/2</f>
        <v>2.89955160619781</v>
      </c>
      <c r="G1499" s="18" t="n">
        <f aca="false">EXP(-'Black-Scholes'!$B$8*'Black-Scholes'!$B$7)*IF(LOWER('Black-Scholes'!$B$11)="put",MAX('Black-Scholes'!$B$6-D1499,0),MAX(D1499-'Black-Scholes'!$B$6,0))</f>
        <v>3.61715141674696</v>
      </c>
    </row>
    <row r="1500" customFormat="false" ht="15" hidden="false" customHeight="false" outlineLevel="0" collapsed="false">
      <c r="A1500" s="0" t="n">
        <v>1489</v>
      </c>
      <c r="B1500" s="15" t="n">
        <v>1.83158150483334</v>
      </c>
      <c r="C1500" s="18" t="n">
        <f aca="false">'Black-Scholes'!$B$5*EXP(('Black-Scholes'!$B$8-'Black-Scholes'!$B$10-'Black-Scholes'!$B$9^2/2)*'Black-Scholes'!$B$7+'Black-Scholes'!$B$9*SQRT('Black-Scholes'!$B$7)*B1500)</f>
        <v>148.633937378857</v>
      </c>
      <c r="D1500" s="18" t="n">
        <f aca="false">'Black-Scholes'!$B$5*EXP(('Black-Scholes'!$B$8-'Black-Scholes'!$B$10-'Black-Scholes'!$B$9^2/2)*'Black-Scholes'!$B$7-'Black-Scholes'!$B$9*SQRT('Black-Scholes'!$B$7)*B1500)</f>
        <v>71.4397105580816</v>
      </c>
      <c r="E1500" s="18" t="n">
        <f aca="false">EXP(-'Black-Scholes'!$B$8*'Black-Scholes'!$B$7)*IF(LOWER('Black-Scholes'!$B$11)="put",MAX('Black-Scholes'!$B$6-C1500,0),MAX(C1500-'Black-Scholes'!$B$6,0))</f>
        <v>46.2620322640943</v>
      </c>
      <c r="F1500" s="18" t="n">
        <f aca="false">(E1500+G1500)/2</f>
        <v>23.1310161320472</v>
      </c>
      <c r="G1500" s="18" t="n">
        <f aca="false">EXP(-'Black-Scholes'!$B$8*'Black-Scholes'!$B$7)*IF(LOWER('Black-Scholes'!$B$11)="put",MAX('Black-Scholes'!$B$6-D1500,0),MAX(D1500-'Black-Scholes'!$B$6,0))</f>
        <v>0</v>
      </c>
    </row>
    <row r="1501" customFormat="false" ht="15" hidden="false" customHeight="false" outlineLevel="0" collapsed="false">
      <c r="A1501" s="0" t="n">
        <v>1490</v>
      </c>
      <c r="B1501" s="15" t="n">
        <v>-1.86286892817139</v>
      </c>
      <c r="C1501" s="18" t="n">
        <f aca="false">'Black-Scholes'!$B$5*EXP(('Black-Scholes'!$B$8-'Black-Scholes'!$B$10-'Black-Scholes'!$B$9^2/2)*'Black-Scholes'!$B$7+'Black-Scholes'!$B$9*SQRT('Black-Scholes'!$B$7)*B1501)</f>
        <v>70.9940734025572</v>
      </c>
      <c r="D1501" s="18" t="n">
        <f aca="false">'Black-Scholes'!$B$5*EXP(('Black-Scholes'!$B$8-'Black-Scholes'!$B$10-'Black-Scholes'!$B$9^2/2)*'Black-Scholes'!$B$7-'Black-Scholes'!$B$9*SQRT('Black-Scholes'!$B$7)*B1501)</f>
        <v>149.566928006009</v>
      </c>
      <c r="E1501" s="18" t="n">
        <f aca="false">EXP(-'Black-Scholes'!$B$8*'Black-Scholes'!$B$7)*IF(LOWER('Black-Scholes'!$B$11)="put",MAX('Black-Scholes'!$B$6-C1501,0),MAX(C1501-'Black-Scholes'!$B$6,0))</f>
        <v>0</v>
      </c>
      <c r="F1501" s="18" t="n">
        <f aca="false">(E1501+G1501)/2</f>
        <v>23.5747602007122</v>
      </c>
      <c r="G1501" s="18" t="n">
        <f aca="false">EXP(-'Black-Scholes'!$B$8*'Black-Scholes'!$B$7)*IF(LOWER('Black-Scholes'!$B$11)="put",MAX('Black-Scholes'!$B$6-D1501,0),MAX(D1501-'Black-Scholes'!$B$6,0))</f>
        <v>47.1495204014243</v>
      </c>
    </row>
    <row r="1502" customFormat="false" ht="15" hidden="false" customHeight="false" outlineLevel="0" collapsed="false">
      <c r="A1502" s="0" t="n">
        <v>1491</v>
      </c>
      <c r="B1502" s="15" t="n">
        <v>-0.673703429827747</v>
      </c>
      <c r="C1502" s="18" t="n">
        <f aca="false">'Black-Scholes'!$B$5*EXP(('Black-Scholes'!$B$8-'Black-Scholes'!$B$10-'Black-Scholes'!$B$9^2/2)*'Black-Scholes'!$B$7+'Black-Scholes'!$B$9*SQRT('Black-Scholes'!$B$7)*B1502)</f>
        <v>90.0558019643756</v>
      </c>
      <c r="D1502" s="18" t="n">
        <f aca="false">'Black-Scholes'!$B$5*EXP(('Black-Scholes'!$B$8-'Black-Scholes'!$B$10-'Black-Scholes'!$B$9^2/2)*'Black-Scholes'!$B$7-'Black-Scholes'!$B$9*SQRT('Black-Scholes'!$B$7)*B1502)</f>
        <v>117.908732517357</v>
      </c>
      <c r="E1502" s="18" t="n">
        <f aca="false">EXP(-'Black-Scholes'!$B$8*'Black-Scholes'!$B$7)*IF(LOWER('Black-Scholes'!$B$11)="put",MAX('Black-Scholes'!$B$6-C1502,0),MAX(C1502-'Black-Scholes'!$B$6,0))</f>
        <v>0</v>
      </c>
      <c r="F1502" s="18" t="n">
        <f aca="false">(E1502+G1502)/2</f>
        <v>8.51765666301116</v>
      </c>
      <c r="G1502" s="18" t="n">
        <f aca="false">EXP(-'Black-Scholes'!$B$8*'Black-Scholes'!$B$7)*IF(LOWER('Black-Scholes'!$B$11)="put",MAX('Black-Scholes'!$B$6-D1502,0),MAX(D1502-'Black-Scholes'!$B$6,0))</f>
        <v>17.0353133260223</v>
      </c>
    </row>
    <row r="1503" customFormat="false" ht="15" hidden="false" customHeight="false" outlineLevel="0" collapsed="false">
      <c r="A1503" s="0" t="n">
        <v>1492</v>
      </c>
      <c r="B1503" s="15" t="n">
        <v>-1.10063546253087</v>
      </c>
      <c r="C1503" s="18" t="n">
        <f aca="false">'Black-Scholes'!$B$5*EXP(('Black-Scholes'!$B$8-'Black-Scholes'!$B$10-'Black-Scholes'!$B$9^2/2)*'Black-Scholes'!$B$7+'Black-Scholes'!$B$9*SQRT('Black-Scholes'!$B$7)*B1503)</f>
        <v>82.6854040312974</v>
      </c>
      <c r="D1503" s="18" t="n">
        <f aca="false">'Black-Scholes'!$B$5*EXP(('Black-Scholes'!$B$8-'Black-Scholes'!$B$10-'Black-Scholes'!$B$9^2/2)*'Black-Scholes'!$B$7-'Black-Scholes'!$B$9*SQRT('Black-Scholes'!$B$7)*B1503)</f>
        <v>128.418861706649</v>
      </c>
      <c r="E1503" s="18" t="n">
        <f aca="false">EXP(-'Black-Scholes'!$B$8*'Black-Scholes'!$B$7)*IF(LOWER('Black-Scholes'!$B$11)="put",MAX('Black-Scholes'!$B$6-C1503,0),MAX(C1503-'Black-Scholes'!$B$6,0))</f>
        <v>0</v>
      </c>
      <c r="F1503" s="18" t="n">
        <f aca="false">(E1503+G1503)/2</f>
        <v>13.5164287330907</v>
      </c>
      <c r="G1503" s="18" t="n">
        <f aca="false">EXP(-'Black-Scholes'!$B$8*'Black-Scholes'!$B$7)*IF(LOWER('Black-Scholes'!$B$11)="put",MAX('Black-Scholes'!$B$6-D1503,0),MAX(D1503-'Black-Scholes'!$B$6,0))</f>
        <v>27.0328574661813</v>
      </c>
    </row>
    <row r="1504" customFormat="false" ht="15" hidden="false" customHeight="false" outlineLevel="0" collapsed="false">
      <c r="A1504" s="0" t="n">
        <v>1493</v>
      </c>
      <c r="B1504" s="15" t="n">
        <v>-0.0267152762571423</v>
      </c>
      <c r="C1504" s="18" t="n">
        <f aca="false">'Black-Scholes'!$B$5*EXP(('Black-Scholes'!$B$8-'Black-Scholes'!$B$10-'Black-Scholes'!$B$9^2/2)*'Black-Scholes'!$B$7+'Black-Scholes'!$B$9*SQRT('Black-Scholes'!$B$7)*B1504)</f>
        <v>102.496344111415</v>
      </c>
      <c r="D1504" s="18" t="n">
        <f aca="false">'Black-Scholes'!$B$5*EXP(('Black-Scholes'!$B$8-'Black-Scholes'!$B$10-'Black-Scholes'!$B$9^2/2)*'Black-Scholes'!$B$7-'Black-Scholes'!$B$9*SQRT('Black-Scholes'!$B$7)*B1504)</f>
        <v>103.597504452562</v>
      </c>
      <c r="E1504" s="18" t="n">
        <f aca="false">EXP(-'Black-Scholes'!$B$8*'Black-Scholes'!$B$7)*IF(LOWER('Black-Scholes'!$B$11)="put",MAX('Black-Scholes'!$B$6-C1504,0),MAX(C1504-'Black-Scholes'!$B$6,0))</f>
        <v>2.37459597245678</v>
      </c>
      <c r="F1504" s="18" t="n">
        <f aca="false">(E1504+G1504)/2</f>
        <v>2.89832403125297</v>
      </c>
      <c r="G1504" s="18" t="n">
        <f aca="false">EXP(-'Black-Scholes'!$B$8*'Black-Scholes'!$B$7)*IF(LOWER('Black-Scholes'!$B$11)="put",MAX('Black-Scholes'!$B$6-D1504,0),MAX(D1504-'Black-Scholes'!$B$6,0))</f>
        <v>3.42205209004915</v>
      </c>
    </row>
    <row r="1505" customFormat="false" ht="15" hidden="false" customHeight="false" outlineLevel="0" collapsed="false">
      <c r="A1505" s="0" t="n">
        <v>1494</v>
      </c>
      <c r="B1505" s="15" t="n">
        <v>0.911640794551567</v>
      </c>
      <c r="C1505" s="18" t="n">
        <f aca="false">'Black-Scholes'!$B$5*EXP(('Black-Scholes'!$B$8-'Black-Scholes'!$B$10-'Black-Scholes'!$B$9^2/2)*'Black-Scholes'!$B$7+'Black-Scholes'!$B$9*SQRT('Black-Scholes'!$B$7)*B1505)</f>
        <v>123.655360458805</v>
      </c>
      <c r="D1505" s="18" t="n">
        <f aca="false">'Black-Scholes'!$B$5*EXP(('Black-Scholes'!$B$8-'Black-Scholes'!$B$10-'Black-Scholes'!$B$9^2/2)*'Black-Scholes'!$B$7-'Black-Scholes'!$B$9*SQRT('Black-Scholes'!$B$7)*B1505)</f>
        <v>85.8706442329366</v>
      </c>
      <c r="E1505" s="18" t="n">
        <f aca="false">EXP(-'Black-Scholes'!$B$8*'Black-Scholes'!$B$7)*IF(LOWER('Black-Scholes'!$B$11)="put",MAX('Black-Scholes'!$B$6-C1505,0),MAX(C1505-'Black-Scholes'!$B$6,0))</f>
        <v>22.5016749155862</v>
      </c>
      <c r="F1505" s="18" t="n">
        <f aca="false">(E1505+G1505)/2</f>
        <v>11.2508374577931</v>
      </c>
      <c r="G1505" s="18" t="n">
        <f aca="false">EXP(-'Black-Scholes'!$B$8*'Black-Scholes'!$B$7)*IF(LOWER('Black-Scholes'!$B$11)="put",MAX('Black-Scholes'!$B$6-D1505,0),MAX(D1505-'Black-Scholes'!$B$6,0))</f>
        <v>0</v>
      </c>
    </row>
    <row r="1506" customFormat="false" ht="15" hidden="false" customHeight="false" outlineLevel="0" collapsed="false">
      <c r="A1506" s="0" t="n">
        <v>1495</v>
      </c>
      <c r="B1506" s="15" t="n">
        <v>0.763918248825548</v>
      </c>
      <c r="C1506" s="18" t="n">
        <f aca="false">'Black-Scholes'!$B$5*EXP(('Black-Scholes'!$B$8-'Black-Scholes'!$B$10-'Black-Scholes'!$B$9^2/2)*'Black-Scholes'!$B$7+'Black-Scholes'!$B$9*SQRT('Black-Scholes'!$B$7)*B1506)</f>
        <v>120.055463970307</v>
      </c>
      <c r="D1506" s="18" t="n">
        <f aca="false">'Black-Scholes'!$B$5*EXP(('Black-Scholes'!$B$8-'Black-Scholes'!$B$10-'Black-Scholes'!$B$9^2/2)*'Black-Scholes'!$B$7-'Black-Scholes'!$B$9*SQRT('Black-Scholes'!$B$7)*B1506)</f>
        <v>88.4454993908466</v>
      </c>
      <c r="E1506" s="18" t="n">
        <f aca="false">EXP(-'Black-Scholes'!$B$8*'Black-Scholes'!$B$7)*IF(LOWER('Black-Scholes'!$B$11)="put",MAX('Black-Scholes'!$B$6-C1506,0),MAX(C1506-'Black-Scholes'!$B$6,0))</f>
        <v>19.07734745057</v>
      </c>
      <c r="F1506" s="18" t="n">
        <f aca="false">(E1506+G1506)/2</f>
        <v>9.53867372528501</v>
      </c>
      <c r="G1506" s="18" t="n">
        <f aca="false">EXP(-'Black-Scholes'!$B$8*'Black-Scholes'!$B$7)*IF(LOWER('Black-Scholes'!$B$11)="put",MAX('Black-Scholes'!$B$6-D1506,0),MAX(D1506-'Black-Scholes'!$B$6,0))</f>
        <v>0</v>
      </c>
    </row>
    <row r="1507" customFormat="false" ht="15" hidden="false" customHeight="false" outlineLevel="0" collapsed="false">
      <c r="A1507" s="0" t="n">
        <v>1496</v>
      </c>
      <c r="B1507" s="15" t="n">
        <v>-0.234088750575071</v>
      </c>
      <c r="C1507" s="18" t="n">
        <f aca="false">'Black-Scholes'!$B$5*EXP(('Black-Scholes'!$B$8-'Black-Scholes'!$B$10-'Black-Scholes'!$B$9^2/2)*'Black-Scholes'!$B$7+'Black-Scholes'!$B$9*SQRT('Black-Scholes'!$B$7)*B1507)</f>
        <v>98.332287878692</v>
      </c>
      <c r="D1507" s="18" t="n">
        <f aca="false">'Black-Scholes'!$B$5*EXP(('Black-Scholes'!$B$8-'Black-Scholes'!$B$10-'Black-Scholes'!$B$9^2/2)*'Black-Scholes'!$B$7-'Black-Scholes'!$B$9*SQRT('Black-Scholes'!$B$7)*B1507)</f>
        <v>107.984525678412</v>
      </c>
      <c r="E1507" s="18" t="n">
        <f aca="false">EXP(-'Black-Scholes'!$B$8*'Black-Scholes'!$B$7)*IF(LOWER('Black-Scholes'!$B$11)="put",MAX('Black-Scholes'!$B$6-C1507,0),MAX(C1507-'Black-Scholes'!$B$6,0))</f>
        <v>0</v>
      </c>
      <c r="F1507" s="18" t="n">
        <f aca="false">(E1507+G1507)/2</f>
        <v>3.79755788299343</v>
      </c>
      <c r="G1507" s="18" t="n">
        <f aca="false">EXP(-'Black-Scholes'!$B$8*'Black-Scholes'!$B$7)*IF(LOWER('Black-Scholes'!$B$11)="put",MAX('Black-Scholes'!$B$6-D1507,0),MAX(D1507-'Black-Scholes'!$B$6,0))</f>
        <v>7.59511576598687</v>
      </c>
    </row>
    <row r="1508" customFormat="false" ht="15" hidden="false" customHeight="false" outlineLevel="0" collapsed="false">
      <c r="A1508" s="0" t="n">
        <v>1497</v>
      </c>
      <c r="B1508" s="15" t="n">
        <v>-0.542122507963452</v>
      </c>
      <c r="C1508" s="18" t="n">
        <f aca="false">'Black-Scholes'!$B$5*EXP(('Black-Scholes'!$B$8-'Black-Scholes'!$B$10-'Black-Scholes'!$B$9^2/2)*'Black-Scholes'!$B$7+'Black-Scholes'!$B$9*SQRT('Black-Scholes'!$B$7)*B1508)</f>
        <v>92.4571860999534</v>
      </c>
      <c r="D1508" s="18" t="n">
        <f aca="false">'Black-Scholes'!$B$5*EXP(('Black-Scholes'!$B$8-'Black-Scholes'!$B$10-'Black-Scholes'!$B$9^2/2)*'Black-Scholes'!$B$7-'Black-Scholes'!$B$9*SQRT('Black-Scholes'!$B$7)*B1508)</f>
        <v>114.846297117179</v>
      </c>
      <c r="E1508" s="18" t="n">
        <f aca="false">EXP(-'Black-Scholes'!$B$8*'Black-Scholes'!$B$7)*IF(LOWER('Black-Scholes'!$B$11)="put",MAX('Black-Scholes'!$B$6-C1508,0),MAX(C1508-'Black-Scholes'!$B$6,0))</f>
        <v>0</v>
      </c>
      <c r="F1508" s="18" t="n">
        <f aca="false">(E1508+G1508)/2</f>
        <v>7.06111733137059</v>
      </c>
      <c r="G1508" s="18" t="n">
        <f aca="false">EXP(-'Black-Scholes'!$B$8*'Black-Scholes'!$B$7)*IF(LOWER('Black-Scholes'!$B$11)="put",MAX('Black-Scholes'!$B$6-D1508,0),MAX(D1508-'Black-Scholes'!$B$6,0))</f>
        <v>14.1222346627412</v>
      </c>
    </row>
    <row r="1509" customFormat="false" ht="15" hidden="false" customHeight="false" outlineLevel="0" collapsed="false">
      <c r="A1509" s="0" t="n">
        <v>1498</v>
      </c>
      <c r="B1509" s="15" t="n">
        <v>0.584773666775613</v>
      </c>
      <c r="C1509" s="18" t="n">
        <f aca="false">'Black-Scholes'!$B$5*EXP(('Black-Scholes'!$B$8-'Black-Scholes'!$B$10-'Black-Scholes'!$B$9^2/2)*'Black-Scholes'!$B$7+'Black-Scholes'!$B$9*SQRT('Black-Scholes'!$B$7)*B1509)</f>
        <v>115.830152941912</v>
      </c>
      <c r="D1509" s="18" t="n">
        <f aca="false">'Black-Scholes'!$B$5*EXP(('Black-Scholes'!$B$8-'Black-Scholes'!$B$10-'Black-Scholes'!$B$9^2/2)*'Black-Scholes'!$B$7-'Black-Scholes'!$B$9*SQRT('Black-Scholes'!$B$7)*B1509)</f>
        <v>91.6718591468889</v>
      </c>
      <c r="E1509" s="18" t="n">
        <f aca="false">EXP(-'Black-Scholes'!$B$8*'Black-Scholes'!$B$7)*IF(LOWER('Black-Scholes'!$B$11)="put",MAX('Black-Scholes'!$B$6-C1509,0),MAX(C1509-'Black-Scholes'!$B$6,0))</f>
        <v>15.0581072726936</v>
      </c>
      <c r="F1509" s="18" t="n">
        <f aca="false">(E1509+G1509)/2</f>
        <v>7.52905363634682</v>
      </c>
      <c r="G1509" s="18" t="n">
        <f aca="false">EXP(-'Black-Scholes'!$B$8*'Black-Scholes'!$B$7)*IF(LOWER('Black-Scholes'!$B$11)="put",MAX('Black-Scholes'!$B$6-D1509,0),MAX(D1509-'Black-Scholes'!$B$6,0))</f>
        <v>0</v>
      </c>
    </row>
    <row r="1510" customFormat="false" ht="15" hidden="false" customHeight="false" outlineLevel="0" collapsed="false">
      <c r="A1510" s="0" t="n">
        <v>1499</v>
      </c>
      <c r="B1510" s="15" t="n">
        <v>0.559699726832577</v>
      </c>
      <c r="C1510" s="18" t="n">
        <f aca="false">'Black-Scholes'!$B$5*EXP(('Black-Scholes'!$B$8-'Black-Scholes'!$B$10-'Black-Scholes'!$B$9^2/2)*'Black-Scholes'!$B$7+'Black-Scholes'!$B$9*SQRT('Black-Scholes'!$B$7)*B1510)</f>
        <v>115.250743304719</v>
      </c>
      <c r="D1510" s="18" t="n">
        <f aca="false">'Black-Scholes'!$B$5*EXP(('Black-Scholes'!$B$8-'Black-Scholes'!$B$10-'Black-Scholes'!$B$9^2/2)*'Black-Scholes'!$B$7-'Black-Scholes'!$B$9*SQRT('Black-Scholes'!$B$7)*B1510)</f>
        <v>92.1327287007512</v>
      </c>
      <c r="E1510" s="18" t="n">
        <f aca="false">EXP(-'Black-Scholes'!$B$8*'Black-Scholes'!$B$7)*IF(LOWER('Black-Scholes'!$B$11)="put",MAX('Black-Scholes'!$B$6-C1510,0),MAX(C1510-'Black-Scholes'!$B$6,0))</f>
        <v>14.506955776956</v>
      </c>
      <c r="F1510" s="18" t="n">
        <f aca="false">(E1510+G1510)/2</f>
        <v>7.25347788847801</v>
      </c>
      <c r="G1510" s="18" t="n">
        <f aca="false">EXP(-'Black-Scholes'!$B$8*'Black-Scholes'!$B$7)*IF(LOWER('Black-Scholes'!$B$11)="put",MAX('Black-Scholes'!$B$6-D1510,0),MAX(D1510-'Black-Scholes'!$B$6,0))</f>
        <v>0</v>
      </c>
    </row>
    <row r="1511" customFormat="false" ht="15" hidden="false" customHeight="false" outlineLevel="0" collapsed="false">
      <c r="A1511" s="0" t="n">
        <v>1500</v>
      </c>
      <c r="B1511" s="15" t="n">
        <v>0.306845775536788</v>
      </c>
      <c r="C1511" s="18" t="n">
        <f aca="false">'Black-Scholes'!$B$5*EXP(('Black-Scholes'!$B$8-'Black-Scholes'!$B$10-'Black-Scholes'!$B$9^2/2)*'Black-Scholes'!$B$7+'Black-Scholes'!$B$9*SQRT('Black-Scholes'!$B$7)*B1511)</f>
        <v>109.567340404403</v>
      </c>
      <c r="D1511" s="18" t="n">
        <f aca="false">'Black-Scholes'!$B$5*EXP(('Black-Scholes'!$B$8-'Black-Scholes'!$B$10-'Black-Scholes'!$B$9^2/2)*'Black-Scholes'!$B$7-'Black-Scholes'!$B$9*SQRT('Black-Scholes'!$B$7)*B1511)</f>
        <v>96.911775226652</v>
      </c>
      <c r="E1511" s="18" t="n">
        <f aca="false">EXP(-'Black-Scholes'!$B$8*'Black-Scholes'!$B$7)*IF(LOWER('Black-Scholes'!$B$11)="put",MAX('Black-Scholes'!$B$6-C1511,0),MAX(C1511-'Black-Scholes'!$B$6,0))</f>
        <v>9.10073570688298</v>
      </c>
      <c r="F1511" s="18" t="n">
        <f aca="false">(E1511+G1511)/2</f>
        <v>4.55036785344149</v>
      </c>
      <c r="G1511" s="18" t="n">
        <f aca="false">EXP(-'Black-Scholes'!$B$8*'Black-Scholes'!$B$7)*IF(LOWER('Black-Scholes'!$B$11)="put",MAX('Black-Scholes'!$B$6-D1511,0),MAX(D1511-'Black-Scholes'!$B$6,0))</f>
        <v>0</v>
      </c>
    </row>
    <row r="1512" customFormat="false" ht="15" hidden="false" customHeight="false" outlineLevel="0" collapsed="false">
      <c r="A1512" s="0" t="n">
        <v>1501</v>
      </c>
      <c r="B1512" s="15" t="n">
        <v>0.265669876151717</v>
      </c>
      <c r="C1512" s="18" t="n">
        <f aca="false">'Black-Scholes'!$B$5*EXP(('Black-Scholes'!$B$8-'Black-Scholes'!$B$10-'Black-Scholes'!$B$9^2/2)*'Black-Scholes'!$B$7+'Black-Scholes'!$B$9*SQRT('Black-Scholes'!$B$7)*B1512)</f>
        <v>108.668738798912</v>
      </c>
      <c r="D1512" s="18" t="n">
        <f aca="false">'Black-Scholes'!$B$5*EXP(('Black-Scholes'!$B$8-'Black-Scholes'!$B$10-'Black-Scholes'!$B$9^2/2)*'Black-Scholes'!$B$7-'Black-Scholes'!$B$9*SQRT('Black-Scholes'!$B$7)*B1512)</f>
        <v>97.7131563577135</v>
      </c>
      <c r="E1512" s="18" t="n">
        <f aca="false">EXP(-'Black-Scholes'!$B$8*'Black-Scholes'!$B$7)*IF(LOWER('Black-Scholes'!$B$11)="put",MAX('Black-Scholes'!$B$6-C1512,0),MAX(C1512-'Black-Scholes'!$B$6,0))</f>
        <v>8.24595941883587</v>
      </c>
      <c r="F1512" s="18" t="n">
        <f aca="false">(E1512+G1512)/2</f>
        <v>4.12297970941794</v>
      </c>
      <c r="G1512" s="18" t="n">
        <f aca="false">EXP(-'Black-Scholes'!$B$8*'Black-Scholes'!$B$7)*IF(LOWER('Black-Scholes'!$B$11)="put",MAX('Black-Scholes'!$B$6-D1512,0),MAX(D1512-'Black-Scholes'!$B$6,0))</f>
        <v>0</v>
      </c>
    </row>
    <row r="1513" customFormat="false" ht="15" hidden="false" customHeight="false" outlineLevel="0" collapsed="false">
      <c r="A1513" s="0" t="n">
        <v>1502</v>
      </c>
      <c r="B1513" s="15" t="n">
        <v>0.675650730345027</v>
      </c>
      <c r="C1513" s="18" t="n">
        <f aca="false">'Black-Scholes'!$B$5*EXP(('Black-Scholes'!$B$8-'Black-Scholes'!$B$10-'Black-Scholes'!$B$9^2/2)*'Black-Scholes'!$B$7+'Black-Scholes'!$B$9*SQRT('Black-Scholes'!$B$7)*B1513)</f>
        <v>117.954662207832</v>
      </c>
      <c r="D1513" s="18" t="n">
        <f aca="false">'Black-Scholes'!$B$5*EXP(('Black-Scholes'!$B$8-'Black-Scholes'!$B$10-'Black-Scholes'!$B$9^2/2)*'Black-Scholes'!$B$7-'Black-Scholes'!$B$9*SQRT('Black-Scholes'!$B$7)*B1513)</f>
        <v>90.0207356513339</v>
      </c>
      <c r="E1513" s="18" t="n">
        <f aca="false">EXP(-'Black-Scholes'!$B$8*'Black-Scholes'!$B$7)*IF(LOWER('Black-Scholes'!$B$11)="put",MAX('Black-Scholes'!$B$6-C1513,0),MAX(C1513-'Black-Scholes'!$B$6,0))</f>
        <v>17.0790029990604</v>
      </c>
      <c r="F1513" s="18" t="n">
        <f aca="false">(E1513+G1513)/2</f>
        <v>8.53950149953018</v>
      </c>
      <c r="G1513" s="18" t="n">
        <f aca="false">EXP(-'Black-Scholes'!$B$8*'Black-Scholes'!$B$7)*IF(LOWER('Black-Scholes'!$B$11)="put",MAX('Black-Scholes'!$B$6-D1513,0),MAX(D1513-'Black-Scholes'!$B$6,0))</f>
        <v>0</v>
      </c>
    </row>
    <row r="1514" customFormat="false" ht="15" hidden="false" customHeight="false" outlineLevel="0" collapsed="false">
      <c r="A1514" s="0" t="n">
        <v>1503</v>
      </c>
      <c r="B1514" s="15" t="n">
        <v>-0.680532102034991</v>
      </c>
      <c r="C1514" s="18" t="n">
        <f aca="false">'Black-Scholes'!$B$5*EXP(('Black-Scholes'!$B$8-'Black-Scholes'!$B$10-'Black-Scholes'!$B$9^2/2)*'Black-Scholes'!$B$7+'Black-Scholes'!$B$9*SQRT('Black-Scholes'!$B$7)*B1514)</f>
        <v>89.9328936031759</v>
      </c>
      <c r="D1514" s="18" t="n">
        <f aca="false">'Black-Scholes'!$B$5*EXP(('Black-Scholes'!$B$8-'Black-Scholes'!$B$10-'Black-Scholes'!$B$9^2/2)*'Black-Scholes'!$B$7-'Black-Scholes'!$B$9*SQRT('Black-Scholes'!$B$7)*B1514)</f>
        <v>118.069874547866</v>
      </c>
      <c r="E1514" s="18" t="n">
        <f aca="false">EXP(-'Black-Scholes'!$B$8*'Black-Scholes'!$B$7)*IF(LOWER('Black-Scholes'!$B$11)="put",MAX('Black-Scholes'!$B$6-C1514,0),MAX(C1514-'Black-Scholes'!$B$6,0))</f>
        <v>0</v>
      </c>
      <c r="F1514" s="18" t="n">
        <f aca="false">(E1514+G1514)/2</f>
        <v>8.59429818348352</v>
      </c>
      <c r="G1514" s="18" t="n">
        <f aca="false">EXP(-'Black-Scholes'!$B$8*'Black-Scholes'!$B$7)*IF(LOWER('Black-Scholes'!$B$11)="put",MAX('Black-Scholes'!$B$6-D1514,0),MAX(D1514-'Black-Scholes'!$B$6,0))</f>
        <v>17.188596366967</v>
      </c>
    </row>
    <row r="1515" customFormat="false" ht="15" hidden="false" customHeight="false" outlineLevel="0" collapsed="false">
      <c r="A1515" s="0" t="n">
        <v>1504</v>
      </c>
      <c r="B1515" s="15" t="n">
        <v>-0.148539448723646</v>
      </c>
      <c r="C1515" s="18" t="n">
        <f aca="false">'Black-Scholes'!$B$5*EXP(('Black-Scholes'!$B$8-'Black-Scholes'!$B$10-'Black-Scholes'!$B$9^2/2)*'Black-Scholes'!$B$7+'Black-Scholes'!$B$9*SQRT('Black-Scholes'!$B$7)*B1515)</f>
        <v>100.029215292363</v>
      </c>
      <c r="D1515" s="18" t="n">
        <f aca="false">'Black-Scholes'!$B$5*EXP(('Black-Scholes'!$B$8-'Black-Scholes'!$B$10-'Black-Scholes'!$B$9^2/2)*'Black-Scholes'!$B$7-'Black-Scholes'!$B$9*SQRT('Black-Scholes'!$B$7)*B1515)</f>
        <v>106.152641849869</v>
      </c>
      <c r="E1515" s="18" t="n">
        <f aca="false">EXP(-'Black-Scholes'!$B$8*'Black-Scholes'!$B$7)*IF(LOWER('Black-Scholes'!$B$11)="put",MAX('Black-Scholes'!$B$6-C1515,0),MAX(C1515-'Black-Scholes'!$B$6,0))</f>
        <v>0.0277904457406899</v>
      </c>
      <c r="F1515" s="18" t="n">
        <f aca="false">(E1515+G1515)/2</f>
        <v>2.94018220587525</v>
      </c>
      <c r="G1515" s="18" t="n">
        <f aca="false">EXP(-'Black-Scholes'!$B$8*'Black-Scholes'!$B$7)*IF(LOWER('Black-Scholes'!$B$11)="put",MAX('Black-Scholes'!$B$6-D1515,0),MAX(D1515-'Black-Scholes'!$B$6,0))</f>
        <v>5.8525739660098</v>
      </c>
    </row>
    <row r="1516" customFormat="false" ht="15" hidden="false" customHeight="false" outlineLevel="0" collapsed="false">
      <c r="A1516" s="0" t="n">
        <v>1505</v>
      </c>
      <c r="B1516" s="15" t="n">
        <v>0.784722118569051</v>
      </c>
      <c r="C1516" s="18" t="n">
        <f aca="false">'Black-Scholes'!$B$5*EXP(('Black-Scholes'!$B$8-'Black-Scholes'!$B$10-'Black-Scholes'!$B$9^2/2)*'Black-Scholes'!$B$7+'Black-Scholes'!$B$9*SQRT('Black-Scholes'!$B$7)*B1516)</f>
        <v>120.556028262478</v>
      </c>
      <c r="D1516" s="18" t="n">
        <f aca="false">'Black-Scholes'!$B$5*EXP(('Black-Scholes'!$B$8-'Black-Scholes'!$B$10-'Black-Scholes'!$B$9^2/2)*'Black-Scholes'!$B$7-'Black-Scholes'!$B$9*SQRT('Black-Scholes'!$B$7)*B1516)</f>
        <v>88.0782621863999</v>
      </c>
      <c r="E1516" s="18" t="n">
        <f aca="false">EXP(-'Black-Scholes'!$B$8*'Black-Scholes'!$B$7)*IF(LOWER('Black-Scholes'!$B$11)="put",MAX('Black-Scholes'!$B$6-C1516,0),MAX(C1516-'Black-Scholes'!$B$6,0))</f>
        <v>19.5534989341376</v>
      </c>
      <c r="F1516" s="18" t="n">
        <f aca="false">(E1516+G1516)/2</f>
        <v>9.77674946706882</v>
      </c>
      <c r="G1516" s="18" t="n">
        <f aca="false">EXP(-'Black-Scholes'!$B$8*'Black-Scholes'!$B$7)*IF(LOWER('Black-Scholes'!$B$11)="put",MAX('Black-Scholes'!$B$6-D1516,0),MAX(D1516-'Black-Scholes'!$B$6,0))</f>
        <v>0</v>
      </c>
    </row>
    <row r="1517" customFormat="false" ht="15" hidden="false" customHeight="false" outlineLevel="0" collapsed="false">
      <c r="A1517" s="0" t="n">
        <v>1506</v>
      </c>
      <c r="B1517" s="15" t="n">
        <v>-1.6341947398242</v>
      </c>
      <c r="C1517" s="18" t="n">
        <f aca="false">'Black-Scholes'!$B$5*EXP(('Black-Scholes'!$B$8-'Black-Scholes'!$B$10-'Black-Scholes'!$B$9^2/2)*'Black-Scholes'!$B$7+'Black-Scholes'!$B$9*SQRT('Black-Scholes'!$B$7)*B1517)</f>
        <v>74.316369074931</v>
      </c>
      <c r="D1517" s="18" t="n">
        <f aca="false">'Black-Scholes'!$B$5*EXP(('Black-Scholes'!$B$8-'Black-Scholes'!$B$10-'Black-Scholes'!$B$9^2/2)*'Black-Scholes'!$B$7-'Black-Scholes'!$B$9*SQRT('Black-Scholes'!$B$7)*B1517)</f>
        <v>142.880573925072</v>
      </c>
      <c r="E1517" s="18" t="n">
        <f aca="false">EXP(-'Black-Scholes'!$B$8*'Black-Scholes'!$B$7)*IF(LOWER('Black-Scholes'!$B$11)="put",MAX('Black-Scholes'!$B$6-C1517,0),MAX(C1517-'Black-Scholes'!$B$6,0))</f>
        <v>0</v>
      </c>
      <c r="F1517" s="18" t="n">
        <f aca="false">(E1517+G1517)/2</f>
        <v>20.3946318285032</v>
      </c>
      <c r="G1517" s="18" t="n">
        <f aca="false">EXP(-'Black-Scholes'!$B$8*'Black-Scholes'!$B$7)*IF(LOWER('Black-Scholes'!$B$11)="put",MAX('Black-Scholes'!$B$6-D1517,0),MAX(D1517-'Black-Scholes'!$B$6,0))</f>
        <v>40.7892636570064</v>
      </c>
    </row>
    <row r="1518" customFormat="false" ht="15" hidden="false" customHeight="false" outlineLevel="0" collapsed="false">
      <c r="A1518" s="0" t="n">
        <v>1507</v>
      </c>
      <c r="B1518" s="15" t="n">
        <v>0.936828321297925</v>
      </c>
      <c r="C1518" s="18" t="n">
        <f aca="false">'Black-Scholes'!$B$5*EXP(('Black-Scholes'!$B$8-'Black-Scholes'!$B$10-'Black-Scholes'!$B$9^2/2)*'Black-Scholes'!$B$7+'Black-Scholes'!$B$9*SQRT('Black-Scholes'!$B$7)*B1518)</f>
        <v>124.279846604128</v>
      </c>
      <c r="D1518" s="18" t="n">
        <f aca="false">'Black-Scholes'!$B$5*EXP(('Black-Scholes'!$B$8-'Black-Scholes'!$B$10-'Black-Scholes'!$B$9^2/2)*'Black-Scholes'!$B$7-'Black-Scholes'!$B$9*SQRT('Black-Scholes'!$B$7)*B1518)</f>
        <v>85.4391581225279</v>
      </c>
      <c r="E1518" s="18" t="n">
        <f aca="false">EXP(-'Black-Scholes'!$B$8*'Black-Scholes'!$B$7)*IF(LOWER('Black-Scholes'!$B$11)="put",MAX('Black-Scholes'!$B$6-C1518,0),MAX(C1518-'Black-Scholes'!$B$6,0))</f>
        <v>23.0957045122102</v>
      </c>
      <c r="F1518" s="18" t="n">
        <f aca="false">(E1518+G1518)/2</f>
        <v>11.5478522561051</v>
      </c>
      <c r="G1518" s="18" t="n">
        <f aca="false">EXP(-'Black-Scholes'!$B$8*'Black-Scholes'!$B$7)*IF(LOWER('Black-Scholes'!$B$11)="put",MAX('Black-Scholes'!$B$6-D1518,0),MAX(D1518-'Black-Scholes'!$B$6,0))</f>
        <v>0</v>
      </c>
    </row>
    <row r="1519" customFormat="false" ht="15" hidden="false" customHeight="false" outlineLevel="0" collapsed="false">
      <c r="A1519" s="0" t="n">
        <v>1508</v>
      </c>
      <c r="B1519" s="15" t="n">
        <v>0.11317889525785</v>
      </c>
      <c r="C1519" s="18" t="n">
        <f aca="false">'Black-Scholes'!$B$5*EXP(('Black-Scholes'!$B$8-'Black-Scholes'!$B$10-'Black-Scholes'!$B$9^2/2)*'Black-Scholes'!$B$7+'Black-Scholes'!$B$9*SQRT('Black-Scholes'!$B$7)*B1519)</f>
        <v>105.404566968415</v>
      </c>
      <c r="D1519" s="18" t="n">
        <f aca="false">'Black-Scholes'!$B$5*EXP(('Black-Scholes'!$B$8-'Black-Scholes'!$B$10-'Black-Scholes'!$B$9^2/2)*'Black-Scholes'!$B$7-'Black-Scholes'!$B$9*SQRT('Black-Scholes'!$B$7)*B1519)</f>
        <v>100.739140350868</v>
      </c>
      <c r="E1519" s="18" t="n">
        <f aca="false">EXP(-'Black-Scholes'!$B$8*'Black-Scholes'!$B$7)*IF(LOWER('Black-Scholes'!$B$11)="put",MAX('Black-Scholes'!$B$6-C1519,0),MAX(C1519-'Black-Scholes'!$B$6,0))</f>
        <v>5.14098312704108</v>
      </c>
      <c r="F1519" s="18" t="n">
        <f aca="false">(E1519+G1519)/2</f>
        <v>2.92203758881108</v>
      </c>
      <c r="G1519" s="18" t="n">
        <f aca="false">EXP(-'Black-Scholes'!$B$8*'Black-Scholes'!$B$7)*IF(LOWER('Black-Scholes'!$B$11)="put",MAX('Black-Scholes'!$B$6-D1519,0),MAX(D1519-'Black-Scholes'!$B$6,0))</f>
        <v>0.703092050581084</v>
      </c>
    </row>
    <row r="1520" customFormat="false" ht="15" hidden="false" customHeight="false" outlineLevel="0" collapsed="false">
      <c r="A1520" s="0" t="n">
        <v>1509</v>
      </c>
      <c r="B1520" s="15" t="n">
        <v>1.85810935230487</v>
      </c>
      <c r="C1520" s="18" t="n">
        <f aca="false">'Black-Scholes'!$B$5*EXP(('Black-Scholes'!$B$8-'Black-Scholes'!$B$10-'Black-Scholes'!$B$9^2/2)*'Black-Scholes'!$B$7+'Black-Scholes'!$B$9*SQRT('Black-Scholes'!$B$7)*B1520)</f>
        <v>149.424620720794</v>
      </c>
      <c r="D1520" s="18" t="n">
        <f aca="false">'Black-Scholes'!$B$5*EXP(('Black-Scholes'!$B$8-'Black-Scholes'!$B$10-'Black-Scholes'!$B$9^2/2)*'Black-Scholes'!$B$7-'Black-Scholes'!$B$9*SQRT('Black-Scholes'!$B$7)*B1520)</f>
        <v>71.0616859138258</v>
      </c>
      <c r="E1520" s="18" t="n">
        <f aca="false">EXP(-'Black-Scholes'!$B$8*'Black-Scholes'!$B$7)*IF(LOWER('Black-Scholes'!$B$11)="put",MAX('Black-Scholes'!$B$6-C1520,0),MAX(C1520-'Black-Scholes'!$B$6,0))</f>
        <v>47.0141535244068</v>
      </c>
      <c r="F1520" s="18" t="n">
        <f aca="false">(E1520+G1520)/2</f>
        <v>23.5070767622034</v>
      </c>
      <c r="G1520" s="18" t="n">
        <f aca="false">EXP(-'Black-Scholes'!$B$8*'Black-Scholes'!$B$7)*IF(LOWER('Black-Scholes'!$B$11)="put",MAX('Black-Scholes'!$B$6-D1520,0),MAX(D1520-'Black-Scholes'!$B$6,0))</f>
        <v>0</v>
      </c>
    </row>
    <row r="1521" customFormat="false" ht="15" hidden="false" customHeight="false" outlineLevel="0" collapsed="false">
      <c r="A1521" s="0" t="n">
        <v>1510</v>
      </c>
      <c r="B1521" s="15" t="n">
        <v>2.22043241945189</v>
      </c>
      <c r="C1521" s="18" t="n">
        <f aca="false">'Black-Scholes'!$B$5*EXP(('Black-Scholes'!$B$8-'Black-Scholes'!$B$10-'Black-Scholes'!$B$9^2/2)*'Black-Scholes'!$B$7+'Black-Scholes'!$B$9*SQRT('Black-Scholes'!$B$7)*B1521)</f>
        <v>160.654592136093</v>
      </c>
      <c r="D1521" s="18" t="n">
        <f aca="false">'Black-Scholes'!$B$5*EXP(('Black-Scholes'!$B$8-'Black-Scholes'!$B$10-'Black-Scholes'!$B$9^2/2)*'Black-Scholes'!$B$7-'Black-Scholes'!$B$9*SQRT('Black-Scholes'!$B$7)*B1521)</f>
        <v>66.0943787803998</v>
      </c>
      <c r="E1521" s="18" t="n">
        <f aca="false">EXP(-'Black-Scholes'!$B$8*'Black-Scholes'!$B$7)*IF(LOWER('Black-Scholes'!$B$11)="put",MAX('Black-Scholes'!$B$6-C1521,0),MAX(C1521-'Black-Scholes'!$B$6,0))</f>
        <v>57.6964327709417</v>
      </c>
      <c r="F1521" s="18" t="n">
        <f aca="false">(E1521+G1521)/2</f>
        <v>28.8482163854709</v>
      </c>
      <c r="G1521" s="18" t="n">
        <f aca="false">EXP(-'Black-Scholes'!$B$8*'Black-Scholes'!$B$7)*IF(LOWER('Black-Scholes'!$B$11)="put",MAX('Black-Scholes'!$B$6-D1521,0),MAX(D1521-'Black-Scholes'!$B$6,0))</f>
        <v>0</v>
      </c>
    </row>
    <row r="1522" customFormat="false" ht="15" hidden="false" customHeight="false" outlineLevel="0" collapsed="false">
      <c r="A1522" s="0" t="n">
        <v>1511</v>
      </c>
      <c r="B1522" s="15" t="n">
        <v>-0.377227775194142</v>
      </c>
      <c r="C1522" s="18" t="n">
        <f aca="false">'Black-Scholes'!$B$5*EXP(('Black-Scholes'!$B$8-'Black-Scholes'!$B$10-'Black-Scholes'!$B$9^2/2)*'Black-Scholes'!$B$7+'Black-Scholes'!$B$9*SQRT('Black-Scholes'!$B$7)*B1522)</f>
        <v>95.5571627215842</v>
      </c>
      <c r="D1522" s="18" t="n">
        <f aca="false">'Black-Scholes'!$B$5*EXP(('Black-Scholes'!$B$8-'Black-Scholes'!$B$10-'Black-Scholes'!$B$9^2/2)*'Black-Scholes'!$B$7-'Black-Scholes'!$B$9*SQRT('Black-Scholes'!$B$7)*B1522)</f>
        <v>111.120560332995</v>
      </c>
      <c r="E1522" s="18" t="n">
        <f aca="false">EXP(-'Black-Scholes'!$B$8*'Black-Scholes'!$B$7)*IF(LOWER('Black-Scholes'!$B$11)="put",MAX('Black-Scholes'!$B$6-C1522,0),MAX(C1522-'Black-Scholes'!$B$6,0))</f>
        <v>0</v>
      </c>
      <c r="F1522" s="18" t="n">
        <f aca="false">(E1522+G1522)/2</f>
        <v>5.28910210284002</v>
      </c>
      <c r="G1522" s="18" t="n">
        <f aca="false">EXP(-'Black-Scholes'!$B$8*'Black-Scholes'!$B$7)*IF(LOWER('Black-Scholes'!$B$11)="put",MAX('Black-Scholes'!$B$6-D1522,0),MAX(D1522-'Black-Scholes'!$B$6,0))</f>
        <v>10.57820420568</v>
      </c>
    </row>
    <row r="1523" customFormat="false" ht="15" hidden="false" customHeight="false" outlineLevel="0" collapsed="false">
      <c r="A1523" s="0" t="n">
        <v>1512</v>
      </c>
      <c r="B1523" s="15" t="n">
        <v>-0.70784009700479</v>
      </c>
      <c r="C1523" s="18" t="n">
        <f aca="false">'Black-Scholes'!$B$5*EXP(('Black-Scholes'!$B$8-'Black-Scholes'!$B$10-'Black-Scholes'!$B$9^2/2)*'Black-Scholes'!$B$7+'Black-Scholes'!$B$9*SQRT('Black-Scholes'!$B$7)*B1523)</f>
        <v>89.443055070386</v>
      </c>
      <c r="D1523" s="18" t="n">
        <f aca="false">'Black-Scholes'!$B$5*EXP(('Black-Scholes'!$B$8-'Black-Scholes'!$B$10-'Black-Scholes'!$B$9^2/2)*'Black-Scholes'!$B$7-'Black-Scholes'!$B$9*SQRT('Black-Scholes'!$B$7)*B1523)</f>
        <v>118.716489023073</v>
      </c>
      <c r="E1523" s="18" t="n">
        <f aca="false">EXP(-'Black-Scholes'!$B$8*'Black-Scholes'!$B$7)*IF(LOWER('Black-Scholes'!$B$11)="put",MAX('Black-Scholes'!$B$6-C1523,0),MAX(C1523-'Black-Scholes'!$B$6,0))</f>
        <v>0</v>
      </c>
      <c r="F1523" s="18" t="n">
        <f aca="false">(E1523+G1523)/2</f>
        <v>8.90183754104585</v>
      </c>
      <c r="G1523" s="18" t="n">
        <f aca="false">EXP(-'Black-Scholes'!$B$8*'Black-Scholes'!$B$7)*IF(LOWER('Black-Scholes'!$B$11)="put",MAX('Black-Scholes'!$B$6-D1523,0),MAX(D1523-'Black-Scholes'!$B$6,0))</f>
        <v>17.8036750820917</v>
      </c>
    </row>
    <row r="1524" customFormat="false" ht="15" hidden="false" customHeight="false" outlineLevel="0" collapsed="false">
      <c r="A1524" s="0" t="n">
        <v>1513</v>
      </c>
      <c r="B1524" s="15" t="n">
        <v>0.973067168747334</v>
      </c>
      <c r="C1524" s="18" t="n">
        <f aca="false">'Black-Scholes'!$B$5*EXP(('Black-Scholes'!$B$8-'Black-Scholes'!$B$10-'Black-Scholes'!$B$9^2/2)*'Black-Scholes'!$B$7+'Black-Scholes'!$B$9*SQRT('Black-Scholes'!$B$7)*B1524)</f>
        <v>125.183870405241</v>
      </c>
      <c r="D1524" s="18" t="n">
        <f aca="false">'Black-Scholes'!$B$5*EXP(('Black-Scholes'!$B$8-'Black-Scholes'!$B$10-'Black-Scholes'!$B$9^2/2)*'Black-Scholes'!$B$7-'Black-Scholes'!$B$9*SQRT('Black-Scholes'!$B$7)*B1524)</f>
        <v>84.8221534537967</v>
      </c>
      <c r="E1524" s="18" t="n">
        <f aca="false">EXP(-'Black-Scholes'!$B$8*'Black-Scholes'!$B$7)*IF(LOWER('Black-Scholes'!$B$11)="put",MAX('Black-Scholes'!$B$6-C1524,0),MAX(C1524-'Black-Scholes'!$B$6,0))</f>
        <v>23.9556385522784</v>
      </c>
      <c r="F1524" s="18" t="n">
        <f aca="false">(E1524+G1524)/2</f>
        <v>11.9778192761392</v>
      </c>
      <c r="G1524" s="18" t="n">
        <f aca="false">EXP(-'Black-Scholes'!$B$8*'Black-Scholes'!$B$7)*IF(LOWER('Black-Scholes'!$B$11)="put",MAX('Black-Scholes'!$B$6-D1524,0),MAX(D1524-'Black-Scholes'!$B$6,0))</f>
        <v>0</v>
      </c>
    </row>
    <row r="1525" customFormat="false" ht="15" hidden="false" customHeight="false" outlineLevel="0" collapsed="false">
      <c r="A1525" s="0" t="n">
        <v>1514</v>
      </c>
      <c r="B1525" s="15" t="n">
        <v>-1.40373549226311</v>
      </c>
      <c r="C1525" s="18" t="n">
        <f aca="false">'Black-Scholes'!$B$5*EXP(('Black-Scholes'!$B$8-'Black-Scholes'!$B$10-'Black-Scholes'!$B$9^2/2)*'Black-Scholes'!$B$7+'Black-Scholes'!$B$9*SQRT('Black-Scholes'!$B$7)*B1525)</f>
        <v>77.8219159503558</v>
      </c>
      <c r="D1525" s="18" t="n">
        <f aca="false">'Black-Scholes'!$B$5*EXP(('Black-Scholes'!$B$8-'Black-Scholes'!$B$10-'Black-Scholes'!$B$9^2/2)*'Black-Scholes'!$B$7-'Black-Scholes'!$B$9*SQRT('Black-Scholes'!$B$7)*B1525)</f>
        <v>136.444410752201</v>
      </c>
      <c r="E1525" s="18" t="n">
        <f aca="false">EXP(-'Black-Scholes'!$B$8*'Black-Scholes'!$B$7)*IF(LOWER('Black-Scholes'!$B$11)="put",MAX('Black-Scholes'!$B$6-C1525,0),MAX(C1525-'Black-Scholes'!$B$6,0))</f>
        <v>0</v>
      </c>
      <c r="F1525" s="18" t="n">
        <f aca="false">(E1525+G1525)/2</f>
        <v>17.3334979330418</v>
      </c>
      <c r="G1525" s="18" t="n">
        <f aca="false">EXP(-'Black-Scholes'!$B$8*'Black-Scholes'!$B$7)*IF(LOWER('Black-Scholes'!$B$11)="put",MAX('Black-Scholes'!$B$6-D1525,0),MAX(D1525-'Black-Scholes'!$B$6,0))</f>
        <v>34.6669958660835</v>
      </c>
    </row>
    <row r="1526" customFormat="false" ht="15" hidden="false" customHeight="false" outlineLevel="0" collapsed="false">
      <c r="A1526" s="0" t="n">
        <v>1515</v>
      </c>
      <c r="B1526" s="15" t="n">
        <v>-1.18011909831074</v>
      </c>
      <c r="C1526" s="18" t="n">
        <f aca="false">'Black-Scholes'!$B$5*EXP(('Black-Scholes'!$B$8-'Black-Scholes'!$B$10-'Black-Scholes'!$B$9^2/2)*'Black-Scholes'!$B$7+'Black-Scholes'!$B$9*SQRT('Black-Scholes'!$B$7)*B1526)</f>
        <v>81.3813691284871</v>
      </c>
      <c r="D1526" s="18" t="n">
        <f aca="false">'Black-Scholes'!$B$5*EXP(('Black-Scholes'!$B$8-'Black-Scholes'!$B$10-'Black-Scholes'!$B$9^2/2)*'Black-Scholes'!$B$7-'Black-Scholes'!$B$9*SQRT('Black-Scholes'!$B$7)*B1526)</f>
        <v>130.476613740536</v>
      </c>
      <c r="E1526" s="18" t="n">
        <f aca="false">EXP(-'Black-Scholes'!$B$8*'Black-Scholes'!$B$7)*IF(LOWER('Black-Scholes'!$B$11)="put",MAX('Black-Scholes'!$B$6-C1526,0),MAX(C1526-'Black-Scholes'!$B$6,0))</f>
        <v>0</v>
      </c>
      <c r="F1526" s="18" t="n">
        <f aca="false">(E1526+G1526)/2</f>
        <v>14.4951258745703</v>
      </c>
      <c r="G1526" s="18" t="n">
        <f aca="false">EXP(-'Black-Scholes'!$B$8*'Black-Scholes'!$B$7)*IF(LOWER('Black-Scholes'!$B$11)="put",MAX('Black-Scholes'!$B$6-D1526,0),MAX(D1526-'Black-Scholes'!$B$6,0))</f>
        <v>28.9902517491406</v>
      </c>
    </row>
    <row r="1527" customFormat="false" ht="15" hidden="false" customHeight="false" outlineLevel="0" collapsed="false">
      <c r="A1527" s="0" t="n">
        <v>1516</v>
      </c>
      <c r="B1527" s="15" t="n">
        <v>-2.7389929253765</v>
      </c>
      <c r="C1527" s="18" t="n">
        <f aca="false">'Black-Scholes'!$B$5*EXP(('Black-Scholes'!$B$8-'Black-Scholes'!$B$10-'Black-Scholes'!$B$9^2/2)*'Black-Scholes'!$B$7+'Black-Scholes'!$B$9*SQRT('Black-Scholes'!$B$7)*B1527)</f>
        <v>59.5830776026197</v>
      </c>
      <c r="D1527" s="18" t="n">
        <f aca="false">'Black-Scholes'!$B$5*EXP(('Black-Scholes'!$B$8-'Black-Scholes'!$B$10-'Black-Scholes'!$B$9^2/2)*'Black-Scholes'!$B$7-'Black-Scholes'!$B$9*SQRT('Black-Scholes'!$B$7)*B1527)</f>
        <v>178.211094369297</v>
      </c>
      <c r="E1527" s="18" t="n">
        <f aca="false">EXP(-'Black-Scholes'!$B$8*'Black-Scholes'!$B$7)*IF(LOWER('Black-Scholes'!$B$11)="put",MAX('Black-Scholes'!$B$6-C1527,0),MAX(C1527-'Black-Scholes'!$B$6,0))</f>
        <v>0</v>
      </c>
      <c r="F1527" s="18" t="n">
        <f aca="false">(E1527+G1527)/2</f>
        <v>37.1983471432387</v>
      </c>
      <c r="G1527" s="18" t="n">
        <f aca="false">EXP(-'Black-Scholes'!$B$8*'Black-Scholes'!$B$7)*IF(LOWER('Black-Scholes'!$B$11)="put",MAX('Black-Scholes'!$B$6-D1527,0),MAX(D1527-'Black-Scholes'!$B$6,0))</f>
        <v>74.3966942864774</v>
      </c>
    </row>
    <row r="1528" customFormat="false" ht="15" hidden="false" customHeight="false" outlineLevel="0" collapsed="false">
      <c r="A1528" s="0" t="n">
        <v>1517</v>
      </c>
      <c r="B1528" s="15" t="n">
        <v>0.78611180015159</v>
      </c>
      <c r="C1528" s="18" t="n">
        <f aca="false">'Black-Scholes'!$B$5*EXP(('Black-Scholes'!$B$8-'Black-Scholes'!$B$10-'Black-Scholes'!$B$9^2/2)*'Black-Scholes'!$B$7+'Black-Scholes'!$B$9*SQRT('Black-Scholes'!$B$7)*B1528)</f>
        <v>120.58953981773</v>
      </c>
      <c r="D1528" s="18" t="n">
        <f aca="false">'Black-Scholes'!$B$5*EXP(('Black-Scholes'!$B$8-'Black-Scholes'!$B$10-'Black-Scholes'!$B$9^2/2)*'Black-Scholes'!$B$7-'Black-Scholes'!$B$9*SQRT('Black-Scholes'!$B$7)*B1528)</f>
        <v>88.0537854402893</v>
      </c>
      <c r="E1528" s="18" t="n">
        <f aca="false">EXP(-'Black-Scholes'!$B$8*'Black-Scholes'!$B$7)*IF(LOWER('Black-Scholes'!$B$11)="put",MAX('Black-Scholes'!$B$6-C1528,0),MAX(C1528-'Black-Scholes'!$B$6,0))</f>
        <v>19.5853761115536</v>
      </c>
      <c r="F1528" s="18" t="n">
        <f aca="false">(E1528+G1528)/2</f>
        <v>9.79268805577681</v>
      </c>
      <c r="G1528" s="18" t="n">
        <f aca="false">EXP(-'Black-Scholes'!$B$8*'Black-Scholes'!$B$7)*IF(LOWER('Black-Scholes'!$B$11)="put",MAX('Black-Scholes'!$B$6-D1528,0),MAX(D1528-'Black-Scholes'!$B$6,0))</f>
        <v>0</v>
      </c>
    </row>
    <row r="1529" customFormat="false" ht="15" hidden="false" customHeight="false" outlineLevel="0" collapsed="false">
      <c r="A1529" s="0" t="n">
        <v>1518</v>
      </c>
      <c r="B1529" s="15" t="n">
        <v>0.548995913688554</v>
      </c>
      <c r="C1529" s="18" t="n">
        <f aca="false">'Black-Scholes'!$B$5*EXP(('Black-Scholes'!$B$8-'Black-Scholes'!$B$10-'Black-Scholes'!$B$9^2/2)*'Black-Scholes'!$B$7+'Black-Scholes'!$B$9*SQRT('Black-Scholes'!$B$7)*B1529)</f>
        <v>115.004282721438</v>
      </c>
      <c r="D1529" s="18" t="n">
        <f aca="false">'Black-Scholes'!$B$5*EXP(('Black-Scholes'!$B$8-'Black-Scholes'!$B$10-'Black-Scholes'!$B$9^2/2)*'Black-Scholes'!$B$7-'Black-Scholes'!$B$9*SQRT('Black-Scholes'!$B$7)*B1529)</f>
        <v>92.3301742698858</v>
      </c>
      <c r="E1529" s="18" t="n">
        <f aca="false">EXP(-'Black-Scholes'!$B$8*'Black-Scholes'!$B$7)*IF(LOWER('Black-Scholes'!$B$11)="put",MAX('Black-Scholes'!$B$6-C1529,0),MAX(C1529-'Black-Scholes'!$B$6,0))</f>
        <v>14.2725152181595</v>
      </c>
      <c r="F1529" s="18" t="n">
        <f aca="false">(E1529+G1529)/2</f>
        <v>7.13625760907975</v>
      </c>
      <c r="G1529" s="18" t="n">
        <f aca="false">EXP(-'Black-Scholes'!$B$8*'Black-Scholes'!$B$7)*IF(LOWER('Black-Scholes'!$B$11)="put",MAX('Black-Scholes'!$B$6-D1529,0),MAX(D1529-'Black-Scholes'!$B$6,0))</f>
        <v>0</v>
      </c>
    </row>
    <row r="1530" customFormat="false" ht="15" hidden="false" customHeight="false" outlineLevel="0" collapsed="false">
      <c r="A1530" s="0" t="n">
        <v>1519</v>
      </c>
      <c r="B1530" s="15" t="n">
        <v>-0.779920197680622</v>
      </c>
      <c r="C1530" s="18" t="n">
        <f aca="false">'Black-Scholes'!$B$5*EXP(('Black-Scholes'!$B$8-'Black-Scholes'!$B$10-'Black-Scholes'!$B$9^2/2)*'Black-Scholes'!$B$7+'Black-Scholes'!$B$9*SQRT('Black-Scholes'!$B$7)*B1530)</f>
        <v>88.1628917877621</v>
      </c>
      <c r="D1530" s="18" t="n">
        <f aca="false">'Black-Scholes'!$B$5*EXP(('Black-Scholes'!$B$8-'Black-Scholes'!$B$10-'Black-Scholes'!$B$9^2/2)*'Black-Scholes'!$B$7-'Black-Scholes'!$B$9*SQRT('Black-Scholes'!$B$7)*B1530)</f>
        <v>120.440303739306</v>
      </c>
      <c r="E1530" s="18" t="n">
        <f aca="false">EXP(-'Black-Scholes'!$B$8*'Black-Scholes'!$B$7)*IF(LOWER('Black-Scholes'!$B$11)="put",MAX('Black-Scholes'!$B$6-C1530,0),MAX(C1530-'Black-Scholes'!$B$6,0))</f>
        <v>0</v>
      </c>
      <c r="F1530" s="18" t="n">
        <f aca="false">(E1530+G1530)/2</f>
        <v>9.72170918127973</v>
      </c>
      <c r="G1530" s="18" t="n">
        <f aca="false">EXP(-'Black-Scholes'!$B$8*'Black-Scholes'!$B$7)*IF(LOWER('Black-Scholes'!$B$11)="put",MAX('Black-Scholes'!$B$6-D1530,0),MAX(D1530-'Black-Scholes'!$B$6,0))</f>
        <v>19.4434183625595</v>
      </c>
    </row>
    <row r="1531" customFormat="false" ht="15" hidden="false" customHeight="false" outlineLevel="0" collapsed="false">
      <c r="A1531" s="0" t="n">
        <v>1520</v>
      </c>
      <c r="B1531" s="15" t="n">
        <v>0.624833273039825</v>
      </c>
      <c r="C1531" s="18" t="n">
        <f aca="false">'Black-Scholes'!$B$5*EXP(('Black-Scholes'!$B$8-'Black-Scholes'!$B$10-'Black-Scholes'!$B$9^2/2)*'Black-Scholes'!$B$7+'Black-Scholes'!$B$9*SQRT('Black-Scholes'!$B$7)*B1531)</f>
        <v>116.761902574181</v>
      </c>
      <c r="D1531" s="18" t="n">
        <f aca="false">'Black-Scholes'!$B$5*EXP(('Black-Scholes'!$B$8-'Black-Scholes'!$B$10-'Black-Scholes'!$B$9^2/2)*'Black-Scholes'!$B$7-'Black-Scholes'!$B$9*SQRT('Black-Scholes'!$B$7)*B1531)</f>
        <v>90.9403258370816</v>
      </c>
      <c r="E1531" s="18" t="n">
        <f aca="false">EXP(-'Black-Scholes'!$B$8*'Black-Scholes'!$B$7)*IF(LOWER('Black-Scholes'!$B$11)="put",MAX('Black-Scholes'!$B$6-C1531,0),MAX(C1531-'Black-Scholes'!$B$6,0))</f>
        <v>15.9444149391753</v>
      </c>
      <c r="F1531" s="18" t="n">
        <f aca="false">(E1531+G1531)/2</f>
        <v>7.97220746958763</v>
      </c>
      <c r="G1531" s="18" t="n">
        <f aca="false">EXP(-'Black-Scholes'!$B$8*'Black-Scholes'!$B$7)*IF(LOWER('Black-Scholes'!$B$11)="put",MAX('Black-Scholes'!$B$6-D1531,0),MAX(D1531-'Black-Scholes'!$B$6,0))</f>
        <v>0</v>
      </c>
    </row>
    <row r="1532" customFormat="false" ht="15" hidden="false" customHeight="false" outlineLevel="0" collapsed="false">
      <c r="A1532" s="0" t="n">
        <v>1521</v>
      </c>
      <c r="B1532" s="15" t="n">
        <v>1.16526084903665</v>
      </c>
      <c r="C1532" s="18" t="n">
        <f aca="false">'Black-Scholes'!$B$5*EXP(('Black-Scholes'!$B$8-'Black-Scholes'!$B$10-'Black-Scholes'!$B$9^2/2)*'Black-Scholes'!$B$7+'Black-Scholes'!$B$9*SQRT('Black-Scholes'!$B$7)*B1532)</f>
        <v>130.089458460128</v>
      </c>
      <c r="D1532" s="18" t="n">
        <f aca="false">'Black-Scholes'!$B$5*EXP(('Black-Scholes'!$B$8-'Black-Scholes'!$B$10-'Black-Scholes'!$B$9^2/2)*'Black-Scholes'!$B$7-'Black-Scholes'!$B$9*SQRT('Black-Scholes'!$B$7)*B1532)</f>
        <v>81.6235657457835</v>
      </c>
      <c r="E1532" s="18" t="n">
        <f aca="false">EXP(-'Black-Scholes'!$B$8*'Black-Scholes'!$B$7)*IF(LOWER('Black-Scholes'!$B$11)="put",MAX('Black-Scholes'!$B$6-C1532,0),MAX(C1532-'Black-Scholes'!$B$6,0))</f>
        <v>28.6219782545653</v>
      </c>
      <c r="F1532" s="18" t="n">
        <f aca="false">(E1532+G1532)/2</f>
        <v>14.3109891272826</v>
      </c>
      <c r="G1532" s="18" t="n">
        <f aca="false">EXP(-'Black-Scholes'!$B$8*'Black-Scholes'!$B$7)*IF(LOWER('Black-Scholes'!$B$11)="put",MAX('Black-Scholes'!$B$6-D1532,0),MAX(D1532-'Black-Scholes'!$B$6,0))</f>
        <v>0</v>
      </c>
    </row>
    <row r="1533" customFormat="false" ht="15" hidden="false" customHeight="false" outlineLevel="0" collapsed="false">
      <c r="A1533" s="0" t="n">
        <v>1522</v>
      </c>
      <c r="B1533" s="15" t="n">
        <v>-0.295053980728399</v>
      </c>
      <c r="C1533" s="18" t="n">
        <f aca="false">'Black-Scholes'!$B$5*EXP(('Black-Scholes'!$B$8-'Black-Scholes'!$B$10-'Black-Scholes'!$B$9^2/2)*'Black-Scholes'!$B$7+'Black-Scholes'!$B$9*SQRT('Black-Scholes'!$B$7)*B1533)</f>
        <v>97.1405976969551</v>
      </c>
      <c r="D1533" s="18" t="n">
        <f aca="false">'Black-Scholes'!$B$5*EXP(('Black-Scholes'!$B$8-'Black-Scholes'!$B$10-'Black-Scholes'!$B$9^2/2)*'Black-Scholes'!$B$7-'Black-Scholes'!$B$9*SQRT('Black-Scholes'!$B$7)*B1533)</f>
        <v>109.309245744804</v>
      </c>
      <c r="E1533" s="18" t="n">
        <f aca="false">EXP(-'Black-Scholes'!$B$8*'Black-Scholes'!$B$7)*IF(LOWER('Black-Scholes'!$B$11)="put",MAX('Black-Scholes'!$B$6-C1533,0),MAX(C1533-'Black-Scholes'!$B$6,0))</f>
        <v>0</v>
      </c>
      <c r="F1533" s="18" t="n">
        <f aca="false">(E1533+G1533)/2</f>
        <v>4.42761423618276</v>
      </c>
      <c r="G1533" s="18" t="n">
        <f aca="false">EXP(-'Black-Scholes'!$B$8*'Black-Scholes'!$B$7)*IF(LOWER('Black-Scholes'!$B$11)="put",MAX('Black-Scholes'!$B$6-D1533,0),MAX(D1533-'Black-Scholes'!$B$6,0))</f>
        <v>8.85522847236551</v>
      </c>
    </row>
    <row r="1534" customFormat="false" ht="15" hidden="false" customHeight="false" outlineLevel="0" collapsed="false">
      <c r="A1534" s="0" t="n">
        <v>1523</v>
      </c>
      <c r="B1534" s="15" t="n">
        <v>-1.92929994256464</v>
      </c>
      <c r="C1534" s="18" t="n">
        <f aca="false">'Black-Scholes'!$B$5*EXP(('Black-Scholes'!$B$8-'Black-Scholes'!$B$10-'Black-Scholes'!$B$9^2/2)*'Black-Scholes'!$B$7+'Black-Scholes'!$B$9*SQRT('Black-Scholes'!$B$7)*B1534)</f>
        <v>70.0570701314544</v>
      </c>
      <c r="D1534" s="18" t="n">
        <f aca="false">'Black-Scholes'!$B$5*EXP(('Black-Scholes'!$B$8-'Black-Scholes'!$B$10-'Black-Scholes'!$B$9^2/2)*'Black-Scholes'!$B$7-'Black-Scholes'!$B$9*SQRT('Black-Scholes'!$B$7)*B1534)</f>
        <v>151.567364229326</v>
      </c>
      <c r="E1534" s="18" t="n">
        <f aca="false">EXP(-'Black-Scholes'!$B$8*'Black-Scholes'!$B$7)*IF(LOWER('Black-Scholes'!$B$11)="put",MAX('Black-Scholes'!$B$6-C1534,0),MAX(C1534-'Black-Scholes'!$B$6,0))</f>
        <v>0</v>
      </c>
      <c r="F1534" s="18" t="n">
        <f aca="false">(E1534+G1534)/2</f>
        <v>24.5261970994403</v>
      </c>
      <c r="G1534" s="18" t="n">
        <f aca="false">EXP(-'Black-Scholes'!$B$8*'Black-Scholes'!$B$7)*IF(LOWER('Black-Scholes'!$B$11)="put",MAX('Black-Scholes'!$B$6-D1534,0),MAX(D1534-'Black-Scholes'!$B$6,0))</f>
        <v>49.0523941988806</v>
      </c>
    </row>
    <row r="1535" customFormat="false" ht="15" hidden="false" customHeight="false" outlineLevel="0" collapsed="false">
      <c r="A1535" s="0" t="n">
        <v>1524</v>
      </c>
      <c r="B1535" s="15" t="n">
        <v>1.41759863326467</v>
      </c>
      <c r="C1535" s="18" t="n">
        <f aca="false">'Black-Scholes'!$B$5*EXP(('Black-Scholes'!$B$8-'Black-Scholes'!$B$10-'Black-Scholes'!$B$9^2/2)*'Black-Scholes'!$B$7+'Black-Scholes'!$B$9*SQRT('Black-Scholes'!$B$7)*B1535)</f>
        <v>136.823245314233</v>
      </c>
      <c r="D1535" s="18" t="n">
        <f aca="false">'Black-Scholes'!$B$5*EXP(('Black-Scholes'!$B$8-'Black-Scholes'!$B$10-'Black-Scholes'!$B$9^2/2)*'Black-Scholes'!$B$7-'Black-Scholes'!$B$9*SQRT('Black-Scholes'!$B$7)*B1535)</f>
        <v>77.606443562036</v>
      </c>
      <c r="E1535" s="18" t="n">
        <f aca="false">EXP(-'Black-Scholes'!$B$8*'Black-Scholes'!$B$7)*IF(LOWER('Black-Scholes'!$B$11)="put",MAX('Black-Scholes'!$B$6-C1535,0),MAX(C1535-'Black-Scholes'!$B$6,0))</f>
        <v>35.0273544485061</v>
      </c>
      <c r="F1535" s="18" t="n">
        <f aca="false">(E1535+G1535)/2</f>
        <v>17.513677224253</v>
      </c>
      <c r="G1535" s="18" t="n">
        <f aca="false">EXP(-'Black-Scholes'!$B$8*'Black-Scholes'!$B$7)*IF(LOWER('Black-Scholes'!$B$11)="put",MAX('Black-Scholes'!$B$6-D1535,0),MAX(D1535-'Black-Scholes'!$B$6,0))</f>
        <v>0</v>
      </c>
    </row>
    <row r="1536" customFormat="false" ht="15" hidden="false" customHeight="false" outlineLevel="0" collapsed="false">
      <c r="A1536" s="0" t="n">
        <v>1525</v>
      </c>
      <c r="B1536" s="15" t="n">
        <v>-0.396836980527778</v>
      </c>
      <c r="C1536" s="18" t="n">
        <f aca="false">'Black-Scholes'!$B$5*EXP(('Black-Scholes'!$B$8-'Black-Scholes'!$B$10-'Black-Scholes'!$B$9^2/2)*'Black-Scholes'!$B$7+'Black-Scholes'!$B$9*SQRT('Black-Scholes'!$B$7)*B1536)</f>
        <v>95.1831366314457</v>
      </c>
      <c r="D1536" s="18" t="n">
        <f aca="false">'Black-Scholes'!$B$5*EXP(('Black-Scholes'!$B$8-'Black-Scholes'!$B$10-'Black-Scholes'!$B$9^2/2)*'Black-Scholes'!$B$7-'Black-Scholes'!$B$9*SQRT('Black-Scholes'!$B$7)*B1536)</f>
        <v>111.557213191749</v>
      </c>
      <c r="E1536" s="18" t="n">
        <f aca="false">EXP(-'Black-Scholes'!$B$8*'Black-Scholes'!$B$7)*IF(LOWER('Black-Scholes'!$B$11)="put",MAX('Black-Scholes'!$B$6-C1536,0),MAX(C1536-'Black-Scholes'!$B$6,0))</f>
        <v>0</v>
      </c>
      <c r="F1536" s="18" t="n">
        <f aca="false">(E1536+G1536)/2</f>
        <v>5.4967806266099</v>
      </c>
      <c r="G1536" s="18" t="n">
        <f aca="false">EXP(-'Black-Scholes'!$B$8*'Black-Scholes'!$B$7)*IF(LOWER('Black-Scholes'!$B$11)="put",MAX('Black-Scholes'!$B$6-D1536,0),MAX(D1536-'Black-Scholes'!$B$6,0))</f>
        <v>10.9935612532198</v>
      </c>
    </row>
    <row r="1537" customFormat="false" ht="15" hidden="false" customHeight="false" outlineLevel="0" collapsed="false">
      <c r="A1537" s="0" t="n">
        <v>1526</v>
      </c>
      <c r="B1537" s="15" t="n">
        <v>-0.145068014771582</v>
      </c>
      <c r="C1537" s="18" t="n">
        <f aca="false">'Black-Scholes'!$B$5*EXP(('Black-Scholes'!$B$8-'Black-Scholes'!$B$10-'Black-Scholes'!$B$9^2/2)*'Black-Scholes'!$B$7+'Black-Scholes'!$B$9*SQRT('Black-Scholes'!$B$7)*B1537)</f>
        <v>100.098688369525</v>
      </c>
      <c r="D1537" s="18" t="n">
        <f aca="false">'Black-Scholes'!$B$5*EXP(('Black-Scholes'!$B$8-'Black-Scholes'!$B$10-'Black-Scholes'!$B$9^2/2)*'Black-Scholes'!$B$7-'Black-Scholes'!$B$9*SQRT('Black-Scholes'!$B$7)*B1537)</f>
        <v>106.078967051544</v>
      </c>
      <c r="E1537" s="18" t="n">
        <f aca="false">EXP(-'Black-Scholes'!$B$8*'Black-Scholes'!$B$7)*IF(LOWER('Black-Scholes'!$B$11)="put",MAX('Black-Scholes'!$B$6-C1537,0),MAX(C1537-'Black-Scholes'!$B$6,0))</f>
        <v>0.0938752809478214</v>
      </c>
      <c r="F1537" s="18" t="n">
        <f aca="false">(E1537+G1537)/2</f>
        <v>2.93818380547353</v>
      </c>
      <c r="G1537" s="18" t="n">
        <f aca="false">EXP(-'Black-Scholes'!$B$8*'Black-Scholes'!$B$7)*IF(LOWER('Black-Scholes'!$B$11)="put",MAX('Black-Scholes'!$B$6-D1537,0),MAX(D1537-'Black-Scholes'!$B$6,0))</f>
        <v>5.78249232999924</v>
      </c>
    </row>
    <row r="1538" customFormat="false" ht="15" hidden="false" customHeight="false" outlineLevel="0" collapsed="false">
      <c r="A1538" s="0" t="n">
        <v>1527</v>
      </c>
      <c r="B1538" s="15" t="n">
        <v>-0.266350348900826</v>
      </c>
      <c r="C1538" s="18" t="n">
        <f aca="false">'Black-Scholes'!$B$5*EXP(('Black-Scholes'!$B$8-'Black-Scholes'!$B$10-'Black-Scholes'!$B$9^2/2)*'Black-Scholes'!$B$7+'Black-Scholes'!$B$9*SQRT('Black-Scholes'!$B$7)*B1538)</f>
        <v>97.6998590345545</v>
      </c>
      <c r="D1538" s="18" t="n">
        <f aca="false">'Black-Scholes'!$B$5*EXP(('Black-Scholes'!$B$8-'Black-Scholes'!$B$10-'Black-Scholes'!$B$9^2/2)*'Black-Scholes'!$B$7-'Black-Scholes'!$B$9*SQRT('Black-Scholes'!$B$7)*B1538)</f>
        <v>108.68352902841</v>
      </c>
      <c r="E1538" s="18" t="n">
        <f aca="false">EXP(-'Black-Scholes'!$B$8*'Black-Scholes'!$B$7)*IF(LOWER('Black-Scholes'!$B$11)="put",MAX('Black-Scholes'!$B$6-C1538,0),MAX(C1538-'Black-Scholes'!$B$6,0))</f>
        <v>0</v>
      </c>
      <c r="F1538" s="18" t="n">
        <f aca="false">(E1538+G1538)/2</f>
        <v>4.13001416016498</v>
      </c>
      <c r="G1538" s="18" t="n">
        <f aca="false">EXP(-'Black-Scholes'!$B$8*'Black-Scholes'!$B$7)*IF(LOWER('Black-Scholes'!$B$11)="put",MAX('Black-Scholes'!$B$6-D1538,0),MAX(D1538-'Black-Scholes'!$B$6,0))</f>
        <v>8.26002832032997</v>
      </c>
    </row>
    <row r="1539" customFormat="false" ht="15" hidden="false" customHeight="false" outlineLevel="0" collapsed="false">
      <c r="A1539" s="0" t="n">
        <v>1528</v>
      </c>
      <c r="B1539" s="15" t="n">
        <v>1.28980255080936</v>
      </c>
      <c r="C1539" s="18" t="n">
        <f aca="false">'Black-Scholes'!$B$5*EXP(('Black-Scholes'!$B$8-'Black-Scholes'!$B$10-'Black-Scholes'!$B$9^2/2)*'Black-Scholes'!$B$7+'Black-Scholes'!$B$9*SQRT('Black-Scholes'!$B$7)*B1539)</f>
        <v>133.370463530329</v>
      </c>
      <c r="D1539" s="18" t="n">
        <f aca="false">'Black-Scholes'!$B$5*EXP(('Black-Scholes'!$B$8-'Black-Scholes'!$B$10-'Black-Scholes'!$B$9^2/2)*'Black-Scholes'!$B$7-'Black-Scholes'!$B$9*SQRT('Black-Scholes'!$B$7)*B1539)</f>
        <v>79.615569927437</v>
      </c>
      <c r="E1539" s="18" t="n">
        <f aca="false">EXP(-'Black-Scholes'!$B$8*'Black-Scholes'!$B$7)*IF(LOWER('Black-Scholes'!$B$11)="put",MAX('Black-Scholes'!$B$6-C1539,0),MAX(C1539-'Black-Scholes'!$B$6,0))</f>
        <v>31.742966819277</v>
      </c>
      <c r="F1539" s="18" t="n">
        <f aca="false">(E1539+G1539)/2</f>
        <v>15.8714834096385</v>
      </c>
      <c r="G1539" s="18" t="n">
        <f aca="false">EXP(-'Black-Scholes'!$B$8*'Black-Scholes'!$B$7)*IF(LOWER('Black-Scholes'!$B$11)="put",MAX('Black-Scholes'!$B$6-D1539,0),MAX(D1539-'Black-Scholes'!$B$6,0))</f>
        <v>0</v>
      </c>
    </row>
    <row r="1540" customFormat="false" ht="15" hidden="false" customHeight="false" outlineLevel="0" collapsed="false">
      <c r="A1540" s="0" t="n">
        <v>1529</v>
      </c>
      <c r="B1540" s="15" t="n">
        <v>0.736633959528483</v>
      </c>
      <c r="C1540" s="18" t="n">
        <f aca="false">'Black-Scholes'!$B$5*EXP(('Black-Scholes'!$B$8-'Black-Scholes'!$B$10-'Black-Scholes'!$B$9^2/2)*'Black-Scholes'!$B$7+'Black-Scholes'!$B$9*SQRT('Black-Scholes'!$B$7)*B1540)</f>
        <v>119.40212258494</v>
      </c>
      <c r="D1540" s="18" t="n">
        <f aca="false">'Black-Scholes'!$B$5*EXP(('Black-Scholes'!$B$8-'Black-Scholes'!$B$10-'Black-Scholes'!$B$9^2/2)*'Black-Scholes'!$B$7-'Black-Scholes'!$B$9*SQRT('Black-Scholes'!$B$7)*B1540)</f>
        <v>88.9294531418398</v>
      </c>
      <c r="E1540" s="18" t="n">
        <f aca="false">EXP(-'Black-Scholes'!$B$8*'Black-Scholes'!$B$7)*IF(LOWER('Black-Scholes'!$B$11)="put",MAX('Black-Scholes'!$B$6-C1540,0),MAX(C1540-'Black-Scholes'!$B$6,0))</f>
        <v>18.4558699005644</v>
      </c>
      <c r="F1540" s="18" t="n">
        <f aca="false">(E1540+G1540)/2</f>
        <v>9.22793495028222</v>
      </c>
      <c r="G1540" s="18" t="n">
        <f aca="false">EXP(-'Black-Scholes'!$B$8*'Black-Scholes'!$B$7)*IF(LOWER('Black-Scholes'!$B$11)="put",MAX('Black-Scholes'!$B$6-D1540,0),MAX(D1540-'Black-Scholes'!$B$6,0))</f>
        <v>0</v>
      </c>
    </row>
    <row r="1541" customFormat="false" ht="15" hidden="false" customHeight="false" outlineLevel="0" collapsed="false">
      <c r="A1541" s="0" t="n">
        <v>1530</v>
      </c>
      <c r="B1541" s="15" t="n">
        <v>-1.28254764771444</v>
      </c>
      <c r="C1541" s="18" t="n">
        <f aca="false">'Black-Scholes'!$B$5*EXP(('Black-Scholes'!$B$8-'Black-Scholes'!$B$10-'Black-Scholes'!$B$9^2/2)*'Black-Scholes'!$B$7+'Black-Scholes'!$B$9*SQRT('Black-Scholes'!$B$7)*B1541)</f>
        <v>79.7311744260322</v>
      </c>
      <c r="D1541" s="18" t="n">
        <f aca="false">'Black-Scholes'!$B$5*EXP(('Black-Scholes'!$B$8-'Black-Scholes'!$B$10-'Black-Scholes'!$B$9^2/2)*'Black-Scholes'!$B$7-'Black-Scholes'!$B$9*SQRT('Black-Scholes'!$B$7)*B1541)</f>
        <v>133.177085900126</v>
      </c>
      <c r="E1541" s="18" t="n">
        <f aca="false">EXP(-'Black-Scholes'!$B$8*'Black-Scholes'!$B$7)*IF(LOWER('Black-Scholes'!$B$11)="put",MAX('Black-Scholes'!$B$6-C1541,0),MAX(C1541-'Black-Scholes'!$B$6,0))</f>
        <v>0</v>
      </c>
      <c r="F1541" s="18" t="n">
        <f aca="false">(E1541+G1541)/2</f>
        <v>15.7795101636936</v>
      </c>
      <c r="G1541" s="18" t="n">
        <f aca="false">EXP(-'Black-Scholes'!$B$8*'Black-Scholes'!$B$7)*IF(LOWER('Black-Scholes'!$B$11)="put",MAX('Black-Scholes'!$B$6-D1541,0),MAX(D1541-'Black-Scholes'!$B$6,0))</f>
        <v>31.5590203273873</v>
      </c>
    </row>
    <row r="1542" customFormat="false" ht="15" hidden="false" customHeight="false" outlineLevel="0" collapsed="false">
      <c r="A1542" s="0" t="n">
        <v>1531</v>
      </c>
      <c r="B1542" s="15" t="n">
        <v>0.937144563693146</v>
      </c>
      <c r="C1542" s="18" t="n">
        <f aca="false">'Black-Scholes'!$B$5*EXP(('Black-Scholes'!$B$8-'Black-Scholes'!$B$10-'Black-Scholes'!$B$9^2/2)*'Black-Scholes'!$B$7+'Black-Scholes'!$B$9*SQRT('Black-Scholes'!$B$7)*B1542)</f>
        <v>124.287707363989</v>
      </c>
      <c r="D1542" s="18" t="n">
        <f aca="false">'Black-Scholes'!$B$5*EXP(('Black-Scholes'!$B$8-'Black-Scholes'!$B$10-'Black-Scholes'!$B$9^2/2)*'Black-Scholes'!$B$7-'Black-Scholes'!$B$9*SQRT('Black-Scholes'!$B$7)*B1542)</f>
        <v>85.4337543966163</v>
      </c>
      <c r="E1542" s="18" t="n">
        <f aca="false">EXP(-'Black-Scholes'!$B$8*'Black-Scholes'!$B$7)*IF(LOWER('Black-Scholes'!$B$11)="put",MAX('Black-Scholes'!$B$6-C1542,0),MAX(C1542-'Black-Scholes'!$B$6,0))</f>
        <v>23.1031818982894</v>
      </c>
      <c r="F1542" s="18" t="n">
        <f aca="false">(E1542+G1542)/2</f>
        <v>11.5515909491447</v>
      </c>
      <c r="G1542" s="18" t="n">
        <f aca="false">EXP(-'Black-Scholes'!$B$8*'Black-Scholes'!$B$7)*IF(LOWER('Black-Scholes'!$B$11)="put",MAX('Black-Scholes'!$B$6-D1542,0),MAX(D1542-'Black-Scholes'!$B$6,0))</f>
        <v>0</v>
      </c>
    </row>
    <row r="1543" customFormat="false" ht="15" hidden="false" customHeight="false" outlineLevel="0" collapsed="false">
      <c r="A1543" s="0" t="n">
        <v>1532</v>
      </c>
      <c r="B1543" s="15" t="n">
        <v>-1.58064145656218</v>
      </c>
      <c r="C1543" s="18" t="n">
        <f aca="false">'Black-Scholes'!$B$5*EXP(('Black-Scholes'!$B$8-'Black-Scholes'!$B$10-'Black-Scholes'!$B$9^2/2)*'Black-Scholes'!$B$7+'Black-Scholes'!$B$9*SQRT('Black-Scholes'!$B$7)*B1543)</f>
        <v>75.1166241662026</v>
      </c>
      <c r="D1543" s="18" t="n">
        <f aca="false">'Black-Scholes'!$B$5*EXP(('Black-Scholes'!$B$8-'Black-Scholes'!$B$10-'Black-Scholes'!$B$9^2/2)*'Black-Scholes'!$B$7-'Black-Scholes'!$B$9*SQRT('Black-Scholes'!$B$7)*B1543)</f>
        <v>141.358395472611</v>
      </c>
      <c r="E1543" s="18" t="n">
        <f aca="false">EXP(-'Black-Scholes'!$B$8*'Black-Scholes'!$B$7)*IF(LOWER('Black-Scholes'!$B$11)="put",MAX('Black-Scholes'!$B$6-C1543,0),MAX(C1543-'Black-Scholes'!$B$6,0))</f>
        <v>0</v>
      </c>
      <c r="F1543" s="18" t="n">
        <f aca="false">(E1543+G1543)/2</f>
        <v>19.6706613618426</v>
      </c>
      <c r="G1543" s="18" t="n">
        <f aca="false">EXP(-'Black-Scholes'!$B$8*'Black-Scholes'!$B$7)*IF(LOWER('Black-Scholes'!$B$11)="put",MAX('Black-Scholes'!$B$6-D1543,0),MAX(D1543-'Black-Scholes'!$B$6,0))</f>
        <v>39.3413227236851</v>
      </c>
    </row>
    <row r="1544" customFormat="false" ht="15" hidden="false" customHeight="false" outlineLevel="0" collapsed="false">
      <c r="A1544" s="0" t="n">
        <v>1533</v>
      </c>
      <c r="B1544" s="15" t="n">
        <v>-0.174310066619126</v>
      </c>
      <c r="C1544" s="18" t="n">
        <f aca="false">'Black-Scholes'!$B$5*EXP(('Black-Scholes'!$B$8-'Black-Scholes'!$B$10-'Black-Scholes'!$B$9^2/2)*'Black-Scholes'!$B$7+'Black-Scholes'!$B$9*SQRT('Black-Scholes'!$B$7)*B1544)</f>
        <v>99.5149787130554</v>
      </c>
      <c r="D1544" s="18" t="n">
        <f aca="false">'Black-Scholes'!$B$5*EXP(('Black-Scholes'!$B$8-'Black-Scholes'!$B$10-'Black-Scholes'!$B$9^2/2)*'Black-Scholes'!$B$7-'Black-Scholes'!$B$9*SQRT('Black-Scholes'!$B$7)*B1544)</f>
        <v>106.701178081653</v>
      </c>
      <c r="E1544" s="18" t="n">
        <f aca="false">EXP(-'Black-Scholes'!$B$8*'Black-Scholes'!$B$7)*IF(LOWER('Black-Scholes'!$B$11)="put",MAX('Black-Scholes'!$B$6-C1544,0),MAX(C1544-'Black-Scholes'!$B$6,0))</f>
        <v>0</v>
      </c>
      <c r="F1544" s="18" t="n">
        <f aca="false">(E1544+G1544)/2</f>
        <v>3.18717888504363</v>
      </c>
      <c r="G1544" s="18" t="n">
        <f aca="false">EXP(-'Black-Scholes'!$B$8*'Black-Scholes'!$B$7)*IF(LOWER('Black-Scholes'!$B$11)="put",MAX('Black-Scholes'!$B$6-D1544,0),MAX(D1544-'Black-Scholes'!$B$6,0))</f>
        <v>6.37435777008727</v>
      </c>
    </row>
    <row r="1545" customFormat="false" ht="15" hidden="false" customHeight="false" outlineLevel="0" collapsed="false">
      <c r="A1545" s="0" t="n">
        <v>1534</v>
      </c>
      <c r="B1545" s="15" t="n">
        <v>-0.347723309159953</v>
      </c>
      <c r="C1545" s="18" t="n">
        <f aca="false">'Black-Scholes'!$B$5*EXP(('Black-Scholes'!$B$8-'Black-Scholes'!$B$10-'Black-Scholes'!$B$9^2/2)*'Black-Scholes'!$B$7+'Black-Scholes'!$B$9*SQRT('Black-Scholes'!$B$7)*B1545)</f>
        <v>96.1227022872114</v>
      </c>
      <c r="D1545" s="18" t="n">
        <f aca="false">'Black-Scholes'!$B$5*EXP(('Black-Scholes'!$B$8-'Black-Scholes'!$B$10-'Black-Scholes'!$B$9^2/2)*'Black-Scholes'!$B$7-'Black-Scholes'!$B$9*SQRT('Black-Scholes'!$B$7)*B1545)</f>
        <v>110.46678061262</v>
      </c>
      <c r="E1545" s="18" t="n">
        <f aca="false">EXP(-'Black-Scholes'!$B$8*'Black-Scholes'!$B$7)*IF(LOWER('Black-Scholes'!$B$11)="put",MAX('Black-Scholes'!$B$6-C1545,0),MAX(C1545-'Black-Scholes'!$B$6,0))</f>
        <v>0</v>
      </c>
      <c r="F1545" s="18" t="n">
        <f aca="false">(E1545+G1545)/2</f>
        <v>4.97815484925902</v>
      </c>
      <c r="G1545" s="18" t="n">
        <f aca="false">EXP(-'Black-Scholes'!$B$8*'Black-Scholes'!$B$7)*IF(LOWER('Black-Scholes'!$B$11)="put",MAX('Black-Scholes'!$B$6-D1545,0),MAX(D1545-'Black-Scholes'!$B$6,0))</f>
        <v>9.95630969851804</v>
      </c>
    </row>
    <row r="1546" customFormat="false" ht="15" hidden="false" customHeight="false" outlineLevel="0" collapsed="false">
      <c r="A1546" s="0" t="n">
        <v>1535</v>
      </c>
      <c r="B1546" s="15" t="n">
        <v>-0.157031407233264</v>
      </c>
      <c r="C1546" s="18" t="n">
        <f aca="false">'Black-Scholes'!$B$5*EXP(('Black-Scholes'!$B$8-'Black-Scholes'!$B$10-'Black-Scholes'!$B$9^2/2)*'Black-Scholes'!$B$7+'Black-Scholes'!$B$9*SQRT('Black-Scholes'!$B$7)*B1546)</f>
        <v>99.8594706903747</v>
      </c>
      <c r="D1546" s="18" t="n">
        <f aca="false">'Black-Scholes'!$B$5*EXP(('Black-Scholes'!$B$8-'Black-Scholes'!$B$10-'Black-Scholes'!$B$9^2/2)*'Black-Scholes'!$B$7-'Black-Scholes'!$B$9*SQRT('Black-Scholes'!$B$7)*B1546)</f>
        <v>106.333083803108</v>
      </c>
      <c r="E1546" s="18" t="n">
        <f aca="false">EXP(-'Black-Scholes'!$B$8*'Black-Scholes'!$B$7)*IF(LOWER('Black-Scholes'!$B$11)="put",MAX('Black-Scholes'!$B$6-C1546,0),MAX(C1546-'Black-Scholes'!$B$6,0))</f>
        <v>0</v>
      </c>
      <c r="F1546" s="18" t="n">
        <f aca="false">(E1546+G1546)/2</f>
        <v>3.0121078306725</v>
      </c>
      <c r="G1546" s="18" t="n">
        <f aca="false">EXP(-'Black-Scholes'!$B$8*'Black-Scholes'!$B$7)*IF(LOWER('Black-Scholes'!$B$11)="put",MAX('Black-Scholes'!$B$6-D1546,0),MAX(D1546-'Black-Scholes'!$B$6,0))</f>
        <v>6.024215661345</v>
      </c>
    </row>
    <row r="1547" customFormat="false" ht="15" hidden="false" customHeight="false" outlineLevel="0" collapsed="false">
      <c r="A1547" s="0" t="n">
        <v>1536</v>
      </c>
      <c r="B1547" s="15" t="n">
        <v>0.184044604204352</v>
      </c>
      <c r="C1547" s="18" t="n">
        <f aca="false">'Black-Scholes'!$B$5*EXP(('Black-Scholes'!$B$8-'Black-Scholes'!$B$10-'Black-Scholes'!$B$9^2/2)*'Black-Scholes'!$B$7+'Black-Scholes'!$B$9*SQRT('Black-Scholes'!$B$7)*B1547)</f>
        <v>106.909117761318</v>
      </c>
      <c r="D1547" s="18" t="n">
        <f aca="false">'Black-Scholes'!$B$5*EXP(('Black-Scholes'!$B$8-'Black-Scholes'!$B$10-'Black-Scholes'!$B$9^2/2)*'Black-Scholes'!$B$7-'Black-Scholes'!$B$9*SQRT('Black-Scholes'!$B$7)*B1547)</f>
        <v>99.321420733822</v>
      </c>
      <c r="E1547" s="18" t="n">
        <f aca="false">EXP(-'Black-Scholes'!$B$8*'Black-Scholes'!$B$7)*IF(LOWER('Black-Scholes'!$B$11)="put",MAX('Black-Scholes'!$B$6-C1547,0),MAX(C1547-'Black-Scholes'!$B$6,0))</f>
        <v>6.57215611190626</v>
      </c>
      <c r="F1547" s="18" t="n">
        <f aca="false">(E1547+G1547)/2</f>
        <v>3.28607805595313</v>
      </c>
      <c r="G1547" s="18" t="n">
        <f aca="false">EXP(-'Black-Scholes'!$B$8*'Black-Scholes'!$B$7)*IF(LOWER('Black-Scholes'!$B$11)="put",MAX('Black-Scholes'!$B$6-D1547,0),MAX(D1547-'Black-Scholes'!$B$6,0))</f>
        <v>0</v>
      </c>
    </row>
    <row r="1548" customFormat="false" ht="15" hidden="false" customHeight="false" outlineLevel="0" collapsed="false">
      <c r="A1548" s="0" t="n">
        <v>1537</v>
      </c>
      <c r="B1548" s="15" t="n">
        <v>-1.05012716792907</v>
      </c>
      <c r="C1548" s="18" t="n">
        <f aca="false">'Black-Scholes'!$B$5*EXP(('Black-Scholes'!$B$8-'Black-Scholes'!$B$10-'Black-Scholes'!$B$9^2/2)*'Black-Scholes'!$B$7+'Black-Scholes'!$B$9*SQRT('Black-Scholes'!$B$7)*B1548)</f>
        <v>83.5248967764824</v>
      </c>
      <c r="D1548" s="18" t="n">
        <f aca="false">'Black-Scholes'!$B$5*EXP(('Black-Scholes'!$B$8-'Black-Scholes'!$B$10-'Black-Scholes'!$B$9^2/2)*'Black-Scholes'!$B$7-'Black-Scholes'!$B$9*SQRT('Black-Scholes'!$B$7)*B1548)</f>
        <v>127.128148315693</v>
      </c>
      <c r="E1548" s="18" t="n">
        <f aca="false">EXP(-'Black-Scholes'!$B$8*'Black-Scholes'!$B$7)*IF(LOWER('Black-Scholes'!$B$11)="put",MAX('Black-Scholes'!$B$6-C1548,0),MAX(C1548-'Black-Scholes'!$B$6,0))</f>
        <v>0</v>
      </c>
      <c r="F1548" s="18" t="n">
        <f aca="false">(E1548+G1548)/2</f>
        <v>12.9025464550533</v>
      </c>
      <c r="G1548" s="18" t="n">
        <f aca="false">EXP(-'Black-Scholes'!$B$8*'Black-Scholes'!$B$7)*IF(LOWER('Black-Scholes'!$B$11)="put",MAX('Black-Scholes'!$B$6-D1548,0),MAX(D1548-'Black-Scholes'!$B$6,0))</f>
        <v>25.8050929101065</v>
      </c>
    </row>
    <row r="1549" customFormat="false" ht="15" hidden="false" customHeight="false" outlineLevel="0" collapsed="false">
      <c r="A1549" s="0" t="n">
        <v>1538</v>
      </c>
      <c r="B1549" s="15" t="n">
        <v>1.51769444031631</v>
      </c>
      <c r="C1549" s="18" t="n">
        <f aca="false">'Black-Scholes'!$B$5*EXP(('Black-Scholes'!$B$8-'Black-Scholes'!$B$10-'Black-Scholes'!$B$9^2/2)*'Black-Scholes'!$B$7+'Black-Scholes'!$B$9*SQRT('Black-Scholes'!$B$7)*B1549)</f>
        <v>139.589932930746</v>
      </c>
      <c r="D1549" s="18" t="n">
        <f aca="false">'Black-Scholes'!$B$5*EXP(('Black-Scholes'!$B$8-'Black-Scholes'!$B$10-'Black-Scholes'!$B$9^2/2)*'Black-Scholes'!$B$7-'Black-Scholes'!$B$9*SQRT('Black-Scholes'!$B$7)*B1549)</f>
        <v>76.0682754301602</v>
      </c>
      <c r="E1549" s="18" t="n">
        <f aca="false">EXP(-'Black-Scholes'!$B$8*'Black-Scholes'!$B$7)*IF(LOWER('Black-Scholes'!$B$11)="put",MAX('Black-Scholes'!$B$6-C1549,0),MAX(C1549-'Black-Scholes'!$B$6,0))</f>
        <v>37.6591091177356</v>
      </c>
      <c r="F1549" s="18" t="n">
        <f aca="false">(E1549+G1549)/2</f>
        <v>18.8295545588678</v>
      </c>
      <c r="G1549" s="18" t="n">
        <f aca="false">EXP(-'Black-Scholes'!$B$8*'Black-Scholes'!$B$7)*IF(LOWER('Black-Scholes'!$B$11)="put",MAX('Black-Scholes'!$B$6-D1549,0),MAX(D1549-'Black-Scholes'!$B$6,0))</f>
        <v>0</v>
      </c>
    </row>
    <row r="1550" customFormat="false" ht="15" hidden="false" customHeight="false" outlineLevel="0" collapsed="false">
      <c r="A1550" s="0" t="n">
        <v>1539</v>
      </c>
      <c r="B1550" s="15" t="n">
        <v>-1.72511329660491</v>
      </c>
      <c r="C1550" s="18" t="n">
        <f aca="false">'Black-Scholes'!$B$5*EXP(('Black-Scholes'!$B$8-'Black-Scholes'!$B$10-'Black-Scholes'!$B$9^2/2)*'Black-Scholes'!$B$7+'Black-Scholes'!$B$9*SQRT('Black-Scholes'!$B$7)*B1550)</f>
        <v>72.9772337936058</v>
      </c>
      <c r="D1550" s="18" t="n">
        <f aca="false">'Black-Scholes'!$B$5*EXP(('Black-Scholes'!$B$8-'Black-Scholes'!$B$10-'Black-Scholes'!$B$9^2/2)*'Black-Scholes'!$B$7-'Black-Scholes'!$B$9*SQRT('Black-Scholes'!$B$7)*B1550)</f>
        <v>145.502438410922</v>
      </c>
      <c r="E1550" s="18" t="n">
        <f aca="false">EXP(-'Black-Scholes'!$B$8*'Black-Scholes'!$B$7)*IF(LOWER('Black-Scholes'!$B$11)="put",MAX('Black-Scholes'!$B$6-C1550,0),MAX(C1550-'Black-Scholes'!$B$6,0))</f>
        <v>0</v>
      </c>
      <c r="F1550" s="18" t="n">
        <f aca="false">(E1550+G1550)/2</f>
        <v>21.6416291515004</v>
      </c>
      <c r="G1550" s="18" t="n">
        <f aca="false">EXP(-'Black-Scholes'!$B$8*'Black-Scholes'!$B$7)*IF(LOWER('Black-Scholes'!$B$11)="put",MAX('Black-Scholes'!$B$6-D1550,0),MAX(D1550-'Black-Scholes'!$B$6,0))</f>
        <v>43.2832583030007</v>
      </c>
    </row>
    <row r="1551" customFormat="false" ht="15" hidden="false" customHeight="false" outlineLevel="0" collapsed="false">
      <c r="A1551" s="0" t="n">
        <v>1540</v>
      </c>
      <c r="B1551" s="15" t="n">
        <v>-0.390435358697162</v>
      </c>
      <c r="C1551" s="18" t="n">
        <f aca="false">'Black-Scholes'!$B$5*EXP(('Black-Scholes'!$B$8-'Black-Scholes'!$B$10-'Black-Scholes'!$B$9^2/2)*'Black-Scholes'!$B$7+'Black-Scholes'!$B$9*SQRT('Black-Scholes'!$B$7)*B1551)</f>
        <v>95.3050799673734</v>
      </c>
      <c r="D1551" s="18" t="n">
        <f aca="false">'Black-Scholes'!$B$5*EXP(('Black-Scholes'!$B$8-'Black-Scholes'!$B$10-'Black-Scholes'!$B$9^2/2)*'Black-Scholes'!$B$7-'Black-Scholes'!$B$9*SQRT('Black-Scholes'!$B$7)*B1551)</f>
        <v>111.414475168466</v>
      </c>
      <c r="E1551" s="18" t="n">
        <f aca="false">EXP(-'Black-Scholes'!$B$8*'Black-Scholes'!$B$7)*IF(LOWER('Black-Scholes'!$B$11)="put",MAX('Black-Scholes'!$B$6-C1551,0),MAX(C1551-'Black-Scholes'!$B$6,0))</f>
        <v>0</v>
      </c>
      <c r="F1551" s="18" t="n">
        <f aca="false">(E1551+G1551)/2</f>
        <v>5.42889232273887</v>
      </c>
      <c r="G1551" s="18" t="n">
        <f aca="false">EXP(-'Black-Scholes'!$B$8*'Black-Scholes'!$B$7)*IF(LOWER('Black-Scholes'!$B$11)="put",MAX('Black-Scholes'!$B$6-D1551,0),MAX(D1551-'Black-Scholes'!$B$6,0))</f>
        <v>10.8577846454777</v>
      </c>
    </row>
    <row r="1552" customFormat="false" ht="15" hidden="false" customHeight="false" outlineLevel="0" collapsed="false">
      <c r="A1552" s="0" t="n">
        <v>1541</v>
      </c>
      <c r="B1552" s="15" t="n">
        <v>1.8570549862769</v>
      </c>
      <c r="C1552" s="18" t="n">
        <f aca="false">'Black-Scholes'!$B$5*EXP(('Black-Scholes'!$B$8-'Black-Scholes'!$B$10-'Black-Scholes'!$B$9^2/2)*'Black-Scholes'!$B$7+'Black-Scholes'!$B$9*SQRT('Black-Scholes'!$B$7)*B1552)</f>
        <v>149.393114394064</v>
      </c>
      <c r="D1552" s="18" t="n">
        <f aca="false">'Black-Scholes'!$B$5*EXP(('Black-Scholes'!$B$8-'Black-Scholes'!$B$10-'Black-Scholes'!$B$9^2/2)*'Black-Scholes'!$B$7-'Black-Scholes'!$B$9*SQRT('Black-Scholes'!$B$7)*B1552)</f>
        <v>71.0766724994086</v>
      </c>
      <c r="E1552" s="18" t="n">
        <f aca="false">EXP(-'Black-Scholes'!$B$8*'Black-Scholes'!$B$7)*IF(LOWER('Black-Scholes'!$B$11)="put",MAX('Black-Scholes'!$B$6-C1552,0),MAX(C1552-'Black-Scholes'!$B$6,0))</f>
        <v>46.9841837793639</v>
      </c>
      <c r="F1552" s="18" t="n">
        <f aca="false">(E1552+G1552)/2</f>
        <v>23.4920918896819</v>
      </c>
      <c r="G1552" s="18" t="n">
        <f aca="false">EXP(-'Black-Scholes'!$B$8*'Black-Scholes'!$B$7)*IF(LOWER('Black-Scholes'!$B$11)="put",MAX('Black-Scholes'!$B$6-D1552,0),MAX(D1552-'Black-Scholes'!$B$6,0))</f>
        <v>0</v>
      </c>
    </row>
    <row r="1553" customFormat="false" ht="15" hidden="false" customHeight="false" outlineLevel="0" collapsed="false">
      <c r="A1553" s="0" t="n">
        <v>1542</v>
      </c>
      <c r="B1553" s="15" t="n">
        <v>-0.259805595154603</v>
      </c>
      <c r="C1553" s="18" t="n">
        <f aca="false">'Black-Scholes'!$B$5*EXP(('Black-Scholes'!$B$8-'Black-Scholes'!$B$10-'Black-Scholes'!$B$9^2/2)*'Black-Scholes'!$B$7+'Black-Scholes'!$B$9*SQRT('Black-Scholes'!$B$7)*B1553)</f>
        <v>97.8278270718968</v>
      </c>
      <c r="D1553" s="18" t="n">
        <f aca="false">'Black-Scholes'!$B$5*EXP(('Black-Scholes'!$B$8-'Black-Scholes'!$B$10-'Black-Scholes'!$B$9^2/2)*'Black-Scholes'!$B$7-'Black-Scholes'!$B$9*SQRT('Black-Scholes'!$B$7)*B1553)</f>
        <v>108.541360707622</v>
      </c>
      <c r="E1553" s="18" t="n">
        <f aca="false">EXP(-'Black-Scholes'!$B$8*'Black-Scholes'!$B$7)*IF(LOWER('Black-Scholes'!$B$11)="put",MAX('Black-Scholes'!$B$6-C1553,0),MAX(C1553-'Black-Scholes'!$B$6,0))</f>
        <v>0</v>
      </c>
      <c r="F1553" s="18" t="n">
        <f aca="false">(E1553+G1553)/2</f>
        <v>4.06239681518202</v>
      </c>
      <c r="G1553" s="18" t="n">
        <f aca="false">EXP(-'Black-Scholes'!$B$8*'Black-Scholes'!$B$7)*IF(LOWER('Black-Scholes'!$B$11)="put",MAX('Black-Scholes'!$B$6-D1553,0),MAX(D1553-'Black-Scholes'!$B$6,0))</f>
        <v>8.12479363036405</v>
      </c>
    </row>
    <row r="1554" customFormat="false" ht="15" hidden="false" customHeight="false" outlineLevel="0" collapsed="false">
      <c r="A1554" s="0" t="n">
        <v>1543</v>
      </c>
      <c r="B1554" s="15" t="n">
        <v>2.92988555353522</v>
      </c>
      <c r="C1554" s="18" t="n">
        <f aca="false">'Black-Scholes'!$B$5*EXP(('Black-Scholes'!$B$8-'Black-Scholes'!$B$10-'Black-Scholes'!$B$9^2/2)*'Black-Scholes'!$B$7+'Black-Scholes'!$B$9*SQRT('Black-Scholes'!$B$7)*B1554)</f>
        <v>185.146480208927</v>
      </c>
      <c r="D1554" s="18" t="n">
        <f aca="false">'Black-Scholes'!$B$5*EXP(('Black-Scholes'!$B$8-'Black-Scholes'!$B$10-'Black-Scholes'!$B$9^2/2)*'Black-Scholes'!$B$7-'Black-Scholes'!$B$9*SQRT('Black-Scholes'!$B$7)*B1554)</f>
        <v>57.3511603000575</v>
      </c>
      <c r="E1554" s="18" t="n">
        <f aca="false">EXP(-'Black-Scholes'!$B$8*'Black-Scholes'!$B$7)*IF(LOWER('Black-Scholes'!$B$11)="put",MAX('Black-Scholes'!$B$6-C1554,0),MAX(C1554-'Black-Scholes'!$B$6,0))</f>
        <v>80.9938373673992</v>
      </c>
      <c r="F1554" s="18" t="n">
        <f aca="false">(E1554+G1554)/2</f>
        <v>40.4969186836996</v>
      </c>
      <c r="G1554" s="18" t="n">
        <f aca="false">EXP(-'Black-Scholes'!$B$8*'Black-Scholes'!$B$7)*IF(LOWER('Black-Scholes'!$B$11)="put",MAX('Black-Scholes'!$B$6-D1554,0),MAX(D1554-'Black-Scholes'!$B$6,0))</f>
        <v>0</v>
      </c>
    </row>
    <row r="1555" customFormat="false" ht="15" hidden="false" customHeight="false" outlineLevel="0" collapsed="false">
      <c r="A1555" s="0" t="n">
        <v>1544</v>
      </c>
      <c r="B1555" s="15" t="n">
        <v>-1.06184485475094</v>
      </c>
      <c r="C1555" s="18" t="n">
        <f aca="false">'Black-Scholes'!$B$5*EXP(('Black-Scholes'!$B$8-'Black-Scholes'!$B$10-'Black-Scholes'!$B$9^2/2)*'Black-Scholes'!$B$7+'Black-Scholes'!$B$9*SQRT('Black-Scholes'!$B$7)*B1555)</f>
        <v>83.3293822473166</v>
      </c>
      <c r="D1555" s="18" t="n">
        <f aca="false">'Black-Scholes'!$B$5*EXP(('Black-Scholes'!$B$8-'Black-Scholes'!$B$10-'Black-Scholes'!$B$9^2/2)*'Black-Scholes'!$B$7-'Black-Scholes'!$B$9*SQRT('Black-Scholes'!$B$7)*B1555)</f>
        <v>127.426427258742</v>
      </c>
      <c r="E1555" s="18" t="n">
        <f aca="false">EXP(-'Black-Scholes'!$B$8*'Black-Scholes'!$B$7)*IF(LOWER('Black-Scholes'!$B$11)="put",MAX('Black-Scholes'!$B$6-C1555,0),MAX(C1555-'Black-Scholes'!$B$6,0))</f>
        <v>0</v>
      </c>
      <c r="F1555" s="18" t="n">
        <f aca="false">(E1555+G1555)/2</f>
        <v>13.0444123087219</v>
      </c>
      <c r="G1555" s="18" t="n">
        <f aca="false">EXP(-'Black-Scholes'!$B$8*'Black-Scholes'!$B$7)*IF(LOWER('Black-Scholes'!$B$11)="put",MAX('Black-Scholes'!$B$6-D1555,0),MAX(D1555-'Black-Scholes'!$B$6,0))</f>
        <v>26.0888246174438</v>
      </c>
    </row>
    <row r="1556" customFormat="false" ht="15" hidden="false" customHeight="false" outlineLevel="0" collapsed="false">
      <c r="A1556" s="0" t="n">
        <v>1545</v>
      </c>
      <c r="B1556" s="15" t="n">
        <v>-0.0807992854902968</v>
      </c>
      <c r="C1556" s="18" t="n">
        <f aca="false">'Black-Scholes'!$B$5*EXP(('Black-Scholes'!$B$8-'Black-Scholes'!$B$10-'Black-Scholes'!$B$9^2/2)*'Black-Scholes'!$B$7+'Black-Scholes'!$B$9*SQRT('Black-Scholes'!$B$7)*B1556)</f>
        <v>101.393636105829</v>
      </c>
      <c r="D1556" s="18" t="n">
        <f aca="false">'Black-Scholes'!$B$5*EXP(('Black-Scholes'!$B$8-'Black-Scholes'!$B$10-'Black-Scholes'!$B$9^2/2)*'Black-Scholes'!$B$7-'Black-Scholes'!$B$9*SQRT('Black-Scholes'!$B$7)*B1556)</f>
        <v>104.724180661306</v>
      </c>
      <c r="E1556" s="18" t="n">
        <f aca="false">EXP(-'Black-Scholes'!$B$8*'Black-Scholes'!$B$7)*IF(LOWER('Black-Scholes'!$B$11)="put",MAX('Black-Scholes'!$B$6-C1556,0),MAX(C1556-'Black-Scholes'!$B$6,0))</f>
        <v>1.32566767091146</v>
      </c>
      <c r="F1556" s="18" t="n">
        <f aca="false">(E1556+G1556)/2</f>
        <v>2.9097236613015</v>
      </c>
      <c r="G1556" s="18" t="n">
        <f aca="false">EXP(-'Black-Scholes'!$B$8*'Black-Scholes'!$B$7)*IF(LOWER('Black-Scholes'!$B$11)="put",MAX('Black-Scholes'!$B$6-D1556,0),MAX(D1556-'Black-Scholes'!$B$6,0))</f>
        <v>4.49377965169154</v>
      </c>
    </row>
    <row r="1557" customFormat="false" ht="15" hidden="false" customHeight="false" outlineLevel="0" collapsed="false">
      <c r="A1557" s="0" t="n">
        <v>1546</v>
      </c>
      <c r="B1557" s="15" t="n">
        <v>-2.43635434665293</v>
      </c>
      <c r="C1557" s="18" t="n">
        <f aca="false">'Black-Scholes'!$B$5*EXP(('Black-Scholes'!$B$8-'Black-Scholes'!$B$10-'Black-Scholes'!$B$9^2/2)*'Black-Scholes'!$B$7+'Black-Scholes'!$B$9*SQRT('Black-Scholes'!$B$7)*B1557)</f>
        <v>63.3008854154092</v>
      </c>
      <c r="D1557" s="18" t="n">
        <f aca="false">'Black-Scholes'!$B$5*EXP(('Black-Scholes'!$B$8-'Black-Scholes'!$B$10-'Black-Scholes'!$B$9^2/2)*'Black-Scholes'!$B$7-'Black-Scholes'!$B$9*SQRT('Black-Scholes'!$B$7)*B1557)</f>
        <v>167.744343475941</v>
      </c>
      <c r="E1557" s="18" t="n">
        <f aca="false">EXP(-'Black-Scholes'!$B$8*'Black-Scholes'!$B$7)*IF(LOWER('Black-Scholes'!$B$11)="put",MAX('Black-Scholes'!$B$6-C1557,0),MAX(C1557-'Black-Scholes'!$B$6,0))</f>
        <v>0</v>
      </c>
      <c r="F1557" s="18" t="n">
        <f aca="false">(E1557+G1557)/2</f>
        <v>32.2202064288992</v>
      </c>
      <c r="G1557" s="18" t="n">
        <f aca="false">EXP(-'Black-Scholes'!$B$8*'Black-Scholes'!$B$7)*IF(LOWER('Black-Scholes'!$B$11)="put",MAX('Black-Scholes'!$B$6-D1557,0),MAX(D1557-'Black-Scholes'!$B$6,0))</f>
        <v>64.4404128577984</v>
      </c>
    </row>
    <row r="1558" customFormat="false" ht="15" hidden="false" customHeight="false" outlineLevel="0" collapsed="false">
      <c r="A1558" s="0" t="n">
        <v>1547</v>
      </c>
      <c r="B1558" s="15" t="n">
        <v>1.19637720553888</v>
      </c>
      <c r="C1558" s="18" t="n">
        <f aca="false">'Black-Scholes'!$B$5*EXP(('Black-Scholes'!$B$8-'Black-Scholes'!$B$10-'Black-Scholes'!$B$9^2/2)*'Black-Scholes'!$B$7+'Black-Scholes'!$B$9*SQRT('Black-Scholes'!$B$7)*B1558)</f>
        <v>130.901564811517</v>
      </c>
      <c r="D1558" s="18" t="n">
        <f aca="false">'Black-Scholes'!$B$5*EXP(('Black-Scholes'!$B$8-'Black-Scholes'!$B$10-'Black-Scholes'!$B$9^2/2)*'Black-Scholes'!$B$7-'Black-Scholes'!$B$9*SQRT('Black-Scholes'!$B$7)*B1558)</f>
        <v>81.1171774817424</v>
      </c>
      <c r="E1558" s="18" t="n">
        <f aca="false">EXP(-'Black-Scholes'!$B$8*'Black-Scholes'!$B$7)*IF(LOWER('Black-Scholes'!$B$11)="put",MAX('Black-Scholes'!$B$6-C1558,0),MAX(C1558-'Black-Scholes'!$B$6,0))</f>
        <v>29.3944777118305</v>
      </c>
      <c r="F1558" s="18" t="n">
        <f aca="false">(E1558+G1558)/2</f>
        <v>14.6972388559152</v>
      </c>
      <c r="G1558" s="18" t="n">
        <f aca="false">EXP(-'Black-Scholes'!$B$8*'Black-Scholes'!$B$7)*IF(LOWER('Black-Scholes'!$B$11)="put",MAX('Black-Scholes'!$B$6-D1558,0),MAX(D1558-'Black-Scholes'!$B$6,0))</f>
        <v>0</v>
      </c>
    </row>
    <row r="1559" customFormat="false" ht="15" hidden="false" customHeight="false" outlineLevel="0" collapsed="false">
      <c r="A1559" s="0" t="n">
        <v>1548</v>
      </c>
      <c r="B1559" s="15" t="n">
        <v>-0.699231427620781</v>
      </c>
      <c r="C1559" s="18" t="n">
        <f aca="false">'Black-Scholes'!$B$5*EXP(('Black-Scholes'!$B$8-'Black-Scholes'!$B$10-'Black-Scholes'!$B$9^2/2)*'Black-Scholes'!$B$7+'Black-Scholes'!$B$9*SQRT('Black-Scholes'!$B$7)*B1559)</f>
        <v>89.5971848555068</v>
      </c>
      <c r="D1559" s="18" t="n">
        <f aca="false">'Black-Scholes'!$B$5*EXP(('Black-Scholes'!$B$8-'Black-Scholes'!$B$10-'Black-Scholes'!$B$9^2/2)*'Black-Scholes'!$B$7-'Black-Scholes'!$B$9*SQRT('Black-Scholes'!$B$7)*B1559)</f>
        <v>118.512266680899</v>
      </c>
      <c r="E1559" s="18" t="n">
        <f aca="false">EXP(-'Black-Scholes'!$B$8*'Black-Scholes'!$B$7)*IF(LOWER('Black-Scholes'!$B$11)="put",MAX('Black-Scholes'!$B$6-C1559,0),MAX(C1559-'Black-Scholes'!$B$6,0))</f>
        <v>0</v>
      </c>
      <c r="F1559" s="18" t="n">
        <f aca="false">(E1559+G1559)/2</f>
        <v>8.8047063905375</v>
      </c>
      <c r="G1559" s="18" t="n">
        <f aca="false">EXP(-'Black-Scholes'!$B$8*'Black-Scholes'!$B$7)*IF(LOWER('Black-Scholes'!$B$11)="put",MAX('Black-Scholes'!$B$6-D1559,0),MAX(D1559-'Black-Scholes'!$B$6,0))</f>
        <v>17.609412781075</v>
      </c>
    </row>
    <row r="1560" customFormat="false" ht="15" hidden="false" customHeight="false" outlineLevel="0" collapsed="false">
      <c r="A1560" s="0" t="n">
        <v>1549</v>
      </c>
      <c r="B1560" s="15" t="n">
        <v>0.656070302090065</v>
      </c>
      <c r="C1560" s="18" t="n">
        <f aca="false">'Black-Scholes'!$B$5*EXP(('Black-Scholes'!$B$8-'Black-Scholes'!$B$10-'Black-Scholes'!$B$9^2/2)*'Black-Scholes'!$B$7+'Black-Scholes'!$B$9*SQRT('Black-Scholes'!$B$7)*B1560)</f>
        <v>117.493644928438</v>
      </c>
      <c r="D1560" s="18" t="n">
        <f aca="false">'Black-Scholes'!$B$5*EXP(('Black-Scholes'!$B$8-'Black-Scholes'!$B$10-'Black-Scholes'!$B$9^2/2)*'Black-Scholes'!$B$7-'Black-Scholes'!$B$9*SQRT('Black-Scholes'!$B$7)*B1560)</f>
        <v>90.3739557311459</v>
      </c>
      <c r="E1560" s="18" t="n">
        <f aca="false">EXP(-'Black-Scholes'!$B$8*'Black-Scholes'!$B$7)*IF(LOWER('Black-Scholes'!$B$11)="put",MAX('Black-Scholes'!$B$6-C1560,0),MAX(C1560-'Black-Scholes'!$B$6,0))</f>
        <v>16.6404697976976</v>
      </c>
      <c r="F1560" s="18" t="n">
        <f aca="false">(E1560+G1560)/2</f>
        <v>8.32023489884878</v>
      </c>
      <c r="G1560" s="18" t="n">
        <f aca="false">EXP(-'Black-Scholes'!$B$8*'Black-Scholes'!$B$7)*IF(LOWER('Black-Scholes'!$B$11)="put",MAX('Black-Scholes'!$B$6-D1560,0),MAX(D1560-'Black-Scholes'!$B$6,0))</f>
        <v>0</v>
      </c>
    </row>
    <row r="1561" customFormat="false" ht="15" hidden="false" customHeight="false" outlineLevel="0" collapsed="false">
      <c r="A1561" s="0" t="n">
        <v>1550</v>
      </c>
      <c r="B1561" s="15" t="n">
        <v>-0.59461569417575</v>
      </c>
      <c r="C1561" s="18" t="n">
        <f aca="false">'Black-Scholes'!$B$5*EXP(('Black-Scholes'!$B$8-'Black-Scholes'!$B$10-'Black-Scholes'!$B$9^2/2)*'Black-Scholes'!$B$7+'Black-Scholes'!$B$9*SQRT('Black-Scholes'!$B$7)*B1561)</f>
        <v>91.4915892373253</v>
      </c>
      <c r="D1561" s="18" t="n">
        <f aca="false">'Black-Scholes'!$B$5*EXP(('Black-Scholes'!$B$8-'Black-Scholes'!$B$10-'Black-Scholes'!$B$9^2/2)*'Black-Scholes'!$B$7-'Black-Scholes'!$B$9*SQRT('Black-Scholes'!$B$7)*B1561)</f>
        <v>116.058378195946</v>
      </c>
      <c r="E1561" s="18" t="n">
        <f aca="false">EXP(-'Black-Scholes'!$B$8*'Black-Scholes'!$B$7)*IF(LOWER('Black-Scholes'!$B$11)="put",MAX('Black-Scholes'!$B$6-C1561,0),MAX(C1561-'Black-Scholes'!$B$6,0))</f>
        <v>0</v>
      </c>
      <c r="F1561" s="18" t="n">
        <f aca="false">(E1561+G1561)/2</f>
        <v>7.63760092487205</v>
      </c>
      <c r="G1561" s="18" t="n">
        <f aca="false">EXP(-'Black-Scholes'!$B$8*'Black-Scholes'!$B$7)*IF(LOWER('Black-Scholes'!$B$11)="put",MAX('Black-Scholes'!$B$6-D1561,0),MAX(D1561-'Black-Scholes'!$B$6,0))</f>
        <v>15.2752018497441</v>
      </c>
    </row>
    <row r="1562" customFormat="false" ht="15" hidden="false" customHeight="false" outlineLevel="0" collapsed="false">
      <c r="A1562" s="0" t="n">
        <v>1551</v>
      </c>
      <c r="B1562" s="15" t="n">
        <v>0.376259068415185</v>
      </c>
      <c r="C1562" s="18" t="n">
        <f aca="false">'Black-Scholes'!$B$5*EXP(('Black-Scholes'!$B$8-'Black-Scholes'!$B$10-'Black-Scholes'!$B$9^2/2)*'Black-Scholes'!$B$7+'Black-Scholes'!$B$9*SQRT('Black-Scholes'!$B$7)*B1562)</f>
        <v>111.09903377034</v>
      </c>
      <c r="D1562" s="18" t="n">
        <f aca="false">'Black-Scholes'!$B$5*EXP(('Black-Scholes'!$B$8-'Black-Scholes'!$B$10-'Black-Scholes'!$B$9^2/2)*'Black-Scholes'!$B$7-'Black-Scholes'!$B$9*SQRT('Black-Scholes'!$B$7)*B1562)</f>
        <v>95.5756778893644</v>
      </c>
      <c r="E1562" s="18" t="n">
        <f aca="false">EXP(-'Black-Scholes'!$B$8*'Black-Scholes'!$B$7)*IF(LOWER('Black-Scholes'!$B$11)="put",MAX('Black-Scholes'!$B$6-C1562,0),MAX(C1562-'Black-Scholes'!$B$6,0))</f>
        <v>10.5577275058741</v>
      </c>
      <c r="F1562" s="18" t="n">
        <f aca="false">(E1562+G1562)/2</f>
        <v>5.27886375293706</v>
      </c>
      <c r="G1562" s="18" t="n">
        <f aca="false">EXP(-'Black-Scholes'!$B$8*'Black-Scholes'!$B$7)*IF(LOWER('Black-Scholes'!$B$11)="put",MAX('Black-Scholes'!$B$6-D1562,0),MAX(D1562-'Black-Scholes'!$B$6,0))</f>
        <v>0</v>
      </c>
    </row>
    <row r="1563" customFormat="false" ht="15" hidden="false" customHeight="false" outlineLevel="0" collapsed="false">
      <c r="A1563" s="0" t="n">
        <v>1552</v>
      </c>
      <c r="B1563" s="15" t="n">
        <v>0.52491943640434</v>
      </c>
      <c r="C1563" s="18" t="n">
        <f aca="false">'Black-Scholes'!$B$5*EXP(('Black-Scholes'!$B$8-'Black-Scholes'!$B$10-'Black-Scholes'!$B$9^2/2)*'Black-Scholes'!$B$7+'Black-Scholes'!$B$9*SQRT('Black-Scholes'!$B$7)*B1563)</f>
        <v>114.451834290014</v>
      </c>
      <c r="D1563" s="18" t="n">
        <f aca="false">'Black-Scholes'!$B$5*EXP(('Black-Scholes'!$B$8-'Black-Scholes'!$B$10-'Black-Scholes'!$B$9^2/2)*'Black-Scholes'!$B$7-'Black-Scholes'!$B$9*SQRT('Black-Scholes'!$B$7)*B1563)</f>
        <v>92.7758434919206</v>
      </c>
      <c r="E1563" s="18" t="n">
        <f aca="false">EXP(-'Black-Scholes'!$B$8*'Black-Scholes'!$B$7)*IF(LOWER('Black-Scholes'!$B$11)="put",MAX('Black-Scholes'!$B$6-C1563,0),MAX(C1563-'Black-Scholes'!$B$6,0))</f>
        <v>13.74701001467</v>
      </c>
      <c r="F1563" s="18" t="n">
        <f aca="false">(E1563+G1563)/2</f>
        <v>6.87350500733501</v>
      </c>
      <c r="G1563" s="18" t="n">
        <f aca="false">EXP(-'Black-Scholes'!$B$8*'Black-Scholes'!$B$7)*IF(LOWER('Black-Scholes'!$B$11)="put",MAX('Black-Scholes'!$B$6-D1563,0),MAX(D1563-'Black-Scholes'!$B$6,0))</f>
        <v>0</v>
      </c>
    </row>
    <row r="1564" customFormat="false" ht="15" hidden="false" customHeight="false" outlineLevel="0" collapsed="false">
      <c r="A1564" s="0" t="n">
        <v>1553</v>
      </c>
      <c r="B1564" s="15" t="n">
        <v>0.261762125595419</v>
      </c>
      <c r="C1564" s="18" t="n">
        <f aca="false">'Black-Scholes'!$B$5*EXP(('Black-Scholes'!$B$8-'Black-Scholes'!$B$10-'Black-Scholes'!$B$9^2/2)*'Black-Scholes'!$B$7+'Black-Scholes'!$B$9*SQRT('Black-Scholes'!$B$7)*B1564)</f>
        <v>108.583841913919</v>
      </c>
      <c r="D1564" s="18" t="n">
        <f aca="false">'Black-Scholes'!$B$5*EXP(('Black-Scholes'!$B$8-'Black-Scholes'!$B$10-'Black-Scholes'!$B$9^2/2)*'Black-Scholes'!$B$7-'Black-Scholes'!$B$9*SQRT('Black-Scholes'!$B$7)*B1564)</f>
        <v>97.7895539363157</v>
      </c>
      <c r="E1564" s="18" t="n">
        <f aca="false">EXP(-'Black-Scholes'!$B$8*'Black-Scholes'!$B$7)*IF(LOWER('Black-Scholes'!$B$11)="put",MAX('Black-Scholes'!$B$6-C1564,0),MAX(C1564-'Black-Scholes'!$B$6,0))</f>
        <v>8.16520300378267</v>
      </c>
      <c r="F1564" s="18" t="n">
        <f aca="false">(E1564+G1564)/2</f>
        <v>4.08260150189134</v>
      </c>
      <c r="G1564" s="18" t="n">
        <f aca="false">EXP(-'Black-Scholes'!$B$8*'Black-Scholes'!$B$7)*IF(LOWER('Black-Scholes'!$B$11)="put",MAX('Black-Scholes'!$B$6-D1564,0),MAX(D1564-'Black-Scholes'!$B$6,0))</f>
        <v>0</v>
      </c>
    </row>
    <row r="1565" customFormat="false" ht="15" hidden="false" customHeight="false" outlineLevel="0" collapsed="false">
      <c r="A1565" s="0" t="n">
        <v>1554</v>
      </c>
      <c r="B1565" s="15" t="n">
        <v>-0.557110975175568</v>
      </c>
      <c r="C1565" s="18" t="n">
        <f aca="false">'Black-Scholes'!$B$5*EXP(('Black-Scholes'!$B$8-'Black-Scholes'!$B$10-'Black-Scholes'!$B$9^2/2)*'Black-Scholes'!$B$7+'Black-Scholes'!$B$9*SQRT('Black-Scholes'!$B$7)*B1565)</f>
        <v>92.1804428024991</v>
      </c>
      <c r="D1565" s="18" t="n">
        <f aca="false">'Black-Scholes'!$B$5*EXP(('Black-Scholes'!$B$8-'Black-Scholes'!$B$10-'Black-Scholes'!$B$9^2/2)*'Black-Scholes'!$B$7-'Black-Scholes'!$B$9*SQRT('Black-Scholes'!$B$7)*B1565)</f>
        <v>115.191087638882</v>
      </c>
      <c r="E1565" s="18" t="n">
        <f aca="false">EXP(-'Black-Scholes'!$B$8*'Black-Scholes'!$B$7)*IF(LOWER('Black-Scholes'!$B$11)="put",MAX('Black-Scholes'!$B$6-C1565,0),MAX(C1565-'Black-Scholes'!$B$6,0))</f>
        <v>0</v>
      </c>
      <c r="F1565" s="18" t="n">
        <f aca="false">(E1565+G1565)/2</f>
        <v>7.22510477613669</v>
      </c>
      <c r="G1565" s="18" t="n">
        <f aca="false">EXP(-'Black-Scholes'!$B$8*'Black-Scholes'!$B$7)*IF(LOWER('Black-Scholes'!$B$11)="put",MAX('Black-Scholes'!$B$6-D1565,0),MAX(D1565-'Black-Scholes'!$B$6,0))</f>
        <v>14.4502095522734</v>
      </c>
    </row>
    <row r="1566" customFormat="false" ht="15" hidden="false" customHeight="false" outlineLevel="0" collapsed="false">
      <c r="A1566" s="0" t="n">
        <v>1555</v>
      </c>
      <c r="B1566" s="15" t="n">
        <v>0.155384522306685</v>
      </c>
      <c r="C1566" s="18" t="n">
        <f aca="false">'Black-Scholes'!$B$5*EXP(('Black-Scholes'!$B$8-'Black-Scholes'!$B$10-'Black-Scholes'!$B$9^2/2)*'Black-Scholes'!$B$7+'Black-Scholes'!$B$9*SQRT('Black-Scholes'!$B$7)*B1566)</f>
        <v>106.298065899888</v>
      </c>
      <c r="D1566" s="18" t="n">
        <f aca="false">'Black-Scholes'!$B$5*EXP(('Black-Scholes'!$B$8-'Black-Scholes'!$B$10-'Black-Scholes'!$B$9^2/2)*'Black-Scholes'!$B$7-'Black-Scholes'!$B$9*SQRT('Black-Scholes'!$B$7)*B1566)</f>
        <v>99.8923675192177</v>
      </c>
      <c r="E1566" s="18" t="n">
        <f aca="false">EXP(-'Black-Scholes'!$B$8*'Black-Scholes'!$B$7)*IF(LOWER('Black-Scholes'!$B$11)="put",MAX('Black-Scholes'!$B$6-C1566,0),MAX(C1566-'Black-Scholes'!$B$6,0))</f>
        <v>5.99090560141771</v>
      </c>
      <c r="F1566" s="18" t="n">
        <f aca="false">(E1566+G1566)/2</f>
        <v>2.99545280070886</v>
      </c>
      <c r="G1566" s="18" t="n">
        <f aca="false">EXP(-'Black-Scholes'!$B$8*'Black-Scholes'!$B$7)*IF(LOWER('Black-Scholes'!$B$11)="put",MAX('Black-Scholes'!$B$6-D1566,0),MAX(D1566-'Black-Scholes'!$B$6,0))</f>
        <v>0</v>
      </c>
    </row>
    <row r="1567" customFormat="false" ht="15" hidden="false" customHeight="false" outlineLevel="0" collapsed="false">
      <c r="A1567" s="0" t="n">
        <v>1556</v>
      </c>
      <c r="B1567" s="15" t="n">
        <v>-1.23828375644889</v>
      </c>
      <c r="C1567" s="18" t="n">
        <f aca="false">'Black-Scholes'!$B$5*EXP(('Black-Scholes'!$B$8-'Black-Scholes'!$B$10-'Black-Scholes'!$B$9^2/2)*'Black-Scholes'!$B$7+'Black-Scholes'!$B$9*SQRT('Black-Scholes'!$B$7)*B1567)</f>
        <v>80.440150406359</v>
      </c>
      <c r="D1567" s="18" t="n">
        <f aca="false">'Black-Scholes'!$B$5*EXP(('Black-Scholes'!$B$8-'Black-Scholes'!$B$10-'Black-Scholes'!$B$9^2/2)*'Black-Scholes'!$B$7-'Black-Scholes'!$B$9*SQRT('Black-Scholes'!$B$7)*B1567)</f>
        <v>132.003301980577</v>
      </c>
      <c r="E1567" s="18" t="n">
        <f aca="false">EXP(-'Black-Scholes'!$B$8*'Black-Scholes'!$B$7)*IF(LOWER('Black-Scholes'!$B$11)="put",MAX('Black-Scholes'!$B$6-C1567,0),MAX(C1567-'Black-Scholes'!$B$6,0))</f>
        <v>0</v>
      </c>
      <c r="F1567" s="18" t="n">
        <f aca="false">(E1567+G1567)/2</f>
        <v>15.2212412625532</v>
      </c>
      <c r="G1567" s="18" t="n">
        <f aca="false">EXP(-'Black-Scholes'!$B$8*'Black-Scholes'!$B$7)*IF(LOWER('Black-Scholes'!$B$11)="put",MAX('Black-Scholes'!$B$6-D1567,0),MAX(D1567-'Black-Scholes'!$B$6,0))</f>
        <v>30.4424825251064</v>
      </c>
    </row>
    <row r="1568" customFormat="false" ht="15" hidden="false" customHeight="false" outlineLevel="0" collapsed="false">
      <c r="A1568" s="0" t="n">
        <v>1557</v>
      </c>
      <c r="B1568" s="15" t="n">
        <v>-0.755036341676306</v>
      </c>
      <c r="C1568" s="18" t="n">
        <f aca="false">'Black-Scholes'!$B$5*EXP(('Black-Scholes'!$B$8-'Black-Scholes'!$B$10-'Black-Scholes'!$B$9^2/2)*'Black-Scholes'!$B$7+'Black-Scholes'!$B$9*SQRT('Black-Scholes'!$B$7)*B1568)</f>
        <v>88.6027519624408</v>
      </c>
      <c r="D1568" s="18" t="n">
        <f aca="false">'Black-Scholes'!$B$5*EXP(('Black-Scholes'!$B$8-'Black-Scholes'!$B$10-'Black-Scholes'!$B$9^2/2)*'Black-Scholes'!$B$7-'Black-Scholes'!$B$9*SQRT('Black-Scholes'!$B$7)*B1568)</f>
        <v>119.842388980816</v>
      </c>
      <c r="E1568" s="18" t="n">
        <f aca="false">EXP(-'Black-Scholes'!$B$8*'Black-Scholes'!$B$7)*IF(LOWER('Black-Scholes'!$B$11)="put",MAX('Black-Scholes'!$B$6-C1568,0),MAX(C1568-'Black-Scholes'!$B$6,0))</f>
        <v>0</v>
      </c>
      <c r="F1568" s="18" t="n">
        <f aca="false">(E1568+G1568)/2</f>
        <v>9.43733212547047</v>
      </c>
      <c r="G1568" s="18" t="n">
        <f aca="false">EXP(-'Black-Scholes'!$B$8*'Black-Scholes'!$B$7)*IF(LOWER('Black-Scholes'!$B$11)="put",MAX('Black-Scholes'!$B$6-D1568,0),MAX(D1568-'Black-Scholes'!$B$6,0))</f>
        <v>18.8746642509409</v>
      </c>
    </row>
    <row r="1569" customFormat="false" ht="15" hidden="false" customHeight="false" outlineLevel="0" collapsed="false">
      <c r="A1569" s="0" t="n">
        <v>1558</v>
      </c>
      <c r="B1569" s="15" t="n">
        <v>-0.5501930254532</v>
      </c>
      <c r="C1569" s="18" t="n">
        <f aca="false">'Black-Scholes'!$B$5*EXP(('Black-Scholes'!$B$8-'Black-Scholes'!$B$10-'Black-Scholes'!$B$9^2/2)*'Black-Scholes'!$B$7+'Black-Scholes'!$B$9*SQRT('Black-Scholes'!$B$7)*B1569)</f>
        <v>92.3080710084288</v>
      </c>
      <c r="D1569" s="18" t="n">
        <f aca="false">'Black-Scholes'!$B$5*EXP(('Black-Scholes'!$B$8-'Black-Scholes'!$B$10-'Black-Scholes'!$B$9^2/2)*'Black-Scholes'!$B$7-'Black-Scholes'!$B$9*SQRT('Black-Scholes'!$B$7)*B1569)</f>
        <v>115.031820613866</v>
      </c>
      <c r="E1569" s="18" t="n">
        <f aca="false">EXP(-'Black-Scholes'!$B$8*'Black-Scholes'!$B$7)*IF(LOWER('Black-Scholes'!$B$11)="put",MAX('Black-Scholes'!$B$6-C1569,0),MAX(C1569-'Black-Scholes'!$B$6,0))</f>
        <v>0</v>
      </c>
      <c r="F1569" s="18" t="n">
        <f aca="false">(E1569+G1569)/2</f>
        <v>7.14935503586291</v>
      </c>
      <c r="G1569" s="18" t="n">
        <f aca="false">EXP(-'Black-Scholes'!$B$8*'Black-Scholes'!$B$7)*IF(LOWER('Black-Scholes'!$B$11)="put",MAX('Black-Scholes'!$B$6-D1569,0),MAX(D1569-'Black-Scholes'!$B$6,0))</f>
        <v>14.2987100717258</v>
      </c>
    </row>
    <row r="1570" customFormat="false" ht="15" hidden="false" customHeight="false" outlineLevel="0" collapsed="false">
      <c r="A1570" s="0" t="n">
        <v>1559</v>
      </c>
      <c r="B1570" s="15" t="n">
        <v>-0.33055977303865</v>
      </c>
      <c r="C1570" s="18" t="n">
        <f aca="false">'Black-Scholes'!$B$5*EXP(('Black-Scholes'!$B$8-'Black-Scholes'!$B$10-'Black-Scholes'!$B$9^2/2)*'Black-Scholes'!$B$7+'Black-Scholes'!$B$9*SQRT('Black-Scholes'!$B$7)*B1570)</f>
        <v>96.4532303602561</v>
      </c>
      <c r="D1570" s="18" t="n">
        <f aca="false">'Black-Scholes'!$B$5*EXP(('Black-Scholes'!$B$8-'Black-Scholes'!$B$10-'Black-Scholes'!$B$9^2/2)*'Black-Scholes'!$B$7-'Black-Scholes'!$B$9*SQRT('Black-Scholes'!$B$7)*B1570)</f>
        <v>110.088230594182</v>
      </c>
      <c r="E1570" s="18" t="n">
        <f aca="false">EXP(-'Black-Scholes'!$B$8*'Black-Scholes'!$B$7)*IF(LOWER('Black-Scholes'!$B$11)="put",MAX('Black-Scholes'!$B$6-C1570,0),MAX(C1570-'Black-Scholes'!$B$6,0))</f>
        <v>0</v>
      </c>
      <c r="F1570" s="18" t="n">
        <f aca="false">(E1570+G1570)/2</f>
        <v>4.79811089116696</v>
      </c>
      <c r="G1570" s="18" t="n">
        <f aca="false">EXP(-'Black-Scholes'!$B$8*'Black-Scholes'!$B$7)*IF(LOWER('Black-Scholes'!$B$11)="put",MAX('Black-Scholes'!$B$6-D1570,0),MAX(D1570-'Black-Scholes'!$B$6,0))</f>
        <v>9.59622178233392</v>
      </c>
    </row>
    <row r="1571" customFormat="false" ht="15" hidden="false" customHeight="false" outlineLevel="0" collapsed="false">
      <c r="A1571" s="0" t="n">
        <v>1560</v>
      </c>
      <c r="B1571" s="15" t="n">
        <v>0.30916734333655</v>
      </c>
      <c r="C1571" s="18" t="n">
        <f aca="false">'Black-Scholes'!$B$5*EXP(('Black-Scholes'!$B$8-'Black-Scholes'!$B$10-'Black-Scholes'!$B$9^2/2)*'Black-Scholes'!$B$7+'Black-Scholes'!$B$9*SQRT('Black-Scholes'!$B$7)*B1571)</f>
        <v>109.618225818761</v>
      </c>
      <c r="D1571" s="18" t="n">
        <f aca="false">'Black-Scholes'!$B$5*EXP(('Black-Scholes'!$B$8-'Black-Scholes'!$B$10-'Black-Scholes'!$B$9^2/2)*'Black-Scholes'!$B$7-'Black-Scholes'!$B$9*SQRT('Black-Scholes'!$B$7)*B1571)</f>
        <v>96.866788220142</v>
      </c>
      <c r="E1571" s="18" t="n">
        <f aca="false">EXP(-'Black-Scholes'!$B$8*'Black-Scholes'!$B$7)*IF(LOWER('Black-Scholes'!$B$11)="put",MAX('Black-Scholes'!$B$6-C1571,0),MAX(C1571-'Black-Scholes'!$B$6,0))</f>
        <v>9.1491394102977</v>
      </c>
      <c r="F1571" s="18" t="n">
        <f aca="false">(E1571+G1571)/2</f>
        <v>4.57456970514885</v>
      </c>
      <c r="G1571" s="18" t="n">
        <f aca="false">EXP(-'Black-Scholes'!$B$8*'Black-Scholes'!$B$7)*IF(LOWER('Black-Scholes'!$B$11)="put",MAX('Black-Scholes'!$B$6-D1571,0),MAX(D1571-'Black-Scholes'!$B$6,0))</f>
        <v>0</v>
      </c>
    </row>
    <row r="1572" customFormat="false" ht="15" hidden="false" customHeight="false" outlineLevel="0" collapsed="false">
      <c r="A1572" s="0" t="n">
        <v>1561</v>
      </c>
      <c r="B1572" s="15" t="n">
        <v>-0.516416900320857</v>
      </c>
      <c r="C1572" s="18" t="n">
        <f aca="false">'Black-Scholes'!$B$5*EXP(('Black-Scholes'!$B$8-'Black-Scholes'!$B$10-'Black-Scholes'!$B$9^2/2)*'Black-Scholes'!$B$7+'Black-Scholes'!$B$9*SQRT('Black-Scholes'!$B$7)*B1572)</f>
        <v>92.9337437004854</v>
      </c>
      <c r="D1572" s="18" t="n">
        <f aca="false">'Black-Scholes'!$B$5*EXP(('Black-Scholes'!$B$8-'Black-Scholes'!$B$10-'Black-Scholes'!$B$9^2/2)*'Black-Scholes'!$B$7-'Black-Scholes'!$B$9*SQRT('Black-Scholes'!$B$7)*B1572)</f>
        <v>114.257373507682</v>
      </c>
      <c r="E1572" s="18" t="n">
        <f aca="false">EXP(-'Black-Scholes'!$B$8*'Black-Scholes'!$B$7)*IF(LOWER('Black-Scholes'!$B$11)="put",MAX('Black-Scholes'!$B$6-C1572,0),MAX(C1572-'Black-Scholes'!$B$6,0))</f>
        <v>0</v>
      </c>
      <c r="F1572" s="18" t="n">
        <f aca="false">(E1572+G1572)/2</f>
        <v>6.78101659830226</v>
      </c>
      <c r="G1572" s="18" t="n">
        <f aca="false">EXP(-'Black-Scholes'!$B$8*'Black-Scholes'!$B$7)*IF(LOWER('Black-Scholes'!$B$11)="put",MAX('Black-Scholes'!$B$6-D1572,0),MAX(D1572-'Black-Scholes'!$B$6,0))</f>
        <v>13.5620331966045</v>
      </c>
    </row>
    <row r="1573" customFormat="false" ht="15" hidden="false" customHeight="false" outlineLevel="0" collapsed="false">
      <c r="A1573" s="0" t="n">
        <v>1562</v>
      </c>
      <c r="B1573" s="15" t="n">
        <v>0.907761475198219</v>
      </c>
      <c r="C1573" s="18" t="n">
        <f aca="false">'Black-Scholes'!$B$5*EXP(('Black-Scholes'!$B$8-'Black-Scholes'!$B$10-'Black-Scholes'!$B$9^2/2)*'Black-Scholes'!$B$7+'Black-Scholes'!$B$9*SQRT('Black-Scholes'!$B$7)*B1573)</f>
        <v>123.559457940671</v>
      </c>
      <c r="D1573" s="18" t="n">
        <f aca="false">'Black-Scholes'!$B$5*EXP(('Black-Scholes'!$B$8-'Black-Scholes'!$B$10-'Black-Scholes'!$B$9^2/2)*'Black-Scholes'!$B$7-'Black-Scholes'!$B$9*SQRT('Black-Scholes'!$B$7)*B1573)</f>
        <v>85.9372940155838</v>
      </c>
      <c r="E1573" s="18" t="n">
        <f aca="false">EXP(-'Black-Scholes'!$B$8*'Black-Scholes'!$B$7)*IF(LOWER('Black-Scholes'!$B$11)="put",MAX('Black-Scholes'!$B$6-C1573,0),MAX(C1573-'Black-Scholes'!$B$6,0))</f>
        <v>22.4104496184532</v>
      </c>
      <c r="F1573" s="18" t="n">
        <f aca="false">(E1573+G1573)/2</f>
        <v>11.2052248092266</v>
      </c>
      <c r="G1573" s="18" t="n">
        <f aca="false">EXP(-'Black-Scholes'!$B$8*'Black-Scholes'!$B$7)*IF(LOWER('Black-Scholes'!$B$11)="put",MAX('Black-Scholes'!$B$6-D1573,0),MAX(D1573-'Black-Scholes'!$B$6,0))</f>
        <v>0</v>
      </c>
    </row>
    <row r="1574" customFormat="false" ht="15" hidden="false" customHeight="false" outlineLevel="0" collapsed="false">
      <c r="A1574" s="0" t="n">
        <v>1563</v>
      </c>
      <c r="B1574" s="15" t="n">
        <v>0.302681160281583</v>
      </c>
      <c r="C1574" s="18" t="n">
        <f aca="false">'Black-Scholes'!$B$5*EXP(('Black-Scholes'!$B$8-'Black-Scholes'!$B$10-'Black-Scholes'!$B$9^2/2)*'Black-Scholes'!$B$7+'Black-Scholes'!$B$9*SQRT('Black-Scholes'!$B$7)*B1574)</f>
        <v>109.476117237153</v>
      </c>
      <c r="D1574" s="18" t="n">
        <f aca="false">'Black-Scholes'!$B$5*EXP(('Black-Scholes'!$B$8-'Black-Scholes'!$B$10-'Black-Scholes'!$B$9^2/2)*'Black-Scholes'!$B$7-'Black-Scholes'!$B$9*SQRT('Black-Scholes'!$B$7)*B1574)</f>
        <v>96.9925289042867</v>
      </c>
      <c r="E1574" s="18" t="n">
        <f aca="false">EXP(-'Black-Scholes'!$B$8*'Black-Scholes'!$B$7)*IF(LOWER('Black-Scholes'!$B$11)="put",MAX('Black-Scholes'!$B$6-C1574,0),MAX(C1574-'Black-Scholes'!$B$6,0))</f>
        <v>9.01396154599793</v>
      </c>
      <c r="F1574" s="18" t="n">
        <f aca="false">(E1574+G1574)/2</f>
        <v>4.50698077299897</v>
      </c>
      <c r="G1574" s="18" t="n">
        <f aca="false">EXP(-'Black-Scholes'!$B$8*'Black-Scholes'!$B$7)*IF(LOWER('Black-Scholes'!$B$11)="put",MAX('Black-Scholes'!$B$6-D1574,0),MAX(D1574-'Black-Scholes'!$B$6,0))</f>
        <v>0</v>
      </c>
    </row>
    <row r="1575" customFormat="false" ht="15" hidden="false" customHeight="false" outlineLevel="0" collapsed="false">
      <c r="A1575" s="0" t="n">
        <v>1564</v>
      </c>
      <c r="B1575" s="15" t="n">
        <v>-0.980748097975181</v>
      </c>
      <c r="C1575" s="18" t="n">
        <f aca="false">'Black-Scholes'!$B$5*EXP(('Black-Scholes'!$B$8-'Black-Scholes'!$B$10-'Black-Scholes'!$B$9^2/2)*'Black-Scholes'!$B$7+'Black-Scholes'!$B$9*SQRT('Black-Scholes'!$B$7)*B1575)</f>
        <v>84.6919508955389</v>
      </c>
      <c r="D1575" s="18" t="n">
        <f aca="false">'Black-Scholes'!$B$5*EXP(('Black-Scholes'!$B$8-'Black-Scholes'!$B$10-'Black-Scholes'!$B$9^2/2)*'Black-Scholes'!$B$7-'Black-Scholes'!$B$9*SQRT('Black-Scholes'!$B$7)*B1575)</f>
        <v>125.376323879356</v>
      </c>
      <c r="E1575" s="18" t="n">
        <f aca="false">EXP(-'Black-Scholes'!$B$8*'Black-Scholes'!$B$7)*IF(LOWER('Black-Scholes'!$B$11)="put",MAX('Black-Scholes'!$B$6-C1575,0),MAX(C1575-'Black-Scholes'!$B$6,0))</f>
        <v>0</v>
      </c>
      <c r="F1575" s="18" t="n">
        <f aca="false">(E1575+G1575)/2</f>
        <v>12.0693529798518</v>
      </c>
      <c r="G1575" s="18" t="n">
        <f aca="false">EXP(-'Black-Scholes'!$B$8*'Black-Scholes'!$B$7)*IF(LOWER('Black-Scholes'!$B$11)="put",MAX('Black-Scholes'!$B$6-D1575,0),MAX(D1575-'Black-Scholes'!$B$6,0))</f>
        <v>24.1387059597035</v>
      </c>
    </row>
    <row r="1576" customFormat="false" ht="15" hidden="false" customHeight="false" outlineLevel="0" collapsed="false">
      <c r="A1576" s="0" t="n">
        <v>1565</v>
      </c>
      <c r="B1576" s="15" t="n">
        <v>-0.664124044010582</v>
      </c>
      <c r="C1576" s="18" t="n">
        <f aca="false">'Black-Scholes'!$B$5*EXP(('Black-Scholes'!$B$8-'Black-Scholes'!$B$10-'Black-Scholes'!$B$9^2/2)*'Black-Scholes'!$B$7+'Black-Scholes'!$B$9*SQRT('Black-Scholes'!$B$7)*B1576)</f>
        <v>90.2285032031473</v>
      </c>
      <c r="D1576" s="18" t="n">
        <f aca="false">'Black-Scholes'!$B$5*EXP(('Black-Scholes'!$B$8-'Black-Scholes'!$B$10-'Black-Scholes'!$B$9^2/2)*'Black-Scholes'!$B$7-'Black-Scholes'!$B$9*SQRT('Black-Scholes'!$B$7)*B1576)</f>
        <v>117.683050128257</v>
      </c>
      <c r="E1576" s="18" t="n">
        <f aca="false">EXP(-'Black-Scholes'!$B$8*'Black-Scholes'!$B$7)*IF(LOWER('Black-Scholes'!$B$11)="put",MAX('Black-Scholes'!$B$6-C1576,0),MAX(C1576-'Black-Scholes'!$B$6,0))</f>
        <v>0</v>
      </c>
      <c r="F1576" s="18" t="n">
        <f aca="false">(E1576+G1576)/2</f>
        <v>8.41031879845968</v>
      </c>
      <c r="G1576" s="18" t="n">
        <f aca="false">EXP(-'Black-Scholes'!$B$8*'Black-Scholes'!$B$7)*IF(LOWER('Black-Scholes'!$B$11)="put",MAX('Black-Scholes'!$B$6-D1576,0),MAX(D1576-'Black-Scholes'!$B$6,0))</f>
        <v>16.8206375969194</v>
      </c>
    </row>
    <row r="1577" customFormat="false" ht="15" hidden="false" customHeight="false" outlineLevel="0" collapsed="false">
      <c r="A1577" s="0" t="n">
        <v>1566</v>
      </c>
      <c r="B1577" s="15" t="n">
        <v>0.402107544214902</v>
      </c>
      <c r="C1577" s="18" t="n">
        <f aca="false">'Black-Scholes'!$B$5*EXP(('Black-Scholes'!$B$8-'Black-Scholes'!$B$10-'Black-Scholes'!$B$9^2/2)*'Black-Scholes'!$B$7+'Black-Scholes'!$B$9*SQRT('Black-Scholes'!$B$7)*B1577)</f>
        <v>111.674869071513</v>
      </c>
      <c r="D1577" s="18" t="n">
        <f aca="false">'Black-Scholes'!$B$5*EXP(('Black-Scholes'!$B$8-'Black-Scholes'!$B$10-'Black-Scholes'!$B$9^2/2)*'Black-Scholes'!$B$7-'Black-Scholes'!$B$9*SQRT('Black-Scholes'!$B$7)*B1577)</f>
        <v>95.0828557377038</v>
      </c>
      <c r="E1577" s="18" t="n">
        <f aca="false">EXP(-'Black-Scholes'!$B$8*'Black-Scholes'!$B$7)*IF(LOWER('Black-Scholes'!$B$11)="put",MAX('Black-Scholes'!$B$6-C1577,0),MAX(C1577-'Black-Scholes'!$B$6,0))</f>
        <v>11.1054789880162</v>
      </c>
      <c r="F1577" s="18" t="n">
        <f aca="false">(E1577+G1577)/2</f>
        <v>5.55273949400809</v>
      </c>
      <c r="G1577" s="18" t="n">
        <f aca="false">EXP(-'Black-Scholes'!$B$8*'Black-Scholes'!$B$7)*IF(LOWER('Black-Scholes'!$B$11)="put",MAX('Black-Scholes'!$B$6-D1577,0),MAX(D1577-'Black-Scholes'!$B$6,0))</f>
        <v>0</v>
      </c>
    </row>
    <row r="1578" customFormat="false" ht="15" hidden="false" customHeight="false" outlineLevel="0" collapsed="false">
      <c r="A1578" s="0" t="n">
        <v>1567</v>
      </c>
      <c r="B1578" s="15" t="n">
        <v>-0.841745324156399</v>
      </c>
      <c r="C1578" s="18" t="n">
        <f aca="false">'Black-Scholes'!$B$5*EXP(('Black-Scholes'!$B$8-'Black-Scholes'!$B$10-'Black-Scholes'!$B$9^2/2)*'Black-Scholes'!$B$7+'Black-Scholes'!$B$9*SQRT('Black-Scholes'!$B$7)*B1578)</f>
        <v>87.0794674891819</v>
      </c>
      <c r="D1578" s="18" t="n">
        <f aca="false">'Black-Scholes'!$B$5*EXP(('Black-Scholes'!$B$8-'Black-Scholes'!$B$10-'Black-Scholes'!$B$9^2/2)*'Black-Scholes'!$B$7-'Black-Scholes'!$B$9*SQRT('Black-Scholes'!$B$7)*B1578)</f>
        <v>121.938796499562</v>
      </c>
      <c r="E1578" s="18" t="n">
        <f aca="false">EXP(-'Black-Scholes'!$B$8*'Black-Scholes'!$B$7)*IF(LOWER('Black-Scholes'!$B$11)="put",MAX('Black-Scholes'!$B$6-C1578,0),MAX(C1578-'Black-Scholes'!$B$6,0))</f>
        <v>0</v>
      </c>
      <c r="F1578" s="18" t="n">
        <f aca="false">(E1578+G1578)/2</f>
        <v>10.4344143842584</v>
      </c>
      <c r="G1578" s="18" t="n">
        <f aca="false">EXP(-'Black-Scholes'!$B$8*'Black-Scholes'!$B$7)*IF(LOWER('Black-Scholes'!$B$11)="put",MAX('Black-Scholes'!$B$6-D1578,0),MAX(D1578-'Black-Scholes'!$B$6,0))</f>
        <v>20.8688287685169</v>
      </c>
    </row>
    <row r="1579" customFormat="false" ht="15" hidden="false" customHeight="false" outlineLevel="0" collapsed="false">
      <c r="A1579" s="0" t="n">
        <v>1568</v>
      </c>
      <c r="B1579" s="15" t="n">
        <v>0.7984522631381</v>
      </c>
      <c r="C1579" s="18" t="n">
        <f aca="false">'Black-Scholes'!$B$5*EXP(('Black-Scholes'!$B$8-'Black-Scholes'!$B$10-'Black-Scholes'!$B$9^2/2)*'Black-Scholes'!$B$7+'Black-Scholes'!$B$9*SQRT('Black-Scholes'!$B$7)*B1579)</f>
        <v>120.887533555066</v>
      </c>
      <c r="D1579" s="18" t="n">
        <f aca="false">'Black-Scholes'!$B$5*EXP(('Black-Scholes'!$B$8-'Black-Scholes'!$B$10-'Black-Scholes'!$B$9^2/2)*'Black-Scholes'!$B$7-'Black-Scholes'!$B$9*SQRT('Black-Scholes'!$B$7)*B1579)</f>
        <v>87.8367285127609</v>
      </c>
      <c r="E1579" s="18" t="n">
        <f aca="false">EXP(-'Black-Scholes'!$B$8*'Black-Scholes'!$B$7)*IF(LOWER('Black-Scholes'!$B$11)="put",MAX('Black-Scholes'!$B$6-C1579,0),MAX(C1579-'Black-Scholes'!$B$6,0))</f>
        <v>19.8688365228247</v>
      </c>
      <c r="F1579" s="18" t="n">
        <f aca="false">(E1579+G1579)/2</f>
        <v>9.93441826141237</v>
      </c>
      <c r="G1579" s="18" t="n">
        <f aca="false">EXP(-'Black-Scholes'!$B$8*'Black-Scholes'!$B$7)*IF(LOWER('Black-Scholes'!$B$11)="put",MAX('Black-Scholes'!$B$6-D1579,0),MAX(D1579-'Black-Scholes'!$B$6,0))</f>
        <v>0</v>
      </c>
    </row>
    <row r="1580" customFormat="false" ht="15" hidden="false" customHeight="false" outlineLevel="0" collapsed="false">
      <c r="A1580" s="0" t="n">
        <v>1569</v>
      </c>
      <c r="B1580" s="15" t="n">
        <v>-0.635823868300955</v>
      </c>
      <c r="C1580" s="18" t="n">
        <f aca="false">'Black-Scholes'!$B$5*EXP(('Black-Scholes'!$B$8-'Black-Scholes'!$B$10-'Black-Scholes'!$B$9^2/2)*'Black-Scholes'!$B$7+'Black-Scholes'!$B$9*SQRT('Black-Scholes'!$B$7)*B1580)</f>
        <v>90.7406477127873</v>
      </c>
      <c r="D1580" s="18" t="n">
        <f aca="false">'Black-Scholes'!$B$5*EXP(('Black-Scholes'!$B$8-'Black-Scholes'!$B$10-'Black-Scholes'!$B$9^2/2)*'Black-Scholes'!$B$7-'Black-Scholes'!$B$9*SQRT('Black-Scholes'!$B$7)*B1580)</f>
        <v>117.01884142444</v>
      </c>
      <c r="E1580" s="18" t="n">
        <f aca="false">EXP(-'Black-Scholes'!$B$8*'Black-Scholes'!$B$7)*IF(LOWER('Black-Scholes'!$B$11)="put",MAX('Black-Scholes'!$B$6-C1580,0),MAX(C1580-'Black-Scholes'!$B$6,0))</f>
        <v>0</v>
      </c>
      <c r="F1580" s="18" t="n">
        <f aca="false">(E1580+G1580)/2</f>
        <v>8.09441136691931</v>
      </c>
      <c r="G1580" s="18" t="n">
        <f aca="false">EXP(-'Black-Scholes'!$B$8*'Black-Scholes'!$B$7)*IF(LOWER('Black-Scholes'!$B$11)="put",MAX('Black-Scholes'!$B$6-D1580,0),MAX(D1580-'Black-Scholes'!$B$6,0))</f>
        <v>16.1888227338386</v>
      </c>
    </row>
    <row r="1581" customFormat="false" ht="15" hidden="false" customHeight="false" outlineLevel="0" collapsed="false">
      <c r="A1581" s="0" t="n">
        <v>1570</v>
      </c>
      <c r="B1581" s="15" t="n">
        <v>-1.30322771485816</v>
      </c>
      <c r="C1581" s="18" t="n">
        <f aca="false">'Black-Scholes'!$B$5*EXP(('Black-Scholes'!$B$8-'Black-Scholes'!$B$10-'Black-Scholes'!$B$9^2/2)*'Black-Scholes'!$B$7+'Black-Scholes'!$B$9*SQRT('Black-Scholes'!$B$7)*B1581)</f>
        <v>79.4020862436193</v>
      </c>
      <c r="D1581" s="18" t="n">
        <f aca="false">'Black-Scholes'!$B$5*EXP(('Black-Scholes'!$B$8-'Black-Scholes'!$B$10-'Black-Scholes'!$B$9^2/2)*'Black-Scholes'!$B$7-'Black-Scholes'!$B$9*SQRT('Black-Scholes'!$B$7)*B1581)</f>
        <v>133.729048791925</v>
      </c>
      <c r="E1581" s="18" t="n">
        <f aca="false">EXP(-'Black-Scholes'!$B$8*'Black-Scholes'!$B$7)*IF(LOWER('Black-Scholes'!$B$11)="put",MAX('Black-Scholes'!$B$6-C1581,0),MAX(C1581-'Black-Scholes'!$B$6,0))</f>
        <v>0</v>
      </c>
      <c r="F1581" s="18" t="n">
        <f aca="false">(E1581+G1581)/2</f>
        <v>16.0420318356497</v>
      </c>
      <c r="G1581" s="18" t="n">
        <f aca="false">EXP(-'Black-Scholes'!$B$8*'Black-Scholes'!$B$7)*IF(LOWER('Black-Scholes'!$B$11)="put",MAX('Black-Scholes'!$B$6-D1581,0),MAX(D1581-'Black-Scholes'!$B$6,0))</f>
        <v>32.0840636712993</v>
      </c>
    </row>
    <row r="1582" customFormat="false" ht="15" hidden="false" customHeight="false" outlineLevel="0" collapsed="false">
      <c r="A1582" s="0" t="n">
        <v>1571</v>
      </c>
      <c r="B1582" s="15" t="n">
        <v>-0.77614376536443</v>
      </c>
      <c r="C1582" s="18" t="n">
        <f aca="false">'Black-Scholes'!$B$5*EXP(('Black-Scholes'!$B$8-'Black-Scholes'!$B$10-'Black-Scholes'!$B$9^2/2)*'Black-Scholes'!$B$7+'Black-Scholes'!$B$9*SQRT('Black-Scholes'!$B$7)*B1582)</f>
        <v>88.2295051794191</v>
      </c>
      <c r="D1582" s="18" t="n">
        <f aca="false">'Black-Scholes'!$B$5*EXP(('Black-Scholes'!$B$8-'Black-Scholes'!$B$10-'Black-Scholes'!$B$9^2/2)*'Black-Scholes'!$B$7-'Black-Scholes'!$B$9*SQRT('Black-Scholes'!$B$7)*B1582)</f>
        <v>120.349371152662</v>
      </c>
      <c r="E1582" s="18" t="n">
        <f aca="false">EXP(-'Black-Scholes'!$B$8*'Black-Scholes'!$B$7)*IF(LOWER('Black-Scholes'!$B$11)="put",MAX('Black-Scholes'!$B$6-C1582,0),MAX(C1582-'Black-Scholes'!$B$6,0))</f>
        <v>0</v>
      </c>
      <c r="F1582" s="18" t="n">
        <f aca="false">(E1582+G1582)/2</f>
        <v>9.67846030524889</v>
      </c>
      <c r="G1582" s="18" t="n">
        <f aca="false">EXP(-'Black-Scholes'!$B$8*'Black-Scholes'!$B$7)*IF(LOWER('Black-Scholes'!$B$11)="put",MAX('Black-Scholes'!$B$6-D1582,0),MAX(D1582-'Black-Scholes'!$B$6,0))</f>
        <v>19.3569206104978</v>
      </c>
    </row>
    <row r="1583" customFormat="false" ht="15" hidden="false" customHeight="false" outlineLevel="0" collapsed="false">
      <c r="A1583" s="0" t="n">
        <v>1572</v>
      </c>
      <c r="B1583" s="15" t="n">
        <v>-0.886804501139207</v>
      </c>
      <c r="C1583" s="18" t="n">
        <f aca="false">'Black-Scholes'!$B$5*EXP(('Black-Scholes'!$B$8-'Black-Scholes'!$B$10-'Black-Scholes'!$B$9^2/2)*'Black-Scholes'!$B$7+'Black-Scholes'!$B$9*SQRT('Black-Scholes'!$B$7)*B1583)</f>
        <v>86.2982470637991</v>
      </c>
      <c r="D1583" s="18" t="n">
        <f aca="false">'Black-Scholes'!$B$5*EXP(('Black-Scholes'!$B$8-'Black-Scholes'!$B$10-'Black-Scholes'!$B$9^2/2)*'Black-Scholes'!$B$7-'Black-Scholes'!$B$9*SQRT('Black-Scholes'!$B$7)*B1583)</f>
        <v>123.042655288277</v>
      </c>
      <c r="E1583" s="18" t="n">
        <f aca="false">EXP(-'Black-Scholes'!$B$8*'Black-Scholes'!$B$7)*IF(LOWER('Black-Scholes'!$B$11)="put",MAX('Black-Scholes'!$B$6-C1583,0),MAX(C1583-'Black-Scholes'!$B$6,0))</f>
        <v>0</v>
      </c>
      <c r="F1583" s="18" t="n">
        <f aca="false">(E1583+G1583)/2</f>
        <v>10.9594258644181</v>
      </c>
      <c r="G1583" s="18" t="n">
        <f aca="false">EXP(-'Black-Scholes'!$B$8*'Black-Scholes'!$B$7)*IF(LOWER('Black-Scholes'!$B$11)="put",MAX('Black-Scholes'!$B$6-D1583,0),MAX(D1583-'Black-Scholes'!$B$6,0))</f>
        <v>21.9188517288362</v>
      </c>
    </row>
    <row r="1584" customFormat="false" ht="15" hidden="false" customHeight="false" outlineLevel="0" collapsed="false">
      <c r="A1584" s="0" t="n">
        <v>1573</v>
      </c>
      <c r="B1584" s="15" t="n">
        <v>1.0618262926901</v>
      </c>
      <c r="C1584" s="18" t="n">
        <f aca="false">'Black-Scholes'!$B$5*EXP(('Black-Scholes'!$B$8-'Black-Scholes'!$B$10-'Black-Scholes'!$B$9^2/2)*'Black-Scholes'!$B$7+'Black-Scholes'!$B$9*SQRT('Black-Scholes'!$B$7)*B1584)</f>
        <v>127.425954200201</v>
      </c>
      <c r="D1584" s="18" t="n">
        <f aca="false">'Black-Scholes'!$B$5*EXP(('Black-Scholes'!$B$8-'Black-Scholes'!$B$10-'Black-Scholes'!$B$9^2/2)*'Black-Scholes'!$B$7-'Black-Scholes'!$B$9*SQRT('Black-Scholes'!$B$7)*B1584)</f>
        <v>83.3296916009036</v>
      </c>
      <c r="E1584" s="18" t="n">
        <f aca="false">EXP(-'Black-Scholes'!$B$8*'Black-Scholes'!$B$7)*IF(LOWER('Black-Scholes'!$B$11)="put",MAX('Black-Scholes'!$B$6-C1584,0),MAX(C1584-'Black-Scholes'!$B$6,0))</f>
        <v>26.08837463024</v>
      </c>
      <c r="F1584" s="18" t="n">
        <f aca="false">(E1584+G1584)/2</f>
        <v>13.04418731512</v>
      </c>
      <c r="G1584" s="18" t="n">
        <f aca="false">EXP(-'Black-Scholes'!$B$8*'Black-Scholes'!$B$7)*IF(LOWER('Black-Scholes'!$B$11)="put",MAX('Black-Scholes'!$B$6-D1584,0),MAX(D1584-'Black-Scholes'!$B$6,0))</f>
        <v>0</v>
      </c>
    </row>
    <row r="1585" customFormat="false" ht="15" hidden="false" customHeight="false" outlineLevel="0" collapsed="false">
      <c r="A1585" s="0" t="n">
        <v>1574</v>
      </c>
      <c r="B1585" s="15" t="n">
        <v>-1.2708118458483</v>
      </c>
      <c r="C1585" s="18" t="n">
        <f aca="false">'Black-Scholes'!$B$5*EXP(('Black-Scholes'!$B$8-'Black-Scholes'!$B$10-'Black-Scholes'!$B$9^2/2)*'Black-Scholes'!$B$7+'Black-Scholes'!$B$9*SQRT('Black-Scholes'!$B$7)*B1585)</f>
        <v>79.9185360770602</v>
      </c>
      <c r="D1585" s="18" t="n">
        <f aca="false">'Black-Scholes'!$B$5*EXP(('Black-Scholes'!$B$8-'Black-Scholes'!$B$10-'Black-Scholes'!$B$9^2/2)*'Black-Scholes'!$B$7-'Black-Scholes'!$B$9*SQRT('Black-Scholes'!$B$7)*B1585)</f>
        <v>132.864864481689</v>
      </c>
      <c r="E1585" s="18" t="n">
        <f aca="false">EXP(-'Black-Scholes'!$B$8*'Black-Scholes'!$B$7)*IF(LOWER('Black-Scholes'!$B$11)="put",MAX('Black-Scholes'!$B$6-C1585,0),MAX(C1585-'Black-Scholes'!$B$6,0))</f>
        <v>0</v>
      </c>
      <c r="F1585" s="18" t="n">
        <f aca="false">(E1585+G1585)/2</f>
        <v>15.6310130636056</v>
      </c>
      <c r="G1585" s="18" t="n">
        <f aca="false">EXP(-'Black-Scholes'!$B$8*'Black-Scholes'!$B$7)*IF(LOWER('Black-Scholes'!$B$11)="put",MAX('Black-Scholes'!$B$6-D1585,0),MAX(D1585-'Black-Scholes'!$B$6,0))</f>
        <v>31.2620261272112</v>
      </c>
    </row>
    <row r="1586" customFormat="false" ht="15" hidden="false" customHeight="false" outlineLevel="0" collapsed="false">
      <c r="A1586" s="0" t="n">
        <v>1575</v>
      </c>
      <c r="B1586" s="15" t="n">
        <v>-0.536364323873494</v>
      </c>
      <c r="C1586" s="18" t="n">
        <f aca="false">'Black-Scholes'!$B$5*EXP(('Black-Scholes'!$B$8-'Black-Scholes'!$B$10-'Black-Scholes'!$B$9^2/2)*'Black-Scholes'!$B$7+'Black-Scholes'!$B$9*SQRT('Black-Scholes'!$B$7)*B1586)</f>
        <v>92.5637245345711</v>
      </c>
      <c r="D1586" s="18" t="n">
        <f aca="false">'Black-Scholes'!$B$5*EXP(('Black-Scholes'!$B$8-'Black-Scholes'!$B$10-'Black-Scholes'!$B$9^2/2)*'Black-Scholes'!$B$7-'Black-Scholes'!$B$9*SQRT('Black-Scholes'!$B$7)*B1586)</f>
        <v>114.71411202223</v>
      </c>
      <c r="E1586" s="18" t="n">
        <f aca="false">EXP(-'Black-Scholes'!$B$8*'Black-Scholes'!$B$7)*IF(LOWER('Black-Scholes'!$B$11)="put",MAX('Black-Scholes'!$B$6-C1586,0),MAX(C1586-'Black-Scholes'!$B$6,0))</f>
        <v>0</v>
      </c>
      <c r="F1586" s="18" t="n">
        <f aca="false">(E1586+G1586)/2</f>
        <v>6.9982481554723</v>
      </c>
      <c r="G1586" s="18" t="n">
        <f aca="false">EXP(-'Black-Scholes'!$B$8*'Black-Scholes'!$B$7)*IF(LOWER('Black-Scholes'!$B$11)="put",MAX('Black-Scholes'!$B$6-D1586,0),MAX(D1586-'Black-Scholes'!$B$6,0))</f>
        <v>13.9964963109446</v>
      </c>
    </row>
    <row r="1587" customFormat="false" ht="15" hidden="false" customHeight="false" outlineLevel="0" collapsed="false">
      <c r="A1587" s="0" t="n">
        <v>1576</v>
      </c>
      <c r="B1587" s="15" t="n">
        <v>-0.353986861609715</v>
      </c>
      <c r="C1587" s="18" t="n">
        <f aca="false">'Black-Scholes'!$B$5*EXP(('Black-Scholes'!$B$8-'Black-Scholes'!$B$10-'Black-Scholes'!$B$9^2/2)*'Black-Scholes'!$B$7+'Black-Scholes'!$B$9*SQRT('Black-Scholes'!$B$7)*B1587)</f>
        <v>96.0023637601383</v>
      </c>
      <c r="D1587" s="18" t="n">
        <f aca="false">'Black-Scholes'!$B$5*EXP(('Black-Scholes'!$B$8-'Black-Scholes'!$B$10-'Black-Scholes'!$B$9^2/2)*'Black-Scholes'!$B$7-'Black-Scholes'!$B$9*SQRT('Black-Scholes'!$B$7)*B1587)</f>
        <v>110.605250220542</v>
      </c>
      <c r="E1587" s="18" t="n">
        <f aca="false">EXP(-'Black-Scholes'!$B$8*'Black-Scholes'!$B$7)*IF(LOWER('Black-Scholes'!$B$11)="put",MAX('Black-Scholes'!$B$6-C1587,0),MAX(C1587-'Black-Scholes'!$B$6,0))</f>
        <v>0</v>
      </c>
      <c r="F1587" s="18" t="n">
        <f aca="false">(E1587+G1587)/2</f>
        <v>5.04401303198614</v>
      </c>
      <c r="G1587" s="18" t="n">
        <f aca="false">EXP(-'Black-Scholes'!$B$8*'Black-Scholes'!$B$7)*IF(LOWER('Black-Scholes'!$B$11)="put",MAX('Black-Scholes'!$B$6-D1587,0),MAX(D1587-'Black-Scholes'!$B$6,0))</f>
        <v>10.0880260639723</v>
      </c>
    </row>
    <row r="1588" customFormat="false" ht="15" hidden="false" customHeight="false" outlineLevel="0" collapsed="false">
      <c r="A1588" s="0" t="n">
        <v>1577</v>
      </c>
      <c r="B1588" s="15" t="n">
        <v>-0.661811317095345</v>
      </c>
      <c r="C1588" s="18" t="n">
        <f aca="false">'Black-Scholes'!$B$5*EXP(('Black-Scholes'!$B$8-'Black-Scholes'!$B$10-'Black-Scholes'!$B$9^2/2)*'Black-Scholes'!$B$7+'Black-Scholes'!$B$9*SQRT('Black-Scholes'!$B$7)*B1588)</f>
        <v>90.2702476343259</v>
      </c>
      <c r="D1588" s="18" t="n">
        <f aca="false">'Black-Scholes'!$B$5*EXP(('Black-Scholes'!$B$8-'Black-Scholes'!$B$10-'Black-Scholes'!$B$9^2/2)*'Black-Scholes'!$B$7-'Black-Scholes'!$B$9*SQRT('Black-Scholes'!$B$7)*B1588)</f>
        <v>117.628628963857</v>
      </c>
      <c r="E1588" s="18" t="n">
        <f aca="false">EXP(-'Black-Scholes'!$B$8*'Black-Scholes'!$B$7)*IF(LOWER('Black-Scholes'!$B$11)="put",MAX('Black-Scholes'!$B$6-C1588,0),MAX(C1588-'Black-Scholes'!$B$6,0))</f>
        <v>0</v>
      </c>
      <c r="F1588" s="18" t="n">
        <f aca="false">(E1588+G1588)/2</f>
        <v>8.38443529201309</v>
      </c>
      <c r="G1588" s="18" t="n">
        <f aca="false">EXP(-'Black-Scholes'!$B$8*'Black-Scholes'!$B$7)*IF(LOWER('Black-Scholes'!$B$11)="put",MAX('Black-Scholes'!$B$6-D1588,0),MAX(D1588-'Black-Scholes'!$B$6,0))</f>
        <v>16.7688705840262</v>
      </c>
    </row>
    <row r="1589" customFormat="false" ht="15" hidden="false" customHeight="false" outlineLevel="0" collapsed="false">
      <c r="A1589" s="0" t="n">
        <v>1578</v>
      </c>
      <c r="B1589" s="15" t="n">
        <v>1.37672909039875</v>
      </c>
      <c r="C1589" s="18" t="n">
        <f aca="false">'Black-Scholes'!$B$5*EXP(('Black-Scholes'!$B$8-'Black-Scholes'!$B$10-'Black-Scholes'!$B$9^2/2)*'Black-Scholes'!$B$7+'Black-Scholes'!$B$9*SQRT('Black-Scholes'!$B$7)*B1589)</f>
        <v>135.709422958855</v>
      </c>
      <c r="D1589" s="18" t="n">
        <f aca="false">'Black-Scholes'!$B$5*EXP(('Black-Scholes'!$B$8-'Black-Scholes'!$B$10-'Black-Scholes'!$B$9^2/2)*'Black-Scholes'!$B$7-'Black-Scholes'!$B$9*SQRT('Black-Scholes'!$B$7)*B1589)</f>
        <v>78.2433911657922</v>
      </c>
      <c r="E1589" s="18" t="n">
        <f aca="false">EXP(-'Black-Scholes'!$B$8*'Black-Scholes'!$B$7)*IF(LOWER('Black-Scholes'!$B$11)="put",MAX('Black-Scholes'!$B$6-C1589,0),MAX(C1589-'Black-Scholes'!$B$6,0))</f>
        <v>33.9678538504039</v>
      </c>
      <c r="F1589" s="18" t="n">
        <f aca="false">(E1589+G1589)/2</f>
        <v>16.9839269252019</v>
      </c>
      <c r="G1589" s="18" t="n">
        <f aca="false">EXP(-'Black-Scholes'!$B$8*'Black-Scholes'!$B$7)*IF(LOWER('Black-Scholes'!$B$11)="put",MAX('Black-Scholes'!$B$6-D1589,0),MAX(D1589-'Black-Scholes'!$B$6,0))</f>
        <v>0</v>
      </c>
    </row>
    <row r="1590" customFormat="false" ht="15" hidden="false" customHeight="false" outlineLevel="0" collapsed="false">
      <c r="A1590" s="0" t="n">
        <v>1579</v>
      </c>
      <c r="B1590" s="15" t="n">
        <v>0.64321310712633</v>
      </c>
      <c r="C1590" s="18" t="n">
        <f aca="false">'Black-Scholes'!$B$5*EXP(('Black-Scholes'!$B$8-'Black-Scholes'!$B$10-'Black-Scholes'!$B$9^2/2)*'Black-Scholes'!$B$7+'Black-Scholes'!$B$9*SQRT('Black-Scholes'!$B$7)*B1590)</f>
        <v>117.191905307249</v>
      </c>
      <c r="D1590" s="18" t="n">
        <f aca="false">'Black-Scholes'!$B$5*EXP(('Black-Scholes'!$B$8-'Black-Scholes'!$B$10-'Black-Scholes'!$B$9^2/2)*'Black-Scholes'!$B$7-'Black-Scholes'!$B$9*SQRT('Black-Scholes'!$B$7)*B1590)</f>
        <v>90.6066458908987</v>
      </c>
      <c r="E1590" s="18" t="n">
        <f aca="false">EXP(-'Black-Scholes'!$B$8*'Black-Scholes'!$B$7)*IF(LOWER('Black-Scholes'!$B$11)="put",MAX('Black-Scholes'!$B$6-C1590,0),MAX(C1590-'Black-Scholes'!$B$6,0))</f>
        <v>16.3534461914848</v>
      </c>
      <c r="F1590" s="18" t="n">
        <f aca="false">(E1590+G1590)/2</f>
        <v>8.17672309574238</v>
      </c>
      <c r="G1590" s="18" t="n">
        <f aca="false">EXP(-'Black-Scholes'!$B$8*'Black-Scholes'!$B$7)*IF(LOWER('Black-Scholes'!$B$11)="put",MAX('Black-Scholes'!$B$6-D1590,0),MAX(D1590-'Black-Scholes'!$B$6,0))</f>
        <v>0</v>
      </c>
    </row>
    <row r="1591" customFormat="false" ht="15" hidden="false" customHeight="false" outlineLevel="0" collapsed="false">
      <c r="A1591" s="0" t="n">
        <v>1580</v>
      </c>
      <c r="B1591" s="15" t="n">
        <v>-0.848593805676808</v>
      </c>
      <c r="C1591" s="18" t="n">
        <f aca="false">'Black-Scholes'!$B$5*EXP(('Black-Scholes'!$B$8-'Black-Scholes'!$B$10-'Black-Scholes'!$B$9^2/2)*'Black-Scholes'!$B$7+'Black-Scholes'!$B$9*SQRT('Black-Scholes'!$B$7)*B1591)</f>
        <v>86.9602767106191</v>
      </c>
      <c r="D1591" s="18" t="n">
        <f aca="false">'Black-Scholes'!$B$5*EXP(('Black-Scholes'!$B$8-'Black-Scholes'!$B$10-'Black-Scholes'!$B$9^2/2)*'Black-Scholes'!$B$7-'Black-Scholes'!$B$9*SQRT('Black-Scholes'!$B$7)*B1591)</f>
        <v>122.105930053428</v>
      </c>
      <c r="E1591" s="18" t="n">
        <f aca="false">EXP(-'Black-Scholes'!$B$8*'Black-Scholes'!$B$7)*IF(LOWER('Black-Scholes'!$B$11)="put",MAX('Black-Scholes'!$B$6-C1591,0),MAX(C1591-'Black-Scholes'!$B$6,0))</f>
        <v>0</v>
      </c>
      <c r="F1591" s="18" t="n">
        <f aca="false">(E1591+G1591)/2</f>
        <v>10.5139055613876</v>
      </c>
      <c r="G1591" s="18" t="n">
        <f aca="false">EXP(-'Black-Scholes'!$B$8*'Black-Scholes'!$B$7)*IF(LOWER('Black-Scholes'!$B$11)="put",MAX('Black-Scholes'!$B$6-D1591,0),MAX(D1591-'Black-Scholes'!$B$6,0))</f>
        <v>21.0278111227753</v>
      </c>
    </row>
    <row r="1592" customFormat="false" ht="15" hidden="false" customHeight="false" outlineLevel="0" collapsed="false">
      <c r="A1592" s="0" t="n">
        <v>1581</v>
      </c>
      <c r="B1592" s="15" t="n">
        <v>-0.674472418820235</v>
      </c>
      <c r="C1592" s="18" t="n">
        <f aca="false">'Black-Scholes'!$B$5*EXP(('Black-Scholes'!$B$8-'Black-Scholes'!$B$10-'Black-Scholes'!$B$9^2/2)*'Black-Scholes'!$B$7+'Black-Scholes'!$B$9*SQRT('Black-Scholes'!$B$7)*B1592)</f>
        <v>90.0419526453162</v>
      </c>
      <c r="D1592" s="18" t="n">
        <f aca="false">'Black-Scholes'!$B$5*EXP(('Black-Scholes'!$B$8-'Black-Scholes'!$B$10-'Black-Scholes'!$B$9^2/2)*'Black-Scholes'!$B$7-'Black-Scholes'!$B$9*SQRT('Black-Scholes'!$B$7)*B1592)</f>
        <v>117.926868015405</v>
      </c>
      <c r="E1592" s="18" t="n">
        <f aca="false">EXP(-'Black-Scholes'!$B$8*'Black-Scholes'!$B$7)*IF(LOWER('Black-Scholes'!$B$11)="put",MAX('Black-Scholes'!$B$6-C1592,0),MAX(C1592-'Black-Scholes'!$B$6,0))</f>
        <v>0</v>
      </c>
      <c r="F1592" s="18" t="n">
        <f aca="false">(E1592+G1592)/2</f>
        <v>8.52628217269721</v>
      </c>
      <c r="G1592" s="18" t="n">
        <f aca="false">EXP(-'Black-Scholes'!$B$8*'Black-Scholes'!$B$7)*IF(LOWER('Black-Scholes'!$B$11)="put",MAX('Black-Scholes'!$B$6-D1592,0),MAX(D1592-'Black-Scholes'!$B$6,0))</f>
        <v>17.0525643453944</v>
      </c>
    </row>
    <row r="1593" customFormat="false" ht="15" hidden="false" customHeight="false" outlineLevel="0" collapsed="false">
      <c r="A1593" s="0" t="n">
        <v>1582</v>
      </c>
      <c r="B1593" s="15" t="n">
        <v>0.598352127417247</v>
      </c>
      <c r="C1593" s="18" t="n">
        <f aca="false">'Black-Scholes'!$B$5*EXP(('Black-Scholes'!$B$8-'Black-Scholes'!$B$10-'Black-Scholes'!$B$9^2/2)*'Black-Scholes'!$B$7+'Black-Scholes'!$B$9*SQRT('Black-Scholes'!$B$7)*B1593)</f>
        <v>116.145139486134</v>
      </c>
      <c r="D1593" s="18" t="n">
        <f aca="false">'Black-Scholes'!$B$5*EXP(('Black-Scholes'!$B$8-'Black-Scholes'!$B$10-'Black-Scholes'!$B$9^2/2)*'Black-Scholes'!$B$7-'Black-Scholes'!$B$9*SQRT('Black-Scholes'!$B$7)*B1593)</f>
        <v>91.4232443340539</v>
      </c>
      <c r="E1593" s="18" t="n">
        <f aca="false">EXP(-'Black-Scholes'!$B$8*'Black-Scholes'!$B$7)*IF(LOWER('Black-Scholes'!$B$11)="put",MAX('Black-Scholes'!$B$6-C1593,0),MAX(C1593-'Black-Scholes'!$B$6,0))</f>
        <v>15.357731741879</v>
      </c>
      <c r="F1593" s="18" t="n">
        <f aca="false">(E1593+G1593)/2</f>
        <v>7.67886587093949</v>
      </c>
      <c r="G1593" s="18" t="n">
        <f aca="false">EXP(-'Black-Scholes'!$B$8*'Black-Scholes'!$B$7)*IF(LOWER('Black-Scholes'!$B$11)="put",MAX('Black-Scholes'!$B$6-D1593,0),MAX(D1593-'Black-Scholes'!$B$6,0))</f>
        <v>0</v>
      </c>
    </row>
    <row r="1594" customFormat="false" ht="15" hidden="false" customHeight="false" outlineLevel="0" collapsed="false">
      <c r="A1594" s="0" t="n">
        <v>1583</v>
      </c>
      <c r="B1594" s="15" t="n">
        <v>-0.356811777383086</v>
      </c>
      <c r="C1594" s="18" t="n">
        <f aca="false">'Black-Scholes'!$B$5*EXP(('Black-Scholes'!$B$8-'Black-Scholes'!$B$10-'Black-Scholes'!$B$9^2/2)*'Black-Scholes'!$B$7+'Black-Scholes'!$B$9*SQRT('Black-Scholes'!$B$7)*B1594)</f>
        <v>95.9481393611833</v>
      </c>
      <c r="D1594" s="18" t="n">
        <f aca="false">'Black-Scholes'!$B$5*EXP(('Black-Scholes'!$B$8-'Black-Scholes'!$B$10-'Black-Scholes'!$B$9^2/2)*'Black-Scholes'!$B$7-'Black-Scholes'!$B$9*SQRT('Black-Scholes'!$B$7)*B1594)</f>
        <v>110.667757979988</v>
      </c>
      <c r="E1594" s="18" t="n">
        <f aca="false">EXP(-'Black-Scholes'!$B$8*'Black-Scholes'!$B$7)*IF(LOWER('Black-Scholes'!$B$11)="put",MAX('Black-Scholes'!$B$6-C1594,0),MAX(C1594-'Black-Scholes'!$B$6,0))</f>
        <v>0</v>
      </c>
      <c r="F1594" s="18" t="n">
        <f aca="false">(E1594+G1594)/2</f>
        <v>5.07374264200843</v>
      </c>
      <c r="G1594" s="18" t="n">
        <f aca="false">EXP(-'Black-Scholes'!$B$8*'Black-Scholes'!$B$7)*IF(LOWER('Black-Scholes'!$B$11)="put",MAX('Black-Scholes'!$B$6-D1594,0),MAX(D1594-'Black-Scholes'!$B$6,0))</f>
        <v>10.1474852840169</v>
      </c>
    </row>
    <row r="1595" customFormat="false" ht="15" hidden="false" customHeight="false" outlineLevel="0" collapsed="false">
      <c r="A1595" s="0" t="n">
        <v>1584</v>
      </c>
      <c r="B1595" s="15" t="n">
        <v>-0.687579976296867</v>
      </c>
      <c r="C1595" s="18" t="n">
        <f aca="false">'Black-Scholes'!$B$5*EXP(('Black-Scholes'!$B$8-'Black-Scholes'!$B$10-'Black-Scholes'!$B$9^2/2)*'Black-Scholes'!$B$7+'Black-Scholes'!$B$9*SQRT('Black-Scholes'!$B$7)*B1595)</f>
        <v>89.8062157598774</v>
      </c>
      <c r="D1595" s="18" t="n">
        <f aca="false">'Black-Scholes'!$B$5*EXP(('Black-Scholes'!$B$8-'Black-Scholes'!$B$10-'Black-Scholes'!$B$9^2/2)*'Black-Scholes'!$B$7-'Black-Scholes'!$B$9*SQRT('Black-Scholes'!$B$7)*B1595)</f>
        <v>118.236420225576</v>
      </c>
      <c r="E1595" s="18" t="n">
        <f aca="false">EXP(-'Black-Scholes'!$B$8*'Black-Scholes'!$B$7)*IF(LOWER('Black-Scholes'!$B$11)="put",MAX('Black-Scholes'!$B$6-C1595,0),MAX(C1595-'Black-Scholes'!$B$6,0))</f>
        <v>0</v>
      </c>
      <c r="F1595" s="18" t="n">
        <f aca="false">(E1595+G1595)/2</f>
        <v>8.67350975806385</v>
      </c>
      <c r="G1595" s="18" t="n">
        <f aca="false">EXP(-'Black-Scholes'!$B$8*'Black-Scholes'!$B$7)*IF(LOWER('Black-Scholes'!$B$11)="put",MAX('Black-Scholes'!$B$6-D1595,0),MAX(D1595-'Black-Scholes'!$B$6,0))</f>
        <v>17.3470195161277</v>
      </c>
    </row>
    <row r="1596" customFormat="false" ht="15" hidden="false" customHeight="false" outlineLevel="0" collapsed="false">
      <c r="A1596" s="0" t="n">
        <v>1585</v>
      </c>
      <c r="B1596" s="15" t="n">
        <v>-0.0520471243111314</v>
      </c>
      <c r="C1596" s="18" t="n">
        <f aca="false">'Black-Scholes'!$B$5*EXP(('Black-Scholes'!$B$8-'Black-Scholes'!$B$10-'Black-Scholes'!$B$9^2/2)*'Black-Scholes'!$B$7+'Black-Scholes'!$B$9*SQRT('Black-Scholes'!$B$7)*B1596)</f>
        <v>101.978372972953</v>
      </c>
      <c r="D1596" s="18" t="n">
        <f aca="false">'Black-Scholes'!$B$5*EXP(('Black-Scholes'!$B$8-'Black-Scholes'!$B$10-'Black-Scholes'!$B$9^2/2)*'Black-Scholes'!$B$7-'Black-Scholes'!$B$9*SQRT('Black-Scholes'!$B$7)*B1596)</f>
        <v>104.123699524701</v>
      </c>
      <c r="E1596" s="18" t="n">
        <f aca="false">EXP(-'Black-Scholes'!$B$8*'Black-Scholes'!$B$7)*IF(LOWER('Black-Scholes'!$B$11)="put",MAX('Black-Scholes'!$B$6-C1596,0),MAX(C1596-'Black-Scholes'!$B$6,0))</f>
        <v>1.88188658450939</v>
      </c>
      <c r="F1596" s="18" t="n">
        <f aca="false">(E1596+G1596)/2</f>
        <v>2.90223545510229</v>
      </c>
      <c r="G1596" s="18" t="n">
        <f aca="false">EXP(-'Black-Scholes'!$B$8*'Black-Scholes'!$B$7)*IF(LOWER('Black-Scholes'!$B$11)="put",MAX('Black-Scholes'!$B$6-D1596,0),MAX(D1596-'Black-Scholes'!$B$6,0))</f>
        <v>3.9225843256952</v>
      </c>
    </row>
    <row r="1597" customFormat="false" ht="15" hidden="false" customHeight="false" outlineLevel="0" collapsed="false">
      <c r="A1597" s="0" t="n">
        <v>1586</v>
      </c>
      <c r="B1597" s="15" t="n">
        <v>-0.907253414091306</v>
      </c>
      <c r="C1597" s="18" t="n">
        <f aca="false">'Black-Scholes'!$B$5*EXP(('Black-Scholes'!$B$8-'Black-Scholes'!$B$10-'Black-Scholes'!$B$9^2/2)*'Black-Scholes'!$B$7+'Black-Scholes'!$B$9*SQRT('Black-Scholes'!$B$7)*B1597)</f>
        <v>85.9460267385965</v>
      </c>
      <c r="D1597" s="18" t="n">
        <f aca="false">'Black-Scholes'!$B$5*EXP(('Black-Scholes'!$B$8-'Black-Scholes'!$B$10-'Black-Scholes'!$B$9^2/2)*'Black-Scholes'!$B$7-'Black-Scholes'!$B$9*SQRT('Black-Scholes'!$B$7)*B1597)</f>
        <v>123.546903427534</v>
      </c>
      <c r="E1597" s="18" t="n">
        <f aca="false">EXP(-'Black-Scholes'!$B$8*'Black-Scholes'!$B$7)*IF(LOWER('Black-Scholes'!$B$11)="put",MAX('Black-Scholes'!$B$6-C1597,0),MAX(C1597-'Black-Scholes'!$B$6,0))</f>
        <v>0</v>
      </c>
      <c r="F1597" s="18" t="n">
        <f aca="false">(E1597+G1597)/2</f>
        <v>11.1992536980733</v>
      </c>
      <c r="G1597" s="18" t="n">
        <f aca="false">EXP(-'Black-Scholes'!$B$8*'Black-Scholes'!$B$7)*IF(LOWER('Black-Scholes'!$B$11)="put",MAX('Black-Scholes'!$B$6-D1597,0),MAX(D1597-'Black-Scholes'!$B$6,0))</f>
        <v>22.3985073961466</v>
      </c>
    </row>
    <row r="1598" customFormat="false" ht="15" hidden="false" customHeight="false" outlineLevel="0" collapsed="false">
      <c r="A1598" s="0" t="n">
        <v>1587</v>
      </c>
      <c r="B1598" s="15" t="n">
        <v>-0.295527800281311</v>
      </c>
      <c r="C1598" s="18" t="n">
        <f aca="false">'Black-Scholes'!$B$5*EXP(('Black-Scholes'!$B$8-'Black-Scholes'!$B$10-'Black-Scholes'!$B$9^2/2)*'Black-Scholes'!$B$7+'Black-Scholes'!$B$9*SQRT('Black-Scholes'!$B$7)*B1598)</f>
        <v>97.1313927101982</v>
      </c>
      <c r="D1598" s="18" t="n">
        <f aca="false">'Black-Scholes'!$B$5*EXP(('Black-Scholes'!$B$8-'Black-Scholes'!$B$10-'Black-Scholes'!$B$9^2/2)*'Black-Scholes'!$B$7-'Black-Scholes'!$B$9*SQRT('Black-Scholes'!$B$7)*B1598)</f>
        <v>109.319604807218</v>
      </c>
      <c r="E1598" s="18" t="n">
        <f aca="false">EXP(-'Black-Scholes'!$B$8*'Black-Scholes'!$B$7)*IF(LOWER('Black-Scholes'!$B$11)="put",MAX('Black-Scholes'!$B$6-C1598,0),MAX(C1598-'Black-Scholes'!$B$6,0))</f>
        <v>0</v>
      </c>
      <c r="F1598" s="18" t="n">
        <f aca="false">(E1598+G1598)/2</f>
        <v>4.43254115867221</v>
      </c>
      <c r="G1598" s="18" t="n">
        <f aca="false">EXP(-'Black-Scholes'!$B$8*'Black-Scholes'!$B$7)*IF(LOWER('Black-Scholes'!$B$11)="put",MAX('Black-Scholes'!$B$6-D1598,0),MAX(D1598-'Black-Scholes'!$B$6,0))</f>
        <v>8.86508231734442</v>
      </c>
    </row>
    <row r="1599" customFormat="false" ht="15" hidden="false" customHeight="false" outlineLevel="0" collapsed="false">
      <c r="A1599" s="0" t="n">
        <v>1588</v>
      </c>
      <c r="B1599" s="15" t="n">
        <v>0.476928907059286</v>
      </c>
      <c r="C1599" s="18" t="n">
        <f aca="false">'Black-Scholes'!$B$5*EXP(('Black-Scholes'!$B$8-'Black-Scholes'!$B$10-'Black-Scholes'!$B$9^2/2)*'Black-Scholes'!$B$7+'Black-Scholes'!$B$9*SQRT('Black-Scholes'!$B$7)*B1599)</f>
        <v>113.358568500945</v>
      </c>
      <c r="D1599" s="18" t="n">
        <f aca="false">'Black-Scholes'!$B$5*EXP(('Black-Scholes'!$B$8-'Black-Scholes'!$B$10-'Black-Scholes'!$B$9^2/2)*'Black-Scholes'!$B$7-'Black-Scholes'!$B$9*SQRT('Black-Scholes'!$B$7)*B1599)</f>
        <v>93.6706029890019</v>
      </c>
      <c r="E1599" s="18" t="n">
        <f aca="false">EXP(-'Black-Scholes'!$B$8*'Black-Scholes'!$B$7)*IF(LOWER('Black-Scholes'!$B$11)="put",MAX('Black-Scholes'!$B$6-C1599,0),MAX(C1599-'Black-Scholes'!$B$6,0))</f>
        <v>12.7070634273072</v>
      </c>
      <c r="F1599" s="18" t="n">
        <f aca="false">(E1599+G1599)/2</f>
        <v>6.35353171365362</v>
      </c>
      <c r="G1599" s="18" t="n">
        <f aca="false">EXP(-'Black-Scholes'!$B$8*'Black-Scholes'!$B$7)*IF(LOWER('Black-Scholes'!$B$11)="put",MAX('Black-Scholes'!$B$6-D1599,0),MAX(D1599-'Black-Scholes'!$B$6,0))</f>
        <v>0</v>
      </c>
    </row>
    <row r="1600" customFormat="false" ht="15" hidden="false" customHeight="false" outlineLevel="0" collapsed="false">
      <c r="A1600" s="0" t="n">
        <v>1589</v>
      </c>
      <c r="B1600" s="15" t="n">
        <v>-0.669071309448453</v>
      </c>
      <c r="C1600" s="18" t="n">
        <f aca="false">'Black-Scholes'!$B$5*EXP(('Black-Scholes'!$B$8-'Black-Scholes'!$B$10-'Black-Scholes'!$B$9^2/2)*'Black-Scholes'!$B$7+'Black-Scholes'!$B$9*SQRT('Black-Scholes'!$B$7)*B1600)</f>
        <v>90.13927048514</v>
      </c>
      <c r="D1600" s="18" t="n">
        <f aca="false">'Black-Scholes'!$B$5*EXP(('Black-Scholes'!$B$8-'Black-Scholes'!$B$10-'Black-Scholes'!$B$9^2/2)*'Black-Scholes'!$B$7-'Black-Scholes'!$B$9*SQRT('Black-Scholes'!$B$7)*B1600)</f>
        <v>117.799549611444</v>
      </c>
      <c r="E1600" s="18" t="n">
        <f aca="false">EXP(-'Black-Scholes'!$B$8*'Black-Scholes'!$B$7)*IF(LOWER('Black-Scholes'!$B$11)="put",MAX('Black-Scholes'!$B$6-C1600,0),MAX(C1600-'Black-Scholes'!$B$6,0))</f>
        <v>0</v>
      </c>
      <c r="F1600" s="18" t="n">
        <f aca="false">(E1600+G1600)/2</f>
        <v>8.46572766663281</v>
      </c>
      <c r="G1600" s="18" t="n">
        <f aca="false">EXP(-'Black-Scholes'!$B$8*'Black-Scholes'!$B$7)*IF(LOWER('Black-Scholes'!$B$11)="put",MAX('Black-Scholes'!$B$6-D1600,0),MAX(D1600-'Black-Scholes'!$B$6,0))</f>
        <v>16.9314553332656</v>
      </c>
    </row>
    <row r="1601" customFormat="false" ht="15" hidden="false" customHeight="false" outlineLevel="0" collapsed="false">
      <c r="A1601" s="0" t="n">
        <v>1590</v>
      </c>
      <c r="B1601" s="15" t="n">
        <v>-0.806567255686199</v>
      </c>
      <c r="C1601" s="18" t="n">
        <f aca="false">'Black-Scholes'!$B$5*EXP(('Black-Scholes'!$B$8-'Black-Scholes'!$B$10-'Black-Scholes'!$B$9^2/2)*'Black-Scholes'!$B$7+'Black-Scholes'!$B$9*SQRT('Black-Scholes'!$B$7)*B1601)</f>
        <v>87.6942852571583</v>
      </c>
      <c r="D1601" s="18" t="n">
        <f aca="false">'Black-Scholes'!$B$5*EXP(('Black-Scholes'!$B$8-'Black-Scholes'!$B$10-'Black-Scholes'!$B$9^2/2)*'Black-Scholes'!$B$7-'Black-Scholes'!$B$9*SQRT('Black-Scholes'!$B$7)*B1601)</f>
        <v>121.083893144415</v>
      </c>
      <c r="E1601" s="18" t="n">
        <f aca="false">EXP(-'Black-Scholes'!$B$8*'Black-Scholes'!$B$7)*IF(LOWER('Black-Scholes'!$B$11)="put",MAX('Black-Scholes'!$B$6-C1601,0),MAX(C1601-'Black-Scholes'!$B$6,0))</f>
        <v>0</v>
      </c>
      <c r="F1601" s="18" t="n">
        <f aca="false">(E1601+G1601)/2</f>
        <v>10.0278097709982</v>
      </c>
      <c r="G1601" s="18" t="n">
        <f aca="false">EXP(-'Black-Scholes'!$B$8*'Black-Scholes'!$B$7)*IF(LOWER('Black-Scholes'!$B$11)="put",MAX('Black-Scholes'!$B$6-D1601,0),MAX(D1601-'Black-Scholes'!$B$6,0))</f>
        <v>20.0556195419963</v>
      </c>
    </row>
    <row r="1602" customFormat="false" ht="15" hidden="false" customHeight="false" outlineLevel="0" collapsed="false">
      <c r="A1602" s="0" t="n">
        <v>1591</v>
      </c>
      <c r="B1602" s="15" t="n">
        <v>1.08824825221057</v>
      </c>
      <c r="C1602" s="18" t="n">
        <f aca="false">'Black-Scholes'!$B$5*EXP(('Black-Scholes'!$B$8-'Black-Scholes'!$B$10-'Black-Scholes'!$B$9^2/2)*'Black-Scholes'!$B$7+'Black-Scholes'!$B$9*SQRT('Black-Scholes'!$B$7)*B1602)</f>
        <v>128.101105191042</v>
      </c>
      <c r="D1602" s="18" t="n">
        <f aca="false">'Black-Scholes'!$B$5*EXP(('Black-Scholes'!$B$8-'Black-Scholes'!$B$10-'Black-Scholes'!$B$9^2/2)*'Black-Scholes'!$B$7-'Black-Scholes'!$B$9*SQRT('Black-Scholes'!$B$7)*B1602)</f>
        <v>82.8905062889035</v>
      </c>
      <c r="E1602" s="18" t="n">
        <f aca="false">EXP(-'Black-Scholes'!$B$8*'Black-Scholes'!$B$7)*IF(LOWER('Black-Scholes'!$B$11)="put",MAX('Black-Scholes'!$B$6-C1602,0),MAX(C1602-'Black-Scholes'!$B$6,0))</f>
        <v>26.7305981187093</v>
      </c>
      <c r="F1602" s="18" t="n">
        <f aca="false">(E1602+G1602)/2</f>
        <v>13.3652990593547</v>
      </c>
      <c r="G1602" s="18" t="n">
        <f aca="false">EXP(-'Black-Scholes'!$B$8*'Black-Scholes'!$B$7)*IF(LOWER('Black-Scholes'!$B$11)="put",MAX('Black-Scholes'!$B$6-D1602,0),MAX(D1602-'Black-Scholes'!$B$6,0))</f>
        <v>0</v>
      </c>
    </row>
    <row r="1603" customFormat="false" ht="15" hidden="false" customHeight="false" outlineLevel="0" collapsed="false">
      <c r="A1603" s="0" t="n">
        <v>1592</v>
      </c>
      <c r="B1603" s="15" t="n">
        <v>-1.50333955572102</v>
      </c>
      <c r="C1603" s="18" t="n">
        <f aca="false">'Black-Scholes'!$B$5*EXP(('Black-Scholes'!$B$8-'Black-Scholes'!$B$10-'Black-Scholes'!$B$9^2/2)*'Black-Scholes'!$B$7+'Black-Scholes'!$B$9*SQRT('Black-Scholes'!$B$7)*B1603)</f>
        <v>76.2869794901244</v>
      </c>
      <c r="D1603" s="18" t="n">
        <f aca="false">'Black-Scholes'!$B$5*EXP(('Black-Scholes'!$B$8-'Black-Scholes'!$B$10-'Black-Scholes'!$B$9^2/2)*'Black-Scholes'!$B$7-'Black-Scholes'!$B$9*SQRT('Black-Scholes'!$B$7)*B1603)</f>
        <v>139.189748190623</v>
      </c>
      <c r="E1603" s="18" t="n">
        <f aca="false">EXP(-'Black-Scholes'!$B$8*'Black-Scholes'!$B$7)*IF(LOWER('Black-Scholes'!$B$11)="put",MAX('Black-Scholes'!$B$6-C1603,0),MAX(C1603-'Black-Scholes'!$B$6,0))</f>
        <v>0</v>
      </c>
      <c r="F1603" s="18" t="n">
        <f aca="false">(E1603+G1603)/2</f>
        <v>18.6392208088469</v>
      </c>
      <c r="G1603" s="18" t="n">
        <f aca="false">EXP(-'Black-Scholes'!$B$8*'Black-Scholes'!$B$7)*IF(LOWER('Black-Scholes'!$B$11)="put",MAX('Black-Scholes'!$B$6-D1603,0),MAX(D1603-'Black-Scholes'!$B$6,0))</f>
        <v>37.2784416176938</v>
      </c>
    </row>
    <row r="1604" customFormat="false" ht="15" hidden="false" customHeight="false" outlineLevel="0" collapsed="false">
      <c r="A1604" s="0" t="n">
        <v>1593</v>
      </c>
      <c r="B1604" s="15" t="n">
        <v>-0.212691754527595</v>
      </c>
      <c r="C1604" s="18" t="n">
        <f aca="false">'Black-Scholes'!$B$5*EXP(('Black-Scholes'!$B$8-'Black-Scholes'!$B$10-'Black-Scholes'!$B$9^2/2)*'Black-Scholes'!$B$7+'Black-Scholes'!$B$9*SQRT('Black-Scholes'!$B$7)*B1604)</f>
        <v>98.7539926717214</v>
      </c>
      <c r="D1604" s="18" t="n">
        <f aca="false">'Black-Scholes'!$B$5*EXP(('Black-Scholes'!$B$8-'Black-Scholes'!$B$10-'Black-Scholes'!$B$9^2/2)*'Black-Scholes'!$B$7-'Black-Scholes'!$B$9*SQRT('Black-Scholes'!$B$7)*B1604)</f>
        <v>107.523404149858</v>
      </c>
      <c r="E1604" s="18" t="n">
        <f aca="false">EXP(-'Black-Scholes'!$B$8*'Black-Scholes'!$B$7)*IF(LOWER('Black-Scholes'!$B$11)="put",MAX('Black-Scholes'!$B$6-C1604,0),MAX(C1604-'Black-Scholes'!$B$6,0))</f>
        <v>0</v>
      </c>
      <c r="F1604" s="18" t="n">
        <f aca="false">(E1604+G1604)/2</f>
        <v>3.57824169987779</v>
      </c>
      <c r="G1604" s="18" t="n">
        <f aca="false">EXP(-'Black-Scholes'!$B$8*'Black-Scholes'!$B$7)*IF(LOWER('Black-Scholes'!$B$11)="put",MAX('Black-Scholes'!$B$6-D1604,0),MAX(D1604-'Black-Scholes'!$B$6,0))</f>
        <v>7.15648339975557</v>
      </c>
    </row>
    <row r="1605" customFormat="false" ht="15" hidden="false" customHeight="false" outlineLevel="0" collapsed="false">
      <c r="A1605" s="0" t="n">
        <v>1594</v>
      </c>
      <c r="B1605" s="15" t="n">
        <v>0.398608126922521</v>
      </c>
      <c r="C1605" s="18" t="n">
        <f aca="false">'Black-Scholes'!$B$5*EXP(('Black-Scholes'!$B$8-'Black-Scholes'!$B$10-'Black-Scholes'!$B$9^2/2)*'Black-Scholes'!$B$7+'Black-Scholes'!$B$9*SQRT('Black-Scholes'!$B$7)*B1605)</f>
        <v>111.596737022776</v>
      </c>
      <c r="D1605" s="18" t="n">
        <f aca="false">'Black-Scholes'!$B$5*EXP(('Black-Scholes'!$B$8-'Black-Scholes'!$B$10-'Black-Scholes'!$B$9^2/2)*'Black-Scholes'!$B$7-'Black-Scholes'!$B$9*SQRT('Black-Scholes'!$B$7)*B1605)</f>
        <v>95.1494259485966</v>
      </c>
      <c r="E1605" s="18" t="n">
        <f aca="false">EXP(-'Black-Scholes'!$B$8*'Black-Scholes'!$B$7)*IF(LOWER('Black-Scholes'!$B$11)="put",MAX('Black-Scholes'!$B$6-C1605,0),MAX(C1605-'Black-Scholes'!$B$6,0))</f>
        <v>11.031157484261</v>
      </c>
      <c r="F1605" s="18" t="n">
        <f aca="false">(E1605+G1605)/2</f>
        <v>5.51557874213048</v>
      </c>
      <c r="G1605" s="18" t="n">
        <f aca="false">EXP(-'Black-Scholes'!$B$8*'Black-Scholes'!$B$7)*IF(LOWER('Black-Scholes'!$B$11)="put",MAX('Black-Scholes'!$B$6-D1605,0),MAX(D1605-'Black-Scholes'!$B$6,0))</f>
        <v>0</v>
      </c>
    </row>
    <row r="1606" customFormat="false" ht="15" hidden="false" customHeight="false" outlineLevel="0" collapsed="false">
      <c r="A1606" s="0" t="n">
        <v>1595</v>
      </c>
      <c r="B1606" s="15" t="n">
        <v>-0.414548355192746</v>
      </c>
      <c r="C1606" s="18" t="n">
        <f aca="false">'Black-Scholes'!$B$5*EXP(('Black-Scholes'!$B$8-'Black-Scholes'!$B$10-'Black-Scholes'!$B$9^2/2)*'Black-Scholes'!$B$7+'Black-Scholes'!$B$9*SQRT('Black-Scholes'!$B$7)*B1606)</f>
        <v>94.8465682533072</v>
      </c>
      <c r="D1606" s="18" t="n">
        <f aca="false">'Black-Scholes'!$B$5*EXP(('Black-Scholes'!$B$8-'Black-Scholes'!$B$10-'Black-Scholes'!$B$9^2/2)*'Black-Scholes'!$B$7-'Black-Scholes'!$B$9*SQRT('Black-Scholes'!$B$7)*B1606)</f>
        <v>111.953080232646</v>
      </c>
      <c r="E1606" s="18" t="n">
        <f aca="false">EXP(-'Black-Scholes'!$B$8*'Black-Scholes'!$B$7)*IF(LOWER('Black-Scholes'!$B$11)="put",MAX('Black-Scholes'!$B$6-C1606,0),MAX(C1606-'Black-Scholes'!$B$6,0))</f>
        <v>0</v>
      </c>
      <c r="F1606" s="18" t="n">
        <f aca="false">(E1606+G1606)/2</f>
        <v>5.68506081535518</v>
      </c>
      <c r="G1606" s="18" t="n">
        <f aca="false">EXP(-'Black-Scholes'!$B$8*'Black-Scholes'!$B$7)*IF(LOWER('Black-Scholes'!$B$11)="put",MAX('Black-Scholes'!$B$6-D1606,0),MAX(D1606-'Black-Scholes'!$B$6,0))</f>
        <v>11.3701216307104</v>
      </c>
    </row>
    <row r="1607" customFormat="false" ht="15" hidden="false" customHeight="false" outlineLevel="0" collapsed="false">
      <c r="A1607" s="0" t="n">
        <v>1596</v>
      </c>
      <c r="B1607" s="15" t="n">
        <v>2.02916208944558</v>
      </c>
      <c r="C1607" s="18" t="n">
        <f aca="false">'Black-Scholes'!$B$5*EXP(('Black-Scholes'!$B$8-'Black-Scholes'!$B$10-'Black-Scholes'!$B$9^2/2)*'Black-Scholes'!$B$7+'Black-Scholes'!$B$9*SQRT('Black-Scholes'!$B$7)*B1607)</f>
        <v>154.624964925573</v>
      </c>
      <c r="D1607" s="18" t="n">
        <f aca="false">'Black-Scholes'!$B$5*EXP(('Black-Scholes'!$B$8-'Black-Scholes'!$B$10-'Black-Scholes'!$B$9^2/2)*'Black-Scholes'!$B$7-'Black-Scholes'!$B$9*SQRT('Black-Scholes'!$B$7)*B1607)</f>
        <v>68.6717404952338</v>
      </c>
      <c r="E1607" s="18" t="n">
        <f aca="false">EXP(-'Black-Scholes'!$B$8*'Black-Scholes'!$B$7)*IF(LOWER('Black-Scholes'!$B$11)="put",MAX('Black-Scholes'!$B$6-C1607,0),MAX(C1607-'Black-Scholes'!$B$6,0))</f>
        <v>51.9608739495247</v>
      </c>
      <c r="F1607" s="18" t="n">
        <f aca="false">(E1607+G1607)/2</f>
        <v>25.9804369747624</v>
      </c>
      <c r="G1607" s="18" t="n">
        <f aca="false">EXP(-'Black-Scholes'!$B$8*'Black-Scholes'!$B$7)*IF(LOWER('Black-Scholes'!$B$11)="put",MAX('Black-Scholes'!$B$6-D1607,0),MAX(D1607-'Black-Scholes'!$B$6,0))</f>
        <v>0</v>
      </c>
    </row>
    <row r="1608" customFormat="false" ht="15" hidden="false" customHeight="false" outlineLevel="0" collapsed="false">
      <c r="A1608" s="0" t="n">
        <v>1597</v>
      </c>
      <c r="B1608" s="15" t="n">
        <v>1.39270655306109</v>
      </c>
      <c r="C1608" s="18" t="n">
        <f aca="false">'Black-Scholes'!$B$5*EXP(('Black-Scholes'!$B$8-'Black-Scholes'!$B$10-'Black-Scholes'!$B$9^2/2)*'Black-Scholes'!$B$7+'Black-Scholes'!$B$9*SQRT('Black-Scholes'!$B$7)*B1608)</f>
        <v>136.143775021287</v>
      </c>
      <c r="D1608" s="18" t="n">
        <f aca="false">'Black-Scholes'!$B$5*EXP(('Black-Scholes'!$B$8-'Black-Scholes'!$B$10-'Black-Scholes'!$B$9^2/2)*'Black-Scholes'!$B$7-'Black-Scholes'!$B$9*SQRT('Black-Scholes'!$B$7)*B1608)</f>
        <v>77.9937640468197</v>
      </c>
      <c r="E1608" s="18" t="n">
        <f aca="false">EXP(-'Black-Scholes'!$B$8*'Black-Scholes'!$B$7)*IF(LOWER('Black-Scholes'!$B$11)="put",MAX('Black-Scholes'!$B$6-C1608,0),MAX(C1608-'Black-Scholes'!$B$6,0))</f>
        <v>34.3810223127826</v>
      </c>
      <c r="F1608" s="18" t="n">
        <f aca="false">(E1608+G1608)/2</f>
        <v>17.1905111563913</v>
      </c>
      <c r="G1608" s="18" t="n">
        <f aca="false">EXP(-'Black-Scholes'!$B$8*'Black-Scholes'!$B$7)*IF(LOWER('Black-Scholes'!$B$11)="put",MAX('Black-Scholes'!$B$6-D1608,0),MAX(D1608-'Black-Scholes'!$B$6,0))</f>
        <v>0</v>
      </c>
    </row>
    <row r="1609" customFormat="false" ht="15" hidden="false" customHeight="false" outlineLevel="0" collapsed="false">
      <c r="A1609" s="0" t="n">
        <v>1598</v>
      </c>
      <c r="B1609" s="15" t="n">
        <v>0.286550805556197</v>
      </c>
      <c r="C1609" s="18" t="n">
        <f aca="false">'Black-Scholes'!$B$5*EXP(('Black-Scholes'!$B$8-'Black-Scholes'!$B$10-'Black-Scholes'!$B$9^2/2)*'Black-Scholes'!$B$7+'Black-Scholes'!$B$9*SQRT('Black-Scholes'!$B$7)*B1609)</f>
        <v>109.123508592222</v>
      </c>
      <c r="D1609" s="18" t="n">
        <f aca="false">'Black-Scholes'!$B$5*EXP(('Black-Scholes'!$B$8-'Black-Scholes'!$B$10-'Black-Scholes'!$B$9^2/2)*'Black-Scholes'!$B$7-'Black-Scholes'!$B$9*SQRT('Black-Scholes'!$B$7)*B1609)</f>
        <v>97.3059389533822</v>
      </c>
      <c r="E1609" s="18" t="n">
        <f aca="false">EXP(-'Black-Scholes'!$B$8*'Black-Scholes'!$B$7)*IF(LOWER('Black-Scholes'!$B$11)="put",MAX('Black-Scholes'!$B$6-C1609,0),MAX(C1609-'Black-Scholes'!$B$6,0))</f>
        <v>8.67854982760624</v>
      </c>
      <c r="F1609" s="18" t="n">
        <f aca="false">(E1609+G1609)/2</f>
        <v>4.33927491380312</v>
      </c>
      <c r="G1609" s="18" t="n">
        <f aca="false">EXP(-'Black-Scholes'!$B$8*'Black-Scholes'!$B$7)*IF(LOWER('Black-Scholes'!$B$11)="put",MAX('Black-Scholes'!$B$6-D1609,0),MAX(D1609-'Black-Scholes'!$B$6,0))</f>
        <v>0</v>
      </c>
    </row>
    <row r="1610" customFormat="false" ht="15" hidden="false" customHeight="false" outlineLevel="0" collapsed="false">
      <c r="A1610" s="0" t="n">
        <v>1599</v>
      </c>
      <c r="B1610" s="15" t="n">
        <v>-1.03998398295891</v>
      </c>
      <c r="C1610" s="18" t="n">
        <f aca="false">'Black-Scholes'!$B$5*EXP(('Black-Scholes'!$B$8-'Black-Scholes'!$B$10-'Black-Scholes'!$B$9^2/2)*'Black-Scholes'!$B$7+'Black-Scholes'!$B$9*SQRT('Black-Scholes'!$B$7)*B1610)</f>
        <v>83.69451045613</v>
      </c>
      <c r="D1610" s="18" t="n">
        <f aca="false">'Black-Scholes'!$B$5*EXP(('Black-Scholes'!$B$8-'Black-Scholes'!$B$10-'Black-Scholes'!$B$9^2/2)*'Black-Scholes'!$B$7-'Black-Scholes'!$B$9*SQRT('Black-Scholes'!$B$7)*B1610)</f>
        <v>126.870512863797</v>
      </c>
      <c r="E1610" s="18" t="n">
        <f aca="false">EXP(-'Black-Scholes'!$B$8*'Black-Scholes'!$B$7)*IF(LOWER('Black-Scholes'!$B$11)="put",MAX('Black-Scholes'!$B$6-C1610,0),MAX(C1610-'Black-Scholes'!$B$6,0))</f>
        <v>0</v>
      </c>
      <c r="F1610" s="18" t="n">
        <f aca="false">(E1610+G1610)/2</f>
        <v>12.7800112437341</v>
      </c>
      <c r="G1610" s="18" t="n">
        <f aca="false">EXP(-'Black-Scholes'!$B$8*'Black-Scholes'!$B$7)*IF(LOWER('Black-Scholes'!$B$11)="put",MAX('Black-Scholes'!$B$6-D1610,0),MAX(D1610-'Black-Scholes'!$B$6,0))</f>
        <v>25.5600224874682</v>
      </c>
    </row>
    <row r="1611" customFormat="false" ht="15" hidden="false" customHeight="false" outlineLevel="0" collapsed="false">
      <c r="A1611" s="0" t="n">
        <v>1600</v>
      </c>
      <c r="B1611" s="15" t="n">
        <v>0.0235706931620571</v>
      </c>
      <c r="C1611" s="18" t="n">
        <f aca="false">'Black-Scholes'!$B$5*EXP(('Black-Scholes'!$B$8-'Black-Scholes'!$B$10-'Black-Scholes'!$B$9^2/2)*'Black-Scholes'!$B$7+'Black-Scholes'!$B$9*SQRT('Black-Scholes'!$B$7)*B1611)</f>
        <v>103.532370744306</v>
      </c>
      <c r="D1611" s="18" t="n">
        <f aca="false">'Black-Scholes'!$B$5*EXP(('Black-Scholes'!$B$8-'Black-Scholes'!$B$10-'Black-Scholes'!$B$9^2/2)*'Black-Scholes'!$B$7-'Black-Scholes'!$B$9*SQRT('Black-Scholes'!$B$7)*B1611)</f>
        <v>102.560826040368</v>
      </c>
      <c r="E1611" s="18" t="n">
        <f aca="false">EXP(-'Black-Scholes'!$B$8*'Black-Scholes'!$B$7)*IF(LOWER('Black-Scholes'!$B$11)="put",MAX('Black-Scholes'!$B$6-C1611,0),MAX(C1611-'Black-Scholes'!$B$6,0))</f>
        <v>3.36009499022898</v>
      </c>
      <c r="F1611" s="18" t="n">
        <f aca="false">(E1611+G1611)/2</f>
        <v>2.89801403542726</v>
      </c>
      <c r="G1611" s="18" t="n">
        <f aca="false">EXP(-'Black-Scholes'!$B$8*'Black-Scholes'!$B$7)*IF(LOWER('Black-Scholes'!$B$11)="put",MAX('Black-Scholes'!$B$6-D1611,0),MAX(D1611-'Black-Scholes'!$B$6,0))</f>
        <v>2.43593308062555</v>
      </c>
    </row>
    <row r="1612" customFormat="false" ht="15" hidden="false" customHeight="false" outlineLevel="0" collapsed="false">
      <c r="A1612" s="0" t="n">
        <v>1601</v>
      </c>
      <c r="B1612" s="15" t="n">
        <v>0.496713912788212</v>
      </c>
      <c r="C1612" s="18" t="n">
        <f aca="false">'Black-Scholes'!$B$5*EXP(('Black-Scholes'!$B$8-'Black-Scholes'!$B$10-'Black-Scholes'!$B$9^2/2)*'Black-Scholes'!$B$7+'Black-Scholes'!$B$9*SQRT('Black-Scholes'!$B$7)*B1612)</f>
        <v>113.808017134316</v>
      </c>
      <c r="D1612" s="18" t="n">
        <f aca="false">'Black-Scholes'!$B$5*EXP(('Black-Scholes'!$B$8-'Black-Scholes'!$B$10-'Black-Scholes'!$B$9^2/2)*'Black-Scholes'!$B$7-'Black-Scholes'!$B$9*SQRT('Black-Scholes'!$B$7)*B1612)</f>
        <v>93.3006806798312</v>
      </c>
      <c r="E1612" s="18" t="n">
        <f aca="false">EXP(-'Black-Scholes'!$B$8*'Black-Scholes'!$B$7)*IF(LOWER('Black-Scholes'!$B$11)="put",MAX('Black-Scholes'!$B$6-C1612,0),MAX(C1612-'Black-Scholes'!$B$6,0))</f>
        <v>13.1345921921717</v>
      </c>
      <c r="F1612" s="18" t="n">
        <f aca="false">(E1612+G1612)/2</f>
        <v>6.56729609608585</v>
      </c>
      <c r="G1612" s="18" t="n">
        <f aca="false">EXP(-'Black-Scholes'!$B$8*'Black-Scholes'!$B$7)*IF(LOWER('Black-Scholes'!$B$11)="put",MAX('Black-Scholes'!$B$6-D1612,0),MAX(D1612-'Black-Scholes'!$B$6,0))</f>
        <v>0</v>
      </c>
    </row>
    <row r="1613" customFormat="false" ht="15" hidden="false" customHeight="false" outlineLevel="0" collapsed="false">
      <c r="A1613" s="0" t="n">
        <v>1602</v>
      </c>
      <c r="B1613" s="15" t="n">
        <v>0.0710950840734332</v>
      </c>
      <c r="C1613" s="18" t="n">
        <f aca="false">'Black-Scholes'!$B$5*EXP(('Black-Scholes'!$B$8-'Black-Scholes'!$B$10-'Black-Scholes'!$B$9^2/2)*'Black-Scholes'!$B$7+'Black-Scholes'!$B$9*SQRT('Black-Scholes'!$B$7)*B1613)</f>
        <v>104.521124866009</v>
      </c>
      <c r="D1613" s="18" t="n">
        <f aca="false">'Black-Scholes'!$B$5*EXP(('Black-Scholes'!$B$8-'Black-Scholes'!$B$10-'Black-Scholes'!$B$9^2/2)*'Black-Scholes'!$B$7-'Black-Scholes'!$B$9*SQRT('Black-Scholes'!$B$7)*B1613)</f>
        <v>101.590616050734</v>
      </c>
      <c r="E1613" s="18" t="n">
        <f aca="false">EXP(-'Black-Scholes'!$B$8*'Black-Scholes'!$B$7)*IF(LOWER('Black-Scholes'!$B$11)="put",MAX('Black-Scholes'!$B$6-C1613,0),MAX(C1613-'Black-Scholes'!$B$6,0))</f>
        <v>4.30062700438986</v>
      </c>
      <c r="F1613" s="18" t="n">
        <f aca="false">(E1613+G1613)/2</f>
        <v>2.90683389746569</v>
      </c>
      <c r="G1613" s="18" t="n">
        <f aca="false">EXP(-'Black-Scholes'!$B$8*'Black-Scholes'!$B$7)*IF(LOWER('Black-Scholes'!$B$11)="put",MAX('Black-Scholes'!$B$6-D1613,0),MAX(D1613-'Black-Scholes'!$B$6,0))</f>
        <v>1.51304079054152</v>
      </c>
    </row>
    <row r="1614" customFormat="false" ht="15" hidden="false" customHeight="false" outlineLevel="0" collapsed="false">
      <c r="A1614" s="0" t="n">
        <v>1603</v>
      </c>
      <c r="B1614" s="15" t="n">
        <v>-0.365994403003127</v>
      </c>
      <c r="C1614" s="18" t="n">
        <f aca="false">'Black-Scholes'!$B$5*EXP(('Black-Scholes'!$B$8-'Black-Scholes'!$B$10-'Black-Scholes'!$B$9^2/2)*'Black-Scholes'!$B$7+'Black-Scholes'!$B$9*SQRT('Black-Scholes'!$B$7)*B1614)</f>
        <v>95.7720899017543</v>
      </c>
      <c r="D1614" s="18" t="n">
        <f aca="false">'Black-Scholes'!$B$5*EXP(('Black-Scholes'!$B$8-'Black-Scholes'!$B$10-'Black-Scholes'!$B$9^2/2)*'Black-Scholes'!$B$7-'Black-Scholes'!$B$9*SQRT('Black-Scholes'!$B$7)*B1614)</f>
        <v>110.871188843704</v>
      </c>
      <c r="E1614" s="18" t="n">
        <f aca="false">EXP(-'Black-Scholes'!$B$8*'Black-Scholes'!$B$7)*IF(LOWER('Black-Scholes'!$B$11)="put",MAX('Black-Scholes'!$B$6-C1614,0),MAX(C1614-'Black-Scholes'!$B$6,0))</f>
        <v>0</v>
      </c>
      <c r="F1614" s="18" t="n">
        <f aca="false">(E1614+G1614)/2</f>
        <v>5.17049735371754</v>
      </c>
      <c r="G1614" s="18" t="n">
        <f aca="false">EXP(-'Black-Scholes'!$B$8*'Black-Scholes'!$B$7)*IF(LOWER('Black-Scholes'!$B$11)="put",MAX('Black-Scholes'!$B$6-D1614,0),MAX(D1614-'Black-Scholes'!$B$6,0))</f>
        <v>10.3409947074351</v>
      </c>
    </row>
    <row r="1615" customFormat="false" ht="15" hidden="false" customHeight="false" outlineLevel="0" collapsed="false">
      <c r="A1615" s="0" t="n">
        <v>1604</v>
      </c>
      <c r="B1615" s="15" t="n">
        <v>0.530589953053307</v>
      </c>
      <c r="C1615" s="18" t="n">
        <f aca="false">'Black-Scholes'!$B$5*EXP(('Black-Scholes'!$B$8-'Black-Scholes'!$B$10-'Black-Scholes'!$B$9^2/2)*'Black-Scholes'!$B$7+'Black-Scholes'!$B$9*SQRT('Black-Scholes'!$B$7)*B1615)</f>
        <v>114.581708127639</v>
      </c>
      <c r="D1615" s="18" t="n">
        <f aca="false">'Black-Scholes'!$B$5*EXP(('Black-Scholes'!$B$8-'Black-Scholes'!$B$10-'Black-Scholes'!$B$9^2/2)*'Black-Scholes'!$B$7-'Black-Scholes'!$B$9*SQRT('Black-Scholes'!$B$7)*B1615)</f>
        <v>92.6706857400413</v>
      </c>
      <c r="E1615" s="18" t="n">
        <f aca="false">EXP(-'Black-Scholes'!$B$8*'Black-Scholes'!$B$7)*IF(LOWER('Black-Scholes'!$B$11)="put",MAX('Black-Scholes'!$B$6-C1615,0),MAX(C1615-'Black-Scholes'!$B$6,0))</f>
        <v>13.8705498304917</v>
      </c>
      <c r="F1615" s="18" t="n">
        <f aca="false">(E1615+G1615)/2</f>
        <v>6.93527491524583</v>
      </c>
      <c r="G1615" s="18" t="n">
        <f aca="false">EXP(-'Black-Scholes'!$B$8*'Black-Scholes'!$B$7)*IF(LOWER('Black-Scholes'!$B$11)="put",MAX('Black-Scholes'!$B$6-D1615,0),MAX(D1615-'Black-Scholes'!$B$6,0))</f>
        <v>0</v>
      </c>
    </row>
    <row r="1616" customFormat="false" ht="15" hidden="false" customHeight="false" outlineLevel="0" collapsed="false">
      <c r="A1616" s="0" t="n">
        <v>1605</v>
      </c>
      <c r="B1616" s="15" t="n">
        <v>-0.86049209042679</v>
      </c>
      <c r="C1616" s="18" t="n">
        <f aca="false">'Black-Scholes'!$B$5*EXP(('Black-Scholes'!$B$8-'Black-Scholes'!$B$10-'Black-Scholes'!$B$9^2/2)*'Black-Scholes'!$B$7+'Black-Scholes'!$B$9*SQRT('Black-Scholes'!$B$7)*B1616)</f>
        <v>86.7535871064839</v>
      </c>
      <c r="D1616" s="18" t="n">
        <f aca="false">'Black-Scholes'!$B$5*EXP(('Black-Scholes'!$B$8-'Black-Scholes'!$B$10-'Black-Scholes'!$B$9^2/2)*'Black-Scholes'!$B$7-'Black-Scholes'!$B$9*SQRT('Black-Scholes'!$B$7)*B1616)</f>
        <v>122.396846281645</v>
      </c>
      <c r="E1616" s="18" t="n">
        <f aca="false">EXP(-'Black-Scholes'!$B$8*'Black-Scholes'!$B$7)*IF(LOWER('Black-Scholes'!$B$11)="put",MAX('Black-Scholes'!$B$6-C1616,0),MAX(C1616-'Black-Scholes'!$B$6,0))</f>
        <v>0</v>
      </c>
      <c r="F1616" s="18" t="n">
        <f aca="false">(E1616+G1616)/2</f>
        <v>10.65226959956</v>
      </c>
      <c r="G1616" s="18" t="n">
        <f aca="false">EXP(-'Black-Scholes'!$B$8*'Black-Scholes'!$B$7)*IF(LOWER('Black-Scholes'!$B$11)="put",MAX('Black-Scholes'!$B$6-D1616,0),MAX(D1616-'Black-Scholes'!$B$6,0))</f>
        <v>21.30453919912</v>
      </c>
    </row>
    <row r="1617" customFormat="false" ht="15" hidden="false" customHeight="false" outlineLevel="0" collapsed="false">
      <c r="A1617" s="0" t="n">
        <v>1606</v>
      </c>
      <c r="B1617" s="15" t="n">
        <v>-0.995605611141396</v>
      </c>
      <c r="C1617" s="18" t="n">
        <f aca="false">'Black-Scholes'!$B$5*EXP(('Black-Scholes'!$B$8-'Black-Scholes'!$B$10-'Black-Scholes'!$B$9^2/2)*'Black-Scholes'!$B$7+'Black-Scholes'!$B$9*SQRT('Black-Scholes'!$B$7)*B1617)</f>
        <v>84.4406620780328</v>
      </c>
      <c r="D1617" s="18" t="n">
        <f aca="false">'Black-Scholes'!$B$5*EXP(('Black-Scholes'!$B$8-'Black-Scholes'!$B$10-'Black-Scholes'!$B$9^2/2)*'Black-Scholes'!$B$7-'Black-Scholes'!$B$9*SQRT('Black-Scholes'!$B$7)*B1617)</f>
        <v>125.749434030266</v>
      </c>
      <c r="E1617" s="18" t="n">
        <f aca="false">EXP(-'Black-Scholes'!$B$8*'Black-Scholes'!$B$7)*IF(LOWER('Black-Scholes'!$B$11)="put",MAX('Black-Scholes'!$B$6-C1617,0),MAX(C1617-'Black-Scholes'!$B$6,0))</f>
        <v>0</v>
      </c>
      <c r="F1617" s="18" t="n">
        <f aca="false">(E1617+G1617)/2</f>
        <v>12.2468096569147</v>
      </c>
      <c r="G1617" s="18" t="n">
        <f aca="false">EXP(-'Black-Scholes'!$B$8*'Black-Scholes'!$B$7)*IF(LOWER('Black-Scholes'!$B$11)="put",MAX('Black-Scholes'!$B$6-D1617,0),MAX(D1617-'Black-Scholes'!$B$6,0))</f>
        <v>24.4936193138293</v>
      </c>
    </row>
    <row r="1618" customFormat="false" ht="15" hidden="false" customHeight="false" outlineLevel="0" collapsed="false">
      <c r="A1618" s="0" t="n">
        <v>1607</v>
      </c>
      <c r="B1618" s="15" t="n">
        <v>1.46450313001523</v>
      </c>
      <c r="C1618" s="18" t="n">
        <f aca="false">'Black-Scholes'!$B$5*EXP(('Black-Scholes'!$B$8-'Black-Scholes'!$B$10-'Black-Scholes'!$B$9^2/2)*'Black-Scholes'!$B$7+'Black-Scholes'!$B$9*SQRT('Black-Scholes'!$B$7)*B1618)</f>
        <v>138.112809586676</v>
      </c>
      <c r="D1618" s="18" t="n">
        <f aca="false">'Black-Scholes'!$B$5*EXP(('Black-Scholes'!$B$8-'Black-Scholes'!$B$10-'Black-Scholes'!$B$9^2/2)*'Black-Scholes'!$B$7-'Black-Scholes'!$B$9*SQRT('Black-Scholes'!$B$7)*B1618)</f>
        <v>76.8818294061985</v>
      </c>
      <c r="E1618" s="18" t="n">
        <f aca="false">EXP(-'Black-Scholes'!$B$8*'Black-Scholes'!$B$7)*IF(LOWER('Black-Scholes'!$B$11)="put",MAX('Black-Scholes'!$B$6-C1618,0),MAX(C1618-'Black-Scholes'!$B$6,0))</f>
        <v>36.254025929239</v>
      </c>
      <c r="F1618" s="18" t="n">
        <f aca="false">(E1618+G1618)/2</f>
        <v>18.1270129646195</v>
      </c>
      <c r="G1618" s="18" t="n">
        <f aca="false">EXP(-'Black-Scholes'!$B$8*'Black-Scholes'!$B$7)*IF(LOWER('Black-Scholes'!$B$11)="put",MAX('Black-Scholes'!$B$6-D1618,0),MAX(D1618-'Black-Scholes'!$B$6,0))</f>
        <v>0</v>
      </c>
    </row>
    <row r="1619" customFormat="false" ht="15" hidden="false" customHeight="false" outlineLevel="0" collapsed="false">
      <c r="A1619" s="0" t="n">
        <v>1608</v>
      </c>
      <c r="B1619" s="15" t="n">
        <v>-0.225579144555407</v>
      </c>
      <c r="C1619" s="18" t="n">
        <f aca="false">'Black-Scholes'!$B$5*EXP(('Black-Scholes'!$B$8-'Black-Scholes'!$B$10-'Black-Scholes'!$B$9^2/2)*'Black-Scholes'!$B$7+'Black-Scholes'!$B$9*SQRT('Black-Scholes'!$B$7)*B1619)</f>
        <v>98.4997841767847</v>
      </c>
      <c r="D1619" s="18" t="n">
        <f aca="false">'Black-Scholes'!$B$5*EXP(('Black-Scholes'!$B$8-'Black-Scholes'!$B$10-'Black-Scholes'!$B$9^2/2)*'Black-Scholes'!$B$7-'Black-Scholes'!$B$9*SQRT('Black-Scholes'!$B$7)*B1619)</f>
        <v>107.800900826301</v>
      </c>
      <c r="E1619" s="18" t="n">
        <f aca="false">EXP(-'Black-Scholes'!$B$8*'Black-Scholes'!$B$7)*IF(LOWER('Black-Scholes'!$B$11)="put",MAX('Black-Scholes'!$B$6-C1619,0),MAX(C1619-'Black-Scholes'!$B$6,0))</f>
        <v>0</v>
      </c>
      <c r="F1619" s="18" t="n">
        <f aca="false">(E1619+G1619)/2</f>
        <v>3.71022320179462</v>
      </c>
      <c r="G1619" s="18" t="n">
        <f aca="false">EXP(-'Black-Scholes'!$B$8*'Black-Scholes'!$B$7)*IF(LOWER('Black-Scholes'!$B$11)="put",MAX('Black-Scholes'!$B$6-D1619,0),MAX(D1619-'Black-Scholes'!$B$6,0))</f>
        <v>7.42044640358925</v>
      </c>
    </row>
    <row r="1620" customFormat="false" ht="15" hidden="false" customHeight="false" outlineLevel="0" collapsed="false">
      <c r="A1620" s="0" t="n">
        <v>1609</v>
      </c>
      <c r="B1620" s="15" t="n">
        <v>1.2053719527687</v>
      </c>
      <c r="C1620" s="18" t="n">
        <f aca="false">'Black-Scholes'!$B$5*EXP(('Black-Scholes'!$B$8-'Black-Scholes'!$B$10-'Black-Scholes'!$B$9^2/2)*'Black-Scholes'!$B$7+'Black-Scholes'!$B$9*SQRT('Black-Scholes'!$B$7)*B1620)</f>
        <v>131.137262049154</v>
      </c>
      <c r="D1620" s="18" t="n">
        <f aca="false">'Black-Scholes'!$B$5*EXP(('Black-Scholes'!$B$8-'Black-Scholes'!$B$10-'Black-Scholes'!$B$9^2/2)*'Black-Scholes'!$B$7-'Black-Scholes'!$B$9*SQRT('Black-Scholes'!$B$7)*B1620)</f>
        <v>80.9713829580608</v>
      </c>
      <c r="E1620" s="18" t="n">
        <f aca="false">EXP(-'Black-Scholes'!$B$8*'Black-Scholes'!$B$7)*IF(LOWER('Black-Scholes'!$B$11)="put",MAX('Black-Scholes'!$B$6-C1620,0),MAX(C1620-'Black-Scholes'!$B$6,0))</f>
        <v>29.6186798595444</v>
      </c>
      <c r="F1620" s="18" t="n">
        <f aca="false">(E1620+G1620)/2</f>
        <v>14.8093399297722</v>
      </c>
      <c r="G1620" s="18" t="n">
        <f aca="false">EXP(-'Black-Scholes'!$B$8*'Black-Scholes'!$B$7)*IF(LOWER('Black-Scholes'!$B$11)="put",MAX('Black-Scholes'!$B$6-D1620,0),MAX(D1620-'Black-Scholes'!$B$6,0))</f>
        <v>0</v>
      </c>
    </row>
    <row r="1621" customFormat="false" ht="15" hidden="false" customHeight="false" outlineLevel="0" collapsed="false">
      <c r="A1621" s="0" t="n">
        <v>1610</v>
      </c>
      <c r="B1621" s="15" t="n">
        <v>-0.813073635015647</v>
      </c>
      <c r="C1621" s="18" t="n">
        <f aca="false">'Black-Scholes'!$B$5*EXP(('Black-Scholes'!$B$8-'Black-Scholes'!$B$10-'Black-Scholes'!$B$9^2/2)*'Black-Scholes'!$B$7+'Black-Scholes'!$B$9*SQRT('Black-Scholes'!$B$7)*B1621)</f>
        <v>87.5802450151763</v>
      </c>
      <c r="D1621" s="18" t="n">
        <f aca="false">'Black-Scholes'!$B$5*EXP(('Black-Scholes'!$B$8-'Black-Scholes'!$B$10-'Black-Scholes'!$B$9^2/2)*'Black-Scholes'!$B$7-'Black-Scholes'!$B$9*SQRT('Black-Scholes'!$B$7)*B1621)</f>
        <v>121.241559253615</v>
      </c>
      <c r="E1621" s="18" t="n">
        <f aca="false">EXP(-'Black-Scholes'!$B$8*'Black-Scholes'!$B$7)*IF(LOWER('Black-Scholes'!$B$11)="put",MAX('Black-Scholes'!$B$6-C1621,0),MAX(C1621-'Black-Scholes'!$B$6,0))</f>
        <v>0</v>
      </c>
      <c r="F1621" s="18" t="n">
        <f aca="false">(E1621+G1621)/2</f>
        <v>10.1027980921569</v>
      </c>
      <c r="G1621" s="18" t="n">
        <f aca="false">EXP(-'Black-Scholes'!$B$8*'Black-Scholes'!$B$7)*IF(LOWER('Black-Scholes'!$B$11)="put",MAX('Black-Scholes'!$B$6-D1621,0),MAX(D1621-'Black-Scholes'!$B$6,0))</f>
        <v>20.2055961843138</v>
      </c>
    </row>
    <row r="1622" customFormat="false" ht="15" hidden="false" customHeight="false" outlineLevel="0" collapsed="false">
      <c r="A1622" s="0" t="n">
        <v>1611</v>
      </c>
      <c r="B1622" s="15" t="n">
        <v>1.64343600873476</v>
      </c>
      <c r="C1622" s="18" t="n">
        <f aca="false">'Black-Scholes'!$B$5*EXP(('Black-Scholes'!$B$8-'Black-Scholes'!$B$10-'Black-Scholes'!$B$9^2/2)*'Black-Scholes'!$B$7+'Black-Scholes'!$B$9*SQRT('Black-Scholes'!$B$7)*B1622)</f>
        <v>143.144897679664</v>
      </c>
      <c r="D1622" s="18" t="n">
        <f aca="false">'Black-Scholes'!$B$5*EXP(('Black-Scholes'!$B$8-'Black-Scholes'!$B$10-'Black-Scholes'!$B$9^2/2)*'Black-Scholes'!$B$7-'Black-Scholes'!$B$9*SQRT('Black-Scholes'!$B$7)*B1622)</f>
        <v>74.17914042047</v>
      </c>
      <c r="E1622" s="18" t="n">
        <f aca="false">EXP(-'Black-Scholes'!$B$8*'Black-Scholes'!$B$7)*IF(LOWER('Black-Scholes'!$B$11)="put",MAX('Black-Scholes'!$B$6-C1622,0),MAX(C1622-'Black-Scholes'!$B$6,0))</f>
        <v>41.0406961899688</v>
      </c>
      <c r="F1622" s="18" t="n">
        <f aca="false">(E1622+G1622)/2</f>
        <v>20.5203480949844</v>
      </c>
      <c r="G1622" s="18" t="n">
        <f aca="false">EXP(-'Black-Scholes'!$B$8*'Black-Scholes'!$B$7)*IF(LOWER('Black-Scholes'!$B$11)="put",MAX('Black-Scholes'!$B$6-D1622,0),MAX(D1622-'Black-Scholes'!$B$6,0))</f>
        <v>0</v>
      </c>
    </row>
    <row r="1623" customFormat="false" ht="15" hidden="false" customHeight="false" outlineLevel="0" collapsed="false">
      <c r="A1623" s="0" t="n">
        <v>1612</v>
      </c>
      <c r="B1623" s="15" t="n">
        <v>-1.38474909082727</v>
      </c>
      <c r="C1623" s="18" t="n">
        <f aca="false">'Black-Scholes'!$B$5*EXP(('Black-Scholes'!$B$8-'Black-Scholes'!$B$10-'Black-Scholes'!$B$9^2/2)*'Black-Scholes'!$B$7+'Black-Scholes'!$B$9*SQRT('Black-Scholes'!$B$7)*B1623)</f>
        <v>78.1179893587973</v>
      </c>
      <c r="D1623" s="18" t="n">
        <f aca="false">'Black-Scholes'!$B$5*EXP(('Black-Scholes'!$B$8-'Black-Scholes'!$B$10-'Black-Scholes'!$B$9^2/2)*'Black-Scholes'!$B$7-'Black-Scholes'!$B$9*SQRT('Black-Scholes'!$B$7)*B1623)</f>
        <v>135.927275555996</v>
      </c>
      <c r="E1623" s="18" t="n">
        <f aca="false">EXP(-'Black-Scholes'!$B$8*'Black-Scholes'!$B$7)*IF(LOWER('Black-Scholes'!$B$11)="put",MAX('Black-Scholes'!$B$6-C1623,0),MAX(C1623-'Black-Scholes'!$B$6,0))</f>
        <v>0</v>
      </c>
      <c r="F1623" s="18" t="n">
        <f aca="false">(E1623+G1623)/2</f>
        <v>17.0875408255043</v>
      </c>
      <c r="G1623" s="18" t="n">
        <f aca="false">EXP(-'Black-Scholes'!$B$8*'Black-Scholes'!$B$7)*IF(LOWER('Black-Scholes'!$B$11)="put",MAX('Black-Scholes'!$B$6-D1623,0),MAX(D1623-'Black-Scholes'!$B$6,0))</f>
        <v>34.1750816510086</v>
      </c>
    </row>
    <row r="1624" customFormat="false" ht="15" hidden="false" customHeight="false" outlineLevel="0" collapsed="false">
      <c r="A1624" s="0" t="n">
        <v>1613</v>
      </c>
      <c r="B1624" s="15" t="n">
        <v>-0.651792990232816</v>
      </c>
      <c r="C1624" s="18" t="n">
        <f aca="false">'Black-Scholes'!$B$5*EXP(('Black-Scholes'!$B$8-'Black-Scholes'!$B$10-'Black-Scholes'!$B$9^2/2)*'Black-Scholes'!$B$7+'Black-Scholes'!$B$9*SQRT('Black-Scholes'!$B$7)*B1624)</f>
        <v>90.4513003276121</v>
      </c>
      <c r="D1624" s="18" t="n">
        <f aca="false">'Black-Scholes'!$B$5*EXP(('Black-Scholes'!$B$8-'Black-Scholes'!$B$10-'Black-Scholes'!$B$9^2/2)*'Black-Scholes'!$B$7-'Black-Scholes'!$B$9*SQRT('Black-Scholes'!$B$7)*B1624)</f>
        <v>117.393176515917</v>
      </c>
      <c r="E1624" s="18" t="n">
        <f aca="false">EXP(-'Black-Scholes'!$B$8*'Black-Scholes'!$B$7)*IF(LOWER('Black-Scholes'!$B$11)="put",MAX('Black-Scholes'!$B$6-C1624,0),MAX(C1624-'Black-Scholes'!$B$6,0))</f>
        <v>0</v>
      </c>
      <c r="F1624" s="18" t="n">
        <f aca="false">(E1624+G1624)/2</f>
        <v>8.2724506437376</v>
      </c>
      <c r="G1624" s="18" t="n">
        <f aca="false">EXP(-'Black-Scholes'!$B$8*'Black-Scholes'!$B$7)*IF(LOWER('Black-Scholes'!$B$11)="put",MAX('Black-Scholes'!$B$6-D1624,0),MAX(D1624-'Black-Scholes'!$B$6,0))</f>
        <v>16.5449012874752</v>
      </c>
    </row>
    <row r="1625" customFormat="false" ht="15" hidden="false" customHeight="false" outlineLevel="0" collapsed="false">
      <c r="A1625" s="0" t="n">
        <v>1614</v>
      </c>
      <c r="B1625" s="15" t="n">
        <v>-1.96687933004341</v>
      </c>
      <c r="C1625" s="18" t="n">
        <f aca="false">'Black-Scholes'!$B$5*EXP(('Black-Scholes'!$B$8-'Black-Scholes'!$B$10-'Black-Scholes'!$B$9^2/2)*'Black-Scholes'!$B$7+'Black-Scholes'!$B$9*SQRT('Black-Scholes'!$B$7)*B1625)</f>
        <v>69.5325035331064</v>
      </c>
      <c r="D1625" s="18" t="n">
        <f aca="false">'Black-Scholes'!$B$5*EXP(('Black-Scholes'!$B$8-'Black-Scholes'!$B$10-'Black-Scholes'!$B$9^2/2)*'Black-Scholes'!$B$7-'Black-Scholes'!$B$9*SQRT('Black-Scholes'!$B$7)*B1625)</f>
        <v>152.710817616367</v>
      </c>
      <c r="E1625" s="18" t="n">
        <f aca="false">EXP(-'Black-Scholes'!$B$8*'Black-Scholes'!$B$7)*IF(LOWER('Black-Scholes'!$B$11)="put",MAX('Black-Scholes'!$B$6-C1625,0),MAX(C1625-'Black-Scholes'!$B$6,0))</f>
        <v>0</v>
      </c>
      <c r="F1625" s="18" t="n">
        <f aca="false">(E1625+G1625)/2</f>
        <v>25.0700403530894</v>
      </c>
      <c r="G1625" s="18" t="n">
        <f aca="false">EXP(-'Black-Scholes'!$B$8*'Black-Scholes'!$B$7)*IF(LOWER('Black-Scholes'!$B$11)="put",MAX('Black-Scholes'!$B$6-D1625,0),MAX(D1625-'Black-Scholes'!$B$6,0))</f>
        <v>50.1400807061789</v>
      </c>
    </row>
    <row r="1626" customFormat="false" ht="15" hidden="false" customHeight="false" outlineLevel="0" collapsed="false">
      <c r="A1626" s="0" t="n">
        <v>1615</v>
      </c>
      <c r="B1626" s="15" t="n">
        <v>-1.33120526185259</v>
      </c>
      <c r="C1626" s="18" t="n">
        <f aca="false">'Black-Scholes'!$B$5*EXP(('Black-Scholes'!$B$8-'Black-Scholes'!$B$10-'Black-Scholes'!$B$9^2/2)*'Black-Scholes'!$B$7+'Black-Scholes'!$B$9*SQRT('Black-Scholes'!$B$7)*B1626)</f>
        <v>78.9590318372914</v>
      </c>
      <c r="D1626" s="18" t="n">
        <f aca="false">'Black-Scholes'!$B$5*EXP(('Black-Scholes'!$B$8-'Black-Scholes'!$B$10-'Black-Scholes'!$B$9^2/2)*'Black-Scholes'!$B$7-'Black-Scholes'!$B$9*SQRT('Black-Scholes'!$B$7)*B1626)</f>
        <v>134.479428361464</v>
      </c>
      <c r="E1626" s="18" t="n">
        <f aca="false">EXP(-'Black-Scholes'!$B$8*'Black-Scholes'!$B$7)*IF(LOWER('Black-Scholes'!$B$11)="put",MAX('Black-Scholes'!$B$6-C1626,0),MAX(C1626-'Black-Scholes'!$B$6,0))</f>
        <v>0</v>
      </c>
      <c r="F1626" s="18" t="n">
        <f aca="false">(E1626+G1626)/2</f>
        <v>16.3989233986946</v>
      </c>
      <c r="G1626" s="18" t="n">
        <f aca="false">EXP(-'Black-Scholes'!$B$8*'Black-Scholes'!$B$7)*IF(LOWER('Black-Scholes'!$B$11)="put",MAX('Black-Scholes'!$B$6-D1626,0),MAX(D1626-'Black-Scholes'!$B$6,0))</f>
        <v>32.7978467973892</v>
      </c>
    </row>
    <row r="1627" customFormat="false" ht="15" hidden="false" customHeight="false" outlineLevel="0" collapsed="false">
      <c r="A1627" s="0" t="n">
        <v>1616</v>
      </c>
      <c r="B1627" s="15" t="n">
        <v>-1.58593496755596</v>
      </c>
      <c r="C1627" s="18" t="n">
        <f aca="false">'Black-Scholes'!$B$5*EXP(('Black-Scholes'!$B$8-'Black-Scholes'!$B$10-'Black-Scholes'!$B$9^2/2)*'Black-Scholes'!$B$7+'Black-Scholes'!$B$9*SQRT('Black-Scholes'!$B$7)*B1627)</f>
        <v>75.0371401134296</v>
      </c>
      <c r="D1627" s="18" t="n">
        <f aca="false">'Black-Scholes'!$B$5*EXP(('Black-Scholes'!$B$8-'Black-Scholes'!$B$10-'Black-Scholes'!$B$9^2/2)*'Black-Scholes'!$B$7-'Black-Scholes'!$B$9*SQRT('Black-Scholes'!$B$7)*B1627)</f>
        <v>141.508131165479</v>
      </c>
      <c r="E1627" s="18" t="n">
        <f aca="false">EXP(-'Black-Scholes'!$B$8*'Black-Scholes'!$B$7)*IF(LOWER('Black-Scholes'!$B$11)="put",MAX('Black-Scholes'!$B$6-C1627,0),MAX(C1627-'Black-Scholes'!$B$6,0))</f>
        <v>0</v>
      </c>
      <c r="F1627" s="18" t="n">
        <f aca="false">(E1627+G1627)/2</f>
        <v>19.7418778603193</v>
      </c>
      <c r="G1627" s="18" t="n">
        <f aca="false">EXP(-'Black-Scholes'!$B$8*'Black-Scholes'!$B$7)*IF(LOWER('Black-Scholes'!$B$11)="put",MAX('Black-Scholes'!$B$6-D1627,0),MAX(D1627-'Black-Scholes'!$B$6,0))</f>
        <v>39.4837557206385</v>
      </c>
    </row>
    <row r="1628" customFormat="false" ht="15" hidden="false" customHeight="false" outlineLevel="0" collapsed="false">
      <c r="A1628" s="0" t="n">
        <v>1617</v>
      </c>
      <c r="B1628" s="15" t="n">
        <v>0.554898902414558</v>
      </c>
      <c r="C1628" s="18" t="n">
        <f aca="false">'Black-Scholes'!$B$5*EXP(('Black-Scholes'!$B$8-'Black-Scholes'!$B$10-'Black-Scholes'!$B$9^2/2)*'Black-Scholes'!$B$7+'Black-Scholes'!$B$9*SQRT('Black-Scholes'!$B$7)*B1628)</f>
        <v>115.140136696976</v>
      </c>
      <c r="D1628" s="18" t="n">
        <f aca="false">'Black-Scholes'!$B$5*EXP(('Black-Scholes'!$B$8-'Black-Scholes'!$B$10-'Black-Scholes'!$B$9^2/2)*'Black-Scholes'!$B$7-'Black-Scholes'!$B$9*SQRT('Black-Scholes'!$B$7)*B1628)</f>
        <v>92.2212337944222</v>
      </c>
      <c r="E1628" s="18" t="n">
        <f aca="false">EXP(-'Black-Scholes'!$B$8*'Black-Scholes'!$B$7)*IF(LOWER('Black-Scholes'!$B$11)="put",MAX('Black-Scholes'!$B$6-C1628,0),MAX(C1628-'Black-Scholes'!$B$6,0))</f>
        <v>14.401743517127</v>
      </c>
      <c r="F1628" s="18" t="n">
        <f aca="false">(E1628+G1628)/2</f>
        <v>7.20087175856352</v>
      </c>
      <c r="G1628" s="18" t="n">
        <f aca="false">EXP(-'Black-Scholes'!$B$8*'Black-Scholes'!$B$7)*IF(LOWER('Black-Scholes'!$B$11)="put",MAX('Black-Scholes'!$B$6-D1628,0),MAX(D1628-'Black-Scholes'!$B$6,0))</f>
        <v>0</v>
      </c>
    </row>
    <row r="1629" customFormat="false" ht="15" hidden="false" customHeight="false" outlineLevel="0" collapsed="false">
      <c r="A1629" s="0" t="n">
        <v>1618</v>
      </c>
      <c r="B1629" s="15" t="n">
        <v>-2.71448782256414</v>
      </c>
      <c r="C1629" s="18" t="n">
        <f aca="false">'Black-Scholes'!$B$5*EXP(('Black-Scholes'!$B$8-'Black-Scholes'!$B$10-'Black-Scholes'!$B$9^2/2)*'Black-Scholes'!$B$7+'Black-Scholes'!$B$9*SQRT('Black-Scholes'!$B$7)*B1629)</f>
        <v>59.8758122544424</v>
      </c>
      <c r="D1629" s="18" t="n">
        <f aca="false">'Black-Scholes'!$B$5*EXP(('Black-Scholes'!$B$8-'Black-Scholes'!$B$10-'Black-Scholes'!$B$9^2/2)*'Black-Scholes'!$B$7-'Black-Scholes'!$B$9*SQRT('Black-Scholes'!$B$7)*B1629)</f>
        <v>177.339814954507</v>
      </c>
      <c r="E1629" s="18" t="n">
        <f aca="false">EXP(-'Black-Scholes'!$B$8*'Black-Scholes'!$B$7)*IF(LOWER('Black-Scholes'!$B$11)="put",MAX('Black-Scholes'!$B$6-C1629,0),MAX(C1629-'Black-Scholes'!$B$6,0))</f>
        <v>0</v>
      </c>
      <c r="F1629" s="18" t="n">
        <f aca="false">(E1629+G1629)/2</f>
        <v>36.7839538350835</v>
      </c>
      <c r="G1629" s="18" t="n">
        <f aca="false">EXP(-'Black-Scholes'!$B$8*'Black-Scholes'!$B$7)*IF(LOWER('Black-Scholes'!$B$11)="put",MAX('Black-Scholes'!$B$6-D1629,0),MAX(D1629-'Black-Scholes'!$B$6,0))</f>
        <v>73.5679076701671</v>
      </c>
    </row>
    <row r="1630" customFormat="false" ht="15" hidden="false" customHeight="false" outlineLevel="0" collapsed="false">
      <c r="A1630" s="0" t="n">
        <v>1619</v>
      </c>
      <c r="B1630" s="15" t="n">
        <v>0.098899240208575</v>
      </c>
      <c r="C1630" s="18" t="n">
        <f aca="false">'Black-Scholes'!$B$5*EXP(('Black-Scholes'!$B$8-'Black-Scholes'!$B$10-'Black-Scholes'!$B$9^2/2)*'Black-Scholes'!$B$7+'Black-Scholes'!$B$9*SQRT('Black-Scholes'!$B$7)*B1630)</f>
        <v>105.103968245952</v>
      </c>
      <c r="D1630" s="18" t="n">
        <f aca="false">'Black-Scholes'!$B$5*EXP(('Black-Scholes'!$B$8-'Black-Scholes'!$B$10-'Black-Scholes'!$B$9^2/2)*'Black-Scholes'!$B$7-'Black-Scholes'!$B$9*SQRT('Black-Scholes'!$B$7)*B1630)</f>
        <v>101.027255608521</v>
      </c>
      <c r="E1630" s="18" t="n">
        <f aca="false">EXP(-'Black-Scholes'!$B$8*'Black-Scholes'!$B$7)*IF(LOWER('Black-Scholes'!$B$11)="put",MAX('Black-Scholes'!$B$6-C1630,0),MAX(C1630-'Black-Scholes'!$B$6,0))</f>
        <v>4.85504477726651</v>
      </c>
      <c r="F1630" s="18" t="n">
        <f aca="false">(E1630+G1630)/2</f>
        <v>2.91610026928737</v>
      </c>
      <c r="G1630" s="18" t="n">
        <f aca="false">EXP(-'Black-Scholes'!$B$8*'Black-Scholes'!$B$7)*IF(LOWER('Black-Scholes'!$B$11)="put",MAX('Black-Scholes'!$B$6-D1630,0),MAX(D1630-'Black-Scholes'!$B$6,0))</f>
        <v>0.97715576130824</v>
      </c>
    </row>
    <row r="1631" customFormat="false" ht="15" hidden="false" customHeight="false" outlineLevel="0" collapsed="false">
      <c r="A1631" s="0" t="n">
        <v>1620</v>
      </c>
      <c r="B1631" s="15" t="n">
        <v>-3.37183886449814</v>
      </c>
      <c r="C1631" s="18" t="n">
        <f aca="false">'Black-Scholes'!$B$5*EXP(('Black-Scholes'!$B$8-'Black-Scholes'!$B$10-'Black-Scholes'!$B$9^2/2)*'Black-Scholes'!$B$7+'Black-Scholes'!$B$9*SQRT('Black-Scholes'!$B$7)*B1631)</f>
        <v>52.4994352863086</v>
      </c>
      <c r="D1631" s="18" t="n">
        <f aca="false">'Black-Scholes'!$B$5*EXP(('Black-Scholes'!$B$8-'Black-Scholes'!$B$10-'Black-Scholes'!$B$9^2/2)*'Black-Scholes'!$B$7-'Black-Scholes'!$B$9*SQRT('Black-Scholes'!$B$7)*B1631)</f>
        <v>202.256755859292</v>
      </c>
      <c r="E1631" s="18" t="n">
        <f aca="false">EXP(-'Black-Scholes'!$B$8*'Black-Scholes'!$B$7)*IF(LOWER('Black-Scholes'!$B$11)="put",MAX('Black-Scholes'!$B$6-C1631,0),MAX(C1631-'Black-Scholes'!$B$6,0))</f>
        <v>0</v>
      </c>
      <c r="F1631" s="18" t="n">
        <f aca="false">(E1631+G1631)/2</f>
        <v>48.634817513672</v>
      </c>
      <c r="G1631" s="18" t="n">
        <f aca="false">EXP(-'Black-Scholes'!$B$8*'Black-Scholes'!$B$7)*IF(LOWER('Black-Scholes'!$B$11)="put",MAX('Black-Scholes'!$B$6-D1631,0),MAX(D1631-'Black-Scholes'!$B$6,0))</f>
        <v>97.2696350273439</v>
      </c>
    </row>
    <row r="1632" customFormat="false" ht="15" hidden="false" customHeight="false" outlineLevel="0" collapsed="false">
      <c r="A1632" s="0" t="n">
        <v>1621</v>
      </c>
      <c r="B1632" s="15" t="n">
        <v>0.108917970423329</v>
      </c>
      <c r="C1632" s="18" t="n">
        <f aca="false">'Black-Scholes'!$B$5*EXP(('Black-Scholes'!$B$8-'Black-Scholes'!$B$10-'Black-Scholes'!$B$9^2/2)*'Black-Scholes'!$B$7+'Black-Scholes'!$B$9*SQRT('Black-Scholes'!$B$7)*B1632)</f>
        <v>105.314781043543</v>
      </c>
      <c r="D1632" s="18" t="n">
        <f aca="false">'Black-Scholes'!$B$5*EXP(('Black-Scholes'!$B$8-'Black-Scholes'!$B$10-'Black-Scholes'!$B$9^2/2)*'Black-Scholes'!$B$7-'Black-Scholes'!$B$9*SQRT('Black-Scholes'!$B$7)*B1632)</f>
        <v>100.825025321596</v>
      </c>
      <c r="E1632" s="18" t="n">
        <f aca="false">EXP(-'Black-Scholes'!$B$8*'Black-Scholes'!$B$7)*IF(LOWER('Black-Scholes'!$B$11)="put",MAX('Black-Scholes'!$B$6-C1632,0),MAX(C1632-'Black-Scholes'!$B$6,0))</f>
        <v>5.05557611339671</v>
      </c>
      <c r="F1632" s="18" t="n">
        <f aca="false">(E1632+G1632)/2</f>
        <v>2.92018223762866</v>
      </c>
      <c r="G1632" s="18" t="n">
        <f aca="false">EXP(-'Black-Scholes'!$B$8*'Black-Scholes'!$B$7)*IF(LOWER('Black-Scholes'!$B$11)="put",MAX('Black-Scholes'!$B$6-D1632,0),MAX(D1632-'Black-Scholes'!$B$6,0))</f>
        <v>0.784788361860605</v>
      </c>
    </row>
    <row r="1633" customFormat="false" ht="15" hidden="false" customHeight="false" outlineLevel="0" collapsed="false">
      <c r="A1633" s="0" t="n">
        <v>1622</v>
      </c>
      <c r="B1633" s="15" t="n">
        <v>-1.79498383296522</v>
      </c>
      <c r="C1633" s="18" t="n">
        <f aca="false">'Black-Scholes'!$B$5*EXP(('Black-Scholes'!$B$8-'Black-Scholes'!$B$10-'Black-Scholes'!$B$9^2/2)*'Black-Scholes'!$B$7+'Black-Scholes'!$B$9*SQRT('Black-Scholes'!$B$7)*B1633)</f>
        <v>71.9645343649573</v>
      </c>
      <c r="D1633" s="18" t="n">
        <f aca="false">'Black-Scholes'!$B$5*EXP(('Black-Scholes'!$B$8-'Black-Scholes'!$B$10-'Black-Scholes'!$B$9^2/2)*'Black-Scholes'!$B$7-'Black-Scholes'!$B$9*SQRT('Black-Scholes'!$B$7)*B1633)</f>
        <v>147.549978043409</v>
      </c>
      <c r="E1633" s="18" t="n">
        <f aca="false">EXP(-'Black-Scholes'!$B$8*'Black-Scholes'!$B$7)*IF(LOWER('Black-Scholes'!$B$11)="put",MAX('Black-Scholes'!$B$6-C1633,0),MAX(C1633-'Black-Scholes'!$B$6,0))</f>
        <v>0</v>
      </c>
      <c r="F1633" s="18" t="n">
        <f aca="false">(E1633+G1633)/2</f>
        <v>22.6154691246267</v>
      </c>
      <c r="G1633" s="18" t="n">
        <f aca="false">EXP(-'Black-Scholes'!$B$8*'Black-Scholes'!$B$7)*IF(LOWER('Black-Scholes'!$B$11)="put",MAX('Black-Scholes'!$B$6-D1633,0),MAX(D1633-'Black-Scholes'!$B$6,0))</f>
        <v>45.2309382492534</v>
      </c>
    </row>
    <row r="1634" customFormat="false" ht="15" hidden="false" customHeight="false" outlineLevel="0" collapsed="false">
      <c r="A1634" s="0" t="n">
        <v>1623</v>
      </c>
      <c r="B1634" s="15" t="n">
        <v>1.37604806808275</v>
      </c>
      <c r="C1634" s="18" t="n">
        <f aca="false">'Black-Scholes'!$B$5*EXP(('Black-Scholes'!$B$8-'Black-Scholes'!$B$10-'Black-Scholes'!$B$9^2/2)*'Black-Scholes'!$B$7+'Black-Scholes'!$B$9*SQRT('Black-Scholes'!$B$7)*B1634)</f>
        <v>135.690939988509</v>
      </c>
      <c r="D1634" s="18" t="n">
        <f aca="false">'Black-Scholes'!$B$5*EXP(('Black-Scholes'!$B$8-'Black-Scholes'!$B$10-'Black-Scholes'!$B$9^2/2)*'Black-Scholes'!$B$7-'Black-Scholes'!$B$9*SQRT('Black-Scholes'!$B$7)*B1634)</f>
        <v>78.25404899069</v>
      </c>
      <c r="E1634" s="18" t="n">
        <f aca="false">EXP(-'Black-Scholes'!$B$8*'Black-Scholes'!$B$7)*IF(LOWER('Black-Scholes'!$B$11)="put",MAX('Black-Scholes'!$B$6-C1634,0),MAX(C1634-'Black-Scholes'!$B$6,0))</f>
        <v>33.9502723051594</v>
      </c>
      <c r="F1634" s="18" t="n">
        <f aca="false">(E1634+G1634)/2</f>
        <v>16.9751361525797</v>
      </c>
      <c r="G1634" s="18" t="n">
        <f aca="false">EXP(-'Black-Scholes'!$B$8*'Black-Scholes'!$B$7)*IF(LOWER('Black-Scholes'!$B$11)="put",MAX('Black-Scholes'!$B$6-D1634,0),MAX(D1634-'Black-Scholes'!$B$6,0))</f>
        <v>0</v>
      </c>
    </row>
    <row r="1635" customFormat="false" ht="15" hidden="false" customHeight="false" outlineLevel="0" collapsed="false">
      <c r="A1635" s="0" t="n">
        <v>1624</v>
      </c>
      <c r="B1635" s="15" t="n">
        <v>1.34200735406156</v>
      </c>
      <c r="C1635" s="18" t="n">
        <f aca="false">'Black-Scholes'!$B$5*EXP(('Black-Scholes'!$B$8-'Black-Scholes'!$B$10-'Black-Scholes'!$B$9^2/2)*'Black-Scholes'!$B$7+'Black-Scholes'!$B$9*SQRT('Black-Scholes'!$B$7)*B1635)</f>
        <v>134.770274259835</v>
      </c>
      <c r="D1635" s="18" t="n">
        <f aca="false">'Black-Scholes'!$B$5*EXP(('Black-Scholes'!$B$8-'Black-Scholes'!$B$10-'Black-Scholes'!$B$9^2/2)*'Black-Scholes'!$B$7-'Black-Scholes'!$B$9*SQRT('Black-Scholes'!$B$7)*B1635)</f>
        <v>78.7886314231398</v>
      </c>
      <c r="E1635" s="18" t="n">
        <f aca="false">EXP(-'Black-Scholes'!$B$8*'Black-Scholes'!$B$7)*IF(LOWER('Black-Scholes'!$B$11)="put",MAX('Black-Scholes'!$B$6-C1635,0),MAX(C1635-'Black-Scholes'!$B$6,0))</f>
        <v>33.0745079739147</v>
      </c>
      <c r="F1635" s="18" t="n">
        <f aca="false">(E1635+G1635)/2</f>
        <v>16.5372539869574</v>
      </c>
      <c r="G1635" s="18" t="n">
        <f aca="false">EXP(-'Black-Scholes'!$B$8*'Black-Scholes'!$B$7)*IF(LOWER('Black-Scholes'!$B$11)="put",MAX('Black-Scholes'!$B$6-D1635,0),MAX(D1635-'Black-Scholes'!$B$6,0))</f>
        <v>0</v>
      </c>
    </row>
    <row r="1636" customFormat="false" ht="15" hidden="false" customHeight="false" outlineLevel="0" collapsed="false">
      <c r="A1636" s="0" t="n">
        <v>1625</v>
      </c>
      <c r="B1636" s="15" t="n">
        <v>0.554209404052567</v>
      </c>
      <c r="C1636" s="18" t="n">
        <f aca="false">'Black-Scholes'!$B$5*EXP(('Black-Scholes'!$B$8-'Black-Scholes'!$B$10-'Black-Scholes'!$B$9^2/2)*'Black-Scholes'!$B$7+'Black-Scholes'!$B$9*SQRT('Black-Scholes'!$B$7)*B1636)</f>
        <v>115.124260004567</v>
      </c>
      <c r="D1636" s="18" t="n">
        <f aca="false">'Black-Scholes'!$B$5*EXP(('Black-Scholes'!$B$8-'Black-Scholes'!$B$10-'Black-Scholes'!$B$9^2/2)*'Black-Scholes'!$B$7-'Black-Scholes'!$B$9*SQRT('Black-Scholes'!$B$7)*B1636)</f>
        <v>92.2339519492452</v>
      </c>
      <c r="E1636" s="18" t="n">
        <f aca="false">EXP(-'Black-Scholes'!$B$8*'Black-Scholes'!$B$7)*IF(LOWER('Black-Scholes'!$B$11)="put",MAX('Black-Scholes'!$B$6-C1636,0),MAX(C1636-'Black-Scholes'!$B$6,0))</f>
        <v>14.386641140143</v>
      </c>
      <c r="F1636" s="18" t="n">
        <f aca="false">(E1636+G1636)/2</f>
        <v>7.1933205700715</v>
      </c>
      <c r="G1636" s="18" t="n">
        <f aca="false">EXP(-'Black-Scholes'!$B$8*'Black-Scholes'!$B$7)*IF(LOWER('Black-Scholes'!$B$11)="put",MAX('Black-Scholes'!$B$6-D1636,0),MAX(D1636-'Black-Scholes'!$B$6,0))</f>
        <v>0</v>
      </c>
    </row>
    <row r="1637" customFormat="false" ht="15" hidden="false" customHeight="false" outlineLevel="0" collapsed="false">
      <c r="A1637" s="0" t="n">
        <v>1626</v>
      </c>
      <c r="B1637" s="15" t="n">
        <v>0.438282642220763</v>
      </c>
      <c r="C1637" s="18" t="n">
        <f aca="false">'Black-Scholes'!$B$5*EXP(('Black-Scholes'!$B$8-'Black-Scholes'!$B$10-'Black-Scholes'!$B$9^2/2)*'Black-Scholes'!$B$7+'Black-Scholes'!$B$9*SQRT('Black-Scholes'!$B$7)*B1637)</f>
        <v>112.485768838815</v>
      </c>
      <c r="D1637" s="18" t="n">
        <f aca="false">'Black-Scholes'!$B$5*EXP(('Black-Scholes'!$B$8-'Black-Scholes'!$B$10-'Black-Scholes'!$B$9^2/2)*'Black-Scholes'!$B$7-'Black-Scholes'!$B$9*SQRT('Black-Scholes'!$B$7)*B1637)</f>
        <v>94.3974120021264</v>
      </c>
      <c r="E1637" s="18" t="n">
        <f aca="false">EXP(-'Black-Scholes'!$B$8*'Black-Scholes'!$B$7)*IF(LOWER('Black-Scholes'!$B$11)="put",MAX('Black-Scholes'!$B$6-C1637,0),MAX(C1637-'Black-Scholes'!$B$6,0))</f>
        <v>11.8768307069952</v>
      </c>
      <c r="F1637" s="18" t="n">
        <f aca="false">(E1637+G1637)/2</f>
        <v>5.9384153534976</v>
      </c>
      <c r="G1637" s="18" t="n">
        <f aca="false">EXP(-'Black-Scholes'!$B$8*'Black-Scholes'!$B$7)*IF(LOWER('Black-Scholes'!$B$11)="put",MAX('Black-Scholes'!$B$6-D1637,0),MAX(D1637-'Black-Scholes'!$B$6,0))</f>
        <v>0</v>
      </c>
    </row>
    <row r="1638" customFormat="false" ht="15" hidden="false" customHeight="false" outlineLevel="0" collapsed="false">
      <c r="A1638" s="0" t="n">
        <v>1627</v>
      </c>
      <c r="B1638" s="15" t="n">
        <v>0.399204439430207</v>
      </c>
      <c r="C1638" s="18" t="n">
        <f aca="false">'Black-Scholes'!$B$5*EXP(('Black-Scholes'!$B$8-'Black-Scholes'!$B$10-'Black-Scholes'!$B$9^2/2)*'Black-Scholes'!$B$7+'Black-Scholes'!$B$9*SQRT('Black-Scholes'!$B$7)*B1638)</f>
        <v>111.610047122478</v>
      </c>
      <c r="D1638" s="18" t="n">
        <f aca="false">'Black-Scholes'!$B$5*EXP(('Black-Scholes'!$B$8-'Black-Scholes'!$B$10-'Black-Scholes'!$B$9^2/2)*'Black-Scholes'!$B$7-'Black-Scholes'!$B$9*SQRT('Black-Scholes'!$B$7)*B1638)</f>
        <v>95.1380788666923</v>
      </c>
      <c r="E1638" s="18" t="n">
        <f aca="false">EXP(-'Black-Scholes'!$B$8*'Black-Scholes'!$B$7)*IF(LOWER('Black-Scholes'!$B$11)="put",MAX('Black-Scholes'!$B$6-C1638,0),MAX(C1638-'Black-Scholes'!$B$6,0))</f>
        <v>11.0438184427413</v>
      </c>
      <c r="F1638" s="18" t="n">
        <f aca="false">(E1638+G1638)/2</f>
        <v>5.52190922137067</v>
      </c>
      <c r="G1638" s="18" t="n">
        <f aca="false">EXP(-'Black-Scholes'!$B$8*'Black-Scholes'!$B$7)*IF(LOWER('Black-Scholes'!$B$11)="put",MAX('Black-Scholes'!$B$6-D1638,0),MAX(D1638-'Black-Scholes'!$B$6,0))</f>
        <v>0</v>
      </c>
    </row>
    <row r="1639" customFormat="false" ht="15" hidden="false" customHeight="false" outlineLevel="0" collapsed="false">
      <c r="A1639" s="0" t="n">
        <v>1628</v>
      </c>
      <c r="B1639" s="15" t="n">
        <v>-0.519275295537997</v>
      </c>
      <c r="C1639" s="18" t="n">
        <f aca="false">'Black-Scholes'!$B$5*EXP(('Black-Scholes'!$B$8-'Black-Scholes'!$B$10-'Black-Scholes'!$B$9^2/2)*'Black-Scholes'!$B$7+'Black-Scholes'!$B$9*SQRT('Black-Scholes'!$B$7)*B1639)</f>
        <v>92.8806306100515</v>
      </c>
      <c r="D1639" s="18" t="n">
        <f aca="false">'Black-Scholes'!$B$5*EXP(('Black-Scholes'!$B$8-'Black-Scholes'!$B$10-'Black-Scholes'!$B$9^2/2)*'Black-Scholes'!$B$7-'Black-Scholes'!$B$9*SQRT('Black-Scholes'!$B$7)*B1639)</f>
        <v>114.322710727854</v>
      </c>
      <c r="E1639" s="18" t="n">
        <f aca="false">EXP(-'Black-Scholes'!$B$8*'Black-Scholes'!$B$7)*IF(LOWER('Black-Scholes'!$B$11)="put",MAX('Black-Scholes'!$B$6-C1639,0),MAX(C1639-'Black-Scholes'!$B$6,0))</f>
        <v>0</v>
      </c>
      <c r="F1639" s="18" t="n">
        <f aca="false">(E1639+G1639)/2</f>
        <v>6.81209194147349</v>
      </c>
      <c r="G1639" s="18" t="n">
        <f aca="false">EXP(-'Black-Scholes'!$B$8*'Black-Scholes'!$B$7)*IF(LOWER('Black-Scholes'!$B$11)="put",MAX('Black-Scholes'!$B$6-D1639,0),MAX(D1639-'Black-Scholes'!$B$6,0))</f>
        <v>13.624183882947</v>
      </c>
    </row>
    <row r="1640" customFormat="false" ht="15" hidden="false" customHeight="false" outlineLevel="0" collapsed="false">
      <c r="A1640" s="0" t="n">
        <v>1629</v>
      </c>
      <c r="B1640" s="15" t="n">
        <v>0.222065399695442</v>
      </c>
      <c r="C1640" s="18" t="n">
        <f aca="false">'Black-Scholes'!$B$5*EXP(('Black-Scholes'!$B$8-'Black-Scholes'!$B$10-'Black-Scholes'!$B$9^2/2)*'Black-Scholes'!$B$7+'Black-Scholes'!$B$9*SQRT('Black-Scholes'!$B$7)*B1640)</f>
        <v>107.725170466898</v>
      </c>
      <c r="D1640" s="18" t="n">
        <f aca="false">'Black-Scholes'!$B$5*EXP(('Black-Scholes'!$B$8-'Black-Scholes'!$B$10-'Black-Scholes'!$B$9^2/2)*'Black-Scholes'!$B$7-'Black-Scholes'!$B$9*SQRT('Black-Scholes'!$B$7)*B1640)</f>
        <v>98.5690291269155</v>
      </c>
      <c r="E1640" s="18" t="n">
        <f aca="false">EXP(-'Black-Scholes'!$B$8*'Black-Scholes'!$B$7)*IF(LOWER('Black-Scholes'!$B$11)="put",MAX('Black-Scholes'!$B$6-C1640,0),MAX(C1640-'Black-Scholes'!$B$6,0))</f>
        <v>7.34840945739726</v>
      </c>
      <c r="F1640" s="18" t="n">
        <f aca="false">(E1640+G1640)/2</f>
        <v>3.67420472869863</v>
      </c>
      <c r="G1640" s="18" t="n">
        <f aca="false">EXP(-'Black-Scholes'!$B$8*'Black-Scholes'!$B$7)*IF(LOWER('Black-Scholes'!$B$11)="put",MAX('Black-Scholes'!$B$6-D1640,0),MAX(D1640-'Black-Scholes'!$B$6,0))</f>
        <v>0</v>
      </c>
    </row>
    <row r="1641" customFormat="false" ht="15" hidden="false" customHeight="false" outlineLevel="0" collapsed="false">
      <c r="A1641" s="0" t="n">
        <v>1630</v>
      </c>
      <c r="B1641" s="15" t="n">
        <v>-0.0704794241466277</v>
      </c>
      <c r="C1641" s="18" t="n">
        <f aca="false">'Black-Scholes'!$B$5*EXP(('Black-Scholes'!$B$8-'Black-Scholes'!$B$10-'Black-Scholes'!$B$9^2/2)*'Black-Scholes'!$B$7+'Black-Scholes'!$B$9*SQRT('Black-Scholes'!$B$7)*B1641)</f>
        <v>101.603125875147</v>
      </c>
      <c r="D1641" s="18" t="n">
        <f aca="false">'Black-Scholes'!$B$5*EXP(('Black-Scholes'!$B$8-'Black-Scholes'!$B$10-'Black-Scholes'!$B$9^2/2)*'Black-Scholes'!$B$7-'Black-Scholes'!$B$9*SQRT('Black-Scholes'!$B$7)*B1641)</f>
        <v>104.508255764708</v>
      </c>
      <c r="E1641" s="18" t="n">
        <f aca="false">EXP(-'Black-Scholes'!$B$8*'Black-Scholes'!$B$7)*IF(LOWER('Black-Scholes'!$B$11)="put",MAX('Black-Scholes'!$B$6-C1641,0),MAX(C1641-'Black-Scholes'!$B$6,0))</f>
        <v>1.52494050361785</v>
      </c>
      <c r="F1641" s="18" t="n">
        <f aca="false">(E1641+G1641)/2</f>
        <v>2.90666302009134</v>
      </c>
      <c r="G1641" s="18" t="n">
        <f aca="false">EXP(-'Black-Scholes'!$B$8*'Black-Scholes'!$B$7)*IF(LOWER('Black-Scholes'!$B$11)="put",MAX('Black-Scholes'!$B$6-D1641,0),MAX(D1641-'Black-Scholes'!$B$6,0))</f>
        <v>4.28838553656484</v>
      </c>
    </row>
    <row r="1642" customFormat="false" ht="15" hidden="false" customHeight="false" outlineLevel="0" collapsed="false">
      <c r="A1642" s="0" t="n">
        <v>1631</v>
      </c>
      <c r="B1642" s="15" t="n">
        <v>-1.0712309997431</v>
      </c>
      <c r="C1642" s="18" t="n">
        <f aca="false">'Black-Scholes'!$B$5*EXP(('Black-Scholes'!$B$8-'Black-Scholes'!$B$10-'Black-Scholes'!$B$9^2/2)*'Black-Scholes'!$B$7+'Black-Scholes'!$B$9*SQRT('Black-Scholes'!$B$7)*B1642)</f>
        <v>83.1731006486097</v>
      </c>
      <c r="D1642" s="18" t="n">
        <f aca="false">'Black-Scholes'!$B$5*EXP(('Black-Scholes'!$B$8-'Black-Scholes'!$B$10-'Black-Scholes'!$B$9^2/2)*'Black-Scholes'!$B$7-'Black-Scholes'!$B$9*SQRT('Black-Scholes'!$B$7)*B1642)</f>
        <v>127.665860508365</v>
      </c>
      <c r="E1642" s="18" t="n">
        <f aca="false">EXP(-'Black-Scholes'!$B$8*'Black-Scholes'!$B$7)*IF(LOWER('Black-Scholes'!$B$11)="put",MAX('Black-Scholes'!$B$6-C1642,0),MAX(C1642-'Black-Scholes'!$B$6,0))</f>
        <v>0</v>
      </c>
      <c r="F1642" s="18" t="n">
        <f aca="false">(E1642+G1642)/2</f>
        <v>13.1582902848445</v>
      </c>
      <c r="G1642" s="18" t="n">
        <f aca="false">EXP(-'Black-Scholes'!$B$8*'Black-Scholes'!$B$7)*IF(LOWER('Black-Scholes'!$B$11)="put",MAX('Black-Scholes'!$B$6-D1642,0),MAX(D1642-'Black-Scholes'!$B$6,0))</f>
        <v>26.3165805696889</v>
      </c>
    </row>
    <row r="1643" customFormat="false" ht="15" hidden="false" customHeight="false" outlineLevel="0" collapsed="false">
      <c r="A1643" s="0" t="n">
        <v>1632</v>
      </c>
      <c r="B1643" s="15" t="n">
        <v>-0.888976357761058</v>
      </c>
      <c r="C1643" s="18" t="n">
        <f aca="false">'Black-Scholes'!$B$5*EXP(('Black-Scholes'!$B$8-'Black-Scholes'!$B$10-'Black-Scholes'!$B$9^2/2)*'Black-Scholes'!$B$7+'Black-Scholes'!$B$9*SQRT('Black-Scholes'!$B$7)*B1643)</f>
        <v>86.2607697200621</v>
      </c>
      <c r="D1643" s="18" t="n">
        <f aca="false">'Black-Scholes'!$B$5*EXP(('Black-Scholes'!$B$8-'Black-Scholes'!$B$10-'Black-Scholes'!$B$9^2/2)*'Black-Scholes'!$B$7-'Black-Scholes'!$B$9*SQRT('Black-Scholes'!$B$7)*B1643)</f>
        <v>123.096113098838</v>
      </c>
      <c r="E1643" s="18" t="n">
        <f aca="false">EXP(-'Black-Scholes'!$B$8*'Black-Scholes'!$B$7)*IF(LOWER('Black-Scholes'!$B$11)="put",MAX('Black-Scholes'!$B$6-C1643,0),MAX(C1643-'Black-Scholes'!$B$6,0))</f>
        <v>0</v>
      </c>
      <c r="F1643" s="18" t="n">
        <f aca="false">(E1643+G1643)/2</f>
        <v>10.9848511856056</v>
      </c>
      <c r="G1643" s="18" t="n">
        <f aca="false">EXP(-'Black-Scholes'!$B$8*'Black-Scholes'!$B$7)*IF(LOWER('Black-Scholes'!$B$11)="put",MAX('Black-Scholes'!$B$6-D1643,0),MAX(D1643-'Black-Scholes'!$B$6,0))</f>
        <v>21.9697023712112</v>
      </c>
    </row>
    <row r="1644" customFormat="false" ht="15" hidden="false" customHeight="false" outlineLevel="0" collapsed="false">
      <c r="A1644" s="0" t="n">
        <v>1633</v>
      </c>
      <c r="B1644" s="15" t="n">
        <v>-0.489573943580257</v>
      </c>
      <c r="C1644" s="18" t="n">
        <f aca="false">'Black-Scholes'!$B$5*EXP(('Black-Scholes'!$B$8-'Black-Scholes'!$B$10-'Black-Scholes'!$B$9^2/2)*'Black-Scholes'!$B$7+'Black-Scholes'!$B$9*SQRT('Black-Scholes'!$B$7)*B1644)</f>
        <v>93.4340086503621</v>
      </c>
      <c r="D1644" s="18" t="n">
        <f aca="false">'Black-Scholes'!$B$5*EXP(('Black-Scholes'!$B$8-'Black-Scholes'!$B$10-'Black-Scholes'!$B$9^2/2)*'Black-Scholes'!$B$7-'Black-Scholes'!$B$9*SQRT('Black-Scholes'!$B$7)*B1644)</f>
        <v>113.645615968254</v>
      </c>
      <c r="E1644" s="18" t="n">
        <f aca="false">EXP(-'Black-Scholes'!$B$8*'Black-Scholes'!$B$7)*IF(LOWER('Black-Scholes'!$B$11)="put",MAX('Black-Scholes'!$B$6-C1644,0),MAX(C1644-'Black-Scholes'!$B$6,0))</f>
        <v>0</v>
      </c>
      <c r="F1644" s="18" t="n">
        <f aca="false">(E1644+G1644)/2</f>
        <v>6.49005571222011</v>
      </c>
      <c r="G1644" s="18" t="n">
        <f aca="false">EXP(-'Black-Scholes'!$B$8*'Black-Scholes'!$B$7)*IF(LOWER('Black-Scholes'!$B$11)="put",MAX('Black-Scholes'!$B$6-D1644,0),MAX(D1644-'Black-Scholes'!$B$6,0))</f>
        <v>12.9801114244402</v>
      </c>
    </row>
    <row r="1645" customFormat="false" ht="15" hidden="false" customHeight="false" outlineLevel="0" collapsed="false">
      <c r="A1645" s="0" t="n">
        <v>1634</v>
      </c>
      <c r="B1645" s="15" t="n">
        <v>0.58735315796502</v>
      </c>
      <c r="C1645" s="18" t="n">
        <f aca="false">'Black-Scholes'!$B$5*EXP(('Black-Scholes'!$B$8-'Black-Scholes'!$B$10-'Black-Scholes'!$B$9^2/2)*'Black-Scholes'!$B$7+'Black-Scholes'!$B$9*SQRT('Black-Scholes'!$B$7)*B1645)</f>
        <v>115.889924930515</v>
      </c>
      <c r="D1645" s="18" t="n">
        <f aca="false">'Black-Scholes'!$B$5*EXP(('Black-Scholes'!$B$8-'Black-Scholes'!$B$10-'Black-Scholes'!$B$9^2/2)*'Black-Scholes'!$B$7-'Black-Scholes'!$B$9*SQRT('Black-Scholes'!$B$7)*B1645)</f>
        <v>91.6245779934722</v>
      </c>
      <c r="E1645" s="18" t="n">
        <f aca="false">EXP(-'Black-Scholes'!$B$8*'Black-Scholes'!$B$7)*IF(LOWER('Black-Scholes'!$B$11)="put",MAX('Black-Scholes'!$B$6-C1645,0),MAX(C1645-'Black-Scholes'!$B$6,0))</f>
        <v>15.1149641470131</v>
      </c>
      <c r="F1645" s="18" t="n">
        <f aca="false">(E1645+G1645)/2</f>
        <v>7.55748207350657</v>
      </c>
      <c r="G1645" s="18" t="n">
        <f aca="false">EXP(-'Black-Scholes'!$B$8*'Black-Scholes'!$B$7)*IF(LOWER('Black-Scholes'!$B$11)="put",MAX('Black-Scholes'!$B$6-D1645,0),MAX(D1645-'Black-Scholes'!$B$6,0))</f>
        <v>0</v>
      </c>
    </row>
    <row r="1646" customFormat="false" ht="15" hidden="false" customHeight="false" outlineLevel="0" collapsed="false">
      <c r="A1646" s="0" t="n">
        <v>1635</v>
      </c>
      <c r="B1646" s="15" t="n">
        <v>0.540023966624169</v>
      </c>
      <c r="C1646" s="18" t="n">
        <f aca="false">'Black-Scholes'!$B$5*EXP(('Black-Scholes'!$B$8-'Black-Scholes'!$B$10-'Black-Scholes'!$B$9^2/2)*'Black-Scholes'!$B$7+'Black-Scholes'!$B$9*SQRT('Black-Scholes'!$B$7)*B1646)</f>
        <v>114.798105290708</v>
      </c>
      <c r="D1646" s="18" t="n">
        <f aca="false">'Black-Scholes'!$B$5*EXP(('Black-Scholes'!$B$8-'Black-Scholes'!$B$10-'Black-Scholes'!$B$9^2/2)*'Black-Scholes'!$B$7-'Black-Scholes'!$B$9*SQRT('Black-Scholes'!$B$7)*B1646)</f>
        <v>92.4959992899209</v>
      </c>
      <c r="E1646" s="18" t="n">
        <f aca="false">EXP(-'Black-Scholes'!$B$8*'Black-Scholes'!$B$7)*IF(LOWER('Black-Scholes'!$B$11)="put",MAX('Black-Scholes'!$B$6-C1646,0),MAX(C1646-'Black-Scholes'!$B$6,0))</f>
        <v>14.0763931793812</v>
      </c>
      <c r="F1646" s="18" t="n">
        <f aca="false">(E1646+G1646)/2</f>
        <v>7.03819658969059</v>
      </c>
      <c r="G1646" s="18" t="n">
        <f aca="false">EXP(-'Black-Scholes'!$B$8*'Black-Scholes'!$B$7)*IF(LOWER('Black-Scholes'!$B$11)="put",MAX('Black-Scholes'!$B$6-D1646,0),MAX(D1646-'Black-Scholes'!$B$6,0))</f>
        <v>0</v>
      </c>
    </row>
    <row r="1647" customFormat="false" ht="15" hidden="false" customHeight="false" outlineLevel="0" collapsed="false">
      <c r="A1647" s="0" t="n">
        <v>1636</v>
      </c>
      <c r="B1647" s="15" t="n">
        <v>-0.0652411539361857</v>
      </c>
      <c r="C1647" s="18" t="n">
        <f aca="false">'Black-Scholes'!$B$5*EXP(('Black-Scholes'!$B$8-'Black-Scholes'!$B$10-'Black-Scholes'!$B$9^2/2)*'Black-Scholes'!$B$7+'Black-Scholes'!$B$9*SQRT('Black-Scholes'!$B$7)*B1647)</f>
        <v>101.709626578864</v>
      </c>
      <c r="D1647" s="18" t="n">
        <f aca="false">'Black-Scholes'!$B$5*EXP(('Black-Scholes'!$B$8-'Black-Scholes'!$B$10-'Black-Scholes'!$B$9^2/2)*'Black-Scholes'!$B$7-'Black-Scholes'!$B$9*SQRT('Black-Scholes'!$B$7)*B1647)</f>
        <v>104.398824601134</v>
      </c>
      <c r="E1647" s="18" t="n">
        <f aca="false">EXP(-'Black-Scholes'!$B$8*'Black-Scholes'!$B$7)*IF(LOWER('Black-Scholes'!$B$11)="put",MAX('Black-Scholes'!$B$6-C1647,0),MAX(C1647-'Black-Scholes'!$B$6,0))</f>
        <v>1.62624710672369</v>
      </c>
      <c r="F1647" s="18" t="n">
        <f aca="false">(E1647+G1647)/2</f>
        <v>2.9052692502698</v>
      </c>
      <c r="G1647" s="18" t="n">
        <f aca="false">EXP(-'Black-Scholes'!$B$8*'Black-Scholes'!$B$7)*IF(LOWER('Black-Scholes'!$B$11)="put",MAX('Black-Scholes'!$B$6-D1647,0),MAX(D1647-'Black-Scholes'!$B$6,0))</f>
        <v>4.18429139381591</v>
      </c>
    </row>
    <row r="1648" customFormat="false" ht="15" hidden="false" customHeight="false" outlineLevel="0" collapsed="false">
      <c r="A1648" s="0" t="n">
        <v>1637</v>
      </c>
      <c r="B1648" s="15" t="n">
        <v>-0.809088386514409</v>
      </c>
      <c r="C1648" s="18" t="n">
        <f aca="false">'Black-Scholes'!$B$5*EXP(('Black-Scholes'!$B$8-'Black-Scholes'!$B$10-'Black-Scholes'!$B$9^2/2)*'Black-Scholes'!$B$7+'Black-Scholes'!$B$9*SQRT('Black-Scholes'!$B$7)*B1648)</f>
        <v>87.650078649955</v>
      </c>
      <c r="D1648" s="18" t="n">
        <f aca="false">'Black-Scholes'!$B$5*EXP(('Black-Scholes'!$B$8-'Black-Scholes'!$B$10-'Black-Scholes'!$B$9^2/2)*'Black-Scholes'!$B$7-'Black-Scholes'!$B$9*SQRT('Black-Scholes'!$B$7)*B1648)</f>
        <v>121.144962206592</v>
      </c>
      <c r="E1648" s="18" t="n">
        <f aca="false">EXP(-'Black-Scholes'!$B$8*'Black-Scholes'!$B$7)*IF(LOWER('Black-Scholes'!$B$11)="put",MAX('Black-Scholes'!$B$6-C1648,0),MAX(C1648-'Black-Scholes'!$B$6,0))</f>
        <v>0</v>
      </c>
      <c r="F1648" s="18" t="n">
        <f aca="false">(E1648+G1648)/2</f>
        <v>10.0568551154328</v>
      </c>
      <c r="G1648" s="18" t="n">
        <f aca="false">EXP(-'Black-Scholes'!$B$8*'Black-Scholes'!$B$7)*IF(LOWER('Black-Scholes'!$B$11)="put",MAX('Black-Scholes'!$B$6-D1648,0),MAX(D1648-'Black-Scholes'!$B$6,0))</f>
        <v>20.1137102308656</v>
      </c>
    </row>
    <row r="1649" customFormat="false" ht="15" hidden="false" customHeight="false" outlineLevel="0" collapsed="false">
      <c r="A1649" s="0" t="n">
        <v>1638</v>
      </c>
      <c r="B1649" s="15" t="n">
        <v>1.50643149298468</v>
      </c>
      <c r="C1649" s="18" t="n">
        <f aca="false">'Black-Scholes'!$B$5*EXP(('Black-Scholes'!$B$8-'Black-Scholes'!$B$10-'Black-Scholes'!$B$9^2/2)*'Black-Scholes'!$B$7+'Black-Scholes'!$B$9*SQRT('Black-Scholes'!$B$7)*B1649)</f>
        <v>139.275848003231</v>
      </c>
      <c r="D1649" s="18" t="n">
        <f aca="false">'Black-Scholes'!$B$5*EXP(('Black-Scholes'!$B$8-'Black-Scholes'!$B$10-'Black-Scholes'!$B$9^2/2)*'Black-Scholes'!$B$7-'Black-Scholes'!$B$9*SQRT('Black-Scholes'!$B$7)*B1649)</f>
        <v>76.2398191623813</v>
      </c>
      <c r="E1649" s="18" t="n">
        <f aca="false">EXP(-'Black-Scholes'!$B$8*'Black-Scholes'!$B$7)*IF(LOWER('Black-Scholes'!$B$11)="put",MAX('Black-Scholes'!$B$6-C1649,0),MAX(C1649-'Black-Scholes'!$B$6,0))</f>
        <v>37.3603422928905</v>
      </c>
      <c r="F1649" s="18" t="n">
        <f aca="false">(E1649+G1649)/2</f>
        <v>18.6801711464453</v>
      </c>
      <c r="G1649" s="18" t="n">
        <f aca="false">EXP(-'Black-Scholes'!$B$8*'Black-Scholes'!$B$7)*IF(LOWER('Black-Scholes'!$B$11)="put",MAX('Black-Scholes'!$B$6-D1649,0),MAX(D1649-'Black-Scholes'!$B$6,0))</f>
        <v>0</v>
      </c>
    </row>
    <row r="1650" customFormat="false" ht="15" hidden="false" customHeight="false" outlineLevel="0" collapsed="false">
      <c r="A1650" s="0" t="n">
        <v>1639</v>
      </c>
      <c r="B1650" s="15" t="n">
        <v>-2.75192318066584</v>
      </c>
      <c r="C1650" s="18" t="n">
        <f aca="false">'Black-Scholes'!$B$5*EXP(('Black-Scholes'!$B$8-'Black-Scholes'!$B$10-'Black-Scholes'!$B$9^2/2)*'Black-Scholes'!$B$7+'Black-Scholes'!$B$9*SQRT('Black-Scholes'!$B$7)*B1650)</f>
        <v>59.4291917858054</v>
      </c>
      <c r="D1650" s="18" t="n">
        <f aca="false">'Black-Scholes'!$B$5*EXP(('Black-Scholes'!$B$8-'Black-Scholes'!$B$10-'Black-Scholes'!$B$9^2/2)*'Black-Scholes'!$B$7-'Black-Scholes'!$B$9*SQRT('Black-Scholes'!$B$7)*B1650)</f>
        <v>178.672553780039</v>
      </c>
      <c r="E1650" s="18" t="n">
        <f aca="false">EXP(-'Black-Scholes'!$B$8*'Black-Scholes'!$B$7)*IF(LOWER('Black-Scholes'!$B$11)="put",MAX('Black-Scholes'!$B$6-C1650,0),MAX(C1650-'Black-Scholes'!$B$6,0))</f>
        <v>0</v>
      </c>
      <c r="F1650" s="18" t="n">
        <f aca="false">(E1650+G1650)/2</f>
        <v>37.4178240280942</v>
      </c>
      <c r="G1650" s="18" t="n">
        <f aca="false">EXP(-'Black-Scholes'!$B$8*'Black-Scholes'!$B$7)*IF(LOWER('Black-Scholes'!$B$11)="put",MAX('Black-Scholes'!$B$6-D1650,0),MAX(D1650-'Black-Scholes'!$B$6,0))</f>
        <v>74.8356480561883</v>
      </c>
    </row>
    <row r="1651" customFormat="false" ht="15" hidden="false" customHeight="false" outlineLevel="0" collapsed="false">
      <c r="A1651" s="0" t="n">
        <v>1640</v>
      </c>
      <c r="B1651" s="15" t="n">
        <v>1.18976437895361</v>
      </c>
      <c r="C1651" s="18" t="n">
        <f aca="false">'Black-Scholes'!$B$5*EXP(('Black-Scholes'!$B$8-'Black-Scholes'!$B$10-'Black-Scholes'!$B$9^2/2)*'Black-Scholes'!$B$7+'Black-Scholes'!$B$9*SQRT('Black-Scholes'!$B$7)*B1651)</f>
        <v>130.72855337663</v>
      </c>
      <c r="D1651" s="18" t="n">
        <f aca="false">'Black-Scholes'!$B$5*EXP(('Black-Scholes'!$B$8-'Black-Scholes'!$B$10-'Black-Scholes'!$B$9^2/2)*'Black-Scholes'!$B$7-'Black-Scholes'!$B$9*SQRT('Black-Scholes'!$B$7)*B1651)</f>
        <v>81.2245312228159</v>
      </c>
      <c r="E1651" s="18" t="n">
        <f aca="false">EXP(-'Black-Scholes'!$B$8*'Black-Scholes'!$B$7)*IF(LOWER('Black-Scholes'!$B$11)="put",MAX('Black-Scholes'!$B$6-C1651,0),MAX(C1651-'Black-Scholes'!$B$6,0))</f>
        <v>29.2299041441908</v>
      </c>
      <c r="F1651" s="18" t="n">
        <f aca="false">(E1651+G1651)/2</f>
        <v>14.6149520720954</v>
      </c>
      <c r="G1651" s="18" t="n">
        <f aca="false">EXP(-'Black-Scholes'!$B$8*'Black-Scholes'!$B$7)*IF(LOWER('Black-Scholes'!$B$11)="put",MAX('Black-Scholes'!$B$6-D1651,0),MAX(D1651-'Black-Scholes'!$B$6,0))</f>
        <v>0</v>
      </c>
    </row>
    <row r="1652" customFormat="false" ht="15" hidden="false" customHeight="false" outlineLevel="0" collapsed="false">
      <c r="A1652" s="0" t="n">
        <v>1641</v>
      </c>
      <c r="B1652" s="15" t="n">
        <v>-0.533210000178676</v>
      </c>
      <c r="C1652" s="18" t="n">
        <f aca="false">'Black-Scholes'!$B$5*EXP(('Black-Scholes'!$B$8-'Black-Scholes'!$B$10-'Black-Scholes'!$B$9^2/2)*'Black-Scholes'!$B$7+'Black-Scholes'!$B$9*SQRT('Black-Scholes'!$B$7)*B1652)</f>
        <v>92.6221381480943</v>
      </c>
      <c r="D1652" s="18" t="n">
        <f aca="false">'Black-Scholes'!$B$5*EXP(('Black-Scholes'!$B$8-'Black-Scholes'!$B$10-'Black-Scholes'!$B$9^2/2)*'Black-Scholes'!$B$7-'Black-Scholes'!$B$9*SQRT('Black-Scholes'!$B$7)*B1652)</f>
        <v>114.641765756647</v>
      </c>
      <c r="E1652" s="18" t="n">
        <f aca="false">EXP(-'Black-Scholes'!$B$8*'Black-Scholes'!$B$7)*IF(LOWER('Black-Scholes'!$B$11)="put",MAX('Black-Scholes'!$B$6-C1652,0),MAX(C1652-'Black-Scholes'!$B$6,0))</f>
        <v>0</v>
      </c>
      <c r="F1652" s="18" t="n">
        <f aca="false">(E1652+G1652)/2</f>
        <v>6.96383920718467</v>
      </c>
      <c r="G1652" s="18" t="n">
        <f aca="false">EXP(-'Black-Scholes'!$B$8*'Black-Scholes'!$B$7)*IF(LOWER('Black-Scholes'!$B$11)="put",MAX('Black-Scholes'!$B$6-D1652,0),MAX(D1652-'Black-Scholes'!$B$6,0))</f>
        <v>13.9276784143693</v>
      </c>
    </row>
    <row r="1653" customFormat="false" ht="15" hidden="false" customHeight="false" outlineLevel="0" collapsed="false">
      <c r="A1653" s="0" t="n">
        <v>1642</v>
      </c>
      <c r="B1653" s="15" t="n">
        <v>0.751895701624493</v>
      </c>
      <c r="C1653" s="18" t="n">
        <f aca="false">'Black-Scholes'!$B$5*EXP(('Black-Scholes'!$B$8-'Black-Scholes'!$B$10-'Black-Scholes'!$B$9^2/2)*'Black-Scholes'!$B$7+'Black-Scholes'!$B$9*SQRT('Black-Scholes'!$B$7)*B1653)</f>
        <v>119.767136256115</v>
      </c>
      <c r="D1653" s="18" t="n">
        <f aca="false">'Black-Scholes'!$B$5*EXP(('Black-Scholes'!$B$8-'Black-Scholes'!$B$10-'Black-Scholes'!$B$9^2/2)*'Black-Scholes'!$B$7-'Black-Scholes'!$B$9*SQRT('Black-Scholes'!$B$7)*B1653)</f>
        <v>88.6584233152813</v>
      </c>
      <c r="E1653" s="18" t="n">
        <f aca="false">EXP(-'Black-Scholes'!$B$8*'Black-Scholes'!$B$7)*IF(LOWER('Black-Scholes'!$B$11)="put",MAX('Black-Scholes'!$B$6-C1653,0),MAX(C1653-'Black-Scholes'!$B$6,0))</f>
        <v>18.8030816449312</v>
      </c>
      <c r="F1653" s="18" t="n">
        <f aca="false">(E1653+G1653)/2</f>
        <v>9.40154082246562</v>
      </c>
      <c r="G1653" s="18" t="n">
        <f aca="false">EXP(-'Black-Scholes'!$B$8*'Black-Scholes'!$B$7)*IF(LOWER('Black-Scholes'!$B$11)="put",MAX('Black-Scholes'!$B$6-D1653,0),MAX(D1653-'Black-Scholes'!$B$6,0))</f>
        <v>0</v>
      </c>
    </row>
    <row r="1654" customFormat="false" ht="15" hidden="false" customHeight="false" outlineLevel="0" collapsed="false">
      <c r="A1654" s="0" t="n">
        <v>1643</v>
      </c>
      <c r="B1654" s="15" t="n">
        <v>0.409921741395159</v>
      </c>
      <c r="C1654" s="18" t="n">
        <f aca="false">'Black-Scholes'!$B$5*EXP(('Black-Scholes'!$B$8-'Black-Scholes'!$B$10-'Black-Scholes'!$B$9^2/2)*'Black-Scholes'!$B$7+'Black-Scholes'!$B$9*SQRT('Black-Scholes'!$B$7)*B1654)</f>
        <v>111.849535413085</v>
      </c>
      <c r="D1654" s="18" t="n">
        <f aca="false">'Black-Scholes'!$B$5*EXP(('Black-Scholes'!$B$8-'Black-Scholes'!$B$10-'Black-Scholes'!$B$9^2/2)*'Black-Scholes'!$B$7-'Black-Scholes'!$B$9*SQRT('Black-Scholes'!$B$7)*B1654)</f>
        <v>94.9343725589703</v>
      </c>
      <c r="E1654" s="18" t="n">
        <f aca="false">EXP(-'Black-Scholes'!$B$8*'Black-Scholes'!$B$7)*IF(LOWER('Black-Scholes'!$B$11)="put",MAX('Black-Scholes'!$B$6-C1654,0),MAX(C1654-'Black-Scholes'!$B$6,0))</f>
        <v>11.2716267515901</v>
      </c>
      <c r="F1654" s="18" t="n">
        <f aca="false">(E1654+G1654)/2</f>
        <v>5.63581337579507</v>
      </c>
      <c r="G1654" s="18" t="n">
        <f aca="false">EXP(-'Black-Scholes'!$B$8*'Black-Scholes'!$B$7)*IF(LOWER('Black-Scholes'!$B$11)="put",MAX('Black-Scholes'!$B$6-D1654,0),MAX(D1654-'Black-Scholes'!$B$6,0))</f>
        <v>0</v>
      </c>
    </row>
    <row r="1655" customFormat="false" ht="15" hidden="false" customHeight="false" outlineLevel="0" collapsed="false">
      <c r="A1655" s="0" t="n">
        <v>1644</v>
      </c>
      <c r="B1655" s="15" t="n">
        <v>-0.802503951732801</v>
      </c>
      <c r="C1655" s="18" t="n">
        <f aca="false">'Black-Scholes'!$B$5*EXP(('Black-Scholes'!$B$8-'Black-Scholes'!$B$10-'Black-Scholes'!$B$9^2/2)*'Black-Scholes'!$B$7+'Black-Scholes'!$B$9*SQRT('Black-Scholes'!$B$7)*B1655)</f>
        <v>87.7655799296222</v>
      </c>
      <c r="D1655" s="18" t="n">
        <f aca="false">'Black-Scholes'!$B$5*EXP(('Black-Scholes'!$B$8-'Black-Scholes'!$B$10-'Black-Scholes'!$B$9^2/2)*'Black-Scholes'!$B$7-'Black-Scholes'!$B$9*SQRT('Black-Scholes'!$B$7)*B1655)</f>
        <v>120.98553298421</v>
      </c>
      <c r="E1655" s="18" t="n">
        <f aca="false">EXP(-'Black-Scholes'!$B$8*'Black-Scholes'!$B$7)*IF(LOWER('Black-Scholes'!$B$11)="put",MAX('Black-Scholes'!$B$6-C1655,0),MAX(C1655-'Black-Scholes'!$B$6,0))</f>
        <v>0</v>
      </c>
      <c r="F1655" s="18" t="n">
        <f aca="false">(E1655+G1655)/2</f>
        <v>9.98102823170524</v>
      </c>
      <c r="G1655" s="18" t="n">
        <f aca="false">EXP(-'Black-Scholes'!$B$8*'Black-Scholes'!$B$7)*IF(LOWER('Black-Scholes'!$B$11)="put",MAX('Black-Scholes'!$B$6-D1655,0),MAX(D1655-'Black-Scholes'!$B$6,0))</f>
        <v>19.9620564634105</v>
      </c>
    </row>
    <row r="1656" customFormat="false" ht="15" hidden="false" customHeight="false" outlineLevel="0" collapsed="false">
      <c r="A1656" s="0" t="n">
        <v>1645</v>
      </c>
      <c r="B1656" s="15" t="n">
        <v>-0.928818198066723</v>
      </c>
      <c r="C1656" s="18" t="n">
        <f aca="false">'Black-Scholes'!$B$5*EXP(('Black-Scholes'!$B$8-'Black-Scholes'!$B$10-'Black-Scholes'!$B$9^2/2)*'Black-Scholes'!$B$7+'Black-Scholes'!$B$9*SQRT('Black-Scholes'!$B$7)*B1656)</f>
        <v>85.5761434572379</v>
      </c>
      <c r="D1656" s="18" t="n">
        <f aca="false">'Black-Scholes'!$B$5*EXP(('Black-Scholes'!$B$8-'Black-Scholes'!$B$10-'Black-Scholes'!$B$9^2/2)*'Black-Scholes'!$B$7-'Black-Scholes'!$B$9*SQRT('Black-Scholes'!$B$7)*B1656)</f>
        <v>124.080906622762</v>
      </c>
      <c r="E1656" s="18" t="n">
        <f aca="false">EXP(-'Black-Scholes'!$B$8*'Black-Scholes'!$B$7)*IF(LOWER('Black-Scholes'!$B$11)="put",MAX('Black-Scholes'!$B$6-C1656,0),MAX(C1656-'Black-Scholes'!$B$6,0))</f>
        <v>0</v>
      </c>
      <c r="F1656" s="18" t="n">
        <f aca="false">(E1656+G1656)/2</f>
        <v>11.4532334741126</v>
      </c>
      <c r="G1656" s="18" t="n">
        <f aca="false">EXP(-'Black-Scholes'!$B$8*'Black-Scholes'!$B$7)*IF(LOWER('Black-Scholes'!$B$11)="put",MAX('Black-Scholes'!$B$6-D1656,0),MAX(D1656-'Black-Scholes'!$B$6,0))</f>
        <v>22.9064669482251</v>
      </c>
    </row>
    <row r="1657" customFormat="false" ht="15" hidden="false" customHeight="false" outlineLevel="0" collapsed="false">
      <c r="A1657" s="0" t="n">
        <v>1646</v>
      </c>
      <c r="B1657" s="15" t="n">
        <v>1.38051242031498</v>
      </c>
      <c r="C1657" s="18" t="n">
        <f aca="false">'Black-Scholes'!$B$5*EXP(('Black-Scholes'!$B$8-'Black-Scholes'!$B$10-'Black-Scholes'!$B$9^2/2)*'Black-Scholes'!$B$7+'Black-Scholes'!$B$9*SQRT('Black-Scholes'!$B$7)*B1657)</f>
        <v>135.812148522382</v>
      </c>
      <c r="D1657" s="18" t="n">
        <f aca="false">'Black-Scholes'!$B$5*EXP(('Black-Scholes'!$B$8-'Black-Scholes'!$B$10-'Black-Scholes'!$B$9^2/2)*'Black-Scholes'!$B$7-'Black-Scholes'!$B$9*SQRT('Black-Scholes'!$B$7)*B1657)</f>
        <v>78.1842094465037</v>
      </c>
      <c r="E1657" s="18" t="n">
        <f aca="false">EXP(-'Black-Scholes'!$B$8*'Black-Scholes'!$B$7)*IF(LOWER('Black-Scholes'!$B$11)="put",MAX('Black-Scholes'!$B$6-C1657,0),MAX(C1657-'Black-Scholes'!$B$6,0))</f>
        <v>34.0655694290797</v>
      </c>
      <c r="F1657" s="18" t="n">
        <f aca="false">(E1657+G1657)/2</f>
        <v>17.0327847145398</v>
      </c>
      <c r="G1657" s="18" t="n">
        <f aca="false">EXP(-'Black-Scholes'!$B$8*'Black-Scholes'!$B$7)*IF(LOWER('Black-Scholes'!$B$11)="put",MAX('Black-Scholes'!$B$6-D1657,0),MAX(D1657-'Black-Scholes'!$B$6,0))</f>
        <v>0</v>
      </c>
    </row>
    <row r="1658" customFormat="false" ht="15" hidden="false" customHeight="false" outlineLevel="0" collapsed="false">
      <c r="A1658" s="0" t="n">
        <v>1647</v>
      </c>
      <c r="B1658" s="15" t="n">
        <v>-1.4810224198232</v>
      </c>
      <c r="C1658" s="18" t="n">
        <f aca="false">'Black-Scholes'!$B$5*EXP(('Black-Scholes'!$B$8-'Black-Scholes'!$B$10-'Black-Scholes'!$B$9^2/2)*'Black-Scholes'!$B$7+'Black-Scholes'!$B$9*SQRT('Black-Scholes'!$B$7)*B1658)</f>
        <v>76.6282419012305</v>
      </c>
      <c r="D1658" s="18" t="n">
        <f aca="false">'Black-Scholes'!$B$5*EXP(('Black-Scholes'!$B$8-'Black-Scholes'!$B$10-'Black-Scholes'!$B$9^2/2)*'Black-Scholes'!$B$7-'Black-Scholes'!$B$9*SQRT('Black-Scholes'!$B$7)*B1658)</f>
        <v>138.569869306672</v>
      </c>
      <c r="E1658" s="18" t="n">
        <f aca="false">EXP(-'Black-Scholes'!$B$8*'Black-Scholes'!$B$7)*IF(LOWER('Black-Scholes'!$B$11)="put",MAX('Black-Scholes'!$B$6-C1658,0),MAX(C1658-'Black-Scholes'!$B$6,0))</f>
        <v>0</v>
      </c>
      <c r="F1658" s="18" t="n">
        <f aca="false">(E1658+G1658)/2</f>
        <v>18.3443972918269</v>
      </c>
      <c r="G1658" s="18" t="n">
        <f aca="false">EXP(-'Black-Scholes'!$B$8*'Black-Scholes'!$B$7)*IF(LOWER('Black-Scholes'!$B$11)="put",MAX('Black-Scholes'!$B$6-D1658,0),MAX(D1658-'Black-Scholes'!$B$6,0))</f>
        <v>36.6887945836538</v>
      </c>
    </row>
    <row r="1659" customFormat="false" ht="15" hidden="false" customHeight="false" outlineLevel="0" collapsed="false">
      <c r="A1659" s="0" t="n">
        <v>1648</v>
      </c>
      <c r="B1659" s="15" t="n">
        <v>-0.731060043668777</v>
      </c>
      <c r="C1659" s="18" t="n">
        <f aca="false">'Black-Scholes'!$B$5*EXP(('Black-Scholes'!$B$8-'Black-Scholes'!$B$10-'Black-Scholes'!$B$9^2/2)*'Black-Scholes'!$B$7+'Black-Scholes'!$B$9*SQRT('Black-Scholes'!$B$7)*B1659)</f>
        <v>89.0286454783935</v>
      </c>
      <c r="D1659" s="18" t="n">
        <f aca="false">'Black-Scholes'!$B$5*EXP(('Black-Scholes'!$B$8-'Black-Scholes'!$B$10-'Black-Scholes'!$B$9^2/2)*'Black-Scholes'!$B$7-'Black-Scholes'!$B$9*SQRT('Black-Scholes'!$B$7)*B1659)</f>
        <v>119.269089273414</v>
      </c>
      <c r="E1659" s="18" t="n">
        <f aca="false">EXP(-'Black-Scholes'!$B$8*'Black-Scholes'!$B$7)*IF(LOWER('Black-Scholes'!$B$11)="put",MAX('Black-Scholes'!$B$6-C1659,0),MAX(C1659-'Black-Scholes'!$B$6,0))</f>
        <v>0</v>
      </c>
      <c r="F1659" s="18" t="n">
        <f aca="false">(E1659+G1659)/2</f>
        <v>9.16466235010104</v>
      </c>
      <c r="G1659" s="18" t="n">
        <f aca="false">EXP(-'Black-Scholes'!$B$8*'Black-Scholes'!$B$7)*IF(LOWER('Black-Scholes'!$B$11)="put",MAX('Black-Scholes'!$B$6-D1659,0),MAX(D1659-'Black-Scholes'!$B$6,0))</f>
        <v>18.3293247002021</v>
      </c>
    </row>
    <row r="1660" customFormat="false" ht="15" hidden="false" customHeight="false" outlineLevel="0" collapsed="false">
      <c r="A1660" s="0" t="n">
        <v>1649</v>
      </c>
      <c r="B1660" s="15" t="n">
        <v>-0.104973943901285</v>
      </c>
      <c r="C1660" s="18" t="n">
        <f aca="false">'Black-Scholes'!$B$5*EXP(('Black-Scholes'!$B$8-'Black-Scholes'!$B$10-'Black-Scholes'!$B$9^2/2)*'Black-Scholes'!$B$7+'Black-Scholes'!$B$9*SQRT('Black-Scholes'!$B$7)*B1660)</f>
        <v>100.904588011998</v>
      </c>
      <c r="D1660" s="18" t="n">
        <f aca="false">'Black-Scholes'!$B$5*EXP(('Black-Scholes'!$B$8-'Black-Scholes'!$B$10-'Black-Scholes'!$B$9^2/2)*'Black-Scholes'!$B$7-'Black-Scholes'!$B$9*SQRT('Black-Scholes'!$B$7)*B1660)</f>
        <v>105.231740941166</v>
      </c>
      <c r="E1660" s="18" t="n">
        <f aca="false">EXP(-'Black-Scholes'!$B$8*'Black-Scholes'!$B$7)*IF(LOWER('Black-Scholes'!$B$11)="put",MAX('Black-Scholes'!$B$6-C1660,0),MAX(C1660-'Black-Scholes'!$B$6,0))</f>
        <v>0.860470734062969</v>
      </c>
      <c r="F1660" s="18" t="n">
        <f aca="false">(E1660+G1660)/2</f>
        <v>2.91852832933234</v>
      </c>
      <c r="G1660" s="18" t="n">
        <f aca="false">EXP(-'Black-Scholes'!$B$8*'Black-Scholes'!$B$7)*IF(LOWER('Black-Scholes'!$B$11)="put",MAX('Black-Scholes'!$B$6-D1660,0),MAX(D1660-'Black-Scholes'!$B$6,0))</f>
        <v>4.97658592460172</v>
      </c>
    </row>
    <row r="1661" customFormat="false" ht="15" hidden="false" customHeight="false" outlineLevel="0" collapsed="false">
      <c r="A1661" s="0" t="n">
        <v>1650</v>
      </c>
      <c r="B1661" s="15" t="n">
        <v>0.986421286458346</v>
      </c>
      <c r="C1661" s="18" t="n">
        <f aca="false">'Black-Scholes'!$B$5*EXP(('Black-Scholes'!$B$8-'Black-Scholes'!$B$10-'Black-Scholes'!$B$9^2/2)*'Black-Scholes'!$B$7+'Black-Scholes'!$B$9*SQRT('Black-Scholes'!$B$7)*B1661)</f>
        <v>125.518661318136</v>
      </c>
      <c r="D1661" s="18" t="n">
        <f aca="false">'Black-Scholes'!$B$5*EXP(('Black-Scholes'!$B$8-'Black-Scholes'!$B$10-'Black-Scholes'!$B$9^2/2)*'Black-Scholes'!$B$7-'Black-Scholes'!$B$9*SQRT('Black-Scholes'!$B$7)*B1661)</f>
        <v>84.5959107111618</v>
      </c>
      <c r="E1661" s="18" t="n">
        <f aca="false">EXP(-'Black-Scholes'!$B$8*'Black-Scholes'!$B$7)*IF(LOWER('Black-Scholes'!$B$11)="put",MAX('Black-Scholes'!$B$6-C1661,0),MAX(C1661-'Black-Scholes'!$B$6,0))</f>
        <v>24.2741015196793</v>
      </c>
      <c r="F1661" s="18" t="n">
        <f aca="false">(E1661+G1661)/2</f>
        <v>12.1370507598396</v>
      </c>
      <c r="G1661" s="18" t="n">
        <f aca="false">EXP(-'Black-Scholes'!$B$8*'Black-Scholes'!$B$7)*IF(LOWER('Black-Scholes'!$B$11)="put",MAX('Black-Scholes'!$B$6-D1661,0),MAX(D1661-'Black-Scholes'!$B$6,0))</f>
        <v>0</v>
      </c>
    </row>
    <row r="1662" customFormat="false" ht="15" hidden="false" customHeight="false" outlineLevel="0" collapsed="false">
      <c r="A1662" s="0" t="n">
        <v>1651</v>
      </c>
      <c r="B1662" s="15" t="n">
        <v>-0.181267183630376</v>
      </c>
      <c r="C1662" s="18" t="n">
        <f aca="false">'Black-Scholes'!$B$5*EXP(('Black-Scholes'!$B$8-'Black-Scholes'!$B$10-'Black-Scholes'!$B$9^2/2)*'Black-Scholes'!$B$7+'Black-Scholes'!$B$9*SQRT('Black-Scholes'!$B$7)*B1662)</f>
        <v>99.3766075315742</v>
      </c>
      <c r="D1662" s="18" t="n">
        <f aca="false">'Black-Scholes'!$B$5*EXP(('Black-Scholes'!$B$8-'Black-Scholes'!$B$10-'Black-Scholes'!$B$9^2/2)*'Black-Scholes'!$B$7-'Black-Scholes'!$B$9*SQRT('Black-Scholes'!$B$7)*B1662)</f>
        <v>106.849747935699</v>
      </c>
      <c r="E1662" s="18" t="n">
        <f aca="false">EXP(-'Black-Scholes'!$B$8*'Black-Scholes'!$B$7)*IF(LOWER('Black-Scholes'!$B$11)="put",MAX('Black-Scholes'!$B$6-C1662,0),MAX(C1662-'Black-Scholes'!$B$6,0))</f>
        <v>0</v>
      </c>
      <c r="F1662" s="18" t="n">
        <f aca="false">(E1662+G1662)/2</f>
        <v>3.25784089342496</v>
      </c>
      <c r="G1662" s="18" t="n">
        <f aca="false">EXP(-'Black-Scholes'!$B$8*'Black-Scholes'!$B$7)*IF(LOWER('Black-Scholes'!$B$11)="put",MAX('Black-Scholes'!$B$6-D1662,0),MAX(D1662-'Black-Scholes'!$B$6,0))</f>
        <v>6.51568178684993</v>
      </c>
    </row>
    <row r="1663" customFormat="false" ht="15" hidden="false" customHeight="false" outlineLevel="0" collapsed="false">
      <c r="A1663" s="0" t="n">
        <v>1652</v>
      </c>
      <c r="B1663" s="15" t="n">
        <v>0.000501291838214494</v>
      </c>
      <c r="C1663" s="18" t="n">
        <f aca="false">'Black-Scholes'!$B$5*EXP(('Black-Scholes'!$B$8-'Black-Scholes'!$B$10-'Black-Scholes'!$B$9^2/2)*'Black-Scholes'!$B$7+'Black-Scholes'!$B$9*SQRT('Black-Scholes'!$B$7)*B1663)</f>
        <v>103.055785082213</v>
      </c>
      <c r="D1663" s="18" t="n">
        <f aca="false">'Black-Scholes'!$B$5*EXP(('Black-Scholes'!$B$8-'Black-Scholes'!$B$10-'Black-Scholes'!$B$9^2/2)*'Black-Scholes'!$B$7-'Black-Scholes'!$B$9*SQRT('Black-Scholes'!$B$7)*B1663)</f>
        <v>103.035122744277</v>
      </c>
      <c r="E1663" s="18" t="n">
        <f aca="false">EXP(-'Black-Scholes'!$B$8*'Black-Scholes'!$B$7)*IF(LOWER('Black-Scholes'!$B$11)="put",MAX('Black-Scholes'!$B$6-C1663,0),MAX(C1663-'Black-Scholes'!$B$6,0))</f>
        <v>2.90675268515086</v>
      </c>
      <c r="F1663" s="18" t="n">
        <f aca="false">(E1663+G1663)/2</f>
        <v>2.89692537323925</v>
      </c>
      <c r="G1663" s="18" t="n">
        <f aca="false">EXP(-'Black-Scholes'!$B$8*'Black-Scholes'!$B$7)*IF(LOWER('Black-Scholes'!$B$11)="put",MAX('Black-Scholes'!$B$6-D1663,0),MAX(D1663-'Black-Scholes'!$B$6,0))</f>
        <v>2.88709806132764</v>
      </c>
    </row>
    <row r="1664" customFormat="false" ht="15" hidden="false" customHeight="false" outlineLevel="0" collapsed="false">
      <c r="A1664" s="0" t="n">
        <v>1653</v>
      </c>
      <c r="B1664" s="15" t="n">
        <v>-1.22765744109264</v>
      </c>
      <c r="C1664" s="18" t="n">
        <f aca="false">'Black-Scholes'!$B$5*EXP(('Black-Scholes'!$B$8-'Black-Scholes'!$B$10-'Black-Scholes'!$B$9^2/2)*'Black-Scholes'!$B$7+'Black-Scholes'!$B$9*SQRT('Black-Scholes'!$B$7)*B1664)</f>
        <v>80.6112886799742</v>
      </c>
      <c r="D1664" s="18" t="n">
        <f aca="false">'Black-Scholes'!$B$5*EXP(('Black-Scholes'!$B$8-'Black-Scholes'!$B$10-'Black-Scholes'!$B$9^2/2)*'Black-Scholes'!$B$7-'Black-Scholes'!$B$9*SQRT('Black-Scholes'!$B$7)*B1664)</f>
        <v>131.72305813902</v>
      </c>
      <c r="E1664" s="18" t="n">
        <f aca="false">EXP(-'Black-Scholes'!$B$8*'Black-Scholes'!$B$7)*IF(LOWER('Black-Scholes'!$B$11)="put",MAX('Black-Scholes'!$B$6-C1664,0),MAX(C1664-'Black-Scholes'!$B$6,0))</f>
        <v>0</v>
      </c>
      <c r="F1664" s="18" t="n">
        <f aca="false">(E1664+G1664)/2</f>
        <v>15.0879531684915</v>
      </c>
      <c r="G1664" s="18" t="n">
        <f aca="false">EXP(-'Black-Scholes'!$B$8*'Black-Scholes'!$B$7)*IF(LOWER('Black-Scholes'!$B$11)="put",MAX('Black-Scholes'!$B$6-D1664,0),MAX(D1664-'Black-Scholes'!$B$6,0))</f>
        <v>30.175906336983</v>
      </c>
    </row>
    <row r="1665" customFormat="false" ht="15" hidden="false" customHeight="false" outlineLevel="0" collapsed="false">
      <c r="A1665" s="0" t="n">
        <v>1654</v>
      </c>
      <c r="B1665" s="15" t="n">
        <v>-0.954153767986422</v>
      </c>
      <c r="C1665" s="18" t="n">
        <f aca="false">'Black-Scholes'!$B$5*EXP(('Black-Scholes'!$B$8-'Black-Scholes'!$B$10-'Black-Scholes'!$B$9^2/2)*'Black-Scholes'!$B$7+'Black-Scholes'!$B$9*SQRT('Black-Scholes'!$B$7)*B1665)</f>
        <v>85.1436161420886</v>
      </c>
      <c r="D1665" s="18" t="n">
        <f aca="false">'Black-Scholes'!$B$5*EXP(('Black-Scholes'!$B$8-'Black-Scholes'!$B$10-'Black-Scholes'!$B$9^2/2)*'Black-Scholes'!$B$7-'Black-Scholes'!$B$9*SQRT('Black-Scholes'!$B$7)*B1665)</f>
        <v>124.711234342379</v>
      </c>
      <c r="E1665" s="18" t="n">
        <f aca="false">EXP(-'Black-Scholes'!$B$8*'Black-Scholes'!$B$7)*IF(LOWER('Black-Scholes'!$B$11)="put",MAX('Black-Scholes'!$B$6-C1665,0),MAX(C1665-'Black-Scholes'!$B$6,0))</f>
        <v>0</v>
      </c>
      <c r="F1665" s="18" t="n">
        <f aca="false">(E1665+G1665)/2</f>
        <v>11.7530266111019</v>
      </c>
      <c r="G1665" s="18" t="n">
        <f aca="false">EXP(-'Black-Scholes'!$B$8*'Black-Scholes'!$B$7)*IF(LOWER('Black-Scholes'!$B$11)="put",MAX('Black-Scholes'!$B$6-D1665,0),MAX(D1665-'Black-Scholes'!$B$6,0))</f>
        <v>23.5060532222037</v>
      </c>
    </row>
    <row r="1666" customFormat="false" ht="15" hidden="false" customHeight="false" outlineLevel="0" collapsed="false">
      <c r="A1666" s="0" t="n">
        <v>1655</v>
      </c>
      <c r="B1666" s="15" t="n">
        <v>0.318207550148127</v>
      </c>
      <c r="C1666" s="18" t="n">
        <f aca="false">'Black-Scholes'!$B$5*EXP(('Black-Scholes'!$B$8-'Black-Scholes'!$B$10-'Black-Scholes'!$B$9^2/2)*'Black-Scholes'!$B$7+'Black-Scholes'!$B$9*SQRT('Black-Scholes'!$B$7)*B1666)</f>
        <v>109.816599384871</v>
      </c>
      <c r="D1666" s="18" t="n">
        <f aca="false">'Black-Scholes'!$B$5*EXP(('Black-Scholes'!$B$8-'Black-Scholes'!$B$10-'Black-Scholes'!$B$9^2/2)*'Black-Scholes'!$B$7-'Black-Scholes'!$B$9*SQRT('Black-Scholes'!$B$7)*B1666)</f>
        <v>96.6918072944489</v>
      </c>
      <c r="E1666" s="18" t="n">
        <f aca="false">EXP(-'Black-Scholes'!$B$8*'Black-Scholes'!$B$7)*IF(LOWER('Black-Scholes'!$B$11)="put",MAX('Black-Scholes'!$B$6-C1666,0),MAX(C1666-'Black-Scholes'!$B$6,0))</f>
        <v>9.33783818342451</v>
      </c>
      <c r="F1666" s="18" t="n">
        <f aca="false">(E1666+G1666)/2</f>
        <v>4.66891909171226</v>
      </c>
      <c r="G1666" s="18" t="n">
        <f aca="false">EXP(-'Black-Scholes'!$B$8*'Black-Scholes'!$B$7)*IF(LOWER('Black-Scholes'!$B$11)="put",MAX('Black-Scholes'!$B$6-D1666,0),MAX(D1666-'Black-Scholes'!$B$6,0))</f>
        <v>0</v>
      </c>
    </row>
    <row r="1667" customFormat="false" ht="15" hidden="false" customHeight="false" outlineLevel="0" collapsed="false">
      <c r="A1667" s="0" t="n">
        <v>1656</v>
      </c>
      <c r="B1667" s="15" t="n">
        <v>-0.0740200779532127</v>
      </c>
      <c r="C1667" s="18" t="n">
        <f aca="false">'Black-Scholes'!$B$5*EXP(('Black-Scholes'!$B$8-'Black-Scholes'!$B$10-'Black-Scholes'!$B$9^2/2)*'Black-Scholes'!$B$7+'Black-Scholes'!$B$9*SQRT('Black-Scholes'!$B$7)*B1667)</f>
        <v>101.531203044658</v>
      </c>
      <c r="D1667" s="18" t="n">
        <f aca="false">'Black-Scholes'!$B$5*EXP(('Black-Scholes'!$B$8-'Black-Scholes'!$B$10-'Black-Scholes'!$B$9^2/2)*'Black-Scholes'!$B$7-'Black-Scholes'!$B$9*SQRT('Black-Scholes'!$B$7)*B1667)</f>
        <v>104.582287484402</v>
      </c>
      <c r="E1667" s="18" t="n">
        <f aca="false">EXP(-'Black-Scholes'!$B$8*'Black-Scholes'!$B$7)*IF(LOWER('Black-Scholes'!$B$11)="put",MAX('Black-Scholes'!$B$6-C1667,0),MAX(C1667-'Black-Scholes'!$B$6,0))</f>
        <v>1.456525390964</v>
      </c>
      <c r="F1667" s="18" t="n">
        <f aca="false">(E1667+G1667)/2</f>
        <v>2.90766603882407</v>
      </c>
      <c r="G1667" s="18" t="n">
        <f aca="false">EXP(-'Black-Scholes'!$B$8*'Black-Scholes'!$B$7)*IF(LOWER('Black-Scholes'!$B$11)="put",MAX('Black-Scholes'!$B$6-D1667,0),MAX(D1667-'Black-Scholes'!$B$6,0))</f>
        <v>4.35880668668415</v>
      </c>
    </row>
    <row r="1668" customFormat="false" ht="15" hidden="false" customHeight="false" outlineLevel="0" collapsed="false">
      <c r="A1668" s="0" t="n">
        <v>1657</v>
      </c>
      <c r="B1668" s="15" t="n">
        <v>0.176006760180246</v>
      </c>
      <c r="C1668" s="18" t="n">
        <f aca="false">'Black-Scholes'!$B$5*EXP(('Black-Scholes'!$B$8-'Black-Scholes'!$B$10-'Black-Scholes'!$B$9^2/2)*'Black-Scholes'!$B$7+'Black-Scholes'!$B$9*SQRT('Black-Scholes'!$B$7)*B1668)</f>
        <v>106.737392066072</v>
      </c>
      <c r="D1668" s="18" t="n">
        <f aca="false">'Black-Scholes'!$B$5*EXP(('Black-Scholes'!$B$8-'Black-Scholes'!$B$10-'Black-Scholes'!$B$9^2/2)*'Black-Scholes'!$B$7-'Black-Scholes'!$B$9*SQRT('Black-Scholes'!$B$7)*B1668)</f>
        <v>99.4812151572966</v>
      </c>
      <c r="E1668" s="18" t="n">
        <f aca="false">EXP(-'Black-Scholes'!$B$8*'Black-Scholes'!$B$7)*IF(LOWER('Black-Scholes'!$B$11)="put",MAX('Black-Scholes'!$B$6-C1668,0),MAX(C1668-'Black-Scholes'!$B$6,0))</f>
        <v>6.40880557764497</v>
      </c>
      <c r="F1668" s="18" t="n">
        <f aca="false">(E1668+G1668)/2</f>
        <v>3.20440278882249</v>
      </c>
      <c r="G1668" s="18" t="n">
        <f aca="false">EXP(-'Black-Scholes'!$B$8*'Black-Scholes'!$B$7)*IF(LOWER('Black-Scholes'!$B$11)="put",MAX('Black-Scholes'!$B$6-D1668,0),MAX(D1668-'Black-Scholes'!$B$6,0))</f>
        <v>0</v>
      </c>
    </row>
    <row r="1669" customFormat="false" ht="15" hidden="false" customHeight="false" outlineLevel="0" collapsed="false">
      <c r="A1669" s="0" t="n">
        <v>1658</v>
      </c>
      <c r="B1669" s="15" t="n">
        <v>1.79714216039303</v>
      </c>
      <c r="C1669" s="18" t="n">
        <f aca="false">'Black-Scholes'!$B$5*EXP(('Black-Scholes'!$B$8-'Black-Scholes'!$B$10-'Black-Scholes'!$B$9^2/2)*'Black-Scholes'!$B$7+'Black-Scholes'!$B$9*SQRT('Black-Scholes'!$B$7)*B1669)</f>
        <v>147.613684025173</v>
      </c>
      <c r="D1669" s="18" t="n">
        <f aca="false">'Black-Scholes'!$B$5*EXP(('Black-Scholes'!$B$8-'Black-Scholes'!$B$10-'Black-Scholes'!$B$9^2/2)*'Black-Scholes'!$B$7-'Black-Scholes'!$B$9*SQRT('Black-Scholes'!$B$7)*B1669)</f>
        <v>71.9334764630818</v>
      </c>
      <c r="E1669" s="18" t="n">
        <f aca="false">EXP(-'Black-Scholes'!$B$8*'Black-Scholes'!$B$7)*IF(LOWER('Black-Scholes'!$B$11)="put",MAX('Black-Scholes'!$B$6-C1669,0),MAX(C1669-'Black-Scholes'!$B$6,0))</f>
        <v>45.2915372536244</v>
      </c>
      <c r="F1669" s="18" t="n">
        <f aca="false">(E1669+G1669)/2</f>
        <v>22.6457686268122</v>
      </c>
      <c r="G1669" s="18" t="n">
        <f aca="false">EXP(-'Black-Scholes'!$B$8*'Black-Scholes'!$B$7)*IF(LOWER('Black-Scholes'!$B$11)="put",MAX('Black-Scholes'!$B$6-D1669,0),MAX(D1669-'Black-Scholes'!$B$6,0))</f>
        <v>0</v>
      </c>
    </row>
    <row r="1670" customFormat="false" ht="15" hidden="false" customHeight="false" outlineLevel="0" collapsed="false">
      <c r="A1670" s="0" t="n">
        <v>1659</v>
      </c>
      <c r="B1670" s="15" t="n">
        <v>1.54821301942339</v>
      </c>
      <c r="C1670" s="18" t="n">
        <f aca="false">'Black-Scholes'!$B$5*EXP(('Black-Scholes'!$B$8-'Black-Scholes'!$B$10-'Black-Scholes'!$B$9^2/2)*'Black-Scholes'!$B$7+'Black-Scholes'!$B$9*SQRT('Black-Scholes'!$B$7)*B1670)</f>
        <v>140.444555747018</v>
      </c>
      <c r="D1670" s="18" t="n">
        <f aca="false">'Black-Scholes'!$B$5*EXP(('Black-Scholes'!$B$8-'Black-Scholes'!$B$10-'Black-Scholes'!$B$9^2/2)*'Black-Scholes'!$B$7-'Black-Scholes'!$B$9*SQRT('Black-Scholes'!$B$7)*B1670)</f>
        <v>75.6053903903575</v>
      </c>
      <c r="E1670" s="18" t="n">
        <f aca="false">EXP(-'Black-Scholes'!$B$8*'Black-Scholes'!$B$7)*IF(LOWER('Black-Scholes'!$B$11)="put",MAX('Black-Scholes'!$B$6-C1670,0),MAX(C1670-'Black-Scholes'!$B$6,0))</f>
        <v>38.4720514874226</v>
      </c>
      <c r="F1670" s="18" t="n">
        <f aca="false">(E1670+G1670)/2</f>
        <v>19.2360257437113</v>
      </c>
      <c r="G1670" s="18" t="n">
        <f aca="false">EXP(-'Black-Scholes'!$B$8*'Black-Scholes'!$B$7)*IF(LOWER('Black-Scholes'!$B$11)="put",MAX('Black-Scholes'!$B$6-D1670,0),MAX(D1670-'Black-Scholes'!$B$6,0))</f>
        <v>0</v>
      </c>
    </row>
    <row r="1671" customFormat="false" ht="15" hidden="false" customHeight="false" outlineLevel="0" collapsed="false">
      <c r="A1671" s="0" t="n">
        <v>1660</v>
      </c>
      <c r="B1671" s="15" t="n">
        <v>0.425250636055757</v>
      </c>
      <c r="C1671" s="18" t="n">
        <f aca="false">'Black-Scholes'!$B$5*EXP(('Black-Scholes'!$B$8-'Black-Scholes'!$B$10-'Black-Scholes'!$B$9^2/2)*'Black-Scholes'!$B$7+'Black-Scholes'!$B$9*SQRT('Black-Scholes'!$B$7)*B1671)</f>
        <v>112.192967536814</v>
      </c>
      <c r="D1671" s="18" t="n">
        <f aca="false">'Black-Scholes'!$B$5*EXP(('Black-Scholes'!$B$8-'Black-Scholes'!$B$10-'Black-Scholes'!$B$9^2/2)*'Black-Scholes'!$B$7-'Black-Scholes'!$B$9*SQRT('Black-Scholes'!$B$7)*B1671)</f>
        <v>94.6437704481735</v>
      </c>
      <c r="E1671" s="18" t="n">
        <f aca="false">EXP(-'Black-Scholes'!$B$8*'Black-Scholes'!$B$7)*IF(LOWER('Black-Scholes'!$B$11)="put",MAX('Black-Scholes'!$B$6-C1671,0),MAX(C1671-'Black-Scholes'!$B$6,0))</f>
        <v>11.5983094929993</v>
      </c>
      <c r="F1671" s="18" t="n">
        <f aca="false">(E1671+G1671)/2</f>
        <v>5.79915474649967</v>
      </c>
      <c r="G1671" s="18" t="n">
        <f aca="false">EXP(-'Black-Scholes'!$B$8*'Black-Scholes'!$B$7)*IF(LOWER('Black-Scholes'!$B$11)="put",MAX('Black-Scholes'!$B$6-D1671,0),MAX(D1671-'Black-Scholes'!$B$6,0))</f>
        <v>0</v>
      </c>
    </row>
    <row r="1672" customFormat="false" ht="15" hidden="false" customHeight="false" outlineLevel="0" collapsed="false">
      <c r="A1672" s="0" t="n">
        <v>1661</v>
      </c>
      <c r="B1672" s="15" t="n">
        <v>0.567328938434018</v>
      </c>
      <c r="C1672" s="18" t="n">
        <f aca="false">'Black-Scholes'!$B$5*EXP(('Black-Scholes'!$B$8-'Black-Scholes'!$B$10-'Black-Scholes'!$B$9^2/2)*'Black-Scholes'!$B$7+'Black-Scholes'!$B$9*SQRT('Black-Scholes'!$B$7)*B1672)</f>
        <v>115.426731997651</v>
      </c>
      <c r="D1672" s="18" t="n">
        <f aca="false">'Black-Scholes'!$B$5*EXP(('Black-Scholes'!$B$8-'Black-Scholes'!$B$10-'Black-Scholes'!$B$9^2/2)*'Black-Scholes'!$B$7-'Black-Scholes'!$B$9*SQRT('Black-Scholes'!$B$7)*B1672)</f>
        <v>91.9922558811565</v>
      </c>
      <c r="E1672" s="18" t="n">
        <f aca="false">EXP(-'Black-Scholes'!$B$8*'Black-Scholes'!$B$7)*IF(LOWER('Black-Scholes'!$B$11)="put",MAX('Black-Scholes'!$B$6-C1672,0),MAX(C1672-'Black-Scholes'!$B$6,0))</f>
        <v>14.6743614000525</v>
      </c>
      <c r="F1672" s="18" t="n">
        <f aca="false">(E1672+G1672)/2</f>
        <v>7.33718070002625</v>
      </c>
      <c r="G1672" s="18" t="n">
        <f aca="false">EXP(-'Black-Scholes'!$B$8*'Black-Scholes'!$B$7)*IF(LOWER('Black-Scholes'!$B$11)="put",MAX('Black-Scholes'!$B$6-D1672,0),MAX(D1672-'Black-Scholes'!$B$6,0))</f>
        <v>0</v>
      </c>
    </row>
    <row r="1673" customFormat="false" ht="15" hidden="false" customHeight="false" outlineLevel="0" collapsed="false">
      <c r="A1673" s="0" t="n">
        <v>1662</v>
      </c>
      <c r="B1673" s="15" t="n">
        <v>0.618684883363903</v>
      </c>
      <c r="C1673" s="18" t="n">
        <f aca="false">'Black-Scholes'!$B$5*EXP(('Black-Scholes'!$B$8-'Black-Scholes'!$B$10-'Black-Scholes'!$B$9^2/2)*'Black-Scholes'!$B$7+'Black-Scholes'!$B$9*SQRT('Black-Scholes'!$B$7)*B1673)</f>
        <v>116.618411281035</v>
      </c>
      <c r="D1673" s="18" t="n">
        <f aca="false">'Black-Scholes'!$B$5*EXP(('Black-Scholes'!$B$8-'Black-Scholes'!$B$10-'Black-Scholes'!$B$9^2/2)*'Black-Scholes'!$B$7-'Black-Scholes'!$B$9*SQRT('Black-Scholes'!$B$7)*B1673)</f>
        <v>91.0522219331622</v>
      </c>
      <c r="E1673" s="18" t="n">
        <f aca="false">EXP(-'Black-Scholes'!$B$8*'Black-Scholes'!$B$7)*IF(LOWER('Black-Scholes'!$B$11)="put",MAX('Black-Scholes'!$B$6-C1673,0),MAX(C1673-'Black-Scholes'!$B$6,0))</f>
        <v>15.8079217989752</v>
      </c>
      <c r="F1673" s="18" t="n">
        <f aca="false">(E1673+G1673)/2</f>
        <v>7.90396089948761</v>
      </c>
      <c r="G1673" s="18" t="n">
        <f aca="false">EXP(-'Black-Scholes'!$B$8*'Black-Scholes'!$B$7)*IF(LOWER('Black-Scholes'!$B$11)="put",MAX('Black-Scholes'!$B$6-D1673,0),MAX(D1673-'Black-Scholes'!$B$6,0))</f>
        <v>0</v>
      </c>
    </row>
    <row r="1674" customFormat="false" ht="15" hidden="false" customHeight="false" outlineLevel="0" collapsed="false">
      <c r="A1674" s="0" t="n">
        <v>1663</v>
      </c>
      <c r="B1674" s="15" t="n">
        <v>-1.48872545884912</v>
      </c>
      <c r="C1674" s="18" t="n">
        <f aca="false">'Black-Scholes'!$B$5*EXP(('Black-Scholes'!$B$8-'Black-Scholes'!$B$10-'Black-Scholes'!$B$9^2/2)*'Black-Scholes'!$B$7+'Black-Scholes'!$B$9*SQRT('Black-Scholes'!$B$7)*B1674)</f>
        <v>76.5102787244873</v>
      </c>
      <c r="D1674" s="18" t="n">
        <f aca="false">'Black-Scholes'!$B$5*EXP(('Black-Scholes'!$B$8-'Black-Scholes'!$B$10-'Black-Scholes'!$B$9^2/2)*'Black-Scholes'!$B$7-'Black-Scholes'!$B$9*SQRT('Black-Scholes'!$B$7)*B1674)</f>
        <v>138.783515659252</v>
      </c>
      <c r="E1674" s="18" t="n">
        <f aca="false">EXP(-'Black-Scholes'!$B$8*'Black-Scholes'!$B$7)*IF(LOWER('Black-Scholes'!$B$11)="put",MAX('Black-Scholes'!$B$6-C1674,0),MAX(C1674-'Black-Scholes'!$B$6,0))</f>
        <v>0</v>
      </c>
      <c r="F1674" s="18" t="n">
        <f aca="false">(E1674+G1674)/2</f>
        <v>18.4460106403322</v>
      </c>
      <c r="G1674" s="18" t="n">
        <f aca="false">EXP(-'Black-Scholes'!$B$8*'Black-Scholes'!$B$7)*IF(LOWER('Black-Scholes'!$B$11)="put",MAX('Black-Scholes'!$B$6-D1674,0),MAX(D1674-'Black-Scholes'!$B$6,0))</f>
        <v>36.8920212806644</v>
      </c>
    </row>
    <row r="1675" customFormat="false" ht="15" hidden="false" customHeight="false" outlineLevel="0" collapsed="false">
      <c r="A1675" s="0" t="n">
        <v>1664</v>
      </c>
      <c r="B1675" s="15" t="n">
        <v>-0.641597008388057</v>
      </c>
      <c r="C1675" s="18" t="n">
        <f aca="false">'Black-Scholes'!$B$5*EXP(('Black-Scholes'!$B$8-'Black-Scholes'!$B$10-'Black-Scholes'!$B$9^2/2)*'Black-Scholes'!$B$7+'Black-Scholes'!$B$9*SQRT('Black-Scholes'!$B$7)*B1675)</f>
        <v>90.635936481513</v>
      </c>
      <c r="D1675" s="18" t="n">
        <f aca="false">'Black-Scholes'!$B$5*EXP(('Black-Scholes'!$B$8-'Black-Scholes'!$B$10-'Black-Scholes'!$B$9^2/2)*'Black-Scholes'!$B$7-'Black-Scholes'!$B$9*SQRT('Black-Scholes'!$B$7)*B1675)</f>
        <v>117.154032690107</v>
      </c>
      <c r="E1675" s="18" t="n">
        <f aca="false">EXP(-'Black-Scholes'!$B$8*'Black-Scholes'!$B$7)*IF(LOWER('Black-Scholes'!$B$11)="put",MAX('Black-Scholes'!$B$6-C1675,0),MAX(C1675-'Black-Scholes'!$B$6,0))</f>
        <v>0</v>
      </c>
      <c r="F1675" s="18" t="n">
        <f aca="false">(E1675+G1675)/2</f>
        <v>8.15871032183824</v>
      </c>
      <c r="G1675" s="18" t="n">
        <f aca="false">EXP(-'Black-Scholes'!$B$8*'Black-Scholes'!$B$7)*IF(LOWER('Black-Scholes'!$B$11)="put",MAX('Black-Scholes'!$B$6-D1675,0),MAX(D1675-'Black-Scholes'!$B$6,0))</f>
        <v>16.3174206436765</v>
      </c>
    </row>
    <row r="1676" customFormat="false" ht="15" hidden="false" customHeight="false" outlineLevel="0" collapsed="false">
      <c r="A1676" s="0" t="n">
        <v>1665</v>
      </c>
      <c r="B1676" s="15" t="n">
        <v>-0.770013782787511</v>
      </c>
      <c r="C1676" s="18" t="n">
        <f aca="false">'Black-Scholes'!$B$5*EXP(('Black-Scholes'!$B$8-'Black-Scholes'!$B$10-'Black-Scholes'!$B$9^2/2)*'Black-Scholes'!$B$7+'Black-Scholes'!$B$9*SQRT('Black-Scholes'!$B$7)*B1676)</f>
        <v>88.3377405798779</v>
      </c>
      <c r="D1676" s="18" t="n">
        <f aca="false">'Black-Scholes'!$B$5*EXP(('Black-Scholes'!$B$8-'Black-Scholes'!$B$10-'Black-Scholes'!$B$9^2/2)*'Black-Scholes'!$B$7-'Black-Scholes'!$B$9*SQRT('Black-Scholes'!$B$7)*B1676)</f>
        <v>120.20191365266</v>
      </c>
      <c r="E1676" s="18" t="n">
        <f aca="false">EXP(-'Black-Scholes'!$B$8*'Black-Scholes'!$B$7)*IF(LOWER('Black-Scholes'!$B$11)="put",MAX('Black-Scholes'!$B$6-C1676,0),MAX(C1676-'Black-Scholes'!$B$6,0))</f>
        <v>0</v>
      </c>
      <c r="F1676" s="18" t="n">
        <f aca="false">(E1676+G1676)/2</f>
        <v>9.60832734881659</v>
      </c>
      <c r="G1676" s="18" t="n">
        <f aca="false">EXP(-'Black-Scholes'!$B$8*'Black-Scholes'!$B$7)*IF(LOWER('Black-Scholes'!$B$11)="put",MAX('Black-Scholes'!$B$6-D1676,0),MAX(D1676-'Black-Scholes'!$B$6,0))</f>
        <v>19.2166546976332</v>
      </c>
    </row>
    <row r="1677" customFormat="false" ht="15" hidden="false" customHeight="false" outlineLevel="0" collapsed="false">
      <c r="A1677" s="0" t="n">
        <v>1666</v>
      </c>
      <c r="B1677" s="15" t="n">
        <v>2.66900955140378</v>
      </c>
      <c r="C1677" s="18" t="n">
        <f aca="false">'Black-Scholes'!$B$5*EXP(('Black-Scholes'!$B$8-'Black-Scholes'!$B$10-'Black-Scholes'!$B$9^2/2)*'Black-Scholes'!$B$7+'Black-Scholes'!$B$9*SQRT('Black-Scholes'!$B$7)*B1677)</f>
        <v>175.734106869</v>
      </c>
      <c r="D1677" s="18" t="n">
        <f aca="false">'Black-Scholes'!$B$5*EXP(('Black-Scholes'!$B$8-'Black-Scholes'!$B$10-'Black-Scholes'!$B$9^2/2)*'Black-Scholes'!$B$7-'Black-Scholes'!$B$9*SQRT('Black-Scholes'!$B$7)*B1677)</f>
        <v>60.4229062567176</v>
      </c>
      <c r="E1677" s="18" t="n">
        <f aca="false">EXP(-'Black-Scholes'!$B$8*'Black-Scholes'!$B$7)*IF(LOWER('Black-Scholes'!$B$11)="put",MAX('Black-Scholes'!$B$6-C1677,0),MAX(C1677-'Black-Scholes'!$B$6,0))</f>
        <v>72.0405108920746</v>
      </c>
      <c r="F1677" s="18" t="n">
        <f aca="false">(E1677+G1677)/2</f>
        <v>36.0202554460373</v>
      </c>
      <c r="G1677" s="18" t="n">
        <f aca="false">EXP(-'Black-Scholes'!$B$8*'Black-Scholes'!$B$7)*IF(LOWER('Black-Scholes'!$B$11)="put",MAX('Black-Scholes'!$B$6-D1677,0),MAX(D1677-'Black-Scholes'!$B$6,0))</f>
        <v>0</v>
      </c>
    </row>
    <row r="1678" customFormat="false" ht="15" hidden="false" customHeight="false" outlineLevel="0" collapsed="false">
      <c r="A1678" s="0" t="n">
        <v>1667</v>
      </c>
      <c r="B1678" s="15" t="n">
        <v>1.03896040441398</v>
      </c>
      <c r="C1678" s="18" t="n">
        <f aca="false">'Black-Scholes'!$B$5*EXP(('Black-Scholes'!$B$8-'Black-Scholes'!$B$10-'Black-Scholes'!$B$9^2/2)*'Black-Scholes'!$B$7+'Black-Scholes'!$B$9*SQRT('Black-Scholes'!$B$7)*B1678)</f>
        <v>126.844543135103</v>
      </c>
      <c r="D1678" s="18" t="n">
        <f aca="false">'Black-Scholes'!$B$5*EXP(('Black-Scholes'!$B$8-'Black-Scholes'!$B$10-'Black-Scholes'!$B$9^2/2)*'Black-Scholes'!$B$7-'Black-Scholes'!$B$9*SQRT('Black-Scholes'!$B$7)*B1678)</f>
        <v>83.7116457910525</v>
      </c>
      <c r="E1678" s="18" t="n">
        <f aca="false">EXP(-'Black-Scholes'!$B$8*'Black-Scholes'!$B$7)*IF(LOWER('Black-Scholes'!$B$11)="put",MAX('Black-Scholes'!$B$6-C1678,0),MAX(C1678-'Black-Scholes'!$B$6,0))</f>
        <v>25.5353193173883</v>
      </c>
      <c r="F1678" s="18" t="n">
        <f aca="false">(E1678+G1678)/2</f>
        <v>12.7676596586941</v>
      </c>
      <c r="G1678" s="18" t="n">
        <f aca="false">EXP(-'Black-Scholes'!$B$8*'Black-Scholes'!$B$7)*IF(LOWER('Black-Scholes'!$B$11)="put",MAX('Black-Scholes'!$B$6-D1678,0),MAX(D1678-'Black-Scholes'!$B$6,0))</f>
        <v>0</v>
      </c>
    </row>
    <row r="1679" customFormat="false" ht="15" hidden="false" customHeight="false" outlineLevel="0" collapsed="false">
      <c r="A1679" s="0" t="n">
        <v>1668</v>
      </c>
      <c r="B1679" s="15" t="n">
        <v>-0.168739936906604</v>
      </c>
      <c r="C1679" s="18" t="n">
        <f aca="false">'Black-Scholes'!$B$5*EXP(('Black-Scholes'!$B$8-'Black-Scholes'!$B$10-'Black-Scholes'!$B$9^2/2)*'Black-Scholes'!$B$7+'Black-Scholes'!$B$9*SQRT('Black-Scholes'!$B$7)*B1679)</f>
        <v>99.6259027556682</v>
      </c>
      <c r="D1679" s="18" t="n">
        <f aca="false">'Black-Scholes'!$B$5*EXP(('Black-Scholes'!$B$8-'Black-Scholes'!$B$10-'Black-Scholes'!$B$9^2/2)*'Black-Scholes'!$B$7-'Black-Scholes'!$B$9*SQRT('Black-Scholes'!$B$7)*B1679)</f>
        <v>106.582376387545</v>
      </c>
      <c r="E1679" s="18" t="n">
        <f aca="false">EXP(-'Black-Scholes'!$B$8*'Black-Scholes'!$B$7)*IF(LOWER('Black-Scholes'!$B$11)="put",MAX('Black-Scholes'!$B$6-C1679,0),MAX(C1679-'Black-Scholes'!$B$6,0))</f>
        <v>0</v>
      </c>
      <c r="F1679" s="18" t="n">
        <f aca="false">(E1679+G1679)/2</f>
        <v>3.13067505148583</v>
      </c>
      <c r="G1679" s="18" t="n">
        <f aca="false">EXP(-'Black-Scholes'!$B$8*'Black-Scholes'!$B$7)*IF(LOWER('Black-Scholes'!$B$11)="put",MAX('Black-Scholes'!$B$6-D1679,0),MAX(D1679-'Black-Scholes'!$B$6,0))</f>
        <v>6.26135010297167</v>
      </c>
    </row>
    <row r="1680" customFormat="false" ht="15" hidden="false" customHeight="false" outlineLevel="0" collapsed="false">
      <c r="A1680" s="0" t="n">
        <v>1669</v>
      </c>
      <c r="B1680" s="15" t="n">
        <v>0.00831141613893854</v>
      </c>
      <c r="C1680" s="18" t="n">
        <f aca="false">'Black-Scholes'!$B$5*EXP(('Black-Scholes'!$B$8-'Black-Scholes'!$B$10-'Black-Scholes'!$B$9^2/2)*'Black-Scholes'!$B$7+'Black-Scholes'!$B$9*SQRT('Black-Scholes'!$B$7)*B1680)</f>
        <v>103.216886570001</v>
      </c>
      <c r="D1680" s="18" t="n">
        <f aca="false">'Black-Scholes'!$B$5*EXP(('Black-Scholes'!$B$8-'Black-Scholes'!$B$10-'Black-Scholes'!$B$9^2/2)*'Black-Scholes'!$B$7-'Black-Scholes'!$B$9*SQRT('Black-Scholes'!$B$7)*B1680)</f>
        <v>102.874304954474</v>
      </c>
      <c r="E1680" s="18" t="n">
        <f aca="false">EXP(-'Black-Scholes'!$B$8*'Black-Scholes'!$B$7)*IF(LOWER('Black-Scholes'!$B$11)="put",MAX('Black-Scholes'!$B$6-C1680,0),MAX(C1680-'Black-Scholes'!$B$6,0))</f>
        <v>3.05999716066601</v>
      </c>
      <c r="F1680" s="18" t="n">
        <f aca="false">(E1680+G1680)/2</f>
        <v>2.89706030417482</v>
      </c>
      <c r="G1680" s="18" t="n">
        <f aca="false">EXP(-'Black-Scholes'!$B$8*'Black-Scholes'!$B$7)*IF(LOWER('Black-Scholes'!$B$11)="put",MAX('Black-Scholes'!$B$6-D1680,0),MAX(D1680-'Black-Scholes'!$B$6,0))</f>
        <v>2.73412344768362</v>
      </c>
    </row>
    <row r="1681" customFormat="false" ht="15" hidden="false" customHeight="false" outlineLevel="0" collapsed="false">
      <c r="A1681" s="0" t="n">
        <v>1670</v>
      </c>
      <c r="B1681" s="15" t="n">
        <v>1.51111061496523</v>
      </c>
      <c r="C1681" s="18" t="n">
        <f aca="false">'Black-Scholes'!$B$5*EXP(('Black-Scholes'!$B$8-'Black-Scholes'!$B$10-'Black-Scholes'!$B$9^2/2)*'Black-Scholes'!$B$7+'Black-Scholes'!$B$9*SQRT('Black-Scholes'!$B$7)*B1681)</f>
        <v>139.406246745227</v>
      </c>
      <c r="D1681" s="18" t="n">
        <f aca="false">'Black-Scholes'!$B$5*EXP(('Black-Scholes'!$B$8-'Black-Scholes'!$B$10-'Black-Scholes'!$B$9^2/2)*'Black-Scholes'!$B$7-'Black-Scholes'!$B$9*SQRT('Black-Scholes'!$B$7)*B1681)</f>
        <v>76.1685054534128</v>
      </c>
      <c r="E1681" s="18" t="n">
        <f aca="false">EXP(-'Black-Scholes'!$B$8*'Black-Scholes'!$B$7)*IF(LOWER('Black-Scholes'!$B$11)="put",MAX('Black-Scholes'!$B$6-C1681,0),MAX(C1681-'Black-Scholes'!$B$6,0))</f>
        <v>37.484381413195</v>
      </c>
      <c r="F1681" s="18" t="n">
        <f aca="false">(E1681+G1681)/2</f>
        <v>18.7421907065975</v>
      </c>
      <c r="G1681" s="18" t="n">
        <f aca="false">EXP(-'Black-Scholes'!$B$8*'Black-Scholes'!$B$7)*IF(LOWER('Black-Scholes'!$B$11)="put",MAX('Black-Scholes'!$B$6-D1681,0),MAX(D1681-'Black-Scholes'!$B$6,0))</f>
        <v>0</v>
      </c>
    </row>
    <row r="1682" customFormat="false" ht="15" hidden="false" customHeight="false" outlineLevel="0" collapsed="false">
      <c r="A1682" s="0" t="n">
        <v>1671</v>
      </c>
      <c r="B1682" s="15" t="n">
        <v>1.55437395444214</v>
      </c>
      <c r="C1682" s="18" t="n">
        <f aca="false">'Black-Scholes'!$B$5*EXP(('Black-Scholes'!$B$8-'Black-Scholes'!$B$10-'Black-Scholes'!$B$9^2/2)*'Black-Scholes'!$B$7+'Black-Scholes'!$B$9*SQRT('Black-Scholes'!$B$7)*B1682)</f>
        <v>140.617716364579</v>
      </c>
      <c r="D1682" s="18" t="n">
        <f aca="false">'Black-Scholes'!$B$5*EXP(('Black-Scholes'!$B$8-'Black-Scholes'!$B$10-'Black-Scholes'!$B$9^2/2)*'Black-Scholes'!$B$7-'Black-Scholes'!$B$9*SQRT('Black-Scholes'!$B$7)*B1682)</f>
        <v>75.5122877825963</v>
      </c>
      <c r="E1682" s="18" t="n">
        <f aca="false">EXP(-'Black-Scholes'!$B$8*'Black-Scholes'!$B$7)*IF(LOWER('Black-Scholes'!$B$11)="put",MAX('Black-Scholes'!$B$6-C1682,0),MAX(C1682-'Black-Scholes'!$B$6,0))</f>
        <v>38.6367669620117</v>
      </c>
      <c r="F1682" s="18" t="n">
        <f aca="false">(E1682+G1682)/2</f>
        <v>19.3183834810059</v>
      </c>
      <c r="G1682" s="18" t="n">
        <f aca="false">EXP(-'Black-Scholes'!$B$8*'Black-Scholes'!$B$7)*IF(LOWER('Black-Scholes'!$B$11)="put",MAX('Black-Scholes'!$B$6-D1682,0),MAX(D1682-'Black-Scholes'!$B$6,0))</f>
        <v>0</v>
      </c>
    </row>
    <row r="1683" customFormat="false" ht="15" hidden="false" customHeight="false" outlineLevel="0" collapsed="false">
      <c r="A1683" s="0" t="n">
        <v>1672</v>
      </c>
      <c r="B1683" s="15" t="n">
        <v>1.07866607335401</v>
      </c>
      <c r="C1683" s="18" t="n">
        <f aca="false">'Black-Scholes'!$B$5*EXP(('Black-Scholes'!$B$8-'Black-Scholes'!$B$10-'Black-Scholes'!$B$9^2/2)*'Black-Scholes'!$B$7+'Black-Scholes'!$B$9*SQRT('Black-Scholes'!$B$7)*B1683)</f>
        <v>127.855842740642</v>
      </c>
      <c r="D1683" s="18" t="n">
        <f aca="false">'Black-Scholes'!$B$5*EXP(('Black-Scholes'!$B$8-'Black-Scholes'!$B$10-'Black-Scholes'!$B$9^2/2)*'Black-Scholes'!$B$7-'Black-Scholes'!$B$9*SQRT('Black-Scholes'!$B$7)*B1683)</f>
        <v>83.0495129346039</v>
      </c>
      <c r="E1683" s="18" t="n">
        <f aca="false">EXP(-'Black-Scholes'!$B$8*'Black-Scholes'!$B$7)*IF(LOWER('Black-Scholes'!$B$11)="put",MAX('Black-Scholes'!$B$6-C1683,0),MAX(C1683-'Black-Scholes'!$B$6,0))</f>
        <v>26.4972972591629</v>
      </c>
      <c r="F1683" s="18" t="n">
        <f aca="false">(E1683+G1683)/2</f>
        <v>13.2486486295814</v>
      </c>
      <c r="G1683" s="18" t="n">
        <f aca="false">EXP(-'Black-Scholes'!$B$8*'Black-Scholes'!$B$7)*IF(LOWER('Black-Scholes'!$B$11)="put",MAX('Black-Scholes'!$B$6-D1683,0),MAX(D1683-'Black-Scholes'!$B$6,0))</f>
        <v>0</v>
      </c>
    </row>
    <row r="1684" customFormat="false" ht="15" hidden="false" customHeight="false" outlineLevel="0" collapsed="false">
      <c r="A1684" s="0" t="n">
        <v>1673</v>
      </c>
      <c r="B1684" s="15" t="n">
        <v>-1.72153796341632</v>
      </c>
      <c r="C1684" s="18" t="n">
        <f aca="false">'Black-Scholes'!$B$5*EXP(('Black-Scholes'!$B$8-'Black-Scholes'!$B$10-'Black-Scholes'!$B$9^2/2)*'Black-Scholes'!$B$7+'Black-Scholes'!$B$9*SQRT('Black-Scholes'!$B$7)*B1684)</f>
        <v>73.0294360406228</v>
      </c>
      <c r="D1684" s="18" t="n">
        <f aca="false">'Black-Scholes'!$B$5*EXP(('Black-Scholes'!$B$8-'Black-Scholes'!$B$10-'Black-Scholes'!$B$9^2/2)*'Black-Scholes'!$B$7-'Black-Scholes'!$B$9*SQRT('Black-Scholes'!$B$7)*B1684)</f>
        <v>145.398431661818</v>
      </c>
      <c r="E1684" s="18" t="n">
        <f aca="false">EXP(-'Black-Scholes'!$B$8*'Black-Scholes'!$B$7)*IF(LOWER('Black-Scholes'!$B$11)="put",MAX('Black-Scholes'!$B$6-C1684,0),MAX(C1684-'Black-Scholes'!$B$6,0))</f>
        <v>0</v>
      </c>
      <c r="F1684" s="18" t="n">
        <f aca="false">(E1684+G1684)/2</f>
        <v>21.592162011453</v>
      </c>
      <c r="G1684" s="18" t="n">
        <f aca="false">EXP(-'Black-Scholes'!$B$8*'Black-Scholes'!$B$7)*IF(LOWER('Black-Scholes'!$B$11)="put",MAX('Black-Scholes'!$B$6-D1684,0),MAX(D1684-'Black-Scholes'!$B$6,0))</f>
        <v>43.1843240229061</v>
      </c>
    </row>
    <row r="1685" customFormat="false" ht="15" hidden="false" customHeight="false" outlineLevel="0" collapsed="false">
      <c r="A1685" s="0" t="n">
        <v>1674</v>
      </c>
      <c r="B1685" s="15" t="n">
        <v>0.826028972519304</v>
      </c>
      <c r="C1685" s="18" t="n">
        <f aca="false">'Black-Scholes'!$B$5*EXP(('Black-Scholes'!$B$8-'Black-Scholes'!$B$10-'Black-Scholes'!$B$9^2/2)*'Black-Scholes'!$B$7+'Black-Scholes'!$B$9*SQRT('Black-Scholes'!$B$7)*B1685)</f>
        <v>121.556111654804</v>
      </c>
      <c r="D1685" s="18" t="n">
        <f aca="false">'Black-Scholes'!$B$5*EXP(('Black-Scholes'!$B$8-'Black-Scholes'!$B$10-'Black-Scholes'!$B$9^2/2)*'Black-Scholes'!$B$7-'Black-Scholes'!$B$9*SQRT('Black-Scholes'!$B$7)*B1685)</f>
        <v>87.3536124255741</v>
      </c>
      <c r="E1685" s="18" t="n">
        <f aca="false">EXP(-'Black-Scholes'!$B$8*'Black-Scholes'!$B$7)*IF(LOWER('Black-Scholes'!$B$11)="put",MAX('Black-Scholes'!$B$6-C1685,0),MAX(C1685-'Black-Scholes'!$B$6,0))</f>
        <v>20.5048076838728</v>
      </c>
      <c r="F1685" s="18" t="n">
        <f aca="false">(E1685+G1685)/2</f>
        <v>10.2524038419364</v>
      </c>
      <c r="G1685" s="18" t="n">
        <f aca="false">EXP(-'Black-Scholes'!$B$8*'Black-Scholes'!$B$7)*IF(LOWER('Black-Scholes'!$B$11)="put",MAX('Black-Scholes'!$B$6-D1685,0),MAX(D1685-'Black-Scholes'!$B$6,0))</f>
        <v>0</v>
      </c>
    </row>
    <row r="1686" customFormat="false" ht="15" hidden="false" customHeight="false" outlineLevel="0" collapsed="false">
      <c r="A1686" s="0" t="n">
        <v>1675</v>
      </c>
      <c r="B1686" s="15" t="n">
        <v>2.42568679174139</v>
      </c>
      <c r="C1686" s="18" t="n">
        <f aca="false">'Black-Scholes'!$B$5*EXP(('Black-Scholes'!$B$8-'Black-Scholes'!$B$10-'Black-Scholes'!$B$9^2/2)*'Black-Scholes'!$B$7+'Black-Scholes'!$B$9*SQRT('Black-Scholes'!$B$7)*B1686)</f>
        <v>167.386840580701</v>
      </c>
      <c r="D1686" s="18" t="n">
        <f aca="false">'Black-Scholes'!$B$5*EXP(('Black-Scholes'!$B$8-'Black-Scholes'!$B$10-'Black-Scholes'!$B$9^2/2)*'Black-Scholes'!$B$7-'Black-Scholes'!$B$9*SQRT('Black-Scholes'!$B$7)*B1686)</f>
        <v>63.4360827208174</v>
      </c>
      <c r="E1686" s="18" t="n">
        <f aca="false">EXP(-'Black-Scholes'!$B$8*'Black-Scholes'!$B$7)*IF(LOWER('Black-Scholes'!$B$11)="put",MAX('Black-Scholes'!$B$6-C1686,0),MAX(C1686-'Black-Scholes'!$B$6,0))</f>
        <v>64.1003455845012</v>
      </c>
      <c r="F1686" s="18" t="n">
        <f aca="false">(E1686+G1686)/2</f>
        <v>32.0501727922506</v>
      </c>
      <c r="G1686" s="18" t="n">
        <f aca="false">EXP(-'Black-Scholes'!$B$8*'Black-Scholes'!$B$7)*IF(LOWER('Black-Scholes'!$B$11)="put",MAX('Black-Scholes'!$B$6-D1686,0),MAX(D1686-'Black-Scholes'!$B$6,0))</f>
        <v>0</v>
      </c>
    </row>
    <row r="1687" customFormat="false" ht="15" hidden="false" customHeight="false" outlineLevel="0" collapsed="false">
      <c r="A1687" s="0" t="n">
        <v>1676</v>
      </c>
      <c r="B1687" s="15" t="n">
        <v>0.324217230799972</v>
      </c>
      <c r="C1687" s="18" t="n">
        <f aca="false">'Black-Scholes'!$B$5*EXP(('Black-Scholes'!$B$8-'Black-Scholes'!$B$10-'Black-Scholes'!$B$9^2/2)*'Black-Scholes'!$B$7+'Black-Scholes'!$B$9*SQRT('Black-Scholes'!$B$7)*B1687)</f>
        <v>109.948671278476</v>
      </c>
      <c r="D1687" s="18" t="n">
        <f aca="false">'Black-Scholes'!$B$5*EXP(('Black-Scholes'!$B$8-'Black-Scholes'!$B$10-'Black-Scholes'!$B$9^2/2)*'Black-Scholes'!$B$7-'Black-Scholes'!$B$9*SQRT('Black-Scholes'!$B$7)*B1687)</f>
        <v>96.5756597327092</v>
      </c>
      <c r="E1687" s="18" t="n">
        <f aca="false">EXP(-'Black-Scholes'!$B$8*'Black-Scholes'!$B$7)*IF(LOWER('Black-Scholes'!$B$11)="put",MAX('Black-Scholes'!$B$6-C1687,0),MAX(C1687-'Black-Scholes'!$B$6,0))</f>
        <v>9.46346885477156</v>
      </c>
      <c r="F1687" s="18" t="n">
        <f aca="false">(E1687+G1687)/2</f>
        <v>4.73173442738578</v>
      </c>
      <c r="G1687" s="18" t="n">
        <f aca="false">EXP(-'Black-Scholes'!$B$8*'Black-Scholes'!$B$7)*IF(LOWER('Black-Scholes'!$B$11)="put",MAX('Black-Scholes'!$B$6-D1687,0),MAX(D1687-'Black-Scholes'!$B$6,0))</f>
        <v>0</v>
      </c>
    </row>
    <row r="1688" customFormat="false" ht="15" hidden="false" customHeight="false" outlineLevel="0" collapsed="false">
      <c r="A1688" s="0" t="n">
        <v>1677</v>
      </c>
      <c r="B1688" s="15" t="n">
        <v>1.09242784022987</v>
      </c>
      <c r="C1688" s="18" t="n">
        <f aca="false">'Black-Scholes'!$B$5*EXP(('Black-Scholes'!$B$8-'Black-Scholes'!$B$10-'Black-Scholes'!$B$9^2/2)*'Black-Scholes'!$B$7+'Black-Scholes'!$B$9*SQRT('Black-Scholes'!$B$7)*B1688)</f>
        <v>128.20823192827</v>
      </c>
      <c r="D1688" s="18" t="n">
        <f aca="false">'Black-Scholes'!$B$5*EXP(('Black-Scholes'!$B$8-'Black-Scholes'!$B$10-'Black-Scholes'!$B$9^2/2)*'Black-Scholes'!$B$7-'Black-Scholes'!$B$9*SQRT('Black-Scholes'!$B$7)*B1688)</f>
        <v>82.8212456076482</v>
      </c>
      <c r="E1688" s="18" t="n">
        <f aca="false">EXP(-'Black-Scholes'!$B$8*'Black-Scholes'!$B$7)*IF(LOWER('Black-Scholes'!$B$11)="put",MAX('Black-Scholes'!$B$6-C1688,0),MAX(C1688-'Black-Scholes'!$B$6,0))</f>
        <v>26.8325002233112</v>
      </c>
      <c r="F1688" s="18" t="n">
        <f aca="false">(E1688+G1688)/2</f>
        <v>13.4162501116556</v>
      </c>
      <c r="G1688" s="18" t="n">
        <f aca="false">EXP(-'Black-Scholes'!$B$8*'Black-Scholes'!$B$7)*IF(LOWER('Black-Scholes'!$B$11)="put",MAX('Black-Scholes'!$B$6-D1688,0),MAX(D1688-'Black-Scholes'!$B$6,0))</f>
        <v>0</v>
      </c>
    </row>
    <row r="1689" customFormat="false" ht="15" hidden="false" customHeight="false" outlineLevel="0" collapsed="false">
      <c r="A1689" s="0" t="n">
        <v>1678</v>
      </c>
      <c r="B1689" s="15" t="n">
        <v>-0.716333757749407</v>
      </c>
      <c r="C1689" s="18" t="n">
        <f aca="false">'Black-Scholes'!$B$5*EXP(('Black-Scholes'!$B$8-'Black-Scholes'!$B$10-'Black-Scholes'!$B$9^2/2)*'Black-Scholes'!$B$7+'Black-Scholes'!$B$9*SQRT('Black-Scholes'!$B$7)*B1689)</f>
        <v>89.2912442567015</v>
      </c>
      <c r="D1689" s="18" t="n">
        <f aca="false">'Black-Scholes'!$B$5*EXP(('Black-Scholes'!$B$8-'Black-Scholes'!$B$10-'Black-Scholes'!$B$9^2/2)*'Black-Scholes'!$B$7-'Black-Scholes'!$B$9*SQRT('Black-Scholes'!$B$7)*B1689)</f>
        <v>118.918327926164</v>
      </c>
      <c r="E1689" s="18" t="n">
        <f aca="false">EXP(-'Black-Scholes'!$B$8*'Black-Scholes'!$B$7)*IF(LOWER('Black-Scholes'!$B$11)="put",MAX('Black-Scholes'!$B$6-C1689,0),MAX(C1689-'Black-Scholes'!$B$6,0))</f>
        <v>0</v>
      </c>
      <c r="F1689" s="18" t="n">
        <f aca="false">(E1689+G1689)/2</f>
        <v>8.99783509286018</v>
      </c>
      <c r="G1689" s="18" t="n">
        <f aca="false">EXP(-'Black-Scholes'!$B$8*'Black-Scholes'!$B$7)*IF(LOWER('Black-Scholes'!$B$11)="put",MAX('Black-Scholes'!$B$6-D1689,0),MAX(D1689-'Black-Scholes'!$B$6,0))</f>
        <v>17.9956701857204</v>
      </c>
    </row>
    <row r="1690" customFormat="false" ht="15" hidden="false" customHeight="false" outlineLevel="0" collapsed="false">
      <c r="A1690" s="0" t="n">
        <v>1679</v>
      </c>
      <c r="B1690" s="15" t="n">
        <v>0.415785747034617</v>
      </c>
      <c r="C1690" s="18" t="n">
        <f aca="false">'Black-Scholes'!$B$5*EXP(('Black-Scholes'!$B$8-'Black-Scholes'!$B$10-'Black-Scholes'!$B$9^2/2)*'Black-Scholes'!$B$7+'Black-Scholes'!$B$9*SQRT('Black-Scholes'!$B$7)*B1690)</f>
        <v>111.980789626873</v>
      </c>
      <c r="D1690" s="18" t="n">
        <f aca="false">'Black-Scholes'!$B$5*EXP(('Black-Scholes'!$B$8-'Black-Scholes'!$B$10-'Black-Scholes'!$B$9^2/2)*'Black-Scholes'!$B$7-'Black-Scholes'!$B$9*SQRT('Black-Scholes'!$B$7)*B1690)</f>
        <v>94.8230986835751</v>
      </c>
      <c r="E1690" s="18" t="n">
        <f aca="false">EXP(-'Black-Scholes'!$B$8*'Black-Scholes'!$B$7)*IF(LOWER('Black-Scholes'!$B$11)="put",MAX('Black-Scholes'!$B$6-C1690,0),MAX(C1690-'Black-Scholes'!$B$6,0))</f>
        <v>11.3964796218341</v>
      </c>
      <c r="F1690" s="18" t="n">
        <f aca="false">(E1690+G1690)/2</f>
        <v>5.69823981091703</v>
      </c>
      <c r="G1690" s="18" t="n">
        <f aca="false">EXP(-'Black-Scholes'!$B$8*'Black-Scholes'!$B$7)*IF(LOWER('Black-Scholes'!$B$11)="put",MAX('Black-Scholes'!$B$6-D1690,0),MAX(D1690-'Black-Scholes'!$B$6,0))</f>
        <v>0</v>
      </c>
    </row>
    <row r="1691" customFormat="false" ht="15" hidden="false" customHeight="false" outlineLevel="0" collapsed="false">
      <c r="A1691" s="0" t="n">
        <v>1680</v>
      </c>
      <c r="B1691" s="15" t="n">
        <v>1.4730426850836</v>
      </c>
      <c r="C1691" s="18" t="n">
        <f aca="false">'Black-Scholes'!$B$5*EXP(('Black-Scholes'!$B$8-'Black-Scholes'!$B$10-'Black-Scholes'!$B$9^2/2)*'Black-Scholes'!$B$7+'Black-Scholes'!$B$9*SQRT('Black-Scholes'!$B$7)*B1691)</f>
        <v>138.348895524798</v>
      </c>
      <c r="D1691" s="18" t="n">
        <f aca="false">'Black-Scholes'!$B$5*EXP(('Black-Scholes'!$B$8-'Black-Scholes'!$B$10-'Black-Scholes'!$B$9^2/2)*'Black-Scholes'!$B$7-'Black-Scholes'!$B$9*SQRT('Black-Scholes'!$B$7)*B1691)</f>
        <v>76.7506341498069</v>
      </c>
      <c r="E1691" s="18" t="n">
        <f aca="false">EXP(-'Black-Scholes'!$B$8*'Black-Scholes'!$B$7)*IF(LOWER('Black-Scholes'!$B$11)="put",MAX('Black-Scholes'!$B$6-C1691,0),MAX(C1691-'Black-Scholes'!$B$6,0))</f>
        <v>36.4785978202912</v>
      </c>
      <c r="F1691" s="18" t="n">
        <f aca="false">(E1691+G1691)/2</f>
        <v>18.2392989101456</v>
      </c>
      <c r="G1691" s="18" t="n">
        <f aca="false">EXP(-'Black-Scholes'!$B$8*'Black-Scholes'!$B$7)*IF(LOWER('Black-Scholes'!$B$11)="put",MAX('Black-Scholes'!$B$6-D1691,0),MAX(D1691-'Black-Scholes'!$B$6,0))</f>
        <v>0</v>
      </c>
    </row>
    <row r="1692" customFormat="false" ht="15" hidden="false" customHeight="false" outlineLevel="0" collapsed="false">
      <c r="A1692" s="0" t="n">
        <v>1681</v>
      </c>
      <c r="B1692" s="15" t="n">
        <v>1.8320386964745</v>
      </c>
      <c r="C1692" s="18" t="n">
        <f aca="false">'Black-Scholes'!$B$5*EXP(('Black-Scholes'!$B$8-'Black-Scholes'!$B$10-'Black-Scholes'!$B$9^2/2)*'Black-Scholes'!$B$7+'Black-Scholes'!$B$9*SQRT('Black-Scholes'!$B$7)*B1692)</f>
        <v>148.647528838991</v>
      </c>
      <c r="D1692" s="18" t="n">
        <f aca="false">'Black-Scholes'!$B$5*EXP(('Black-Scholes'!$B$8-'Black-Scholes'!$B$10-'Black-Scholes'!$B$9^2/2)*'Black-Scholes'!$B$7-'Black-Scholes'!$B$9*SQRT('Black-Scholes'!$B$7)*B1692)</f>
        <v>71.4331785290222</v>
      </c>
      <c r="E1692" s="18" t="n">
        <f aca="false">EXP(-'Black-Scholes'!$B$8*'Black-Scholes'!$B$7)*IF(LOWER('Black-Scholes'!$B$11)="put",MAX('Black-Scholes'!$B$6-C1692,0),MAX(C1692-'Black-Scholes'!$B$6,0))</f>
        <v>46.2749608608949</v>
      </c>
      <c r="F1692" s="18" t="n">
        <f aca="false">(E1692+G1692)/2</f>
        <v>23.1374804304475</v>
      </c>
      <c r="G1692" s="18" t="n">
        <f aca="false">EXP(-'Black-Scholes'!$B$8*'Black-Scholes'!$B$7)*IF(LOWER('Black-Scholes'!$B$11)="put",MAX('Black-Scholes'!$B$6-D1692,0),MAX(D1692-'Black-Scholes'!$B$6,0))</f>
        <v>0</v>
      </c>
    </row>
    <row r="1693" customFormat="false" ht="15" hidden="false" customHeight="false" outlineLevel="0" collapsed="false">
      <c r="A1693" s="0" t="n">
        <v>1682</v>
      </c>
      <c r="B1693" s="15" t="n">
        <v>0.737033137782219</v>
      </c>
      <c r="C1693" s="18" t="n">
        <f aca="false">'Black-Scholes'!$B$5*EXP(('Black-Scholes'!$B$8-'Black-Scholes'!$B$10-'Black-Scholes'!$B$9^2/2)*'Black-Scholes'!$B$7+'Black-Scholes'!$B$9*SQRT('Black-Scholes'!$B$7)*B1693)</f>
        <v>119.411655511625</v>
      </c>
      <c r="D1693" s="18" t="n">
        <f aca="false">'Black-Scholes'!$B$5*EXP(('Black-Scholes'!$B$8-'Black-Scholes'!$B$10-'Black-Scholes'!$B$9^2/2)*'Black-Scholes'!$B$7-'Black-Scholes'!$B$9*SQRT('Black-Scholes'!$B$7)*B1693)</f>
        <v>88.9223536844762</v>
      </c>
      <c r="E1693" s="18" t="n">
        <f aca="false">EXP(-'Black-Scholes'!$B$8*'Black-Scholes'!$B$7)*IF(LOWER('Black-Scholes'!$B$11)="put",MAX('Black-Scholes'!$B$6-C1693,0),MAX(C1693-'Black-Scholes'!$B$6,0))</f>
        <v>18.4649379009296</v>
      </c>
      <c r="F1693" s="18" t="n">
        <f aca="false">(E1693+G1693)/2</f>
        <v>9.23246895046479</v>
      </c>
      <c r="G1693" s="18" t="n">
        <f aca="false">EXP(-'Black-Scholes'!$B$8*'Black-Scholes'!$B$7)*IF(LOWER('Black-Scholes'!$B$11)="put",MAX('Black-Scholes'!$B$6-D1693,0),MAX(D1693-'Black-Scholes'!$B$6,0))</f>
        <v>0</v>
      </c>
    </row>
    <row r="1694" customFormat="false" ht="15" hidden="false" customHeight="false" outlineLevel="0" collapsed="false">
      <c r="A1694" s="0" t="n">
        <v>1683</v>
      </c>
      <c r="B1694" s="15" t="n">
        <v>-0.398158771844842</v>
      </c>
      <c r="C1694" s="18" t="n">
        <f aca="false">'Black-Scholes'!$B$5*EXP(('Black-Scholes'!$B$8-'Black-Scholes'!$B$10-'Black-Scholes'!$B$9^2/2)*'Black-Scholes'!$B$7+'Black-Scholes'!$B$9*SQRT('Black-Scholes'!$B$7)*B1694)</f>
        <v>95.1579775083972</v>
      </c>
      <c r="D1694" s="18" t="n">
        <f aca="false">'Black-Scholes'!$B$5*EXP(('Black-Scholes'!$B$8-'Black-Scholes'!$B$10-'Black-Scholes'!$B$9^2/2)*'Black-Scholes'!$B$7-'Black-Scholes'!$B$9*SQRT('Black-Scholes'!$B$7)*B1694)</f>
        <v>111.586708161348</v>
      </c>
      <c r="E1694" s="18" t="n">
        <f aca="false">EXP(-'Black-Scholes'!$B$8*'Black-Scholes'!$B$7)*IF(LOWER('Black-Scholes'!$B$11)="put",MAX('Black-Scholes'!$B$6-C1694,0),MAX(C1694-'Black-Scholes'!$B$6,0))</f>
        <v>0</v>
      </c>
      <c r="F1694" s="18" t="n">
        <f aca="false">(E1694+G1694)/2</f>
        <v>5.51080886808821</v>
      </c>
      <c r="G1694" s="18" t="n">
        <f aca="false">EXP(-'Black-Scholes'!$B$8*'Black-Scholes'!$B$7)*IF(LOWER('Black-Scholes'!$B$11)="put",MAX('Black-Scholes'!$B$6-D1694,0),MAX(D1694-'Black-Scholes'!$B$6,0))</f>
        <v>11.0216177361764</v>
      </c>
    </row>
    <row r="1695" customFormat="false" ht="15" hidden="false" customHeight="false" outlineLevel="0" collapsed="false">
      <c r="A1695" s="0" t="n">
        <v>1684</v>
      </c>
      <c r="B1695" s="15" t="n">
        <v>0.888734967689541</v>
      </c>
      <c r="C1695" s="18" t="n">
        <f aca="false">'Black-Scholes'!$B$5*EXP(('Black-Scholes'!$B$8-'Black-Scholes'!$B$10-'Black-Scholes'!$B$9^2/2)*'Black-Scholes'!$B$7+'Black-Scholes'!$B$9*SQRT('Black-Scholes'!$B$7)*B1695)</f>
        <v>123.090170406381</v>
      </c>
      <c r="D1695" s="18" t="n">
        <f aca="false">'Black-Scholes'!$B$5*EXP(('Black-Scholes'!$B$8-'Black-Scholes'!$B$10-'Black-Scholes'!$B$9^2/2)*'Black-Scholes'!$B$7-'Black-Scholes'!$B$9*SQRT('Black-Scholes'!$B$7)*B1695)</f>
        <v>86.2649343192649</v>
      </c>
      <c r="E1695" s="18" t="n">
        <f aca="false">EXP(-'Black-Scholes'!$B$8*'Black-Scholes'!$B$7)*IF(LOWER('Black-Scholes'!$B$11)="put",MAX('Black-Scholes'!$B$6-C1695,0),MAX(C1695-'Black-Scholes'!$B$6,0))</f>
        <v>21.9640495072853</v>
      </c>
      <c r="F1695" s="18" t="n">
        <f aca="false">(E1695+G1695)/2</f>
        <v>10.9820247536427</v>
      </c>
      <c r="G1695" s="18" t="n">
        <f aca="false">EXP(-'Black-Scholes'!$B$8*'Black-Scholes'!$B$7)*IF(LOWER('Black-Scholes'!$B$11)="put",MAX('Black-Scholes'!$B$6-D1695,0),MAX(D1695-'Black-Scholes'!$B$6,0))</f>
        <v>0</v>
      </c>
    </row>
    <row r="1696" customFormat="false" ht="15" hidden="false" customHeight="false" outlineLevel="0" collapsed="false">
      <c r="A1696" s="0" t="n">
        <v>1685</v>
      </c>
      <c r="B1696" s="15" t="n">
        <v>-1.37611489321467</v>
      </c>
      <c r="C1696" s="18" t="n">
        <f aca="false">'Black-Scholes'!$B$5*EXP(('Black-Scholes'!$B$8-'Black-Scholes'!$B$10-'Black-Scholes'!$B$9^2/2)*'Black-Scholes'!$B$7+'Black-Scholes'!$B$9*SQRT('Black-Scholes'!$B$7)*B1696)</f>
        <v>78.2530031302497</v>
      </c>
      <c r="D1696" s="18" t="n">
        <f aca="false">'Black-Scholes'!$B$5*EXP(('Black-Scholes'!$B$8-'Black-Scholes'!$B$10-'Black-Scholes'!$B$9^2/2)*'Black-Scholes'!$B$7-'Black-Scholes'!$B$9*SQRT('Black-Scholes'!$B$7)*B1696)</f>
        <v>135.692753513621</v>
      </c>
      <c r="E1696" s="18" t="n">
        <f aca="false">EXP(-'Black-Scholes'!$B$8*'Black-Scholes'!$B$7)*IF(LOWER('Black-Scholes'!$B$11)="put",MAX('Black-Scholes'!$B$6-C1696,0),MAX(C1696-'Black-Scholes'!$B$6,0))</f>
        <v>0</v>
      </c>
      <c r="F1696" s="18" t="n">
        <f aca="false">(E1696+G1696)/2</f>
        <v>16.9759986918039</v>
      </c>
      <c r="G1696" s="18" t="n">
        <f aca="false">EXP(-'Black-Scholes'!$B$8*'Black-Scholes'!$B$7)*IF(LOWER('Black-Scholes'!$B$11)="put",MAX('Black-Scholes'!$B$6-D1696,0),MAX(D1696-'Black-Scholes'!$B$6,0))</f>
        <v>33.9519973836077</v>
      </c>
    </row>
    <row r="1697" customFormat="false" ht="15" hidden="false" customHeight="false" outlineLevel="0" collapsed="false">
      <c r="A1697" s="0" t="n">
        <v>1686</v>
      </c>
      <c r="B1697" s="15" t="n">
        <v>-2.51714060358493</v>
      </c>
      <c r="C1697" s="18" t="n">
        <f aca="false">'Black-Scholes'!$B$5*EXP(('Black-Scholes'!$B$8-'Black-Scholes'!$B$10-'Black-Scholes'!$B$9^2/2)*'Black-Scholes'!$B$7+'Black-Scholes'!$B$9*SQRT('Black-Scholes'!$B$7)*B1697)</f>
        <v>62.286335338259</v>
      </c>
      <c r="D1697" s="18" t="n">
        <f aca="false">'Black-Scholes'!$B$5*EXP(('Black-Scholes'!$B$8-'Black-Scholes'!$B$10-'Black-Scholes'!$B$9^2/2)*'Black-Scholes'!$B$7-'Black-Scholes'!$B$9*SQRT('Black-Scholes'!$B$7)*B1697)</f>
        <v>170.476644801598</v>
      </c>
      <c r="E1697" s="18" t="n">
        <f aca="false">EXP(-'Black-Scholes'!$B$8*'Black-Scholes'!$B$7)*IF(LOWER('Black-Scholes'!$B$11)="put",MAX('Black-Scholes'!$B$6-C1697,0),MAX(C1697-'Black-Scholes'!$B$6,0))</f>
        <v>0</v>
      </c>
      <c r="F1697" s="18" t="n">
        <f aca="false">(E1697+G1697)/2</f>
        <v>33.5197291376826</v>
      </c>
      <c r="G1697" s="18" t="n">
        <f aca="false">EXP(-'Black-Scholes'!$B$8*'Black-Scholes'!$B$7)*IF(LOWER('Black-Scholes'!$B$11)="put",MAX('Black-Scholes'!$B$6-D1697,0),MAX(D1697-'Black-Scholes'!$B$6,0))</f>
        <v>67.0394582753652</v>
      </c>
    </row>
    <row r="1698" customFormat="false" ht="15" hidden="false" customHeight="false" outlineLevel="0" collapsed="false">
      <c r="A1698" s="0" t="n">
        <v>1687</v>
      </c>
      <c r="B1698" s="15" t="n">
        <v>-1.29886563124393</v>
      </c>
      <c r="C1698" s="18" t="n">
        <f aca="false">'Black-Scholes'!$B$5*EXP(('Black-Scholes'!$B$8-'Black-Scholes'!$B$10-'Black-Scholes'!$B$9^2/2)*'Black-Scholes'!$B$7+'Black-Scholes'!$B$9*SQRT('Black-Scholes'!$B$7)*B1698)</f>
        <v>79.4713881771743</v>
      </c>
      <c r="D1698" s="18" t="n">
        <f aca="false">'Black-Scholes'!$B$5*EXP(('Black-Scholes'!$B$8-'Black-Scholes'!$B$10-'Black-Scholes'!$B$9^2/2)*'Black-Scholes'!$B$7-'Black-Scholes'!$B$9*SQRT('Black-Scholes'!$B$7)*B1698)</f>
        <v>133.612432209953</v>
      </c>
      <c r="E1698" s="18" t="n">
        <f aca="false">EXP(-'Black-Scholes'!$B$8*'Black-Scholes'!$B$7)*IF(LOWER('Black-Scholes'!$B$11)="put",MAX('Black-Scholes'!$B$6-C1698,0),MAX(C1698-'Black-Scholes'!$B$6,0))</f>
        <v>0</v>
      </c>
      <c r="F1698" s="18" t="n">
        <f aca="false">(E1698+G1698)/2</f>
        <v>15.9865672735716</v>
      </c>
      <c r="G1698" s="18" t="n">
        <f aca="false">EXP(-'Black-Scholes'!$B$8*'Black-Scholes'!$B$7)*IF(LOWER('Black-Scholes'!$B$11)="put",MAX('Black-Scholes'!$B$6-D1698,0),MAX(D1698-'Black-Scholes'!$B$6,0))</f>
        <v>31.9731345471432</v>
      </c>
    </row>
    <row r="1699" customFormat="false" ht="15" hidden="false" customHeight="false" outlineLevel="0" collapsed="false">
      <c r="A1699" s="0" t="n">
        <v>1688</v>
      </c>
      <c r="B1699" s="15" t="n">
        <v>0.478825717138717</v>
      </c>
      <c r="C1699" s="18" t="n">
        <f aca="false">'Black-Scholes'!$B$5*EXP(('Black-Scholes'!$B$8-'Black-Scholes'!$B$10-'Black-Scholes'!$B$9^2/2)*'Black-Scholes'!$B$7+'Black-Scholes'!$B$9*SQRT('Black-Scholes'!$B$7)*B1699)</f>
        <v>113.401580594071</v>
      </c>
      <c r="D1699" s="18" t="n">
        <f aca="false">'Black-Scholes'!$B$5*EXP(('Black-Scholes'!$B$8-'Black-Scholes'!$B$10-'Black-Scholes'!$B$9^2/2)*'Black-Scholes'!$B$7-'Black-Scholes'!$B$9*SQRT('Black-Scholes'!$B$7)*B1699)</f>
        <v>93.6350746596982</v>
      </c>
      <c r="E1699" s="18" t="n">
        <f aca="false">EXP(-'Black-Scholes'!$B$8*'Black-Scholes'!$B$7)*IF(LOWER('Black-Scholes'!$B$11)="put",MAX('Black-Scholes'!$B$6-C1699,0),MAX(C1699-'Black-Scholes'!$B$6,0))</f>
        <v>12.7479777958979</v>
      </c>
      <c r="F1699" s="18" t="n">
        <f aca="false">(E1699+G1699)/2</f>
        <v>6.37398889794895</v>
      </c>
      <c r="G1699" s="18" t="n">
        <f aca="false">EXP(-'Black-Scholes'!$B$8*'Black-Scholes'!$B$7)*IF(LOWER('Black-Scholes'!$B$11)="put",MAX('Black-Scholes'!$B$6-D1699,0),MAX(D1699-'Black-Scholes'!$B$6,0))</f>
        <v>0</v>
      </c>
    </row>
    <row r="1700" customFormat="false" ht="15" hidden="false" customHeight="false" outlineLevel="0" collapsed="false">
      <c r="A1700" s="0" t="n">
        <v>1689</v>
      </c>
      <c r="B1700" s="15" t="n">
        <v>2.61734306042346</v>
      </c>
      <c r="C1700" s="18" t="n">
        <f aca="false">'Black-Scholes'!$B$5*EXP(('Black-Scholes'!$B$8-'Black-Scholes'!$B$10-'Black-Scholes'!$B$9^2/2)*'Black-Scholes'!$B$7+'Black-Scholes'!$B$9*SQRT('Black-Scholes'!$B$7)*B1700)</f>
        <v>173.92754389141</v>
      </c>
      <c r="D1700" s="18" t="n">
        <f aca="false">'Black-Scholes'!$B$5*EXP(('Black-Scholes'!$B$8-'Black-Scholes'!$B$10-'Black-Scholes'!$B$9^2/2)*'Black-Scholes'!$B$7-'Black-Scholes'!$B$9*SQRT('Black-Scholes'!$B$7)*B1700)</f>
        <v>61.0505111949554</v>
      </c>
      <c r="E1700" s="18" t="n">
        <f aca="false">EXP(-'Black-Scholes'!$B$8*'Black-Scholes'!$B$7)*IF(LOWER('Black-Scholes'!$B$11)="put",MAX('Black-Scholes'!$B$6-C1700,0),MAX(C1700-'Black-Scholes'!$B$6,0))</f>
        <v>70.3220550305769</v>
      </c>
      <c r="F1700" s="18" t="n">
        <f aca="false">(E1700+G1700)/2</f>
        <v>35.1610275152885</v>
      </c>
      <c r="G1700" s="18" t="n">
        <f aca="false">EXP(-'Black-Scholes'!$B$8*'Black-Scholes'!$B$7)*IF(LOWER('Black-Scholes'!$B$11)="put",MAX('Black-Scholes'!$B$6-D1700,0),MAX(D1700-'Black-Scholes'!$B$6,0))</f>
        <v>0</v>
      </c>
    </row>
    <row r="1701" customFormat="false" ht="15" hidden="false" customHeight="false" outlineLevel="0" collapsed="false">
      <c r="A1701" s="0" t="n">
        <v>1690</v>
      </c>
      <c r="B1701" s="15" t="n">
        <v>0.913181632160182</v>
      </c>
      <c r="C1701" s="18" t="n">
        <f aca="false">'Black-Scholes'!$B$5*EXP(('Black-Scholes'!$B$8-'Black-Scholes'!$B$10-'Black-Scholes'!$B$9^2/2)*'Black-Scholes'!$B$7+'Black-Scholes'!$B$9*SQRT('Black-Scholes'!$B$7)*B1701)</f>
        <v>123.693472896992</v>
      </c>
      <c r="D1701" s="18" t="n">
        <f aca="false">'Black-Scholes'!$B$5*EXP(('Black-Scholes'!$B$8-'Black-Scholes'!$B$10-'Black-Scholes'!$B$9^2/2)*'Black-Scholes'!$B$7-'Black-Scholes'!$B$9*SQRT('Black-Scholes'!$B$7)*B1701)</f>
        <v>85.844185766344</v>
      </c>
      <c r="E1701" s="18" t="n">
        <f aca="false">EXP(-'Black-Scholes'!$B$8*'Black-Scholes'!$B$7)*IF(LOWER('Black-Scholes'!$B$11)="put",MAX('Black-Scholes'!$B$6-C1701,0),MAX(C1701-'Black-Scholes'!$B$6,0))</f>
        <v>22.5379285882288</v>
      </c>
      <c r="F1701" s="18" t="n">
        <f aca="false">(E1701+G1701)/2</f>
        <v>11.2689642941144</v>
      </c>
      <c r="G1701" s="18" t="n">
        <f aca="false">EXP(-'Black-Scholes'!$B$8*'Black-Scholes'!$B$7)*IF(LOWER('Black-Scholes'!$B$11)="put",MAX('Black-Scholes'!$B$6-D1701,0),MAX(D1701-'Black-Scholes'!$B$6,0))</f>
        <v>0</v>
      </c>
    </row>
    <row r="1702" customFormat="false" ht="15" hidden="false" customHeight="false" outlineLevel="0" collapsed="false">
      <c r="A1702" s="0" t="n">
        <v>1691</v>
      </c>
      <c r="B1702" s="15" t="n">
        <v>1.83154406185465</v>
      </c>
      <c r="C1702" s="18" t="n">
        <f aca="false">'Black-Scholes'!$B$5*EXP(('Black-Scholes'!$B$8-'Black-Scholes'!$B$10-'Black-Scholes'!$B$9^2/2)*'Black-Scholes'!$B$7+'Black-Scholes'!$B$9*SQRT('Black-Scholes'!$B$7)*B1702)</f>
        <v>148.632824323555</v>
      </c>
      <c r="D1702" s="18" t="n">
        <f aca="false">'Black-Scholes'!$B$5*EXP(('Black-Scholes'!$B$8-'Black-Scholes'!$B$10-'Black-Scholes'!$B$9^2/2)*'Black-Scholes'!$B$7-'Black-Scholes'!$B$9*SQRT('Black-Scholes'!$B$7)*B1702)</f>
        <v>71.4402455431967</v>
      </c>
      <c r="E1702" s="18" t="n">
        <f aca="false">EXP(-'Black-Scholes'!$B$8*'Black-Scholes'!$B$7)*IF(LOWER('Black-Scholes'!$B$11)="put",MAX('Black-Scholes'!$B$6-C1702,0),MAX(C1702-'Black-Scholes'!$B$6,0))</f>
        <v>46.2609734931397</v>
      </c>
      <c r="F1702" s="18" t="n">
        <f aca="false">(E1702+G1702)/2</f>
        <v>23.1304867465699</v>
      </c>
      <c r="G1702" s="18" t="n">
        <f aca="false">EXP(-'Black-Scholes'!$B$8*'Black-Scholes'!$B$7)*IF(LOWER('Black-Scholes'!$B$11)="put",MAX('Black-Scholes'!$B$6-D1702,0),MAX(D1702-'Black-Scholes'!$B$6,0))</f>
        <v>0</v>
      </c>
    </row>
    <row r="1703" customFormat="false" ht="15" hidden="false" customHeight="false" outlineLevel="0" collapsed="false">
      <c r="A1703" s="0" t="n">
        <v>1692</v>
      </c>
      <c r="B1703" s="15" t="n">
        <v>-0.11654368856797</v>
      </c>
      <c r="C1703" s="18" t="n">
        <f aca="false">'Black-Scholes'!$B$5*EXP(('Black-Scholes'!$B$8-'Black-Scholes'!$B$10-'Black-Scholes'!$B$9^2/2)*'Black-Scholes'!$B$7+'Black-Scholes'!$B$9*SQRT('Black-Scholes'!$B$7)*B1703)</f>
        <v>100.671369879684</v>
      </c>
      <c r="D1703" s="18" t="n">
        <f aca="false">'Black-Scholes'!$B$5*EXP(('Black-Scholes'!$B$8-'Black-Scholes'!$B$10-'Black-Scholes'!$B$9^2/2)*'Black-Scholes'!$B$7-'Black-Scholes'!$B$9*SQRT('Black-Scholes'!$B$7)*B1703)</f>
        <v>105.475523757588</v>
      </c>
      <c r="E1703" s="18" t="n">
        <f aca="false">EXP(-'Black-Scholes'!$B$8*'Black-Scholes'!$B$7)*IF(LOWER('Black-Scholes'!$B$11)="put",MAX('Black-Scholes'!$B$6-C1703,0),MAX(C1703-'Black-Scholes'!$B$6,0))</f>
        <v>0.638626784279</v>
      </c>
      <c r="F1703" s="18" t="n">
        <f aca="false">(E1703+G1703)/2</f>
        <v>2.92355304852494</v>
      </c>
      <c r="G1703" s="18" t="n">
        <f aca="false">EXP(-'Black-Scholes'!$B$8*'Black-Scholes'!$B$7)*IF(LOWER('Black-Scholes'!$B$11)="put",MAX('Black-Scholes'!$B$6-D1703,0),MAX(D1703-'Black-Scholes'!$B$6,0))</f>
        <v>5.20847931277089</v>
      </c>
    </row>
    <row r="1704" customFormat="false" ht="15" hidden="false" customHeight="false" outlineLevel="0" collapsed="false">
      <c r="A1704" s="0" t="n">
        <v>1693</v>
      </c>
      <c r="B1704" s="15" t="n">
        <v>-0.418289209072935</v>
      </c>
      <c r="C1704" s="18" t="n">
        <f aca="false">'Black-Scholes'!$B$5*EXP(('Black-Scholes'!$B$8-'Black-Scholes'!$B$10-'Black-Scholes'!$B$9^2/2)*'Black-Scholes'!$B$7+'Black-Scholes'!$B$9*SQRT('Black-Scholes'!$B$7)*B1704)</f>
        <v>94.7756333617479</v>
      </c>
      <c r="D1704" s="18" t="n">
        <f aca="false">'Black-Scholes'!$B$5*EXP(('Black-Scholes'!$B$8-'Black-Scholes'!$B$10-'Black-Scholes'!$B$9^2/2)*'Black-Scholes'!$B$7-'Black-Scholes'!$B$9*SQRT('Black-Scholes'!$B$7)*B1704)</f>
        <v>112.036871596779</v>
      </c>
      <c r="E1704" s="18" t="n">
        <f aca="false">EXP(-'Black-Scholes'!$B$8*'Black-Scholes'!$B$7)*IF(LOWER('Black-Scholes'!$B$11)="put",MAX('Black-Scholes'!$B$6-C1704,0),MAX(C1704-'Black-Scholes'!$B$6,0))</f>
        <v>0</v>
      </c>
      <c r="F1704" s="18" t="n">
        <f aca="false">(E1704+G1704)/2</f>
        <v>5.72491322089677</v>
      </c>
      <c r="G1704" s="18" t="n">
        <f aca="false">EXP(-'Black-Scholes'!$B$8*'Black-Scholes'!$B$7)*IF(LOWER('Black-Scholes'!$B$11)="put",MAX('Black-Scholes'!$B$6-D1704,0),MAX(D1704-'Black-Scholes'!$B$6,0))</f>
        <v>11.4498264417935</v>
      </c>
    </row>
    <row r="1705" customFormat="false" ht="15" hidden="false" customHeight="false" outlineLevel="0" collapsed="false">
      <c r="A1705" s="0" t="n">
        <v>1694</v>
      </c>
      <c r="B1705" s="15" t="n">
        <v>0.108155807416939</v>
      </c>
      <c r="C1705" s="18" t="n">
        <f aca="false">'Black-Scholes'!$B$5*EXP(('Black-Scholes'!$B$8-'Black-Scholes'!$B$10-'Black-Scholes'!$B$9^2/2)*'Black-Scholes'!$B$7+'Black-Scholes'!$B$9*SQRT('Black-Scholes'!$B$7)*B1705)</f>
        <v>105.298728860985</v>
      </c>
      <c r="D1705" s="18" t="n">
        <f aca="false">'Black-Scholes'!$B$5*EXP(('Black-Scholes'!$B$8-'Black-Scholes'!$B$10-'Black-Scholes'!$B$9^2/2)*'Black-Scholes'!$B$7-'Black-Scholes'!$B$9*SQRT('Black-Scholes'!$B$7)*B1705)</f>
        <v>100.840395513909</v>
      </c>
      <c r="E1705" s="18" t="n">
        <f aca="false">EXP(-'Black-Scholes'!$B$8*'Black-Scholes'!$B$7)*IF(LOWER('Black-Scholes'!$B$11)="put",MAX('Black-Scholes'!$B$6-C1705,0),MAX(C1705-'Black-Scholes'!$B$6,0))</f>
        <v>5.04030680501966</v>
      </c>
      <c r="F1705" s="18" t="n">
        <f aca="false">(E1705+G1705)/2</f>
        <v>2.91985787303437</v>
      </c>
      <c r="G1705" s="18" t="n">
        <f aca="false">EXP(-'Black-Scholes'!$B$8*'Black-Scholes'!$B$7)*IF(LOWER('Black-Scholes'!$B$11)="put",MAX('Black-Scholes'!$B$6-D1705,0),MAX(D1705-'Black-Scholes'!$B$6,0))</f>
        <v>0.799408941049087</v>
      </c>
    </row>
    <row r="1706" customFormat="false" ht="15" hidden="false" customHeight="false" outlineLevel="0" collapsed="false">
      <c r="A1706" s="0" t="n">
        <v>1695</v>
      </c>
      <c r="B1706" s="15" t="n">
        <v>0.161823144277964</v>
      </c>
      <c r="C1706" s="18" t="n">
        <f aca="false">'Black-Scholes'!$B$5*EXP(('Black-Scholes'!$B$8-'Black-Scholes'!$B$10-'Black-Scholes'!$B$9^2/2)*'Black-Scholes'!$B$7+'Black-Scholes'!$B$9*SQRT('Black-Scholes'!$B$7)*B1706)</f>
        <v>106.435036683792</v>
      </c>
      <c r="D1706" s="18" t="n">
        <f aca="false">'Black-Scholes'!$B$5*EXP(('Black-Scholes'!$B$8-'Black-Scholes'!$B$10-'Black-Scholes'!$B$9^2/2)*'Black-Scholes'!$B$7-'Black-Scholes'!$B$9*SQRT('Black-Scholes'!$B$7)*B1706)</f>
        <v>99.7638164676897</v>
      </c>
      <c r="E1706" s="18" t="n">
        <f aca="false">EXP(-'Black-Scholes'!$B$8*'Black-Scholes'!$B$7)*IF(LOWER('Black-Scholes'!$B$11)="put",MAX('Black-Scholes'!$B$6-C1706,0),MAX(C1706-'Black-Scholes'!$B$6,0))</f>
        <v>6.12119624136402</v>
      </c>
      <c r="F1706" s="18" t="n">
        <f aca="false">(E1706+G1706)/2</f>
        <v>3.06059812068201</v>
      </c>
      <c r="G1706" s="18" t="n">
        <f aca="false">EXP(-'Black-Scholes'!$B$8*'Black-Scholes'!$B$7)*IF(LOWER('Black-Scholes'!$B$11)="put",MAX('Black-Scholes'!$B$6-D1706,0),MAX(D1706-'Black-Scholes'!$B$6,0))</f>
        <v>0</v>
      </c>
    </row>
    <row r="1707" customFormat="false" ht="15" hidden="false" customHeight="false" outlineLevel="0" collapsed="false">
      <c r="A1707" s="0" t="n">
        <v>1696</v>
      </c>
      <c r="B1707" s="15" t="n">
        <v>-0.614269163262566</v>
      </c>
      <c r="C1707" s="18" t="n">
        <f aca="false">'Black-Scholes'!$B$5*EXP(('Black-Scholes'!$B$8-'Black-Scholes'!$B$10-'Black-Scholes'!$B$9^2/2)*'Black-Scholes'!$B$7+'Black-Scholes'!$B$9*SQRT('Black-Scholes'!$B$7)*B1707)</f>
        <v>91.1326696767376</v>
      </c>
      <c r="D1707" s="18" t="n">
        <f aca="false">'Black-Scholes'!$B$5*EXP(('Black-Scholes'!$B$8-'Black-Scholes'!$B$10-'Black-Scholes'!$B$9^2/2)*'Black-Scholes'!$B$7-'Black-Scholes'!$B$9*SQRT('Black-Scholes'!$B$7)*B1707)</f>
        <v>116.515465892952</v>
      </c>
      <c r="E1707" s="18" t="n">
        <f aca="false">EXP(-'Black-Scholes'!$B$8*'Black-Scholes'!$B$7)*IF(LOWER('Black-Scholes'!$B$11)="put",MAX('Black-Scholes'!$B$6-C1707,0),MAX(C1707-'Black-Scholes'!$B$6,0))</f>
        <v>0</v>
      </c>
      <c r="F1707" s="18" t="n">
        <f aca="false">(E1707+G1707)/2</f>
        <v>7.85499855835701</v>
      </c>
      <c r="G1707" s="18" t="n">
        <f aca="false">EXP(-'Black-Scholes'!$B$8*'Black-Scholes'!$B$7)*IF(LOWER('Black-Scholes'!$B$11)="put",MAX('Black-Scholes'!$B$6-D1707,0),MAX(D1707-'Black-Scholes'!$B$6,0))</f>
        <v>15.709997116714</v>
      </c>
    </row>
    <row r="1708" customFormat="false" ht="15" hidden="false" customHeight="false" outlineLevel="0" collapsed="false">
      <c r="A1708" s="0" t="n">
        <v>1697</v>
      </c>
      <c r="B1708" s="15" t="n">
        <v>-1.44813636843275</v>
      </c>
      <c r="C1708" s="18" t="n">
        <f aca="false">'Black-Scholes'!$B$5*EXP(('Black-Scholes'!$B$8-'Black-Scholes'!$B$10-'Black-Scholes'!$B$9^2/2)*'Black-Scholes'!$B$7+'Black-Scholes'!$B$9*SQRT('Black-Scholes'!$B$7)*B1708)</f>
        <v>77.1339030584411</v>
      </c>
      <c r="D1708" s="18" t="n">
        <f aca="false">'Black-Scholes'!$B$5*EXP(('Black-Scholes'!$B$8-'Black-Scholes'!$B$10-'Black-Scholes'!$B$9^2/2)*'Black-Scholes'!$B$7-'Black-Scholes'!$B$9*SQRT('Black-Scholes'!$B$7)*B1708)</f>
        <v>137.6614568228</v>
      </c>
      <c r="E1708" s="18" t="n">
        <f aca="false">EXP(-'Black-Scholes'!$B$8*'Black-Scholes'!$B$7)*IF(LOWER('Black-Scholes'!$B$11)="put",MAX('Black-Scholes'!$B$6-C1708,0),MAX(C1708-'Black-Scholes'!$B$6,0))</f>
        <v>0</v>
      </c>
      <c r="F1708" s="18" t="n">
        <f aca="false">(E1708+G1708)/2</f>
        <v>17.9123429497051</v>
      </c>
      <c r="G1708" s="18" t="n">
        <f aca="false">EXP(-'Black-Scholes'!$B$8*'Black-Scholes'!$B$7)*IF(LOWER('Black-Scholes'!$B$11)="put",MAX('Black-Scholes'!$B$6-D1708,0),MAX(D1708-'Black-Scholes'!$B$6,0))</f>
        <v>35.8246858994101</v>
      </c>
    </row>
    <row r="1709" customFormat="false" ht="15" hidden="false" customHeight="false" outlineLevel="0" collapsed="false">
      <c r="A1709" s="0" t="n">
        <v>1698</v>
      </c>
      <c r="B1709" s="15" t="n">
        <v>1.46279516323211</v>
      </c>
      <c r="C1709" s="18" t="n">
        <f aca="false">'Black-Scholes'!$B$5*EXP(('Black-Scholes'!$B$8-'Black-Scholes'!$B$10-'Black-Scholes'!$B$9^2/2)*'Black-Scholes'!$B$7+'Black-Scholes'!$B$9*SQRT('Black-Scholes'!$B$7)*B1709)</f>
        <v>138.065639225456</v>
      </c>
      <c r="D1709" s="18" t="n">
        <f aca="false">'Black-Scholes'!$B$5*EXP(('Black-Scholes'!$B$8-'Black-Scholes'!$B$10-'Black-Scholes'!$B$9^2/2)*'Black-Scholes'!$B$7-'Black-Scholes'!$B$9*SQRT('Black-Scholes'!$B$7)*B1709)</f>
        <v>76.9080962143969</v>
      </c>
      <c r="E1709" s="18" t="n">
        <f aca="false">EXP(-'Black-Scholes'!$B$8*'Black-Scholes'!$B$7)*IF(LOWER('Black-Scholes'!$B$11)="put",MAX('Black-Scholes'!$B$6-C1709,0),MAX(C1709-'Black-Scholes'!$B$6,0))</f>
        <v>36.2091560936825</v>
      </c>
      <c r="F1709" s="18" t="n">
        <f aca="false">(E1709+G1709)/2</f>
        <v>18.1045780468413</v>
      </c>
      <c r="G1709" s="18" t="n">
        <f aca="false">EXP(-'Black-Scholes'!$B$8*'Black-Scholes'!$B$7)*IF(LOWER('Black-Scholes'!$B$11)="put",MAX('Black-Scholes'!$B$6-D1709,0),MAX(D1709-'Black-Scholes'!$B$6,0))</f>
        <v>0</v>
      </c>
    </row>
    <row r="1710" customFormat="false" ht="15" hidden="false" customHeight="false" outlineLevel="0" collapsed="false">
      <c r="A1710" s="0" t="n">
        <v>1699</v>
      </c>
      <c r="B1710" s="15" t="n">
        <v>-0.94776654723355</v>
      </c>
      <c r="C1710" s="18" t="n">
        <f aca="false">'Black-Scholes'!$B$5*EXP(('Black-Scholes'!$B$8-'Black-Scholes'!$B$10-'Black-Scholes'!$B$9^2/2)*'Black-Scholes'!$B$7+'Black-Scholes'!$B$9*SQRT('Black-Scholes'!$B$7)*B1710)</f>
        <v>85.2524518574616</v>
      </c>
      <c r="D1710" s="18" t="n">
        <f aca="false">'Black-Scholes'!$B$5*EXP(('Black-Scholes'!$B$8-'Black-Scholes'!$B$10-'Black-Scholes'!$B$9^2/2)*'Black-Scholes'!$B$7-'Black-Scholes'!$B$9*SQRT('Black-Scholes'!$B$7)*B1710)</f>
        <v>124.552024418102</v>
      </c>
      <c r="E1710" s="18" t="n">
        <f aca="false">EXP(-'Black-Scholes'!$B$8*'Black-Scholes'!$B$7)*IF(LOWER('Black-Scholes'!$B$11)="put",MAX('Black-Scholes'!$B$6-C1710,0),MAX(C1710-'Black-Scholes'!$B$6,0))</f>
        <v>0</v>
      </c>
      <c r="F1710" s="18" t="n">
        <f aca="false">(E1710+G1710)/2</f>
        <v>11.6773040287792</v>
      </c>
      <c r="G1710" s="18" t="n">
        <f aca="false">EXP(-'Black-Scholes'!$B$8*'Black-Scholes'!$B$7)*IF(LOWER('Black-Scholes'!$B$11)="put",MAX('Black-Scholes'!$B$6-D1710,0),MAX(D1710-'Black-Scholes'!$B$6,0))</f>
        <v>23.3546080575583</v>
      </c>
    </row>
    <row r="1711" customFormat="false" ht="15" hidden="false" customHeight="false" outlineLevel="0" collapsed="false">
      <c r="A1711" s="0" t="n">
        <v>1700</v>
      </c>
      <c r="B1711" s="15" t="n">
        <v>-0.00361911607747603</v>
      </c>
      <c r="C1711" s="18" t="n">
        <f aca="false">'Black-Scholes'!$B$5*EXP(('Black-Scholes'!$B$8-'Black-Scholes'!$B$10-'Black-Scholes'!$B$9^2/2)*'Black-Scholes'!$B$7+'Black-Scholes'!$B$9*SQRT('Black-Scholes'!$B$7)*B1711)</f>
        <v>102.970893691211</v>
      </c>
      <c r="D1711" s="18" t="n">
        <f aca="false">'Black-Scholes'!$B$5*EXP(('Black-Scholes'!$B$8-'Black-Scholes'!$B$10-'Black-Scholes'!$B$9^2/2)*'Black-Scholes'!$B$7-'Black-Scholes'!$B$9*SQRT('Black-Scholes'!$B$7)*B1711)</f>
        <v>103.120067087074</v>
      </c>
      <c r="E1711" s="18" t="n">
        <f aca="false">EXP(-'Black-Scholes'!$B$8*'Black-Scholes'!$B$7)*IF(LOWER('Black-Scholes'!$B$11)="put",MAX('Black-Scholes'!$B$6-C1711,0),MAX(C1711-'Black-Scholes'!$B$6,0))</f>
        <v>2.82600149614304</v>
      </c>
      <c r="F1711" s="18" t="n">
        <f aca="false">(E1711+G1711)/2</f>
        <v>2.89695055789202</v>
      </c>
      <c r="G1711" s="18" t="n">
        <f aca="false">EXP(-'Black-Scholes'!$B$8*'Black-Scholes'!$B$7)*IF(LOWER('Black-Scholes'!$B$11)="put",MAX('Black-Scholes'!$B$6-D1711,0),MAX(D1711-'Black-Scholes'!$B$6,0))</f>
        <v>2.967899619641</v>
      </c>
    </row>
    <row r="1712" customFormat="false" ht="15" hidden="false" customHeight="false" outlineLevel="0" collapsed="false">
      <c r="A1712" s="0" t="n">
        <v>1701</v>
      </c>
      <c r="B1712" s="15" t="n">
        <v>-0.22259281946305</v>
      </c>
      <c r="C1712" s="18" t="n">
        <f aca="false">'Black-Scholes'!$B$5*EXP(('Black-Scholes'!$B$8-'Black-Scholes'!$B$10-'Black-Scholes'!$B$9^2/2)*'Black-Scholes'!$B$7+'Black-Scholes'!$B$9*SQRT('Black-Scholes'!$B$7)*B1712)</f>
        <v>98.5586322243912</v>
      </c>
      <c r="D1712" s="18" t="n">
        <f aca="false">'Black-Scholes'!$B$5*EXP(('Black-Scholes'!$B$8-'Black-Scholes'!$B$10-'Black-Scholes'!$B$9^2/2)*'Black-Scholes'!$B$7-'Black-Scholes'!$B$9*SQRT('Black-Scholes'!$B$7)*B1712)</f>
        <v>107.736534343115</v>
      </c>
      <c r="E1712" s="18" t="n">
        <f aca="false">EXP(-'Black-Scholes'!$B$8*'Black-Scholes'!$B$7)*IF(LOWER('Black-Scholes'!$B$11)="put",MAX('Black-Scholes'!$B$6-C1712,0),MAX(C1712-'Black-Scholes'!$B$6,0))</f>
        <v>0</v>
      </c>
      <c r="F1712" s="18" t="n">
        <f aca="false">(E1712+G1712)/2</f>
        <v>3.67960955541581</v>
      </c>
      <c r="G1712" s="18" t="n">
        <f aca="false">EXP(-'Black-Scholes'!$B$8*'Black-Scholes'!$B$7)*IF(LOWER('Black-Scholes'!$B$11)="put",MAX('Black-Scholes'!$B$6-D1712,0),MAX(D1712-'Black-Scholes'!$B$6,0))</f>
        <v>7.35921911083161</v>
      </c>
    </row>
    <row r="1713" customFormat="false" ht="15" hidden="false" customHeight="false" outlineLevel="0" collapsed="false">
      <c r="A1713" s="0" t="n">
        <v>1702</v>
      </c>
      <c r="B1713" s="15" t="n">
        <v>1.00024814478975</v>
      </c>
      <c r="C1713" s="18" t="n">
        <f aca="false">'Black-Scholes'!$B$5*EXP(('Black-Scholes'!$B$8-'Black-Scholes'!$B$10-'Black-Scholes'!$B$9^2/2)*'Black-Scholes'!$B$7+'Black-Scholes'!$B$9*SQRT('Black-Scholes'!$B$7)*B1713)</f>
        <v>125.866247448646</v>
      </c>
      <c r="D1713" s="18" t="n">
        <f aca="false">'Black-Scholes'!$B$5*EXP(('Black-Scholes'!$B$8-'Black-Scholes'!$B$10-'Black-Scholes'!$B$9^2/2)*'Black-Scholes'!$B$7-'Black-Scholes'!$B$9*SQRT('Black-Scholes'!$B$7)*B1713)</f>
        <v>84.3622947429646</v>
      </c>
      <c r="E1713" s="18" t="n">
        <f aca="false">EXP(-'Black-Scholes'!$B$8*'Black-Scholes'!$B$7)*IF(LOWER('Black-Scholes'!$B$11)="put",MAX('Black-Scholes'!$B$6-C1713,0),MAX(C1713-'Black-Scholes'!$B$6,0))</f>
        <v>24.6047356745686</v>
      </c>
      <c r="F1713" s="18" t="n">
        <f aca="false">(E1713+G1713)/2</f>
        <v>12.3023678372843</v>
      </c>
      <c r="G1713" s="18" t="n">
        <f aca="false">EXP(-'Black-Scholes'!$B$8*'Black-Scholes'!$B$7)*IF(LOWER('Black-Scholes'!$B$11)="put",MAX('Black-Scholes'!$B$6-D1713,0),MAX(D1713-'Black-Scholes'!$B$6,0))</f>
        <v>0</v>
      </c>
    </row>
    <row r="1714" customFormat="false" ht="15" hidden="false" customHeight="false" outlineLevel="0" collapsed="false">
      <c r="A1714" s="0" t="n">
        <v>1703</v>
      </c>
      <c r="B1714" s="15" t="n">
        <v>-1.26529582199036</v>
      </c>
      <c r="C1714" s="18" t="n">
        <f aca="false">'Black-Scholes'!$B$5*EXP(('Black-Scholes'!$B$8-'Black-Scholes'!$B$10-'Black-Scholes'!$B$9^2/2)*'Black-Scholes'!$B$7+'Black-Scholes'!$B$9*SQRT('Black-Scholes'!$B$7)*B1714)</f>
        <v>80.0067512381452</v>
      </c>
      <c r="D1714" s="18" t="n">
        <f aca="false">'Black-Scholes'!$B$5*EXP(('Black-Scholes'!$B$8-'Black-Scholes'!$B$10-'Black-Scholes'!$B$9^2/2)*'Black-Scholes'!$B$7-'Black-Scholes'!$B$9*SQRT('Black-Scholes'!$B$7)*B1714)</f>
        <v>132.7183681518</v>
      </c>
      <c r="E1714" s="18" t="n">
        <f aca="false">EXP(-'Black-Scholes'!$B$8*'Black-Scholes'!$B$7)*IF(LOWER('Black-Scholes'!$B$11)="put",MAX('Black-Scholes'!$B$6-C1714,0),MAX(C1714-'Black-Scholes'!$B$6,0))</f>
        <v>0</v>
      </c>
      <c r="F1714" s="18" t="n">
        <f aca="false">(E1714+G1714)/2</f>
        <v>15.5613372538194</v>
      </c>
      <c r="G1714" s="18" t="n">
        <f aca="false">EXP(-'Black-Scholes'!$B$8*'Black-Scholes'!$B$7)*IF(LOWER('Black-Scholes'!$B$11)="put",MAX('Black-Scholes'!$B$6-D1714,0),MAX(D1714-'Black-Scholes'!$B$6,0))</f>
        <v>31.1226745076388</v>
      </c>
    </row>
    <row r="1715" customFormat="false" ht="15" hidden="false" customHeight="false" outlineLevel="0" collapsed="false">
      <c r="A1715" s="0" t="n">
        <v>1704</v>
      </c>
      <c r="B1715" s="15" t="n">
        <v>-1.19475892616139</v>
      </c>
      <c r="C1715" s="18" t="n">
        <f aca="false">'Black-Scholes'!$B$5*EXP(('Black-Scholes'!$B$8-'Black-Scholes'!$B$10-'Black-Scholes'!$B$9^2/2)*'Black-Scholes'!$B$7+'Black-Scholes'!$B$9*SQRT('Black-Scholes'!$B$7)*B1715)</f>
        <v>81.1434357819355</v>
      </c>
      <c r="D1715" s="18" t="n">
        <f aca="false">'Black-Scholes'!$B$5*EXP(('Black-Scholes'!$B$8-'Black-Scholes'!$B$10-'Black-Scholes'!$B$9^2/2)*'Black-Scholes'!$B$7-'Black-Scholes'!$B$9*SQRT('Black-Scholes'!$B$7)*B1715)</f>
        <v>130.859204606388</v>
      </c>
      <c r="E1715" s="18" t="n">
        <f aca="false">EXP(-'Black-Scholes'!$B$8*'Black-Scholes'!$B$7)*IF(LOWER('Black-Scholes'!$B$11)="put",MAX('Black-Scholes'!$B$6-C1715,0),MAX(C1715-'Black-Scholes'!$B$6,0))</f>
        <v>0</v>
      </c>
      <c r="F1715" s="18" t="n">
        <f aca="false">(E1715+G1715)/2</f>
        <v>14.6770917191421</v>
      </c>
      <c r="G1715" s="18" t="n">
        <f aca="false">EXP(-'Black-Scholes'!$B$8*'Black-Scholes'!$B$7)*IF(LOWER('Black-Scholes'!$B$11)="put",MAX('Black-Scholes'!$B$6-D1715,0),MAX(D1715-'Black-Scholes'!$B$6,0))</f>
        <v>29.3541834382842</v>
      </c>
    </row>
    <row r="1716" customFormat="false" ht="15" hidden="false" customHeight="false" outlineLevel="0" collapsed="false">
      <c r="A1716" s="0" t="n">
        <v>1705</v>
      </c>
      <c r="B1716" s="15" t="n">
        <v>0.777488394726968</v>
      </c>
      <c r="C1716" s="18" t="n">
        <f aca="false">'Black-Scholes'!$B$5*EXP(('Black-Scholes'!$B$8-'Black-Scholes'!$B$10-'Black-Scholes'!$B$9^2/2)*'Black-Scholes'!$B$7+'Black-Scholes'!$B$9*SQRT('Black-Scholes'!$B$7)*B1716)</f>
        <v>120.381740564596</v>
      </c>
      <c r="D1716" s="18" t="n">
        <f aca="false">'Black-Scholes'!$B$5*EXP(('Black-Scholes'!$B$8-'Black-Scholes'!$B$10-'Black-Scholes'!$B$9^2/2)*'Black-Scholes'!$B$7-'Black-Scholes'!$B$9*SQRT('Black-Scholes'!$B$7)*B1716)</f>
        <v>88.2057811729004</v>
      </c>
      <c r="E1716" s="18" t="n">
        <f aca="false">EXP(-'Black-Scholes'!$B$8*'Black-Scholes'!$B$7)*IF(LOWER('Black-Scholes'!$B$11)="put",MAX('Black-Scholes'!$B$6-C1716,0),MAX(C1716-'Black-Scholes'!$B$6,0))</f>
        <v>19.3877113475832</v>
      </c>
      <c r="F1716" s="18" t="n">
        <f aca="false">(E1716+G1716)/2</f>
        <v>9.69385567379162</v>
      </c>
      <c r="G1716" s="18" t="n">
        <f aca="false">EXP(-'Black-Scholes'!$B$8*'Black-Scholes'!$B$7)*IF(LOWER('Black-Scholes'!$B$11)="put",MAX('Black-Scholes'!$B$6-D1716,0),MAX(D1716-'Black-Scholes'!$B$6,0))</f>
        <v>0</v>
      </c>
    </row>
    <row r="1717" customFormat="false" ht="15" hidden="false" customHeight="false" outlineLevel="0" collapsed="false">
      <c r="A1717" s="0" t="n">
        <v>1706</v>
      </c>
      <c r="B1717" s="15" t="n">
        <v>-0.299938488684653</v>
      </c>
      <c r="C1717" s="18" t="n">
        <f aca="false">'Black-Scholes'!$B$5*EXP(('Black-Scholes'!$B$8-'Black-Scholes'!$B$10-'Black-Scholes'!$B$9^2/2)*'Black-Scholes'!$B$7+'Black-Scholes'!$B$9*SQRT('Black-Scholes'!$B$7)*B1717)</f>
        <v>97.0457472298193</v>
      </c>
      <c r="D1717" s="18" t="n">
        <f aca="false">'Black-Scholes'!$B$5*EXP(('Black-Scholes'!$B$8-'Black-Scholes'!$B$10-'Black-Scholes'!$B$9^2/2)*'Black-Scholes'!$B$7-'Black-Scholes'!$B$9*SQRT('Black-Scholes'!$B$7)*B1717)</f>
        <v>109.416082296813</v>
      </c>
      <c r="E1717" s="18" t="n">
        <f aca="false">EXP(-'Black-Scholes'!$B$8*'Black-Scholes'!$B$7)*IF(LOWER('Black-Scholes'!$B$11)="put",MAX('Black-Scholes'!$B$6-C1717,0),MAX(C1717-'Black-Scholes'!$B$6,0))</f>
        <v>0</v>
      </c>
      <c r="F1717" s="18" t="n">
        <f aca="false">(E1717+G1717)/2</f>
        <v>4.47842727212428</v>
      </c>
      <c r="G1717" s="18" t="n">
        <f aca="false">EXP(-'Black-Scholes'!$B$8*'Black-Scholes'!$B$7)*IF(LOWER('Black-Scholes'!$B$11)="put",MAX('Black-Scholes'!$B$6-D1717,0),MAX(D1717-'Black-Scholes'!$B$6,0))</f>
        <v>8.95685454424855</v>
      </c>
    </row>
    <row r="1718" customFormat="false" ht="15" hidden="false" customHeight="false" outlineLevel="0" collapsed="false">
      <c r="A1718" s="0" t="n">
        <v>1707</v>
      </c>
      <c r="B1718" s="15" t="n">
        <v>0.984881747642019</v>
      </c>
      <c r="C1718" s="18" t="n">
        <f aca="false">'Black-Scholes'!$B$5*EXP(('Black-Scholes'!$B$8-'Black-Scholes'!$B$10-'Black-Scholes'!$B$9^2/2)*'Black-Scholes'!$B$7+'Black-Scholes'!$B$9*SQRT('Black-Scholes'!$B$7)*B1718)</f>
        <v>125.480019097307</v>
      </c>
      <c r="D1718" s="18" t="n">
        <f aca="false">'Black-Scholes'!$B$5*EXP(('Black-Scholes'!$B$8-'Black-Scholes'!$B$10-'Black-Scholes'!$B$9^2/2)*'Black-Scholes'!$B$7-'Black-Scholes'!$B$9*SQRT('Black-Scholes'!$B$7)*B1718)</f>
        <v>84.6219624593721</v>
      </c>
      <c r="E1718" s="18" t="n">
        <f aca="false">EXP(-'Black-Scholes'!$B$8*'Black-Scholes'!$B$7)*IF(LOWER('Black-Scholes'!$B$11)="put",MAX('Black-Scholes'!$B$6-C1718,0),MAX(C1718-'Black-Scholes'!$B$6,0))</f>
        <v>24.2373439021983</v>
      </c>
      <c r="F1718" s="18" t="n">
        <f aca="false">(E1718+G1718)/2</f>
        <v>12.1186719510992</v>
      </c>
      <c r="G1718" s="18" t="n">
        <f aca="false">EXP(-'Black-Scholes'!$B$8*'Black-Scholes'!$B$7)*IF(LOWER('Black-Scholes'!$B$11)="put",MAX('Black-Scholes'!$B$6-D1718,0),MAX(D1718-'Black-Scholes'!$B$6,0))</f>
        <v>0</v>
      </c>
    </row>
    <row r="1719" customFormat="false" ht="15" hidden="false" customHeight="false" outlineLevel="0" collapsed="false">
      <c r="A1719" s="0" t="n">
        <v>1708</v>
      </c>
      <c r="B1719" s="15" t="n">
        <v>0.0327538045985809</v>
      </c>
      <c r="C1719" s="18" t="n">
        <f aca="false">'Black-Scholes'!$B$5*EXP(('Black-Scholes'!$B$8-'Black-Scholes'!$B$10-'Black-Scholes'!$B$9^2/2)*'Black-Scholes'!$B$7+'Black-Scholes'!$B$9*SQRT('Black-Scholes'!$B$7)*B1719)</f>
        <v>103.722695327558</v>
      </c>
      <c r="D1719" s="18" t="n">
        <f aca="false">'Black-Scholes'!$B$5*EXP(('Black-Scholes'!$B$8-'Black-Scholes'!$B$10-'Black-Scholes'!$B$9^2/2)*'Black-Scholes'!$B$7-'Black-Scholes'!$B$9*SQRT('Black-Scholes'!$B$7)*B1719)</f>
        <v>102.372633413745</v>
      </c>
      <c r="E1719" s="18" t="n">
        <f aca="false">EXP(-'Black-Scholes'!$B$8*'Black-Scholes'!$B$7)*IF(LOWER('Black-Scholes'!$B$11)="put",MAX('Black-Scholes'!$B$6-C1719,0),MAX(C1719-'Black-Scholes'!$B$6,0))</f>
        <v>3.54113733402437</v>
      </c>
      <c r="F1719" s="18" t="n">
        <f aca="false">(E1719+G1719)/2</f>
        <v>2.89902802536588</v>
      </c>
      <c r="G1719" s="18" t="n">
        <f aca="false">EXP(-'Black-Scholes'!$B$8*'Black-Scholes'!$B$7)*IF(LOWER('Black-Scholes'!$B$11)="put",MAX('Black-Scholes'!$B$6-D1719,0),MAX(D1719-'Black-Scholes'!$B$6,0))</f>
        <v>2.25691871670738</v>
      </c>
    </row>
    <row r="1720" customFormat="false" ht="15" hidden="false" customHeight="false" outlineLevel="0" collapsed="false">
      <c r="A1720" s="0" t="n">
        <v>1709</v>
      </c>
      <c r="B1720" s="15" t="n">
        <v>0.720237238851842</v>
      </c>
      <c r="C1720" s="18" t="n">
        <f aca="false">'Black-Scholes'!$B$5*EXP(('Black-Scholes'!$B$8-'Black-Scholes'!$B$10-'Black-Scholes'!$B$9^2/2)*'Black-Scholes'!$B$7+'Black-Scholes'!$B$9*SQRT('Black-Scholes'!$B$7)*B1720)</f>
        <v>119.011203264318</v>
      </c>
      <c r="D1720" s="18" t="n">
        <f aca="false">'Black-Scholes'!$B$5*EXP(('Black-Scholes'!$B$8-'Black-Scholes'!$B$10-'Black-Scholes'!$B$9^2/2)*'Black-Scholes'!$B$7-'Black-Scholes'!$B$9*SQRT('Black-Scholes'!$B$7)*B1720)</f>
        <v>89.2215621236159</v>
      </c>
      <c r="E1720" s="18" t="n">
        <f aca="false">EXP(-'Black-Scholes'!$B$8*'Black-Scholes'!$B$7)*IF(LOWER('Black-Scholes'!$B$11)="put",MAX('Black-Scholes'!$B$6-C1720,0),MAX(C1720-'Black-Scholes'!$B$6,0))</f>
        <v>18.084015940183</v>
      </c>
      <c r="F1720" s="18" t="n">
        <f aca="false">(E1720+G1720)/2</f>
        <v>9.04200797009152</v>
      </c>
      <c r="G1720" s="18" t="n">
        <f aca="false">EXP(-'Black-Scholes'!$B$8*'Black-Scholes'!$B$7)*IF(LOWER('Black-Scholes'!$B$11)="put",MAX('Black-Scholes'!$B$6-D1720,0),MAX(D1720-'Black-Scholes'!$B$6,0))</f>
        <v>0</v>
      </c>
    </row>
    <row r="1721" customFormat="false" ht="15" hidden="false" customHeight="false" outlineLevel="0" collapsed="false">
      <c r="A1721" s="0" t="n">
        <v>1710</v>
      </c>
      <c r="B1721" s="15" t="n">
        <v>-0.0679119818566882</v>
      </c>
      <c r="C1721" s="18" t="n">
        <f aca="false">'Black-Scholes'!$B$5*EXP(('Black-Scholes'!$B$8-'Black-Scholes'!$B$10-'Black-Scholes'!$B$9^2/2)*'Black-Scholes'!$B$7+'Black-Scholes'!$B$9*SQRT('Black-Scholes'!$B$7)*B1721)</f>
        <v>101.65531130474</v>
      </c>
      <c r="D1721" s="18" t="n">
        <f aca="false">'Black-Scholes'!$B$5*EXP(('Black-Scholes'!$B$8-'Black-Scholes'!$B$10-'Black-Scholes'!$B$9^2/2)*'Black-Scholes'!$B$7-'Black-Scholes'!$B$9*SQRT('Black-Scholes'!$B$7)*B1721)</f>
        <v>104.454605757117</v>
      </c>
      <c r="E1721" s="18" t="n">
        <f aca="false">EXP(-'Black-Scholes'!$B$8*'Black-Scholes'!$B$7)*IF(LOWER('Black-Scholes'!$B$11)="put",MAX('Black-Scholes'!$B$6-C1721,0),MAX(C1721-'Black-Scholes'!$B$6,0))</f>
        <v>1.57458081977751</v>
      </c>
      <c r="F1721" s="18" t="n">
        <f aca="false">(E1721+G1721)/2</f>
        <v>2.90596644524856</v>
      </c>
      <c r="G1721" s="18" t="n">
        <f aca="false">EXP(-'Black-Scholes'!$B$8*'Black-Scholes'!$B$7)*IF(LOWER('Black-Scholes'!$B$11)="put",MAX('Black-Scholes'!$B$6-D1721,0),MAX(D1721-'Black-Scholes'!$B$6,0))</f>
        <v>4.23735207071961</v>
      </c>
    </row>
    <row r="1722" customFormat="false" ht="15" hidden="false" customHeight="false" outlineLevel="0" collapsed="false">
      <c r="A1722" s="0" t="n">
        <v>1711</v>
      </c>
      <c r="B1722" s="15" t="n">
        <v>0.356311766830054</v>
      </c>
      <c r="C1722" s="18" t="n">
        <f aca="false">'Black-Scholes'!$B$5*EXP(('Black-Scholes'!$B$8-'Black-Scholes'!$B$10-'Black-Scholes'!$B$9^2/2)*'Black-Scholes'!$B$7+'Black-Scholes'!$B$9*SQRT('Black-Scholes'!$B$7)*B1722)</f>
        <v>110.656691523958</v>
      </c>
      <c r="D1722" s="18" t="n">
        <f aca="false">'Black-Scholes'!$B$5*EXP(('Black-Scholes'!$B$8-'Black-Scholes'!$B$10-'Black-Scholes'!$B$9^2/2)*'Black-Scholes'!$B$7-'Black-Scholes'!$B$9*SQRT('Black-Scholes'!$B$7)*B1722)</f>
        <v>95.9577348574052</v>
      </c>
      <c r="E1722" s="18" t="n">
        <f aca="false">EXP(-'Black-Scholes'!$B$8*'Black-Scholes'!$B$7)*IF(LOWER('Black-Scholes'!$B$11)="put",MAX('Black-Scholes'!$B$6-C1722,0),MAX(C1722-'Black-Scholes'!$B$6,0))</f>
        <v>10.1369585454158</v>
      </c>
      <c r="F1722" s="18" t="n">
        <f aca="false">(E1722+G1722)/2</f>
        <v>5.06847927270792</v>
      </c>
      <c r="G1722" s="18" t="n">
        <f aca="false">EXP(-'Black-Scholes'!$B$8*'Black-Scholes'!$B$7)*IF(LOWER('Black-Scholes'!$B$11)="put",MAX('Black-Scholes'!$B$6-D1722,0),MAX(D1722-'Black-Scholes'!$B$6,0))</f>
        <v>0</v>
      </c>
    </row>
    <row r="1723" customFormat="false" ht="15" hidden="false" customHeight="false" outlineLevel="0" collapsed="false">
      <c r="A1723" s="0" t="n">
        <v>1712</v>
      </c>
      <c r="B1723" s="15" t="n">
        <v>-0.467087608034029</v>
      </c>
      <c r="C1723" s="18" t="n">
        <f aca="false">'Black-Scholes'!$B$5*EXP(('Black-Scholes'!$B$8-'Black-Scholes'!$B$10-'Black-Scholes'!$B$9^2/2)*'Black-Scholes'!$B$7+'Black-Scholes'!$B$9*SQRT('Black-Scholes'!$B$7)*B1723)</f>
        <v>93.8551526330238</v>
      </c>
      <c r="D1723" s="18" t="n">
        <f aca="false">'Black-Scholes'!$B$5*EXP(('Black-Scholes'!$B$8-'Black-Scholes'!$B$10-'Black-Scholes'!$B$9^2/2)*'Black-Scholes'!$B$7-'Black-Scholes'!$B$9*SQRT('Black-Scholes'!$B$7)*B1723)</f>
        <v>113.135668821207</v>
      </c>
      <c r="E1723" s="18" t="n">
        <f aca="false">EXP(-'Black-Scholes'!$B$8*'Black-Scholes'!$B$7)*IF(LOWER('Black-Scholes'!$B$11)="put",MAX('Black-Scholes'!$B$6-C1723,0),MAX(C1723-'Black-Scholes'!$B$6,0))</f>
        <v>0</v>
      </c>
      <c r="F1723" s="18" t="n">
        <f aca="false">(E1723+G1723)/2</f>
        <v>6.24751734661426</v>
      </c>
      <c r="G1723" s="18" t="n">
        <f aca="false">EXP(-'Black-Scholes'!$B$8*'Black-Scholes'!$B$7)*IF(LOWER('Black-Scholes'!$B$11)="put",MAX('Black-Scholes'!$B$6-D1723,0),MAX(D1723-'Black-Scholes'!$B$6,0))</f>
        <v>12.4950346932285</v>
      </c>
    </row>
    <row r="1724" customFormat="false" ht="15" hidden="false" customHeight="false" outlineLevel="0" collapsed="false">
      <c r="A1724" s="0" t="n">
        <v>1713</v>
      </c>
      <c r="B1724" s="15" t="n">
        <v>-1.51607175467264</v>
      </c>
      <c r="C1724" s="18" t="n">
        <f aca="false">'Black-Scholes'!$B$5*EXP(('Black-Scholes'!$B$8-'Black-Scholes'!$B$10-'Black-Scholes'!$B$9^2/2)*'Black-Scholes'!$B$7+'Black-Scholes'!$B$9*SQRT('Black-Scholes'!$B$7)*B1724)</f>
        <v>76.0929664162102</v>
      </c>
      <c r="D1724" s="18" t="n">
        <f aca="false">'Black-Scholes'!$B$5*EXP(('Black-Scholes'!$B$8-'Black-Scholes'!$B$10-'Black-Scholes'!$B$9^2/2)*'Black-Scholes'!$B$7-'Black-Scholes'!$B$9*SQRT('Black-Scholes'!$B$7)*B1724)</f>
        <v>139.544638165027</v>
      </c>
      <c r="E1724" s="18" t="n">
        <f aca="false">EXP(-'Black-Scholes'!$B$8*'Black-Scholes'!$B$7)*IF(LOWER('Black-Scholes'!$B$11)="put",MAX('Black-Scholes'!$B$6-C1724,0),MAX(C1724-'Black-Scholes'!$B$6,0))</f>
        <v>0</v>
      </c>
      <c r="F1724" s="18" t="n">
        <f aca="false">(E1724+G1724)/2</f>
        <v>18.8080117019038</v>
      </c>
      <c r="G1724" s="18" t="n">
        <f aca="false">EXP(-'Black-Scholes'!$B$8*'Black-Scholes'!$B$7)*IF(LOWER('Black-Scholes'!$B$11)="put",MAX('Black-Scholes'!$B$6-D1724,0),MAX(D1724-'Black-Scholes'!$B$6,0))</f>
        <v>37.6160234038076</v>
      </c>
    </row>
    <row r="1725" customFormat="false" ht="15" hidden="false" customHeight="false" outlineLevel="0" collapsed="false">
      <c r="A1725" s="0" t="n">
        <v>1714</v>
      </c>
      <c r="B1725" s="15" t="n">
        <v>-0.4440799912959</v>
      </c>
      <c r="C1725" s="18" t="n">
        <f aca="false">'Black-Scholes'!$B$5*EXP(('Black-Scholes'!$B$8-'Black-Scholes'!$B$10-'Black-Scholes'!$B$9^2/2)*'Black-Scholes'!$B$7+'Black-Scholes'!$B$9*SQRT('Black-Scholes'!$B$7)*B1725)</f>
        <v>94.2880244803128</v>
      </c>
      <c r="D1725" s="18" t="n">
        <f aca="false">'Black-Scholes'!$B$5*EXP(('Black-Scholes'!$B$8-'Black-Scholes'!$B$10-'Black-Scholes'!$B$9^2/2)*'Black-Scholes'!$B$7-'Black-Scholes'!$B$9*SQRT('Black-Scholes'!$B$7)*B1725)</f>
        <v>112.616268332896</v>
      </c>
      <c r="E1725" s="18" t="n">
        <f aca="false">EXP(-'Black-Scholes'!$B$8*'Black-Scholes'!$B$7)*IF(LOWER('Black-Scholes'!$B$11)="put",MAX('Black-Scholes'!$B$6-C1725,0),MAX(C1725-'Black-Scholes'!$B$6,0))</f>
        <v>0</v>
      </c>
      <c r="F1725" s="18" t="n">
        <f aca="false">(E1725+G1725)/2</f>
        <v>6.00048283282372</v>
      </c>
      <c r="G1725" s="18" t="n">
        <f aca="false">EXP(-'Black-Scholes'!$B$8*'Black-Scholes'!$B$7)*IF(LOWER('Black-Scholes'!$B$11)="put",MAX('Black-Scholes'!$B$6-D1725,0),MAX(D1725-'Black-Scholes'!$B$6,0))</f>
        <v>12.0009656656474</v>
      </c>
    </row>
    <row r="1726" customFormat="false" ht="15" hidden="false" customHeight="false" outlineLevel="0" collapsed="false">
      <c r="A1726" s="0" t="n">
        <v>1715</v>
      </c>
      <c r="B1726" s="15" t="n">
        <v>-0.0380384515770038</v>
      </c>
      <c r="C1726" s="18" t="n">
        <f aca="false">'Black-Scholes'!$B$5*EXP(('Black-Scholes'!$B$8-'Black-Scholes'!$B$10-'Black-Scholes'!$B$9^2/2)*'Black-Scholes'!$B$7+'Black-Scholes'!$B$9*SQRT('Black-Scholes'!$B$7)*B1726)</f>
        <v>102.264489928258</v>
      </c>
      <c r="D1726" s="18" t="n">
        <f aca="false">'Black-Scholes'!$B$5*EXP(('Black-Scholes'!$B$8-'Black-Scholes'!$B$10-'Black-Scholes'!$B$9^2/2)*'Black-Scholes'!$B$7-'Black-Scholes'!$B$9*SQRT('Black-Scholes'!$B$7)*B1726)</f>
        <v>103.832380847964</v>
      </c>
      <c r="E1726" s="18" t="n">
        <f aca="false">EXP(-'Black-Scholes'!$B$8*'Black-Scholes'!$B$7)*IF(LOWER('Black-Scholes'!$B$11)="put",MAX('Black-Scholes'!$B$6-C1726,0),MAX(C1726-'Black-Scholes'!$B$6,0))</f>
        <v>2.1540494512441</v>
      </c>
      <c r="F1726" s="18" t="n">
        <f aca="false">(E1726+G1726)/2</f>
        <v>2.89976143986014</v>
      </c>
      <c r="G1726" s="18" t="n">
        <f aca="false">EXP(-'Black-Scholes'!$B$8*'Black-Scholes'!$B$7)*IF(LOWER('Black-Scholes'!$B$11)="put",MAX('Black-Scholes'!$B$6-D1726,0),MAX(D1726-'Black-Scholes'!$B$6,0))</f>
        <v>3.64547342847617</v>
      </c>
    </row>
    <row r="1727" customFormat="false" ht="15" hidden="false" customHeight="false" outlineLevel="0" collapsed="false">
      <c r="A1727" s="0" t="n">
        <v>1716</v>
      </c>
      <c r="B1727" s="15" t="n">
        <v>1.67859968591693</v>
      </c>
      <c r="C1727" s="18" t="n">
        <f aca="false">'Black-Scholes'!$B$5*EXP(('Black-Scholes'!$B$8-'Black-Scholes'!$B$10-'Black-Scholes'!$B$9^2/2)*'Black-Scholes'!$B$7+'Black-Scholes'!$B$9*SQRT('Black-Scholes'!$B$7)*B1727)</f>
        <v>144.155146115256</v>
      </c>
      <c r="D1727" s="18" t="n">
        <f aca="false">'Black-Scholes'!$B$5*EXP(('Black-Scholes'!$B$8-'Black-Scholes'!$B$10-'Black-Scholes'!$B$9^2/2)*'Black-Scholes'!$B$7-'Black-Scholes'!$B$9*SQRT('Black-Scholes'!$B$7)*B1727)</f>
        <v>73.6592882848867</v>
      </c>
      <c r="E1727" s="18" t="n">
        <f aca="false">EXP(-'Black-Scholes'!$B$8*'Black-Scholes'!$B$7)*IF(LOWER('Black-Scholes'!$B$11)="put",MAX('Black-Scholes'!$B$6-C1727,0),MAX(C1727-'Black-Scholes'!$B$6,0))</f>
        <v>42.0016742279598</v>
      </c>
      <c r="F1727" s="18" t="n">
        <f aca="false">(E1727+G1727)/2</f>
        <v>21.0008371139799</v>
      </c>
      <c r="G1727" s="18" t="n">
        <f aca="false">EXP(-'Black-Scholes'!$B$8*'Black-Scholes'!$B$7)*IF(LOWER('Black-Scholes'!$B$11)="put",MAX('Black-Scholes'!$B$6-D1727,0),MAX(D1727-'Black-Scholes'!$B$6,0))</f>
        <v>0</v>
      </c>
    </row>
    <row r="1728" customFormat="false" ht="15" hidden="false" customHeight="false" outlineLevel="0" collapsed="false">
      <c r="A1728" s="0" t="n">
        <v>1717</v>
      </c>
      <c r="B1728" s="15" t="n">
        <v>0.782530843489207</v>
      </c>
      <c r="C1728" s="18" t="n">
        <f aca="false">'Black-Scholes'!$B$5*EXP(('Black-Scholes'!$B$8-'Black-Scholes'!$B$10-'Black-Scholes'!$B$9^2/2)*'Black-Scholes'!$B$7+'Black-Scholes'!$B$9*SQRT('Black-Scholes'!$B$7)*B1728)</f>
        <v>120.503205554141</v>
      </c>
      <c r="D1728" s="18" t="n">
        <f aca="false">'Black-Scholes'!$B$5*EXP(('Black-Scholes'!$B$8-'Black-Scholes'!$B$10-'Black-Scholes'!$B$9^2/2)*'Black-Scholes'!$B$7-'Black-Scholes'!$B$9*SQRT('Black-Scholes'!$B$7)*B1728)</f>
        <v>88.1168713863207</v>
      </c>
      <c r="E1728" s="18" t="n">
        <f aca="false">EXP(-'Black-Scholes'!$B$8*'Black-Scholes'!$B$7)*IF(LOWER('Black-Scholes'!$B$11)="put",MAX('Black-Scholes'!$B$6-C1728,0),MAX(C1728-'Black-Scholes'!$B$6,0))</f>
        <v>19.5032524196853</v>
      </c>
      <c r="F1728" s="18" t="n">
        <f aca="false">(E1728+G1728)/2</f>
        <v>9.75162620984263</v>
      </c>
      <c r="G1728" s="18" t="n">
        <f aca="false">EXP(-'Black-Scholes'!$B$8*'Black-Scholes'!$B$7)*IF(LOWER('Black-Scholes'!$B$11)="put",MAX('Black-Scholes'!$B$6-D1728,0),MAX(D1728-'Black-Scholes'!$B$6,0))</f>
        <v>0</v>
      </c>
    </row>
    <row r="1729" customFormat="false" ht="15" hidden="false" customHeight="false" outlineLevel="0" collapsed="false">
      <c r="A1729" s="0" t="n">
        <v>1718</v>
      </c>
      <c r="B1729" s="15" t="n">
        <v>1.13291070742471</v>
      </c>
      <c r="C1729" s="18" t="n">
        <f aca="false">'Black-Scholes'!$B$5*EXP(('Black-Scholes'!$B$8-'Black-Scholes'!$B$10-'Black-Scholes'!$B$9^2/2)*'Black-Scholes'!$B$7+'Black-Scholes'!$B$9*SQRT('Black-Scholes'!$B$7)*B1729)</f>
        <v>129.250492971361</v>
      </c>
      <c r="D1729" s="18" t="n">
        <f aca="false">'Black-Scholes'!$B$5*EXP(('Black-Scholes'!$B$8-'Black-Scholes'!$B$10-'Black-Scholes'!$B$9^2/2)*'Black-Scholes'!$B$7-'Black-Scholes'!$B$9*SQRT('Black-Scholes'!$B$7)*B1729)</f>
        <v>82.1533846513559</v>
      </c>
      <c r="E1729" s="18" t="n">
        <f aca="false">EXP(-'Black-Scholes'!$B$8*'Black-Scholes'!$B$7)*IF(LOWER('Black-Scholes'!$B$11)="put",MAX('Black-Scholes'!$B$6-C1729,0),MAX(C1729-'Black-Scholes'!$B$6,0))</f>
        <v>27.82392959551</v>
      </c>
      <c r="F1729" s="18" t="n">
        <f aca="false">(E1729+G1729)/2</f>
        <v>13.911964797755</v>
      </c>
      <c r="G1729" s="18" t="n">
        <f aca="false">EXP(-'Black-Scholes'!$B$8*'Black-Scholes'!$B$7)*IF(LOWER('Black-Scholes'!$B$11)="put",MAX('Black-Scholes'!$B$6-D1729,0),MAX(D1729-'Black-Scholes'!$B$6,0))</f>
        <v>0</v>
      </c>
    </row>
    <row r="1730" customFormat="false" ht="15" hidden="false" customHeight="false" outlineLevel="0" collapsed="false">
      <c r="A1730" s="0" t="n">
        <v>1719</v>
      </c>
      <c r="B1730" s="15" t="n">
        <v>0.0898067440085149</v>
      </c>
      <c r="C1730" s="18" t="n">
        <f aca="false">'Black-Scholes'!$B$5*EXP(('Black-Scholes'!$B$8-'Black-Scholes'!$B$10-'Black-Scholes'!$B$9^2/2)*'Black-Scholes'!$B$7+'Black-Scholes'!$B$9*SQRT('Black-Scholes'!$B$7)*B1730)</f>
        <v>104.91301044051</v>
      </c>
      <c r="D1730" s="18" t="n">
        <f aca="false">'Black-Scholes'!$B$5*EXP(('Black-Scholes'!$B$8-'Black-Scholes'!$B$10-'Black-Scholes'!$B$9^2/2)*'Black-Scholes'!$B$7-'Black-Scholes'!$B$9*SQRT('Black-Scholes'!$B$7)*B1730)</f>
        <v>101.211140742879</v>
      </c>
      <c r="E1730" s="18" t="n">
        <f aca="false">EXP(-'Black-Scholes'!$B$8*'Black-Scholes'!$B$7)*IF(LOWER('Black-Scholes'!$B$11)="put",MAX('Black-Scholes'!$B$6-C1730,0),MAX(C1730-'Black-Scholes'!$B$6,0))</f>
        <v>4.67340009389233</v>
      </c>
      <c r="F1730" s="18" t="n">
        <f aca="false">(E1730+G1730)/2</f>
        <v>2.91273640286527</v>
      </c>
      <c r="G1730" s="18" t="n">
        <f aca="false">EXP(-'Black-Scholes'!$B$8*'Black-Scholes'!$B$7)*IF(LOWER('Black-Scholes'!$B$11)="put",MAX('Black-Scholes'!$B$6-D1730,0),MAX(D1730-'Black-Scholes'!$B$6,0))</f>
        <v>1.15207271183821</v>
      </c>
    </row>
    <row r="1731" customFormat="false" ht="15" hidden="false" customHeight="false" outlineLevel="0" collapsed="false">
      <c r="A1731" s="0" t="n">
        <v>1720</v>
      </c>
      <c r="B1731" s="15" t="n">
        <v>0.367780647321062</v>
      </c>
      <c r="C1731" s="18" t="n">
        <f aca="false">'Black-Scholes'!$B$5*EXP(('Black-Scholes'!$B$8-'Black-Scholes'!$B$10-'Black-Scholes'!$B$9^2/2)*'Black-Scholes'!$B$7+'Black-Scholes'!$B$9*SQRT('Black-Scholes'!$B$7)*B1731)</f>
        <v>110.91080452583</v>
      </c>
      <c r="D1731" s="18" t="n">
        <f aca="false">'Black-Scholes'!$B$5*EXP(('Black-Scholes'!$B$8-'Black-Scholes'!$B$10-'Black-Scholes'!$B$9^2/2)*'Black-Scholes'!$B$7-'Black-Scholes'!$B$9*SQRT('Black-Scholes'!$B$7)*B1731)</f>
        <v>95.7378815422862</v>
      </c>
      <c r="E1731" s="18" t="n">
        <f aca="false">EXP(-'Black-Scholes'!$B$8*'Black-Scholes'!$B$7)*IF(LOWER('Black-Scholes'!$B$11)="put",MAX('Black-Scholes'!$B$6-C1731,0),MAX(C1731-'Black-Scholes'!$B$6,0))</f>
        <v>10.3786783099453</v>
      </c>
      <c r="F1731" s="18" t="n">
        <f aca="false">(E1731+G1731)/2</f>
        <v>5.18933915497266</v>
      </c>
      <c r="G1731" s="18" t="n">
        <f aca="false">EXP(-'Black-Scholes'!$B$8*'Black-Scholes'!$B$7)*IF(LOWER('Black-Scholes'!$B$11)="put",MAX('Black-Scholes'!$B$6-D1731,0),MAX(D1731-'Black-Scholes'!$B$6,0))</f>
        <v>0</v>
      </c>
    </row>
    <row r="1732" customFormat="false" ht="15" hidden="false" customHeight="false" outlineLevel="0" collapsed="false">
      <c r="A1732" s="0" t="n">
        <v>1721</v>
      </c>
      <c r="B1732" s="15" t="n">
        <v>-2.07330675843559</v>
      </c>
      <c r="C1732" s="18" t="n">
        <f aca="false">'Black-Scholes'!$B$5*EXP(('Black-Scholes'!$B$8-'Black-Scholes'!$B$10-'Black-Scholes'!$B$9^2/2)*'Black-Scholes'!$B$7+'Black-Scholes'!$B$9*SQRT('Black-Scholes'!$B$7)*B1732)</f>
        <v>68.0681108686894</v>
      </c>
      <c r="D1732" s="18" t="n">
        <f aca="false">'Black-Scholes'!$B$5*EXP(('Black-Scholes'!$B$8-'Black-Scholes'!$B$10-'Black-Scholes'!$B$9^2/2)*'Black-Scholes'!$B$7-'Black-Scholes'!$B$9*SQRT('Black-Scholes'!$B$7)*B1732)</f>
        <v>155.996182793108</v>
      </c>
      <c r="E1732" s="18" t="n">
        <f aca="false">EXP(-'Black-Scholes'!$B$8*'Black-Scholes'!$B$7)*IF(LOWER('Black-Scholes'!$B$11)="put",MAX('Black-Scholes'!$B$6-C1732,0),MAX(C1732-'Black-Scholes'!$B$6,0))</f>
        <v>0</v>
      </c>
      <c r="F1732" s="18" t="n">
        <f aca="false">(E1732+G1732)/2</f>
        <v>26.6326083662624</v>
      </c>
      <c r="G1732" s="18" t="n">
        <f aca="false">EXP(-'Black-Scholes'!$B$8*'Black-Scholes'!$B$7)*IF(LOWER('Black-Scholes'!$B$11)="put",MAX('Black-Scholes'!$B$6-D1732,0),MAX(D1732-'Black-Scholes'!$B$6,0))</f>
        <v>53.2652167325247</v>
      </c>
    </row>
    <row r="1733" customFormat="false" ht="15" hidden="false" customHeight="false" outlineLevel="0" collapsed="false">
      <c r="A1733" s="0" t="n">
        <v>1722</v>
      </c>
      <c r="B1733" s="15" t="n">
        <v>0.0586496206581644</v>
      </c>
      <c r="C1733" s="18" t="n">
        <f aca="false">'Black-Scholes'!$B$5*EXP(('Black-Scholes'!$B$8-'Black-Scholes'!$B$10-'Black-Scholes'!$B$9^2/2)*'Black-Scholes'!$B$7+'Black-Scholes'!$B$9*SQRT('Black-Scholes'!$B$7)*B1733)</f>
        <v>104.261285615025</v>
      </c>
      <c r="D1733" s="18" t="n">
        <f aca="false">'Black-Scholes'!$B$5*EXP(('Black-Scholes'!$B$8-'Black-Scholes'!$B$10-'Black-Scholes'!$B$9^2/2)*'Black-Scholes'!$B$7-'Black-Scholes'!$B$9*SQRT('Black-Scholes'!$B$7)*B1733)</f>
        <v>101.843799477602</v>
      </c>
      <c r="E1733" s="18" t="n">
        <f aca="false">EXP(-'Black-Scholes'!$B$8*'Black-Scholes'!$B$7)*IF(LOWER('Black-Scholes'!$B$11)="put",MAX('Black-Scholes'!$B$6-C1733,0),MAX(C1733-'Black-Scholes'!$B$6,0))</f>
        <v>4.05346026321297</v>
      </c>
      <c r="F1733" s="18" t="n">
        <f aca="false">(E1733+G1733)/2</f>
        <v>2.90366828959373</v>
      </c>
      <c r="G1733" s="18" t="n">
        <f aca="false">EXP(-'Black-Scholes'!$B$8*'Black-Scholes'!$B$7)*IF(LOWER('Black-Scholes'!$B$11)="put",MAX('Black-Scholes'!$B$6-D1733,0),MAX(D1733-'Black-Scholes'!$B$6,0))</f>
        <v>1.75387631597449</v>
      </c>
    </row>
    <row r="1734" customFormat="false" ht="15" hidden="false" customHeight="false" outlineLevel="0" collapsed="false">
      <c r="A1734" s="0" t="n">
        <v>1723</v>
      </c>
      <c r="B1734" s="15" t="n">
        <v>-2.36405190805162</v>
      </c>
      <c r="C1734" s="18" t="n">
        <f aca="false">'Black-Scholes'!$B$5*EXP(('Black-Scholes'!$B$8-'Black-Scholes'!$B$10-'Black-Scholes'!$B$9^2/2)*'Black-Scholes'!$B$7+'Black-Scholes'!$B$9*SQRT('Black-Scholes'!$B$7)*B1734)</f>
        <v>64.2228973966658</v>
      </c>
      <c r="D1734" s="18" t="n">
        <f aca="false">'Black-Scholes'!$B$5*EXP(('Black-Scholes'!$B$8-'Black-Scholes'!$B$10-'Black-Scholes'!$B$9^2/2)*'Black-Scholes'!$B$7-'Black-Scholes'!$B$9*SQRT('Black-Scholes'!$B$7)*B1734)</f>
        <v>165.336132374571</v>
      </c>
      <c r="E1734" s="18" t="n">
        <f aca="false">EXP(-'Black-Scholes'!$B$8*'Black-Scholes'!$B$7)*IF(LOWER('Black-Scholes'!$B$11)="put",MAX('Black-Scholes'!$B$6-C1734,0),MAX(C1734-'Black-Scholes'!$B$6,0))</f>
        <v>0</v>
      </c>
      <c r="F1734" s="18" t="n">
        <f aca="false">(E1734+G1734)/2</f>
        <v>31.0748257988826</v>
      </c>
      <c r="G1734" s="18" t="n">
        <f aca="false">EXP(-'Black-Scholes'!$B$8*'Black-Scholes'!$B$7)*IF(LOWER('Black-Scholes'!$B$11)="put",MAX('Black-Scholes'!$B$6-D1734,0),MAX(D1734-'Black-Scholes'!$B$6,0))</f>
        <v>62.1496515977652</v>
      </c>
    </row>
    <row r="1735" customFormat="false" ht="15" hidden="false" customHeight="false" outlineLevel="0" collapsed="false">
      <c r="A1735" s="0" t="n">
        <v>1724</v>
      </c>
      <c r="B1735" s="15" t="n">
        <v>-0.330819376188065</v>
      </c>
      <c r="C1735" s="18" t="n">
        <f aca="false">'Black-Scholes'!$B$5*EXP(('Black-Scholes'!$B$8-'Black-Scholes'!$B$10-'Black-Scholes'!$B$9^2/2)*'Black-Scholes'!$B$7+'Black-Scholes'!$B$9*SQRT('Black-Scholes'!$B$7)*B1735)</f>
        <v>96.4482225777863</v>
      </c>
      <c r="D1735" s="18" t="n">
        <f aca="false">'Black-Scholes'!$B$5*EXP(('Black-Scholes'!$B$8-'Black-Scholes'!$B$10-'Black-Scholes'!$B$9^2/2)*'Black-Scholes'!$B$7-'Black-Scholes'!$B$9*SQRT('Black-Scholes'!$B$7)*B1735)</f>
        <v>110.093946592845</v>
      </c>
      <c r="E1735" s="18" t="n">
        <f aca="false">EXP(-'Black-Scholes'!$B$8*'Black-Scholes'!$B$7)*IF(LOWER('Black-Scholes'!$B$11)="put",MAX('Black-Scholes'!$B$6-C1735,0),MAX(C1735-'Black-Scholes'!$B$6,0))</f>
        <v>0</v>
      </c>
      <c r="F1735" s="18" t="n">
        <f aca="false">(E1735+G1735)/2</f>
        <v>4.8008295042263</v>
      </c>
      <c r="G1735" s="18" t="n">
        <f aca="false">EXP(-'Black-Scholes'!$B$8*'Black-Scholes'!$B$7)*IF(LOWER('Black-Scholes'!$B$11)="put",MAX('Black-Scholes'!$B$6-D1735,0),MAX(D1735-'Black-Scholes'!$B$6,0))</f>
        <v>9.6016590084526</v>
      </c>
    </row>
    <row r="1736" customFormat="false" ht="15" hidden="false" customHeight="false" outlineLevel="0" collapsed="false">
      <c r="A1736" s="0" t="n">
        <v>1725</v>
      </c>
      <c r="B1736" s="15" t="n">
        <v>-0.0479991597206602</v>
      </c>
      <c r="C1736" s="18" t="n">
        <f aca="false">'Black-Scholes'!$B$5*EXP(('Black-Scholes'!$B$8-'Black-Scholes'!$B$10-'Black-Scholes'!$B$9^2/2)*'Black-Scholes'!$B$7+'Black-Scholes'!$B$9*SQRT('Black-Scholes'!$B$7)*B1736)</f>
        <v>102.060967370919</v>
      </c>
      <c r="D1736" s="18" t="n">
        <f aca="false">'Black-Scholes'!$B$5*EXP(('Black-Scholes'!$B$8-'Black-Scholes'!$B$10-'Black-Scholes'!$B$9^2/2)*'Black-Scholes'!$B$7-'Black-Scholes'!$B$9*SQRT('Black-Scholes'!$B$7)*B1736)</f>
        <v>104.039435829208</v>
      </c>
      <c r="E1736" s="18" t="n">
        <f aca="false">EXP(-'Black-Scholes'!$B$8*'Black-Scholes'!$B$7)*IF(LOWER('Black-Scholes'!$B$11)="put",MAX('Black-Scholes'!$B$6-C1736,0),MAX(C1736-'Black-Scholes'!$B$6,0))</f>
        <v>1.96045280615376</v>
      </c>
      <c r="F1736" s="18" t="n">
        <f aca="false">(E1736+G1736)/2</f>
        <v>2.90144151263946</v>
      </c>
      <c r="G1736" s="18" t="n">
        <f aca="false">EXP(-'Black-Scholes'!$B$8*'Black-Scholes'!$B$7)*IF(LOWER('Black-Scholes'!$B$11)="put",MAX('Black-Scholes'!$B$6-D1736,0),MAX(D1736-'Black-Scholes'!$B$6,0))</f>
        <v>3.84243021912516</v>
      </c>
    </row>
    <row r="1737" customFormat="false" ht="15" hidden="false" customHeight="false" outlineLevel="0" collapsed="false">
      <c r="A1737" s="0" t="n">
        <v>1726</v>
      </c>
      <c r="B1737" s="15" t="n">
        <v>0.150661805610099</v>
      </c>
      <c r="C1737" s="18" t="n">
        <f aca="false">'Black-Scholes'!$B$5*EXP(('Black-Scholes'!$B$8-'Black-Scholes'!$B$10-'Black-Scholes'!$B$9^2/2)*'Black-Scholes'!$B$7+'Black-Scholes'!$B$9*SQRT('Black-Scholes'!$B$7)*B1737)</f>
        <v>106.197710172388</v>
      </c>
      <c r="D1737" s="18" t="n">
        <f aca="false">'Black-Scholes'!$B$5*EXP(('Black-Scholes'!$B$8-'Black-Scholes'!$B$10-'Black-Scholes'!$B$9^2/2)*'Black-Scholes'!$B$7-'Black-Scholes'!$B$9*SQRT('Black-Scholes'!$B$7)*B1737)</f>
        <v>99.9867647637327</v>
      </c>
      <c r="E1737" s="18" t="n">
        <f aca="false">EXP(-'Black-Scholes'!$B$8*'Black-Scholes'!$B$7)*IF(LOWER('Black-Scholes'!$B$11)="put",MAX('Black-Scholes'!$B$6-C1737,0),MAX(C1737-'Black-Scholes'!$B$6,0))</f>
        <v>5.89544428050261</v>
      </c>
      <c r="F1737" s="18" t="n">
        <f aca="false">(E1737+G1737)/2</f>
        <v>2.94772214025131</v>
      </c>
      <c r="G1737" s="18" t="n">
        <f aca="false">EXP(-'Black-Scholes'!$B$8*'Black-Scholes'!$B$7)*IF(LOWER('Black-Scholes'!$B$11)="put",MAX('Black-Scholes'!$B$6-D1737,0),MAX(D1737-'Black-Scholes'!$B$6,0))</f>
        <v>0</v>
      </c>
    </row>
    <row r="1738" customFormat="false" ht="15" hidden="false" customHeight="false" outlineLevel="0" collapsed="false">
      <c r="A1738" s="0" t="n">
        <v>1727</v>
      </c>
      <c r="B1738" s="15" t="n">
        <v>0.453866665850792</v>
      </c>
      <c r="C1738" s="18" t="n">
        <f aca="false">'Black-Scholes'!$B$5*EXP(('Black-Scholes'!$B$8-'Black-Scholes'!$B$10-'Black-Scholes'!$B$9^2/2)*'Black-Scholes'!$B$7+'Black-Scholes'!$B$9*SQRT('Black-Scholes'!$B$7)*B1738)</f>
        <v>112.836911952735</v>
      </c>
      <c r="D1738" s="18" t="n">
        <f aca="false">'Black-Scholes'!$B$5*EXP(('Black-Scholes'!$B$8-'Black-Scholes'!$B$10-'Black-Scholes'!$B$9^2/2)*'Black-Scholes'!$B$7-'Black-Scholes'!$B$9*SQRT('Black-Scholes'!$B$7)*B1738)</f>
        <v>94.1036517367776</v>
      </c>
      <c r="E1738" s="18" t="n">
        <f aca="false">EXP(-'Black-Scholes'!$B$8*'Black-Scholes'!$B$7)*IF(LOWER('Black-Scholes'!$B$11)="put",MAX('Black-Scholes'!$B$6-C1738,0),MAX(C1738-'Black-Scholes'!$B$6,0))</f>
        <v>12.2108483691663</v>
      </c>
      <c r="F1738" s="18" t="n">
        <f aca="false">(E1738+G1738)/2</f>
        <v>6.10542418458316</v>
      </c>
      <c r="G1738" s="18" t="n">
        <f aca="false">EXP(-'Black-Scholes'!$B$8*'Black-Scholes'!$B$7)*IF(LOWER('Black-Scholes'!$B$11)="put",MAX('Black-Scholes'!$B$6-D1738,0),MAX(D1738-'Black-Scholes'!$B$6,0))</f>
        <v>0</v>
      </c>
    </row>
    <row r="1739" customFormat="false" ht="15" hidden="false" customHeight="false" outlineLevel="0" collapsed="false">
      <c r="A1739" s="0" t="n">
        <v>1728</v>
      </c>
      <c r="B1739" s="15" t="n">
        <v>-0.917372112180995</v>
      </c>
      <c r="C1739" s="18" t="n">
        <f aca="false">'Black-Scholes'!$B$5*EXP(('Black-Scholes'!$B$8-'Black-Scholes'!$B$10-'Black-Scholes'!$B$9^2/2)*'Black-Scholes'!$B$7+'Black-Scholes'!$B$9*SQRT('Black-Scholes'!$B$7)*B1739)</f>
        <v>85.7722702375408</v>
      </c>
      <c r="D1739" s="18" t="n">
        <f aca="false">'Black-Scholes'!$B$5*EXP(('Black-Scholes'!$B$8-'Black-Scholes'!$B$10-'Black-Scholes'!$B$9^2/2)*'Black-Scholes'!$B$7-'Black-Scholes'!$B$9*SQRT('Black-Scholes'!$B$7)*B1739)</f>
        <v>123.797183355958</v>
      </c>
      <c r="E1739" s="18" t="n">
        <f aca="false">EXP(-'Black-Scholes'!$B$8*'Black-Scholes'!$B$7)*IF(LOWER('Black-Scholes'!$B$11)="put",MAX('Black-Scholes'!$B$6-C1739,0),MAX(C1739-'Black-Scholes'!$B$6,0))</f>
        <v>0</v>
      </c>
      <c r="F1739" s="18" t="n">
        <f aca="false">(E1739+G1739)/2</f>
        <v>11.3182905142129</v>
      </c>
      <c r="G1739" s="18" t="n">
        <f aca="false">EXP(-'Black-Scholes'!$B$8*'Black-Scholes'!$B$7)*IF(LOWER('Black-Scholes'!$B$11)="put",MAX('Black-Scholes'!$B$6-D1739,0),MAX(D1739-'Black-Scholes'!$B$6,0))</f>
        <v>22.6365810284257</v>
      </c>
    </row>
    <row r="1740" customFormat="false" ht="15" hidden="false" customHeight="false" outlineLevel="0" collapsed="false">
      <c r="A1740" s="0" t="n">
        <v>1729</v>
      </c>
      <c r="B1740" s="15" t="n">
        <v>-0.326365271449741</v>
      </c>
      <c r="C1740" s="18" t="n">
        <f aca="false">'Black-Scholes'!$B$5*EXP(('Black-Scholes'!$B$8-'Black-Scholes'!$B$10-'Black-Scholes'!$B$9^2/2)*'Black-Scholes'!$B$7+'Black-Scholes'!$B$9*SQRT('Black-Scholes'!$B$7)*B1740)</f>
        <v>96.53417895501</v>
      </c>
      <c r="D1740" s="18" t="n">
        <f aca="false">'Black-Scholes'!$B$5*EXP(('Black-Scholes'!$B$8-'Black-Scholes'!$B$10-'Black-Scholes'!$B$9^2/2)*'Black-Scholes'!$B$7-'Black-Scholes'!$B$9*SQRT('Black-Scholes'!$B$7)*B1740)</f>
        <v>109.995916269224</v>
      </c>
      <c r="E1740" s="18" t="n">
        <f aca="false">EXP(-'Black-Scholes'!$B$8*'Black-Scholes'!$B$7)*IF(LOWER('Black-Scholes'!$B$11)="put",MAX('Black-Scholes'!$B$6-C1740,0),MAX(C1740-'Black-Scholes'!$B$6,0))</f>
        <v>0</v>
      </c>
      <c r="F1740" s="18" t="n">
        <f aca="false">(E1740+G1740)/2</f>
        <v>4.7542048400658</v>
      </c>
      <c r="G1740" s="18" t="n">
        <f aca="false">EXP(-'Black-Scholes'!$B$8*'Black-Scholes'!$B$7)*IF(LOWER('Black-Scholes'!$B$11)="put",MAX('Black-Scholes'!$B$6-D1740,0),MAX(D1740-'Black-Scholes'!$B$6,0))</f>
        <v>9.50840968013159</v>
      </c>
    </row>
    <row r="1741" customFormat="false" ht="15" hidden="false" customHeight="false" outlineLevel="0" collapsed="false">
      <c r="A1741" s="0" t="n">
        <v>1730</v>
      </c>
      <c r="B1741" s="15" t="n">
        <v>-2.1589867805013</v>
      </c>
      <c r="C1741" s="18" t="n">
        <f aca="false">'Black-Scholes'!$B$5*EXP(('Black-Scholes'!$B$8-'Black-Scholes'!$B$10-'Black-Scholes'!$B$9^2/2)*'Black-Scholes'!$B$7+'Black-Scholes'!$B$9*SQRT('Black-Scholes'!$B$7)*B1741)</f>
        <v>66.9116324294129</v>
      </c>
      <c r="D1741" s="18" t="n">
        <f aca="false">'Black-Scholes'!$B$5*EXP(('Black-Scholes'!$B$8-'Black-Scholes'!$B$10-'Black-Scholes'!$B$9^2/2)*'Black-Scholes'!$B$7-'Black-Scholes'!$B$9*SQRT('Black-Scholes'!$B$7)*B1741)</f>
        <v>158.692369023506</v>
      </c>
      <c r="E1741" s="18" t="n">
        <f aca="false">EXP(-'Black-Scholes'!$B$8*'Black-Scholes'!$B$7)*IF(LOWER('Black-Scholes'!$B$11)="put",MAX('Black-Scholes'!$B$6-C1741,0),MAX(C1741-'Black-Scholes'!$B$6,0))</f>
        <v>0</v>
      </c>
      <c r="F1741" s="18" t="n">
        <f aca="false">(E1741+G1741)/2</f>
        <v>27.9149542044066</v>
      </c>
      <c r="G1741" s="18" t="n">
        <f aca="false">EXP(-'Black-Scholes'!$B$8*'Black-Scholes'!$B$7)*IF(LOWER('Black-Scholes'!$B$11)="put",MAX('Black-Scholes'!$B$6-D1741,0),MAX(D1741-'Black-Scholes'!$B$6,0))</f>
        <v>55.8299084088133</v>
      </c>
    </row>
    <row r="1742" customFormat="false" ht="15" hidden="false" customHeight="false" outlineLevel="0" collapsed="false">
      <c r="A1742" s="0" t="n">
        <v>1731</v>
      </c>
      <c r="B1742" s="15" t="n">
        <v>0.163903299141381</v>
      </c>
      <c r="C1742" s="18" t="n">
        <f aca="false">'Black-Scholes'!$B$5*EXP(('Black-Scholes'!$B$8-'Black-Scholes'!$B$10-'Black-Scholes'!$B$9^2/2)*'Black-Scholes'!$B$7+'Black-Scholes'!$B$9*SQRT('Black-Scholes'!$B$7)*B1742)</f>
        <v>106.47932616789</v>
      </c>
      <c r="D1742" s="18" t="n">
        <f aca="false">'Black-Scholes'!$B$5*EXP(('Black-Scholes'!$B$8-'Black-Scholes'!$B$10-'Black-Scholes'!$B$9^2/2)*'Black-Scholes'!$B$7-'Black-Scholes'!$B$9*SQRT('Black-Scholes'!$B$7)*B1742)</f>
        <v>99.7223202625378</v>
      </c>
      <c r="E1742" s="18" t="n">
        <f aca="false">EXP(-'Black-Scholes'!$B$8*'Black-Scholes'!$B$7)*IF(LOWER('Black-Scholes'!$B$11)="put",MAX('Black-Scholes'!$B$6-C1742,0),MAX(C1742-'Black-Scholes'!$B$6,0))</f>
        <v>6.16332570183486</v>
      </c>
      <c r="F1742" s="18" t="n">
        <f aca="false">(E1742+G1742)/2</f>
        <v>3.08166285091743</v>
      </c>
      <c r="G1742" s="18" t="n">
        <f aca="false">EXP(-'Black-Scholes'!$B$8*'Black-Scholes'!$B$7)*IF(LOWER('Black-Scholes'!$B$11)="put",MAX('Black-Scholes'!$B$6-D1742,0),MAX(D1742-'Black-Scholes'!$B$6,0))</f>
        <v>0</v>
      </c>
    </row>
    <row r="1743" customFormat="false" ht="15" hidden="false" customHeight="false" outlineLevel="0" collapsed="false">
      <c r="A1743" s="0" t="n">
        <v>1732</v>
      </c>
      <c r="B1743" s="15" t="n">
        <v>0.790508147381982</v>
      </c>
      <c r="C1743" s="18" t="n">
        <f aca="false">'Black-Scholes'!$B$5*EXP(('Black-Scholes'!$B$8-'Black-Scholes'!$B$10-'Black-Scholes'!$B$9^2/2)*'Black-Scholes'!$B$7+'Black-Scholes'!$B$9*SQRT('Black-Scholes'!$B$7)*B1743)</f>
        <v>120.69561714405</v>
      </c>
      <c r="D1743" s="18" t="n">
        <f aca="false">'Black-Scholes'!$B$5*EXP(('Black-Scholes'!$B$8-'Black-Scholes'!$B$10-'Black-Scholes'!$B$9^2/2)*'Black-Scholes'!$B$7-'Black-Scholes'!$B$9*SQRT('Black-Scholes'!$B$7)*B1743)</f>
        <v>87.9763964650067</v>
      </c>
      <c r="E1743" s="18" t="n">
        <f aca="false">EXP(-'Black-Scholes'!$B$8*'Black-Scholes'!$B$7)*IF(LOWER('Black-Scholes'!$B$11)="put",MAX('Black-Scholes'!$B$6-C1743,0),MAX(C1743-'Black-Scholes'!$B$6,0))</f>
        <v>19.6862799856217</v>
      </c>
      <c r="F1743" s="18" t="n">
        <f aca="false">(E1743+G1743)/2</f>
        <v>9.84313999281087</v>
      </c>
      <c r="G1743" s="18" t="n">
        <f aca="false">EXP(-'Black-Scholes'!$B$8*'Black-Scholes'!$B$7)*IF(LOWER('Black-Scholes'!$B$11)="put",MAX('Black-Scholes'!$B$6-D1743,0),MAX(D1743-'Black-Scholes'!$B$6,0))</f>
        <v>0</v>
      </c>
    </row>
    <row r="1744" customFormat="false" ht="15" hidden="false" customHeight="false" outlineLevel="0" collapsed="false">
      <c r="A1744" s="0" t="n">
        <v>1733</v>
      </c>
      <c r="B1744" s="15" t="n">
        <v>1.14035606260703</v>
      </c>
      <c r="C1744" s="18" t="n">
        <f aca="false">'Black-Scholes'!$B$5*EXP(('Black-Scholes'!$B$8-'Black-Scholes'!$B$10-'Black-Scholes'!$B$9^2/2)*'Black-Scholes'!$B$7+'Black-Scholes'!$B$9*SQRT('Black-Scholes'!$B$7)*B1744)</f>
        <v>129.443099503708</v>
      </c>
      <c r="D1744" s="18" t="n">
        <f aca="false">'Black-Scholes'!$B$5*EXP(('Black-Scholes'!$B$8-'Black-Scholes'!$B$10-'Black-Scholes'!$B$9^2/2)*'Black-Scholes'!$B$7-'Black-Scholes'!$B$9*SQRT('Black-Scholes'!$B$7)*B1744)</f>
        <v>82.0311434612194</v>
      </c>
      <c r="E1744" s="18" t="n">
        <f aca="false">EXP(-'Black-Scholes'!$B$8*'Black-Scholes'!$B$7)*IF(LOWER('Black-Scholes'!$B$11)="put",MAX('Black-Scholes'!$B$6-C1744,0),MAX(C1744-'Black-Scholes'!$B$6,0))</f>
        <v>28.0071425964297</v>
      </c>
      <c r="F1744" s="18" t="n">
        <f aca="false">(E1744+G1744)/2</f>
        <v>14.0035712982149</v>
      </c>
      <c r="G1744" s="18" t="n">
        <f aca="false">EXP(-'Black-Scholes'!$B$8*'Black-Scholes'!$B$7)*IF(LOWER('Black-Scholes'!$B$11)="put",MAX('Black-Scholes'!$B$6-D1744,0),MAX(D1744-'Black-Scholes'!$B$6,0))</f>
        <v>0</v>
      </c>
    </row>
    <row r="1745" customFormat="false" ht="15" hidden="false" customHeight="false" outlineLevel="0" collapsed="false">
      <c r="A1745" s="0" t="n">
        <v>1734</v>
      </c>
      <c r="B1745" s="15" t="n">
        <v>0.501359527536508</v>
      </c>
      <c r="C1745" s="18" t="n">
        <f aca="false">'Black-Scholes'!$B$5*EXP(('Black-Scholes'!$B$8-'Black-Scholes'!$B$10-'Black-Scholes'!$B$9^2/2)*'Black-Scholes'!$B$7+'Black-Scholes'!$B$9*SQRT('Black-Scholes'!$B$7)*B1745)</f>
        <v>113.913807913601</v>
      </c>
      <c r="D1745" s="18" t="n">
        <f aca="false">'Black-Scholes'!$B$5*EXP(('Black-Scholes'!$B$8-'Black-Scholes'!$B$10-'Black-Scholes'!$B$9^2/2)*'Black-Scholes'!$B$7-'Black-Scholes'!$B$9*SQRT('Black-Scholes'!$B$7)*B1745)</f>
        <v>93.214033135537</v>
      </c>
      <c r="E1745" s="18" t="n">
        <f aca="false">EXP(-'Black-Scholes'!$B$8*'Black-Scholes'!$B$7)*IF(LOWER('Black-Scholes'!$B$11)="put",MAX('Black-Scholes'!$B$6-C1745,0),MAX(C1745-'Black-Scholes'!$B$6,0))</f>
        <v>13.2352234942681</v>
      </c>
      <c r="F1745" s="18" t="n">
        <f aca="false">(E1745+G1745)/2</f>
        <v>6.61761174713406</v>
      </c>
      <c r="G1745" s="18" t="n">
        <f aca="false">EXP(-'Black-Scholes'!$B$8*'Black-Scholes'!$B$7)*IF(LOWER('Black-Scholes'!$B$11)="put",MAX('Black-Scholes'!$B$6-D1745,0),MAX(D1745-'Black-Scholes'!$B$6,0))</f>
        <v>0</v>
      </c>
    </row>
    <row r="1746" customFormat="false" ht="15" hidden="false" customHeight="false" outlineLevel="0" collapsed="false">
      <c r="A1746" s="0" t="n">
        <v>1735</v>
      </c>
      <c r="B1746" s="15" t="n">
        <v>0.035555479889432</v>
      </c>
      <c r="C1746" s="18" t="n">
        <f aca="false">'Black-Scholes'!$B$5*EXP(('Black-Scholes'!$B$8-'Black-Scholes'!$B$10-'Black-Scholes'!$B$9^2/2)*'Black-Scholes'!$B$7+'Black-Scholes'!$B$9*SQRT('Black-Scholes'!$B$7)*B1746)</f>
        <v>103.780831076306</v>
      </c>
      <c r="D1746" s="18" t="n">
        <f aca="false">'Black-Scholes'!$B$5*EXP(('Black-Scholes'!$B$8-'Black-Scholes'!$B$10-'Black-Scholes'!$B$9^2/2)*'Black-Scholes'!$B$7-'Black-Scholes'!$B$9*SQRT('Black-Scholes'!$B$7)*B1746)</f>
        <v>102.315286506487</v>
      </c>
      <c r="E1746" s="18" t="n">
        <f aca="false">EXP(-'Black-Scholes'!$B$8*'Black-Scholes'!$B$7)*IF(LOWER('Black-Scholes'!$B$11)="put",MAX('Black-Scholes'!$B$6-C1746,0),MAX(C1746-'Black-Scholes'!$B$6,0))</f>
        <v>3.59643776884876</v>
      </c>
      <c r="F1746" s="18" t="n">
        <f aca="false">(E1746+G1746)/2</f>
        <v>2.89940320998451</v>
      </c>
      <c r="G1746" s="18" t="n">
        <f aca="false">EXP(-'Black-Scholes'!$B$8*'Black-Scholes'!$B$7)*IF(LOWER('Black-Scholes'!$B$11)="put",MAX('Black-Scholes'!$B$6-D1746,0),MAX(D1746-'Black-Scholes'!$B$6,0))</f>
        <v>2.20236865112026</v>
      </c>
    </row>
    <row r="1747" customFormat="false" ht="15" hidden="false" customHeight="false" outlineLevel="0" collapsed="false">
      <c r="A1747" s="0" t="n">
        <v>1736</v>
      </c>
      <c r="B1747" s="15" t="n">
        <v>0.500612240167982</v>
      </c>
      <c r="C1747" s="18" t="n">
        <f aca="false">'Black-Scholes'!$B$5*EXP(('Black-Scholes'!$B$8-'Black-Scholes'!$B$10-'Black-Scholes'!$B$9^2/2)*'Black-Scholes'!$B$7+'Black-Scholes'!$B$9*SQRT('Black-Scholes'!$B$7)*B1747)</f>
        <v>113.896783915864</v>
      </c>
      <c r="D1747" s="18" t="n">
        <f aca="false">'Black-Scholes'!$B$5*EXP(('Black-Scholes'!$B$8-'Black-Scholes'!$B$10-'Black-Scholes'!$B$9^2/2)*'Black-Scholes'!$B$7-'Black-Scholes'!$B$9*SQRT('Black-Scholes'!$B$7)*B1747)</f>
        <v>93.2279657105811</v>
      </c>
      <c r="E1747" s="18" t="n">
        <f aca="false">EXP(-'Black-Scholes'!$B$8*'Black-Scholes'!$B$7)*IF(LOWER('Black-Scholes'!$B$11)="put",MAX('Black-Scholes'!$B$6-C1747,0),MAX(C1747-'Black-Scholes'!$B$6,0))</f>
        <v>13.2190297666977</v>
      </c>
      <c r="F1747" s="18" t="n">
        <f aca="false">(E1747+G1747)/2</f>
        <v>6.60951488334885</v>
      </c>
      <c r="G1747" s="18" t="n">
        <f aca="false">EXP(-'Black-Scholes'!$B$8*'Black-Scholes'!$B$7)*IF(LOWER('Black-Scholes'!$B$11)="put",MAX('Black-Scholes'!$B$6-D1747,0),MAX(D1747-'Black-Scholes'!$B$6,0))</f>
        <v>0</v>
      </c>
    </row>
    <row r="1748" customFormat="false" ht="15" hidden="false" customHeight="false" outlineLevel="0" collapsed="false">
      <c r="A1748" s="0" t="n">
        <v>1737</v>
      </c>
      <c r="B1748" s="15" t="n">
        <v>0.626883816198276</v>
      </c>
      <c r="C1748" s="18" t="n">
        <f aca="false">'Black-Scholes'!$B$5*EXP(('Black-Scholes'!$B$8-'Black-Scholes'!$B$10-'Black-Scholes'!$B$9^2/2)*'Black-Scholes'!$B$7+'Black-Scholes'!$B$9*SQRT('Black-Scholes'!$B$7)*B1748)</f>
        <v>116.809797458661</v>
      </c>
      <c r="D1748" s="18" t="n">
        <f aca="false">'Black-Scholes'!$B$5*EXP(('Black-Scholes'!$B$8-'Black-Scholes'!$B$10-'Black-Scholes'!$B$9^2/2)*'Black-Scholes'!$B$7-'Black-Scholes'!$B$9*SQRT('Black-Scholes'!$B$7)*B1748)</f>
        <v>90.903038071027</v>
      </c>
      <c r="E1748" s="18" t="n">
        <f aca="false">EXP(-'Black-Scholes'!$B$8*'Black-Scholes'!$B$7)*IF(LOWER('Black-Scholes'!$B$11)="put",MAX('Black-Scholes'!$B$6-C1748,0),MAX(C1748-'Black-Scholes'!$B$6,0))</f>
        <v>15.9899739625754</v>
      </c>
      <c r="F1748" s="18" t="n">
        <f aca="false">(E1748+G1748)/2</f>
        <v>7.99498698128772</v>
      </c>
      <c r="G1748" s="18" t="n">
        <f aca="false">EXP(-'Black-Scholes'!$B$8*'Black-Scholes'!$B$7)*IF(LOWER('Black-Scholes'!$B$11)="put",MAX('Black-Scholes'!$B$6-D1748,0),MAX(D1748-'Black-Scholes'!$B$6,0))</f>
        <v>0</v>
      </c>
    </row>
    <row r="1749" customFormat="false" ht="15" hidden="false" customHeight="false" outlineLevel="0" collapsed="false">
      <c r="A1749" s="0" t="n">
        <v>1738</v>
      </c>
      <c r="B1749" s="15" t="n">
        <v>-0.494242393065628</v>
      </c>
      <c r="C1749" s="18" t="n">
        <f aca="false">'Black-Scholes'!$B$5*EXP(('Black-Scholes'!$B$8-'Black-Scholes'!$B$10-'Black-Scholes'!$B$9^2/2)*'Black-Scholes'!$B$7+'Black-Scholes'!$B$9*SQRT('Black-Scholes'!$B$7)*B1749)</f>
        <v>93.3468109745713</v>
      </c>
      <c r="D1749" s="18" t="n">
        <f aca="false">'Black-Scholes'!$B$5*EXP(('Black-Scholes'!$B$8-'Black-Scholes'!$B$10-'Black-Scholes'!$B$9^2/2)*'Black-Scholes'!$B$7-'Black-Scholes'!$B$9*SQRT('Black-Scholes'!$B$7)*B1749)</f>
        <v>113.751775283959</v>
      </c>
      <c r="E1749" s="18" t="n">
        <f aca="false">EXP(-'Black-Scholes'!$B$8*'Black-Scholes'!$B$7)*IF(LOWER('Black-Scholes'!$B$11)="put",MAX('Black-Scholes'!$B$6-C1749,0),MAX(C1749-'Black-Scholes'!$B$6,0))</f>
        <v>0</v>
      </c>
      <c r="F1749" s="18" t="n">
        <f aca="false">(E1749+G1749)/2</f>
        <v>6.54054664461153</v>
      </c>
      <c r="G1749" s="18" t="n">
        <f aca="false">EXP(-'Black-Scholes'!$B$8*'Black-Scholes'!$B$7)*IF(LOWER('Black-Scholes'!$B$11)="put",MAX('Black-Scholes'!$B$6-D1749,0),MAX(D1749-'Black-Scholes'!$B$6,0))</f>
        <v>13.0810932892231</v>
      </c>
    </row>
    <row r="1750" customFormat="false" ht="15" hidden="false" customHeight="false" outlineLevel="0" collapsed="false">
      <c r="A1750" s="0" t="n">
        <v>1739</v>
      </c>
      <c r="B1750" s="15" t="n">
        <v>-0.422713997577228</v>
      </c>
      <c r="C1750" s="18" t="n">
        <f aca="false">'Black-Scholes'!$B$5*EXP(('Black-Scholes'!$B$8-'Black-Scholes'!$B$10-'Black-Scholes'!$B$9^2/2)*'Black-Scholes'!$B$7+'Black-Scholes'!$B$9*SQRT('Black-Scholes'!$B$7)*B1750)</f>
        <v>94.6917980359805</v>
      </c>
      <c r="D1750" s="18" t="n">
        <f aca="false">'Black-Scholes'!$B$5*EXP(('Black-Scholes'!$B$8-'Black-Scholes'!$B$10-'Black-Scholes'!$B$9^2/2)*'Black-Scholes'!$B$7-'Black-Scholes'!$B$9*SQRT('Black-Scholes'!$B$7)*B1750)</f>
        <v>112.136063372869</v>
      </c>
      <c r="E1750" s="18" t="n">
        <f aca="false">EXP(-'Black-Scholes'!$B$8*'Black-Scholes'!$B$7)*IF(LOWER('Black-Scholes'!$B$11)="put",MAX('Black-Scholes'!$B$6-C1750,0),MAX(C1750-'Black-Scholes'!$B$6,0))</f>
        <v>0</v>
      </c>
      <c r="F1750" s="18" t="n">
        <f aca="false">(E1750+G1750)/2</f>
        <v>5.77209028893905</v>
      </c>
      <c r="G1750" s="18" t="n">
        <f aca="false">EXP(-'Black-Scholes'!$B$8*'Black-Scholes'!$B$7)*IF(LOWER('Black-Scholes'!$B$11)="put",MAX('Black-Scholes'!$B$6-D1750,0),MAX(D1750-'Black-Scholes'!$B$6,0))</f>
        <v>11.5441805778781</v>
      </c>
    </row>
    <row r="1751" customFormat="false" ht="15" hidden="false" customHeight="false" outlineLevel="0" collapsed="false">
      <c r="A1751" s="0" t="n">
        <v>1740</v>
      </c>
      <c r="B1751" s="15" t="n">
        <v>-0.95569711761954</v>
      </c>
      <c r="C1751" s="18" t="n">
        <f aca="false">'Black-Scholes'!$B$5*EXP(('Black-Scholes'!$B$8-'Black-Scholes'!$B$10-'Black-Scholes'!$B$9^2/2)*'Black-Scholes'!$B$7+'Black-Scholes'!$B$9*SQRT('Black-Scholes'!$B$7)*B1751)</f>
        <v>85.1173389240437</v>
      </c>
      <c r="D1751" s="18" t="n">
        <f aca="false">'Black-Scholes'!$B$5*EXP(('Black-Scholes'!$B$8-'Black-Scholes'!$B$10-'Black-Scholes'!$B$9^2/2)*'Black-Scholes'!$B$7-'Black-Scholes'!$B$9*SQRT('Black-Scholes'!$B$7)*B1751)</f>
        <v>124.749734891608</v>
      </c>
      <c r="E1751" s="18" t="n">
        <f aca="false">EXP(-'Black-Scholes'!$B$8*'Black-Scholes'!$B$7)*IF(LOWER('Black-Scholes'!$B$11)="put",MAX('Black-Scholes'!$B$6-C1751,0),MAX(C1751-'Black-Scholes'!$B$6,0))</f>
        <v>0</v>
      </c>
      <c r="F1751" s="18" t="n">
        <f aca="false">(E1751+G1751)/2</f>
        <v>11.7713380387448</v>
      </c>
      <c r="G1751" s="18" t="n">
        <f aca="false">EXP(-'Black-Scholes'!$B$8*'Black-Scholes'!$B$7)*IF(LOWER('Black-Scholes'!$B$11)="put",MAX('Black-Scholes'!$B$6-D1751,0),MAX(D1751-'Black-Scholes'!$B$6,0))</f>
        <v>23.5426760774895</v>
      </c>
    </row>
    <row r="1752" customFormat="false" ht="15" hidden="false" customHeight="false" outlineLevel="0" collapsed="false">
      <c r="A1752" s="0" t="n">
        <v>1741</v>
      </c>
      <c r="B1752" s="15" t="n">
        <v>0.0962701040287046</v>
      </c>
      <c r="C1752" s="18" t="n">
        <f aca="false">'Black-Scholes'!$B$5*EXP(('Black-Scholes'!$B$8-'Black-Scholes'!$B$10-'Black-Scholes'!$B$9^2/2)*'Black-Scholes'!$B$7+'Black-Scholes'!$B$9*SQRT('Black-Scholes'!$B$7)*B1752)</f>
        <v>105.048716244616</v>
      </c>
      <c r="D1752" s="18" t="n">
        <f aca="false">'Black-Scholes'!$B$5*EXP(('Black-Scholes'!$B$8-'Black-Scholes'!$B$10-'Black-Scholes'!$B$9^2/2)*'Black-Scholes'!$B$7-'Black-Scholes'!$B$9*SQRT('Black-Scholes'!$B$7)*B1752)</f>
        <v>101.080392460273</v>
      </c>
      <c r="E1752" s="18" t="n">
        <f aca="false">EXP(-'Black-Scholes'!$B$8*'Black-Scholes'!$B$7)*IF(LOWER('Black-Scholes'!$B$11)="put",MAX('Black-Scholes'!$B$6-C1752,0),MAX(C1752-'Black-Scholes'!$B$6,0))</f>
        <v>4.80248744783312</v>
      </c>
      <c r="F1752" s="18" t="n">
        <f aca="false">(E1752+G1752)/2</f>
        <v>2.91509427302673</v>
      </c>
      <c r="G1752" s="18" t="n">
        <f aca="false">EXP(-'Black-Scholes'!$B$8*'Black-Scholes'!$B$7)*IF(LOWER('Black-Scholes'!$B$11)="put",MAX('Black-Scholes'!$B$6-D1752,0),MAX(D1752-'Black-Scholes'!$B$6,0))</f>
        <v>1.02770109822033</v>
      </c>
    </row>
    <row r="1753" customFormat="false" ht="15" hidden="false" customHeight="false" outlineLevel="0" collapsed="false">
      <c r="A1753" s="0" t="n">
        <v>1742</v>
      </c>
      <c r="B1753" s="15" t="n">
        <v>-0.905702730246732</v>
      </c>
      <c r="C1753" s="18" t="n">
        <f aca="false">'Black-Scholes'!$B$5*EXP(('Black-Scholes'!$B$8-'Black-Scholes'!$B$10-'Black-Scholes'!$B$9^2/2)*'Black-Scholes'!$B$7+'Black-Scholes'!$B$9*SQRT('Black-Scholes'!$B$7)*B1753)</f>
        <v>85.972685895409</v>
      </c>
      <c r="D1753" s="18" t="n">
        <f aca="false">'Black-Scholes'!$B$5*EXP(('Black-Scholes'!$B$8-'Black-Scholes'!$B$10-'Black-Scholes'!$B$9^2/2)*'Black-Scholes'!$B$7-'Black-Scholes'!$B$9*SQRT('Black-Scholes'!$B$7)*B1753)</f>
        <v>123.508592931149</v>
      </c>
      <c r="E1753" s="18" t="n">
        <f aca="false">EXP(-'Black-Scholes'!$B$8*'Black-Scholes'!$B$7)*IF(LOWER('Black-Scholes'!$B$11)="put",MAX('Black-Scholes'!$B$6-C1753,0),MAX(C1753-'Black-Scholes'!$B$6,0))</f>
        <v>0</v>
      </c>
      <c r="F1753" s="18" t="n">
        <f aca="false">(E1753+G1753)/2</f>
        <v>11.1810326623592</v>
      </c>
      <c r="G1753" s="18" t="n">
        <f aca="false">EXP(-'Black-Scholes'!$B$8*'Black-Scholes'!$B$7)*IF(LOWER('Black-Scholes'!$B$11)="put",MAX('Black-Scholes'!$B$6-D1753,0),MAX(D1753-'Black-Scholes'!$B$6,0))</f>
        <v>22.3620653247183</v>
      </c>
    </row>
    <row r="1754" customFormat="false" ht="15" hidden="false" customHeight="false" outlineLevel="0" collapsed="false">
      <c r="A1754" s="0" t="n">
        <v>1743</v>
      </c>
      <c r="B1754" s="15" t="n">
        <v>0.163387605741</v>
      </c>
      <c r="C1754" s="18" t="n">
        <f aca="false">'Black-Scholes'!$B$5*EXP(('Black-Scholes'!$B$8-'Black-Scholes'!$B$10-'Black-Scholes'!$B$9^2/2)*'Black-Scholes'!$B$7+'Black-Scholes'!$B$9*SQRT('Black-Scholes'!$B$7)*B1754)</f>
        <v>106.468344597056</v>
      </c>
      <c r="D1754" s="18" t="n">
        <f aca="false">'Black-Scholes'!$B$5*EXP(('Black-Scholes'!$B$8-'Black-Scholes'!$B$10-'Black-Scholes'!$B$9^2/2)*'Black-Scholes'!$B$7-'Black-Scholes'!$B$9*SQRT('Black-Scholes'!$B$7)*B1754)</f>
        <v>99.7326060214445</v>
      </c>
      <c r="E1754" s="18" t="n">
        <f aca="false">EXP(-'Black-Scholes'!$B$8*'Black-Scholes'!$B$7)*IF(LOWER('Black-Scholes'!$B$11)="put",MAX('Black-Scholes'!$B$6-C1754,0),MAX(C1754-'Black-Scholes'!$B$6,0))</f>
        <v>6.15287970853007</v>
      </c>
      <c r="F1754" s="18" t="n">
        <f aca="false">(E1754+G1754)/2</f>
        <v>3.07643985426504</v>
      </c>
      <c r="G1754" s="18" t="n">
        <f aca="false">EXP(-'Black-Scholes'!$B$8*'Black-Scholes'!$B$7)*IF(LOWER('Black-Scholes'!$B$11)="put",MAX('Black-Scholes'!$B$6-D1754,0),MAX(D1754-'Black-Scholes'!$B$6,0))</f>
        <v>0</v>
      </c>
    </row>
    <row r="1755" customFormat="false" ht="15" hidden="false" customHeight="false" outlineLevel="0" collapsed="false">
      <c r="A1755" s="0" t="n">
        <v>1744</v>
      </c>
      <c r="B1755" s="15" t="n">
        <v>-1.1154639964983</v>
      </c>
      <c r="C1755" s="18" t="n">
        <f aca="false">'Black-Scholes'!$B$5*EXP(('Black-Scholes'!$B$8-'Black-Scholes'!$B$10-'Black-Scholes'!$B$9^2/2)*'Black-Scholes'!$B$7+'Black-Scholes'!$B$9*SQRT('Black-Scholes'!$B$7)*B1755)</f>
        <v>82.4405466339315</v>
      </c>
      <c r="D1755" s="18" t="n">
        <f aca="false">'Black-Scholes'!$B$5*EXP(('Black-Scholes'!$B$8-'Black-Scholes'!$B$10-'Black-Scholes'!$B$9^2/2)*'Black-Scholes'!$B$7-'Black-Scholes'!$B$9*SQRT('Black-Scholes'!$B$7)*B1755)</f>
        <v>128.800279704638</v>
      </c>
      <c r="E1755" s="18" t="n">
        <f aca="false">EXP(-'Black-Scholes'!$B$8*'Black-Scholes'!$B$7)*IF(LOWER('Black-Scholes'!$B$11)="put",MAX('Black-Scholes'!$B$6-C1755,0),MAX(C1755-'Black-Scholes'!$B$6,0))</f>
        <v>0</v>
      </c>
      <c r="F1755" s="18" t="n">
        <f aca="false">(E1755+G1755)/2</f>
        <v>13.697836744451</v>
      </c>
      <c r="G1755" s="18" t="n">
        <f aca="false">EXP(-'Black-Scholes'!$B$8*'Black-Scholes'!$B$7)*IF(LOWER('Black-Scholes'!$B$11)="put",MAX('Black-Scholes'!$B$6-D1755,0),MAX(D1755-'Black-Scholes'!$B$6,0))</f>
        <v>27.395673488902</v>
      </c>
    </row>
    <row r="1756" customFormat="false" ht="15" hidden="false" customHeight="false" outlineLevel="0" collapsed="false">
      <c r="A1756" s="0" t="n">
        <v>1745</v>
      </c>
      <c r="B1756" s="15" t="n">
        <v>-1.59041089590847</v>
      </c>
      <c r="C1756" s="18" t="n">
        <f aca="false">'Black-Scholes'!$B$5*EXP(('Black-Scholes'!$B$8-'Black-Scholes'!$B$10-'Black-Scholes'!$B$9^2/2)*'Black-Scholes'!$B$7+'Black-Scholes'!$B$9*SQRT('Black-Scholes'!$B$7)*B1756)</f>
        <v>74.9699979976583</v>
      </c>
      <c r="D1756" s="18" t="n">
        <f aca="false">'Black-Scholes'!$B$5*EXP(('Black-Scholes'!$B$8-'Black-Scholes'!$B$10-'Black-Scholes'!$B$9^2/2)*'Black-Scholes'!$B$7-'Black-Scholes'!$B$9*SQRT('Black-Scholes'!$B$7)*B1756)</f>
        <v>141.634863932973</v>
      </c>
      <c r="E1756" s="18" t="n">
        <f aca="false">EXP(-'Black-Scholes'!$B$8*'Black-Scholes'!$B$7)*IF(LOWER('Black-Scholes'!$B$11)="put",MAX('Black-Scholes'!$B$6-C1756,0),MAX(C1756-'Black-Scholes'!$B$6,0))</f>
        <v>0</v>
      </c>
      <c r="F1756" s="18" t="n">
        <f aca="false">(E1756+G1756)/2</f>
        <v>19.8021538290637</v>
      </c>
      <c r="G1756" s="18" t="n">
        <f aca="false">EXP(-'Black-Scholes'!$B$8*'Black-Scholes'!$B$7)*IF(LOWER('Black-Scholes'!$B$11)="put",MAX('Black-Scholes'!$B$6-D1756,0),MAX(D1756-'Black-Scholes'!$B$6,0))</f>
        <v>39.6043076581275</v>
      </c>
    </row>
    <row r="1757" customFormat="false" ht="15" hidden="false" customHeight="false" outlineLevel="0" collapsed="false">
      <c r="A1757" s="0" t="n">
        <v>1746</v>
      </c>
      <c r="B1757" s="15" t="n">
        <v>0.242857952705922</v>
      </c>
      <c r="C1757" s="18" t="n">
        <f aca="false">'Black-Scholes'!$B$5*EXP(('Black-Scholes'!$B$8-'Black-Scholes'!$B$10-'Black-Scholes'!$B$9^2/2)*'Black-Scholes'!$B$7+'Black-Scholes'!$B$9*SQRT('Black-Scholes'!$B$7)*B1757)</f>
        <v>108.174079479919</v>
      </c>
      <c r="D1757" s="18" t="n">
        <f aca="false">'Black-Scholes'!$B$5*EXP(('Black-Scholes'!$B$8-'Black-Scholes'!$B$10-'Black-Scholes'!$B$9^2/2)*'Black-Scholes'!$B$7-'Black-Scholes'!$B$9*SQRT('Black-Scholes'!$B$7)*B1757)</f>
        <v>98.1599798815458</v>
      </c>
      <c r="E1757" s="18" t="n">
        <f aca="false">EXP(-'Black-Scholes'!$B$8*'Black-Scholes'!$B$7)*IF(LOWER('Black-Scholes'!$B$11)="put",MAX('Black-Scholes'!$B$6-C1757,0),MAX(C1757-'Black-Scholes'!$B$6,0))</f>
        <v>7.77542491950661</v>
      </c>
      <c r="F1757" s="18" t="n">
        <f aca="false">(E1757+G1757)/2</f>
        <v>3.88771245975331</v>
      </c>
      <c r="G1757" s="18" t="n">
        <f aca="false">EXP(-'Black-Scholes'!$B$8*'Black-Scholes'!$B$7)*IF(LOWER('Black-Scholes'!$B$11)="put",MAX('Black-Scholes'!$B$6-D1757,0),MAX(D1757-'Black-Scholes'!$B$6,0))</f>
        <v>0</v>
      </c>
    </row>
    <row r="1758" customFormat="false" ht="15" hidden="false" customHeight="false" outlineLevel="0" collapsed="false">
      <c r="A1758" s="0" t="n">
        <v>1747</v>
      </c>
      <c r="B1758" s="15" t="n">
        <v>-0.651372619255043</v>
      </c>
      <c r="C1758" s="18" t="n">
        <f aca="false">'Black-Scholes'!$B$5*EXP(('Black-Scholes'!$B$8-'Black-Scholes'!$B$10-'Black-Scholes'!$B$9^2/2)*'Black-Scholes'!$B$7+'Black-Scholes'!$B$9*SQRT('Black-Scholes'!$B$7)*B1758)</f>
        <v>90.4589052676091</v>
      </c>
      <c r="D1758" s="18" t="n">
        <f aca="false">'Black-Scholes'!$B$5*EXP(('Black-Scholes'!$B$8-'Black-Scholes'!$B$10-'Black-Scholes'!$B$9^2/2)*'Black-Scholes'!$B$7-'Black-Scholes'!$B$9*SQRT('Black-Scholes'!$B$7)*B1758)</f>
        <v>117.383307193921</v>
      </c>
      <c r="E1758" s="18" t="n">
        <f aca="false">EXP(-'Black-Scholes'!$B$8*'Black-Scholes'!$B$7)*IF(LOWER('Black-Scholes'!$B$11)="put",MAX('Black-Scholes'!$B$6-C1758,0),MAX(C1758-'Black-Scholes'!$B$6,0))</f>
        <v>0</v>
      </c>
      <c r="F1758" s="18" t="n">
        <f aca="false">(E1758+G1758)/2</f>
        <v>8.2677566489965</v>
      </c>
      <c r="G1758" s="18" t="n">
        <f aca="false">EXP(-'Black-Scholes'!$B$8*'Black-Scholes'!$B$7)*IF(LOWER('Black-Scholes'!$B$11)="put",MAX('Black-Scholes'!$B$6-D1758,0),MAX(D1758-'Black-Scholes'!$B$6,0))</f>
        <v>16.535513297993</v>
      </c>
    </row>
    <row r="1759" customFormat="false" ht="15" hidden="false" customHeight="false" outlineLevel="0" collapsed="false">
      <c r="A1759" s="0" t="n">
        <v>1748</v>
      </c>
      <c r="B1759" s="15" t="n">
        <v>-1.43959124003559</v>
      </c>
      <c r="C1759" s="18" t="n">
        <f aca="false">'Black-Scholes'!$B$5*EXP(('Black-Scholes'!$B$8-'Black-Scholes'!$B$10-'Black-Scholes'!$B$9^2/2)*'Black-Scholes'!$B$7+'Black-Scholes'!$B$9*SQRT('Black-Scholes'!$B$7)*B1759)</f>
        <v>77.2658395888691</v>
      </c>
      <c r="D1759" s="18" t="n">
        <f aca="false">'Black-Scholes'!$B$5*EXP(('Black-Scholes'!$B$8-'Black-Scholes'!$B$10-'Black-Scholes'!$B$9^2/2)*'Black-Scholes'!$B$7-'Black-Scholes'!$B$9*SQRT('Black-Scholes'!$B$7)*B1759)</f>
        <v>137.426390782186</v>
      </c>
      <c r="E1759" s="18" t="n">
        <f aca="false">EXP(-'Black-Scholes'!$B$8*'Black-Scholes'!$B$7)*IF(LOWER('Black-Scholes'!$B$11)="put",MAX('Black-Scholes'!$B$6-C1759,0),MAX(C1759-'Black-Scholes'!$B$6,0))</f>
        <v>0</v>
      </c>
      <c r="F1759" s="18" t="n">
        <f aca="false">(E1759+G1759)/2</f>
        <v>17.8005420824387</v>
      </c>
      <c r="G1759" s="18" t="n">
        <f aca="false">EXP(-'Black-Scholes'!$B$8*'Black-Scholes'!$B$7)*IF(LOWER('Black-Scholes'!$B$11)="put",MAX('Black-Scholes'!$B$6-D1759,0),MAX(D1759-'Black-Scholes'!$B$6,0))</f>
        <v>35.6010841648774</v>
      </c>
    </row>
    <row r="1760" customFormat="false" ht="15" hidden="false" customHeight="false" outlineLevel="0" collapsed="false">
      <c r="A1760" s="0" t="n">
        <v>1749</v>
      </c>
      <c r="B1760" s="15" t="n">
        <v>-1.32263846455554</v>
      </c>
      <c r="C1760" s="18" t="n">
        <f aca="false">'Black-Scholes'!$B$5*EXP(('Black-Scholes'!$B$8-'Black-Scholes'!$B$10-'Black-Scholes'!$B$9^2/2)*'Black-Scholes'!$B$7+'Black-Scholes'!$B$9*SQRT('Black-Scholes'!$B$7)*B1760)</f>
        <v>79.0944330037065</v>
      </c>
      <c r="D1760" s="18" t="n">
        <f aca="false">'Black-Scholes'!$B$5*EXP(('Black-Scholes'!$B$8-'Black-Scholes'!$B$10-'Black-Scholes'!$B$9^2/2)*'Black-Scholes'!$B$7-'Black-Scholes'!$B$9*SQRT('Black-Scholes'!$B$7)*B1760)</f>
        <v>134.249214037049</v>
      </c>
      <c r="E1760" s="18" t="n">
        <f aca="false">EXP(-'Black-Scholes'!$B$8*'Black-Scholes'!$B$7)*IF(LOWER('Black-Scholes'!$B$11)="put",MAX('Black-Scholes'!$B$6-C1760,0),MAX(C1760-'Black-Scholes'!$B$6,0))</f>
        <v>0</v>
      </c>
      <c r="F1760" s="18" t="n">
        <f aca="false">(E1760+G1760)/2</f>
        <v>16.2894300790317</v>
      </c>
      <c r="G1760" s="18" t="n">
        <f aca="false">EXP(-'Black-Scholes'!$B$8*'Black-Scholes'!$B$7)*IF(LOWER('Black-Scholes'!$B$11)="put",MAX('Black-Scholes'!$B$6-D1760,0),MAX(D1760-'Black-Scholes'!$B$6,0))</f>
        <v>32.5788601580635</v>
      </c>
    </row>
    <row r="1761" customFormat="false" ht="15" hidden="false" customHeight="false" outlineLevel="0" collapsed="false">
      <c r="A1761" s="0" t="n">
        <v>1750</v>
      </c>
      <c r="B1761" s="15" t="n">
        <v>-0.399486078735246</v>
      </c>
      <c r="C1761" s="18" t="n">
        <f aca="false">'Black-Scholes'!$B$5*EXP(('Black-Scholes'!$B$8-'Black-Scholes'!$B$10-'Black-Scholes'!$B$9^2/2)*'Black-Scholes'!$B$7+'Black-Scholes'!$B$9*SQRT('Black-Scholes'!$B$7)*B1761)</f>
        <v>95.1327200931349</v>
      </c>
      <c r="D1761" s="18" t="n">
        <f aca="false">'Black-Scholes'!$B$5*EXP(('Black-Scholes'!$B$8-'Black-Scholes'!$B$10-'Black-Scholes'!$B$9^2/2)*'Black-Scholes'!$B$7-'Black-Scholes'!$B$9*SQRT('Black-Scholes'!$B$7)*B1761)</f>
        <v>111.616334054763</v>
      </c>
      <c r="E1761" s="18" t="n">
        <f aca="false">EXP(-'Black-Scholes'!$B$8*'Black-Scholes'!$B$7)*IF(LOWER('Black-Scholes'!$B$11)="put",MAX('Black-Scholes'!$B$6-C1761,0),MAX(C1761-'Black-Scholes'!$B$6,0))</f>
        <v>0</v>
      </c>
      <c r="F1761" s="18" t="n">
        <f aca="false">(E1761+G1761)/2</f>
        <v>5.52489937886008</v>
      </c>
      <c r="G1761" s="18" t="n">
        <f aca="false">EXP(-'Black-Scholes'!$B$8*'Black-Scholes'!$B$7)*IF(LOWER('Black-Scholes'!$B$11)="put",MAX('Black-Scholes'!$B$6-D1761,0),MAX(D1761-'Black-Scholes'!$B$6,0))</f>
        <v>11.0497987577202</v>
      </c>
    </row>
    <row r="1762" customFormat="false" ht="15" hidden="false" customHeight="false" outlineLevel="0" collapsed="false">
      <c r="A1762" s="0" t="n">
        <v>1751</v>
      </c>
      <c r="B1762" s="15" t="n">
        <v>1.47751440615879</v>
      </c>
      <c r="C1762" s="18" t="n">
        <f aca="false">'Black-Scholes'!$B$5*EXP(('Black-Scholes'!$B$8-'Black-Scholes'!$B$10-'Black-Scholes'!$B$9^2/2)*'Black-Scholes'!$B$7+'Black-Scholes'!$B$9*SQRT('Black-Scholes'!$B$7)*B1762)</f>
        <v>138.472682404956</v>
      </c>
      <c r="D1762" s="18" t="n">
        <f aca="false">'Black-Scholes'!$B$5*EXP(('Black-Scholes'!$B$8-'Black-Scholes'!$B$10-'Black-Scholes'!$B$9^2/2)*'Black-Scholes'!$B$7-'Black-Scholes'!$B$9*SQRT('Black-Scholes'!$B$7)*B1762)</f>
        <v>76.6820233495638</v>
      </c>
      <c r="E1762" s="18" t="n">
        <f aca="false">EXP(-'Black-Scholes'!$B$8*'Black-Scholes'!$B$7)*IF(LOWER('Black-Scholes'!$B$11)="put",MAX('Black-Scholes'!$B$6-C1762,0),MAX(C1762-'Black-Scholes'!$B$6,0))</f>
        <v>36.5963475430655</v>
      </c>
      <c r="F1762" s="18" t="n">
        <f aca="false">(E1762+G1762)/2</f>
        <v>18.2981737715327</v>
      </c>
      <c r="G1762" s="18" t="n">
        <f aca="false">EXP(-'Black-Scholes'!$B$8*'Black-Scholes'!$B$7)*IF(LOWER('Black-Scholes'!$B$11)="put",MAX('Black-Scholes'!$B$6-D1762,0),MAX(D1762-'Black-Scholes'!$B$6,0))</f>
        <v>0</v>
      </c>
    </row>
    <row r="1763" customFormat="false" ht="15" hidden="false" customHeight="false" outlineLevel="0" collapsed="false">
      <c r="A1763" s="0" t="n">
        <v>1752</v>
      </c>
      <c r="B1763" s="15" t="n">
        <v>-0.799217271712593</v>
      </c>
      <c r="C1763" s="18" t="n">
        <f aca="false">'Black-Scholes'!$B$5*EXP(('Black-Scholes'!$B$8-'Black-Scholes'!$B$10-'Black-Scholes'!$B$9^2/2)*'Black-Scholes'!$B$7+'Black-Scholes'!$B$9*SQRT('Black-Scholes'!$B$7)*B1763)</f>
        <v>87.8232903707229</v>
      </c>
      <c r="D1763" s="18" t="n">
        <f aca="false">'Black-Scholes'!$B$5*EXP(('Black-Scholes'!$B$8-'Black-Scholes'!$B$10-'Black-Scholes'!$B$9^2/2)*'Black-Scholes'!$B$7-'Black-Scholes'!$B$9*SQRT('Black-Scholes'!$B$7)*B1763)</f>
        <v>120.906030970042</v>
      </c>
      <c r="E1763" s="18" t="n">
        <f aca="false">EXP(-'Black-Scholes'!$B$8*'Black-Scholes'!$B$7)*IF(LOWER('Black-Scholes'!$B$11)="put",MAX('Black-Scholes'!$B$6-C1763,0),MAX(C1763-'Black-Scholes'!$B$6,0))</f>
        <v>0</v>
      </c>
      <c r="F1763" s="18" t="n">
        <f aca="false">(E1763+G1763)/2</f>
        <v>9.94321590411346</v>
      </c>
      <c r="G1763" s="18" t="n">
        <f aca="false">EXP(-'Black-Scholes'!$B$8*'Black-Scholes'!$B$7)*IF(LOWER('Black-Scholes'!$B$11)="put",MAX('Black-Scholes'!$B$6-D1763,0),MAX(D1763-'Black-Scholes'!$B$6,0))</f>
        <v>19.8864318082269</v>
      </c>
    </row>
    <row r="1764" customFormat="false" ht="15" hidden="false" customHeight="false" outlineLevel="0" collapsed="false">
      <c r="A1764" s="0" t="n">
        <v>1753</v>
      </c>
      <c r="B1764" s="15" t="n">
        <v>-0.159410029125529</v>
      </c>
      <c r="C1764" s="18" t="n">
        <f aca="false">'Black-Scholes'!$B$5*EXP(('Black-Scholes'!$B$8-'Black-Scholes'!$B$10-'Black-Scholes'!$B$9^2/2)*'Black-Scholes'!$B$7+'Black-Scholes'!$B$9*SQRT('Black-Scholes'!$B$7)*B1764)</f>
        <v>99.8119764037386</v>
      </c>
      <c r="D1764" s="18" t="n">
        <f aca="false">'Black-Scholes'!$B$5*EXP(('Black-Scholes'!$B$8-'Black-Scholes'!$B$10-'Black-Scholes'!$B$9^2/2)*'Black-Scholes'!$B$7-'Black-Scholes'!$B$9*SQRT('Black-Scholes'!$B$7)*B1764)</f>
        <v>106.383681077533</v>
      </c>
      <c r="E1764" s="18" t="n">
        <f aca="false">EXP(-'Black-Scholes'!$B$8*'Black-Scholes'!$B$7)*IF(LOWER('Black-Scholes'!$B$11)="put",MAX('Black-Scholes'!$B$6-C1764,0),MAX(C1764-'Black-Scholes'!$B$6,0))</f>
        <v>0</v>
      </c>
      <c r="F1764" s="18" t="n">
        <f aca="false">(E1764+G1764)/2</f>
        <v>3.03617263878901</v>
      </c>
      <c r="G1764" s="18" t="n">
        <f aca="false">EXP(-'Black-Scholes'!$B$8*'Black-Scholes'!$B$7)*IF(LOWER('Black-Scholes'!$B$11)="put",MAX('Black-Scholes'!$B$6-D1764,0),MAX(D1764-'Black-Scholes'!$B$6,0))</f>
        <v>6.07234527757803</v>
      </c>
    </row>
    <row r="1765" customFormat="false" ht="15" hidden="false" customHeight="false" outlineLevel="0" collapsed="false">
      <c r="A1765" s="0" t="n">
        <v>1754</v>
      </c>
      <c r="B1765" s="15" t="n">
        <v>-0.0395993870860819</v>
      </c>
      <c r="C1765" s="18" t="n">
        <f aca="false">'Black-Scholes'!$B$5*EXP(('Black-Scholes'!$B$8-'Black-Scholes'!$B$10-'Black-Scholes'!$B$9^2/2)*'Black-Scholes'!$B$7+'Black-Scholes'!$B$9*SQRT('Black-Scholes'!$B$7)*B1765)</f>
        <v>102.232569256398</v>
      </c>
      <c r="D1765" s="18" t="n">
        <f aca="false">'Black-Scholes'!$B$5*EXP(('Black-Scholes'!$B$8-'Black-Scholes'!$B$10-'Black-Scholes'!$B$9^2/2)*'Black-Scholes'!$B$7-'Black-Scholes'!$B$9*SQRT('Black-Scholes'!$B$7)*B1765)</f>
        <v>103.864801038335</v>
      </c>
      <c r="E1765" s="18" t="n">
        <f aca="false">EXP(-'Black-Scholes'!$B$8*'Black-Scholes'!$B$7)*IF(LOWER('Black-Scholes'!$B$11)="put",MAX('Black-Scholes'!$B$6-C1765,0),MAX(C1765-'Black-Scholes'!$B$6,0))</f>
        <v>2.12368556892191</v>
      </c>
      <c r="F1765" s="18" t="n">
        <f aca="false">(E1765+G1765)/2</f>
        <v>2.89999901821338</v>
      </c>
      <c r="G1765" s="18" t="n">
        <f aca="false">EXP(-'Black-Scholes'!$B$8*'Black-Scholes'!$B$7)*IF(LOWER('Black-Scholes'!$B$11)="put",MAX('Black-Scholes'!$B$6-D1765,0),MAX(D1765-'Black-Scholes'!$B$6,0))</f>
        <v>3.67631246750484</v>
      </c>
    </row>
    <row r="1766" customFormat="false" ht="15" hidden="false" customHeight="false" outlineLevel="0" collapsed="false">
      <c r="A1766" s="0" t="n">
        <v>1755</v>
      </c>
      <c r="B1766" s="15" t="n">
        <v>0.557222278837642</v>
      </c>
      <c r="C1766" s="18" t="n">
        <f aca="false">'Black-Scholes'!$B$5*EXP(('Black-Scholes'!$B$8-'Black-Scholes'!$B$10-'Black-Scholes'!$B$9^2/2)*'Black-Scholes'!$B$7+'Black-Scholes'!$B$9*SQRT('Black-Scholes'!$B$7)*B1766)</f>
        <v>115.193651905401</v>
      </c>
      <c r="D1766" s="18" t="n">
        <f aca="false">'Black-Scholes'!$B$5*EXP(('Black-Scholes'!$B$8-'Black-Scholes'!$B$10-'Black-Scholes'!$B$9^2/2)*'Black-Scholes'!$B$7-'Black-Scholes'!$B$9*SQRT('Black-Scholes'!$B$7)*B1766)</f>
        <v>92.1783908211674</v>
      </c>
      <c r="E1766" s="18" t="n">
        <f aca="false">EXP(-'Black-Scholes'!$B$8*'Black-Scholes'!$B$7)*IF(LOWER('Black-Scholes'!$B$11)="put",MAX('Black-Scholes'!$B$6-C1766,0),MAX(C1766-'Black-Scholes'!$B$6,0))</f>
        <v>14.4526487580391</v>
      </c>
      <c r="F1766" s="18" t="n">
        <f aca="false">(E1766+G1766)/2</f>
        <v>7.22632437901955</v>
      </c>
      <c r="G1766" s="18" t="n">
        <f aca="false">EXP(-'Black-Scholes'!$B$8*'Black-Scholes'!$B$7)*IF(LOWER('Black-Scholes'!$B$11)="put",MAX('Black-Scholes'!$B$6-D1766,0),MAX(D1766-'Black-Scholes'!$B$6,0))</f>
        <v>0</v>
      </c>
    </row>
    <row r="1767" customFormat="false" ht="15" hidden="false" customHeight="false" outlineLevel="0" collapsed="false">
      <c r="A1767" s="0" t="n">
        <v>1756</v>
      </c>
      <c r="B1767" s="15" t="n">
        <v>-0.830093118192527</v>
      </c>
      <c r="C1767" s="18" t="n">
        <f aca="false">'Black-Scholes'!$B$5*EXP(('Black-Scholes'!$B$8-'Black-Scholes'!$B$10-'Black-Scholes'!$B$9^2/2)*'Black-Scholes'!$B$7+'Black-Scholes'!$B$9*SQRT('Black-Scholes'!$B$7)*B1767)</f>
        <v>87.2826377134427</v>
      </c>
      <c r="D1767" s="18" t="n">
        <f aca="false">'Black-Scholes'!$B$5*EXP(('Black-Scholes'!$B$8-'Black-Scholes'!$B$10-'Black-Scholes'!$B$9^2/2)*'Black-Scholes'!$B$7-'Black-Scholes'!$B$9*SQRT('Black-Scholes'!$B$7)*B1767)</f>
        <v>121.65495617026</v>
      </c>
      <c r="E1767" s="18" t="n">
        <f aca="false">EXP(-'Black-Scholes'!$B$8*'Black-Scholes'!$B$7)*IF(LOWER('Black-Scholes'!$B$11)="put",MAX('Black-Scholes'!$B$6-C1767,0),MAX(C1767-'Black-Scholes'!$B$6,0))</f>
        <v>0</v>
      </c>
      <c r="F1767" s="18" t="n">
        <f aca="false">(E1767+G1767)/2</f>
        <v>10.2994157477125</v>
      </c>
      <c r="G1767" s="18" t="n">
        <f aca="false">EXP(-'Black-Scholes'!$B$8*'Black-Scholes'!$B$7)*IF(LOWER('Black-Scholes'!$B$11)="put",MAX('Black-Scholes'!$B$6-D1767,0),MAX(D1767-'Black-Scholes'!$B$6,0))</f>
        <v>20.598831495425</v>
      </c>
    </row>
    <row r="1768" customFormat="false" ht="15" hidden="false" customHeight="false" outlineLevel="0" collapsed="false">
      <c r="A1768" s="0" t="n">
        <v>1757</v>
      </c>
      <c r="B1768" s="15" t="n">
        <v>1.0308326409439</v>
      </c>
      <c r="C1768" s="18" t="n">
        <f aca="false">'Black-Scholes'!$B$5*EXP(('Black-Scholes'!$B$8-'Black-Scholes'!$B$10-'Black-Scholes'!$B$9^2/2)*'Black-Scholes'!$B$7+'Black-Scholes'!$B$9*SQRT('Black-Scholes'!$B$7)*B1768)</f>
        <v>126.638518143895</v>
      </c>
      <c r="D1768" s="18" t="n">
        <f aca="false">'Black-Scholes'!$B$5*EXP(('Black-Scholes'!$B$8-'Black-Scholes'!$B$10-'Black-Scholes'!$B$9^2/2)*'Black-Scholes'!$B$7-'Black-Scholes'!$B$9*SQRT('Black-Scholes'!$B$7)*B1768)</f>
        <v>83.847834143071</v>
      </c>
      <c r="E1768" s="18" t="n">
        <f aca="false">EXP(-'Black-Scholes'!$B$8*'Black-Scholes'!$B$7)*IF(LOWER('Black-Scholes'!$B$11)="put",MAX('Black-Scholes'!$B$6-C1768,0),MAX(C1768-'Black-Scholes'!$B$6,0))</f>
        <v>25.3393422835691</v>
      </c>
      <c r="F1768" s="18" t="n">
        <f aca="false">(E1768+G1768)/2</f>
        <v>12.6696711417846</v>
      </c>
      <c r="G1768" s="18" t="n">
        <f aca="false">EXP(-'Black-Scholes'!$B$8*'Black-Scholes'!$B$7)*IF(LOWER('Black-Scholes'!$B$11)="put",MAX('Black-Scholes'!$B$6-D1768,0),MAX(D1768-'Black-Scholes'!$B$6,0))</f>
        <v>0</v>
      </c>
    </row>
    <row r="1769" customFormat="false" ht="15" hidden="false" customHeight="false" outlineLevel="0" collapsed="false">
      <c r="A1769" s="0" t="n">
        <v>1758</v>
      </c>
      <c r="B1769" s="15" t="n">
        <v>0.582180770039574</v>
      </c>
      <c r="C1769" s="18" t="n">
        <f aca="false">'Black-Scholes'!$B$5*EXP(('Black-Scholes'!$B$8-'Black-Scholes'!$B$10-'Black-Scholes'!$B$9^2/2)*'Black-Scholes'!$B$7+'Black-Scholes'!$B$9*SQRT('Black-Scholes'!$B$7)*B1769)</f>
        <v>115.770101388906</v>
      </c>
      <c r="D1769" s="18" t="n">
        <f aca="false">'Black-Scholes'!$B$5*EXP(('Black-Scholes'!$B$8-'Black-Scholes'!$B$10-'Black-Scholes'!$B$9^2/2)*'Black-Scholes'!$B$7-'Black-Scholes'!$B$9*SQRT('Black-Scholes'!$B$7)*B1769)</f>
        <v>91.7194106082999</v>
      </c>
      <c r="E1769" s="18" t="n">
        <f aca="false">EXP(-'Black-Scholes'!$B$8*'Black-Scholes'!$B$7)*IF(LOWER('Black-Scholes'!$B$11)="put",MAX('Black-Scholes'!$B$6-C1769,0),MAX(C1769-'Black-Scholes'!$B$6,0))</f>
        <v>15.0009844684872</v>
      </c>
      <c r="F1769" s="18" t="n">
        <f aca="false">(E1769+G1769)/2</f>
        <v>7.50049223424358</v>
      </c>
      <c r="G1769" s="18" t="n">
        <f aca="false">EXP(-'Black-Scholes'!$B$8*'Black-Scholes'!$B$7)*IF(LOWER('Black-Scholes'!$B$11)="put",MAX('Black-Scholes'!$B$6-D1769,0),MAX(D1769-'Black-Scholes'!$B$6,0))</f>
        <v>0</v>
      </c>
    </row>
    <row r="1770" customFormat="false" ht="15" hidden="false" customHeight="false" outlineLevel="0" collapsed="false">
      <c r="A1770" s="0" t="n">
        <v>1759</v>
      </c>
      <c r="B1770" s="15" t="n">
        <v>-0.0263275642160179</v>
      </c>
      <c r="C1770" s="18" t="n">
        <f aca="false">'Black-Scholes'!$B$5*EXP(('Black-Scholes'!$B$8-'Black-Scholes'!$B$10-'Black-Scholes'!$B$9^2/2)*'Black-Scholes'!$B$7+'Black-Scholes'!$B$9*SQRT('Black-Scholes'!$B$7)*B1770)</f>
        <v>102.504292232926</v>
      </c>
      <c r="D1770" s="18" t="n">
        <f aca="false">'Black-Scholes'!$B$5*EXP(('Black-Scholes'!$B$8-'Black-Scholes'!$B$10-'Black-Scholes'!$B$9^2/2)*'Black-Scholes'!$B$7-'Black-Scholes'!$B$9*SQRT('Black-Scholes'!$B$7)*B1770)</f>
        <v>103.589471564029</v>
      </c>
      <c r="E1770" s="18" t="n">
        <f aca="false">EXP(-'Black-Scholes'!$B$8*'Black-Scholes'!$B$7)*IF(LOWER('Black-Scholes'!$B$11)="put",MAX('Black-Scholes'!$B$6-C1770,0),MAX(C1770-'Black-Scholes'!$B$6,0))</f>
        <v>2.38215645950746</v>
      </c>
      <c r="F1770" s="18" t="n">
        <f aca="false">(E1770+G1770)/2</f>
        <v>2.89828371481036</v>
      </c>
      <c r="G1770" s="18" t="n">
        <f aca="false">EXP(-'Black-Scholes'!$B$8*'Black-Scholes'!$B$7)*IF(LOWER('Black-Scholes'!$B$11)="put",MAX('Black-Scholes'!$B$6-D1770,0),MAX(D1770-'Black-Scholes'!$B$6,0))</f>
        <v>3.41441097011327</v>
      </c>
    </row>
    <row r="1771" customFormat="false" ht="15" hidden="false" customHeight="false" outlineLevel="0" collapsed="false">
      <c r="A1771" s="0" t="n">
        <v>1760</v>
      </c>
      <c r="B1771" s="15" t="n">
        <v>0.136614140853999</v>
      </c>
      <c r="C1771" s="18" t="n">
        <f aca="false">'Black-Scholes'!$B$5*EXP(('Black-Scholes'!$B$8-'Black-Scholes'!$B$10-'Black-Scholes'!$B$9^2/2)*'Black-Scholes'!$B$7+'Black-Scholes'!$B$9*SQRT('Black-Scholes'!$B$7)*B1771)</f>
        <v>105.899762948572</v>
      </c>
      <c r="D1771" s="18" t="n">
        <f aca="false">'Black-Scholes'!$B$5*EXP(('Black-Scholes'!$B$8-'Black-Scholes'!$B$10-'Black-Scholes'!$B$9^2/2)*'Black-Scholes'!$B$7-'Black-Scholes'!$B$9*SQRT('Black-Scholes'!$B$7)*B1771)</f>
        <v>100.268075865384</v>
      </c>
      <c r="E1771" s="18" t="n">
        <f aca="false">EXP(-'Black-Scholes'!$B$8*'Black-Scholes'!$B$7)*IF(LOWER('Black-Scholes'!$B$11)="put",MAX('Black-Scholes'!$B$6-C1771,0),MAX(C1771-'Black-Scholes'!$B$6,0))</f>
        <v>5.61202811426113</v>
      </c>
      <c r="F1771" s="18" t="n">
        <f aca="false">(E1771+G1771)/2</f>
        <v>2.93351488270626</v>
      </c>
      <c r="G1771" s="18" t="n">
        <f aca="false">EXP(-'Black-Scholes'!$B$8*'Black-Scholes'!$B$7)*IF(LOWER('Black-Scholes'!$B$11)="put",MAX('Black-Scholes'!$B$6-D1771,0),MAX(D1771-'Black-Scholes'!$B$6,0))</f>
        <v>0.255001651151394</v>
      </c>
    </row>
    <row r="1772" customFormat="false" ht="15" hidden="false" customHeight="false" outlineLevel="0" collapsed="false">
      <c r="A1772" s="0" t="n">
        <v>1761</v>
      </c>
      <c r="B1772" s="15" t="n">
        <v>1.30872479096052</v>
      </c>
      <c r="C1772" s="18" t="n">
        <f aca="false">'Black-Scholes'!$B$5*EXP(('Black-Scholes'!$B$8-'Black-Scholes'!$B$10-'Black-Scholes'!$B$9^2/2)*'Black-Scholes'!$B$7+'Black-Scholes'!$B$9*SQRT('Black-Scholes'!$B$7)*B1772)</f>
        <v>133.876153393288</v>
      </c>
      <c r="D1772" s="18" t="n">
        <f aca="false">'Black-Scholes'!$B$5*EXP(('Black-Scholes'!$B$8-'Black-Scholes'!$B$10-'Black-Scholes'!$B$9^2/2)*'Black-Scholes'!$B$7-'Black-Scholes'!$B$9*SQRT('Black-Scholes'!$B$7)*B1772)</f>
        <v>79.3148383510843</v>
      </c>
      <c r="E1772" s="18" t="n">
        <f aca="false">EXP(-'Black-Scholes'!$B$8*'Black-Scholes'!$B$7)*IF(LOWER('Black-Scholes'!$B$11)="put",MAX('Black-Scholes'!$B$6-C1772,0),MAX(C1772-'Black-Scholes'!$B$6,0))</f>
        <v>32.2239938965952</v>
      </c>
      <c r="F1772" s="18" t="n">
        <f aca="false">(E1772+G1772)/2</f>
        <v>16.1119969482976</v>
      </c>
      <c r="G1772" s="18" t="n">
        <f aca="false">EXP(-'Black-Scholes'!$B$8*'Black-Scholes'!$B$7)*IF(LOWER('Black-Scholes'!$B$11)="put",MAX('Black-Scholes'!$B$6-D1772,0),MAX(D1772-'Black-Scholes'!$B$6,0))</f>
        <v>0</v>
      </c>
    </row>
    <row r="1773" customFormat="false" ht="15" hidden="false" customHeight="false" outlineLevel="0" collapsed="false">
      <c r="A1773" s="0" t="n">
        <v>1762</v>
      </c>
      <c r="B1773" s="15" t="n">
        <v>-2.93585181186766</v>
      </c>
      <c r="C1773" s="18" t="n">
        <f aca="false">'Black-Scholes'!$B$5*EXP(('Black-Scholes'!$B$8-'Black-Scholes'!$B$10-'Black-Scholes'!$B$9^2/2)*'Black-Scholes'!$B$7+'Black-Scholes'!$B$9*SQRT('Black-Scholes'!$B$7)*B1773)</f>
        <v>57.2827667459307</v>
      </c>
      <c r="D1773" s="18" t="n">
        <f aca="false">'Black-Scholes'!$B$5*EXP(('Black-Scholes'!$B$8-'Black-Scholes'!$B$10-'Black-Scholes'!$B$9^2/2)*'Black-Scholes'!$B$7-'Black-Scholes'!$B$9*SQRT('Black-Scholes'!$B$7)*B1773)</f>
        <v>185.36753841779</v>
      </c>
      <c r="E1773" s="18" t="n">
        <f aca="false">EXP(-'Black-Scholes'!$B$8*'Black-Scholes'!$B$7)*IF(LOWER('Black-Scholes'!$B$11)="put",MAX('Black-Scholes'!$B$6-C1773,0),MAX(C1773-'Black-Scholes'!$B$6,0))</f>
        <v>0</v>
      </c>
      <c r="F1773" s="18" t="n">
        <f aca="false">(E1773+G1773)/2</f>
        <v>40.6020572200983</v>
      </c>
      <c r="G1773" s="18" t="n">
        <f aca="false">EXP(-'Black-Scholes'!$B$8*'Black-Scholes'!$B$7)*IF(LOWER('Black-Scholes'!$B$11)="put",MAX('Black-Scholes'!$B$6-D1773,0),MAX(D1773-'Black-Scholes'!$B$6,0))</f>
        <v>81.2041144401966</v>
      </c>
    </row>
    <row r="1774" customFormat="false" ht="15" hidden="false" customHeight="false" outlineLevel="0" collapsed="false">
      <c r="A1774" s="0" t="n">
        <v>1763</v>
      </c>
      <c r="B1774" s="15" t="n">
        <v>0.671951286632847</v>
      </c>
      <c r="C1774" s="18" t="n">
        <f aca="false">'Black-Scholes'!$B$5*EXP(('Black-Scholes'!$B$8-'Black-Scholes'!$B$10-'Black-Scholes'!$B$9^2/2)*'Black-Scholes'!$B$7+'Black-Scholes'!$B$9*SQRT('Black-Scholes'!$B$7)*B1774)</f>
        <v>117.867421159461</v>
      </c>
      <c r="D1774" s="18" t="n">
        <f aca="false">'Black-Scholes'!$B$5*EXP(('Black-Scholes'!$B$8-'Black-Scholes'!$B$10-'Black-Scholes'!$B$9^2/2)*'Black-Scholes'!$B$7-'Black-Scholes'!$B$9*SQRT('Black-Scholes'!$B$7)*B1774)</f>
        <v>90.0873656265728</v>
      </c>
      <c r="E1774" s="18" t="n">
        <f aca="false">EXP(-'Black-Scholes'!$B$8*'Black-Scholes'!$B$7)*IF(LOWER('Black-Scholes'!$B$11)="put",MAX('Black-Scholes'!$B$6-C1774,0),MAX(C1774-'Black-Scholes'!$B$6,0))</f>
        <v>16.9960167468259</v>
      </c>
      <c r="F1774" s="18" t="n">
        <f aca="false">(E1774+G1774)/2</f>
        <v>8.49800837341292</v>
      </c>
      <c r="G1774" s="18" t="n">
        <f aca="false">EXP(-'Black-Scholes'!$B$8*'Black-Scholes'!$B$7)*IF(LOWER('Black-Scholes'!$B$11)="put",MAX('Black-Scholes'!$B$6-D1774,0),MAX(D1774-'Black-Scholes'!$B$6,0))</f>
        <v>0</v>
      </c>
    </row>
    <row r="1775" customFormat="false" ht="15" hidden="false" customHeight="false" outlineLevel="0" collapsed="false">
      <c r="A1775" s="0" t="n">
        <v>1764</v>
      </c>
      <c r="B1775" s="15" t="n">
        <v>-1.77751954132496</v>
      </c>
      <c r="C1775" s="18" t="n">
        <f aca="false">'Black-Scholes'!$B$5*EXP(('Black-Scholes'!$B$8-'Black-Scholes'!$B$10-'Black-Scholes'!$B$9^2/2)*'Black-Scholes'!$B$7+'Black-Scholes'!$B$9*SQRT('Black-Scholes'!$B$7)*B1775)</f>
        <v>72.2163357854834</v>
      </c>
      <c r="D1775" s="18" t="n">
        <f aca="false">'Black-Scholes'!$B$5*EXP(('Black-Scholes'!$B$8-'Black-Scholes'!$B$10-'Black-Scholes'!$B$9^2/2)*'Black-Scholes'!$B$7-'Black-Scholes'!$B$9*SQRT('Black-Scholes'!$B$7)*B1775)</f>
        <v>147.035505886025</v>
      </c>
      <c r="E1775" s="18" t="n">
        <f aca="false">EXP(-'Black-Scholes'!$B$8*'Black-Scholes'!$B$7)*IF(LOWER('Black-Scholes'!$B$11)="put",MAX('Black-Scholes'!$B$6-C1775,0),MAX(C1775-'Black-Scholes'!$B$6,0))</f>
        <v>0</v>
      </c>
      <c r="F1775" s="18" t="n">
        <f aca="false">(E1775+G1775)/2</f>
        <v>22.3707785975317</v>
      </c>
      <c r="G1775" s="18" t="n">
        <f aca="false">EXP(-'Black-Scholes'!$B$8*'Black-Scholes'!$B$7)*IF(LOWER('Black-Scholes'!$B$11)="put",MAX('Black-Scholes'!$B$6-D1775,0),MAX(D1775-'Black-Scholes'!$B$6,0))</f>
        <v>44.7415571950634</v>
      </c>
    </row>
    <row r="1776" customFormat="false" ht="15" hidden="false" customHeight="false" outlineLevel="0" collapsed="false">
      <c r="A1776" s="0" t="n">
        <v>1765</v>
      </c>
      <c r="B1776" s="15" t="n">
        <v>-1.33655168764797</v>
      </c>
      <c r="C1776" s="18" t="n">
        <f aca="false">'Black-Scholes'!$B$5*EXP(('Black-Scholes'!$B$8-'Black-Scholes'!$B$10-'Black-Scholes'!$B$9^2/2)*'Black-Scholes'!$B$7+'Black-Scholes'!$B$9*SQRT('Black-Scholes'!$B$7)*B1776)</f>
        <v>78.8746472400116</v>
      </c>
      <c r="D1776" s="18" t="n">
        <f aca="false">'Black-Scholes'!$B$5*EXP(('Black-Scholes'!$B$8-'Black-Scholes'!$B$10-'Black-Scholes'!$B$9^2/2)*'Black-Scholes'!$B$7-'Black-Scholes'!$B$9*SQRT('Black-Scholes'!$B$7)*B1776)</f>
        <v>134.623302125744</v>
      </c>
      <c r="E1776" s="18" t="n">
        <f aca="false">EXP(-'Black-Scholes'!$B$8*'Black-Scholes'!$B$7)*IF(LOWER('Black-Scholes'!$B$11)="put",MAX('Black-Scholes'!$B$6-C1776,0),MAX(C1776-'Black-Scholes'!$B$6,0))</f>
        <v>0</v>
      </c>
      <c r="F1776" s="18" t="n">
        <f aca="false">(E1776+G1776)/2</f>
        <v>16.4673518776931</v>
      </c>
      <c r="G1776" s="18" t="n">
        <f aca="false">EXP(-'Black-Scholes'!$B$8*'Black-Scholes'!$B$7)*IF(LOWER('Black-Scholes'!$B$11)="put",MAX('Black-Scholes'!$B$6-D1776,0),MAX(D1776-'Black-Scholes'!$B$6,0))</f>
        <v>32.9347037553862</v>
      </c>
    </row>
    <row r="1777" customFormat="false" ht="15" hidden="false" customHeight="false" outlineLevel="0" collapsed="false">
      <c r="A1777" s="0" t="n">
        <v>1766</v>
      </c>
      <c r="B1777" s="15" t="n">
        <v>1.82014477829006</v>
      </c>
      <c r="C1777" s="18" t="n">
        <f aca="false">'Black-Scholes'!$B$5*EXP(('Black-Scholes'!$B$8-'Black-Scholes'!$B$10-'Black-Scholes'!$B$9^2/2)*'Black-Scholes'!$B$7+'Black-Scholes'!$B$9*SQRT('Black-Scholes'!$B$7)*B1777)</f>
        <v>148.294348765757</v>
      </c>
      <c r="D1777" s="18" t="n">
        <f aca="false">'Black-Scholes'!$B$5*EXP(('Black-Scholes'!$B$8-'Black-Scholes'!$B$10-'Black-Scholes'!$B$9^2/2)*'Black-Scholes'!$B$7-'Black-Scholes'!$B$9*SQRT('Black-Scholes'!$B$7)*B1777)</f>
        <v>71.603304871895</v>
      </c>
      <c r="E1777" s="18" t="n">
        <f aca="false">EXP(-'Black-Scholes'!$B$8*'Black-Scholes'!$B$7)*IF(LOWER('Black-Scholes'!$B$11)="put",MAX('Black-Scholes'!$B$6-C1777,0),MAX(C1777-'Black-Scholes'!$B$6,0))</f>
        <v>45.9390055830875</v>
      </c>
      <c r="F1777" s="18" t="n">
        <f aca="false">(E1777+G1777)/2</f>
        <v>22.9695027915438</v>
      </c>
      <c r="G1777" s="18" t="n">
        <f aca="false">EXP(-'Black-Scholes'!$B$8*'Black-Scholes'!$B$7)*IF(LOWER('Black-Scholes'!$B$11)="put",MAX('Black-Scholes'!$B$6-D1777,0),MAX(D1777-'Black-Scholes'!$B$6,0))</f>
        <v>0</v>
      </c>
    </row>
    <row r="1778" customFormat="false" ht="15" hidden="false" customHeight="false" outlineLevel="0" collapsed="false">
      <c r="A1778" s="0" t="n">
        <v>1767</v>
      </c>
      <c r="B1778" s="15" t="n">
        <v>1.51629802803735</v>
      </c>
      <c r="C1778" s="18" t="n">
        <f aca="false">'Black-Scholes'!$B$5*EXP(('Black-Scholes'!$B$8-'Black-Scholes'!$B$10-'Black-Scholes'!$B$9^2/2)*'Black-Scholes'!$B$7+'Black-Scholes'!$B$9*SQRT('Black-Scholes'!$B$7)*B1778)</f>
        <v>139.550953354883</v>
      </c>
      <c r="D1778" s="18" t="n">
        <f aca="false">'Black-Scholes'!$B$5*EXP(('Black-Scholes'!$B$8-'Black-Scholes'!$B$10-'Black-Scholes'!$B$9^2/2)*'Black-Scholes'!$B$7-'Black-Scholes'!$B$9*SQRT('Black-Scholes'!$B$7)*B1778)</f>
        <v>76.0895229318193</v>
      </c>
      <c r="E1778" s="18" t="n">
        <f aca="false">EXP(-'Black-Scholes'!$B$8*'Black-Scholes'!$B$7)*IF(LOWER('Black-Scholes'!$B$11)="put",MAX('Black-Scholes'!$B$6-C1778,0),MAX(C1778-'Black-Scholes'!$B$6,0))</f>
        <v>37.6220305982198</v>
      </c>
      <c r="F1778" s="18" t="n">
        <f aca="false">(E1778+G1778)/2</f>
        <v>18.8110152991099</v>
      </c>
      <c r="G1778" s="18" t="n">
        <f aca="false">EXP(-'Black-Scholes'!$B$8*'Black-Scholes'!$B$7)*IF(LOWER('Black-Scholes'!$B$11)="put",MAX('Black-Scholes'!$B$6-D1778,0),MAX(D1778-'Black-Scholes'!$B$6,0))</f>
        <v>0</v>
      </c>
    </row>
    <row r="1779" customFormat="false" ht="15" hidden="false" customHeight="false" outlineLevel="0" collapsed="false">
      <c r="A1779" s="0" t="n">
        <v>1768</v>
      </c>
      <c r="B1779" s="15" t="n">
        <v>-0.599728506811514</v>
      </c>
      <c r="C1779" s="18" t="n">
        <f aca="false">'Black-Scholes'!$B$5*EXP(('Black-Scholes'!$B$8-'Black-Scholes'!$B$10-'Black-Scholes'!$B$9^2/2)*'Black-Scholes'!$B$7+'Black-Scholes'!$B$9*SQRT('Black-Scholes'!$B$7)*B1779)</f>
        <v>91.3980811836853</v>
      </c>
      <c r="D1779" s="18" t="n">
        <f aca="false">'Black-Scholes'!$B$5*EXP(('Black-Scholes'!$B$8-'Black-Scholes'!$B$10-'Black-Scholes'!$B$9^2/2)*'Black-Scholes'!$B$7-'Black-Scholes'!$B$9*SQRT('Black-Scholes'!$B$7)*B1779)</f>
        <v>116.177115842438</v>
      </c>
      <c r="E1779" s="18" t="n">
        <f aca="false">EXP(-'Black-Scholes'!$B$8*'Black-Scholes'!$B$7)*IF(LOWER('Black-Scholes'!$B$11)="put",MAX('Black-Scholes'!$B$6-C1779,0),MAX(C1779-'Black-Scholes'!$B$6,0))</f>
        <v>0</v>
      </c>
      <c r="F1779" s="18" t="n">
        <f aca="false">(E1779+G1779)/2</f>
        <v>7.69407429644205</v>
      </c>
      <c r="G1779" s="18" t="n">
        <f aca="false">EXP(-'Black-Scholes'!$B$8*'Black-Scholes'!$B$7)*IF(LOWER('Black-Scholes'!$B$11)="put",MAX('Black-Scholes'!$B$6-D1779,0),MAX(D1779-'Black-Scholes'!$B$6,0))</f>
        <v>15.3881485928841</v>
      </c>
    </row>
    <row r="1780" customFormat="false" ht="15" hidden="false" customHeight="false" outlineLevel="0" collapsed="false">
      <c r="A1780" s="0" t="n">
        <v>1769</v>
      </c>
      <c r="B1780" s="15" t="n">
        <v>0.482069159442917</v>
      </c>
      <c r="C1780" s="18" t="n">
        <f aca="false">'Black-Scholes'!$B$5*EXP(('Black-Scholes'!$B$8-'Black-Scholes'!$B$10-'Black-Scholes'!$B$9^2/2)*'Black-Scholes'!$B$7+'Black-Scholes'!$B$9*SQRT('Black-Scholes'!$B$7)*B1780)</f>
        <v>113.47516675551</v>
      </c>
      <c r="D1780" s="18" t="n">
        <f aca="false">'Black-Scholes'!$B$5*EXP(('Black-Scholes'!$B$8-'Black-Scholes'!$B$10-'Black-Scholes'!$B$9^2/2)*'Black-Scholes'!$B$7-'Black-Scholes'!$B$9*SQRT('Black-Scholes'!$B$7)*B1780)</f>
        <v>93.5743543636434</v>
      </c>
      <c r="E1780" s="18" t="n">
        <f aca="false">EXP(-'Black-Scholes'!$B$8*'Black-Scholes'!$B$7)*IF(LOWER('Black-Scholes'!$B$11)="put",MAX('Black-Scholes'!$B$6-C1780,0),MAX(C1780-'Black-Scholes'!$B$6,0))</f>
        <v>12.8179751178946</v>
      </c>
      <c r="F1780" s="18" t="n">
        <f aca="false">(E1780+G1780)/2</f>
        <v>6.40898755894731</v>
      </c>
      <c r="G1780" s="18" t="n">
        <f aca="false">EXP(-'Black-Scholes'!$B$8*'Black-Scholes'!$B$7)*IF(LOWER('Black-Scholes'!$B$11)="put",MAX('Black-Scholes'!$B$6-D1780,0),MAX(D1780-'Black-Scholes'!$B$6,0))</f>
        <v>0</v>
      </c>
    </row>
    <row r="1781" customFormat="false" ht="15" hidden="false" customHeight="false" outlineLevel="0" collapsed="false">
      <c r="A1781" s="0" t="n">
        <v>1770</v>
      </c>
      <c r="B1781" s="15" t="n">
        <v>1.13160662792222</v>
      </c>
      <c r="C1781" s="18" t="n">
        <f aca="false">'Black-Scholes'!$B$5*EXP(('Black-Scholes'!$B$8-'Black-Scholes'!$B$10-'Black-Scholes'!$B$9^2/2)*'Black-Scholes'!$B$7+'Black-Scholes'!$B$9*SQRT('Black-Scholes'!$B$7)*B1781)</f>
        <v>129.216786783393</v>
      </c>
      <c r="D1781" s="18" t="n">
        <f aca="false">'Black-Scholes'!$B$5*EXP(('Black-Scholes'!$B$8-'Black-Scholes'!$B$10-'Black-Scholes'!$B$9^2/2)*'Black-Scholes'!$B$7-'Black-Scholes'!$B$9*SQRT('Black-Scholes'!$B$7)*B1781)</f>
        <v>82.1748143548349</v>
      </c>
      <c r="E1781" s="18" t="n">
        <f aca="false">EXP(-'Black-Scholes'!$B$8*'Black-Scholes'!$B$7)*IF(LOWER('Black-Scholes'!$B$11)="put",MAX('Black-Scholes'!$B$6-C1781,0),MAX(C1781-'Black-Scholes'!$B$6,0))</f>
        <v>27.7918672777269</v>
      </c>
      <c r="F1781" s="18" t="n">
        <f aca="false">(E1781+G1781)/2</f>
        <v>13.8959336388635</v>
      </c>
      <c r="G1781" s="18" t="n">
        <f aca="false">EXP(-'Black-Scholes'!$B$8*'Black-Scholes'!$B$7)*IF(LOWER('Black-Scholes'!$B$11)="put",MAX('Black-Scholes'!$B$6-D1781,0),MAX(D1781-'Black-Scholes'!$B$6,0))</f>
        <v>0</v>
      </c>
    </row>
    <row r="1782" customFormat="false" ht="15" hidden="false" customHeight="false" outlineLevel="0" collapsed="false">
      <c r="A1782" s="0" t="n">
        <v>1771</v>
      </c>
      <c r="B1782" s="15" t="n">
        <v>0.919978694776728</v>
      </c>
      <c r="C1782" s="18" t="n">
        <f aca="false">'Black-Scholes'!$B$5*EXP(('Black-Scholes'!$B$8-'Black-Scholes'!$B$10-'Black-Scholes'!$B$9^2/2)*'Black-Scholes'!$B$7+'Black-Scholes'!$B$9*SQRT('Black-Scholes'!$B$7)*B1782)</f>
        <v>123.861737697825</v>
      </c>
      <c r="D1782" s="18" t="n">
        <f aca="false">'Black-Scholes'!$B$5*EXP(('Black-Scholes'!$B$8-'Black-Scholes'!$B$10-'Black-Scholes'!$B$9^2/2)*'Black-Scholes'!$B$7-'Black-Scholes'!$B$9*SQRT('Black-Scholes'!$B$7)*B1782)</f>
        <v>85.7275673893603</v>
      </c>
      <c r="E1782" s="18" t="n">
        <f aca="false">EXP(-'Black-Scholes'!$B$8*'Black-Scholes'!$B$7)*IF(LOWER('Black-Scholes'!$B$11)="put",MAX('Black-Scholes'!$B$6-C1782,0),MAX(C1782-'Black-Scholes'!$B$6,0))</f>
        <v>22.6979870178895</v>
      </c>
      <c r="F1782" s="18" t="n">
        <f aca="false">(E1782+G1782)/2</f>
        <v>11.3489935089448</v>
      </c>
      <c r="G1782" s="18" t="n">
        <f aca="false">EXP(-'Black-Scholes'!$B$8*'Black-Scholes'!$B$7)*IF(LOWER('Black-Scholes'!$B$11)="put",MAX('Black-Scholes'!$B$6-D1782,0),MAX(D1782-'Black-Scholes'!$B$6,0))</f>
        <v>0</v>
      </c>
    </row>
    <row r="1783" customFormat="false" ht="15" hidden="false" customHeight="false" outlineLevel="0" collapsed="false">
      <c r="A1783" s="0" t="n">
        <v>1772</v>
      </c>
      <c r="B1783" s="15" t="n">
        <v>1.0881474863946</v>
      </c>
      <c r="C1783" s="18" t="n">
        <f aca="false">'Black-Scholes'!$B$5*EXP(('Black-Scholes'!$B$8-'Black-Scholes'!$B$10-'Black-Scholes'!$B$9^2/2)*'Black-Scholes'!$B$7+'Black-Scholes'!$B$9*SQRT('Black-Scholes'!$B$7)*B1783)</f>
        <v>128.098523574578</v>
      </c>
      <c r="D1783" s="18" t="n">
        <f aca="false">'Black-Scholes'!$B$5*EXP(('Black-Scholes'!$B$8-'Black-Scholes'!$B$10-'Black-Scholes'!$B$9^2/2)*'Black-Scholes'!$B$7-'Black-Scholes'!$B$9*SQRT('Black-Scholes'!$B$7)*B1783)</f>
        <v>82.8921768116371</v>
      </c>
      <c r="E1783" s="18" t="n">
        <f aca="false">EXP(-'Black-Scholes'!$B$8*'Black-Scholes'!$B$7)*IF(LOWER('Black-Scholes'!$B$11)="put",MAX('Black-Scholes'!$B$6-C1783,0),MAX(C1783-'Black-Scholes'!$B$6,0))</f>
        <v>26.7281424091658</v>
      </c>
      <c r="F1783" s="18" t="n">
        <f aca="false">(E1783+G1783)/2</f>
        <v>13.3640712045829</v>
      </c>
      <c r="G1783" s="18" t="n">
        <f aca="false">EXP(-'Black-Scholes'!$B$8*'Black-Scholes'!$B$7)*IF(LOWER('Black-Scholes'!$B$11)="put",MAX('Black-Scholes'!$B$6-D1783,0),MAX(D1783-'Black-Scholes'!$B$6,0))</f>
        <v>0</v>
      </c>
    </row>
    <row r="1784" customFormat="false" ht="15" hidden="false" customHeight="false" outlineLevel="0" collapsed="false">
      <c r="A1784" s="0" t="n">
        <v>1773</v>
      </c>
      <c r="B1784" s="15" t="n">
        <v>0.094874817958479</v>
      </c>
      <c r="C1784" s="18" t="n">
        <f aca="false">'Black-Scholes'!$B$5*EXP(('Black-Scholes'!$B$8-'Black-Scholes'!$B$10-'Black-Scholes'!$B$9^2/2)*'Black-Scholes'!$B$7+'Black-Scholes'!$B$9*SQRT('Black-Scholes'!$B$7)*B1784)</f>
        <v>105.019405732367</v>
      </c>
      <c r="D1784" s="18" t="n">
        <f aca="false">'Black-Scholes'!$B$5*EXP(('Black-Scholes'!$B$8-'Black-Scholes'!$B$10-'Black-Scholes'!$B$9^2/2)*'Black-Scholes'!$B$7-'Black-Scholes'!$B$9*SQRT('Black-Scholes'!$B$7)*B1784)</f>
        <v>101.108603609067</v>
      </c>
      <c r="E1784" s="18" t="n">
        <f aca="false">EXP(-'Black-Scholes'!$B$8*'Black-Scholes'!$B$7)*IF(LOWER('Black-Scholes'!$B$11)="put",MAX('Black-Scholes'!$B$6-C1784,0),MAX(C1784-'Black-Scholes'!$B$6,0))</f>
        <v>4.77460642613462</v>
      </c>
      <c r="F1784" s="18" t="n">
        <f aca="false">(E1784+G1784)/2</f>
        <v>2.91457139959328</v>
      </c>
      <c r="G1784" s="18" t="n">
        <f aca="false">EXP(-'Black-Scholes'!$B$8*'Black-Scholes'!$B$7)*IF(LOWER('Black-Scholes'!$B$11)="put",MAX('Black-Scholes'!$B$6-D1784,0),MAX(D1784-'Black-Scholes'!$B$6,0))</f>
        <v>1.05453637305194</v>
      </c>
    </row>
    <row r="1785" customFormat="false" ht="15" hidden="false" customHeight="false" outlineLevel="0" collapsed="false">
      <c r="A1785" s="0" t="n">
        <v>1774</v>
      </c>
      <c r="B1785" s="15" t="n">
        <v>-0.687170878148763</v>
      </c>
      <c r="C1785" s="18" t="n">
        <f aca="false">'Black-Scholes'!$B$5*EXP(('Black-Scholes'!$B$8-'Black-Scholes'!$B$10-'Black-Scholes'!$B$9^2/2)*'Black-Scholes'!$B$7+'Black-Scholes'!$B$9*SQRT('Black-Scholes'!$B$7)*B1785)</f>
        <v>89.8135639717984</v>
      </c>
      <c r="D1785" s="18" t="n">
        <f aca="false">'Black-Scholes'!$B$5*EXP(('Black-Scholes'!$B$8-'Black-Scholes'!$B$10-'Black-Scholes'!$B$9^2/2)*'Black-Scholes'!$B$7-'Black-Scholes'!$B$9*SQRT('Black-Scholes'!$B$7)*B1785)</f>
        <v>118.226746561219</v>
      </c>
      <c r="E1785" s="18" t="n">
        <f aca="false">EXP(-'Black-Scholes'!$B$8*'Black-Scholes'!$B$7)*IF(LOWER('Black-Scholes'!$B$11)="put",MAX('Black-Scholes'!$B$6-C1785,0),MAX(C1785-'Black-Scholes'!$B$6,0))</f>
        <v>0</v>
      </c>
      <c r="F1785" s="18" t="n">
        <f aca="false">(E1785+G1785)/2</f>
        <v>8.66890882097414</v>
      </c>
      <c r="G1785" s="18" t="n">
        <f aca="false">EXP(-'Black-Scholes'!$B$8*'Black-Scholes'!$B$7)*IF(LOWER('Black-Scholes'!$B$11)="put",MAX('Black-Scholes'!$B$6-D1785,0),MAX(D1785-'Black-Scholes'!$B$6,0))</f>
        <v>17.3378176419483</v>
      </c>
    </row>
    <row r="1786" customFormat="false" ht="15" hidden="false" customHeight="false" outlineLevel="0" collapsed="false">
      <c r="A1786" s="0" t="n">
        <v>1775</v>
      </c>
      <c r="B1786" s="15" t="n">
        <v>0.800353748668808</v>
      </c>
      <c r="C1786" s="18" t="n">
        <f aca="false">'Black-Scholes'!$B$5*EXP(('Black-Scholes'!$B$8-'Black-Scholes'!$B$10-'Black-Scholes'!$B$9^2/2)*'Black-Scholes'!$B$7+'Black-Scholes'!$B$9*SQRT('Black-Scholes'!$B$7)*B1786)</f>
        <v>120.933515477087</v>
      </c>
      <c r="D1786" s="18" t="n">
        <f aca="false">'Black-Scholes'!$B$5*EXP(('Black-Scholes'!$B$8-'Black-Scholes'!$B$10-'Black-Scholes'!$B$9^2/2)*'Black-Scholes'!$B$7-'Black-Scholes'!$B$9*SQRT('Black-Scholes'!$B$7)*B1786)</f>
        <v>87.8033308100219</v>
      </c>
      <c r="E1786" s="18" t="n">
        <f aca="false">EXP(-'Black-Scholes'!$B$8*'Black-Scholes'!$B$7)*IF(LOWER('Black-Scholes'!$B$11)="put",MAX('Black-Scholes'!$B$6-C1786,0),MAX(C1786-'Black-Scholes'!$B$6,0))</f>
        <v>19.9125758800465</v>
      </c>
      <c r="F1786" s="18" t="n">
        <f aca="false">(E1786+G1786)/2</f>
        <v>9.95628794002326</v>
      </c>
      <c r="G1786" s="18" t="n">
        <f aca="false">EXP(-'Black-Scholes'!$B$8*'Black-Scholes'!$B$7)*IF(LOWER('Black-Scholes'!$B$11)="put",MAX('Black-Scholes'!$B$6-D1786,0),MAX(D1786-'Black-Scholes'!$B$6,0))</f>
        <v>0</v>
      </c>
    </row>
    <row r="1787" customFormat="false" ht="15" hidden="false" customHeight="false" outlineLevel="0" collapsed="false">
      <c r="A1787" s="0" t="n">
        <v>1776</v>
      </c>
      <c r="B1787" s="15" t="n">
        <v>0.0888200689963143</v>
      </c>
      <c r="C1787" s="18" t="n">
        <f aca="false">'Black-Scholes'!$B$5*EXP(('Black-Scholes'!$B$8-'Black-Scholes'!$B$10-'Black-Scholes'!$B$9^2/2)*'Black-Scholes'!$B$7+'Black-Scholes'!$B$9*SQRT('Black-Scholes'!$B$7)*B1787)</f>
        <v>104.892309473919</v>
      </c>
      <c r="D1787" s="18" t="n">
        <f aca="false">'Black-Scholes'!$B$5*EXP(('Black-Scholes'!$B$8-'Black-Scholes'!$B$10-'Black-Scholes'!$B$9^2/2)*'Black-Scholes'!$B$7-'Black-Scholes'!$B$9*SQRT('Black-Scholes'!$B$7)*B1787)</f>
        <v>101.231115214351</v>
      </c>
      <c r="E1787" s="18" t="n">
        <f aca="false">EXP(-'Black-Scholes'!$B$8*'Black-Scholes'!$B$7)*IF(LOWER('Black-Scholes'!$B$11)="put",MAX('Black-Scholes'!$B$6-C1787,0),MAX(C1787-'Black-Scholes'!$B$6,0))</f>
        <v>4.65370872535493</v>
      </c>
      <c r="F1787" s="18" t="n">
        <f aca="false">(E1787+G1787)/2</f>
        <v>2.912390871098</v>
      </c>
      <c r="G1787" s="18" t="n">
        <f aca="false">EXP(-'Black-Scholes'!$B$8*'Black-Scholes'!$B$7)*IF(LOWER('Black-Scholes'!$B$11)="put",MAX('Black-Scholes'!$B$6-D1787,0),MAX(D1787-'Black-Scholes'!$B$6,0))</f>
        <v>1.17107301684107</v>
      </c>
    </row>
    <row r="1788" customFormat="false" ht="15" hidden="false" customHeight="false" outlineLevel="0" collapsed="false">
      <c r="A1788" s="0" t="n">
        <v>1777</v>
      </c>
      <c r="B1788" s="15" t="n">
        <v>-1.03069679637002</v>
      </c>
      <c r="C1788" s="18" t="n">
        <f aca="false">'Black-Scholes'!$B$5*EXP(('Black-Scholes'!$B$8-'Black-Scholes'!$B$10-'Black-Scholes'!$B$9^2/2)*'Black-Scholes'!$B$7+'Black-Scholes'!$B$9*SQRT('Black-Scholes'!$B$7)*B1788)</f>
        <v>83.8501122286774</v>
      </c>
      <c r="D1788" s="18" t="n">
        <f aca="false">'Black-Scholes'!$B$5*EXP(('Black-Scholes'!$B$8-'Black-Scholes'!$B$10-'Black-Scholes'!$B$9^2/2)*'Black-Scholes'!$B$7-'Black-Scholes'!$B$9*SQRT('Black-Scholes'!$B$7)*B1788)</f>
        <v>126.635077559527</v>
      </c>
      <c r="E1788" s="18" t="n">
        <f aca="false">EXP(-'Black-Scholes'!$B$8*'Black-Scholes'!$B$7)*IF(LOWER('Black-Scholes'!$B$11)="put",MAX('Black-Scholes'!$B$6-C1788,0),MAX(C1788-'Black-Scholes'!$B$6,0))</f>
        <v>0</v>
      </c>
      <c r="F1788" s="18" t="n">
        <f aca="false">(E1788+G1788)/2</f>
        <v>12.6680347492403</v>
      </c>
      <c r="G1788" s="18" t="n">
        <f aca="false">EXP(-'Black-Scholes'!$B$8*'Black-Scholes'!$B$7)*IF(LOWER('Black-Scholes'!$B$11)="put",MAX('Black-Scholes'!$B$6-D1788,0),MAX(D1788-'Black-Scholes'!$B$6,0))</f>
        <v>25.3360694984807</v>
      </c>
    </row>
    <row r="1789" customFormat="false" ht="15" hidden="false" customHeight="false" outlineLevel="0" collapsed="false">
      <c r="A1789" s="0" t="n">
        <v>1778</v>
      </c>
      <c r="B1789" s="15" t="n">
        <v>-1.44400160497862</v>
      </c>
      <c r="C1789" s="18" t="n">
        <f aca="false">'Black-Scholes'!$B$5*EXP(('Black-Scholes'!$B$8-'Black-Scholes'!$B$10-'Black-Scholes'!$B$9^2/2)*'Black-Scholes'!$B$7+'Black-Scholes'!$B$9*SQRT('Black-Scholes'!$B$7)*B1789)</f>
        <v>77.1977155284396</v>
      </c>
      <c r="D1789" s="18" t="n">
        <f aca="false">'Black-Scholes'!$B$5*EXP(('Black-Scholes'!$B$8-'Black-Scholes'!$B$10-'Black-Scholes'!$B$9^2/2)*'Black-Scholes'!$B$7-'Black-Scholes'!$B$9*SQRT('Black-Scholes'!$B$7)*B1789)</f>
        <v>137.54766436763</v>
      </c>
      <c r="E1789" s="18" t="n">
        <f aca="false">EXP(-'Black-Scholes'!$B$8*'Black-Scholes'!$B$7)*IF(LOWER('Black-Scholes'!$B$11)="put",MAX('Black-Scholes'!$B$6-C1789,0),MAX(C1789-'Black-Scholes'!$B$6,0))</f>
        <v>0</v>
      </c>
      <c r="F1789" s="18" t="n">
        <f aca="false">(E1789+G1789)/2</f>
        <v>17.8582215838834</v>
      </c>
      <c r="G1789" s="18" t="n">
        <f aca="false">EXP(-'Black-Scholes'!$B$8*'Black-Scholes'!$B$7)*IF(LOWER('Black-Scholes'!$B$11)="put",MAX('Black-Scholes'!$B$6-D1789,0),MAX(D1789-'Black-Scholes'!$B$6,0))</f>
        <v>35.7164431677667</v>
      </c>
    </row>
    <row r="1790" customFormat="false" ht="15" hidden="false" customHeight="false" outlineLevel="0" collapsed="false">
      <c r="A1790" s="0" t="n">
        <v>1779</v>
      </c>
      <c r="B1790" s="15" t="n">
        <v>-0.386191238359996</v>
      </c>
      <c r="C1790" s="18" t="n">
        <f aca="false">'Black-Scholes'!$B$5*EXP(('Black-Scholes'!$B$8-'Black-Scholes'!$B$10-'Black-Scholes'!$B$9^2/2)*'Black-Scholes'!$B$7+'Black-Scholes'!$B$9*SQRT('Black-Scholes'!$B$7)*B1790)</f>
        <v>95.3860115564793</v>
      </c>
      <c r="D1790" s="18" t="n">
        <f aca="false">'Black-Scholes'!$B$5*EXP(('Black-Scholes'!$B$8-'Black-Scholes'!$B$10-'Black-Scholes'!$B$9^2/2)*'Black-Scholes'!$B$7-'Black-Scholes'!$B$9*SQRT('Black-Scholes'!$B$7)*B1790)</f>
        <v>111.319944006321</v>
      </c>
      <c r="E1790" s="18" t="n">
        <f aca="false">EXP(-'Black-Scholes'!$B$8*'Black-Scholes'!$B$7)*IF(LOWER('Black-Scholes'!$B$11)="put",MAX('Black-Scholes'!$B$6-C1790,0),MAX(C1790-'Black-Scholes'!$B$6,0))</f>
        <v>0</v>
      </c>
      <c r="F1790" s="18" t="n">
        <f aca="false">(E1790+G1790)/2</f>
        <v>5.38393191125666</v>
      </c>
      <c r="G1790" s="18" t="n">
        <f aca="false">EXP(-'Black-Scholes'!$B$8*'Black-Scholes'!$B$7)*IF(LOWER('Black-Scholes'!$B$11)="put",MAX('Black-Scholes'!$B$6-D1790,0),MAX(D1790-'Black-Scholes'!$B$6,0))</f>
        <v>10.7678638225133</v>
      </c>
    </row>
    <row r="1791" customFormat="false" ht="15" hidden="false" customHeight="false" outlineLevel="0" collapsed="false">
      <c r="A1791" s="0" t="n">
        <v>1780</v>
      </c>
      <c r="B1791" s="15" t="n">
        <v>1.74605370793568</v>
      </c>
      <c r="C1791" s="18" t="n">
        <f aca="false">'Black-Scholes'!$B$5*EXP(('Black-Scholes'!$B$8-'Black-Scholes'!$B$10-'Black-Scholes'!$B$9^2/2)*'Black-Scholes'!$B$7+'Black-Scholes'!$B$9*SQRT('Black-Scholes'!$B$7)*B1791)</f>
        <v>146.113092434984</v>
      </c>
      <c r="D1791" s="18" t="n">
        <f aca="false">'Black-Scholes'!$B$5*EXP(('Black-Scholes'!$B$8-'Black-Scholes'!$B$10-'Black-Scholes'!$B$9^2/2)*'Black-Scholes'!$B$7-'Black-Scholes'!$B$9*SQRT('Black-Scholes'!$B$7)*B1791)</f>
        <v>72.6722382539299</v>
      </c>
      <c r="E1791" s="18" t="n">
        <f aca="false">EXP(-'Black-Scholes'!$B$8*'Black-Scholes'!$B$7)*IF(LOWER('Black-Scholes'!$B$11)="put",MAX('Black-Scholes'!$B$6-C1791,0),MAX(C1791-'Black-Scholes'!$B$6,0))</f>
        <v>43.8641303788776</v>
      </c>
      <c r="F1791" s="18" t="n">
        <f aca="false">(E1791+G1791)/2</f>
        <v>21.9320651894388</v>
      </c>
      <c r="G1791" s="18" t="n">
        <f aca="false">EXP(-'Black-Scholes'!$B$8*'Black-Scholes'!$B$7)*IF(LOWER('Black-Scholes'!$B$11)="put",MAX('Black-Scholes'!$B$6-D1791,0),MAX(D1791-'Black-Scholes'!$B$6,0))</f>
        <v>0</v>
      </c>
    </row>
    <row r="1792" customFormat="false" ht="15" hidden="false" customHeight="false" outlineLevel="0" collapsed="false">
      <c r="A1792" s="0" t="n">
        <v>1781</v>
      </c>
      <c r="B1792" s="15" t="n">
        <v>0.531053662082316</v>
      </c>
      <c r="C1792" s="18" t="n">
        <f aca="false">'Black-Scholes'!$B$5*EXP(('Black-Scholes'!$B$8-'Black-Scholes'!$B$10-'Black-Scholes'!$B$9^2/2)*'Black-Scholes'!$B$7+'Black-Scholes'!$B$9*SQRT('Black-Scholes'!$B$7)*B1792)</f>
        <v>114.592335134939</v>
      </c>
      <c r="D1792" s="18" t="n">
        <f aca="false">'Black-Scholes'!$B$5*EXP(('Black-Scholes'!$B$8-'Black-Scholes'!$B$10-'Black-Scholes'!$B$9^2/2)*'Black-Scholes'!$B$7-'Black-Scholes'!$B$9*SQRT('Black-Scholes'!$B$7)*B1792)</f>
        <v>92.6620916918209</v>
      </c>
      <c r="E1792" s="18" t="n">
        <f aca="false">EXP(-'Black-Scholes'!$B$8*'Black-Scholes'!$B$7)*IF(LOWER('Black-Scholes'!$B$11)="put",MAX('Black-Scholes'!$B$6-C1792,0),MAX(C1792-'Black-Scholes'!$B$6,0))</f>
        <v>13.8806585525297</v>
      </c>
      <c r="F1792" s="18" t="n">
        <f aca="false">(E1792+G1792)/2</f>
        <v>6.94032927626486</v>
      </c>
      <c r="G1792" s="18" t="n">
        <f aca="false">EXP(-'Black-Scholes'!$B$8*'Black-Scholes'!$B$7)*IF(LOWER('Black-Scholes'!$B$11)="put",MAX('Black-Scholes'!$B$6-D1792,0),MAX(D1792-'Black-Scholes'!$B$6,0))</f>
        <v>0</v>
      </c>
    </row>
    <row r="1793" customFormat="false" ht="15" hidden="false" customHeight="false" outlineLevel="0" collapsed="false">
      <c r="A1793" s="0" t="n">
        <v>1782</v>
      </c>
      <c r="B1793" s="15" t="n">
        <v>-1.07125898942896</v>
      </c>
      <c r="C1793" s="18" t="n">
        <f aca="false">'Black-Scholes'!$B$5*EXP(('Black-Scholes'!$B$8-'Black-Scholes'!$B$10-'Black-Scholes'!$B$9^2/2)*'Black-Scholes'!$B$7+'Black-Scholes'!$B$9*SQRT('Black-Scholes'!$B$7)*B1793)</f>
        <v>83.1726350521211</v>
      </c>
      <c r="D1793" s="18" t="n">
        <f aca="false">'Black-Scholes'!$B$5*EXP(('Black-Scholes'!$B$8-'Black-Scholes'!$B$10-'Black-Scholes'!$B$9^2/2)*'Black-Scholes'!$B$7-'Black-Scholes'!$B$9*SQRT('Black-Scholes'!$B$7)*B1793)</f>
        <v>127.666575175831</v>
      </c>
      <c r="E1793" s="18" t="n">
        <f aca="false">EXP(-'Black-Scholes'!$B$8*'Black-Scholes'!$B$7)*IF(LOWER('Black-Scholes'!$B$11)="put",MAX('Black-Scholes'!$B$6-C1793,0),MAX(C1793-'Black-Scholes'!$B$6,0))</f>
        <v>0</v>
      </c>
      <c r="F1793" s="18" t="n">
        <f aca="false">(E1793+G1793)/2</f>
        <v>13.1586301912059</v>
      </c>
      <c r="G1793" s="18" t="n">
        <f aca="false">EXP(-'Black-Scholes'!$B$8*'Black-Scholes'!$B$7)*IF(LOWER('Black-Scholes'!$B$11)="put",MAX('Black-Scholes'!$B$6-D1793,0),MAX(D1793-'Black-Scholes'!$B$6,0))</f>
        <v>26.3172603824118</v>
      </c>
    </row>
    <row r="1794" customFormat="false" ht="15" hidden="false" customHeight="false" outlineLevel="0" collapsed="false">
      <c r="A1794" s="0" t="n">
        <v>1783</v>
      </c>
      <c r="B1794" s="15" t="n">
        <v>-1.97762976601433</v>
      </c>
      <c r="C1794" s="18" t="n">
        <f aca="false">'Black-Scholes'!$B$5*EXP(('Black-Scholes'!$B$8-'Black-Scholes'!$B$10-'Black-Scholes'!$B$9^2/2)*'Black-Scholes'!$B$7+'Black-Scholes'!$B$9*SQRT('Black-Scholes'!$B$7)*B1794)</f>
        <v>69.3831631925889</v>
      </c>
      <c r="D1794" s="18" t="n">
        <f aca="false">'Black-Scholes'!$B$5*EXP(('Black-Scholes'!$B$8-'Black-Scholes'!$B$10-'Black-Scholes'!$B$9^2/2)*'Black-Scholes'!$B$7-'Black-Scholes'!$B$9*SQRT('Black-Scholes'!$B$7)*B1794)</f>
        <v>153.03951242436</v>
      </c>
      <c r="E1794" s="18" t="n">
        <f aca="false">EXP(-'Black-Scholes'!$B$8*'Black-Scholes'!$B$7)*IF(LOWER('Black-Scholes'!$B$11)="put",MAX('Black-Scholes'!$B$6-C1794,0),MAX(C1794-'Black-Scholes'!$B$6,0))</f>
        <v>0</v>
      </c>
      <c r="F1794" s="18" t="n">
        <f aca="false">(E1794+G1794)/2</f>
        <v>25.2263724396111</v>
      </c>
      <c r="G1794" s="18" t="n">
        <f aca="false">EXP(-'Black-Scholes'!$B$8*'Black-Scholes'!$B$7)*IF(LOWER('Black-Scholes'!$B$11)="put",MAX('Black-Scholes'!$B$6-D1794,0),MAX(D1794-'Black-Scholes'!$B$6,0))</f>
        <v>50.4527448792223</v>
      </c>
    </row>
    <row r="1795" customFormat="false" ht="15" hidden="false" customHeight="false" outlineLevel="0" collapsed="false">
      <c r="A1795" s="0" t="n">
        <v>1784</v>
      </c>
      <c r="B1795" s="15" t="n">
        <v>0.519059896218271</v>
      </c>
      <c r="C1795" s="18" t="n">
        <f aca="false">'Black-Scholes'!$B$5*EXP(('Black-Scholes'!$B$8-'Black-Scholes'!$B$10-'Black-Scholes'!$B$9^2/2)*'Black-Scholes'!$B$7+'Black-Scholes'!$B$9*SQRT('Black-Scholes'!$B$7)*B1795)</f>
        <v>114.317785827113</v>
      </c>
      <c r="D1795" s="18" t="n">
        <f aca="false">'Black-Scholes'!$B$5*EXP(('Black-Scholes'!$B$8-'Black-Scholes'!$B$10-'Black-Scholes'!$B$9^2/2)*'Black-Scholes'!$B$7-'Black-Scholes'!$B$9*SQRT('Black-Scholes'!$B$7)*B1795)</f>
        <v>92.8846319811699</v>
      </c>
      <c r="E1795" s="18" t="n">
        <f aca="false">EXP(-'Black-Scholes'!$B$8*'Black-Scholes'!$B$7)*IF(LOWER('Black-Scholes'!$B$11)="put",MAX('Black-Scholes'!$B$6-C1795,0),MAX(C1795-'Black-Scholes'!$B$6,0))</f>
        <v>13.6194991724492</v>
      </c>
      <c r="F1795" s="18" t="n">
        <f aca="false">(E1795+G1795)/2</f>
        <v>6.80974958622459</v>
      </c>
      <c r="G1795" s="18" t="n">
        <f aca="false">EXP(-'Black-Scholes'!$B$8*'Black-Scholes'!$B$7)*IF(LOWER('Black-Scholes'!$B$11)="put",MAX('Black-Scholes'!$B$6-D1795,0),MAX(D1795-'Black-Scholes'!$B$6,0))</f>
        <v>0</v>
      </c>
    </row>
    <row r="1796" customFormat="false" ht="15" hidden="false" customHeight="false" outlineLevel="0" collapsed="false">
      <c r="A1796" s="0" t="n">
        <v>1785</v>
      </c>
      <c r="B1796" s="15" t="n">
        <v>-1.29982735844403</v>
      </c>
      <c r="C1796" s="18" t="n">
        <f aca="false">'Black-Scholes'!$B$5*EXP(('Black-Scholes'!$B$8-'Black-Scholes'!$B$10-'Black-Scholes'!$B$9^2/2)*'Black-Scholes'!$B$7+'Black-Scholes'!$B$9*SQRT('Black-Scholes'!$B$7)*B1796)</f>
        <v>79.4561036880444</v>
      </c>
      <c r="D1796" s="18" t="n">
        <f aca="false">'Black-Scholes'!$B$5*EXP(('Black-Scholes'!$B$8-'Black-Scholes'!$B$10-'Black-Scholes'!$B$9^2/2)*'Black-Scholes'!$B$7-'Black-Scholes'!$B$9*SQRT('Black-Scholes'!$B$7)*B1796)</f>
        <v>133.638134423792</v>
      </c>
      <c r="E1796" s="18" t="n">
        <f aca="false">EXP(-'Black-Scholes'!$B$8*'Black-Scholes'!$B$7)*IF(LOWER('Black-Scholes'!$B$11)="put",MAX('Black-Scholes'!$B$6-C1796,0),MAX(C1796-'Black-Scholes'!$B$6,0))</f>
        <v>0</v>
      </c>
      <c r="F1796" s="18" t="n">
        <f aca="false">(E1796+G1796)/2</f>
        <v>15.9987916246105</v>
      </c>
      <c r="G1796" s="18" t="n">
        <f aca="false">EXP(-'Black-Scholes'!$B$8*'Black-Scholes'!$B$7)*IF(LOWER('Black-Scholes'!$B$11)="put",MAX('Black-Scholes'!$B$6-D1796,0),MAX(D1796-'Black-Scholes'!$B$6,0))</f>
        <v>31.9975832492209</v>
      </c>
    </row>
    <row r="1797" customFormat="false" ht="15" hidden="false" customHeight="false" outlineLevel="0" collapsed="false">
      <c r="A1797" s="0" t="n">
        <v>1786</v>
      </c>
      <c r="B1797" s="15" t="n">
        <v>-1.04827993913662</v>
      </c>
      <c r="C1797" s="18" t="n">
        <f aca="false">'Black-Scholes'!$B$5*EXP(('Black-Scholes'!$B$8-'Black-Scholes'!$B$10-'Black-Scholes'!$B$9^2/2)*'Black-Scholes'!$B$7+'Black-Scholes'!$B$9*SQRT('Black-Scholes'!$B$7)*B1797)</f>
        <v>83.5557603961904</v>
      </c>
      <c r="D1797" s="18" t="n">
        <f aca="false">'Black-Scholes'!$B$5*EXP(('Black-Scholes'!$B$8-'Black-Scholes'!$B$10-'Black-Scholes'!$B$9^2/2)*'Black-Scholes'!$B$7-'Black-Scholes'!$B$9*SQRT('Black-Scholes'!$B$7)*B1797)</f>
        <v>127.081190035316</v>
      </c>
      <c r="E1797" s="18" t="n">
        <f aca="false">EXP(-'Black-Scholes'!$B$8*'Black-Scholes'!$B$7)*IF(LOWER('Black-Scholes'!$B$11)="put",MAX('Black-Scholes'!$B$6-C1797,0),MAX(C1797-'Black-Scholes'!$B$6,0))</f>
        <v>0</v>
      </c>
      <c r="F1797" s="18" t="n">
        <f aca="false">(E1797+G1797)/2</f>
        <v>12.880212406044</v>
      </c>
      <c r="G1797" s="18" t="n">
        <f aca="false">EXP(-'Black-Scholes'!$B$8*'Black-Scholes'!$B$7)*IF(LOWER('Black-Scholes'!$B$11)="put",MAX('Black-Scholes'!$B$6-D1797,0),MAX(D1797-'Black-Scholes'!$B$6,0))</f>
        <v>25.760424812088</v>
      </c>
    </row>
    <row r="1798" customFormat="false" ht="15" hidden="false" customHeight="false" outlineLevel="0" collapsed="false">
      <c r="A1798" s="0" t="n">
        <v>1787</v>
      </c>
      <c r="B1798" s="15" t="n">
        <v>1.08417220538909</v>
      </c>
      <c r="C1798" s="18" t="n">
        <f aca="false">'Black-Scholes'!$B$5*EXP(('Black-Scholes'!$B$8-'Black-Scholes'!$B$10-'Black-Scholes'!$B$9^2/2)*'Black-Scholes'!$B$7+'Black-Scholes'!$B$9*SQRT('Black-Scholes'!$B$7)*B1798)</f>
        <v>127.996718524789</v>
      </c>
      <c r="D1798" s="18" t="n">
        <f aca="false">'Black-Scholes'!$B$5*EXP(('Black-Scholes'!$B$8-'Black-Scholes'!$B$10-'Black-Scholes'!$B$9^2/2)*'Black-Scholes'!$B$7-'Black-Scholes'!$B$9*SQRT('Black-Scholes'!$B$7)*B1798)</f>
        <v>82.9581069564464</v>
      </c>
      <c r="E1798" s="18" t="n">
        <f aca="false">EXP(-'Black-Scholes'!$B$8*'Black-Scholes'!$B$7)*IF(LOWER('Black-Scholes'!$B$11)="put",MAX('Black-Scholes'!$B$6-C1798,0),MAX(C1798-'Black-Scholes'!$B$6,0))</f>
        <v>26.6313024502434</v>
      </c>
      <c r="F1798" s="18" t="n">
        <f aca="false">(E1798+G1798)/2</f>
        <v>13.3156512251217</v>
      </c>
      <c r="G1798" s="18" t="n">
        <f aca="false">EXP(-'Black-Scholes'!$B$8*'Black-Scholes'!$B$7)*IF(LOWER('Black-Scholes'!$B$11)="put",MAX('Black-Scholes'!$B$6-D1798,0),MAX(D1798-'Black-Scholes'!$B$6,0))</f>
        <v>0</v>
      </c>
    </row>
    <row r="1799" customFormat="false" ht="15" hidden="false" customHeight="false" outlineLevel="0" collapsed="false">
      <c r="A1799" s="0" t="n">
        <v>1788</v>
      </c>
      <c r="B1799" s="15" t="n">
        <v>-0.562828101088756</v>
      </c>
      <c r="C1799" s="18" t="n">
        <f aca="false">'Black-Scholes'!$B$5*EXP(('Black-Scholes'!$B$8-'Black-Scholes'!$B$10-'Black-Scholes'!$B$9^2/2)*'Black-Scholes'!$B$7+'Black-Scholes'!$B$9*SQRT('Black-Scholes'!$B$7)*B1799)</f>
        <v>92.0751015992214</v>
      </c>
      <c r="D1799" s="18" t="n">
        <f aca="false">'Black-Scholes'!$B$5*EXP(('Black-Scholes'!$B$8-'Black-Scholes'!$B$10-'Black-Scholes'!$B$9^2/2)*'Black-Scholes'!$B$7-'Black-Scholes'!$B$9*SQRT('Black-Scholes'!$B$7)*B1799)</f>
        <v>115.322875359644</v>
      </c>
      <c r="E1799" s="18" t="n">
        <f aca="false">EXP(-'Black-Scholes'!$B$8*'Black-Scholes'!$B$7)*IF(LOWER('Black-Scholes'!$B$11)="put",MAX('Black-Scholes'!$B$6-C1799,0),MAX(C1799-'Black-Scholes'!$B$6,0))</f>
        <v>0</v>
      </c>
      <c r="F1799" s="18" t="n">
        <f aca="false">(E1799+G1799)/2</f>
        <v>7.28778495502531</v>
      </c>
      <c r="G1799" s="18" t="n">
        <f aca="false">EXP(-'Black-Scholes'!$B$8*'Black-Scholes'!$B$7)*IF(LOWER('Black-Scholes'!$B$11)="put",MAX('Black-Scholes'!$B$6-D1799,0),MAX(D1799-'Black-Scholes'!$B$6,0))</f>
        <v>14.5755699100506</v>
      </c>
    </row>
    <row r="1800" customFormat="false" ht="15" hidden="false" customHeight="false" outlineLevel="0" collapsed="false">
      <c r="A1800" s="0" t="n">
        <v>1789</v>
      </c>
      <c r="B1800" s="15" t="n">
        <v>0.562536466350166</v>
      </c>
      <c r="C1800" s="18" t="n">
        <f aca="false">'Black-Scholes'!$B$5*EXP(('Black-Scholes'!$B$8-'Black-Scholes'!$B$10-'Black-Scholes'!$B$9^2/2)*'Black-Scholes'!$B$7+'Black-Scholes'!$B$9*SQRT('Black-Scholes'!$B$7)*B1800)</f>
        <v>115.316149124485</v>
      </c>
      <c r="D1800" s="18" t="n">
        <f aca="false">'Black-Scholes'!$B$5*EXP(('Black-Scholes'!$B$8-'Black-Scholes'!$B$10-'Black-Scholes'!$B$9^2/2)*'Black-Scholes'!$B$7-'Black-Scholes'!$B$9*SQRT('Black-Scholes'!$B$7)*B1800)</f>
        <v>92.0804722154828</v>
      </c>
      <c r="E1800" s="18" t="n">
        <f aca="false">EXP(-'Black-Scholes'!$B$8*'Black-Scholes'!$B$7)*IF(LOWER('Black-Scholes'!$B$11)="put",MAX('Black-Scholes'!$B$6-C1800,0),MAX(C1800-'Black-Scholes'!$B$6,0))</f>
        <v>14.5691717172508</v>
      </c>
      <c r="F1800" s="18" t="n">
        <f aca="false">(E1800+G1800)/2</f>
        <v>7.28458585862539</v>
      </c>
      <c r="G1800" s="18" t="n">
        <f aca="false">EXP(-'Black-Scholes'!$B$8*'Black-Scholes'!$B$7)*IF(LOWER('Black-Scholes'!$B$11)="put",MAX('Black-Scholes'!$B$6-D1800,0),MAX(D1800-'Black-Scholes'!$B$6,0))</f>
        <v>0</v>
      </c>
    </row>
    <row r="1801" customFormat="false" ht="15" hidden="false" customHeight="false" outlineLevel="0" collapsed="false">
      <c r="A1801" s="0" t="n">
        <v>1790</v>
      </c>
      <c r="B1801" s="15" t="n">
        <v>1.67188959148716</v>
      </c>
      <c r="C1801" s="18" t="n">
        <f aca="false">'Black-Scholes'!$B$5*EXP(('Black-Scholes'!$B$8-'Black-Scholes'!$B$10-'Black-Scholes'!$B$9^2/2)*'Black-Scholes'!$B$7+'Black-Scholes'!$B$9*SQRT('Black-Scholes'!$B$7)*B1801)</f>
        <v>143.961816941379</v>
      </c>
      <c r="D1801" s="18" t="n">
        <f aca="false">'Black-Scholes'!$B$5*EXP(('Black-Scholes'!$B$8-'Black-Scholes'!$B$10-'Black-Scholes'!$B$9^2/2)*'Black-Scholes'!$B$7-'Black-Scholes'!$B$9*SQRT('Black-Scholes'!$B$7)*B1801)</f>
        <v>73.7582068013035</v>
      </c>
      <c r="E1801" s="18" t="n">
        <f aca="false">EXP(-'Black-Scholes'!$B$8*'Black-Scholes'!$B$7)*IF(LOWER('Black-Scholes'!$B$11)="put",MAX('Black-Scholes'!$B$6-C1801,0),MAX(C1801-'Black-Scholes'!$B$6,0))</f>
        <v>41.8177738291533</v>
      </c>
      <c r="F1801" s="18" t="n">
        <f aca="false">(E1801+G1801)/2</f>
        <v>20.9088869145766</v>
      </c>
      <c r="G1801" s="18" t="n">
        <f aca="false">EXP(-'Black-Scholes'!$B$8*'Black-Scholes'!$B$7)*IF(LOWER('Black-Scholes'!$B$11)="put",MAX('Black-Scholes'!$B$6-D1801,0),MAX(D1801-'Black-Scholes'!$B$6,0))</f>
        <v>0</v>
      </c>
    </row>
    <row r="1802" customFormat="false" ht="15" hidden="false" customHeight="false" outlineLevel="0" collapsed="false">
      <c r="A1802" s="0" t="n">
        <v>1791</v>
      </c>
      <c r="B1802" s="15" t="n">
        <v>1.45170105817424</v>
      </c>
      <c r="C1802" s="18" t="n">
        <f aca="false">'Black-Scholes'!$B$5*EXP(('Black-Scholes'!$B$8-'Black-Scholes'!$B$10-'Black-Scholes'!$B$9^2/2)*'Black-Scholes'!$B$7+'Black-Scholes'!$B$9*SQRT('Black-Scholes'!$B$7)*B1802)</f>
        <v>137.75963589302</v>
      </c>
      <c r="D1802" s="18" t="n">
        <f aca="false">'Black-Scholes'!$B$5*EXP(('Black-Scholes'!$B$8-'Black-Scholes'!$B$10-'Black-Scholes'!$B$9^2/2)*'Black-Scholes'!$B$7-'Black-Scholes'!$B$9*SQRT('Black-Scholes'!$B$7)*B1802)</f>
        <v>77.0789309700229</v>
      </c>
      <c r="E1802" s="18" t="n">
        <f aca="false">EXP(-'Black-Scholes'!$B$8*'Black-Scholes'!$B$7)*IF(LOWER('Black-Scholes'!$B$11)="put",MAX('Black-Scholes'!$B$6-C1802,0),MAX(C1802-'Black-Scholes'!$B$6,0))</f>
        <v>35.9180767198742</v>
      </c>
      <c r="F1802" s="18" t="n">
        <f aca="false">(E1802+G1802)/2</f>
        <v>17.9590383599371</v>
      </c>
      <c r="G1802" s="18" t="n">
        <f aca="false">EXP(-'Black-Scholes'!$B$8*'Black-Scholes'!$B$7)*IF(LOWER('Black-Scholes'!$B$11)="put",MAX('Black-Scholes'!$B$6-D1802,0),MAX(D1802-'Black-Scholes'!$B$6,0))</f>
        <v>0</v>
      </c>
    </row>
    <row r="1803" customFormat="false" ht="15" hidden="false" customHeight="false" outlineLevel="0" collapsed="false">
      <c r="A1803" s="0" t="n">
        <v>1792</v>
      </c>
      <c r="B1803" s="15" t="n">
        <v>-0.84050520257282</v>
      </c>
      <c r="C1803" s="18" t="n">
        <f aca="false">'Black-Scholes'!$B$5*EXP(('Black-Scholes'!$B$8-'Black-Scholes'!$B$10-'Black-Scholes'!$B$9^2/2)*'Black-Scholes'!$B$7+'Black-Scholes'!$B$9*SQRT('Black-Scholes'!$B$7)*B1803)</f>
        <v>87.1010679932203</v>
      </c>
      <c r="D1803" s="18" t="n">
        <f aca="false">'Black-Scholes'!$B$5*EXP(('Black-Scholes'!$B$8-'Black-Scholes'!$B$10-'Black-Scholes'!$B$9^2/2)*'Black-Scholes'!$B$7-'Black-Scholes'!$B$9*SQRT('Black-Scholes'!$B$7)*B1803)</f>
        <v>121.908556463166</v>
      </c>
      <c r="E1803" s="18" t="n">
        <f aca="false">EXP(-'Black-Scholes'!$B$8*'Black-Scholes'!$B$7)*IF(LOWER('Black-Scholes'!$B$11)="put",MAX('Black-Scholes'!$B$6-C1803,0),MAX(C1803-'Black-Scholes'!$B$6,0))</f>
        <v>0</v>
      </c>
      <c r="F1803" s="18" t="n">
        <f aca="false">(E1803+G1803)/2</f>
        <v>10.4200317780496</v>
      </c>
      <c r="G1803" s="18" t="n">
        <f aca="false">EXP(-'Black-Scholes'!$B$8*'Black-Scholes'!$B$7)*IF(LOWER('Black-Scholes'!$B$11)="put",MAX('Black-Scholes'!$B$6-D1803,0),MAX(D1803-'Black-Scholes'!$B$6,0))</f>
        <v>20.8400635560993</v>
      </c>
    </row>
    <row r="1804" customFormat="false" ht="15" hidden="false" customHeight="false" outlineLevel="0" collapsed="false">
      <c r="A1804" s="0" t="n">
        <v>1793</v>
      </c>
      <c r="B1804" s="15" t="n">
        <v>-1.8372325819718</v>
      </c>
      <c r="C1804" s="18" t="n">
        <f aca="false">'Black-Scholes'!$B$5*EXP(('Black-Scholes'!$B$8-'Black-Scholes'!$B$10-'Black-Scholes'!$B$9^2/2)*'Black-Scholes'!$B$7+'Black-Scholes'!$B$9*SQRT('Black-Scholes'!$B$7)*B1804)</f>
        <v>71.3590139059495</v>
      </c>
      <c r="D1804" s="18" t="n">
        <f aca="false">'Black-Scholes'!$B$5*EXP(('Black-Scholes'!$B$8-'Black-Scholes'!$B$10-'Black-Scholes'!$B$9^2/2)*'Black-Scholes'!$B$7-'Black-Scholes'!$B$9*SQRT('Black-Scholes'!$B$7)*B1804)</f>
        <v>148.80202071526</v>
      </c>
      <c r="E1804" s="18" t="n">
        <f aca="false">EXP(-'Black-Scholes'!$B$8*'Black-Scholes'!$B$7)*IF(LOWER('Black-Scholes'!$B$11)="put",MAX('Black-Scholes'!$B$6-C1804,0),MAX(C1804-'Black-Scholes'!$B$6,0))</f>
        <v>0</v>
      </c>
      <c r="F1804" s="18" t="n">
        <f aca="false">(E1804+G1804)/2</f>
        <v>23.2109590397241</v>
      </c>
      <c r="G1804" s="18" t="n">
        <f aca="false">EXP(-'Black-Scholes'!$B$8*'Black-Scholes'!$B$7)*IF(LOWER('Black-Scholes'!$B$11)="put",MAX('Black-Scholes'!$B$6-D1804,0),MAX(D1804-'Black-Scholes'!$B$6,0))</f>
        <v>46.4219180794482</v>
      </c>
    </row>
    <row r="1805" customFormat="false" ht="15" hidden="false" customHeight="false" outlineLevel="0" collapsed="false">
      <c r="A1805" s="0" t="n">
        <v>1794</v>
      </c>
      <c r="B1805" s="15" t="n">
        <v>-1.0139783396698</v>
      </c>
      <c r="C1805" s="18" t="n">
        <f aca="false">'Black-Scholes'!$B$5*EXP(('Black-Scholes'!$B$8-'Black-Scholes'!$B$10-'Black-Scholes'!$B$9^2/2)*'Black-Scholes'!$B$7+'Black-Scholes'!$B$9*SQRT('Black-Scholes'!$B$7)*B1805)</f>
        <v>84.1309503791902</v>
      </c>
      <c r="D1805" s="18" t="n">
        <f aca="false">'Black-Scholes'!$B$5*EXP(('Black-Scholes'!$B$8-'Black-Scholes'!$B$10-'Black-Scholes'!$B$9^2/2)*'Black-Scholes'!$B$7-'Black-Scholes'!$B$9*SQRT('Black-Scholes'!$B$7)*B1805)</f>
        <v>126.212356066288</v>
      </c>
      <c r="E1805" s="18" t="n">
        <f aca="false">EXP(-'Black-Scholes'!$B$8*'Black-Scholes'!$B$7)*IF(LOWER('Black-Scholes'!$B$11)="put",MAX('Black-Scholes'!$B$6-C1805,0),MAX(C1805-'Black-Scholes'!$B$6,0))</f>
        <v>0</v>
      </c>
      <c r="F1805" s="18" t="n">
        <f aca="false">(E1805+G1805)/2</f>
        <v>12.4669821878717</v>
      </c>
      <c r="G1805" s="18" t="n">
        <f aca="false">EXP(-'Black-Scholes'!$B$8*'Black-Scholes'!$B$7)*IF(LOWER('Black-Scholes'!$B$11)="put",MAX('Black-Scholes'!$B$6-D1805,0),MAX(D1805-'Black-Scholes'!$B$6,0))</f>
        <v>24.9339643757433</v>
      </c>
    </row>
    <row r="1806" customFormat="false" ht="15" hidden="false" customHeight="false" outlineLevel="0" collapsed="false">
      <c r="A1806" s="0" t="n">
        <v>1795</v>
      </c>
      <c r="B1806" s="15" t="n">
        <v>-0.185972280872843</v>
      </c>
      <c r="C1806" s="18" t="n">
        <f aca="false">'Black-Scholes'!$B$5*EXP(('Black-Scholes'!$B$8-'Black-Scholes'!$B$10-'Black-Scholes'!$B$9^2/2)*'Black-Scholes'!$B$7+'Black-Scholes'!$B$9*SQRT('Black-Scholes'!$B$7)*B1806)</f>
        <v>99.283136197231</v>
      </c>
      <c r="D1806" s="18" t="n">
        <f aca="false">'Black-Scholes'!$B$5*EXP(('Black-Scholes'!$B$8-'Black-Scholes'!$B$10-'Black-Scholes'!$B$9^2/2)*'Black-Scholes'!$B$7-'Black-Scholes'!$B$9*SQRT('Black-Scholes'!$B$7)*B1806)</f>
        <v>106.950342950082</v>
      </c>
      <c r="E1806" s="18" t="n">
        <f aca="false">EXP(-'Black-Scholes'!$B$8*'Black-Scholes'!$B$7)*IF(LOWER('Black-Scholes'!$B$11)="put",MAX('Black-Scholes'!$B$6-C1806,0),MAX(C1806-'Black-Scholes'!$B$6,0))</f>
        <v>0</v>
      </c>
      <c r="F1806" s="18" t="n">
        <f aca="false">(E1806+G1806)/2</f>
        <v>3.30568536224473</v>
      </c>
      <c r="G1806" s="18" t="n">
        <f aca="false">EXP(-'Black-Scholes'!$B$8*'Black-Scholes'!$B$7)*IF(LOWER('Black-Scholes'!$B$11)="put",MAX('Black-Scholes'!$B$6-D1806,0),MAX(D1806-'Black-Scholes'!$B$6,0))</f>
        <v>6.61137072448946</v>
      </c>
    </row>
    <row r="1807" customFormat="false" ht="15" hidden="false" customHeight="false" outlineLevel="0" collapsed="false">
      <c r="A1807" s="0" t="n">
        <v>1796</v>
      </c>
      <c r="B1807" s="15" t="n">
        <v>1.43450975626184</v>
      </c>
      <c r="C1807" s="18" t="n">
        <f aca="false">'Black-Scholes'!$B$5*EXP(('Black-Scholes'!$B$8-'Black-Scholes'!$B$10-'Black-Scholes'!$B$9^2/2)*'Black-Scholes'!$B$7+'Black-Scholes'!$B$9*SQRT('Black-Scholes'!$B$7)*B1807)</f>
        <v>137.286795734229</v>
      </c>
      <c r="D1807" s="18" t="n">
        <f aca="false">'Black-Scholes'!$B$5*EXP(('Black-Scholes'!$B$8-'Black-Scholes'!$B$10-'Black-Scholes'!$B$9^2/2)*'Black-Scholes'!$B$7-'Black-Scholes'!$B$9*SQRT('Black-Scholes'!$B$7)*B1807)</f>
        <v>77.3444045267799</v>
      </c>
      <c r="E1807" s="18" t="n">
        <f aca="false">EXP(-'Black-Scholes'!$B$8*'Black-Scholes'!$B$7)*IF(LOWER('Black-Scholes'!$B$11)="put",MAX('Black-Scholes'!$B$6-C1807,0),MAX(C1807-'Black-Scholes'!$B$6,0))</f>
        <v>35.4682972477462</v>
      </c>
      <c r="F1807" s="18" t="n">
        <f aca="false">(E1807+G1807)/2</f>
        <v>17.7341486238731</v>
      </c>
      <c r="G1807" s="18" t="n">
        <f aca="false">EXP(-'Black-Scholes'!$B$8*'Black-Scholes'!$B$7)*IF(LOWER('Black-Scholes'!$B$11)="put",MAX('Black-Scholes'!$B$6-D1807,0),MAX(D1807-'Black-Scholes'!$B$6,0))</f>
        <v>0</v>
      </c>
    </row>
    <row r="1808" customFormat="false" ht="15" hidden="false" customHeight="false" outlineLevel="0" collapsed="false">
      <c r="A1808" s="0" t="n">
        <v>1797</v>
      </c>
      <c r="B1808" s="15" t="n">
        <v>0.303049198422859</v>
      </c>
      <c r="C1808" s="18" t="n">
        <f aca="false">'Black-Scholes'!$B$5*EXP(('Black-Scholes'!$B$8-'Black-Scholes'!$B$10-'Black-Scholes'!$B$9^2/2)*'Black-Scholes'!$B$7+'Black-Scholes'!$B$9*SQRT('Black-Scholes'!$B$7)*B1808)</f>
        <v>109.484175811076</v>
      </c>
      <c r="D1808" s="18" t="n">
        <f aca="false">'Black-Scholes'!$B$5*EXP(('Black-Scholes'!$B$8-'Black-Scholes'!$B$10-'Black-Scholes'!$B$9^2/2)*'Black-Scholes'!$B$7-'Black-Scholes'!$B$9*SQRT('Black-Scholes'!$B$7)*B1808)</f>
        <v>96.9853897770259</v>
      </c>
      <c r="E1808" s="18" t="n">
        <f aca="false">EXP(-'Black-Scholes'!$B$8*'Black-Scholes'!$B$7)*IF(LOWER('Black-Scholes'!$B$11)="put",MAX('Black-Scholes'!$B$6-C1808,0),MAX(C1808-'Black-Scholes'!$B$6,0))</f>
        <v>9.02162709863302</v>
      </c>
      <c r="F1808" s="18" t="n">
        <f aca="false">(E1808+G1808)/2</f>
        <v>4.51081354931651</v>
      </c>
      <c r="G1808" s="18" t="n">
        <f aca="false">EXP(-'Black-Scholes'!$B$8*'Black-Scholes'!$B$7)*IF(LOWER('Black-Scholes'!$B$11)="put",MAX('Black-Scholes'!$B$6-D1808,0),MAX(D1808-'Black-Scholes'!$B$6,0))</f>
        <v>0</v>
      </c>
    </row>
    <row r="1809" customFormat="false" ht="15" hidden="false" customHeight="false" outlineLevel="0" collapsed="false">
      <c r="A1809" s="0" t="n">
        <v>1798</v>
      </c>
      <c r="B1809" s="15" t="n">
        <v>-0.154277138582499</v>
      </c>
      <c r="C1809" s="18" t="n">
        <f aca="false">'Black-Scholes'!$B$5*EXP(('Black-Scholes'!$B$8-'Black-Scholes'!$B$10-'Black-Scholes'!$B$9^2/2)*'Black-Scholes'!$B$7+'Black-Scholes'!$B$9*SQRT('Black-Scholes'!$B$7)*B1809)</f>
        <v>99.9144938057484</v>
      </c>
      <c r="D1809" s="18" t="n">
        <f aca="false">'Black-Scholes'!$B$5*EXP(('Black-Scholes'!$B$8-'Black-Scholes'!$B$10-'Black-Scholes'!$B$9^2/2)*'Black-Scholes'!$B$7-'Black-Scholes'!$B$9*SQRT('Black-Scholes'!$B$7)*B1809)</f>
        <v>106.274525957141</v>
      </c>
      <c r="E1809" s="18" t="n">
        <f aca="false">EXP(-'Black-Scholes'!$B$8*'Black-Scholes'!$B$7)*IF(LOWER('Black-Scholes'!$B$11)="put",MAX('Black-Scholes'!$B$6-C1809,0),MAX(C1809-'Black-Scholes'!$B$6,0))</f>
        <v>0</v>
      </c>
      <c r="F1809" s="18" t="n">
        <f aca="false">(E1809+G1809)/2</f>
        <v>2.98425685761294</v>
      </c>
      <c r="G1809" s="18" t="n">
        <f aca="false">EXP(-'Black-Scholes'!$B$8*'Black-Scholes'!$B$7)*IF(LOWER('Black-Scholes'!$B$11)="put",MAX('Black-Scholes'!$B$6-D1809,0),MAX(D1809-'Black-Scholes'!$B$6,0))</f>
        <v>5.96851371522587</v>
      </c>
    </row>
    <row r="1810" customFormat="false" ht="15" hidden="false" customHeight="false" outlineLevel="0" collapsed="false">
      <c r="A1810" s="0" t="n">
        <v>1799</v>
      </c>
      <c r="B1810" s="15" t="n">
        <v>0.783154309377278</v>
      </c>
      <c r="C1810" s="18" t="n">
        <f aca="false">'Black-Scholes'!$B$5*EXP(('Black-Scholes'!$B$8-'Black-Scholes'!$B$10-'Black-Scholes'!$B$9^2/2)*'Black-Scholes'!$B$7+'Black-Scholes'!$B$9*SQRT('Black-Scholes'!$B$7)*B1810)</f>
        <v>120.518232418608</v>
      </c>
      <c r="D1810" s="18" t="n">
        <f aca="false">'Black-Scholes'!$B$5*EXP(('Black-Scholes'!$B$8-'Black-Scholes'!$B$10-'Black-Scholes'!$B$9^2/2)*'Black-Scholes'!$B$7-'Black-Scholes'!$B$9*SQRT('Black-Scholes'!$B$7)*B1810)</f>
        <v>88.1058844986353</v>
      </c>
      <c r="E1810" s="18" t="n">
        <f aca="false">EXP(-'Black-Scholes'!$B$8*'Black-Scholes'!$B$7)*IF(LOWER('Black-Scholes'!$B$11)="put",MAX('Black-Scholes'!$B$6-C1810,0),MAX(C1810-'Black-Scholes'!$B$6,0))</f>
        <v>19.5175464153247</v>
      </c>
      <c r="F1810" s="18" t="n">
        <f aca="false">(E1810+G1810)/2</f>
        <v>9.75877320766237</v>
      </c>
      <c r="G1810" s="18" t="n">
        <f aca="false">EXP(-'Black-Scholes'!$B$8*'Black-Scholes'!$B$7)*IF(LOWER('Black-Scholes'!$B$11)="put",MAX('Black-Scholes'!$B$6-D1810,0),MAX(D1810-'Black-Scholes'!$B$6,0))</f>
        <v>0</v>
      </c>
    </row>
    <row r="1811" customFormat="false" ht="15" hidden="false" customHeight="false" outlineLevel="0" collapsed="false">
      <c r="A1811" s="0" t="n">
        <v>1800</v>
      </c>
      <c r="B1811" s="15" t="n">
        <v>-0.17199666605095</v>
      </c>
      <c r="C1811" s="18" t="n">
        <f aca="false">'Black-Scholes'!$B$5*EXP(('Black-Scholes'!$B$8-'Black-Scholes'!$B$10-'Black-Scholes'!$B$9^2/2)*'Black-Scholes'!$B$7+'Black-Scholes'!$B$9*SQRT('Black-Scholes'!$B$7)*B1811)</f>
        <v>99.5610329680871</v>
      </c>
      <c r="D1811" s="18" t="n">
        <f aca="false">'Black-Scholes'!$B$5*EXP(('Black-Scholes'!$B$8-'Black-Scholes'!$B$10-'Black-Scholes'!$B$9^2/2)*'Black-Scholes'!$B$7-'Black-Scholes'!$B$9*SQRT('Black-Scholes'!$B$7)*B1811)</f>
        <v>106.651820987606</v>
      </c>
      <c r="E1811" s="18" t="n">
        <f aca="false">EXP(-'Black-Scholes'!$B$8*'Black-Scholes'!$B$7)*IF(LOWER('Black-Scholes'!$B$11)="put",MAX('Black-Scholes'!$B$6-C1811,0),MAX(C1811-'Black-Scholes'!$B$6,0))</f>
        <v>0</v>
      </c>
      <c r="F1811" s="18" t="n">
        <f aca="false">(E1811+G1811)/2</f>
        <v>3.16370392496126</v>
      </c>
      <c r="G1811" s="18" t="n">
        <f aca="false">EXP(-'Black-Scholes'!$B$8*'Black-Scholes'!$B$7)*IF(LOWER('Black-Scholes'!$B$11)="put",MAX('Black-Scholes'!$B$6-D1811,0),MAX(D1811-'Black-Scholes'!$B$6,0))</f>
        <v>6.32740784992251</v>
      </c>
    </row>
    <row r="1812" customFormat="false" ht="15" hidden="false" customHeight="false" outlineLevel="0" collapsed="false">
      <c r="A1812" s="0" t="n">
        <v>1801</v>
      </c>
      <c r="B1812" s="15" t="n">
        <v>0.156757572288907</v>
      </c>
      <c r="C1812" s="18" t="n">
        <f aca="false">'Black-Scholes'!$B$5*EXP(('Black-Scholes'!$B$8-'Black-Scholes'!$B$10-'Black-Scholes'!$B$9^2/2)*'Black-Scholes'!$B$7+'Black-Scholes'!$B$9*SQRT('Black-Scholes'!$B$7)*B1812)</f>
        <v>106.327260419757</v>
      </c>
      <c r="D1812" s="18" t="n">
        <f aca="false">'Black-Scholes'!$B$5*EXP(('Black-Scholes'!$B$8-'Black-Scholes'!$B$10-'Black-Scholes'!$B$9^2/2)*'Black-Scholes'!$B$7-'Black-Scholes'!$B$9*SQRT('Black-Scholes'!$B$7)*B1812)</f>
        <v>99.8649398426578</v>
      </c>
      <c r="E1812" s="18" t="n">
        <f aca="false">EXP(-'Black-Scholes'!$B$8*'Black-Scholes'!$B$7)*IF(LOWER('Black-Scholes'!$B$11)="put",MAX('Black-Scholes'!$B$6-C1812,0),MAX(C1812-'Black-Scholes'!$B$6,0))</f>
        <v>6.01867628775113</v>
      </c>
      <c r="F1812" s="18" t="n">
        <f aca="false">(E1812+G1812)/2</f>
        <v>3.00933814387557</v>
      </c>
      <c r="G1812" s="18" t="n">
        <f aca="false">EXP(-'Black-Scholes'!$B$8*'Black-Scholes'!$B$7)*IF(LOWER('Black-Scholes'!$B$11)="put",MAX('Black-Scholes'!$B$6-D1812,0),MAX(D1812-'Black-Scholes'!$B$6,0))</f>
        <v>0</v>
      </c>
    </row>
    <row r="1813" customFormat="false" ht="15" hidden="false" customHeight="false" outlineLevel="0" collapsed="false">
      <c r="A1813" s="0" t="n">
        <v>1802</v>
      </c>
      <c r="B1813" s="15" t="n">
        <v>-0.180072490379099</v>
      </c>
      <c r="C1813" s="18" t="n">
        <f aca="false">'Black-Scholes'!$B$5*EXP(('Black-Scholes'!$B$8-'Black-Scholes'!$B$10-'Black-Scholes'!$B$9^2/2)*'Black-Scholes'!$B$7+'Black-Scholes'!$B$9*SQRT('Black-Scholes'!$B$7)*B1813)</f>
        <v>99.4003552810594</v>
      </c>
      <c r="D1813" s="18" t="n">
        <f aca="false">'Black-Scholes'!$B$5*EXP(('Black-Scholes'!$B$8-'Black-Scholes'!$B$10-'Black-Scholes'!$B$9^2/2)*'Black-Scholes'!$B$7-'Black-Scholes'!$B$9*SQRT('Black-Scholes'!$B$7)*B1813)</f>
        <v>106.82422045102</v>
      </c>
      <c r="E1813" s="18" t="n">
        <f aca="false">EXP(-'Black-Scholes'!$B$8*'Black-Scholes'!$B$7)*IF(LOWER('Black-Scholes'!$B$11)="put",MAX('Black-Scholes'!$B$6-C1813,0),MAX(C1813-'Black-Scholes'!$B$6,0))</f>
        <v>0</v>
      </c>
      <c r="F1813" s="18" t="n">
        <f aca="false">(E1813+G1813)/2</f>
        <v>3.24569964614486</v>
      </c>
      <c r="G1813" s="18" t="n">
        <f aca="false">EXP(-'Black-Scholes'!$B$8*'Black-Scholes'!$B$7)*IF(LOWER('Black-Scholes'!$B$11)="put",MAX('Black-Scholes'!$B$6-D1813,0),MAX(D1813-'Black-Scholes'!$B$6,0))</f>
        <v>6.49139929228971</v>
      </c>
    </row>
    <row r="1814" customFormat="false" ht="15" hidden="false" customHeight="false" outlineLevel="0" collapsed="false">
      <c r="A1814" s="0" t="n">
        <v>1803</v>
      </c>
      <c r="B1814" s="15" t="n">
        <v>0.738208920753295</v>
      </c>
      <c r="C1814" s="18" t="n">
        <f aca="false">'Black-Scholes'!$B$5*EXP(('Black-Scholes'!$B$8-'Black-Scholes'!$B$10-'Black-Scholes'!$B$9^2/2)*'Black-Scholes'!$B$7+'Black-Scholes'!$B$9*SQRT('Black-Scholes'!$B$7)*B1814)</f>
        <v>119.439739251754</v>
      </c>
      <c r="D1814" s="18" t="n">
        <f aca="false">'Black-Scholes'!$B$5*EXP(('Black-Scholes'!$B$8-'Black-Scholes'!$B$10-'Black-Scholes'!$B$9^2/2)*'Black-Scholes'!$B$7-'Black-Scholes'!$B$9*SQRT('Black-Scholes'!$B$7)*B1814)</f>
        <v>88.9014454650834</v>
      </c>
      <c r="E1814" s="18" t="n">
        <f aca="false">EXP(-'Black-Scholes'!$B$8*'Black-Scholes'!$B$7)*IF(LOWER('Black-Scholes'!$B$11)="put",MAX('Black-Scholes'!$B$6-C1814,0),MAX(C1814-'Black-Scholes'!$B$6,0))</f>
        <v>18.49165198089</v>
      </c>
      <c r="F1814" s="18" t="n">
        <f aca="false">(E1814+G1814)/2</f>
        <v>9.24582599044499</v>
      </c>
      <c r="G1814" s="18" t="n">
        <f aca="false">EXP(-'Black-Scholes'!$B$8*'Black-Scholes'!$B$7)*IF(LOWER('Black-Scholes'!$B$11)="put",MAX('Black-Scholes'!$B$6-D1814,0),MAX(D1814-'Black-Scholes'!$B$6,0))</f>
        <v>0</v>
      </c>
    </row>
    <row r="1815" customFormat="false" ht="15" hidden="false" customHeight="false" outlineLevel="0" collapsed="false">
      <c r="A1815" s="0" t="n">
        <v>1804</v>
      </c>
      <c r="B1815" s="15" t="n">
        <v>-0.3534938818617</v>
      </c>
      <c r="C1815" s="18" t="n">
        <f aca="false">'Black-Scholes'!$B$5*EXP(('Black-Scholes'!$B$8-'Black-Scholes'!$B$10-'Black-Scholes'!$B$9^2/2)*'Black-Scholes'!$B$7+'Black-Scholes'!$B$9*SQRT('Black-Scholes'!$B$7)*B1815)</f>
        <v>96.011829671</v>
      </c>
      <c r="D1815" s="18" t="n">
        <f aca="false">'Black-Scholes'!$B$5*EXP(('Black-Scholes'!$B$8-'Black-Scholes'!$B$10-'Black-Scholes'!$B$9^2/2)*'Black-Scholes'!$B$7-'Black-Scholes'!$B$9*SQRT('Black-Scholes'!$B$7)*B1815)</f>
        <v>110.594345528454</v>
      </c>
      <c r="E1815" s="18" t="n">
        <f aca="false">EXP(-'Black-Scholes'!$B$8*'Black-Scholes'!$B$7)*IF(LOWER('Black-Scholes'!$B$11)="put",MAX('Black-Scholes'!$B$6-C1815,0),MAX(C1815-'Black-Scholes'!$B$6,0))</f>
        <v>0</v>
      </c>
      <c r="F1815" s="18" t="n">
        <f aca="false">(E1815+G1815)/2</f>
        <v>5.03882659999628</v>
      </c>
      <c r="G1815" s="18" t="n">
        <f aca="false">EXP(-'Black-Scholes'!$B$8*'Black-Scholes'!$B$7)*IF(LOWER('Black-Scholes'!$B$11)="put",MAX('Black-Scholes'!$B$6-D1815,0),MAX(D1815-'Black-Scholes'!$B$6,0))</f>
        <v>10.0776531999926</v>
      </c>
    </row>
    <row r="1816" customFormat="false" ht="15" hidden="false" customHeight="false" outlineLevel="0" collapsed="false">
      <c r="A1816" s="0" t="n">
        <v>1805</v>
      </c>
      <c r="B1816" s="15" t="n">
        <v>0.495870434313425</v>
      </c>
      <c r="C1816" s="18" t="n">
        <f aca="false">'Black-Scholes'!$B$5*EXP(('Black-Scholes'!$B$8-'Black-Scholes'!$B$10-'Black-Scholes'!$B$9^2/2)*'Black-Scholes'!$B$7+'Black-Scholes'!$B$9*SQRT('Black-Scholes'!$B$7)*B1816)</f>
        <v>113.788819831071</v>
      </c>
      <c r="D1816" s="18" t="n">
        <f aca="false">'Black-Scholes'!$B$5*EXP(('Black-Scholes'!$B$8-'Black-Scholes'!$B$10-'Black-Scholes'!$B$9^2/2)*'Black-Scholes'!$B$7-'Black-Scholes'!$B$9*SQRT('Black-Scholes'!$B$7)*B1816)</f>
        <v>93.3164214306596</v>
      </c>
      <c r="E1816" s="18" t="n">
        <f aca="false">EXP(-'Black-Scholes'!$B$8*'Black-Scholes'!$B$7)*IF(LOWER('Black-Scholes'!$B$11)="put",MAX('Black-Scholes'!$B$6-C1816,0),MAX(C1816-'Black-Scholes'!$B$6,0))</f>
        <v>13.1163311524535</v>
      </c>
      <c r="F1816" s="18" t="n">
        <f aca="false">(E1816+G1816)/2</f>
        <v>6.55816557622677</v>
      </c>
      <c r="G1816" s="18" t="n">
        <f aca="false">EXP(-'Black-Scholes'!$B$8*'Black-Scholes'!$B$7)*IF(LOWER('Black-Scholes'!$B$11)="put",MAX('Black-Scholes'!$B$6-D1816,0),MAX(D1816-'Black-Scholes'!$B$6,0))</f>
        <v>0</v>
      </c>
    </row>
    <row r="1817" customFormat="false" ht="15" hidden="false" customHeight="false" outlineLevel="0" collapsed="false">
      <c r="A1817" s="0" t="n">
        <v>1806</v>
      </c>
      <c r="B1817" s="15" t="n">
        <v>0.333122052005242</v>
      </c>
      <c r="C1817" s="18" t="n">
        <f aca="false">'Black-Scholes'!$B$5*EXP(('Black-Scholes'!$B$8-'Black-Scholes'!$B$10-'Black-Scholes'!$B$9^2/2)*'Black-Scholes'!$B$7+'Black-Scholes'!$B$9*SQRT('Black-Scholes'!$B$7)*B1817)</f>
        <v>110.144660403382</v>
      </c>
      <c r="D1817" s="18" t="n">
        <f aca="false">'Black-Scholes'!$B$5*EXP(('Black-Scholes'!$B$8-'Black-Scholes'!$B$10-'Black-Scholes'!$B$9^2/2)*'Black-Scholes'!$B$7-'Black-Scholes'!$B$9*SQRT('Black-Scholes'!$B$7)*B1817)</f>
        <v>96.4038150062473</v>
      </c>
      <c r="E1817" s="18" t="n">
        <f aca="false">EXP(-'Black-Scholes'!$B$8*'Black-Scholes'!$B$7)*IF(LOWER('Black-Scholes'!$B$11)="put",MAX('Black-Scholes'!$B$6-C1817,0),MAX(C1817-'Black-Scholes'!$B$6,0))</f>
        <v>9.64989947726448</v>
      </c>
      <c r="F1817" s="18" t="n">
        <f aca="false">(E1817+G1817)/2</f>
        <v>4.82494973863224</v>
      </c>
      <c r="G1817" s="18" t="n">
        <f aca="false">EXP(-'Black-Scholes'!$B$8*'Black-Scholes'!$B$7)*IF(LOWER('Black-Scholes'!$B$11)="put",MAX('Black-Scholes'!$B$6-D1817,0),MAX(D1817-'Black-Scholes'!$B$6,0))</f>
        <v>0</v>
      </c>
    </row>
    <row r="1818" customFormat="false" ht="15" hidden="false" customHeight="false" outlineLevel="0" collapsed="false">
      <c r="A1818" s="0" t="n">
        <v>1807</v>
      </c>
      <c r="B1818" s="15" t="n">
        <v>0.0537589390331611</v>
      </c>
      <c r="C1818" s="18" t="n">
        <f aca="false">'Black-Scholes'!$B$5*EXP(('Black-Scholes'!$B$8-'Black-Scholes'!$B$10-'Black-Scholes'!$B$9^2/2)*'Black-Scholes'!$B$7+'Black-Scholes'!$B$9*SQRT('Black-Scholes'!$B$7)*B1818)</f>
        <v>104.159353724043</v>
      </c>
      <c r="D1818" s="18" t="n">
        <f aca="false">'Black-Scholes'!$B$5*EXP(('Black-Scholes'!$B$8-'Black-Scholes'!$B$10-'Black-Scholes'!$B$9^2/2)*'Black-Scholes'!$B$7-'Black-Scholes'!$B$9*SQRT('Black-Scholes'!$B$7)*B1818)</f>
        <v>101.943465332798</v>
      </c>
      <c r="E1818" s="18" t="n">
        <f aca="false">EXP(-'Black-Scholes'!$B$8*'Black-Scholes'!$B$7)*IF(LOWER('Black-Scholes'!$B$11)="put",MAX('Black-Scholes'!$B$6-C1818,0),MAX(C1818-'Black-Scholes'!$B$6,0))</f>
        <v>3.95649964921612</v>
      </c>
      <c r="F1818" s="18" t="n">
        <f aca="false">(E1818+G1818)/2</f>
        <v>2.90259052963531</v>
      </c>
      <c r="G1818" s="18" t="n">
        <f aca="false">EXP(-'Black-Scholes'!$B$8*'Black-Scholes'!$B$7)*IF(LOWER('Black-Scholes'!$B$11)="put",MAX('Black-Scholes'!$B$6-D1818,0),MAX(D1818-'Black-Scholes'!$B$6,0))</f>
        <v>1.8486814100545</v>
      </c>
    </row>
    <row r="1819" customFormat="false" ht="15" hidden="false" customHeight="false" outlineLevel="0" collapsed="false">
      <c r="A1819" s="0" t="n">
        <v>1808</v>
      </c>
      <c r="B1819" s="15" t="n">
        <v>0.141056448264842</v>
      </c>
      <c r="C1819" s="18" t="n">
        <f aca="false">'Black-Scholes'!$B$5*EXP(('Black-Scholes'!$B$8-'Black-Scholes'!$B$10-'Black-Scholes'!$B$9^2/2)*'Black-Scholes'!$B$7+'Black-Scholes'!$B$9*SQRT('Black-Scholes'!$B$7)*B1819)</f>
        <v>105.993892618024</v>
      </c>
      <c r="D1819" s="18" t="n">
        <f aca="false">'Black-Scholes'!$B$5*EXP(('Black-Scholes'!$B$8-'Black-Scholes'!$B$10-'Black-Scholes'!$B$9^2/2)*'Black-Scholes'!$B$7-'Black-Scholes'!$B$9*SQRT('Black-Scholes'!$B$7)*B1819)</f>
        <v>100.179031104364</v>
      </c>
      <c r="E1819" s="18" t="n">
        <f aca="false">EXP(-'Black-Scholes'!$B$8*'Black-Scholes'!$B$7)*IF(LOWER('Black-Scholes'!$B$11)="put",MAX('Black-Scholes'!$B$6-C1819,0),MAX(C1819-'Black-Scholes'!$B$6,0))</f>
        <v>5.70156702556197</v>
      </c>
      <c r="F1819" s="18" t="n">
        <f aca="false">(E1819+G1819)/2</f>
        <v>2.93593333996675</v>
      </c>
      <c r="G1819" s="18" t="n">
        <f aca="false">EXP(-'Black-Scholes'!$B$8*'Black-Scholes'!$B$7)*IF(LOWER('Black-Scholes'!$B$11)="put",MAX('Black-Scholes'!$B$6-D1819,0),MAX(D1819-'Black-Scholes'!$B$6,0))</f>
        <v>0.17029965437153</v>
      </c>
    </row>
    <row r="1820" customFormat="false" ht="15" hidden="false" customHeight="false" outlineLevel="0" collapsed="false">
      <c r="A1820" s="0" t="n">
        <v>1809</v>
      </c>
      <c r="B1820" s="15" t="n">
        <v>0.664862069251908</v>
      </c>
      <c r="C1820" s="18" t="n">
        <f aca="false">'Black-Scholes'!$B$5*EXP(('Black-Scholes'!$B$8-'Black-Scholes'!$B$10-'Black-Scholes'!$B$9^2/2)*'Black-Scholes'!$B$7+'Black-Scholes'!$B$9*SQRT('Black-Scholes'!$B$7)*B1820)</f>
        <v>117.700422022609</v>
      </c>
      <c r="D1820" s="18" t="n">
        <f aca="false">'Black-Scholes'!$B$5*EXP(('Black-Scholes'!$B$8-'Black-Scholes'!$B$10-'Black-Scholes'!$B$9^2/2)*'Black-Scholes'!$B$7-'Black-Scholes'!$B$9*SQRT('Black-Scholes'!$B$7)*B1820)</f>
        <v>90.2151860034442</v>
      </c>
      <c r="E1820" s="18" t="n">
        <f aca="false">EXP(-'Black-Scholes'!$B$8*'Black-Scholes'!$B$7)*IF(LOWER('Black-Scholes'!$B$11)="put",MAX('Black-Scholes'!$B$6-C1820,0),MAX(C1820-'Black-Scholes'!$B$6,0))</f>
        <v>16.8371622539866</v>
      </c>
      <c r="F1820" s="18" t="n">
        <f aca="false">(E1820+G1820)/2</f>
        <v>8.41858112699329</v>
      </c>
      <c r="G1820" s="18" t="n">
        <f aca="false">EXP(-'Black-Scholes'!$B$8*'Black-Scholes'!$B$7)*IF(LOWER('Black-Scholes'!$B$11)="put",MAX('Black-Scholes'!$B$6-D1820,0),MAX(D1820-'Black-Scholes'!$B$6,0))</f>
        <v>0</v>
      </c>
    </row>
    <row r="1821" customFormat="false" ht="15" hidden="false" customHeight="false" outlineLevel="0" collapsed="false">
      <c r="A1821" s="0" t="n">
        <v>1810</v>
      </c>
      <c r="B1821" s="15" t="n">
        <v>-0.358735956420615</v>
      </c>
      <c r="C1821" s="18" t="n">
        <f aca="false">'Black-Scholes'!$B$5*EXP(('Black-Scholes'!$B$8-'Black-Scholes'!$B$10-'Black-Scholes'!$B$9^2/2)*'Black-Scholes'!$B$7+'Black-Scholes'!$B$9*SQRT('Black-Scholes'!$B$7)*B1821)</f>
        <v>95.9112221854748</v>
      </c>
      <c r="D1821" s="18" t="n">
        <f aca="false">'Black-Scholes'!$B$5*EXP(('Black-Scholes'!$B$8-'Black-Scholes'!$B$10-'Black-Scholes'!$B$9^2/2)*'Black-Scholes'!$B$7-'Black-Scholes'!$B$9*SQRT('Black-Scholes'!$B$7)*B1821)</f>
        <v>110.710355091916</v>
      </c>
      <c r="E1821" s="18" t="n">
        <f aca="false">EXP(-'Black-Scholes'!$B$8*'Black-Scholes'!$B$7)*IF(LOWER('Black-Scholes'!$B$11)="put",MAX('Black-Scholes'!$B$6-C1821,0),MAX(C1821-'Black-Scholes'!$B$6,0))</f>
        <v>0</v>
      </c>
      <c r="F1821" s="18" t="n">
        <f aca="false">(E1821+G1821)/2</f>
        <v>5.09400245514094</v>
      </c>
      <c r="G1821" s="18" t="n">
        <f aca="false">EXP(-'Black-Scholes'!$B$8*'Black-Scholes'!$B$7)*IF(LOWER('Black-Scholes'!$B$11)="put",MAX('Black-Scholes'!$B$6-D1821,0),MAX(D1821-'Black-Scholes'!$B$6,0))</f>
        <v>10.1880049102819</v>
      </c>
    </row>
    <row r="1822" customFormat="false" ht="15" hidden="false" customHeight="false" outlineLevel="0" collapsed="false">
      <c r="A1822" s="0" t="n">
        <v>1811</v>
      </c>
      <c r="B1822" s="15" t="n">
        <v>-0.124129843460627</v>
      </c>
      <c r="C1822" s="18" t="n">
        <f aca="false">'Black-Scholes'!$B$5*EXP(('Black-Scholes'!$B$8-'Black-Scholes'!$B$10-'Black-Scholes'!$B$9^2/2)*'Black-Scholes'!$B$7+'Black-Scholes'!$B$9*SQRT('Black-Scholes'!$B$7)*B1822)</f>
        <v>100.518743972307</v>
      </c>
      <c r="D1822" s="18" t="n">
        <f aca="false">'Black-Scholes'!$B$5*EXP(('Black-Scholes'!$B$8-'Black-Scholes'!$B$10-'Black-Scholes'!$B$9^2/2)*'Black-Scholes'!$B$7-'Black-Scholes'!$B$9*SQRT('Black-Scholes'!$B$7)*B1822)</f>
        <v>105.635675952924</v>
      </c>
      <c r="E1822" s="18" t="n">
        <f aca="false">EXP(-'Black-Scholes'!$B$8*'Black-Scholes'!$B$7)*IF(LOWER('Black-Scholes'!$B$11)="put",MAX('Black-Scholes'!$B$6-C1822,0),MAX(C1822-'Black-Scholes'!$B$6,0))</f>
        <v>0.493444530241228</v>
      </c>
      <c r="F1822" s="18" t="n">
        <f aca="false">(E1822+G1822)/2</f>
        <v>2.9271326618068</v>
      </c>
      <c r="G1822" s="18" t="n">
        <f aca="false">EXP(-'Black-Scholes'!$B$8*'Black-Scholes'!$B$7)*IF(LOWER('Black-Scholes'!$B$11)="put",MAX('Black-Scholes'!$B$6-D1822,0),MAX(D1822-'Black-Scholes'!$B$6,0))</f>
        <v>5.36082079337237</v>
      </c>
    </row>
    <row r="1823" customFormat="false" ht="15" hidden="false" customHeight="false" outlineLevel="0" collapsed="false">
      <c r="A1823" s="0" t="n">
        <v>1812</v>
      </c>
      <c r="B1823" s="15" t="n">
        <v>0.515376205997894</v>
      </c>
      <c r="C1823" s="18" t="n">
        <f aca="false">'Black-Scholes'!$B$5*EXP(('Black-Scholes'!$B$8-'Black-Scholes'!$B$10-'Black-Scholes'!$B$9^2/2)*'Black-Scholes'!$B$7+'Black-Scholes'!$B$9*SQRT('Black-Scholes'!$B$7)*B1823)</f>
        <v>114.233594582434</v>
      </c>
      <c r="D1823" s="18" t="n">
        <f aca="false">'Black-Scholes'!$B$5*EXP(('Black-Scholes'!$B$8-'Black-Scholes'!$B$10-'Black-Scholes'!$B$9^2/2)*'Black-Scholes'!$B$7-'Black-Scholes'!$B$9*SQRT('Black-Scholes'!$B$7)*B1823)</f>
        <v>92.9530888375492</v>
      </c>
      <c r="E1823" s="18" t="n">
        <f aca="false">EXP(-'Black-Scholes'!$B$8*'Black-Scholes'!$B$7)*IF(LOWER('Black-Scholes'!$B$11)="put",MAX('Black-Scholes'!$B$6-C1823,0),MAX(C1823-'Black-Scholes'!$B$6,0))</f>
        <v>13.5394139832255</v>
      </c>
      <c r="F1823" s="18" t="n">
        <f aca="false">(E1823+G1823)/2</f>
        <v>6.76970699161275</v>
      </c>
      <c r="G1823" s="18" t="n">
        <f aca="false">EXP(-'Black-Scholes'!$B$8*'Black-Scholes'!$B$7)*IF(LOWER('Black-Scholes'!$B$11)="put",MAX('Black-Scholes'!$B$6-D1823,0),MAX(D1823-'Black-Scholes'!$B$6,0))</f>
        <v>0</v>
      </c>
    </row>
    <row r="1824" customFormat="false" ht="15" hidden="false" customHeight="false" outlineLevel="0" collapsed="false">
      <c r="A1824" s="0" t="n">
        <v>1813</v>
      </c>
      <c r="B1824" s="15" t="n">
        <v>0.0967346086490573</v>
      </c>
      <c r="C1824" s="18" t="n">
        <f aca="false">'Black-Scholes'!$B$5*EXP(('Black-Scholes'!$B$8-'Black-Scholes'!$B$10-'Black-Scholes'!$B$9^2/2)*'Black-Scholes'!$B$7+'Black-Scholes'!$B$9*SQRT('Black-Scholes'!$B$7)*B1824)</f>
        <v>105.058475820757</v>
      </c>
      <c r="D1824" s="18" t="n">
        <f aca="false">'Black-Scholes'!$B$5*EXP(('Black-Scholes'!$B$8-'Black-Scholes'!$B$10-'Black-Scholes'!$B$9^2/2)*'Black-Scholes'!$B$7-'Black-Scholes'!$B$9*SQRT('Black-Scholes'!$B$7)*B1824)</f>
        <v>101.071002434586</v>
      </c>
      <c r="E1824" s="18" t="n">
        <f aca="false">EXP(-'Black-Scholes'!$B$8*'Black-Scholes'!$B$7)*IF(LOWER('Black-Scholes'!$B$11)="put",MAX('Black-Scholes'!$B$6-C1824,0),MAX(C1824-'Black-Scholes'!$B$6,0))</f>
        <v>4.81177104382944</v>
      </c>
      <c r="F1824" s="18" t="n">
        <f aca="false">(E1824+G1824)/2</f>
        <v>2.91527003665965</v>
      </c>
      <c r="G1824" s="18" t="n">
        <f aca="false">EXP(-'Black-Scholes'!$B$8*'Black-Scholes'!$B$7)*IF(LOWER('Black-Scholes'!$B$11)="put",MAX('Black-Scholes'!$B$6-D1824,0),MAX(D1824-'Black-Scholes'!$B$6,0))</f>
        <v>1.01876902948987</v>
      </c>
    </row>
    <row r="1825" customFormat="false" ht="15" hidden="false" customHeight="false" outlineLevel="0" collapsed="false">
      <c r="A1825" s="0" t="n">
        <v>1814</v>
      </c>
      <c r="B1825" s="15" t="n">
        <v>1.52106931218941</v>
      </c>
      <c r="C1825" s="18" t="n">
        <f aca="false">'Black-Scholes'!$B$5*EXP(('Black-Scholes'!$B$8-'Black-Scholes'!$B$10-'Black-Scholes'!$B$9^2/2)*'Black-Scholes'!$B$7+'Black-Scholes'!$B$9*SQRT('Black-Scholes'!$B$7)*B1825)</f>
        <v>139.684184363502</v>
      </c>
      <c r="D1825" s="18" t="n">
        <f aca="false">'Black-Scholes'!$B$5*EXP(('Black-Scholes'!$B$8-'Black-Scholes'!$B$10-'Black-Scholes'!$B$9^2/2)*'Black-Scholes'!$B$7-'Black-Scholes'!$B$9*SQRT('Black-Scholes'!$B$7)*B1825)</f>
        <v>76.0169486176136</v>
      </c>
      <c r="E1825" s="18" t="n">
        <f aca="false">EXP(-'Black-Scholes'!$B$8*'Black-Scholes'!$B$7)*IF(LOWER('Black-Scholes'!$B$11)="put",MAX('Black-Scholes'!$B$6-C1825,0),MAX(C1825-'Black-Scholes'!$B$6,0))</f>
        <v>37.7487638538743</v>
      </c>
      <c r="F1825" s="18" t="n">
        <f aca="false">(E1825+G1825)/2</f>
        <v>18.8743819269371</v>
      </c>
      <c r="G1825" s="18" t="n">
        <f aca="false">EXP(-'Black-Scholes'!$B$8*'Black-Scholes'!$B$7)*IF(LOWER('Black-Scholes'!$B$11)="put",MAX('Black-Scholes'!$B$6-D1825,0),MAX(D1825-'Black-Scholes'!$B$6,0))</f>
        <v>0</v>
      </c>
    </row>
    <row r="1826" customFormat="false" ht="15" hidden="false" customHeight="false" outlineLevel="0" collapsed="false">
      <c r="A1826" s="0" t="n">
        <v>1815</v>
      </c>
      <c r="B1826" s="15" t="n">
        <v>-1.98399283842466</v>
      </c>
      <c r="C1826" s="18" t="n">
        <f aca="false">'Black-Scholes'!$B$5*EXP(('Black-Scholes'!$B$8-'Black-Scholes'!$B$10-'Black-Scholes'!$B$9^2/2)*'Black-Scholes'!$B$7+'Black-Scholes'!$B$9*SQRT('Black-Scholes'!$B$7)*B1826)</f>
        <v>69.2949213351406</v>
      </c>
      <c r="D1826" s="18" t="n">
        <f aca="false">'Black-Scholes'!$B$5*EXP(('Black-Scholes'!$B$8-'Black-Scholes'!$B$10-'Black-Scholes'!$B$9^2/2)*'Black-Scholes'!$B$7-'Black-Scholes'!$B$9*SQRT('Black-Scholes'!$B$7)*B1826)</f>
        <v>153.234396704176</v>
      </c>
      <c r="E1826" s="18" t="n">
        <f aca="false">EXP(-'Black-Scholes'!$B$8*'Black-Scholes'!$B$7)*IF(LOWER('Black-Scholes'!$B$11)="put",MAX('Black-Scholes'!$B$6-C1826,0),MAX(C1826-'Black-Scholes'!$B$6,0))</f>
        <v>0</v>
      </c>
      <c r="F1826" s="18" t="n">
        <f aca="false">(E1826+G1826)/2</f>
        <v>25.319062270278</v>
      </c>
      <c r="G1826" s="18" t="n">
        <f aca="false">EXP(-'Black-Scholes'!$B$8*'Black-Scholes'!$B$7)*IF(LOWER('Black-Scholes'!$B$11)="put",MAX('Black-Scholes'!$B$6-D1826,0),MAX(D1826-'Black-Scholes'!$B$6,0))</f>
        <v>50.6381245405559</v>
      </c>
    </row>
    <row r="1827" customFormat="false" ht="15" hidden="false" customHeight="false" outlineLevel="0" collapsed="false">
      <c r="A1827" s="0" t="n">
        <v>1816</v>
      </c>
      <c r="B1827" s="15" t="n">
        <v>1.16857361166299</v>
      </c>
      <c r="C1827" s="18" t="n">
        <f aca="false">'Black-Scholes'!$B$5*EXP(('Black-Scholes'!$B$8-'Black-Scholes'!$B$10-'Black-Scholes'!$B$9^2/2)*'Black-Scholes'!$B$7+'Black-Scholes'!$B$9*SQRT('Black-Scholes'!$B$7)*B1827)</f>
        <v>130.175678118713</v>
      </c>
      <c r="D1827" s="18" t="n">
        <f aca="false">'Black-Scholes'!$B$5*EXP(('Black-Scholes'!$B$8-'Black-Scholes'!$B$10-'Black-Scholes'!$B$9^2/2)*'Black-Scholes'!$B$7-'Black-Scholes'!$B$9*SQRT('Black-Scholes'!$B$7)*B1827)</f>
        <v>81.5695037576084</v>
      </c>
      <c r="E1827" s="18" t="n">
        <f aca="false">EXP(-'Black-Scholes'!$B$8*'Black-Scholes'!$B$7)*IF(LOWER('Black-Scholes'!$B$11)="put",MAX('Black-Scholes'!$B$6-C1827,0),MAX(C1827-'Black-Scholes'!$B$6,0))</f>
        <v>28.7039929307824</v>
      </c>
      <c r="F1827" s="18" t="n">
        <f aca="false">(E1827+G1827)/2</f>
        <v>14.3519964653912</v>
      </c>
      <c r="G1827" s="18" t="n">
        <f aca="false">EXP(-'Black-Scholes'!$B$8*'Black-Scholes'!$B$7)*IF(LOWER('Black-Scholes'!$B$11)="put",MAX('Black-Scholes'!$B$6-D1827,0),MAX(D1827-'Black-Scholes'!$B$6,0))</f>
        <v>0</v>
      </c>
    </row>
    <row r="1828" customFormat="false" ht="15" hidden="false" customHeight="false" outlineLevel="0" collapsed="false">
      <c r="A1828" s="0" t="n">
        <v>1817</v>
      </c>
      <c r="B1828" s="15" t="n">
        <v>-0.498600868258917</v>
      </c>
      <c r="C1828" s="18" t="n">
        <f aca="false">'Black-Scholes'!$B$5*EXP(('Black-Scholes'!$B$8-'Black-Scholes'!$B$10-'Black-Scholes'!$B$9^2/2)*'Black-Scholes'!$B$7+'Black-Scholes'!$B$9*SQRT('Black-Scholes'!$B$7)*B1828)</f>
        <v>93.2654764771594</v>
      </c>
      <c r="D1828" s="18" t="n">
        <f aca="false">'Black-Scholes'!$B$5*EXP(('Black-Scholes'!$B$8-'Black-Scholes'!$B$10-'Black-Scholes'!$B$9^2/2)*'Black-Scholes'!$B$7-'Black-Scholes'!$B$9*SQRT('Black-Scholes'!$B$7)*B1828)</f>
        <v>113.850975371943</v>
      </c>
      <c r="E1828" s="18" t="n">
        <f aca="false">EXP(-'Black-Scholes'!$B$8*'Black-Scholes'!$B$7)*IF(LOWER('Black-Scholes'!$B$11)="put",MAX('Black-Scholes'!$B$6-C1828,0),MAX(C1828-'Black-Scholes'!$B$6,0))</f>
        <v>0</v>
      </c>
      <c r="F1828" s="18" t="n">
        <f aca="false">(E1828+G1828)/2</f>
        <v>6.58772766591342</v>
      </c>
      <c r="G1828" s="18" t="n">
        <f aca="false">EXP(-'Black-Scholes'!$B$8*'Black-Scholes'!$B$7)*IF(LOWER('Black-Scholes'!$B$11)="put",MAX('Black-Scholes'!$B$6-D1828,0),MAX(D1828-'Black-Scholes'!$B$6,0))</f>
        <v>13.1754553318268</v>
      </c>
    </row>
    <row r="1829" customFormat="false" ht="15" hidden="false" customHeight="false" outlineLevel="0" collapsed="false">
      <c r="A1829" s="0" t="n">
        <v>1818</v>
      </c>
      <c r="B1829" s="15" t="n">
        <v>-0.340125073333501</v>
      </c>
      <c r="C1829" s="18" t="n">
        <f aca="false">'Black-Scholes'!$B$5*EXP(('Black-Scholes'!$B$8-'Black-Scholes'!$B$10-'Black-Scholes'!$B$9^2/2)*'Black-Scholes'!$B$7+'Black-Scholes'!$B$9*SQRT('Black-Scholes'!$B$7)*B1829)</f>
        <v>96.2688859249054</v>
      </c>
      <c r="D1829" s="18" t="n">
        <f aca="false">'Black-Scholes'!$B$5*EXP(('Black-Scholes'!$B$8-'Black-Scholes'!$B$10-'Black-Scholes'!$B$9^2/2)*'Black-Scholes'!$B$7-'Black-Scholes'!$B$9*SQRT('Black-Scholes'!$B$7)*B1829)</f>
        <v>110.299037570004</v>
      </c>
      <c r="E1829" s="18" t="n">
        <f aca="false">EXP(-'Black-Scholes'!$B$8*'Black-Scholes'!$B$7)*IF(LOWER('Black-Scholes'!$B$11)="put",MAX('Black-Scholes'!$B$6-C1829,0),MAX(C1829-'Black-Scholes'!$B$6,0))</f>
        <v>0</v>
      </c>
      <c r="F1829" s="18" t="n">
        <f aca="false">(E1829+G1829)/2</f>
        <v>4.89837379031323</v>
      </c>
      <c r="G1829" s="18" t="n">
        <f aca="false">EXP(-'Black-Scholes'!$B$8*'Black-Scholes'!$B$7)*IF(LOWER('Black-Scholes'!$B$11)="put",MAX('Black-Scholes'!$B$6-D1829,0),MAX(D1829-'Black-Scholes'!$B$6,0))</f>
        <v>9.79674758062646</v>
      </c>
    </row>
    <row r="1830" customFormat="false" ht="15" hidden="false" customHeight="false" outlineLevel="0" collapsed="false">
      <c r="A1830" s="0" t="n">
        <v>1819</v>
      </c>
      <c r="B1830" s="15" t="n">
        <v>-0.595186786821626</v>
      </c>
      <c r="C1830" s="18" t="n">
        <f aca="false">'Black-Scholes'!$B$5*EXP(('Black-Scholes'!$B$8-'Black-Scholes'!$B$10-'Black-Scholes'!$B$9^2/2)*'Black-Scholes'!$B$7+'Black-Scholes'!$B$9*SQRT('Black-Scholes'!$B$7)*B1830)</f>
        <v>91.4811397993418</v>
      </c>
      <c r="D1830" s="18" t="n">
        <f aca="false">'Black-Scholes'!$B$5*EXP(('Black-Scholes'!$B$8-'Black-Scholes'!$B$10-'Black-Scholes'!$B$9^2/2)*'Black-Scholes'!$B$7-'Black-Scholes'!$B$9*SQRT('Black-Scholes'!$B$7)*B1830)</f>
        <v>116.071634970272</v>
      </c>
      <c r="E1830" s="18" t="n">
        <f aca="false">EXP(-'Black-Scholes'!$B$8*'Black-Scholes'!$B$7)*IF(LOWER('Black-Scholes'!$B$11)="put",MAX('Black-Scholes'!$B$6-C1830,0),MAX(C1830-'Black-Scholes'!$B$6,0))</f>
        <v>0</v>
      </c>
      <c r="F1830" s="18" t="n">
        <f aca="false">(E1830+G1830)/2</f>
        <v>7.64390604177858</v>
      </c>
      <c r="G1830" s="18" t="n">
        <f aca="false">EXP(-'Black-Scholes'!$B$8*'Black-Scholes'!$B$7)*IF(LOWER('Black-Scholes'!$B$11)="put",MAX('Black-Scholes'!$B$6-D1830,0),MAX(D1830-'Black-Scholes'!$B$6,0))</f>
        <v>15.2878120835572</v>
      </c>
    </row>
    <row r="1831" customFormat="false" ht="15" hidden="false" customHeight="false" outlineLevel="0" collapsed="false">
      <c r="A1831" s="0" t="n">
        <v>1820</v>
      </c>
      <c r="B1831" s="15" t="n">
        <v>0.511514067232431</v>
      </c>
      <c r="C1831" s="18" t="n">
        <f aca="false">'Black-Scholes'!$B$5*EXP(('Black-Scholes'!$B$8-'Black-Scholes'!$B$10-'Black-Scholes'!$B$9^2/2)*'Black-Scholes'!$B$7+'Black-Scholes'!$B$9*SQRT('Black-Scholes'!$B$7)*B1831)</f>
        <v>114.145391453301</v>
      </c>
      <c r="D1831" s="18" t="n">
        <f aca="false">'Black-Scholes'!$B$5*EXP(('Black-Scholes'!$B$8-'Black-Scholes'!$B$10-'Black-Scholes'!$B$9^2/2)*'Black-Scholes'!$B$7-'Black-Scholes'!$B$9*SQRT('Black-Scholes'!$B$7)*B1831)</f>
        <v>93.024916120225</v>
      </c>
      <c r="E1831" s="18" t="n">
        <f aca="false">EXP(-'Black-Scholes'!$B$8*'Black-Scholes'!$B$7)*IF(LOWER('Black-Scholes'!$B$11)="put",MAX('Black-Scholes'!$B$6-C1831,0),MAX(C1831-'Black-Scholes'!$B$6,0))</f>
        <v>13.4555125714611</v>
      </c>
      <c r="F1831" s="18" t="n">
        <f aca="false">(E1831+G1831)/2</f>
        <v>6.72775628573053</v>
      </c>
      <c r="G1831" s="18" t="n">
        <f aca="false">EXP(-'Black-Scholes'!$B$8*'Black-Scholes'!$B$7)*IF(LOWER('Black-Scholes'!$B$11)="put",MAX('Black-Scholes'!$B$6-D1831,0),MAX(D1831-'Black-Scholes'!$B$6,0))</f>
        <v>0</v>
      </c>
    </row>
    <row r="1832" customFormat="false" ht="15" hidden="false" customHeight="false" outlineLevel="0" collapsed="false">
      <c r="A1832" s="0" t="n">
        <v>1821</v>
      </c>
      <c r="B1832" s="15" t="n">
        <v>-1.06957657294563</v>
      </c>
      <c r="C1832" s="18" t="n">
        <f aca="false">'Black-Scholes'!$B$5*EXP(('Black-Scholes'!$B$8-'Black-Scholes'!$B$10-'Black-Scholes'!$B$9^2/2)*'Black-Scholes'!$B$7+'Black-Scholes'!$B$9*SQRT('Black-Scholes'!$B$7)*B1832)</f>
        <v>83.2006259635287</v>
      </c>
      <c r="D1832" s="18" t="n">
        <f aca="false">'Black-Scholes'!$B$5*EXP(('Black-Scholes'!$B$8-'Black-Scholes'!$B$10-'Black-Scholes'!$B$9^2/2)*'Black-Scholes'!$B$7-'Black-Scholes'!$B$9*SQRT('Black-Scholes'!$B$7)*B1832)</f>
        <v>127.623624732201</v>
      </c>
      <c r="E1832" s="18" t="n">
        <f aca="false">EXP(-'Black-Scholes'!$B$8*'Black-Scholes'!$B$7)*IF(LOWER('Black-Scholes'!$B$11)="put",MAX('Black-Scholes'!$B$6-C1832,0),MAX(C1832-'Black-Scholes'!$B$6,0))</f>
        <v>0</v>
      </c>
      <c r="F1832" s="18" t="n">
        <f aca="false">(E1832+G1832)/2</f>
        <v>13.1382023283176</v>
      </c>
      <c r="G1832" s="18" t="n">
        <f aca="false">EXP(-'Black-Scholes'!$B$8*'Black-Scholes'!$B$7)*IF(LOWER('Black-Scholes'!$B$11)="put",MAX('Black-Scholes'!$B$6-D1832,0),MAX(D1832-'Black-Scholes'!$B$6,0))</f>
        <v>26.2764046566352</v>
      </c>
    </row>
    <row r="1833" customFormat="false" ht="15" hidden="false" customHeight="false" outlineLevel="0" collapsed="false">
      <c r="A1833" s="0" t="n">
        <v>1822</v>
      </c>
      <c r="B1833" s="15" t="n">
        <v>-0.00263977239196472</v>
      </c>
      <c r="C1833" s="18" t="n">
        <f aca="false">'Black-Scholes'!$B$5*EXP(('Black-Scholes'!$B$8-'Black-Scholes'!$B$10-'Black-Scholes'!$B$9^2/2)*'Black-Scholes'!$B$7+'Black-Scholes'!$B$9*SQRT('Black-Scholes'!$B$7)*B1833)</f>
        <v>102.991064445462</v>
      </c>
      <c r="D1833" s="18" t="n">
        <f aca="false">'Black-Scholes'!$B$5*EXP(('Black-Scholes'!$B$8-'Black-Scholes'!$B$10-'Black-Scholes'!$B$9^2/2)*'Black-Scholes'!$B$7-'Black-Scholes'!$B$9*SQRT('Black-Scholes'!$B$7)*B1833)</f>
        <v>103.099871067713</v>
      </c>
      <c r="E1833" s="18" t="n">
        <f aca="false">EXP(-'Black-Scholes'!$B$8*'Black-Scholes'!$B$7)*IF(LOWER('Black-Scholes'!$B$11)="put",MAX('Black-Scholes'!$B$6-C1833,0),MAX(C1833-'Black-Scholes'!$B$6,0))</f>
        <v>2.84518851110114</v>
      </c>
      <c r="F1833" s="18" t="n">
        <f aca="false">(E1833+G1833)/2</f>
        <v>2.89693854143395</v>
      </c>
      <c r="G1833" s="18" t="n">
        <f aca="false">EXP(-'Black-Scholes'!$B$8*'Black-Scholes'!$B$7)*IF(LOWER('Black-Scholes'!$B$11)="put",MAX('Black-Scholes'!$B$6-D1833,0),MAX(D1833-'Black-Scholes'!$B$6,0))</f>
        <v>2.94868857176676</v>
      </c>
    </row>
    <row r="1834" customFormat="false" ht="15" hidden="false" customHeight="false" outlineLevel="0" collapsed="false">
      <c r="A1834" s="0" t="n">
        <v>1823</v>
      </c>
      <c r="B1834" s="15" t="n">
        <v>0.0110603461243714</v>
      </c>
      <c r="C1834" s="18" t="n">
        <f aca="false">'Black-Scholes'!$B$5*EXP(('Black-Scholes'!$B$8-'Black-Scholes'!$B$10-'Black-Scholes'!$B$9^2/2)*'Black-Scholes'!$B$7+'Black-Scholes'!$B$9*SQRT('Black-Scholes'!$B$7)*B1834)</f>
        <v>103.273649371167</v>
      </c>
      <c r="D1834" s="18" t="n">
        <f aca="false">'Black-Scholes'!$B$5*EXP(('Black-Scholes'!$B$8-'Black-Scholes'!$B$10-'Black-Scholes'!$B$9^2/2)*'Black-Scholes'!$B$7-'Black-Scholes'!$B$9*SQRT('Black-Scholes'!$B$7)*B1834)</f>
        <v>102.817761646933</v>
      </c>
      <c r="E1834" s="18" t="n">
        <f aca="false">EXP(-'Black-Scholes'!$B$8*'Black-Scholes'!$B$7)*IF(LOWER('Black-Scholes'!$B$11)="put",MAX('Black-Scholes'!$B$6-C1834,0),MAX(C1834-'Black-Scholes'!$B$6,0))</f>
        <v>3.11399160735209</v>
      </c>
      <c r="F1834" s="18" t="n">
        <f aca="false">(E1834+G1834)/2</f>
        <v>2.89716469857236</v>
      </c>
      <c r="G1834" s="18" t="n">
        <f aca="false">EXP(-'Black-Scholes'!$B$8*'Black-Scholes'!$B$7)*IF(LOWER('Black-Scholes'!$B$11)="put",MAX('Black-Scholes'!$B$6-D1834,0),MAX(D1834-'Black-Scholes'!$B$6,0))</f>
        <v>2.68033778979262</v>
      </c>
    </row>
    <row r="1835" customFormat="false" ht="15" hidden="false" customHeight="false" outlineLevel="0" collapsed="false">
      <c r="A1835" s="0" t="n">
        <v>1824</v>
      </c>
      <c r="B1835" s="15" t="n">
        <v>-0.495397626225072</v>
      </c>
      <c r="C1835" s="18" t="n">
        <f aca="false">'Black-Scholes'!$B$5*EXP(('Black-Scholes'!$B$8-'Black-Scholes'!$B$10-'Black-Scholes'!$B$9^2/2)*'Black-Scholes'!$B$7+'Black-Scholes'!$B$9*SQRT('Black-Scholes'!$B$7)*B1835)</f>
        <v>93.3252459996515</v>
      </c>
      <c r="D1835" s="18" t="n">
        <f aca="false">'Black-Scholes'!$B$5*EXP(('Black-Scholes'!$B$8-'Black-Scholes'!$B$10-'Black-Scholes'!$B$9^2/2)*'Black-Scholes'!$B$7-'Black-Scholes'!$B$9*SQRT('Black-Scholes'!$B$7)*B1835)</f>
        <v>113.778060284923</v>
      </c>
      <c r="E1835" s="18" t="n">
        <f aca="false">EXP(-'Black-Scholes'!$B$8*'Black-Scholes'!$B$7)*IF(LOWER('Black-Scholes'!$B$11)="put",MAX('Black-Scholes'!$B$6-C1835,0),MAX(C1835-'Black-Scholes'!$B$6,0))</f>
        <v>0</v>
      </c>
      <c r="F1835" s="18" t="n">
        <f aca="false">(E1835+G1835)/2</f>
        <v>6.55304817778164</v>
      </c>
      <c r="G1835" s="18" t="n">
        <f aca="false">EXP(-'Black-Scholes'!$B$8*'Black-Scholes'!$B$7)*IF(LOWER('Black-Scholes'!$B$11)="put",MAX('Black-Scholes'!$B$6-D1835,0),MAX(D1835-'Black-Scholes'!$B$6,0))</f>
        <v>13.1060963555633</v>
      </c>
    </row>
    <row r="1836" customFormat="false" ht="15" hidden="false" customHeight="false" outlineLevel="0" collapsed="false">
      <c r="A1836" s="0" t="n">
        <v>1825</v>
      </c>
      <c r="B1836" s="15" t="n">
        <v>-3.04842959409613</v>
      </c>
      <c r="C1836" s="18" t="n">
        <f aca="false">'Black-Scholes'!$B$5*EXP(('Black-Scholes'!$B$8-'Black-Scholes'!$B$10-'Black-Scholes'!$B$9^2/2)*'Black-Scholes'!$B$7+'Black-Scholes'!$B$9*SQRT('Black-Scholes'!$B$7)*B1836)</f>
        <v>56.0074247724522</v>
      </c>
      <c r="D1836" s="18" t="n">
        <f aca="false">'Black-Scholes'!$B$5*EXP(('Black-Scholes'!$B$8-'Black-Scholes'!$B$10-'Black-Scholes'!$B$9^2/2)*'Black-Scholes'!$B$7-'Black-Scholes'!$B$9*SQRT('Black-Scholes'!$B$7)*B1836)</f>
        <v>189.588532388234</v>
      </c>
      <c r="E1836" s="18" t="n">
        <f aca="false">EXP(-'Black-Scholes'!$B$8*'Black-Scholes'!$B$7)*IF(LOWER('Black-Scholes'!$B$11)="put",MAX('Black-Scholes'!$B$6-C1836,0),MAX(C1836-'Black-Scholes'!$B$6,0))</f>
        <v>0</v>
      </c>
      <c r="F1836" s="18" t="n">
        <f aca="false">(E1836+G1836)/2</f>
        <v>42.6096240527615</v>
      </c>
      <c r="G1836" s="18" t="n">
        <f aca="false">EXP(-'Black-Scholes'!$B$8*'Black-Scholes'!$B$7)*IF(LOWER('Black-Scholes'!$B$11)="put",MAX('Black-Scholes'!$B$6-D1836,0),MAX(D1836-'Black-Scholes'!$B$6,0))</f>
        <v>85.219248105523</v>
      </c>
    </row>
    <row r="1837" customFormat="false" ht="15" hidden="false" customHeight="false" outlineLevel="0" collapsed="false">
      <c r="A1837" s="0" t="n">
        <v>1826</v>
      </c>
      <c r="B1837" s="15" t="n">
        <v>0.20792895649187</v>
      </c>
      <c r="C1837" s="18" t="n">
        <f aca="false">'Black-Scholes'!$B$5*EXP(('Black-Scholes'!$B$8-'Black-Scholes'!$B$10-'Black-Scholes'!$B$9^2/2)*'Black-Scholes'!$B$7+'Black-Scholes'!$B$9*SQRT('Black-Scholes'!$B$7)*B1837)</f>
        <v>107.421030464502</v>
      </c>
      <c r="D1837" s="18" t="n">
        <f aca="false">'Black-Scholes'!$B$5*EXP(('Black-Scholes'!$B$8-'Black-Scholes'!$B$10-'Black-Scholes'!$B$9^2/2)*'Black-Scholes'!$B$7-'Black-Scholes'!$B$9*SQRT('Black-Scholes'!$B$7)*B1837)</f>
        <v>98.8481065536096</v>
      </c>
      <c r="E1837" s="18" t="n">
        <f aca="false">EXP(-'Black-Scholes'!$B$8*'Black-Scholes'!$B$7)*IF(LOWER('Black-Scholes'!$B$11)="put",MAX('Black-Scholes'!$B$6-C1837,0),MAX(C1837-'Black-Scholes'!$B$6,0))</f>
        <v>7.05910253795016</v>
      </c>
      <c r="F1837" s="18" t="n">
        <f aca="false">(E1837+G1837)/2</f>
        <v>3.52955126897508</v>
      </c>
      <c r="G1837" s="18" t="n">
        <f aca="false">EXP(-'Black-Scholes'!$B$8*'Black-Scholes'!$B$7)*IF(LOWER('Black-Scholes'!$B$11)="put",MAX('Black-Scholes'!$B$6-D1837,0),MAX(D1837-'Black-Scholes'!$B$6,0))</f>
        <v>0</v>
      </c>
    </row>
    <row r="1838" customFormat="false" ht="15" hidden="false" customHeight="false" outlineLevel="0" collapsed="false">
      <c r="A1838" s="0" t="n">
        <v>1827</v>
      </c>
      <c r="B1838" s="15" t="n">
        <v>2.41568421441695</v>
      </c>
      <c r="C1838" s="18" t="n">
        <f aca="false">'Black-Scholes'!$B$5*EXP(('Black-Scholes'!$B$8-'Black-Scholes'!$B$10-'Black-Scholes'!$B$9^2/2)*'Black-Scholes'!$B$7+'Black-Scholes'!$B$9*SQRT('Black-Scholes'!$B$7)*B1838)</f>
        <v>167.052315340524</v>
      </c>
      <c r="D1838" s="18" t="n">
        <f aca="false">'Black-Scholes'!$B$5*EXP(('Black-Scholes'!$B$8-'Black-Scholes'!$B$10-'Black-Scholes'!$B$9^2/2)*'Black-Scholes'!$B$7-'Black-Scholes'!$B$9*SQRT('Black-Scholes'!$B$7)*B1838)</f>
        <v>63.5631146075935</v>
      </c>
      <c r="E1838" s="18" t="n">
        <f aca="false">EXP(-'Black-Scholes'!$B$8*'Black-Scholes'!$B$7)*IF(LOWER('Black-Scholes'!$B$11)="put",MAX('Black-Scholes'!$B$6-C1838,0),MAX(C1838-'Black-Scholes'!$B$6,0))</f>
        <v>63.7821353328074</v>
      </c>
      <c r="F1838" s="18" t="n">
        <f aca="false">(E1838+G1838)/2</f>
        <v>31.8910676664037</v>
      </c>
      <c r="G1838" s="18" t="n">
        <f aca="false">EXP(-'Black-Scholes'!$B$8*'Black-Scholes'!$B$7)*IF(LOWER('Black-Scholes'!$B$11)="put",MAX('Black-Scholes'!$B$6-D1838,0),MAX(D1838-'Black-Scholes'!$B$6,0))</f>
        <v>0</v>
      </c>
    </row>
    <row r="1839" customFormat="false" ht="15" hidden="false" customHeight="false" outlineLevel="0" collapsed="false">
      <c r="A1839" s="0" t="n">
        <v>1828</v>
      </c>
      <c r="B1839" s="15" t="n">
        <v>-1.13151659389846</v>
      </c>
      <c r="C1839" s="18" t="n">
        <f aca="false">'Black-Scholes'!$B$5*EXP(('Black-Scholes'!$B$8-'Black-Scholes'!$B$10-'Black-Scholes'!$B$9^2/2)*'Black-Scholes'!$B$7+'Black-Scholes'!$B$9*SQRT('Black-Scholes'!$B$7)*B1839)</f>
        <v>82.176294073995</v>
      </c>
      <c r="D1839" s="18" t="n">
        <f aca="false">'Black-Scholes'!$B$5*EXP(('Black-Scholes'!$B$8-'Black-Scholes'!$B$10-'Black-Scholes'!$B$9^2/2)*'Black-Scholes'!$B$7-'Black-Scholes'!$B$9*SQRT('Black-Scholes'!$B$7)*B1839)</f>
        <v>129.214460022891</v>
      </c>
      <c r="E1839" s="18" t="n">
        <f aca="false">EXP(-'Black-Scholes'!$B$8*'Black-Scholes'!$B$7)*IF(LOWER('Black-Scholes'!$B$11)="put",MAX('Black-Scholes'!$B$6-C1839,0),MAX(C1839-'Black-Scholes'!$B$6,0))</f>
        <v>0</v>
      </c>
      <c r="F1839" s="18" t="n">
        <f aca="false">(E1839+G1839)/2</f>
        <v>13.894826997337</v>
      </c>
      <c r="G1839" s="18" t="n">
        <f aca="false">EXP(-'Black-Scholes'!$B$8*'Black-Scholes'!$B$7)*IF(LOWER('Black-Scholes'!$B$11)="put",MAX('Black-Scholes'!$B$6-D1839,0),MAX(D1839-'Black-Scholes'!$B$6,0))</f>
        <v>27.7896539946741</v>
      </c>
    </row>
    <row r="1840" customFormat="false" ht="15" hidden="false" customHeight="false" outlineLevel="0" collapsed="false">
      <c r="A1840" s="0" t="n">
        <v>1829</v>
      </c>
      <c r="B1840" s="15" t="n">
        <v>0.475061559906162</v>
      </c>
      <c r="C1840" s="18" t="n">
        <f aca="false">'Black-Scholes'!$B$5*EXP(('Black-Scholes'!$B$8-'Black-Scholes'!$B$10-'Black-Scholes'!$B$9^2/2)*'Black-Scholes'!$B$7+'Black-Scholes'!$B$9*SQRT('Black-Scholes'!$B$7)*B1840)</f>
        <v>113.31624044552</v>
      </c>
      <c r="D1840" s="18" t="n">
        <f aca="false">'Black-Scholes'!$B$5*EXP(('Black-Scholes'!$B$8-'Black-Scholes'!$B$10-'Black-Scholes'!$B$9^2/2)*'Black-Scholes'!$B$7-'Black-Scholes'!$B$9*SQRT('Black-Scholes'!$B$7)*B1840)</f>
        <v>93.7055926291403</v>
      </c>
      <c r="E1840" s="18" t="n">
        <f aca="false">EXP(-'Black-Scholes'!$B$8*'Black-Scholes'!$B$7)*IF(LOWER('Black-Scholes'!$B$11)="put",MAX('Black-Scholes'!$B$6-C1840,0),MAX(C1840-'Black-Scholes'!$B$6,0))</f>
        <v>12.666799735505</v>
      </c>
      <c r="F1840" s="18" t="n">
        <f aca="false">(E1840+G1840)/2</f>
        <v>6.33339986775248</v>
      </c>
      <c r="G1840" s="18" t="n">
        <f aca="false">EXP(-'Black-Scholes'!$B$8*'Black-Scholes'!$B$7)*IF(LOWER('Black-Scholes'!$B$11)="put",MAX('Black-Scholes'!$B$6-D1840,0),MAX(D1840-'Black-Scholes'!$B$6,0))</f>
        <v>0</v>
      </c>
    </row>
    <row r="1841" customFormat="false" ht="15" hidden="false" customHeight="false" outlineLevel="0" collapsed="false">
      <c r="A1841" s="0" t="n">
        <v>1830</v>
      </c>
      <c r="B1841" s="15" t="n">
        <v>0.266093386946824</v>
      </c>
      <c r="C1841" s="18" t="n">
        <f aca="false">'Black-Scholes'!$B$5*EXP(('Black-Scholes'!$B$8-'Black-Scholes'!$B$10-'Black-Scholes'!$B$9^2/2)*'Black-Scholes'!$B$7+'Black-Scholes'!$B$9*SQRT('Black-Scholes'!$B$7)*B1841)</f>
        <v>108.677943665537</v>
      </c>
      <c r="D1841" s="18" t="n">
        <f aca="false">'Black-Scholes'!$B$5*EXP(('Black-Scholes'!$B$8-'Black-Scholes'!$B$10-'Black-Scholes'!$B$9^2/2)*'Black-Scholes'!$B$7-'Black-Scholes'!$B$9*SQRT('Black-Scholes'!$B$7)*B1841)</f>
        <v>97.7048801929147</v>
      </c>
      <c r="E1841" s="18" t="n">
        <f aca="false">EXP(-'Black-Scholes'!$B$8*'Black-Scholes'!$B$7)*IF(LOWER('Black-Scholes'!$B$11)="put",MAX('Black-Scholes'!$B$6-C1841,0),MAX(C1841-'Black-Scholes'!$B$6,0))</f>
        <v>8.25471535881811</v>
      </c>
      <c r="F1841" s="18" t="n">
        <f aca="false">(E1841+G1841)/2</f>
        <v>4.12735767940905</v>
      </c>
      <c r="G1841" s="18" t="n">
        <f aca="false">EXP(-'Black-Scholes'!$B$8*'Black-Scholes'!$B$7)*IF(LOWER('Black-Scholes'!$B$11)="put",MAX('Black-Scholes'!$B$6-D1841,0),MAX(D1841-'Black-Scholes'!$B$6,0))</f>
        <v>0</v>
      </c>
    </row>
    <row r="1842" customFormat="false" ht="15" hidden="false" customHeight="false" outlineLevel="0" collapsed="false">
      <c r="A1842" s="0" t="n">
        <v>1831</v>
      </c>
      <c r="B1842" s="15" t="n">
        <v>1.18644840393733</v>
      </c>
      <c r="C1842" s="18" t="n">
        <f aca="false">'Black-Scholes'!$B$5*EXP(('Black-Scholes'!$B$8-'Black-Scholes'!$B$10-'Black-Scholes'!$B$9^2/2)*'Black-Scholes'!$B$7+'Black-Scholes'!$B$9*SQRT('Black-Scholes'!$B$7)*B1842)</f>
        <v>130.641883595907</v>
      </c>
      <c r="D1842" s="18" t="n">
        <f aca="false">'Black-Scholes'!$B$5*EXP(('Black-Scholes'!$B$8-'Black-Scholes'!$B$10-'Black-Scholes'!$B$9^2/2)*'Black-Scholes'!$B$7-'Black-Scholes'!$B$9*SQRT('Black-Scholes'!$B$7)*B1842)</f>
        <v>81.2784167924099</v>
      </c>
      <c r="E1842" s="18" t="n">
        <f aca="false">EXP(-'Black-Scholes'!$B$8*'Black-Scholes'!$B$7)*IF(LOWER('Black-Scholes'!$B$11)="put",MAX('Black-Scholes'!$B$6-C1842,0),MAX(C1842-'Black-Scholes'!$B$6,0))</f>
        <v>29.1474612985522</v>
      </c>
      <c r="F1842" s="18" t="n">
        <f aca="false">(E1842+G1842)/2</f>
        <v>14.5737306492761</v>
      </c>
      <c r="G1842" s="18" t="n">
        <f aca="false">EXP(-'Black-Scholes'!$B$8*'Black-Scholes'!$B$7)*IF(LOWER('Black-Scholes'!$B$11)="put",MAX('Black-Scholes'!$B$6-D1842,0),MAX(D1842-'Black-Scholes'!$B$6,0))</f>
        <v>0</v>
      </c>
    </row>
    <row r="1843" customFormat="false" ht="15" hidden="false" customHeight="false" outlineLevel="0" collapsed="false">
      <c r="A1843" s="0" t="n">
        <v>1832</v>
      </c>
      <c r="B1843" s="15" t="n">
        <v>-1.29110849520158</v>
      </c>
      <c r="C1843" s="18" t="n">
        <f aca="false">'Black-Scholes'!$B$5*EXP(('Black-Scholes'!$B$8-'Black-Scholes'!$B$10-'Black-Scholes'!$B$9^2/2)*'Black-Scholes'!$B$7+'Black-Scholes'!$B$9*SQRT('Black-Scholes'!$B$7)*B1843)</f>
        <v>79.5947779414569</v>
      </c>
      <c r="D1843" s="18" t="n">
        <f aca="false">'Black-Scholes'!$B$5*EXP(('Black-Scholes'!$B$8-'Black-Scholes'!$B$10-'Black-Scholes'!$B$9^2/2)*'Black-Scholes'!$B$7-'Black-Scholes'!$B$9*SQRT('Black-Scholes'!$B$7)*B1843)</f>
        <v>133.405302961754</v>
      </c>
      <c r="E1843" s="18" t="n">
        <f aca="false">EXP(-'Black-Scholes'!$B$8*'Black-Scholes'!$B$7)*IF(LOWER('Black-Scholes'!$B$11)="put",MAX('Black-Scholes'!$B$6-C1843,0),MAX(C1843-'Black-Scholes'!$B$6,0))</f>
        <v>0</v>
      </c>
      <c r="F1843" s="18" t="n">
        <f aca="false">(E1843+G1843)/2</f>
        <v>15.8880535557907</v>
      </c>
      <c r="G1843" s="18" t="n">
        <f aca="false">EXP(-'Black-Scholes'!$B$8*'Black-Scholes'!$B$7)*IF(LOWER('Black-Scholes'!$B$11)="put",MAX('Black-Scholes'!$B$6-D1843,0),MAX(D1843-'Black-Scholes'!$B$6,0))</f>
        <v>31.7761071115813</v>
      </c>
    </row>
    <row r="1844" customFormat="false" ht="15" hidden="false" customHeight="false" outlineLevel="0" collapsed="false">
      <c r="A1844" s="0" t="n">
        <v>1833</v>
      </c>
      <c r="B1844" s="15" t="n">
        <v>-0.133162147041823</v>
      </c>
      <c r="C1844" s="18" t="n">
        <f aca="false">'Black-Scholes'!$B$5*EXP(('Black-Scholes'!$B$8-'Black-Scholes'!$B$10-'Black-Scholes'!$B$9^2/2)*'Black-Scholes'!$B$7+'Black-Scholes'!$B$9*SQRT('Black-Scholes'!$B$7)*B1844)</f>
        <v>100.337324722785</v>
      </c>
      <c r="D1844" s="18" t="n">
        <f aca="false">'Black-Scholes'!$B$5*EXP(('Black-Scholes'!$B$8-'Black-Scholes'!$B$10-'Black-Scholes'!$B$9^2/2)*'Black-Scholes'!$B$7-'Black-Scholes'!$B$9*SQRT('Black-Scholes'!$B$7)*B1844)</f>
        <v>105.826675116068</v>
      </c>
      <c r="E1844" s="18" t="n">
        <f aca="false">EXP(-'Black-Scholes'!$B$8*'Black-Scholes'!$B$7)*IF(LOWER('Black-Scholes'!$B$11)="put",MAX('Black-Scholes'!$B$6-C1844,0),MAX(C1844-'Black-Scholes'!$B$6,0))</f>
        <v>0.320873201924583</v>
      </c>
      <c r="F1844" s="18" t="n">
        <f aca="false">(E1844+G1844)/2</f>
        <v>2.93168900966737</v>
      </c>
      <c r="G1844" s="18" t="n">
        <f aca="false">EXP(-'Black-Scholes'!$B$8*'Black-Scholes'!$B$7)*IF(LOWER('Black-Scholes'!$B$11)="put",MAX('Black-Scholes'!$B$6-D1844,0),MAX(D1844-'Black-Scholes'!$B$6,0))</f>
        <v>5.54250481741016</v>
      </c>
    </row>
    <row r="1845" customFormat="false" ht="15" hidden="false" customHeight="false" outlineLevel="0" collapsed="false">
      <c r="A1845" s="0" t="n">
        <v>1834</v>
      </c>
      <c r="B1845" s="15" t="n">
        <v>-0.573594165416797</v>
      </c>
      <c r="C1845" s="18" t="n">
        <f aca="false">'Black-Scholes'!$B$5*EXP(('Black-Scholes'!$B$8-'Black-Scholes'!$B$10-'Black-Scholes'!$B$9^2/2)*'Black-Scholes'!$B$7+'Black-Scholes'!$B$9*SQRT('Black-Scholes'!$B$7)*B1845)</f>
        <v>91.8770575978181</v>
      </c>
      <c r="D1845" s="18" t="n">
        <f aca="false">'Black-Scholes'!$B$5*EXP(('Black-Scholes'!$B$8-'Black-Scholes'!$B$10-'Black-Scholes'!$B$9^2/2)*'Black-Scholes'!$B$7-'Black-Scholes'!$B$9*SQRT('Black-Scholes'!$B$7)*B1845)</f>
        <v>115.571457587751</v>
      </c>
      <c r="E1845" s="18" t="n">
        <f aca="false">EXP(-'Black-Scholes'!$B$8*'Black-Scholes'!$B$7)*IF(LOWER('Black-Scholes'!$B$11)="put",MAX('Black-Scholes'!$B$6-C1845,0),MAX(C1845-'Black-Scholes'!$B$6,0))</f>
        <v>0</v>
      </c>
      <c r="F1845" s="18" t="n">
        <f aca="false">(E1845+G1845)/2</f>
        <v>7.4060143199169</v>
      </c>
      <c r="G1845" s="18" t="n">
        <f aca="false">EXP(-'Black-Scholes'!$B$8*'Black-Scholes'!$B$7)*IF(LOWER('Black-Scholes'!$B$11)="put",MAX('Black-Scholes'!$B$6-D1845,0),MAX(D1845-'Black-Scholes'!$B$6,0))</f>
        <v>14.8120286398338</v>
      </c>
    </row>
    <row r="1846" customFormat="false" ht="15" hidden="false" customHeight="false" outlineLevel="0" collapsed="false">
      <c r="A1846" s="0" t="n">
        <v>1835</v>
      </c>
      <c r="B1846" s="15" t="n">
        <v>-1.86769024358836</v>
      </c>
      <c r="C1846" s="18" t="n">
        <f aca="false">'Black-Scholes'!$B$5*EXP(('Black-Scholes'!$B$8-'Black-Scholes'!$B$10-'Black-Scholes'!$B$9^2/2)*'Black-Scholes'!$B$7+'Black-Scholes'!$B$9*SQRT('Black-Scholes'!$B$7)*B1846)</f>
        <v>70.9256494330909</v>
      </c>
      <c r="D1846" s="18" t="n">
        <f aca="false">'Black-Scholes'!$B$5*EXP(('Black-Scholes'!$B$8-'Black-Scholes'!$B$10-'Black-Scholes'!$B$9^2/2)*'Black-Scholes'!$B$7-'Black-Scholes'!$B$9*SQRT('Black-Scholes'!$B$7)*B1846)</f>
        <v>149.711219429448</v>
      </c>
      <c r="E1846" s="18" t="n">
        <f aca="false">EXP(-'Black-Scholes'!$B$8*'Black-Scholes'!$B$7)*IF(LOWER('Black-Scholes'!$B$11)="put",MAX('Black-Scholes'!$B$6-C1846,0),MAX(C1846-'Black-Scholes'!$B$6,0))</f>
        <v>0</v>
      </c>
      <c r="F1846" s="18" t="n">
        <f aca="false">(E1846+G1846)/2</f>
        <v>23.6433873245514</v>
      </c>
      <c r="G1846" s="18" t="n">
        <f aca="false">EXP(-'Black-Scholes'!$B$8*'Black-Scholes'!$B$7)*IF(LOWER('Black-Scholes'!$B$11)="put",MAX('Black-Scholes'!$B$6-D1846,0),MAX(D1846-'Black-Scholes'!$B$6,0))</f>
        <v>47.2867746491029</v>
      </c>
    </row>
    <row r="1847" customFormat="false" ht="15" hidden="false" customHeight="false" outlineLevel="0" collapsed="false">
      <c r="A1847" s="0" t="n">
        <v>1836</v>
      </c>
      <c r="B1847" s="15" t="n">
        <v>0.667379349977388</v>
      </c>
      <c r="C1847" s="18" t="n">
        <f aca="false">'Black-Scholes'!$B$5*EXP(('Black-Scholes'!$B$8-'Black-Scholes'!$B$10-'Black-Scholes'!$B$9^2/2)*'Black-Scholes'!$B$7+'Black-Scholes'!$B$9*SQRT('Black-Scholes'!$B$7)*B1847)</f>
        <v>117.759693942511</v>
      </c>
      <c r="D1847" s="18" t="n">
        <f aca="false">'Black-Scholes'!$B$5*EXP(('Black-Scholes'!$B$8-'Black-Scholes'!$B$10-'Black-Scholes'!$B$9^2/2)*'Black-Scholes'!$B$7-'Black-Scholes'!$B$9*SQRT('Black-Scholes'!$B$7)*B1847)</f>
        <v>90.1697780450868</v>
      </c>
      <c r="E1847" s="18" t="n">
        <f aca="false">EXP(-'Black-Scholes'!$B$8*'Black-Scholes'!$B$7)*IF(LOWER('Black-Scholes'!$B$11)="put",MAX('Black-Scholes'!$B$6-C1847,0),MAX(C1847-'Black-Scholes'!$B$6,0))</f>
        <v>16.8935434482439</v>
      </c>
      <c r="F1847" s="18" t="n">
        <f aca="false">(E1847+G1847)/2</f>
        <v>8.44677172412194</v>
      </c>
      <c r="G1847" s="18" t="n">
        <f aca="false">EXP(-'Black-Scholes'!$B$8*'Black-Scholes'!$B$7)*IF(LOWER('Black-Scholes'!$B$11)="put",MAX('Black-Scholes'!$B$6-D1847,0),MAX(D1847-'Black-Scholes'!$B$6,0))</f>
        <v>0</v>
      </c>
    </row>
    <row r="1848" customFormat="false" ht="15" hidden="false" customHeight="false" outlineLevel="0" collapsed="false">
      <c r="A1848" s="0" t="n">
        <v>1837</v>
      </c>
      <c r="B1848" s="15" t="n">
        <v>0.580180386776393</v>
      </c>
      <c r="C1848" s="18" t="n">
        <f aca="false">'Black-Scholes'!$B$5*EXP(('Black-Scholes'!$B$8-'Black-Scholes'!$B$10-'Black-Scholes'!$B$9^2/2)*'Black-Scholes'!$B$7+'Black-Scholes'!$B$9*SQRT('Black-Scholes'!$B$7)*B1848)</f>
        <v>115.72379373819</v>
      </c>
      <c r="D1848" s="18" t="n">
        <f aca="false">'Black-Scholes'!$B$5*EXP(('Black-Scholes'!$B$8-'Black-Scholes'!$B$10-'Black-Scholes'!$B$9^2/2)*'Black-Scholes'!$B$7-'Black-Scholes'!$B$9*SQRT('Black-Scholes'!$B$7)*B1848)</f>
        <v>91.7561127444222</v>
      </c>
      <c r="E1848" s="18" t="n">
        <f aca="false">EXP(-'Black-Scholes'!$B$8*'Black-Scholes'!$B$7)*IF(LOWER('Black-Scholes'!$B$11)="put",MAX('Black-Scholes'!$B$6-C1848,0),MAX(C1848-'Black-Scholes'!$B$6,0))</f>
        <v>14.9569352685462</v>
      </c>
      <c r="F1848" s="18" t="n">
        <f aca="false">(E1848+G1848)/2</f>
        <v>7.47846763427309</v>
      </c>
      <c r="G1848" s="18" t="n">
        <f aca="false">EXP(-'Black-Scholes'!$B$8*'Black-Scholes'!$B$7)*IF(LOWER('Black-Scholes'!$B$11)="put",MAX('Black-Scholes'!$B$6-D1848,0),MAX(D1848-'Black-Scholes'!$B$6,0))</f>
        <v>0</v>
      </c>
    </row>
    <row r="1849" customFormat="false" ht="15" hidden="false" customHeight="false" outlineLevel="0" collapsed="false">
      <c r="A1849" s="0" t="n">
        <v>1838</v>
      </c>
      <c r="B1849" s="15" t="n">
        <v>0.849416524250281</v>
      </c>
      <c r="C1849" s="18" t="n">
        <f aca="false">'Black-Scholes'!$B$5*EXP(('Black-Scholes'!$B$8-'Black-Scholes'!$B$10-'Black-Scholes'!$B$9^2/2)*'Black-Scholes'!$B$7+'Black-Scholes'!$B$9*SQRT('Black-Scholes'!$B$7)*B1849)</f>
        <v>122.126023469822</v>
      </c>
      <c r="D1849" s="18" t="n">
        <f aca="false">'Black-Scholes'!$B$5*EXP(('Black-Scholes'!$B$8-'Black-Scholes'!$B$10-'Black-Scholes'!$B$9^2/2)*'Black-Scholes'!$B$7-'Black-Scholes'!$B$9*SQRT('Black-Scholes'!$B$7)*B1849)</f>
        <v>86.9459691208026</v>
      </c>
      <c r="E1849" s="18" t="n">
        <f aca="false">EXP(-'Black-Scholes'!$B$8*'Black-Scholes'!$B$7)*IF(LOWER('Black-Scholes'!$B$11)="put",MAX('Black-Scholes'!$B$6-C1849,0),MAX(C1849-'Black-Scholes'!$B$6,0))</f>
        <v>21.0469245716885</v>
      </c>
      <c r="F1849" s="18" t="n">
        <f aca="false">(E1849+G1849)/2</f>
        <v>10.5234622858443</v>
      </c>
      <c r="G1849" s="18" t="n">
        <f aca="false">EXP(-'Black-Scholes'!$B$8*'Black-Scholes'!$B$7)*IF(LOWER('Black-Scholes'!$B$11)="put",MAX('Black-Scholes'!$B$6-D1849,0),MAX(D1849-'Black-Scholes'!$B$6,0))</f>
        <v>0</v>
      </c>
    </row>
    <row r="1850" customFormat="false" ht="15" hidden="false" customHeight="false" outlineLevel="0" collapsed="false">
      <c r="A1850" s="0" t="n">
        <v>1839</v>
      </c>
      <c r="B1850" s="15" t="n">
        <v>0.18555227850588</v>
      </c>
      <c r="C1850" s="18" t="n">
        <f aca="false">'Black-Scholes'!$B$5*EXP(('Black-Scholes'!$B$8-'Black-Scholes'!$B$10-'Black-Scholes'!$B$9^2/2)*'Black-Scholes'!$B$7+'Black-Scholes'!$B$9*SQRT('Black-Scholes'!$B$7)*B1850)</f>
        <v>106.94135944796</v>
      </c>
      <c r="D1850" s="18" t="n">
        <f aca="false">'Black-Scholes'!$B$5*EXP(('Black-Scholes'!$B$8-'Black-Scholes'!$B$10-'Black-Scholes'!$B$9^2/2)*'Black-Scholes'!$B$7-'Black-Scholes'!$B$9*SQRT('Black-Scholes'!$B$7)*B1850)</f>
        <v>99.2914763779561</v>
      </c>
      <c r="E1850" s="18" t="n">
        <f aca="false">EXP(-'Black-Scholes'!$B$8*'Black-Scholes'!$B$7)*IF(LOWER('Black-Scholes'!$B$11)="put",MAX('Black-Scholes'!$B$6-C1850,0),MAX(C1850-'Black-Scholes'!$B$6,0))</f>
        <v>6.6028253529352</v>
      </c>
      <c r="F1850" s="18" t="n">
        <f aca="false">(E1850+G1850)/2</f>
        <v>3.3014126764676</v>
      </c>
      <c r="G1850" s="18" t="n">
        <f aca="false">EXP(-'Black-Scholes'!$B$8*'Black-Scholes'!$B$7)*IF(LOWER('Black-Scholes'!$B$11)="put",MAX('Black-Scholes'!$B$6-D1850,0),MAX(D1850-'Black-Scholes'!$B$6,0))</f>
        <v>0</v>
      </c>
    </row>
    <row r="1851" customFormat="false" ht="15" hidden="false" customHeight="false" outlineLevel="0" collapsed="false">
      <c r="A1851" s="0" t="n">
        <v>1840</v>
      </c>
      <c r="B1851" s="15" t="n">
        <v>1.07719625566388</v>
      </c>
      <c r="C1851" s="18" t="n">
        <f aca="false">'Black-Scholes'!$B$5*EXP(('Black-Scholes'!$B$8-'Black-Scholes'!$B$10-'Black-Scholes'!$B$9^2/2)*'Black-Scholes'!$B$7+'Black-Scholes'!$B$9*SQRT('Black-Scholes'!$B$7)*B1851)</f>
        <v>127.818263308514</v>
      </c>
      <c r="D1851" s="18" t="n">
        <f aca="false">'Black-Scholes'!$B$5*EXP(('Black-Scholes'!$B$8-'Black-Scholes'!$B$10-'Black-Scholes'!$B$9^2/2)*'Black-Scholes'!$B$7-'Black-Scholes'!$B$9*SQRT('Black-Scholes'!$B$7)*B1851)</f>
        <v>83.0739300519528</v>
      </c>
      <c r="E1851" s="18" t="n">
        <f aca="false">EXP(-'Black-Scholes'!$B$8*'Black-Scholes'!$B$7)*IF(LOWER('Black-Scholes'!$B$11)="put",MAX('Black-Scholes'!$B$6-C1851,0),MAX(C1851-'Black-Scholes'!$B$6,0))</f>
        <v>26.4615505975674</v>
      </c>
      <c r="F1851" s="18" t="n">
        <f aca="false">(E1851+G1851)/2</f>
        <v>13.2307752987837</v>
      </c>
      <c r="G1851" s="18" t="n">
        <f aca="false">EXP(-'Black-Scholes'!$B$8*'Black-Scholes'!$B$7)*IF(LOWER('Black-Scholes'!$B$11)="put",MAX('Black-Scholes'!$B$6-D1851,0),MAX(D1851-'Black-Scholes'!$B$6,0))</f>
        <v>0</v>
      </c>
    </row>
    <row r="1852" customFormat="false" ht="15" hidden="false" customHeight="false" outlineLevel="0" collapsed="false">
      <c r="A1852" s="0" t="n">
        <v>1841</v>
      </c>
      <c r="B1852" s="15" t="n">
        <v>-0.689572608417422</v>
      </c>
      <c r="C1852" s="18" t="n">
        <f aca="false">'Black-Scholes'!$B$5*EXP(('Black-Scholes'!$B$8-'Black-Scholes'!$B$10-'Black-Scholes'!$B$9^2/2)*'Black-Scholes'!$B$7+'Black-Scholes'!$B$9*SQRT('Black-Scholes'!$B$7)*B1852)</f>
        <v>89.7704327405606</v>
      </c>
      <c r="D1852" s="18" t="n">
        <f aca="false">'Black-Scholes'!$B$5*EXP(('Black-Scholes'!$B$8-'Black-Scholes'!$B$10-'Black-Scholes'!$B$9^2/2)*'Black-Scholes'!$B$7-'Black-Scholes'!$B$9*SQRT('Black-Scholes'!$B$7)*B1852)</f>
        <v>118.283549953925</v>
      </c>
      <c r="E1852" s="18" t="n">
        <f aca="false">EXP(-'Black-Scholes'!$B$8*'Black-Scholes'!$B$7)*IF(LOWER('Black-Scholes'!$B$11)="put",MAX('Black-Scholes'!$B$6-C1852,0),MAX(C1852-'Black-Scholes'!$B$6,0))</f>
        <v>0</v>
      </c>
      <c r="F1852" s="18" t="n">
        <f aca="false">(E1852+G1852)/2</f>
        <v>8.69592535025122</v>
      </c>
      <c r="G1852" s="18" t="n">
        <f aca="false">EXP(-'Black-Scholes'!$B$8*'Black-Scholes'!$B$7)*IF(LOWER('Black-Scholes'!$B$11)="put",MAX('Black-Scholes'!$B$6-D1852,0),MAX(D1852-'Black-Scholes'!$B$6,0))</f>
        <v>17.3918507005024</v>
      </c>
    </row>
    <row r="1853" customFormat="false" ht="15" hidden="false" customHeight="false" outlineLevel="0" collapsed="false">
      <c r="A1853" s="0" t="n">
        <v>1842</v>
      </c>
      <c r="B1853" s="15" t="n">
        <v>0.486458807807064</v>
      </c>
      <c r="C1853" s="18" t="n">
        <f aca="false">'Black-Scholes'!$B$5*EXP(('Black-Scholes'!$B$8-'Black-Scholes'!$B$10-'Black-Scholes'!$B$9^2/2)*'Black-Scholes'!$B$7+'Black-Scholes'!$B$9*SQRT('Black-Scholes'!$B$7)*B1853)</f>
        <v>113.574833715423</v>
      </c>
      <c r="D1853" s="18" t="n">
        <f aca="false">'Black-Scholes'!$B$5*EXP(('Black-Scholes'!$B$8-'Black-Scholes'!$B$10-'Black-Scholes'!$B$9^2/2)*'Black-Scholes'!$B$7-'Black-Scholes'!$B$9*SQRT('Black-Scholes'!$B$7)*B1853)</f>
        <v>93.4922387124894</v>
      </c>
      <c r="E1853" s="18" t="n">
        <f aca="false">EXP(-'Black-Scholes'!$B$8*'Black-Scholes'!$B$7)*IF(LOWER('Black-Scholes'!$B$11)="put",MAX('Black-Scholes'!$B$6-C1853,0),MAX(C1853-'Black-Scholes'!$B$6,0))</f>
        <v>12.9127812628145</v>
      </c>
      <c r="F1853" s="18" t="n">
        <f aca="false">(E1853+G1853)/2</f>
        <v>6.45639063140724</v>
      </c>
      <c r="G1853" s="18" t="n">
        <f aca="false">EXP(-'Black-Scholes'!$B$8*'Black-Scholes'!$B$7)*IF(LOWER('Black-Scholes'!$B$11)="put",MAX('Black-Scholes'!$B$6-D1853,0),MAX(D1853-'Black-Scholes'!$B$6,0))</f>
        <v>0</v>
      </c>
    </row>
    <row r="1854" customFormat="false" ht="15" hidden="false" customHeight="false" outlineLevel="0" collapsed="false">
      <c r="A1854" s="0" t="n">
        <v>1843</v>
      </c>
      <c r="B1854" s="15" t="n">
        <v>0.335377013317211</v>
      </c>
      <c r="C1854" s="18" t="n">
        <f aca="false">'Black-Scholes'!$B$5*EXP(('Black-Scholes'!$B$8-'Black-Scholes'!$B$10-'Black-Scholes'!$B$9^2/2)*'Black-Scholes'!$B$7+'Black-Scholes'!$B$9*SQRT('Black-Scholes'!$B$7)*B1854)</f>
        <v>110.194345996035</v>
      </c>
      <c r="D1854" s="18" t="n">
        <f aca="false">'Black-Scholes'!$B$5*EXP(('Black-Scholes'!$B$8-'Black-Scholes'!$B$10-'Black-Scholes'!$B$9^2/2)*'Black-Scholes'!$B$7-'Black-Scholes'!$B$9*SQRT('Black-Scholes'!$B$7)*B1854)</f>
        <v>96.3603474341204</v>
      </c>
      <c r="E1854" s="18" t="n">
        <f aca="false">EXP(-'Black-Scholes'!$B$8*'Black-Scholes'!$B$7)*IF(LOWER('Black-Scholes'!$B$11)="put",MAX('Black-Scholes'!$B$6-C1854,0),MAX(C1854-'Black-Scholes'!$B$6,0))</f>
        <v>9.69716187496946</v>
      </c>
      <c r="F1854" s="18" t="n">
        <f aca="false">(E1854+G1854)/2</f>
        <v>4.84858093748473</v>
      </c>
      <c r="G1854" s="18" t="n">
        <f aca="false">EXP(-'Black-Scholes'!$B$8*'Black-Scholes'!$B$7)*IF(LOWER('Black-Scholes'!$B$11)="put",MAX('Black-Scholes'!$B$6-D1854,0),MAX(D1854-'Black-Scholes'!$B$6,0))</f>
        <v>0</v>
      </c>
    </row>
    <row r="1855" customFormat="false" ht="15" hidden="false" customHeight="false" outlineLevel="0" collapsed="false">
      <c r="A1855" s="0" t="n">
        <v>1844</v>
      </c>
      <c r="B1855" s="15" t="n">
        <v>-0.238714545508923</v>
      </c>
      <c r="C1855" s="18" t="n">
        <f aca="false">'Black-Scholes'!$B$5*EXP(('Black-Scholes'!$B$8-'Black-Scholes'!$B$10-'Black-Scholes'!$B$9^2/2)*'Black-Scholes'!$B$7+'Black-Scholes'!$B$9*SQRT('Black-Scholes'!$B$7)*B1855)</f>
        <v>98.2413569481409</v>
      </c>
      <c r="D1855" s="18" t="n">
        <f aca="false">'Black-Scholes'!$B$5*EXP(('Black-Scholes'!$B$8-'Black-Scholes'!$B$10-'Black-Scholes'!$B$9^2/2)*'Black-Scholes'!$B$7-'Black-Scholes'!$B$9*SQRT('Black-Scholes'!$B$7)*B1855)</f>
        <v>108.084474760042</v>
      </c>
      <c r="E1855" s="18" t="n">
        <f aca="false">EXP(-'Black-Scholes'!$B$8*'Black-Scholes'!$B$7)*IF(LOWER('Black-Scholes'!$B$11)="put",MAX('Black-Scholes'!$B$6-C1855,0),MAX(C1855-'Black-Scholes'!$B$6,0))</f>
        <v>0</v>
      </c>
      <c r="F1855" s="18" t="n">
        <f aca="false">(E1855+G1855)/2</f>
        <v>3.84509513669258</v>
      </c>
      <c r="G1855" s="18" t="n">
        <f aca="false">EXP(-'Black-Scholes'!$B$8*'Black-Scholes'!$B$7)*IF(LOWER('Black-Scholes'!$B$11)="put",MAX('Black-Scholes'!$B$6-D1855,0),MAX(D1855-'Black-Scholes'!$B$6,0))</f>
        <v>7.69019027338516</v>
      </c>
    </row>
    <row r="1856" customFormat="false" ht="15" hidden="false" customHeight="false" outlineLevel="0" collapsed="false">
      <c r="A1856" s="0" t="n">
        <v>1845</v>
      </c>
      <c r="B1856" s="15" t="n">
        <v>-0.660745358450924</v>
      </c>
      <c r="C1856" s="18" t="n">
        <f aca="false">'Black-Scholes'!$B$5*EXP(('Black-Scholes'!$B$8-'Black-Scholes'!$B$10-'Black-Scholes'!$B$9^2/2)*'Black-Scholes'!$B$7+'Black-Scholes'!$B$9*SQRT('Black-Scholes'!$B$7)*B1856)</f>
        <v>90.2894945560552</v>
      </c>
      <c r="D1856" s="18" t="n">
        <f aca="false">'Black-Scholes'!$B$5*EXP(('Black-Scholes'!$B$8-'Black-Scholes'!$B$10-'Black-Scholes'!$B$9^2/2)*'Black-Scholes'!$B$7-'Black-Scholes'!$B$9*SQRT('Black-Scholes'!$B$7)*B1856)</f>
        <v>117.603554186044</v>
      </c>
      <c r="E1856" s="18" t="n">
        <f aca="false">EXP(-'Black-Scholes'!$B$8*'Black-Scholes'!$B$7)*IF(LOWER('Black-Scholes'!$B$11)="put",MAX('Black-Scholes'!$B$6-C1856,0),MAX(C1856-'Black-Scholes'!$B$6,0))</f>
        <v>0</v>
      </c>
      <c r="F1856" s="18" t="n">
        <f aca="false">(E1856+G1856)/2</f>
        <v>8.37250935877906</v>
      </c>
      <c r="G1856" s="18" t="n">
        <f aca="false">EXP(-'Black-Scholes'!$B$8*'Black-Scholes'!$B$7)*IF(LOWER('Black-Scholes'!$B$11)="put",MAX('Black-Scholes'!$B$6-D1856,0),MAX(D1856-'Black-Scholes'!$B$6,0))</f>
        <v>16.7450187175581</v>
      </c>
    </row>
    <row r="1857" customFormat="false" ht="15" hidden="false" customHeight="false" outlineLevel="0" collapsed="false">
      <c r="A1857" s="0" t="n">
        <v>1846</v>
      </c>
      <c r="B1857" s="15" t="n">
        <v>-0.0649160721914447</v>
      </c>
      <c r="C1857" s="18" t="n">
        <f aca="false">'Black-Scholes'!$B$5*EXP(('Black-Scholes'!$B$8-'Black-Scholes'!$B$10-'Black-Scholes'!$B$9^2/2)*'Black-Scholes'!$B$7+'Black-Scholes'!$B$9*SQRT('Black-Scholes'!$B$7)*B1857)</f>
        <v>101.716239582411</v>
      </c>
      <c r="D1857" s="18" t="n">
        <f aca="false">'Black-Scholes'!$B$5*EXP(('Black-Scholes'!$B$8-'Black-Scholes'!$B$10-'Black-Scholes'!$B$9^2/2)*'Black-Scholes'!$B$7-'Black-Scholes'!$B$9*SQRT('Black-Scholes'!$B$7)*B1857)</f>
        <v>104.392037191372</v>
      </c>
      <c r="E1857" s="18" t="n">
        <f aca="false">EXP(-'Black-Scholes'!$B$8*'Black-Scholes'!$B$7)*IF(LOWER('Black-Scholes'!$B$11)="put",MAX('Black-Scholes'!$B$6-C1857,0),MAX(C1857-'Black-Scholes'!$B$6,0))</f>
        <v>1.63253759028229</v>
      </c>
      <c r="F1857" s="18" t="n">
        <f aca="false">(E1857+G1857)/2</f>
        <v>2.90518630010853</v>
      </c>
      <c r="G1857" s="18" t="n">
        <f aca="false">EXP(-'Black-Scholes'!$B$8*'Black-Scholes'!$B$7)*IF(LOWER('Black-Scholes'!$B$11)="put",MAX('Black-Scholes'!$B$6-D1857,0),MAX(D1857-'Black-Scholes'!$B$6,0))</f>
        <v>4.17783500993478</v>
      </c>
    </row>
    <row r="1858" customFormat="false" ht="15" hidden="false" customHeight="false" outlineLevel="0" collapsed="false">
      <c r="A1858" s="0" t="n">
        <v>1847</v>
      </c>
      <c r="B1858" s="15" t="n">
        <v>-0.191647941091011</v>
      </c>
      <c r="C1858" s="18" t="n">
        <f aca="false">'Black-Scholes'!$B$5*EXP(('Black-Scholes'!$B$8-'Black-Scholes'!$B$10-'Black-Scholes'!$B$9^2/2)*'Black-Scholes'!$B$7+'Black-Scholes'!$B$9*SQRT('Black-Scholes'!$B$7)*B1858)</f>
        <v>99.1705006681347</v>
      </c>
      <c r="D1858" s="18" t="n">
        <f aca="false">'Black-Scholes'!$B$5*EXP(('Black-Scholes'!$B$8-'Black-Scholes'!$B$10-'Black-Scholes'!$B$9^2/2)*'Black-Scholes'!$B$7-'Black-Scholes'!$B$9*SQRT('Black-Scholes'!$B$7)*B1858)</f>
        <v>107.071814641604</v>
      </c>
      <c r="E1858" s="18" t="n">
        <f aca="false">EXP(-'Black-Scholes'!$B$8*'Black-Scholes'!$B$7)*IF(LOWER('Black-Scholes'!$B$11)="put",MAX('Black-Scholes'!$B$6-C1858,0),MAX(C1858-'Black-Scholes'!$B$6,0))</f>
        <v>0</v>
      </c>
      <c r="F1858" s="18" t="n">
        <f aca="false">(E1858+G1858)/2</f>
        <v>3.36345908585438</v>
      </c>
      <c r="G1858" s="18" t="n">
        <f aca="false">EXP(-'Black-Scholes'!$B$8*'Black-Scholes'!$B$7)*IF(LOWER('Black-Scholes'!$B$11)="put",MAX('Black-Scholes'!$B$6-D1858,0),MAX(D1858-'Black-Scholes'!$B$6,0))</f>
        <v>6.72691817170876</v>
      </c>
    </row>
    <row r="1859" customFormat="false" ht="15" hidden="false" customHeight="false" outlineLevel="0" collapsed="false">
      <c r="A1859" s="0" t="n">
        <v>1848</v>
      </c>
      <c r="B1859" s="15" t="n">
        <v>-0.519593025259868</v>
      </c>
      <c r="C1859" s="18" t="n">
        <f aca="false">'Black-Scholes'!$B$5*EXP(('Black-Scholes'!$B$8-'Black-Scholes'!$B$10-'Black-Scholes'!$B$9^2/2)*'Black-Scholes'!$B$7+'Black-Scholes'!$B$9*SQRT('Black-Scholes'!$B$7)*B1859)</f>
        <v>92.8747286101913</v>
      </c>
      <c r="D1859" s="18" t="n">
        <f aca="false">'Black-Scholes'!$B$5*EXP(('Black-Scholes'!$B$8-'Black-Scholes'!$B$10-'Black-Scholes'!$B$9^2/2)*'Black-Scholes'!$B$7-'Black-Scholes'!$B$9*SQRT('Black-Scholes'!$B$7)*B1859)</f>
        <v>114.329975703298</v>
      </c>
      <c r="E1859" s="18" t="n">
        <f aca="false">EXP(-'Black-Scholes'!$B$8*'Black-Scholes'!$B$7)*IF(LOWER('Black-Scholes'!$B$11)="put",MAX('Black-Scholes'!$B$6-C1859,0),MAX(C1859-'Black-Scholes'!$B$6,0))</f>
        <v>0</v>
      </c>
      <c r="F1859" s="18" t="n">
        <f aca="false">(E1859+G1859)/2</f>
        <v>6.81554727067882</v>
      </c>
      <c r="G1859" s="18" t="n">
        <f aca="false">EXP(-'Black-Scholes'!$B$8*'Black-Scholes'!$B$7)*IF(LOWER('Black-Scholes'!$B$11)="put",MAX('Black-Scholes'!$B$6-D1859,0),MAX(D1859-'Black-Scholes'!$B$6,0))</f>
        <v>13.6310945413576</v>
      </c>
    </row>
    <row r="1860" customFormat="false" ht="15" hidden="false" customHeight="false" outlineLevel="0" collapsed="false">
      <c r="A1860" s="0" t="n">
        <v>1849</v>
      </c>
      <c r="B1860" s="15" t="n">
        <v>-1.10803994607441</v>
      </c>
      <c r="C1860" s="18" t="n">
        <f aca="false">'Black-Scholes'!$B$5*EXP(('Black-Scholes'!$B$8-'Black-Scholes'!$B$10-'Black-Scholes'!$B$9^2/2)*'Black-Scholes'!$B$7+'Black-Scholes'!$B$9*SQRT('Black-Scholes'!$B$7)*B1860)</f>
        <v>82.5630461106917</v>
      </c>
      <c r="D1860" s="18" t="n">
        <f aca="false">'Black-Scholes'!$B$5*EXP(('Black-Scholes'!$B$8-'Black-Scholes'!$B$10-'Black-Scholes'!$B$9^2/2)*'Black-Scholes'!$B$7-'Black-Scholes'!$B$9*SQRT('Black-Scholes'!$B$7)*B1860)</f>
        <v>128.60917766064</v>
      </c>
      <c r="E1860" s="18" t="n">
        <f aca="false">EXP(-'Black-Scholes'!$B$8*'Black-Scholes'!$B$7)*IF(LOWER('Black-Scholes'!$B$11)="put",MAX('Black-Scholes'!$B$6-C1860,0),MAX(C1860-'Black-Scholes'!$B$6,0))</f>
        <v>0</v>
      </c>
      <c r="F1860" s="18" t="n">
        <f aca="false">(E1860+G1860)/2</f>
        <v>13.6069458007848</v>
      </c>
      <c r="G1860" s="18" t="n">
        <f aca="false">EXP(-'Black-Scholes'!$B$8*'Black-Scholes'!$B$7)*IF(LOWER('Black-Scholes'!$B$11)="put",MAX('Black-Scholes'!$B$6-D1860,0),MAX(D1860-'Black-Scholes'!$B$6,0))</f>
        <v>27.2138916015697</v>
      </c>
    </row>
    <row r="1861" customFormat="false" ht="15" hidden="false" customHeight="false" outlineLevel="0" collapsed="false">
      <c r="A1861" s="0" t="n">
        <v>1850</v>
      </c>
      <c r="B1861" s="15" t="n">
        <v>0.772553837393644</v>
      </c>
      <c r="C1861" s="18" t="n">
        <f aca="false">'Black-Scholes'!$B$5*EXP(('Black-Scholes'!$B$8-'Black-Scholes'!$B$10-'Black-Scholes'!$B$9^2/2)*'Black-Scholes'!$B$7+'Black-Scholes'!$B$9*SQRT('Black-Scholes'!$B$7)*B1861)</f>
        <v>120.262993050735</v>
      </c>
      <c r="D1861" s="18" t="n">
        <f aca="false">'Black-Scholes'!$B$5*EXP(('Black-Scholes'!$B$8-'Black-Scholes'!$B$10-'Black-Scholes'!$B$9^2/2)*'Black-Scholes'!$B$7-'Black-Scholes'!$B$9*SQRT('Black-Scholes'!$B$7)*B1861)</f>
        <v>88.2928754398623</v>
      </c>
      <c r="E1861" s="18" t="n">
        <f aca="false">EXP(-'Black-Scholes'!$B$8*'Black-Scholes'!$B$7)*IF(LOWER('Black-Scholes'!$B$11)="put",MAX('Black-Scholes'!$B$6-C1861,0),MAX(C1861-'Black-Scholes'!$B$6,0))</f>
        <v>19.2747552183129</v>
      </c>
      <c r="F1861" s="18" t="n">
        <f aca="false">(E1861+G1861)/2</f>
        <v>9.63737760915643</v>
      </c>
      <c r="G1861" s="18" t="n">
        <f aca="false">EXP(-'Black-Scholes'!$B$8*'Black-Scholes'!$B$7)*IF(LOWER('Black-Scholes'!$B$11)="put",MAX('Black-Scholes'!$B$6-D1861,0),MAX(D1861-'Black-Scholes'!$B$6,0))</f>
        <v>0</v>
      </c>
    </row>
    <row r="1862" customFormat="false" ht="15" hidden="false" customHeight="false" outlineLevel="0" collapsed="false">
      <c r="A1862" s="0" t="n">
        <v>1851</v>
      </c>
      <c r="B1862" s="15" t="n">
        <v>0.00686622213941555</v>
      </c>
      <c r="C1862" s="18" t="n">
        <f aca="false">'Black-Scholes'!$B$5*EXP(('Black-Scholes'!$B$8-'Black-Scholes'!$B$10-'Black-Scholes'!$B$9^2/2)*'Black-Scholes'!$B$7+'Black-Scholes'!$B$9*SQRT('Black-Scholes'!$B$7)*B1862)</f>
        <v>103.187057196108</v>
      </c>
      <c r="D1862" s="18" t="n">
        <f aca="false">'Black-Scholes'!$B$5*EXP(('Black-Scholes'!$B$8-'Black-Scholes'!$B$10-'Black-Scholes'!$B$9^2/2)*'Black-Scholes'!$B$7-'Black-Scholes'!$B$9*SQRT('Black-Scholes'!$B$7)*B1862)</f>
        <v>102.904043917769</v>
      </c>
      <c r="E1862" s="18" t="n">
        <f aca="false">EXP(-'Black-Scholes'!$B$8*'Black-Scholes'!$B$7)*IF(LOWER('Black-Scholes'!$B$11)="put",MAX('Black-Scholes'!$B$6-C1862,0),MAX(C1862-'Black-Scholes'!$B$6,0))</f>
        <v>3.03162258250436</v>
      </c>
      <c r="F1862" s="18" t="n">
        <f aca="false">(E1862+G1862)/2</f>
        <v>2.89701730356424</v>
      </c>
      <c r="G1862" s="18" t="n">
        <f aca="false">EXP(-'Black-Scholes'!$B$8*'Black-Scholes'!$B$7)*IF(LOWER('Black-Scholes'!$B$11)="put",MAX('Black-Scholes'!$B$6-D1862,0),MAX(D1862-'Black-Scholes'!$B$6,0))</f>
        <v>2.76241202462411</v>
      </c>
    </row>
    <row r="1863" customFormat="false" ht="15" hidden="false" customHeight="false" outlineLevel="0" collapsed="false">
      <c r="A1863" s="0" t="n">
        <v>1852</v>
      </c>
      <c r="B1863" s="15" t="n">
        <v>-0.361268478150185</v>
      </c>
      <c r="C1863" s="18" t="n">
        <f aca="false">'Black-Scholes'!$B$5*EXP(('Black-Scholes'!$B$8-'Black-Scholes'!$B$10-'Black-Scholes'!$B$9^2/2)*'Black-Scholes'!$B$7+'Black-Scholes'!$B$9*SQRT('Black-Scholes'!$B$7)*B1863)</f>
        <v>95.8626550353905</v>
      </c>
      <c r="D1863" s="18" t="n">
        <f aca="false">'Black-Scholes'!$B$5*EXP(('Black-Scholes'!$B$8-'Black-Scholes'!$B$10-'Black-Scholes'!$B$9^2/2)*'Black-Scholes'!$B$7-'Black-Scholes'!$B$9*SQRT('Black-Scholes'!$B$7)*B1863)</f>
        <v>110.766444571492</v>
      </c>
      <c r="E1863" s="18" t="n">
        <f aca="false">EXP(-'Black-Scholes'!$B$8*'Black-Scholes'!$B$7)*IF(LOWER('Black-Scholes'!$B$11)="put",MAX('Black-Scholes'!$B$6-C1863,0),MAX(C1863-'Black-Scholes'!$B$6,0))</f>
        <v>0</v>
      </c>
      <c r="F1863" s="18" t="n">
        <f aca="false">(E1863+G1863)/2</f>
        <v>5.12067943682937</v>
      </c>
      <c r="G1863" s="18" t="n">
        <f aca="false">EXP(-'Black-Scholes'!$B$8*'Black-Scholes'!$B$7)*IF(LOWER('Black-Scholes'!$B$11)="put",MAX('Black-Scholes'!$B$6-D1863,0),MAX(D1863-'Black-Scholes'!$B$6,0))</f>
        <v>10.2413588736587</v>
      </c>
    </row>
    <row r="1864" customFormat="false" ht="15" hidden="false" customHeight="false" outlineLevel="0" collapsed="false">
      <c r="A1864" s="0" t="n">
        <v>1853</v>
      </c>
      <c r="B1864" s="15" t="n">
        <v>-0.137177065996264</v>
      </c>
      <c r="C1864" s="18" t="n">
        <f aca="false">'Black-Scholes'!$B$5*EXP(('Black-Scholes'!$B$8-'Black-Scholes'!$B$10-'Black-Scholes'!$B$9^2/2)*'Black-Scholes'!$B$7+'Black-Scholes'!$B$9*SQRT('Black-Scholes'!$B$7)*B1864)</f>
        <v>100.256787816654</v>
      </c>
      <c r="D1864" s="18" t="n">
        <f aca="false">'Black-Scholes'!$B$5*EXP(('Black-Scholes'!$B$8-'Black-Scholes'!$B$10-'Black-Scholes'!$B$9^2/2)*'Black-Scholes'!$B$7-'Black-Scholes'!$B$9*SQRT('Black-Scholes'!$B$7)*B1864)</f>
        <v>105.911686347583</v>
      </c>
      <c r="E1864" s="18" t="n">
        <f aca="false">EXP(-'Black-Scholes'!$B$8*'Black-Scholes'!$B$7)*IF(LOWER('Black-Scholes'!$B$11)="put",MAX('Black-Scholes'!$B$6-C1864,0),MAX(C1864-'Black-Scholes'!$B$6,0))</f>
        <v>0.244264127054522</v>
      </c>
      <c r="F1864" s="18" t="n">
        <f aca="false">(E1864+G1864)/2</f>
        <v>2.93381706464714</v>
      </c>
      <c r="G1864" s="18" t="n">
        <f aca="false">EXP(-'Black-Scholes'!$B$8*'Black-Scholes'!$B$7)*IF(LOWER('Black-Scholes'!$B$11)="put",MAX('Black-Scholes'!$B$6-D1864,0),MAX(D1864-'Black-Scholes'!$B$6,0))</f>
        <v>5.62337000223975</v>
      </c>
    </row>
    <row r="1865" customFormat="false" ht="15" hidden="false" customHeight="false" outlineLevel="0" collapsed="false">
      <c r="A1865" s="0" t="n">
        <v>1854</v>
      </c>
      <c r="B1865" s="15" t="n">
        <v>1.12437491726362</v>
      </c>
      <c r="C1865" s="18" t="n">
        <f aca="false">'Black-Scholes'!$B$5*EXP(('Black-Scholes'!$B$8-'Black-Scholes'!$B$10-'Black-Scholes'!$B$9^2/2)*'Black-Scholes'!$B$7+'Black-Scholes'!$B$9*SQRT('Black-Scholes'!$B$7)*B1865)</f>
        <v>129.030030190064</v>
      </c>
      <c r="D1865" s="18" t="n">
        <f aca="false">'Black-Scholes'!$B$5*EXP(('Black-Scholes'!$B$8-'Black-Scholes'!$B$10-'Black-Scholes'!$B$9^2/2)*'Black-Scholes'!$B$7-'Black-Scholes'!$B$9*SQRT('Black-Scholes'!$B$7)*B1865)</f>
        <v>82.2937532434313</v>
      </c>
      <c r="E1865" s="18" t="n">
        <f aca="false">EXP(-'Black-Scholes'!$B$8*'Black-Scholes'!$B$7)*IF(LOWER('Black-Scholes'!$B$11)="put",MAX('Black-Scholes'!$B$6-C1865,0),MAX(C1865-'Black-Scholes'!$B$6,0))</f>
        <v>27.6142189109326</v>
      </c>
      <c r="F1865" s="18" t="n">
        <f aca="false">(E1865+G1865)/2</f>
        <v>13.8071094554663</v>
      </c>
      <c r="G1865" s="18" t="n">
        <f aca="false">EXP(-'Black-Scholes'!$B$8*'Black-Scholes'!$B$7)*IF(LOWER('Black-Scholes'!$B$11)="put",MAX('Black-Scholes'!$B$6-D1865,0),MAX(D1865-'Black-Scholes'!$B$6,0))</f>
        <v>0</v>
      </c>
    </row>
    <row r="1866" customFormat="false" ht="15" hidden="false" customHeight="false" outlineLevel="0" collapsed="false">
      <c r="A1866" s="0" t="n">
        <v>1855</v>
      </c>
      <c r="B1866" s="15" t="n">
        <v>0.581278204397049</v>
      </c>
      <c r="C1866" s="18" t="n">
        <f aca="false">'Black-Scholes'!$B$5*EXP(('Black-Scholes'!$B$8-'Black-Scholes'!$B$10-'Black-Scholes'!$B$9^2/2)*'Black-Scholes'!$B$7+'Black-Scholes'!$B$9*SQRT('Black-Scholes'!$B$7)*B1866)</f>
        <v>115.749205251787</v>
      </c>
      <c r="D1866" s="18" t="n">
        <f aca="false">'Black-Scholes'!$B$5*EXP(('Black-Scholes'!$B$8-'Black-Scholes'!$B$10-'Black-Scholes'!$B$9^2/2)*'Black-Scholes'!$B$7-'Black-Scholes'!$B$9*SQRT('Black-Scholes'!$B$7)*B1866)</f>
        <v>91.7359686604814</v>
      </c>
      <c r="E1866" s="18" t="n">
        <f aca="false">EXP(-'Black-Scholes'!$B$8*'Black-Scholes'!$B$7)*IF(LOWER('Black-Scholes'!$B$11)="put",MAX('Black-Scholes'!$B$6-C1866,0),MAX(C1866-'Black-Scholes'!$B$6,0))</f>
        <v>14.9811074480014</v>
      </c>
      <c r="F1866" s="18" t="n">
        <f aca="false">(E1866+G1866)/2</f>
        <v>7.49055372400069</v>
      </c>
      <c r="G1866" s="18" t="n">
        <f aca="false">EXP(-'Black-Scholes'!$B$8*'Black-Scholes'!$B$7)*IF(LOWER('Black-Scholes'!$B$11)="put",MAX('Black-Scholes'!$B$6-D1866,0),MAX(D1866-'Black-Scholes'!$B$6,0))</f>
        <v>0</v>
      </c>
    </row>
    <row r="1867" customFormat="false" ht="15" hidden="false" customHeight="false" outlineLevel="0" collapsed="false">
      <c r="A1867" s="0" t="n">
        <v>1856</v>
      </c>
      <c r="B1867" s="15" t="n">
        <v>0.277265949195133</v>
      </c>
      <c r="C1867" s="18" t="n">
        <f aca="false">'Black-Scholes'!$B$5*EXP(('Black-Scholes'!$B$8-'Black-Scholes'!$B$10-'Black-Scholes'!$B$9^2/2)*'Black-Scholes'!$B$7+'Black-Scholes'!$B$9*SQRT('Black-Scholes'!$B$7)*B1867)</f>
        <v>108.921057402841</v>
      </c>
      <c r="D1867" s="18" t="n">
        <f aca="false">'Black-Scholes'!$B$5*EXP(('Black-Scholes'!$B$8-'Black-Scholes'!$B$10-'Black-Scholes'!$B$9^2/2)*'Black-Scholes'!$B$7-'Black-Scholes'!$B$9*SQRT('Black-Scholes'!$B$7)*B1867)</f>
        <v>97.4868011626249</v>
      </c>
      <c r="E1867" s="18" t="n">
        <f aca="false">EXP(-'Black-Scholes'!$B$8*'Black-Scholes'!$B$7)*IF(LOWER('Black-Scholes'!$B$11)="put",MAX('Black-Scholes'!$B$6-C1867,0),MAX(C1867-'Black-Scholes'!$B$6,0))</f>
        <v>8.48597229924212</v>
      </c>
      <c r="F1867" s="18" t="n">
        <f aca="false">(E1867+G1867)/2</f>
        <v>4.24298614962106</v>
      </c>
      <c r="G1867" s="18" t="n">
        <f aca="false">EXP(-'Black-Scholes'!$B$8*'Black-Scholes'!$B$7)*IF(LOWER('Black-Scholes'!$B$11)="put",MAX('Black-Scholes'!$B$6-D1867,0),MAX(D1867-'Black-Scholes'!$B$6,0))</f>
        <v>0</v>
      </c>
    </row>
    <row r="1868" customFormat="false" ht="15" hidden="false" customHeight="false" outlineLevel="0" collapsed="false">
      <c r="A1868" s="0" t="n">
        <v>1857</v>
      </c>
      <c r="B1868" s="15" t="n">
        <v>1.49621412673262</v>
      </c>
      <c r="C1868" s="18" t="n">
        <f aca="false">'Black-Scholes'!$B$5*EXP(('Black-Scholes'!$B$8-'Black-Scholes'!$B$10-'Black-Scholes'!$B$9^2/2)*'Black-Scholes'!$B$7+'Black-Scholes'!$B$9*SQRT('Black-Scholes'!$B$7)*B1868)</f>
        <v>138.991532128287</v>
      </c>
      <c r="D1868" s="18" t="n">
        <f aca="false">'Black-Scholes'!$B$5*EXP(('Black-Scholes'!$B$8-'Black-Scholes'!$B$10-'Black-Scholes'!$B$9^2/2)*'Black-Scholes'!$B$7-'Black-Scholes'!$B$9*SQRT('Black-Scholes'!$B$7)*B1868)</f>
        <v>76.3957724824057</v>
      </c>
      <c r="E1868" s="18" t="n">
        <f aca="false">EXP(-'Black-Scholes'!$B$8*'Black-Scholes'!$B$7)*IF(LOWER('Black-Scholes'!$B$11)="put",MAX('Black-Scholes'!$B$6-C1868,0),MAX(C1868-'Black-Scholes'!$B$6,0))</f>
        <v>37.0898926667916</v>
      </c>
      <c r="F1868" s="18" t="n">
        <f aca="false">(E1868+G1868)/2</f>
        <v>18.5449463333958</v>
      </c>
      <c r="G1868" s="18" t="n">
        <f aca="false">EXP(-'Black-Scholes'!$B$8*'Black-Scholes'!$B$7)*IF(LOWER('Black-Scholes'!$B$11)="put",MAX('Black-Scholes'!$B$6-D1868,0),MAX(D1868-'Black-Scholes'!$B$6,0))</f>
        <v>0</v>
      </c>
    </row>
    <row r="1869" customFormat="false" ht="15" hidden="false" customHeight="false" outlineLevel="0" collapsed="false">
      <c r="A1869" s="0" t="n">
        <v>1858</v>
      </c>
      <c r="B1869" s="15" t="n">
        <v>0.266396444969159</v>
      </c>
      <c r="C1869" s="18" t="n">
        <f aca="false">'Black-Scholes'!$B$5*EXP(('Black-Scholes'!$B$8-'Black-Scholes'!$B$10-'Black-Scholes'!$B$9^2/2)*'Black-Scholes'!$B$7+'Black-Scholes'!$B$9*SQRT('Black-Scholes'!$B$7)*B1869)</f>
        <v>108.684531009705</v>
      </c>
      <c r="D1869" s="18" t="n">
        <f aca="false">'Black-Scholes'!$B$5*EXP(('Black-Scholes'!$B$8-'Black-Scholes'!$B$10-'Black-Scholes'!$B$9^2/2)*'Black-Scholes'!$B$7-'Black-Scholes'!$B$9*SQRT('Black-Scholes'!$B$7)*B1869)</f>
        <v>97.6989583228308</v>
      </c>
      <c r="E1869" s="18" t="n">
        <f aca="false">EXP(-'Black-Scholes'!$B$8*'Black-Scholes'!$B$7)*IF(LOWER('Black-Scholes'!$B$11)="put",MAX('Black-Scholes'!$B$6-C1869,0),MAX(C1869-'Black-Scholes'!$B$6,0))</f>
        <v>8.26098143442047</v>
      </c>
      <c r="F1869" s="18" t="n">
        <f aca="false">(E1869+G1869)/2</f>
        <v>4.13049071721023</v>
      </c>
      <c r="G1869" s="18" t="n">
        <f aca="false">EXP(-'Black-Scholes'!$B$8*'Black-Scholes'!$B$7)*IF(LOWER('Black-Scholes'!$B$11)="put",MAX('Black-Scholes'!$B$6-D1869,0),MAX(D1869-'Black-Scholes'!$B$6,0))</f>
        <v>0</v>
      </c>
    </row>
    <row r="1870" customFormat="false" ht="15" hidden="false" customHeight="false" outlineLevel="0" collapsed="false">
      <c r="A1870" s="0" t="n">
        <v>1859</v>
      </c>
      <c r="B1870" s="15" t="n">
        <v>0.781704705922217</v>
      </c>
      <c r="C1870" s="18" t="n">
        <f aca="false">'Black-Scholes'!$B$5*EXP(('Black-Scholes'!$B$8-'Black-Scholes'!$B$10-'Black-Scholes'!$B$9^2/2)*'Black-Scholes'!$B$7+'Black-Scholes'!$B$9*SQRT('Black-Scholes'!$B$7)*B1870)</f>
        <v>120.483296753917</v>
      </c>
      <c r="D1870" s="18" t="n">
        <f aca="false">'Black-Scholes'!$B$5*EXP(('Black-Scholes'!$B$8-'Black-Scholes'!$B$10-'Black-Scholes'!$B$9^2/2)*'Black-Scholes'!$B$7-'Black-Scholes'!$B$9*SQRT('Black-Scholes'!$B$7)*B1870)</f>
        <v>88.1314319207356</v>
      </c>
      <c r="E1870" s="18" t="n">
        <f aca="false">EXP(-'Black-Scholes'!$B$8*'Black-Scholes'!$B$7)*IF(LOWER('Black-Scholes'!$B$11)="put",MAX('Black-Scholes'!$B$6-C1870,0),MAX(C1870-'Black-Scholes'!$B$6,0))</f>
        <v>19.4843145831056</v>
      </c>
      <c r="F1870" s="18" t="n">
        <f aca="false">(E1870+G1870)/2</f>
        <v>9.74215729155279</v>
      </c>
      <c r="G1870" s="18" t="n">
        <f aca="false">EXP(-'Black-Scholes'!$B$8*'Black-Scholes'!$B$7)*IF(LOWER('Black-Scholes'!$B$11)="put",MAX('Black-Scholes'!$B$6-D1870,0),MAX(D1870-'Black-Scholes'!$B$6,0))</f>
        <v>0</v>
      </c>
    </row>
    <row r="1871" customFormat="false" ht="15" hidden="false" customHeight="false" outlineLevel="0" collapsed="false">
      <c r="A1871" s="0" t="n">
        <v>1860</v>
      </c>
      <c r="B1871" s="15" t="n">
        <v>-0.916379315338142</v>
      </c>
      <c r="C1871" s="18" t="n">
        <f aca="false">'Black-Scholes'!$B$5*EXP(('Black-Scholes'!$B$8-'Black-Scholes'!$B$10-'Black-Scholes'!$B$9^2/2)*'Black-Scholes'!$B$7+'Black-Scholes'!$B$9*SQRT('Black-Scholes'!$B$7)*B1871)</f>
        <v>85.7893028162931</v>
      </c>
      <c r="D1871" s="18" t="n">
        <f aca="false">'Black-Scholes'!$B$5*EXP(('Black-Scholes'!$B$8-'Black-Scholes'!$B$10-'Black-Scholes'!$B$9^2/2)*'Black-Scholes'!$B$7-'Black-Scholes'!$B$9*SQRT('Black-Scholes'!$B$7)*B1871)</f>
        <v>123.772604705641</v>
      </c>
      <c r="E1871" s="18" t="n">
        <f aca="false">EXP(-'Black-Scholes'!$B$8*'Black-Scholes'!$B$7)*IF(LOWER('Black-Scholes'!$B$11)="put",MAX('Black-Scholes'!$B$6-C1871,0),MAX(C1871-'Black-Scholes'!$B$6,0))</f>
        <v>0</v>
      </c>
      <c r="F1871" s="18" t="n">
        <f aca="false">(E1871+G1871)/2</f>
        <v>11.306600546515</v>
      </c>
      <c r="G1871" s="18" t="n">
        <f aca="false">EXP(-'Black-Scholes'!$B$8*'Black-Scholes'!$B$7)*IF(LOWER('Black-Scholes'!$B$11)="put",MAX('Black-Scholes'!$B$6-D1871,0),MAX(D1871-'Black-Scholes'!$B$6,0))</f>
        <v>22.6132010930301</v>
      </c>
    </row>
    <row r="1872" customFormat="false" ht="15" hidden="false" customHeight="false" outlineLevel="0" collapsed="false">
      <c r="A1872" s="0" t="n">
        <v>1861</v>
      </c>
      <c r="B1872" s="15" t="n">
        <v>-1.85847318243895</v>
      </c>
      <c r="C1872" s="18" t="n">
        <f aca="false">'Black-Scholes'!$B$5*EXP(('Black-Scholes'!$B$8-'Black-Scholes'!$B$10-'Black-Scholes'!$B$9^2/2)*'Black-Scholes'!$B$7+'Black-Scholes'!$B$9*SQRT('Black-Scholes'!$B$7)*B1872)</f>
        <v>71.0565152254105</v>
      </c>
      <c r="D1872" s="18" t="n">
        <f aca="false">'Black-Scholes'!$B$5*EXP(('Black-Scholes'!$B$8-'Black-Scholes'!$B$10-'Black-Scholes'!$B$9^2/2)*'Black-Scholes'!$B$7-'Black-Scholes'!$B$9*SQRT('Black-Scholes'!$B$7)*B1872)</f>
        <v>149.435494152356</v>
      </c>
      <c r="E1872" s="18" t="n">
        <f aca="false">EXP(-'Black-Scholes'!$B$8*'Black-Scholes'!$B$7)*IF(LOWER('Black-Scholes'!$B$11)="put",MAX('Black-Scholes'!$B$6-C1872,0),MAX(C1872-'Black-Scholes'!$B$6,0))</f>
        <v>0</v>
      </c>
      <c r="F1872" s="18" t="n">
        <f aca="false">(E1872+G1872)/2</f>
        <v>23.5122483262268</v>
      </c>
      <c r="G1872" s="18" t="n">
        <f aca="false">EXP(-'Black-Scholes'!$B$8*'Black-Scholes'!$B$7)*IF(LOWER('Black-Scholes'!$B$11)="put",MAX('Black-Scholes'!$B$6-D1872,0),MAX(D1872-'Black-Scholes'!$B$6,0))</f>
        <v>47.0244966524536</v>
      </c>
    </row>
    <row r="1873" customFormat="false" ht="15" hidden="false" customHeight="false" outlineLevel="0" collapsed="false">
      <c r="A1873" s="0" t="n">
        <v>1862</v>
      </c>
      <c r="B1873" s="15" t="n">
        <v>2.30175985400585</v>
      </c>
      <c r="C1873" s="18" t="n">
        <f aca="false">'Black-Scholes'!$B$5*EXP(('Black-Scholes'!$B$8-'Black-Scholes'!$B$10-'Black-Scholes'!$B$9^2/2)*'Black-Scholes'!$B$7+'Black-Scholes'!$B$9*SQRT('Black-Scholes'!$B$7)*B1873)</f>
        <v>163.289084872342</v>
      </c>
      <c r="D1873" s="18" t="n">
        <f aca="false">'Black-Scholes'!$B$5*EXP(('Black-Scholes'!$B$8-'Black-Scholes'!$B$10-'Black-Scholes'!$B$9^2/2)*'Black-Scholes'!$B$7-'Black-Scholes'!$B$9*SQRT('Black-Scholes'!$B$7)*B1873)</f>
        <v>65.0280174805005</v>
      </c>
      <c r="E1873" s="18" t="n">
        <f aca="false">EXP(-'Black-Scholes'!$B$8*'Black-Scholes'!$B$7)*IF(LOWER('Black-Scholes'!$B$11)="put",MAX('Black-Scholes'!$B$6-C1873,0),MAX(C1873-'Black-Scholes'!$B$6,0))</f>
        <v>60.2024397802949</v>
      </c>
      <c r="F1873" s="18" t="n">
        <f aca="false">(E1873+G1873)/2</f>
        <v>30.1012198901475</v>
      </c>
      <c r="G1873" s="18" t="n">
        <f aca="false">EXP(-'Black-Scholes'!$B$8*'Black-Scholes'!$B$7)*IF(LOWER('Black-Scholes'!$B$11)="put",MAX('Black-Scholes'!$B$6-D1873,0),MAX(D1873-'Black-Scholes'!$B$6,0))</f>
        <v>0</v>
      </c>
    </row>
    <row r="1874" customFormat="false" ht="15" hidden="false" customHeight="false" outlineLevel="0" collapsed="false">
      <c r="A1874" s="0" t="n">
        <v>1863</v>
      </c>
      <c r="B1874" s="15" t="n">
        <v>0.275940459518453</v>
      </c>
      <c r="C1874" s="18" t="n">
        <f aca="false">'Black-Scholes'!$B$5*EXP(('Black-Scholes'!$B$8-'Black-Scholes'!$B$10-'Black-Scholes'!$B$9^2/2)*'Black-Scholes'!$B$7+'Black-Scholes'!$B$9*SQRT('Black-Scholes'!$B$7)*B1874)</f>
        <v>108.892186482389</v>
      </c>
      <c r="D1874" s="18" t="n">
        <f aca="false">'Black-Scholes'!$B$5*EXP(('Black-Scholes'!$B$8-'Black-Scholes'!$B$10-'Black-Scholes'!$B$9^2/2)*'Black-Scholes'!$B$7-'Black-Scholes'!$B$9*SQRT('Black-Scholes'!$B$7)*B1874)</f>
        <v>97.5126481381742</v>
      </c>
      <c r="E1874" s="18" t="n">
        <f aca="false">EXP(-'Black-Scholes'!$B$8*'Black-Scholes'!$B$7)*IF(LOWER('Black-Scholes'!$B$11)="put",MAX('Black-Scholes'!$B$6-C1874,0),MAX(C1874-'Black-Scholes'!$B$6,0))</f>
        <v>8.45850943019546</v>
      </c>
      <c r="F1874" s="18" t="n">
        <f aca="false">(E1874+G1874)/2</f>
        <v>4.22925471509773</v>
      </c>
      <c r="G1874" s="18" t="n">
        <f aca="false">EXP(-'Black-Scholes'!$B$8*'Black-Scholes'!$B$7)*IF(LOWER('Black-Scholes'!$B$11)="put",MAX('Black-Scholes'!$B$6-D1874,0),MAX(D1874-'Black-Scholes'!$B$6,0))</f>
        <v>0</v>
      </c>
    </row>
    <row r="1875" customFormat="false" ht="15" hidden="false" customHeight="false" outlineLevel="0" collapsed="false">
      <c r="A1875" s="0" t="n">
        <v>1864</v>
      </c>
      <c r="B1875" s="15" t="n">
        <v>0.0889653539093758</v>
      </c>
      <c r="C1875" s="18" t="n">
        <f aca="false">'Black-Scholes'!$B$5*EXP(('Black-Scholes'!$B$8-'Black-Scholes'!$B$10-'Black-Scholes'!$B$9^2/2)*'Black-Scholes'!$B$7+'Black-Scholes'!$B$9*SQRT('Black-Scholes'!$B$7)*B1875)</f>
        <v>104.895357372212</v>
      </c>
      <c r="D1875" s="18" t="n">
        <f aca="false">'Black-Scholes'!$B$5*EXP(('Black-Scholes'!$B$8-'Black-Scholes'!$B$10-'Black-Scholes'!$B$9^2/2)*'Black-Scholes'!$B$7-'Black-Scholes'!$B$9*SQRT('Black-Scholes'!$B$7)*B1875)</f>
        <v>101.228173786331</v>
      </c>
      <c r="E1875" s="18" t="n">
        <f aca="false">EXP(-'Black-Scholes'!$B$8*'Black-Scholes'!$B$7)*IF(LOWER('Black-Scholes'!$B$11)="put",MAX('Black-Scholes'!$B$6-C1875,0),MAX(C1875-'Black-Scholes'!$B$6,0))</f>
        <v>4.65660797589478</v>
      </c>
      <c r="F1875" s="18" t="n">
        <f aca="false">(E1875+G1875)/2</f>
        <v>2.91244150992663</v>
      </c>
      <c r="G1875" s="18" t="n">
        <f aca="false">EXP(-'Black-Scholes'!$B$8*'Black-Scholes'!$B$7)*IF(LOWER('Black-Scholes'!$B$11)="put",MAX('Black-Scholes'!$B$6-D1875,0),MAX(D1875-'Black-Scholes'!$B$6,0))</f>
        <v>1.16827504395849</v>
      </c>
    </row>
    <row r="1876" customFormat="false" ht="15" hidden="false" customHeight="false" outlineLevel="0" collapsed="false">
      <c r="A1876" s="0" t="n">
        <v>1865</v>
      </c>
      <c r="B1876" s="15" t="n">
        <v>-0.601216455147832</v>
      </c>
      <c r="C1876" s="18" t="n">
        <f aca="false">'Black-Scholes'!$B$5*EXP(('Black-Scholes'!$B$8-'Black-Scholes'!$B$10-'Black-Scholes'!$B$9^2/2)*'Black-Scholes'!$B$7+'Black-Scholes'!$B$9*SQRT('Black-Scholes'!$B$7)*B1876)</f>
        <v>91.3708861058051</v>
      </c>
      <c r="D1876" s="18" t="n">
        <f aca="false">'Black-Scholes'!$B$5*EXP(('Black-Scholes'!$B$8-'Black-Scholes'!$B$10-'Black-Scholes'!$B$9^2/2)*'Black-Scholes'!$B$7-'Black-Scholes'!$B$9*SQRT('Black-Scholes'!$B$7)*B1876)</f>
        <v>116.211694096496</v>
      </c>
      <c r="E1876" s="18" t="n">
        <f aca="false">EXP(-'Black-Scholes'!$B$8*'Black-Scholes'!$B$7)*IF(LOWER('Black-Scholes'!$B$11)="put",MAX('Black-Scholes'!$B$6-C1876,0),MAX(C1876-'Black-Scholes'!$B$6,0))</f>
        <v>0</v>
      </c>
      <c r="F1876" s="18" t="n">
        <f aca="false">(E1876+G1876)/2</f>
        <v>7.71052022279576</v>
      </c>
      <c r="G1876" s="18" t="n">
        <f aca="false">EXP(-'Black-Scholes'!$B$8*'Black-Scholes'!$B$7)*IF(LOWER('Black-Scholes'!$B$11)="put",MAX('Black-Scholes'!$B$6-D1876,0),MAX(D1876-'Black-Scholes'!$B$6,0))</f>
        <v>15.4210404455915</v>
      </c>
    </row>
    <row r="1877" customFormat="false" ht="15" hidden="false" customHeight="false" outlineLevel="0" collapsed="false">
      <c r="A1877" s="0" t="n">
        <v>1866</v>
      </c>
      <c r="B1877" s="15" t="n">
        <v>-0.959994669940102</v>
      </c>
      <c r="C1877" s="18" t="n">
        <f aca="false">'Black-Scholes'!$B$5*EXP(('Black-Scholes'!$B$8-'Black-Scholes'!$B$10-'Black-Scholes'!$B$9^2/2)*'Black-Scholes'!$B$7+'Black-Scholes'!$B$9*SQRT('Black-Scholes'!$B$7)*B1877)</f>
        <v>85.0442111121228</v>
      </c>
      <c r="D1877" s="18" t="n">
        <f aca="false">'Black-Scholes'!$B$5*EXP(('Black-Scholes'!$B$8-'Black-Scholes'!$B$10-'Black-Scholes'!$B$9^2/2)*'Black-Scholes'!$B$7-'Black-Scholes'!$B$9*SQRT('Black-Scholes'!$B$7)*B1877)</f>
        <v>124.857004687295</v>
      </c>
      <c r="E1877" s="18" t="n">
        <f aca="false">EXP(-'Black-Scholes'!$B$8*'Black-Scholes'!$B$7)*IF(LOWER('Black-Scholes'!$B$11)="put",MAX('Black-Scholes'!$B$6-C1877,0),MAX(C1877-'Black-Scholes'!$B$6,0))</f>
        <v>0</v>
      </c>
      <c r="F1877" s="18" t="n">
        <f aca="false">(E1877+G1877)/2</f>
        <v>11.8223571317534</v>
      </c>
      <c r="G1877" s="18" t="n">
        <f aca="false">EXP(-'Black-Scholes'!$B$8*'Black-Scholes'!$B$7)*IF(LOWER('Black-Scholes'!$B$11)="put",MAX('Black-Scholes'!$B$6-D1877,0),MAX(D1877-'Black-Scholes'!$B$6,0))</f>
        <v>23.6447142635069</v>
      </c>
    </row>
    <row r="1878" customFormat="false" ht="15" hidden="false" customHeight="false" outlineLevel="0" collapsed="false">
      <c r="A1878" s="0" t="n">
        <v>1867</v>
      </c>
      <c r="B1878" s="15" t="n">
        <v>-0.272059478834607</v>
      </c>
      <c r="C1878" s="18" t="n">
        <f aca="false">'Black-Scholes'!$B$5*EXP(('Black-Scholes'!$B$8-'Black-Scholes'!$B$10-'Black-Scholes'!$B$9^2/2)*'Black-Scholes'!$B$7+'Black-Scholes'!$B$9*SQRT('Black-Scholes'!$B$7)*B1878)</f>
        <v>97.5883664612785</v>
      </c>
      <c r="D1878" s="18" t="n">
        <f aca="false">'Black-Scholes'!$B$5*EXP(('Black-Scholes'!$B$8-'Black-Scholes'!$B$10-'Black-Scholes'!$B$9^2/2)*'Black-Scholes'!$B$7-'Black-Scholes'!$B$9*SQRT('Black-Scholes'!$B$7)*B1878)</f>
        <v>108.807697582137</v>
      </c>
      <c r="E1878" s="18" t="n">
        <f aca="false">EXP(-'Black-Scholes'!$B$8*'Black-Scholes'!$B$7)*IF(LOWER('Black-Scholes'!$B$11)="put",MAX('Black-Scholes'!$B$6-C1878,0),MAX(C1878-'Black-Scholes'!$B$6,0))</f>
        <v>0</v>
      </c>
      <c r="F1878" s="18" t="n">
        <f aca="false">(E1878+G1878)/2</f>
        <v>4.18907055111646</v>
      </c>
      <c r="G1878" s="18" t="n">
        <f aca="false">EXP(-'Black-Scholes'!$B$8*'Black-Scholes'!$B$7)*IF(LOWER('Black-Scholes'!$B$11)="put",MAX('Black-Scholes'!$B$6-D1878,0),MAX(D1878-'Black-Scholes'!$B$6,0))</f>
        <v>8.37814110223292</v>
      </c>
    </row>
    <row r="1879" customFormat="false" ht="15" hidden="false" customHeight="false" outlineLevel="0" collapsed="false">
      <c r="A1879" s="0" t="n">
        <v>1868</v>
      </c>
      <c r="B1879" s="15" t="n">
        <v>-2.76751976048682</v>
      </c>
      <c r="C1879" s="18" t="n">
        <f aca="false">'Black-Scholes'!$B$5*EXP(('Black-Scholes'!$B$8-'Black-Scholes'!$B$10-'Black-Scholes'!$B$9^2/2)*'Black-Scholes'!$B$7+'Black-Scholes'!$B$9*SQRT('Black-Scholes'!$B$7)*B1879)</f>
        <v>59.2441021856798</v>
      </c>
      <c r="D1879" s="18" t="n">
        <f aca="false">'Black-Scholes'!$B$5*EXP(('Black-Scholes'!$B$8-'Black-Scholes'!$B$10-'Black-Scholes'!$B$9^2/2)*'Black-Scholes'!$B$7-'Black-Scholes'!$B$9*SQRT('Black-Scholes'!$B$7)*B1879)</f>
        <v>179.230760087714</v>
      </c>
      <c r="E1879" s="18" t="n">
        <f aca="false">EXP(-'Black-Scholes'!$B$8*'Black-Scholes'!$B$7)*IF(LOWER('Black-Scholes'!$B$11)="put",MAX('Black-Scholes'!$B$6-C1879,0),MAX(C1879-'Black-Scholes'!$B$6,0))</f>
        <v>0</v>
      </c>
      <c r="F1879" s="18" t="n">
        <f aca="false">(E1879+G1879)/2</f>
        <v>37.6833151604953</v>
      </c>
      <c r="G1879" s="18" t="n">
        <f aca="false">EXP(-'Black-Scholes'!$B$8*'Black-Scholes'!$B$7)*IF(LOWER('Black-Scholes'!$B$11)="put",MAX('Black-Scholes'!$B$6-D1879,0),MAX(D1879-'Black-Scholes'!$B$6,0))</f>
        <v>75.3666303209906</v>
      </c>
    </row>
    <row r="1880" customFormat="false" ht="15" hidden="false" customHeight="false" outlineLevel="0" collapsed="false">
      <c r="A1880" s="0" t="n">
        <v>1869</v>
      </c>
      <c r="B1880" s="15" t="n">
        <v>0.0520137917782774</v>
      </c>
      <c r="C1880" s="18" t="n">
        <f aca="false">'Black-Scholes'!$B$5*EXP(('Black-Scholes'!$B$8-'Black-Scholes'!$B$10-'Black-Scholes'!$B$9^2/2)*'Black-Scholes'!$B$7+'Black-Scholes'!$B$9*SQRT('Black-Scholes'!$B$7)*B1880)</f>
        <v>104.123005385688</v>
      </c>
      <c r="D1880" s="18" t="n">
        <f aca="false">'Black-Scholes'!$B$5*EXP(('Black-Scholes'!$B$8-'Black-Scholes'!$B$10-'Black-Scholes'!$B$9^2/2)*'Black-Scholes'!$B$7-'Black-Scholes'!$B$9*SQRT('Black-Scholes'!$B$7)*B1880)</f>
        <v>101.979052814712</v>
      </c>
      <c r="E1880" s="18" t="n">
        <f aca="false">EXP(-'Black-Scholes'!$B$8*'Black-Scholes'!$B$7)*IF(LOWER('Black-Scholes'!$B$11)="put",MAX('Black-Scholes'!$B$6-C1880,0),MAX(C1880-'Black-Scholes'!$B$6,0))</f>
        <v>3.92192404024105</v>
      </c>
      <c r="F1880" s="18" t="n">
        <f aca="false">(E1880+G1880)/2</f>
        <v>2.90222865511807</v>
      </c>
      <c r="G1880" s="18" t="n">
        <f aca="false">EXP(-'Black-Scholes'!$B$8*'Black-Scholes'!$B$7)*IF(LOWER('Black-Scholes'!$B$11)="put",MAX('Black-Scholes'!$B$6-D1880,0),MAX(D1880-'Black-Scholes'!$B$6,0))</f>
        <v>1.8825332699951</v>
      </c>
    </row>
    <row r="1881" customFormat="false" ht="15" hidden="false" customHeight="false" outlineLevel="0" collapsed="false">
      <c r="A1881" s="0" t="n">
        <v>1870</v>
      </c>
      <c r="B1881" s="15" t="n">
        <v>0.607996768639507</v>
      </c>
      <c r="C1881" s="18" t="n">
        <f aca="false">'Black-Scholes'!$B$5*EXP(('Black-Scholes'!$B$8-'Black-Scholes'!$B$10-'Black-Scholes'!$B$9^2/2)*'Black-Scholes'!$B$7+'Black-Scholes'!$B$9*SQRT('Black-Scholes'!$B$7)*B1881)</f>
        <v>116.369391339479</v>
      </c>
      <c r="D1881" s="18" t="n">
        <f aca="false">'Black-Scholes'!$B$5*EXP(('Black-Scholes'!$B$8-'Black-Scholes'!$B$10-'Black-Scholes'!$B$9^2/2)*'Black-Scholes'!$B$7-'Black-Scholes'!$B$9*SQRT('Black-Scholes'!$B$7)*B1881)</f>
        <v>91.2470654287185</v>
      </c>
      <c r="E1881" s="18" t="n">
        <f aca="false">EXP(-'Black-Scholes'!$B$8*'Black-Scholes'!$B$7)*IF(LOWER('Black-Scholes'!$B$11)="put",MAX('Black-Scholes'!$B$6-C1881,0),MAX(C1881-'Black-Scholes'!$B$6,0))</f>
        <v>15.5710467032797</v>
      </c>
      <c r="F1881" s="18" t="n">
        <f aca="false">(E1881+G1881)/2</f>
        <v>7.78552335163986</v>
      </c>
      <c r="G1881" s="18" t="n">
        <f aca="false">EXP(-'Black-Scholes'!$B$8*'Black-Scholes'!$B$7)*IF(LOWER('Black-Scholes'!$B$11)="put",MAX('Black-Scholes'!$B$6-D1881,0),MAX(D1881-'Black-Scholes'!$B$6,0))</f>
        <v>0</v>
      </c>
    </row>
    <row r="1882" customFormat="false" ht="15" hidden="false" customHeight="false" outlineLevel="0" collapsed="false">
      <c r="A1882" s="0" t="n">
        <v>1871</v>
      </c>
      <c r="B1882" s="15" t="n">
        <v>-1.32585316138591</v>
      </c>
      <c r="C1882" s="18" t="n">
        <f aca="false">'Black-Scholes'!$B$5*EXP(('Black-Scholes'!$B$8-'Black-Scholes'!$B$10-'Black-Scholes'!$B$9^2/2)*'Black-Scholes'!$B$7+'Black-Scholes'!$B$9*SQRT('Black-Scholes'!$B$7)*B1882)</f>
        <v>79.0435964232618</v>
      </c>
      <c r="D1882" s="18" t="n">
        <f aca="false">'Black-Scholes'!$B$5*EXP(('Black-Scholes'!$B$8-'Black-Scholes'!$B$10-'Black-Scholes'!$B$9^2/2)*'Black-Scholes'!$B$7-'Black-Scholes'!$B$9*SQRT('Black-Scholes'!$B$7)*B1882)</f>
        <v>134.335555894933</v>
      </c>
      <c r="E1882" s="18" t="n">
        <f aca="false">EXP(-'Black-Scholes'!$B$8*'Black-Scholes'!$B$7)*IF(LOWER('Black-Scholes'!$B$11)="put",MAX('Black-Scholes'!$B$6-C1882,0),MAX(C1882-'Black-Scholes'!$B$6,0))</f>
        <v>0</v>
      </c>
      <c r="F1882" s="18" t="n">
        <f aca="false">(E1882+G1882)/2</f>
        <v>16.3304955369245</v>
      </c>
      <c r="G1882" s="18" t="n">
        <f aca="false">EXP(-'Black-Scholes'!$B$8*'Black-Scholes'!$B$7)*IF(LOWER('Black-Scholes'!$B$11)="put",MAX('Black-Scholes'!$B$6-D1882,0),MAX(D1882-'Black-Scholes'!$B$6,0))</f>
        <v>32.660991073849</v>
      </c>
    </row>
    <row r="1883" customFormat="false" ht="15" hidden="false" customHeight="false" outlineLevel="0" collapsed="false">
      <c r="A1883" s="0" t="n">
        <v>1872</v>
      </c>
      <c r="B1883" s="15" t="n">
        <v>0.385719374464405</v>
      </c>
      <c r="C1883" s="18" t="n">
        <f aca="false">'Black-Scholes'!$B$5*EXP(('Black-Scholes'!$B$8-'Black-Scholes'!$B$10-'Black-Scholes'!$B$9^2/2)*'Black-Scholes'!$B$7+'Black-Scholes'!$B$9*SQRT('Black-Scholes'!$B$7)*B1883)</f>
        <v>111.309438929539</v>
      </c>
      <c r="D1883" s="18" t="n">
        <f aca="false">'Black-Scholes'!$B$5*EXP(('Black-Scholes'!$B$8-'Black-Scholes'!$B$10-'Black-Scholes'!$B$9^2/2)*'Black-Scholes'!$B$7-'Black-Scholes'!$B$9*SQRT('Black-Scholes'!$B$7)*B1883)</f>
        <v>95.3950138242568</v>
      </c>
      <c r="E1883" s="18" t="n">
        <f aca="false">EXP(-'Black-Scholes'!$B$8*'Black-Scholes'!$B$7)*IF(LOWER('Black-Scholes'!$B$11)="put",MAX('Black-Scholes'!$B$6-C1883,0),MAX(C1883-'Black-Scholes'!$B$6,0))</f>
        <v>10.757871084371</v>
      </c>
      <c r="F1883" s="18" t="n">
        <f aca="false">(E1883+G1883)/2</f>
        <v>5.37893554218549</v>
      </c>
      <c r="G1883" s="18" t="n">
        <f aca="false">EXP(-'Black-Scholes'!$B$8*'Black-Scholes'!$B$7)*IF(LOWER('Black-Scholes'!$B$11)="put",MAX('Black-Scholes'!$B$6-D1883,0),MAX(D1883-'Black-Scholes'!$B$6,0))</f>
        <v>0</v>
      </c>
    </row>
    <row r="1884" customFormat="false" ht="15" hidden="false" customHeight="false" outlineLevel="0" collapsed="false">
      <c r="A1884" s="0" t="n">
        <v>1873</v>
      </c>
      <c r="B1884" s="15" t="n">
        <v>-0.572602045251771</v>
      </c>
      <c r="C1884" s="18" t="n">
        <f aca="false">'Black-Scholes'!$B$5*EXP(('Black-Scholes'!$B$8-'Black-Scholes'!$B$10-'Black-Scholes'!$B$9^2/2)*'Black-Scholes'!$B$7+'Black-Scholes'!$B$9*SQRT('Black-Scholes'!$B$7)*B1884)</f>
        <v>91.8952900229431</v>
      </c>
      <c r="D1884" s="18" t="n">
        <f aca="false">'Black-Scholes'!$B$5*EXP(('Black-Scholes'!$B$8-'Black-Scholes'!$B$10-'Black-Scholes'!$B$9^2/2)*'Black-Scholes'!$B$7-'Black-Scholes'!$B$9*SQRT('Black-Scholes'!$B$7)*B1884)</f>
        <v>115.548527708031</v>
      </c>
      <c r="E1884" s="18" t="n">
        <f aca="false">EXP(-'Black-Scholes'!$B$8*'Black-Scholes'!$B$7)*IF(LOWER('Black-Scholes'!$B$11)="put",MAX('Black-Scholes'!$B$6-C1884,0),MAX(C1884-'Black-Scholes'!$B$6,0))</f>
        <v>0</v>
      </c>
      <c r="F1884" s="18" t="n">
        <f aca="false">(E1884+G1884)/2</f>
        <v>7.39510853177192</v>
      </c>
      <c r="G1884" s="18" t="n">
        <f aca="false">EXP(-'Black-Scholes'!$B$8*'Black-Scholes'!$B$7)*IF(LOWER('Black-Scholes'!$B$11)="put",MAX('Black-Scholes'!$B$6-D1884,0),MAX(D1884-'Black-Scholes'!$B$6,0))</f>
        <v>14.7902170635438</v>
      </c>
    </row>
    <row r="1885" customFormat="false" ht="15" hidden="false" customHeight="false" outlineLevel="0" collapsed="false">
      <c r="A1885" s="0" t="n">
        <v>1874</v>
      </c>
      <c r="B1885" s="15" t="n">
        <v>-0.0375835776255196</v>
      </c>
      <c r="C1885" s="18" t="n">
        <f aca="false">'Black-Scholes'!$B$5*EXP(('Black-Scholes'!$B$8-'Black-Scholes'!$B$10-'Black-Scholes'!$B$9^2/2)*'Black-Scholes'!$B$7+'Black-Scholes'!$B$9*SQRT('Black-Scholes'!$B$7)*B1885)</f>
        <v>102.273793841988</v>
      </c>
      <c r="D1885" s="18" t="n">
        <f aca="false">'Black-Scholes'!$B$5*EXP(('Black-Scholes'!$B$8-'Black-Scholes'!$B$10-'Black-Scholes'!$B$9^2/2)*'Black-Scholes'!$B$7-'Black-Scholes'!$B$9*SQRT('Black-Scholes'!$B$7)*B1885)</f>
        <v>103.822935148557</v>
      </c>
      <c r="E1885" s="18" t="n">
        <f aca="false">EXP(-'Black-Scholes'!$B$8*'Black-Scholes'!$B$7)*IF(LOWER('Black-Scholes'!$B$11)="put",MAX('Black-Scholes'!$B$6-C1885,0),MAX(C1885-'Black-Scholes'!$B$6,0))</f>
        <v>2.1628996077475</v>
      </c>
      <c r="F1885" s="18" t="n">
        <f aca="false">(E1885+G1885)/2</f>
        <v>2.89969400450641</v>
      </c>
      <c r="G1885" s="18" t="n">
        <f aca="false">EXP(-'Black-Scholes'!$B$8*'Black-Scholes'!$B$7)*IF(LOWER('Black-Scholes'!$B$11)="put",MAX('Black-Scholes'!$B$6-D1885,0),MAX(D1885-'Black-Scholes'!$B$6,0))</f>
        <v>3.63648840126533</v>
      </c>
    </row>
    <row r="1886" customFormat="false" ht="15" hidden="false" customHeight="false" outlineLevel="0" collapsed="false">
      <c r="A1886" s="0" t="n">
        <v>1875</v>
      </c>
      <c r="B1886" s="15" t="n">
        <v>-0.798291168672296</v>
      </c>
      <c r="C1886" s="18" t="n">
        <f aca="false">'Black-Scholes'!$B$5*EXP(('Black-Scholes'!$B$8-'Black-Scholes'!$B$10-'Black-Scholes'!$B$9^2/2)*'Black-Scholes'!$B$7+'Black-Scholes'!$B$9*SQRT('Black-Scholes'!$B$7)*B1886)</f>
        <v>87.8395585605227</v>
      </c>
      <c r="D1886" s="18" t="n">
        <f aca="false">'Black-Scholes'!$B$5*EXP(('Black-Scholes'!$B$8-'Black-Scholes'!$B$10-'Black-Scholes'!$B$9^2/2)*'Black-Scholes'!$B$7-'Black-Scholes'!$B$9*SQRT('Black-Scholes'!$B$7)*B1886)</f>
        <v>120.883638755281</v>
      </c>
      <c r="E1886" s="18" t="n">
        <f aca="false">EXP(-'Black-Scholes'!$B$8*'Black-Scholes'!$B$7)*IF(LOWER('Black-Scholes'!$B$11)="put",MAX('Black-Scholes'!$B$6-C1886,0),MAX(C1886-'Black-Scholes'!$B$6,0))</f>
        <v>0</v>
      </c>
      <c r="F1886" s="18" t="n">
        <f aca="false">(E1886+G1886)/2</f>
        <v>9.93256583733351</v>
      </c>
      <c r="G1886" s="18" t="n">
        <f aca="false">EXP(-'Black-Scholes'!$B$8*'Black-Scholes'!$B$7)*IF(LOWER('Black-Scholes'!$B$11)="put",MAX('Black-Scholes'!$B$6-D1886,0),MAX(D1886-'Black-Scholes'!$B$6,0))</f>
        <v>19.865131674667</v>
      </c>
    </row>
    <row r="1887" customFormat="false" ht="15" hidden="false" customHeight="false" outlineLevel="0" collapsed="false">
      <c r="A1887" s="0" t="n">
        <v>1876</v>
      </c>
      <c r="B1887" s="15" t="n">
        <v>-0.905438879311687</v>
      </c>
      <c r="C1887" s="18" t="n">
        <f aca="false">'Black-Scholes'!$B$5*EXP(('Black-Scholes'!$B$8-'Black-Scholes'!$B$10-'Black-Scholes'!$B$9^2/2)*'Black-Scholes'!$B$7+'Black-Scholes'!$B$9*SQRT('Black-Scholes'!$B$7)*B1887)</f>
        <v>85.9772228098272</v>
      </c>
      <c r="D1887" s="18" t="n">
        <f aca="false">'Black-Scholes'!$B$5*EXP(('Black-Scholes'!$B$8-'Black-Scholes'!$B$10-'Black-Scholes'!$B$9^2/2)*'Black-Scholes'!$B$7-'Black-Scholes'!$B$9*SQRT('Black-Scholes'!$B$7)*B1887)</f>
        <v>123.502075531566</v>
      </c>
      <c r="E1887" s="18" t="n">
        <f aca="false">EXP(-'Black-Scholes'!$B$8*'Black-Scholes'!$B$7)*IF(LOWER('Black-Scholes'!$B$11)="put",MAX('Black-Scholes'!$B$6-C1887,0),MAX(C1887-'Black-Scholes'!$B$6,0))</f>
        <v>0</v>
      </c>
      <c r="F1887" s="18" t="n">
        <f aca="false">(E1887+G1887)/2</f>
        <v>11.1779328912321</v>
      </c>
      <c r="G1887" s="18" t="n">
        <f aca="false">EXP(-'Black-Scholes'!$B$8*'Black-Scholes'!$B$7)*IF(LOWER('Black-Scholes'!$B$11)="put",MAX('Black-Scholes'!$B$6-D1887,0),MAX(D1887-'Black-Scholes'!$B$6,0))</f>
        <v>22.3558657824642</v>
      </c>
    </row>
    <row r="1888" customFormat="false" ht="15" hidden="false" customHeight="false" outlineLevel="0" collapsed="false">
      <c r="A1888" s="0" t="n">
        <v>1877</v>
      </c>
      <c r="B1888" s="15" t="n">
        <v>0.0038388349236025</v>
      </c>
      <c r="C1888" s="18" t="n">
        <f aca="false">'Black-Scholes'!$B$5*EXP(('Black-Scholes'!$B$8-'Black-Scholes'!$B$10-'Black-Scholes'!$B$9^2/2)*'Black-Scholes'!$B$7+'Black-Scholes'!$B$9*SQRT('Black-Scholes'!$B$7)*B1888)</f>
        <v>103.124598671071</v>
      </c>
      <c r="D1888" s="18" t="n">
        <f aca="false">'Black-Scholes'!$B$5*EXP(('Black-Scholes'!$B$8-'Black-Scholes'!$B$10-'Black-Scholes'!$B$9^2/2)*'Black-Scholes'!$B$7-'Black-Scholes'!$B$9*SQRT('Black-Scholes'!$B$7)*B1888)</f>
        <v>102.966368861441</v>
      </c>
      <c r="E1888" s="18" t="n">
        <f aca="false">EXP(-'Black-Scholes'!$B$8*'Black-Scholes'!$B$7)*IF(LOWER('Black-Scholes'!$B$11)="put",MAX('Black-Scholes'!$B$6-C1888,0),MAX(C1888-'Black-Scholes'!$B$6,0))</f>
        <v>2.97221019567879</v>
      </c>
      <c r="F1888" s="18" t="n">
        <f aca="false">(E1888+G1888)/2</f>
        <v>2.8969537703021</v>
      </c>
      <c r="G1888" s="18" t="n">
        <f aca="false">EXP(-'Black-Scholes'!$B$8*'Black-Scholes'!$B$7)*IF(LOWER('Black-Scholes'!$B$11)="put",MAX('Black-Scholes'!$B$6-D1888,0),MAX(D1888-'Black-Scholes'!$B$6,0))</f>
        <v>2.82169734492541</v>
      </c>
    </row>
    <row r="1889" customFormat="false" ht="15" hidden="false" customHeight="false" outlineLevel="0" collapsed="false">
      <c r="A1889" s="0" t="n">
        <v>1878</v>
      </c>
      <c r="B1889" s="15" t="n">
        <v>0.336815503742229</v>
      </c>
      <c r="C1889" s="18" t="n">
        <f aca="false">'Black-Scholes'!$B$5*EXP(('Black-Scholes'!$B$8-'Black-Scholes'!$B$10-'Black-Scholes'!$B$9^2/2)*'Black-Scholes'!$B$7+'Black-Scholes'!$B$9*SQRT('Black-Scholes'!$B$7)*B1889)</f>
        <v>110.226053259197</v>
      </c>
      <c r="D1889" s="18" t="n">
        <f aca="false">'Black-Scholes'!$B$5*EXP(('Black-Scholes'!$B$8-'Black-Scholes'!$B$10-'Black-Scholes'!$B$9^2/2)*'Black-Scholes'!$B$7-'Black-Scholes'!$B$9*SQRT('Black-Scholes'!$B$7)*B1889)</f>
        <v>96.3326287341929</v>
      </c>
      <c r="E1889" s="18" t="n">
        <f aca="false">EXP(-'Black-Scholes'!$B$8*'Black-Scholes'!$B$7)*IF(LOWER('Black-Scholes'!$B$11)="put",MAX('Black-Scholes'!$B$6-C1889,0),MAX(C1889-'Black-Scholes'!$B$6,0))</f>
        <v>9.72732275665956</v>
      </c>
      <c r="F1889" s="18" t="n">
        <f aca="false">(E1889+G1889)/2</f>
        <v>4.86366137832978</v>
      </c>
      <c r="G1889" s="18" t="n">
        <f aca="false">EXP(-'Black-Scholes'!$B$8*'Black-Scholes'!$B$7)*IF(LOWER('Black-Scholes'!$B$11)="put",MAX('Black-Scholes'!$B$6-D1889,0),MAX(D1889-'Black-Scholes'!$B$6,0))</f>
        <v>0</v>
      </c>
    </row>
    <row r="1890" customFormat="false" ht="15" hidden="false" customHeight="false" outlineLevel="0" collapsed="false">
      <c r="A1890" s="0" t="n">
        <v>1879</v>
      </c>
      <c r="B1890" s="15" t="n">
        <v>-0.173389528036934</v>
      </c>
      <c r="C1890" s="18" t="n">
        <f aca="false">'Black-Scholes'!$B$5*EXP(('Black-Scholes'!$B$8-'Black-Scholes'!$B$10-'Black-Scholes'!$B$9^2/2)*'Black-Scholes'!$B$7+'Black-Scholes'!$B$9*SQRT('Black-Scholes'!$B$7)*B1890)</f>
        <v>99.5333018752037</v>
      </c>
      <c r="D1890" s="18" t="n">
        <f aca="false">'Black-Scholes'!$B$5*EXP(('Black-Scholes'!$B$8-'Black-Scholes'!$B$10-'Black-Scholes'!$B$9^2/2)*'Black-Scholes'!$B$7-'Black-Scholes'!$B$9*SQRT('Black-Scholes'!$B$7)*B1890)</f>
        <v>106.681535379657</v>
      </c>
      <c r="E1890" s="18" t="n">
        <f aca="false">EXP(-'Black-Scholes'!$B$8*'Black-Scholes'!$B$7)*IF(LOWER('Black-Scholes'!$B$11)="put",MAX('Black-Scholes'!$B$6-C1890,0),MAX(C1890-'Black-Scholes'!$B$6,0))</f>
        <v>0</v>
      </c>
      <c r="F1890" s="18" t="n">
        <f aca="false">(E1890+G1890)/2</f>
        <v>3.17783652698603</v>
      </c>
      <c r="G1890" s="18" t="n">
        <f aca="false">EXP(-'Black-Scholes'!$B$8*'Black-Scholes'!$B$7)*IF(LOWER('Black-Scholes'!$B$11)="put",MAX('Black-Scholes'!$B$6-D1890,0),MAX(D1890-'Black-Scholes'!$B$6,0))</f>
        <v>6.35567305397206</v>
      </c>
    </row>
    <row r="1891" customFormat="false" ht="15" hidden="false" customHeight="false" outlineLevel="0" collapsed="false">
      <c r="A1891" s="0" t="n">
        <v>1880</v>
      </c>
      <c r="B1891" s="15" t="n">
        <v>-1.29291512440255</v>
      </c>
      <c r="C1891" s="18" t="n">
        <f aca="false">'Black-Scholes'!$B$5*EXP(('Black-Scholes'!$B$8-'Black-Scholes'!$B$10-'Black-Scholes'!$B$9^2/2)*'Black-Scholes'!$B$7+'Black-Scholes'!$B$9*SQRT('Black-Scholes'!$B$7)*B1891)</f>
        <v>79.5660234866187</v>
      </c>
      <c r="D1891" s="18" t="n">
        <f aca="false">'Black-Scholes'!$B$5*EXP(('Black-Scholes'!$B$8-'Black-Scholes'!$B$10-'Black-Scholes'!$B$9^2/2)*'Black-Scholes'!$B$7-'Black-Scholes'!$B$9*SQRT('Black-Scholes'!$B$7)*B1891)</f>
        <v>133.453514454438</v>
      </c>
      <c r="E1891" s="18" t="n">
        <f aca="false">EXP(-'Black-Scholes'!$B$8*'Black-Scholes'!$B$7)*IF(LOWER('Black-Scholes'!$B$11)="put",MAX('Black-Scholes'!$B$6-C1891,0),MAX(C1891-'Black-Scholes'!$B$6,0))</f>
        <v>0</v>
      </c>
      <c r="F1891" s="18" t="n">
        <f aca="false">(E1891+G1891)/2</f>
        <v>15.9109836510105</v>
      </c>
      <c r="G1891" s="18" t="n">
        <f aca="false">EXP(-'Black-Scholes'!$B$8*'Black-Scholes'!$B$7)*IF(LOWER('Black-Scholes'!$B$11)="put",MAX('Black-Scholes'!$B$6-D1891,0),MAX(D1891-'Black-Scholes'!$B$6,0))</f>
        <v>31.821967302021</v>
      </c>
    </row>
    <row r="1892" customFormat="false" ht="15" hidden="false" customHeight="false" outlineLevel="0" collapsed="false">
      <c r="A1892" s="0" t="n">
        <v>1881</v>
      </c>
      <c r="B1892" s="15" t="n">
        <v>0.0829736269287383</v>
      </c>
      <c r="C1892" s="18" t="n">
        <f aca="false">'Black-Scholes'!$B$5*EXP(('Black-Scholes'!$B$8-'Black-Scholes'!$B$10-'Black-Scholes'!$B$9^2/2)*'Black-Scholes'!$B$7+'Black-Scholes'!$B$9*SQRT('Black-Scholes'!$B$7)*B1892)</f>
        <v>104.769731790083</v>
      </c>
      <c r="D1892" s="18" t="n">
        <f aca="false">'Black-Scholes'!$B$5*EXP(('Black-Scholes'!$B$8-'Black-Scholes'!$B$10-'Black-Scholes'!$B$9^2/2)*'Black-Scholes'!$B$7-'Black-Scholes'!$B$9*SQRT('Black-Scholes'!$B$7)*B1892)</f>
        <v>101.349552814821</v>
      </c>
      <c r="E1892" s="18" t="n">
        <f aca="false">EXP(-'Black-Scholes'!$B$8*'Black-Scholes'!$B$7)*IF(LOWER('Black-Scholes'!$B$11)="put",MAX('Black-Scholes'!$B$6-C1892,0),MAX(C1892-'Black-Scholes'!$B$6,0))</f>
        <v>4.53710922570305</v>
      </c>
      <c r="F1892" s="18" t="n">
        <f aca="false">(E1892+G1892)/2</f>
        <v>2.91042178653922</v>
      </c>
      <c r="G1892" s="18" t="n">
        <f aca="false">EXP(-'Black-Scholes'!$B$8*'Black-Scholes'!$B$7)*IF(LOWER('Black-Scholes'!$B$11)="put",MAX('Black-Scholes'!$B$6-D1892,0),MAX(D1892-'Black-Scholes'!$B$6,0))</f>
        <v>1.28373434737539</v>
      </c>
    </row>
    <row r="1893" customFormat="false" ht="15" hidden="false" customHeight="false" outlineLevel="0" collapsed="false">
      <c r="A1893" s="0" t="n">
        <v>1882</v>
      </c>
      <c r="B1893" s="15" t="n">
        <v>0.0643596979812944</v>
      </c>
      <c r="C1893" s="18" t="n">
        <f aca="false">'Black-Scholes'!$B$5*EXP(('Black-Scholes'!$B$8-'Black-Scholes'!$B$10-'Black-Scholes'!$B$9^2/2)*'Black-Scholes'!$B$7+'Black-Scholes'!$B$9*SQRT('Black-Scholes'!$B$7)*B1893)</f>
        <v>104.380421630196</v>
      </c>
      <c r="D1893" s="18" t="n">
        <f aca="false">'Black-Scholes'!$B$5*EXP(('Black-Scholes'!$B$8-'Black-Scholes'!$B$10-'Black-Scholes'!$B$9^2/2)*'Black-Scholes'!$B$7-'Black-Scholes'!$B$9*SQRT('Black-Scholes'!$B$7)*B1893)</f>
        <v>101.727558670656</v>
      </c>
      <c r="E1893" s="18" t="n">
        <f aca="false">EXP(-'Black-Scholes'!$B$8*'Black-Scholes'!$B$7)*IF(LOWER('Black-Scholes'!$B$11)="put",MAX('Black-Scholes'!$B$6-C1893,0),MAX(C1893-'Black-Scholes'!$B$6,0))</f>
        <v>4.16678594636225</v>
      </c>
      <c r="F1893" s="18" t="n">
        <f aca="false">(E1893+G1893)/2</f>
        <v>2.90504529322068</v>
      </c>
      <c r="G1893" s="18" t="n">
        <f aca="false">EXP(-'Black-Scholes'!$B$8*'Black-Scholes'!$B$7)*IF(LOWER('Black-Scholes'!$B$11)="put",MAX('Black-Scholes'!$B$6-D1893,0),MAX(D1893-'Black-Scholes'!$B$6,0))</f>
        <v>1.6433046400791</v>
      </c>
    </row>
    <row r="1894" customFormat="false" ht="15" hidden="false" customHeight="false" outlineLevel="0" collapsed="false">
      <c r="A1894" s="0" t="n">
        <v>1883</v>
      </c>
      <c r="B1894" s="15" t="n">
        <v>1.28528444434124</v>
      </c>
      <c r="C1894" s="18" t="n">
        <f aca="false">'Black-Scholes'!$B$5*EXP(('Black-Scholes'!$B$8-'Black-Scholes'!$B$10-'Black-Scholes'!$B$9^2/2)*'Black-Scholes'!$B$7+'Black-Scholes'!$B$9*SQRT('Black-Scholes'!$B$7)*B1894)</f>
        <v>133.250001573734</v>
      </c>
      <c r="D1894" s="18" t="n">
        <f aca="false">'Black-Scholes'!$B$5*EXP(('Black-Scholes'!$B$8-'Black-Scholes'!$B$10-'Black-Scholes'!$B$9^2/2)*'Black-Scholes'!$B$7-'Black-Scholes'!$B$9*SQRT('Black-Scholes'!$B$7)*B1894)</f>
        <v>79.6875447658282</v>
      </c>
      <c r="E1894" s="18" t="n">
        <f aca="false">EXP(-'Black-Scholes'!$B$8*'Black-Scholes'!$B$7)*IF(LOWER('Black-Scholes'!$B$11)="put",MAX('Black-Scholes'!$B$6-C1894,0),MAX(C1894-'Black-Scholes'!$B$6,0))</f>
        <v>31.6283798616308</v>
      </c>
      <c r="F1894" s="18" t="n">
        <f aca="false">(E1894+G1894)/2</f>
        <v>15.8141899308154</v>
      </c>
      <c r="G1894" s="18" t="n">
        <f aca="false">EXP(-'Black-Scholes'!$B$8*'Black-Scholes'!$B$7)*IF(LOWER('Black-Scholes'!$B$11)="put",MAX('Black-Scholes'!$B$6-D1894,0),MAX(D1894-'Black-Scholes'!$B$6,0))</f>
        <v>0</v>
      </c>
    </row>
    <row r="1895" customFormat="false" ht="15" hidden="false" customHeight="false" outlineLevel="0" collapsed="false">
      <c r="A1895" s="0" t="n">
        <v>1884</v>
      </c>
      <c r="B1895" s="15" t="n">
        <v>0.338653101050743</v>
      </c>
      <c r="C1895" s="18" t="n">
        <f aca="false">'Black-Scholes'!$B$5*EXP(('Black-Scholes'!$B$8-'Black-Scholes'!$B$10-'Black-Scholes'!$B$9^2/2)*'Black-Scholes'!$B$7+'Black-Scholes'!$B$9*SQRT('Black-Scholes'!$B$7)*B1895)</f>
        <v>110.266570924016</v>
      </c>
      <c r="D1895" s="18" t="n">
        <f aca="false">'Black-Scholes'!$B$5*EXP(('Black-Scholes'!$B$8-'Black-Scholes'!$B$10-'Black-Scholes'!$B$9^2/2)*'Black-Scholes'!$B$7-'Black-Scholes'!$B$9*SQRT('Black-Scholes'!$B$7)*B1895)</f>
        <v>96.29723112339</v>
      </c>
      <c r="E1895" s="18" t="n">
        <f aca="false">EXP(-'Black-Scholes'!$B$8*'Black-Scholes'!$B$7)*IF(LOWER('Black-Scholes'!$B$11)="put",MAX('Black-Scholes'!$B$6-C1895,0),MAX(C1895-'Black-Scholes'!$B$6,0))</f>
        <v>9.76586435164705</v>
      </c>
      <c r="F1895" s="18" t="n">
        <f aca="false">(E1895+G1895)/2</f>
        <v>4.88293217582353</v>
      </c>
      <c r="G1895" s="18" t="n">
        <f aca="false">EXP(-'Black-Scholes'!$B$8*'Black-Scholes'!$B$7)*IF(LOWER('Black-Scholes'!$B$11)="put",MAX('Black-Scholes'!$B$6-D1895,0),MAX(D1895-'Black-Scholes'!$B$6,0))</f>
        <v>0</v>
      </c>
    </row>
    <row r="1896" customFormat="false" ht="15" hidden="false" customHeight="false" outlineLevel="0" collapsed="false">
      <c r="A1896" s="0" t="n">
        <v>1885</v>
      </c>
      <c r="B1896" s="15" t="n">
        <v>0.423953122150674</v>
      </c>
      <c r="C1896" s="18" t="n">
        <f aca="false">'Black-Scholes'!$B$5*EXP(('Black-Scholes'!$B$8-'Black-Scholes'!$B$10-'Black-Scholes'!$B$9^2/2)*'Black-Scholes'!$B$7+'Black-Scholes'!$B$9*SQRT('Black-Scholes'!$B$7)*B1896)</f>
        <v>112.163856927033</v>
      </c>
      <c r="D1896" s="18" t="n">
        <f aca="false">'Black-Scholes'!$B$5*EXP(('Black-Scholes'!$B$8-'Black-Scholes'!$B$10-'Black-Scholes'!$B$9^2/2)*'Black-Scholes'!$B$7-'Black-Scholes'!$B$9*SQRT('Black-Scholes'!$B$7)*B1896)</f>
        <v>94.6683339568223</v>
      </c>
      <c r="E1896" s="18" t="n">
        <f aca="false">EXP(-'Black-Scholes'!$B$8*'Black-Scholes'!$B$7)*IF(LOWER('Black-Scholes'!$B$11)="put",MAX('Black-Scholes'!$B$6-C1896,0),MAX(C1896-'Black-Scholes'!$B$6,0))</f>
        <v>11.5706186244107</v>
      </c>
      <c r="F1896" s="18" t="n">
        <f aca="false">(E1896+G1896)/2</f>
        <v>5.78530931220533</v>
      </c>
      <c r="G1896" s="18" t="n">
        <f aca="false">EXP(-'Black-Scholes'!$B$8*'Black-Scholes'!$B$7)*IF(LOWER('Black-Scholes'!$B$11)="put",MAX('Black-Scholes'!$B$6-D1896,0),MAX(D1896-'Black-Scholes'!$B$6,0))</f>
        <v>0</v>
      </c>
    </row>
    <row r="1897" customFormat="false" ht="15" hidden="false" customHeight="false" outlineLevel="0" collapsed="false">
      <c r="A1897" s="0" t="n">
        <v>1886</v>
      </c>
      <c r="B1897" s="15" t="n">
        <v>1.36584435581971</v>
      </c>
      <c r="C1897" s="18" t="n">
        <f aca="false">'Black-Scholes'!$B$5*EXP(('Black-Scholes'!$B$8-'Black-Scholes'!$B$10-'Black-Scholes'!$B$9^2/2)*'Black-Scholes'!$B$7+'Black-Scholes'!$B$9*SQRT('Black-Scholes'!$B$7)*B1897)</f>
        <v>135.414312085997</v>
      </c>
      <c r="D1897" s="18" t="n">
        <f aca="false">'Black-Scholes'!$B$5*EXP(('Black-Scholes'!$B$8-'Black-Scholes'!$B$10-'Black-Scholes'!$B$9^2/2)*'Black-Scholes'!$B$7-'Black-Scholes'!$B$9*SQRT('Black-Scholes'!$B$7)*B1897)</f>
        <v>78.413908411027</v>
      </c>
      <c r="E1897" s="18" t="n">
        <f aca="false">EXP(-'Black-Scholes'!$B$8*'Black-Scholes'!$B$7)*IF(LOWER('Black-Scholes'!$B$11)="put",MAX('Black-Scholes'!$B$6-C1897,0),MAX(C1897-'Black-Scholes'!$B$6,0))</f>
        <v>33.6871357046517</v>
      </c>
      <c r="F1897" s="18" t="n">
        <f aca="false">(E1897+G1897)/2</f>
        <v>16.8435678523258</v>
      </c>
      <c r="G1897" s="18" t="n">
        <f aca="false">EXP(-'Black-Scholes'!$B$8*'Black-Scholes'!$B$7)*IF(LOWER('Black-Scholes'!$B$11)="put",MAX('Black-Scholes'!$B$6-D1897,0),MAX(D1897-'Black-Scholes'!$B$6,0))</f>
        <v>0</v>
      </c>
    </row>
    <row r="1898" customFormat="false" ht="15" hidden="false" customHeight="false" outlineLevel="0" collapsed="false">
      <c r="A1898" s="0" t="n">
        <v>1887</v>
      </c>
      <c r="B1898" s="15" t="n">
        <v>-0.562558022707533</v>
      </c>
      <c r="C1898" s="18" t="n">
        <f aca="false">'Black-Scholes'!$B$5*EXP(('Black-Scholes'!$B$8-'Black-Scholes'!$B$10-'Black-Scholes'!$B$9^2/2)*'Black-Scholes'!$B$7+'Black-Scholes'!$B$9*SQRT('Black-Scholes'!$B$7)*B1898)</f>
        <v>92.0800752324255</v>
      </c>
      <c r="D1898" s="18" t="n">
        <f aca="false">'Black-Scholes'!$B$5*EXP(('Black-Scholes'!$B$8-'Black-Scholes'!$B$10-'Black-Scholes'!$B$9^2/2)*'Black-Scholes'!$B$7-'Black-Scholes'!$B$9*SQRT('Black-Scholes'!$B$7)*B1898)</f>
        <v>115.316646284781</v>
      </c>
      <c r="E1898" s="18" t="n">
        <f aca="false">EXP(-'Black-Scholes'!$B$8*'Black-Scholes'!$B$7)*IF(LOWER('Black-Scholes'!$B$11)="put",MAX('Black-Scholes'!$B$6-C1898,0),MAX(C1898-'Black-Scholes'!$B$6,0))</f>
        <v>0</v>
      </c>
      <c r="F1898" s="18" t="n">
        <f aca="false">(E1898+G1898)/2</f>
        <v>7.28482231537643</v>
      </c>
      <c r="G1898" s="18" t="n">
        <f aca="false">EXP(-'Black-Scholes'!$B$8*'Black-Scholes'!$B$7)*IF(LOWER('Black-Scholes'!$B$11)="put",MAX('Black-Scholes'!$B$6-D1898,0),MAX(D1898-'Black-Scholes'!$B$6,0))</f>
        <v>14.5696446307529</v>
      </c>
    </row>
    <row r="1899" customFormat="false" ht="15" hidden="false" customHeight="false" outlineLevel="0" collapsed="false">
      <c r="A1899" s="0" t="n">
        <v>1888</v>
      </c>
      <c r="B1899" s="15" t="n">
        <v>-1.46136014253027</v>
      </c>
      <c r="C1899" s="18" t="n">
        <f aca="false">'Black-Scholes'!$B$5*EXP(('Black-Scholes'!$B$8-'Black-Scholes'!$B$10-'Black-Scholes'!$B$9^2/2)*'Black-Scholes'!$B$7+'Black-Scholes'!$B$9*SQRT('Black-Scholes'!$B$7)*B1899)</f>
        <v>76.9301723242542</v>
      </c>
      <c r="D1899" s="18" t="n">
        <f aca="false">'Black-Scholes'!$B$5*EXP(('Black-Scholes'!$B$8-'Black-Scholes'!$B$10-'Black-Scholes'!$B$9^2/2)*'Black-Scholes'!$B$7-'Black-Scholes'!$B$9*SQRT('Black-Scholes'!$B$7)*B1899)</f>
        <v>138.02601950114</v>
      </c>
      <c r="E1899" s="18" t="n">
        <f aca="false">EXP(-'Black-Scholes'!$B$8*'Black-Scholes'!$B$7)*IF(LOWER('Black-Scholes'!$B$11)="put",MAX('Black-Scholes'!$B$6-C1899,0),MAX(C1899-'Black-Scholes'!$B$6,0))</f>
        <v>0</v>
      </c>
      <c r="F1899" s="18" t="n">
        <f aca="false">(E1899+G1899)/2</f>
        <v>18.0857343230613</v>
      </c>
      <c r="G1899" s="18" t="n">
        <f aca="false">EXP(-'Black-Scholes'!$B$8*'Black-Scholes'!$B$7)*IF(LOWER('Black-Scholes'!$B$11)="put",MAX('Black-Scholes'!$B$6-D1899,0),MAX(D1899-'Black-Scholes'!$B$6,0))</f>
        <v>36.1714686461227</v>
      </c>
    </row>
    <row r="1900" customFormat="false" ht="15" hidden="false" customHeight="false" outlineLevel="0" collapsed="false">
      <c r="A1900" s="0" t="n">
        <v>1889</v>
      </c>
      <c r="B1900" s="15" t="n">
        <v>0.674855833157522</v>
      </c>
      <c r="C1900" s="18" t="n">
        <f aca="false">'Black-Scholes'!$B$5*EXP(('Black-Scholes'!$B$8-'Black-Scholes'!$B$10-'Black-Scholes'!$B$9^2/2)*'Black-Scholes'!$B$7+'Black-Scholes'!$B$9*SQRT('Black-Scholes'!$B$7)*B1900)</f>
        <v>117.935911332524</v>
      </c>
      <c r="D1900" s="18" t="n">
        <f aca="false">'Black-Scholes'!$B$5*EXP(('Black-Scholes'!$B$8-'Black-Scholes'!$B$10-'Black-Scholes'!$B$9^2/2)*'Black-Scholes'!$B$7-'Black-Scholes'!$B$9*SQRT('Black-Scholes'!$B$7)*B1900)</f>
        <v>90.0350482349243</v>
      </c>
      <c r="E1900" s="18" t="n">
        <f aca="false">EXP(-'Black-Scholes'!$B$8*'Black-Scholes'!$B$7)*IF(LOWER('Black-Scholes'!$B$11)="put",MAX('Black-Scholes'!$B$6-C1900,0),MAX(C1900-'Black-Scholes'!$B$6,0))</f>
        <v>17.0611666147331</v>
      </c>
      <c r="F1900" s="18" t="n">
        <f aca="false">(E1900+G1900)/2</f>
        <v>8.53058330736655</v>
      </c>
      <c r="G1900" s="18" t="n">
        <f aca="false">EXP(-'Black-Scholes'!$B$8*'Black-Scholes'!$B$7)*IF(LOWER('Black-Scholes'!$B$11)="put",MAX('Black-Scholes'!$B$6-D1900,0),MAX(D1900-'Black-Scholes'!$B$6,0))</f>
        <v>0</v>
      </c>
    </row>
    <row r="1901" customFormat="false" ht="15" hidden="false" customHeight="false" outlineLevel="0" collapsed="false">
      <c r="A1901" s="0" t="n">
        <v>1890</v>
      </c>
      <c r="B1901" s="15" t="n">
        <v>0.229508796017961</v>
      </c>
      <c r="C1901" s="18" t="n">
        <f aca="false">'Black-Scholes'!$B$5*EXP(('Black-Scholes'!$B$8-'Black-Scholes'!$B$10-'Black-Scholes'!$B$9^2/2)*'Black-Scholes'!$B$7+'Black-Scholes'!$B$9*SQRT('Black-Scholes'!$B$7)*B1901)</f>
        <v>107.885658122121</v>
      </c>
      <c r="D1901" s="18" t="n">
        <f aca="false">'Black-Scholes'!$B$5*EXP(('Black-Scholes'!$B$8-'Black-Scholes'!$B$10-'Black-Scholes'!$B$9^2/2)*'Black-Scholes'!$B$7-'Black-Scholes'!$B$9*SQRT('Black-Scholes'!$B$7)*B1901)</f>
        <v>98.4224006256161</v>
      </c>
      <c r="E1901" s="18" t="n">
        <f aca="false">EXP(-'Black-Scholes'!$B$8*'Black-Scholes'!$B$7)*IF(LOWER('Black-Scholes'!$B$11)="put",MAX('Black-Scholes'!$B$6-C1901,0),MAX(C1901-'Black-Scholes'!$B$6,0))</f>
        <v>7.50107003731407</v>
      </c>
      <c r="F1901" s="18" t="n">
        <f aca="false">(E1901+G1901)/2</f>
        <v>3.75053501865703</v>
      </c>
      <c r="G1901" s="18" t="n">
        <f aca="false">EXP(-'Black-Scholes'!$B$8*'Black-Scholes'!$B$7)*IF(LOWER('Black-Scholes'!$B$11)="put",MAX('Black-Scholes'!$B$6-D1901,0),MAX(D1901-'Black-Scholes'!$B$6,0))</f>
        <v>0</v>
      </c>
    </row>
    <row r="1902" customFormat="false" ht="15" hidden="false" customHeight="false" outlineLevel="0" collapsed="false">
      <c r="A1902" s="0" t="n">
        <v>1891</v>
      </c>
      <c r="B1902" s="15" t="n">
        <v>-0.488883613232261</v>
      </c>
      <c r="C1902" s="18" t="n">
        <f aca="false">'Black-Scholes'!$B$5*EXP(('Black-Scholes'!$B$8-'Black-Scholes'!$B$10-'Black-Scholes'!$B$9^2/2)*'Black-Scholes'!$B$7+'Black-Scholes'!$B$9*SQRT('Black-Scholes'!$B$7)*B1902)</f>
        <v>93.4469096072751</v>
      </c>
      <c r="D1902" s="18" t="n">
        <f aca="false">'Black-Scholes'!$B$5*EXP(('Black-Scholes'!$B$8-'Black-Scholes'!$B$10-'Black-Scholes'!$B$9^2/2)*'Black-Scholes'!$B$7-'Black-Scholes'!$B$9*SQRT('Black-Scholes'!$B$7)*B1902)</f>
        <v>113.62992644785</v>
      </c>
      <c r="E1902" s="18" t="n">
        <f aca="false">EXP(-'Black-Scholes'!$B$8*'Black-Scholes'!$B$7)*IF(LOWER('Black-Scholes'!$B$11)="put",MAX('Black-Scholes'!$B$6-C1902,0),MAX(C1902-'Black-Scholes'!$B$6,0))</f>
        <v>0</v>
      </c>
      <c r="F1902" s="18" t="n">
        <f aca="false">(E1902+G1902)/2</f>
        <v>6.48259354548792</v>
      </c>
      <c r="G1902" s="18" t="n">
        <f aca="false">EXP(-'Black-Scholes'!$B$8*'Black-Scholes'!$B$7)*IF(LOWER('Black-Scholes'!$B$11)="put",MAX('Black-Scholes'!$B$6-D1902,0),MAX(D1902-'Black-Scholes'!$B$6,0))</f>
        <v>12.9651870909758</v>
      </c>
    </row>
    <row r="1903" customFormat="false" ht="15" hidden="false" customHeight="false" outlineLevel="0" collapsed="false">
      <c r="A1903" s="0" t="n">
        <v>1892</v>
      </c>
      <c r="B1903" s="15" t="n">
        <v>0.292025664038236</v>
      </c>
      <c r="C1903" s="18" t="n">
        <f aca="false">'Black-Scholes'!$B$5*EXP(('Black-Scholes'!$B$8-'Black-Scholes'!$B$10-'Black-Scholes'!$B$9^2/2)*'Black-Scholes'!$B$7+'Black-Scholes'!$B$9*SQRT('Black-Scholes'!$B$7)*B1903)</f>
        <v>109.243061186952</v>
      </c>
      <c r="D1903" s="18" t="n">
        <f aca="false">'Black-Scholes'!$B$5*EXP(('Black-Scholes'!$B$8-'Black-Scholes'!$B$10-'Black-Scholes'!$B$9^2/2)*'Black-Scholes'!$B$7-'Black-Scholes'!$B$9*SQRT('Black-Scholes'!$B$7)*B1903)</f>
        <v>97.1994500161617</v>
      </c>
      <c r="E1903" s="18" t="n">
        <f aca="false">EXP(-'Black-Scholes'!$B$8*'Black-Scholes'!$B$7)*IF(LOWER('Black-Scholes'!$B$11)="put",MAX('Black-Scholes'!$B$6-C1903,0),MAX(C1903-'Black-Scholes'!$B$6,0))</f>
        <v>8.79227177348884</v>
      </c>
      <c r="F1903" s="18" t="n">
        <f aca="false">(E1903+G1903)/2</f>
        <v>4.39613588674442</v>
      </c>
      <c r="G1903" s="18" t="n">
        <f aca="false">EXP(-'Black-Scholes'!$B$8*'Black-Scholes'!$B$7)*IF(LOWER('Black-Scholes'!$B$11)="put",MAX('Black-Scholes'!$B$6-D1903,0),MAX(D1903-'Black-Scholes'!$B$6,0))</f>
        <v>0</v>
      </c>
    </row>
    <row r="1904" customFormat="false" ht="15" hidden="false" customHeight="false" outlineLevel="0" collapsed="false">
      <c r="A1904" s="0" t="n">
        <v>1893</v>
      </c>
      <c r="B1904" s="15" t="n">
        <v>-0.320722501724506</v>
      </c>
      <c r="C1904" s="18" t="n">
        <f aca="false">'Black-Scholes'!$B$5*EXP(('Black-Scholes'!$B$8-'Black-Scholes'!$B$10-'Black-Scholes'!$B$9^2/2)*'Black-Scholes'!$B$7+'Black-Scholes'!$B$9*SQRT('Black-Scholes'!$B$7)*B1904)</f>
        <v>96.6431844812404</v>
      </c>
      <c r="D1904" s="18" t="n">
        <f aca="false">'Black-Scholes'!$B$5*EXP(('Black-Scholes'!$B$8-'Black-Scholes'!$B$10-'Black-Scholes'!$B$9^2/2)*'Black-Scholes'!$B$7-'Black-Scholes'!$B$9*SQRT('Black-Scholes'!$B$7)*B1904)</f>
        <v>109.871849964906</v>
      </c>
      <c r="E1904" s="18" t="n">
        <f aca="false">EXP(-'Black-Scholes'!$B$8*'Black-Scholes'!$B$7)*IF(LOWER('Black-Scholes'!$B$11)="put",MAX('Black-Scholes'!$B$6-C1904,0),MAX(C1904-'Black-Scholes'!$B$6,0))</f>
        <v>0</v>
      </c>
      <c r="F1904" s="18" t="n">
        <f aca="false">(E1904+G1904)/2</f>
        <v>4.69519708043753</v>
      </c>
      <c r="G1904" s="18" t="n">
        <f aca="false">EXP(-'Black-Scholes'!$B$8*'Black-Scholes'!$B$7)*IF(LOWER('Black-Scholes'!$B$11)="put",MAX('Black-Scholes'!$B$6-D1904,0),MAX(D1904-'Black-Scholes'!$B$6,0))</f>
        <v>9.39039416087507</v>
      </c>
    </row>
    <row r="1905" customFormat="false" ht="15" hidden="false" customHeight="false" outlineLevel="0" collapsed="false">
      <c r="A1905" s="0" t="n">
        <v>1894</v>
      </c>
      <c r="B1905" s="15" t="n">
        <v>-0.199172627395608</v>
      </c>
      <c r="C1905" s="18" t="n">
        <f aca="false">'Black-Scholes'!$B$5*EXP(('Black-Scholes'!$B$8-'Black-Scholes'!$B$10-'Black-Scholes'!$B$9^2/2)*'Black-Scholes'!$B$7+'Black-Scholes'!$B$9*SQRT('Black-Scholes'!$B$7)*B1905)</f>
        <v>99.0213675326483</v>
      </c>
      <c r="D1905" s="18" t="n">
        <f aca="false">'Black-Scholes'!$B$5*EXP(('Black-Scholes'!$B$8-'Black-Scholes'!$B$10-'Black-Scholes'!$B$9^2/2)*'Black-Scholes'!$B$7-'Black-Scholes'!$B$9*SQRT('Black-Scholes'!$B$7)*B1905)</f>
        <v>107.233072315959</v>
      </c>
      <c r="E1905" s="18" t="n">
        <f aca="false">EXP(-'Black-Scholes'!$B$8*'Black-Scholes'!$B$7)*IF(LOWER('Black-Scholes'!$B$11)="put",MAX('Black-Scholes'!$B$6-C1905,0),MAX(C1905-'Black-Scholes'!$B$6,0))</f>
        <v>0</v>
      </c>
      <c r="F1905" s="18" t="n">
        <f aca="false">(E1905+G1905)/2</f>
        <v>3.4401556082407</v>
      </c>
      <c r="G1905" s="18" t="n">
        <f aca="false">EXP(-'Black-Scholes'!$B$8*'Black-Scholes'!$B$7)*IF(LOWER('Black-Scholes'!$B$11)="put",MAX('Black-Scholes'!$B$6-D1905,0),MAX(D1905-'Black-Scholes'!$B$6,0))</f>
        <v>6.88031121648141</v>
      </c>
    </row>
    <row r="1906" customFormat="false" ht="15" hidden="false" customHeight="false" outlineLevel="0" collapsed="false">
      <c r="A1906" s="0" t="n">
        <v>1895</v>
      </c>
      <c r="B1906" s="15" t="n">
        <v>-0.569577522274906</v>
      </c>
      <c r="C1906" s="18" t="n">
        <f aca="false">'Black-Scholes'!$B$5*EXP(('Black-Scholes'!$B$8-'Black-Scholes'!$B$10-'Black-Scholes'!$B$9^2/2)*'Black-Scholes'!$B$7+'Black-Scholes'!$B$9*SQRT('Black-Scholes'!$B$7)*B1906)</f>
        <v>91.9508947222447</v>
      </c>
      <c r="D1906" s="18" t="n">
        <f aca="false">'Black-Scholes'!$B$5*EXP(('Black-Scholes'!$B$8-'Black-Scholes'!$B$10-'Black-Scholes'!$B$9^2/2)*'Black-Scholes'!$B$7-'Black-Scholes'!$B$9*SQRT('Black-Scholes'!$B$7)*B1906)</f>
        <v>115.478653008526</v>
      </c>
      <c r="E1906" s="18" t="n">
        <f aca="false">EXP(-'Black-Scholes'!$B$8*'Black-Scholes'!$B$7)*IF(LOWER('Black-Scholes'!$B$11)="put",MAX('Black-Scholes'!$B$6-C1906,0),MAX(C1906-'Black-Scholes'!$B$6,0))</f>
        <v>0</v>
      </c>
      <c r="F1906" s="18" t="n">
        <f aca="false">(E1906+G1906)/2</f>
        <v>7.36187509667321</v>
      </c>
      <c r="G1906" s="18" t="n">
        <f aca="false">EXP(-'Black-Scholes'!$B$8*'Black-Scholes'!$B$7)*IF(LOWER('Black-Scholes'!$B$11)="put",MAX('Black-Scholes'!$B$6-D1906,0),MAX(D1906-'Black-Scholes'!$B$6,0))</f>
        <v>14.7237501933464</v>
      </c>
    </row>
    <row r="1907" customFormat="false" ht="15" hidden="false" customHeight="false" outlineLevel="0" collapsed="false">
      <c r="A1907" s="0" t="n">
        <v>1896</v>
      </c>
      <c r="B1907" s="15" t="n">
        <v>-0.131520282508494</v>
      </c>
      <c r="C1907" s="18" t="n">
        <f aca="false">'Black-Scholes'!$B$5*EXP(('Black-Scholes'!$B$8-'Black-Scholes'!$B$10-'Black-Scholes'!$B$9^2/2)*'Black-Scholes'!$B$7+'Black-Scholes'!$B$9*SQRT('Black-Scholes'!$B$7)*B1907)</f>
        <v>100.370278191968</v>
      </c>
      <c r="D1907" s="18" t="n">
        <f aca="false">'Black-Scholes'!$B$5*EXP(('Black-Scholes'!$B$8-'Black-Scholes'!$B$10-'Black-Scholes'!$B$9^2/2)*'Black-Scholes'!$B$7-'Black-Scholes'!$B$9*SQRT('Black-Scholes'!$B$7)*B1907)</f>
        <v>105.791930208113</v>
      </c>
      <c r="E1907" s="18" t="n">
        <f aca="false">EXP(-'Black-Scholes'!$B$8*'Black-Scholes'!$B$7)*IF(LOWER('Black-Scholes'!$B$11)="put",MAX('Black-Scholes'!$B$6-C1907,0),MAX(C1907-'Black-Scholes'!$B$6,0))</f>
        <v>0.352219511451208</v>
      </c>
      <c r="F1907" s="18" t="n">
        <f aca="false">(E1907+G1907)/2</f>
        <v>2.93083697503139</v>
      </c>
      <c r="G1907" s="18" t="n">
        <f aca="false">EXP(-'Black-Scholes'!$B$8*'Black-Scholes'!$B$7)*IF(LOWER('Black-Scholes'!$B$11)="put",MAX('Black-Scholes'!$B$6-D1907,0),MAX(D1907-'Black-Scholes'!$B$6,0))</f>
        <v>5.50945443861158</v>
      </c>
    </row>
    <row r="1908" customFormat="false" ht="15" hidden="false" customHeight="false" outlineLevel="0" collapsed="false">
      <c r="A1908" s="0" t="n">
        <v>1897</v>
      </c>
      <c r="B1908" s="15" t="n">
        <v>1.08560989275793</v>
      </c>
      <c r="C1908" s="18" t="n">
        <f aca="false">'Black-Scholes'!$B$5*EXP(('Black-Scholes'!$B$8-'Black-Scholes'!$B$10-'Black-Scholes'!$B$9^2/2)*'Black-Scholes'!$B$7+'Black-Scholes'!$B$9*SQRT('Black-Scholes'!$B$7)*B1908)</f>
        <v>128.033527669635</v>
      </c>
      <c r="D1908" s="18" t="n">
        <f aca="false">'Black-Scholes'!$B$5*EXP(('Black-Scholes'!$B$8-'Black-Scholes'!$B$10-'Black-Scholes'!$B$9^2/2)*'Black-Scholes'!$B$7-'Black-Scholes'!$B$9*SQRT('Black-Scholes'!$B$7)*B1908)</f>
        <v>82.9342568210116</v>
      </c>
      <c r="E1908" s="18" t="n">
        <f aca="false">EXP(-'Black-Scholes'!$B$8*'Black-Scholes'!$B$7)*IF(LOWER('Black-Scholes'!$B$11)="put",MAX('Black-Scholes'!$B$6-C1908,0),MAX(C1908-'Black-Scholes'!$B$6,0))</f>
        <v>26.6663163919116</v>
      </c>
      <c r="F1908" s="18" t="n">
        <f aca="false">(E1908+G1908)/2</f>
        <v>13.3331581959558</v>
      </c>
      <c r="G1908" s="18" t="n">
        <f aca="false">EXP(-'Black-Scholes'!$B$8*'Black-Scholes'!$B$7)*IF(LOWER('Black-Scholes'!$B$11)="put",MAX('Black-Scholes'!$B$6-D1908,0),MAX(D1908-'Black-Scholes'!$B$6,0))</f>
        <v>0</v>
      </c>
    </row>
    <row r="1909" customFormat="false" ht="15" hidden="false" customHeight="false" outlineLevel="0" collapsed="false">
      <c r="A1909" s="0" t="n">
        <v>1898</v>
      </c>
      <c r="B1909" s="15" t="n">
        <v>-1.40411491927711</v>
      </c>
      <c r="C1909" s="18" t="n">
        <f aca="false">'Black-Scholes'!$B$5*EXP(('Black-Scholes'!$B$8-'Black-Scholes'!$B$10-'Black-Scholes'!$B$9^2/2)*'Black-Scholes'!$B$7+'Black-Scholes'!$B$9*SQRT('Black-Scholes'!$B$7)*B1909)</f>
        <v>77.816010626984</v>
      </c>
      <c r="D1909" s="18" t="n">
        <f aca="false">'Black-Scholes'!$B$5*EXP(('Black-Scholes'!$B$8-'Black-Scholes'!$B$10-'Black-Scholes'!$B$9^2/2)*'Black-Scholes'!$B$7-'Black-Scholes'!$B$9*SQRT('Black-Scholes'!$B$7)*B1909)</f>
        <v>136.454765284145</v>
      </c>
      <c r="E1909" s="18" t="n">
        <f aca="false">EXP(-'Black-Scholes'!$B$8*'Black-Scholes'!$B$7)*IF(LOWER('Black-Scholes'!$B$11)="put",MAX('Black-Scholes'!$B$6-C1909,0),MAX(C1909-'Black-Scholes'!$B$6,0))</f>
        <v>0</v>
      </c>
      <c r="F1909" s="18" t="n">
        <f aca="false">(E1909+G1909)/2</f>
        <v>17.3384227007727</v>
      </c>
      <c r="G1909" s="18" t="n">
        <f aca="false">EXP(-'Black-Scholes'!$B$8*'Black-Scholes'!$B$7)*IF(LOWER('Black-Scholes'!$B$11)="put",MAX('Black-Scholes'!$B$6-D1909,0),MAX(D1909-'Black-Scholes'!$B$6,0))</f>
        <v>34.6768454015454</v>
      </c>
    </row>
    <row r="1910" customFormat="false" ht="15" hidden="false" customHeight="false" outlineLevel="0" collapsed="false">
      <c r="A1910" s="0" t="n">
        <v>1899</v>
      </c>
      <c r="B1910" s="15" t="n">
        <v>-0.232303087341926</v>
      </c>
      <c r="C1910" s="18" t="n">
        <f aca="false">'Black-Scholes'!$B$5*EXP(('Black-Scholes'!$B$8-'Black-Scholes'!$B$10-'Black-Scholes'!$B$9^2/2)*'Black-Scholes'!$B$7+'Black-Scholes'!$B$9*SQRT('Black-Scholes'!$B$7)*B1910)</f>
        <v>98.367411820491</v>
      </c>
      <c r="D1910" s="18" t="n">
        <f aca="false">'Black-Scholes'!$B$5*EXP(('Black-Scholes'!$B$8-'Black-Scholes'!$B$10-'Black-Scholes'!$B$9^2/2)*'Black-Scholes'!$B$7-'Black-Scholes'!$B$9*SQRT('Black-Scholes'!$B$7)*B1910)</f>
        <v>107.945967764516</v>
      </c>
      <c r="E1910" s="18" t="n">
        <f aca="false">EXP(-'Black-Scholes'!$B$8*'Black-Scholes'!$B$7)*IF(LOWER('Black-Scholes'!$B$11)="put",MAX('Black-Scholes'!$B$6-C1910,0),MAX(C1910-'Black-Scholes'!$B$6,0))</f>
        <v>0</v>
      </c>
      <c r="F1910" s="18" t="n">
        <f aca="false">(E1910+G1910)/2</f>
        <v>3.77921917187091</v>
      </c>
      <c r="G1910" s="18" t="n">
        <f aca="false">EXP(-'Black-Scholes'!$B$8*'Black-Scholes'!$B$7)*IF(LOWER('Black-Scholes'!$B$11)="put",MAX('Black-Scholes'!$B$6-D1910,0),MAX(D1910-'Black-Scholes'!$B$6,0))</f>
        <v>7.55843834374182</v>
      </c>
    </row>
    <row r="1911" customFormat="false" ht="15" hidden="false" customHeight="false" outlineLevel="0" collapsed="false">
      <c r="A1911" s="0" t="n">
        <v>1900</v>
      </c>
      <c r="B1911" s="15" t="n">
        <v>-0.4252076060575</v>
      </c>
      <c r="C1911" s="18" t="n">
        <f aca="false">'Black-Scholes'!$B$5*EXP(('Black-Scholes'!$B$8-'Black-Scholes'!$B$10-'Black-Scholes'!$B$9^2/2)*'Black-Scholes'!$B$7+'Black-Scholes'!$B$9*SQRT('Black-Scholes'!$B$7)*B1911)</f>
        <v>94.6445849559338</v>
      </c>
      <c r="D1911" s="18" t="n">
        <f aca="false">'Black-Scholes'!$B$5*EXP(('Black-Scholes'!$B$8-'Black-Scholes'!$B$10-'Black-Scholes'!$B$9^2/2)*'Black-Scholes'!$B$7-'Black-Scholes'!$B$9*SQRT('Black-Scholes'!$B$7)*B1911)</f>
        <v>112.192002008329</v>
      </c>
      <c r="E1911" s="18" t="n">
        <f aca="false">EXP(-'Black-Scholes'!$B$8*'Black-Scholes'!$B$7)*IF(LOWER('Black-Scholes'!$B$11)="put",MAX('Black-Scholes'!$B$6-C1911,0),MAX(C1911-'Black-Scholes'!$B$6,0))</f>
        <v>0</v>
      </c>
      <c r="F1911" s="18" t="n">
        <f aca="false">(E1911+G1911)/2</f>
        <v>5.79869552694719</v>
      </c>
      <c r="G1911" s="18" t="n">
        <f aca="false">EXP(-'Black-Scholes'!$B$8*'Black-Scholes'!$B$7)*IF(LOWER('Black-Scholes'!$B$11)="put",MAX('Black-Scholes'!$B$6-D1911,0),MAX(D1911-'Black-Scholes'!$B$6,0))</f>
        <v>11.5973910538944</v>
      </c>
    </row>
    <row r="1912" customFormat="false" ht="15" hidden="false" customHeight="false" outlineLevel="0" collapsed="false">
      <c r="A1912" s="0" t="n">
        <v>1901</v>
      </c>
      <c r="B1912" s="15" t="n">
        <v>-0.0421700901032226</v>
      </c>
      <c r="C1912" s="18" t="n">
        <f aca="false">'Black-Scholes'!$B$5*EXP(('Black-Scholes'!$B$8-'Black-Scholes'!$B$10-'Black-Scholes'!$B$9^2/2)*'Black-Scholes'!$B$7+'Black-Scholes'!$B$9*SQRT('Black-Scholes'!$B$7)*B1912)</f>
        <v>102.180020851343</v>
      </c>
      <c r="D1912" s="18" t="n">
        <f aca="false">'Black-Scholes'!$B$5*EXP(('Black-Scholes'!$B$8-'Black-Scholes'!$B$10-'Black-Scholes'!$B$9^2/2)*'Black-Scholes'!$B$7-'Black-Scholes'!$B$9*SQRT('Black-Scholes'!$B$7)*B1912)</f>
        <v>103.918215880008</v>
      </c>
      <c r="E1912" s="18" t="n">
        <f aca="false">EXP(-'Black-Scholes'!$B$8*'Black-Scholes'!$B$7)*IF(LOWER('Black-Scholes'!$B$11)="put",MAX('Black-Scholes'!$B$6-C1912,0),MAX(C1912-'Black-Scholes'!$B$6,0))</f>
        <v>2.07369997982244</v>
      </c>
      <c r="F1912" s="18" t="n">
        <f aca="false">(E1912+G1912)/2</f>
        <v>2.90041110821613</v>
      </c>
      <c r="G1912" s="18" t="n">
        <f aca="false">EXP(-'Black-Scholes'!$B$8*'Black-Scholes'!$B$7)*IF(LOWER('Black-Scholes'!$B$11)="put",MAX('Black-Scholes'!$B$6-D1912,0),MAX(D1912-'Black-Scholes'!$B$6,0))</f>
        <v>3.72712223660982</v>
      </c>
    </row>
    <row r="1913" customFormat="false" ht="15" hidden="false" customHeight="false" outlineLevel="0" collapsed="false">
      <c r="A1913" s="0" t="n">
        <v>1902</v>
      </c>
      <c r="B1913" s="15" t="n">
        <v>-0.29141825036857</v>
      </c>
      <c r="C1913" s="18" t="n">
        <f aca="false">'Black-Scholes'!$B$5*EXP(('Black-Scholes'!$B$8-'Black-Scholes'!$B$10-'Black-Scholes'!$B$9^2/2)*'Black-Scholes'!$B$7+'Black-Scholes'!$B$9*SQRT('Black-Scholes'!$B$7)*B1913)</f>
        <v>97.2112587883529</v>
      </c>
      <c r="D1913" s="18" t="n">
        <f aca="false">'Black-Scholes'!$B$5*EXP(('Black-Scholes'!$B$8-'Black-Scholes'!$B$10-'Black-Scholes'!$B$9^2/2)*'Black-Scholes'!$B$7-'Black-Scholes'!$B$9*SQRT('Black-Scholes'!$B$7)*B1913)</f>
        <v>109.22979084729</v>
      </c>
      <c r="E1913" s="18" t="n">
        <f aca="false">EXP(-'Black-Scholes'!$B$8*'Black-Scholes'!$B$7)*IF(LOWER('Black-Scholes'!$B$11)="put",MAX('Black-Scholes'!$B$6-C1913,0),MAX(C1913-'Black-Scholes'!$B$6,0))</f>
        <v>0</v>
      </c>
      <c r="F1913" s="18" t="n">
        <f aca="false">(E1913+G1913)/2</f>
        <v>4.38982431796492</v>
      </c>
      <c r="G1913" s="18" t="n">
        <f aca="false">EXP(-'Black-Scholes'!$B$8*'Black-Scholes'!$B$7)*IF(LOWER('Black-Scholes'!$B$11)="put",MAX('Black-Scholes'!$B$6-D1913,0),MAX(D1913-'Black-Scholes'!$B$6,0))</f>
        <v>8.77964863592985</v>
      </c>
    </row>
    <row r="1914" customFormat="false" ht="15" hidden="false" customHeight="false" outlineLevel="0" collapsed="false">
      <c r="A1914" s="0" t="n">
        <v>1903</v>
      </c>
      <c r="B1914" s="15" t="n">
        <v>-0.588666211479772</v>
      </c>
      <c r="C1914" s="18" t="n">
        <f aca="false">'Black-Scholes'!$B$5*EXP(('Black-Scholes'!$B$8-'Black-Scholes'!$B$10-'Black-Scholes'!$B$9^2/2)*'Black-Scholes'!$B$7+'Black-Scholes'!$B$9*SQRT('Black-Scholes'!$B$7)*B1914)</f>
        <v>91.6005195577775</v>
      </c>
      <c r="D1914" s="18" t="n">
        <f aca="false">'Black-Scholes'!$B$5*EXP(('Black-Scholes'!$B$8-'Black-Scholes'!$B$10-'Black-Scholes'!$B$9^2/2)*'Black-Scholes'!$B$7-'Black-Scholes'!$B$9*SQRT('Black-Scholes'!$B$7)*B1914)</f>
        <v>115.920362861654</v>
      </c>
      <c r="E1914" s="18" t="n">
        <f aca="false">EXP(-'Black-Scholes'!$B$8*'Black-Scholes'!$B$7)*IF(LOWER('Black-Scholes'!$B$11)="put",MAX('Black-Scholes'!$B$6-C1914,0),MAX(C1914-'Black-Scholes'!$B$6,0))</f>
        <v>0</v>
      </c>
      <c r="F1914" s="18" t="n">
        <f aca="false">(E1914+G1914)/2</f>
        <v>7.57195880136683</v>
      </c>
      <c r="G1914" s="18" t="n">
        <f aca="false">EXP(-'Black-Scholes'!$B$8*'Black-Scholes'!$B$7)*IF(LOWER('Black-Scholes'!$B$11)="put",MAX('Black-Scholes'!$B$6-D1914,0),MAX(D1914-'Black-Scholes'!$B$6,0))</f>
        <v>15.1439176027337</v>
      </c>
    </row>
    <row r="1915" customFormat="false" ht="15" hidden="false" customHeight="false" outlineLevel="0" collapsed="false">
      <c r="A1915" s="0" t="n">
        <v>1904</v>
      </c>
      <c r="B1915" s="15" t="n">
        <v>1.06190241102292</v>
      </c>
      <c r="C1915" s="18" t="n">
        <f aca="false">'Black-Scholes'!$B$5*EXP(('Black-Scholes'!$B$8-'Black-Scholes'!$B$10-'Black-Scholes'!$B$9^2/2)*'Black-Scholes'!$B$7+'Black-Scholes'!$B$9*SQRT('Black-Scholes'!$B$7)*B1915)</f>
        <v>127.427894105205</v>
      </c>
      <c r="D1915" s="18" t="n">
        <f aca="false">'Black-Scholes'!$B$5*EXP(('Black-Scholes'!$B$8-'Black-Scholes'!$B$10-'Black-Scholes'!$B$9^2/2)*'Black-Scholes'!$B$7-'Black-Scholes'!$B$9*SQRT('Black-Scholes'!$B$7)*B1915)</f>
        <v>83.3284230271199</v>
      </c>
      <c r="E1915" s="18" t="n">
        <f aca="false">EXP(-'Black-Scholes'!$B$8*'Black-Scholes'!$B$7)*IF(LOWER('Black-Scholes'!$B$11)="put",MAX('Black-Scholes'!$B$6-C1915,0),MAX(C1915-'Black-Scholes'!$B$6,0))</f>
        <v>26.0902199249611</v>
      </c>
      <c r="F1915" s="18" t="n">
        <f aca="false">(E1915+G1915)/2</f>
        <v>13.0451099624806</v>
      </c>
      <c r="G1915" s="18" t="n">
        <f aca="false">EXP(-'Black-Scholes'!$B$8*'Black-Scholes'!$B$7)*IF(LOWER('Black-Scholes'!$B$11)="put",MAX('Black-Scholes'!$B$6-D1915,0),MAX(D1915-'Black-Scholes'!$B$6,0))</f>
        <v>0</v>
      </c>
    </row>
    <row r="1916" customFormat="false" ht="15" hidden="false" customHeight="false" outlineLevel="0" collapsed="false">
      <c r="A1916" s="0" t="n">
        <v>1905</v>
      </c>
      <c r="B1916" s="15" t="n">
        <v>-0.338974233607495</v>
      </c>
      <c r="C1916" s="18" t="n">
        <f aca="false">'Black-Scholes'!$B$5*EXP(('Black-Scholes'!$B$8-'Black-Scholes'!$B$10-'Black-Scholes'!$B$9^2/2)*'Black-Scholes'!$B$7+'Black-Scholes'!$B$9*SQRT('Black-Scholes'!$B$7)*B1916)</f>
        <v>96.2910464867932</v>
      </c>
      <c r="D1916" s="18" t="n">
        <f aca="false">'Black-Scholes'!$B$5*EXP(('Black-Scholes'!$B$8-'Black-Scholes'!$B$10-'Black-Scholes'!$B$9^2/2)*'Black-Scholes'!$B$7-'Black-Scholes'!$B$9*SQRT('Black-Scholes'!$B$7)*B1916)</f>
        <v>110.273653188617</v>
      </c>
      <c r="E1916" s="18" t="n">
        <f aca="false">EXP(-'Black-Scholes'!$B$8*'Black-Scholes'!$B$7)*IF(LOWER('Black-Scholes'!$B$11)="put",MAX('Black-Scholes'!$B$6-C1916,0),MAX(C1916-'Black-Scholes'!$B$6,0))</f>
        <v>0</v>
      </c>
      <c r="F1916" s="18" t="n">
        <f aca="false">(E1916+G1916)/2</f>
        <v>4.88630060506388</v>
      </c>
      <c r="G1916" s="18" t="n">
        <f aca="false">EXP(-'Black-Scholes'!$B$8*'Black-Scholes'!$B$7)*IF(LOWER('Black-Scholes'!$B$11)="put",MAX('Black-Scholes'!$B$6-D1916,0),MAX(D1916-'Black-Scholes'!$B$6,0))</f>
        <v>9.77260121012777</v>
      </c>
    </row>
    <row r="1917" customFormat="false" ht="15" hidden="false" customHeight="false" outlineLevel="0" collapsed="false">
      <c r="A1917" s="0" t="n">
        <v>1906</v>
      </c>
      <c r="B1917" s="15" t="n">
        <v>-1.10773084803745</v>
      </c>
      <c r="C1917" s="18" t="n">
        <f aca="false">'Black-Scholes'!$B$5*EXP(('Black-Scholes'!$B$8-'Black-Scholes'!$B$10-'Black-Scholes'!$B$9^2/2)*'Black-Scholes'!$B$7+'Black-Scholes'!$B$9*SQRT('Black-Scholes'!$B$7)*B1917)</f>
        <v>82.5681502835547</v>
      </c>
      <c r="D1917" s="18" t="n">
        <f aca="false">'Black-Scholes'!$B$5*EXP(('Black-Scholes'!$B$8-'Black-Scholes'!$B$10-'Black-Scholes'!$B$9^2/2)*'Black-Scholes'!$B$7-'Black-Scholes'!$B$9*SQRT('Black-Scholes'!$B$7)*B1917)</f>
        <v>128.601227337516</v>
      </c>
      <c r="E1917" s="18" t="n">
        <f aca="false">EXP(-'Black-Scholes'!$B$8*'Black-Scholes'!$B$7)*IF(LOWER('Black-Scholes'!$B$11)="put",MAX('Black-Scholes'!$B$6-C1917,0),MAX(C1917-'Black-Scholes'!$B$6,0))</f>
        <v>0</v>
      </c>
      <c r="F1917" s="18" t="n">
        <f aca="false">(E1917+G1917)/2</f>
        <v>13.6031645101397</v>
      </c>
      <c r="G1917" s="18" t="n">
        <f aca="false">EXP(-'Black-Scholes'!$B$8*'Black-Scholes'!$B$7)*IF(LOWER('Black-Scholes'!$B$11)="put",MAX('Black-Scholes'!$B$6-D1917,0),MAX(D1917-'Black-Scholes'!$B$6,0))</f>
        <v>27.2063290202794</v>
      </c>
    </row>
    <row r="1918" customFormat="false" ht="15" hidden="false" customHeight="false" outlineLevel="0" collapsed="false">
      <c r="A1918" s="0" t="n">
        <v>1907</v>
      </c>
      <c r="B1918" s="15" t="n">
        <v>0.479239577490321</v>
      </c>
      <c r="C1918" s="18" t="n">
        <f aca="false">'Black-Scholes'!$B$5*EXP(('Black-Scholes'!$B$8-'Black-Scholes'!$B$10-'Black-Scholes'!$B$9^2/2)*'Black-Scholes'!$B$7+'Black-Scholes'!$B$9*SQRT('Black-Scholes'!$B$7)*B1918)</f>
        <v>113.410967466154</v>
      </c>
      <c r="D1918" s="18" t="n">
        <f aca="false">'Black-Scholes'!$B$5*EXP(('Black-Scholes'!$B$8-'Black-Scholes'!$B$10-'Black-Scholes'!$B$9^2/2)*'Black-Scholes'!$B$7-'Black-Scholes'!$B$9*SQRT('Black-Scholes'!$B$7)*B1918)</f>
        <v>93.6273246114621</v>
      </c>
      <c r="E1918" s="18" t="n">
        <f aca="false">EXP(-'Black-Scholes'!$B$8*'Black-Scholes'!$B$7)*IF(LOWER('Black-Scholes'!$B$11)="put",MAX('Black-Scholes'!$B$6-C1918,0),MAX(C1918-'Black-Scholes'!$B$6,0))</f>
        <v>12.7569068648277</v>
      </c>
      <c r="F1918" s="18" t="n">
        <f aca="false">(E1918+G1918)/2</f>
        <v>6.37845343241386</v>
      </c>
      <c r="G1918" s="18" t="n">
        <f aca="false">EXP(-'Black-Scholes'!$B$8*'Black-Scholes'!$B$7)*IF(LOWER('Black-Scholes'!$B$11)="put",MAX('Black-Scholes'!$B$6-D1918,0),MAX(D1918-'Black-Scholes'!$B$6,0))</f>
        <v>0</v>
      </c>
    </row>
    <row r="1919" customFormat="false" ht="15" hidden="false" customHeight="false" outlineLevel="0" collapsed="false">
      <c r="A1919" s="0" t="n">
        <v>1908</v>
      </c>
      <c r="B1919" s="15" t="n">
        <v>-0.0571425836929911</v>
      </c>
      <c r="C1919" s="18" t="n">
        <f aca="false">'Black-Scholes'!$B$5*EXP(('Black-Scholes'!$B$8-'Black-Scholes'!$B$10-'Black-Scholes'!$B$9^2/2)*'Black-Scholes'!$B$7+'Black-Scholes'!$B$9*SQRT('Black-Scholes'!$B$7)*B1919)</f>
        <v>101.874500578237</v>
      </c>
      <c r="D1919" s="18" t="n">
        <f aca="false">'Black-Scholes'!$B$5*EXP(('Black-Scholes'!$B$8-'Black-Scholes'!$B$10-'Black-Scholes'!$B$9^2/2)*'Black-Scholes'!$B$7-'Black-Scholes'!$B$9*SQRT('Black-Scholes'!$B$7)*B1919)</f>
        <v>104.229865228139</v>
      </c>
      <c r="E1919" s="18" t="n">
        <f aca="false">EXP(-'Black-Scholes'!$B$8*'Black-Scholes'!$B$7)*IF(LOWER('Black-Scholes'!$B$11)="put",MAX('Black-Scholes'!$B$6-C1919,0),MAX(C1919-'Black-Scholes'!$B$6,0))</f>
        <v>1.78308010626233</v>
      </c>
      <c r="F1919" s="18" t="n">
        <f aca="false">(E1919+G1919)/2</f>
        <v>2.90332618647038</v>
      </c>
      <c r="G1919" s="18" t="n">
        <f aca="false">EXP(-'Black-Scholes'!$B$8*'Black-Scholes'!$B$7)*IF(LOWER('Black-Scholes'!$B$11)="put",MAX('Black-Scholes'!$B$6-D1919,0),MAX(D1919-'Black-Scholes'!$B$6,0))</f>
        <v>4.02357226667842</v>
      </c>
    </row>
    <row r="1920" customFormat="false" ht="15" hidden="false" customHeight="false" outlineLevel="0" collapsed="false">
      <c r="A1920" s="0" t="n">
        <v>1909</v>
      </c>
      <c r="B1920" s="15" t="n">
        <v>-0.129216074648508</v>
      </c>
      <c r="C1920" s="18" t="n">
        <f aca="false">'Black-Scholes'!$B$5*EXP(('Black-Scholes'!$B$8-'Black-Scholes'!$B$10-'Black-Scholes'!$B$9^2/2)*'Black-Scholes'!$B$7+'Black-Scholes'!$B$9*SQRT('Black-Scholes'!$B$7)*B1920)</f>
        <v>100.416543648456</v>
      </c>
      <c r="D1920" s="18" t="n">
        <f aca="false">'Black-Scholes'!$B$5*EXP(('Black-Scholes'!$B$8-'Black-Scholes'!$B$10-'Black-Scholes'!$B$9^2/2)*'Black-Scholes'!$B$7-'Black-Scholes'!$B$9*SQRT('Black-Scholes'!$B$7)*B1920)</f>
        <v>105.743188120744</v>
      </c>
      <c r="E1920" s="18" t="n">
        <f aca="false">EXP(-'Black-Scholes'!$B$8*'Black-Scholes'!$B$7)*IF(LOWER('Black-Scholes'!$B$11)="put",MAX('Black-Scholes'!$B$6-C1920,0),MAX(C1920-'Black-Scholes'!$B$6,0))</f>
        <v>0.396228575000376</v>
      </c>
      <c r="F1920" s="18" t="n">
        <f aca="false">(E1920+G1920)/2</f>
        <v>2.92965905294749</v>
      </c>
      <c r="G1920" s="18" t="n">
        <f aca="false">EXP(-'Black-Scholes'!$B$8*'Black-Scholes'!$B$7)*IF(LOWER('Black-Scholes'!$B$11)="put",MAX('Black-Scholes'!$B$6-D1920,0),MAX(D1920-'Black-Scholes'!$B$6,0))</f>
        <v>5.46308953089461</v>
      </c>
    </row>
    <row r="1921" customFormat="false" ht="15" hidden="false" customHeight="false" outlineLevel="0" collapsed="false">
      <c r="A1921" s="0" t="n">
        <v>1910</v>
      </c>
      <c r="B1921" s="15" t="n">
        <v>1.28725787424082</v>
      </c>
      <c r="C1921" s="18" t="n">
        <f aca="false">'Black-Scholes'!$B$5*EXP(('Black-Scholes'!$B$8-'Black-Scholes'!$B$10-'Black-Scholes'!$B$9^2/2)*'Black-Scholes'!$B$7+'Black-Scholes'!$B$9*SQRT('Black-Scholes'!$B$7)*B1921)</f>
        <v>133.302603861189</v>
      </c>
      <c r="D1921" s="18" t="n">
        <f aca="false">'Black-Scholes'!$B$5*EXP(('Black-Scholes'!$B$8-'Black-Scholes'!$B$10-'Black-Scholes'!$B$9^2/2)*'Black-Scholes'!$B$7-'Black-Scholes'!$B$9*SQRT('Black-Scholes'!$B$7)*B1921)</f>
        <v>79.656099415063</v>
      </c>
      <c r="E1921" s="18" t="n">
        <f aca="false">EXP(-'Black-Scholes'!$B$8*'Black-Scholes'!$B$7)*IF(LOWER('Black-Scholes'!$B$11)="put",MAX('Black-Scholes'!$B$6-C1921,0),MAX(C1921-'Black-Scholes'!$B$6,0))</f>
        <v>31.6784167052537</v>
      </c>
      <c r="F1921" s="18" t="n">
        <f aca="false">(E1921+G1921)/2</f>
        <v>15.8392083526268</v>
      </c>
      <c r="G1921" s="18" t="n">
        <f aca="false">EXP(-'Black-Scholes'!$B$8*'Black-Scholes'!$B$7)*IF(LOWER('Black-Scholes'!$B$11)="put",MAX('Black-Scholes'!$B$6-D1921,0),MAX(D1921-'Black-Scholes'!$B$6,0))</f>
        <v>0</v>
      </c>
    </row>
    <row r="1922" customFormat="false" ht="15" hidden="false" customHeight="false" outlineLevel="0" collapsed="false">
      <c r="A1922" s="0" t="n">
        <v>1911</v>
      </c>
      <c r="B1922" s="15" t="n">
        <v>-3.75379667002407</v>
      </c>
      <c r="C1922" s="18" t="n">
        <f aca="false">'Black-Scholes'!$B$5*EXP(('Black-Scholes'!$B$8-'Black-Scholes'!$B$10-'Black-Scholes'!$B$9^2/2)*'Black-Scholes'!$B$7+'Black-Scholes'!$B$9*SQRT('Black-Scholes'!$B$7)*B1922)</f>
        <v>48.6382788712376</v>
      </c>
      <c r="D1922" s="18" t="n">
        <f aca="false">'Black-Scholes'!$B$5*EXP(('Black-Scholes'!$B$8-'Black-Scholes'!$B$10-'Black-Scholes'!$B$9^2/2)*'Black-Scholes'!$B$7-'Black-Scholes'!$B$9*SQRT('Black-Scholes'!$B$7)*B1922)</f>
        <v>218.312936063467</v>
      </c>
      <c r="E1922" s="18" t="n">
        <f aca="false">EXP(-'Black-Scholes'!$B$8*'Black-Scholes'!$B$7)*IF(LOWER('Black-Scholes'!$B$11)="put",MAX('Black-Scholes'!$B$6-C1922,0),MAX(C1922-'Black-Scholes'!$B$6,0))</f>
        <v>0</v>
      </c>
      <c r="F1922" s="18" t="n">
        <f aca="false">(E1922+G1922)/2</f>
        <v>56.2713730413209</v>
      </c>
      <c r="G1922" s="18" t="n">
        <f aca="false">EXP(-'Black-Scholes'!$B$8*'Black-Scholes'!$B$7)*IF(LOWER('Black-Scholes'!$B$11)="put",MAX('Black-Scholes'!$B$6-D1922,0),MAX(D1922-'Black-Scholes'!$B$6,0))</f>
        <v>112.542746082642</v>
      </c>
    </row>
    <row r="1923" customFormat="false" ht="15" hidden="false" customHeight="false" outlineLevel="0" collapsed="false">
      <c r="A1923" s="0" t="n">
        <v>1912</v>
      </c>
      <c r="B1923" s="15" t="n">
        <v>1.12709658396067</v>
      </c>
      <c r="C1923" s="18" t="n">
        <f aca="false">'Black-Scholes'!$B$5*EXP(('Black-Scholes'!$B$8-'Black-Scholes'!$B$10-'Black-Scholes'!$B$9^2/2)*'Black-Scholes'!$B$7+'Black-Scholes'!$B$9*SQRT('Black-Scholes'!$B$7)*B1923)</f>
        <v>129.100284656471</v>
      </c>
      <c r="D1923" s="18" t="n">
        <f aca="false">'Black-Scholes'!$B$5*EXP(('Black-Scholes'!$B$8-'Black-Scholes'!$B$10-'Black-Scholes'!$B$9^2/2)*'Black-Scholes'!$B$7-'Black-Scholes'!$B$9*SQRT('Black-Scholes'!$B$7)*B1923)</f>
        <v>82.2489701994735</v>
      </c>
      <c r="E1923" s="18" t="n">
        <f aca="false">EXP(-'Black-Scholes'!$B$8*'Black-Scholes'!$B$7)*IF(LOWER('Black-Scholes'!$B$11)="put",MAX('Black-Scholes'!$B$6-C1923,0),MAX(C1923-'Black-Scholes'!$B$6,0))</f>
        <v>27.6810470265815</v>
      </c>
      <c r="F1923" s="18" t="n">
        <f aca="false">(E1923+G1923)/2</f>
        <v>13.8405235132908</v>
      </c>
      <c r="G1923" s="18" t="n">
        <f aca="false">EXP(-'Black-Scholes'!$B$8*'Black-Scholes'!$B$7)*IF(LOWER('Black-Scholes'!$B$11)="put",MAX('Black-Scholes'!$B$6-D1923,0),MAX(D1923-'Black-Scholes'!$B$6,0))</f>
        <v>0</v>
      </c>
    </row>
    <row r="1924" customFormat="false" ht="15" hidden="false" customHeight="false" outlineLevel="0" collapsed="false">
      <c r="A1924" s="0" t="n">
        <v>1913</v>
      </c>
      <c r="B1924" s="15" t="n">
        <v>-1.55770168866392</v>
      </c>
      <c r="C1924" s="18" t="n">
        <f aca="false">'Black-Scholes'!$B$5*EXP(('Black-Scholes'!$B$8-'Black-Scholes'!$B$10-'Black-Scholes'!$B$9^2/2)*'Black-Scholes'!$B$7+'Black-Scholes'!$B$9*SQRT('Black-Scholes'!$B$7)*B1924)</f>
        <v>75.4620475382251</v>
      </c>
      <c r="D1924" s="18" t="n">
        <f aca="false">'Black-Scholes'!$B$5*EXP(('Black-Scholes'!$B$8-'Black-Scholes'!$B$10-'Black-Scholes'!$B$9^2/2)*'Black-Scholes'!$B$7-'Black-Scholes'!$B$9*SQRT('Black-Scholes'!$B$7)*B1924)</f>
        <v>140.711335192368</v>
      </c>
      <c r="E1924" s="18" t="n">
        <f aca="false">EXP(-'Black-Scholes'!$B$8*'Black-Scholes'!$B$7)*IF(LOWER('Black-Scholes'!$B$11)="put",MAX('Black-Scholes'!$B$6-C1924,0),MAX(C1924-'Black-Scholes'!$B$6,0))</f>
        <v>0</v>
      </c>
      <c r="F1924" s="18" t="n">
        <f aca="false">(E1924+G1924)/2</f>
        <v>19.3629099728459</v>
      </c>
      <c r="G1924" s="18" t="n">
        <f aca="false">EXP(-'Black-Scholes'!$B$8*'Black-Scholes'!$B$7)*IF(LOWER('Black-Scholes'!$B$11)="put",MAX('Black-Scholes'!$B$6-D1924,0),MAX(D1924-'Black-Scholes'!$B$6,0))</f>
        <v>38.7258199456919</v>
      </c>
    </row>
    <row r="1925" customFormat="false" ht="15" hidden="false" customHeight="false" outlineLevel="0" collapsed="false">
      <c r="A1925" s="0" t="n">
        <v>1914</v>
      </c>
      <c r="B1925" s="15" t="n">
        <v>1.5910064842924</v>
      </c>
      <c r="C1925" s="18" t="n">
        <f aca="false">'Black-Scholes'!$B$5*EXP(('Black-Scholes'!$B$8-'Black-Scholes'!$B$10-'Black-Scholes'!$B$9^2/2)*'Black-Scholes'!$B$7+'Black-Scholes'!$B$9*SQRT('Black-Scholes'!$B$7)*B1925)</f>
        <v>141.651736153787</v>
      </c>
      <c r="D1925" s="18" t="n">
        <f aca="false">'Black-Scholes'!$B$5*EXP(('Black-Scholes'!$B$8-'Black-Scholes'!$B$10-'Black-Scholes'!$B$9^2/2)*'Black-Scholes'!$B$7-'Black-Scholes'!$B$9*SQRT('Black-Scholes'!$B$7)*B1925)</f>
        <v>74.9610682775225</v>
      </c>
      <c r="E1925" s="18" t="n">
        <f aca="false">EXP(-'Black-Scholes'!$B$8*'Black-Scholes'!$B$7)*IF(LOWER('Black-Scholes'!$B$11)="put",MAX('Black-Scholes'!$B$6-C1925,0),MAX(C1925-'Black-Scholes'!$B$6,0))</f>
        <v>39.620357011022</v>
      </c>
      <c r="F1925" s="18" t="n">
        <f aca="false">(E1925+G1925)/2</f>
        <v>19.810178505511</v>
      </c>
      <c r="G1925" s="18" t="n">
        <f aca="false">EXP(-'Black-Scholes'!$B$8*'Black-Scholes'!$B$7)*IF(LOWER('Black-Scholes'!$B$11)="put",MAX('Black-Scholes'!$B$6-D1925,0),MAX(D1925-'Black-Scholes'!$B$6,0))</f>
        <v>0</v>
      </c>
    </row>
    <row r="1926" customFormat="false" ht="15" hidden="false" customHeight="false" outlineLevel="0" collapsed="false">
      <c r="A1926" s="0" t="n">
        <v>1915</v>
      </c>
      <c r="B1926" s="15" t="n">
        <v>-0.197419822724665</v>
      </c>
      <c r="C1926" s="18" t="n">
        <f aca="false">'Black-Scholes'!$B$5*EXP(('Black-Scholes'!$B$8-'Black-Scholes'!$B$10-'Black-Scholes'!$B$9^2/2)*'Black-Scholes'!$B$7+'Black-Scholes'!$B$9*SQRT('Black-Scholes'!$B$7)*B1926)</f>
        <v>99.0560866409811</v>
      </c>
      <c r="D1926" s="18" t="n">
        <f aca="false">'Black-Scholes'!$B$5*EXP(('Black-Scholes'!$B$8-'Black-Scholes'!$B$10-'Black-Scholes'!$B$9^2/2)*'Black-Scholes'!$B$7-'Black-Scholes'!$B$9*SQRT('Black-Scholes'!$B$7)*B1926)</f>
        <v>107.195487178277</v>
      </c>
      <c r="E1926" s="18" t="n">
        <f aca="false">EXP(-'Black-Scholes'!$B$8*'Black-Scholes'!$B$7)*IF(LOWER('Black-Scholes'!$B$11)="put",MAX('Black-Scholes'!$B$6-C1926,0),MAX(C1926-'Black-Scholes'!$B$6,0))</f>
        <v>0</v>
      </c>
      <c r="F1926" s="18" t="n">
        <f aca="false">(E1926+G1926)/2</f>
        <v>3.42227956379739</v>
      </c>
      <c r="G1926" s="18" t="n">
        <f aca="false">EXP(-'Black-Scholes'!$B$8*'Black-Scholes'!$B$7)*IF(LOWER('Black-Scholes'!$B$11)="put",MAX('Black-Scholes'!$B$6-D1926,0),MAX(D1926-'Black-Scholes'!$B$6,0))</f>
        <v>6.84455912759477</v>
      </c>
    </row>
    <row r="1927" customFormat="false" ht="15" hidden="false" customHeight="false" outlineLevel="0" collapsed="false">
      <c r="A1927" s="0" t="n">
        <v>1916</v>
      </c>
      <c r="B1927" s="15" t="n">
        <v>1.37270324656355</v>
      </c>
      <c r="C1927" s="18" t="n">
        <f aca="false">'Black-Scholes'!$B$5*EXP(('Black-Scholes'!$B$8-'Black-Scholes'!$B$10-'Black-Scholes'!$B$9^2/2)*'Black-Scholes'!$B$7+'Black-Scholes'!$B$9*SQRT('Black-Scholes'!$B$7)*B1927)</f>
        <v>135.60019794828</v>
      </c>
      <c r="D1927" s="18" t="n">
        <f aca="false">'Black-Scholes'!$B$5*EXP(('Black-Scholes'!$B$8-'Black-Scholes'!$B$10-'Black-Scholes'!$B$9^2/2)*'Black-Scholes'!$B$7-'Black-Scholes'!$B$9*SQRT('Black-Scholes'!$B$7)*B1927)</f>
        <v>78.3064156698624</v>
      </c>
      <c r="E1927" s="18" t="n">
        <f aca="false">EXP(-'Black-Scholes'!$B$8*'Black-Scholes'!$B$7)*IF(LOWER('Black-Scholes'!$B$11)="put",MAX('Black-Scholes'!$B$6-C1927,0),MAX(C1927-'Black-Scholes'!$B$6,0))</f>
        <v>33.8639558064534</v>
      </c>
      <c r="F1927" s="18" t="n">
        <f aca="false">(E1927+G1927)/2</f>
        <v>16.9319779032267</v>
      </c>
      <c r="G1927" s="18" t="n">
        <f aca="false">EXP(-'Black-Scholes'!$B$8*'Black-Scholes'!$B$7)*IF(LOWER('Black-Scholes'!$B$11)="put",MAX('Black-Scholes'!$B$6-D1927,0),MAX(D1927-'Black-Scholes'!$B$6,0))</f>
        <v>0</v>
      </c>
    </row>
    <row r="1928" customFormat="false" ht="15" hidden="false" customHeight="false" outlineLevel="0" collapsed="false">
      <c r="A1928" s="0" t="n">
        <v>1917</v>
      </c>
      <c r="B1928" s="15" t="n">
        <v>-0.201189702345442</v>
      </c>
      <c r="C1928" s="18" t="n">
        <f aca="false">'Black-Scholes'!$B$5*EXP(('Black-Scholes'!$B$8-'Black-Scholes'!$B$10-'Black-Scholes'!$B$9^2/2)*'Black-Scholes'!$B$7+'Black-Scholes'!$B$9*SQRT('Black-Scholes'!$B$7)*B1928)</f>
        <v>98.9814288851248</v>
      </c>
      <c r="D1928" s="18" t="n">
        <f aca="false">'Black-Scholes'!$B$5*EXP(('Black-Scholes'!$B$8-'Black-Scholes'!$B$10-'Black-Scholes'!$B$9^2/2)*'Black-Scholes'!$B$7-'Black-Scholes'!$B$9*SQRT('Black-Scholes'!$B$7)*B1928)</f>
        <v>107.276340471676</v>
      </c>
      <c r="E1928" s="18" t="n">
        <f aca="false">EXP(-'Black-Scholes'!$B$8*'Black-Scholes'!$B$7)*IF(LOWER('Black-Scholes'!$B$11)="put",MAX('Black-Scholes'!$B$6-C1928,0),MAX(C1928-'Black-Scholes'!$B$6,0))</f>
        <v>0</v>
      </c>
      <c r="F1928" s="18" t="n">
        <f aca="false">(E1928+G1928)/2</f>
        <v>3.46073457967164</v>
      </c>
      <c r="G1928" s="18" t="n">
        <f aca="false">EXP(-'Black-Scholes'!$B$8*'Black-Scholes'!$B$7)*IF(LOWER('Black-Scholes'!$B$11)="put",MAX('Black-Scholes'!$B$6-D1928,0),MAX(D1928-'Black-Scholes'!$B$6,0))</f>
        <v>6.92146915934329</v>
      </c>
    </row>
    <row r="1929" customFormat="false" ht="15" hidden="false" customHeight="false" outlineLevel="0" collapsed="false">
      <c r="A1929" s="0" t="n">
        <v>1918</v>
      </c>
      <c r="B1929" s="15" t="n">
        <v>0.541014265401683</v>
      </c>
      <c r="C1929" s="18" t="n">
        <f aca="false">'Black-Scholes'!$B$5*EXP(('Black-Scholes'!$B$8-'Black-Scholes'!$B$10-'Black-Scholes'!$B$9^2/2)*'Black-Scholes'!$B$7+'Black-Scholes'!$B$9*SQRT('Black-Scholes'!$B$7)*B1929)</f>
        <v>114.820844427154</v>
      </c>
      <c r="D1929" s="18" t="n">
        <f aca="false">'Black-Scholes'!$B$5*EXP(('Black-Scholes'!$B$8-'Black-Scholes'!$B$10-'Black-Scholes'!$B$9^2/2)*'Black-Scholes'!$B$7-'Black-Scholes'!$B$9*SQRT('Black-Scholes'!$B$7)*B1929)</f>
        <v>92.4776813689979</v>
      </c>
      <c r="E1929" s="18" t="n">
        <f aca="false">EXP(-'Black-Scholes'!$B$8*'Black-Scholes'!$B$7)*IF(LOWER('Black-Scholes'!$B$11)="put",MAX('Black-Scholes'!$B$6-C1929,0),MAX(C1929-'Black-Scholes'!$B$6,0))</f>
        <v>14.098023315056</v>
      </c>
      <c r="F1929" s="18" t="n">
        <f aca="false">(E1929+G1929)/2</f>
        <v>7.049011657528</v>
      </c>
      <c r="G1929" s="18" t="n">
        <f aca="false">EXP(-'Black-Scholes'!$B$8*'Black-Scholes'!$B$7)*IF(LOWER('Black-Scholes'!$B$11)="put",MAX('Black-Scholes'!$B$6-D1929,0),MAX(D1929-'Black-Scholes'!$B$6,0))</f>
        <v>0</v>
      </c>
    </row>
    <row r="1930" customFormat="false" ht="15" hidden="false" customHeight="false" outlineLevel="0" collapsed="false">
      <c r="A1930" s="0" t="n">
        <v>1919</v>
      </c>
      <c r="B1930" s="15" t="n">
        <v>-1.19405334823158</v>
      </c>
      <c r="C1930" s="18" t="n">
        <f aca="false">'Black-Scholes'!$B$5*EXP(('Black-Scholes'!$B$8-'Black-Scholes'!$B$10-'Black-Scholes'!$B$9^2/2)*'Black-Scholes'!$B$7+'Black-Scholes'!$B$9*SQRT('Black-Scholes'!$B$7)*B1930)</f>
        <v>81.15488719339</v>
      </c>
      <c r="D1930" s="18" t="n">
        <f aca="false">'Black-Scholes'!$B$5*EXP(('Black-Scholes'!$B$8-'Black-Scholes'!$B$10-'Black-Scholes'!$B$9^2/2)*'Black-Scholes'!$B$7-'Black-Scholes'!$B$9*SQRT('Black-Scholes'!$B$7)*B1930)</f>
        <v>130.84073963593</v>
      </c>
      <c r="E1930" s="18" t="n">
        <f aca="false">EXP(-'Black-Scholes'!$B$8*'Black-Scholes'!$B$7)*IF(LOWER('Black-Scholes'!$B$11)="put",MAX('Black-Scholes'!$B$6-C1930,0),MAX(C1930-'Black-Scholes'!$B$6,0))</f>
        <v>0</v>
      </c>
      <c r="F1930" s="18" t="n">
        <f aca="false">(E1930+G1930)/2</f>
        <v>14.6683095075309</v>
      </c>
      <c r="G1930" s="18" t="n">
        <f aca="false">EXP(-'Black-Scholes'!$B$8*'Black-Scholes'!$B$7)*IF(LOWER('Black-Scholes'!$B$11)="put",MAX('Black-Scholes'!$B$6-D1930,0),MAX(D1930-'Black-Scholes'!$B$6,0))</f>
        <v>29.3366190150618</v>
      </c>
    </row>
    <row r="1931" customFormat="false" ht="15" hidden="false" customHeight="false" outlineLevel="0" collapsed="false">
      <c r="A1931" s="0" t="n">
        <v>1920</v>
      </c>
      <c r="B1931" s="15" t="n">
        <v>-0.291400329357468</v>
      </c>
      <c r="C1931" s="18" t="n">
        <f aca="false">'Black-Scholes'!$B$5*EXP(('Black-Scholes'!$B$8-'Black-Scholes'!$B$10-'Black-Scholes'!$B$9^2/2)*'Black-Scholes'!$B$7+'Black-Scholes'!$B$9*SQRT('Black-Scholes'!$B$7)*B1931)</f>
        <v>97.211607213787</v>
      </c>
      <c r="D1931" s="18" t="n">
        <f aca="false">'Black-Scholes'!$B$5*EXP(('Black-Scholes'!$B$8-'Black-Scholes'!$B$10-'Black-Scholes'!$B$9^2/2)*'Black-Scholes'!$B$7-'Black-Scholes'!$B$9*SQRT('Black-Scholes'!$B$7)*B1931)</f>
        <v>109.229399346333</v>
      </c>
      <c r="E1931" s="18" t="n">
        <f aca="false">EXP(-'Black-Scholes'!$B$8*'Black-Scholes'!$B$7)*IF(LOWER('Black-Scholes'!$B$11)="put",MAX('Black-Scholes'!$B$6-C1931,0),MAX(C1931-'Black-Scholes'!$B$6,0))</f>
        <v>0</v>
      </c>
      <c r="F1931" s="18" t="n">
        <f aca="false">(E1931+G1931)/2</f>
        <v>4.38963811434979</v>
      </c>
      <c r="G1931" s="18" t="n">
        <f aca="false">EXP(-'Black-Scholes'!$B$8*'Black-Scholes'!$B$7)*IF(LOWER('Black-Scholes'!$B$11)="put",MAX('Black-Scholes'!$B$6-D1931,0),MAX(D1931-'Black-Scholes'!$B$6,0))</f>
        <v>8.77927622869959</v>
      </c>
    </row>
    <row r="1932" customFormat="false" ht="15" hidden="false" customHeight="false" outlineLevel="0" collapsed="false">
      <c r="A1932" s="0" t="n">
        <v>1921</v>
      </c>
      <c r="B1932" s="15" t="n">
        <v>0.823408350620061</v>
      </c>
      <c r="C1932" s="18" t="n">
        <f aca="false">'Black-Scholes'!$B$5*EXP(('Black-Scholes'!$B$8-'Black-Scholes'!$B$10-'Black-Scholes'!$B$9^2/2)*'Black-Scholes'!$B$7+'Black-Scholes'!$B$9*SQRT('Black-Scholes'!$B$7)*B1932)</f>
        <v>121.492417826369</v>
      </c>
      <c r="D1932" s="18" t="n">
        <f aca="false">'Black-Scholes'!$B$5*EXP(('Black-Scholes'!$B$8-'Black-Scholes'!$B$10-'Black-Scholes'!$B$9^2/2)*'Black-Scholes'!$B$7-'Black-Scholes'!$B$9*SQRT('Black-Scholes'!$B$7)*B1932)</f>
        <v>87.3994085839073</v>
      </c>
      <c r="E1932" s="18" t="n">
        <f aca="false">EXP(-'Black-Scholes'!$B$8*'Black-Scholes'!$B$7)*IF(LOWER('Black-Scholes'!$B$11)="put",MAX('Black-Scholes'!$B$6-C1932,0),MAX(C1932-'Black-Scholes'!$B$6,0))</f>
        <v>20.4442202401057</v>
      </c>
      <c r="F1932" s="18" t="n">
        <f aca="false">(E1932+G1932)/2</f>
        <v>10.2221101200529</v>
      </c>
      <c r="G1932" s="18" t="n">
        <f aca="false">EXP(-'Black-Scholes'!$B$8*'Black-Scholes'!$B$7)*IF(LOWER('Black-Scholes'!$B$11)="put",MAX('Black-Scholes'!$B$6-D1932,0),MAX(D1932-'Black-Scholes'!$B$6,0))</f>
        <v>0</v>
      </c>
    </row>
    <row r="1933" customFormat="false" ht="15" hidden="false" customHeight="false" outlineLevel="0" collapsed="false">
      <c r="A1933" s="0" t="n">
        <v>1922</v>
      </c>
      <c r="B1933" s="15" t="n">
        <v>0.273880859075259</v>
      </c>
      <c r="C1933" s="18" t="n">
        <f aca="false">'Black-Scholes'!$B$5*EXP(('Black-Scholes'!$B$8-'Black-Scholes'!$B$10-'Black-Scholes'!$B$9^2/2)*'Black-Scholes'!$B$7+'Black-Scholes'!$B$9*SQRT('Black-Scholes'!$B$7)*B1933)</f>
        <v>108.847340840325</v>
      </c>
      <c r="D1933" s="18" t="n">
        <f aca="false">'Black-Scholes'!$B$5*EXP(('Black-Scholes'!$B$8-'Black-Scholes'!$B$10-'Black-Scholes'!$B$9^2/2)*'Black-Scholes'!$B$7-'Black-Scholes'!$B$9*SQRT('Black-Scholes'!$B$7)*B1933)</f>
        <v>97.552823830858</v>
      </c>
      <c r="E1933" s="18" t="n">
        <f aca="false">EXP(-'Black-Scholes'!$B$8*'Black-Scholes'!$B$7)*IF(LOWER('Black-Scholes'!$B$11)="put",MAX('Black-Scholes'!$B$6-C1933,0),MAX(C1933-'Black-Scholes'!$B$6,0))</f>
        <v>8.41585093590418</v>
      </c>
      <c r="F1933" s="18" t="n">
        <f aca="false">(E1933+G1933)/2</f>
        <v>4.20792546795209</v>
      </c>
      <c r="G1933" s="18" t="n">
        <f aca="false">EXP(-'Black-Scholes'!$B$8*'Black-Scholes'!$B$7)*IF(LOWER('Black-Scholes'!$B$11)="put",MAX('Black-Scholes'!$B$6-D1933,0),MAX(D1933-'Black-Scholes'!$B$6,0))</f>
        <v>0</v>
      </c>
    </row>
    <row r="1934" customFormat="false" ht="15" hidden="false" customHeight="false" outlineLevel="0" collapsed="false">
      <c r="A1934" s="0" t="n">
        <v>1923</v>
      </c>
      <c r="B1934" s="15" t="n">
        <v>-0.611346258006373</v>
      </c>
      <c r="C1934" s="18" t="n">
        <f aca="false">'Black-Scholes'!$B$5*EXP(('Black-Scholes'!$B$8-'Black-Scholes'!$B$10-'Black-Scholes'!$B$9^2/2)*'Black-Scholes'!$B$7+'Black-Scholes'!$B$9*SQRT('Black-Scholes'!$B$7)*B1934)</f>
        <v>91.1859596832259</v>
      </c>
      <c r="D1934" s="18" t="n">
        <f aca="false">'Black-Scholes'!$B$5*EXP(('Black-Scholes'!$B$8-'Black-Scholes'!$B$10-'Black-Scholes'!$B$9^2/2)*'Black-Scholes'!$B$7-'Black-Scholes'!$B$9*SQRT('Black-Scholes'!$B$7)*B1934)</f>
        <v>116.447373064243</v>
      </c>
      <c r="E1934" s="18" t="n">
        <f aca="false">EXP(-'Black-Scholes'!$B$8*'Black-Scholes'!$B$7)*IF(LOWER('Black-Scholes'!$B$11)="put",MAX('Black-Scholes'!$B$6-C1934,0),MAX(C1934-'Black-Scholes'!$B$6,0))</f>
        <v>0</v>
      </c>
      <c r="F1934" s="18" t="n">
        <f aca="false">(E1934+G1934)/2</f>
        <v>7.82261260722406</v>
      </c>
      <c r="G1934" s="18" t="n">
        <f aca="false">EXP(-'Black-Scholes'!$B$8*'Black-Scholes'!$B$7)*IF(LOWER('Black-Scholes'!$B$11)="put",MAX('Black-Scholes'!$B$6-D1934,0),MAX(D1934-'Black-Scholes'!$B$6,0))</f>
        <v>15.6452252144481</v>
      </c>
    </row>
    <row r="1935" customFormat="false" ht="15" hidden="false" customHeight="false" outlineLevel="0" collapsed="false">
      <c r="A1935" s="0" t="n">
        <v>1924</v>
      </c>
      <c r="B1935" s="15" t="n">
        <v>0.934373090490717</v>
      </c>
      <c r="C1935" s="18" t="n">
        <f aca="false">'Black-Scholes'!$B$5*EXP(('Black-Scholes'!$B$8-'Black-Scholes'!$B$10-'Black-Scholes'!$B$9^2/2)*'Black-Scholes'!$B$7+'Black-Scholes'!$B$9*SQRT('Black-Scholes'!$B$7)*B1935)</f>
        <v>124.218834443628</v>
      </c>
      <c r="D1935" s="18" t="n">
        <f aca="false">'Black-Scholes'!$B$5*EXP(('Black-Scholes'!$B$8-'Black-Scholes'!$B$10-'Black-Scholes'!$B$9^2/2)*'Black-Scholes'!$B$7-'Black-Scholes'!$B$9*SQRT('Black-Scholes'!$B$7)*B1935)</f>
        <v>85.4811229956625</v>
      </c>
      <c r="E1935" s="18" t="n">
        <f aca="false">EXP(-'Black-Scholes'!$B$8*'Black-Scholes'!$B$7)*IF(LOWER('Black-Scholes'!$B$11)="put",MAX('Black-Scholes'!$B$6-C1935,0),MAX(C1935-'Black-Scholes'!$B$6,0))</f>
        <v>23.0376679498903</v>
      </c>
      <c r="F1935" s="18" t="n">
        <f aca="false">(E1935+G1935)/2</f>
        <v>11.5188339749452</v>
      </c>
      <c r="G1935" s="18" t="n">
        <f aca="false">EXP(-'Black-Scholes'!$B$8*'Black-Scholes'!$B$7)*IF(LOWER('Black-Scholes'!$B$11)="put",MAX('Black-Scholes'!$B$6-D1935,0),MAX(D1935-'Black-Scholes'!$B$6,0))</f>
        <v>0</v>
      </c>
    </row>
    <row r="1936" customFormat="false" ht="15" hidden="false" customHeight="false" outlineLevel="0" collapsed="false">
      <c r="A1936" s="0" t="n">
        <v>1925</v>
      </c>
      <c r="B1936" s="15" t="n">
        <v>-0.427588325114069</v>
      </c>
      <c r="C1936" s="18" t="n">
        <f aca="false">'Black-Scholes'!$B$5*EXP(('Black-Scholes'!$B$8-'Black-Scholes'!$B$10-'Black-Scholes'!$B$9^2/2)*'Black-Scholes'!$B$7+'Black-Scholes'!$B$9*SQRT('Black-Scholes'!$B$7)*B1936)</f>
        <v>94.5995312494057</v>
      </c>
      <c r="D1936" s="18" t="n">
        <f aca="false">'Black-Scholes'!$B$5*EXP(('Black-Scholes'!$B$8-'Black-Scholes'!$B$10-'Black-Scholes'!$B$9^2/2)*'Black-Scholes'!$B$7-'Black-Scholes'!$B$9*SQRT('Black-Scholes'!$B$7)*B1936)</f>
        <v>112.245434255472</v>
      </c>
      <c r="E1936" s="18" t="n">
        <f aca="false">EXP(-'Black-Scholes'!$B$8*'Black-Scholes'!$B$7)*IF(LOWER('Black-Scholes'!$B$11)="put",MAX('Black-Scholes'!$B$6-C1936,0),MAX(C1936-'Black-Scholes'!$B$6,0))</f>
        <v>0</v>
      </c>
      <c r="F1936" s="18" t="n">
        <f aca="false">(E1936+G1936)/2</f>
        <v>5.8241086897968</v>
      </c>
      <c r="G1936" s="18" t="n">
        <f aca="false">EXP(-'Black-Scholes'!$B$8*'Black-Scholes'!$B$7)*IF(LOWER('Black-Scholes'!$B$11)="put",MAX('Black-Scholes'!$B$6-D1936,0),MAX(D1936-'Black-Scholes'!$B$6,0))</f>
        <v>11.6482173795936</v>
      </c>
    </row>
    <row r="1937" customFormat="false" ht="15" hidden="false" customHeight="false" outlineLevel="0" collapsed="false">
      <c r="A1937" s="0" t="n">
        <v>1926</v>
      </c>
      <c r="B1937" s="15" t="n">
        <v>-0.537083040473273</v>
      </c>
      <c r="C1937" s="18" t="n">
        <f aca="false">'Black-Scholes'!$B$5*EXP(('Black-Scholes'!$B$8-'Black-Scholes'!$B$10-'Black-Scholes'!$B$9^2/2)*'Black-Scholes'!$B$7+'Black-Scholes'!$B$9*SQRT('Black-Scholes'!$B$7)*B1937)</f>
        <v>92.5504200737356</v>
      </c>
      <c r="D1937" s="18" t="n">
        <f aca="false">'Black-Scholes'!$B$5*EXP(('Black-Scholes'!$B$8-'Black-Scholes'!$B$10-'Black-Scholes'!$B$9^2/2)*'Black-Scholes'!$B$7-'Black-Scholes'!$B$9*SQRT('Black-Scholes'!$B$7)*B1937)</f>
        <v>114.730602594714</v>
      </c>
      <c r="E1937" s="18" t="n">
        <f aca="false">EXP(-'Black-Scholes'!$B$8*'Black-Scholes'!$B$7)*IF(LOWER('Black-Scholes'!$B$11)="put",MAX('Black-Scholes'!$B$6-C1937,0),MAX(C1937-'Black-Scholes'!$B$6,0))</f>
        <v>0</v>
      </c>
      <c r="F1937" s="18" t="n">
        <f aca="false">(E1937+G1937)/2</f>
        <v>7.00609131435926</v>
      </c>
      <c r="G1937" s="18" t="n">
        <f aca="false">EXP(-'Black-Scholes'!$B$8*'Black-Scholes'!$B$7)*IF(LOWER('Black-Scholes'!$B$11)="put",MAX('Black-Scholes'!$B$6-D1937,0),MAX(D1937-'Black-Scholes'!$B$6,0))</f>
        <v>14.0121826287185</v>
      </c>
    </row>
    <row r="1938" customFormat="false" ht="15" hidden="false" customHeight="false" outlineLevel="0" collapsed="false">
      <c r="A1938" s="0" t="n">
        <v>1927</v>
      </c>
      <c r="B1938" s="15" t="n">
        <v>0.433759964538313</v>
      </c>
      <c r="C1938" s="18" t="n">
        <f aca="false">'Black-Scholes'!$B$5*EXP(('Black-Scholes'!$B$8-'Black-Scholes'!$B$10-'Black-Scholes'!$B$9^2/2)*'Black-Scholes'!$B$7+'Black-Scholes'!$B$9*SQRT('Black-Scholes'!$B$7)*B1938)</f>
        <v>112.384067466738</v>
      </c>
      <c r="D1938" s="18" t="n">
        <f aca="false">'Black-Scholes'!$B$5*EXP(('Black-Scholes'!$B$8-'Black-Scholes'!$B$10-'Black-Scholes'!$B$9^2/2)*'Black-Scholes'!$B$7-'Black-Scholes'!$B$9*SQRT('Black-Scholes'!$B$7)*B1938)</f>
        <v>94.4828364447326</v>
      </c>
      <c r="E1938" s="18" t="n">
        <f aca="false">EXP(-'Black-Scholes'!$B$8*'Black-Scholes'!$B$7)*IF(LOWER('Black-Scholes'!$B$11)="put",MAX('Black-Scholes'!$B$6-C1938,0),MAX(C1938-'Black-Scholes'!$B$6,0))</f>
        <v>11.7800893693632</v>
      </c>
      <c r="F1938" s="18" t="n">
        <f aca="false">(E1938+G1938)/2</f>
        <v>5.89004468468158</v>
      </c>
      <c r="G1938" s="18" t="n">
        <f aca="false">EXP(-'Black-Scholes'!$B$8*'Black-Scholes'!$B$7)*IF(LOWER('Black-Scholes'!$B$11)="put",MAX('Black-Scholes'!$B$6-D1938,0),MAX(D1938-'Black-Scholes'!$B$6,0))</f>
        <v>0</v>
      </c>
    </row>
    <row r="1939" customFormat="false" ht="15" hidden="false" customHeight="false" outlineLevel="0" collapsed="false">
      <c r="A1939" s="0" t="n">
        <v>1928</v>
      </c>
      <c r="B1939" s="15" t="n">
        <v>-0.067993607206128</v>
      </c>
      <c r="C1939" s="18" t="n">
        <f aca="false">'Black-Scholes'!$B$5*EXP(('Black-Scholes'!$B$8-'Black-Scholes'!$B$10-'Black-Scholes'!$B$9^2/2)*'Black-Scholes'!$B$7+'Black-Scholes'!$B$9*SQRT('Black-Scholes'!$B$7)*B1939)</f>
        <v>101.653651788225</v>
      </c>
      <c r="D1939" s="18" t="n">
        <f aca="false">'Black-Scholes'!$B$5*EXP(('Black-Scholes'!$B$8-'Black-Scholes'!$B$10-'Black-Scholes'!$B$9^2/2)*'Black-Scholes'!$B$7-'Black-Scholes'!$B$9*SQRT('Black-Scholes'!$B$7)*B1939)</f>
        <v>104.456310999775</v>
      </c>
      <c r="E1939" s="18" t="n">
        <f aca="false">EXP(-'Black-Scholes'!$B$8*'Black-Scholes'!$B$7)*IF(LOWER('Black-Scholes'!$B$11)="put",MAX('Black-Scholes'!$B$6-C1939,0),MAX(C1939-'Black-Scholes'!$B$6,0))</f>
        <v>1.5730022388374</v>
      </c>
      <c r="F1939" s="18" t="n">
        <f aca="false">(E1939+G1939)/2</f>
        <v>2.90598819327469</v>
      </c>
      <c r="G1939" s="18" t="n">
        <f aca="false">EXP(-'Black-Scholes'!$B$8*'Black-Scholes'!$B$7)*IF(LOWER('Black-Scholes'!$B$11)="put",MAX('Black-Scholes'!$B$6-D1939,0),MAX(D1939-'Black-Scholes'!$B$6,0))</f>
        <v>4.23897414771197</v>
      </c>
    </row>
    <row r="1940" customFormat="false" ht="15" hidden="false" customHeight="false" outlineLevel="0" collapsed="false">
      <c r="A1940" s="0" t="n">
        <v>1929</v>
      </c>
      <c r="B1940" s="15" t="n">
        <v>0.509059501341564</v>
      </c>
      <c r="C1940" s="18" t="n">
        <f aca="false">'Black-Scholes'!$B$5*EXP(('Black-Scholes'!$B$8-'Black-Scholes'!$B$10-'Black-Scholes'!$B$9^2/2)*'Black-Scholes'!$B$7+'Black-Scholes'!$B$9*SQRT('Black-Scholes'!$B$7)*B1940)</f>
        <v>114.089369728436</v>
      </c>
      <c r="D1940" s="18" t="n">
        <f aca="false">'Black-Scholes'!$B$5*EXP(('Black-Scholes'!$B$8-'Black-Scholes'!$B$10-'Black-Scholes'!$B$9^2/2)*'Black-Scholes'!$B$7-'Black-Scholes'!$B$9*SQRT('Black-Scholes'!$B$7)*B1940)</f>
        <v>93.070594488586</v>
      </c>
      <c r="E1940" s="18" t="n">
        <f aca="false">EXP(-'Black-Scholes'!$B$8*'Black-Scholes'!$B$7)*IF(LOWER('Black-Scholes'!$B$11)="put",MAX('Black-Scholes'!$B$6-C1940,0),MAX(C1940-'Black-Scholes'!$B$6,0))</f>
        <v>13.4022230583576</v>
      </c>
      <c r="F1940" s="18" t="n">
        <f aca="false">(E1940+G1940)/2</f>
        <v>6.70111152917881</v>
      </c>
      <c r="G1940" s="18" t="n">
        <f aca="false">EXP(-'Black-Scholes'!$B$8*'Black-Scholes'!$B$7)*IF(LOWER('Black-Scholes'!$B$11)="put",MAX('Black-Scholes'!$B$6-D1940,0),MAX(D1940-'Black-Scholes'!$B$6,0))</f>
        <v>0</v>
      </c>
    </row>
    <row r="1941" customFormat="false" ht="15" hidden="false" customHeight="false" outlineLevel="0" collapsed="false">
      <c r="A1941" s="0" t="n">
        <v>1930</v>
      </c>
      <c r="B1941" s="15" t="n">
        <v>0.148221980389643</v>
      </c>
      <c r="C1941" s="18" t="n">
        <f aca="false">'Black-Scholes'!$B$5*EXP(('Black-Scholes'!$B$8-'Black-Scholes'!$B$10-'Black-Scholes'!$B$9^2/2)*'Black-Scholes'!$B$7+'Black-Scholes'!$B$9*SQRT('Black-Scholes'!$B$7)*B1941)</f>
        <v>106.145902043367</v>
      </c>
      <c r="D1941" s="18" t="n">
        <f aca="false">'Black-Scholes'!$B$5*EXP(('Black-Scholes'!$B$8-'Black-Scholes'!$B$10-'Black-Scholes'!$B$9^2/2)*'Black-Scholes'!$B$7-'Black-Scholes'!$B$9*SQRT('Black-Scholes'!$B$7)*B1941)</f>
        <v>100.035566715664</v>
      </c>
      <c r="E1941" s="18" t="n">
        <f aca="false">EXP(-'Black-Scholes'!$B$8*'Black-Scholes'!$B$7)*IF(LOWER('Black-Scholes'!$B$11)="put",MAX('Black-Scholes'!$B$6-C1941,0),MAX(C1941-'Black-Scholes'!$B$6,0))</f>
        <v>5.8461628637498</v>
      </c>
      <c r="F1941" s="18" t="n">
        <f aca="false">(E1941+G1941)/2</f>
        <v>2.93999748511118</v>
      </c>
      <c r="G1941" s="18" t="n">
        <f aca="false">EXP(-'Black-Scholes'!$B$8*'Black-Scholes'!$B$7)*IF(LOWER('Black-Scholes'!$B$11)="put",MAX('Black-Scholes'!$B$6-D1941,0),MAX(D1941-'Black-Scholes'!$B$6,0))</f>
        <v>0.0338321064725725</v>
      </c>
    </row>
    <row r="1942" customFormat="false" ht="15" hidden="false" customHeight="false" outlineLevel="0" collapsed="false">
      <c r="A1942" s="0" t="n">
        <v>1931</v>
      </c>
      <c r="B1942" s="15" t="n">
        <v>-0.4858758568379</v>
      </c>
      <c r="C1942" s="18" t="n">
        <f aca="false">'Black-Scholes'!$B$5*EXP(('Black-Scholes'!$B$8-'Black-Scholes'!$B$10-'Black-Scholes'!$B$9^2/2)*'Black-Scholes'!$B$7+'Black-Scholes'!$B$9*SQRT('Black-Scholes'!$B$7)*B1942)</f>
        <v>93.5031396261803</v>
      </c>
      <c r="D1942" s="18" t="n">
        <f aca="false">'Black-Scholes'!$B$5*EXP(('Black-Scholes'!$B$8-'Black-Scholes'!$B$10-'Black-Scholes'!$B$9^2/2)*'Black-Scholes'!$B$7-'Black-Scholes'!$B$9*SQRT('Black-Scholes'!$B$7)*B1942)</f>
        <v>113.561592775442</v>
      </c>
      <c r="E1942" s="18" t="n">
        <f aca="false">EXP(-'Black-Scholes'!$B$8*'Black-Scholes'!$B$7)*IF(LOWER('Black-Scholes'!$B$11)="put",MAX('Black-Scholes'!$B$6-C1942,0),MAX(C1942-'Black-Scholes'!$B$6,0))</f>
        <v>0</v>
      </c>
      <c r="F1942" s="18" t="n">
        <f aca="false">(E1942+G1942)/2</f>
        <v>6.45009304554846</v>
      </c>
      <c r="G1942" s="18" t="n">
        <f aca="false">EXP(-'Black-Scholes'!$B$8*'Black-Scholes'!$B$7)*IF(LOWER('Black-Scholes'!$B$11)="put",MAX('Black-Scholes'!$B$6-D1942,0),MAX(D1942-'Black-Scholes'!$B$6,0))</f>
        <v>12.9001860910969</v>
      </c>
    </row>
    <row r="1943" customFormat="false" ht="15" hidden="false" customHeight="false" outlineLevel="0" collapsed="false">
      <c r="A1943" s="0" t="n">
        <v>1932</v>
      </c>
      <c r="B1943" s="15" t="n">
        <v>-1.64110275335799</v>
      </c>
      <c r="C1943" s="18" t="n">
        <f aca="false">'Black-Scholes'!$B$5*EXP(('Black-Scholes'!$B$8-'Black-Scholes'!$B$10-'Black-Scholes'!$B$9^2/2)*'Black-Scholes'!$B$7+'Black-Scholes'!$B$9*SQRT('Black-Scholes'!$B$7)*B1943)</f>
        <v>74.213764274117</v>
      </c>
      <c r="D1943" s="18" t="n">
        <f aca="false">'Black-Scholes'!$B$5*EXP(('Black-Scholes'!$B$8-'Black-Scholes'!$B$10-'Black-Scholes'!$B$9^2/2)*'Black-Scholes'!$B$7-'Black-Scholes'!$B$9*SQRT('Black-Scholes'!$B$7)*B1943)</f>
        <v>143.078114542653</v>
      </c>
      <c r="E1943" s="18" t="n">
        <f aca="false">EXP(-'Black-Scholes'!$B$8*'Black-Scholes'!$B$7)*IF(LOWER('Black-Scholes'!$B$11)="put",MAX('Black-Scholes'!$B$6-C1943,0),MAX(C1943-'Black-Scholes'!$B$6,0))</f>
        <v>0</v>
      </c>
      <c r="F1943" s="18" t="n">
        <f aca="false">(E1943+G1943)/2</f>
        <v>20.488585052492</v>
      </c>
      <c r="G1943" s="18" t="n">
        <f aca="false">EXP(-'Black-Scholes'!$B$8*'Black-Scholes'!$B$7)*IF(LOWER('Black-Scholes'!$B$11)="put",MAX('Black-Scholes'!$B$6-D1943,0),MAX(D1943-'Black-Scholes'!$B$6,0))</f>
        <v>40.9771701049841</v>
      </c>
    </row>
    <row r="1944" customFormat="false" ht="15" hidden="false" customHeight="false" outlineLevel="0" collapsed="false">
      <c r="A1944" s="0" t="n">
        <v>1933</v>
      </c>
      <c r="B1944" s="15" t="n">
        <v>0.0884076566309116</v>
      </c>
      <c r="C1944" s="18" t="n">
        <f aca="false">'Black-Scholes'!$B$5*EXP(('Black-Scholes'!$B$8-'Black-Scholes'!$B$10-'Black-Scholes'!$B$9^2/2)*'Black-Scholes'!$B$7+'Black-Scholes'!$B$9*SQRT('Black-Scholes'!$B$7)*B1944)</f>
        <v>104.883658053626</v>
      </c>
      <c r="D1944" s="18" t="n">
        <f aca="false">'Black-Scholes'!$B$5*EXP(('Black-Scholes'!$B$8-'Black-Scholes'!$B$10-'Black-Scholes'!$B$9^2/2)*'Black-Scholes'!$B$7-'Black-Scholes'!$B$9*SQRT('Black-Scholes'!$B$7)*B1944)</f>
        <v>101.239465351452</v>
      </c>
      <c r="E1944" s="18" t="n">
        <f aca="false">EXP(-'Black-Scholes'!$B$8*'Black-Scholes'!$B$7)*IF(LOWER('Black-Scholes'!$B$11)="put",MAX('Black-Scholes'!$B$6-C1944,0),MAX(C1944-'Black-Scholes'!$B$6,0))</f>
        <v>4.64547923980911</v>
      </c>
      <c r="F1944" s="18" t="n">
        <f aca="false">(E1944+G1944)/2</f>
        <v>2.91224757637954</v>
      </c>
      <c r="G1944" s="18" t="n">
        <f aca="false">EXP(-'Black-Scholes'!$B$8*'Black-Scholes'!$B$7)*IF(LOWER('Black-Scholes'!$B$11)="put",MAX('Black-Scholes'!$B$6-D1944,0),MAX(D1944-'Black-Scholes'!$B$6,0))</f>
        <v>1.17901591294997</v>
      </c>
    </row>
    <row r="1945" customFormat="false" ht="15" hidden="false" customHeight="false" outlineLevel="0" collapsed="false">
      <c r="A1945" s="0" t="n">
        <v>1934</v>
      </c>
      <c r="B1945" s="15" t="n">
        <v>-0.0241941629608752</v>
      </c>
      <c r="C1945" s="18" t="n">
        <f aca="false">'Black-Scholes'!$B$5*EXP(('Black-Scholes'!$B$8-'Black-Scholes'!$B$10-'Black-Scholes'!$B$9^2/2)*'Black-Scholes'!$B$7+'Black-Scholes'!$B$9*SQRT('Black-Scholes'!$B$7)*B1945)</f>
        <v>102.548038122157</v>
      </c>
      <c r="D1945" s="18" t="n">
        <f aca="false">'Black-Scholes'!$B$5*EXP(('Black-Scholes'!$B$8-'Black-Scholes'!$B$10-'Black-Scholes'!$B$9^2/2)*'Black-Scholes'!$B$7-'Black-Scholes'!$B$9*SQRT('Black-Scholes'!$B$7)*B1945)</f>
        <v>103.545281410502</v>
      </c>
      <c r="E1945" s="18" t="n">
        <f aca="false">EXP(-'Black-Scholes'!$B$8*'Black-Scholes'!$B$7)*IF(LOWER('Black-Scholes'!$B$11)="put",MAX('Black-Scholes'!$B$6-C1945,0),MAX(C1945-'Black-Scholes'!$B$6,0))</f>
        <v>2.42376883654518</v>
      </c>
      <c r="F1945" s="18" t="n">
        <f aca="false">(E1945+G1945)/2</f>
        <v>2.89807241617492</v>
      </c>
      <c r="G1945" s="18" t="n">
        <f aca="false">EXP(-'Black-Scholes'!$B$8*'Black-Scholes'!$B$7)*IF(LOWER('Black-Scholes'!$B$11)="put",MAX('Black-Scholes'!$B$6-D1945,0),MAX(D1945-'Black-Scholes'!$B$6,0))</f>
        <v>3.37237599580465</v>
      </c>
    </row>
    <row r="1946" customFormat="false" ht="15" hidden="false" customHeight="false" outlineLevel="0" collapsed="false">
      <c r="A1946" s="0" t="n">
        <v>1935</v>
      </c>
      <c r="B1946" s="15" t="n">
        <v>0.748778504159975</v>
      </c>
      <c r="C1946" s="18" t="n">
        <f aca="false">'Black-Scholes'!$B$5*EXP(('Black-Scholes'!$B$8-'Black-Scholes'!$B$10-'Black-Scholes'!$B$9^2/2)*'Black-Scholes'!$B$7+'Black-Scholes'!$B$9*SQRT('Black-Scholes'!$B$7)*B1946)</f>
        <v>119.692491963938</v>
      </c>
      <c r="D1946" s="18" t="n">
        <f aca="false">'Black-Scholes'!$B$5*EXP(('Black-Scholes'!$B$8-'Black-Scholes'!$B$10-'Black-Scholes'!$B$9^2/2)*'Black-Scholes'!$B$7-'Black-Scholes'!$B$9*SQRT('Black-Scholes'!$B$7)*B1946)</f>
        <v>88.7137137110719</v>
      </c>
      <c r="E1946" s="18" t="n">
        <f aca="false">EXP(-'Black-Scholes'!$B$8*'Black-Scholes'!$B$7)*IF(LOWER('Black-Scholes'!$B$11)="put",MAX('Black-Scholes'!$B$6-C1946,0),MAX(C1946-'Black-Scholes'!$B$6,0))</f>
        <v>18.7320777978419</v>
      </c>
      <c r="F1946" s="18" t="n">
        <f aca="false">(E1946+G1946)/2</f>
        <v>9.36603889892097</v>
      </c>
      <c r="G1946" s="18" t="n">
        <f aca="false">EXP(-'Black-Scholes'!$B$8*'Black-Scholes'!$B$7)*IF(LOWER('Black-Scholes'!$B$11)="put",MAX('Black-Scholes'!$B$6-D1946,0),MAX(D1946-'Black-Scholes'!$B$6,0))</f>
        <v>0</v>
      </c>
    </row>
    <row r="1947" customFormat="false" ht="15" hidden="false" customHeight="false" outlineLevel="0" collapsed="false">
      <c r="A1947" s="0" t="n">
        <v>1936</v>
      </c>
      <c r="B1947" s="15" t="n">
        <v>-0.695883633677959</v>
      </c>
      <c r="C1947" s="18" t="n">
        <f aca="false">'Black-Scholes'!$B$5*EXP(('Black-Scholes'!$B$8-'Black-Scholes'!$B$10-'Black-Scholes'!$B$9^2/2)*'Black-Scholes'!$B$7+'Black-Scholes'!$B$9*SQRT('Black-Scholes'!$B$7)*B1947)</f>
        <v>89.6571955261514</v>
      </c>
      <c r="D1947" s="18" t="n">
        <f aca="false">'Black-Scholes'!$B$5*EXP(('Black-Scholes'!$B$8-'Black-Scholes'!$B$10-'Black-Scholes'!$B$9^2/2)*'Black-Scholes'!$B$7-'Black-Scholes'!$B$9*SQRT('Black-Scholes'!$B$7)*B1947)</f>
        <v>118.432942310318</v>
      </c>
      <c r="E1947" s="18" t="n">
        <f aca="false">EXP(-'Black-Scholes'!$B$8*'Black-Scholes'!$B$7)*IF(LOWER('Black-Scholes'!$B$11)="put",MAX('Black-Scholes'!$B$6-C1947,0),MAX(C1947-'Black-Scholes'!$B$6,0))</f>
        <v>0</v>
      </c>
      <c r="F1947" s="18" t="n">
        <f aca="false">(E1947+G1947)/2</f>
        <v>8.76697855284934</v>
      </c>
      <c r="G1947" s="18" t="n">
        <f aca="false">EXP(-'Black-Scholes'!$B$8*'Black-Scholes'!$B$7)*IF(LOWER('Black-Scholes'!$B$11)="put",MAX('Black-Scholes'!$B$6-D1947,0),MAX(D1947-'Black-Scholes'!$B$6,0))</f>
        <v>17.5339571056987</v>
      </c>
    </row>
    <row r="1948" customFormat="false" ht="15" hidden="false" customHeight="false" outlineLevel="0" collapsed="false">
      <c r="A1948" s="0" t="n">
        <v>1937</v>
      </c>
      <c r="B1948" s="15" t="n">
        <v>-0.552569762758473</v>
      </c>
      <c r="C1948" s="18" t="n">
        <f aca="false">'Black-Scholes'!$B$5*EXP(('Black-Scholes'!$B$8-'Black-Scholes'!$B$10-'Black-Scholes'!$B$9^2/2)*'Black-Scholes'!$B$7+'Black-Scholes'!$B$9*SQRT('Black-Scholes'!$B$7)*B1948)</f>
        <v>92.2642030283326</v>
      </c>
      <c r="D1948" s="18" t="n">
        <f aca="false">'Black-Scholes'!$B$5*EXP(('Black-Scholes'!$B$8-'Black-Scholes'!$B$10-'Black-Scholes'!$B$9^2/2)*'Black-Scholes'!$B$7-'Black-Scholes'!$B$9*SQRT('Black-Scholes'!$B$7)*B1948)</f>
        <v>115.086513695814</v>
      </c>
      <c r="E1948" s="18" t="n">
        <f aca="false">EXP(-'Black-Scholes'!$B$8*'Black-Scholes'!$B$7)*IF(LOWER('Black-Scholes'!$B$11)="put",MAX('Black-Scholes'!$B$6-C1948,0),MAX(C1948-'Black-Scholes'!$B$6,0))</f>
        <v>0</v>
      </c>
      <c r="F1948" s="18" t="n">
        <f aca="false">(E1948+G1948)/2</f>
        <v>7.17536787029582</v>
      </c>
      <c r="G1948" s="18" t="n">
        <f aca="false">EXP(-'Black-Scholes'!$B$8*'Black-Scholes'!$B$7)*IF(LOWER('Black-Scholes'!$B$11)="put",MAX('Black-Scholes'!$B$6-D1948,0),MAX(D1948-'Black-Scholes'!$B$6,0))</f>
        <v>14.3507357405916</v>
      </c>
    </row>
    <row r="1949" customFormat="false" ht="15" hidden="false" customHeight="false" outlineLevel="0" collapsed="false">
      <c r="A1949" s="0" t="n">
        <v>1938</v>
      </c>
      <c r="B1949" s="15" t="n">
        <v>-1.27014495513056</v>
      </c>
      <c r="C1949" s="18" t="n">
        <f aca="false">'Black-Scholes'!$B$5*EXP(('Black-Scholes'!$B$8-'Black-Scholes'!$B$10-'Black-Scholes'!$B$9^2/2)*'Black-Scholes'!$B$7+'Black-Scholes'!$B$9*SQRT('Black-Scholes'!$B$7)*B1949)</f>
        <v>79.9291961739334</v>
      </c>
      <c r="D1949" s="18" t="n">
        <f aca="false">'Black-Scholes'!$B$5*EXP(('Black-Scholes'!$B$8-'Black-Scholes'!$B$10-'Black-Scholes'!$B$9^2/2)*'Black-Scholes'!$B$7-'Black-Scholes'!$B$9*SQRT('Black-Scholes'!$B$7)*B1949)</f>
        <v>132.847144394484</v>
      </c>
      <c r="E1949" s="18" t="n">
        <f aca="false">EXP(-'Black-Scholes'!$B$8*'Black-Scholes'!$B$7)*IF(LOWER('Black-Scholes'!$B$11)="put",MAX('Black-Scholes'!$B$6-C1949,0),MAX(C1949-'Black-Scholes'!$B$6,0))</f>
        <v>0</v>
      </c>
      <c r="F1949" s="18" t="n">
        <f aca="false">(E1949+G1949)/2</f>
        <v>15.6225851294286</v>
      </c>
      <c r="G1949" s="18" t="n">
        <f aca="false">EXP(-'Black-Scholes'!$B$8*'Black-Scholes'!$B$7)*IF(LOWER('Black-Scholes'!$B$11)="put",MAX('Black-Scholes'!$B$6-D1949,0),MAX(D1949-'Black-Scholes'!$B$6,0))</f>
        <v>31.2451702588572</v>
      </c>
    </row>
    <row r="1950" customFormat="false" ht="15" hidden="false" customHeight="false" outlineLevel="0" collapsed="false">
      <c r="A1950" s="0" t="n">
        <v>1939</v>
      </c>
      <c r="B1950" s="15" t="n">
        <v>-0.0835712512221353</v>
      </c>
      <c r="C1950" s="18" t="n">
        <f aca="false">'Black-Scholes'!$B$5*EXP(('Black-Scholes'!$B$8-'Black-Scholes'!$B$10-'Black-Scholes'!$B$9^2/2)*'Black-Scholes'!$B$7+'Black-Scholes'!$B$9*SQRT('Black-Scholes'!$B$7)*B1950)</f>
        <v>101.337439747764</v>
      </c>
      <c r="D1950" s="18" t="n">
        <f aca="false">'Black-Scholes'!$B$5*EXP(('Black-Scholes'!$B$8-'Black-Scholes'!$B$10-'Black-Scholes'!$B$9^2/2)*'Black-Scholes'!$B$7-'Black-Scholes'!$B$9*SQRT('Black-Scholes'!$B$7)*B1950)</f>
        <v>104.782255125879</v>
      </c>
      <c r="E1950" s="18" t="n">
        <f aca="false">EXP(-'Black-Scholes'!$B$8*'Black-Scholes'!$B$7)*IF(LOWER('Black-Scholes'!$B$11)="put",MAX('Black-Scholes'!$B$6-C1950,0),MAX(C1950-'Black-Scholes'!$B$6,0))</f>
        <v>1.27221204157011</v>
      </c>
      <c r="F1950" s="18" t="n">
        <f aca="false">(E1950+G1950)/2</f>
        <v>2.91061691638769</v>
      </c>
      <c r="G1950" s="18" t="n">
        <f aca="false">EXP(-'Black-Scholes'!$B$8*'Black-Scholes'!$B$7)*IF(LOWER('Black-Scholes'!$B$11)="put",MAX('Black-Scholes'!$B$6-D1950,0),MAX(D1950-'Black-Scholes'!$B$6,0))</f>
        <v>4.54902179120526</v>
      </c>
    </row>
    <row r="1951" customFormat="false" ht="15" hidden="false" customHeight="false" outlineLevel="0" collapsed="false">
      <c r="A1951" s="0" t="n">
        <v>1940</v>
      </c>
      <c r="B1951" s="15" t="n">
        <v>0.283365764940977</v>
      </c>
      <c r="C1951" s="18" t="n">
        <f aca="false">'Black-Scholes'!$B$5*EXP(('Black-Scholes'!$B$8-'Black-Scholes'!$B$10-'Black-Scholes'!$B$9^2/2)*'Black-Scholes'!$B$7+'Black-Scholes'!$B$9*SQRT('Black-Scholes'!$B$7)*B1951)</f>
        <v>109.054018166166</v>
      </c>
      <c r="D1951" s="18" t="n">
        <f aca="false">'Black-Scholes'!$B$5*EXP(('Black-Scholes'!$B$8-'Black-Scholes'!$B$10-'Black-Scholes'!$B$9^2/2)*'Black-Scholes'!$B$7-'Black-Scholes'!$B$9*SQRT('Black-Scholes'!$B$7)*B1951)</f>
        <v>97.3679433734789</v>
      </c>
      <c r="E1951" s="18" t="n">
        <f aca="false">EXP(-'Black-Scholes'!$B$8*'Black-Scholes'!$B$7)*IF(LOWER('Black-Scholes'!$B$11)="put",MAX('Black-Scholes'!$B$6-C1951,0),MAX(C1951-'Black-Scholes'!$B$6,0))</f>
        <v>8.61244848962111</v>
      </c>
      <c r="F1951" s="18" t="n">
        <f aca="false">(E1951+G1951)/2</f>
        <v>4.30622424481056</v>
      </c>
      <c r="G1951" s="18" t="n">
        <f aca="false">EXP(-'Black-Scholes'!$B$8*'Black-Scholes'!$B$7)*IF(LOWER('Black-Scholes'!$B$11)="put",MAX('Black-Scholes'!$B$6-D1951,0),MAX(D1951-'Black-Scholes'!$B$6,0))</f>
        <v>0</v>
      </c>
    </row>
    <row r="1952" customFormat="false" ht="15" hidden="false" customHeight="false" outlineLevel="0" collapsed="false">
      <c r="A1952" s="0" t="n">
        <v>1941</v>
      </c>
      <c r="B1952" s="15" t="n">
        <v>-1.08243249725592</v>
      </c>
      <c r="C1952" s="18" t="n">
        <f aca="false">'Black-Scholes'!$B$5*EXP(('Black-Scholes'!$B$8-'Black-Scholes'!$B$10-'Black-Scholes'!$B$9^2/2)*'Black-Scholes'!$B$7+'Black-Scholes'!$B$9*SQRT('Black-Scholes'!$B$7)*B1952)</f>
        <v>82.9869765572999</v>
      </c>
      <c r="D1952" s="18" t="n">
        <f aca="false">'Black-Scholes'!$B$5*EXP(('Black-Scholes'!$B$8-'Black-Scholes'!$B$10-'Black-Scholes'!$B$9^2/2)*'Black-Scholes'!$B$7-'Black-Scholes'!$B$9*SQRT('Black-Scholes'!$B$7)*B1952)</f>
        <v>127.952190885301</v>
      </c>
      <c r="E1952" s="18" t="n">
        <f aca="false">EXP(-'Black-Scholes'!$B$8*'Black-Scholes'!$B$7)*IF(LOWER('Black-Scholes'!$B$11)="put",MAX('Black-Scholes'!$B$6-C1952,0),MAX(C1952-'Black-Scholes'!$B$6,0))</f>
        <v>0</v>
      </c>
      <c r="F1952" s="18" t="n">
        <f aca="false">(E1952+G1952)/2</f>
        <v>13.2944732246793</v>
      </c>
      <c r="G1952" s="18" t="n">
        <f aca="false">EXP(-'Black-Scholes'!$B$8*'Black-Scholes'!$B$7)*IF(LOWER('Black-Scholes'!$B$11)="put",MAX('Black-Scholes'!$B$6-D1952,0),MAX(D1952-'Black-Scholes'!$B$6,0))</f>
        <v>26.5889464493586</v>
      </c>
    </row>
    <row r="1953" customFormat="false" ht="15" hidden="false" customHeight="false" outlineLevel="0" collapsed="false">
      <c r="A1953" s="0" t="n">
        <v>1942</v>
      </c>
      <c r="B1953" s="15" t="n">
        <v>1.23704872216024</v>
      </c>
      <c r="C1953" s="18" t="n">
        <f aca="false">'Black-Scholes'!$B$5*EXP(('Black-Scholes'!$B$8-'Black-Scholes'!$B$10-'Black-Scholes'!$B$9^2/2)*'Black-Scholes'!$B$7+'Black-Scholes'!$B$9*SQRT('Black-Scholes'!$B$7)*B1953)</f>
        <v>131.970700286331</v>
      </c>
      <c r="D1953" s="18" t="n">
        <f aca="false">'Black-Scholes'!$B$5*EXP(('Black-Scholes'!$B$8-'Black-Scholes'!$B$10-'Black-Scholes'!$B$9^2/2)*'Black-Scholes'!$B$7-'Black-Scholes'!$B$9*SQRT('Black-Scholes'!$B$7)*B1953)</f>
        <v>80.460022129271</v>
      </c>
      <c r="E1953" s="18" t="n">
        <f aca="false">EXP(-'Black-Scholes'!$B$8*'Black-Scholes'!$B$7)*IF(LOWER('Black-Scholes'!$B$11)="put",MAX('Black-Scholes'!$B$6-C1953,0),MAX(C1953-'Black-Scholes'!$B$6,0))</f>
        <v>30.4114708342517</v>
      </c>
      <c r="F1953" s="18" t="n">
        <f aca="false">(E1953+G1953)/2</f>
        <v>15.2057354171258</v>
      </c>
      <c r="G1953" s="18" t="n">
        <f aca="false">EXP(-'Black-Scholes'!$B$8*'Black-Scholes'!$B$7)*IF(LOWER('Black-Scholes'!$B$11)="put",MAX('Black-Scholes'!$B$6-D1953,0),MAX(D1953-'Black-Scholes'!$B$6,0))</f>
        <v>0</v>
      </c>
    </row>
    <row r="1954" customFormat="false" ht="15" hidden="false" customHeight="false" outlineLevel="0" collapsed="false">
      <c r="A1954" s="0" t="n">
        <v>1943</v>
      </c>
      <c r="B1954" s="15" t="n">
        <v>0.386488878257427</v>
      </c>
      <c r="C1954" s="18" t="n">
        <f aca="false">'Black-Scholes'!$B$5*EXP(('Black-Scholes'!$B$8-'Black-Scholes'!$B$10-'Black-Scholes'!$B$9^2/2)*'Black-Scholes'!$B$7+'Black-Scholes'!$B$9*SQRT('Black-Scholes'!$B$7)*B1954)</f>
        <v>111.326570854904</v>
      </c>
      <c r="D1954" s="18" t="n">
        <f aca="false">'Black-Scholes'!$B$5*EXP(('Black-Scholes'!$B$8-'Black-Scholes'!$B$10-'Black-Scholes'!$B$9^2/2)*'Black-Scholes'!$B$7-'Black-Scholes'!$B$9*SQRT('Black-Scholes'!$B$7)*B1954)</f>
        <v>95.3803335889408</v>
      </c>
      <c r="E1954" s="18" t="n">
        <f aca="false">EXP(-'Black-Scholes'!$B$8*'Black-Scholes'!$B$7)*IF(LOWER('Black-Scholes'!$B$11)="put",MAX('Black-Scholes'!$B$6-C1954,0),MAX(C1954-'Black-Scholes'!$B$6,0))</f>
        <v>10.7741674758769</v>
      </c>
      <c r="F1954" s="18" t="n">
        <f aca="false">(E1954+G1954)/2</f>
        <v>5.38708373793845</v>
      </c>
      <c r="G1954" s="18" t="n">
        <f aca="false">EXP(-'Black-Scholes'!$B$8*'Black-Scholes'!$B$7)*IF(LOWER('Black-Scholes'!$B$11)="put",MAX('Black-Scholes'!$B$6-D1954,0),MAX(D1954-'Black-Scholes'!$B$6,0))</f>
        <v>0</v>
      </c>
    </row>
    <row r="1955" customFormat="false" ht="15" hidden="false" customHeight="false" outlineLevel="0" collapsed="false">
      <c r="A1955" s="0" t="n">
        <v>1944</v>
      </c>
      <c r="B1955" s="15" t="n">
        <v>-0.79655782604631</v>
      </c>
      <c r="C1955" s="18" t="n">
        <f aca="false">'Black-Scholes'!$B$5*EXP(('Black-Scholes'!$B$8-'Black-Scholes'!$B$10-'Black-Scholes'!$B$9^2/2)*'Black-Scholes'!$B$7+'Black-Scholes'!$B$9*SQRT('Black-Scholes'!$B$7)*B1955)</f>
        <v>87.8700150495909</v>
      </c>
      <c r="D1955" s="18" t="n">
        <f aca="false">'Black-Scholes'!$B$5*EXP(('Black-Scholes'!$B$8-'Black-Scholes'!$B$10-'Black-Scholes'!$B$9^2/2)*'Black-Scholes'!$B$7-'Black-Scholes'!$B$9*SQRT('Black-Scholes'!$B$7)*B1955)</f>
        <v>120.841739465516</v>
      </c>
      <c r="E1955" s="18" t="n">
        <f aca="false">EXP(-'Black-Scholes'!$B$8*'Black-Scholes'!$B$7)*IF(LOWER('Black-Scholes'!$B$11)="put",MAX('Black-Scholes'!$B$6-C1955,0),MAX(C1955-'Black-Scholes'!$B$6,0))</f>
        <v>0</v>
      </c>
      <c r="F1955" s="18" t="n">
        <f aca="false">(E1955+G1955)/2</f>
        <v>9.91263791868812</v>
      </c>
      <c r="G1955" s="18" t="n">
        <f aca="false">EXP(-'Black-Scholes'!$B$8*'Black-Scholes'!$B$7)*IF(LOWER('Black-Scholes'!$B$11)="put",MAX('Black-Scholes'!$B$6-D1955,0),MAX(D1955-'Black-Scholes'!$B$6,0))</f>
        <v>19.8252758373762</v>
      </c>
    </row>
    <row r="1956" customFormat="false" ht="15" hidden="false" customHeight="false" outlineLevel="0" collapsed="false">
      <c r="A1956" s="0" t="n">
        <v>1945</v>
      </c>
      <c r="B1956" s="15" t="n">
        <v>-0.161508280977522</v>
      </c>
      <c r="C1956" s="18" t="n">
        <f aca="false">'Black-Scholes'!$B$5*EXP(('Black-Scholes'!$B$8-'Black-Scholes'!$B$10-'Black-Scholes'!$B$9^2/2)*'Black-Scholes'!$B$7+'Black-Scholes'!$B$9*SQRT('Black-Scholes'!$B$7)*B1956)</f>
        <v>99.7700990584069</v>
      </c>
      <c r="D1956" s="18" t="n">
        <f aca="false">'Black-Scholes'!$B$5*EXP(('Black-Scholes'!$B$8-'Black-Scholes'!$B$10-'Black-Scholes'!$B$9^2/2)*'Black-Scholes'!$B$7-'Black-Scholes'!$B$9*SQRT('Black-Scholes'!$B$7)*B1956)</f>
        <v>106.428334397438</v>
      </c>
      <c r="E1956" s="18" t="n">
        <f aca="false">EXP(-'Black-Scholes'!$B$8*'Black-Scholes'!$B$7)*IF(LOWER('Black-Scholes'!$B$11)="put",MAX('Black-Scholes'!$B$6-C1956,0),MAX(C1956-'Black-Scholes'!$B$6,0))</f>
        <v>0</v>
      </c>
      <c r="F1956" s="18" t="n">
        <f aca="false">(E1956+G1956)/2</f>
        <v>3.05741041468634</v>
      </c>
      <c r="G1956" s="18" t="n">
        <f aca="false">EXP(-'Black-Scholes'!$B$8*'Black-Scholes'!$B$7)*IF(LOWER('Black-Scholes'!$B$11)="put",MAX('Black-Scholes'!$B$6-D1956,0),MAX(D1956-'Black-Scholes'!$B$6,0))</f>
        <v>6.11482082937268</v>
      </c>
    </row>
    <row r="1957" customFormat="false" ht="15" hidden="false" customHeight="false" outlineLevel="0" collapsed="false">
      <c r="A1957" s="0" t="n">
        <v>1946</v>
      </c>
      <c r="B1957" s="15" t="n">
        <v>-0.161894879626512</v>
      </c>
      <c r="C1957" s="18" t="n">
        <f aca="false">'Black-Scholes'!$B$5*EXP(('Black-Scholes'!$B$8-'Black-Scholes'!$B$10-'Black-Scholes'!$B$9^2/2)*'Black-Scholes'!$B$7+'Black-Scholes'!$B$9*SQRT('Black-Scholes'!$B$7)*B1957)</f>
        <v>99.7623851595279</v>
      </c>
      <c r="D1957" s="18" t="n">
        <f aca="false">'Black-Scholes'!$B$5*EXP(('Black-Scholes'!$B$8-'Black-Scholes'!$B$10-'Black-Scholes'!$B$9^2/2)*'Black-Scholes'!$B$7-'Black-Scholes'!$B$9*SQRT('Black-Scholes'!$B$7)*B1957)</f>
        <v>106.436563725637</v>
      </c>
      <c r="E1957" s="18" t="n">
        <f aca="false">EXP(-'Black-Scholes'!$B$8*'Black-Scholes'!$B$7)*IF(LOWER('Black-Scholes'!$B$11)="put",MAX('Black-Scholes'!$B$6-C1957,0),MAX(C1957-'Black-Scholes'!$B$6,0))</f>
        <v>0</v>
      </c>
      <c r="F1957" s="18" t="n">
        <f aca="false">(E1957+G1957)/2</f>
        <v>3.06132440424977</v>
      </c>
      <c r="G1957" s="18" t="n">
        <f aca="false">EXP(-'Black-Scholes'!$B$8*'Black-Scholes'!$B$7)*IF(LOWER('Black-Scholes'!$B$11)="put",MAX('Black-Scholes'!$B$6-D1957,0),MAX(D1957-'Black-Scholes'!$B$6,0))</f>
        <v>6.12264880849953</v>
      </c>
    </row>
    <row r="1958" customFormat="false" ht="15" hidden="false" customHeight="false" outlineLevel="0" collapsed="false">
      <c r="A1958" s="0" t="n">
        <v>1947</v>
      </c>
      <c r="B1958" s="15" t="n">
        <v>1.23305223654836</v>
      </c>
      <c r="C1958" s="18" t="n">
        <f aca="false">'Black-Scholes'!$B$5*EXP(('Black-Scholes'!$B$8-'Black-Scholes'!$B$10-'Black-Scholes'!$B$9^2/2)*'Black-Scholes'!$B$7+'Black-Scholes'!$B$9*SQRT('Black-Scholes'!$B$7)*B1958)</f>
        <v>131.865258630574</v>
      </c>
      <c r="D1958" s="18" t="n">
        <f aca="false">'Black-Scholes'!$B$5*EXP(('Black-Scholes'!$B$8-'Black-Scholes'!$B$10-'Black-Scholes'!$B$9^2/2)*'Black-Scholes'!$B$7-'Black-Scholes'!$B$9*SQRT('Black-Scholes'!$B$7)*B1958)</f>
        <v>80.5243593022585</v>
      </c>
      <c r="E1958" s="18" t="n">
        <f aca="false">EXP(-'Black-Scholes'!$B$8*'Black-Scholes'!$B$7)*IF(LOWER('Black-Scholes'!$B$11)="put",MAX('Black-Scholes'!$B$6-C1958,0),MAX(C1958-'Black-Scholes'!$B$6,0))</f>
        <v>30.3111716287275</v>
      </c>
      <c r="F1958" s="18" t="n">
        <f aca="false">(E1958+G1958)/2</f>
        <v>15.1555858143638</v>
      </c>
      <c r="G1958" s="18" t="n">
        <f aca="false">EXP(-'Black-Scholes'!$B$8*'Black-Scholes'!$B$7)*IF(LOWER('Black-Scholes'!$B$11)="put",MAX('Black-Scholes'!$B$6-D1958,0),MAX(D1958-'Black-Scholes'!$B$6,0))</f>
        <v>0</v>
      </c>
    </row>
    <row r="1959" customFormat="false" ht="15" hidden="false" customHeight="false" outlineLevel="0" collapsed="false">
      <c r="A1959" s="0" t="n">
        <v>1948</v>
      </c>
      <c r="B1959" s="15" t="n">
        <v>2.01037134456697</v>
      </c>
      <c r="C1959" s="18" t="n">
        <f aca="false">'Black-Scholes'!$B$5*EXP(('Black-Scholes'!$B$8-'Black-Scholes'!$B$10-'Black-Scholes'!$B$9^2/2)*'Black-Scholes'!$B$7+'Black-Scholes'!$B$9*SQRT('Black-Scholes'!$B$7)*B1959)</f>
        <v>154.044951842464</v>
      </c>
      <c r="D1959" s="18" t="n">
        <f aca="false">'Black-Scholes'!$B$5*EXP(('Black-Scholes'!$B$8-'Black-Scholes'!$B$10-'Black-Scholes'!$B$9^2/2)*'Black-Scholes'!$B$7-'Black-Scholes'!$B$9*SQRT('Black-Scholes'!$B$7)*B1959)</f>
        <v>68.9303046834835</v>
      </c>
      <c r="E1959" s="18" t="n">
        <f aca="false">EXP(-'Black-Scholes'!$B$8*'Black-Scholes'!$B$7)*IF(LOWER('Black-Scholes'!$B$11)="put",MAX('Black-Scholes'!$B$6-C1959,0),MAX(C1959-'Black-Scholes'!$B$6,0))</f>
        <v>51.409148438276</v>
      </c>
      <c r="F1959" s="18" t="n">
        <f aca="false">(E1959+G1959)/2</f>
        <v>25.704574219138</v>
      </c>
      <c r="G1959" s="18" t="n">
        <f aca="false">EXP(-'Black-Scholes'!$B$8*'Black-Scholes'!$B$7)*IF(LOWER('Black-Scholes'!$B$11)="put",MAX('Black-Scholes'!$B$6-D1959,0),MAX(D1959-'Black-Scholes'!$B$6,0))</f>
        <v>0</v>
      </c>
    </row>
    <row r="1960" customFormat="false" ht="15" hidden="false" customHeight="false" outlineLevel="0" collapsed="false">
      <c r="A1960" s="0" t="n">
        <v>1949</v>
      </c>
      <c r="B1960" s="15" t="n">
        <v>0.139423886657195</v>
      </c>
      <c r="C1960" s="18" t="n">
        <f aca="false">'Black-Scholes'!$B$5*EXP(('Black-Scholes'!$B$8-'Black-Scholes'!$B$10-'Black-Scholes'!$B$9^2/2)*'Black-Scholes'!$B$7+'Black-Scholes'!$B$9*SQRT('Black-Scholes'!$B$7)*B1960)</f>
        <v>105.959289955483</v>
      </c>
      <c r="D1960" s="18" t="n">
        <f aca="false">'Black-Scholes'!$B$5*EXP(('Black-Scholes'!$B$8-'Black-Scholes'!$B$10-'Black-Scholes'!$B$9^2/2)*'Black-Scholes'!$B$7-'Black-Scholes'!$B$9*SQRT('Black-Scholes'!$B$7)*B1960)</f>
        <v>100.211746133017</v>
      </c>
      <c r="E1960" s="18" t="n">
        <f aca="false">EXP(-'Black-Scholes'!$B$8*'Black-Scholes'!$B$7)*IF(LOWER('Black-Scholes'!$B$11)="put",MAX('Black-Scholes'!$B$6-C1960,0),MAX(C1960-'Black-Scholes'!$B$6,0))</f>
        <v>5.66865195478654</v>
      </c>
      <c r="F1960" s="18" t="n">
        <f aca="false">(E1960+G1960)/2</f>
        <v>2.93503555351846</v>
      </c>
      <c r="G1960" s="18" t="n">
        <f aca="false">EXP(-'Black-Scholes'!$B$8*'Black-Scholes'!$B$7)*IF(LOWER('Black-Scholes'!$B$11)="put",MAX('Black-Scholes'!$B$6-D1960,0),MAX(D1960-'Black-Scholes'!$B$6,0))</f>
        <v>0.201419152250393</v>
      </c>
    </row>
    <row r="1961" customFormat="false" ht="15" hidden="false" customHeight="false" outlineLevel="0" collapsed="false">
      <c r="A1961" s="0" t="n">
        <v>1950</v>
      </c>
      <c r="B1961" s="15" t="n">
        <v>0.768227320692721</v>
      </c>
      <c r="C1961" s="18" t="n">
        <f aca="false">'Black-Scholes'!$B$5*EXP(('Black-Scholes'!$B$8-'Black-Scholes'!$B$10-'Black-Scholes'!$B$9^2/2)*'Black-Scholes'!$B$7+'Black-Scholes'!$B$9*SQRT('Black-Scholes'!$B$7)*B1961)</f>
        <v>120.158974091615</v>
      </c>
      <c r="D1961" s="18" t="n">
        <f aca="false">'Black-Scholes'!$B$5*EXP(('Black-Scholes'!$B$8-'Black-Scholes'!$B$10-'Black-Scholes'!$B$9^2/2)*'Black-Scholes'!$B$7-'Black-Scholes'!$B$9*SQRT('Black-Scholes'!$B$7)*B1961)</f>
        <v>88.3693086240706</v>
      </c>
      <c r="E1961" s="18" t="n">
        <f aca="false">EXP(-'Black-Scholes'!$B$8*'Black-Scholes'!$B$7)*IF(LOWER('Black-Scholes'!$B$11)="put",MAX('Black-Scholes'!$B$6-C1961,0),MAX(C1961-'Black-Scholes'!$B$6,0))</f>
        <v>19.1758093236914</v>
      </c>
      <c r="F1961" s="18" t="n">
        <f aca="false">(E1961+G1961)/2</f>
        <v>9.58790466184568</v>
      </c>
      <c r="G1961" s="18" t="n">
        <f aca="false">EXP(-'Black-Scholes'!$B$8*'Black-Scholes'!$B$7)*IF(LOWER('Black-Scholes'!$B$11)="put",MAX('Black-Scholes'!$B$6-D1961,0),MAX(D1961-'Black-Scholes'!$B$6,0))</f>
        <v>0</v>
      </c>
    </row>
    <row r="1962" customFormat="false" ht="15" hidden="false" customHeight="false" outlineLevel="0" collapsed="false">
      <c r="A1962" s="0" t="n">
        <v>1951</v>
      </c>
      <c r="B1962" s="15" t="n">
        <v>-0.596208969024423</v>
      </c>
      <c r="C1962" s="18" t="n">
        <f aca="false">'Black-Scholes'!$B$5*EXP(('Black-Scholes'!$B$8-'Black-Scholes'!$B$10-'Black-Scholes'!$B$9^2/2)*'Black-Scholes'!$B$7+'Black-Scholes'!$B$9*SQRT('Black-Scholes'!$B$7)*B1962)</f>
        <v>91.4624396323058</v>
      </c>
      <c r="D1962" s="18" t="n">
        <f aca="false">'Black-Scholes'!$B$5*EXP(('Black-Scholes'!$B$8-'Black-Scholes'!$B$10-'Black-Scholes'!$B$9^2/2)*'Black-Scholes'!$B$7-'Black-Scholes'!$B$9*SQRT('Black-Scholes'!$B$7)*B1962)</f>
        <v>116.095366667904</v>
      </c>
      <c r="E1962" s="18" t="n">
        <f aca="false">EXP(-'Black-Scholes'!$B$8*'Black-Scholes'!$B$7)*IF(LOWER('Black-Scholes'!$B$11)="put",MAX('Black-Scholes'!$B$6-C1962,0),MAX(C1962-'Black-Scholes'!$B$6,0))</f>
        <v>0</v>
      </c>
      <c r="F1962" s="18" t="n">
        <f aca="false">(E1962+G1962)/2</f>
        <v>7.65519318631926</v>
      </c>
      <c r="G1962" s="18" t="n">
        <f aca="false">EXP(-'Black-Scholes'!$B$8*'Black-Scholes'!$B$7)*IF(LOWER('Black-Scholes'!$B$11)="put",MAX('Black-Scholes'!$B$6-D1962,0),MAX(D1962-'Black-Scholes'!$B$6,0))</f>
        <v>15.3103863726385</v>
      </c>
    </row>
    <row r="1963" customFormat="false" ht="15" hidden="false" customHeight="false" outlineLevel="0" collapsed="false">
      <c r="A1963" s="0" t="n">
        <v>1952</v>
      </c>
      <c r="B1963" s="15" t="n">
        <v>0.0429861567019235</v>
      </c>
      <c r="C1963" s="18" t="n">
        <f aca="false">'Black-Scholes'!$B$5*EXP(('Black-Scholes'!$B$8-'Black-Scholes'!$B$10-'Black-Scholes'!$B$9^2/2)*'Black-Scholes'!$B$7+'Black-Scholes'!$B$9*SQRT('Black-Scholes'!$B$7)*B1963)</f>
        <v>103.935178101196</v>
      </c>
      <c r="D1963" s="18" t="n">
        <f aca="false">'Black-Scholes'!$B$5*EXP(('Black-Scholes'!$B$8-'Black-Scholes'!$B$10-'Black-Scholes'!$B$9^2/2)*'Black-Scholes'!$B$7-'Black-Scholes'!$B$9*SQRT('Black-Scholes'!$B$7)*B1963)</f>
        <v>102.16334507182</v>
      </c>
      <c r="E1963" s="18" t="n">
        <f aca="false">EXP(-'Black-Scholes'!$B$8*'Black-Scholes'!$B$7)*IF(LOWER('Black-Scholes'!$B$11)="put",MAX('Black-Scholes'!$B$6-C1963,0),MAX(C1963-'Black-Scholes'!$B$6,0))</f>
        <v>3.74325720050858</v>
      </c>
      <c r="F1963" s="18" t="n">
        <f aca="false">(E1963+G1963)/2</f>
        <v>2.90054734408633</v>
      </c>
      <c r="G1963" s="18" t="n">
        <f aca="false">EXP(-'Black-Scholes'!$B$8*'Black-Scholes'!$B$7)*IF(LOWER('Black-Scholes'!$B$11)="put",MAX('Black-Scholes'!$B$6-D1963,0),MAX(D1963-'Black-Scholes'!$B$6,0))</f>
        <v>2.05783748766408</v>
      </c>
    </row>
    <row r="1964" customFormat="false" ht="15" hidden="false" customHeight="false" outlineLevel="0" collapsed="false">
      <c r="A1964" s="0" t="n">
        <v>1953</v>
      </c>
      <c r="B1964" s="15" t="n">
        <v>1.81692774978756</v>
      </c>
      <c r="C1964" s="18" t="n">
        <f aca="false">'Black-Scholes'!$B$5*EXP(('Black-Scholes'!$B$8-'Black-Scholes'!$B$10-'Black-Scholes'!$B$9^2/2)*'Black-Scholes'!$B$7+'Black-Scholes'!$B$9*SQRT('Black-Scholes'!$B$7)*B1964)</f>
        <v>148.198966024599</v>
      </c>
      <c r="D1964" s="18" t="n">
        <f aca="false">'Black-Scholes'!$B$5*EXP(('Black-Scholes'!$B$8-'Black-Scholes'!$B$10-'Black-Scholes'!$B$9^2/2)*'Black-Scholes'!$B$7-'Black-Scholes'!$B$9*SQRT('Black-Scholes'!$B$7)*B1964)</f>
        <v>71.6493896704454</v>
      </c>
      <c r="E1964" s="18" t="n">
        <f aca="false">EXP(-'Black-Scholes'!$B$8*'Black-Scholes'!$B$7)*IF(LOWER('Black-Scholes'!$B$11)="put",MAX('Black-Scholes'!$B$6-C1964,0),MAX(C1964-'Black-Scholes'!$B$6,0))</f>
        <v>45.8482747131088</v>
      </c>
      <c r="F1964" s="18" t="n">
        <f aca="false">(E1964+G1964)/2</f>
        <v>22.9241373565544</v>
      </c>
      <c r="G1964" s="18" t="n">
        <f aca="false">EXP(-'Black-Scholes'!$B$8*'Black-Scholes'!$B$7)*IF(LOWER('Black-Scholes'!$B$11)="put",MAX('Black-Scholes'!$B$6-D1964,0),MAX(D1964-'Black-Scholes'!$B$6,0))</f>
        <v>0</v>
      </c>
    </row>
    <row r="1965" customFormat="false" ht="15" hidden="false" customHeight="false" outlineLevel="0" collapsed="false">
      <c r="A1965" s="0" t="n">
        <v>1954</v>
      </c>
      <c r="B1965" s="15" t="n">
        <v>0.505448968702144</v>
      </c>
      <c r="C1965" s="18" t="n">
        <f aca="false">'Black-Scholes'!$B$5*EXP(('Black-Scholes'!$B$8-'Black-Scholes'!$B$10-'Black-Scholes'!$B$9^2/2)*'Black-Scholes'!$B$7+'Black-Scholes'!$B$9*SQRT('Black-Scholes'!$B$7)*B1965)</f>
        <v>114.007014787891</v>
      </c>
      <c r="D1965" s="18" t="n">
        <f aca="false">'Black-Scholes'!$B$5*EXP(('Black-Scholes'!$B$8-'Black-Scholes'!$B$10-'Black-Scholes'!$B$9^2/2)*'Black-Scholes'!$B$7-'Black-Scholes'!$B$9*SQRT('Black-Scholes'!$B$7)*B1965)</f>
        <v>93.1378256435268</v>
      </c>
      <c r="E1965" s="18" t="n">
        <f aca="false">EXP(-'Black-Scholes'!$B$8*'Black-Scholes'!$B$7)*IF(LOWER('Black-Scholes'!$B$11)="put",MAX('Black-Scholes'!$B$6-C1965,0),MAX(C1965-'Black-Scholes'!$B$6,0))</f>
        <v>13.3238846156588</v>
      </c>
      <c r="F1965" s="18" t="n">
        <f aca="false">(E1965+G1965)/2</f>
        <v>6.66194230782939</v>
      </c>
      <c r="G1965" s="18" t="n">
        <f aca="false">EXP(-'Black-Scholes'!$B$8*'Black-Scholes'!$B$7)*IF(LOWER('Black-Scholes'!$B$11)="put",MAX('Black-Scholes'!$B$6-D1965,0),MAX(D1965-'Black-Scholes'!$B$6,0))</f>
        <v>0</v>
      </c>
    </row>
    <row r="1966" customFormat="false" ht="15" hidden="false" customHeight="false" outlineLevel="0" collapsed="false">
      <c r="A1966" s="0" t="n">
        <v>1955</v>
      </c>
      <c r="B1966" s="15" t="n">
        <v>0.0272845816622058</v>
      </c>
      <c r="C1966" s="18" t="n">
        <f aca="false">'Black-Scholes'!$B$5*EXP(('Black-Scholes'!$B$8-'Black-Scholes'!$B$10-'Black-Scholes'!$B$9^2/2)*'Black-Scholes'!$B$7+'Black-Scholes'!$B$9*SQRT('Black-Scholes'!$B$7)*B1966)</f>
        <v>103.609300847971</v>
      </c>
      <c r="D1966" s="18" t="n">
        <f aca="false">'Black-Scholes'!$B$5*EXP(('Black-Scholes'!$B$8-'Black-Scholes'!$B$10-'Black-Scholes'!$B$9^2/2)*'Black-Scholes'!$B$7-'Black-Scholes'!$B$9*SQRT('Black-Scholes'!$B$7)*B1966)</f>
        <v>102.484674431248</v>
      </c>
      <c r="E1966" s="18" t="n">
        <f aca="false">EXP(-'Black-Scholes'!$B$8*'Black-Scholes'!$B$7)*IF(LOWER('Black-Scholes'!$B$11)="put",MAX('Black-Scholes'!$B$6-C1966,0),MAX(C1966-'Black-Scholes'!$B$6,0))</f>
        <v>3.43327316846581</v>
      </c>
      <c r="F1966" s="18" t="n">
        <f aca="false">(E1966+G1966)/2</f>
        <v>2.89838429888682</v>
      </c>
      <c r="G1966" s="18" t="n">
        <f aca="false">EXP(-'Black-Scholes'!$B$8*'Black-Scholes'!$B$7)*IF(LOWER('Black-Scholes'!$B$11)="put",MAX('Black-Scholes'!$B$6-D1966,0),MAX(D1966-'Black-Scholes'!$B$6,0))</f>
        <v>2.36349542930782</v>
      </c>
    </row>
    <row r="1967" customFormat="false" ht="15" hidden="false" customHeight="false" outlineLevel="0" collapsed="false">
      <c r="A1967" s="0" t="n">
        <v>1956</v>
      </c>
      <c r="B1967" s="15" t="n">
        <v>1.25569853944178</v>
      </c>
      <c r="C1967" s="18" t="n">
        <f aca="false">'Black-Scholes'!$B$5*EXP(('Black-Scholes'!$B$8-'Black-Scholes'!$B$10-'Black-Scholes'!$B$9^2/2)*'Black-Scholes'!$B$7+'Black-Scholes'!$B$9*SQRT('Black-Scholes'!$B$7)*B1967)</f>
        <v>132.463865347763</v>
      </c>
      <c r="D1967" s="18" t="n">
        <f aca="false">'Black-Scholes'!$B$5*EXP(('Black-Scholes'!$B$8-'Black-Scholes'!$B$10-'Black-Scholes'!$B$9^2/2)*'Black-Scholes'!$B$7-'Black-Scholes'!$B$9*SQRT('Black-Scholes'!$B$7)*B1967)</f>
        <v>80.1604681969438</v>
      </c>
      <c r="E1967" s="18" t="n">
        <f aca="false">EXP(-'Black-Scholes'!$B$8*'Black-Scholes'!$B$7)*IF(LOWER('Black-Scholes'!$B$11)="put",MAX('Black-Scholes'!$B$6-C1967,0),MAX(C1967-'Black-Scholes'!$B$6,0))</f>
        <v>30.8805839518212</v>
      </c>
      <c r="F1967" s="18" t="n">
        <f aca="false">(E1967+G1967)/2</f>
        <v>15.4402919759106</v>
      </c>
      <c r="G1967" s="18" t="n">
        <f aca="false">EXP(-'Black-Scholes'!$B$8*'Black-Scholes'!$B$7)*IF(LOWER('Black-Scholes'!$B$11)="put",MAX('Black-Scholes'!$B$6-D1967,0),MAX(D1967-'Black-Scholes'!$B$6,0))</f>
        <v>0</v>
      </c>
    </row>
    <row r="1968" customFormat="false" ht="15" hidden="false" customHeight="false" outlineLevel="0" collapsed="false">
      <c r="A1968" s="0" t="n">
        <v>1957</v>
      </c>
      <c r="B1968" s="15" t="n">
        <v>0.0469206231142587</v>
      </c>
      <c r="C1968" s="18" t="n">
        <f aca="false">'Black-Scholes'!$B$5*EXP(('Black-Scholes'!$B$8-'Black-Scholes'!$B$10-'Black-Scholes'!$B$9^2/2)*'Black-Scholes'!$B$7+'Black-Scholes'!$B$9*SQRT('Black-Scholes'!$B$7)*B1968)</f>
        <v>104.016996181483</v>
      </c>
      <c r="D1968" s="18" t="n">
        <f aca="false">'Black-Scholes'!$B$5*EXP(('Black-Scholes'!$B$8-'Black-Scholes'!$B$10-'Black-Scholes'!$B$9^2/2)*'Black-Scholes'!$B$7-'Black-Scholes'!$B$9*SQRT('Black-Scholes'!$B$7)*B1968)</f>
        <v>102.082985043399</v>
      </c>
      <c r="E1968" s="18" t="n">
        <f aca="false">EXP(-'Black-Scholes'!$B$8*'Black-Scholes'!$B$7)*IF(LOWER('Black-Scholes'!$B$11)="put",MAX('Black-Scholes'!$B$6-C1968,0),MAX(C1968-'Black-Scholes'!$B$6,0))</f>
        <v>3.82108496593365</v>
      </c>
      <c r="F1968" s="18" t="n">
        <f aca="false">(E1968+G1968)/2</f>
        <v>2.90124081500472</v>
      </c>
      <c r="G1968" s="18" t="n">
        <f aca="false">EXP(-'Black-Scholes'!$B$8*'Black-Scholes'!$B$7)*IF(LOWER('Black-Scholes'!$B$11)="put",MAX('Black-Scholes'!$B$6-D1968,0),MAX(D1968-'Black-Scholes'!$B$6,0))</f>
        <v>1.9813966640758</v>
      </c>
    </row>
    <row r="1969" customFormat="false" ht="15" hidden="false" customHeight="false" outlineLevel="0" collapsed="false">
      <c r="A1969" s="0" t="n">
        <v>1958</v>
      </c>
      <c r="B1969" s="15" t="n">
        <v>0.0349631990406204</v>
      </c>
      <c r="C1969" s="18" t="n">
        <f aca="false">'Black-Scholes'!$B$5*EXP(('Black-Scholes'!$B$8-'Black-Scholes'!$B$10-'Black-Scholes'!$B$9^2/2)*'Black-Scholes'!$B$7+'Black-Scholes'!$B$9*SQRT('Black-Scholes'!$B$7)*B1969)</f>
        <v>103.768538324652</v>
      </c>
      <c r="D1969" s="18" t="n">
        <f aca="false">'Black-Scholes'!$B$5*EXP(('Black-Scholes'!$B$8-'Black-Scholes'!$B$10-'Black-Scholes'!$B$9^2/2)*'Black-Scholes'!$B$7-'Black-Scholes'!$B$9*SQRT('Black-Scholes'!$B$7)*B1969)</f>
        <v>102.327407101301</v>
      </c>
      <c r="E1969" s="18" t="n">
        <f aca="false">EXP(-'Black-Scholes'!$B$8*'Black-Scholes'!$B$7)*IF(LOWER('Black-Scholes'!$B$11)="put",MAX('Black-Scholes'!$B$6-C1969,0),MAX(C1969-'Black-Scholes'!$B$6,0))</f>
        <v>3.58474454176785</v>
      </c>
      <c r="F1969" s="18" t="n">
        <f aca="false">(E1969+G1969)/2</f>
        <v>2.89932132965841</v>
      </c>
      <c r="G1969" s="18" t="n">
        <f aca="false">EXP(-'Black-Scholes'!$B$8*'Black-Scholes'!$B$7)*IF(LOWER('Black-Scholes'!$B$11)="put",MAX('Black-Scholes'!$B$6-D1969,0),MAX(D1969-'Black-Scholes'!$B$6,0))</f>
        <v>2.21389811754897</v>
      </c>
    </row>
    <row r="1970" customFormat="false" ht="15" hidden="false" customHeight="false" outlineLevel="0" collapsed="false">
      <c r="A1970" s="0" t="n">
        <v>1959</v>
      </c>
      <c r="B1970" s="15" t="n">
        <v>-0.462815106086515</v>
      </c>
      <c r="C1970" s="18" t="n">
        <f aca="false">'Black-Scholes'!$B$5*EXP(('Black-Scholes'!$B$8-'Black-Scholes'!$B$10-'Black-Scholes'!$B$9^2/2)*'Black-Scholes'!$B$7+'Black-Scholes'!$B$9*SQRT('Black-Scholes'!$B$7)*B1970)</f>
        <v>93.9353861724189</v>
      </c>
      <c r="D1970" s="18" t="n">
        <f aca="false">'Black-Scholes'!$B$5*EXP(('Black-Scholes'!$B$8-'Black-Scholes'!$B$10-'Black-Scholes'!$B$9^2/2)*'Black-Scholes'!$B$7-'Black-Scholes'!$B$9*SQRT('Black-Scholes'!$B$7)*B1970)</f>
        <v>113.039035640558</v>
      </c>
      <c r="E1970" s="18" t="n">
        <f aca="false">EXP(-'Black-Scholes'!$B$8*'Black-Scholes'!$B$7)*IF(LOWER('Black-Scholes'!$B$11)="put",MAX('Black-Scholes'!$B$6-C1970,0),MAX(C1970-'Black-Scholes'!$B$6,0))</f>
        <v>0</v>
      </c>
      <c r="F1970" s="18" t="n">
        <f aca="false">(E1970+G1970)/2</f>
        <v>6.20155718420593</v>
      </c>
      <c r="G1970" s="18" t="n">
        <f aca="false">EXP(-'Black-Scholes'!$B$8*'Black-Scholes'!$B$7)*IF(LOWER('Black-Scholes'!$B$11)="put",MAX('Black-Scholes'!$B$6-D1970,0),MAX(D1970-'Black-Scholes'!$B$6,0))</f>
        <v>12.4031143684119</v>
      </c>
    </row>
    <row r="1971" customFormat="false" ht="15" hidden="false" customHeight="false" outlineLevel="0" collapsed="false">
      <c r="A1971" s="0" t="n">
        <v>1960</v>
      </c>
      <c r="B1971" s="15" t="n">
        <v>-0.593123414114785</v>
      </c>
      <c r="C1971" s="18" t="n">
        <f aca="false">'Black-Scholes'!$B$5*EXP(('Black-Scholes'!$B$8-'Black-Scholes'!$B$10-'Black-Scholes'!$B$9^2/2)*'Black-Scholes'!$B$7+'Black-Scholes'!$B$9*SQRT('Black-Scholes'!$B$7)*B1971)</f>
        <v>91.5188995274557</v>
      </c>
      <c r="D1971" s="18" t="n">
        <f aca="false">'Black-Scholes'!$B$5*EXP(('Black-Scholes'!$B$8-'Black-Scholes'!$B$10-'Black-Scholes'!$B$9^2/2)*'Black-Scholes'!$B$7-'Black-Scholes'!$B$9*SQRT('Black-Scholes'!$B$7)*B1971)</f>
        <v>116.023745043701</v>
      </c>
      <c r="E1971" s="18" t="n">
        <f aca="false">EXP(-'Black-Scholes'!$B$8*'Black-Scholes'!$B$7)*IF(LOWER('Black-Scholes'!$B$11)="put",MAX('Black-Scholes'!$B$6-C1971,0),MAX(C1971-'Black-Scholes'!$B$6,0))</f>
        <v>0</v>
      </c>
      <c r="F1971" s="18" t="n">
        <f aca="false">(E1971+G1971)/2</f>
        <v>7.6211288881329</v>
      </c>
      <c r="G1971" s="18" t="n">
        <f aca="false">EXP(-'Black-Scholes'!$B$8*'Black-Scholes'!$B$7)*IF(LOWER('Black-Scholes'!$B$11)="put",MAX('Black-Scholes'!$B$6-D1971,0),MAX(D1971-'Black-Scholes'!$B$6,0))</f>
        <v>15.2422577762658</v>
      </c>
    </row>
    <row r="1972" customFormat="false" ht="15" hidden="false" customHeight="false" outlineLevel="0" collapsed="false">
      <c r="A1972" s="0" t="n">
        <v>1961</v>
      </c>
      <c r="B1972" s="15" t="n">
        <v>-0.253465253278267</v>
      </c>
      <c r="C1972" s="18" t="n">
        <f aca="false">'Black-Scholes'!$B$5*EXP(('Black-Scholes'!$B$8-'Black-Scholes'!$B$10-'Black-Scholes'!$B$9^2/2)*'Black-Scholes'!$B$7+'Black-Scholes'!$B$9*SQRT('Black-Scholes'!$B$7)*B1972)</f>
        <v>97.9519581323304</v>
      </c>
      <c r="D1972" s="18" t="n">
        <f aca="false">'Black-Scholes'!$B$5*EXP(('Black-Scholes'!$B$8-'Black-Scholes'!$B$10-'Black-Scholes'!$B$9^2/2)*'Black-Scholes'!$B$7-'Black-Scholes'!$B$9*SQRT('Black-Scholes'!$B$7)*B1972)</f>
        <v>108.403810070938</v>
      </c>
      <c r="E1972" s="18" t="n">
        <f aca="false">EXP(-'Black-Scholes'!$B$8*'Black-Scholes'!$B$7)*IF(LOWER('Black-Scholes'!$B$11)="put",MAX('Black-Scholes'!$B$6-C1972,0),MAX(C1972-'Black-Scholes'!$B$6,0))</f>
        <v>0</v>
      </c>
      <c r="F1972" s="18" t="n">
        <f aca="false">(E1972+G1972)/2</f>
        <v>3.99697570869577</v>
      </c>
      <c r="G1972" s="18" t="n">
        <f aca="false">EXP(-'Black-Scholes'!$B$8*'Black-Scholes'!$B$7)*IF(LOWER('Black-Scholes'!$B$11)="put",MAX('Black-Scholes'!$B$6-D1972,0),MAX(D1972-'Black-Scholes'!$B$6,0))</f>
        <v>7.99395141739153</v>
      </c>
    </row>
    <row r="1973" customFormat="false" ht="15" hidden="false" customHeight="false" outlineLevel="0" collapsed="false">
      <c r="A1973" s="0" t="n">
        <v>1962</v>
      </c>
      <c r="B1973" s="15" t="n">
        <v>-1.73195854740591</v>
      </c>
      <c r="C1973" s="18" t="n">
        <f aca="false">'Black-Scholes'!$B$5*EXP(('Black-Scholes'!$B$8-'Black-Scholes'!$B$10-'Black-Scholes'!$B$9^2/2)*'Black-Scholes'!$B$7+'Black-Scholes'!$B$9*SQRT('Black-Scholes'!$B$7)*B1973)</f>
        <v>72.8773926593444</v>
      </c>
      <c r="D1973" s="18" t="n">
        <f aca="false">'Black-Scholes'!$B$5*EXP(('Black-Scholes'!$B$8-'Black-Scholes'!$B$10-'Black-Scholes'!$B$9^2/2)*'Black-Scholes'!$B$7-'Black-Scholes'!$B$9*SQRT('Black-Scholes'!$B$7)*B1973)</f>
        <v>145.701774967276</v>
      </c>
      <c r="E1973" s="18" t="n">
        <f aca="false">EXP(-'Black-Scholes'!$B$8*'Black-Scholes'!$B$7)*IF(LOWER('Black-Scholes'!$B$11)="put",MAX('Black-Scholes'!$B$6-C1973,0),MAX(C1973-'Black-Scholes'!$B$6,0))</f>
        <v>0</v>
      </c>
      <c r="F1973" s="18" t="n">
        <f aca="false">(E1973+G1973)/2</f>
        <v>21.7364365503915</v>
      </c>
      <c r="G1973" s="18" t="n">
        <f aca="false">EXP(-'Black-Scholes'!$B$8*'Black-Scholes'!$B$7)*IF(LOWER('Black-Scholes'!$B$11)="put",MAX('Black-Scholes'!$B$6-D1973,0),MAX(D1973-'Black-Scholes'!$B$6,0))</f>
        <v>43.4728731007829</v>
      </c>
    </row>
    <row r="1974" customFormat="false" ht="15" hidden="false" customHeight="false" outlineLevel="0" collapsed="false">
      <c r="A1974" s="0" t="n">
        <v>1963</v>
      </c>
      <c r="B1974" s="15" t="n">
        <v>-0.107433539174158</v>
      </c>
      <c r="C1974" s="18" t="n">
        <f aca="false">'Black-Scholes'!$B$5*EXP(('Black-Scholes'!$B$8-'Black-Scholes'!$B$10-'Black-Scholes'!$B$9^2/2)*'Black-Scholes'!$B$7+'Black-Scholes'!$B$9*SQRT('Black-Scholes'!$B$7)*B1974)</f>
        <v>100.854963329125</v>
      </c>
      <c r="D1974" s="18" t="n">
        <f aca="false">'Black-Scholes'!$B$5*EXP(('Black-Scholes'!$B$8-'Black-Scholes'!$B$10-'Black-Scholes'!$B$9^2/2)*'Black-Scholes'!$B$7-'Black-Scholes'!$B$9*SQRT('Black-Scholes'!$B$7)*B1974)</f>
        <v>105.283519173986</v>
      </c>
      <c r="E1974" s="18" t="n">
        <f aca="false">EXP(-'Black-Scholes'!$B$8*'Black-Scholes'!$B$7)*IF(LOWER('Black-Scholes'!$B$11)="put",MAX('Black-Scholes'!$B$6-C1974,0),MAX(C1974-'Black-Scholes'!$B$6,0))</f>
        <v>0.813266275532787</v>
      </c>
      <c r="F1974" s="18" t="n">
        <f aca="false">(E1974+G1974)/2</f>
        <v>2.91955258937103</v>
      </c>
      <c r="G1974" s="18" t="n">
        <f aca="false">EXP(-'Black-Scholes'!$B$8*'Black-Scholes'!$B$7)*IF(LOWER('Black-Scholes'!$B$11)="put",MAX('Black-Scholes'!$B$6-D1974,0),MAX(D1974-'Black-Scholes'!$B$6,0))</f>
        <v>5.02583890320927</v>
      </c>
    </row>
    <row r="1975" customFormat="false" ht="15" hidden="false" customHeight="false" outlineLevel="0" collapsed="false">
      <c r="A1975" s="0" t="n">
        <v>1964</v>
      </c>
      <c r="B1975" s="15" t="n">
        <v>-0.836859340505325</v>
      </c>
      <c r="C1975" s="18" t="n">
        <f aca="false">'Black-Scholes'!$B$5*EXP(('Black-Scholes'!$B$8-'Black-Scholes'!$B$10-'Black-Scholes'!$B$9^2/2)*'Black-Scholes'!$B$7+'Black-Scholes'!$B$9*SQRT('Black-Scholes'!$B$7)*B1975)</f>
        <v>87.1646028503047</v>
      </c>
      <c r="D1975" s="18" t="n">
        <f aca="false">'Black-Scholes'!$B$5*EXP(('Black-Scholes'!$B$8-'Black-Scholes'!$B$10-'Black-Scholes'!$B$9^2/2)*'Black-Scholes'!$B$7-'Black-Scholes'!$B$9*SQRT('Black-Scholes'!$B$7)*B1975)</f>
        <v>121.819696507875</v>
      </c>
      <c r="E1975" s="18" t="n">
        <f aca="false">EXP(-'Black-Scholes'!$B$8*'Black-Scholes'!$B$7)*IF(LOWER('Black-Scholes'!$B$11)="put",MAX('Black-Scholes'!$B$6-C1975,0),MAX(C1975-'Black-Scholes'!$B$6,0))</f>
        <v>0</v>
      </c>
      <c r="F1975" s="18" t="n">
        <f aca="false">(E1975+G1975)/2</f>
        <v>10.3777686759832</v>
      </c>
      <c r="G1975" s="18" t="n">
        <f aca="false">EXP(-'Black-Scholes'!$B$8*'Black-Scholes'!$B$7)*IF(LOWER('Black-Scholes'!$B$11)="put",MAX('Black-Scholes'!$B$6-D1975,0),MAX(D1975-'Black-Scholes'!$B$6,0))</f>
        <v>20.7555373519664</v>
      </c>
    </row>
    <row r="1976" customFormat="false" ht="15" hidden="false" customHeight="false" outlineLevel="0" collapsed="false">
      <c r="A1976" s="0" t="n">
        <v>1965</v>
      </c>
      <c r="B1976" s="15" t="n">
        <v>2.06548917888765</v>
      </c>
      <c r="C1976" s="18" t="n">
        <f aca="false">'Black-Scholes'!$B$5*EXP(('Black-Scholes'!$B$8-'Black-Scholes'!$B$10-'Black-Scholes'!$B$9^2/2)*'Black-Scholes'!$B$7+'Black-Scholes'!$B$9*SQRT('Black-Scholes'!$B$7)*B1976)</f>
        <v>155.752470852872</v>
      </c>
      <c r="D1976" s="18" t="n">
        <f aca="false">'Black-Scholes'!$B$5*EXP(('Black-Scholes'!$B$8-'Black-Scholes'!$B$10-'Black-Scholes'!$B$9^2/2)*'Black-Scholes'!$B$7-'Black-Scholes'!$B$9*SQRT('Black-Scholes'!$B$7)*B1976)</f>
        <v>68.1746196853854</v>
      </c>
      <c r="E1976" s="18" t="n">
        <f aca="false">EXP(-'Black-Scholes'!$B$8*'Black-Scholes'!$B$7)*IF(LOWER('Black-Scholes'!$B$11)="put",MAX('Black-Scholes'!$B$6-C1976,0),MAX(C1976-'Black-Scholes'!$B$6,0))</f>
        <v>53.0333907638699</v>
      </c>
      <c r="F1976" s="18" t="n">
        <f aca="false">(E1976+G1976)/2</f>
        <v>26.5166953819349</v>
      </c>
      <c r="G1976" s="18" t="n">
        <f aca="false">EXP(-'Black-Scholes'!$B$8*'Black-Scholes'!$B$7)*IF(LOWER('Black-Scholes'!$B$11)="put",MAX('Black-Scholes'!$B$6-D1976,0),MAX(D1976-'Black-Scholes'!$B$6,0))</f>
        <v>0</v>
      </c>
    </row>
    <row r="1977" customFormat="false" ht="15" hidden="false" customHeight="false" outlineLevel="0" collapsed="false">
      <c r="A1977" s="0" t="n">
        <v>1966</v>
      </c>
      <c r="B1977" s="15" t="n">
        <v>1.48910859300604</v>
      </c>
      <c r="C1977" s="18" t="n">
        <f aca="false">'Black-Scholes'!$B$5*EXP(('Black-Scholes'!$B$8-'Black-Scholes'!$B$10-'Black-Scholes'!$B$9^2/2)*'Black-Scholes'!$B$7+'Black-Scholes'!$B$9*SQRT('Black-Scholes'!$B$7)*B1977)</f>
        <v>138.794150607761</v>
      </c>
      <c r="D1977" s="18" t="n">
        <f aca="false">'Black-Scholes'!$B$5*EXP(('Black-Scholes'!$B$8-'Black-Scholes'!$B$10-'Black-Scholes'!$B$9^2/2)*'Black-Scholes'!$B$7-'Black-Scholes'!$B$9*SQRT('Black-Scholes'!$B$7)*B1977)</f>
        <v>76.5044162088761</v>
      </c>
      <c r="E1977" s="18" t="n">
        <f aca="false">EXP(-'Black-Scholes'!$B$8*'Black-Scholes'!$B$7)*IF(LOWER('Black-Scholes'!$B$11)="put",MAX('Black-Scholes'!$B$6-C1977,0),MAX(C1977-'Black-Scholes'!$B$6,0))</f>
        <v>36.9021375566147</v>
      </c>
      <c r="F1977" s="18" t="n">
        <f aca="false">(E1977+G1977)/2</f>
        <v>18.4510687783074</v>
      </c>
      <c r="G1977" s="18" t="n">
        <f aca="false">EXP(-'Black-Scholes'!$B$8*'Black-Scholes'!$B$7)*IF(LOWER('Black-Scholes'!$B$11)="put",MAX('Black-Scholes'!$B$6-D1977,0),MAX(D1977-'Black-Scholes'!$B$6,0))</f>
        <v>0</v>
      </c>
    </row>
    <row r="1978" customFormat="false" ht="15" hidden="false" customHeight="false" outlineLevel="0" collapsed="false">
      <c r="A1978" s="0" t="n">
        <v>1967</v>
      </c>
      <c r="B1978" s="15" t="n">
        <v>0.367730711459665</v>
      </c>
      <c r="C1978" s="18" t="n">
        <f aca="false">'Black-Scholes'!$B$5*EXP(('Black-Scholes'!$B$8-'Black-Scholes'!$B$10-'Black-Scholes'!$B$9^2/2)*'Black-Scholes'!$B$7+'Black-Scholes'!$B$9*SQRT('Black-Scholes'!$B$7)*B1978)</f>
        <v>110.909696846049</v>
      </c>
      <c r="D1978" s="18" t="n">
        <f aca="false">'Black-Scholes'!$B$5*EXP(('Black-Scholes'!$B$8-'Black-Scholes'!$B$10-'Black-Scholes'!$B$9^2/2)*'Black-Scholes'!$B$7-'Black-Scholes'!$B$9*SQRT('Black-Scholes'!$B$7)*B1978)</f>
        <v>95.7388376977774</v>
      </c>
      <c r="E1978" s="18" t="n">
        <f aca="false">EXP(-'Black-Scholes'!$B$8*'Black-Scholes'!$B$7)*IF(LOWER('Black-Scholes'!$B$11)="put",MAX('Black-Scholes'!$B$6-C1978,0),MAX(C1978-'Black-Scholes'!$B$6,0))</f>
        <v>10.3776246523446</v>
      </c>
      <c r="F1978" s="18" t="n">
        <f aca="false">(E1978+G1978)/2</f>
        <v>5.18881232617228</v>
      </c>
      <c r="G1978" s="18" t="n">
        <f aca="false">EXP(-'Black-Scholes'!$B$8*'Black-Scholes'!$B$7)*IF(LOWER('Black-Scholes'!$B$11)="put",MAX('Black-Scholes'!$B$6-D1978,0),MAX(D1978-'Black-Scholes'!$B$6,0))</f>
        <v>0</v>
      </c>
    </row>
    <row r="1979" customFormat="false" ht="15" hidden="false" customHeight="false" outlineLevel="0" collapsed="false">
      <c r="A1979" s="0" t="n">
        <v>1968</v>
      </c>
      <c r="B1979" s="15" t="n">
        <v>-0.0206993597607556</v>
      </c>
      <c r="C1979" s="18" t="n">
        <f aca="false">'Black-Scholes'!$B$5*EXP(('Black-Scholes'!$B$8-'Black-Scholes'!$B$10-'Black-Scholes'!$B$9^2/2)*'Black-Scholes'!$B$7+'Black-Scholes'!$B$9*SQRT('Black-Scholes'!$B$7)*B1979)</f>
        <v>102.619740220069</v>
      </c>
      <c r="D1979" s="18" t="n">
        <f aca="false">'Black-Scholes'!$B$5*EXP(('Black-Scholes'!$B$8-'Black-Scholes'!$B$10-'Black-Scholes'!$B$9^2/2)*'Black-Scholes'!$B$7-'Black-Scholes'!$B$9*SQRT('Black-Scholes'!$B$7)*B1979)</f>
        <v>103.472932621759</v>
      </c>
      <c r="E1979" s="18" t="n">
        <f aca="false">EXP(-'Black-Scholes'!$B$8*'Black-Scholes'!$B$7)*IF(LOWER('Black-Scholes'!$B$11)="put",MAX('Black-Scholes'!$B$6-C1979,0),MAX(C1979-'Black-Scholes'!$B$6,0))</f>
        <v>2.49197398187753</v>
      </c>
      <c r="F1979" s="18" t="n">
        <f aca="false">(E1979+G1979)/2</f>
        <v>2.89776484050151</v>
      </c>
      <c r="G1979" s="18" t="n">
        <f aca="false">EXP(-'Black-Scholes'!$B$8*'Black-Scholes'!$B$7)*IF(LOWER('Black-Scholes'!$B$11)="put",MAX('Black-Scholes'!$B$6-D1979,0),MAX(D1979-'Black-Scholes'!$B$6,0))</f>
        <v>3.30355569912549</v>
      </c>
    </row>
    <row r="1980" customFormat="false" ht="15" hidden="false" customHeight="false" outlineLevel="0" collapsed="false">
      <c r="A1980" s="0" t="n">
        <v>1969</v>
      </c>
      <c r="B1980" s="15" t="n">
        <v>2.02771469470394</v>
      </c>
      <c r="C1980" s="18" t="n">
        <f aca="false">'Black-Scholes'!$B$5*EXP(('Black-Scholes'!$B$8-'Black-Scholes'!$B$10-'Black-Scholes'!$B$9^2/2)*'Black-Scholes'!$B$7+'Black-Scholes'!$B$9*SQRT('Black-Scholes'!$B$7)*B1980)</f>
        <v>154.580210731352</v>
      </c>
      <c r="D1980" s="18" t="n">
        <f aca="false">'Black-Scholes'!$B$5*EXP(('Black-Scholes'!$B$8-'Black-Scholes'!$B$10-'Black-Scholes'!$B$9^2/2)*'Black-Scholes'!$B$7-'Black-Scholes'!$B$9*SQRT('Black-Scholes'!$B$7)*B1980)</f>
        <v>68.6916223960092</v>
      </c>
      <c r="E1980" s="18" t="n">
        <f aca="false">EXP(-'Black-Scholes'!$B$8*'Black-Scholes'!$B$7)*IF(LOWER('Black-Scholes'!$B$11)="put",MAX('Black-Scholes'!$B$6-C1980,0),MAX(C1980-'Black-Scholes'!$B$6,0))</f>
        <v>51.9183024431121</v>
      </c>
      <c r="F1980" s="18" t="n">
        <f aca="false">(E1980+G1980)/2</f>
        <v>25.959151221556</v>
      </c>
      <c r="G1980" s="18" t="n">
        <f aca="false">EXP(-'Black-Scholes'!$B$8*'Black-Scholes'!$B$7)*IF(LOWER('Black-Scholes'!$B$11)="put",MAX('Black-Scholes'!$B$6-D1980,0),MAX(D1980-'Black-Scholes'!$B$6,0))</f>
        <v>0</v>
      </c>
    </row>
    <row r="1981" customFormat="false" ht="15" hidden="false" customHeight="false" outlineLevel="0" collapsed="false">
      <c r="A1981" s="0" t="n">
        <v>1970</v>
      </c>
      <c r="B1981" s="15" t="n">
        <v>1.3896932448269</v>
      </c>
      <c r="C1981" s="18" t="n">
        <f aca="false">'Black-Scholes'!$B$5*EXP(('Black-Scholes'!$B$8-'Black-Scholes'!$B$10-'Black-Scholes'!$B$9^2/2)*'Black-Scholes'!$B$7+'Black-Scholes'!$B$9*SQRT('Black-Scholes'!$B$7)*B1981)</f>
        <v>136.061751108442</v>
      </c>
      <c r="D1981" s="18" t="n">
        <f aca="false">'Black-Scholes'!$B$5*EXP(('Black-Scholes'!$B$8-'Black-Scholes'!$B$10-'Black-Scholes'!$B$9^2/2)*'Black-Scholes'!$B$7-'Black-Scholes'!$B$9*SQRT('Black-Scholes'!$B$7)*B1981)</f>
        <v>78.0407820636578</v>
      </c>
      <c r="E1981" s="18" t="n">
        <f aca="false">EXP(-'Black-Scholes'!$B$8*'Black-Scholes'!$B$7)*IF(LOWER('Black-Scholes'!$B$11)="put",MAX('Black-Scholes'!$B$6-C1981,0),MAX(C1981-'Black-Scholes'!$B$6,0))</f>
        <v>34.3029987533716</v>
      </c>
      <c r="F1981" s="18" t="n">
        <f aca="false">(E1981+G1981)/2</f>
        <v>17.1514993766858</v>
      </c>
      <c r="G1981" s="18" t="n">
        <f aca="false">EXP(-'Black-Scholes'!$B$8*'Black-Scholes'!$B$7)*IF(LOWER('Black-Scholes'!$B$11)="put",MAX('Black-Scholes'!$B$6-D1981,0),MAX(D1981-'Black-Scholes'!$B$6,0))</f>
        <v>0</v>
      </c>
    </row>
    <row r="1982" customFormat="false" ht="15" hidden="false" customHeight="false" outlineLevel="0" collapsed="false">
      <c r="A1982" s="0" t="n">
        <v>1971</v>
      </c>
      <c r="B1982" s="15" t="n">
        <v>0.565158421561921</v>
      </c>
      <c r="C1982" s="18" t="n">
        <f aca="false">'Black-Scholes'!$B$5*EXP(('Black-Scholes'!$B$8-'Black-Scholes'!$B$10-'Black-Scholes'!$B$9^2/2)*'Black-Scholes'!$B$7+'Black-Scholes'!$B$9*SQRT('Black-Scholes'!$B$7)*B1982)</f>
        <v>115.376635738057</v>
      </c>
      <c r="D1982" s="18" t="n">
        <f aca="false">'Black-Scholes'!$B$5*EXP(('Black-Scholes'!$B$8-'Black-Scholes'!$B$10-'Black-Scholes'!$B$9^2/2)*'Black-Scholes'!$B$7-'Black-Scholes'!$B$9*SQRT('Black-Scholes'!$B$7)*B1982)</f>
        <v>92.0321986988836</v>
      </c>
      <c r="E1982" s="18" t="n">
        <f aca="false">EXP(-'Black-Scholes'!$B$8*'Black-Scholes'!$B$7)*IF(LOWER('Black-Scholes'!$B$11)="put",MAX('Black-Scholes'!$B$6-C1982,0),MAX(C1982-'Black-Scholes'!$B$6,0))</f>
        <v>14.6267083638692</v>
      </c>
      <c r="F1982" s="18" t="n">
        <f aca="false">(E1982+G1982)/2</f>
        <v>7.31335418193461</v>
      </c>
      <c r="G1982" s="18" t="n">
        <f aca="false">EXP(-'Black-Scholes'!$B$8*'Black-Scholes'!$B$7)*IF(LOWER('Black-Scholes'!$B$11)="put",MAX('Black-Scholes'!$B$6-D1982,0),MAX(D1982-'Black-Scholes'!$B$6,0))</f>
        <v>0</v>
      </c>
    </row>
    <row r="1983" customFormat="false" ht="15" hidden="false" customHeight="false" outlineLevel="0" collapsed="false">
      <c r="A1983" s="0" t="n">
        <v>1972</v>
      </c>
      <c r="B1983" s="15" t="n">
        <v>-0.332523677771837</v>
      </c>
      <c r="C1983" s="18" t="n">
        <f aca="false">'Black-Scholes'!$B$5*EXP(('Black-Scholes'!$B$8-'Black-Scholes'!$B$10-'Black-Scholes'!$B$9^2/2)*'Black-Scholes'!$B$7+'Black-Scholes'!$B$9*SQRT('Black-Scholes'!$B$7)*B1983)</f>
        <v>96.4153528084062</v>
      </c>
      <c r="D1983" s="18" t="n">
        <f aca="false">'Black-Scholes'!$B$5*EXP(('Black-Scholes'!$B$8-'Black-Scholes'!$B$10-'Black-Scholes'!$B$9^2/2)*'Black-Scholes'!$B$7-'Black-Scholes'!$B$9*SQRT('Black-Scholes'!$B$7)*B1983)</f>
        <v>110.131479646754</v>
      </c>
      <c r="E1983" s="18" t="n">
        <f aca="false">EXP(-'Black-Scholes'!$B$8*'Black-Scholes'!$B$7)*IF(LOWER('Black-Scholes'!$B$11)="put",MAX('Black-Scholes'!$B$6-C1983,0),MAX(C1983-'Black-Scholes'!$B$6,0))</f>
        <v>0</v>
      </c>
      <c r="F1983" s="18" t="n">
        <f aca="false">(E1983+G1983)/2</f>
        <v>4.81868077686125</v>
      </c>
      <c r="G1983" s="18" t="n">
        <f aca="false">EXP(-'Black-Scholes'!$B$8*'Black-Scholes'!$B$7)*IF(LOWER('Black-Scholes'!$B$11)="put",MAX('Black-Scholes'!$B$6-D1983,0),MAX(D1983-'Black-Scholes'!$B$6,0))</f>
        <v>9.63736155372249</v>
      </c>
    </row>
    <row r="1984" customFormat="false" ht="15" hidden="false" customHeight="false" outlineLevel="0" collapsed="false">
      <c r="A1984" s="0" t="n">
        <v>1973</v>
      </c>
      <c r="B1984" s="15" t="n">
        <v>-0.495979266938001</v>
      </c>
      <c r="C1984" s="18" t="n">
        <f aca="false">'Black-Scholes'!$B$5*EXP(('Black-Scholes'!$B$8-'Black-Scholes'!$B$10-'Black-Scholes'!$B$9^2/2)*'Black-Scholes'!$B$7+'Black-Scholes'!$B$9*SQRT('Black-Scholes'!$B$7)*B1984)</f>
        <v>93.3143902785531</v>
      </c>
      <c r="D1984" s="18" t="n">
        <f aca="false">'Black-Scholes'!$B$5*EXP(('Black-Scholes'!$B$8-'Black-Scholes'!$B$10-'Black-Scholes'!$B$9^2/2)*'Black-Scholes'!$B$7-'Black-Scholes'!$B$9*SQRT('Black-Scholes'!$B$7)*B1984)</f>
        <v>113.791296645208</v>
      </c>
      <c r="E1984" s="18" t="n">
        <f aca="false">EXP(-'Black-Scholes'!$B$8*'Black-Scholes'!$B$7)*IF(LOWER('Black-Scholes'!$B$11)="put",MAX('Black-Scholes'!$B$6-C1984,0),MAX(C1984-'Black-Scholes'!$B$6,0))</f>
        <v>0</v>
      </c>
      <c r="F1984" s="18" t="n">
        <f aca="false">(E1984+G1984)/2</f>
        <v>6.55934358547015</v>
      </c>
      <c r="G1984" s="18" t="n">
        <f aca="false">EXP(-'Black-Scholes'!$B$8*'Black-Scholes'!$B$7)*IF(LOWER('Black-Scholes'!$B$11)="put",MAX('Black-Scholes'!$B$6-D1984,0),MAX(D1984-'Black-Scholes'!$B$6,0))</f>
        <v>13.1186871709403</v>
      </c>
    </row>
    <row r="1985" customFormat="false" ht="15" hidden="false" customHeight="false" outlineLevel="0" collapsed="false">
      <c r="A1985" s="0" t="n">
        <v>1974</v>
      </c>
      <c r="B1985" s="15" t="n">
        <v>0.0930512995515391</v>
      </c>
      <c r="C1985" s="18" t="n">
        <f aca="false">'Black-Scholes'!$B$5*EXP(('Black-Scholes'!$B$8-'Black-Scholes'!$B$10-'Black-Scholes'!$B$9^2/2)*'Black-Scholes'!$B$7+'Black-Scholes'!$B$9*SQRT('Black-Scholes'!$B$7)*B1985)</f>
        <v>104.981111751881</v>
      </c>
      <c r="D1985" s="18" t="n">
        <f aca="false">'Black-Scholes'!$B$5*EXP(('Black-Scholes'!$B$8-'Black-Scholes'!$B$10-'Black-Scholes'!$B$9^2/2)*'Black-Scholes'!$B$7-'Black-Scholes'!$B$9*SQRT('Black-Scholes'!$B$7)*B1985)</f>
        <v>101.145485014006</v>
      </c>
      <c r="E1985" s="18" t="n">
        <f aca="false">EXP(-'Black-Scholes'!$B$8*'Black-Scholes'!$B$7)*IF(LOWER('Black-Scholes'!$B$11)="put",MAX('Black-Scholes'!$B$6-C1985,0),MAX(C1985-'Black-Scholes'!$B$6,0))</f>
        <v>4.73818006511555</v>
      </c>
      <c r="F1985" s="18" t="n">
        <f aca="false">(E1985+G1985)/2</f>
        <v>2.91389955788144</v>
      </c>
      <c r="G1985" s="18" t="n">
        <f aca="false">EXP(-'Black-Scholes'!$B$8*'Black-Scholes'!$B$7)*IF(LOWER('Black-Scholes'!$B$11)="put",MAX('Black-Scholes'!$B$6-D1985,0),MAX(D1985-'Black-Scholes'!$B$6,0))</f>
        <v>1.08961905064733</v>
      </c>
    </row>
    <row r="1986" customFormat="false" ht="15" hidden="false" customHeight="false" outlineLevel="0" collapsed="false">
      <c r="A1986" s="0" t="n">
        <v>1975</v>
      </c>
      <c r="B1986" s="15" t="n">
        <v>-1.18754423362731</v>
      </c>
      <c r="C1986" s="18" t="n">
        <f aca="false">'Black-Scholes'!$B$5*EXP(('Black-Scholes'!$B$8-'Black-Scholes'!$B$10-'Black-Scholes'!$B$9^2/2)*'Black-Scholes'!$B$7+'Black-Scholes'!$B$9*SQRT('Black-Scholes'!$B$7)*B1986)</f>
        <v>81.260605283864</v>
      </c>
      <c r="D1986" s="18" t="n">
        <f aca="false">'Black-Scholes'!$B$5*EXP(('Black-Scholes'!$B$8-'Black-Scholes'!$B$10-'Black-Scholes'!$B$9^2/2)*'Black-Scholes'!$B$7-'Black-Scholes'!$B$9*SQRT('Black-Scholes'!$B$7)*B1986)</f>
        <v>130.670518984703</v>
      </c>
      <c r="E1986" s="18" t="n">
        <f aca="false">EXP(-'Black-Scholes'!$B$8*'Black-Scholes'!$B$7)*IF(LOWER('Black-Scholes'!$B$11)="put",MAX('Black-Scholes'!$B$6-C1986,0),MAX(C1986-'Black-Scholes'!$B$6,0))</f>
        <v>0</v>
      </c>
      <c r="F1986" s="18" t="n">
        <f aca="false">(E1986+G1986)/2</f>
        <v>14.5873500614786</v>
      </c>
      <c r="G1986" s="18" t="n">
        <f aca="false">EXP(-'Black-Scholes'!$B$8*'Black-Scholes'!$B$7)*IF(LOWER('Black-Scholes'!$B$11)="put",MAX('Black-Scholes'!$B$6-D1986,0),MAX(D1986-'Black-Scholes'!$B$6,0))</f>
        <v>29.1747001229572</v>
      </c>
    </row>
    <row r="1987" customFormat="false" ht="15" hidden="false" customHeight="false" outlineLevel="0" collapsed="false">
      <c r="A1987" s="0" t="n">
        <v>1976</v>
      </c>
      <c r="B1987" s="15" t="n">
        <v>-1.05939789883376</v>
      </c>
      <c r="C1987" s="18" t="n">
        <f aca="false">'Black-Scholes'!$B$5*EXP(('Black-Scholes'!$B$8-'Black-Scholes'!$B$10-'Black-Scholes'!$B$9^2/2)*'Black-Scholes'!$B$7+'Black-Scholes'!$B$9*SQRT('Black-Scholes'!$B$7)*B1987)</f>
        <v>83.3701728927866</v>
      </c>
      <c r="D1987" s="18" t="n">
        <f aca="false">'Black-Scholes'!$B$5*EXP(('Black-Scholes'!$B$8-'Black-Scholes'!$B$10-'Black-Scholes'!$B$9^2/2)*'Black-Scholes'!$B$7-'Black-Scholes'!$B$9*SQRT('Black-Scholes'!$B$7)*B1987)</f>
        <v>127.364081145768</v>
      </c>
      <c r="E1987" s="18" t="n">
        <f aca="false">EXP(-'Black-Scholes'!$B$8*'Black-Scholes'!$B$7)*IF(LOWER('Black-Scholes'!$B$11)="put",MAX('Black-Scholes'!$B$6-C1987,0),MAX(C1987-'Black-Scholes'!$B$6,0))</f>
        <v>0</v>
      </c>
      <c r="F1987" s="18" t="n">
        <f aca="false">(E1987+G1987)/2</f>
        <v>13.0147595801399</v>
      </c>
      <c r="G1987" s="18" t="n">
        <f aca="false">EXP(-'Black-Scholes'!$B$8*'Black-Scholes'!$B$7)*IF(LOWER('Black-Scholes'!$B$11)="put",MAX('Black-Scholes'!$B$6-D1987,0),MAX(D1987-'Black-Scholes'!$B$6,0))</f>
        <v>26.0295191602799</v>
      </c>
    </row>
    <row r="1988" customFormat="false" ht="15" hidden="false" customHeight="false" outlineLevel="0" collapsed="false">
      <c r="A1988" s="0" t="n">
        <v>1977</v>
      </c>
      <c r="B1988" s="15" t="n">
        <v>0.218100590940882</v>
      </c>
      <c r="C1988" s="18" t="n">
        <f aca="false">'Black-Scholes'!$B$5*EXP(('Black-Scholes'!$B$8-'Black-Scholes'!$B$10-'Black-Scholes'!$B$9^2/2)*'Black-Scholes'!$B$7+'Black-Scholes'!$B$9*SQRT('Black-Scholes'!$B$7)*B1988)</f>
        <v>107.639782386322</v>
      </c>
      <c r="D1988" s="18" t="n">
        <f aca="false">'Black-Scholes'!$B$5*EXP(('Black-Scholes'!$B$8-'Black-Scholes'!$B$10-'Black-Scholes'!$B$9^2/2)*'Black-Scholes'!$B$7-'Black-Scholes'!$B$9*SQRT('Black-Scholes'!$B$7)*B1988)</f>
        <v>98.6472215945585</v>
      </c>
      <c r="E1988" s="18" t="n">
        <f aca="false">EXP(-'Black-Scholes'!$B$8*'Black-Scholes'!$B$7)*IF(LOWER('Black-Scholes'!$B$11)="put",MAX('Black-Scholes'!$B$6-C1988,0),MAX(C1988-'Black-Scholes'!$B$6,0))</f>
        <v>7.26718580265216</v>
      </c>
      <c r="F1988" s="18" t="n">
        <f aca="false">(E1988+G1988)/2</f>
        <v>3.63359290132608</v>
      </c>
      <c r="G1988" s="18" t="n">
        <f aca="false">EXP(-'Black-Scholes'!$B$8*'Black-Scholes'!$B$7)*IF(LOWER('Black-Scholes'!$B$11)="put",MAX('Black-Scholes'!$B$6-D1988,0),MAX(D1988-'Black-Scholes'!$B$6,0))</f>
        <v>0</v>
      </c>
    </row>
    <row r="1989" customFormat="false" ht="15" hidden="false" customHeight="false" outlineLevel="0" collapsed="false">
      <c r="A1989" s="0" t="n">
        <v>1978</v>
      </c>
      <c r="B1989" s="15" t="n">
        <v>0.104919458260688</v>
      </c>
      <c r="C1989" s="18" t="n">
        <f aca="false">'Black-Scholes'!$B$5*EXP(('Black-Scholes'!$B$8-'Black-Scholes'!$B$10-'Black-Scholes'!$B$9^2/2)*'Black-Scholes'!$B$7+'Black-Scholes'!$B$9*SQRT('Black-Scholes'!$B$7)*B1989)</f>
        <v>105.23059422365</v>
      </c>
      <c r="D1989" s="18" t="n">
        <f aca="false">'Black-Scholes'!$B$5*EXP(('Black-Scholes'!$B$8-'Black-Scholes'!$B$10-'Black-Scholes'!$B$9^2/2)*'Black-Scholes'!$B$7-'Black-Scholes'!$B$9*SQRT('Black-Scholes'!$B$7)*B1989)</f>
        <v>100.905687588212</v>
      </c>
      <c r="E1989" s="18" t="n">
        <f aca="false">EXP(-'Black-Scholes'!$B$8*'Black-Scholes'!$B$7)*IF(LOWER('Black-Scholes'!$B$11)="put",MAX('Black-Scholes'!$B$6-C1989,0),MAX(C1989-'Black-Scholes'!$B$6,0))</f>
        <v>4.97549513315958</v>
      </c>
      <c r="F1989" s="18" t="n">
        <f aca="false">(E1989+G1989)/2</f>
        <v>2.91850590823614</v>
      </c>
      <c r="G1989" s="18" t="n">
        <f aca="false">EXP(-'Black-Scholes'!$B$8*'Black-Scholes'!$B$7)*IF(LOWER('Black-Scholes'!$B$11)="put",MAX('Black-Scholes'!$B$6-D1989,0),MAX(D1989-'Black-Scholes'!$B$6,0))</f>
        <v>0.861516683312696</v>
      </c>
    </row>
    <row r="1990" customFormat="false" ht="15" hidden="false" customHeight="false" outlineLevel="0" collapsed="false">
      <c r="A1990" s="0" t="n">
        <v>1979</v>
      </c>
      <c r="B1990" s="15" t="n">
        <v>0.165336257146619</v>
      </c>
      <c r="C1990" s="18" t="n">
        <f aca="false">'Black-Scholes'!$B$5*EXP(('Black-Scholes'!$B$8-'Black-Scholes'!$B$10-'Black-Scholes'!$B$9^2/2)*'Black-Scholes'!$B$7+'Black-Scholes'!$B$9*SQRT('Black-Scholes'!$B$7)*B1990)</f>
        <v>106.509846621699</v>
      </c>
      <c r="D1990" s="18" t="n">
        <f aca="false">'Black-Scholes'!$B$5*EXP(('Black-Scholes'!$B$8-'Black-Scholes'!$B$10-'Black-Scholes'!$B$9^2/2)*'Black-Scholes'!$B$7-'Black-Scholes'!$B$9*SQRT('Black-Scholes'!$B$7)*B1990)</f>
        <v>99.6937447780561</v>
      </c>
      <c r="E1990" s="18" t="n">
        <f aca="false">EXP(-'Black-Scholes'!$B$8*'Black-Scholes'!$B$7)*IF(LOWER('Black-Scholes'!$B$11)="put",MAX('Black-Scholes'!$B$6-C1990,0),MAX(C1990-'Black-Scholes'!$B$6,0))</f>
        <v>6.19235765554699</v>
      </c>
      <c r="F1990" s="18" t="n">
        <f aca="false">(E1990+G1990)/2</f>
        <v>3.0961788277735</v>
      </c>
      <c r="G1990" s="18" t="n">
        <f aca="false">EXP(-'Black-Scholes'!$B$8*'Black-Scholes'!$B$7)*IF(LOWER('Black-Scholes'!$B$11)="put",MAX('Black-Scholes'!$B$6-D1990,0),MAX(D1990-'Black-Scholes'!$B$6,0))</f>
        <v>0</v>
      </c>
    </row>
    <row r="1991" customFormat="false" ht="15" hidden="false" customHeight="false" outlineLevel="0" collapsed="false">
      <c r="A1991" s="0" t="n">
        <v>1980</v>
      </c>
      <c r="B1991" s="15" t="n">
        <v>2.40633515586763</v>
      </c>
      <c r="C1991" s="18" t="n">
        <f aca="false">'Black-Scholes'!$B$5*EXP(('Black-Scholes'!$B$8-'Black-Scholes'!$B$10-'Black-Scholes'!$B$9^2/2)*'Black-Scholes'!$B$7+'Black-Scholes'!$B$9*SQRT('Black-Scholes'!$B$7)*B1991)</f>
        <v>166.74025080702</v>
      </c>
      <c r="D1991" s="18" t="n">
        <f aca="false">'Black-Scholes'!$B$5*EXP(('Black-Scholes'!$B$8-'Black-Scholes'!$B$10-'Black-Scholes'!$B$9^2/2)*'Black-Scholes'!$B$7-'Black-Scholes'!$B$9*SQRT('Black-Scholes'!$B$7)*B1991)</f>
        <v>63.6820768474371</v>
      </c>
      <c r="E1991" s="18" t="n">
        <f aca="false">EXP(-'Black-Scholes'!$B$8*'Black-Scholes'!$B$7)*IF(LOWER('Black-Scholes'!$B$11)="put",MAX('Black-Scholes'!$B$6-C1991,0),MAX(C1991-'Black-Scholes'!$B$6,0))</f>
        <v>63.4852903661951</v>
      </c>
      <c r="F1991" s="18" t="n">
        <f aca="false">(E1991+G1991)/2</f>
        <v>31.7426451830976</v>
      </c>
      <c r="G1991" s="18" t="n">
        <f aca="false">EXP(-'Black-Scholes'!$B$8*'Black-Scholes'!$B$7)*IF(LOWER('Black-Scholes'!$B$11)="put",MAX('Black-Scholes'!$B$6-D1991,0),MAX(D1991-'Black-Scholes'!$B$6,0))</f>
        <v>0</v>
      </c>
    </row>
    <row r="1992" customFormat="false" ht="15" hidden="false" customHeight="false" outlineLevel="0" collapsed="false">
      <c r="A1992" s="0" t="n">
        <v>1981</v>
      </c>
      <c r="B1992" s="15" t="n">
        <v>-0.0507515741383183</v>
      </c>
      <c r="C1992" s="18" t="n">
        <f aca="false">'Black-Scholes'!$B$5*EXP(('Black-Scholes'!$B$8-'Black-Scholes'!$B$10-'Black-Scholes'!$B$9^2/2)*'Black-Scholes'!$B$7+'Black-Scholes'!$B$9*SQRT('Black-Scholes'!$B$7)*B1992)</f>
        <v>102.004800016306</v>
      </c>
      <c r="D1992" s="18" t="n">
        <f aca="false">'Black-Scholes'!$B$5*EXP(('Black-Scholes'!$B$8-'Black-Scholes'!$B$10-'Black-Scholes'!$B$9^2/2)*'Black-Scholes'!$B$7-'Black-Scholes'!$B$9*SQRT('Black-Scholes'!$B$7)*B1992)</f>
        <v>104.096723524345</v>
      </c>
      <c r="E1992" s="18" t="n">
        <f aca="false">EXP(-'Black-Scholes'!$B$8*'Black-Scholes'!$B$7)*IF(LOWER('Black-Scholes'!$B$11)="put",MAX('Black-Scholes'!$B$6-C1992,0),MAX(C1992-'Black-Scholes'!$B$6,0))</f>
        <v>1.90702476575015</v>
      </c>
      <c r="F1992" s="18" t="n">
        <f aca="false">(E1992+G1992)/2</f>
        <v>2.90197436307591</v>
      </c>
      <c r="G1992" s="18" t="n">
        <f aca="false">EXP(-'Black-Scholes'!$B$8*'Black-Scholes'!$B$7)*IF(LOWER('Black-Scholes'!$B$11)="put",MAX('Black-Scholes'!$B$6-D1992,0),MAX(D1992-'Black-Scholes'!$B$6,0))</f>
        <v>3.89692396040167</v>
      </c>
    </row>
    <row r="1993" customFormat="false" ht="15" hidden="false" customHeight="false" outlineLevel="0" collapsed="false">
      <c r="A1993" s="0" t="n">
        <v>1982</v>
      </c>
      <c r="B1993" s="15" t="n">
        <v>0.644468911084114</v>
      </c>
      <c r="C1993" s="18" t="n">
        <f aca="false">'Black-Scholes'!$B$5*EXP(('Black-Scholes'!$B$8-'Black-Scholes'!$B$10-'Black-Scholes'!$B$9^2/2)*'Black-Scholes'!$B$7+'Black-Scholes'!$B$9*SQRT('Black-Scholes'!$B$7)*B1993)</f>
        <v>117.221343015594</v>
      </c>
      <c r="D1993" s="18" t="n">
        <f aca="false">'Black-Scholes'!$B$5*EXP(('Black-Scholes'!$B$8-'Black-Scholes'!$B$10-'Black-Scholes'!$B$9^2/2)*'Black-Scholes'!$B$7-'Black-Scholes'!$B$9*SQRT('Black-Scholes'!$B$7)*B1993)</f>
        <v>90.5838919115698</v>
      </c>
      <c r="E1993" s="18" t="n">
        <f aca="false">EXP(-'Black-Scholes'!$B$8*'Black-Scholes'!$B$7)*IF(LOWER('Black-Scholes'!$B$11)="put",MAX('Black-Scholes'!$B$6-C1993,0),MAX(C1993-'Black-Scholes'!$B$6,0))</f>
        <v>16.3814482058527</v>
      </c>
      <c r="F1993" s="18" t="n">
        <f aca="false">(E1993+G1993)/2</f>
        <v>8.19072410292636</v>
      </c>
      <c r="G1993" s="18" t="n">
        <f aca="false">EXP(-'Black-Scholes'!$B$8*'Black-Scholes'!$B$7)*IF(LOWER('Black-Scholes'!$B$11)="put",MAX('Black-Scholes'!$B$6-D1993,0),MAX(D1993-'Black-Scholes'!$B$6,0))</f>
        <v>0</v>
      </c>
    </row>
    <row r="1994" customFormat="false" ht="15" hidden="false" customHeight="false" outlineLevel="0" collapsed="false">
      <c r="A1994" s="0" t="n">
        <v>1983</v>
      </c>
      <c r="B1994" s="15" t="n">
        <v>-0.540103399332606</v>
      </c>
      <c r="C1994" s="18" t="n">
        <f aca="false">'Black-Scholes'!$B$5*EXP(('Black-Scholes'!$B$8-'Black-Scholes'!$B$10-'Black-Scholes'!$B$9^2/2)*'Black-Scholes'!$B$7+'Black-Scholes'!$B$9*SQRT('Black-Scholes'!$B$7)*B1994)</f>
        <v>92.4945298600444</v>
      </c>
      <c r="D1994" s="18" t="n">
        <f aca="false">'Black-Scholes'!$B$5*EXP(('Black-Scholes'!$B$8-'Black-Scholes'!$B$10-'Black-Scholes'!$B$9^2/2)*'Black-Scholes'!$B$7-'Black-Scholes'!$B$9*SQRT('Black-Scholes'!$B$7)*B1994)</f>
        <v>114.79992905008</v>
      </c>
      <c r="E1994" s="18" t="n">
        <f aca="false">EXP(-'Black-Scholes'!$B$8*'Black-Scholes'!$B$7)*IF(LOWER('Black-Scholes'!$B$11)="put",MAX('Black-Scholes'!$B$6-C1994,0),MAX(C1994-'Black-Scholes'!$B$6,0))</f>
        <v>0</v>
      </c>
      <c r="F1994" s="18" t="n">
        <f aca="false">(E1994+G1994)/2</f>
        <v>7.03906399647947</v>
      </c>
      <c r="G1994" s="18" t="n">
        <f aca="false">EXP(-'Black-Scholes'!$B$8*'Black-Scholes'!$B$7)*IF(LOWER('Black-Scholes'!$B$11)="put",MAX('Black-Scholes'!$B$6-D1994,0),MAX(D1994-'Black-Scholes'!$B$6,0))</f>
        <v>14.0781279929589</v>
      </c>
    </row>
    <row r="1995" customFormat="false" ht="15" hidden="false" customHeight="false" outlineLevel="0" collapsed="false">
      <c r="A1995" s="0" t="n">
        <v>1984</v>
      </c>
      <c r="B1995" s="15" t="n">
        <v>-2.62482442327308</v>
      </c>
      <c r="C1995" s="18" t="n">
        <f aca="false">'Black-Scholes'!$B$5*EXP(('Black-Scholes'!$B$8-'Black-Scholes'!$B$10-'Black-Scholes'!$B$9^2/2)*'Black-Scholes'!$B$7+'Black-Scholes'!$B$9*SQRT('Black-Scholes'!$B$7)*B1995)</f>
        <v>60.9592312965086</v>
      </c>
      <c r="D1995" s="18" t="n">
        <f aca="false">'Black-Scholes'!$B$5*EXP(('Black-Scholes'!$B$8-'Black-Scholes'!$B$10-'Black-Scholes'!$B$9^2/2)*'Black-Scholes'!$B$7-'Black-Scholes'!$B$9*SQRT('Black-Scholes'!$B$7)*B1995)</f>
        <v>174.187981698873</v>
      </c>
      <c r="E1995" s="18" t="n">
        <f aca="false">EXP(-'Black-Scholes'!$B$8*'Black-Scholes'!$B$7)*IF(LOWER('Black-Scholes'!$B$11)="put",MAX('Black-Scholes'!$B$6-C1995,0),MAX(C1995-'Black-Scholes'!$B$6,0))</f>
        <v>0</v>
      </c>
      <c r="F1995" s="18" t="n">
        <f aca="false">(E1995+G1995)/2</f>
        <v>35.2848955681441</v>
      </c>
      <c r="G1995" s="18" t="n">
        <f aca="false">EXP(-'Black-Scholes'!$B$8*'Black-Scholes'!$B$7)*IF(LOWER('Black-Scholes'!$B$11)="put",MAX('Black-Scholes'!$B$6-D1995,0),MAX(D1995-'Black-Scholes'!$B$6,0))</f>
        <v>70.5697911362883</v>
      </c>
    </row>
    <row r="1996" customFormat="false" ht="15" hidden="false" customHeight="false" outlineLevel="0" collapsed="false">
      <c r="A1996" s="0" t="n">
        <v>1985</v>
      </c>
      <c r="B1996" s="15" t="n">
        <v>-0.0851286944317627</v>
      </c>
      <c r="C1996" s="18" t="n">
        <f aca="false">'Black-Scholes'!$B$5*EXP(('Black-Scholes'!$B$8-'Black-Scholes'!$B$10-'Black-Scholes'!$B$9^2/2)*'Black-Scholes'!$B$7+'Black-Scholes'!$B$9*SQRT('Black-Scholes'!$B$7)*B1996)</f>
        <v>101.305879201912</v>
      </c>
      <c r="D1996" s="18" t="n">
        <f aca="false">'Black-Scholes'!$B$5*EXP(('Black-Scholes'!$B$8-'Black-Scholes'!$B$10-'Black-Scholes'!$B$9^2/2)*'Black-Scholes'!$B$7-'Black-Scholes'!$B$9*SQRT('Black-Scholes'!$B$7)*B1996)</f>
        <v>104.814898692012</v>
      </c>
      <c r="E1996" s="18" t="n">
        <f aca="false">EXP(-'Black-Scholes'!$B$8*'Black-Scholes'!$B$7)*IF(LOWER('Black-Scholes'!$B$11)="put",MAX('Black-Scholes'!$B$6-C1996,0),MAX(C1996-'Black-Scholes'!$B$6,0))</f>
        <v>1.24219072170213</v>
      </c>
      <c r="F1996" s="18" t="n">
        <f aca="false">(E1996+G1996)/2</f>
        <v>2.91113201676694</v>
      </c>
      <c r="G1996" s="18" t="n">
        <f aca="false">EXP(-'Black-Scholes'!$B$8*'Black-Scholes'!$B$7)*IF(LOWER('Black-Scholes'!$B$11)="put",MAX('Black-Scholes'!$B$6-D1996,0),MAX(D1996-'Black-Scholes'!$B$6,0))</f>
        <v>4.58007331183174</v>
      </c>
    </row>
    <row r="1997" customFormat="false" ht="15" hidden="false" customHeight="false" outlineLevel="0" collapsed="false">
      <c r="A1997" s="0" t="n">
        <v>1986</v>
      </c>
      <c r="B1997" s="15" t="n">
        <v>-0.754843090883126</v>
      </c>
      <c r="C1997" s="18" t="n">
        <f aca="false">'Black-Scholes'!$B$5*EXP(('Black-Scholes'!$B$8-'Black-Scholes'!$B$10-'Black-Scholes'!$B$9^2/2)*'Black-Scholes'!$B$7+'Black-Scholes'!$B$9*SQRT('Black-Scholes'!$B$7)*B1997)</f>
        <v>88.6061765390396</v>
      </c>
      <c r="D1997" s="18" t="n">
        <f aca="false">'Black-Scholes'!$B$5*EXP(('Black-Scholes'!$B$8-'Black-Scholes'!$B$10-'Black-Scholes'!$B$9^2/2)*'Black-Scholes'!$B$7-'Black-Scholes'!$B$9*SQRT('Black-Scholes'!$B$7)*B1997)</f>
        <v>119.837757142982</v>
      </c>
      <c r="E1997" s="18" t="n">
        <f aca="false">EXP(-'Black-Scholes'!$B$8*'Black-Scholes'!$B$7)*IF(LOWER('Black-Scholes'!$B$11)="put",MAX('Black-Scholes'!$B$6-C1997,0),MAX(C1997-'Black-Scholes'!$B$6,0))</f>
        <v>0</v>
      </c>
      <c r="F1997" s="18" t="n">
        <f aca="false">(E1997+G1997)/2</f>
        <v>9.43512915525176</v>
      </c>
      <c r="G1997" s="18" t="n">
        <f aca="false">EXP(-'Black-Scholes'!$B$8*'Black-Scholes'!$B$7)*IF(LOWER('Black-Scholes'!$B$11)="put",MAX('Black-Scholes'!$B$6-D1997,0),MAX(D1997-'Black-Scholes'!$B$6,0))</f>
        <v>18.8702583105035</v>
      </c>
    </row>
    <row r="1998" customFormat="false" ht="15" hidden="false" customHeight="false" outlineLevel="0" collapsed="false">
      <c r="A1998" s="0" t="n">
        <v>1987</v>
      </c>
      <c r="B1998" s="15" t="n">
        <v>0.343694962078317</v>
      </c>
      <c r="C1998" s="18" t="n">
        <f aca="false">'Black-Scholes'!$B$5*EXP(('Black-Scholes'!$B$8-'Black-Scholes'!$B$10-'Black-Scholes'!$B$9^2/2)*'Black-Scholes'!$B$7+'Black-Scholes'!$B$9*SQRT('Black-Scholes'!$B$7)*B1998)</f>
        <v>110.377816748505</v>
      </c>
      <c r="D1998" s="18" t="n">
        <f aca="false">'Black-Scholes'!$B$5*EXP(('Black-Scholes'!$B$8-'Black-Scholes'!$B$10-'Black-Scholes'!$B$9^2/2)*'Black-Scholes'!$B$7-'Black-Scholes'!$B$9*SQRT('Black-Scholes'!$B$7)*B1998)</f>
        <v>96.2001766138159</v>
      </c>
      <c r="E1998" s="18" t="n">
        <f aca="false">EXP(-'Black-Scholes'!$B$8*'Black-Scholes'!$B$7)*IF(LOWER('Black-Scholes'!$B$11)="put",MAX('Black-Scholes'!$B$6-C1998,0),MAX(C1998-'Black-Scholes'!$B$6,0))</f>
        <v>9.87168465325435</v>
      </c>
      <c r="F1998" s="18" t="n">
        <f aca="false">(E1998+G1998)/2</f>
        <v>4.93584232662717</v>
      </c>
      <c r="G1998" s="18" t="n">
        <f aca="false">EXP(-'Black-Scholes'!$B$8*'Black-Scholes'!$B$7)*IF(LOWER('Black-Scholes'!$B$11)="put",MAX('Black-Scholes'!$B$6-D1998,0),MAX(D1998-'Black-Scholes'!$B$6,0))</f>
        <v>0</v>
      </c>
    </row>
    <row r="1999" customFormat="false" ht="15" hidden="false" customHeight="false" outlineLevel="0" collapsed="false">
      <c r="A1999" s="0" t="n">
        <v>1988</v>
      </c>
      <c r="B1999" s="15" t="n">
        <v>0.735103545766984</v>
      </c>
      <c r="C1999" s="18" t="n">
        <f aca="false">'Black-Scholes'!$B$5*EXP(('Black-Scholes'!$B$8-'Black-Scholes'!$B$10-'Black-Scholes'!$B$9^2/2)*'Black-Scholes'!$B$7+'Black-Scholes'!$B$9*SQRT('Black-Scholes'!$B$7)*B1999)</f>
        <v>119.36558124725</v>
      </c>
      <c r="D1999" s="18" t="n">
        <f aca="false">'Black-Scholes'!$B$5*EXP(('Black-Scholes'!$B$8-'Black-Scholes'!$B$10-'Black-Scholes'!$B$9^2/2)*'Black-Scholes'!$B$7-'Black-Scholes'!$B$9*SQRT('Black-Scholes'!$B$7)*B1999)</f>
        <v>88.9566770797943</v>
      </c>
      <c r="E1999" s="18" t="n">
        <f aca="false">EXP(-'Black-Scholes'!$B$8*'Black-Scholes'!$B$7)*IF(LOWER('Black-Scholes'!$B$11)="put",MAX('Black-Scholes'!$B$6-C1999,0),MAX(C1999-'Black-Scholes'!$B$6,0))</f>
        <v>18.4211107049437</v>
      </c>
      <c r="F1999" s="18" t="n">
        <f aca="false">(E1999+G1999)/2</f>
        <v>9.21055535247187</v>
      </c>
      <c r="G1999" s="18" t="n">
        <f aca="false">EXP(-'Black-Scholes'!$B$8*'Black-Scholes'!$B$7)*IF(LOWER('Black-Scholes'!$B$11)="put",MAX('Black-Scholes'!$B$6-D1999,0),MAX(D1999-'Black-Scholes'!$B$6,0))</f>
        <v>0</v>
      </c>
    </row>
    <row r="2000" customFormat="false" ht="15" hidden="false" customHeight="false" outlineLevel="0" collapsed="false">
      <c r="A2000" s="0" t="n">
        <v>1989</v>
      </c>
      <c r="B2000" s="15" t="n">
        <v>1.01376363120942</v>
      </c>
      <c r="C2000" s="18" t="n">
        <f aca="false">'Black-Scholes'!$B$5*EXP(('Black-Scholes'!$B$8-'Black-Scholes'!$B$10-'Black-Scholes'!$B$9^2/2)*'Black-Scholes'!$B$7+'Black-Scholes'!$B$9*SQRT('Black-Scholes'!$B$7)*B2000)</f>
        <v>126.206936410523</v>
      </c>
      <c r="D2000" s="18" t="n">
        <f aca="false">'Black-Scholes'!$B$5*EXP(('Black-Scholes'!$B$8-'Black-Scholes'!$B$10-'Black-Scholes'!$B$9^2/2)*'Black-Scholes'!$B$7-'Black-Scholes'!$B$9*SQRT('Black-Scholes'!$B$7)*B2000)</f>
        <v>84.1345631821249</v>
      </c>
      <c r="E2000" s="18" t="n">
        <f aca="false">EXP(-'Black-Scholes'!$B$8*'Black-Scholes'!$B$7)*IF(LOWER('Black-Scholes'!$B$11)="put",MAX('Black-Scholes'!$B$6-C2000,0),MAX(C2000-'Black-Scholes'!$B$6,0))</f>
        <v>24.928809039709</v>
      </c>
      <c r="F2000" s="18" t="n">
        <f aca="false">(E2000+G2000)/2</f>
        <v>12.4644045198545</v>
      </c>
      <c r="G2000" s="18" t="n">
        <f aca="false">EXP(-'Black-Scholes'!$B$8*'Black-Scholes'!$B$7)*IF(LOWER('Black-Scholes'!$B$11)="put",MAX('Black-Scholes'!$B$6-D2000,0),MAX(D2000-'Black-Scholes'!$B$6,0))</f>
        <v>0</v>
      </c>
    </row>
    <row r="2001" customFormat="false" ht="15" hidden="false" customHeight="false" outlineLevel="0" collapsed="false">
      <c r="A2001" s="0" t="n">
        <v>1990</v>
      </c>
      <c r="B2001" s="15" t="n">
        <v>1.16285285771526</v>
      </c>
      <c r="C2001" s="18" t="n">
        <f aca="false">'Black-Scholes'!$B$5*EXP(('Black-Scholes'!$B$8-'Black-Scholes'!$B$10-'Black-Scholes'!$B$9^2/2)*'Black-Scholes'!$B$7+'Black-Scholes'!$B$9*SQRT('Black-Scholes'!$B$7)*B2001)</f>
        <v>130.026822686583</v>
      </c>
      <c r="D2001" s="18" t="n">
        <f aca="false">'Black-Scholes'!$B$5*EXP(('Black-Scholes'!$B$8-'Black-Scholes'!$B$10-'Black-Scholes'!$B$9^2/2)*'Black-Scholes'!$B$7-'Black-Scholes'!$B$9*SQRT('Black-Scholes'!$B$7)*B2001)</f>
        <v>81.6628849806486</v>
      </c>
      <c r="E2001" s="18" t="n">
        <f aca="false">EXP(-'Black-Scholes'!$B$8*'Black-Scholes'!$B$7)*IF(LOWER('Black-Scholes'!$B$11)="put",MAX('Black-Scholes'!$B$6-C2001,0),MAX(C2001-'Black-Scholes'!$B$6,0))</f>
        <v>28.5623972637431</v>
      </c>
      <c r="F2001" s="18" t="n">
        <f aca="false">(E2001+G2001)/2</f>
        <v>14.2811986318716</v>
      </c>
      <c r="G2001" s="18" t="n">
        <f aca="false">EXP(-'Black-Scholes'!$B$8*'Black-Scholes'!$B$7)*IF(LOWER('Black-Scholes'!$B$11)="put",MAX('Black-Scholes'!$B$6-D2001,0),MAX(D2001-'Black-Scholes'!$B$6,0))</f>
        <v>0</v>
      </c>
    </row>
    <row r="2002" customFormat="false" ht="15" hidden="false" customHeight="false" outlineLevel="0" collapsed="false">
      <c r="A2002" s="0" t="n">
        <v>1991</v>
      </c>
      <c r="B2002" s="15" t="n">
        <v>1.42557846623285</v>
      </c>
      <c r="C2002" s="18" t="n">
        <f aca="false">'Black-Scholes'!$B$5*EXP(('Black-Scholes'!$B$8-'Black-Scholes'!$B$10-'Black-Scholes'!$B$9^2/2)*'Black-Scholes'!$B$7+'Black-Scholes'!$B$9*SQRT('Black-Scholes'!$B$7)*B2002)</f>
        <v>137.041784987609</v>
      </c>
      <c r="D2002" s="18" t="n">
        <f aca="false">'Black-Scholes'!$B$5*EXP(('Black-Scholes'!$B$8-'Black-Scholes'!$B$10-'Black-Scholes'!$B$9^2/2)*'Black-Scholes'!$B$7-'Black-Scholes'!$B$9*SQRT('Black-Scholes'!$B$7)*B2002)</f>
        <v>77.4826850541513</v>
      </c>
      <c r="E2002" s="18" t="n">
        <f aca="false">EXP(-'Black-Scholes'!$B$8*'Black-Scholes'!$B$7)*IF(LOWER('Black-Scholes'!$B$11)="put",MAX('Black-Scholes'!$B$6-C2002,0),MAX(C2002-'Black-Scholes'!$B$6,0))</f>
        <v>35.2352358162422</v>
      </c>
      <c r="F2002" s="18" t="n">
        <f aca="false">(E2002+G2002)/2</f>
        <v>17.6176179081211</v>
      </c>
      <c r="G2002" s="18" t="n">
        <f aca="false">EXP(-'Black-Scholes'!$B$8*'Black-Scholes'!$B$7)*IF(LOWER('Black-Scholes'!$B$11)="put",MAX('Black-Scholes'!$B$6-D2002,0),MAX(D2002-'Black-Scholes'!$B$6,0))</f>
        <v>0</v>
      </c>
    </row>
    <row r="2003" customFormat="false" ht="15" hidden="false" customHeight="false" outlineLevel="0" collapsed="false">
      <c r="A2003" s="0" t="n">
        <v>1992</v>
      </c>
      <c r="B2003" s="15" t="n">
        <v>-1.31363629923761</v>
      </c>
      <c r="C2003" s="18" t="n">
        <f aca="false">'Black-Scholes'!$B$5*EXP(('Black-Scholes'!$B$8-'Black-Scholes'!$B$10-'Black-Scholes'!$B$9^2/2)*'Black-Scholes'!$B$7+'Black-Scholes'!$B$9*SQRT('Black-Scholes'!$B$7)*B2003)</f>
        <v>79.2369655076462</v>
      </c>
      <c r="D2003" s="18" t="n">
        <f aca="false">'Black-Scholes'!$B$5*EXP(('Black-Scholes'!$B$8-'Black-Scholes'!$B$10-'Black-Scholes'!$B$9^2/2)*'Black-Scholes'!$B$7-'Black-Scholes'!$B$9*SQRT('Black-Scholes'!$B$7)*B2003)</f>
        <v>134.007724771199</v>
      </c>
      <c r="E2003" s="18" t="n">
        <f aca="false">EXP(-'Black-Scholes'!$B$8*'Black-Scholes'!$B$7)*IF(LOWER('Black-Scholes'!$B$11)="put",MAX('Black-Scholes'!$B$6-C2003,0),MAX(C2003-'Black-Scholes'!$B$6,0))</f>
        <v>0</v>
      </c>
      <c r="F2003" s="18" t="n">
        <f aca="false">(E2003+G2003)/2</f>
        <v>16.1745742313429</v>
      </c>
      <c r="G2003" s="18" t="n">
        <f aca="false">EXP(-'Black-Scholes'!$B$8*'Black-Scholes'!$B$7)*IF(LOWER('Black-Scholes'!$B$11)="put",MAX('Black-Scholes'!$B$6-D2003,0),MAX(D2003-'Black-Scholes'!$B$6,0))</f>
        <v>32.3491484626859</v>
      </c>
    </row>
    <row r="2004" customFormat="false" ht="15" hidden="false" customHeight="false" outlineLevel="0" collapsed="false">
      <c r="A2004" s="0" t="n">
        <v>1993</v>
      </c>
      <c r="B2004" s="15" t="n">
        <v>0.0303347219991184</v>
      </c>
      <c r="C2004" s="18" t="n">
        <f aca="false">'Black-Scholes'!$B$5*EXP(('Black-Scholes'!$B$8-'Black-Scholes'!$B$10-'Black-Scholes'!$B$9^2/2)*'Black-Scholes'!$B$7+'Black-Scholes'!$B$9*SQRT('Black-Scholes'!$B$7)*B2004)</f>
        <v>103.672524711736</v>
      </c>
      <c r="D2004" s="18" t="n">
        <f aca="false">'Black-Scholes'!$B$5*EXP(('Black-Scholes'!$B$8-'Black-Scholes'!$B$10-'Black-Scholes'!$B$9^2/2)*'Black-Scholes'!$B$7-'Black-Scholes'!$B$9*SQRT('Black-Scholes'!$B$7)*B2004)</f>
        <v>102.42217496852</v>
      </c>
      <c r="E2004" s="18" t="n">
        <f aca="false">EXP(-'Black-Scholes'!$B$8*'Black-Scholes'!$B$7)*IF(LOWER('Black-Scholes'!$B$11)="put",MAX('Black-Scholes'!$B$6-C2004,0),MAX(C2004-'Black-Scholes'!$B$6,0))</f>
        <v>3.49341356800895</v>
      </c>
      <c r="F2004" s="18" t="n">
        <f aca="false">(E2004+G2004)/2</f>
        <v>2.89872883467711</v>
      </c>
      <c r="G2004" s="18" t="n">
        <f aca="false">EXP(-'Black-Scholes'!$B$8*'Black-Scholes'!$B$7)*IF(LOWER('Black-Scholes'!$B$11)="put",MAX('Black-Scholes'!$B$6-D2004,0),MAX(D2004-'Black-Scholes'!$B$6,0))</f>
        <v>2.30404410134527</v>
      </c>
    </row>
    <row r="2005" customFormat="false" ht="15" hidden="false" customHeight="false" outlineLevel="0" collapsed="false">
      <c r="A2005" s="0" t="n">
        <v>1994</v>
      </c>
      <c r="B2005" s="15" t="n">
        <v>-0.508983266844891</v>
      </c>
      <c r="C2005" s="18" t="n">
        <f aca="false">'Black-Scholes'!$B$5*EXP(('Black-Scholes'!$B$8-'Black-Scholes'!$B$10-'Black-Scholes'!$B$9^2/2)*'Black-Scholes'!$B$7+'Black-Scholes'!$B$9*SQRT('Black-Scholes'!$B$7)*B2005)</f>
        <v>93.0720135373892</v>
      </c>
      <c r="D2005" s="18" t="n">
        <f aca="false">'Black-Scholes'!$B$5*EXP(('Black-Scholes'!$B$8-'Black-Scholes'!$B$10-'Black-Scholes'!$B$9^2/2)*'Black-Scholes'!$B$7-'Black-Scholes'!$B$9*SQRT('Black-Scholes'!$B$7)*B2005)</f>
        <v>114.087630232561</v>
      </c>
      <c r="E2005" s="18" t="n">
        <f aca="false">EXP(-'Black-Scholes'!$B$8*'Black-Scholes'!$B$7)*IF(LOWER('Black-Scholes'!$B$11)="put",MAX('Black-Scholes'!$B$6-C2005,0),MAX(C2005-'Black-Scholes'!$B$6,0))</f>
        <v>0</v>
      </c>
      <c r="F2005" s="18" t="n">
        <f aca="false">(E2005+G2005)/2</f>
        <v>6.70028419934904</v>
      </c>
      <c r="G2005" s="18" t="n">
        <f aca="false">EXP(-'Black-Scholes'!$B$8*'Black-Scholes'!$B$7)*IF(LOWER('Black-Scholes'!$B$11)="put",MAX('Black-Scholes'!$B$6-D2005,0),MAX(D2005-'Black-Scholes'!$B$6,0))</f>
        <v>13.4005683986981</v>
      </c>
    </row>
    <row r="2006" customFormat="false" ht="15" hidden="false" customHeight="false" outlineLevel="0" collapsed="false">
      <c r="A2006" s="0" t="n">
        <v>1995</v>
      </c>
      <c r="B2006" s="15" t="n">
        <v>1.2931454975078</v>
      </c>
      <c r="C2006" s="18" t="n">
        <f aca="false">'Black-Scholes'!$B$5*EXP(('Black-Scholes'!$B$8-'Black-Scholes'!$B$10-'Black-Scholes'!$B$9^2/2)*'Black-Scholes'!$B$7+'Black-Scholes'!$B$9*SQRT('Black-Scholes'!$B$7)*B2006)</f>
        <v>133.459663416198</v>
      </c>
      <c r="D2006" s="18" t="n">
        <f aca="false">'Black-Scholes'!$B$5*EXP(('Black-Scholes'!$B$8-'Black-Scholes'!$B$10-'Black-Scholes'!$B$9^2/2)*'Black-Scholes'!$B$7-'Black-Scholes'!$B$9*SQRT('Black-Scholes'!$B$7)*B2006)</f>
        <v>79.562357596691</v>
      </c>
      <c r="E2006" s="18" t="n">
        <f aca="false">EXP(-'Black-Scholes'!$B$8*'Black-Scholes'!$B$7)*IF(LOWER('Black-Scholes'!$B$11)="put",MAX('Black-Scholes'!$B$6-C2006,0),MAX(C2006-'Black-Scholes'!$B$6,0))</f>
        <v>31.8278163753779</v>
      </c>
      <c r="F2006" s="18" t="n">
        <f aca="false">(E2006+G2006)/2</f>
        <v>15.913908187689</v>
      </c>
      <c r="G2006" s="18" t="n">
        <f aca="false">EXP(-'Black-Scholes'!$B$8*'Black-Scholes'!$B$7)*IF(LOWER('Black-Scholes'!$B$11)="put",MAX('Black-Scholes'!$B$6-D2006,0),MAX(D2006-'Black-Scholes'!$B$6,0))</f>
        <v>0</v>
      </c>
    </row>
    <row r="2007" customFormat="false" ht="15" hidden="false" customHeight="false" outlineLevel="0" collapsed="false">
      <c r="A2007" s="0" t="n">
        <v>1996</v>
      </c>
      <c r="B2007" s="15" t="n">
        <v>1.38106262320594</v>
      </c>
      <c r="C2007" s="18" t="n">
        <f aca="false">'Black-Scholes'!$B$5*EXP(('Black-Scholes'!$B$8-'Black-Scholes'!$B$10-'Black-Scholes'!$B$9^2/2)*'Black-Scholes'!$B$7+'Black-Scholes'!$B$9*SQRT('Black-Scholes'!$B$7)*B2007)</f>
        <v>135.827094192031</v>
      </c>
      <c r="D2007" s="18" t="n">
        <f aca="false">'Black-Scholes'!$B$5*EXP(('Black-Scholes'!$B$8-'Black-Scholes'!$B$10-'Black-Scholes'!$B$9^2/2)*'Black-Scholes'!$B$7-'Black-Scholes'!$B$9*SQRT('Black-Scholes'!$B$7)*B2007)</f>
        <v>78.175606484237</v>
      </c>
      <c r="E2007" s="18" t="n">
        <f aca="false">EXP(-'Black-Scholes'!$B$8*'Black-Scholes'!$B$7)*IF(LOWER('Black-Scholes'!$B$11)="put",MAX('Black-Scholes'!$B$6-C2007,0),MAX(C2007-'Black-Scholes'!$B$6,0))</f>
        <v>34.0797861898184</v>
      </c>
      <c r="F2007" s="18" t="n">
        <f aca="false">(E2007+G2007)/2</f>
        <v>17.0398930949092</v>
      </c>
      <c r="G2007" s="18" t="n">
        <f aca="false">EXP(-'Black-Scholes'!$B$8*'Black-Scholes'!$B$7)*IF(LOWER('Black-Scholes'!$B$11)="put",MAX('Black-Scholes'!$B$6-D2007,0),MAX(D2007-'Black-Scholes'!$B$6,0))</f>
        <v>0</v>
      </c>
    </row>
    <row r="2008" customFormat="false" ht="15" hidden="false" customHeight="false" outlineLevel="0" collapsed="false">
      <c r="A2008" s="0" t="n">
        <v>1997</v>
      </c>
      <c r="B2008" s="15" t="n">
        <v>0.0309752402923921</v>
      </c>
      <c r="C2008" s="18" t="n">
        <f aca="false">'Black-Scholes'!$B$5*EXP(('Black-Scholes'!$B$8-'Black-Scholes'!$B$10-'Black-Scholes'!$B$9^2/2)*'Black-Scholes'!$B$7+'Black-Scholes'!$B$9*SQRT('Black-Scholes'!$B$7)*B2008)</f>
        <v>103.685806392151</v>
      </c>
      <c r="D2008" s="18" t="n">
        <f aca="false">'Black-Scholes'!$B$5*EXP(('Black-Scholes'!$B$8-'Black-Scholes'!$B$10-'Black-Scholes'!$B$9^2/2)*'Black-Scholes'!$B$7-'Black-Scholes'!$B$9*SQRT('Black-Scholes'!$B$7)*B2008)</f>
        <v>102.409055153545</v>
      </c>
      <c r="E2008" s="18" t="n">
        <f aca="false">EXP(-'Black-Scholes'!$B$8*'Black-Scholes'!$B$7)*IF(LOWER('Black-Scholes'!$B$11)="put",MAX('Black-Scholes'!$B$6-C2008,0),MAX(C2008-'Black-Scholes'!$B$6,0))</f>
        <v>3.50604749322682</v>
      </c>
      <c r="F2008" s="18" t="n">
        <f aca="false">(E2008+G2008)/2</f>
        <v>2.89880582026205</v>
      </c>
      <c r="G2008" s="18" t="n">
        <f aca="false">EXP(-'Black-Scholes'!$B$8*'Black-Scholes'!$B$7)*IF(LOWER('Black-Scholes'!$B$11)="put",MAX('Black-Scholes'!$B$6-D2008,0),MAX(D2008-'Black-Scholes'!$B$6,0))</f>
        <v>2.29156414729728</v>
      </c>
    </row>
    <row r="2009" customFormat="false" ht="15" hidden="false" customHeight="false" outlineLevel="0" collapsed="false">
      <c r="A2009" s="0" t="n">
        <v>1998</v>
      </c>
      <c r="B2009" s="15" t="n">
        <v>-0.122209919276463</v>
      </c>
      <c r="C2009" s="18" t="n">
        <f aca="false">'Black-Scholes'!$B$5*EXP(('Black-Scholes'!$B$8-'Black-Scholes'!$B$10-'Black-Scholes'!$B$9^2/2)*'Black-Scholes'!$B$7+'Black-Scholes'!$B$9*SQRT('Black-Scholes'!$B$7)*B2009)</f>
        <v>100.55734905722</v>
      </c>
      <c r="D2009" s="18" t="n">
        <f aca="false">'Black-Scholes'!$B$5*EXP(('Black-Scholes'!$B$8-'Black-Scholes'!$B$10-'Black-Scholes'!$B$9^2/2)*'Black-Scholes'!$B$7-'Black-Scholes'!$B$9*SQRT('Black-Scholes'!$B$7)*B2009)</f>
        <v>105.595121241825</v>
      </c>
      <c r="E2009" s="18" t="n">
        <f aca="false">EXP(-'Black-Scholes'!$B$8*'Black-Scholes'!$B$7)*IF(LOWER('Black-Scholes'!$B$11)="put",MAX('Black-Scholes'!$B$6-C2009,0),MAX(C2009-'Black-Scholes'!$B$6,0))</f>
        <v>0.530166822944972</v>
      </c>
      <c r="F2009" s="18" t="n">
        <f aca="false">(E2009+G2009)/2</f>
        <v>2.92620539090885</v>
      </c>
      <c r="G2009" s="18" t="n">
        <f aca="false">EXP(-'Black-Scholes'!$B$8*'Black-Scholes'!$B$7)*IF(LOWER('Black-Scholes'!$B$11)="put",MAX('Black-Scholes'!$B$6-D2009,0),MAX(D2009-'Black-Scholes'!$B$6,0))</f>
        <v>5.32224395887272</v>
      </c>
    </row>
    <row r="2010" customFormat="false" ht="15" hidden="false" customHeight="false" outlineLevel="0" collapsed="false">
      <c r="A2010" s="0" t="n">
        <v>1999</v>
      </c>
      <c r="B2010" s="15" t="n">
        <v>0.656982025344345</v>
      </c>
      <c r="C2010" s="18" t="n">
        <f aca="false">'Black-Scholes'!$B$5*EXP(('Black-Scholes'!$B$8-'Black-Scholes'!$B$10-'Black-Scholes'!$B$9^2/2)*'Black-Scholes'!$B$7+'Black-Scholes'!$B$9*SQRT('Black-Scholes'!$B$7)*B2010)</f>
        <v>117.515071219525</v>
      </c>
      <c r="D2010" s="18" t="n">
        <f aca="false">'Black-Scholes'!$B$5*EXP(('Black-Scholes'!$B$8-'Black-Scholes'!$B$10-'Black-Scholes'!$B$9^2/2)*'Black-Scholes'!$B$7-'Black-Scholes'!$B$9*SQRT('Black-Scholes'!$B$7)*B2010)</f>
        <v>90.3574780260979</v>
      </c>
      <c r="E2010" s="18" t="n">
        <f aca="false">EXP(-'Black-Scholes'!$B$8*'Black-Scholes'!$B$7)*IF(LOWER('Black-Scholes'!$B$11)="put",MAX('Black-Scholes'!$B$6-C2010,0),MAX(C2010-'Black-Scholes'!$B$6,0))</f>
        <v>16.6608511162381</v>
      </c>
      <c r="F2010" s="18" t="n">
        <f aca="false">(E2010+G2010)/2</f>
        <v>8.33042555811906</v>
      </c>
      <c r="G2010" s="18" t="n">
        <f aca="false">EXP(-'Black-Scholes'!$B$8*'Black-Scholes'!$B$7)*IF(LOWER('Black-Scholes'!$B$11)="put",MAX('Black-Scholes'!$B$6-D2010,0),MAX(D2010-'Black-Scholes'!$B$6,0))</f>
        <v>0</v>
      </c>
    </row>
    <row r="2011" customFormat="false" ht="15" hidden="false" customHeight="false" outlineLevel="0" collapsed="false">
      <c r="A2011" s="0" t="n">
        <v>2000</v>
      </c>
      <c r="B2011" s="15" t="n">
        <v>1.30741762023067</v>
      </c>
      <c r="C2011" s="18" t="n">
        <f aca="false">'Black-Scholes'!$B$5*EXP(('Black-Scholes'!$B$8-'Black-Scholes'!$B$10-'Black-Scholes'!$B$9^2/2)*'Black-Scholes'!$B$7+'Black-Scholes'!$B$9*SQRT('Black-Scholes'!$B$7)*B2011)</f>
        <v>133.841158170132</v>
      </c>
      <c r="D2011" s="18" t="n">
        <f aca="false">'Black-Scholes'!$B$5*EXP(('Black-Scholes'!$B$8-'Black-Scholes'!$B$10-'Black-Scholes'!$B$9^2/2)*'Black-Scholes'!$B$7-'Black-Scholes'!$B$9*SQRT('Black-Scholes'!$B$7)*B2011)</f>
        <v>79.3355766688456</v>
      </c>
      <c r="E2011" s="18" t="n">
        <f aca="false">EXP(-'Black-Scholes'!$B$8*'Black-Scholes'!$B$7)*IF(LOWER('Black-Scholes'!$B$11)="put",MAX('Black-Scholes'!$B$6-C2011,0),MAX(C2011-'Black-Scholes'!$B$6,0))</f>
        <v>32.1907054106123</v>
      </c>
      <c r="F2011" s="18" t="n">
        <f aca="false">(E2011+G2011)/2</f>
        <v>16.0953527053061</v>
      </c>
      <c r="G2011" s="18" t="n">
        <f aca="false">EXP(-'Black-Scholes'!$B$8*'Black-Scholes'!$B$7)*IF(LOWER('Black-Scholes'!$B$11)="put",MAX('Black-Scholes'!$B$6-D2011,0),MAX(D2011-'Black-Scholes'!$B$6,0))</f>
        <v>0</v>
      </c>
    </row>
    <row r="2012" customFormat="false" ht="15" hidden="false" customHeight="false" outlineLevel="0" collapsed="false">
      <c r="A2012" s="0" t="n">
        <v>2001</v>
      </c>
      <c r="B2012" s="15" t="n">
        <v>0.695603235626449</v>
      </c>
      <c r="C2012" s="18" t="n">
        <f aca="false">'Black-Scholes'!$B$5*EXP(('Black-Scholes'!$B$8-'Black-Scholes'!$B$10-'Black-Scholes'!$B$9^2/2)*'Black-Scholes'!$B$7+'Black-Scholes'!$B$9*SQRT('Black-Scholes'!$B$7)*B2012)</f>
        <v>118.426300823294</v>
      </c>
      <c r="D2012" s="18" t="n">
        <f aca="false">'Black-Scholes'!$B$5*EXP(('Black-Scholes'!$B$8-'Black-Scholes'!$B$10-'Black-Scholes'!$B$9^2/2)*'Black-Scholes'!$B$7-'Black-Scholes'!$B$9*SQRT('Black-Scholes'!$B$7)*B2012)</f>
        <v>89.6622236077224</v>
      </c>
      <c r="E2012" s="18" t="n">
        <f aca="false">EXP(-'Black-Scholes'!$B$8*'Black-Scholes'!$B$7)*IF(LOWER('Black-Scholes'!$B$11)="put",MAX('Black-Scholes'!$B$6-C2012,0),MAX(C2012-'Black-Scholes'!$B$6,0))</f>
        <v>17.527639527819</v>
      </c>
      <c r="F2012" s="18" t="n">
        <f aca="false">(E2012+G2012)/2</f>
        <v>8.76381976390952</v>
      </c>
      <c r="G2012" s="18" t="n">
        <f aca="false">EXP(-'Black-Scholes'!$B$8*'Black-Scholes'!$B$7)*IF(LOWER('Black-Scholes'!$B$11)="put",MAX('Black-Scholes'!$B$6-D2012,0),MAX(D2012-'Black-Scholes'!$B$6,0))</f>
        <v>0</v>
      </c>
    </row>
    <row r="2013" customFormat="false" ht="15" hidden="false" customHeight="false" outlineLevel="0" collapsed="false">
      <c r="A2013" s="0" t="n">
        <v>2002</v>
      </c>
      <c r="B2013" s="15" t="n">
        <v>0.342396148728362</v>
      </c>
      <c r="C2013" s="18" t="n">
        <f aca="false">'Black-Scholes'!$B$5*EXP(('Black-Scholes'!$B$8-'Black-Scholes'!$B$10-'Black-Scholes'!$B$9^2/2)*'Black-Scholes'!$B$7+'Black-Scholes'!$B$9*SQRT('Black-Scholes'!$B$7)*B2013)</f>
        <v>110.349148435759</v>
      </c>
      <c r="D2013" s="18" t="n">
        <f aca="false">'Black-Scholes'!$B$5*EXP(('Black-Scholes'!$B$8-'Black-Scholes'!$B$10-'Black-Scholes'!$B$9^2/2)*'Black-Scholes'!$B$7-'Black-Scholes'!$B$9*SQRT('Black-Scholes'!$B$7)*B2013)</f>
        <v>96.2251690744604</v>
      </c>
      <c r="E2013" s="18" t="n">
        <f aca="false">EXP(-'Black-Scholes'!$B$8*'Black-Scholes'!$B$7)*IF(LOWER('Black-Scholes'!$B$11)="put",MAX('Black-Scholes'!$B$6-C2013,0),MAX(C2013-'Black-Scholes'!$B$6,0))</f>
        <v>9.84441451061914</v>
      </c>
      <c r="F2013" s="18" t="n">
        <f aca="false">(E2013+G2013)/2</f>
        <v>4.92220725530957</v>
      </c>
      <c r="G2013" s="18" t="n">
        <f aca="false">EXP(-'Black-Scholes'!$B$8*'Black-Scholes'!$B$7)*IF(LOWER('Black-Scholes'!$B$11)="put",MAX('Black-Scholes'!$B$6-D2013,0),MAX(D2013-'Black-Scholes'!$B$6,0))</f>
        <v>0</v>
      </c>
    </row>
    <row r="2014" customFormat="false" ht="15" hidden="false" customHeight="false" outlineLevel="0" collapsed="false">
      <c r="A2014" s="0" t="n">
        <v>2003</v>
      </c>
      <c r="B2014" s="15" t="n">
        <v>0.430742151451065</v>
      </c>
      <c r="C2014" s="18" t="n">
        <f aca="false">'Black-Scholes'!$B$5*EXP(('Black-Scholes'!$B$8-'Black-Scholes'!$B$10-'Black-Scholes'!$B$9^2/2)*'Black-Scholes'!$B$7+'Black-Scholes'!$B$9*SQRT('Black-Scholes'!$B$7)*B2014)</f>
        <v>112.316257110775</v>
      </c>
      <c r="D2014" s="18" t="n">
        <f aca="false">'Black-Scholes'!$B$5*EXP(('Black-Scholes'!$B$8-'Black-Scholes'!$B$10-'Black-Scholes'!$B$9^2/2)*'Black-Scholes'!$B$7-'Black-Scholes'!$B$9*SQRT('Black-Scholes'!$B$7)*B2014)</f>
        <v>94.539879965738</v>
      </c>
      <c r="E2014" s="18" t="n">
        <f aca="false">EXP(-'Black-Scholes'!$B$8*'Black-Scholes'!$B$7)*IF(LOWER('Black-Scholes'!$B$11)="put",MAX('Black-Scholes'!$B$6-C2014,0),MAX(C2014-'Black-Scholes'!$B$6,0))</f>
        <v>11.715586163485</v>
      </c>
      <c r="F2014" s="18" t="n">
        <f aca="false">(E2014+G2014)/2</f>
        <v>5.85779308174248</v>
      </c>
      <c r="G2014" s="18" t="n">
        <f aca="false">EXP(-'Black-Scholes'!$B$8*'Black-Scholes'!$B$7)*IF(LOWER('Black-Scholes'!$B$11)="put",MAX('Black-Scholes'!$B$6-D2014,0),MAX(D2014-'Black-Scholes'!$B$6,0))</f>
        <v>0</v>
      </c>
    </row>
    <row r="2015" customFormat="false" ht="15" hidden="false" customHeight="false" outlineLevel="0" collapsed="false">
      <c r="A2015" s="0" t="n">
        <v>2004</v>
      </c>
      <c r="B2015" s="15" t="n">
        <v>-1.27327776795468</v>
      </c>
      <c r="C2015" s="18" t="n">
        <f aca="false">'Black-Scholes'!$B$5*EXP(('Black-Scholes'!$B$8-'Black-Scholes'!$B$10-'Black-Scholes'!$B$9^2/2)*'Black-Scholes'!$B$7+'Black-Scholes'!$B$9*SQRT('Black-Scholes'!$B$7)*B2015)</f>
        <v>79.8791312178258</v>
      </c>
      <c r="D2015" s="18" t="n">
        <f aca="false">'Black-Scholes'!$B$5*EXP(('Black-Scholes'!$B$8-'Black-Scholes'!$B$10-'Black-Scholes'!$B$9^2/2)*'Black-Scholes'!$B$7-'Black-Scholes'!$B$9*SQRT('Black-Scholes'!$B$7)*B2015)</f>
        <v>132.930407524062</v>
      </c>
      <c r="E2015" s="18" t="n">
        <f aca="false">EXP(-'Black-Scholes'!$B$8*'Black-Scholes'!$B$7)*IF(LOWER('Black-Scholes'!$B$11)="put",MAX('Black-Scholes'!$B$6-C2015,0),MAX(C2015-'Black-Scholes'!$B$6,0))</f>
        <v>0</v>
      </c>
      <c r="F2015" s="18" t="n">
        <f aca="false">(E2015+G2015)/2</f>
        <v>15.6621862988437</v>
      </c>
      <c r="G2015" s="18" t="n">
        <f aca="false">EXP(-'Black-Scholes'!$B$8*'Black-Scholes'!$B$7)*IF(LOWER('Black-Scholes'!$B$11)="put",MAX('Black-Scholes'!$B$6-D2015,0),MAX(D2015-'Black-Scholes'!$B$6,0))</f>
        <v>31.3243725976874</v>
      </c>
    </row>
    <row r="2016" customFormat="false" ht="15" hidden="false" customHeight="false" outlineLevel="0" collapsed="false">
      <c r="A2016" s="0" t="n">
        <v>2005</v>
      </c>
      <c r="B2016" s="15" t="n">
        <v>-0.873707197998766</v>
      </c>
      <c r="C2016" s="18" t="n">
        <f aca="false">'Black-Scholes'!$B$5*EXP(('Black-Scholes'!$B$8-'Black-Scholes'!$B$10-'Black-Scholes'!$B$9^2/2)*'Black-Scholes'!$B$7+'Black-Scholes'!$B$9*SQRT('Black-Scholes'!$B$7)*B2016)</f>
        <v>86.5245982538438</v>
      </c>
      <c r="D2016" s="18" t="n">
        <f aca="false">'Black-Scholes'!$B$5*EXP(('Black-Scholes'!$B$8-'Black-Scholes'!$B$10-'Black-Scholes'!$B$9^2/2)*'Black-Scholes'!$B$7-'Black-Scholes'!$B$9*SQRT('Black-Scholes'!$B$7)*B2016)</f>
        <v>122.720771661969</v>
      </c>
      <c r="E2016" s="18" t="n">
        <f aca="false">EXP(-'Black-Scholes'!$B$8*'Black-Scholes'!$B$7)*IF(LOWER('Black-Scholes'!$B$11)="put",MAX('Black-Scholes'!$B$6-C2016,0),MAX(C2016-'Black-Scholes'!$B$6,0))</f>
        <v>0</v>
      </c>
      <c r="F2016" s="18" t="n">
        <f aca="false">(E2016+G2016)/2</f>
        <v>10.8063332761136</v>
      </c>
      <c r="G2016" s="18" t="n">
        <f aca="false">EXP(-'Black-Scholes'!$B$8*'Black-Scholes'!$B$7)*IF(LOWER('Black-Scholes'!$B$11)="put",MAX('Black-Scholes'!$B$6-D2016,0),MAX(D2016-'Black-Scholes'!$B$6,0))</f>
        <v>21.6126665522272</v>
      </c>
    </row>
    <row r="2017" customFormat="false" ht="15" hidden="false" customHeight="false" outlineLevel="0" collapsed="false">
      <c r="A2017" s="0" t="n">
        <v>2006</v>
      </c>
      <c r="B2017" s="15" t="n">
        <v>-0.105166844087827</v>
      </c>
      <c r="C2017" s="18" t="n">
        <f aca="false">'Black-Scholes'!$B$5*EXP(('Black-Scholes'!$B$8-'Black-Scholes'!$B$10-'Black-Scholes'!$B$9^2/2)*'Black-Scholes'!$B$7+'Black-Scholes'!$B$9*SQRT('Black-Scholes'!$B$7)*B2017)</f>
        <v>100.900695184321</v>
      </c>
      <c r="D2017" s="18" t="n">
        <f aca="false">'Black-Scholes'!$B$5*EXP(('Black-Scholes'!$B$8-'Black-Scholes'!$B$10-'Black-Scholes'!$B$9^2/2)*'Black-Scholes'!$B$7-'Black-Scholes'!$B$9*SQRT('Black-Scholes'!$B$7)*B2017)</f>
        <v>105.235800863973</v>
      </c>
      <c r="E2017" s="18" t="n">
        <f aca="false">EXP(-'Black-Scholes'!$B$8*'Black-Scholes'!$B$7)*IF(LOWER('Black-Scholes'!$B$11)="put",MAX('Black-Scholes'!$B$6-C2017,0),MAX(C2017-'Black-Scholes'!$B$6,0))</f>
        <v>0.856767761832197</v>
      </c>
      <c r="F2017" s="18" t="n">
        <f aca="false">(E2017+G2017)/2</f>
        <v>2.91860780223458</v>
      </c>
      <c r="G2017" s="18" t="n">
        <f aca="false">EXP(-'Black-Scholes'!$B$8*'Black-Scholes'!$B$7)*IF(LOWER('Black-Scholes'!$B$11)="put",MAX('Black-Scholes'!$B$6-D2017,0),MAX(D2017-'Black-Scholes'!$B$6,0))</f>
        <v>4.98044784263696</v>
      </c>
    </row>
    <row r="2018" customFormat="false" ht="15" hidden="false" customHeight="false" outlineLevel="0" collapsed="false">
      <c r="A2018" s="0" t="n">
        <v>2007</v>
      </c>
      <c r="B2018" s="15" t="n">
        <v>0.513238534148024</v>
      </c>
      <c r="C2018" s="18" t="n">
        <f aca="false">'Black-Scholes'!$B$5*EXP(('Black-Scholes'!$B$8-'Black-Scholes'!$B$10-'Black-Scholes'!$B$9^2/2)*'Black-Scholes'!$B$7+'Black-Scholes'!$B$9*SQRT('Black-Scholes'!$B$7)*B2018)</f>
        <v>114.184766233187</v>
      </c>
      <c r="D2018" s="18" t="n">
        <f aca="false">'Black-Scholes'!$B$5*EXP(('Black-Scholes'!$B$8-'Black-Scholes'!$B$10-'Black-Scholes'!$B$9^2/2)*'Black-Scholes'!$B$7-'Black-Scholes'!$B$9*SQRT('Black-Scholes'!$B$7)*B2018)</f>
        <v>92.9928379742781</v>
      </c>
      <c r="E2018" s="18" t="n">
        <f aca="false">EXP(-'Black-Scholes'!$B$8*'Black-Scholes'!$B$7)*IF(LOWER('Black-Scholes'!$B$11)="put",MAX('Black-Scholes'!$B$6-C2018,0),MAX(C2018-'Black-Scholes'!$B$6,0))</f>
        <v>13.4929670206718</v>
      </c>
      <c r="F2018" s="18" t="n">
        <f aca="false">(E2018+G2018)/2</f>
        <v>6.74648351033591</v>
      </c>
      <c r="G2018" s="18" t="n">
        <f aca="false">EXP(-'Black-Scholes'!$B$8*'Black-Scholes'!$B$7)*IF(LOWER('Black-Scholes'!$B$11)="put",MAX('Black-Scholes'!$B$6-D2018,0),MAX(D2018-'Black-Scholes'!$B$6,0))</f>
        <v>0</v>
      </c>
    </row>
    <row r="2019" customFormat="false" ht="15" hidden="false" customHeight="false" outlineLevel="0" collapsed="false">
      <c r="A2019" s="0" t="n">
        <v>2008</v>
      </c>
      <c r="B2019" s="15" t="n">
        <v>0.275102555259592</v>
      </c>
      <c r="C2019" s="18" t="n">
        <f aca="false">'Black-Scholes'!$B$5*EXP(('Black-Scholes'!$B$8-'Black-Scholes'!$B$10-'Black-Scholes'!$B$9^2/2)*'Black-Scholes'!$B$7+'Black-Scholes'!$B$9*SQRT('Black-Scholes'!$B$7)*B2019)</f>
        <v>108.873939765969</v>
      </c>
      <c r="D2019" s="18" t="n">
        <f aca="false">'Black-Scholes'!$B$5*EXP(('Black-Scholes'!$B$8-'Black-Scholes'!$B$10-'Black-Scholes'!$B$9^2/2)*'Black-Scholes'!$B$7-'Black-Scholes'!$B$9*SQRT('Black-Scholes'!$B$7)*B2019)</f>
        <v>97.5289907601247</v>
      </c>
      <c r="E2019" s="18" t="n">
        <f aca="false">EXP(-'Black-Scholes'!$B$8*'Black-Scholes'!$B$7)*IF(LOWER('Black-Scholes'!$B$11)="put",MAX('Black-Scholes'!$B$6-C2019,0),MAX(C2019-'Black-Scholes'!$B$6,0))</f>
        <v>8.441152616637</v>
      </c>
      <c r="F2019" s="18" t="n">
        <f aca="false">(E2019+G2019)/2</f>
        <v>4.2205763083185</v>
      </c>
      <c r="G2019" s="18" t="n">
        <f aca="false">EXP(-'Black-Scholes'!$B$8*'Black-Scholes'!$B$7)*IF(LOWER('Black-Scholes'!$B$11)="put",MAX('Black-Scholes'!$B$6-D2019,0),MAX(D2019-'Black-Scholes'!$B$6,0))</f>
        <v>0</v>
      </c>
    </row>
    <row r="2020" customFormat="false" ht="15" hidden="false" customHeight="false" outlineLevel="0" collapsed="false">
      <c r="A2020" s="0" t="n">
        <v>2009</v>
      </c>
      <c r="B2020" s="15" t="n">
        <v>1.55928643186086</v>
      </c>
      <c r="C2020" s="18" t="n">
        <f aca="false">'Black-Scholes'!$B$5*EXP(('Black-Scholes'!$B$8-'Black-Scholes'!$B$10-'Black-Scholes'!$B$9^2/2)*'Black-Scholes'!$B$7+'Black-Scholes'!$B$9*SQRT('Black-Scholes'!$B$7)*B2020)</f>
        <v>140.75594052703</v>
      </c>
      <c r="D2020" s="18" t="n">
        <f aca="false">'Black-Scholes'!$B$5*EXP(('Black-Scholes'!$B$8-'Black-Scholes'!$B$10-'Black-Scholes'!$B$9^2/2)*'Black-Scholes'!$B$7-'Black-Scholes'!$B$9*SQRT('Black-Scholes'!$B$7)*B2020)</f>
        <v>75.4381337348564</v>
      </c>
      <c r="E2020" s="18" t="n">
        <f aca="false">EXP(-'Black-Scholes'!$B$8*'Black-Scholes'!$B$7)*IF(LOWER('Black-Scholes'!$B$11)="put",MAX('Black-Scholes'!$B$6-C2020,0),MAX(C2020-'Black-Scholes'!$B$6,0))</f>
        <v>38.7682498525123</v>
      </c>
      <c r="F2020" s="18" t="n">
        <f aca="false">(E2020+G2020)/2</f>
        <v>19.3841249262562</v>
      </c>
      <c r="G2020" s="18" t="n">
        <f aca="false">EXP(-'Black-Scholes'!$B$8*'Black-Scholes'!$B$7)*IF(LOWER('Black-Scholes'!$B$11)="put",MAX('Black-Scholes'!$B$6-D2020,0),MAX(D2020-'Black-Scholes'!$B$6,0))</f>
        <v>0</v>
      </c>
    </row>
    <row r="2021" customFormat="false" ht="15" hidden="false" customHeight="false" outlineLevel="0" collapsed="false">
      <c r="A2021" s="0" t="n">
        <v>2010</v>
      </c>
      <c r="B2021" s="15" t="n">
        <v>-1.70197823285646</v>
      </c>
      <c r="C2021" s="18" t="n">
        <f aca="false">'Black-Scholes'!$B$5*EXP(('Black-Scholes'!$B$8-'Black-Scholes'!$B$10-'Black-Scholes'!$B$9^2/2)*'Black-Scholes'!$B$7+'Black-Scholes'!$B$9*SQRT('Black-Scholes'!$B$7)*B2021)</f>
        <v>73.3156827848768</v>
      </c>
      <c r="D2021" s="18" t="n">
        <f aca="false">'Black-Scholes'!$B$5*EXP(('Black-Scholes'!$B$8-'Black-Scholes'!$B$10-'Black-Scholes'!$B$9^2/2)*'Black-Scholes'!$B$7-'Black-Scholes'!$B$9*SQRT('Black-Scholes'!$B$7)*B2021)</f>
        <v>144.830751922615</v>
      </c>
      <c r="E2021" s="18" t="n">
        <f aca="false">EXP(-'Black-Scholes'!$B$8*'Black-Scholes'!$B$7)*IF(LOWER('Black-Scholes'!$B$11)="put",MAX('Black-Scholes'!$B$6-C2021,0),MAX(C2021-'Black-Scholes'!$B$6,0))</f>
        <v>0</v>
      </c>
      <c r="F2021" s="18" t="n">
        <f aca="false">(E2021+G2021)/2</f>
        <v>21.3221651756415</v>
      </c>
      <c r="G2021" s="18" t="n">
        <f aca="false">EXP(-'Black-Scholes'!$B$8*'Black-Scholes'!$B$7)*IF(LOWER('Black-Scholes'!$B$11)="put",MAX('Black-Scholes'!$B$6-D2021,0),MAX(D2021-'Black-Scholes'!$B$6,0))</f>
        <v>42.644330351283</v>
      </c>
    </row>
    <row r="2022" customFormat="false" ht="15" hidden="false" customHeight="false" outlineLevel="0" collapsed="false">
      <c r="A2022" s="0" t="n">
        <v>2011</v>
      </c>
      <c r="B2022" s="15" t="n">
        <v>-0.0583120739232826</v>
      </c>
      <c r="C2022" s="18" t="n">
        <f aca="false">'Black-Scholes'!$B$5*EXP(('Black-Scholes'!$B$8-'Black-Scholes'!$B$10-'Black-Scholes'!$B$9^2/2)*'Black-Scholes'!$B$7+'Black-Scholes'!$B$9*SQRT('Black-Scholes'!$B$7)*B2022)</f>
        <v>101.850675118081</v>
      </c>
      <c r="D2022" s="18" t="n">
        <f aca="false">'Black-Scholes'!$B$5*EXP(('Black-Scholes'!$B$8-'Black-Scholes'!$B$10-'Black-Scholes'!$B$9^2/2)*'Black-Scholes'!$B$7-'Black-Scholes'!$B$9*SQRT('Black-Scholes'!$B$7)*B2022)</f>
        <v>104.254247241298</v>
      </c>
      <c r="E2022" s="18" t="n">
        <f aca="false">EXP(-'Black-Scholes'!$B$8*'Black-Scholes'!$B$7)*IF(LOWER('Black-Scholes'!$B$11)="put",MAX('Black-Scholes'!$B$6-C2022,0),MAX(C2022-'Black-Scholes'!$B$6,0))</f>
        <v>1.76041662751014</v>
      </c>
      <c r="F2022" s="18" t="n">
        <f aca="false">(E2022+G2022)/2</f>
        <v>2.9035908912671</v>
      </c>
      <c r="G2022" s="18" t="n">
        <f aca="false">EXP(-'Black-Scholes'!$B$8*'Black-Scholes'!$B$7)*IF(LOWER('Black-Scholes'!$B$11)="put",MAX('Black-Scholes'!$B$6-D2022,0),MAX(D2022-'Black-Scholes'!$B$6,0))</f>
        <v>4.04676515502406</v>
      </c>
    </row>
    <row r="2023" customFormat="false" ht="15" hidden="false" customHeight="false" outlineLevel="0" collapsed="false">
      <c r="A2023" s="0" t="n">
        <v>2012</v>
      </c>
      <c r="B2023" s="15" t="n">
        <v>0.625646339602386</v>
      </c>
      <c r="C2023" s="18" t="n">
        <f aca="false">'Black-Scholes'!$B$5*EXP(('Black-Scholes'!$B$8-'Black-Scholes'!$B$10-'Black-Scholes'!$B$9^2/2)*'Black-Scholes'!$B$7+'Black-Scholes'!$B$9*SQRT('Black-Scholes'!$B$7)*B2023)</f>
        <v>116.78089115779</v>
      </c>
      <c r="D2023" s="18" t="n">
        <f aca="false">'Black-Scholes'!$B$5*EXP(('Black-Scholes'!$B$8-'Black-Scholes'!$B$10-'Black-Scholes'!$B$9^2/2)*'Black-Scholes'!$B$7-'Black-Scholes'!$B$9*SQRT('Black-Scholes'!$B$7)*B2023)</f>
        <v>90.9255389317627</v>
      </c>
      <c r="E2023" s="18" t="n">
        <f aca="false">EXP(-'Black-Scholes'!$B$8*'Black-Scholes'!$B$7)*IF(LOWER('Black-Scholes'!$B$11)="put",MAX('Black-Scholes'!$B$6-C2023,0),MAX(C2023-'Black-Scholes'!$B$6,0))</f>
        <v>15.9624774386339</v>
      </c>
      <c r="F2023" s="18" t="n">
        <f aca="false">(E2023+G2023)/2</f>
        <v>7.98123871931697</v>
      </c>
      <c r="G2023" s="18" t="n">
        <f aca="false">EXP(-'Black-Scholes'!$B$8*'Black-Scholes'!$B$7)*IF(LOWER('Black-Scholes'!$B$11)="put",MAX('Black-Scholes'!$B$6-D2023,0),MAX(D2023-'Black-Scholes'!$B$6,0))</f>
        <v>0</v>
      </c>
    </row>
    <row r="2024" customFormat="false" ht="15" hidden="false" customHeight="false" outlineLevel="0" collapsed="false">
      <c r="A2024" s="0" t="n">
        <v>2013</v>
      </c>
      <c r="B2024" s="15" t="n">
        <v>-0.880240027972392</v>
      </c>
      <c r="C2024" s="18" t="n">
        <f aca="false">'Black-Scholes'!$B$5*EXP(('Black-Scholes'!$B$8-'Black-Scholes'!$B$10-'Black-Scholes'!$B$9^2/2)*'Black-Scholes'!$B$7+'Black-Scholes'!$B$9*SQRT('Black-Scholes'!$B$7)*B2024)</f>
        <v>86.4116219776104</v>
      </c>
      <c r="D2024" s="18" t="n">
        <f aca="false">'Black-Scholes'!$B$5*EXP(('Black-Scholes'!$B$8-'Black-Scholes'!$B$10-'Black-Scholes'!$B$9^2/2)*'Black-Scholes'!$B$7-'Black-Scholes'!$B$9*SQRT('Black-Scholes'!$B$7)*B2024)</f>
        <v>122.881219243921</v>
      </c>
      <c r="E2024" s="18" t="n">
        <f aca="false">EXP(-'Black-Scholes'!$B$8*'Black-Scholes'!$B$7)*IF(LOWER('Black-Scholes'!$B$11)="put",MAX('Black-Scholes'!$B$6-C2024,0),MAX(C2024-'Black-Scholes'!$B$6,0))</f>
        <v>0</v>
      </c>
      <c r="F2024" s="18" t="n">
        <f aca="false">(E2024+G2024)/2</f>
        <v>10.882644506635</v>
      </c>
      <c r="G2024" s="18" t="n">
        <f aca="false">EXP(-'Black-Scholes'!$B$8*'Black-Scholes'!$B$7)*IF(LOWER('Black-Scholes'!$B$11)="put",MAX('Black-Scholes'!$B$6-D2024,0),MAX(D2024-'Black-Scholes'!$B$6,0))</f>
        <v>21.7652890132699</v>
      </c>
    </row>
    <row r="2025" customFormat="false" ht="15" hidden="false" customHeight="false" outlineLevel="0" collapsed="false">
      <c r="A2025" s="0" t="n">
        <v>2014</v>
      </c>
      <c r="B2025" s="15" t="n">
        <v>1.45310841638441</v>
      </c>
      <c r="C2025" s="18" t="n">
        <f aca="false">'Black-Scholes'!$B$5*EXP(('Black-Scholes'!$B$8-'Black-Scholes'!$B$10-'Black-Scholes'!$B$9^2/2)*'Black-Scholes'!$B$7+'Black-Scholes'!$B$9*SQRT('Black-Scholes'!$B$7)*B2025)</f>
        <v>137.798416781545</v>
      </c>
      <c r="D2025" s="18" t="n">
        <f aca="false">'Black-Scholes'!$B$5*EXP(('Black-Scholes'!$B$8-'Black-Scholes'!$B$10-'Black-Scholes'!$B$9^2/2)*'Black-Scholes'!$B$7-'Black-Scholes'!$B$9*SQRT('Black-Scholes'!$B$7)*B2025)</f>
        <v>77.0572384898088</v>
      </c>
      <c r="E2025" s="18" t="n">
        <f aca="false">EXP(-'Black-Scholes'!$B$8*'Black-Scholes'!$B$7)*IF(LOWER('Black-Scholes'!$B$11)="put",MAX('Black-Scholes'!$B$6-C2025,0),MAX(C2025-'Black-Scholes'!$B$6,0))</f>
        <v>35.9549662421473</v>
      </c>
      <c r="F2025" s="18" t="n">
        <f aca="false">(E2025+G2025)/2</f>
        <v>17.9774831210737</v>
      </c>
      <c r="G2025" s="18" t="n">
        <f aca="false">EXP(-'Black-Scholes'!$B$8*'Black-Scholes'!$B$7)*IF(LOWER('Black-Scholes'!$B$11)="put",MAX('Black-Scholes'!$B$6-D2025,0),MAX(D2025-'Black-Scholes'!$B$6,0))</f>
        <v>0</v>
      </c>
    </row>
    <row r="2026" customFormat="false" ht="15" hidden="false" customHeight="false" outlineLevel="0" collapsed="false">
      <c r="A2026" s="0" t="n">
        <v>2015</v>
      </c>
      <c r="B2026" s="15" t="n">
        <v>0.484421423552393</v>
      </c>
      <c r="C2026" s="18" t="n">
        <f aca="false">'Black-Scholes'!$B$5*EXP(('Black-Scholes'!$B$8-'Black-Scholes'!$B$10-'Black-Scholes'!$B$9^2/2)*'Black-Scholes'!$B$7+'Black-Scholes'!$B$9*SQRT('Black-Scholes'!$B$7)*B2026)</f>
        <v>113.528564027389</v>
      </c>
      <c r="D2026" s="18" t="n">
        <f aca="false">'Black-Scholes'!$B$5*EXP(('Black-Scholes'!$B$8-'Black-Scholes'!$B$10-'Black-Scholes'!$B$9^2/2)*'Black-Scholes'!$B$7-'Black-Scholes'!$B$9*SQRT('Black-Scholes'!$B$7)*B2026)</f>
        <v>93.5303423981645</v>
      </c>
      <c r="E2026" s="18" t="n">
        <f aca="false">EXP(-'Black-Scholes'!$B$8*'Black-Scholes'!$B$7)*IF(LOWER('Black-Scholes'!$B$11)="put",MAX('Black-Scholes'!$B$6-C2026,0),MAX(C2026-'Black-Scholes'!$B$6,0))</f>
        <v>12.8687681740939</v>
      </c>
      <c r="F2026" s="18" t="n">
        <f aca="false">(E2026+G2026)/2</f>
        <v>6.43438408704697</v>
      </c>
      <c r="G2026" s="18" t="n">
        <f aca="false">EXP(-'Black-Scholes'!$B$8*'Black-Scholes'!$B$7)*IF(LOWER('Black-Scholes'!$B$11)="put",MAX('Black-Scholes'!$B$6-D2026,0),MAX(D2026-'Black-Scholes'!$B$6,0))</f>
        <v>0</v>
      </c>
    </row>
    <row r="2027" customFormat="false" ht="15" hidden="false" customHeight="false" outlineLevel="0" collapsed="false">
      <c r="A2027" s="0" t="n">
        <v>2016</v>
      </c>
      <c r="B2027" s="15" t="n">
        <v>1.15880867402677</v>
      </c>
      <c r="C2027" s="18" t="n">
        <f aca="false">'Black-Scholes'!$B$5*EXP(('Black-Scholes'!$B$8-'Black-Scholes'!$B$10-'Black-Scholes'!$B$9^2/2)*'Black-Scholes'!$B$7+'Black-Scholes'!$B$9*SQRT('Black-Scholes'!$B$7)*B2027)</f>
        <v>129.921694736913</v>
      </c>
      <c r="D2027" s="18" t="n">
        <f aca="false">'Black-Scholes'!$B$5*EXP(('Black-Scholes'!$B$8-'Black-Scholes'!$B$10-'Black-Scholes'!$B$9^2/2)*'Black-Scholes'!$B$7-'Black-Scholes'!$B$9*SQRT('Black-Scholes'!$B$7)*B2027)</f>
        <v>81.7289636419492</v>
      </c>
      <c r="E2027" s="18" t="n">
        <f aca="false">EXP(-'Black-Scholes'!$B$8*'Black-Scholes'!$B$7)*IF(LOWER('Black-Scholes'!$B$11)="put",MAX('Black-Scholes'!$B$6-C2027,0),MAX(C2027-'Black-Scholes'!$B$6,0))</f>
        <v>28.4623964646799</v>
      </c>
      <c r="F2027" s="18" t="n">
        <f aca="false">(E2027+G2027)/2</f>
        <v>14.23119823234</v>
      </c>
      <c r="G2027" s="18" t="n">
        <f aca="false">EXP(-'Black-Scholes'!$B$8*'Black-Scholes'!$B$7)*IF(LOWER('Black-Scholes'!$B$11)="put",MAX('Black-Scholes'!$B$6-D2027,0),MAX(D2027-'Black-Scholes'!$B$6,0))</f>
        <v>0</v>
      </c>
    </row>
    <row r="2028" customFormat="false" ht="15" hidden="false" customHeight="false" outlineLevel="0" collapsed="false">
      <c r="A2028" s="0" t="n">
        <v>2017</v>
      </c>
      <c r="B2028" s="15" t="n">
        <v>0.114431569072195</v>
      </c>
      <c r="C2028" s="18" t="n">
        <f aca="false">'Black-Scholes'!$B$5*EXP(('Black-Scholes'!$B$8-'Black-Scholes'!$B$10-'Black-Scholes'!$B$9^2/2)*'Black-Scholes'!$B$7+'Black-Scholes'!$B$9*SQRT('Black-Scholes'!$B$7)*B2028)</f>
        <v>105.430977784882</v>
      </c>
      <c r="D2028" s="18" t="n">
        <f aca="false">'Black-Scholes'!$B$5*EXP(('Black-Scholes'!$B$8-'Black-Scholes'!$B$10-'Black-Scholes'!$B$9^2/2)*'Black-Scholes'!$B$7-'Black-Scholes'!$B$9*SQRT('Black-Scholes'!$B$7)*B2028)</f>
        <v>100.713904855545</v>
      </c>
      <c r="E2028" s="18" t="n">
        <f aca="false">EXP(-'Black-Scholes'!$B$8*'Black-Scholes'!$B$7)*IF(LOWER('Black-Scholes'!$B$11)="put",MAX('Black-Scholes'!$B$6-C2028,0),MAX(C2028-'Black-Scholes'!$B$6,0))</f>
        <v>5.16610587278902</v>
      </c>
      <c r="F2028" s="18" t="n">
        <f aca="false">(E2028+G2028)/2</f>
        <v>2.9225965888385</v>
      </c>
      <c r="G2028" s="18" t="n">
        <f aca="false">EXP(-'Black-Scholes'!$B$8*'Black-Scholes'!$B$7)*IF(LOWER('Black-Scholes'!$B$11)="put",MAX('Black-Scholes'!$B$6-D2028,0),MAX(D2028-'Black-Scholes'!$B$6,0))</f>
        <v>0.679087304887967</v>
      </c>
    </row>
    <row r="2029" customFormat="false" ht="15" hidden="false" customHeight="false" outlineLevel="0" collapsed="false">
      <c r="A2029" s="0" t="n">
        <v>2018</v>
      </c>
      <c r="B2029" s="15" t="n">
        <v>1.04576155741799</v>
      </c>
      <c r="C2029" s="18" t="n">
        <f aca="false">'Black-Scholes'!$B$5*EXP(('Black-Scholes'!$B$8-'Black-Scholes'!$B$10-'Black-Scholes'!$B$9^2/2)*'Black-Scholes'!$B$7+'Black-Scholes'!$B$9*SQRT('Black-Scholes'!$B$7)*B2029)</f>
        <v>127.017198363061</v>
      </c>
      <c r="D2029" s="18" t="n">
        <f aca="false">'Black-Scholes'!$B$5*EXP(('Black-Scholes'!$B$8-'Black-Scholes'!$B$10-'Black-Scholes'!$B$9^2/2)*'Black-Scholes'!$B$7-'Black-Scholes'!$B$9*SQRT('Black-Scholes'!$B$7)*B2029)</f>
        <v>83.5978560564883</v>
      </c>
      <c r="E2029" s="18" t="n">
        <f aca="false">EXP(-'Black-Scholes'!$B$8*'Black-Scholes'!$B$7)*IF(LOWER('Black-Scholes'!$B$11)="put",MAX('Black-Scholes'!$B$6-C2029,0),MAX(C2029-'Black-Scholes'!$B$6,0))</f>
        <v>25.6995540505161</v>
      </c>
      <c r="F2029" s="18" t="n">
        <f aca="false">(E2029+G2029)/2</f>
        <v>12.8497770252581</v>
      </c>
      <c r="G2029" s="18" t="n">
        <f aca="false">EXP(-'Black-Scholes'!$B$8*'Black-Scholes'!$B$7)*IF(LOWER('Black-Scholes'!$B$11)="put",MAX('Black-Scholes'!$B$6-D2029,0),MAX(D2029-'Black-Scholes'!$B$6,0))</f>
        <v>0</v>
      </c>
    </row>
    <row r="2030" customFormat="false" ht="15" hidden="false" customHeight="false" outlineLevel="0" collapsed="false">
      <c r="A2030" s="0" t="n">
        <v>2019</v>
      </c>
      <c r="B2030" s="15" t="n">
        <v>1.73922937609198</v>
      </c>
      <c r="C2030" s="18" t="n">
        <f aca="false">'Black-Scholes'!$B$5*EXP(('Black-Scholes'!$B$8-'Black-Scholes'!$B$10-'Black-Scholes'!$B$9^2/2)*'Black-Scholes'!$B$7+'Black-Scholes'!$B$9*SQRT('Black-Scholes'!$B$7)*B2030)</f>
        <v>145.913803621323</v>
      </c>
      <c r="D2030" s="18" t="n">
        <f aca="false">'Black-Scholes'!$B$5*EXP(('Black-Scholes'!$B$8-'Black-Scholes'!$B$10-'Black-Scholes'!$B$9^2/2)*'Black-Scholes'!$B$7-'Black-Scholes'!$B$9*SQRT('Black-Scholes'!$B$7)*B2030)</f>
        <v>72.77149386778</v>
      </c>
      <c r="E2030" s="18" t="n">
        <f aca="false">EXP(-'Black-Scholes'!$B$8*'Black-Scholes'!$B$7)*IF(LOWER('Black-Scholes'!$B$11)="put",MAX('Black-Scholes'!$B$6-C2030,0),MAX(C2030-'Black-Scholes'!$B$6,0))</f>
        <v>43.6745609953503</v>
      </c>
      <c r="F2030" s="18" t="n">
        <f aca="false">(E2030+G2030)/2</f>
        <v>21.8372804976751</v>
      </c>
      <c r="G2030" s="18" t="n">
        <f aca="false">EXP(-'Black-Scholes'!$B$8*'Black-Scholes'!$B$7)*IF(LOWER('Black-Scholes'!$B$11)="put",MAX('Black-Scholes'!$B$6-D2030,0),MAX(D2030-'Black-Scholes'!$B$6,0))</f>
        <v>0</v>
      </c>
    </row>
    <row r="2031" customFormat="false" ht="15" hidden="false" customHeight="false" outlineLevel="0" collapsed="false">
      <c r="A2031" s="0" t="n">
        <v>2020</v>
      </c>
      <c r="B2031" s="15" t="n">
        <v>-0.247037139033338</v>
      </c>
      <c r="C2031" s="18" t="n">
        <f aca="false">'Black-Scholes'!$B$5*EXP(('Black-Scholes'!$B$8-'Black-Scholes'!$B$10-'Black-Scholes'!$B$9^2/2)*'Black-Scholes'!$B$7+'Black-Scholes'!$B$9*SQRT('Black-Scholes'!$B$7)*B2031)</f>
        <v>98.0779683912861</v>
      </c>
      <c r="D2031" s="18" t="n">
        <f aca="false">'Black-Scholes'!$B$5*EXP(('Black-Scholes'!$B$8-'Black-Scholes'!$B$10-'Black-Scholes'!$B$9^2/2)*'Black-Scholes'!$B$7-'Black-Scholes'!$B$9*SQRT('Black-Scholes'!$B$7)*B2031)</f>
        <v>108.264533203738</v>
      </c>
      <c r="E2031" s="18" t="n">
        <f aca="false">EXP(-'Black-Scholes'!$B$8*'Black-Scholes'!$B$7)*IF(LOWER('Black-Scholes'!$B$11)="put",MAX('Black-Scholes'!$B$6-C2031,0),MAX(C2031-'Black-Scholes'!$B$6,0))</f>
        <v>0</v>
      </c>
      <c r="F2031" s="18" t="n">
        <f aca="false">(E2031+G2031)/2</f>
        <v>3.93073358157952</v>
      </c>
      <c r="G2031" s="18" t="n">
        <f aca="false">EXP(-'Black-Scholes'!$B$8*'Black-Scholes'!$B$7)*IF(LOWER('Black-Scholes'!$B$11)="put",MAX('Black-Scholes'!$B$6-D2031,0),MAX(D2031-'Black-Scholes'!$B$6,0))</f>
        <v>7.86146716315905</v>
      </c>
    </row>
    <row r="2032" customFormat="false" ht="15" hidden="false" customHeight="false" outlineLevel="0" collapsed="false">
      <c r="A2032" s="0" t="n">
        <v>2021</v>
      </c>
      <c r="B2032" s="15" t="n">
        <v>-0.783060475703889</v>
      </c>
      <c r="C2032" s="18" t="n">
        <f aca="false">'Black-Scholes'!$B$5*EXP(('Black-Scholes'!$B$8-'Black-Scholes'!$B$10-'Black-Scholes'!$B$9^2/2)*'Black-Scholes'!$B$7+'Black-Scholes'!$B$9*SQRT('Black-Scholes'!$B$7)*B2032)</f>
        <v>88.1075379739084</v>
      </c>
      <c r="D2032" s="18" t="n">
        <f aca="false">'Black-Scholes'!$B$5*EXP(('Black-Scholes'!$B$8-'Black-Scholes'!$B$10-'Black-Scholes'!$B$9^2/2)*'Black-Scholes'!$B$7-'Black-Scholes'!$B$9*SQRT('Black-Scholes'!$B$7)*B2032)</f>
        <v>120.515970706139</v>
      </c>
      <c r="E2032" s="18" t="n">
        <f aca="false">EXP(-'Black-Scholes'!$B$8*'Black-Scholes'!$B$7)*IF(LOWER('Black-Scholes'!$B$11)="put",MAX('Black-Scholes'!$B$6-C2032,0),MAX(C2032-'Black-Scholes'!$B$6,0))</f>
        <v>0</v>
      </c>
      <c r="F2032" s="18" t="n">
        <f aca="false">(E2032+G2032)/2</f>
        <v>9.75769750393719</v>
      </c>
      <c r="G2032" s="18" t="n">
        <f aca="false">EXP(-'Black-Scholes'!$B$8*'Black-Scholes'!$B$7)*IF(LOWER('Black-Scholes'!$B$11)="put",MAX('Black-Scholes'!$B$6-D2032,0),MAX(D2032-'Black-Scholes'!$B$6,0))</f>
        <v>19.5153950078744</v>
      </c>
    </row>
    <row r="2033" customFormat="false" ht="15" hidden="false" customHeight="false" outlineLevel="0" collapsed="false">
      <c r="A2033" s="0" t="n">
        <v>2022</v>
      </c>
      <c r="B2033" s="15" t="n">
        <v>-0.503707327386293</v>
      </c>
      <c r="C2033" s="18" t="n">
        <f aca="false">'Black-Scholes'!$B$5*EXP(('Black-Scholes'!$B$8-'Black-Scholes'!$B$10-'Black-Scholes'!$B$9^2/2)*'Black-Scholes'!$B$7+'Black-Scholes'!$B$9*SQRT('Black-Scholes'!$B$7)*B2033)</f>
        <v>93.1702738315511</v>
      </c>
      <c r="D2033" s="18" t="n">
        <f aca="false">'Black-Scholes'!$B$5*EXP(('Black-Scholes'!$B$8-'Black-Scholes'!$B$10-'Black-Scholes'!$B$9^2/2)*'Black-Scholes'!$B$7-'Black-Scholes'!$B$9*SQRT('Black-Scholes'!$B$7)*B2033)</f>
        <v>113.967309838021</v>
      </c>
      <c r="E2033" s="18" t="n">
        <f aca="false">EXP(-'Black-Scholes'!$B$8*'Black-Scholes'!$B$7)*IF(LOWER('Black-Scholes'!$B$11)="put",MAX('Black-Scholes'!$B$6-C2033,0),MAX(C2033-'Black-Scholes'!$B$6,0))</f>
        <v>0</v>
      </c>
      <c r="F2033" s="18" t="n">
        <f aca="false">(E2033+G2033)/2</f>
        <v>6.64305804952171</v>
      </c>
      <c r="G2033" s="18" t="n">
        <f aca="false">EXP(-'Black-Scholes'!$B$8*'Black-Scholes'!$B$7)*IF(LOWER('Black-Scholes'!$B$11)="put",MAX('Black-Scholes'!$B$6-D2033,0),MAX(D2033-'Black-Scholes'!$B$6,0))</f>
        <v>13.2861160990434</v>
      </c>
    </row>
    <row r="2034" customFormat="false" ht="15" hidden="false" customHeight="false" outlineLevel="0" collapsed="false">
      <c r="A2034" s="0" t="n">
        <v>2023</v>
      </c>
      <c r="B2034" s="15" t="n">
        <v>1.61841242083178</v>
      </c>
      <c r="C2034" s="18" t="n">
        <f aca="false">'Black-Scholes'!$B$5*EXP(('Black-Scholes'!$B$8-'Black-Scholes'!$B$10-'Black-Scholes'!$B$9^2/2)*'Black-Scholes'!$B$7+'Black-Scholes'!$B$9*SQRT('Black-Scholes'!$B$7)*B2034)</f>
        <v>142.430287596079</v>
      </c>
      <c r="D2034" s="18" t="n">
        <f aca="false">'Black-Scholes'!$B$5*EXP(('Black-Scholes'!$B$8-'Black-Scholes'!$B$10-'Black-Scholes'!$B$9^2/2)*'Black-Scholes'!$B$7-'Black-Scholes'!$B$9*SQRT('Black-Scholes'!$B$7)*B2034)</f>
        <v>74.5513166101751</v>
      </c>
      <c r="E2034" s="18" t="n">
        <f aca="false">EXP(-'Black-Scholes'!$B$8*'Black-Scholes'!$B$7)*IF(LOWER('Black-Scholes'!$B$11)="put",MAX('Black-Scholes'!$B$6-C2034,0),MAX(C2034-'Black-Scholes'!$B$6,0))</f>
        <v>40.3609380514182</v>
      </c>
      <c r="F2034" s="18" t="n">
        <f aca="false">(E2034+G2034)/2</f>
        <v>20.1804690257091</v>
      </c>
      <c r="G2034" s="18" t="n">
        <f aca="false">EXP(-'Black-Scholes'!$B$8*'Black-Scholes'!$B$7)*IF(LOWER('Black-Scholes'!$B$11)="put",MAX('Black-Scholes'!$B$6-D2034,0),MAX(D2034-'Black-Scholes'!$B$6,0))</f>
        <v>0</v>
      </c>
    </row>
    <row r="2035" customFormat="false" ht="15" hidden="false" customHeight="false" outlineLevel="0" collapsed="false">
      <c r="A2035" s="0" t="n">
        <v>2024</v>
      </c>
      <c r="B2035" s="15" t="n">
        <v>-0.495412629460166</v>
      </c>
      <c r="C2035" s="18" t="n">
        <f aca="false">'Black-Scholes'!$B$5*EXP(('Black-Scholes'!$B$8-'Black-Scholes'!$B$10-'Black-Scholes'!$B$9^2/2)*'Black-Scholes'!$B$7+'Black-Scholes'!$B$9*SQRT('Black-Scholes'!$B$7)*B2035)</f>
        <v>93.3249659639504</v>
      </c>
      <c r="D2035" s="18" t="n">
        <f aca="false">'Black-Scholes'!$B$5*EXP(('Black-Scholes'!$B$8-'Black-Scholes'!$B$10-'Black-Scholes'!$B$9^2/2)*'Black-Scholes'!$B$7-'Black-Scholes'!$B$9*SQRT('Black-Scholes'!$B$7)*B2035)</f>
        <v>113.778401693232</v>
      </c>
      <c r="E2035" s="18" t="n">
        <f aca="false">EXP(-'Black-Scholes'!$B$8*'Black-Scholes'!$B$7)*IF(LOWER('Black-Scholes'!$B$11)="put",MAX('Black-Scholes'!$B$6-C2035,0),MAX(C2035-'Black-Scholes'!$B$6,0))</f>
        <v>0</v>
      </c>
      <c r="F2035" s="18" t="n">
        <f aca="false">(E2035+G2035)/2</f>
        <v>6.55321055659659</v>
      </c>
      <c r="G2035" s="18" t="n">
        <f aca="false">EXP(-'Black-Scholes'!$B$8*'Black-Scholes'!$B$7)*IF(LOWER('Black-Scholes'!$B$11)="put",MAX('Black-Scholes'!$B$6-D2035,0),MAX(D2035-'Black-Scholes'!$B$6,0))</f>
        <v>13.1064211131932</v>
      </c>
    </row>
    <row r="2036" customFormat="false" ht="15" hidden="false" customHeight="false" outlineLevel="0" collapsed="false">
      <c r="A2036" s="0" t="n">
        <v>2025</v>
      </c>
      <c r="B2036" s="15" t="n">
        <v>-0.510731850543593</v>
      </c>
      <c r="C2036" s="18" t="n">
        <f aca="false">'Black-Scholes'!$B$5*EXP(('Black-Scholes'!$B$8-'Black-Scholes'!$B$10-'Black-Scholes'!$B$9^2/2)*'Black-Scholes'!$B$7+'Black-Scholes'!$B$9*SQRT('Black-Scholes'!$B$7)*B2036)</f>
        <v>93.0394703870278</v>
      </c>
      <c r="D2036" s="18" t="n">
        <f aca="false">'Black-Scholes'!$B$5*EXP(('Black-Scholes'!$B$8-'Black-Scholes'!$B$10-'Black-Scholes'!$B$9^2/2)*'Black-Scholes'!$B$7-'Black-Scholes'!$B$9*SQRT('Black-Scholes'!$B$7)*B2036)</f>
        <v>114.127535564025</v>
      </c>
      <c r="E2036" s="18" t="n">
        <f aca="false">EXP(-'Black-Scholes'!$B$8*'Black-Scholes'!$B$7)*IF(LOWER('Black-Scholes'!$B$11)="put",MAX('Black-Scholes'!$B$6-C2036,0),MAX(C2036-'Black-Scholes'!$B$6,0))</f>
        <v>0</v>
      </c>
      <c r="F2036" s="18" t="n">
        <f aca="false">(E2036+G2036)/2</f>
        <v>6.71926376209062</v>
      </c>
      <c r="G2036" s="18" t="n">
        <f aca="false">EXP(-'Black-Scholes'!$B$8*'Black-Scholes'!$B$7)*IF(LOWER('Black-Scholes'!$B$11)="put",MAX('Black-Scholes'!$B$6-D2036,0),MAX(D2036-'Black-Scholes'!$B$6,0))</f>
        <v>13.4385275241812</v>
      </c>
    </row>
    <row r="2037" customFormat="false" ht="15" hidden="false" customHeight="false" outlineLevel="0" collapsed="false">
      <c r="A2037" s="0" t="n">
        <v>2026</v>
      </c>
      <c r="B2037" s="15" t="n">
        <v>0.581011031475364</v>
      </c>
      <c r="C2037" s="18" t="n">
        <f aca="false">'Black-Scholes'!$B$5*EXP(('Black-Scholes'!$B$8-'Black-Scholes'!$B$10-'Black-Scholes'!$B$9^2/2)*'Black-Scholes'!$B$7+'Black-Scholes'!$B$9*SQRT('Black-Scholes'!$B$7)*B2037)</f>
        <v>115.743020406361</v>
      </c>
      <c r="D2037" s="18" t="n">
        <f aca="false">'Black-Scholes'!$B$5*EXP(('Black-Scholes'!$B$8-'Black-Scholes'!$B$10-'Black-Scholes'!$B$9^2/2)*'Black-Scholes'!$B$7-'Black-Scholes'!$B$9*SQRT('Black-Scholes'!$B$7)*B2037)</f>
        <v>91.7408706648026</v>
      </c>
      <c r="E2037" s="18" t="n">
        <f aca="false">EXP(-'Black-Scholes'!$B$8*'Black-Scholes'!$B$7)*IF(LOWER('Black-Scholes'!$B$11)="put",MAX('Black-Scholes'!$B$6-C2037,0),MAX(C2037-'Black-Scholes'!$B$6,0))</f>
        <v>14.975224241046</v>
      </c>
      <c r="F2037" s="18" t="n">
        <f aca="false">(E2037+G2037)/2</f>
        <v>7.487612120523</v>
      </c>
      <c r="G2037" s="18" t="n">
        <f aca="false">EXP(-'Black-Scholes'!$B$8*'Black-Scholes'!$B$7)*IF(LOWER('Black-Scholes'!$B$11)="put",MAX('Black-Scholes'!$B$6-D2037,0),MAX(D2037-'Black-Scholes'!$B$6,0))</f>
        <v>0</v>
      </c>
    </row>
    <row r="2038" customFormat="false" ht="15" hidden="false" customHeight="false" outlineLevel="0" collapsed="false">
      <c r="A2038" s="0" t="n">
        <v>2027</v>
      </c>
      <c r="B2038" s="15" t="n">
        <v>-0.103842553303306</v>
      </c>
      <c r="C2038" s="18" t="n">
        <f aca="false">'Black-Scholes'!$B$5*EXP(('Black-Scholes'!$B$8-'Black-Scholes'!$B$10-'Black-Scholes'!$B$9^2/2)*'Black-Scholes'!$B$7+'Black-Scholes'!$B$9*SQRT('Black-Scholes'!$B$7)*B2038)</f>
        <v>100.927423095874</v>
      </c>
      <c r="D2038" s="18" t="n">
        <f aca="false">'Black-Scholes'!$B$5*EXP(('Black-Scholes'!$B$8-'Black-Scholes'!$B$10-'Black-Scholes'!$B$9^2/2)*'Black-Scholes'!$B$7-'Black-Scholes'!$B$9*SQRT('Black-Scholes'!$B$7)*B2038)</f>
        <v>105.207931994527</v>
      </c>
      <c r="E2038" s="18" t="n">
        <f aca="false">EXP(-'Black-Scholes'!$B$8*'Black-Scholes'!$B$7)*IF(LOWER('Black-Scholes'!$B$11)="put",MAX('Black-Scholes'!$B$6-C2038,0),MAX(C2038-'Black-Scholes'!$B$6,0))</f>
        <v>0.882192137757184</v>
      </c>
      <c r="F2038" s="18" t="n">
        <f aca="false">(E2038+G2038)/2</f>
        <v>2.91806514587497</v>
      </c>
      <c r="G2038" s="18" t="n">
        <f aca="false">EXP(-'Black-Scholes'!$B$8*'Black-Scholes'!$B$7)*IF(LOWER('Black-Scholes'!$B$11)="put",MAX('Black-Scholes'!$B$6-D2038,0),MAX(D2038-'Black-Scholes'!$B$6,0))</f>
        <v>4.95393815399276</v>
      </c>
    </row>
    <row r="2039" customFormat="false" ht="15" hidden="false" customHeight="false" outlineLevel="0" collapsed="false">
      <c r="A2039" s="0" t="n">
        <v>2028</v>
      </c>
      <c r="B2039" s="15" t="n">
        <v>2.53099226263425</v>
      </c>
      <c r="C2039" s="18" t="n">
        <f aca="false">'Black-Scholes'!$B$5*EXP(('Black-Scholes'!$B$8-'Black-Scholes'!$B$10-'Black-Scholes'!$B$9^2/2)*'Black-Scholes'!$B$7+'Black-Scholes'!$B$9*SQRT('Black-Scholes'!$B$7)*B2039)</f>
        <v>170.94957645987</v>
      </c>
      <c r="D2039" s="18" t="n">
        <f aca="false">'Black-Scholes'!$B$5*EXP(('Black-Scholes'!$B$8-'Black-Scholes'!$B$10-'Black-Scholes'!$B$9^2/2)*'Black-Scholes'!$B$7-'Black-Scholes'!$B$9*SQRT('Black-Scholes'!$B$7)*B2039)</f>
        <v>62.1140203172497</v>
      </c>
      <c r="E2039" s="18" t="n">
        <f aca="false">EXP(-'Black-Scholes'!$B$8*'Black-Scholes'!$B$7)*IF(LOWER('Black-Scholes'!$B$11)="put",MAX('Black-Scholes'!$B$6-C2039,0),MAX(C2039-'Black-Scholes'!$B$6,0))</f>
        <v>67.4893247844915</v>
      </c>
      <c r="F2039" s="18" t="n">
        <f aca="false">(E2039+G2039)/2</f>
        <v>33.7446623922458</v>
      </c>
      <c r="G2039" s="18" t="n">
        <f aca="false">EXP(-'Black-Scholes'!$B$8*'Black-Scholes'!$B$7)*IF(LOWER('Black-Scholes'!$B$11)="put",MAX('Black-Scholes'!$B$6-D2039,0),MAX(D2039-'Black-Scholes'!$B$6,0))</f>
        <v>0</v>
      </c>
    </row>
    <row r="2040" customFormat="false" ht="15" hidden="false" customHeight="false" outlineLevel="0" collapsed="false">
      <c r="A2040" s="0" t="n">
        <v>2029</v>
      </c>
      <c r="B2040" s="15" t="n">
        <v>-0.0980731425206861</v>
      </c>
      <c r="C2040" s="18" t="n">
        <f aca="false">'Black-Scholes'!$B$5*EXP(('Black-Scholes'!$B$8-'Black-Scholes'!$B$10-'Black-Scholes'!$B$9^2/2)*'Black-Scholes'!$B$7+'Black-Scholes'!$B$9*SQRT('Black-Scholes'!$B$7)*B2040)</f>
        <v>101.043948663947</v>
      </c>
      <c r="D2040" s="18" t="n">
        <f aca="false">'Black-Scholes'!$B$5*EXP(('Black-Scholes'!$B$8-'Black-Scholes'!$B$10-'Black-Scholes'!$B$9^2/2)*'Black-Scholes'!$B$7-'Black-Scholes'!$B$9*SQRT('Black-Scholes'!$B$7)*B2040)</f>
        <v>105.086604451379</v>
      </c>
      <c r="E2040" s="18" t="n">
        <f aca="false">EXP(-'Black-Scholes'!$B$8*'Black-Scholes'!$B$7)*IF(LOWER('Black-Scholes'!$B$11)="put",MAX('Black-Scholes'!$B$6-C2040,0),MAX(C2040-'Black-Scholes'!$B$6,0))</f>
        <v>0.99303468681414</v>
      </c>
      <c r="F2040" s="18" t="n">
        <f aca="false">(E2040+G2040)/2</f>
        <v>2.91578125588109</v>
      </c>
      <c r="G2040" s="18" t="n">
        <f aca="false">EXP(-'Black-Scholes'!$B$8*'Black-Scholes'!$B$7)*IF(LOWER('Black-Scholes'!$B$11)="put",MAX('Black-Scholes'!$B$6-D2040,0),MAX(D2040-'Black-Scholes'!$B$6,0))</f>
        <v>4.83852782494805</v>
      </c>
    </row>
    <row r="2041" customFormat="false" ht="15" hidden="false" customHeight="false" outlineLevel="0" collapsed="false">
      <c r="A2041" s="0" t="n">
        <v>2030</v>
      </c>
      <c r="B2041" s="15" t="n">
        <v>1.61805674881407</v>
      </c>
      <c r="C2041" s="18" t="n">
        <f aca="false">'Black-Scholes'!$B$5*EXP(('Black-Scholes'!$B$8-'Black-Scholes'!$B$10-'Black-Scholes'!$B$9^2/2)*'Black-Scholes'!$B$7+'Black-Scholes'!$B$9*SQRT('Black-Scholes'!$B$7)*B2041)</f>
        <v>142.420156262872</v>
      </c>
      <c r="D2041" s="18" t="n">
        <f aca="false">'Black-Scholes'!$B$5*EXP(('Black-Scholes'!$B$8-'Black-Scholes'!$B$10-'Black-Scholes'!$B$9^2/2)*'Black-Scholes'!$B$7-'Black-Scholes'!$B$9*SQRT('Black-Scholes'!$B$7)*B2041)</f>
        <v>74.5566199622387</v>
      </c>
      <c r="E2041" s="18" t="n">
        <f aca="false">EXP(-'Black-Scholes'!$B$8*'Black-Scholes'!$B$7)*IF(LOWER('Black-Scholes'!$B$11)="put",MAX('Black-Scholes'!$B$6-C2041,0),MAX(C2041-'Black-Scholes'!$B$6,0))</f>
        <v>40.3513008291621</v>
      </c>
      <c r="F2041" s="18" t="n">
        <f aca="false">(E2041+G2041)/2</f>
        <v>20.175650414581</v>
      </c>
      <c r="G2041" s="18" t="n">
        <f aca="false">EXP(-'Black-Scholes'!$B$8*'Black-Scholes'!$B$7)*IF(LOWER('Black-Scholes'!$B$11)="put",MAX('Black-Scholes'!$B$6-D2041,0),MAX(D2041-'Black-Scholes'!$B$6,0))</f>
        <v>0</v>
      </c>
    </row>
    <row r="2042" customFormat="false" ht="15" hidden="false" customHeight="false" outlineLevel="0" collapsed="false">
      <c r="A2042" s="0" t="n">
        <v>2031</v>
      </c>
      <c r="B2042" s="15" t="n">
        <v>1.663658090438</v>
      </c>
      <c r="C2042" s="18" t="n">
        <f aca="false">'Black-Scholes'!$B$5*EXP(('Black-Scholes'!$B$8-'Black-Scholes'!$B$10-'Black-Scholes'!$B$9^2/2)*'Black-Scholes'!$B$7+'Black-Scholes'!$B$9*SQRT('Black-Scholes'!$B$7)*B2042)</f>
        <v>143.725007555097</v>
      </c>
      <c r="D2042" s="18" t="n">
        <f aca="false">'Black-Scholes'!$B$5*EXP(('Black-Scholes'!$B$8-'Black-Scholes'!$B$10-'Black-Scholes'!$B$9^2/2)*'Black-Scholes'!$B$7-'Black-Scholes'!$B$9*SQRT('Black-Scholes'!$B$7)*B2042)</f>
        <v>73.8797349611065</v>
      </c>
      <c r="E2042" s="18" t="n">
        <f aca="false">EXP(-'Black-Scholes'!$B$8*'Black-Scholes'!$B$7)*IF(LOWER('Black-Scholes'!$B$11)="put",MAX('Black-Scholes'!$B$6-C2042,0),MAX(C2042-'Black-Scholes'!$B$6,0))</f>
        <v>41.5925137729243</v>
      </c>
      <c r="F2042" s="18" t="n">
        <f aca="false">(E2042+G2042)/2</f>
        <v>20.7962568864621</v>
      </c>
      <c r="G2042" s="18" t="n">
        <f aca="false">EXP(-'Black-Scholes'!$B$8*'Black-Scholes'!$B$7)*IF(LOWER('Black-Scholes'!$B$11)="put",MAX('Black-Scholes'!$B$6-D2042,0),MAX(D2042-'Black-Scholes'!$B$6,0))</f>
        <v>0</v>
      </c>
    </row>
    <row r="2043" customFormat="false" ht="15" hidden="false" customHeight="false" outlineLevel="0" collapsed="false">
      <c r="A2043" s="0" t="n">
        <v>2032</v>
      </c>
      <c r="B2043" s="15" t="n">
        <v>1.1439235099875</v>
      </c>
      <c r="C2043" s="18" t="n">
        <f aca="false">'Black-Scholes'!$B$5*EXP(('Black-Scholes'!$B$8-'Black-Scholes'!$B$10-'Black-Scholes'!$B$9^2/2)*'Black-Scholes'!$B$7+'Black-Scholes'!$B$9*SQRT('Black-Scholes'!$B$7)*B2043)</f>
        <v>129.535488748415</v>
      </c>
      <c r="D2043" s="18" t="n">
        <f aca="false">'Black-Scholes'!$B$5*EXP(('Black-Scholes'!$B$8-'Black-Scholes'!$B$10-'Black-Scholes'!$B$9^2/2)*'Black-Scholes'!$B$7-'Black-Scholes'!$B$9*SQRT('Black-Scholes'!$B$7)*B2043)</f>
        <v>81.9726359783666</v>
      </c>
      <c r="E2043" s="18" t="n">
        <f aca="false">EXP(-'Black-Scholes'!$B$8*'Black-Scholes'!$B$7)*IF(LOWER('Black-Scholes'!$B$11)="put",MAX('Black-Scholes'!$B$6-C2043,0),MAX(C2043-'Black-Scholes'!$B$6,0))</f>
        <v>28.0950259645019</v>
      </c>
      <c r="F2043" s="18" t="n">
        <f aca="false">(E2043+G2043)/2</f>
        <v>14.0475129822509</v>
      </c>
      <c r="G2043" s="18" t="n">
        <f aca="false">EXP(-'Black-Scholes'!$B$8*'Black-Scholes'!$B$7)*IF(LOWER('Black-Scholes'!$B$11)="put",MAX('Black-Scholes'!$B$6-D2043,0),MAX(D2043-'Black-Scholes'!$B$6,0))</f>
        <v>0</v>
      </c>
    </row>
    <row r="2044" customFormat="false" ht="15" hidden="false" customHeight="false" outlineLevel="0" collapsed="false">
      <c r="A2044" s="0" t="n">
        <v>2033</v>
      </c>
      <c r="B2044" s="15" t="n">
        <v>-0.319168005411744</v>
      </c>
      <c r="C2044" s="18" t="n">
        <f aca="false">'Black-Scholes'!$B$5*EXP(('Black-Scholes'!$B$8-'Black-Scholes'!$B$10-'Black-Scholes'!$B$9^2/2)*'Black-Scholes'!$B$7+'Black-Scholes'!$B$9*SQRT('Black-Scholes'!$B$7)*B2044)</f>
        <v>96.6732354471959</v>
      </c>
      <c r="D2044" s="18" t="n">
        <f aca="false">'Black-Scholes'!$B$5*EXP(('Black-Scholes'!$B$8-'Black-Scholes'!$B$10-'Black-Scholes'!$B$9^2/2)*'Black-Scholes'!$B$7-'Black-Scholes'!$B$9*SQRT('Black-Scholes'!$B$7)*B2044)</f>
        <v>109.837696197242</v>
      </c>
      <c r="E2044" s="18" t="n">
        <f aca="false">EXP(-'Black-Scholes'!$B$8*'Black-Scholes'!$B$7)*IF(LOWER('Black-Scholes'!$B$11)="put",MAX('Black-Scholes'!$B$6-C2044,0),MAX(C2044-'Black-Scholes'!$B$6,0))</f>
        <v>0</v>
      </c>
      <c r="F2044" s="18" t="n">
        <f aca="false">(E2044+G2044)/2</f>
        <v>4.67895304605791</v>
      </c>
      <c r="G2044" s="18" t="n">
        <f aca="false">EXP(-'Black-Scholes'!$B$8*'Black-Scholes'!$B$7)*IF(LOWER('Black-Scholes'!$B$11)="put",MAX('Black-Scholes'!$B$6-D2044,0),MAX(D2044-'Black-Scholes'!$B$6,0))</f>
        <v>9.35790609211583</v>
      </c>
    </row>
    <row r="2045" customFormat="false" ht="15" hidden="false" customHeight="false" outlineLevel="0" collapsed="false">
      <c r="A2045" s="0" t="n">
        <v>2034</v>
      </c>
      <c r="B2045" s="15" t="n">
        <v>-0.0801703861677017</v>
      </c>
      <c r="C2045" s="18" t="n">
        <f aca="false">'Black-Scholes'!$B$5*EXP(('Black-Scholes'!$B$8-'Black-Scholes'!$B$10-'Black-Scholes'!$B$9^2/2)*'Black-Scholes'!$B$7+'Black-Scholes'!$B$9*SQRT('Black-Scholes'!$B$7)*B2045)</f>
        <v>101.406390185728</v>
      </c>
      <c r="D2045" s="18" t="n">
        <f aca="false">'Black-Scholes'!$B$5*EXP(('Black-Scholes'!$B$8-'Black-Scholes'!$B$10-'Black-Scholes'!$B$9^2/2)*'Black-Scholes'!$B$7-'Black-Scholes'!$B$9*SQRT('Black-Scholes'!$B$7)*B2045)</f>
        <v>104.711009296414</v>
      </c>
      <c r="E2045" s="18" t="n">
        <f aca="false">EXP(-'Black-Scholes'!$B$8*'Black-Scholes'!$B$7)*IF(LOWER('Black-Scholes'!$B$11)="put",MAX('Black-Scholes'!$B$6-C2045,0),MAX(C2045-'Black-Scholes'!$B$6,0))</f>
        <v>1.33779972699373</v>
      </c>
      <c r="F2045" s="18" t="n">
        <f aca="false">(E2045+G2045)/2</f>
        <v>2.90952519441967</v>
      </c>
      <c r="G2045" s="18" t="n">
        <f aca="false">EXP(-'Black-Scholes'!$B$8*'Black-Scholes'!$B$7)*IF(LOWER('Black-Scholes'!$B$11)="put",MAX('Black-Scholes'!$B$6-D2045,0),MAX(D2045-'Black-Scholes'!$B$6,0))</f>
        <v>4.48125066184561</v>
      </c>
    </row>
    <row r="2046" customFormat="false" ht="15" hidden="false" customHeight="false" outlineLevel="0" collapsed="false">
      <c r="A2046" s="0" t="n">
        <v>2035</v>
      </c>
      <c r="B2046" s="15" t="n">
        <v>0.0803635744197415</v>
      </c>
      <c r="C2046" s="18" t="n">
        <f aca="false">'Black-Scholes'!$B$5*EXP(('Black-Scholes'!$B$8-'Black-Scholes'!$B$10-'Black-Scholes'!$B$9^2/2)*'Black-Scholes'!$B$7+'Black-Scholes'!$B$9*SQRT('Black-Scholes'!$B$7)*B2046)</f>
        <v>104.715055161946</v>
      </c>
      <c r="D2046" s="18" t="n">
        <f aca="false">'Black-Scholes'!$B$5*EXP(('Black-Scholes'!$B$8-'Black-Scholes'!$B$10-'Black-Scholes'!$B$9^2/2)*'Black-Scholes'!$B$7-'Black-Scholes'!$B$9*SQRT('Black-Scholes'!$B$7)*B2046)</f>
        <v>101.402472156767</v>
      </c>
      <c r="E2046" s="18" t="n">
        <f aca="false">EXP(-'Black-Scholes'!$B$8*'Black-Scholes'!$B$7)*IF(LOWER('Black-Scholes'!$B$11)="put",MAX('Black-Scholes'!$B$6-C2046,0),MAX(C2046-'Black-Scholes'!$B$6,0))</f>
        <v>4.48509920818713</v>
      </c>
      <c r="F2046" s="18" t="n">
        <f aca="false">(E2046+G2046)/2</f>
        <v>2.90958599537359</v>
      </c>
      <c r="G2046" s="18" t="n">
        <f aca="false">EXP(-'Black-Scholes'!$B$8*'Black-Scholes'!$B$7)*IF(LOWER('Black-Scholes'!$B$11)="put",MAX('Black-Scholes'!$B$6-D2046,0),MAX(D2046-'Black-Scholes'!$B$6,0))</f>
        <v>1.33407278256005</v>
      </c>
    </row>
    <row r="2047" customFormat="false" ht="15" hidden="false" customHeight="false" outlineLevel="0" collapsed="false">
      <c r="A2047" s="0" t="n">
        <v>2036</v>
      </c>
      <c r="B2047" s="15" t="n">
        <v>0.158999114463587</v>
      </c>
      <c r="C2047" s="18" t="n">
        <f aca="false">'Black-Scholes'!$B$5*EXP(('Black-Scholes'!$B$8-'Black-Scholes'!$B$10-'Black-Scholes'!$B$9^2/2)*'Black-Scholes'!$B$7+'Black-Scholes'!$B$9*SQRT('Black-Scholes'!$B$7)*B2047)</f>
        <v>106.374938513914</v>
      </c>
      <c r="D2047" s="18" t="n">
        <f aca="false">'Black-Scholes'!$B$5*EXP(('Black-Scholes'!$B$8-'Black-Scholes'!$B$10-'Black-Scholes'!$B$9^2/2)*'Black-Scholes'!$B$7-'Black-Scholes'!$B$9*SQRT('Black-Scholes'!$B$7)*B2047)</f>
        <v>99.8201795817229</v>
      </c>
      <c r="E2047" s="18" t="n">
        <f aca="false">EXP(-'Black-Scholes'!$B$8*'Black-Scholes'!$B$7)*IF(LOWER('Black-Scholes'!$B$11)="put",MAX('Black-Scholes'!$B$6-C2047,0),MAX(C2047-'Black-Scholes'!$B$6,0))</f>
        <v>6.06402909381753</v>
      </c>
      <c r="F2047" s="18" t="n">
        <f aca="false">(E2047+G2047)/2</f>
        <v>3.03201454690876</v>
      </c>
      <c r="G2047" s="18" t="n">
        <f aca="false">EXP(-'Black-Scholes'!$B$8*'Black-Scholes'!$B$7)*IF(LOWER('Black-Scholes'!$B$11)="put",MAX('Black-Scholes'!$B$6-D2047,0),MAX(D2047-'Black-Scholes'!$B$6,0))</f>
        <v>0</v>
      </c>
    </row>
    <row r="2048" customFormat="false" ht="15" hidden="false" customHeight="false" outlineLevel="0" collapsed="false">
      <c r="A2048" s="0" t="n">
        <v>2037</v>
      </c>
      <c r="B2048" s="15" t="n">
        <v>-0.10271269685921</v>
      </c>
      <c r="C2048" s="18" t="n">
        <f aca="false">'Black-Scholes'!$B$5*EXP(('Black-Scholes'!$B$8-'Black-Scholes'!$B$10-'Black-Scholes'!$B$9^2/2)*'Black-Scholes'!$B$7+'Black-Scholes'!$B$9*SQRT('Black-Scholes'!$B$7)*B2048)</f>
        <v>100.950232372772</v>
      </c>
      <c r="D2048" s="18" t="n">
        <f aca="false">'Black-Scholes'!$B$5*EXP(('Black-Scholes'!$B$8-'Black-Scholes'!$B$10-'Black-Scholes'!$B$9^2/2)*'Black-Scholes'!$B$7-'Black-Scholes'!$B$9*SQRT('Black-Scholes'!$B$7)*B2048)</f>
        <v>105.184160708455</v>
      </c>
      <c r="E2048" s="18" t="n">
        <f aca="false">EXP(-'Black-Scholes'!$B$8*'Black-Scholes'!$B$7)*IF(LOWER('Black-Scholes'!$B$11)="put",MAX('Black-Scholes'!$B$6-C2048,0),MAX(C2048-'Black-Scholes'!$B$6,0))</f>
        <v>0.903888993094121</v>
      </c>
      <c r="F2048" s="18" t="n">
        <f aca="false">(E2048+G2048)/2</f>
        <v>2.91760760015869</v>
      </c>
      <c r="G2048" s="18" t="n">
        <f aca="false">EXP(-'Black-Scholes'!$B$8*'Black-Scholes'!$B$7)*IF(LOWER('Black-Scholes'!$B$11)="put",MAX('Black-Scholes'!$B$6-D2048,0),MAX(D2048-'Black-Scholes'!$B$6,0))</f>
        <v>4.93132620722327</v>
      </c>
    </row>
    <row r="2049" customFormat="false" ht="15" hidden="false" customHeight="false" outlineLevel="0" collapsed="false">
      <c r="A2049" s="0" t="n">
        <v>2038</v>
      </c>
      <c r="B2049" s="15" t="n">
        <v>-0.718776468733324</v>
      </c>
      <c r="C2049" s="18" t="n">
        <f aca="false">'Black-Scholes'!$B$5*EXP(('Black-Scholes'!$B$8-'Black-Scholes'!$B$10-'Black-Scholes'!$B$9^2/2)*'Black-Scholes'!$B$7+'Black-Scholes'!$B$9*SQRT('Black-Scholes'!$B$7)*B2049)</f>
        <v>89.2476323700697</v>
      </c>
      <c r="D2049" s="18" t="n">
        <f aca="false">'Black-Scholes'!$B$5*EXP(('Black-Scholes'!$B$8-'Black-Scholes'!$B$10-'Black-Scholes'!$B$9^2/2)*'Black-Scholes'!$B$7-'Black-Scholes'!$B$9*SQRT('Black-Scholes'!$B$7)*B2049)</f>
        <v>118.976438740963</v>
      </c>
      <c r="E2049" s="18" t="n">
        <f aca="false">EXP(-'Black-Scholes'!$B$8*'Black-Scholes'!$B$7)*IF(LOWER('Black-Scholes'!$B$11)="put",MAX('Black-Scholes'!$B$6-C2049,0),MAX(C2049-'Black-Scholes'!$B$6,0))</f>
        <v>0</v>
      </c>
      <c r="F2049" s="18" t="n">
        <f aca="false">(E2049+G2049)/2</f>
        <v>9.02547345131974</v>
      </c>
      <c r="G2049" s="18" t="n">
        <f aca="false">EXP(-'Black-Scholes'!$B$8*'Black-Scholes'!$B$7)*IF(LOWER('Black-Scholes'!$B$11)="put",MAX('Black-Scholes'!$B$6-D2049,0),MAX(D2049-'Black-Scholes'!$B$6,0))</f>
        <v>18.0509469026395</v>
      </c>
    </row>
    <row r="2050" customFormat="false" ht="15" hidden="false" customHeight="false" outlineLevel="0" collapsed="false">
      <c r="A2050" s="0" t="n">
        <v>2039</v>
      </c>
      <c r="B2050" s="15" t="n">
        <v>-0.610554919513451</v>
      </c>
      <c r="C2050" s="18" t="n">
        <f aca="false">'Black-Scholes'!$B$5*EXP(('Black-Scholes'!$B$8-'Black-Scholes'!$B$10-'Black-Scholes'!$B$9^2/2)*'Black-Scholes'!$B$7+'Black-Scholes'!$B$9*SQRT('Black-Scholes'!$B$7)*B2050)</f>
        <v>91.2003926173116</v>
      </c>
      <c r="D2050" s="18" t="n">
        <f aca="false">'Black-Scholes'!$B$5*EXP(('Black-Scholes'!$B$8-'Black-Scholes'!$B$10-'Black-Scholes'!$B$9^2/2)*'Black-Scholes'!$B$7-'Black-Scholes'!$B$9*SQRT('Black-Scholes'!$B$7)*B2050)</f>
        <v>116.42894466485</v>
      </c>
      <c r="E2050" s="18" t="n">
        <f aca="false">EXP(-'Black-Scholes'!$B$8*'Black-Scholes'!$B$7)*IF(LOWER('Black-Scholes'!$B$11)="put",MAX('Black-Scholes'!$B$6-C2050,0),MAX(C2050-'Black-Scholes'!$B$6,0))</f>
        <v>0</v>
      </c>
      <c r="F2050" s="18" t="n">
        <f aca="false">(E2050+G2050)/2</f>
        <v>7.8138477893498</v>
      </c>
      <c r="G2050" s="18" t="n">
        <f aca="false">EXP(-'Black-Scholes'!$B$8*'Black-Scholes'!$B$7)*IF(LOWER('Black-Scholes'!$B$11)="put",MAX('Black-Scholes'!$B$6-D2050,0),MAX(D2050-'Black-Scholes'!$B$6,0))</f>
        <v>15.6276955786996</v>
      </c>
    </row>
    <row r="2051" customFormat="false" ht="15" hidden="false" customHeight="false" outlineLevel="0" collapsed="false">
      <c r="A2051" s="0" t="n">
        <v>2040</v>
      </c>
      <c r="B2051" s="15" t="n">
        <v>-1.04518250245475</v>
      </c>
      <c r="C2051" s="18" t="n">
        <f aca="false">'Black-Scholes'!$B$5*EXP(('Black-Scholes'!$B$8-'Black-Scholes'!$B$10-'Black-Scholes'!$B$9^2/2)*'Black-Scholes'!$B$7+'Black-Scholes'!$B$9*SQRT('Black-Scholes'!$B$7)*B2051)</f>
        <v>83.607538167818</v>
      </c>
      <c r="D2051" s="18" t="n">
        <f aca="false">'Black-Scholes'!$B$5*EXP(('Black-Scholes'!$B$8-'Black-Scholes'!$B$10-'Black-Scholes'!$B$9^2/2)*'Black-Scholes'!$B$7-'Black-Scholes'!$B$9*SQRT('Black-Scholes'!$B$7)*B2051)</f>
        <v>127.002489226992</v>
      </c>
      <c r="E2051" s="18" t="n">
        <f aca="false">EXP(-'Black-Scholes'!$B$8*'Black-Scholes'!$B$7)*IF(LOWER('Black-Scholes'!$B$11)="put",MAX('Black-Scholes'!$B$6-C2051,0),MAX(C2051-'Black-Scholes'!$B$6,0))</f>
        <v>0</v>
      </c>
      <c r="F2051" s="18" t="n">
        <f aca="false">(E2051+G2051)/2</f>
        <v>12.842781143739</v>
      </c>
      <c r="G2051" s="18" t="n">
        <f aca="false">EXP(-'Black-Scholes'!$B$8*'Black-Scholes'!$B$7)*IF(LOWER('Black-Scholes'!$B$11)="put",MAX('Black-Scholes'!$B$6-D2051,0),MAX(D2051-'Black-Scholes'!$B$6,0))</f>
        <v>25.685562287478</v>
      </c>
    </row>
    <row r="2052" customFormat="false" ht="15" hidden="false" customHeight="false" outlineLevel="0" collapsed="false">
      <c r="A2052" s="0" t="n">
        <v>2041</v>
      </c>
      <c r="B2052" s="15" t="n">
        <v>0.222286413010452</v>
      </c>
      <c r="C2052" s="18" t="n">
        <f aca="false">'Black-Scholes'!$B$5*EXP(('Black-Scholes'!$B$8-'Black-Scholes'!$B$10-'Black-Scholes'!$B$9^2/2)*'Black-Scholes'!$B$7+'Black-Scholes'!$B$9*SQRT('Black-Scholes'!$B$7)*B2052)</f>
        <v>107.729932311547</v>
      </c>
      <c r="D2052" s="18" t="n">
        <f aca="false">'Black-Scholes'!$B$5*EXP(('Black-Scholes'!$B$8-'Black-Scholes'!$B$10-'Black-Scholes'!$B$9^2/2)*'Black-Scholes'!$B$7-'Black-Scholes'!$B$9*SQRT('Black-Scholes'!$B$7)*B2052)</f>
        <v>98.5646722096329</v>
      </c>
      <c r="E2052" s="18" t="n">
        <f aca="false">EXP(-'Black-Scholes'!$B$8*'Black-Scholes'!$B$7)*IF(LOWER('Black-Scholes'!$B$11)="put",MAX('Black-Scholes'!$B$6-C2052,0),MAX(C2052-'Black-Scholes'!$B$6,0))</f>
        <v>7.35293906414257</v>
      </c>
      <c r="F2052" s="18" t="n">
        <f aca="false">(E2052+G2052)/2</f>
        <v>3.67646953207129</v>
      </c>
      <c r="G2052" s="18" t="n">
        <f aca="false">EXP(-'Black-Scholes'!$B$8*'Black-Scholes'!$B$7)*IF(LOWER('Black-Scholes'!$B$11)="put",MAX('Black-Scholes'!$B$6-D2052,0),MAX(D2052-'Black-Scholes'!$B$6,0))</f>
        <v>0</v>
      </c>
    </row>
    <row r="2053" customFormat="false" ht="15" hidden="false" customHeight="false" outlineLevel="0" collapsed="false">
      <c r="A2053" s="0" t="n">
        <v>2042</v>
      </c>
      <c r="B2053" s="15" t="n">
        <v>0.606645049352243</v>
      </c>
      <c r="C2053" s="18" t="n">
        <f aca="false">'Black-Scholes'!$B$5*EXP(('Black-Scholes'!$B$8-'Black-Scholes'!$B$10-'Black-Scholes'!$B$9^2/2)*'Black-Scholes'!$B$7+'Black-Scholes'!$B$9*SQRT('Black-Scholes'!$B$7)*B2053)</f>
        <v>116.337935841427</v>
      </c>
      <c r="D2053" s="18" t="n">
        <f aca="false">'Black-Scholes'!$B$5*EXP(('Black-Scholes'!$B$8-'Black-Scholes'!$B$10-'Black-Scholes'!$B$9^2/2)*'Black-Scholes'!$B$7-'Black-Scholes'!$B$9*SQRT('Black-Scholes'!$B$7)*B2053)</f>
        <v>91.2717368471007</v>
      </c>
      <c r="E2053" s="18" t="n">
        <f aca="false">EXP(-'Black-Scholes'!$B$8*'Black-Scholes'!$B$7)*IF(LOWER('Black-Scholes'!$B$11)="put",MAX('Black-Scholes'!$B$6-C2053,0),MAX(C2053-'Black-Scholes'!$B$6,0))</f>
        <v>15.5411253079701</v>
      </c>
      <c r="F2053" s="18" t="n">
        <f aca="false">(E2053+G2053)/2</f>
        <v>7.77056265398506</v>
      </c>
      <c r="G2053" s="18" t="n">
        <f aca="false">EXP(-'Black-Scholes'!$B$8*'Black-Scholes'!$B$7)*IF(LOWER('Black-Scholes'!$B$11)="put",MAX('Black-Scholes'!$B$6-D2053,0),MAX(D2053-'Black-Scholes'!$B$6,0))</f>
        <v>0</v>
      </c>
    </row>
    <row r="2054" customFormat="false" ht="15" hidden="false" customHeight="false" outlineLevel="0" collapsed="false">
      <c r="A2054" s="0" t="n">
        <v>2043</v>
      </c>
      <c r="B2054" s="15" t="n">
        <v>1.46943571781914</v>
      </c>
      <c r="C2054" s="18" t="n">
        <f aca="false">'Black-Scholes'!$B$5*EXP(('Black-Scholes'!$B$8-'Black-Scholes'!$B$10-'Black-Scholes'!$B$9^2/2)*'Black-Scholes'!$B$7+'Black-Scholes'!$B$9*SQRT('Black-Scholes'!$B$7)*B2054)</f>
        <v>138.249127527668</v>
      </c>
      <c r="D2054" s="18" t="n">
        <f aca="false">'Black-Scholes'!$B$5*EXP(('Black-Scholes'!$B$8-'Black-Scholes'!$B$10-'Black-Scholes'!$B$9^2/2)*'Black-Scholes'!$B$7-'Black-Scholes'!$B$9*SQRT('Black-Scholes'!$B$7)*B2054)</f>
        <v>76.8060215304327</v>
      </c>
      <c r="E2054" s="18" t="n">
        <f aca="false">EXP(-'Black-Scholes'!$B$8*'Black-Scholes'!$B$7)*IF(LOWER('Black-Scholes'!$B$11)="put",MAX('Black-Scholes'!$B$6-C2054,0),MAX(C2054-'Black-Scholes'!$B$6,0))</f>
        <v>36.3836955657979</v>
      </c>
      <c r="F2054" s="18" t="n">
        <f aca="false">(E2054+G2054)/2</f>
        <v>18.1918477828989</v>
      </c>
      <c r="G2054" s="18" t="n">
        <f aca="false">EXP(-'Black-Scholes'!$B$8*'Black-Scholes'!$B$7)*IF(LOWER('Black-Scholes'!$B$11)="put",MAX('Black-Scholes'!$B$6-D2054,0),MAX(D2054-'Black-Scholes'!$B$6,0))</f>
        <v>0</v>
      </c>
    </row>
    <row r="2055" customFormat="false" ht="15" hidden="false" customHeight="false" outlineLevel="0" collapsed="false">
      <c r="A2055" s="0" t="n">
        <v>2044</v>
      </c>
      <c r="B2055" s="15" t="n">
        <v>-0.104906902281615</v>
      </c>
      <c r="C2055" s="18" t="n">
        <f aca="false">'Black-Scholes'!$B$5*EXP(('Black-Scholes'!$B$8-'Black-Scholes'!$B$10-'Black-Scholes'!$B$9^2/2)*'Black-Scholes'!$B$7+'Black-Scholes'!$B$9*SQRT('Black-Scholes'!$B$7)*B2055)</f>
        <v>100.905940982471</v>
      </c>
      <c r="D2055" s="18" t="n">
        <f aca="false">'Black-Scholes'!$B$5*EXP(('Black-Scholes'!$B$8-'Black-Scholes'!$B$10-'Black-Scholes'!$B$9^2/2)*'Black-Scholes'!$B$7-'Black-Scholes'!$B$9*SQRT('Black-Scholes'!$B$7)*B2055)</f>
        <v>105.230329969354</v>
      </c>
      <c r="E2055" s="18" t="n">
        <f aca="false">EXP(-'Black-Scholes'!$B$8*'Black-Scholes'!$B$7)*IF(LOWER('Black-Scholes'!$B$11)="put",MAX('Black-Scholes'!$B$6-C2055,0),MAX(C2055-'Black-Scholes'!$B$6,0))</f>
        <v>0.861757719387387</v>
      </c>
      <c r="F2055" s="18" t="n">
        <f aca="false">(E2055+G2055)/2</f>
        <v>2.91850074304254</v>
      </c>
      <c r="G2055" s="18" t="n">
        <f aca="false">EXP(-'Black-Scholes'!$B$8*'Black-Scholes'!$B$7)*IF(LOWER('Black-Scholes'!$B$11)="put",MAX('Black-Scholes'!$B$6-D2055,0),MAX(D2055-'Black-Scholes'!$B$6,0))</f>
        <v>4.97524376669769</v>
      </c>
    </row>
    <row r="2056" customFormat="false" ht="15" hidden="false" customHeight="false" outlineLevel="0" collapsed="false">
      <c r="A2056" s="0" t="n">
        <v>2045</v>
      </c>
      <c r="B2056" s="15" t="n">
        <v>0.535351879709232</v>
      </c>
      <c r="C2056" s="18" t="n">
        <f aca="false">'Black-Scholes'!$B$5*EXP(('Black-Scholes'!$B$8-'Black-Scholes'!$B$10-'Black-Scholes'!$B$9^2/2)*'Black-Scholes'!$B$7+'Black-Scholes'!$B$9*SQRT('Black-Scholes'!$B$7)*B2056)</f>
        <v>114.690886047154</v>
      </c>
      <c r="D2056" s="18" t="n">
        <f aca="false">'Black-Scholes'!$B$5*EXP(('Black-Scholes'!$B$8-'Black-Scholes'!$B$10-'Black-Scholes'!$B$9^2/2)*'Black-Scholes'!$B$7-'Black-Scholes'!$B$9*SQRT('Black-Scholes'!$B$7)*B2056)</f>
        <v>92.5824695528809</v>
      </c>
      <c r="E2056" s="18" t="n">
        <f aca="false">EXP(-'Black-Scholes'!$B$8*'Black-Scholes'!$B$7)*IF(LOWER('Black-Scholes'!$B$11)="put",MAX('Black-Scholes'!$B$6-C2056,0),MAX(C2056-'Black-Scholes'!$B$6,0))</f>
        <v>13.9744030800401</v>
      </c>
      <c r="F2056" s="18" t="n">
        <f aca="false">(E2056+G2056)/2</f>
        <v>6.98720154002007</v>
      </c>
      <c r="G2056" s="18" t="n">
        <f aca="false">EXP(-'Black-Scholes'!$B$8*'Black-Scholes'!$B$7)*IF(LOWER('Black-Scholes'!$B$11)="put",MAX('Black-Scholes'!$B$6-D2056,0),MAX(D2056-'Black-Scholes'!$B$6,0))</f>
        <v>0</v>
      </c>
    </row>
    <row r="2057" customFormat="false" ht="15" hidden="false" customHeight="false" outlineLevel="0" collapsed="false">
      <c r="A2057" s="0" t="n">
        <v>2046</v>
      </c>
      <c r="B2057" s="15" t="n">
        <v>-0.0559912770682723</v>
      </c>
      <c r="C2057" s="18" t="n">
        <f aca="false">'Black-Scholes'!$B$5*EXP(('Black-Scholes'!$B$8-'Black-Scholes'!$B$10-'Black-Scholes'!$B$9^2/2)*'Black-Scholes'!$B$7+'Black-Scholes'!$B$9*SQRT('Black-Scholes'!$B$7)*B2057)</f>
        <v>101.897961036632</v>
      </c>
      <c r="D2057" s="18" t="n">
        <f aca="false">'Black-Scholes'!$B$5*EXP(('Black-Scholes'!$B$8-'Black-Scholes'!$B$10-'Black-Scholes'!$B$9^2/2)*'Black-Scholes'!$B$7-'Black-Scholes'!$B$9*SQRT('Black-Scholes'!$B$7)*B2057)</f>
        <v>104.205867884209</v>
      </c>
      <c r="E2057" s="18" t="n">
        <f aca="false">EXP(-'Black-Scholes'!$B$8*'Black-Scholes'!$B$7)*IF(LOWER('Black-Scholes'!$B$11)="put",MAX('Black-Scholes'!$B$6-C2057,0),MAX(C2057-'Black-Scholes'!$B$6,0))</f>
        <v>1.80539638460049</v>
      </c>
      <c r="F2057" s="18" t="n">
        <f aca="false">(E2057+G2057)/2</f>
        <v>2.90307083581141</v>
      </c>
      <c r="G2057" s="18" t="n">
        <f aca="false">EXP(-'Black-Scholes'!$B$8*'Black-Scholes'!$B$7)*IF(LOWER('Black-Scholes'!$B$11)="put",MAX('Black-Scholes'!$B$6-D2057,0),MAX(D2057-'Black-Scholes'!$B$6,0))</f>
        <v>4.00074528702234</v>
      </c>
    </row>
    <row r="2058" customFormat="false" ht="15" hidden="false" customHeight="false" outlineLevel="0" collapsed="false">
      <c r="A2058" s="0" t="n">
        <v>2047</v>
      </c>
      <c r="B2058" s="15" t="n">
        <v>-2.48048247909709</v>
      </c>
      <c r="C2058" s="18" t="n">
        <f aca="false">'Black-Scholes'!$B$5*EXP(('Black-Scholes'!$B$8-'Black-Scholes'!$B$10-'Black-Scholes'!$B$9^2/2)*'Black-Scholes'!$B$7+'Black-Scholes'!$B$9*SQRT('Black-Scholes'!$B$7)*B2058)</f>
        <v>62.7446735139181</v>
      </c>
      <c r="D2058" s="18" t="n">
        <f aca="false">'Black-Scholes'!$B$5*EXP(('Black-Scholes'!$B$8-'Black-Scholes'!$B$10-'Black-Scholes'!$B$9^2/2)*'Black-Scholes'!$B$7-'Black-Scholes'!$B$9*SQRT('Black-Scholes'!$B$7)*B2058)</f>
        <v>169.231344603271</v>
      </c>
      <c r="E2058" s="18" t="n">
        <f aca="false">EXP(-'Black-Scholes'!$B$8*'Black-Scholes'!$B$7)*IF(LOWER('Black-Scholes'!$B$11)="put",MAX('Black-Scholes'!$B$6-C2058,0),MAX(C2058-'Black-Scholes'!$B$6,0))</f>
        <v>0</v>
      </c>
      <c r="F2058" s="18" t="n">
        <f aca="false">(E2058+G2058)/2</f>
        <v>32.9274460421899</v>
      </c>
      <c r="G2058" s="18" t="n">
        <f aca="false">EXP(-'Black-Scholes'!$B$8*'Black-Scholes'!$B$7)*IF(LOWER('Black-Scholes'!$B$11)="put",MAX('Black-Scholes'!$B$6-D2058,0),MAX(D2058-'Black-Scholes'!$B$6,0))</f>
        <v>65.8548920843798</v>
      </c>
    </row>
    <row r="2059" customFormat="false" ht="15" hidden="false" customHeight="false" outlineLevel="0" collapsed="false">
      <c r="A2059" s="0" t="n">
        <v>2048</v>
      </c>
      <c r="B2059" s="15" t="n">
        <v>-0.0973875450845911</v>
      </c>
      <c r="C2059" s="18" t="n">
        <f aca="false">'Black-Scholes'!$B$5*EXP(('Black-Scholes'!$B$8-'Black-Scholes'!$B$10-'Black-Scholes'!$B$9^2/2)*'Black-Scholes'!$B$7+'Black-Scholes'!$B$9*SQRT('Black-Scholes'!$B$7)*B2059)</f>
        <v>101.057804708319</v>
      </c>
      <c r="D2059" s="18" t="n">
        <f aca="false">'Black-Scholes'!$B$5*EXP(('Black-Scholes'!$B$8-'Black-Scholes'!$B$10-'Black-Scholes'!$B$9^2/2)*'Black-Scholes'!$B$7-'Black-Scholes'!$B$9*SQRT('Black-Scholes'!$B$7)*B2059)</f>
        <v>105.072196017924</v>
      </c>
      <c r="E2059" s="18" t="n">
        <f aca="false">EXP(-'Black-Scholes'!$B$8*'Black-Scholes'!$B$7)*IF(LOWER('Black-Scholes'!$B$11)="put",MAX('Black-Scholes'!$B$6-C2059,0),MAX(C2059-'Black-Scholes'!$B$6,0))</f>
        <v>1.00621496392847</v>
      </c>
      <c r="F2059" s="18" t="n">
        <f aca="false">(E2059+G2059)/2</f>
        <v>2.91551853150663</v>
      </c>
      <c r="G2059" s="18" t="n">
        <f aca="false">EXP(-'Black-Scholes'!$B$8*'Black-Scholes'!$B$7)*IF(LOWER('Black-Scholes'!$B$11)="put",MAX('Black-Scholes'!$B$6-D2059,0),MAX(D2059-'Black-Scholes'!$B$6,0))</f>
        <v>4.8248220990848</v>
      </c>
    </row>
    <row r="2060" customFormat="false" ht="15" hidden="false" customHeight="false" outlineLevel="0" collapsed="false">
      <c r="A2060" s="0" t="n">
        <v>2049</v>
      </c>
      <c r="B2060" s="15" t="n">
        <v>1.50221745471891</v>
      </c>
      <c r="C2060" s="18" t="n">
        <f aca="false">'Black-Scholes'!$B$5*EXP(('Black-Scholes'!$B$8-'Black-Scholes'!$B$10-'Black-Scholes'!$B$9^2/2)*'Black-Scholes'!$B$7+'Black-Scholes'!$B$9*SQRT('Black-Scholes'!$B$7)*B2060)</f>
        <v>139.158514704281</v>
      </c>
      <c r="D2060" s="18" t="n">
        <f aca="false">'Black-Scholes'!$B$5*EXP(('Black-Scholes'!$B$8-'Black-Scholes'!$B$10-'Black-Scholes'!$B$9^2/2)*'Black-Scholes'!$B$7-'Black-Scholes'!$B$9*SQRT('Black-Scholes'!$B$7)*B2060)</f>
        <v>76.3041017505699</v>
      </c>
      <c r="E2060" s="18" t="n">
        <f aca="false">EXP(-'Black-Scholes'!$B$8*'Black-Scholes'!$B$7)*IF(LOWER('Black-Scholes'!$B$11)="put",MAX('Black-Scholes'!$B$6-C2060,0),MAX(C2060-'Black-Scholes'!$B$6,0))</f>
        <v>37.2487314064556</v>
      </c>
      <c r="F2060" s="18" t="n">
        <f aca="false">(E2060+G2060)/2</f>
        <v>18.6243657032278</v>
      </c>
      <c r="G2060" s="18" t="n">
        <f aca="false">EXP(-'Black-Scholes'!$B$8*'Black-Scholes'!$B$7)*IF(LOWER('Black-Scholes'!$B$11)="put",MAX('Black-Scholes'!$B$6-D2060,0),MAX(D2060-'Black-Scholes'!$B$6,0))</f>
        <v>0</v>
      </c>
    </row>
    <row r="2061" customFormat="false" ht="15" hidden="false" customHeight="false" outlineLevel="0" collapsed="false">
      <c r="A2061" s="0" t="n">
        <v>2050</v>
      </c>
      <c r="B2061" s="15" t="n">
        <v>1.22832411148439</v>
      </c>
      <c r="C2061" s="18" t="n">
        <f aca="false">'Black-Scholes'!$B$5*EXP(('Black-Scholes'!$B$8-'Black-Scholes'!$B$10-'Black-Scholes'!$B$9^2/2)*'Black-Scholes'!$B$7+'Black-Scholes'!$B$9*SQRT('Black-Scholes'!$B$7)*B2061)</f>
        <v>131.740622482512</v>
      </c>
      <c r="D2061" s="18" t="n">
        <f aca="false">'Black-Scholes'!$B$5*EXP(('Black-Scholes'!$B$8-'Black-Scholes'!$B$10-'Black-Scholes'!$B$9^2/2)*'Black-Scholes'!$B$7-'Black-Scholes'!$B$9*SQRT('Black-Scholes'!$B$7)*B2061)</f>
        <v>80.6005411646143</v>
      </c>
      <c r="E2061" s="18" t="n">
        <f aca="false">EXP(-'Black-Scholes'!$B$8*'Black-Scholes'!$B$7)*IF(LOWER('Black-Scholes'!$B$11)="put",MAX('Black-Scholes'!$B$6-C2061,0),MAX(C2061-'Black-Scholes'!$B$6,0))</f>
        <v>30.1926140573339</v>
      </c>
      <c r="F2061" s="18" t="n">
        <f aca="false">(E2061+G2061)/2</f>
        <v>15.096307028667</v>
      </c>
      <c r="G2061" s="18" t="n">
        <f aca="false">EXP(-'Black-Scholes'!$B$8*'Black-Scholes'!$B$7)*IF(LOWER('Black-Scholes'!$B$11)="put",MAX('Black-Scholes'!$B$6-D2061,0),MAX(D2061-'Black-Scholes'!$B$6,0))</f>
        <v>0</v>
      </c>
    </row>
    <row r="2062" customFormat="false" ht="15" hidden="false" customHeight="false" outlineLevel="0" collapsed="false">
      <c r="A2062" s="0" t="n">
        <v>2051</v>
      </c>
      <c r="B2062" s="15" t="n">
        <v>0.614716960839857</v>
      </c>
      <c r="C2062" s="18" t="n">
        <f aca="false">'Black-Scholes'!$B$5*EXP(('Black-Scholes'!$B$8-'Black-Scholes'!$B$10-'Black-Scholes'!$B$9^2/2)*'Black-Scholes'!$B$7+'Black-Scholes'!$B$9*SQRT('Black-Scholes'!$B$7)*B2062)</f>
        <v>116.525901428915</v>
      </c>
      <c r="D2062" s="18" t="n">
        <f aca="false">'Black-Scholes'!$B$5*EXP(('Black-Scholes'!$B$8-'Black-Scholes'!$B$10-'Black-Scholes'!$B$9^2/2)*'Black-Scholes'!$B$7-'Black-Scholes'!$B$9*SQRT('Black-Scholes'!$B$7)*B2062)</f>
        <v>91.1245082444714</v>
      </c>
      <c r="E2062" s="18" t="n">
        <f aca="false">EXP(-'Black-Scholes'!$B$8*'Black-Scholes'!$B$7)*IF(LOWER('Black-Scholes'!$B$11)="put",MAX('Black-Scholes'!$B$6-C2062,0),MAX(C2062-'Black-Scholes'!$B$6,0))</f>
        <v>15.719923705582</v>
      </c>
      <c r="F2062" s="18" t="n">
        <f aca="false">(E2062+G2062)/2</f>
        <v>7.85996185279102</v>
      </c>
      <c r="G2062" s="18" t="n">
        <f aca="false">EXP(-'Black-Scholes'!$B$8*'Black-Scholes'!$B$7)*IF(LOWER('Black-Scholes'!$B$11)="put",MAX('Black-Scholes'!$B$6-D2062,0),MAX(D2062-'Black-Scholes'!$B$6,0))</f>
        <v>0</v>
      </c>
    </row>
    <row r="2063" customFormat="false" ht="15" hidden="false" customHeight="false" outlineLevel="0" collapsed="false">
      <c r="A2063" s="0" t="n">
        <v>2052</v>
      </c>
      <c r="B2063" s="15" t="n">
        <v>0.0200879836713932</v>
      </c>
      <c r="C2063" s="18" t="n">
        <f aca="false">'Black-Scholes'!$B$5*EXP(('Black-Scholes'!$B$8-'Black-Scholes'!$B$10-'Black-Scholes'!$B$9^2/2)*'Black-Scholes'!$B$7+'Black-Scholes'!$B$9*SQRT('Black-Scholes'!$B$7)*B2063)</f>
        <v>103.460281219871</v>
      </c>
      <c r="D2063" s="18" t="n">
        <f aca="false">'Black-Scholes'!$B$5*EXP(('Black-Scholes'!$B$8-'Black-Scholes'!$B$10-'Black-Scholes'!$B$9^2/2)*'Black-Scholes'!$B$7-'Black-Scholes'!$B$9*SQRT('Black-Scholes'!$B$7)*B2063)</f>
        <v>102.632288838339</v>
      </c>
      <c r="E2063" s="18" t="n">
        <f aca="false">EXP(-'Black-Scholes'!$B$8*'Black-Scholes'!$B$7)*IF(LOWER('Black-Scholes'!$B$11)="put",MAX('Black-Scholes'!$B$6-C2063,0),MAX(C2063-'Black-Scholes'!$B$6,0))</f>
        <v>3.29152131338845</v>
      </c>
      <c r="F2063" s="18" t="n">
        <f aca="false">(E2063+G2063)/2</f>
        <v>2.89771595510076</v>
      </c>
      <c r="G2063" s="18" t="n">
        <f aca="false">EXP(-'Black-Scholes'!$B$8*'Black-Scholes'!$B$7)*IF(LOWER('Black-Scholes'!$B$11)="put",MAX('Black-Scholes'!$B$6-D2063,0),MAX(D2063-'Black-Scholes'!$B$6,0))</f>
        <v>2.50391059681308</v>
      </c>
    </row>
    <row r="2064" customFormat="false" ht="15" hidden="false" customHeight="false" outlineLevel="0" collapsed="false">
      <c r="A2064" s="0" t="n">
        <v>2053</v>
      </c>
      <c r="B2064" s="15" t="n">
        <v>-0.252559166972303</v>
      </c>
      <c r="C2064" s="18" t="n">
        <f aca="false">'Black-Scholes'!$B$5*EXP(('Black-Scholes'!$B$8-'Black-Scholes'!$B$10-'Black-Scholes'!$B$9^2/2)*'Black-Scholes'!$B$7+'Black-Scholes'!$B$9*SQRT('Black-Scholes'!$B$7)*B2064)</f>
        <v>97.969710326365</v>
      </c>
      <c r="D2064" s="18" t="n">
        <f aca="false">'Black-Scholes'!$B$5*EXP(('Black-Scholes'!$B$8-'Black-Scholes'!$B$10-'Black-Scholes'!$B$9^2/2)*'Black-Scholes'!$B$7-'Black-Scholes'!$B$9*SQRT('Black-Scholes'!$B$7)*B2064)</f>
        <v>108.384167209241</v>
      </c>
      <c r="E2064" s="18" t="n">
        <f aca="false">EXP(-'Black-Scholes'!$B$8*'Black-Scholes'!$B$7)*IF(LOWER('Black-Scholes'!$B$11)="put",MAX('Black-Scholes'!$B$6-C2064,0),MAX(C2064-'Black-Scholes'!$B$6,0))</f>
        <v>0</v>
      </c>
      <c r="F2064" s="18" t="n">
        <f aca="false">(E2064+G2064)/2</f>
        <v>3.98763327468181</v>
      </c>
      <c r="G2064" s="18" t="n">
        <f aca="false">EXP(-'Black-Scholes'!$B$8*'Black-Scholes'!$B$7)*IF(LOWER('Black-Scholes'!$B$11)="put",MAX('Black-Scholes'!$B$6-D2064,0),MAX(D2064-'Black-Scholes'!$B$6,0))</f>
        <v>7.97526654936361</v>
      </c>
    </row>
    <row r="2065" customFormat="false" ht="15" hidden="false" customHeight="false" outlineLevel="0" collapsed="false">
      <c r="A2065" s="0" t="n">
        <v>2054</v>
      </c>
      <c r="B2065" s="15" t="n">
        <v>-0.996540624285785</v>
      </c>
      <c r="C2065" s="18" t="n">
        <f aca="false">'Black-Scholes'!$B$5*EXP(('Black-Scholes'!$B$8-'Black-Scholes'!$B$10-'Black-Scholes'!$B$9^2/2)*'Black-Scholes'!$B$7+'Black-Scholes'!$B$9*SQRT('Black-Scholes'!$B$7)*B2065)</f>
        <v>84.4248729285923</v>
      </c>
      <c r="D2065" s="18" t="n">
        <f aca="false">'Black-Scholes'!$B$5*EXP(('Black-Scholes'!$B$8-'Black-Scholes'!$B$10-'Black-Scholes'!$B$9^2/2)*'Black-Scholes'!$B$7-'Black-Scholes'!$B$9*SQRT('Black-Scholes'!$B$7)*B2065)</f>
        <v>125.772951703875</v>
      </c>
      <c r="E2065" s="18" t="n">
        <f aca="false">EXP(-'Black-Scholes'!$B$8*'Black-Scholes'!$B$7)*IF(LOWER('Black-Scholes'!$B$11)="put",MAX('Black-Scholes'!$B$6-C2065,0),MAX(C2065-'Black-Scholes'!$B$6,0))</f>
        <v>0</v>
      </c>
      <c r="F2065" s="18" t="n">
        <f aca="false">(E2065+G2065)/2</f>
        <v>12.2579950084807</v>
      </c>
      <c r="G2065" s="18" t="n">
        <f aca="false">EXP(-'Black-Scholes'!$B$8*'Black-Scholes'!$B$7)*IF(LOWER('Black-Scholes'!$B$11)="put",MAX('Black-Scholes'!$B$6-D2065,0),MAX(D2065-'Black-Scholes'!$B$6,0))</f>
        <v>24.5159900169614</v>
      </c>
    </row>
    <row r="2066" customFormat="false" ht="15" hidden="false" customHeight="false" outlineLevel="0" collapsed="false">
      <c r="A2066" s="0" t="n">
        <v>2055</v>
      </c>
      <c r="B2066" s="15" t="n">
        <v>1.68370537940653</v>
      </c>
      <c r="C2066" s="18" t="n">
        <f aca="false">'Black-Scholes'!$B$5*EXP(('Black-Scholes'!$B$8-'Black-Scholes'!$B$10-'Black-Scholes'!$B$9^2/2)*'Black-Scholes'!$B$7+'Black-Scholes'!$B$9*SQRT('Black-Scholes'!$B$7)*B2066)</f>
        <v>144.302423696079</v>
      </c>
      <c r="D2066" s="18" t="n">
        <f aca="false">'Black-Scholes'!$B$5*EXP(('Black-Scholes'!$B$8-'Black-Scholes'!$B$10-'Black-Scholes'!$B$9^2/2)*'Black-Scholes'!$B$7-'Black-Scholes'!$B$9*SQRT('Black-Scholes'!$B$7)*B2066)</f>
        <v>73.5841103252522</v>
      </c>
      <c r="E2066" s="18" t="n">
        <f aca="false">EXP(-'Black-Scholes'!$B$8*'Black-Scholes'!$B$7)*IF(LOWER('Black-Scholes'!$B$11)="put",MAX('Black-Scholes'!$B$6-C2066,0),MAX(C2066-'Black-Scholes'!$B$6,0))</f>
        <v>42.1417689964084</v>
      </c>
      <c r="F2066" s="18" t="n">
        <f aca="false">(E2066+G2066)/2</f>
        <v>21.0708844982042</v>
      </c>
      <c r="G2066" s="18" t="n">
        <f aca="false">EXP(-'Black-Scholes'!$B$8*'Black-Scholes'!$B$7)*IF(LOWER('Black-Scholes'!$B$11)="put",MAX('Black-Scholes'!$B$6-D2066,0),MAX(D2066-'Black-Scholes'!$B$6,0))</f>
        <v>0</v>
      </c>
    </row>
    <row r="2067" customFormat="false" ht="15" hidden="false" customHeight="false" outlineLevel="0" collapsed="false">
      <c r="A2067" s="0" t="n">
        <v>2056</v>
      </c>
      <c r="B2067" s="15" t="n">
        <v>-0.829715595460139</v>
      </c>
      <c r="C2067" s="18" t="n">
        <f aca="false">'Black-Scholes'!$B$5*EXP(('Black-Scholes'!$B$8-'Black-Scholes'!$B$10-'Black-Scholes'!$B$9^2/2)*'Black-Scholes'!$B$7+'Black-Scholes'!$B$9*SQRT('Black-Scholes'!$B$7)*B2067)</f>
        <v>87.2892281982213</v>
      </c>
      <c r="D2067" s="18" t="n">
        <f aca="false">'Black-Scholes'!$B$5*EXP(('Black-Scholes'!$B$8-'Black-Scholes'!$B$10-'Black-Scholes'!$B$9^2/2)*'Black-Scholes'!$B$7-'Black-Scholes'!$B$9*SQRT('Black-Scholes'!$B$7)*B2067)</f>
        <v>121.645771014733</v>
      </c>
      <c r="E2067" s="18" t="n">
        <f aca="false">EXP(-'Black-Scholes'!$B$8*'Black-Scholes'!$B$7)*IF(LOWER('Black-Scholes'!$B$11)="put",MAX('Black-Scholes'!$B$6-C2067,0),MAX(C2067-'Black-Scholes'!$B$6,0))</f>
        <v>0</v>
      </c>
      <c r="F2067" s="18" t="n">
        <f aca="false">(E2067+G2067)/2</f>
        <v>10.2950471526093</v>
      </c>
      <c r="G2067" s="18" t="n">
        <f aca="false">EXP(-'Black-Scholes'!$B$8*'Black-Scholes'!$B$7)*IF(LOWER('Black-Scholes'!$B$11)="put",MAX('Black-Scholes'!$B$6-D2067,0),MAX(D2067-'Black-Scholes'!$B$6,0))</f>
        <v>20.5900943052187</v>
      </c>
    </row>
    <row r="2068" customFormat="false" ht="15" hidden="false" customHeight="false" outlineLevel="0" collapsed="false">
      <c r="A2068" s="0" t="n">
        <v>2057</v>
      </c>
      <c r="B2068" s="15" t="n">
        <v>-1.00564238530169</v>
      </c>
      <c r="C2068" s="18" t="n">
        <f aca="false">'Black-Scholes'!$B$5*EXP(('Black-Scholes'!$B$8-'Black-Scholes'!$B$10-'Black-Scholes'!$B$9^2/2)*'Black-Scholes'!$B$7+'Black-Scholes'!$B$9*SQRT('Black-Scholes'!$B$7)*B2068)</f>
        <v>84.2713297189129</v>
      </c>
      <c r="D2068" s="18" t="n">
        <f aca="false">'Black-Scholes'!$B$5*EXP(('Black-Scholes'!$B$8-'Black-Scholes'!$B$10-'Black-Scholes'!$B$9^2/2)*'Black-Scholes'!$B$7-'Black-Scholes'!$B$9*SQRT('Black-Scholes'!$B$7)*B2068)</f>
        <v>126.002111285904</v>
      </c>
      <c r="E2068" s="18" t="n">
        <f aca="false">EXP(-'Black-Scholes'!$B$8*'Black-Scholes'!$B$7)*IF(LOWER('Black-Scholes'!$B$11)="put",MAX('Black-Scholes'!$B$6-C2068,0),MAX(C2068-'Black-Scholes'!$B$6,0))</f>
        <v>0</v>
      </c>
      <c r="F2068" s="18" t="n">
        <f aca="false">(E2068+G2068)/2</f>
        <v>12.3669866771472</v>
      </c>
      <c r="G2068" s="18" t="n">
        <f aca="false">EXP(-'Black-Scholes'!$B$8*'Black-Scholes'!$B$7)*IF(LOWER('Black-Scholes'!$B$11)="put",MAX('Black-Scholes'!$B$6-D2068,0),MAX(D2068-'Black-Scholes'!$B$6,0))</f>
        <v>24.7339733542943</v>
      </c>
    </row>
    <row r="2069" customFormat="false" ht="15" hidden="false" customHeight="false" outlineLevel="0" collapsed="false">
      <c r="A2069" s="0" t="n">
        <v>2058</v>
      </c>
      <c r="B2069" s="15" t="n">
        <v>-0.128027302286389</v>
      </c>
      <c r="C2069" s="18" t="n">
        <f aca="false">'Black-Scholes'!$B$5*EXP(('Black-Scholes'!$B$8-'Black-Scholes'!$B$10-'Black-Scholes'!$B$9^2/2)*'Black-Scholes'!$B$7+'Black-Scholes'!$B$9*SQRT('Black-Scholes'!$B$7)*B2069)</f>
        <v>100.440420969171</v>
      </c>
      <c r="D2069" s="18" t="n">
        <f aca="false">'Black-Scholes'!$B$5*EXP(('Black-Scholes'!$B$8-'Black-Scholes'!$B$10-'Black-Scholes'!$B$9^2/2)*'Black-Scholes'!$B$7-'Black-Scholes'!$B$9*SQRT('Black-Scholes'!$B$7)*B2069)</f>
        <v>105.718050193286</v>
      </c>
      <c r="E2069" s="18" t="n">
        <f aca="false">EXP(-'Black-Scholes'!$B$8*'Black-Scholes'!$B$7)*IF(LOWER('Black-Scholes'!$B$11)="put",MAX('Black-Scholes'!$B$6-C2069,0),MAX(C2069-'Black-Scholes'!$B$6,0))</f>
        <v>0.418941385042916</v>
      </c>
      <c r="F2069" s="18" t="n">
        <f aca="false">(E2069+G2069)/2</f>
        <v>2.9290594898341</v>
      </c>
      <c r="G2069" s="18" t="n">
        <f aca="false">EXP(-'Black-Scholes'!$B$8*'Black-Scholes'!$B$7)*IF(LOWER('Black-Scholes'!$B$11)="put",MAX('Black-Scholes'!$B$6-D2069,0),MAX(D2069-'Black-Scholes'!$B$6,0))</f>
        <v>5.43917759462528</v>
      </c>
    </row>
    <row r="2070" customFormat="false" ht="15" hidden="false" customHeight="false" outlineLevel="0" collapsed="false">
      <c r="A2070" s="0" t="n">
        <v>2059</v>
      </c>
      <c r="B2070" s="15" t="n">
        <v>-0.940611641511094</v>
      </c>
      <c r="C2070" s="18" t="n">
        <f aca="false">'Black-Scholes'!$B$5*EXP(('Black-Scholes'!$B$8-'Black-Scholes'!$B$10-'Black-Scholes'!$B$9^2/2)*'Black-Scholes'!$B$7+'Black-Scholes'!$B$9*SQRT('Black-Scholes'!$B$7)*B2070)</f>
        <v>85.3745338362638</v>
      </c>
      <c r="D2070" s="18" t="n">
        <f aca="false">'Black-Scholes'!$B$5*EXP(('Black-Scholes'!$B$8-'Black-Scholes'!$B$10-'Black-Scholes'!$B$9^2/2)*'Black-Scholes'!$B$7-'Black-Scholes'!$B$9*SQRT('Black-Scholes'!$B$7)*B2070)</f>
        <v>124.373920281874</v>
      </c>
      <c r="E2070" s="18" t="n">
        <f aca="false">EXP(-'Black-Scholes'!$B$8*'Black-Scholes'!$B$7)*IF(LOWER('Black-Scholes'!$B$11)="put",MAX('Black-Scholes'!$B$6-C2070,0),MAX(C2070-'Black-Scholes'!$B$6,0))</f>
        <v>0</v>
      </c>
      <c r="F2070" s="18" t="n">
        <f aca="false">(E2070+G2070)/2</f>
        <v>11.5925950812764</v>
      </c>
      <c r="G2070" s="18" t="n">
        <f aca="false">EXP(-'Black-Scholes'!$B$8*'Black-Scholes'!$B$7)*IF(LOWER('Black-Scholes'!$B$11)="put",MAX('Black-Scholes'!$B$6-D2070,0),MAX(D2070-'Black-Scholes'!$B$6,0))</f>
        <v>23.1851901625529</v>
      </c>
    </row>
    <row r="2071" customFormat="false" ht="15" hidden="false" customHeight="false" outlineLevel="0" collapsed="false">
      <c r="A2071" s="0" t="n">
        <v>2060</v>
      </c>
      <c r="B2071" s="15" t="n">
        <v>-0.192492050807952</v>
      </c>
      <c r="C2071" s="18" t="n">
        <f aca="false">'Black-Scholes'!$B$5*EXP(('Black-Scholes'!$B$8-'Black-Scholes'!$B$10-'Black-Scholes'!$B$9^2/2)*'Black-Scholes'!$B$7+'Black-Scholes'!$B$9*SQRT('Black-Scholes'!$B$7)*B2071)</f>
        <v>99.1537599246274</v>
      </c>
      <c r="D2071" s="18" t="n">
        <f aca="false">'Black-Scholes'!$B$5*EXP(('Black-Scholes'!$B$8-'Black-Scholes'!$B$10-'Black-Scholes'!$B$9^2/2)*'Black-Scholes'!$B$7-'Black-Scholes'!$B$9*SQRT('Black-Scholes'!$B$7)*B2071)</f>
        <v>107.089892239339</v>
      </c>
      <c r="E2071" s="18" t="n">
        <f aca="false">EXP(-'Black-Scholes'!$B$8*'Black-Scholes'!$B$7)*IF(LOWER('Black-Scholes'!$B$11)="put",MAX('Black-Scholes'!$B$6-C2071,0),MAX(C2071-'Black-Scholes'!$B$6,0))</f>
        <v>0</v>
      </c>
      <c r="F2071" s="18" t="n">
        <f aca="false">(E2071+G2071)/2</f>
        <v>3.37205705729908</v>
      </c>
      <c r="G2071" s="18" t="n">
        <f aca="false">EXP(-'Black-Scholes'!$B$8*'Black-Scholes'!$B$7)*IF(LOWER('Black-Scholes'!$B$11)="put",MAX('Black-Scholes'!$B$6-D2071,0),MAX(D2071-'Black-Scholes'!$B$6,0))</f>
        <v>6.74411411459816</v>
      </c>
    </row>
    <row r="2072" customFormat="false" ht="15" hidden="false" customHeight="false" outlineLevel="0" collapsed="false">
      <c r="A2072" s="0" t="n">
        <v>2061</v>
      </c>
      <c r="B2072" s="15" t="n">
        <v>2.50442328935828</v>
      </c>
      <c r="C2072" s="18" t="n">
        <f aca="false">'Black-Scholes'!$B$5*EXP(('Black-Scholes'!$B$8-'Black-Scholes'!$B$10-'Black-Scholes'!$B$9^2/2)*'Black-Scholes'!$B$7+'Black-Scholes'!$B$9*SQRT('Black-Scholes'!$B$7)*B2072)</f>
        <v>170.043594746369</v>
      </c>
      <c r="D2072" s="18" t="n">
        <f aca="false">'Black-Scholes'!$B$5*EXP(('Black-Scholes'!$B$8-'Black-Scholes'!$B$10-'Black-Scholes'!$B$9^2/2)*'Black-Scholes'!$B$7-'Black-Scholes'!$B$9*SQRT('Black-Scholes'!$B$7)*B2072)</f>
        <v>62.4449599603655</v>
      </c>
      <c r="E2072" s="18" t="n">
        <f aca="false">EXP(-'Black-Scholes'!$B$8*'Black-Scholes'!$B$7)*IF(LOWER('Black-Scholes'!$B$11)="put",MAX('Black-Scholes'!$B$6-C2072,0),MAX(C2072-'Black-Scholes'!$B$6,0))</f>
        <v>66.6275283205494</v>
      </c>
      <c r="F2072" s="18" t="n">
        <f aca="false">(E2072+G2072)/2</f>
        <v>33.3137641602747</v>
      </c>
      <c r="G2072" s="18" t="n">
        <f aca="false">EXP(-'Black-Scholes'!$B$8*'Black-Scholes'!$B$7)*IF(LOWER('Black-Scholes'!$B$11)="put",MAX('Black-Scholes'!$B$6-D2072,0),MAX(D2072-'Black-Scholes'!$B$6,0))</f>
        <v>0</v>
      </c>
    </row>
    <row r="2073" customFormat="false" ht="15" hidden="false" customHeight="false" outlineLevel="0" collapsed="false">
      <c r="A2073" s="0" t="n">
        <v>2062</v>
      </c>
      <c r="B2073" s="15" t="n">
        <v>-1.05525872579633</v>
      </c>
      <c r="C2073" s="18" t="n">
        <f aca="false">'Black-Scholes'!$B$5*EXP(('Black-Scholes'!$B$8-'Black-Scholes'!$B$10-'Black-Scholes'!$B$9^2/2)*'Black-Scholes'!$B$7+'Black-Scholes'!$B$9*SQRT('Black-Scholes'!$B$7)*B2073)</f>
        <v>83.4392181822363</v>
      </c>
      <c r="D2073" s="18" t="n">
        <f aca="false">'Black-Scholes'!$B$5*EXP(('Black-Scholes'!$B$8-'Black-Scholes'!$B$10-'Black-Scholes'!$B$9^2/2)*'Black-Scholes'!$B$7-'Black-Scholes'!$B$9*SQRT('Black-Scholes'!$B$7)*B2073)</f>
        <v>127.258688381553</v>
      </c>
      <c r="E2073" s="18" t="n">
        <f aca="false">EXP(-'Black-Scholes'!$B$8*'Black-Scholes'!$B$7)*IF(LOWER('Black-Scholes'!$B$11)="put",MAX('Black-Scholes'!$B$6-C2073,0),MAX(C2073-'Black-Scholes'!$B$6,0))</f>
        <v>0</v>
      </c>
      <c r="F2073" s="18" t="n">
        <f aca="false">(E2073+G2073)/2</f>
        <v>12.9646332309143</v>
      </c>
      <c r="G2073" s="18" t="n">
        <f aca="false">EXP(-'Black-Scholes'!$B$8*'Black-Scholes'!$B$7)*IF(LOWER('Black-Scholes'!$B$11)="put",MAX('Black-Scholes'!$B$6-D2073,0),MAX(D2073-'Black-Scholes'!$B$6,0))</f>
        <v>25.9292664618287</v>
      </c>
    </row>
    <row r="2074" customFormat="false" ht="15" hidden="false" customHeight="false" outlineLevel="0" collapsed="false">
      <c r="A2074" s="0" t="n">
        <v>2063</v>
      </c>
      <c r="B2074" s="15" t="n">
        <v>-0.891334421865603</v>
      </c>
      <c r="C2074" s="18" t="n">
        <f aca="false">'Black-Scholes'!$B$5*EXP(('Black-Scholes'!$B$8-'Black-Scholes'!$B$10-'Black-Scholes'!$B$9^2/2)*'Black-Scholes'!$B$7+'Black-Scholes'!$B$9*SQRT('Black-Scholes'!$B$7)*B2074)</f>
        <v>86.2200976266149</v>
      </c>
      <c r="D2074" s="18" t="n">
        <f aca="false">'Black-Scholes'!$B$5*EXP(('Black-Scholes'!$B$8-'Black-Scholes'!$B$10-'Black-Scholes'!$B$9^2/2)*'Black-Scholes'!$B$7-'Black-Scholes'!$B$9*SQRT('Black-Scholes'!$B$7)*B2074)</f>
        <v>123.154180495568</v>
      </c>
      <c r="E2074" s="18" t="n">
        <f aca="false">EXP(-'Black-Scholes'!$B$8*'Black-Scholes'!$B$7)*IF(LOWER('Black-Scholes'!$B$11)="put",MAX('Black-Scholes'!$B$6-C2074,0),MAX(C2074-'Black-Scholes'!$B$6,0))</f>
        <v>0</v>
      </c>
      <c r="F2074" s="18" t="n">
        <f aca="false">(E2074+G2074)/2</f>
        <v>11.0124688937923</v>
      </c>
      <c r="G2074" s="18" t="n">
        <f aca="false">EXP(-'Black-Scholes'!$B$8*'Black-Scholes'!$B$7)*IF(LOWER('Black-Scholes'!$B$11)="put",MAX('Black-Scholes'!$B$6-D2074,0),MAX(D2074-'Black-Scholes'!$B$6,0))</f>
        <v>22.0249377875845</v>
      </c>
    </row>
    <row r="2075" customFormat="false" ht="15" hidden="false" customHeight="false" outlineLevel="0" collapsed="false">
      <c r="A2075" s="0" t="n">
        <v>2064</v>
      </c>
      <c r="B2075" s="15" t="n">
        <v>-0.942244051844577</v>
      </c>
      <c r="C2075" s="18" t="n">
        <f aca="false">'Black-Scholes'!$B$5*EXP(('Black-Scholes'!$B$8-'Black-Scholes'!$B$10-'Black-Scholes'!$B$9^2/2)*'Black-Scholes'!$B$7+'Black-Scholes'!$B$9*SQRT('Black-Scholes'!$B$7)*B2075)</f>
        <v>85.3466651315774</v>
      </c>
      <c r="D2075" s="18" t="n">
        <f aca="false">'Black-Scholes'!$B$5*EXP(('Black-Scholes'!$B$8-'Black-Scholes'!$B$10-'Black-Scholes'!$B$9^2/2)*'Black-Scholes'!$B$7-'Black-Scholes'!$B$9*SQRT('Black-Scholes'!$B$7)*B2075)</f>
        <v>124.414532765673</v>
      </c>
      <c r="E2075" s="18" t="n">
        <f aca="false">EXP(-'Black-Scholes'!$B$8*'Black-Scholes'!$B$7)*IF(LOWER('Black-Scholes'!$B$11)="put",MAX('Black-Scholes'!$B$6-C2075,0),MAX(C2075-'Black-Scholes'!$B$6,0))</f>
        <v>0</v>
      </c>
      <c r="F2075" s="18" t="n">
        <f aca="false">(E2075+G2075)/2</f>
        <v>11.6119109760727</v>
      </c>
      <c r="G2075" s="18" t="n">
        <f aca="false">EXP(-'Black-Scholes'!$B$8*'Black-Scholes'!$B$7)*IF(LOWER('Black-Scholes'!$B$11)="put",MAX('Black-Scholes'!$B$6-D2075,0),MAX(D2075-'Black-Scholes'!$B$6,0))</f>
        <v>23.2238219521454</v>
      </c>
    </row>
    <row r="2076" customFormat="false" ht="15" hidden="false" customHeight="false" outlineLevel="0" collapsed="false">
      <c r="A2076" s="0" t="n">
        <v>2065</v>
      </c>
      <c r="B2076" s="15" t="n">
        <v>1.41655691651988</v>
      </c>
      <c r="C2076" s="18" t="n">
        <f aca="false">'Black-Scholes'!$B$5*EXP(('Black-Scholes'!$B$8-'Black-Scholes'!$B$10-'Black-Scholes'!$B$9^2/2)*'Black-Scholes'!$B$7+'Black-Scholes'!$B$9*SQRT('Black-Scholes'!$B$7)*B2076)</f>
        <v>136.794742070422</v>
      </c>
      <c r="D2076" s="18" t="n">
        <f aca="false">'Black-Scholes'!$B$5*EXP(('Black-Scholes'!$B$8-'Black-Scholes'!$B$10-'Black-Scholes'!$B$9^2/2)*'Black-Scholes'!$B$7-'Black-Scholes'!$B$9*SQRT('Black-Scholes'!$B$7)*B2076)</f>
        <v>77.622614032835</v>
      </c>
      <c r="E2076" s="18" t="n">
        <f aca="false">EXP(-'Black-Scholes'!$B$8*'Black-Scholes'!$B$7)*IF(LOWER('Black-Scholes'!$B$11)="put",MAX('Black-Scholes'!$B$6-C2076,0),MAX(C2076-'Black-Scholes'!$B$6,0))</f>
        <v>35.0002413242999</v>
      </c>
      <c r="F2076" s="18" t="n">
        <f aca="false">(E2076+G2076)/2</f>
        <v>17.50012066215</v>
      </c>
      <c r="G2076" s="18" t="n">
        <f aca="false">EXP(-'Black-Scholes'!$B$8*'Black-Scholes'!$B$7)*IF(LOWER('Black-Scholes'!$B$11)="put",MAX('Black-Scholes'!$B$6-D2076,0),MAX(D2076-'Black-Scholes'!$B$6,0))</f>
        <v>0</v>
      </c>
    </row>
    <row r="2077" customFormat="false" ht="15" hidden="false" customHeight="false" outlineLevel="0" collapsed="false">
      <c r="A2077" s="0" t="n">
        <v>2066</v>
      </c>
      <c r="B2077" s="15" t="n">
        <v>-1.06946493562133</v>
      </c>
      <c r="C2077" s="18" t="n">
        <f aca="false">'Black-Scholes'!$B$5*EXP(('Black-Scholes'!$B$8-'Black-Scholes'!$B$10-'Black-Scholes'!$B$9^2/2)*'Black-Scholes'!$B$7+'Black-Scholes'!$B$9*SQRT('Black-Scholes'!$B$7)*B2077)</f>
        <v>83.2024836433198</v>
      </c>
      <c r="D2077" s="18" t="n">
        <f aca="false">'Black-Scholes'!$B$5*EXP(('Black-Scholes'!$B$8-'Black-Scholes'!$B$10-'Black-Scholes'!$B$9^2/2)*'Black-Scholes'!$B$7-'Black-Scholes'!$B$9*SQRT('Black-Scholes'!$B$7)*B2077)</f>
        <v>127.620775252015</v>
      </c>
      <c r="E2077" s="18" t="n">
        <f aca="false">EXP(-'Black-Scholes'!$B$8*'Black-Scholes'!$B$7)*IF(LOWER('Black-Scholes'!$B$11)="put",MAX('Black-Scholes'!$B$6-C2077,0),MAX(C2077-'Black-Scholes'!$B$6,0))</f>
        <v>0</v>
      </c>
      <c r="F2077" s="18" t="n">
        <f aca="false">(E2077+G2077)/2</f>
        <v>13.1368470736191</v>
      </c>
      <c r="G2077" s="18" t="n">
        <f aca="false">EXP(-'Black-Scholes'!$B$8*'Black-Scholes'!$B$7)*IF(LOWER('Black-Scholes'!$B$11)="put",MAX('Black-Scholes'!$B$6-D2077,0),MAX(D2077-'Black-Scholes'!$B$6,0))</f>
        <v>26.2736941472381</v>
      </c>
    </row>
    <row r="2078" customFormat="false" ht="15" hidden="false" customHeight="false" outlineLevel="0" collapsed="false">
      <c r="A2078" s="0" t="n">
        <v>2067</v>
      </c>
      <c r="B2078" s="15" t="n">
        <v>0.34544863267113</v>
      </c>
      <c r="C2078" s="18" t="n">
        <f aca="false">'Black-Scholes'!$B$5*EXP(('Black-Scholes'!$B$8-'Black-Scholes'!$B$10-'Black-Scholes'!$B$9^2/2)*'Black-Scholes'!$B$7+'Black-Scholes'!$B$9*SQRT('Black-Scholes'!$B$7)*B2078)</f>
        <v>110.416536804597</v>
      </c>
      <c r="D2078" s="18" t="n">
        <f aca="false">'Black-Scholes'!$B$5*EXP(('Black-Scholes'!$B$8-'Black-Scholes'!$B$10-'Black-Scholes'!$B$9^2/2)*'Black-Scholes'!$B$7-'Black-Scholes'!$B$9*SQRT('Black-Scholes'!$B$7)*B2078)</f>
        <v>96.1664418459786</v>
      </c>
      <c r="E2078" s="18" t="n">
        <f aca="false">EXP(-'Black-Scholes'!$B$8*'Black-Scholes'!$B$7)*IF(LOWER('Black-Scholes'!$B$11)="put",MAX('Black-Scholes'!$B$6-C2078,0),MAX(C2078-'Black-Scholes'!$B$6,0))</f>
        <v>9.90851630992699</v>
      </c>
      <c r="F2078" s="18" t="n">
        <f aca="false">(E2078+G2078)/2</f>
        <v>4.95425815496349</v>
      </c>
      <c r="G2078" s="18" t="n">
        <f aca="false">EXP(-'Black-Scholes'!$B$8*'Black-Scholes'!$B$7)*IF(LOWER('Black-Scholes'!$B$11)="put",MAX('Black-Scholes'!$B$6-D2078,0),MAX(D2078-'Black-Scholes'!$B$6,0))</f>
        <v>0</v>
      </c>
    </row>
    <row r="2079" customFormat="false" ht="15" hidden="false" customHeight="false" outlineLevel="0" collapsed="false">
      <c r="A2079" s="0" t="n">
        <v>2068</v>
      </c>
      <c r="B2079" s="15" t="n">
        <v>-0.233391304617872</v>
      </c>
      <c r="C2079" s="18" t="n">
        <f aca="false">'Black-Scholes'!$B$5*EXP(('Black-Scholes'!$B$8-'Black-Scholes'!$B$10-'Black-Scholes'!$B$9^2/2)*'Black-Scholes'!$B$7+'Black-Scholes'!$B$9*SQRT('Black-Scholes'!$B$7)*B2079)</f>
        <v>98.3460051267023</v>
      </c>
      <c r="D2079" s="18" t="n">
        <f aca="false">'Black-Scholes'!$B$5*EXP(('Black-Scholes'!$B$8-'Black-Scholes'!$B$10-'Black-Scholes'!$B$9^2/2)*'Black-Scholes'!$B$7-'Black-Scholes'!$B$9*SQRT('Black-Scholes'!$B$7)*B2079)</f>
        <v>107.969464054728</v>
      </c>
      <c r="E2079" s="18" t="n">
        <f aca="false">EXP(-'Black-Scholes'!$B$8*'Black-Scholes'!$B$7)*IF(LOWER('Black-Scholes'!$B$11)="put",MAX('Black-Scholes'!$B$6-C2079,0),MAX(C2079-'Black-Scholes'!$B$6,0))</f>
        <v>0</v>
      </c>
      <c r="F2079" s="18" t="n">
        <f aca="false">(E2079+G2079)/2</f>
        <v>3.79039435317912</v>
      </c>
      <c r="G2079" s="18" t="n">
        <f aca="false">EXP(-'Black-Scholes'!$B$8*'Black-Scholes'!$B$7)*IF(LOWER('Black-Scholes'!$B$11)="put",MAX('Black-Scholes'!$B$6-D2079,0),MAX(D2079-'Black-Scholes'!$B$6,0))</f>
        <v>7.58078870635824</v>
      </c>
    </row>
    <row r="2080" customFormat="false" ht="15" hidden="false" customHeight="false" outlineLevel="0" collapsed="false">
      <c r="A2080" s="0" t="n">
        <v>2069</v>
      </c>
      <c r="B2080" s="15" t="n">
        <v>0.15496920756163</v>
      </c>
      <c r="C2080" s="18" t="n">
        <f aca="false">'Black-Scholes'!$B$5*EXP(('Black-Scholes'!$B$8-'Black-Scholes'!$B$10-'Black-Scholes'!$B$9^2/2)*'Black-Scholes'!$B$7+'Black-Scholes'!$B$9*SQRT('Black-Scholes'!$B$7)*B2080)</f>
        <v>106.289236835749</v>
      </c>
      <c r="D2080" s="18" t="n">
        <f aca="false">'Black-Scholes'!$B$5*EXP(('Black-Scholes'!$B$8-'Black-Scholes'!$B$10-'Black-Scholes'!$B$9^2/2)*'Black-Scholes'!$B$7-'Black-Scholes'!$B$9*SQRT('Black-Scholes'!$B$7)*B2080)</f>
        <v>99.9006652184584</v>
      </c>
      <c r="E2080" s="18" t="n">
        <f aca="false">EXP(-'Black-Scholes'!$B$8*'Black-Scholes'!$B$7)*IF(LOWER('Black-Scholes'!$B$11)="put",MAX('Black-Scholes'!$B$6-C2080,0),MAX(C2080-'Black-Scholes'!$B$6,0))</f>
        <v>5.98250713581819</v>
      </c>
      <c r="F2080" s="18" t="n">
        <f aca="false">(E2080+G2080)/2</f>
        <v>2.9912535679091</v>
      </c>
      <c r="G2080" s="18" t="n">
        <f aca="false">EXP(-'Black-Scholes'!$B$8*'Black-Scholes'!$B$7)*IF(LOWER('Black-Scholes'!$B$11)="put",MAX('Black-Scholes'!$B$6-D2080,0),MAX(D2080-'Black-Scholes'!$B$6,0))</f>
        <v>0</v>
      </c>
    </row>
    <row r="2081" customFormat="false" ht="15" hidden="false" customHeight="false" outlineLevel="0" collapsed="false">
      <c r="A2081" s="0" t="n">
        <v>2070</v>
      </c>
      <c r="B2081" s="15" t="n">
        <v>0.580040447089543</v>
      </c>
      <c r="C2081" s="18" t="n">
        <f aca="false">'Black-Scholes'!$B$5*EXP(('Black-Scholes'!$B$8-'Black-Scholes'!$B$10-'Black-Scholes'!$B$9^2/2)*'Black-Scholes'!$B$7+'Black-Scholes'!$B$9*SQRT('Black-Scholes'!$B$7)*B2081)</f>
        <v>115.720554913223</v>
      </c>
      <c r="D2081" s="18" t="n">
        <f aca="false">'Black-Scholes'!$B$5*EXP(('Black-Scholes'!$B$8-'Black-Scholes'!$B$10-'Black-Scholes'!$B$9^2/2)*'Black-Scholes'!$B$7-'Black-Scholes'!$B$9*SQRT('Black-Scholes'!$B$7)*B2081)</f>
        <v>91.7586808446967</v>
      </c>
      <c r="E2081" s="18" t="n">
        <f aca="false">EXP(-'Black-Scholes'!$B$8*'Black-Scholes'!$B$7)*IF(LOWER('Black-Scholes'!$B$11)="put",MAX('Black-Scholes'!$B$6-C2081,0),MAX(C2081-'Black-Scholes'!$B$6,0))</f>
        <v>14.9538544029366</v>
      </c>
      <c r="F2081" s="18" t="n">
        <f aca="false">(E2081+G2081)/2</f>
        <v>7.47692720146831</v>
      </c>
      <c r="G2081" s="18" t="n">
        <f aca="false">EXP(-'Black-Scholes'!$B$8*'Black-Scholes'!$B$7)*IF(LOWER('Black-Scholes'!$B$11)="put",MAX('Black-Scholes'!$B$6-D2081,0),MAX(D2081-'Black-Scholes'!$B$6,0))</f>
        <v>0</v>
      </c>
    </row>
    <row r="2082" customFormat="false" ht="15" hidden="false" customHeight="false" outlineLevel="0" collapsed="false">
      <c r="A2082" s="0" t="n">
        <v>2071</v>
      </c>
      <c r="B2082" s="15" t="n">
        <v>0.332855881022456</v>
      </c>
      <c r="C2082" s="18" t="n">
        <f aca="false">'Black-Scholes'!$B$5*EXP(('Black-Scholes'!$B$8-'Black-Scholes'!$B$10-'Black-Scholes'!$B$9^2/2)*'Black-Scholes'!$B$7+'Black-Scholes'!$B$9*SQRT('Black-Scholes'!$B$7)*B2082)</f>
        <v>110.138797096946</v>
      </c>
      <c r="D2082" s="18" t="n">
        <f aca="false">'Black-Scholes'!$B$5*EXP(('Black-Scholes'!$B$8-'Black-Scholes'!$B$10-'Black-Scholes'!$B$9^2/2)*'Black-Scholes'!$B$7-'Black-Scholes'!$B$9*SQRT('Black-Scholes'!$B$7)*B2082)</f>
        <v>96.4089471224851</v>
      </c>
      <c r="E2082" s="18" t="n">
        <f aca="false">EXP(-'Black-Scholes'!$B$8*'Black-Scholes'!$B$7)*IF(LOWER('Black-Scholes'!$B$11)="put",MAX('Black-Scholes'!$B$6-C2082,0),MAX(C2082-'Black-Scholes'!$B$6,0))</f>
        <v>9.64432212765762</v>
      </c>
      <c r="F2082" s="18" t="n">
        <f aca="false">(E2082+G2082)/2</f>
        <v>4.82216106382881</v>
      </c>
      <c r="G2082" s="18" t="n">
        <f aca="false">EXP(-'Black-Scholes'!$B$8*'Black-Scholes'!$B$7)*IF(LOWER('Black-Scholes'!$B$11)="put",MAX('Black-Scholes'!$B$6-D2082,0),MAX(D2082-'Black-Scholes'!$B$6,0))</f>
        <v>0</v>
      </c>
    </row>
    <row r="2083" customFormat="false" ht="15" hidden="false" customHeight="false" outlineLevel="0" collapsed="false">
      <c r="A2083" s="0" t="n">
        <v>2072</v>
      </c>
      <c r="B2083" s="15" t="n">
        <v>1.03221789196162</v>
      </c>
      <c r="C2083" s="18" t="n">
        <f aca="false">'Black-Scholes'!$B$5*EXP(('Black-Scholes'!$B$8-'Black-Scholes'!$B$10-'Black-Scholes'!$B$9^2/2)*'Black-Scholes'!$B$7+'Black-Scholes'!$B$9*SQRT('Black-Scholes'!$B$7)*B2083)</f>
        <v>126.673608231757</v>
      </c>
      <c r="D2083" s="18" t="n">
        <f aca="false">'Black-Scholes'!$B$5*EXP(('Black-Scholes'!$B$8-'Black-Scholes'!$B$10-'Black-Scholes'!$B$9^2/2)*'Black-Scholes'!$B$7-'Black-Scholes'!$B$9*SQRT('Black-Scholes'!$B$7)*B2083)</f>
        <v>83.8246073012041</v>
      </c>
      <c r="E2083" s="18" t="n">
        <f aca="false">EXP(-'Black-Scholes'!$B$8*'Black-Scholes'!$B$7)*IF(LOWER('Black-Scholes'!$B$11)="put",MAX('Black-Scholes'!$B$6-C2083,0),MAX(C2083-'Black-Scholes'!$B$6,0))</f>
        <v>25.3727210076515</v>
      </c>
      <c r="F2083" s="18" t="n">
        <f aca="false">(E2083+G2083)/2</f>
        <v>12.6863605038258</v>
      </c>
      <c r="G2083" s="18" t="n">
        <f aca="false">EXP(-'Black-Scholes'!$B$8*'Black-Scholes'!$B$7)*IF(LOWER('Black-Scholes'!$B$11)="put",MAX('Black-Scholes'!$B$6-D2083,0),MAX(D2083-'Black-Scholes'!$B$6,0))</f>
        <v>0</v>
      </c>
    </row>
    <row r="2084" customFormat="false" ht="15" hidden="false" customHeight="false" outlineLevel="0" collapsed="false">
      <c r="A2084" s="0" t="n">
        <v>2073</v>
      </c>
      <c r="B2084" s="15" t="n">
        <v>-0.489109739262693</v>
      </c>
      <c r="C2084" s="18" t="n">
        <f aca="false">'Black-Scholes'!$B$5*EXP(('Black-Scholes'!$B$8-'Black-Scholes'!$B$10-'Black-Scholes'!$B$9^2/2)*'Black-Scholes'!$B$7+'Black-Scholes'!$B$9*SQRT('Black-Scholes'!$B$7)*B2084)</f>
        <v>93.4426835470929</v>
      </c>
      <c r="D2084" s="18" t="n">
        <f aca="false">'Black-Scholes'!$B$5*EXP(('Black-Scholes'!$B$8-'Black-Scholes'!$B$10-'Black-Scholes'!$B$9^2/2)*'Black-Scholes'!$B$7-'Black-Scholes'!$B$9*SQRT('Black-Scholes'!$B$7)*B2084)</f>
        <v>113.635065500898</v>
      </c>
      <c r="E2084" s="18" t="n">
        <f aca="false">EXP(-'Black-Scholes'!$B$8*'Black-Scholes'!$B$7)*IF(LOWER('Black-Scholes'!$B$11)="put",MAX('Black-Scholes'!$B$6-C2084,0),MAX(C2084-'Black-Scholes'!$B$6,0))</f>
        <v>0</v>
      </c>
      <c r="F2084" s="18" t="n">
        <f aca="false">(E2084+G2084)/2</f>
        <v>6.48503775472443</v>
      </c>
      <c r="G2084" s="18" t="n">
        <f aca="false">EXP(-'Black-Scholes'!$B$8*'Black-Scholes'!$B$7)*IF(LOWER('Black-Scholes'!$B$11)="put",MAX('Black-Scholes'!$B$6-D2084,0),MAX(D2084-'Black-Scholes'!$B$6,0))</f>
        <v>12.9700755094489</v>
      </c>
    </row>
    <row r="2085" customFormat="false" ht="15" hidden="false" customHeight="false" outlineLevel="0" collapsed="false">
      <c r="A2085" s="0" t="n">
        <v>2074</v>
      </c>
      <c r="B2085" s="15" t="n">
        <v>-1.41221241803382</v>
      </c>
      <c r="C2085" s="18" t="n">
        <f aca="false">'Black-Scholes'!$B$5*EXP(('Black-Scholes'!$B$8-'Black-Scholes'!$B$10-'Black-Scholes'!$B$9^2/2)*'Black-Scholes'!$B$7+'Black-Scholes'!$B$9*SQRT('Black-Scholes'!$B$7)*B2085)</f>
        <v>77.6900896091736</v>
      </c>
      <c r="D2085" s="18" t="n">
        <f aca="false">'Black-Scholes'!$B$5*EXP(('Black-Scholes'!$B$8-'Black-Scholes'!$B$10-'Black-Scholes'!$B$9^2/2)*'Black-Scholes'!$B$7-'Black-Scholes'!$B$9*SQRT('Black-Scholes'!$B$7)*B2085)</f>
        <v>136.675932784608</v>
      </c>
      <c r="E2085" s="18" t="n">
        <f aca="false">EXP(-'Black-Scholes'!$B$8*'Black-Scholes'!$B$7)*IF(LOWER('Black-Scholes'!$B$11)="put",MAX('Black-Scholes'!$B$6-C2085,0),MAX(C2085-'Black-Scholes'!$B$6,0))</f>
        <v>0</v>
      </c>
      <c r="F2085" s="18" t="n">
        <f aca="false">(E2085+G2085)/2</f>
        <v>17.4436132178648</v>
      </c>
      <c r="G2085" s="18" t="n">
        <f aca="false">EXP(-'Black-Scholes'!$B$8*'Black-Scholes'!$B$7)*IF(LOWER('Black-Scholes'!$B$11)="put",MAX('Black-Scholes'!$B$6-D2085,0),MAX(D2085-'Black-Scholes'!$B$6,0))</f>
        <v>34.8872264357297</v>
      </c>
    </row>
    <row r="2086" customFormat="false" ht="15" hidden="false" customHeight="false" outlineLevel="0" collapsed="false">
      <c r="A2086" s="0" t="n">
        <v>2075</v>
      </c>
      <c r="B2086" s="15" t="n">
        <v>-0.184189268648914</v>
      </c>
      <c r="C2086" s="18" t="n">
        <f aca="false">'Black-Scholes'!$B$5*EXP(('Black-Scholes'!$B$8-'Black-Scholes'!$B$10-'Black-Scholes'!$B$9^2/2)*'Black-Scholes'!$B$7+'Black-Scholes'!$B$9*SQRT('Black-Scholes'!$B$7)*B2086)</f>
        <v>99.3185471197605</v>
      </c>
      <c r="D2086" s="18" t="n">
        <f aca="false">'Black-Scholes'!$B$5*EXP(('Black-Scholes'!$B$8-'Black-Scholes'!$B$10-'Black-Scholes'!$B$9^2/2)*'Black-Scholes'!$B$7-'Black-Scholes'!$B$9*SQRT('Black-Scholes'!$B$7)*B2086)</f>
        <v>106.912210995694</v>
      </c>
      <c r="E2086" s="18" t="n">
        <f aca="false">EXP(-'Black-Scholes'!$B$8*'Black-Scholes'!$B$7)*IF(LOWER('Black-Scholes'!$B$11)="put",MAX('Black-Scholes'!$B$6-C2086,0),MAX(C2086-'Black-Scholes'!$B$6,0))</f>
        <v>0</v>
      </c>
      <c r="F2086" s="18" t="n">
        <f aca="false">(E2086+G2086)/2</f>
        <v>3.2875492437307</v>
      </c>
      <c r="G2086" s="18" t="n">
        <f aca="false">EXP(-'Black-Scholes'!$B$8*'Black-Scholes'!$B$7)*IF(LOWER('Black-Scholes'!$B$11)="put",MAX('Black-Scholes'!$B$6-D2086,0),MAX(D2086-'Black-Scholes'!$B$6,0))</f>
        <v>6.5750984874614</v>
      </c>
    </row>
    <row r="2087" customFormat="false" ht="15" hidden="false" customHeight="false" outlineLevel="0" collapsed="false">
      <c r="A2087" s="0" t="n">
        <v>2076</v>
      </c>
      <c r="B2087" s="15" t="n">
        <v>-0.0702433341406593</v>
      </c>
      <c r="C2087" s="18" t="n">
        <f aca="false">'Black-Scholes'!$B$5*EXP(('Black-Scholes'!$B$8-'Black-Scholes'!$B$10-'Black-Scholes'!$B$9^2/2)*'Black-Scholes'!$B$7+'Black-Scholes'!$B$9*SQRT('Black-Scholes'!$B$7)*B2087)</f>
        <v>101.607923484931</v>
      </c>
      <c r="D2087" s="18" t="n">
        <f aca="false">'Black-Scholes'!$B$5*EXP(('Black-Scholes'!$B$8-'Black-Scholes'!$B$10-'Black-Scholes'!$B$9^2/2)*'Black-Scholes'!$B$7-'Black-Scholes'!$B$9*SQRT('Black-Scholes'!$B$7)*B2087)</f>
        <v>104.503321210263</v>
      </c>
      <c r="E2087" s="18" t="n">
        <f aca="false">EXP(-'Black-Scholes'!$B$8*'Black-Scholes'!$B$7)*IF(LOWER('Black-Scholes'!$B$11)="put",MAX('Black-Scholes'!$B$6-C2087,0),MAX(C2087-'Black-Scholes'!$B$6,0))</f>
        <v>1.52950413121237</v>
      </c>
      <c r="F2087" s="18" t="n">
        <f aca="false">(E2087+G2087)/2</f>
        <v>2.90659788719633</v>
      </c>
      <c r="G2087" s="18" t="n">
        <f aca="false">EXP(-'Black-Scholes'!$B$8*'Black-Scholes'!$B$7)*IF(LOWER('Black-Scholes'!$B$11)="put",MAX('Black-Scholes'!$B$6-D2087,0),MAX(D2087-'Black-Scholes'!$B$6,0))</f>
        <v>4.28369164318029</v>
      </c>
    </row>
    <row r="2088" customFormat="false" ht="15" hidden="false" customHeight="false" outlineLevel="0" collapsed="false">
      <c r="A2088" s="0" t="n">
        <v>2077</v>
      </c>
      <c r="B2088" s="15" t="n">
        <v>-0.228271641195445</v>
      </c>
      <c r="C2088" s="18" t="n">
        <f aca="false">'Black-Scholes'!$B$5*EXP(('Black-Scholes'!$B$8-'Black-Scholes'!$B$10-'Black-Scholes'!$B$9^2/2)*'Black-Scholes'!$B$7+'Black-Scholes'!$B$9*SQRT('Black-Scholes'!$B$7)*B2088)</f>
        <v>98.4467563881923</v>
      </c>
      <c r="D2088" s="18" t="n">
        <f aca="false">'Black-Scholes'!$B$5*EXP(('Black-Scholes'!$B$8-'Black-Scholes'!$B$10-'Black-Scholes'!$B$9^2/2)*'Black-Scholes'!$B$7-'Black-Scholes'!$B$9*SQRT('Black-Scholes'!$B$7)*B2088)</f>
        <v>107.858967171895</v>
      </c>
      <c r="E2088" s="18" t="n">
        <f aca="false">EXP(-'Black-Scholes'!$B$8*'Black-Scholes'!$B$7)*IF(LOWER('Black-Scholes'!$B$11)="put",MAX('Black-Scholes'!$B$6-C2088,0),MAX(C2088-'Black-Scholes'!$B$6,0))</f>
        <v>0</v>
      </c>
      <c r="F2088" s="18" t="n">
        <f aca="false">(E2088+G2088)/2</f>
        <v>3.73784041004595</v>
      </c>
      <c r="G2088" s="18" t="n">
        <f aca="false">EXP(-'Black-Scholes'!$B$8*'Black-Scholes'!$B$7)*IF(LOWER('Black-Scholes'!$B$11)="put",MAX('Black-Scholes'!$B$6-D2088,0),MAX(D2088-'Black-Scholes'!$B$6,0))</f>
        <v>7.4756808200919</v>
      </c>
    </row>
    <row r="2089" customFormat="false" ht="15" hidden="false" customHeight="false" outlineLevel="0" collapsed="false">
      <c r="A2089" s="0" t="n">
        <v>2078</v>
      </c>
      <c r="B2089" s="15" t="n">
        <v>1.56296291343404</v>
      </c>
      <c r="C2089" s="18" t="n">
        <f aca="false">'Black-Scholes'!$B$5*EXP(('Black-Scholes'!$B$8-'Black-Scholes'!$B$10-'Black-Scholes'!$B$9^2/2)*'Black-Scholes'!$B$7+'Black-Scholes'!$B$9*SQRT('Black-Scholes'!$B$7)*B2089)</f>
        <v>140.859475911291</v>
      </c>
      <c r="D2089" s="18" t="n">
        <f aca="false">'Black-Scholes'!$B$5*EXP(('Black-Scholes'!$B$8-'Black-Scholes'!$B$10-'Black-Scholes'!$B$9^2/2)*'Black-Scholes'!$B$7-'Black-Scholes'!$B$9*SQRT('Black-Scholes'!$B$7)*B2089)</f>
        <v>75.3826847413567</v>
      </c>
      <c r="E2089" s="18" t="n">
        <f aca="false">EXP(-'Black-Scholes'!$B$8*'Black-Scholes'!$B$7)*IF(LOWER('Black-Scholes'!$B$11)="put",MAX('Black-Scholes'!$B$6-C2089,0),MAX(C2089-'Black-Scholes'!$B$6,0))</f>
        <v>38.8667357564984</v>
      </c>
      <c r="F2089" s="18" t="n">
        <f aca="false">(E2089+G2089)/2</f>
        <v>19.4333678782492</v>
      </c>
      <c r="G2089" s="18" t="n">
        <f aca="false">EXP(-'Black-Scholes'!$B$8*'Black-Scholes'!$B$7)*IF(LOWER('Black-Scholes'!$B$11)="put",MAX('Black-Scholes'!$B$6-D2089,0),MAX(D2089-'Black-Scholes'!$B$6,0))</f>
        <v>0</v>
      </c>
    </row>
    <row r="2090" customFormat="false" ht="15" hidden="false" customHeight="false" outlineLevel="0" collapsed="false">
      <c r="A2090" s="0" t="n">
        <v>2079</v>
      </c>
      <c r="B2090" s="15" t="n">
        <v>-0.203237772969131</v>
      </c>
      <c r="C2090" s="18" t="n">
        <f aca="false">'Black-Scholes'!$B$5*EXP(('Black-Scholes'!$B$8-'Black-Scholes'!$B$10-'Black-Scholes'!$B$9^2/2)*'Black-Scholes'!$B$7+'Black-Scholes'!$B$9*SQRT('Black-Scholes'!$B$7)*B2090)</f>
        <v>98.9408929963698</v>
      </c>
      <c r="D2090" s="18" t="n">
        <f aca="false">'Black-Scholes'!$B$5*EXP(('Black-Scholes'!$B$8-'Black-Scholes'!$B$10-'Black-Scholes'!$B$9^2/2)*'Black-Scholes'!$B$7-'Black-Scholes'!$B$9*SQRT('Black-Scholes'!$B$7)*B2090)</f>
        <v>107.320291376824</v>
      </c>
      <c r="E2090" s="18" t="n">
        <f aca="false">EXP(-'Black-Scholes'!$B$8*'Black-Scholes'!$B$7)*IF(LOWER('Black-Scholes'!$B$11)="put",MAX('Black-Scholes'!$B$6-C2090,0),MAX(C2090-'Black-Scholes'!$B$6,0))</f>
        <v>0</v>
      </c>
      <c r="F2090" s="18" t="n">
        <f aca="false">(E2090+G2090)/2</f>
        <v>3.48163827677704</v>
      </c>
      <c r="G2090" s="18" t="n">
        <f aca="false">EXP(-'Black-Scholes'!$B$8*'Black-Scholes'!$B$7)*IF(LOWER('Black-Scholes'!$B$11)="put",MAX('Black-Scholes'!$B$6-D2090,0),MAX(D2090-'Black-Scholes'!$B$6,0))</f>
        <v>6.96327655355408</v>
      </c>
    </row>
    <row r="2091" customFormat="false" ht="15" hidden="false" customHeight="false" outlineLevel="0" collapsed="false">
      <c r="A2091" s="0" t="n">
        <v>2080</v>
      </c>
      <c r="B2091" s="15" t="n">
        <v>0.839375014114184</v>
      </c>
      <c r="C2091" s="18" t="n">
        <f aca="false">'Black-Scholes'!$B$5*EXP(('Black-Scholes'!$B$8-'Black-Scholes'!$B$10-'Black-Scholes'!$B$9^2/2)*'Black-Scholes'!$B$7+'Black-Scholes'!$B$9*SQRT('Black-Scholes'!$B$7)*B2091)</f>
        <v>121.881003648566</v>
      </c>
      <c r="D2091" s="18" t="n">
        <f aca="false">'Black-Scholes'!$B$5*EXP(('Black-Scholes'!$B$8-'Black-Scholes'!$B$10-'Black-Scholes'!$B$9^2/2)*'Black-Scholes'!$B$7-'Black-Scholes'!$B$9*SQRT('Black-Scholes'!$B$7)*B2091)</f>
        <v>87.1207583428732</v>
      </c>
      <c r="E2091" s="18" t="n">
        <f aca="false">EXP(-'Black-Scholes'!$B$8*'Black-Scholes'!$B$7)*IF(LOWER('Black-Scholes'!$B$11)="put",MAX('Black-Scholes'!$B$6-C2091,0),MAX(C2091-'Black-Scholes'!$B$6,0))</f>
        <v>20.8138545081238</v>
      </c>
      <c r="F2091" s="18" t="n">
        <f aca="false">(E2091+G2091)/2</f>
        <v>10.4069272540619</v>
      </c>
      <c r="G2091" s="18" t="n">
        <f aca="false">EXP(-'Black-Scholes'!$B$8*'Black-Scholes'!$B$7)*IF(LOWER('Black-Scholes'!$B$11)="put",MAX('Black-Scholes'!$B$6-D2091,0),MAX(D2091-'Black-Scholes'!$B$6,0))</f>
        <v>0</v>
      </c>
    </row>
    <row r="2092" customFormat="false" ht="15" hidden="false" customHeight="false" outlineLevel="0" collapsed="false">
      <c r="A2092" s="0" t="n">
        <v>2081</v>
      </c>
      <c r="B2092" s="15" t="n">
        <v>-0.729383524103059</v>
      </c>
      <c r="C2092" s="18" t="n">
        <f aca="false">'Black-Scholes'!$B$5*EXP(('Black-Scholes'!$B$8-'Black-Scholes'!$B$10-'Black-Scholes'!$B$9^2/2)*'Black-Scholes'!$B$7+'Black-Scholes'!$B$9*SQRT('Black-Scholes'!$B$7)*B2092)</f>
        <v>89.0585021368517</v>
      </c>
      <c r="D2092" s="18" t="n">
        <f aca="false">'Black-Scholes'!$B$5*EXP(('Black-Scholes'!$B$8-'Black-Scholes'!$B$10-'Black-Scholes'!$B$9^2/2)*'Black-Scholes'!$B$7-'Black-Scholes'!$B$9*SQRT('Black-Scholes'!$B$7)*B2092)</f>
        <v>119.229104584949</v>
      </c>
      <c r="E2092" s="18" t="n">
        <f aca="false">EXP(-'Black-Scholes'!$B$8*'Black-Scholes'!$B$7)*IF(LOWER('Black-Scholes'!$B$11)="put",MAX('Black-Scholes'!$B$6-C2092,0),MAX(C2092-'Black-Scholes'!$B$6,0))</f>
        <v>0</v>
      </c>
      <c r="F2092" s="18" t="n">
        <f aca="false">(E2092+G2092)/2</f>
        <v>9.14564504400253</v>
      </c>
      <c r="G2092" s="18" t="n">
        <f aca="false">EXP(-'Black-Scholes'!$B$8*'Black-Scholes'!$B$7)*IF(LOWER('Black-Scholes'!$B$11)="put",MAX('Black-Scholes'!$B$6-D2092,0),MAX(D2092-'Black-Scholes'!$B$6,0))</f>
        <v>18.2912900880051</v>
      </c>
    </row>
    <row r="2093" customFormat="false" ht="15" hidden="false" customHeight="false" outlineLevel="0" collapsed="false">
      <c r="A2093" s="0" t="n">
        <v>2082</v>
      </c>
      <c r="B2093" s="15" t="n">
        <v>-1.35365648937088</v>
      </c>
      <c r="C2093" s="18" t="n">
        <f aca="false">'Black-Scholes'!$B$5*EXP(('Black-Scholes'!$B$8-'Black-Scholes'!$B$10-'Black-Scholes'!$B$9^2/2)*'Black-Scholes'!$B$7+'Black-Scholes'!$B$9*SQRT('Black-Scholes'!$B$7)*B2093)</f>
        <v>78.6052812075669</v>
      </c>
      <c r="D2093" s="18" t="n">
        <f aca="false">'Black-Scholes'!$B$5*EXP(('Black-Scholes'!$B$8-'Black-Scholes'!$B$10-'Black-Scholes'!$B$9^2/2)*'Black-Scholes'!$B$7-'Black-Scholes'!$B$9*SQRT('Black-Scholes'!$B$7)*B2093)</f>
        <v>135.084631749036</v>
      </c>
      <c r="E2093" s="18" t="n">
        <f aca="false">EXP(-'Black-Scholes'!$B$8*'Black-Scholes'!$B$7)*IF(LOWER('Black-Scholes'!$B$11)="put",MAX('Black-Scholes'!$B$6-C2093,0),MAX(C2093-'Black-Scholes'!$B$6,0))</f>
        <v>0</v>
      </c>
      <c r="F2093" s="18" t="n">
        <f aca="false">(E2093+G2093)/2</f>
        <v>16.6867670337275</v>
      </c>
      <c r="G2093" s="18" t="n">
        <f aca="false">EXP(-'Black-Scholes'!$B$8*'Black-Scholes'!$B$7)*IF(LOWER('Black-Scholes'!$B$11)="put",MAX('Black-Scholes'!$B$6-D2093,0),MAX(D2093-'Black-Scholes'!$B$6,0))</f>
        <v>33.3735340674551</v>
      </c>
    </row>
    <row r="2094" customFormat="false" ht="15" hidden="false" customHeight="false" outlineLevel="0" collapsed="false">
      <c r="A2094" s="0" t="n">
        <v>2083</v>
      </c>
      <c r="B2094" s="15" t="n">
        <v>-0.136019825313472</v>
      </c>
      <c r="C2094" s="18" t="n">
        <f aca="false">'Black-Scholes'!$B$5*EXP(('Black-Scholes'!$B$8-'Black-Scholes'!$B$10-'Black-Scholes'!$B$9^2/2)*'Black-Scholes'!$B$7+'Black-Scholes'!$B$9*SQRT('Black-Scholes'!$B$7)*B2094)</f>
        <v>100.279994748868</v>
      </c>
      <c r="D2094" s="18" t="n">
        <f aca="false">'Black-Scholes'!$B$5*EXP(('Black-Scholes'!$B$8-'Black-Scholes'!$B$10-'Black-Scholes'!$B$9^2/2)*'Black-Scholes'!$B$7-'Black-Scholes'!$B$9*SQRT('Black-Scholes'!$B$7)*B2094)</f>
        <v>105.88717612167</v>
      </c>
      <c r="E2094" s="18" t="n">
        <f aca="false">EXP(-'Black-Scholes'!$B$8*'Black-Scholes'!$B$7)*IF(LOWER('Black-Scholes'!$B$11)="put",MAX('Black-Scholes'!$B$6-C2094,0),MAX(C2094-'Black-Scholes'!$B$6,0))</f>
        <v>0.266339243829368</v>
      </c>
      <c r="F2094" s="18" t="n">
        <f aca="false">(E2094+G2094)/2</f>
        <v>2.93319719899002</v>
      </c>
      <c r="G2094" s="18" t="n">
        <f aca="false">EXP(-'Black-Scholes'!$B$8*'Black-Scholes'!$B$7)*IF(LOWER('Black-Scholes'!$B$11)="put",MAX('Black-Scholes'!$B$6-D2094,0),MAX(D2094-'Black-Scholes'!$B$6,0))</f>
        <v>5.60005515415067</v>
      </c>
    </row>
    <row r="2095" customFormat="false" ht="15" hidden="false" customHeight="false" outlineLevel="0" collapsed="false">
      <c r="A2095" s="0" t="n">
        <v>2084</v>
      </c>
      <c r="B2095" s="15" t="n">
        <v>-0.752513065915355</v>
      </c>
      <c r="C2095" s="18" t="n">
        <f aca="false">'Black-Scholes'!$B$5*EXP(('Black-Scholes'!$B$8-'Black-Scholes'!$B$10-'Black-Scholes'!$B$9^2/2)*'Black-Scholes'!$B$7+'Black-Scholes'!$B$9*SQRT('Black-Scholes'!$B$7)*B2095)</f>
        <v>88.6474770821488</v>
      </c>
      <c r="D2095" s="18" t="n">
        <f aca="false">'Black-Scholes'!$B$5*EXP(('Black-Scholes'!$B$8-'Black-Scholes'!$B$10-'Black-Scholes'!$B$9^2/2)*'Black-Scholes'!$B$7-'Black-Scholes'!$B$9*SQRT('Black-Scholes'!$B$7)*B2095)</f>
        <v>119.781925159739</v>
      </c>
      <c r="E2095" s="18" t="n">
        <f aca="false">EXP(-'Black-Scholes'!$B$8*'Black-Scholes'!$B$7)*IF(LOWER('Black-Scholes'!$B$11)="put",MAX('Black-Scholes'!$B$6-C2095,0),MAX(C2095-'Black-Scholes'!$B$6,0))</f>
        <v>0</v>
      </c>
      <c r="F2095" s="18" t="n">
        <f aca="false">(E2095+G2095)/2</f>
        <v>9.40857464260724</v>
      </c>
      <c r="G2095" s="18" t="n">
        <f aca="false">EXP(-'Black-Scholes'!$B$8*'Black-Scholes'!$B$7)*IF(LOWER('Black-Scholes'!$B$11)="put",MAX('Black-Scholes'!$B$6-D2095,0),MAX(D2095-'Black-Scholes'!$B$6,0))</f>
        <v>18.8171492852145</v>
      </c>
    </row>
    <row r="2096" customFormat="false" ht="15" hidden="false" customHeight="false" outlineLevel="0" collapsed="false">
      <c r="A2096" s="0" t="n">
        <v>2085</v>
      </c>
      <c r="B2096" s="15" t="n">
        <v>-0.318504243971046</v>
      </c>
      <c r="C2096" s="18" t="n">
        <f aca="false">'Black-Scholes'!$B$5*EXP(('Black-Scholes'!$B$8-'Black-Scholes'!$B$10-'Black-Scholes'!$B$9^2/2)*'Black-Scholes'!$B$7+'Black-Scholes'!$B$9*SQRT('Black-Scholes'!$B$7)*B2096)</f>
        <v>96.6860698922855</v>
      </c>
      <c r="D2096" s="18" t="n">
        <f aca="false">'Black-Scholes'!$B$5*EXP(('Black-Scholes'!$B$8-'Black-Scholes'!$B$10-'Black-Scholes'!$B$9^2/2)*'Black-Scholes'!$B$7-'Black-Scholes'!$B$9*SQRT('Black-Scholes'!$B$7)*B2096)</f>
        <v>109.82311595955</v>
      </c>
      <c r="E2096" s="18" t="n">
        <f aca="false">EXP(-'Black-Scholes'!$B$8*'Black-Scholes'!$B$7)*IF(LOWER('Black-Scholes'!$B$11)="put",MAX('Black-Scholes'!$B$6-C2096,0),MAX(C2096-'Black-Scholes'!$B$6,0))</f>
        <v>0</v>
      </c>
      <c r="F2096" s="18" t="n">
        <f aca="false">(E2096+G2096)/2</f>
        <v>4.67201847050312</v>
      </c>
      <c r="G2096" s="18" t="n">
        <f aca="false">EXP(-'Black-Scholes'!$B$8*'Black-Scholes'!$B$7)*IF(LOWER('Black-Scholes'!$B$11)="put",MAX('Black-Scholes'!$B$6-D2096,0),MAX(D2096-'Black-Scholes'!$B$6,0))</f>
        <v>9.34403694100624</v>
      </c>
    </row>
    <row r="2097" customFormat="false" ht="15" hidden="false" customHeight="false" outlineLevel="0" collapsed="false">
      <c r="A2097" s="0" t="n">
        <v>2086</v>
      </c>
      <c r="B2097" s="15" t="n">
        <v>0.329573765067892</v>
      </c>
      <c r="C2097" s="18" t="n">
        <f aca="false">'Black-Scholes'!$B$5*EXP(('Black-Scholes'!$B$8-'Black-Scholes'!$B$10-'Black-Scholes'!$B$9^2/2)*'Black-Scholes'!$B$7+'Black-Scholes'!$B$9*SQRT('Black-Scholes'!$B$7)*B2097)</f>
        <v>110.066523160052</v>
      </c>
      <c r="D2097" s="18" t="n">
        <f aca="false">'Black-Scholes'!$B$5*EXP(('Black-Scholes'!$B$8-'Black-Scholes'!$B$10-'Black-Scholes'!$B$9^2/2)*'Black-Scholes'!$B$7-'Black-Scholes'!$B$9*SQRT('Black-Scholes'!$B$7)*B2097)</f>
        <v>96.4722529666267</v>
      </c>
      <c r="E2097" s="18" t="n">
        <f aca="false">EXP(-'Black-Scholes'!$B$8*'Black-Scholes'!$B$7)*IF(LOWER('Black-Scholes'!$B$11)="put",MAX('Black-Scholes'!$B$6-C2097,0),MAX(C2097-'Black-Scholes'!$B$6,0))</f>
        <v>9.57557303225921</v>
      </c>
      <c r="F2097" s="18" t="n">
        <f aca="false">(E2097+G2097)/2</f>
        <v>4.78778651612961</v>
      </c>
      <c r="G2097" s="18" t="n">
        <f aca="false">EXP(-'Black-Scholes'!$B$8*'Black-Scholes'!$B$7)*IF(LOWER('Black-Scholes'!$B$11)="put",MAX('Black-Scholes'!$B$6-D2097,0),MAX(D2097-'Black-Scholes'!$B$6,0))</f>
        <v>0</v>
      </c>
    </row>
    <row r="2098" customFormat="false" ht="15" hidden="false" customHeight="false" outlineLevel="0" collapsed="false">
      <c r="A2098" s="0" t="n">
        <v>2087</v>
      </c>
      <c r="B2098" s="15" t="n">
        <v>0.106626342265735</v>
      </c>
      <c r="C2098" s="18" t="n">
        <f aca="false">'Black-Scholes'!$B$5*EXP(('Black-Scholes'!$B$8-'Black-Scholes'!$B$10-'Black-Scholes'!$B$9^2/2)*'Black-Scholes'!$B$7+'Black-Scholes'!$B$9*SQRT('Black-Scholes'!$B$7)*B2098)</f>
        <v>105.26652363966</v>
      </c>
      <c r="D2098" s="18" t="n">
        <f aca="false">'Black-Scholes'!$B$5*EXP(('Black-Scholes'!$B$8-'Black-Scholes'!$B$10-'Black-Scholes'!$B$9^2/2)*'Black-Scholes'!$B$7-'Black-Scholes'!$B$9*SQRT('Black-Scholes'!$B$7)*B2098)</f>
        <v>100.87124660639</v>
      </c>
      <c r="E2098" s="18" t="n">
        <f aca="false">EXP(-'Black-Scholes'!$B$8*'Black-Scholes'!$B$7)*IF(LOWER('Black-Scholes'!$B$11)="put",MAX('Black-Scholes'!$B$6-C2098,0),MAX(C2098-'Black-Scholes'!$B$6,0))</f>
        <v>5.00967225087343</v>
      </c>
      <c r="F2098" s="18" t="n">
        <f aca="false">(E2098+G2098)/2</f>
        <v>2.9192138294342</v>
      </c>
      <c r="G2098" s="18" t="n">
        <f aca="false">EXP(-'Black-Scholes'!$B$8*'Black-Scholes'!$B$7)*IF(LOWER('Black-Scholes'!$B$11)="put",MAX('Black-Scholes'!$B$6-D2098,0),MAX(D2098-'Black-Scholes'!$B$6,0))</f>
        <v>0.828755407994981</v>
      </c>
    </row>
    <row r="2099" customFormat="false" ht="15" hidden="false" customHeight="false" outlineLevel="0" collapsed="false">
      <c r="A2099" s="0" t="n">
        <v>2088</v>
      </c>
      <c r="B2099" s="15" t="n">
        <v>0.745775838341109</v>
      </c>
      <c r="C2099" s="18" t="n">
        <f aca="false">'Black-Scholes'!$B$5*EXP(('Black-Scholes'!$B$8-'Black-Scholes'!$B$10-'Black-Scholes'!$B$9^2/2)*'Black-Scholes'!$B$7+'Black-Scholes'!$B$9*SQRT('Black-Scholes'!$B$7)*B2099)</f>
        <v>119.620634231694</v>
      </c>
      <c r="D2099" s="18" t="n">
        <f aca="false">'Black-Scholes'!$B$5*EXP(('Black-Scholes'!$B$8-'Black-Scholes'!$B$10-'Black-Scholes'!$B$9^2/2)*'Black-Scholes'!$B$7-'Black-Scholes'!$B$9*SQRT('Black-Scholes'!$B$7)*B2099)</f>
        <v>88.7670052383</v>
      </c>
      <c r="E2099" s="18" t="n">
        <f aca="false">EXP(-'Black-Scholes'!$B$8*'Black-Scholes'!$B$7)*IF(LOWER('Black-Scholes'!$B$11)="put",MAX('Black-Scholes'!$B$6-C2099,0),MAX(C2099-'Black-Scholes'!$B$6,0))</f>
        <v>18.6637246085537</v>
      </c>
      <c r="F2099" s="18" t="n">
        <f aca="false">(E2099+G2099)/2</f>
        <v>9.33186230427687</v>
      </c>
      <c r="G2099" s="18" t="n">
        <f aca="false">EXP(-'Black-Scholes'!$B$8*'Black-Scholes'!$B$7)*IF(LOWER('Black-Scholes'!$B$11)="put",MAX('Black-Scholes'!$B$6-D2099,0),MAX(D2099-'Black-Scholes'!$B$6,0))</f>
        <v>0</v>
      </c>
    </row>
    <row r="2100" customFormat="false" ht="15" hidden="false" customHeight="false" outlineLevel="0" collapsed="false">
      <c r="A2100" s="0" t="n">
        <v>2089</v>
      </c>
      <c r="B2100" s="15" t="n">
        <v>-0.532584852559185</v>
      </c>
      <c r="C2100" s="18" t="n">
        <f aca="false">'Black-Scholes'!$B$5*EXP(('Black-Scholes'!$B$8-'Black-Scholes'!$B$10-'Black-Scholes'!$B$9^2/2)*'Black-Scholes'!$B$7+'Black-Scholes'!$B$9*SQRT('Black-Scholes'!$B$7)*B2100)</f>
        <v>92.6337193739118</v>
      </c>
      <c r="D2100" s="18" t="n">
        <f aca="false">'Black-Scholes'!$B$5*EXP(('Black-Scholes'!$B$8-'Black-Scholes'!$B$10-'Black-Scholes'!$B$9^2/2)*'Black-Scholes'!$B$7-'Black-Scholes'!$B$9*SQRT('Black-Scholes'!$B$7)*B2100)</f>
        <v>114.62743304728</v>
      </c>
      <c r="E2100" s="18" t="n">
        <f aca="false">EXP(-'Black-Scholes'!$B$8*'Black-Scholes'!$B$7)*IF(LOWER('Black-Scholes'!$B$11)="put",MAX('Black-Scholes'!$B$6-C2100,0),MAX(C2100-'Black-Scholes'!$B$6,0))</f>
        <v>0</v>
      </c>
      <c r="F2100" s="18" t="n">
        <f aca="false">(E2100+G2100)/2</f>
        <v>6.95702235974342</v>
      </c>
      <c r="G2100" s="18" t="n">
        <f aca="false">EXP(-'Black-Scholes'!$B$8*'Black-Scholes'!$B$7)*IF(LOWER('Black-Scholes'!$B$11)="put",MAX('Black-Scholes'!$B$6-D2100,0),MAX(D2100-'Black-Scholes'!$B$6,0))</f>
        <v>13.9140447194868</v>
      </c>
    </row>
    <row r="2101" customFormat="false" ht="15" hidden="false" customHeight="false" outlineLevel="0" collapsed="false">
      <c r="A2101" s="0" t="n">
        <v>2090</v>
      </c>
      <c r="B2101" s="15" t="n">
        <v>-0.173076810261617</v>
      </c>
      <c r="C2101" s="18" t="n">
        <f aca="false">'Black-Scholes'!$B$5*EXP(('Black-Scholes'!$B$8-'Black-Scholes'!$B$10-'Black-Scholes'!$B$9^2/2)*'Black-Scholes'!$B$7+'Black-Scholes'!$B$9*SQRT('Black-Scholes'!$B$7)*B2101)</f>
        <v>99.5395272364262</v>
      </c>
      <c r="D2101" s="18" t="n">
        <f aca="false">'Black-Scholes'!$B$5*EXP(('Black-Scholes'!$B$8-'Black-Scholes'!$B$10-'Black-Scholes'!$B$9^2/2)*'Black-Scholes'!$B$7-'Black-Scholes'!$B$9*SQRT('Black-Scholes'!$B$7)*B2101)</f>
        <v>106.674863345823</v>
      </c>
      <c r="E2101" s="18" t="n">
        <f aca="false">EXP(-'Black-Scholes'!$B$8*'Black-Scholes'!$B$7)*IF(LOWER('Black-Scholes'!$B$11)="put",MAX('Black-Scholes'!$B$6-C2101,0),MAX(C2101-'Black-Scholes'!$B$6,0))</f>
        <v>0</v>
      </c>
      <c r="F2101" s="18" t="n">
        <f aca="false">(E2101+G2101)/2</f>
        <v>3.17466320953408</v>
      </c>
      <c r="G2101" s="18" t="n">
        <f aca="false">EXP(-'Black-Scholes'!$B$8*'Black-Scholes'!$B$7)*IF(LOWER('Black-Scholes'!$B$11)="put",MAX('Black-Scholes'!$B$6-D2101,0),MAX(D2101-'Black-Scholes'!$B$6,0))</f>
        <v>6.34932641906816</v>
      </c>
    </row>
    <row r="2102" customFormat="false" ht="15" hidden="false" customHeight="false" outlineLevel="0" collapsed="false">
      <c r="A2102" s="0" t="n">
        <v>2091</v>
      </c>
      <c r="B2102" s="15" t="n">
        <v>0.362776175275681</v>
      </c>
      <c r="C2102" s="18" t="n">
        <f aca="false">'Black-Scholes'!$B$5*EXP(('Black-Scholes'!$B$8-'Black-Scholes'!$B$10-'Black-Scholes'!$B$9^2/2)*'Black-Scholes'!$B$7+'Black-Scholes'!$B$9*SQRT('Black-Scholes'!$B$7)*B2102)</f>
        <v>110.79985005779</v>
      </c>
      <c r="D2102" s="18" t="n">
        <f aca="false">'Black-Scholes'!$B$5*EXP(('Black-Scholes'!$B$8-'Black-Scholes'!$B$10-'Black-Scholes'!$B$9^2/2)*'Black-Scholes'!$B$7-'Black-Scholes'!$B$9*SQRT('Black-Scholes'!$B$7)*B2102)</f>
        <v>95.8337530232697</v>
      </c>
      <c r="E2102" s="18" t="n">
        <f aca="false">EXP(-'Black-Scholes'!$B$8*'Black-Scholes'!$B$7)*IF(LOWER('Black-Scholes'!$B$11)="put",MAX('Black-Scholes'!$B$6-C2102,0),MAX(C2102-'Black-Scholes'!$B$6,0))</f>
        <v>10.2731351551659</v>
      </c>
      <c r="F2102" s="18" t="n">
        <f aca="false">(E2102+G2102)/2</f>
        <v>5.13656757758297</v>
      </c>
      <c r="G2102" s="18" t="n">
        <f aca="false">EXP(-'Black-Scholes'!$B$8*'Black-Scholes'!$B$7)*IF(LOWER('Black-Scholes'!$B$11)="put",MAX('Black-Scholes'!$B$6-D2102,0),MAX(D2102-'Black-Scholes'!$B$6,0))</f>
        <v>0</v>
      </c>
    </row>
    <row r="2103" customFormat="false" ht="15" hidden="false" customHeight="false" outlineLevel="0" collapsed="false">
      <c r="A2103" s="0" t="n">
        <v>2092</v>
      </c>
      <c r="B2103" s="15" t="n">
        <v>-0.229605913493099</v>
      </c>
      <c r="C2103" s="18" t="n">
        <f aca="false">'Black-Scholes'!$B$5*EXP(('Black-Scholes'!$B$8-'Black-Scholes'!$B$10-'Black-Scholes'!$B$9^2/2)*'Black-Scholes'!$B$7+'Black-Scholes'!$B$9*SQRT('Black-Scholes'!$B$7)*B2103)</f>
        <v>98.4204889371728</v>
      </c>
      <c r="D2103" s="18" t="n">
        <f aca="false">'Black-Scholes'!$B$5*EXP(('Black-Scholes'!$B$8-'Black-Scholes'!$B$10-'Black-Scholes'!$B$9^2/2)*'Black-Scholes'!$B$7-'Black-Scholes'!$B$9*SQRT('Black-Scholes'!$B$7)*B2103)</f>
        <v>107.887753659016</v>
      </c>
      <c r="E2103" s="18" t="n">
        <f aca="false">EXP(-'Black-Scholes'!$B$8*'Black-Scholes'!$B$7)*IF(LOWER('Black-Scholes'!$B$11)="put",MAX('Black-Scholes'!$B$6-C2103,0),MAX(C2103-'Black-Scholes'!$B$6,0))</f>
        <v>0</v>
      </c>
      <c r="F2103" s="18" t="n">
        <f aca="false">(E2103+G2103)/2</f>
        <v>3.75153168683452</v>
      </c>
      <c r="G2103" s="18" t="n">
        <f aca="false">EXP(-'Black-Scholes'!$B$8*'Black-Scholes'!$B$7)*IF(LOWER('Black-Scholes'!$B$11)="put",MAX('Black-Scholes'!$B$6-D2103,0),MAX(D2103-'Black-Scholes'!$B$6,0))</f>
        <v>7.50306337366904</v>
      </c>
    </row>
    <row r="2104" customFormat="false" ht="15" hidden="false" customHeight="false" outlineLevel="0" collapsed="false">
      <c r="A2104" s="0" t="n">
        <v>2093</v>
      </c>
      <c r="B2104" s="15" t="n">
        <v>1.39227080565147</v>
      </c>
      <c r="C2104" s="18" t="n">
        <f aca="false">'Black-Scholes'!$B$5*EXP(('Black-Scholes'!$B$8-'Black-Scholes'!$B$10-'Black-Scholes'!$B$9^2/2)*'Black-Scholes'!$B$7+'Black-Scholes'!$B$9*SQRT('Black-Scholes'!$B$7)*B2104)</f>
        <v>136.13191067882</v>
      </c>
      <c r="D2104" s="18" t="n">
        <f aca="false">'Black-Scholes'!$B$5*EXP(('Black-Scholes'!$B$8-'Black-Scholes'!$B$10-'Black-Scholes'!$B$9^2/2)*'Black-Scholes'!$B$7-'Black-Scholes'!$B$9*SQRT('Black-Scholes'!$B$7)*B2104)</f>
        <v>78.0005614591408</v>
      </c>
      <c r="E2104" s="18" t="n">
        <f aca="false">EXP(-'Black-Scholes'!$B$8*'Black-Scholes'!$B$7)*IF(LOWER('Black-Scholes'!$B$11)="put",MAX('Black-Scholes'!$B$6-C2104,0),MAX(C2104-'Black-Scholes'!$B$6,0))</f>
        <v>34.3697366011255</v>
      </c>
      <c r="F2104" s="18" t="n">
        <f aca="false">(E2104+G2104)/2</f>
        <v>17.1848683005627</v>
      </c>
      <c r="G2104" s="18" t="n">
        <f aca="false">EXP(-'Black-Scholes'!$B$8*'Black-Scholes'!$B$7)*IF(LOWER('Black-Scholes'!$B$11)="put",MAX('Black-Scholes'!$B$6-D2104,0),MAX(D2104-'Black-Scholes'!$B$6,0))</f>
        <v>0</v>
      </c>
    </row>
    <row r="2105" customFormat="false" ht="15" hidden="false" customHeight="false" outlineLevel="0" collapsed="false">
      <c r="A2105" s="0" t="n">
        <v>2094</v>
      </c>
      <c r="B2105" s="15" t="n">
        <v>-0.496675145798481</v>
      </c>
      <c r="C2105" s="18" t="n">
        <f aca="false">'Black-Scholes'!$B$5*EXP(('Black-Scholes'!$B$8-'Black-Scholes'!$B$10-'Black-Scholes'!$B$9^2/2)*'Black-Scholes'!$B$7+'Black-Scholes'!$B$9*SQRT('Black-Scholes'!$B$7)*B2105)</f>
        <v>93.3014040799415</v>
      </c>
      <c r="D2105" s="18" t="n">
        <f aca="false">'Black-Scholes'!$B$5*EXP(('Black-Scholes'!$B$8-'Black-Scholes'!$B$10-'Black-Scholes'!$B$9^2/2)*'Black-Scholes'!$B$7-'Black-Scholes'!$B$9*SQRT('Black-Scholes'!$B$7)*B2105)</f>
        <v>113.807134738891</v>
      </c>
      <c r="E2105" s="18" t="n">
        <f aca="false">EXP(-'Black-Scholes'!$B$8*'Black-Scholes'!$B$7)*IF(LOWER('Black-Scholes'!$B$11)="put",MAX('Black-Scholes'!$B$6-C2105,0),MAX(C2105-'Black-Scholes'!$B$6,0))</f>
        <v>0</v>
      </c>
      <c r="F2105" s="18" t="n">
        <f aca="false">(E2105+G2105)/2</f>
        <v>6.56687641583944</v>
      </c>
      <c r="G2105" s="18" t="n">
        <f aca="false">EXP(-'Black-Scholes'!$B$8*'Black-Scholes'!$B$7)*IF(LOWER('Black-Scholes'!$B$11)="put",MAX('Black-Scholes'!$B$6-D2105,0),MAX(D2105-'Black-Scholes'!$B$6,0))</f>
        <v>13.1337528316789</v>
      </c>
    </row>
    <row r="2106" customFormat="false" ht="15" hidden="false" customHeight="false" outlineLevel="0" collapsed="false">
      <c r="A2106" s="0" t="n">
        <v>2095</v>
      </c>
      <c r="B2106" s="15" t="n">
        <v>-0.390039450919412</v>
      </c>
      <c r="C2106" s="18" t="n">
        <f aca="false">'Black-Scholes'!$B$5*EXP(('Black-Scholes'!$B$8-'Black-Scholes'!$B$10-'Black-Scholes'!$B$9^2/2)*'Black-Scholes'!$B$7+'Black-Scholes'!$B$9*SQRT('Black-Scholes'!$B$7)*B2106)</f>
        <v>95.3126266706329</v>
      </c>
      <c r="D2106" s="18" t="n">
        <f aca="false">'Black-Scholes'!$B$5*EXP(('Black-Scholes'!$B$8-'Black-Scholes'!$B$10-'Black-Scholes'!$B$9^2/2)*'Black-Scholes'!$B$7-'Black-Scholes'!$B$9*SQRT('Black-Scholes'!$B$7)*B2106)</f>
        <v>111.405653546271</v>
      </c>
      <c r="E2106" s="18" t="n">
        <f aca="false">EXP(-'Black-Scholes'!$B$8*'Black-Scholes'!$B$7)*IF(LOWER('Black-Scholes'!$B$11)="put",MAX('Black-Scholes'!$B$6-C2106,0),MAX(C2106-'Black-Scholes'!$B$6,0))</f>
        <v>0</v>
      </c>
      <c r="F2106" s="18" t="n">
        <f aca="false">(E2106+G2106)/2</f>
        <v>5.42469662943695</v>
      </c>
      <c r="G2106" s="18" t="n">
        <f aca="false">EXP(-'Black-Scholes'!$B$8*'Black-Scholes'!$B$7)*IF(LOWER('Black-Scholes'!$B$11)="put",MAX('Black-Scholes'!$B$6-D2106,0),MAX(D2106-'Black-Scholes'!$B$6,0))</f>
        <v>10.8493932588739</v>
      </c>
    </row>
    <row r="2107" customFormat="false" ht="15" hidden="false" customHeight="false" outlineLevel="0" collapsed="false">
      <c r="A2107" s="0" t="n">
        <v>2096</v>
      </c>
      <c r="B2107" s="15" t="n">
        <v>-0.395645655499604</v>
      </c>
      <c r="C2107" s="18" t="n">
        <f aca="false">'Black-Scholes'!$B$5*EXP(('Black-Scholes'!$B$8-'Black-Scholes'!$B$10-'Black-Scholes'!$B$9^2/2)*'Black-Scholes'!$B$7+'Black-Scholes'!$B$9*SQRT('Black-Scholes'!$B$7)*B2107)</f>
        <v>95.2058181440296</v>
      </c>
      <c r="D2107" s="18" t="n">
        <f aca="false">'Black-Scholes'!$B$5*EXP(('Black-Scholes'!$B$8-'Black-Scholes'!$B$10-'Black-Scholes'!$B$9^2/2)*'Black-Scholes'!$B$7-'Black-Scholes'!$B$9*SQRT('Black-Scholes'!$B$7)*B2107)</f>
        <v>111.530636178032</v>
      </c>
      <c r="E2107" s="18" t="n">
        <f aca="false">EXP(-'Black-Scholes'!$B$8*'Black-Scholes'!$B$7)*IF(LOWER('Black-Scholes'!$B$11)="put",MAX('Black-Scholes'!$B$6-C2107,0),MAX(C2107-'Black-Scholes'!$B$6,0))</f>
        <v>0</v>
      </c>
      <c r="F2107" s="18" t="n">
        <f aca="false">(E2107+G2107)/2</f>
        <v>5.48414020787803</v>
      </c>
      <c r="G2107" s="18" t="n">
        <f aca="false">EXP(-'Black-Scholes'!$B$8*'Black-Scholes'!$B$7)*IF(LOWER('Black-Scholes'!$B$11)="put",MAX('Black-Scholes'!$B$6-D2107,0),MAX(D2107-'Black-Scholes'!$B$6,0))</f>
        <v>10.9682804157561</v>
      </c>
    </row>
    <row r="2108" customFormat="false" ht="15" hidden="false" customHeight="false" outlineLevel="0" collapsed="false">
      <c r="A2108" s="0" t="n">
        <v>2097</v>
      </c>
      <c r="B2108" s="15" t="n">
        <v>-0.957708811832429</v>
      </c>
      <c r="C2108" s="18" t="n">
        <f aca="false">'Black-Scholes'!$B$5*EXP(('Black-Scholes'!$B$8-'Black-Scholes'!$B$10-'Black-Scholes'!$B$9^2/2)*'Black-Scholes'!$B$7+'Black-Scholes'!$B$9*SQRT('Black-Scholes'!$B$7)*B2108)</f>
        <v>85.0830998007442</v>
      </c>
      <c r="D2108" s="18" t="n">
        <f aca="false">'Black-Scholes'!$B$5*EXP(('Black-Scholes'!$B$8-'Black-Scholes'!$B$10-'Black-Scholes'!$B$9^2/2)*'Black-Scholes'!$B$7-'Black-Scholes'!$B$9*SQRT('Black-Scholes'!$B$7)*B2108)</f>
        <v>124.799936653938</v>
      </c>
      <c r="E2108" s="18" t="n">
        <f aca="false">EXP(-'Black-Scholes'!$B$8*'Black-Scholes'!$B$7)*IF(LOWER('Black-Scholes'!$B$11)="put",MAX('Black-Scholes'!$B$6-C2108,0),MAX(C2108-'Black-Scholes'!$B$6,0))</f>
        <v>0</v>
      </c>
      <c r="F2108" s="18" t="n">
        <f aca="false">(E2108+G2108)/2</f>
        <v>11.79521473549</v>
      </c>
      <c r="G2108" s="18" t="n">
        <f aca="false">EXP(-'Black-Scholes'!$B$8*'Black-Scholes'!$B$7)*IF(LOWER('Black-Scholes'!$B$11)="put",MAX('Black-Scholes'!$B$6-D2108,0),MAX(D2108-'Black-Scholes'!$B$6,0))</f>
        <v>23.5904294709801</v>
      </c>
    </row>
    <row r="2109" customFormat="false" ht="15" hidden="false" customHeight="false" outlineLevel="0" collapsed="false">
      <c r="A2109" s="0" t="n">
        <v>2098</v>
      </c>
      <c r="B2109" s="15" t="n">
        <v>1.28572384266824</v>
      </c>
      <c r="C2109" s="18" t="n">
        <f aca="false">'Black-Scholes'!$B$5*EXP(('Black-Scholes'!$B$8-'Black-Scholes'!$B$10-'Black-Scholes'!$B$9^2/2)*'Black-Scholes'!$B$7+'Black-Scholes'!$B$9*SQRT('Black-Scholes'!$B$7)*B2109)</f>
        <v>133.261712053836</v>
      </c>
      <c r="D2109" s="18" t="n">
        <f aca="false">'Black-Scholes'!$B$5*EXP(('Black-Scholes'!$B$8-'Black-Scholes'!$B$10-'Black-Scholes'!$B$9^2/2)*'Black-Scholes'!$B$7-'Black-Scholes'!$B$9*SQRT('Black-Scholes'!$B$7)*B2109)</f>
        <v>79.6805421587556</v>
      </c>
      <c r="E2109" s="18" t="n">
        <f aca="false">EXP(-'Black-Scholes'!$B$8*'Black-Scholes'!$B$7)*IF(LOWER('Black-Scholes'!$B$11)="put",MAX('Black-Scholes'!$B$6-C2109,0),MAX(C2109-'Black-Scholes'!$B$6,0))</f>
        <v>31.6395192148785</v>
      </c>
      <c r="F2109" s="18" t="n">
        <f aca="false">(E2109+G2109)/2</f>
        <v>15.8197596074393</v>
      </c>
      <c r="G2109" s="18" t="n">
        <f aca="false">EXP(-'Black-Scholes'!$B$8*'Black-Scholes'!$B$7)*IF(LOWER('Black-Scholes'!$B$11)="put",MAX('Black-Scholes'!$B$6-D2109,0),MAX(D2109-'Black-Scholes'!$B$6,0))</f>
        <v>0</v>
      </c>
    </row>
    <row r="2110" customFormat="false" ht="15" hidden="false" customHeight="false" outlineLevel="0" collapsed="false">
      <c r="A2110" s="0" t="n">
        <v>2099</v>
      </c>
      <c r="B2110" s="15" t="n">
        <v>-0.493838204026182</v>
      </c>
      <c r="C2110" s="18" t="n">
        <f aca="false">'Black-Scholes'!$B$5*EXP(('Black-Scholes'!$B$8-'Black-Scholes'!$B$10-'Black-Scholes'!$B$9^2/2)*'Black-Scholes'!$B$7+'Black-Scholes'!$B$9*SQRT('Black-Scholes'!$B$7)*B2110)</f>
        <v>93.3543572311513</v>
      </c>
      <c r="D2110" s="18" t="n">
        <f aca="false">'Black-Scholes'!$B$5*EXP(('Black-Scholes'!$B$8-'Black-Scholes'!$B$10-'Black-Scholes'!$B$9^2/2)*'Black-Scholes'!$B$7-'Black-Scholes'!$B$9*SQRT('Black-Scholes'!$B$7)*B2110)</f>
        <v>113.742580211461</v>
      </c>
      <c r="E2110" s="18" t="n">
        <f aca="false">EXP(-'Black-Scholes'!$B$8*'Black-Scholes'!$B$7)*IF(LOWER('Black-Scholes'!$B$11)="put",MAX('Black-Scholes'!$B$6-C2110,0),MAX(C2110-'Black-Scholes'!$B$6,0))</f>
        <v>0</v>
      </c>
      <c r="F2110" s="18" t="n">
        <f aca="false">(E2110+G2110)/2</f>
        <v>6.53617333285141</v>
      </c>
      <c r="G2110" s="18" t="n">
        <f aca="false">EXP(-'Black-Scholes'!$B$8*'Black-Scholes'!$B$7)*IF(LOWER('Black-Scholes'!$B$11)="put",MAX('Black-Scholes'!$B$6-D2110,0),MAX(D2110-'Black-Scholes'!$B$6,0))</f>
        <v>13.0723466657028</v>
      </c>
    </row>
    <row r="2111" customFormat="false" ht="15" hidden="false" customHeight="false" outlineLevel="0" collapsed="false">
      <c r="A2111" s="0" t="n">
        <v>2100</v>
      </c>
      <c r="B2111" s="15" t="n">
        <v>1.29957685723409</v>
      </c>
      <c r="C2111" s="18" t="n">
        <f aca="false">'Black-Scholes'!$B$5*EXP(('Black-Scholes'!$B$8-'Black-Scholes'!$B$10-'Black-Scholes'!$B$9^2/2)*'Black-Scholes'!$B$7+'Black-Scholes'!$B$9*SQRT('Black-Scholes'!$B$7)*B2111)</f>
        <v>133.631439288633</v>
      </c>
      <c r="D2111" s="18" t="n">
        <f aca="false">'Black-Scholes'!$B$5*EXP(('Black-Scholes'!$B$8-'Black-Scholes'!$B$10-'Black-Scholes'!$B$9^2/2)*'Black-Scholes'!$B$7-'Black-Scholes'!$B$9*SQRT('Black-Scholes'!$B$7)*B2111)</f>
        <v>79.460084557787</v>
      </c>
      <c r="E2111" s="18" t="n">
        <f aca="false">EXP(-'Black-Scholes'!$B$8*'Black-Scholes'!$B$7)*IF(LOWER('Black-Scholes'!$B$11)="put",MAX('Black-Scholes'!$B$6-C2111,0),MAX(C2111-'Black-Scholes'!$B$6,0))</f>
        <v>31.9912146396575</v>
      </c>
      <c r="F2111" s="18" t="n">
        <f aca="false">(E2111+G2111)/2</f>
        <v>15.9956073198287</v>
      </c>
      <c r="G2111" s="18" t="n">
        <f aca="false">EXP(-'Black-Scholes'!$B$8*'Black-Scholes'!$B$7)*IF(LOWER('Black-Scholes'!$B$11)="put",MAX('Black-Scholes'!$B$6-D2111,0),MAX(D2111-'Black-Scholes'!$B$6,0))</f>
        <v>0</v>
      </c>
    </row>
    <row r="2112" customFormat="false" ht="15" hidden="false" customHeight="false" outlineLevel="0" collapsed="false">
      <c r="A2112" s="0" t="n">
        <v>2101</v>
      </c>
      <c r="B2112" s="15" t="n">
        <v>0.638135114818636</v>
      </c>
      <c r="C2112" s="18" t="n">
        <f aca="false">'Black-Scholes'!$B$5*EXP(('Black-Scholes'!$B$8-'Black-Scholes'!$B$10-'Black-Scholes'!$B$9^2/2)*'Black-Scholes'!$B$7+'Black-Scholes'!$B$9*SQRT('Black-Scholes'!$B$7)*B2112)</f>
        <v>117.072945806282</v>
      </c>
      <c r="D2112" s="18" t="n">
        <f aca="false">'Black-Scholes'!$B$5*EXP(('Black-Scholes'!$B$8-'Black-Scholes'!$B$10-'Black-Scholes'!$B$9^2/2)*'Black-Scholes'!$B$7-'Black-Scholes'!$B$9*SQRT('Black-Scholes'!$B$7)*B2112)</f>
        <v>90.6987126045636</v>
      </c>
      <c r="E2112" s="18" t="n">
        <f aca="false">EXP(-'Black-Scholes'!$B$8*'Black-Scholes'!$B$7)*IF(LOWER('Black-Scholes'!$B$11)="put",MAX('Black-Scholes'!$B$6-C2112,0),MAX(C2112-'Black-Scholes'!$B$6,0))</f>
        <v>16.2402884138412</v>
      </c>
      <c r="F2112" s="18" t="n">
        <f aca="false">(E2112+G2112)/2</f>
        <v>8.12014420692061</v>
      </c>
      <c r="G2112" s="18" t="n">
        <f aca="false">EXP(-'Black-Scholes'!$B$8*'Black-Scholes'!$B$7)*IF(LOWER('Black-Scholes'!$B$11)="put",MAX('Black-Scholes'!$B$6-D2112,0),MAX(D2112-'Black-Scholes'!$B$6,0))</f>
        <v>0</v>
      </c>
    </row>
    <row r="2113" customFormat="false" ht="15" hidden="false" customHeight="false" outlineLevel="0" collapsed="false">
      <c r="A2113" s="0" t="n">
        <v>2102</v>
      </c>
      <c r="B2113" s="15" t="n">
        <v>0.857283601874487</v>
      </c>
      <c r="C2113" s="18" t="n">
        <f aca="false">'Black-Scholes'!$B$5*EXP(('Black-Scholes'!$B$8-'Black-Scholes'!$B$10-'Black-Scholes'!$B$9^2/2)*'Black-Scholes'!$B$7+'Black-Scholes'!$B$9*SQRT('Black-Scholes'!$B$7)*B2113)</f>
        <v>122.318329700268</v>
      </c>
      <c r="D2113" s="18" t="n">
        <f aca="false">'Black-Scholes'!$B$5*EXP(('Black-Scholes'!$B$8-'Black-Scholes'!$B$10-'Black-Scholes'!$B$9^2/2)*'Black-Scholes'!$B$7-'Black-Scholes'!$B$9*SQRT('Black-Scholes'!$B$7)*B2113)</f>
        <v>86.8092745500459</v>
      </c>
      <c r="E2113" s="18" t="n">
        <f aca="false">EXP(-'Black-Scholes'!$B$8*'Black-Scholes'!$B$7)*IF(LOWER('Black-Scholes'!$B$11)="put",MAX('Black-Scholes'!$B$6-C2113,0),MAX(C2113-'Black-Scholes'!$B$6,0))</f>
        <v>21.229851916603</v>
      </c>
      <c r="F2113" s="18" t="n">
        <f aca="false">(E2113+G2113)/2</f>
        <v>10.6149259583015</v>
      </c>
      <c r="G2113" s="18" t="n">
        <f aca="false">EXP(-'Black-Scholes'!$B$8*'Black-Scholes'!$B$7)*IF(LOWER('Black-Scholes'!$B$11)="put",MAX('Black-Scholes'!$B$6-D2113,0),MAX(D2113-'Black-Scholes'!$B$6,0))</f>
        <v>0</v>
      </c>
    </row>
    <row r="2114" customFormat="false" ht="15" hidden="false" customHeight="false" outlineLevel="0" collapsed="false">
      <c r="A2114" s="0" t="n">
        <v>2103</v>
      </c>
      <c r="B2114" s="15" t="n">
        <v>2.36887888919099</v>
      </c>
      <c r="C2114" s="18" t="n">
        <f aca="false">'Black-Scholes'!$B$5*EXP(('Black-Scholes'!$B$8-'Black-Scholes'!$B$10-'Black-Scholes'!$B$9^2/2)*'Black-Scholes'!$B$7+'Black-Scholes'!$B$9*SQRT('Black-Scholes'!$B$7)*B2114)</f>
        <v>165.495824323696</v>
      </c>
      <c r="D2114" s="18" t="n">
        <f aca="false">'Black-Scholes'!$B$5*EXP(('Black-Scholes'!$B$8-'Black-Scholes'!$B$10-'Black-Scholes'!$B$9^2/2)*'Black-Scholes'!$B$7-'Black-Scholes'!$B$9*SQRT('Black-Scholes'!$B$7)*B2114)</f>
        <v>64.1609267716927</v>
      </c>
      <c r="E2114" s="18" t="n">
        <f aca="false">EXP(-'Black-Scholes'!$B$8*'Black-Scholes'!$B$7)*IF(LOWER('Black-Scholes'!$B$11)="put",MAX('Black-Scholes'!$B$6-C2114,0),MAX(C2114-'Black-Scholes'!$B$6,0))</f>
        <v>62.3015552786295</v>
      </c>
      <c r="F2114" s="18" t="n">
        <f aca="false">(E2114+G2114)/2</f>
        <v>31.1507776393147</v>
      </c>
      <c r="G2114" s="18" t="n">
        <f aca="false">EXP(-'Black-Scholes'!$B$8*'Black-Scholes'!$B$7)*IF(LOWER('Black-Scholes'!$B$11)="put",MAX('Black-Scholes'!$B$6-D2114,0),MAX(D2114-'Black-Scholes'!$B$6,0))</f>
        <v>0</v>
      </c>
    </row>
    <row r="2115" customFormat="false" ht="15" hidden="false" customHeight="false" outlineLevel="0" collapsed="false">
      <c r="A2115" s="0" t="n">
        <v>2104</v>
      </c>
      <c r="B2115" s="15" t="n">
        <v>2.09424594098726</v>
      </c>
      <c r="C2115" s="18" t="n">
        <f aca="false">'Black-Scholes'!$B$5*EXP(('Black-Scholes'!$B$8-'Black-Scholes'!$B$10-'Black-Scholes'!$B$9^2/2)*'Black-Scholes'!$B$7+'Black-Scholes'!$B$9*SQRT('Black-Scholes'!$B$7)*B2115)</f>
        <v>156.650839142985</v>
      </c>
      <c r="D2115" s="18" t="n">
        <f aca="false">'Black-Scholes'!$B$5*EXP(('Black-Scholes'!$B$8-'Black-Scholes'!$B$10-'Black-Scholes'!$B$9^2/2)*'Black-Scholes'!$B$7-'Black-Scholes'!$B$9*SQRT('Black-Scholes'!$B$7)*B2115)</f>
        <v>67.783648804853</v>
      </c>
      <c r="E2115" s="18" t="n">
        <f aca="false">EXP(-'Black-Scholes'!$B$8*'Black-Scholes'!$B$7)*IF(LOWER('Black-Scholes'!$B$11)="put",MAX('Black-Scholes'!$B$6-C2115,0),MAX(C2115-'Black-Scholes'!$B$6,0))</f>
        <v>53.8879451154639</v>
      </c>
      <c r="F2115" s="18" t="n">
        <f aca="false">(E2115+G2115)/2</f>
        <v>26.9439725577319</v>
      </c>
      <c r="G2115" s="18" t="n">
        <f aca="false">EXP(-'Black-Scholes'!$B$8*'Black-Scholes'!$B$7)*IF(LOWER('Black-Scholes'!$B$11)="put",MAX('Black-Scholes'!$B$6-D2115,0),MAX(D2115-'Black-Scholes'!$B$6,0))</f>
        <v>0</v>
      </c>
    </row>
    <row r="2116" customFormat="false" ht="15" hidden="false" customHeight="false" outlineLevel="0" collapsed="false">
      <c r="A2116" s="0" t="n">
        <v>2105</v>
      </c>
      <c r="B2116" s="15" t="n">
        <v>-1.75843484877429</v>
      </c>
      <c r="C2116" s="18" t="n">
        <f aca="false">'Black-Scholes'!$B$5*EXP(('Black-Scholes'!$B$8-'Black-Scholes'!$B$10-'Black-Scholes'!$B$9^2/2)*'Black-Scholes'!$B$7+'Black-Scholes'!$B$9*SQRT('Black-Scholes'!$B$7)*B2116)</f>
        <v>72.492507829162</v>
      </c>
      <c r="D2116" s="18" t="n">
        <f aca="false">'Black-Scholes'!$B$5*EXP(('Black-Scholes'!$B$8-'Black-Scholes'!$B$10-'Black-Scholes'!$B$9^2/2)*'Black-Scholes'!$B$7-'Black-Scholes'!$B$9*SQRT('Black-Scholes'!$B$7)*B2116)</f>
        <v>146.475350121383</v>
      </c>
      <c r="E2116" s="18" t="n">
        <f aca="false">EXP(-'Black-Scholes'!$B$8*'Black-Scholes'!$B$7)*IF(LOWER('Black-Scholes'!$B$11)="put",MAX('Black-Scholes'!$B$6-C2116,0),MAX(C2116-'Black-Scholes'!$B$6,0))</f>
        <v>0</v>
      </c>
      <c r="F2116" s="18" t="n">
        <f aca="false">(E2116+G2116)/2</f>
        <v>22.1043602747162</v>
      </c>
      <c r="G2116" s="18" t="n">
        <f aca="false">EXP(-'Black-Scholes'!$B$8*'Black-Scholes'!$B$7)*IF(LOWER('Black-Scholes'!$B$11)="put",MAX('Black-Scholes'!$B$6-D2116,0),MAX(D2116-'Black-Scholes'!$B$6,0))</f>
        <v>44.2087205494323</v>
      </c>
    </row>
    <row r="2117" customFormat="false" ht="15" hidden="false" customHeight="false" outlineLevel="0" collapsed="false">
      <c r="A2117" s="0" t="n">
        <v>2106</v>
      </c>
      <c r="B2117" s="15" t="n">
        <v>-1.1562087717239</v>
      </c>
      <c r="C2117" s="18" t="n">
        <f aca="false">'Black-Scholes'!$B$5*EXP(('Black-Scholes'!$B$8-'Black-Scholes'!$B$10-'Black-Scholes'!$B$9^2/2)*'Black-Scholes'!$B$7+'Black-Scholes'!$B$9*SQRT('Black-Scholes'!$B$7)*B2117)</f>
        <v>81.7714721569468</v>
      </c>
      <c r="D2117" s="18" t="n">
        <f aca="false">'Black-Scholes'!$B$5*EXP(('Black-Scholes'!$B$8-'Black-Scholes'!$B$10-'Black-Scholes'!$B$9^2/2)*'Black-Scholes'!$B$7-'Black-Scholes'!$B$9*SQRT('Black-Scholes'!$B$7)*B2117)</f>
        <v>129.854155555294</v>
      </c>
      <c r="E2117" s="18" t="n">
        <f aca="false">EXP(-'Black-Scholes'!$B$8*'Black-Scholes'!$B$7)*IF(LOWER('Black-Scholes'!$B$11)="put",MAX('Black-Scholes'!$B$6-C2117,0),MAX(C2117-'Black-Scholes'!$B$6,0))</f>
        <v>0</v>
      </c>
      <c r="F2117" s="18" t="n">
        <f aca="false">(E2117+G2117)/2</f>
        <v>14.1990756039087</v>
      </c>
      <c r="G2117" s="18" t="n">
        <f aca="false">EXP(-'Black-Scholes'!$B$8*'Black-Scholes'!$B$7)*IF(LOWER('Black-Scholes'!$B$11)="put",MAX('Black-Scholes'!$B$6-D2117,0),MAX(D2117-'Black-Scholes'!$B$6,0))</f>
        <v>28.3981512078175</v>
      </c>
    </row>
    <row r="2118" customFormat="false" ht="15" hidden="false" customHeight="false" outlineLevel="0" collapsed="false">
      <c r="A2118" s="0" t="n">
        <v>2107</v>
      </c>
      <c r="B2118" s="15" t="n">
        <v>-0.376011130142442</v>
      </c>
      <c r="C2118" s="18" t="n">
        <f aca="false">'Black-Scholes'!$B$5*EXP(('Black-Scholes'!$B$8-'Black-Scholes'!$B$10-'Black-Scholes'!$B$9^2/2)*'Black-Scholes'!$B$7+'Black-Scholes'!$B$9*SQRT('Black-Scholes'!$B$7)*B2118)</f>
        <v>95.580417380572</v>
      </c>
      <c r="D2118" s="18" t="n">
        <f aca="false">'Black-Scholes'!$B$5*EXP(('Black-Scholes'!$B$8-'Black-Scholes'!$B$10-'Black-Scholes'!$B$9^2/2)*'Black-Scholes'!$B$7-'Black-Scholes'!$B$9*SQRT('Black-Scholes'!$B$7)*B2118)</f>
        <v>111.093524766423</v>
      </c>
      <c r="E2118" s="18" t="n">
        <f aca="false">EXP(-'Black-Scholes'!$B$8*'Black-Scholes'!$B$7)*IF(LOWER('Black-Scholes'!$B$11)="put",MAX('Black-Scholes'!$B$6-C2118,0),MAX(C2118-'Black-Scholes'!$B$6,0))</f>
        <v>0</v>
      </c>
      <c r="F2118" s="18" t="n">
        <f aca="false">(E2118+G2118)/2</f>
        <v>5.27624358962436</v>
      </c>
      <c r="G2118" s="18" t="n">
        <f aca="false">EXP(-'Black-Scholes'!$B$8*'Black-Scholes'!$B$7)*IF(LOWER('Black-Scholes'!$B$11)="put",MAX('Black-Scholes'!$B$6-D2118,0),MAX(D2118-'Black-Scholes'!$B$6,0))</f>
        <v>10.5524871792487</v>
      </c>
    </row>
    <row r="2119" customFormat="false" ht="15" hidden="false" customHeight="false" outlineLevel="0" collapsed="false">
      <c r="A2119" s="0" t="n">
        <v>2108</v>
      </c>
      <c r="B2119" s="15" t="n">
        <v>-0.368204594889761</v>
      </c>
      <c r="C2119" s="18" t="n">
        <f aca="false">'Black-Scholes'!$B$5*EXP(('Black-Scholes'!$B$8-'Black-Scholes'!$B$10-'Black-Scholes'!$B$9^2/2)*'Black-Scholes'!$B$7+'Black-Scholes'!$B$9*SQRT('Black-Scholes'!$B$7)*B2119)</f>
        <v>95.7297643179963</v>
      </c>
      <c r="D2119" s="18" t="n">
        <f aca="false">'Black-Scholes'!$B$5*EXP(('Black-Scholes'!$B$8-'Black-Scholes'!$B$10-'Black-Scholes'!$B$9^2/2)*'Black-Scholes'!$B$7-'Black-Scholes'!$B$9*SQRT('Black-Scholes'!$B$7)*B2119)</f>
        <v>110.920208997709</v>
      </c>
      <c r="E2119" s="18" t="n">
        <f aca="false">EXP(-'Black-Scholes'!$B$8*'Black-Scholes'!$B$7)*IF(LOWER('Black-Scholes'!$B$11)="put",MAX('Black-Scholes'!$B$6-C2119,0),MAX(C2119-'Black-Scholes'!$B$6,0))</f>
        <v>0</v>
      </c>
      <c r="F2119" s="18" t="n">
        <f aca="false">(E2119+G2119)/2</f>
        <v>5.1938120601592</v>
      </c>
      <c r="G2119" s="18" t="n">
        <f aca="false">EXP(-'Black-Scholes'!$B$8*'Black-Scholes'!$B$7)*IF(LOWER('Black-Scholes'!$B$11)="put",MAX('Black-Scholes'!$B$6-D2119,0),MAX(D2119-'Black-Scholes'!$B$6,0))</f>
        <v>10.3876241203184</v>
      </c>
    </row>
    <row r="2120" customFormat="false" ht="15" hidden="false" customHeight="false" outlineLevel="0" collapsed="false">
      <c r="A2120" s="0" t="n">
        <v>2109</v>
      </c>
      <c r="B2120" s="15" t="n">
        <v>0.146242379904251</v>
      </c>
      <c r="C2120" s="18" t="n">
        <f aca="false">'Black-Scholes'!$B$5*EXP(('Black-Scholes'!$B$8-'Black-Scholes'!$B$10-'Black-Scholes'!$B$9^2/2)*'Black-Scholes'!$B$7+'Black-Scholes'!$B$9*SQRT('Black-Scholes'!$B$7)*B2120)</f>
        <v>106.103885065757</v>
      </c>
      <c r="D2120" s="18" t="n">
        <f aca="false">'Black-Scholes'!$B$5*EXP(('Black-Scholes'!$B$8-'Black-Scholes'!$B$10-'Black-Scholes'!$B$9^2/2)*'Black-Scholes'!$B$7-'Black-Scholes'!$B$9*SQRT('Black-Scholes'!$B$7)*B2120)</f>
        <v>100.075180648408</v>
      </c>
      <c r="E2120" s="18" t="n">
        <f aca="false">EXP(-'Black-Scholes'!$B$8*'Black-Scholes'!$B$7)*IF(LOWER('Black-Scholes'!$B$11)="put",MAX('Black-Scholes'!$B$6-C2120,0),MAX(C2120-'Black-Scholes'!$B$6,0))</f>
        <v>5.80619507831888</v>
      </c>
      <c r="F2120" s="18" t="n">
        <f aca="false">(E2120+G2120)/2</f>
        <v>2.93885456161885</v>
      </c>
      <c r="G2120" s="18" t="n">
        <f aca="false">EXP(-'Black-Scholes'!$B$8*'Black-Scholes'!$B$7)*IF(LOWER('Black-Scholes'!$B$11)="put",MAX('Black-Scholes'!$B$6-D2120,0),MAX(D2120-'Black-Scholes'!$B$6,0))</f>
        <v>0.0715140449188073</v>
      </c>
    </row>
    <row r="2121" customFormat="false" ht="15" hidden="false" customHeight="false" outlineLevel="0" collapsed="false">
      <c r="A2121" s="0" t="n">
        <v>2110</v>
      </c>
      <c r="B2121" s="15" t="n">
        <v>-0.979145870931534</v>
      </c>
      <c r="C2121" s="18" t="n">
        <f aca="false">'Black-Scholes'!$B$5*EXP(('Black-Scholes'!$B$8-'Black-Scholes'!$B$10-'Black-Scholes'!$B$9^2/2)*'Black-Scholes'!$B$7+'Black-Scholes'!$B$9*SQRT('Black-Scholes'!$B$7)*B2121)</f>
        <v>84.7190943911317</v>
      </c>
      <c r="D2121" s="18" t="n">
        <f aca="false">'Black-Scholes'!$B$5*EXP(('Black-Scholes'!$B$8-'Black-Scholes'!$B$10-'Black-Scholes'!$B$9^2/2)*'Black-Scholes'!$B$7-'Black-Scholes'!$B$9*SQRT('Black-Scholes'!$B$7)*B2121)</f>
        <v>125.336154048468</v>
      </c>
      <c r="E2121" s="18" t="n">
        <f aca="false">EXP(-'Black-Scholes'!$B$8*'Black-Scholes'!$B$7)*IF(LOWER('Black-Scholes'!$B$11)="put",MAX('Black-Scholes'!$B$6-C2121,0),MAX(C2121-'Black-Scholes'!$B$6,0))</f>
        <v>0</v>
      </c>
      <c r="F2121" s="18" t="n">
        <f aca="false">(E2121+G2121)/2</f>
        <v>12.0502476172929</v>
      </c>
      <c r="G2121" s="18" t="n">
        <f aca="false">EXP(-'Black-Scholes'!$B$8*'Black-Scholes'!$B$7)*IF(LOWER('Black-Scholes'!$B$11)="put",MAX('Black-Scholes'!$B$6-D2121,0),MAX(D2121-'Black-Scholes'!$B$6,0))</f>
        <v>24.1004952345858</v>
      </c>
    </row>
    <row r="2122" customFormat="false" ht="15" hidden="false" customHeight="false" outlineLevel="0" collapsed="false">
      <c r="A2122" s="0" t="n">
        <v>2111</v>
      </c>
      <c r="B2122" s="15" t="n">
        <v>-2.06533342848775</v>
      </c>
      <c r="C2122" s="18" t="n">
        <f aca="false">'Black-Scholes'!$B$5*EXP(('Black-Scholes'!$B$8-'Black-Scholes'!$B$10-'Black-Scholes'!$B$9^2/2)*'Black-Scholes'!$B$7+'Black-Scholes'!$B$9*SQRT('Black-Scholes'!$B$7)*B2122)</f>
        <v>68.1767433633174</v>
      </c>
      <c r="D2122" s="18" t="n">
        <f aca="false">'Black-Scholes'!$B$5*EXP(('Black-Scholes'!$B$8-'Black-Scholes'!$B$10-'Black-Scholes'!$B$9^2/2)*'Black-Scholes'!$B$7-'Black-Scholes'!$B$9*SQRT('Black-Scholes'!$B$7)*B2122)</f>
        <v>155.747619226512</v>
      </c>
      <c r="E2122" s="18" t="n">
        <f aca="false">EXP(-'Black-Scholes'!$B$8*'Black-Scholes'!$B$7)*IF(LOWER('Black-Scholes'!$B$11)="put",MAX('Black-Scholes'!$B$6-C2122,0),MAX(C2122-'Black-Scholes'!$B$6,0))</f>
        <v>0</v>
      </c>
      <c r="F2122" s="18" t="n">
        <f aca="false">(E2122+G2122)/2</f>
        <v>26.5143878770601</v>
      </c>
      <c r="G2122" s="18" t="n">
        <f aca="false">EXP(-'Black-Scholes'!$B$8*'Black-Scholes'!$B$7)*IF(LOWER('Black-Scholes'!$B$11)="put",MAX('Black-Scholes'!$B$6-D2122,0),MAX(D2122-'Black-Scholes'!$B$6,0))</f>
        <v>53.0287757541201</v>
      </c>
    </row>
    <row r="2123" customFormat="false" ht="15" hidden="false" customHeight="false" outlineLevel="0" collapsed="false">
      <c r="A2123" s="0" t="n">
        <v>2112</v>
      </c>
      <c r="B2123" s="15" t="n">
        <v>-0.936863097906648</v>
      </c>
      <c r="C2123" s="18" t="n">
        <f aca="false">'Black-Scholes'!$B$5*EXP(('Black-Scholes'!$B$8-'Black-Scholes'!$B$10-'Black-Scholes'!$B$9^2/2)*'Black-Scholes'!$B$7+'Black-Scholes'!$B$9*SQRT('Black-Scholes'!$B$7)*B2123)</f>
        <v>85.4385638677602</v>
      </c>
      <c r="D2123" s="18" t="n">
        <f aca="false">'Black-Scholes'!$B$5*EXP(('Black-Scholes'!$B$8-'Black-Scholes'!$B$10-'Black-Scholes'!$B$9^2/2)*'Black-Scholes'!$B$7-'Black-Scholes'!$B$9*SQRT('Black-Scholes'!$B$7)*B2123)</f>
        <v>124.280711013454</v>
      </c>
      <c r="E2123" s="18" t="n">
        <f aca="false">EXP(-'Black-Scholes'!$B$8*'Black-Scholes'!$B$7)*IF(LOWER('Black-Scholes'!$B$11)="put",MAX('Black-Scholes'!$B$6-C2123,0),MAX(C2123-'Black-Scholes'!$B$6,0))</f>
        <v>0</v>
      </c>
      <c r="F2123" s="18" t="n">
        <f aca="false">(E2123+G2123)/2</f>
        <v>11.5482633818978</v>
      </c>
      <c r="G2123" s="18" t="n">
        <f aca="false">EXP(-'Black-Scholes'!$B$8*'Black-Scholes'!$B$7)*IF(LOWER('Black-Scholes'!$B$11)="put",MAX('Black-Scholes'!$B$6-D2123,0),MAX(D2123-'Black-Scholes'!$B$6,0))</f>
        <v>23.0965267637956</v>
      </c>
    </row>
    <row r="2124" customFormat="false" ht="15" hidden="false" customHeight="false" outlineLevel="0" collapsed="false">
      <c r="A2124" s="0" t="n">
        <v>2113</v>
      </c>
      <c r="B2124" s="15" t="n">
        <v>1.16765251136591</v>
      </c>
      <c r="C2124" s="18" t="n">
        <f aca="false">'Black-Scholes'!$B$5*EXP(('Black-Scholes'!$B$8-'Black-Scholes'!$B$10-'Black-Scholes'!$B$9^2/2)*'Black-Scholes'!$B$7+'Black-Scholes'!$B$9*SQRT('Black-Scholes'!$B$7)*B2124)</f>
        <v>130.151699356308</v>
      </c>
      <c r="D2124" s="18" t="n">
        <f aca="false">'Black-Scholes'!$B$5*EXP(('Black-Scholes'!$B$8-'Black-Scholes'!$B$10-'Black-Scholes'!$B$9^2/2)*'Black-Scholes'!$B$7-'Black-Scholes'!$B$9*SQRT('Black-Scholes'!$B$7)*B2124)</f>
        <v>81.5845318806354</v>
      </c>
      <c r="E2124" s="18" t="n">
        <f aca="false">EXP(-'Black-Scholes'!$B$8*'Black-Scholes'!$B$7)*IF(LOWER('Black-Scholes'!$B$11)="put",MAX('Black-Scholes'!$B$6-C2124,0),MAX(C2124-'Black-Scholes'!$B$6,0))</f>
        <v>28.6811836264195</v>
      </c>
      <c r="F2124" s="18" t="n">
        <f aca="false">(E2124+G2124)/2</f>
        <v>14.3405918132098</v>
      </c>
      <c r="G2124" s="18" t="n">
        <f aca="false">EXP(-'Black-Scholes'!$B$8*'Black-Scholes'!$B$7)*IF(LOWER('Black-Scholes'!$B$11)="put",MAX('Black-Scholes'!$B$6-D2124,0),MAX(D2124-'Black-Scholes'!$B$6,0))</f>
        <v>0</v>
      </c>
    </row>
    <row r="2125" customFormat="false" ht="15" hidden="false" customHeight="false" outlineLevel="0" collapsed="false">
      <c r="A2125" s="0" t="n">
        <v>2114</v>
      </c>
      <c r="B2125" s="15" t="n">
        <v>-0.162167999402266</v>
      </c>
      <c r="C2125" s="18" t="n">
        <f aca="false">'Black-Scholes'!$B$5*EXP(('Black-Scholes'!$B$8-'Black-Scholes'!$B$10-'Black-Scholes'!$B$9^2/2)*'Black-Scholes'!$B$7+'Black-Scholes'!$B$9*SQRT('Black-Scholes'!$B$7)*B2125)</f>
        <v>99.7569358923068</v>
      </c>
      <c r="D2125" s="18" t="n">
        <f aca="false">'Black-Scholes'!$B$5*EXP(('Black-Scholes'!$B$8-'Black-Scholes'!$B$10-'Black-Scholes'!$B$9^2/2)*'Black-Scholes'!$B$7-'Black-Scholes'!$B$9*SQRT('Black-Scholes'!$B$7)*B2125)</f>
        <v>106.442377870514</v>
      </c>
      <c r="E2125" s="18" t="n">
        <f aca="false">EXP(-'Black-Scholes'!$B$8*'Black-Scholes'!$B$7)*IF(LOWER('Black-Scholes'!$B$11)="put",MAX('Black-Scholes'!$B$6-C2125,0),MAX(C2125-'Black-Scholes'!$B$6,0))</f>
        <v>0</v>
      </c>
      <c r="F2125" s="18" t="n">
        <f aca="false">(E2125+G2125)/2</f>
        <v>3.06408969709276</v>
      </c>
      <c r="G2125" s="18" t="n">
        <f aca="false">EXP(-'Black-Scholes'!$B$8*'Black-Scholes'!$B$7)*IF(LOWER('Black-Scholes'!$B$11)="put",MAX('Black-Scholes'!$B$6-D2125,0),MAX(D2125-'Black-Scholes'!$B$6,0))</f>
        <v>6.12817939418553</v>
      </c>
    </row>
    <row r="2126" customFormat="false" ht="15" hidden="false" customHeight="false" outlineLevel="0" collapsed="false">
      <c r="A2126" s="0" t="n">
        <v>2115</v>
      </c>
      <c r="B2126" s="15" t="n">
        <v>-1.88687083510733</v>
      </c>
      <c r="C2126" s="18" t="n">
        <f aca="false">'Black-Scholes'!$B$5*EXP(('Black-Scholes'!$B$8-'Black-Scholes'!$B$10-'Black-Scholes'!$B$9^2/2)*'Black-Scholes'!$B$7+'Black-Scholes'!$B$9*SQRT('Black-Scholes'!$B$7)*B2126)</f>
        <v>70.6540914483861</v>
      </c>
      <c r="D2126" s="18" t="n">
        <f aca="false">'Black-Scholes'!$B$5*EXP(('Black-Scholes'!$B$8-'Black-Scholes'!$B$10-'Black-Scholes'!$B$9^2/2)*'Black-Scholes'!$B$7-'Black-Scholes'!$B$9*SQRT('Black-Scholes'!$B$7)*B2126)</f>
        <v>150.286632348963</v>
      </c>
      <c r="E2126" s="18" t="n">
        <f aca="false">EXP(-'Black-Scholes'!$B$8*'Black-Scholes'!$B$7)*IF(LOWER('Black-Scholes'!$B$11)="put",MAX('Black-Scholes'!$B$6-C2126,0),MAX(C2126-'Black-Scholes'!$B$6,0))</f>
        <v>0</v>
      </c>
      <c r="F2126" s="18" t="n">
        <f aca="false">(E2126+G2126)/2</f>
        <v>23.9170621746914</v>
      </c>
      <c r="G2126" s="18" t="n">
        <f aca="false">EXP(-'Black-Scholes'!$B$8*'Black-Scholes'!$B$7)*IF(LOWER('Black-Scholes'!$B$11)="put",MAX('Black-Scholes'!$B$6-D2126,0),MAX(D2126-'Black-Scholes'!$B$6,0))</f>
        <v>47.8341243493828</v>
      </c>
    </row>
    <row r="2127" customFormat="false" ht="15" hidden="false" customHeight="false" outlineLevel="0" collapsed="false">
      <c r="A2127" s="0" t="n">
        <v>2116</v>
      </c>
      <c r="B2127" s="15" t="n">
        <v>-1.53512725930915</v>
      </c>
      <c r="C2127" s="18" t="n">
        <f aca="false">'Black-Scholes'!$B$5*EXP(('Black-Scholes'!$B$8-'Black-Scholes'!$B$10-'Black-Scholes'!$B$9^2/2)*'Black-Scholes'!$B$7+'Black-Scholes'!$B$9*SQRT('Black-Scholes'!$B$7)*B2127)</f>
        <v>75.803520345772</v>
      </c>
      <c r="D2127" s="18" t="n">
        <f aca="false">'Black-Scholes'!$B$5*EXP(('Black-Scholes'!$B$8-'Black-Scholes'!$B$10-'Black-Scholes'!$B$9^2/2)*'Black-Scholes'!$B$7-'Black-Scholes'!$B$9*SQRT('Black-Scholes'!$B$7)*B2127)</f>
        <v>140.077471560935</v>
      </c>
      <c r="E2127" s="18" t="n">
        <f aca="false">EXP(-'Black-Scholes'!$B$8*'Black-Scholes'!$B$7)*IF(LOWER('Black-Scholes'!$B$11)="put",MAX('Black-Scholes'!$B$6-C2127,0),MAX(C2127-'Black-Scholes'!$B$6,0))</f>
        <v>0</v>
      </c>
      <c r="F2127" s="18" t="n">
        <f aca="false">(E2127+G2127)/2</f>
        <v>19.0614351041757</v>
      </c>
      <c r="G2127" s="18" t="n">
        <f aca="false">EXP(-'Black-Scholes'!$B$8*'Black-Scholes'!$B$7)*IF(LOWER('Black-Scholes'!$B$11)="put",MAX('Black-Scholes'!$B$6-D2127,0),MAX(D2127-'Black-Scholes'!$B$6,0))</f>
        <v>38.1228702083515</v>
      </c>
    </row>
    <row r="2128" customFormat="false" ht="15" hidden="false" customHeight="false" outlineLevel="0" collapsed="false">
      <c r="A2128" s="0" t="n">
        <v>2117</v>
      </c>
      <c r="B2128" s="15" t="n">
        <v>0.930097991090986</v>
      </c>
      <c r="C2128" s="18" t="n">
        <f aca="false">'Black-Scholes'!$B$5*EXP(('Black-Scholes'!$B$8-'Black-Scholes'!$B$10-'Black-Scholes'!$B$9^2/2)*'Black-Scholes'!$B$7+'Black-Scholes'!$B$9*SQRT('Black-Scholes'!$B$7)*B2128)</f>
        <v>124.112670263425</v>
      </c>
      <c r="D2128" s="18" t="n">
        <f aca="false">'Black-Scholes'!$B$5*EXP(('Black-Scholes'!$B$8-'Black-Scholes'!$B$10-'Black-Scholes'!$B$9^2/2)*'Black-Scholes'!$B$7-'Black-Scholes'!$B$9*SQRT('Black-Scholes'!$B$7)*B2128)</f>
        <v>85.554242309963</v>
      </c>
      <c r="E2128" s="18" t="n">
        <f aca="false">EXP(-'Black-Scholes'!$B$8*'Black-Scholes'!$B$7)*IF(LOWER('Black-Scholes'!$B$11)="put",MAX('Black-Scholes'!$B$6-C2128,0),MAX(C2128-'Black-Scholes'!$B$6,0))</f>
        <v>22.9366814578532</v>
      </c>
      <c r="F2128" s="18" t="n">
        <f aca="false">(E2128+G2128)/2</f>
        <v>11.4683407289266</v>
      </c>
      <c r="G2128" s="18" t="n">
        <f aca="false">EXP(-'Black-Scholes'!$B$8*'Black-Scholes'!$B$7)*IF(LOWER('Black-Scholes'!$B$11)="put",MAX('Black-Scholes'!$B$6-D2128,0),MAX(D2128-'Black-Scholes'!$B$6,0))</f>
        <v>0</v>
      </c>
    </row>
    <row r="2129" customFormat="false" ht="15" hidden="false" customHeight="false" outlineLevel="0" collapsed="false">
      <c r="A2129" s="0" t="n">
        <v>2118</v>
      </c>
      <c r="B2129" s="15" t="n">
        <v>-1.29519530629227</v>
      </c>
      <c r="C2129" s="18" t="n">
        <f aca="false">'Black-Scholes'!$B$5*EXP(('Black-Scholes'!$B$8-'Black-Scholes'!$B$10-'Black-Scholes'!$B$9^2/2)*'Black-Scholes'!$B$7+'Black-Scholes'!$B$9*SQRT('Black-Scholes'!$B$7)*B2129)</f>
        <v>79.5297467578432</v>
      </c>
      <c r="D2129" s="18" t="n">
        <f aca="false">'Black-Scholes'!$B$5*EXP(('Black-Scholes'!$B$8-'Black-Scholes'!$B$10-'Black-Scholes'!$B$9^2/2)*'Black-Scholes'!$B$7-'Black-Scholes'!$B$9*SQRT('Black-Scholes'!$B$7)*B2129)</f>
        <v>133.514387991012</v>
      </c>
      <c r="E2129" s="18" t="n">
        <f aca="false">EXP(-'Black-Scholes'!$B$8*'Black-Scholes'!$B$7)*IF(LOWER('Black-Scholes'!$B$11)="put",MAX('Black-Scholes'!$B$6-C2129,0),MAX(C2129-'Black-Scholes'!$B$6,0))</f>
        <v>0</v>
      </c>
      <c r="F2129" s="18" t="n">
        <f aca="false">(E2129+G2129)/2</f>
        <v>15.9399360005919</v>
      </c>
      <c r="G2129" s="18" t="n">
        <f aca="false">EXP(-'Black-Scholes'!$B$8*'Black-Scholes'!$B$7)*IF(LOWER('Black-Scholes'!$B$11)="put",MAX('Black-Scholes'!$B$6-D2129,0),MAX(D2129-'Black-Scholes'!$B$6,0))</f>
        <v>31.8798720011839</v>
      </c>
    </row>
    <row r="2130" customFormat="false" ht="15" hidden="false" customHeight="false" outlineLevel="0" collapsed="false">
      <c r="A2130" s="0" t="n">
        <v>2119</v>
      </c>
      <c r="B2130" s="15" t="n">
        <v>0.491574877648267</v>
      </c>
      <c r="C2130" s="18" t="n">
        <f aca="false">'Black-Scholes'!$B$5*EXP(('Black-Scholes'!$B$8-'Black-Scholes'!$B$10-'Black-Scholes'!$B$9^2/2)*'Black-Scholes'!$B$7+'Black-Scholes'!$B$9*SQRT('Black-Scholes'!$B$7)*B2130)</f>
        <v>113.691104546546</v>
      </c>
      <c r="D2130" s="18" t="n">
        <f aca="false">'Black-Scholes'!$B$5*EXP(('Black-Scholes'!$B$8-'Black-Scholes'!$B$10-'Black-Scholes'!$B$9^2/2)*'Black-Scholes'!$B$7-'Black-Scholes'!$B$9*SQRT('Black-Scholes'!$B$7)*B2130)</f>
        <v>93.3966250728646</v>
      </c>
      <c r="E2130" s="18" t="n">
        <f aca="false">EXP(-'Black-Scholes'!$B$8*'Black-Scholes'!$B$7)*IF(LOWER('Black-Scholes'!$B$11)="put",MAX('Black-Scholes'!$B$6-C2130,0),MAX(C2130-'Black-Scholes'!$B$6,0))</f>
        <v>13.02338149859</v>
      </c>
      <c r="F2130" s="18" t="n">
        <f aca="false">(E2130+G2130)/2</f>
        <v>6.51169074929499</v>
      </c>
      <c r="G2130" s="18" t="n">
        <f aca="false">EXP(-'Black-Scholes'!$B$8*'Black-Scholes'!$B$7)*IF(LOWER('Black-Scholes'!$B$11)="put",MAX('Black-Scholes'!$B$6-D2130,0),MAX(D2130-'Black-Scholes'!$B$6,0))</f>
        <v>0</v>
      </c>
    </row>
    <row r="2131" customFormat="false" ht="15" hidden="false" customHeight="false" outlineLevel="0" collapsed="false">
      <c r="A2131" s="0" t="n">
        <v>2120</v>
      </c>
      <c r="B2131" s="15" t="n">
        <v>0.536592748970211</v>
      </c>
      <c r="C2131" s="18" t="n">
        <f aca="false">'Black-Scholes'!$B$5*EXP(('Black-Scholes'!$B$8-'Black-Scholes'!$B$10-'Black-Scholes'!$B$9^2/2)*'Black-Scholes'!$B$7+'Black-Scholes'!$B$9*SQRT('Black-Scholes'!$B$7)*B2131)</f>
        <v>114.719352858369</v>
      </c>
      <c r="D2131" s="18" t="n">
        <f aca="false">'Black-Scholes'!$B$5*EXP(('Black-Scholes'!$B$8-'Black-Scholes'!$B$10-'Black-Scholes'!$B$9^2/2)*'Black-Scholes'!$B$7-'Black-Scholes'!$B$9*SQRT('Black-Scholes'!$B$7)*B2131)</f>
        <v>92.5594958556196</v>
      </c>
      <c r="E2131" s="18" t="n">
        <f aca="false">EXP(-'Black-Scholes'!$B$8*'Black-Scholes'!$B$7)*IF(LOWER('Black-Scholes'!$B$11)="put",MAX('Black-Scholes'!$B$6-C2131,0),MAX(C2131-'Black-Scholes'!$B$6,0))</f>
        <v>14.0014815484896</v>
      </c>
      <c r="F2131" s="18" t="n">
        <f aca="false">(E2131+G2131)/2</f>
        <v>7.0007407742448</v>
      </c>
      <c r="G2131" s="18" t="n">
        <f aca="false">EXP(-'Black-Scholes'!$B$8*'Black-Scholes'!$B$7)*IF(LOWER('Black-Scholes'!$B$11)="put",MAX('Black-Scholes'!$B$6-D2131,0),MAX(D2131-'Black-Scholes'!$B$6,0))</f>
        <v>0</v>
      </c>
    </row>
    <row r="2132" customFormat="false" ht="15" hidden="false" customHeight="false" outlineLevel="0" collapsed="false">
      <c r="A2132" s="0" t="n">
        <v>2121</v>
      </c>
      <c r="B2132" s="15" t="n">
        <v>1.01172739261103</v>
      </c>
      <c r="C2132" s="18" t="n">
        <f aca="false">'Black-Scholes'!$B$5*EXP(('Black-Scholes'!$B$8-'Black-Scholes'!$B$10-'Black-Scholes'!$B$9^2/2)*'Black-Scholes'!$B$7+'Black-Scholes'!$B$9*SQRT('Black-Scholes'!$B$7)*B2132)</f>
        <v>126.155549387797</v>
      </c>
      <c r="D2132" s="18" t="n">
        <f aca="false">'Black-Scholes'!$B$5*EXP(('Black-Scholes'!$B$8-'Black-Scholes'!$B$10-'Black-Scholes'!$B$9^2/2)*'Black-Scholes'!$B$7-'Black-Scholes'!$B$9*SQRT('Black-Scholes'!$B$7)*B2132)</f>
        <v>84.1688337689623</v>
      </c>
      <c r="E2132" s="18" t="n">
        <f aca="false">EXP(-'Black-Scholes'!$B$8*'Black-Scholes'!$B$7)*IF(LOWER('Black-Scholes'!$B$11)="put",MAX('Black-Scholes'!$B$6-C2132,0),MAX(C2132-'Black-Scholes'!$B$6,0))</f>
        <v>24.879928191654</v>
      </c>
      <c r="F2132" s="18" t="n">
        <f aca="false">(E2132+G2132)/2</f>
        <v>12.439964095827</v>
      </c>
      <c r="G2132" s="18" t="n">
        <f aca="false">EXP(-'Black-Scholes'!$B$8*'Black-Scholes'!$B$7)*IF(LOWER('Black-Scholes'!$B$11)="put",MAX('Black-Scholes'!$B$6-D2132,0),MAX(D2132-'Black-Scholes'!$B$6,0))</f>
        <v>0</v>
      </c>
    </row>
    <row r="2133" customFormat="false" ht="15" hidden="false" customHeight="false" outlineLevel="0" collapsed="false">
      <c r="A2133" s="0" t="n">
        <v>2122</v>
      </c>
      <c r="B2133" s="15" t="n">
        <v>1.42016549590315</v>
      </c>
      <c r="C2133" s="18" t="n">
        <f aca="false">'Black-Scholes'!$B$5*EXP(('Black-Scholes'!$B$8-'Black-Scholes'!$B$10-'Black-Scholes'!$B$9^2/2)*'Black-Scholes'!$B$7+'Black-Scholes'!$B$9*SQRT('Black-Scholes'!$B$7)*B2133)</f>
        <v>136.893504642588</v>
      </c>
      <c r="D2133" s="18" t="n">
        <f aca="false">'Black-Scholes'!$B$5*EXP(('Black-Scholes'!$B$8-'Black-Scholes'!$B$10-'Black-Scholes'!$B$9^2/2)*'Black-Scholes'!$B$7-'Black-Scholes'!$B$9*SQRT('Black-Scholes'!$B$7)*B2133)</f>
        <v>77.5666127708309</v>
      </c>
      <c r="E2133" s="18" t="n">
        <f aca="false">EXP(-'Black-Scholes'!$B$8*'Black-Scholes'!$B$7)*IF(LOWER('Black-Scholes'!$B$11)="put",MAX('Black-Scholes'!$B$6-C2133,0),MAX(C2133-'Black-Scholes'!$B$6,0))</f>
        <v>35.0941871889837</v>
      </c>
      <c r="F2133" s="18" t="n">
        <f aca="false">(E2133+G2133)/2</f>
        <v>17.5470935944919</v>
      </c>
      <c r="G2133" s="18" t="n">
        <f aca="false">EXP(-'Black-Scholes'!$B$8*'Black-Scholes'!$B$7)*IF(LOWER('Black-Scholes'!$B$11)="put",MAX('Black-Scholes'!$B$6-D2133,0),MAX(D2133-'Black-Scholes'!$B$6,0))</f>
        <v>0</v>
      </c>
    </row>
    <row r="2134" customFormat="false" ht="15" hidden="false" customHeight="false" outlineLevel="0" collapsed="false">
      <c r="A2134" s="0" t="n">
        <v>2123</v>
      </c>
      <c r="B2134" s="15" t="n">
        <v>0.523211017081232</v>
      </c>
      <c r="C2134" s="18" t="n">
        <f aca="false">'Black-Scholes'!$B$5*EXP(('Black-Scholes'!$B$8-'Black-Scholes'!$B$10-'Black-Scholes'!$B$9^2/2)*'Black-Scholes'!$B$7+'Black-Scholes'!$B$9*SQRT('Black-Scholes'!$B$7)*B2134)</f>
        <v>114.412734625204</v>
      </c>
      <c r="D2134" s="18" t="n">
        <f aca="false">'Black-Scholes'!$B$5*EXP(('Black-Scholes'!$B$8-'Black-Scholes'!$B$10-'Black-Scholes'!$B$9^2/2)*'Black-Scholes'!$B$7-'Black-Scholes'!$B$9*SQRT('Black-Scholes'!$B$7)*B2134)</f>
        <v>92.807548916976</v>
      </c>
      <c r="E2134" s="18" t="n">
        <f aca="false">EXP(-'Black-Scholes'!$B$8*'Black-Scholes'!$B$7)*IF(LOWER('Black-Scholes'!$B$11)="put",MAX('Black-Scholes'!$B$6-C2134,0),MAX(C2134-'Black-Scholes'!$B$6,0))</f>
        <v>13.7098172630141</v>
      </c>
      <c r="F2134" s="18" t="n">
        <f aca="false">(E2134+G2134)/2</f>
        <v>6.85490863150705</v>
      </c>
      <c r="G2134" s="18" t="n">
        <f aca="false">EXP(-'Black-Scholes'!$B$8*'Black-Scholes'!$B$7)*IF(LOWER('Black-Scholes'!$B$11)="put",MAX('Black-Scholes'!$B$6-D2134,0),MAX(D2134-'Black-Scholes'!$B$6,0))</f>
        <v>0</v>
      </c>
    </row>
    <row r="2135" customFormat="false" ht="15" hidden="false" customHeight="false" outlineLevel="0" collapsed="false">
      <c r="A2135" s="0" t="n">
        <v>2124</v>
      </c>
      <c r="B2135" s="15" t="n">
        <v>-0.896354599698096</v>
      </c>
      <c r="C2135" s="18" t="n">
        <f aca="false">'Black-Scholes'!$B$5*EXP(('Black-Scholes'!$B$8-'Black-Scholes'!$B$10-'Black-Scholes'!$B$9^2/2)*'Black-Scholes'!$B$7+'Black-Scholes'!$B$9*SQRT('Black-Scholes'!$B$7)*B2135)</f>
        <v>86.1335730262075</v>
      </c>
      <c r="D2135" s="18" t="n">
        <f aca="false">'Black-Scholes'!$B$5*EXP(('Black-Scholes'!$B$8-'Black-Scholes'!$B$10-'Black-Scholes'!$B$9^2/2)*'Black-Scholes'!$B$7-'Black-Scholes'!$B$9*SQRT('Black-Scholes'!$B$7)*B2135)</f>
        <v>123.277893768819</v>
      </c>
      <c r="E2135" s="18" t="n">
        <f aca="false">EXP(-'Black-Scholes'!$B$8*'Black-Scholes'!$B$7)*IF(LOWER('Black-Scholes'!$B$11)="put",MAX('Black-Scholes'!$B$6-C2135,0),MAX(C2135-'Black-Scholes'!$B$6,0))</f>
        <v>0</v>
      </c>
      <c r="F2135" s="18" t="n">
        <f aca="false">(E2135+G2135)/2</f>
        <v>11.0713087466511</v>
      </c>
      <c r="G2135" s="18" t="n">
        <f aca="false">EXP(-'Black-Scholes'!$B$8*'Black-Scholes'!$B$7)*IF(LOWER('Black-Scholes'!$B$11)="put",MAX('Black-Scholes'!$B$6-D2135,0),MAX(D2135-'Black-Scholes'!$B$6,0))</f>
        <v>22.1426174933021</v>
      </c>
    </row>
    <row r="2136" customFormat="false" ht="15" hidden="false" customHeight="false" outlineLevel="0" collapsed="false">
      <c r="A2136" s="0" t="n">
        <v>2125</v>
      </c>
      <c r="B2136" s="15" t="n">
        <v>1.38111511236985</v>
      </c>
      <c r="C2136" s="18" t="n">
        <f aca="false">'Black-Scholes'!$B$5*EXP(('Black-Scholes'!$B$8-'Black-Scholes'!$B$10-'Black-Scholes'!$B$9^2/2)*'Black-Scholes'!$B$7+'Black-Scholes'!$B$9*SQRT('Black-Scholes'!$B$7)*B2136)</f>
        <v>135.828520089637</v>
      </c>
      <c r="D2136" s="18" t="n">
        <f aca="false">'Black-Scholes'!$B$5*EXP(('Black-Scholes'!$B$8-'Black-Scholes'!$B$10-'Black-Scholes'!$B$9^2/2)*'Black-Scholes'!$B$7-'Black-Scholes'!$B$9*SQRT('Black-Scholes'!$B$7)*B2136)</f>
        <v>78.1747858141001</v>
      </c>
      <c r="E2136" s="18" t="n">
        <f aca="false">EXP(-'Black-Scholes'!$B$8*'Black-Scholes'!$B$7)*IF(LOWER('Black-Scholes'!$B$11)="put",MAX('Black-Scholes'!$B$6-C2136,0),MAX(C2136-'Black-Scholes'!$B$6,0))</f>
        <v>34.081142545578</v>
      </c>
      <c r="F2136" s="18" t="n">
        <f aca="false">(E2136+G2136)/2</f>
        <v>17.040571272789</v>
      </c>
      <c r="G2136" s="18" t="n">
        <f aca="false">EXP(-'Black-Scholes'!$B$8*'Black-Scholes'!$B$7)*IF(LOWER('Black-Scholes'!$B$11)="put",MAX('Black-Scholes'!$B$6-D2136,0),MAX(D2136-'Black-Scholes'!$B$6,0))</f>
        <v>0</v>
      </c>
    </row>
    <row r="2137" customFormat="false" ht="15" hidden="false" customHeight="false" outlineLevel="0" collapsed="false">
      <c r="A2137" s="0" t="n">
        <v>2126</v>
      </c>
      <c r="B2137" s="15" t="n">
        <v>1.64307117559862</v>
      </c>
      <c r="C2137" s="18" t="n">
        <f aca="false">'Black-Scholes'!$B$5*EXP(('Black-Scholes'!$B$8-'Black-Scholes'!$B$10-'Black-Scholes'!$B$9^2/2)*'Black-Scholes'!$B$7+'Black-Scholes'!$B$9*SQRT('Black-Scholes'!$B$7)*B2137)</f>
        <v>143.134453260327</v>
      </c>
      <c r="D2137" s="18" t="n">
        <f aca="false">'Black-Scholes'!$B$5*EXP(('Black-Scholes'!$B$8-'Black-Scholes'!$B$10-'Black-Scholes'!$B$9^2/2)*'Black-Scholes'!$B$7-'Black-Scholes'!$B$9*SQRT('Black-Scholes'!$B$7)*B2137)</f>
        <v>74.1845532196317</v>
      </c>
      <c r="E2137" s="18" t="n">
        <f aca="false">EXP(-'Black-Scholes'!$B$8*'Black-Scholes'!$B$7)*IF(LOWER('Black-Scholes'!$B$11)="put",MAX('Black-Scholes'!$B$6-C2137,0),MAX(C2137-'Black-Scholes'!$B$6,0))</f>
        <v>41.0307611509735</v>
      </c>
      <c r="F2137" s="18" t="n">
        <f aca="false">(E2137+G2137)/2</f>
        <v>20.5153805754867</v>
      </c>
      <c r="G2137" s="18" t="n">
        <f aca="false">EXP(-'Black-Scholes'!$B$8*'Black-Scholes'!$B$7)*IF(LOWER('Black-Scholes'!$B$11)="put",MAX('Black-Scholes'!$B$6-D2137,0),MAX(D2137-'Black-Scholes'!$B$6,0))</f>
        <v>0</v>
      </c>
    </row>
    <row r="2138" customFormat="false" ht="15" hidden="false" customHeight="false" outlineLevel="0" collapsed="false">
      <c r="A2138" s="0" t="n">
        <v>2127</v>
      </c>
      <c r="B2138" s="15" t="n">
        <v>0.351149524699804</v>
      </c>
      <c r="C2138" s="18" t="n">
        <f aca="false">'Black-Scholes'!$B$5*EXP(('Black-Scholes'!$B$8-'Black-Scholes'!$B$10-'Black-Scholes'!$B$9^2/2)*'Black-Scholes'!$B$7+'Black-Scholes'!$B$9*SQRT('Black-Scholes'!$B$7)*B2138)</f>
        <v>110.542503153907</v>
      </c>
      <c r="D2138" s="18" t="n">
        <f aca="false">'Black-Scholes'!$B$5*EXP(('Black-Scholes'!$B$8-'Black-Scholes'!$B$10-'Black-Scholes'!$B$9^2/2)*'Black-Scholes'!$B$7-'Black-Scholes'!$B$9*SQRT('Black-Scholes'!$B$7)*B2138)</f>
        <v>96.0568574303933</v>
      </c>
      <c r="E2138" s="18" t="n">
        <f aca="false">EXP(-'Black-Scholes'!$B$8*'Black-Scholes'!$B$7)*IF(LOWER('Black-Scholes'!$B$11)="put",MAX('Black-Scholes'!$B$6-C2138,0),MAX(C2138-'Black-Scholes'!$B$6,0))</f>
        <v>10.0283392078875</v>
      </c>
      <c r="F2138" s="18" t="n">
        <f aca="false">(E2138+G2138)/2</f>
        <v>5.01416960394373</v>
      </c>
      <c r="G2138" s="18" t="n">
        <f aca="false">EXP(-'Black-Scholes'!$B$8*'Black-Scholes'!$B$7)*IF(LOWER('Black-Scholes'!$B$11)="put",MAX('Black-Scholes'!$B$6-D2138,0),MAX(D2138-'Black-Scholes'!$B$6,0))</f>
        <v>0</v>
      </c>
    </row>
    <row r="2139" customFormat="false" ht="15" hidden="false" customHeight="false" outlineLevel="0" collapsed="false">
      <c r="A2139" s="0" t="n">
        <v>2128</v>
      </c>
      <c r="B2139" s="15" t="n">
        <v>0.193417099278119</v>
      </c>
      <c r="C2139" s="18" t="n">
        <f aca="false">'Black-Scholes'!$B$5*EXP(('Black-Scholes'!$B$8-'Black-Scholes'!$B$10-'Black-Scholes'!$B$9^2/2)*'Black-Scholes'!$B$7+'Black-Scholes'!$B$9*SQRT('Black-Scholes'!$B$7)*B2139)</f>
        <v>107.109706740417</v>
      </c>
      <c r="D2139" s="18" t="n">
        <f aca="false">'Black-Scholes'!$B$5*EXP(('Black-Scholes'!$B$8-'Black-Scholes'!$B$10-'Black-Scholes'!$B$9^2/2)*'Black-Scholes'!$B$7-'Black-Scholes'!$B$9*SQRT('Black-Scholes'!$B$7)*B2139)</f>
        <v>99.1354172146833</v>
      </c>
      <c r="E2139" s="18" t="n">
        <f aca="false">EXP(-'Black-Scholes'!$B$8*'Black-Scholes'!$B$7)*IF(LOWER('Black-Scholes'!$B$11)="put",MAX('Black-Scholes'!$B$6-C2139,0),MAX(C2139-'Black-Scholes'!$B$6,0))</f>
        <v>6.7629622510555</v>
      </c>
      <c r="F2139" s="18" t="n">
        <f aca="false">(E2139+G2139)/2</f>
        <v>3.38148112552775</v>
      </c>
      <c r="G2139" s="18" t="n">
        <f aca="false">EXP(-'Black-Scholes'!$B$8*'Black-Scholes'!$B$7)*IF(LOWER('Black-Scholes'!$B$11)="put",MAX('Black-Scholes'!$B$6-D2139,0),MAX(D2139-'Black-Scholes'!$B$6,0))</f>
        <v>0</v>
      </c>
    </row>
    <row r="2140" customFormat="false" ht="15" hidden="false" customHeight="false" outlineLevel="0" collapsed="false">
      <c r="A2140" s="0" t="n">
        <v>2129</v>
      </c>
      <c r="B2140" s="15" t="n">
        <v>-0.937105411785576</v>
      </c>
      <c r="C2140" s="18" t="n">
        <f aca="false">'Black-Scholes'!$B$5*EXP(('Black-Scholes'!$B$8-'Black-Scholes'!$B$10-'Black-Scholes'!$B$9^2/2)*'Black-Scholes'!$B$7+'Black-Scholes'!$B$9*SQRT('Black-Scholes'!$B$7)*B2140)</f>
        <v>85.4344233781266</v>
      </c>
      <c r="D2140" s="18" t="n">
        <f aca="false">'Black-Scholes'!$B$5*EXP(('Black-Scholes'!$B$8-'Black-Scholes'!$B$10-'Black-Scholes'!$B$9^2/2)*'Black-Scholes'!$B$7-'Black-Scholes'!$B$9*SQRT('Black-Scholes'!$B$7)*B2140)</f>
        <v>124.286734147634</v>
      </c>
      <c r="E2140" s="18" t="n">
        <f aca="false">EXP(-'Black-Scholes'!$B$8*'Black-Scholes'!$B$7)*IF(LOWER('Black-Scholes'!$B$11)="put",MAX('Black-Scholes'!$B$6-C2140,0),MAX(C2140-'Black-Scholes'!$B$6,0))</f>
        <v>0</v>
      </c>
      <c r="F2140" s="18" t="n">
        <f aca="false">(E2140+G2140)/2</f>
        <v>11.5511280731277</v>
      </c>
      <c r="G2140" s="18" t="n">
        <f aca="false">EXP(-'Black-Scholes'!$B$8*'Black-Scholes'!$B$7)*IF(LOWER('Black-Scholes'!$B$11)="put",MAX('Black-Scholes'!$B$6-D2140,0),MAX(D2140-'Black-Scholes'!$B$6,0))</f>
        <v>23.1022561462554</v>
      </c>
    </row>
    <row r="2141" customFormat="false" ht="15" hidden="false" customHeight="false" outlineLevel="0" collapsed="false">
      <c r="A2141" s="0" t="n">
        <v>2130</v>
      </c>
      <c r="B2141" s="15" t="n">
        <v>-0.558717957596905</v>
      </c>
      <c r="C2141" s="18" t="n">
        <f aca="false">'Black-Scholes'!$B$5*EXP(('Black-Scholes'!$B$8-'Black-Scholes'!$B$10-'Black-Scholes'!$B$9^2/2)*'Black-Scholes'!$B$7+'Black-Scholes'!$B$9*SQRT('Black-Scholes'!$B$7)*B2141)</f>
        <v>92.1508210926758</v>
      </c>
      <c r="D2141" s="18" t="n">
        <f aca="false">'Black-Scholes'!$B$5*EXP(('Black-Scholes'!$B$8-'Black-Scholes'!$B$10-'Black-Scholes'!$B$9^2/2)*'Black-Scholes'!$B$7-'Black-Scholes'!$B$9*SQRT('Black-Scholes'!$B$7)*B2141)</f>
        <v>115.228115599477</v>
      </c>
      <c r="E2141" s="18" t="n">
        <f aca="false">EXP(-'Black-Scholes'!$B$8*'Black-Scholes'!$B$7)*IF(LOWER('Black-Scholes'!$B$11)="put",MAX('Black-Scholes'!$B$6-C2141,0),MAX(C2141-'Black-Scholes'!$B$6,0))</f>
        <v>0</v>
      </c>
      <c r="F2141" s="18" t="n">
        <f aca="false">(E2141+G2141)/2</f>
        <v>7.24271581896054</v>
      </c>
      <c r="G2141" s="18" t="n">
        <f aca="false">EXP(-'Black-Scholes'!$B$8*'Black-Scholes'!$B$7)*IF(LOWER('Black-Scholes'!$B$11)="put",MAX('Black-Scholes'!$B$6-D2141,0),MAX(D2141-'Black-Scholes'!$B$6,0))</f>
        <v>14.4854316379211</v>
      </c>
    </row>
    <row r="2142" customFormat="false" ht="15" hidden="false" customHeight="false" outlineLevel="0" collapsed="false">
      <c r="A2142" s="0" t="n">
        <v>2131</v>
      </c>
      <c r="B2142" s="15" t="n">
        <v>1.09421072155372</v>
      </c>
      <c r="C2142" s="18" t="n">
        <f aca="false">'Black-Scholes'!$B$5*EXP(('Black-Scholes'!$B$8-'Black-Scholes'!$B$10-'Black-Scholes'!$B$9^2/2)*'Black-Scholes'!$B$7+'Black-Scholes'!$B$9*SQRT('Black-Scholes'!$B$7)*B2142)</f>
        <v>128.253956092315</v>
      </c>
      <c r="D2142" s="18" t="n">
        <f aca="false">'Black-Scholes'!$B$5*EXP(('Black-Scholes'!$B$8-'Black-Scholes'!$B$10-'Black-Scholes'!$B$9^2/2)*'Black-Scholes'!$B$7-'Black-Scholes'!$B$9*SQRT('Black-Scholes'!$B$7)*B2142)</f>
        <v>82.7917187818413</v>
      </c>
      <c r="E2142" s="18" t="n">
        <f aca="false">EXP(-'Black-Scholes'!$B$8*'Black-Scholes'!$B$7)*IF(LOWER('Black-Scholes'!$B$11)="put",MAX('Black-Scholes'!$B$6-C2142,0),MAX(C2142-'Black-Scholes'!$B$6,0))</f>
        <v>26.8759943935617</v>
      </c>
      <c r="F2142" s="18" t="n">
        <f aca="false">(E2142+G2142)/2</f>
        <v>13.4379971967808</v>
      </c>
      <c r="G2142" s="18" t="n">
        <f aca="false">EXP(-'Black-Scholes'!$B$8*'Black-Scholes'!$B$7)*IF(LOWER('Black-Scholes'!$B$11)="put",MAX('Black-Scholes'!$B$6-D2142,0),MAX(D2142-'Black-Scholes'!$B$6,0))</f>
        <v>0</v>
      </c>
    </row>
    <row r="2143" customFormat="false" ht="15" hidden="false" customHeight="false" outlineLevel="0" collapsed="false">
      <c r="A2143" s="0" t="n">
        <v>2132</v>
      </c>
      <c r="B2143" s="15" t="n">
        <v>2.60761745051434</v>
      </c>
      <c r="C2143" s="18" t="n">
        <f aca="false">'Black-Scholes'!$B$5*EXP(('Black-Scholes'!$B$8-'Black-Scholes'!$B$10-'Black-Scholes'!$B$9^2/2)*'Black-Scholes'!$B$7+'Black-Scholes'!$B$9*SQRT('Black-Scholes'!$B$7)*B2143)</f>
        <v>173.589562416703</v>
      </c>
      <c r="D2143" s="18" t="n">
        <f aca="false">'Black-Scholes'!$B$5*EXP(('Black-Scholes'!$B$8-'Black-Scholes'!$B$10-'Black-Scholes'!$B$9^2/2)*'Black-Scholes'!$B$7-'Black-Scholes'!$B$9*SQRT('Black-Scholes'!$B$7)*B2143)</f>
        <v>61.1693774534909</v>
      </c>
      <c r="E2143" s="18" t="n">
        <f aca="false">EXP(-'Black-Scholes'!$B$8*'Black-Scholes'!$B$7)*IF(LOWER('Black-Scholes'!$B$11)="put",MAX('Black-Scholes'!$B$6-C2143,0),MAX(C2143-'Black-Scholes'!$B$6,0))</f>
        <v>70.0005571068993</v>
      </c>
      <c r="F2143" s="18" t="n">
        <f aca="false">(E2143+G2143)/2</f>
        <v>35.0002785534497</v>
      </c>
      <c r="G2143" s="18" t="n">
        <f aca="false">EXP(-'Black-Scholes'!$B$8*'Black-Scholes'!$B$7)*IF(LOWER('Black-Scholes'!$B$11)="put",MAX('Black-Scholes'!$B$6-D2143,0),MAX(D2143-'Black-Scholes'!$B$6,0))</f>
        <v>0</v>
      </c>
    </row>
    <row r="2144" customFormat="false" ht="15" hidden="false" customHeight="false" outlineLevel="0" collapsed="false">
      <c r="A2144" s="0" t="n">
        <v>2133</v>
      </c>
      <c r="B2144" s="15" t="n">
        <v>-1.28431011137752</v>
      </c>
      <c r="C2144" s="18" t="n">
        <f aca="false">'Black-Scholes'!$B$5*EXP(('Black-Scholes'!$B$8-'Black-Scholes'!$B$10-'Black-Scholes'!$B$9^2/2)*'Black-Scholes'!$B$7+'Black-Scholes'!$B$9*SQRT('Black-Scholes'!$B$7)*B2144)</f>
        <v>79.7030747192463</v>
      </c>
      <c r="D2144" s="18" t="n">
        <f aca="false">'Black-Scholes'!$B$5*EXP(('Black-Scholes'!$B$8-'Black-Scholes'!$B$10-'Black-Scholes'!$B$9^2/2)*'Black-Scholes'!$B$7-'Black-Scholes'!$B$9*SQRT('Black-Scholes'!$B$7)*B2144)</f>
        <v>133.22403812973</v>
      </c>
      <c r="E2144" s="18" t="n">
        <f aca="false">EXP(-'Black-Scholes'!$B$8*'Black-Scholes'!$B$7)*IF(LOWER('Black-Scholes'!$B$11)="put",MAX('Black-Scholes'!$B$6-C2144,0),MAX(C2144-'Black-Scholes'!$B$6,0))</f>
        <v>0</v>
      </c>
      <c r="F2144" s="18" t="n">
        <f aca="false">(E2144+G2144)/2</f>
        <v>15.8018413348665</v>
      </c>
      <c r="G2144" s="18" t="n">
        <f aca="false">EXP(-'Black-Scholes'!$B$8*'Black-Scholes'!$B$7)*IF(LOWER('Black-Scholes'!$B$11)="put",MAX('Black-Scholes'!$B$6-D2144,0),MAX(D2144-'Black-Scholes'!$B$6,0))</f>
        <v>31.603682669733</v>
      </c>
    </row>
    <row r="2145" customFormat="false" ht="15" hidden="false" customHeight="false" outlineLevel="0" collapsed="false">
      <c r="A2145" s="0" t="n">
        <v>2134</v>
      </c>
      <c r="B2145" s="15" t="n">
        <v>-0.717227657804218</v>
      </c>
      <c r="C2145" s="18" t="n">
        <f aca="false">'Black-Scholes'!$B$5*EXP(('Black-Scholes'!$B$8-'Black-Scholes'!$B$10-'Black-Scholes'!$B$9^2/2)*'Black-Scholes'!$B$7+'Black-Scholes'!$B$9*SQRT('Black-Scholes'!$B$7)*B2145)</f>
        <v>89.2752821939658</v>
      </c>
      <c r="D2145" s="18" t="n">
        <f aca="false">'Black-Scholes'!$B$5*EXP(('Black-Scholes'!$B$8-'Black-Scholes'!$B$10-'Black-Scholes'!$B$9^2/2)*'Black-Scholes'!$B$7-'Black-Scholes'!$B$9*SQRT('Black-Scholes'!$B$7)*B2145)</f>
        <v>118.939590046698</v>
      </c>
      <c r="E2145" s="18" t="n">
        <f aca="false">EXP(-'Black-Scholes'!$B$8*'Black-Scholes'!$B$7)*IF(LOWER('Black-Scholes'!$B$11)="put",MAX('Black-Scholes'!$B$6-C2145,0),MAX(C2145-'Black-Scholes'!$B$6,0))</f>
        <v>0</v>
      </c>
      <c r="F2145" s="18" t="n">
        <f aca="false">(E2145+G2145)/2</f>
        <v>9.00794767020012</v>
      </c>
      <c r="G2145" s="18" t="n">
        <f aca="false">EXP(-'Black-Scholes'!$B$8*'Black-Scholes'!$B$7)*IF(LOWER('Black-Scholes'!$B$11)="put",MAX('Black-Scholes'!$B$6-D2145,0),MAX(D2145-'Black-Scholes'!$B$6,0))</f>
        <v>18.0158953404003</v>
      </c>
    </row>
    <row r="2146" customFormat="false" ht="15" hidden="false" customHeight="false" outlineLevel="0" collapsed="false">
      <c r="A2146" s="0" t="n">
        <v>2135</v>
      </c>
      <c r="B2146" s="15" t="n">
        <v>-0.645556487216409</v>
      </c>
      <c r="C2146" s="18" t="n">
        <f aca="false">'Black-Scholes'!$B$5*EXP(('Black-Scholes'!$B$8-'Black-Scholes'!$B$10-'Black-Scholes'!$B$9^2/2)*'Black-Scholes'!$B$7+'Black-Scholes'!$B$9*SQRT('Black-Scholes'!$B$7)*B2146)</f>
        <v>90.5641906785438</v>
      </c>
      <c r="D2146" s="18" t="n">
        <f aca="false">'Black-Scholes'!$B$5*EXP(('Black-Scholes'!$B$8-'Black-Scholes'!$B$10-'Black-Scholes'!$B$9^2/2)*'Black-Scholes'!$B$7-'Black-Scholes'!$B$9*SQRT('Black-Scholes'!$B$7)*B2146)</f>
        <v>117.246843215806</v>
      </c>
      <c r="E2146" s="18" t="n">
        <f aca="false">EXP(-'Black-Scholes'!$B$8*'Black-Scholes'!$B$7)*IF(LOWER('Black-Scholes'!$B$11)="put",MAX('Black-Scholes'!$B$6-C2146,0),MAX(C2146-'Black-Scholes'!$B$6,0))</f>
        <v>0</v>
      </c>
      <c r="F2146" s="18" t="n">
        <f aca="false">(E2146+G2146)/2</f>
        <v>8.20285237331263</v>
      </c>
      <c r="G2146" s="18" t="n">
        <f aca="false">EXP(-'Black-Scholes'!$B$8*'Black-Scholes'!$B$7)*IF(LOWER('Black-Scholes'!$B$11)="put",MAX('Black-Scholes'!$B$6-D2146,0),MAX(D2146-'Black-Scholes'!$B$6,0))</f>
        <v>16.4057047466253</v>
      </c>
    </row>
    <row r="2147" customFormat="false" ht="15" hidden="false" customHeight="false" outlineLevel="0" collapsed="false">
      <c r="A2147" s="0" t="n">
        <v>2136</v>
      </c>
      <c r="B2147" s="15" t="n">
        <v>1.16662963423763</v>
      </c>
      <c r="C2147" s="18" t="n">
        <f aca="false">'Black-Scholes'!$B$5*EXP(('Black-Scholes'!$B$8-'Black-Scholes'!$B$10-'Black-Scholes'!$B$9^2/2)*'Black-Scholes'!$B$7+'Black-Scholes'!$B$9*SQRT('Black-Scholes'!$B$7)*B2147)</f>
        <v>130.125076240323</v>
      </c>
      <c r="D2147" s="18" t="n">
        <f aca="false">'Black-Scholes'!$B$5*EXP(('Black-Scholes'!$B$8-'Black-Scholes'!$B$10-'Black-Scholes'!$B$9^2/2)*'Black-Scholes'!$B$7-'Black-Scholes'!$B$9*SQRT('Black-Scholes'!$B$7)*B2147)</f>
        <v>81.6012237782897</v>
      </c>
      <c r="E2147" s="18" t="n">
        <f aca="false">EXP(-'Black-Scholes'!$B$8*'Black-Scholes'!$B$7)*IF(LOWER('Black-Scholes'!$B$11)="put",MAX('Black-Scholes'!$B$6-C2147,0),MAX(C2147-'Black-Scholes'!$B$6,0))</f>
        <v>28.6558589351225</v>
      </c>
      <c r="F2147" s="18" t="n">
        <f aca="false">(E2147+G2147)/2</f>
        <v>14.3279294675613</v>
      </c>
      <c r="G2147" s="18" t="n">
        <f aca="false">EXP(-'Black-Scholes'!$B$8*'Black-Scholes'!$B$7)*IF(LOWER('Black-Scholes'!$B$11)="put",MAX('Black-Scholes'!$B$6-D2147,0),MAX(D2147-'Black-Scholes'!$B$6,0))</f>
        <v>0</v>
      </c>
    </row>
    <row r="2148" customFormat="false" ht="15" hidden="false" customHeight="false" outlineLevel="0" collapsed="false">
      <c r="A2148" s="0" t="n">
        <v>2137</v>
      </c>
      <c r="B2148" s="15" t="n">
        <v>1.17664554897574</v>
      </c>
      <c r="C2148" s="18" t="n">
        <f aca="false">'Black-Scholes'!$B$5*EXP(('Black-Scholes'!$B$8-'Black-Scholes'!$B$10-'Black-Scholes'!$B$9^2/2)*'Black-Scholes'!$B$7+'Black-Scholes'!$B$9*SQRT('Black-Scholes'!$B$7)*B2148)</f>
        <v>130.386001827697</v>
      </c>
      <c r="D2148" s="18" t="n">
        <f aca="false">'Black-Scholes'!$B$5*EXP(('Black-Scholes'!$B$8-'Black-Scholes'!$B$10-'Black-Scholes'!$B$9^2/2)*'Black-Scholes'!$B$7-'Black-Scholes'!$B$9*SQRT('Black-Scholes'!$B$7)*B2148)</f>
        <v>81.4379252113705</v>
      </c>
      <c r="E2148" s="18" t="n">
        <f aca="false">EXP(-'Black-Scholes'!$B$8*'Black-Scholes'!$B$7)*IF(LOWER('Black-Scholes'!$B$11)="put",MAX('Black-Scholes'!$B$6-C2148,0),MAX(C2148-'Black-Scholes'!$B$6,0))</f>
        <v>28.9040590314377</v>
      </c>
      <c r="F2148" s="18" t="n">
        <f aca="false">(E2148+G2148)/2</f>
        <v>14.4520295157189</v>
      </c>
      <c r="G2148" s="18" t="n">
        <f aca="false">EXP(-'Black-Scholes'!$B$8*'Black-Scholes'!$B$7)*IF(LOWER('Black-Scholes'!$B$11)="put",MAX('Black-Scholes'!$B$6-D2148,0),MAX(D2148-'Black-Scholes'!$B$6,0))</f>
        <v>0</v>
      </c>
    </row>
    <row r="2149" customFormat="false" ht="15" hidden="false" customHeight="false" outlineLevel="0" collapsed="false">
      <c r="A2149" s="0" t="n">
        <v>2138</v>
      </c>
      <c r="B2149" s="15" t="n">
        <v>-2.15735152875231</v>
      </c>
      <c r="C2149" s="18" t="n">
        <f aca="false">'Black-Scholes'!$B$5*EXP(('Black-Scholes'!$B$8-'Black-Scholes'!$B$10-'Black-Scholes'!$B$9^2/2)*'Black-Scholes'!$B$7+'Black-Scholes'!$B$9*SQRT('Black-Scholes'!$B$7)*B2149)</f>
        <v>66.9335194810934</v>
      </c>
      <c r="D2149" s="18" t="n">
        <f aca="false">'Black-Scholes'!$B$5*EXP(('Black-Scholes'!$B$8-'Black-Scholes'!$B$10-'Black-Scholes'!$B$9^2/2)*'Black-Scholes'!$B$7-'Black-Scholes'!$B$9*SQRT('Black-Scholes'!$B$7)*B2149)</f>
        <v>158.640477114803</v>
      </c>
      <c r="E2149" s="18" t="n">
        <f aca="false">EXP(-'Black-Scholes'!$B$8*'Black-Scholes'!$B$7)*IF(LOWER('Black-Scholes'!$B$11)="put",MAX('Black-Scholes'!$B$6-C2149,0),MAX(C2149-'Black-Scholes'!$B$6,0))</f>
        <v>0</v>
      </c>
      <c r="F2149" s="18" t="n">
        <f aca="false">(E2149+G2149)/2</f>
        <v>27.8902736491806</v>
      </c>
      <c r="G2149" s="18" t="n">
        <f aca="false">EXP(-'Black-Scholes'!$B$8*'Black-Scholes'!$B$7)*IF(LOWER('Black-Scholes'!$B$11)="put",MAX('Black-Scholes'!$B$6-D2149,0),MAX(D2149-'Black-Scholes'!$B$6,0))</f>
        <v>55.7805472983612</v>
      </c>
    </row>
    <row r="2150" customFormat="false" ht="15" hidden="false" customHeight="false" outlineLevel="0" collapsed="false">
      <c r="A2150" s="0" t="n">
        <v>2139</v>
      </c>
      <c r="B2150" s="15" t="n">
        <v>-0.61250166382901</v>
      </c>
      <c r="C2150" s="18" t="n">
        <f aca="false">'Black-Scholes'!$B$5*EXP(('Black-Scholes'!$B$8-'Black-Scholes'!$B$10-'Black-Scholes'!$B$9^2/2)*'Black-Scholes'!$B$7+'Black-Scholes'!$B$9*SQRT('Black-Scholes'!$B$7)*B2150)</f>
        <v>91.1648907598831</v>
      </c>
      <c r="D2150" s="18" t="n">
        <f aca="false">'Black-Scholes'!$B$5*EXP(('Black-Scholes'!$B$8-'Black-Scholes'!$B$10-'Black-Scholes'!$B$9^2/2)*'Black-Scholes'!$B$7-'Black-Scholes'!$B$9*SQRT('Black-Scholes'!$B$7)*B2150)</f>
        <v>116.474284968114</v>
      </c>
      <c r="E2150" s="18" t="n">
        <f aca="false">EXP(-'Black-Scholes'!$B$8*'Black-Scholes'!$B$7)*IF(LOWER('Black-Scholes'!$B$11)="put",MAX('Black-Scholes'!$B$6-C2150,0),MAX(C2150-'Black-Scholes'!$B$6,0))</f>
        <v>0</v>
      </c>
      <c r="F2150" s="18" t="n">
        <f aca="false">(E2150+G2150)/2</f>
        <v>7.83541230463984</v>
      </c>
      <c r="G2150" s="18" t="n">
        <f aca="false">EXP(-'Black-Scholes'!$B$8*'Black-Scholes'!$B$7)*IF(LOWER('Black-Scholes'!$B$11)="put",MAX('Black-Scholes'!$B$6-D2150,0),MAX(D2150-'Black-Scholes'!$B$6,0))</f>
        <v>15.6708246092797</v>
      </c>
    </row>
    <row r="2151" customFormat="false" ht="15" hidden="false" customHeight="false" outlineLevel="0" collapsed="false">
      <c r="A2151" s="0" t="n">
        <v>2140</v>
      </c>
      <c r="B2151" s="15" t="n">
        <v>0.202907677128027</v>
      </c>
      <c r="C2151" s="18" t="n">
        <f aca="false">'Black-Scholes'!$B$5*EXP(('Black-Scholes'!$B$8-'Black-Scholes'!$B$10-'Black-Scholes'!$B$9^2/2)*'Black-Scholes'!$B$7+'Black-Scholes'!$B$9*SQRT('Black-Scholes'!$B$7)*B2151)</f>
        <v>107.313206414329</v>
      </c>
      <c r="D2151" s="18" t="n">
        <f aca="false">'Black-Scholes'!$B$5*EXP(('Black-Scholes'!$B$8-'Black-Scholes'!$B$10-'Black-Scholes'!$B$9^2/2)*'Black-Scholes'!$B$7-'Black-Scholes'!$B$9*SQRT('Black-Scholes'!$B$7)*B2151)</f>
        <v>98.9474252074516</v>
      </c>
      <c r="E2151" s="18" t="n">
        <f aca="false">EXP(-'Black-Scholes'!$B$8*'Black-Scholes'!$B$7)*IF(LOWER('Black-Scholes'!$B$11)="put",MAX('Black-Scholes'!$B$6-C2151,0),MAX(C2151-'Black-Scholes'!$B$6,0))</f>
        <v>6.95653712875673</v>
      </c>
      <c r="F2151" s="18" t="n">
        <f aca="false">(E2151+G2151)/2</f>
        <v>3.47826856437836</v>
      </c>
      <c r="G2151" s="18" t="n">
        <f aca="false">EXP(-'Black-Scholes'!$B$8*'Black-Scholes'!$B$7)*IF(LOWER('Black-Scholes'!$B$11)="put",MAX('Black-Scholes'!$B$6-D2151,0),MAX(D2151-'Black-Scholes'!$B$6,0))</f>
        <v>0</v>
      </c>
    </row>
    <row r="2152" customFormat="false" ht="15" hidden="false" customHeight="false" outlineLevel="0" collapsed="false">
      <c r="A2152" s="0" t="n">
        <v>2141</v>
      </c>
      <c r="B2152" s="15" t="n">
        <v>1.51906198083028</v>
      </c>
      <c r="C2152" s="18" t="n">
        <f aca="false">'Black-Scholes'!$B$5*EXP(('Black-Scholes'!$B$8-'Black-Scholes'!$B$10-'Black-Scholes'!$B$9^2/2)*'Black-Scholes'!$B$7+'Black-Scholes'!$B$9*SQRT('Black-Scholes'!$B$7)*B2152)</f>
        <v>139.628117130077</v>
      </c>
      <c r="D2152" s="18" t="n">
        <f aca="false">'Black-Scholes'!$B$5*EXP(('Black-Scholes'!$B$8-'Black-Scholes'!$B$10-'Black-Scholes'!$B$9^2/2)*'Black-Scholes'!$B$7-'Black-Scholes'!$B$9*SQRT('Black-Scholes'!$B$7)*B2152)</f>
        <v>76.0474729854127</v>
      </c>
      <c r="E2152" s="18" t="n">
        <f aca="false">EXP(-'Black-Scholes'!$B$8*'Black-Scholes'!$B$7)*IF(LOWER('Black-Scholes'!$B$11)="put",MAX('Black-Scholes'!$B$6-C2152,0),MAX(C2152-'Black-Scholes'!$B$6,0))</f>
        <v>37.6954310516903</v>
      </c>
      <c r="F2152" s="18" t="n">
        <f aca="false">(E2152+G2152)/2</f>
        <v>18.8477155258451</v>
      </c>
      <c r="G2152" s="18" t="n">
        <f aca="false">EXP(-'Black-Scholes'!$B$8*'Black-Scholes'!$B$7)*IF(LOWER('Black-Scholes'!$B$11)="put",MAX('Black-Scholes'!$B$6-D2152,0),MAX(D2152-'Black-Scholes'!$B$6,0))</f>
        <v>0</v>
      </c>
    </row>
    <row r="2153" customFormat="false" ht="15" hidden="false" customHeight="false" outlineLevel="0" collapsed="false">
      <c r="A2153" s="0" t="n">
        <v>2142</v>
      </c>
      <c r="B2153" s="15" t="n">
        <v>1.69749381920129</v>
      </c>
      <c r="C2153" s="18" t="n">
        <f aca="false">'Black-Scholes'!$B$5*EXP(('Black-Scholes'!$B$8-'Black-Scholes'!$B$10-'Black-Scholes'!$B$9^2/2)*'Black-Scholes'!$B$7+'Black-Scholes'!$B$9*SQRT('Black-Scholes'!$B$7)*B2153)</f>
        <v>144.700913955711</v>
      </c>
      <c r="D2153" s="18" t="n">
        <f aca="false">'Black-Scholes'!$B$5*EXP(('Black-Scholes'!$B$8-'Black-Scholes'!$B$10-'Black-Scholes'!$B$9^2/2)*'Black-Scholes'!$B$7-'Black-Scholes'!$B$9*SQRT('Black-Scholes'!$B$7)*B2153)</f>
        <v>73.3814678510155</v>
      </c>
      <c r="E2153" s="18" t="n">
        <f aca="false">EXP(-'Black-Scholes'!$B$8*'Black-Scholes'!$B$7)*IF(LOWER('Black-Scholes'!$B$11)="put",MAX('Black-Scholes'!$B$6-C2153,0),MAX(C2153-'Black-Scholes'!$B$6,0))</f>
        <v>42.5208246567472</v>
      </c>
      <c r="F2153" s="18" t="n">
        <f aca="false">(E2153+G2153)/2</f>
        <v>21.2604123283736</v>
      </c>
      <c r="G2153" s="18" t="n">
        <f aca="false">EXP(-'Black-Scholes'!$B$8*'Black-Scholes'!$B$7)*IF(LOWER('Black-Scholes'!$B$11)="put",MAX('Black-Scholes'!$B$6-D2153,0),MAX(D2153-'Black-Scholes'!$B$6,0))</f>
        <v>0</v>
      </c>
    </row>
    <row r="2154" customFormat="false" ht="15" hidden="false" customHeight="false" outlineLevel="0" collapsed="false">
      <c r="A2154" s="0" t="n">
        <v>2143</v>
      </c>
      <c r="B2154" s="15" t="n">
        <v>-0.699196795243743</v>
      </c>
      <c r="C2154" s="18" t="n">
        <f aca="false">'Black-Scholes'!$B$5*EXP(('Black-Scholes'!$B$8-'Black-Scholes'!$B$10-'Black-Scholes'!$B$9^2/2)*'Black-Scholes'!$B$7+'Black-Scholes'!$B$9*SQRT('Black-Scholes'!$B$7)*B2154)</f>
        <v>89.5978054503536</v>
      </c>
      <c r="D2154" s="18" t="n">
        <f aca="false">'Black-Scholes'!$B$5*EXP(('Black-Scholes'!$B$8-'Black-Scholes'!$B$10-'Black-Scholes'!$B$9^2/2)*'Black-Scholes'!$B$7-'Black-Scholes'!$B$9*SQRT('Black-Scholes'!$B$7)*B2154)</f>
        <v>118.511445811441</v>
      </c>
      <c r="E2154" s="18" t="n">
        <f aca="false">EXP(-'Black-Scholes'!$B$8*'Black-Scholes'!$B$7)*IF(LOWER('Black-Scholes'!$B$11)="put",MAX('Black-Scholes'!$B$6-C2154,0),MAX(C2154-'Black-Scholes'!$B$6,0))</f>
        <v>0</v>
      </c>
      <c r="F2154" s="18" t="n">
        <f aca="false">(E2154+G2154)/2</f>
        <v>8.80431597294653</v>
      </c>
      <c r="G2154" s="18" t="n">
        <f aca="false">EXP(-'Black-Scholes'!$B$8*'Black-Scholes'!$B$7)*IF(LOWER('Black-Scholes'!$B$11)="put",MAX('Black-Scholes'!$B$6-D2154,0),MAX(D2154-'Black-Scholes'!$B$6,0))</f>
        <v>17.6086319458931</v>
      </c>
    </row>
    <row r="2155" customFormat="false" ht="15" hidden="false" customHeight="false" outlineLevel="0" collapsed="false">
      <c r="A2155" s="0" t="n">
        <v>2144</v>
      </c>
      <c r="B2155" s="15" t="n">
        <v>-0.645425500033274</v>
      </c>
      <c r="C2155" s="18" t="n">
        <f aca="false">'Black-Scholes'!$B$5*EXP(('Black-Scholes'!$B$8-'Black-Scholes'!$B$10-'Black-Scholes'!$B$9^2/2)*'Black-Scholes'!$B$7+'Black-Scholes'!$B$9*SQRT('Black-Scholes'!$B$7)*B2155)</f>
        <v>90.5665632592675</v>
      </c>
      <c r="D2155" s="18" t="n">
        <f aca="false">'Black-Scholes'!$B$5*EXP(('Black-Scholes'!$B$8-'Black-Scholes'!$B$10-'Black-Scholes'!$B$9^2/2)*'Black-Scholes'!$B$7-'Black-Scholes'!$B$9*SQRT('Black-Scholes'!$B$7)*B2155)</f>
        <v>117.243771689294</v>
      </c>
      <c r="E2155" s="18" t="n">
        <f aca="false">EXP(-'Black-Scholes'!$B$8*'Black-Scholes'!$B$7)*IF(LOWER('Black-Scholes'!$B$11)="put",MAX('Black-Scholes'!$B$6-C2155,0),MAX(C2155-'Black-Scholes'!$B$6,0))</f>
        <v>0</v>
      </c>
      <c r="F2155" s="18" t="n">
        <f aca="false">(E2155+G2155)/2</f>
        <v>8.20139151011463</v>
      </c>
      <c r="G2155" s="18" t="n">
        <f aca="false">EXP(-'Black-Scholes'!$B$8*'Black-Scholes'!$B$7)*IF(LOWER('Black-Scholes'!$B$11)="put",MAX('Black-Scholes'!$B$6-D2155,0),MAX(D2155-'Black-Scholes'!$B$6,0))</f>
        <v>16.4027830202293</v>
      </c>
    </row>
    <row r="2156" customFormat="false" ht="15" hidden="false" customHeight="false" outlineLevel="0" collapsed="false">
      <c r="A2156" s="0" t="n">
        <v>2145</v>
      </c>
      <c r="B2156" s="15" t="n">
        <v>0.618367448551363</v>
      </c>
      <c r="C2156" s="18" t="n">
        <f aca="false">'Black-Scholes'!$B$5*EXP(('Black-Scholes'!$B$8-'Black-Scholes'!$B$10-'Black-Scholes'!$B$9^2/2)*'Black-Scholes'!$B$7+'Black-Scholes'!$B$9*SQRT('Black-Scholes'!$B$7)*B2156)</f>
        <v>116.611007767346</v>
      </c>
      <c r="D2156" s="18" t="n">
        <f aca="false">'Black-Scholes'!$B$5*EXP(('Black-Scholes'!$B$8-'Black-Scholes'!$B$10-'Black-Scholes'!$B$9^2/2)*'Black-Scholes'!$B$7-'Black-Scholes'!$B$9*SQRT('Black-Scholes'!$B$7)*B2156)</f>
        <v>91.0580027456635</v>
      </c>
      <c r="E2156" s="18" t="n">
        <f aca="false">EXP(-'Black-Scholes'!$B$8*'Black-Scholes'!$B$7)*IF(LOWER('Black-Scholes'!$B$11)="put",MAX('Black-Scholes'!$B$6-C2156,0),MAX(C2156-'Black-Scholes'!$B$6,0))</f>
        <v>15.8008793589096</v>
      </c>
      <c r="F2156" s="18" t="n">
        <f aca="false">(E2156+G2156)/2</f>
        <v>7.9004396794548</v>
      </c>
      <c r="G2156" s="18" t="n">
        <f aca="false">EXP(-'Black-Scholes'!$B$8*'Black-Scholes'!$B$7)*IF(LOWER('Black-Scholes'!$B$11)="put",MAX('Black-Scholes'!$B$6-D2156,0),MAX(D2156-'Black-Scholes'!$B$6,0))</f>
        <v>0</v>
      </c>
    </row>
    <row r="2157" customFormat="false" ht="15" hidden="false" customHeight="false" outlineLevel="0" collapsed="false">
      <c r="A2157" s="0" t="n">
        <v>2146</v>
      </c>
      <c r="B2157" s="15" t="n">
        <v>2.37223674222209</v>
      </c>
      <c r="C2157" s="18" t="n">
        <f aca="false">'Black-Scholes'!$B$5*EXP(('Black-Scholes'!$B$8-'Black-Scholes'!$B$10-'Black-Scholes'!$B$9^2/2)*'Black-Scholes'!$B$7+'Black-Scholes'!$B$9*SQRT('Black-Scholes'!$B$7)*B2157)</f>
        <v>165.607003783014</v>
      </c>
      <c r="D2157" s="18" t="n">
        <f aca="false">'Black-Scholes'!$B$5*EXP(('Black-Scholes'!$B$8-'Black-Scholes'!$B$10-'Black-Scholes'!$B$9^2/2)*'Black-Scholes'!$B$7-'Black-Scholes'!$B$9*SQRT('Black-Scholes'!$B$7)*B2157)</f>
        <v>64.1178526444827</v>
      </c>
      <c r="E2157" s="18" t="n">
        <f aca="false">EXP(-'Black-Scholes'!$B$8*'Black-Scholes'!$B$7)*IF(LOWER('Black-Scholes'!$B$11)="put",MAX('Black-Scholes'!$B$6-C2157,0),MAX(C2157-'Black-Scholes'!$B$6,0))</f>
        <v>62.4073124517328</v>
      </c>
      <c r="F2157" s="18" t="n">
        <f aca="false">(E2157+G2157)/2</f>
        <v>31.2036562258664</v>
      </c>
      <c r="G2157" s="18" t="n">
        <f aca="false">EXP(-'Black-Scholes'!$B$8*'Black-Scholes'!$B$7)*IF(LOWER('Black-Scholes'!$B$11)="put",MAX('Black-Scholes'!$B$6-D2157,0),MAX(D2157-'Black-Scholes'!$B$6,0))</f>
        <v>0</v>
      </c>
    </row>
    <row r="2158" customFormat="false" ht="15" hidden="false" customHeight="false" outlineLevel="0" collapsed="false">
      <c r="A2158" s="0" t="n">
        <v>2147</v>
      </c>
      <c r="B2158" s="15" t="n">
        <v>1.44552420036283</v>
      </c>
      <c r="C2158" s="18" t="n">
        <f aca="false">'Black-Scholes'!$B$5*EXP(('Black-Scholes'!$B$8-'Black-Scholes'!$B$10-'Black-Scholes'!$B$9^2/2)*'Black-Scholes'!$B$7+'Black-Scholes'!$B$9*SQRT('Black-Scholes'!$B$7)*B2158)</f>
        <v>137.589556633578</v>
      </c>
      <c r="D2158" s="18" t="n">
        <f aca="false">'Black-Scholes'!$B$5*EXP(('Black-Scholes'!$B$8-'Black-Scholes'!$B$10-'Black-Scholes'!$B$9^2/2)*'Black-Scholes'!$B$7-'Black-Scholes'!$B$9*SQRT('Black-Scholes'!$B$7)*B2158)</f>
        <v>77.1742109303535</v>
      </c>
      <c r="E2158" s="18" t="n">
        <f aca="false">EXP(-'Black-Scholes'!$B$8*'Black-Scholes'!$B$7)*IF(LOWER('Black-Scholes'!$B$11)="put",MAX('Black-Scholes'!$B$6-C2158,0),MAX(C2158-'Black-Scholes'!$B$6,0))</f>
        <v>35.7562923237957</v>
      </c>
      <c r="F2158" s="18" t="n">
        <f aca="false">(E2158+G2158)/2</f>
        <v>17.8781461618979</v>
      </c>
      <c r="G2158" s="18" t="n">
        <f aca="false">EXP(-'Black-Scholes'!$B$8*'Black-Scholes'!$B$7)*IF(LOWER('Black-Scholes'!$B$11)="put",MAX('Black-Scholes'!$B$6-D2158,0),MAX(D2158-'Black-Scholes'!$B$6,0))</f>
        <v>0</v>
      </c>
    </row>
    <row r="2159" customFormat="false" ht="15" hidden="false" customHeight="false" outlineLevel="0" collapsed="false">
      <c r="A2159" s="0" t="n">
        <v>2148</v>
      </c>
      <c r="B2159" s="15" t="n">
        <v>-0.755844954804339</v>
      </c>
      <c r="C2159" s="18" t="n">
        <f aca="false">'Black-Scholes'!$B$5*EXP(('Black-Scholes'!$B$8-'Black-Scholes'!$B$10-'Black-Scholes'!$B$9^2/2)*'Black-Scholes'!$B$7+'Black-Scholes'!$B$9*SQRT('Black-Scholes'!$B$7)*B2159)</f>
        <v>88.5884240513624</v>
      </c>
      <c r="D2159" s="18" t="n">
        <f aca="false">'Black-Scholes'!$B$5*EXP(('Black-Scholes'!$B$8-'Black-Scholes'!$B$10-'Black-Scholes'!$B$9^2/2)*'Black-Scholes'!$B$7-'Black-Scholes'!$B$9*SQRT('Black-Scholes'!$B$7)*B2159)</f>
        <v>119.861771773897</v>
      </c>
      <c r="E2159" s="18" t="n">
        <f aca="false">EXP(-'Black-Scholes'!$B$8*'Black-Scholes'!$B$7)*IF(LOWER('Black-Scholes'!$B$11)="put",MAX('Black-Scholes'!$B$6-C2159,0),MAX(C2159-'Black-Scholes'!$B$6,0))</f>
        <v>0</v>
      </c>
      <c r="F2159" s="18" t="n">
        <f aca="false">(E2159+G2159)/2</f>
        <v>9.44655086702421</v>
      </c>
      <c r="G2159" s="18" t="n">
        <f aca="false">EXP(-'Black-Scholes'!$B$8*'Black-Scholes'!$B$7)*IF(LOWER('Black-Scholes'!$B$11)="put",MAX('Black-Scholes'!$B$6-D2159,0),MAX(D2159-'Black-Scholes'!$B$6,0))</f>
        <v>18.8931017340484</v>
      </c>
    </row>
    <row r="2160" customFormat="false" ht="15" hidden="false" customHeight="false" outlineLevel="0" collapsed="false">
      <c r="A2160" s="0" t="n">
        <v>2149</v>
      </c>
      <c r="B2160" s="15" t="n">
        <v>-0.541615982823932</v>
      </c>
      <c r="C2160" s="18" t="n">
        <f aca="false">'Black-Scholes'!$B$5*EXP(('Black-Scholes'!$B$8-'Black-Scholes'!$B$10-'Black-Scholes'!$B$9^2/2)*'Black-Scholes'!$B$7+'Black-Scholes'!$B$9*SQRT('Black-Scholes'!$B$7)*B2160)</f>
        <v>92.4665529522178</v>
      </c>
      <c r="D2160" s="18" t="n">
        <f aca="false">'Black-Scholes'!$B$5*EXP(('Black-Scholes'!$B$8-'Black-Scholes'!$B$10-'Black-Scholes'!$B$9^2/2)*'Black-Scholes'!$B$7-'Black-Scholes'!$B$9*SQRT('Black-Scholes'!$B$7)*B2160)</f>
        <v>114.834663199142</v>
      </c>
      <c r="E2160" s="18" t="n">
        <f aca="false">EXP(-'Black-Scholes'!$B$8*'Black-Scholes'!$B$7)*IF(LOWER('Black-Scholes'!$B$11)="put",MAX('Black-Scholes'!$B$6-C2160,0),MAX(C2160-'Black-Scholes'!$B$6,0))</f>
        <v>0</v>
      </c>
      <c r="F2160" s="18" t="n">
        <f aca="false">(E2160+G2160)/2</f>
        <v>7.05558406879107</v>
      </c>
      <c r="G2160" s="18" t="n">
        <f aca="false">EXP(-'Black-Scholes'!$B$8*'Black-Scholes'!$B$7)*IF(LOWER('Black-Scholes'!$B$11)="put",MAX('Black-Scholes'!$B$6-D2160,0),MAX(D2160-'Black-Scholes'!$B$6,0))</f>
        <v>14.1111681375821</v>
      </c>
    </row>
    <row r="2161" customFormat="false" ht="15" hidden="false" customHeight="false" outlineLevel="0" collapsed="false">
      <c r="A2161" s="0" t="n">
        <v>2150</v>
      </c>
      <c r="B2161" s="15" t="n">
        <v>-0.540516780574825</v>
      </c>
      <c r="C2161" s="18" t="n">
        <f aca="false">'Black-Scholes'!$B$5*EXP(('Black-Scholes'!$B$8-'Black-Scholes'!$B$10-'Black-Scholes'!$B$9^2/2)*'Black-Scholes'!$B$7+'Black-Scholes'!$B$9*SQRT('Black-Scholes'!$B$7)*B2161)</f>
        <v>92.4868830754221</v>
      </c>
      <c r="D2161" s="18" t="n">
        <f aca="false">'Black-Scholes'!$B$5*EXP(('Black-Scholes'!$B$8-'Black-Scholes'!$B$10-'Black-Scholes'!$B$9^2/2)*'Black-Scholes'!$B$7-'Black-Scholes'!$B$9*SQRT('Black-Scholes'!$B$7)*B2161)</f>
        <v>114.809420669896</v>
      </c>
      <c r="E2161" s="18" t="n">
        <f aca="false">EXP(-'Black-Scholes'!$B$8*'Black-Scholes'!$B$7)*IF(LOWER('Black-Scholes'!$B$11)="put",MAX('Black-Scholes'!$B$6-C2161,0),MAX(C2161-'Black-Scholes'!$B$6,0))</f>
        <v>0</v>
      </c>
      <c r="F2161" s="18" t="n">
        <f aca="false">(E2161+G2161)/2</f>
        <v>7.04357835050697</v>
      </c>
      <c r="G2161" s="18" t="n">
        <f aca="false">EXP(-'Black-Scholes'!$B$8*'Black-Scholes'!$B$7)*IF(LOWER('Black-Scholes'!$B$11)="put",MAX('Black-Scholes'!$B$6-D2161,0),MAX(D2161-'Black-Scholes'!$B$6,0))</f>
        <v>14.0871567010139</v>
      </c>
    </row>
    <row r="2162" customFormat="false" ht="15" hidden="false" customHeight="false" outlineLevel="0" collapsed="false">
      <c r="A2162" s="0" t="n">
        <v>2151</v>
      </c>
      <c r="B2162" s="15" t="n">
        <v>-0.913174422086725</v>
      </c>
      <c r="C2162" s="18" t="n">
        <f aca="false">'Black-Scholes'!$B$5*EXP(('Black-Scholes'!$B$8-'Black-Scholes'!$B$10-'Black-Scholes'!$B$9^2/2)*'Black-Scholes'!$B$7+'Black-Scholes'!$B$9*SQRT('Black-Scholes'!$B$7)*B2162)</f>
        <v>85.8443095550103</v>
      </c>
      <c r="D2162" s="18" t="n">
        <f aca="false">'Black-Scholes'!$B$5*EXP(('Black-Scholes'!$B$8-'Black-Scholes'!$B$10-'Black-Scholes'!$B$9^2/2)*'Black-Scholes'!$B$7-'Black-Scholes'!$B$9*SQRT('Black-Scholes'!$B$7)*B2162)</f>
        <v>123.693294529315</v>
      </c>
      <c r="E2162" s="18" t="n">
        <f aca="false">EXP(-'Black-Scholes'!$B$8*'Black-Scholes'!$B$7)*IF(LOWER('Black-Scholes'!$B$11)="put",MAX('Black-Scholes'!$B$6-C2162,0),MAX(C2162-'Black-Scholes'!$B$6,0))</f>
        <v>0</v>
      </c>
      <c r="F2162" s="18" t="n">
        <f aca="false">(E2162+G2162)/2</f>
        <v>11.2688794598232</v>
      </c>
      <c r="G2162" s="18" t="n">
        <f aca="false">EXP(-'Black-Scholes'!$B$8*'Black-Scholes'!$B$7)*IF(LOWER('Black-Scholes'!$B$11)="put",MAX('Black-Scholes'!$B$6-D2162,0),MAX(D2162-'Black-Scholes'!$B$6,0))</f>
        <v>22.5377589196464</v>
      </c>
    </row>
    <row r="2163" customFormat="false" ht="15" hidden="false" customHeight="false" outlineLevel="0" collapsed="false">
      <c r="A2163" s="0" t="n">
        <v>2152</v>
      </c>
      <c r="B2163" s="15" t="n">
        <v>-0.720755149708905</v>
      </c>
      <c r="C2163" s="18" t="n">
        <f aca="false">'Black-Scholes'!$B$5*EXP(('Black-Scholes'!$B$8-'Black-Scholes'!$B$10-'Black-Scholes'!$B$9^2/2)*'Black-Scholes'!$B$7+'Black-Scholes'!$B$9*SQRT('Black-Scholes'!$B$7)*B2163)</f>
        <v>89.2123208390987</v>
      </c>
      <c r="D2163" s="18" t="n">
        <f aca="false">'Black-Scholes'!$B$5*EXP(('Black-Scholes'!$B$8-'Black-Scholes'!$B$10-'Black-Scholes'!$B$9^2/2)*'Black-Scholes'!$B$7-'Black-Scholes'!$B$9*SQRT('Black-Scholes'!$B$7)*B2163)</f>
        <v>119.023531341648</v>
      </c>
      <c r="E2163" s="18" t="n">
        <f aca="false">EXP(-'Black-Scholes'!$B$8*'Black-Scholes'!$B$7)*IF(LOWER('Black-Scholes'!$B$11)="put",MAX('Black-Scholes'!$B$6-C2163,0),MAX(C2163-'Black-Scholes'!$B$6,0))</f>
        <v>0</v>
      </c>
      <c r="F2163" s="18" t="n">
        <f aca="false">(E2163+G2163)/2</f>
        <v>9.04787138504344</v>
      </c>
      <c r="G2163" s="18" t="n">
        <f aca="false">EXP(-'Black-Scholes'!$B$8*'Black-Scholes'!$B$7)*IF(LOWER('Black-Scholes'!$B$11)="put",MAX('Black-Scholes'!$B$6-D2163,0),MAX(D2163-'Black-Scholes'!$B$6,0))</f>
        <v>18.0957427700869</v>
      </c>
    </row>
    <row r="2164" customFormat="false" ht="15" hidden="false" customHeight="false" outlineLevel="0" collapsed="false">
      <c r="A2164" s="0" t="n">
        <v>2153</v>
      </c>
      <c r="B2164" s="15" t="n">
        <v>1.73818932467389</v>
      </c>
      <c r="C2164" s="18" t="n">
        <f aca="false">'Black-Scholes'!$B$5*EXP(('Black-Scholes'!$B$8-'Black-Scholes'!$B$10-'Black-Scholes'!$B$9^2/2)*'Black-Scholes'!$B$7+'Black-Scholes'!$B$9*SQRT('Black-Scholes'!$B$7)*B2164)</f>
        <v>145.883455206149</v>
      </c>
      <c r="D2164" s="18" t="n">
        <f aca="false">'Black-Scholes'!$B$5*EXP(('Black-Scholes'!$B$8-'Black-Scholes'!$B$10-'Black-Scholes'!$B$9^2/2)*'Black-Scholes'!$B$7-'Black-Scholes'!$B$9*SQRT('Black-Scholes'!$B$7)*B2164)</f>
        <v>72.7866326613164</v>
      </c>
      <c r="E2164" s="18" t="n">
        <f aca="false">EXP(-'Black-Scholes'!$B$8*'Black-Scholes'!$B$7)*IF(LOWER('Black-Scholes'!$B$11)="put",MAX('Black-Scholes'!$B$6-C2164,0),MAX(C2164-'Black-Scholes'!$B$6,0))</f>
        <v>43.6456926898496</v>
      </c>
      <c r="F2164" s="18" t="n">
        <f aca="false">(E2164+G2164)/2</f>
        <v>21.8228463449248</v>
      </c>
      <c r="G2164" s="18" t="n">
        <f aca="false">EXP(-'Black-Scholes'!$B$8*'Black-Scholes'!$B$7)*IF(LOWER('Black-Scholes'!$B$11)="put",MAX('Black-Scholes'!$B$6-D2164,0),MAX(D2164-'Black-Scholes'!$B$6,0))</f>
        <v>0</v>
      </c>
    </row>
    <row r="2165" customFormat="false" ht="15" hidden="false" customHeight="false" outlineLevel="0" collapsed="false">
      <c r="A2165" s="0" t="n">
        <v>2154</v>
      </c>
      <c r="B2165" s="15" t="n">
        <v>0.0763029649676486</v>
      </c>
      <c r="C2165" s="18" t="n">
        <f aca="false">'Black-Scholes'!$B$5*EXP(('Black-Scholes'!$B$8-'Black-Scholes'!$B$10-'Black-Scholes'!$B$9^2/2)*'Black-Scholes'!$B$7+'Black-Scholes'!$B$9*SQRT('Black-Scholes'!$B$7)*B2165)</f>
        <v>104.630048296033</v>
      </c>
      <c r="D2165" s="18" t="n">
        <f aca="false">'Black-Scholes'!$B$5*EXP(('Black-Scholes'!$B$8-'Black-Scholes'!$B$10-'Black-Scholes'!$B$9^2/2)*'Black-Scholes'!$B$7-'Black-Scholes'!$B$9*SQRT('Black-Scholes'!$B$7)*B2165)</f>
        <v>101.484856772795</v>
      </c>
      <c r="E2165" s="18" t="n">
        <f aca="false">EXP(-'Black-Scholes'!$B$8*'Black-Scholes'!$B$7)*IF(LOWER('Black-Scholes'!$B$11)="put",MAX('Black-Scholes'!$B$6-C2165,0),MAX(C2165-'Black-Scholes'!$B$6,0))</f>
        <v>4.40423817604615</v>
      </c>
      <c r="F2165" s="18" t="n">
        <f aca="false">(E2165+G2165)/2</f>
        <v>2.90833881474917</v>
      </c>
      <c r="G2165" s="18" t="n">
        <f aca="false">EXP(-'Black-Scholes'!$B$8*'Black-Scholes'!$B$7)*IF(LOWER('Black-Scholes'!$B$11)="put",MAX('Black-Scholes'!$B$6-D2165,0),MAX(D2165-'Black-Scholes'!$B$6,0))</f>
        <v>1.41243945345219</v>
      </c>
    </row>
    <row r="2166" customFormat="false" ht="15" hidden="false" customHeight="false" outlineLevel="0" collapsed="false">
      <c r="A2166" s="0" t="n">
        <v>2155</v>
      </c>
      <c r="B2166" s="15" t="n">
        <v>0.615655497637672</v>
      </c>
      <c r="C2166" s="18" t="n">
        <f aca="false">'Black-Scholes'!$B$5*EXP(('Black-Scholes'!$B$8-'Black-Scholes'!$B$10-'Black-Scholes'!$B$9^2/2)*'Black-Scholes'!$B$7+'Black-Scholes'!$B$9*SQRT('Black-Scholes'!$B$7)*B2166)</f>
        <v>116.547776251161</v>
      </c>
      <c r="D2166" s="18" t="n">
        <f aca="false">'Black-Scholes'!$B$5*EXP(('Black-Scholes'!$B$8-'Black-Scholes'!$B$10-'Black-Scholes'!$B$9^2/2)*'Black-Scholes'!$B$7-'Black-Scholes'!$B$9*SQRT('Black-Scholes'!$B$7)*B2166)</f>
        <v>91.1074051088798</v>
      </c>
      <c r="E2166" s="18" t="n">
        <f aca="false">EXP(-'Black-Scholes'!$B$8*'Black-Scholes'!$B$7)*IF(LOWER('Black-Scholes'!$B$11)="put",MAX('Black-Scholes'!$B$6-C2166,0),MAX(C2166-'Black-Scholes'!$B$6,0))</f>
        <v>15.7407316801584</v>
      </c>
      <c r="F2166" s="18" t="n">
        <f aca="false">(E2166+G2166)/2</f>
        <v>7.8703658400792</v>
      </c>
      <c r="G2166" s="18" t="n">
        <f aca="false">EXP(-'Black-Scholes'!$B$8*'Black-Scholes'!$B$7)*IF(LOWER('Black-Scholes'!$B$11)="put",MAX('Black-Scholes'!$B$6-D2166,0),MAX(D2166-'Black-Scholes'!$B$6,0))</f>
        <v>0</v>
      </c>
    </row>
    <row r="2167" customFormat="false" ht="15" hidden="false" customHeight="false" outlineLevel="0" collapsed="false">
      <c r="A2167" s="0" t="n">
        <v>2156</v>
      </c>
      <c r="B2167" s="15" t="n">
        <v>-0.0824225652713915</v>
      </c>
      <c r="C2167" s="18" t="n">
        <f aca="false">'Black-Scholes'!$B$5*EXP(('Black-Scholes'!$B$8-'Black-Scholes'!$B$10-'Black-Scholes'!$B$9^2/2)*'Black-Scholes'!$B$7+'Black-Scholes'!$B$9*SQRT('Black-Scholes'!$B$7)*B2167)</f>
        <v>101.360723400887</v>
      </c>
      <c r="D2167" s="18" t="n">
        <f aca="false">'Black-Scholes'!$B$5*EXP(('Black-Scholes'!$B$8-'Black-Scholes'!$B$10-'Black-Scholes'!$B$9^2/2)*'Black-Scholes'!$B$7-'Black-Scholes'!$B$9*SQRT('Black-Scholes'!$B$7)*B2167)</f>
        <v>104.758185509958</v>
      </c>
      <c r="E2167" s="18" t="n">
        <f aca="false">EXP(-'Black-Scholes'!$B$8*'Black-Scholes'!$B$7)*IF(LOWER('Black-Scholes'!$B$11)="put",MAX('Black-Scholes'!$B$6-C2167,0),MAX(C2167-'Black-Scholes'!$B$6,0))</f>
        <v>1.29436013753024</v>
      </c>
      <c r="F2167" s="18" t="n">
        <f aca="false">(E2167+G2167)/2</f>
        <v>2.91024310091739</v>
      </c>
      <c r="G2167" s="18" t="n">
        <f aca="false">EXP(-'Black-Scholes'!$B$8*'Black-Scholes'!$B$7)*IF(LOWER('Black-Scholes'!$B$11)="put",MAX('Black-Scholes'!$B$6-D2167,0),MAX(D2167-'Black-Scholes'!$B$6,0))</f>
        <v>4.52612606430454</v>
      </c>
    </row>
    <row r="2168" customFormat="false" ht="15" hidden="false" customHeight="false" outlineLevel="0" collapsed="false">
      <c r="A2168" s="0" t="n">
        <v>2157</v>
      </c>
      <c r="B2168" s="15" t="n">
        <v>0.11780571438327</v>
      </c>
      <c r="C2168" s="18" t="n">
        <f aca="false">'Black-Scholes'!$B$5*EXP(('Black-Scholes'!$B$8-'Black-Scholes'!$B$10-'Black-Scholes'!$B$9^2/2)*'Black-Scholes'!$B$7+'Black-Scholes'!$B$9*SQRT('Black-Scholes'!$B$7)*B2168)</f>
        <v>105.502149684481</v>
      </c>
      <c r="D2168" s="18" t="n">
        <f aca="false">'Black-Scholes'!$B$5*EXP(('Black-Scholes'!$B$8-'Black-Scholes'!$B$10-'Black-Scholes'!$B$9^2/2)*'Black-Scholes'!$B$7-'Black-Scholes'!$B$9*SQRT('Black-Scholes'!$B$7)*B2168)</f>
        <v>100.645963112689</v>
      </c>
      <c r="E2168" s="18" t="n">
        <f aca="false">EXP(-'Black-Scholes'!$B$8*'Black-Scholes'!$B$7)*IF(LOWER('Black-Scholes'!$B$11)="put",MAX('Black-Scholes'!$B$6-C2168,0),MAX(C2168-'Black-Scholes'!$B$6,0))</f>
        <v>5.23380667788537</v>
      </c>
      <c r="F2168" s="18" t="n">
        <f aca="false">(E2168+G2168)/2</f>
        <v>2.92413289890842</v>
      </c>
      <c r="G2168" s="18" t="n">
        <f aca="false">EXP(-'Black-Scholes'!$B$8*'Black-Scholes'!$B$7)*IF(LOWER('Black-Scholes'!$B$11)="put",MAX('Black-Scholes'!$B$6-D2168,0),MAX(D2168-'Black-Scholes'!$B$6,0))</f>
        <v>0.614459119931458</v>
      </c>
    </row>
    <row r="2169" customFormat="false" ht="15" hidden="false" customHeight="false" outlineLevel="0" collapsed="false">
      <c r="A2169" s="0" t="n">
        <v>2158</v>
      </c>
      <c r="B2169" s="15" t="n">
        <v>-0.013482312146816</v>
      </c>
      <c r="C2169" s="18" t="n">
        <f aca="false">'Black-Scholes'!$B$5*EXP(('Black-Scholes'!$B$8-'Black-Scholes'!$B$10-'Black-Scholes'!$B$9^2/2)*'Black-Scholes'!$B$7+'Black-Scholes'!$B$9*SQRT('Black-Scholes'!$B$7)*B2169)</f>
        <v>102.767969482358</v>
      </c>
      <c r="D2169" s="18" t="n">
        <f aca="false">'Black-Scholes'!$B$5*EXP(('Black-Scholes'!$B$8-'Black-Scholes'!$B$10-'Black-Scholes'!$B$9^2/2)*'Black-Scholes'!$B$7-'Black-Scholes'!$B$9*SQRT('Black-Scholes'!$B$7)*B2169)</f>
        <v>103.32368654298</v>
      </c>
      <c r="E2169" s="18" t="n">
        <f aca="false">EXP(-'Black-Scholes'!$B$8*'Black-Scholes'!$B$7)*IF(LOWER('Black-Scholes'!$B$11)="put",MAX('Black-Scholes'!$B$6-C2169,0),MAX(C2169-'Black-Scholes'!$B$6,0))</f>
        <v>2.63297401773848</v>
      </c>
      <c r="F2169" s="18" t="n">
        <f aca="false">(E2169+G2169)/2</f>
        <v>2.89728122761885</v>
      </c>
      <c r="G2169" s="18" t="n">
        <f aca="false">EXP(-'Black-Scholes'!$B$8*'Black-Scholes'!$B$7)*IF(LOWER('Black-Scholes'!$B$11)="put",MAX('Black-Scholes'!$B$6-D2169,0),MAX(D2169-'Black-Scholes'!$B$6,0))</f>
        <v>3.16158843749921</v>
      </c>
    </row>
    <row r="2170" customFormat="false" ht="15" hidden="false" customHeight="false" outlineLevel="0" collapsed="false">
      <c r="A2170" s="0" t="n">
        <v>2159</v>
      </c>
      <c r="B2170" s="15" t="n">
        <v>0.251128443456997</v>
      </c>
      <c r="C2170" s="18" t="n">
        <f aca="false">'Black-Scholes'!$B$5*EXP(('Black-Scholes'!$B$8-'Black-Scholes'!$B$10-'Black-Scholes'!$B$9^2/2)*'Black-Scholes'!$B$7+'Black-Scholes'!$B$9*SQRT('Black-Scholes'!$B$7)*B2170)</f>
        <v>108.353158090657</v>
      </c>
      <c r="D2170" s="18" t="n">
        <f aca="false">'Black-Scholes'!$B$5*EXP(('Black-Scholes'!$B$8-'Black-Scholes'!$B$10-'Black-Scholes'!$B$9^2/2)*'Black-Scholes'!$B$7-'Black-Scholes'!$B$9*SQRT('Black-Scholes'!$B$7)*B2170)</f>
        <v>97.9977478512386</v>
      </c>
      <c r="E2170" s="18" t="n">
        <f aca="false">EXP(-'Black-Scholes'!$B$8*'Black-Scholes'!$B$7)*IF(LOWER('Black-Scholes'!$B$11)="put",MAX('Black-Scholes'!$B$6-C2170,0),MAX(C2170-'Black-Scholes'!$B$6,0))</f>
        <v>7.94576976333912</v>
      </c>
      <c r="F2170" s="18" t="n">
        <f aca="false">(E2170+G2170)/2</f>
        <v>3.97288488166956</v>
      </c>
      <c r="G2170" s="18" t="n">
        <f aca="false">EXP(-'Black-Scholes'!$B$8*'Black-Scholes'!$B$7)*IF(LOWER('Black-Scholes'!$B$11)="put",MAX('Black-Scholes'!$B$6-D2170,0),MAX(D2170-'Black-Scholes'!$B$6,0))</f>
        <v>0</v>
      </c>
    </row>
    <row r="2171" customFormat="false" ht="15" hidden="false" customHeight="false" outlineLevel="0" collapsed="false">
      <c r="A2171" s="0" t="n">
        <v>2160</v>
      </c>
      <c r="B2171" s="15" t="n">
        <v>-0.572900808629256</v>
      </c>
      <c r="C2171" s="18" t="n">
        <f aca="false">'Black-Scholes'!$B$5*EXP(('Black-Scholes'!$B$8-'Black-Scholes'!$B$10-'Black-Scholes'!$B$9^2/2)*'Black-Scholes'!$B$7+'Black-Scholes'!$B$9*SQRT('Black-Scholes'!$B$7)*B2171)</f>
        <v>91.889799197546</v>
      </c>
      <c r="D2171" s="18" t="n">
        <f aca="false">'Black-Scholes'!$B$5*EXP(('Black-Scholes'!$B$8-'Black-Scholes'!$B$10-'Black-Scholes'!$B$9^2/2)*'Black-Scholes'!$B$7-'Black-Scholes'!$B$9*SQRT('Black-Scholes'!$B$7)*B2171)</f>
        <v>115.555432247992</v>
      </c>
      <c r="E2171" s="18" t="n">
        <f aca="false">EXP(-'Black-Scholes'!$B$8*'Black-Scholes'!$B$7)*IF(LOWER('Black-Scholes'!$B$11)="put",MAX('Black-Scholes'!$B$6-C2171,0),MAX(C2171-'Black-Scholes'!$B$6,0))</f>
        <v>0</v>
      </c>
      <c r="F2171" s="18" t="n">
        <f aca="false">(E2171+G2171)/2</f>
        <v>7.39839243255851</v>
      </c>
      <c r="G2171" s="18" t="n">
        <f aca="false">EXP(-'Black-Scholes'!$B$8*'Black-Scholes'!$B$7)*IF(LOWER('Black-Scholes'!$B$11)="put",MAX('Black-Scholes'!$B$6-D2171,0),MAX(D2171-'Black-Scholes'!$B$6,0))</f>
        <v>14.796784865117</v>
      </c>
    </row>
    <row r="2172" customFormat="false" ht="15" hidden="false" customHeight="false" outlineLevel="0" collapsed="false">
      <c r="A2172" s="0" t="n">
        <v>2161</v>
      </c>
      <c r="B2172" s="15" t="n">
        <v>0.0781085473915227</v>
      </c>
      <c r="C2172" s="18" t="n">
        <f aca="false">'Black-Scholes'!$B$5*EXP(('Black-Scholes'!$B$8-'Black-Scholes'!$B$10-'Black-Scholes'!$B$9^2/2)*'Black-Scholes'!$B$7+'Black-Scholes'!$B$9*SQRT('Black-Scholes'!$B$7)*B2172)</f>
        <v>104.667838754244</v>
      </c>
      <c r="D2172" s="18" t="n">
        <f aca="false">'Black-Scholes'!$B$5*EXP(('Black-Scholes'!$B$8-'Black-Scholes'!$B$10-'Black-Scholes'!$B$9^2/2)*'Black-Scholes'!$B$7-'Black-Scholes'!$B$9*SQRT('Black-Scholes'!$B$7)*B2172)</f>
        <v>101.448215534336</v>
      </c>
      <c r="E2172" s="18" t="n">
        <f aca="false">EXP(-'Black-Scholes'!$B$8*'Black-Scholes'!$B$7)*IF(LOWER('Black-Scholes'!$B$11)="put",MAX('Black-Scholes'!$B$6-C2172,0),MAX(C2172-'Black-Scholes'!$B$6,0))</f>
        <v>4.44018557186137</v>
      </c>
      <c r="F2172" s="18" t="n">
        <f aca="false">(E2172+G2172)/2</f>
        <v>2.90888540057019</v>
      </c>
      <c r="G2172" s="18" t="n">
        <f aca="false">EXP(-'Black-Scholes'!$B$8*'Black-Scholes'!$B$7)*IF(LOWER('Black-Scholes'!$B$11)="put",MAX('Black-Scholes'!$B$6-D2172,0),MAX(D2172-'Black-Scholes'!$B$6,0))</f>
        <v>1.37758522927901</v>
      </c>
    </row>
    <row r="2173" customFormat="false" ht="15" hidden="false" customHeight="false" outlineLevel="0" collapsed="false">
      <c r="A2173" s="0" t="n">
        <v>2162</v>
      </c>
      <c r="B2173" s="15" t="n">
        <v>-0.360686330588793</v>
      </c>
      <c r="C2173" s="18" t="n">
        <f aca="false">'Black-Scholes'!$B$5*EXP(('Black-Scholes'!$B$8-'Black-Scholes'!$B$10-'Black-Scholes'!$B$9^2/2)*'Black-Scholes'!$B$7+'Black-Scholes'!$B$9*SQRT('Black-Scholes'!$B$7)*B2173)</f>
        <v>95.8738169273362</v>
      </c>
      <c r="D2173" s="18" t="n">
        <f aca="false">'Black-Scholes'!$B$5*EXP(('Black-Scholes'!$B$8-'Black-Scholes'!$B$10-'Black-Scholes'!$B$9^2/2)*'Black-Scholes'!$B$7-'Black-Scholes'!$B$9*SQRT('Black-Scholes'!$B$7)*B2173)</f>
        <v>110.75354883911</v>
      </c>
      <c r="E2173" s="18" t="n">
        <f aca="false">EXP(-'Black-Scholes'!$B$8*'Black-Scholes'!$B$7)*IF(LOWER('Black-Scholes'!$B$11)="put",MAX('Black-Scholes'!$B$6-C2173,0),MAX(C2173-'Black-Scholes'!$B$6,0))</f>
        <v>0</v>
      </c>
      <c r="F2173" s="18" t="n">
        <f aca="false">(E2173+G2173)/2</f>
        <v>5.11454603678333</v>
      </c>
      <c r="G2173" s="18" t="n">
        <f aca="false">EXP(-'Black-Scholes'!$B$8*'Black-Scholes'!$B$7)*IF(LOWER('Black-Scholes'!$B$11)="put",MAX('Black-Scholes'!$B$6-D2173,0),MAX(D2173-'Black-Scholes'!$B$6,0))</f>
        <v>10.2290920735667</v>
      </c>
    </row>
    <row r="2174" customFormat="false" ht="15" hidden="false" customHeight="false" outlineLevel="0" collapsed="false">
      <c r="A2174" s="0" t="n">
        <v>2163</v>
      </c>
      <c r="B2174" s="15" t="n">
        <v>0.833941208567607</v>
      </c>
      <c r="C2174" s="18" t="n">
        <f aca="false">'Black-Scholes'!$B$5*EXP(('Black-Scholes'!$B$8-'Black-Scholes'!$B$10-'Black-Scholes'!$B$9^2/2)*'Black-Scholes'!$B$7+'Black-Scholes'!$B$9*SQRT('Black-Scholes'!$B$7)*B2174)</f>
        <v>121.748620061533</v>
      </c>
      <c r="D2174" s="18" t="n">
        <f aca="false">'Black-Scholes'!$B$5*EXP(('Black-Scholes'!$B$8-'Black-Scholes'!$B$10-'Black-Scholes'!$B$9^2/2)*'Black-Scholes'!$B$7-'Black-Scholes'!$B$9*SQRT('Black-Scholes'!$B$7)*B2174)</f>
        <v>87.2154892604693</v>
      </c>
      <c r="E2174" s="18" t="n">
        <f aca="false">EXP(-'Black-Scholes'!$B$8*'Black-Scholes'!$B$7)*IF(LOWER('Black-Scholes'!$B$11)="put",MAX('Black-Scholes'!$B$6-C2174,0),MAX(C2174-'Black-Scholes'!$B$6,0))</f>
        <v>20.6879273448168</v>
      </c>
      <c r="F2174" s="18" t="n">
        <f aca="false">(E2174+G2174)/2</f>
        <v>10.3439636724084</v>
      </c>
      <c r="G2174" s="18" t="n">
        <f aca="false">EXP(-'Black-Scholes'!$B$8*'Black-Scholes'!$B$7)*IF(LOWER('Black-Scholes'!$B$11)="put",MAX('Black-Scholes'!$B$6-D2174,0),MAX(D2174-'Black-Scholes'!$B$6,0))</f>
        <v>0</v>
      </c>
    </row>
    <row r="2175" customFormat="false" ht="15" hidden="false" customHeight="false" outlineLevel="0" collapsed="false">
      <c r="A2175" s="0" t="n">
        <v>2164</v>
      </c>
      <c r="B2175" s="15" t="n">
        <v>-1.13945582280165</v>
      </c>
      <c r="C2175" s="18" t="n">
        <f aca="false">'Black-Scholes'!$B$5*EXP(('Black-Scholes'!$B$8-'Black-Scholes'!$B$10-'Black-Scholes'!$B$9^2/2)*'Black-Scholes'!$B$7+'Black-Scholes'!$B$9*SQRT('Black-Scholes'!$B$7)*B2175)</f>
        <v>82.0459143310369</v>
      </c>
      <c r="D2175" s="18" t="n">
        <f aca="false">'Black-Scholes'!$B$5*EXP(('Black-Scholes'!$B$8-'Black-Scholes'!$B$10-'Black-Scholes'!$B$9^2/2)*'Black-Scholes'!$B$7-'Black-Scholes'!$B$9*SQRT('Black-Scholes'!$B$7)*B2175)</f>
        <v>129.419795635537</v>
      </c>
      <c r="E2175" s="18" t="n">
        <f aca="false">EXP(-'Black-Scholes'!$B$8*'Black-Scholes'!$B$7)*IF(LOWER('Black-Scholes'!$B$11)="put",MAX('Black-Scholes'!$B$6-C2175,0),MAX(C2175-'Black-Scholes'!$B$6,0))</f>
        <v>0</v>
      </c>
      <c r="F2175" s="18" t="n">
        <f aca="false">(E2175+G2175)/2</f>
        <v>13.9924876356604</v>
      </c>
      <c r="G2175" s="18" t="n">
        <f aca="false">EXP(-'Black-Scholes'!$B$8*'Black-Scholes'!$B$7)*IF(LOWER('Black-Scholes'!$B$11)="put",MAX('Black-Scholes'!$B$6-D2175,0),MAX(D2175-'Black-Scholes'!$B$6,0))</f>
        <v>27.9849752713208</v>
      </c>
    </row>
    <row r="2176" customFormat="false" ht="15" hidden="false" customHeight="false" outlineLevel="0" collapsed="false">
      <c r="A2176" s="0" t="n">
        <v>2165</v>
      </c>
      <c r="B2176" s="15" t="n">
        <v>-1.12602780606298</v>
      </c>
      <c r="C2176" s="18" t="n">
        <f aca="false">'Black-Scholes'!$B$5*EXP(('Black-Scholes'!$B$8-'Black-Scholes'!$B$10-'Black-Scholes'!$B$9^2/2)*'Black-Scholes'!$B$7+'Black-Scholes'!$B$9*SQRT('Black-Scholes'!$B$7)*B2176)</f>
        <v>82.266553254936</v>
      </c>
      <c r="D2176" s="18" t="n">
        <f aca="false">'Black-Scholes'!$B$5*EXP(('Black-Scholes'!$B$8-'Black-Scholes'!$B$10-'Black-Scholes'!$B$9^2/2)*'Black-Scholes'!$B$7-'Black-Scholes'!$B$9*SQRT('Black-Scholes'!$B$7)*B2176)</f>
        <v>129.072691699485</v>
      </c>
      <c r="E2176" s="18" t="n">
        <f aca="false">EXP(-'Black-Scholes'!$B$8*'Black-Scholes'!$B$7)*IF(LOWER('Black-Scholes'!$B$11)="put",MAX('Black-Scholes'!$B$6-C2176,0),MAX(C2176-'Black-Scholes'!$B$6,0))</f>
        <v>0</v>
      </c>
      <c r="F2176" s="18" t="n">
        <f aca="false">(E2176+G2176)/2</f>
        <v>13.8273998969938</v>
      </c>
      <c r="G2176" s="18" t="n">
        <f aca="false">EXP(-'Black-Scholes'!$B$8*'Black-Scholes'!$B$7)*IF(LOWER('Black-Scholes'!$B$11)="put",MAX('Black-Scholes'!$B$6-D2176,0),MAX(D2176-'Black-Scholes'!$B$6,0))</f>
        <v>27.6547997939875</v>
      </c>
    </row>
    <row r="2177" customFormat="false" ht="15" hidden="false" customHeight="false" outlineLevel="0" collapsed="false">
      <c r="A2177" s="0" t="n">
        <v>2166</v>
      </c>
      <c r="B2177" s="15" t="n">
        <v>-1.07026440981856</v>
      </c>
      <c r="C2177" s="18" t="n">
        <f aca="false">'Black-Scholes'!$B$5*EXP(('Black-Scholes'!$B$8-'Black-Scholes'!$B$10-'Black-Scholes'!$B$9^2/2)*'Black-Scholes'!$B$7+'Black-Scholes'!$B$9*SQRT('Black-Scholes'!$B$7)*B2177)</f>
        <v>83.1891810590918</v>
      </c>
      <c r="D2177" s="18" t="n">
        <f aca="false">'Black-Scholes'!$B$5*EXP(('Black-Scholes'!$B$8-'Black-Scholes'!$B$10-'Black-Scholes'!$B$9^2/2)*'Black-Scholes'!$B$7-'Black-Scholes'!$B$9*SQRT('Black-Scholes'!$B$7)*B2177)</f>
        <v>127.64118278687</v>
      </c>
      <c r="E2177" s="18" t="n">
        <f aca="false">EXP(-'Black-Scholes'!$B$8*'Black-Scholes'!$B$7)*IF(LOWER('Black-Scholes'!$B$11)="put",MAX('Black-Scholes'!$B$6-C2177,0),MAX(C2177-'Black-Scholes'!$B$6,0))</f>
        <v>0</v>
      </c>
      <c r="F2177" s="18" t="n">
        <f aca="false">(E2177+G2177)/2</f>
        <v>13.1465531974369</v>
      </c>
      <c r="G2177" s="18" t="n">
        <f aca="false">EXP(-'Black-Scholes'!$B$8*'Black-Scholes'!$B$7)*IF(LOWER('Black-Scholes'!$B$11)="put",MAX('Black-Scholes'!$B$6-D2177,0),MAX(D2177-'Black-Scholes'!$B$6,0))</f>
        <v>26.2931063948738</v>
      </c>
    </row>
    <row r="2178" customFormat="false" ht="15" hidden="false" customHeight="false" outlineLevel="0" collapsed="false">
      <c r="A2178" s="0" t="n">
        <v>2167</v>
      </c>
      <c r="B2178" s="15" t="n">
        <v>-0.996580679772509</v>
      </c>
      <c r="C2178" s="18" t="n">
        <f aca="false">'Black-Scholes'!$B$5*EXP(('Black-Scholes'!$B$8-'Black-Scholes'!$B$10-'Black-Scholes'!$B$9^2/2)*'Black-Scholes'!$B$7+'Black-Scholes'!$B$9*SQRT('Black-Scholes'!$B$7)*B2178)</f>
        <v>84.424196595426</v>
      </c>
      <c r="D2178" s="18" t="n">
        <f aca="false">'Black-Scholes'!$B$5*EXP(('Black-Scholes'!$B$8-'Black-Scholes'!$B$10-'Black-Scholes'!$B$9^2/2)*'Black-Scholes'!$B$7-'Black-Scholes'!$B$9*SQRT('Black-Scholes'!$B$7)*B2178)</f>
        <v>125.77395928727</v>
      </c>
      <c r="E2178" s="18" t="n">
        <f aca="false">EXP(-'Black-Scholes'!$B$8*'Black-Scholes'!$B$7)*IF(LOWER('Black-Scholes'!$B$11)="put",MAX('Black-Scholes'!$B$6-C2178,0),MAX(C2178-'Black-Scholes'!$B$6,0))</f>
        <v>0</v>
      </c>
      <c r="F2178" s="18" t="n">
        <f aca="false">(E2178+G2178)/2</f>
        <v>12.2584742299674</v>
      </c>
      <c r="G2178" s="18" t="n">
        <f aca="false">EXP(-'Black-Scholes'!$B$8*'Black-Scholes'!$B$7)*IF(LOWER('Black-Scholes'!$B$11)="put",MAX('Black-Scholes'!$B$6-D2178,0),MAX(D2178-'Black-Scholes'!$B$6,0))</f>
        <v>24.5169484599348</v>
      </c>
    </row>
    <row r="2179" customFormat="false" ht="15" hidden="false" customHeight="false" outlineLevel="0" collapsed="false">
      <c r="A2179" s="0" t="n">
        <v>2168</v>
      </c>
      <c r="B2179" s="15" t="n">
        <v>1.02086578449313</v>
      </c>
      <c r="C2179" s="18" t="n">
        <f aca="false">'Black-Scholes'!$B$5*EXP(('Black-Scholes'!$B$8-'Black-Scholes'!$B$10-'Black-Scholes'!$B$9^2/2)*'Black-Scholes'!$B$7+'Black-Scholes'!$B$9*SQRT('Black-Scholes'!$B$7)*B2179)</f>
        <v>126.386331991423</v>
      </c>
      <c r="D2179" s="18" t="n">
        <f aca="false">'Black-Scholes'!$B$5*EXP(('Black-Scholes'!$B$8-'Black-Scholes'!$B$10-'Black-Scholes'!$B$9^2/2)*'Black-Scholes'!$B$7-'Black-Scholes'!$B$9*SQRT('Black-Scholes'!$B$7)*B2179)</f>
        <v>84.0151407050422</v>
      </c>
      <c r="E2179" s="18" t="n">
        <f aca="false">EXP(-'Black-Scholes'!$B$8*'Black-Scholes'!$B$7)*IF(LOWER('Black-Scholes'!$B$11)="put",MAX('Black-Scholes'!$B$6-C2179,0),MAX(C2179-'Black-Scholes'!$B$6,0))</f>
        <v>25.0994553948862</v>
      </c>
      <c r="F2179" s="18" t="n">
        <f aca="false">(E2179+G2179)/2</f>
        <v>12.5497276974431</v>
      </c>
      <c r="G2179" s="18" t="n">
        <f aca="false">EXP(-'Black-Scholes'!$B$8*'Black-Scholes'!$B$7)*IF(LOWER('Black-Scholes'!$B$11)="put",MAX('Black-Scholes'!$B$6-D2179,0),MAX(D2179-'Black-Scholes'!$B$6,0))</f>
        <v>0</v>
      </c>
    </row>
    <row r="2180" customFormat="false" ht="15" hidden="false" customHeight="false" outlineLevel="0" collapsed="false">
      <c r="A2180" s="0" t="n">
        <v>2169</v>
      </c>
      <c r="B2180" s="15" t="n">
        <v>1.19539139060043</v>
      </c>
      <c r="C2180" s="18" t="n">
        <f aca="false">'Black-Scholes'!$B$5*EXP(('Black-Scholes'!$B$8-'Black-Scholes'!$B$10-'Black-Scholes'!$B$9^2/2)*'Black-Scholes'!$B$7+'Black-Scholes'!$B$9*SQRT('Black-Scholes'!$B$7)*B2180)</f>
        <v>130.875758412022</v>
      </c>
      <c r="D2180" s="18" t="n">
        <f aca="false">'Black-Scholes'!$B$5*EXP(('Black-Scholes'!$B$8-'Black-Scholes'!$B$10-'Black-Scholes'!$B$9^2/2)*'Black-Scholes'!$B$7-'Black-Scholes'!$B$9*SQRT('Black-Scholes'!$B$7)*B2180)</f>
        <v>81.1331723635551</v>
      </c>
      <c r="E2180" s="18" t="n">
        <f aca="false">EXP(-'Black-Scholes'!$B$8*'Black-Scholes'!$B$7)*IF(LOWER('Black-Scholes'!$B$11)="put",MAX('Black-Scholes'!$B$6-C2180,0),MAX(C2180-'Black-Scholes'!$B$6,0))</f>
        <v>29.369929905291</v>
      </c>
      <c r="F2180" s="18" t="n">
        <f aca="false">(E2180+G2180)/2</f>
        <v>14.6849649526455</v>
      </c>
      <c r="G2180" s="18" t="n">
        <f aca="false">EXP(-'Black-Scholes'!$B$8*'Black-Scholes'!$B$7)*IF(LOWER('Black-Scholes'!$B$11)="put",MAX('Black-Scholes'!$B$6-D2180,0),MAX(D2180-'Black-Scholes'!$B$6,0))</f>
        <v>0</v>
      </c>
    </row>
    <row r="2181" customFormat="false" ht="15" hidden="false" customHeight="false" outlineLevel="0" collapsed="false">
      <c r="A2181" s="0" t="n">
        <v>2170</v>
      </c>
      <c r="B2181" s="15" t="n">
        <v>2.43251278496715</v>
      </c>
      <c r="C2181" s="18" t="n">
        <f aca="false">'Black-Scholes'!$B$5*EXP(('Black-Scholes'!$B$8-'Black-Scholes'!$B$10-'Black-Scholes'!$B$9^2/2)*'Black-Scholes'!$B$7+'Black-Scholes'!$B$9*SQRT('Black-Scholes'!$B$7)*B2181)</f>
        <v>167.615512924749</v>
      </c>
      <c r="D2181" s="18" t="n">
        <f aca="false">'Black-Scholes'!$B$5*EXP(('Black-Scholes'!$B$8-'Black-Scholes'!$B$10-'Black-Scholes'!$B$9^2/2)*'Black-Scholes'!$B$7-'Black-Scholes'!$B$9*SQRT('Black-Scholes'!$B$7)*B2181)</f>
        <v>63.3495389547906</v>
      </c>
      <c r="E2181" s="18" t="n">
        <f aca="false">EXP(-'Black-Scholes'!$B$8*'Black-Scholes'!$B$7)*IF(LOWER('Black-Scholes'!$B$11)="put",MAX('Black-Scholes'!$B$6-C2181,0),MAX(C2181-'Black-Scholes'!$B$6,0))</f>
        <v>64.3178654467296</v>
      </c>
      <c r="F2181" s="18" t="n">
        <f aca="false">(E2181+G2181)/2</f>
        <v>32.1589327233648</v>
      </c>
      <c r="G2181" s="18" t="n">
        <f aca="false">EXP(-'Black-Scholes'!$B$8*'Black-Scholes'!$B$7)*IF(LOWER('Black-Scholes'!$B$11)="put",MAX('Black-Scholes'!$B$6-D2181,0),MAX(D2181-'Black-Scholes'!$B$6,0))</f>
        <v>0</v>
      </c>
    </row>
    <row r="2182" customFormat="false" ht="15" hidden="false" customHeight="false" outlineLevel="0" collapsed="false">
      <c r="A2182" s="0" t="n">
        <v>2171</v>
      </c>
      <c r="B2182" s="15" t="n">
        <v>2.08654672745405</v>
      </c>
      <c r="C2182" s="18" t="n">
        <f aca="false">'Black-Scholes'!$B$5*EXP(('Black-Scholes'!$B$8-'Black-Scholes'!$B$10-'Black-Scholes'!$B$9^2/2)*'Black-Scholes'!$B$7+'Black-Scholes'!$B$9*SQRT('Black-Scholes'!$B$7)*B2182)</f>
        <v>156.409807114173</v>
      </c>
      <c r="D2182" s="18" t="n">
        <f aca="false">'Black-Scholes'!$B$5*EXP(('Black-Scholes'!$B$8-'Black-Scholes'!$B$10-'Black-Scholes'!$B$9^2/2)*'Black-Scholes'!$B$7-'Black-Scholes'!$B$9*SQRT('Black-Scholes'!$B$7)*B2182)</f>
        <v>67.8881053647909</v>
      </c>
      <c r="E2182" s="18" t="n">
        <f aca="false">EXP(-'Black-Scholes'!$B$8*'Black-Scholes'!$B$7)*IF(LOWER('Black-Scholes'!$B$11)="put",MAX('Black-Scholes'!$B$6-C2182,0),MAX(C2182-'Black-Scholes'!$B$6,0))</f>
        <v>53.6586683574111</v>
      </c>
      <c r="F2182" s="18" t="n">
        <f aca="false">(E2182+G2182)/2</f>
        <v>26.8293341787055</v>
      </c>
      <c r="G2182" s="18" t="n">
        <f aca="false">EXP(-'Black-Scholes'!$B$8*'Black-Scholes'!$B$7)*IF(LOWER('Black-Scholes'!$B$11)="put",MAX('Black-Scholes'!$B$6-D2182,0),MAX(D2182-'Black-Scholes'!$B$6,0))</f>
        <v>0</v>
      </c>
    </row>
    <row r="2183" customFormat="false" ht="15" hidden="false" customHeight="false" outlineLevel="0" collapsed="false">
      <c r="A2183" s="0" t="n">
        <v>2172</v>
      </c>
      <c r="B2183" s="15" t="n">
        <v>-0.159432871177507</v>
      </c>
      <c r="C2183" s="18" t="n">
        <f aca="false">'Black-Scholes'!$B$5*EXP(('Black-Scholes'!$B$8-'Black-Scholes'!$B$10-'Black-Scholes'!$B$9^2/2)*'Black-Scholes'!$B$7+'Black-Scholes'!$B$9*SQRT('Black-Scholes'!$B$7)*B2183)</f>
        <v>99.8115204227095</v>
      </c>
      <c r="D2183" s="18" t="n">
        <f aca="false">'Black-Scholes'!$B$5*EXP(('Black-Scholes'!$B$8-'Black-Scholes'!$B$10-'Black-Scholes'!$B$9^2/2)*'Black-Scholes'!$B$7-'Black-Scholes'!$B$9*SQRT('Black-Scholes'!$B$7)*B2183)</f>
        <v>106.384167082958</v>
      </c>
      <c r="E2183" s="18" t="n">
        <f aca="false">EXP(-'Black-Scholes'!$B$8*'Black-Scholes'!$B$7)*IF(LOWER('Black-Scholes'!$B$11)="put",MAX('Black-Scholes'!$B$6-C2183,0),MAX(C2183-'Black-Scholes'!$B$6,0))</f>
        <v>0</v>
      </c>
      <c r="F2183" s="18" t="n">
        <f aca="false">(E2183+G2183)/2</f>
        <v>3.03640379011924</v>
      </c>
      <c r="G2183" s="18" t="n">
        <f aca="false">EXP(-'Black-Scholes'!$B$8*'Black-Scholes'!$B$7)*IF(LOWER('Black-Scholes'!$B$11)="put",MAX('Black-Scholes'!$B$6-D2183,0),MAX(D2183-'Black-Scholes'!$B$6,0))</f>
        <v>6.07280758023847</v>
      </c>
    </row>
    <row r="2184" customFormat="false" ht="15" hidden="false" customHeight="false" outlineLevel="0" collapsed="false">
      <c r="A2184" s="0" t="n">
        <v>2173</v>
      </c>
      <c r="B2184" s="15" t="n">
        <v>2.23403118764497</v>
      </c>
      <c r="C2184" s="18" t="n">
        <f aca="false">'Black-Scholes'!$B$5*EXP(('Black-Scholes'!$B$8-'Black-Scholes'!$B$10-'Black-Scholes'!$B$9^2/2)*'Black-Scholes'!$B$7+'Black-Scholes'!$B$9*SQRT('Black-Scholes'!$B$7)*B2184)</f>
        <v>161.092127772479</v>
      </c>
      <c r="D2184" s="18" t="n">
        <f aca="false">'Black-Scholes'!$B$5*EXP(('Black-Scholes'!$B$8-'Black-Scholes'!$B$10-'Black-Scholes'!$B$9^2/2)*'Black-Scholes'!$B$7-'Black-Scholes'!$B$9*SQRT('Black-Scholes'!$B$7)*B2184)</f>
        <v>65.9148625837919</v>
      </c>
      <c r="E2184" s="18" t="n">
        <f aca="false">EXP(-'Black-Scholes'!$B$8*'Black-Scholes'!$B$7)*IF(LOWER('Black-Scholes'!$B$11)="put",MAX('Black-Scholes'!$B$6-C2184,0),MAX(C2184-'Black-Scholes'!$B$6,0))</f>
        <v>58.1126295425392</v>
      </c>
      <c r="F2184" s="18" t="n">
        <f aca="false">(E2184+G2184)/2</f>
        <v>29.0563147712696</v>
      </c>
      <c r="G2184" s="18" t="n">
        <f aca="false">EXP(-'Black-Scholes'!$B$8*'Black-Scholes'!$B$7)*IF(LOWER('Black-Scholes'!$B$11)="put",MAX('Black-Scholes'!$B$6-D2184,0),MAX(D2184-'Black-Scholes'!$B$6,0))</f>
        <v>0</v>
      </c>
    </row>
    <row r="2185" customFormat="false" ht="15" hidden="false" customHeight="false" outlineLevel="0" collapsed="false">
      <c r="A2185" s="0" t="n">
        <v>2174</v>
      </c>
      <c r="B2185" s="15" t="n">
        <v>0.0414575800667996</v>
      </c>
      <c r="C2185" s="18" t="n">
        <f aca="false">'Black-Scholes'!$B$5*EXP(('Black-Scholes'!$B$8-'Black-Scholes'!$B$10-'Black-Scholes'!$B$9^2/2)*'Black-Scholes'!$B$7+'Black-Scholes'!$B$9*SQRT('Black-Scholes'!$B$7)*B2185)</f>
        <v>103.903408380726</v>
      </c>
      <c r="D2185" s="18" t="n">
        <f aca="false">'Black-Scholes'!$B$5*EXP(('Black-Scholes'!$B$8-'Black-Scholes'!$B$10-'Black-Scholes'!$B$9^2/2)*'Black-Scholes'!$B$7-'Black-Scholes'!$B$9*SQRT('Black-Scholes'!$B$7)*B2185)</f>
        <v>102.194582746944</v>
      </c>
      <c r="E2185" s="18" t="n">
        <f aca="false">EXP(-'Black-Scholes'!$B$8*'Black-Scholes'!$B$7)*IF(LOWER('Black-Scholes'!$B$11)="put",MAX('Black-Scholes'!$B$6-C2185,0),MAX(C2185-'Black-Scholes'!$B$6,0))</f>
        <v>3.71303690758942</v>
      </c>
      <c r="F2185" s="18" t="n">
        <f aca="false">(E2185+G2185)/2</f>
        <v>2.9002942954919</v>
      </c>
      <c r="G2185" s="18" t="n">
        <f aca="false">EXP(-'Black-Scholes'!$B$8*'Black-Scholes'!$B$7)*IF(LOWER('Black-Scholes'!$B$11)="put",MAX('Black-Scholes'!$B$6-D2185,0),MAX(D2185-'Black-Scholes'!$B$6,0))</f>
        <v>2.08755168339438</v>
      </c>
    </row>
    <row r="2186" customFormat="false" ht="15" hidden="false" customHeight="false" outlineLevel="0" collapsed="false">
      <c r="A2186" s="0" t="n">
        <v>2175</v>
      </c>
      <c r="B2186" s="15" t="n">
        <v>-1.03009262917972</v>
      </c>
      <c r="C2186" s="18" t="n">
        <f aca="false">'Black-Scholes'!$B$5*EXP(('Black-Scholes'!$B$8-'Black-Scholes'!$B$10-'Black-Scholes'!$B$9^2/2)*'Black-Scholes'!$B$7+'Black-Scholes'!$B$9*SQRT('Black-Scholes'!$B$7)*B2186)</f>
        <v>83.8602447381804</v>
      </c>
      <c r="D2186" s="18" t="n">
        <f aca="false">'Black-Scholes'!$B$5*EXP(('Black-Scholes'!$B$8-'Black-Scholes'!$B$10-'Black-Scholes'!$B$9^2/2)*'Black-Scholes'!$B$7-'Black-Scholes'!$B$9*SQRT('Black-Scholes'!$B$7)*B2186)</f>
        <v>126.619776732171</v>
      </c>
      <c r="E2186" s="18" t="n">
        <f aca="false">EXP(-'Black-Scholes'!$B$8*'Black-Scholes'!$B$7)*IF(LOWER('Black-Scholes'!$B$11)="put",MAX('Black-Scholes'!$B$6-C2186,0),MAX(C2186-'Black-Scholes'!$B$6,0))</f>
        <v>0</v>
      </c>
      <c r="F2186" s="18" t="n">
        <f aca="false">(E2186+G2186)/2</f>
        <v>12.6607574506401</v>
      </c>
      <c r="G2186" s="18" t="n">
        <f aca="false">EXP(-'Black-Scholes'!$B$8*'Black-Scholes'!$B$7)*IF(LOWER('Black-Scholes'!$B$11)="put",MAX('Black-Scholes'!$B$6-D2186,0),MAX(D2186-'Black-Scholes'!$B$6,0))</f>
        <v>25.3215149012802</v>
      </c>
    </row>
    <row r="2187" customFormat="false" ht="15" hidden="false" customHeight="false" outlineLevel="0" collapsed="false">
      <c r="A2187" s="0" t="n">
        <v>2176</v>
      </c>
      <c r="B2187" s="15" t="n">
        <v>0.288483668959032</v>
      </c>
      <c r="C2187" s="18" t="n">
        <f aca="false">'Black-Scholes'!$B$5*EXP(('Black-Scholes'!$B$8-'Black-Scholes'!$B$10-'Black-Scholes'!$B$9^2/2)*'Black-Scholes'!$B$7+'Black-Scholes'!$B$9*SQRT('Black-Scholes'!$B$7)*B2187)</f>
        <v>109.165700914125</v>
      </c>
      <c r="D2187" s="18" t="n">
        <f aca="false">'Black-Scholes'!$B$5*EXP(('Black-Scholes'!$B$8-'Black-Scholes'!$B$10-'Black-Scholes'!$B$9^2/2)*'Black-Scholes'!$B$7-'Black-Scholes'!$B$9*SQRT('Black-Scholes'!$B$7)*B2187)</f>
        <v>97.2683304054129</v>
      </c>
      <c r="E2187" s="18" t="n">
        <f aca="false">EXP(-'Black-Scholes'!$B$8*'Black-Scholes'!$B$7)*IF(LOWER('Black-Scholes'!$B$11)="put",MAX('Black-Scholes'!$B$6-C2187,0),MAX(C2187-'Black-Scholes'!$B$6,0))</f>
        <v>8.7186844056888</v>
      </c>
      <c r="F2187" s="18" t="n">
        <f aca="false">(E2187+G2187)/2</f>
        <v>4.3593422028444</v>
      </c>
      <c r="G2187" s="18" t="n">
        <f aca="false">EXP(-'Black-Scholes'!$B$8*'Black-Scholes'!$B$7)*IF(LOWER('Black-Scholes'!$B$11)="put",MAX('Black-Scholes'!$B$6-D2187,0),MAX(D2187-'Black-Scholes'!$B$6,0))</f>
        <v>0</v>
      </c>
    </row>
    <row r="2188" customFormat="false" ht="15" hidden="false" customHeight="false" outlineLevel="0" collapsed="false">
      <c r="A2188" s="0" t="n">
        <v>2177</v>
      </c>
      <c r="B2188" s="15" t="n">
        <v>-0.55257134904052</v>
      </c>
      <c r="C2188" s="18" t="n">
        <f aca="false">'Black-Scholes'!$B$5*EXP(('Black-Scholes'!$B$8-'Black-Scholes'!$B$10-'Black-Scholes'!$B$9^2/2)*'Black-Scholes'!$B$7+'Black-Scholes'!$B$9*SQRT('Black-Scholes'!$B$7)*B2188)</f>
        <v>92.2641737569275</v>
      </c>
      <c r="D2188" s="18" t="n">
        <f aca="false">'Black-Scholes'!$B$5*EXP(('Black-Scholes'!$B$8-'Black-Scholes'!$B$10-'Black-Scholes'!$B$9^2/2)*'Black-Scholes'!$B$7-'Black-Scholes'!$B$9*SQRT('Black-Scholes'!$B$7)*B2188)</f>
        <v>115.086550207754</v>
      </c>
      <c r="E2188" s="18" t="n">
        <f aca="false">EXP(-'Black-Scholes'!$B$8*'Black-Scholes'!$B$7)*IF(LOWER('Black-Scholes'!$B$11)="put",MAX('Black-Scholes'!$B$6-C2188,0),MAX(C2188-'Black-Scholes'!$B$6,0))</f>
        <v>0</v>
      </c>
      <c r="F2188" s="18" t="n">
        <f aca="false">(E2188+G2188)/2</f>
        <v>7.17538523591161</v>
      </c>
      <c r="G2188" s="18" t="n">
        <f aca="false">EXP(-'Black-Scholes'!$B$8*'Black-Scholes'!$B$7)*IF(LOWER('Black-Scholes'!$B$11)="put",MAX('Black-Scholes'!$B$6-D2188,0),MAX(D2188-'Black-Scholes'!$B$6,0))</f>
        <v>14.3507704718232</v>
      </c>
    </row>
    <row r="2189" customFormat="false" ht="15" hidden="false" customHeight="false" outlineLevel="0" collapsed="false">
      <c r="A2189" s="0" t="n">
        <v>2178</v>
      </c>
      <c r="B2189" s="15" t="n">
        <v>0.347073315575451</v>
      </c>
      <c r="C2189" s="18" t="n">
        <f aca="false">'Black-Scholes'!$B$5*EXP(('Black-Scholes'!$B$8-'Black-Scholes'!$B$10-'Black-Scholes'!$B$9^2/2)*'Black-Scholes'!$B$7+'Black-Scholes'!$B$9*SQRT('Black-Scholes'!$B$7)*B2189)</f>
        <v>110.452421006266</v>
      </c>
      <c r="D2189" s="18" t="n">
        <f aca="false">'Black-Scholes'!$B$5*EXP(('Black-Scholes'!$B$8-'Black-Scholes'!$B$10-'Black-Scholes'!$B$9^2/2)*'Black-Scholes'!$B$7-'Black-Scholes'!$B$9*SQRT('Black-Scholes'!$B$7)*B2189)</f>
        <v>96.1351989274297</v>
      </c>
      <c r="E2189" s="18" t="n">
        <f aca="false">EXP(-'Black-Scholes'!$B$8*'Black-Scholes'!$B$7)*IF(LOWER('Black-Scholes'!$B$11)="put",MAX('Black-Scholes'!$B$6-C2189,0),MAX(C2189-'Black-Scholes'!$B$6,0))</f>
        <v>9.94265041842956</v>
      </c>
      <c r="F2189" s="18" t="n">
        <f aca="false">(E2189+G2189)/2</f>
        <v>4.97132520921478</v>
      </c>
      <c r="G2189" s="18" t="n">
        <f aca="false">EXP(-'Black-Scholes'!$B$8*'Black-Scholes'!$B$7)*IF(LOWER('Black-Scholes'!$B$11)="put",MAX('Black-Scholes'!$B$6-D2189,0),MAX(D2189-'Black-Scholes'!$B$6,0))</f>
        <v>0</v>
      </c>
    </row>
    <row r="2190" customFormat="false" ht="15" hidden="false" customHeight="false" outlineLevel="0" collapsed="false">
      <c r="A2190" s="0" t="n">
        <v>2179</v>
      </c>
      <c r="B2190" s="15" t="n">
        <v>-0.865282193072843</v>
      </c>
      <c r="C2190" s="18" t="n">
        <f aca="false">'Black-Scholes'!$B$5*EXP(('Black-Scholes'!$B$8-'Black-Scholes'!$B$10-'Black-Scholes'!$B$9^2/2)*'Black-Scholes'!$B$7+'Black-Scholes'!$B$9*SQRT('Black-Scholes'!$B$7)*B2190)</f>
        <v>86.6705151877086</v>
      </c>
      <c r="D2190" s="18" t="n">
        <f aca="false">'Black-Scholes'!$B$5*EXP(('Black-Scholes'!$B$8-'Black-Scholes'!$B$10-'Black-Scholes'!$B$9^2/2)*'Black-Scholes'!$B$7-'Black-Scholes'!$B$9*SQRT('Black-Scholes'!$B$7)*B2190)</f>
        <v>122.514161159151</v>
      </c>
      <c r="E2190" s="18" t="n">
        <f aca="false">EXP(-'Black-Scholes'!$B$8*'Black-Scholes'!$B$7)*IF(LOWER('Black-Scholes'!$B$11)="put",MAX('Black-Scholes'!$B$6-C2190,0),MAX(C2190-'Black-Scholes'!$B$6,0))</f>
        <v>0</v>
      </c>
      <c r="F2190" s="18" t="n">
        <f aca="false">(E2190+G2190)/2</f>
        <v>10.7080662812679</v>
      </c>
      <c r="G2190" s="18" t="n">
        <f aca="false">EXP(-'Black-Scholes'!$B$8*'Black-Scholes'!$B$7)*IF(LOWER('Black-Scholes'!$B$11)="put",MAX('Black-Scholes'!$B$6-D2190,0),MAX(D2190-'Black-Scholes'!$B$6,0))</f>
        <v>21.4161325625357</v>
      </c>
    </row>
    <row r="2191" customFormat="false" ht="15" hidden="false" customHeight="false" outlineLevel="0" collapsed="false">
      <c r="A2191" s="0" t="n">
        <v>2180</v>
      </c>
      <c r="B2191" s="15" t="n">
        <v>0.731332597305398</v>
      </c>
      <c r="C2191" s="18" t="n">
        <f aca="false">'Black-Scholes'!$B$5*EXP(('Black-Scholes'!$B$8-'Black-Scholes'!$B$10-'Black-Scholes'!$B$9^2/2)*'Black-Scholes'!$B$7+'Black-Scholes'!$B$9*SQRT('Black-Scholes'!$B$7)*B2191)</f>
        <v>119.27559089542</v>
      </c>
      <c r="D2191" s="18" t="n">
        <f aca="false">'Black-Scholes'!$B$5*EXP(('Black-Scholes'!$B$8-'Black-Scholes'!$B$10-'Black-Scholes'!$B$9^2/2)*'Black-Scholes'!$B$7-'Black-Scholes'!$B$9*SQRT('Black-Scholes'!$B$7)*B2191)</f>
        <v>89.0237925944441</v>
      </c>
      <c r="E2191" s="18" t="n">
        <f aca="false">EXP(-'Black-Scholes'!$B$8*'Black-Scholes'!$B$7)*IF(LOWER('Black-Scholes'!$B$11)="put",MAX('Black-Scholes'!$B$6-C2191,0),MAX(C2191-'Black-Scholes'!$B$6,0))</f>
        <v>18.3355092343612</v>
      </c>
      <c r="F2191" s="18" t="n">
        <f aca="false">(E2191+G2191)/2</f>
        <v>9.1677546171806</v>
      </c>
      <c r="G2191" s="18" t="n">
        <f aca="false">EXP(-'Black-Scholes'!$B$8*'Black-Scholes'!$B$7)*IF(LOWER('Black-Scholes'!$B$11)="put",MAX('Black-Scholes'!$B$6-D2191,0),MAX(D2191-'Black-Scholes'!$B$6,0))</f>
        <v>0</v>
      </c>
    </row>
    <row r="2192" customFormat="false" ht="15" hidden="false" customHeight="false" outlineLevel="0" collapsed="false">
      <c r="A2192" s="0" t="n">
        <v>2181</v>
      </c>
      <c r="B2192" s="15" t="n">
        <v>-0.39200646834345</v>
      </c>
      <c r="C2192" s="18" t="n">
        <f aca="false">'Black-Scholes'!$B$5*EXP(('Black-Scholes'!$B$8-'Black-Scholes'!$B$10-'Black-Scholes'!$B$9^2/2)*'Black-Scholes'!$B$7+'Black-Scholes'!$B$9*SQRT('Black-Scholes'!$B$7)*B2192)</f>
        <v>95.2751377257788</v>
      </c>
      <c r="D2192" s="18" t="n">
        <f aca="false">'Black-Scholes'!$B$5*EXP(('Black-Scholes'!$B$8-'Black-Scholes'!$B$10-'Black-Scholes'!$B$9^2/2)*'Black-Scholes'!$B$7-'Black-Scholes'!$B$9*SQRT('Black-Scholes'!$B$7)*B2192)</f>
        <v>111.449489540655</v>
      </c>
      <c r="E2192" s="18" t="n">
        <f aca="false">EXP(-'Black-Scholes'!$B$8*'Black-Scholes'!$B$7)*IF(LOWER('Black-Scholes'!$B$11)="put",MAX('Black-Scholes'!$B$6-C2192,0),MAX(C2192-'Black-Scholes'!$B$6,0))</f>
        <v>0</v>
      </c>
      <c r="F2192" s="18" t="n">
        <f aca="false">(E2192+G2192)/2</f>
        <v>5.44554567329186</v>
      </c>
      <c r="G2192" s="18" t="n">
        <f aca="false">EXP(-'Black-Scholes'!$B$8*'Black-Scholes'!$B$7)*IF(LOWER('Black-Scholes'!$B$11)="put",MAX('Black-Scholes'!$B$6-D2192,0),MAX(D2192-'Black-Scholes'!$B$6,0))</f>
        <v>10.8910913465837</v>
      </c>
    </row>
    <row r="2193" customFormat="false" ht="15" hidden="false" customHeight="false" outlineLevel="0" collapsed="false">
      <c r="A2193" s="0" t="n">
        <v>2182</v>
      </c>
      <c r="B2193" s="15" t="n">
        <v>-0.18914584204484</v>
      </c>
      <c r="C2193" s="18" t="n">
        <f aca="false">'Black-Scholes'!$B$5*EXP(('Black-Scholes'!$B$8-'Black-Scholes'!$B$10-'Black-Scholes'!$B$9^2/2)*'Black-Scholes'!$B$7+'Black-Scholes'!$B$9*SQRT('Black-Scholes'!$B$7)*B2193)</f>
        <v>99.2201399703699</v>
      </c>
      <c r="D2193" s="18" t="n">
        <f aca="false">'Black-Scholes'!$B$5*EXP(('Black-Scholes'!$B$8-'Black-Scholes'!$B$10-'Black-Scholes'!$B$9^2/2)*'Black-Scholes'!$B$7-'Black-Scholes'!$B$9*SQRT('Black-Scholes'!$B$7)*B2193)</f>
        <v>107.018247188772</v>
      </c>
      <c r="E2193" s="18" t="n">
        <f aca="false">EXP(-'Black-Scholes'!$B$8*'Black-Scholes'!$B$7)*IF(LOWER('Black-Scholes'!$B$11)="put",MAX('Black-Scholes'!$B$6-C2193,0),MAX(C2193-'Black-Scholes'!$B$6,0))</f>
        <v>0</v>
      </c>
      <c r="F2193" s="18" t="n">
        <f aca="false">(E2193+G2193)/2</f>
        <v>3.33798161718962</v>
      </c>
      <c r="G2193" s="18" t="n">
        <f aca="false">EXP(-'Black-Scholes'!$B$8*'Black-Scholes'!$B$7)*IF(LOWER('Black-Scholes'!$B$11)="put",MAX('Black-Scholes'!$B$6-D2193,0),MAX(D2193-'Black-Scholes'!$B$6,0))</f>
        <v>6.67596323437923</v>
      </c>
    </row>
    <row r="2194" customFormat="false" ht="15" hidden="false" customHeight="false" outlineLevel="0" collapsed="false">
      <c r="A2194" s="0" t="n">
        <v>2183</v>
      </c>
      <c r="B2194" s="15" t="n">
        <v>-0.173467407536408</v>
      </c>
      <c r="C2194" s="18" t="n">
        <f aca="false">'Black-Scholes'!$B$5*EXP(('Black-Scholes'!$B$8-'Black-Scholes'!$B$10-'Black-Scholes'!$B$9^2/2)*'Black-Scholes'!$B$7+'Black-Scholes'!$B$9*SQRT('Black-Scholes'!$B$7)*B2194)</f>
        <v>99.5317515665312</v>
      </c>
      <c r="D2194" s="18" t="n">
        <f aca="false">'Black-Scholes'!$B$5*EXP(('Black-Scholes'!$B$8-'Black-Scholes'!$B$10-'Black-Scholes'!$B$9^2/2)*'Black-Scholes'!$B$7-'Black-Scholes'!$B$9*SQRT('Black-Scholes'!$B$7)*B2194)</f>
        <v>106.683197053513</v>
      </c>
      <c r="E2194" s="18" t="n">
        <f aca="false">EXP(-'Black-Scholes'!$B$8*'Black-Scholes'!$B$7)*IF(LOWER('Black-Scholes'!$B$11)="put",MAX('Black-Scholes'!$B$6-C2194,0),MAX(C2194-'Black-Scholes'!$B$6,0))</f>
        <v>0</v>
      </c>
      <c r="F2194" s="18" t="n">
        <f aca="false">(E2194+G2194)/2</f>
        <v>3.17862684351924</v>
      </c>
      <c r="G2194" s="18" t="n">
        <f aca="false">EXP(-'Black-Scholes'!$B$8*'Black-Scholes'!$B$7)*IF(LOWER('Black-Scholes'!$B$11)="put",MAX('Black-Scholes'!$B$6-D2194,0),MAX(D2194-'Black-Scholes'!$B$6,0))</f>
        <v>6.35725368703847</v>
      </c>
    </row>
    <row r="2195" customFormat="false" ht="15" hidden="false" customHeight="false" outlineLevel="0" collapsed="false">
      <c r="A2195" s="0" t="n">
        <v>2184</v>
      </c>
      <c r="B2195" s="15" t="n">
        <v>-1.37975303742132</v>
      </c>
      <c r="C2195" s="18" t="n">
        <f aca="false">'Black-Scholes'!$B$5*EXP(('Black-Scholes'!$B$8-'Black-Scholes'!$B$10-'Black-Scholes'!$B$9^2/2)*'Black-Scholes'!$B$7+'Black-Scholes'!$B$9*SQRT('Black-Scholes'!$B$7)*B2195)</f>
        <v>78.1960846985089</v>
      </c>
      <c r="D2195" s="18" t="n">
        <f aca="false">'Black-Scholes'!$B$5*EXP(('Black-Scholes'!$B$8-'Black-Scholes'!$B$10-'Black-Scholes'!$B$9^2/2)*'Black-Scholes'!$B$7-'Black-Scholes'!$B$9*SQRT('Black-Scholes'!$B$7)*B2195)</f>
        <v>135.79152340419</v>
      </c>
      <c r="E2195" s="18" t="n">
        <f aca="false">EXP(-'Black-Scholes'!$B$8*'Black-Scholes'!$B$7)*IF(LOWER('Black-Scholes'!$B$11)="put",MAX('Black-Scholes'!$B$6-C2195,0),MAX(C2195-'Black-Scholes'!$B$6,0))</f>
        <v>0</v>
      </c>
      <c r="F2195" s="18" t="n">
        <f aca="false">(E2195+G2195)/2</f>
        <v>17.0229751048858</v>
      </c>
      <c r="G2195" s="18" t="n">
        <f aca="false">EXP(-'Black-Scholes'!$B$8*'Black-Scholes'!$B$7)*IF(LOWER('Black-Scholes'!$B$11)="put",MAX('Black-Scholes'!$B$6-D2195,0),MAX(D2195-'Black-Scholes'!$B$6,0))</f>
        <v>34.0459502097716</v>
      </c>
    </row>
    <row r="2196" customFormat="false" ht="15" hidden="false" customHeight="false" outlineLevel="0" collapsed="false">
      <c r="A2196" s="0" t="n">
        <v>2185</v>
      </c>
      <c r="B2196" s="15" t="n">
        <v>-0.93148427147337</v>
      </c>
      <c r="C2196" s="18" t="n">
        <f aca="false">'Black-Scholes'!$B$5*EXP(('Black-Scholes'!$B$8-'Black-Scholes'!$B$10-'Black-Scholes'!$B$9^2/2)*'Black-Scholes'!$B$7+'Black-Scholes'!$B$9*SQRT('Black-Scholes'!$B$7)*B2196)</f>
        <v>85.5305251644275</v>
      </c>
      <c r="D2196" s="18" t="n">
        <f aca="false">'Black-Scholes'!$B$5*EXP(('Black-Scholes'!$B$8-'Black-Scholes'!$B$10-'Black-Scholes'!$B$9^2/2)*'Black-Scholes'!$B$7-'Black-Scholes'!$B$9*SQRT('Black-Scholes'!$B$7)*B2196)</f>
        <v>124.147086026192</v>
      </c>
      <c r="E2196" s="18" t="n">
        <f aca="false">EXP(-'Black-Scholes'!$B$8*'Black-Scholes'!$B$7)*IF(LOWER('Black-Scholes'!$B$11)="put",MAX('Black-Scholes'!$B$6-C2196,0),MAX(C2196-'Black-Scholes'!$B$6,0))</f>
        <v>0</v>
      </c>
      <c r="F2196" s="18" t="n">
        <f aca="false">(E2196+G2196)/2</f>
        <v>11.4847093720322</v>
      </c>
      <c r="G2196" s="18" t="n">
        <f aca="false">EXP(-'Black-Scholes'!$B$8*'Black-Scholes'!$B$7)*IF(LOWER('Black-Scholes'!$B$11)="put",MAX('Black-Scholes'!$B$6-D2196,0),MAX(D2196-'Black-Scholes'!$B$6,0))</f>
        <v>22.9694187440643</v>
      </c>
    </row>
    <row r="2197" customFormat="false" ht="15" hidden="false" customHeight="false" outlineLevel="0" collapsed="false">
      <c r="A2197" s="0" t="n">
        <v>2186</v>
      </c>
      <c r="B2197" s="15" t="n">
        <v>2.42021342124744</v>
      </c>
      <c r="C2197" s="18" t="n">
        <f aca="false">'Black-Scholes'!$B$5*EXP(('Black-Scholes'!$B$8-'Black-Scholes'!$B$10-'Black-Scholes'!$B$9^2/2)*'Black-Scholes'!$B$7+'Black-Scholes'!$B$9*SQRT('Black-Scholes'!$B$7)*B2197)</f>
        <v>167.203706796032</v>
      </c>
      <c r="D2197" s="18" t="n">
        <f aca="false">'Black-Scholes'!$B$5*EXP(('Black-Scholes'!$B$8-'Black-Scholes'!$B$10-'Black-Scholes'!$B$9^2/2)*'Black-Scholes'!$B$7-'Black-Scholes'!$B$9*SQRT('Black-Scholes'!$B$7)*B2197)</f>
        <v>63.5055625794631</v>
      </c>
      <c r="E2197" s="18" t="n">
        <f aca="false">EXP(-'Black-Scholes'!$B$8*'Black-Scholes'!$B$7)*IF(LOWER('Black-Scholes'!$B$11)="put",MAX('Black-Scholes'!$B$6-C2197,0),MAX(C2197-'Black-Scholes'!$B$6,0))</f>
        <v>63.9261433399041</v>
      </c>
      <c r="F2197" s="18" t="n">
        <f aca="false">(E2197+G2197)/2</f>
        <v>31.963071669952</v>
      </c>
      <c r="G2197" s="18" t="n">
        <f aca="false">EXP(-'Black-Scholes'!$B$8*'Black-Scholes'!$B$7)*IF(LOWER('Black-Scholes'!$B$11)="put",MAX('Black-Scholes'!$B$6-D2197,0),MAX(D2197-'Black-Scholes'!$B$6,0))</f>
        <v>0</v>
      </c>
    </row>
    <row r="2198" customFormat="false" ht="15" hidden="false" customHeight="false" outlineLevel="0" collapsed="false">
      <c r="A2198" s="0" t="n">
        <v>2187</v>
      </c>
      <c r="B2198" s="15" t="n">
        <v>1.12602038135623</v>
      </c>
      <c r="C2198" s="18" t="n">
        <f aca="false">'Black-Scholes'!$B$5*EXP(('Black-Scholes'!$B$8-'Black-Scholes'!$B$10-'Black-Scholes'!$B$9^2/2)*'Black-Scholes'!$B$7+'Black-Scholes'!$B$9*SQRT('Black-Scholes'!$B$7)*B2198)</f>
        <v>129.07250003425</v>
      </c>
      <c r="D2198" s="18" t="n">
        <f aca="false">'Black-Scholes'!$B$5*EXP(('Black-Scholes'!$B$8-'Black-Scholes'!$B$10-'Black-Scholes'!$B$9^2/2)*'Black-Scholes'!$B$7-'Black-Scholes'!$B$9*SQRT('Black-Scholes'!$B$7)*B2198)</f>
        <v>82.2666754160334</v>
      </c>
      <c r="E2198" s="18" t="n">
        <f aca="false">EXP(-'Black-Scholes'!$B$8*'Black-Scholes'!$B$7)*IF(LOWER('Black-Scholes'!$B$11)="put",MAX('Black-Scholes'!$B$6-C2198,0),MAX(C2198-'Black-Scholes'!$B$6,0))</f>
        <v>27.6546174763766</v>
      </c>
      <c r="F2198" s="18" t="n">
        <f aca="false">(E2198+G2198)/2</f>
        <v>13.8273087381883</v>
      </c>
      <c r="G2198" s="18" t="n">
        <f aca="false">EXP(-'Black-Scholes'!$B$8*'Black-Scholes'!$B$7)*IF(LOWER('Black-Scholes'!$B$11)="put",MAX('Black-Scholes'!$B$6-D2198,0),MAX(D2198-'Black-Scholes'!$B$6,0))</f>
        <v>0</v>
      </c>
    </row>
    <row r="2199" customFormat="false" ht="15" hidden="false" customHeight="false" outlineLevel="0" collapsed="false">
      <c r="A2199" s="0" t="n">
        <v>2188</v>
      </c>
      <c r="B2199" s="15" t="n">
        <v>2.1729720213269</v>
      </c>
      <c r="C2199" s="18" t="n">
        <f aca="false">'Black-Scholes'!$B$5*EXP(('Black-Scholes'!$B$8-'Black-Scholes'!$B$10-'Black-Scholes'!$B$9^2/2)*'Black-Scholes'!$B$7+'Black-Scholes'!$B$9*SQRT('Black-Scholes'!$B$7)*B2199)</f>
        <v>159.136860565439</v>
      </c>
      <c r="D2199" s="18" t="n">
        <f aca="false">'Black-Scholes'!$B$5*EXP(('Black-Scholes'!$B$8-'Black-Scholes'!$B$10-'Black-Scholes'!$B$9^2/2)*'Black-Scholes'!$B$7-'Black-Scholes'!$B$9*SQRT('Black-Scholes'!$B$7)*B2199)</f>
        <v>66.7247388676945</v>
      </c>
      <c r="E2199" s="18" t="n">
        <f aca="false">EXP(-'Black-Scholes'!$B$8*'Black-Scholes'!$B$7)*IF(LOWER('Black-Scholes'!$B$11)="put",MAX('Black-Scholes'!$B$6-C2199,0),MAX(C2199-'Black-Scholes'!$B$6,0))</f>
        <v>56.2527218424411</v>
      </c>
      <c r="F2199" s="18" t="n">
        <f aca="false">(E2199+G2199)/2</f>
        <v>28.1263609212206</v>
      </c>
      <c r="G2199" s="18" t="n">
        <f aca="false">EXP(-'Black-Scholes'!$B$8*'Black-Scholes'!$B$7)*IF(LOWER('Black-Scholes'!$B$11)="put",MAX('Black-Scholes'!$B$6-D2199,0),MAX(D2199-'Black-Scholes'!$B$6,0))</f>
        <v>0</v>
      </c>
    </row>
    <row r="2200" customFormat="false" ht="15" hidden="false" customHeight="false" outlineLevel="0" collapsed="false">
      <c r="A2200" s="0" t="n">
        <v>2189</v>
      </c>
      <c r="B2200" s="15" t="n">
        <v>-1.51114312398723</v>
      </c>
      <c r="C2200" s="18" t="n">
        <f aca="false">'Black-Scholes'!$B$5*EXP(('Black-Scholes'!$B$8-'Black-Scholes'!$B$10-'Black-Scholes'!$B$9^2/2)*'Black-Scholes'!$B$7+'Black-Scholes'!$B$9*SQRT('Black-Scholes'!$B$7)*B2200)</f>
        <v>76.1680102222988</v>
      </c>
      <c r="D2200" s="18" t="n">
        <f aca="false">'Black-Scholes'!$B$5*EXP(('Black-Scholes'!$B$8-'Black-Scholes'!$B$10-'Black-Scholes'!$B$9^2/2)*'Black-Scholes'!$B$7-'Black-Scholes'!$B$9*SQRT('Black-Scholes'!$B$7)*B2200)</f>
        <v>139.407153140322</v>
      </c>
      <c r="E2200" s="18" t="n">
        <f aca="false">EXP(-'Black-Scholes'!$B$8*'Black-Scholes'!$B$7)*IF(LOWER('Black-Scholes'!$B$11)="put",MAX('Black-Scholes'!$B$6-C2200,0),MAX(C2200-'Black-Scholes'!$B$6,0))</f>
        <v>0</v>
      </c>
      <c r="F2200" s="18" t="n">
        <f aca="false">(E2200+G2200)/2</f>
        <v>18.7426218014398</v>
      </c>
      <c r="G2200" s="18" t="n">
        <f aca="false">EXP(-'Black-Scholes'!$B$8*'Black-Scholes'!$B$7)*IF(LOWER('Black-Scholes'!$B$11)="put",MAX('Black-Scholes'!$B$6-D2200,0),MAX(D2200-'Black-Scholes'!$B$6,0))</f>
        <v>37.4852436028797</v>
      </c>
    </row>
    <row r="2201" customFormat="false" ht="15" hidden="false" customHeight="false" outlineLevel="0" collapsed="false">
      <c r="A2201" s="0" t="n">
        <v>2190</v>
      </c>
      <c r="B2201" s="15" t="n">
        <v>-0.750515829616752</v>
      </c>
      <c r="C2201" s="18" t="n">
        <f aca="false">'Black-Scholes'!$B$5*EXP(('Black-Scholes'!$B$8-'Black-Scholes'!$B$10-'Black-Scholes'!$B$9^2/2)*'Black-Scholes'!$B$7+'Black-Scholes'!$B$9*SQRT('Black-Scholes'!$B$7)*B2201)</f>
        <v>88.6828941471042</v>
      </c>
      <c r="D2201" s="18" t="n">
        <f aca="false">'Black-Scholes'!$B$5*EXP(('Black-Scholes'!$B$8-'Black-Scholes'!$B$10-'Black-Scholes'!$B$9^2/2)*'Black-Scholes'!$B$7-'Black-Scholes'!$B$9*SQRT('Black-Scholes'!$B$7)*B2201)</f>
        <v>119.734088152786</v>
      </c>
      <c r="E2201" s="18" t="n">
        <f aca="false">EXP(-'Black-Scholes'!$B$8*'Black-Scholes'!$B$7)*IF(LOWER('Black-Scholes'!$B$11)="put",MAX('Black-Scholes'!$B$6-C2201,0),MAX(C2201-'Black-Scholes'!$B$6,0))</f>
        <v>0</v>
      </c>
      <c r="F2201" s="18" t="n">
        <f aca="false">(E2201+G2201)/2</f>
        <v>9.38582265831066</v>
      </c>
      <c r="G2201" s="18" t="n">
        <f aca="false">EXP(-'Black-Scholes'!$B$8*'Black-Scholes'!$B$7)*IF(LOWER('Black-Scholes'!$B$11)="put",MAX('Black-Scholes'!$B$6-D2201,0),MAX(D2201-'Black-Scholes'!$B$6,0))</f>
        <v>18.7716453166213</v>
      </c>
    </row>
    <row r="2202" customFormat="false" ht="15" hidden="false" customHeight="false" outlineLevel="0" collapsed="false">
      <c r="A2202" s="0" t="n">
        <v>2191</v>
      </c>
      <c r="B2202" s="15" t="n">
        <v>-0.444960561460349</v>
      </c>
      <c r="C2202" s="18" t="n">
        <f aca="false">'Black-Scholes'!$B$5*EXP(('Black-Scholes'!$B$8-'Black-Scholes'!$B$10-'Black-Scholes'!$B$9^2/2)*'Black-Scholes'!$B$7+'Black-Scholes'!$B$9*SQRT('Black-Scholes'!$B$7)*B2202)</f>
        <v>94.2714204982084</v>
      </c>
      <c r="D2202" s="18" t="n">
        <f aca="false">'Black-Scholes'!$B$5*EXP(('Black-Scholes'!$B$8-'Black-Scholes'!$B$10-'Black-Scholes'!$B$9^2/2)*'Black-Scholes'!$B$7-'Black-Scholes'!$B$9*SQRT('Black-Scholes'!$B$7)*B2202)</f>
        <v>112.636103384646</v>
      </c>
      <c r="E2202" s="18" t="n">
        <f aca="false">EXP(-'Black-Scholes'!$B$8*'Black-Scholes'!$B$7)*IF(LOWER('Black-Scholes'!$B$11)="put",MAX('Black-Scholes'!$B$6-C2202,0),MAX(C2202-'Black-Scholes'!$B$6,0))</f>
        <v>0</v>
      </c>
      <c r="F2202" s="18" t="n">
        <f aca="false">(E2202+G2202)/2</f>
        <v>6.00991667525394</v>
      </c>
      <c r="G2202" s="18" t="n">
        <f aca="false">EXP(-'Black-Scholes'!$B$8*'Black-Scholes'!$B$7)*IF(LOWER('Black-Scholes'!$B$11)="put",MAX('Black-Scholes'!$B$6-D2202,0),MAX(D2202-'Black-Scholes'!$B$6,0))</f>
        <v>12.0198333505079</v>
      </c>
    </row>
    <row r="2203" customFormat="false" ht="15" hidden="false" customHeight="false" outlineLevel="0" collapsed="false">
      <c r="A2203" s="0" t="n">
        <v>2192</v>
      </c>
      <c r="B2203" s="15" t="n">
        <v>0.360598321905431</v>
      </c>
      <c r="C2203" s="18" t="n">
        <f aca="false">'Black-Scholes'!$B$5*EXP(('Black-Scholes'!$B$8-'Black-Scholes'!$B$10-'Black-Scholes'!$B$9^2/2)*'Black-Scholes'!$B$7+'Black-Scholes'!$B$9*SQRT('Black-Scholes'!$B$7)*B2203)</f>
        <v>110.751599401464</v>
      </c>
      <c r="D2203" s="18" t="n">
        <f aca="false">'Black-Scholes'!$B$5*EXP(('Black-Scholes'!$B$8-'Black-Scholes'!$B$10-'Black-Scholes'!$B$9^2/2)*'Black-Scholes'!$B$7-'Black-Scholes'!$B$9*SQRT('Black-Scholes'!$B$7)*B2203)</f>
        <v>95.8755044878675</v>
      </c>
      <c r="E2203" s="18" t="n">
        <f aca="false">EXP(-'Black-Scholes'!$B$8*'Black-Scholes'!$B$7)*IF(LOWER('Black-Scholes'!$B$11)="put",MAX('Black-Scholes'!$B$6-C2203,0),MAX(C2203-'Black-Scholes'!$B$6,0))</f>
        <v>10.2272377111171</v>
      </c>
      <c r="F2203" s="18" t="n">
        <f aca="false">(E2203+G2203)/2</f>
        <v>5.11361885555857</v>
      </c>
      <c r="G2203" s="18" t="n">
        <f aca="false">EXP(-'Black-Scholes'!$B$8*'Black-Scholes'!$B$7)*IF(LOWER('Black-Scholes'!$B$11)="put",MAX('Black-Scholes'!$B$6-D2203,0),MAX(D2203-'Black-Scholes'!$B$6,0))</f>
        <v>0</v>
      </c>
    </row>
    <row r="2204" customFormat="false" ht="15" hidden="false" customHeight="false" outlineLevel="0" collapsed="false">
      <c r="A2204" s="0" t="n">
        <v>2193</v>
      </c>
      <c r="B2204" s="15" t="n">
        <v>0.583788044386505</v>
      </c>
      <c r="C2204" s="18" t="n">
        <f aca="false">'Black-Scholes'!$B$5*EXP(('Black-Scholes'!$B$8-'Black-Scholes'!$B$10-'Black-Scholes'!$B$9^2/2)*'Black-Scholes'!$B$7+'Black-Scholes'!$B$9*SQRT('Black-Scholes'!$B$7)*B2204)</f>
        <v>115.807322233817</v>
      </c>
      <c r="D2204" s="18" t="n">
        <f aca="false">'Black-Scholes'!$B$5*EXP(('Black-Scholes'!$B$8-'Black-Scholes'!$B$10-'Black-Scholes'!$B$9^2/2)*'Black-Scholes'!$B$7-'Black-Scholes'!$B$9*SQRT('Black-Scholes'!$B$7)*B2204)</f>
        <v>91.6899316954665</v>
      </c>
      <c r="E2204" s="18" t="n">
        <f aca="false">EXP(-'Black-Scholes'!$B$8*'Black-Scholes'!$B$7)*IF(LOWER('Black-Scholes'!$B$11)="put",MAX('Black-Scholes'!$B$6-C2204,0),MAX(C2204-'Black-Scholes'!$B$6,0))</f>
        <v>15.0363900313715</v>
      </c>
      <c r="F2204" s="18" t="n">
        <f aca="false">(E2204+G2204)/2</f>
        <v>7.51819501568573</v>
      </c>
      <c r="G2204" s="18" t="n">
        <f aca="false">EXP(-'Black-Scholes'!$B$8*'Black-Scholes'!$B$7)*IF(LOWER('Black-Scholes'!$B$11)="put",MAX('Black-Scholes'!$B$6-D2204,0),MAX(D2204-'Black-Scholes'!$B$6,0))</f>
        <v>0</v>
      </c>
    </row>
    <row r="2205" customFormat="false" ht="15" hidden="false" customHeight="false" outlineLevel="0" collapsed="false">
      <c r="A2205" s="0" t="n">
        <v>2194</v>
      </c>
      <c r="B2205" s="15" t="n">
        <v>-1.09630582726952</v>
      </c>
      <c r="C2205" s="18" t="n">
        <f aca="false">'Black-Scholes'!$B$5*EXP(('Black-Scholes'!$B$8-'Black-Scholes'!$B$10-'Black-Scholes'!$B$9^2/2)*'Black-Scholes'!$B$7+'Black-Scholes'!$B$9*SQRT('Black-Scholes'!$B$7)*B2205)</f>
        <v>82.7570345684101</v>
      </c>
      <c r="D2205" s="18" t="n">
        <f aca="false">'Black-Scholes'!$B$5*EXP(('Black-Scholes'!$B$8-'Black-Scholes'!$B$10-'Black-Scholes'!$B$9^2/2)*'Black-Scholes'!$B$7-'Black-Scholes'!$B$9*SQRT('Black-Scholes'!$B$7)*B2205)</f>
        <v>128.307708472517</v>
      </c>
      <c r="E2205" s="18" t="n">
        <f aca="false">EXP(-'Black-Scholes'!$B$8*'Black-Scholes'!$B$7)*IF(LOWER('Black-Scholes'!$B$11)="put",MAX('Black-Scholes'!$B$6-C2205,0),MAX(C2205-'Black-Scholes'!$B$6,0))</f>
        <v>0</v>
      </c>
      <c r="F2205" s="18" t="n">
        <f aca="false">(E2205+G2205)/2</f>
        <v>13.4635626196233</v>
      </c>
      <c r="G2205" s="18" t="n">
        <f aca="false">EXP(-'Black-Scholes'!$B$8*'Black-Scholes'!$B$7)*IF(LOWER('Black-Scholes'!$B$11)="put",MAX('Black-Scholes'!$B$6-D2205,0),MAX(D2205-'Black-Scholes'!$B$6,0))</f>
        <v>26.9271252392467</v>
      </c>
    </row>
    <row r="2206" customFormat="false" ht="15" hidden="false" customHeight="false" outlineLevel="0" collapsed="false">
      <c r="A2206" s="0" t="n">
        <v>2195</v>
      </c>
      <c r="B2206" s="15" t="n">
        <v>1.81362102633606</v>
      </c>
      <c r="C2206" s="18" t="n">
        <f aca="false">'Black-Scholes'!$B$5*EXP(('Black-Scholes'!$B$8-'Black-Scholes'!$B$10-'Black-Scholes'!$B$9^2/2)*'Black-Scholes'!$B$7+'Black-Scholes'!$B$9*SQRT('Black-Scholes'!$B$7)*B2206)</f>
        <v>148.100987827562</v>
      </c>
      <c r="D2206" s="18" t="n">
        <f aca="false">'Black-Scholes'!$B$5*EXP(('Black-Scholes'!$B$8-'Black-Scholes'!$B$10-'Black-Scholes'!$B$9^2/2)*'Black-Scholes'!$B$7-'Black-Scholes'!$B$9*SQRT('Black-Scholes'!$B$7)*B2206)</f>
        <v>71.6967902862123</v>
      </c>
      <c r="E2206" s="18" t="n">
        <f aca="false">EXP(-'Black-Scholes'!$B$8*'Black-Scholes'!$B$7)*IF(LOWER('Black-Scholes'!$B$11)="put",MAX('Black-Scholes'!$B$6-C2206,0),MAX(C2206-'Black-Scholes'!$B$6,0))</f>
        <v>45.7550749691277</v>
      </c>
      <c r="F2206" s="18" t="n">
        <f aca="false">(E2206+G2206)/2</f>
        <v>22.8775374845639</v>
      </c>
      <c r="G2206" s="18" t="n">
        <f aca="false">EXP(-'Black-Scholes'!$B$8*'Black-Scholes'!$B$7)*IF(LOWER('Black-Scholes'!$B$11)="put",MAX('Black-Scholes'!$B$6-D2206,0),MAX(D2206-'Black-Scholes'!$B$6,0))</f>
        <v>0</v>
      </c>
    </row>
    <row r="2207" customFormat="false" ht="15" hidden="false" customHeight="false" outlineLevel="0" collapsed="false">
      <c r="A2207" s="0" t="n">
        <v>2196</v>
      </c>
      <c r="B2207" s="15" t="n">
        <v>-2.16151853548968</v>
      </c>
      <c r="C2207" s="18" t="n">
        <f aca="false">'Black-Scholes'!$B$5*EXP(('Black-Scholes'!$B$8-'Black-Scholes'!$B$10-'Black-Scholes'!$B$9^2/2)*'Black-Scholes'!$B$7+'Black-Scholes'!$B$9*SQRT('Black-Scholes'!$B$7)*B2207)</f>
        <v>66.8777602339099</v>
      </c>
      <c r="D2207" s="18" t="n">
        <f aca="false">'Black-Scholes'!$B$5*EXP(('Black-Scholes'!$B$8-'Black-Scholes'!$B$10-'Black-Scholes'!$B$9^2/2)*'Black-Scholes'!$B$7-'Black-Scholes'!$B$9*SQRT('Black-Scholes'!$B$7)*B2207)</f>
        <v>158.772743409993</v>
      </c>
      <c r="E2207" s="18" t="n">
        <f aca="false">EXP(-'Black-Scholes'!$B$8*'Black-Scholes'!$B$7)*IF(LOWER('Black-Scholes'!$B$11)="put",MAX('Black-Scholes'!$B$6-C2207,0),MAX(C2207-'Black-Scholes'!$B$6,0))</f>
        <v>0</v>
      </c>
      <c r="F2207" s="18" t="n">
        <f aca="false">(E2207+G2207)/2</f>
        <v>27.9531814451078</v>
      </c>
      <c r="G2207" s="18" t="n">
        <f aca="false">EXP(-'Black-Scholes'!$B$8*'Black-Scholes'!$B$7)*IF(LOWER('Black-Scholes'!$B$11)="put",MAX('Black-Scholes'!$B$6-D2207,0),MAX(D2207-'Black-Scholes'!$B$6,0))</f>
        <v>55.9063628902156</v>
      </c>
    </row>
    <row r="2208" customFormat="false" ht="15" hidden="false" customHeight="false" outlineLevel="0" collapsed="false">
      <c r="A2208" s="0" t="n">
        <v>2197</v>
      </c>
      <c r="B2208" s="15" t="n">
        <v>1.33050871675024</v>
      </c>
      <c r="C2208" s="18" t="n">
        <f aca="false">'Black-Scholes'!$B$5*EXP(('Black-Scholes'!$B$8-'Black-Scholes'!$B$10-'Black-Scholes'!$B$9^2/2)*'Black-Scholes'!$B$7+'Black-Scholes'!$B$9*SQRT('Black-Scholes'!$B$7)*B2208)</f>
        <v>134.460695468887</v>
      </c>
      <c r="D2208" s="18" t="n">
        <f aca="false">'Black-Scholes'!$B$5*EXP(('Black-Scholes'!$B$8-'Black-Scholes'!$B$10-'Black-Scholes'!$B$9^2/2)*'Black-Scholes'!$B$7-'Black-Scholes'!$B$9*SQRT('Black-Scholes'!$B$7)*B2208)</f>
        <v>78.9700323088886</v>
      </c>
      <c r="E2208" s="18" t="n">
        <f aca="false">EXP(-'Black-Scholes'!$B$8*'Black-Scholes'!$B$7)*IF(LOWER('Black-Scholes'!$B$11)="put",MAX('Black-Scholes'!$B$6-C2208,0),MAX(C2208-'Black-Scholes'!$B$6,0))</f>
        <v>32.7800275187633</v>
      </c>
      <c r="F2208" s="18" t="n">
        <f aca="false">(E2208+G2208)/2</f>
        <v>16.3900137593817</v>
      </c>
      <c r="G2208" s="18" t="n">
        <f aca="false">EXP(-'Black-Scholes'!$B$8*'Black-Scholes'!$B$7)*IF(LOWER('Black-Scholes'!$B$11)="put",MAX('Black-Scholes'!$B$6-D2208,0),MAX(D2208-'Black-Scholes'!$B$6,0))</f>
        <v>0</v>
      </c>
    </row>
    <row r="2209" customFormat="false" ht="15" hidden="false" customHeight="false" outlineLevel="0" collapsed="false">
      <c r="A2209" s="0" t="n">
        <v>2198</v>
      </c>
      <c r="B2209" s="15" t="n">
        <v>-0.944429797406906</v>
      </c>
      <c r="C2209" s="18" t="n">
        <f aca="false">'Black-Scholes'!$B$5*EXP(('Black-Scholes'!$B$8-'Black-Scholes'!$B$10-'Black-Scholes'!$B$9^2/2)*'Black-Scholes'!$B$7+'Black-Scholes'!$B$9*SQRT('Black-Scholes'!$B$7)*B2209)</f>
        <v>85.309364066321</v>
      </c>
      <c r="D2209" s="18" t="n">
        <f aca="false">'Black-Scholes'!$B$5*EXP(('Black-Scholes'!$B$8-'Black-Scholes'!$B$10-'Black-Scholes'!$B$9^2/2)*'Black-Scholes'!$B$7-'Black-Scholes'!$B$9*SQRT('Black-Scholes'!$B$7)*B2209)</f>
        <v>124.46893235775</v>
      </c>
      <c r="E2209" s="18" t="n">
        <f aca="false">EXP(-'Black-Scholes'!$B$8*'Black-Scholes'!$B$7)*IF(LOWER('Black-Scholes'!$B$11)="put",MAX('Black-Scholes'!$B$6-C2209,0),MAX(C2209-'Black-Scholes'!$B$6,0))</f>
        <v>0</v>
      </c>
      <c r="F2209" s="18" t="n">
        <f aca="false">(E2209+G2209)/2</f>
        <v>11.6377842224048</v>
      </c>
      <c r="G2209" s="18" t="n">
        <f aca="false">EXP(-'Black-Scholes'!$B$8*'Black-Scholes'!$B$7)*IF(LOWER('Black-Scholes'!$B$11)="put",MAX('Black-Scholes'!$B$6-D2209,0),MAX(D2209-'Black-Scholes'!$B$6,0))</f>
        <v>23.2755684448096</v>
      </c>
    </row>
    <row r="2210" customFormat="false" ht="15" hidden="false" customHeight="false" outlineLevel="0" collapsed="false">
      <c r="A2210" s="0" t="n">
        <v>2199</v>
      </c>
      <c r="B2210" s="15" t="n">
        <v>1.15448243111968</v>
      </c>
      <c r="C2210" s="18" t="n">
        <f aca="false">'Black-Scholes'!$B$5*EXP(('Black-Scholes'!$B$8-'Black-Scholes'!$B$10-'Black-Scholes'!$B$9^2/2)*'Black-Scholes'!$B$7+'Black-Scholes'!$B$9*SQRT('Black-Scholes'!$B$7)*B2210)</f>
        <v>129.809328794093</v>
      </c>
      <c r="D2210" s="18" t="n">
        <f aca="false">'Black-Scholes'!$B$5*EXP(('Black-Scholes'!$B$8-'Black-Scholes'!$B$10-'Black-Scholes'!$B$9^2/2)*'Black-Scholes'!$B$7-'Black-Scholes'!$B$9*SQRT('Black-Scholes'!$B$7)*B2210)</f>
        <v>81.7997101140298</v>
      </c>
      <c r="E2210" s="18" t="n">
        <f aca="false">EXP(-'Black-Scholes'!$B$8*'Black-Scholes'!$B$7)*IF(LOWER('Black-Scholes'!$B$11)="put",MAX('Black-Scholes'!$B$6-C2210,0),MAX(C2210-'Black-Scholes'!$B$6,0))</f>
        <v>28.3555106735577</v>
      </c>
      <c r="F2210" s="18" t="n">
        <f aca="false">(E2210+G2210)/2</f>
        <v>14.1777553367789</v>
      </c>
      <c r="G2210" s="18" t="n">
        <f aca="false">EXP(-'Black-Scholes'!$B$8*'Black-Scholes'!$B$7)*IF(LOWER('Black-Scholes'!$B$11)="put",MAX('Black-Scholes'!$B$6-D2210,0),MAX(D2210-'Black-Scholes'!$B$6,0))</f>
        <v>0</v>
      </c>
    </row>
    <row r="2211" customFormat="false" ht="15" hidden="false" customHeight="false" outlineLevel="0" collapsed="false">
      <c r="A2211" s="0" t="n">
        <v>2200</v>
      </c>
      <c r="B2211" s="15" t="n">
        <v>-1.62871271103536</v>
      </c>
      <c r="C2211" s="18" t="n">
        <f aca="false">'Black-Scholes'!$B$5*EXP(('Black-Scholes'!$B$8-'Black-Scholes'!$B$10-'Black-Scholes'!$B$9^2/2)*'Black-Scholes'!$B$7+'Black-Scholes'!$B$9*SQRT('Black-Scholes'!$B$7)*B2211)</f>
        <v>74.3978946542716</v>
      </c>
      <c r="D2211" s="18" t="n">
        <f aca="false">'Black-Scholes'!$B$5*EXP(('Black-Scholes'!$B$8-'Black-Scholes'!$B$10-'Black-Scholes'!$B$9^2/2)*'Black-Scholes'!$B$7-'Black-Scholes'!$B$9*SQRT('Black-Scholes'!$B$7)*B2211)</f>
        <v>142.724004688538</v>
      </c>
      <c r="E2211" s="18" t="n">
        <f aca="false">EXP(-'Black-Scholes'!$B$8*'Black-Scholes'!$B$7)*IF(LOWER('Black-Scholes'!$B$11)="put",MAX('Black-Scholes'!$B$6-C2211,0),MAX(C2211-'Black-Scholes'!$B$6,0))</f>
        <v>0</v>
      </c>
      <c r="F2211" s="18" t="n">
        <f aca="false">(E2211+G2211)/2</f>
        <v>20.3201651961218</v>
      </c>
      <c r="G2211" s="18" t="n">
        <f aca="false">EXP(-'Black-Scholes'!$B$8*'Black-Scholes'!$B$7)*IF(LOWER('Black-Scholes'!$B$11)="put",MAX('Black-Scholes'!$B$6-D2211,0),MAX(D2211-'Black-Scholes'!$B$6,0))</f>
        <v>40.6403303922436</v>
      </c>
    </row>
    <row r="2212" customFormat="false" ht="15" hidden="false" customHeight="false" outlineLevel="0" collapsed="false">
      <c r="A2212" s="0" t="n">
        <v>2201</v>
      </c>
      <c r="B2212" s="15" t="n">
        <v>-2.01326147474947</v>
      </c>
      <c r="C2212" s="18" t="n">
        <f aca="false">'Black-Scholes'!$B$5*EXP(('Black-Scholes'!$B$8-'Black-Scholes'!$B$10-'Black-Scholes'!$B$9^2/2)*'Black-Scholes'!$B$7+'Black-Scholes'!$B$9*SQRT('Black-Scholes'!$B$7)*B2212)</f>
        <v>68.8904726857474</v>
      </c>
      <c r="D2212" s="18" t="n">
        <f aca="false">'Black-Scholes'!$B$5*EXP(('Black-Scholes'!$B$8-'Black-Scholes'!$B$10-'Black-Scholes'!$B$9^2/2)*'Black-Scholes'!$B$7-'Black-Scholes'!$B$9*SQRT('Black-Scholes'!$B$7)*B2212)</f>
        <v>154.134019574675</v>
      </c>
      <c r="E2212" s="18" t="n">
        <f aca="false">EXP(-'Black-Scholes'!$B$8*'Black-Scholes'!$B$7)*IF(LOWER('Black-Scholes'!$B$11)="put",MAX('Black-Scholes'!$B$6-C2212,0),MAX(C2212-'Black-Scholes'!$B$6,0))</f>
        <v>0</v>
      </c>
      <c r="F2212" s="18" t="n">
        <f aca="false">(E2212+G2212)/2</f>
        <v>25.7469361429642</v>
      </c>
      <c r="G2212" s="18" t="n">
        <f aca="false">EXP(-'Black-Scholes'!$B$8*'Black-Scholes'!$B$7)*IF(LOWER('Black-Scholes'!$B$11)="put",MAX('Black-Scholes'!$B$6-D2212,0),MAX(D2212-'Black-Scholes'!$B$6,0))</f>
        <v>51.4938722859285</v>
      </c>
    </row>
    <row r="2213" customFormat="false" ht="15" hidden="false" customHeight="false" outlineLevel="0" collapsed="false">
      <c r="A2213" s="0" t="n">
        <v>2202</v>
      </c>
      <c r="B2213" s="15" t="n">
        <v>-0.197182812324149</v>
      </c>
      <c r="C2213" s="18" t="n">
        <f aca="false">'Black-Scholes'!$B$5*EXP(('Black-Scholes'!$B$8-'Black-Scholes'!$B$10-'Black-Scholes'!$B$9^2/2)*'Black-Scholes'!$B$7+'Black-Scholes'!$B$9*SQRT('Black-Scholes'!$B$7)*B2213)</f>
        <v>99.0607822168239</v>
      </c>
      <c r="D2213" s="18" t="n">
        <f aca="false">'Black-Scholes'!$B$5*EXP(('Black-Scholes'!$B$8-'Black-Scholes'!$B$10-'Black-Scholes'!$B$9^2/2)*'Black-Scholes'!$B$7-'Black-Scholes'!$B$9*SQRT('Black-Scholes'!$B$7)*B2213)</f>
        <v>107.190406009637</v>
      </c>
      <c r="E2213" s="18" t="n">
        <f aca="false">EXP(-'Black-Scholes'!$B$8*'Black-Scholes'!$B$7)*IF(LOWER('Black-Scholes'!$B$11)="put",MAX('Black-Scholes'!$B$6-C2213,0),MAX(C2213-'Black-Scholes'!$B$6,0))</f>
        <v>0</v>
      </c>
      <c r="F2213" s="18" t="n">
        <f aca="false">(E2213+G2213)/2</f>
        <v>3.41986288523679</v>
      </c>
      <c r="G2213" s="18" t="n">
        <f aca="false">EXP(-'Black-Scholes'!$B$8*'Black-Scholes'!$B$7)*IF(LOWER('Black-Scholes'!$B$11)="put",MAX('Black-Scholes'!$B$6-D2213,0),MAX(D2213-'Black-Scholes'!$B$6,0))</f>
        <v>6.83972577047358</v>
      </c>
    </row>
    <row r="2214" customFormat="false" ht="15" hidden="false" customHeight="false" outlineLevel="0" collapsed="false">
      <c r="A2214" s="0" t="n">
        <v>2203</v>
      </c>
      <c r="B2214" s="15" t="n">
        <v>-1.25719445379801</v>
      </c>
      <c r="C2214" s="18" t="n">
        <f aca="false">'Black-Scholes'!$B$5*EXP(('Black-Scholes'!$B$8-'Black-Scholes'!$B$10-'Black-Scholes'!$B$9^2/2)*'Black-Scholes'!$B$7+'Black-Scholes'!$B$9*SQRT('Black-Scholes'!$B$7)*B2214)</f>
        <v>80.1364891451479</v>
      </c>
      <c r="D2214" s="18" t="n">
        <f aca="false">'Black-Scholes'!$B$5*EXP(('Black-Scholes'!$B$8-'Black-Scholes'!$B$10-'Black-Scholes'!$B$9^2/2)*'Black-Scholes'!$B$7-'Black-Scholes'!$B$9*SQRT('Black-Scholes'!$B$7)*B2214)</f>
        <v>132.503502196371</v>
      </c>
      <c r="E2214" s="18" t="n">
        <f aca="false">EXP(-'Black-Scholes'!$B$8*'Black-Scholes'!$B$7)*IF(LOWER('Black-Scholes'!$B$11)="put",MAX('Black-Scholes'!$B$6-C2214,0),MAX(C2214-'Black-Scholes'!$B$6,0))</f>
        <v>0</v>
      </c>
      <c r="F2214" s="18" t="n">
        <f aca="false">(E2214+G2214)/2</f>
        <v>15.459143844256</v>
      </c>
      <c r="G2214" s="18" t="n">
        <f aca="false">EXP(-'Black-Scholes'!$B$8*'Black-Scholes'!$B$7)*IF(LOWER('Black-Scholes'!$B$11)="put",MAX('Black-Scholes'!$B$6-D2214,0),MAX(D2214-'Black-Scholes'!$B$6,0))</f>
        <v>30.918287688512</v>
      </c>
    </row>
    <row r="2215" customFormat="false" ht="15" hidden="false" customHeight="false" outlineLevel="0" collapsed="false">
      <c r="A2215" s="0" t="n">
        <v>2204</v>
      </c>
      <c r="B2215" s="15" t="n">
        <v>1.28205302563794</v>
      </c>
      <c r="C2215" s="18" t="n">
        <f aca="false">'Black-Scholes'!$B$5*EXP(('Black-Scholes'!$B$8-'Black-Scholes'!$B$10-'Black-Scholes'!$B$9^2/2)*'Black-Scholes'!$B$7+'Black-Scholes'!$B$9*SQRT('Black-Scholes'!$B$7)*B2215)</f>
        <v>133.163912086388</v>
      </c>
      <c r="D2215" s="18" t="n">
        <f aca="false">'Black-Scholes'!$B$5*EXP(('Black-Scholes'!$B$8-'Black-Scholes'!$B$10-'Black-Scholes'!$B$9^2/2)*'Black-Scholes'!$B$7-'Black-Scholes'!$B$9*SQRT('Black-Scholes'!$B$7)*B2215)</f>
        <v>79.7390621759826</v>
      </c>
      <c r="E2215" s="18" t="n">
        <f aca="false">EXP(-'Black-Scholes'!$B$8*'Black-Scholes'!$B$7)*IF(LOWER('Black-Scholes'!$B$11)="put",MAX('Black-Scholes'!$B$6-C2215,0),MAX(C2215-'Black-Scholes'!$B$6,0))</f>
        <v>31.5464890081275</v>
      </c>
      <c r="F2215" s="18" t="n">
        <f aca="false">(E2215+G2215)/2</f>
        <v>15.7732445040637</v>
      </c>
      <c r="G2215" s="18" t="n">
        <f aca="false">EXP(-'Black-Scholes'!$B$8*'Black-Scholes'!$B$7)*IF(LOWER('Black-Scholes'!$B$11)="put",MAX('Black-Scholes'!$B$6-D2215,0),MAX(D2215-'Black-Scholes'!$B$6,0))</f>
        <v>0</v>
      </c>
    </row>
    <row r="2216" customFormat="false" ht="15" hidden="false" customHeight="false" outlineLevel="0" collapsed="false">
      <c r="A2216" s="0" t="n">
        <v>2205</v>
      </c>
      <c r="B2216" s="15" t="n">
        <v>-0.161437951674836</v>
      </c>
      <c r="C2216" s="18" t="n">
        <f aca="false">'Black-Scholes'!$B$5*EXP(('Black-Scholes'!$B$8-'Black-Scholes'!$B$10-'Black-Scholes'!$B$9^2/2)*'Black-Scholes'!$B$7+'Black-Scholes'!$B$9*SQRT('Black-Scholes'!$B$7)*B2216)</f>
        <v>99.7715024205757</v>
      </c>
      <c r="D2216" s="18" t="n">
        <f aca="false">'Black-Scholes'!$B$5*EXP(('Black-Scholes'!$B$8-'Black-Scholes'!$B$10-'Black-Scholes'!$B$9^2/2)*'Black-Scholes'!$B$7-'Black-Scholes'!$B$9*SQRT('Black-Scholes'!$B$7)*B2216)</f>
        <v>106.426837401857</v>
      </c>
      <c r="E2216" s="18" t="n">
        <f aca="false">EXP(-'Black-Scholes'!$B$8*'Black-Scholes'!$B$7)*IF(LOWER('Black-Scholes'!$B$11)="put",MAX('Black-Scholes'!$B$6-C2216,0),MAX(C2216-'Black-Scholes'!$B$6,0))</f>
        <v>0</v>
      </c>
      <c r="F2216" s="18" t="n">
        <f aca="false">(E2216+G2216)/2</f>
        <v>3.05669842156406</v>
      </c>
      <c r="G2216" s="18" t="n">
        <f aca="false">EXP(-'Black-Scholes'!$B$8*'Black-Scholes'!$B$7)*IF(LOWER('Black-Scholes'!$B$11)="put",MAX('Black-Scholes'!$B$6-D2216,0),MAX(D2216-'Black-Scholes'!$B$6,0))</f>
        <v>6.11339684312813</v>
      </c>
    </row>
    <row r="2217" customFormat="false" ht="15" hidden="false" customHeight="false" outlineLevel="0" collapsed="false">
      <c r="A2217" s="0" t="n">
        <v>2206</v>
      </c>
      <c r="B2217" s="15" t="n">
        <v>-1.61781866901694</v>
      </c>
      <c r="C2217" s="18" t="n">
        <f aca="false">'Black-Scholes'!$B$5*EXP(('Black-Scholes'!$B$8-'Black-Scholes'!$B$10-'Black-Scholes'!$B$9^2/2)*'Black-Scholes'!$B$7+'Black-Scholes'!$B$9*SQRT('Black-Scholes'!$B$7)*B2217)</f>
        <v>74.5601701317514</v>
      </c>
      <c r="D2217" s="18" t="n">
        <f aca="false">'Black-Scholes'!$B$5*EXP(('Black-Scholes'!$B$8-'Black-Scholes'!$B$10-'Black-Scholes'!$B$9^2/2)*'Black-Scholes'!$B$7-'Black-Scholes'!$B$9*SQRT('Black-Scholes'!$B$7)*B2217)</f>
        <v>142.413374951941</v>
      </c>
      <c r="E2217" s="18" t="n">
        <f aca="false">EXP(-'Black-Scholes'!$B$8*'Black-Scholes'!$B$7)*IF(LOWER('Black-Scholes'!$B$11)="put",MAX('Black-Scholes'!$B$6-C2217,0),MAX(C2217-'Black-Scholes'!$B$6,0))</f>
        <v>0</v>
      </c>
      <c r="F2217" s="18" t="n">
        <f aca="false">(E2217+G2217)/2</f>
        <v>20.1724251233338</v>
      </c>
      <c r="G2217" s="18" t="n">
        <f aca="false">EXP(-'Black-Scholes'!$B$8*'Black-Scholes'!$B$7)*IF(LOWER('Black-Scholes'!$B$11)="put",MAX('Black-Scholes'!$B$6-D2217,0),MAX(D2217-'Black-Scholes'!$B$6,0))</f>
        <v>40.3448502466675</v>
      </c>
    </row>
    <row r="2218" customFormat="false" ht="15" hidden="false" customHeight="false" outlineLevel="0" collapsed="false">
      <c r="A2218" s="0" t="n">
        <v>2207</v>
      </c>
      <c r="B2218" s="15" t="n">
        <v>-0.697574981849148</v>
      </c>
      <c r="C2218" s="18" t="n">
        <f aca="false">'Black-Scholes'!$B$5*EXP(('Black-Scholes'!$B$8-'Black-Scholes'!$B$10-'Black-Scholes'!$B$9^2/2)*'Black-Scholes'!$B$7+'Black-Scholes'!$B$9*SQRT('Black-Scholes'!$B$7)*B2218)</f>
        <v>89.6268723484083</v>
      </c>
      <c r="D2218" s="18" t="n">
        <f aca="false">'Black-Scholes'!$B$5*EXP(('Black-Scholes'!$B$8-'Black-Scholes'!$B$10-'Black-Scholes'!$B$9^2/2)*'Black-Scholes'!$B$7-'Black-Scholes'!$B$9*SQRT('Black-Scholes'!$B$7)*B2218)</f>
        <v>118.473011355084</v>
      </c>
      <c r="E2218" s="18" t="n">
        <f aca="false">EXP(-'Black-Scholes'!$B$8*'Black-Scholes'!$B$7)*IF(LOWER('Black-Scholes'!$B$11)="put",MAX('Black-Scholes'!$B$6-C2218,0),MAX(C2218-'Black-Scholes'!$B$6,0))</f>
        <v>0</v>
      </c>
      <c r="F2218" s="18" t="n">
        <f aca="false">(E2218+G2218)/2</f>
        <v>8.78603598004562</v>
      </c>
      <c r="G2218" s="18" t="n">
        <f aca="false">EXP(-'Black-Scholes'!$B$8*'Black-Scholes'!$B$7)*IF(LOWER('Black-Scholes'!$B$11)="put",MAX('Black-Scholes'!$B$6-D2218,0),MAX(D2218-'Black-Scholes'!$B$6,0))</f>
        <v>17.5720719600912</v>
      </c>
    </row>
    <row r="2219" customFormat="false" ht="15" hidden="false" customHeight="false" outlineLevel="0" collapsed="false">
      <c r="A2219" s="0" t="n">
        <v>2208</v>
      </c>
      <c r="B2219" s="15" t="n">
        <v>-0.144475833971508</v>
      </c>
      <c r="C2219" s="18" t="n">
        <f aca="false">'Black-Scholes'!$B$5*EXP(('Black-Scholes'!$B$8-'Black-Scholes'!$B$10-'Black-Scholes'!$B$9^2/2)*'Black-Scholes'!$B$7+'Black-Scholes'!$B$9*SQRT('Black-Scholes'!$B$7)*B2219)</f>
        <v>100.110544375874</v>
      </c>
      <c r="D2219" s="18" t="n">
        <f aca="false">'Black-Scholes'!$B$5*EXP(('Black-Scholes'!$B$8-'Black-Scholes'!$B$10-'Black-Scholes'!$B$9^2/2)*'Black-Scholes'!$B$7-'Black-Scholes'!$B$9*SQRT('Black-Scholes'!$B$7)*B2219)</f>
        <v>106.06640420999</v>
      </c>
      <c r="E2219" s="18" t="n">
        <f aca="false">EXP(-'Black-Scholes'!$B$8*'Black-Scholes'!$B$7)*IF(LOWER('Black-Scholes'!$B$11)="put",MAX('Black-Scholes'!$B$6-C2219,0),MAX(C2219-'Black-Scholes'!$B$6,0))</f>
        <v>0.105153063044131</v>
      </c>
      <c r="F2219" s="18" t="n">
        <f aca="false">(E2219+G2219)/2</f>
        <v>2.93784762425099</v>
      </c>
      <c r="G2219" s="18" t="n">
        <f aca="false">EXP(-'Black-Scholes'!$B$8*'Black-Scholes'!$B$7)*IF(LOWER('Black-Scholes'!$B$11)="put",MAX('Black-Scholes'!$B$6-D2219,0),MAX(D2219-'Black-Scholes'!$B$6,0))</f>
        <v>5.77054218545785</v>
      </c>
    </row>
    <row r="2220" customFormat="false" ht="15" hidden="false" customHeight="false" outlineLevel="0" collapsed="false">
      <c r="A2220" s="0" t="n">
        <v>2209</v>
      </c>
      <c r="B2220" s="15" t="n">
        <v>1.02140553953466</v>
      </c>
      <c r="C2220" s="18" t="n">
        <f aca="false">'Black-Scholes'!$B$5*EXP(('Black-Scholes'!$B$8-'Black-Scholes'!$B$10-'Black-Scholes'!$B$9^2/2)*'Black-Scholes'!$B$7+'Black-Scholes'!$B$9*SQRT('Black-Scholes'!$B$7)*B2220)</f>
        <v>126.399976259841</v>
      </c>
      <c r="D2220" s="18" t="n">
        <f aca="false">'Black-Scholes'!$B$5*EXP(('Black-Scholes'!$B$8-'Black-Scholes'!$B$10-'Black-Scholes'!$B$9^2/2)*'Black-Scholes'!$B$7-'Black-Scholes'!$B$9*SQRT('Black-Scholes'!$B$7)*B2220)</f>
        <v>84.0060716754044</v>
      </c>
      <c r="E2220" s="18" t="n">
        <f aca="false">EXP(-'Black-Scholes'!$B$8*'Black-Scholes'!$B$7)*IF(LOWER('Black-Scholes'!$B$11)="put",MAX('Black-Scholes'!$B$6-C2220,0),MAX(C2220-'Black-Scholes'!$B$6,0))</f>
        <v>25.1124342244808</v>
      </c>
      <c r="F2220" s="18" t="n">
        <f aca="false">(E2220+G2220)/2</f>
        <v>12.5562171122404</v>
      </c>
      <c r="G2220" s="18" t="n">
        <f aca="false">EXP(-'Black-Scholes'!$B$8*'Black-Scholes'!$B$7)*IF(LOWER('Black-Scholes'!$B$11)="put",MAX('Black-Scholes'!$B$6-D2220,0),MAX(D2220-'Black-Scholes'!$B$6,0))</f>
        <v>0</v>
      </c>
    </row>
    <row r="2221" customFormat="false" ht="15" hidden="false" customHeight="false" outlineLevel="0" collapsed="false">
      <c r="A2221" s="0" t="n">
        <v>2210</v>
      </c>
      <c r="B2221" s="15" t="n">
        <v>0.482592044917019</v>
      </c>
      <c r="C2221" s="18" t="n">
        <f aca="false">'Black-Scholes'!$B$5*EXP(('Black-Scholes'!$B$8-'Black-Scholes'!$B$10-'Black-Scholes'!$B$9^2/2)*'Black-Scholes'!$B$7+'Black-Scholes'!$B$9*SQRT('Black-Scholes'!$B$7)*B2221)</f>
        <v>113.487034279308</v>
      </c>
      <c r="D2221" s="18" t="n">
        <f aca="false">'Black-Scholes'!$B$5*EXP(('Black-Scholes'!$B$8-'Black-Scholes'!$B$10-'Black-Scholes'!$B$9^2/2)*'Black-Scholes'!$B$7-'Black-Scholes'!$B$9*SQRT('Black-Scholes'!$B$7)*B2221)</f>
        <v>93.5645691411784</v>
      </c>
      <c r="E2221" s="18" t="n">
        <f aca="false">EXP(-'Black-Scholes'!$B$8*'Black-Scholes'!$B$7)*IF(LOWER('Black-Scholes'!$B$11)="put",MAX('Black-Scholes'!$B$6-C2221,0),MAX(C2221-'Black-Scholes'!$B$6,0))</f>
        <v>12.8292638557275</v>
      </c>
      <c r="F2221" s="18" t="n">
        <f aca="false">(E2221+G2221)/2</f>
        <v>6.41463192786377</v>
      </c>
      <c r="G2221" s="18" t="n">
        <f aca="false">EXP(-'Black-Scholes'!$B$8*'Black-Scholes'!$B$7)*IF(LOWER('Black-Scholes'!$B$11)="put",MAX('Black-Scholes'!$B$6-D2221,0),MAX(D2221-'Black-Scholes'!$B$6,0))</f>
        <v>0</v>
      </c>
    </row>
    <row r="2222" customFormat="false" ht="15" hidden="false" customHeight="false" outlineLevel="0" collapsed="false">
      <c r="A2222" s="0" t="n">
        <v>2211</v>
      </c>
      <c r="B2222" s="15" t="n">
        <v>1.86940794934192</v>
      </c>
      <c r="C2222" s="18" t="n">
        <f aca="false">'Black-Scholes'!$B$5*EXP(('Black-Scholes'!$B$8-'Black-Scholes'!$B$10-'Black-Scholes'!$B$9^2/2)*'Black-Scholes'!$B$7+'Black-Scholes'!$B$9*SQRT('Black-Scholes'!$B$7)*B2222)</f>
        <v>149.762660229555</v>
      </c>
      <c r="D2222" s="18" t="n">
        <f aca="false">'Black-Scholes'!$B$5*EXP(('Black-Scholes'!$B$8-'Black-Scholes'!$B$10-'Black-Scholes'!$B$9^2/2)*'Black-Scholes'!$B$7-'Black-Scholes'!$B$9*SQRT('Black-Scholes'!$B$7)*B2222)</f>
        <v>70.9012877387315</v>
      </c>
      <c r="E2222" s="18" t="n">
        <f aca="false">EXP(-'Black-Scholes'!$B$8*'Black-Scholes'!$B$7)*IF(LOWER('Black-Scholes'!$B$11)="put",MAX('Black-Scholes'!$B$6-C2222,0),MAX(C2222-'Black-Scholes'!$B$6,0))</f>
        <v>47.3357066517846</v>
      </c>
      <c r="F2222" s="18" t="n">
        <f aca="false">(E2222+G2222)/2</f>
        <v>23.6678533258923</v>
      </c>
      <c r="G2222" s="18" t="n">
        <f aca="false">EXP(-'Black-Scholes'!$B$8*'Black-Scholes'!$B$7)*IF(LOWER('Black-Scholes'!$B$11)="put",MAX('Black-Scholes'!$B$6-D2222,0),MAX(D2222-'Black-Scholes'!$B$6,0))</f>
        <v>0</v>
      </c>
    </row>
    <row r="2223" customFormat="false" ht="15" hidden="false" customHeight="false" outlineLevel="0" collapsed="false">
      <c r="A2223" s="0" t="n">
        <v>2212</v>
      </c>
      <c r="B2223" s="15" t="n">
        <v>-0.138928302982648</v>
      </c>
      <c r="C2223" s="18" t="n">
        <f aca="false">'Black-Scholes'!$B$5*EXP(('Black-Scholes'!$B$8-'Black-Scholes'!$B$10-'Black-Scholes'!$B$9^2/2)*'Black-Scholes'!$B$7+'Black-Scholes'!$B$9*SQRT('Black-Scholes'!$B$7)*B2223)</f>
        <v>100.221679286356</v>
      </c>
      <c r="D2223" s="18" t="n">
        <f aca="false">'Black-Scholes'!$B$5*EXP(('Black-Scholes'!$B$8-'Black-Scholes'!$B$10-'Black-Scholes'!$B$9^2/2)*'Black-Scholes'!$B$7-'Black-Scholes'!$B$9*SQRT('Black-Scholes'!$B$7)*B2223)</f>
        <v>105.94878813709</v>
      </c>
      <c r="E2223" s="18" t="n">
        <f aca="false">EXP(-'Black-Scholes'!$B$8*'Black-Scholes'!$B$7)*IF(LOWER('Black-Scholes'!$B$11)="put",MAX('Black-Scholes'!$B$6-C2223,0),MAX(C2223-'Black-Scholes'!$B$6,0))</f>
        <v>0.210867859984546</v>
      </c>
      <c r="F2223" s="18" t="n">
        <f aca="false">(E2223+G2223)/2</f>
        <v>2.93476508805286</v>
      </c>
      <c r="G2223" s="18" t="n">
        <f aca="false">EXP(-'Black-Scholes'!$B$8*'Black-Scholes'!$B$7)*IF(LOWER('Black-Scholes'!$B$11)="put",MAX('Black-Scholes'!$B$6-D2223,0),MAX(D2223-'Black-Scholes'!$B$6,0))</f>
        <v>5.65866231612117</v>
      </c>
    </row>
    <row r="2224" customFormat="false" ht="15" hidden="false" customHeight="false" outlineLevel="0" collapsed="false">
      <c r="A2224" s="0" t="n">
        <v>2213</v>
      </c>
      <c r="B2224" s="15" t="n">
        <v>-0.0629906063618603</v>
      </c>
      <c r="C2224" s="18" t="n">
        <f aca="false">'Black-Scholes'!$B$5*EXP(('Black-Scholes'!$B$8-'Black-Scholes'!$B$10-'Black-Scholes'!$B$9^2/2)*'Black-Scholes'!$B$7+'Black-Scholes'!$B$9*SQRT('Black-Scholes'!$B$7)*B2224)</f>
        <v>101.755417354199</v>
      </c>
      <c r="D2224" s="18" t="n">
        <f aca="false">'Black-Scholes'!$B$5*EXP(('Black-Scholes'!$B$8-'Black-Scholes'!$B$10-'Black-Scholes'!$B$9^2/2)*'Black-Scholes'!$B$7-'Black-Scholes'!$B$9*SQRT('Black-Scholes'!$B$7)*B2224)</f>
        <v>104.35184427078</v>
      </c>
      <c r="E2224" s="18" t="n">
        <f aca="false">EXP(-'Black-Scholes'!$B$8*'Black-Scholes'!$B$7)*IF(LOWER('Black-Scholes'!$B$11)="put",MAX('Black-Scholes'!$B$6-C2224,0),MAX(C2224-'Black-Scholes'!$B$6,0))</f>
        <v>1.66980463959329</v>
      </c>
      <c r="F2224" s="18" t="n">
        <f aca="false">(E2224+G2224)/2</f>
        <v>2.90470348040202</v>
      </c>
      <c r="G2224" s="18" t="n">
        <f aca="false">EXP(-'Black-Scholes'!$B$8*'Black-Scholes'!$B$7)*IF(LOWER('Black-Scholes'!$B$11)="put",MAX('Black-Scholes'!$B$6-D2224,0),MAX(D2224-'Black-Scholes'!$B$6,0))</f>
        <v>4.13960232121074</v>
      </c>
    </row>
    <row r="2225" customFormat="false" ht="15" hidden="false" customHeight="false" outlineLevel="0" collapsed="false">
      <c r="A2225" s="0" t="n">
        <v>2214</v>
      </c>
      <c r="B2225" s="15" t="n">
        <v>0.156004329710696</v>
      </c>
      <c r="C2225" s="18" t="n">
        <f aca="false">'Black-Scholes'!$B$5*EXP(('Black-Scholes'!$B$8-'Black-Scholes'!$B$10-'Black-Scholes'!$B$9^2/2)*'Black-Scholes'!$B$7+'Black-Scholes'!$B$9*SQRT('Black-Scholes'!$B$7)*B2225)</f>
        <v>106.311243582289</v>
      </c>
      <c r="D2225" s="18" t="n">
        <f aca="false">'Black-Scholes'!$B$5*EXP(('Black-Scholes'!$B$8-'Black-Scholes'!$B$10-'Black-Scholes'!$B$9^2/2)*'Black-Scholes'!$B$7-'Black-Scholes'!$B$9*SQRT('Black-Scholes'!$B$7)*B2225)</f>
        <v>99.8799854808829</v>
      </c>
      <c r="E2225" s="18" t="n">
        <f aca="false">EXP(-'Black-Scholes'!$B$8*'Black-Scholes'!$B$7)*IF(LOWER('Black-Scholes'!$B$11)="put",MAX('Black-Scholes'!$B$6-C2225,0),MAX(C2225-'Black-Scholes'!$B$6,0))</f>
        <v>6.00344060066426</v>
      </c>
      <c r="F2225" s="18" t="n">
        <f aca="false">(E2225+G2225)/2</f>
        <v>3.00172030033213</v>
      </c>
      <c r="G2225" s="18" t="n">
        <f aca="false">EXP(-'Black-Scholes'!$B$8*'Black-Scholes'!$B$7)*IF(LOWER('Black-Scholes'!$B$11)="put",MAX('Black-Scholes'!$B$6-D2225,0),MAX(D2225-'Black-Scholes'!$B$6,0))</f>
        <v>0</v>
      </c>
    </row>
    <row r="2226" customFormat="false" ht="15" hidden="false" customHeight="false" outlineLevel="0" collapsed="false">
      <c r="A2226" s="0" t="n">
        <v>2215</v>
      </c>
      <c r="B2226" s="15" t="n">
        <v>1.18679151569159</v>
      </c>
      <c r="C2226" s="18" t="n">
        <f aca="false">'Black-Scholes'!$B$5*EXP(('Black-Scholes'!$B$8-'Black-Scholes'!$B$10-'Black-Scholes'!$B$9^2/2)*'Black-Scholes'!$B$7+'Black-Scholes'!$B$9*SQRT('Black-Scholes'!$B$7)*B2226)</f>
        <v>130.650848856684</v>
      </c>
      <c r="D2226" s="18" t="n">
        <f aca="false">'Black-Scholes'!$B$5*EXP(('Black-Scholes'!$B$8-'Black-Scholes'!$B$10-'Black-Scholes'!$B$9^2/2)*'Black-Scholes'!$B$7-'Black-Scholes'!$B$9*SQRT('Black-Scholes'!$B$7)*B2226)</f>
        <v>81.2728394677428</v>
      </c>
      <c r="E2226" s="18" t="n">
        <f aca="false">EXP(-'Black-Scholes'!$B$8*'Black-Scholes'!$B$7)*IF(LOWER('Black-Scholes'!$B$11)="put",MAX('Black-Scholes'!$B$6-C2226,0),MAX(C2226-'Black-Scholes'!$B$6,0))</f>
        <v>29.1559893184017</v>
      </c>
      <c r="F2226" s="18" t="n">
        <f aca="false">(E2226+G2226)/2</f>
        <v>14.5779946592009</v>
      </c>
      <c r="G2226" s="18" t="n">
        <f aca="false">EXP(-'Black-Scholes'!$B$8*'Black-Scholes'!$B$7)*IF(LOWER('Black-Scholes'!$B$11)="put",MAX('Black-Scholes'!$B$6-D2226,0),MAX(D2226-'Black-Scholes'!$B$6,0))</f>
        <v>0</v>
      </c>
    </row>
    <row r="2227" customFormat="false" ht="15" hidden="false" customHeight="false" outlineLevel="0" collapsed="false">
      <c r="A2227" s="0" t="n">
        <v>2216</v>
      </c>
      <c r="B2227" s="15" t="n">
        <v>0.994357281039644</v>
      </c>
      <c r="C2227" s="18" t="n">
        <f aca="false">'Black-Scholes'!$B$5*EXP(('Black-Scholes'!$B$8-'Black-Scholes'!$B$10-'Black-Scholes'!$B$9^2/2)*'Black-Scholes'!$B$7+'Black-Scholes'!$B$9*SQRT('Black-Scholes'!$B$7)*B2227)</f>
        <v>125.718042588362</v>
      </c>
      <c r="D2227" s="18" t="n">
        <f aca="false">'Black-Scholes'!$B$5*EXP(('Black-Scholes'!$B$8-'Black-Scholes'!$B$10-'Black-Scholes'!$B$9^2/2)*'Black-Scholes'!$B$7-'Black-Scholes'!$B$9*SQRT('Black-Scholes'!$B$7)*B2227)</f>
        <v>84.4617466740337</v>
      </c>
      <c r="E2227" s="18" t="n">
        <f aca="false">EXP(-'Black-Scholes'!$B$8*'Black-Scholes'!$B$7)*IF(LOWER('Black-Scholes'!$B$11)="put",MAX('Black-Scholes'!$B$6-C2227,0),MAX(C2227-'Black-Scholes'!$B$6,0))</f>
        <v>24.4637588506123</v>
      </c>
      <c r="F2227" s="18" t="n">
        <f aca="false">(E2227+G2227)/2</f>
        <v>12.2318794253062</v>
      </c>
      <c r="G2227" s="18" t="n">
        <f aca="false">EXP(-'Black-Scholes'!$B$8*'Black-Scholes'!$B$7)*IF(LOWER('Black-Scholes'!$B$11)="put",MAX('Black-Scholes'!$B$6-D2227,0),MAX(D2227-'Black-Scholes'!$B$6,0))</f>
        <v>0</v>
      </c>
    </row>
    <row r="2228" customFormat="false" ht="15" hidden="false" customHeight="false" outlineLevel="0" collapsed="false">
      <c r="A2228" s="0" t="n">
        <v>2217</v>
      </c>
      <c r="B2228" s="15" t="n">
        <v>1.68285266530071</v>
      </c>
      <c r="C2228" s="18" t="n">
        <f aca="false">'Black-Scholes'!$B$5*EXP(('Black-Scholes'!$B$8-'Black-Scholes'!$B$10-'Black-Scholes'!$B$9^2/2)*'Black-Scholes'!$B$7+'Black-Scholes'!$B$9*SQRT('Black-Scholes'!$B$7)*B2228)</f>
        <v>144.27781605203</v>
      </c>
      <c r="D2228" s="18" t="n">
        <f aca="false">'Black-Scholes'!$B$5*EXP(('Black-Scholes'!$B$8-'Black-Scholes'!$B$10-'Black-Scholes'!$B$9^2/2)*'Black-Scholes'!$B$7-'Black-Scholes'!$B$9*SQRT('Black-Scholes'!$B$7)*B2228)</f>
        <v>73.5966606371723</v>
      </c>
      <c r="E2228" s="18" t="n">
        <f aca="false">EXP(-'Black-Scholes'!$B$8*'Black-Scholes'!$B$7)*IF(LOWER('Black-Scholes'!$B$11)="put",MAX('Black-Scholes'!$B$6-C2228,0),MAX(C2228-'Black-Scholes'!$B$6,0))</f>
        <v>42.1183614813206</v>
      </c>
      <c r="F2228" s="18" t="n">
        <f aca="false">(E2228+G2228)/2</f>
        <v>21.0591807406603</v>
      </c>
      <c r="G2228" s="18" t="n">
        <f aca="false">EXP(-'Black-Scholes'!$B$8*'Black-Scholes'!$B$7)*IF(LOWER('Black-Scholes'!$B$11)="put",MAX('Black-Scholes'!$B$6-D2228,0),MAX(D2228-'Black-Scholes'!$B$6,0))</f>
        <v>0</v>
      </c>
    </row>
    <row r="2229" customFormat="false" ht="15" hidden="false" customHeight="false" outlineLevel="0" collapsed="false">
      <c r="A2229" s="0" t="n">
        <v>2218</v>
      </c>
      <c r="B2229" s="15" t="n">
        <v>0.536138441842641</v>
      </c>
      <c r="C2229" s="18" t="n">
        <f aca="false">'Black-Scholes'!$B$5*EXP(('Black-Scholes'!$B$8-'Black-Scholes'!$B$10-'Black-Scholes'!$B$9^2/2)*'Black-Scholes'!$B$7+'Black-Scholes'!$B$9*SQRT('Black-Scholes'!$B$7)*B2229)</f>
        <v>114.70892976797</v>
      </c>
      <c r="D2229" s="18" t="n">
        <f aca="false">'Black-Scholes'!$B$5*EXP(('Black-Scholes'!$B$8-'Black-Scholes'!$B$10-'Black-Scholes'!$B$9^2/2)*'Black-Scholes'!$B$7-'Black-Scholes'!$B$9*SQRT('Black-Scholes'!$B$7)*B2229)</f>
        <v>92.5679063254457</v>
      </c>
      <c r="E2229" s="18" t="n">
        <f aca="false">EXP(-'Black-Scholes'!$B$8*'Black-Scholes'!$B$7)*IF(LOWER('Black-Scholes'!$B$11)="put",MAX('Black-Scholes'!$B$6-C2229,0),MAX(C2229-'Black-Scholes'!$B$6,0))</f>
        <v>13.9915667982077</v>
      </c>
      <c r="F2229" s="18" t="n">
        <f aca="false">(E2229+G2229)/2</f>
        <v>6.99578339910385</v>
      </c>
      <c r="G2229" s="18" t="n">
        <f aca="false">EXP(-'Black-Scholes'!$B$8*'Black-Scholes'!$B$7)*IF(LOWER('Black-Scholes'!$B$11)="put",MAX('Black-Scholes'!$B$6-D2229,0),MAX(D2229-'Black-Scholes'!$B$6,0))</f>
        <v>0</v>
      </c>
    </row>
    <row r="2230" customFormat="false" ht="15" hidden="false" customHeight="false" outlineLevel="0" collapsed="false">
      <c r="A2230" s="0" t="n">
        <v>2219</v>
      </c>
      <c r="B2230" s="15" t="n">
        <v>0.566231516918237</v>
      </c>
      <c r="C2230" s="18" t="n">
        <f aca="false">'Black-Scholes'!$B$5*EXP(('Black-Scholes'!$B$8-'Black-Scholes'!$B$10-'Black-Scholes'!$B$9^2/2)*'Black-Scholes'!$B$7+'Black-Scholes'!$B$9*SQRT('Black-Scholes'!$B$7)*B2230)</f>
        <v>115.401400421856</v>
      </c>
      <c r="D2230" s="18" t="n">
        <f aca="false">'Black-Scholes'!$B$5*EXP(('Black-Scholes'!$B$8-'Black-Scholes'!$B$10-'Black-Scholes'!$B$9^2/2)*'Black-Scholes'!$B$7-'Black-Scholes'!$B$9*SQRT('Black-Scholes'!$B$7)*B2230)</f>
        <v>92.0124489532844</v>
      </c>
      <c r="E2230" s="18" t="n">
        <f aca="false">EXP(-'Black-Scholes'!$B$8*'Black-Scholes'!$B$7)*IF(LOWER('Black-Scholes'!$B$11)="put",MAX('Black-Scholes'!$B$6-C2230,0),MAX(C2230-'Black-Scholes'!$B$6,0))</f>
        <v>14.6502652597875</v>
      </c>
      <c r="F2230" s="18" t="n">
        <f aca="false">(E2230+G2230)/2</f>
        <v>7.32513262989376</v>
      </c>
      <c r="G2230" s="18" t="n">
        <f aca="false">EXP(-'Black-Scholes'!$B$8*'Black-Scholes'!$B$7)*IF(LOWER('Black-Scholes'!$B$11)="put",MAX('Black-Scholes'!$B$6-D2230,0),MAX(D2230-'Black-Scholes'!$B$6,0))</f>
        <v>0</v>
      </c>
    </row>
    <row r="2231" customFormat="false" ht="15" hidden="false" customHeight="false" outlineLevel="0" collapsed="false">
      <c r="A2231" s="0" t="n">
        <v>2220</v>
      </c>
      <c r="B2231" s="15" t="n">
        <v>-0.411962064470939</v>
      </c>
      <c r="C2231" s="18" t="n">
        <f aca="false">'Black-Scholes'!$B$5*EXP(('Black-Scholes'!$B$8-'Black-Scholes'!$B$10-'Black-Scholes'!$B$9^2/2)*'Black-Scholes'!$B$7+'Black-Scholes'!$B$9*SQRT('Black-Scholes'!$B$7)*B2231)</f>
        <v>94.8956411037726</v>
      </c>
      <c r="D2231" s="18" t="n">
        <f aca="false">'Black-Scholes'!$B$5*EXP(('Black-Scholes'!$B$8-'Black-Scholes'!$B$10-'Black-Scholes'!$B$9^2/2)*'Black-Scholes'!$B$7-'Black-Scholes'!$B$9*SQRT('Black-Scholes'!$B$7)*B2231)</f>
        <v>111.895186564385</v>
      </c>
      <c r="E2231" s="18" t="n">
        <f aca="false">EXP(-'Black-Scholes'!$B$8*'Black-Scholes'!$B$7)*IF(LOWER('Black-Scholes'!$B$11)="put",MAX('Black-Scholes'!$B$6-C2231,0),MAX(C2231-'Black-Scholes'!$B$6,0))</f>
        <v>0</v>
      </c>
      <c r="F2231" s="18" t="n">
        <f aca="false">(E2231+G2231)/2</f>
        <v>5.65752573498451</v>
      </c>
      <c r="G2231" s="18" t="n">
        <f aca="false">EXP(-'Black-Scholes'!$B$8*'Black-Scholes'!$B$7)*IF(LOWER('Black-Scholes'!$B$11)="put",MAX('Black-Scholes'!$B$6-D2231,0),MAX(D2231-'Black-Scholes'!$B$6,0))</f>
        <v>11.315051469969</v>
      </c>
    </row>
    <row r="2232" customFormat="false" ht="15" hidden="false" customHeight="false" outlineLevel="0" collapsed="false">
      <c r="A2232" s="0" t="n">
        <v>2221</v>
      </c>
      <c r="B2232" s="15" t="n">
        <v>-0.393261579994186</v>
      </c>
      <c r="C2232" s="18" t="n">
        <f aca="false">'Black-Scholes'!$B$5*EXP(('Black-Scholes'!$B$8-'Black-Scholes'!$B$10-'Black-Scholes'!$B$9^2/2)*'Black-Scholes'!$B$7+'Black-Scholes'!$B$9*SQRT('Black-Scholes'!$B$7)*B2232)</f>
        <v>95.2512245401991</v>
      </c>
      <c r="D2232" s="18" t="n">
        <f aca="false">'Black-Scholes'!$B$5*EXP(('Black-Scholes'!$B$8-'Black-Scholes'!$B$10-'Black-Scholes'!$B$9^2/2)*'Black-Scholes'!$B$7-'Black-Scholes'!$B$9*SQRT('Black-Scholes'!$B$7)*B2232)</f>
        <v>111.477469362846</v>
      </c>
      <c r="E2232" s="18" t="n">
        <f aca="false">EXP(-'Black-Scholes'!$B$8*'Black-Scholes'!$B$7)*IF(LOWER('Black-Scholes'!$B$11)="put",MAX('Black-Scholes'!$B$6-C2232,0),MAX(C2232-'Black-Scholes'!$B$6,0))</f>
        <v>0</v>
      </c>
      <c r="F2232" s="18" t="n">
        <f aca="false">(E2232+G2232)/2</f>
        <v>5.45885328837223</v>
      </c>
      <c r="G2232" s="18" t="n">
        <f aca="false">EXP(-'Black-Scholes'!$B$8*'Black-Scholes'!$B$7)*IF(LOWER('Black-Scholes'!$B$11)="put",MAX('Black-Scholes'!$B$6-D2232,0),MAX(D2232-'Black-Scholes'!$B$6,0))</f>
        <v>10.9177065767445</v>
      </c>
    </row>
    <row r="2233" customFormat="false" ht="15" hidden="false" customHeight="false" outlineLevel="0" collapsed="false">
      <c r="A2233" s="0" t="n">
        <v>2222</v>
      </c>
      <c r="B2233" s="15" t="n">
        <v>-0.960163449415009</v>
      </c>
      <c r="C2233" s="18" t="n">
        <f aca="false">'Black-Scholes'!$B$5*EXP(('Black-Scholes'!$B$8-'Black-Scholes'!$B$10-'Black-Scholes'!$B$9^2/2)*'Black-Scholes'!$B$7+'Black-Scholes'!$B$9*SQRT('Black-Scholes'!$B$7)*B2233)</f>
        <v>85.0413404171155</v>
      </c>
      <c r="D2233" s="18" t="n">
        <f aca="false">'Black-Scholes'!$B$5*EXP(('Black-Scholes'!$B$8-'Black-Scholes'!$B$10-'Black-Scholes'!$B$9^2/2)*'Black-Scholes'!$B$7-'Black-Scholes'!$B$9*SQRT('Black-Scholes'!$B$7)*B2233)</f>
        <v>124.861219418368</v>
      </c>
      <c r="E2233" s="18" t="n">
        <f aca="false">EXP(-'Black-Scholes'!$B$8*'Black-Scholes'!$B$7)*IF(LOWER('Black-Scholes'!$B$11)="put",MAX('Black-Scholes'!$B$6-C2233,0),MAX(C2233-'Black-Scholes'!$B$6,0))</f>
        <v>0</v>
      </c>
      <c r="F2233" s="18" t="n">
        <f aca="false">(E2233+G2233)/2</f>
        <v>11.8243617198602</v>
      </c>
      <c r="G2233" s="18" t="n">
        <f aca="false">EXP(-'Black-Scholes'!$B$8*'Black-Scholes'!$B$7)*IF(LOWER('Black-Scholes'!$B$11)="put",MAX('Black-Scholes'!$B$6-D2233,0),MAX(D2233-'Black-Scholes'!$B$6,0))</f>
        <v>23.6487234397203</v>
      </c>
    </row>
    <row r="2234" customFormat="false" ht="15" hidden="false" customHeight="false" outlineLevel="0" collapsed="false">
      <c r="A2234" s="0" t="n">
        <v>2223</v>
      </c>
      <c r="B2234" s="15" t="n">
        <v>-2.23742491612328</v>
      </c>
      <c r="C2234" s="18" t="n">
        <f aca="false">'Black-Scholes'!$B$5*EXP(('Black-Scholes'!$B$8-'Black-Scholes'!$B$10-'Black-Scholes'!$B$9^2/2)*'Black-Scholes'!$B$7+'Black-Scholes'!$B$9*SQRT('Black-Scholes'!$B$7)*B2234)</f>
        <v>65.8701383344459</v>
      </c>
      <c r="D2234" s="18" t="n">
        <f aca="false">'Black-Scholes'!$B$5*EXP(('Black-Scholes'!$B$8-'Black-Scholes'!$B$10-'Black-Scholes'!$B$9^2/2)*'Black-Scholes'!$B$7-'Black-Scholes'!$B$9*SQRT('Black-Scholes'!$B$7)*B2234)</f>
        <v>161.201505476433</v>
      </c>
      <c r="E2234" s="18" t="n">
        <f aca="false">EXP(-'Black-Scholes'!$B$8*'Black-Scholes'!$B$7)*IF(LOWER('Black-Scholes'!$B$11)="put",MAX('Black-Scholes'!$B$6-C2234,0),MAX(C2234-'Black-Scholes'!$B$6,0))</f>
        <v>0</v>
      </c>
      <c r="F2234" s="18" t="n">
        <f aca="false">(E2234+G2234)/2</f>
        <v>29.1083364164625</v>
      </c>
      <c r="G2234" s="18" t="n">
        <f aca="false">EXP(-'Black-Scholes'!$B$8*'Black-Scholes'!$B$7)*IF(LOWER('Black-Scholes'!$B$11)="put",MAX('Black-Scholes'!$B$6-D2234,0),MAX(D2234-'Black-Scholes'!$B$6,0))</f>
        <v>58.216672832925</v>
      </c>
    </row>
    <row r="2235" customFormat="false" ht="15" hidden="false" customHeight="false" outlineLevel="0" collapsed="false">
      <c r="A2235" s="0" t="n">
        <v>2224</v>
      </c>
      <c r="B2235" s="15" t="n">
        <v>1.08008684835102</v>
      </c>
      <c r="C2235" s="18" t="n">
        <f aca="false">'Black-Scholes'!$B$5*EXP(('Black-Scholes'!$B$8-'Black-Scholes'!$B$10-'Black-Scholes'!$B$9^2/2)*'Black-Scholes'!$B$7+'Black-Scholes'!$B$9*SQRT('Black-Scholes'!$B$7)*B2235)</f>
        <v>127.892178779848</v>
      </c>
      <c r="D2235" s="18" t="n">
        <f aca="false">'Black-Scholes'!$B$5*EXP(('Black-Scholes'!$B$8-'Black-Scholes'!$B$10-'Black-Scholes'!$B$9^2/2)*'Black-Scholes'!$B$7-'Black-Scholes'!$B$9*SQRT('Black-Scholes'!$B$7)*B2235)</f>
        <v>83.0259173528657</v>
      </c>
      <c r="E2235" s="18" t="n">
        <f aca="false">EXP(-'Black-Scholes'!$B$8*'Black-Scholes'!$B$7)*IF(LOWER('Black-Scholes'!$B$11)="put",MAX('Black-Scholes'!$B$6-C2235,0),MAX(C2235-'Black-Scholes'!$B$6,0))</f>
        <v>26.531861168826</v>
      </c>
      <c r="F2235" s="18" t="n">
        <f aca="false">(E2235+G2235)/2</f>
        <v>13.265930584413</v>
      </c>
      <c r="G2235" s="18" t="n">
        <f aca="false">EXP(-'Black-Scholes'!$B$8*'Black-Scholes'!$B$7)*IF(LOWER('Black-Scholes'!$B$11)="put",MAX('Black-Scholes'!$B$6-D2235,0),MAX(D2235-'Black-Scholes'!$B$6,0))</f>
        <v>0</v>
      </c>
    </row>
    <row r="2236" customFormat="false" ht="15" hidden="false" customHeight="false" outlineLevel="0" collapsed="false">
      <c r="A2236" s="0" t="n">
        <v>2225</v>
      </c>
      <c r="B2236" s="15" t="n">
        <v>1.28491011075631</v>
      </c>
      <c r="C2236" s="18" t="n">
        <f aca="false">'Black-Scholes'!$B$5*EXP(('Black-Scholes'!$B$8-'Black-Scholes'!$B$10-'Black-Scholes'!$B$9^2/2)*'Black-Scholes'!$B$7+'Black-Scholes'!$B$9*SQRT('Black-Scholes'!$B$7)*B2236)</f>
        <v>133.240025957003</v>
      </c>
      <c r="D2236" s="18" t="n">
        <f aca="false">'Black-Scholes'!$B$5*EXP(('Black-Scholes'!$B$8-'Black-Scholes'!$B$10-'Black-Scholes'!$B$9^2/2)*'Black-Scholes'!$B$7-'Black-Scholes'!$B$9*SQRT('Black-Scholes'!$B$7)*B2236)</f>
        <v>79.6935109340205</v>
      </c>
      <c r="E2236" s="18" t="n">
        <f aca="false">EXP(-'Black-Scholes'!$B$8*'Black-Scholes'!$B$7)*IF(LOWER('Black-Scholes'!$B$11)="put",MAX('Black-Scholes'!$B$6-C2236,0),MAX(C2236-'Black-Scholes'!$B$6,0))</f>
        <v>31.6188907614688</v>
      </c>
      <c r="F2236" s="18" t="n">
        <f aca="false">(E2236+G2236)/2</f>
        <v>15.8094453807344</v>
      </c>
      <c r="G2236" s="18" t="n">
        <f aca="false">EXP(-'Black-Scholes'!$B$8*'Black-Scholes'!$B$7)*IF(LOWER('Black-Scholes'!$B$11)="put",MAX('Black-Scholes'!$B$6-D2236,0),MAX(D2236-'Black-Scholes'!$B$6,0))</f>
        <v>0</v>
      </c>
    </row>
    <row r="2237" customFormat="false" ht="15" hidden="false" customHeight="false" outlineLevel="0" collapsed="false">
      <c r="A2237" s="0" t="n">
        <v>2226</v>
      </c>
      <c r="B2237" s="15" t="n">
        <v>-1.7963440698468</v>
      </c>
      <c r="C2237" s="18" t="n">
        <f aca="false">'Black-Scholes'!$B$5*EXP(('Black-Scholes'!$B$8-'Black-Scholes'!$B$10-'Black-Scholes'!$B$9^2/2)*'Black-Scholes'!$B$7+'Black-Scholes'!$B$9*SQRT('Black-Scholes'!$B$7)*B2237)</f>
        <v>71.9449592649936</v>
      </c>
      <c r="D2237" s="18" t="n">
        <f aca="false">'Black-Scholes'!$B$5*EXP(('Black-Scholes'!$B$8-'Black-Scholes'!$B$10-'Black-Scholes'!$B$9^2/2)*'Black-Scholes'!$B$7-'Black-Scholes'!$B$9*SQRT('Black-Scholes'!$B$7)*B2237)</f>
        <v>147.590124088376</v>
      </c>
      <c r="E2237" s="18" t="n">
        <f aca="false">EXP(-'Black-Scholes'!$B$8*'Black-Scholes'!$B$7)*IF(LOWER('Black-Scholes'!$B$11)="put",MAX('Black-Scholes'!$B$6-C2237,0),MAX(C2237-'Black-Scholes'!$B$6,0))</f>
        <v>0</v>
      </c>
      <c r="F2237" s="18" t="n">
        <f aca="false">(E2237+G2237)/2</f>
        <v>22.634563174252</v>
      </c>
      <c r="G2237" s="18" t="n">
        <f aca="false">EXP(-'Black-Scholes'!$B$8*'Black-Scholes'!$B$7)*IF(LOWER('Black-Scholes'!$B$11)="put",MAX('Black-Scholes'!$B$6-D2237,0),MAX(D2237-'Black-Scholes'!$B$6,0))</f>
        <v>45.2691263485039</v>
      </c>
    </row>
    <row r="2238" customFormat="false" ht="15" hidden="false" customHeight="false" outlineLevel="0" collapsed="false">
      <c r="A2238" s="0" t="n">
        <v>2227</v>
      </c>
      <c r="B2238" s="15" t="n">
        <v>-0.493332958418171</v>
      </c>
      <c r="C2238" s="18" t="n">
        <f aca="false">'Black-Scholes'!$B$5*EXP(('Black-Scholes'!$B$8-'Black-Scholes'!$B$10-'Black-Scholes'!$B$9^2/2)*'Black-Scholes'!$B$7+'Black-Scholes'!$B$9*SQRT('Black-Scholes'!$B$7)*B2238)</f>
        <v>93.3637910835805</v>
      </c>
      <c r="D2238" s="18" t="n">
        <f aca="false">'Black-Scholes'!$B$5*EXP(('Black-Scholes'!$B$8-'Black-Scholes'!$B$10-'Black-Scholes'!$B$9^2/2)*'Black-Scholes'!$B$7-'Black-Scholes'!$B$9*SQRT('Black-Scholes'!$B$7)*B2238)</f>
        <v>113.731087204331</v>
      </c>
      <c r="E2238" s="18" t="n">
        <f aca="false">EXP(-'Black-Scholes'!$B$8*'Black-Scholes'!$B$7)*IF(LOWER('Black-Scholes'!$B$11)="put",MAX('Black-Scholes'!$B$6-C2238,0),MAX(C2238-'Black-Scholes'!$B$6,0))</f>
        <v>0</v>
      </c>
      <c r="F2238" s="18" t="n">
        <f aca="false">(E2238+G2238)/2</f>
        <v>6.53070708957227</v>
      </c>
      <c r="G2238" s="18" t="n">
        <f aca="false">EXP(-'Black-Scholes'!$B$8*'Black-Scholes'!$B$7)*IF(LOWER('Black-Scholes'!$B$11)="put",MAX('Black-Scholes'!$B$6-D2238,0),MAX(D2238-'Black-Scholes'!$B$6,0))</f>
        <v>13.0614141791445</v>
      </c>
    </row>
    <row r="2239" customFormat="false" ht="15" hidden="false" customHeight="false" outlineLevel="0" collapsed="false">
      <c r="A2239" s="0" t="n">
        <v>2228</v>
      </c>
      <c r="B2239" s="15" t="n">
        <v>-0.10501866407549</v>
      </c>
      <c r="C2239" s="18" t="n">
        <f aca="false">'Black-Scholes'!$B$5*EXP(('Black-Scholes'!$B$8-'Black-Scholes'!$B$10-'Black-Scholes'!$B$9^2/2)*'Black-Scholes'!$B$7+'Black-Scholes'!$B$9*SQRT('Black-Scholes'!$B$7)*B2239)</f>
        <v>100.903685521883</v>
      </c>
      <c r="D2239" s="18" t="n">
        <f aca="false">'Black-Scholes'!$B$5*EXP(('Black-Scholes'!$B$8-'Black-Scholes'!$B$10-'Black-Scholes'!$B$9^2/2)*'Black-Scholes'!$B$7-'Black-Scholes'!$B$9*SQRT('Black-Scholes'!$B$7)*B2239)</f>
        <v>105.232682141732</v>
      </c>
      <c r="E2239" s="18" t="n">
        <f aca="false">EXP(-'Black-Scholes'!$B$8*'Black-Scholes'!$B$7)*IF(LOWER('Black-Scholes'!$B$11)="put",MAX('Black-Scholes'!$B$6-C2239,0),MAX(C2239-'Black-Scholes'!$B$6,0))</f>
        <v>0.859612258910412</v>
      </c>
      <c r="F2239" s="18" t="n">
        <f aca="false">(E2239+G2239)/2</f>
        <v>2.91854674059263</v>
      </c>
      <c r="G2239" s="18" t="n">
        <f aca="false">EXP(-'Black-Scholes'!$B$8*'Black-Scholes'!$B$7)*IF(LOWER('Black-Scholes'!$B$11)="put",MAX('Black-Scholes'!$B$6-D2239,0),MAX(D2239-'Black-Scholes'!$B$6,0))</f>
        <v>4.97748122227484</v>
      </c>
    </row>
    <row r="2240" customFormat="false" ht="15" hidden="false" customHeight="false" outlineLevel="0" collapsed="false">
      <c r="A2240" s="0" t="n">
        <v>2229</v>
      </c>
      <c r="B2240" s="15" t="n">
        <v>-0.145604850981179</v>
      </c>
      <c r="C2240" s="18" t="n">
        <f aca="false">'Black-Scholes'!$B$5*EXP(('Black-Scholes'!$B$8-'Black-Scholes'!$B$10-'Black-Scholes'!$B$9^2/2)*'Black-Scholes'!$B$7+'Black-Scholes'!$B$9*SQRT('Black-Scholes'!$B$7)*B2240)</f>
        <v>100.087941626369</v>
      </c>
      <c r="D2240" s="18" t="n">
        <f aca="false">'Black-Scholes'!$B$5*EXP(('Black-Scholes'!$B$8-'Black-Scholes'!$B$10-'Black-Scholes'!$B$9^2/2)*'Black-Scholes'!$B$7-'Black-Scholes'!$B$9*SQRT('Black-Scholes'!$B$7)*B2240)</f>
        <v>106.090357069109</v>
      </c>
      <c r="E2240" s="18" t="n">
        <f aca="false">EXP(-'Black-Scholes'!$B$8*'Black-Scholes'!$B$7)*IF(LOWER('Black-Scholes'!$B$11)="put",MAX('Black-Scholes'!$B$6-C2240,0),MAX(C2240-'Black-Scholes'!$B$6,0))</f>
        <v>0.083652662640683</v>
      </c>
      <c r="F2240" s="18" t="n">
        <f aca="false">(E2240+G2240)/2</f>
        <v>2.93848975624639</v>
      </c>
      <c r="G2240" s="18" t="n">
        <f aca="false">EXP(-'Black-Scholes'!$B$8*'Black-Scholes'!$B$7)*IF(LOWER('Black-Scholes'!$B$11)="put",MAX('Black-Scholes'!$B$6-D2240,0),MAX(D2240-'Black-Scholes'!$B$6,0))</f>
        <v>5.7933268498521</v>
      </c>
    </row>
    <row r="2241" customFormat="false" ht="15" hidden="false" customHeight="false" outlineLevel="0" collapsed="false">
      <c r="A2241" s="0" t="n">
        <v>2230</v>
      </c>
      <c r="B2241" s="15" t="n">
        <v>-0.00725265626510563</v>
      </c>
      <c r="C2241" s="18" t="n">
        <f aca="false">'Black-Scholes'!$B$5*EXP(('Black-Scholes'!$B$8-'Black-Scholes'!$B$10-'Black-Scholes'!$B$9^2/2)*'Black-Scholes'!$B$7+'Black-Scholes'!$B$9*SQRT('Black-Scholes'!$B$7)*B2241)</f>
        <v>102.896091098249</v>
      </c>
      <c r="D2241" s="18" t="n">
        <f aca="false">'Black-Scholes'!$B$5*EXP(('Black-Scholes'!$B$8-'Black-Scholes'!$B$10-'Black-Scholes'!$B$9^2/2)*'Black-Scholes'!$B$7-'Black-Scholes'!$B$9*SQRT('Black-Scholes'!$B$7)*B2241)</f>
        <v>103.195032504343</v>
      </c>
      <c r="E2241" s="18" t="n">
        <f aca="false">EXP(-'Black-Scholes'!$B$8*'Black-Scholes'!$B$7)*IF(LOWER('Black-Scholes'!$B$11)="put",MAX('Black-Scholes'!$B$6-C2241,0),MAX(C2241-'Black-Scholes'!$B$6,0))</f>
        <v>2.75484706868874</v>
      </c>
      <c r="F2241" s="18" t="n">
        <f aca="false">(E2241+G2241)/2</f>
        <v>2.89702799952793</v>
      </c>
      <c r="G2241" s="18" t="n">
        <f aca="false">EXP(-'Black-Scholes'!$B$8*'Black-Scholes'!$B$7)*IF(LOWER('Black-Scholes'!$B$11)="put",MAX('Black-Scholes'!$B$6-D2241,0),MAX(D2241-'Black-Scholes'!$B$6,0))</f>
        <v>3.03920893036712</v>
      </c>
    </row>
    <row r="2242" customFormat="false" ht="15" hidden="false" customHeight="false" outlineLevel="0" collapsed="false">
      <c r="A2242" s="0" t="n">
        <v>2231</v>
      </c>
      <c r="B2242" s="15" t="n">
        <v>1.82794855775134</v>
      </c>
      <c r="C2242" s="18" t="n">
        <f aca="false">'Black-Scholes'!$B$5*EXP(('Black-Scholes'!$B$8-'Black-Scholes'!$B$10-'Black-Scholes'!$B$9^2/2)*'Black-Scholes'!$B$7+'Black-Scholes'!$B$9*SQRT('Black-Scholes'!$B$7)*B2242)</f>
        <v>148.525980757859</v>
      </c>
      <c r="D2242" s="18" t="n">
        <f aca="false">'Black-Scholes'!$B$5*EXP(('Black-Scholes'!$B$8-'Black-Scholes'!$B$10-'Black-Scholes'!$B$9^2/2)*'Black-Scholes'!$B$7-'Black-Scholes'!$B$9*SQRT('Black-Scholes'!$B$7)*B2242)</f>
        <v>71.4916367579128</v>
      </c>
      <c r="E2242" s="18" t="n">
        <f aca="false">EXP(-'Black-Scholes'!$B$8*'Black-Scholes'!$B$7)*IF(LOWER('Black-Scholes'!$B$11)="put",MAX('Black-Scholes'!$B$6-C2242,0),MAX(C2242-'Black-Scholes'!$B$6,0))</f>
        <v>46.1593407496308</v>
      </c>
      <c r="F2242" s="18" t="n">
        <f aca="false">(E2242+G2242)/2</f>
        <v>23.0796703748154</v>
      </c>
      <c r="G2242" s="18" t="n">
        <f aca="false">EXP(-'Black-Scholes'!$B$8*'Black-Scholes'!$B$7)*IF(LOWER('Black-Scholes'!$B$11)="put",MAX('Black-Scholes'!$B$6-D2242,0),MAX(D2242-'Black-Scholes'!$B$6,0))</f>
        <v>0</v>
      </c>
    </row>
    <row r="2243" customFormat="false" ht="15" hidden="false" customHeight="false" outlineLevel="0" collapsed="false">
      <c r="A2243" s="0" t="n">
        <v>2232</v>
      </c>
      <c r="B2243" s="15" t="n">
        <v>-1.00659476288805</v>
      </c>
      <c r="C2243" s="18" t="n">
        <f aca="false">'Black-Scholes'!$B$5*EXP(('Black-Scholes'!$B$8-'Black-Scholes'!$B$10-'Black-Scholes'!$B$9^2/2)*'Black-Scholes'!$B$7+'Black-Scholes'!$B$9*SQRT('Black-Scholes'!$B$7)*B2243)</f>
        <v>84.2552796224172</v>
      </c>
      <c r="D2243" s="18" t="n">
        <f aca="false">'Black-Scholes'!$B$5*EXP(('Black-Scholes'!$B$8-'Black-Scholes'!$B$10-'Black-Scholes'!$B$9^2/2)*'Black-Scholes'!$B$7-'Black-Scholes'!$B$9*SQRT('Black-Scholes'!$B$7)*B2243)</f>
        <v>126.02611388911</v>
      </c>
      <c r="E2243" s="18" t="n">
        <f aca="false">EXP(-'Black-Scholes'!$B$8*'Black-Scholes'!$B$7)*IF(LOWER('Black-Scholes'!$B$11)="put",MAX('Black-Scholes'!$B$6-C2243,0),MAX(C2243-'Black-Scholes'!$B$6,0))</f>
        <v>0</v>
      </c>
      <c r="F2243" s="18" t="n">
        <f aca="false">(E2243+G2243)/2</f>
        <v>12.3784026683643</v>
      </c>
      <c r="G2243" s="18" t="n">
        <f aca="false">EXP(-'Black-Scholes'!$B$8*'Black-Scholes'!$B$7)*IF(LOWER('Black-Scholes'!$B$11)="put",MAX('Black-Scholes'!$B$6-D2243,0),MAX(D2243-'Black-Scholes'!$B$6,0))</f>
        <v>24.7568053367285</v>
      </c>
    </row>
    <row r="2244" customFormat="false" ht="15" hidden="false" customHeight="false" outlineLevel="0" collapsed="false">
      <c r="A2244" s="0" t="n">
        <v>2233</v>
      </c>
      <c r="B2244" s="15" t="n">
        <v>-0.456485247388983</v>
      </c>
      <c r="C2244" s="18" t="n">
        <f aca="false">'Black-Scholes'!$B$5*EXP(('Black-Scholes'!$B$8-'Black-Scholes'!$B$10-'Black-Scholes'!$B$9^2/2)*'Black-Scholes'!$B$7+'Black-Scholes'!$B$9*SQRT('Black-Scholes'!$B$7)*B2244)</f>
        <v>94.0543810228191</v>
      </c>
      <c r="D2244" s="18" t="n">
        <f aca="false">'Black-Scholes'!$B$5*EXP(('Black-Scholes'!$B$8-'Black-Scholes'!$B$10-'Black-Scholes'!$B$9^2/2)*'Black-Scholes'!$B$7-'Black-Scholes'!$B$9*SQRT('Black-Scholes'!$B$7)*B2244)</f>
        <v>112.896021960715</v>
      </c>
      <c r="E2244" s="18" t="n">
        <f aca="false">EXP(-'Black-Scholes'!$B$8*'Black-Scholes'!$B$7)*IF(LOWER('Black-Scholes'!$B$11)="put",MAX('Black-Scholes'!$B$6-C2244,0),MAX(C2244-'Black-Scholes'!$B$6,0))</f>
        <v>0</v>
      </c>
      <c r="F2244" s="18" t="n">
        <f aca="false">(E2244+G2244)/2</f>
        <v>6.13353777401954</v>
      </c>
      <c r="G2244" s="18" t="n">
        <f aca="false">EXP(-'Black-Scholes'!$B$8*'Black-Scholes'!$B$7)*IF(LOWER('Black-Scholes'!$B$11)="put",MAX('Black-Scholes'!$B$6-D2244,0),MAX(D2244-'Black-Scholes'!$B$6,0))</f>
        <v>12.2670755480391</v>
      </c>
    </row>
    <row r="2245" customFormat="false" ht="15" hidden="false" customHeight="false" outlineLevel="0" collapsed="false">
      <c r="A2245" s="0" t="n">
        <v>2234</v>
      </c>
      <c r="B2245" s="15" t="n">
        <v>0.501678135840922</v>
      </c>
      <c r="C2245" s="18" t="n">
        <f aca="false">'Black-Scholes'!$B$5*EXP(('Black-Scholes'!$B$8-'Black-Scholes'!$B$10-'Black-Scholes'!$B$9^2/2)*'Black-Scholes'!$B$7+'Black-Scholes'!$B$9*SQRT('Black-Scholes'!$B$7)*B2245)</f>
        <v>113.921066921914</v>
      </c>
      <c r="D2245" s="18" t="n">
        <f aca="false">'Black-Scholes'!$B$5*EXP(('Black-Scholes'!$B$8-'Black-Scholes'!$B$10-'Black-Scholes'!$B$9^2/2)*'Black-Scholes'!$B$7-'Black-Scholes'!$B$9*SQRT('Black-Scholes'!$B$7)*B2245)</f>
        <v>93.2080935717695</v>
      </c>
      <c r="E2245" s="18" t="n">
        <f aca="false">EXP(-'Black-Scholes'!$B$8*'Black-Scholes'!$B$7)*IF(LOWER('Black-Scholes'!$B$11)="put",MAX('Black-Scholes'!$B$6-C2245,0),MAX(C2245-'Black-Scholes'!$B$6,0))</f>
        <v>13.2421284765685</v>
      </c>
      <c r="F2245" s="18" t="n">
        <f aca="false">(E2245+G2245)/2</f>
        <v>6.62106423828423</v>
      </c>
      <c r="G2245" s="18" t="n">
        <f aca="false">EXP(-'Black-Scholes'!$B$8*'Black-Scholes'!$B$7)*IF(LOWER('Black-Scholes'!$B$11)="put",MAX('Black-Scholes'!$B$6-D2245,0),MAX(D2245-'Black-Scholes'!$B$6,0))</f>
        <v>0</v>
      </c>
    </row>
    <row r="2246" customFormat="false" ht="15" hidden="false" customHeight="false" outlineLevel="0" collapsed="false">
      <c r="A2246" s="0" t="n">
        <v>2235</v>
      </c>
      <c r="B2246" s="15" t="n">
        <v>0.769904433712504</v>
      </c>
      <c r="C2246" s="18" t="n">
        <f aca="false">'Black-Scholes'!$B$5*EXP(('Black-Scholes'!$B$8-'Black-Scholes'!$B$10-'Black-Scholes'!$B$9^2/2)*'Black-Scholes'!$B$7+'Black-Scholes'!$B$9*SQRT('Black-Scholes'!$B$7)*B2246)</f>
        <v>120.199284887791</v>
      </c>
      <c r="D2246" s="18" t="n">
        <f aca="false">'Black-Scholes'!$B$5*EXP(('Black-Scholes'!$B$8-'Black-Scholes'!$B$10-'Black-Scholes'!$B$9^2/2)*'Black-Scholes'!$B$7-'Black-Scholes'!$B$9*SQRT('Black-Scholes'!$B$7)*B2246)</f>
        <v>88.3396725310477</v>
      </c>
      <c r="E2246" s="18" t="n">
        <f aca="false">EXP(-'Black-Scholes'!$B$8*'Black-Scholes'!$B$7)*IF(LOWER('Black-Scholes'!$B$11)="put",MAX('Black-Scholes'!$B$6-C2246,0),MAX(C2246-'Black-Scholes'!$B$6,0))</f>
        <v>19.2141541391397</v>
      </c>
      <c r="F2246" s="18" t="n">
        <f aca="false">(E2246+G2246)/2</f>
        <v>9.60707706956985</v>
      </c>
      <c r="G2246" s="18" t="n">
        <f aca="false">EXP(-'Black-Scholes'!$B$8*'Black-Scholes'!$B$7)*IF(LOWER('Black-Scholes'!$B$11)="put",MAX('Black-Scholes'!$B$6-D2246,0),MAX(D2246-'Black-Scholes'!$B$6,0))</f>
        <v>0</v>
      </c>
    </row>
    <row r="2247" customFormat="false" ht="15" hidden="false" customHeight="false" outlineLevel="0" collapsed="false">
      <c r="A2247" s="0" t="n">
        <v>2236</v>
      </c>
      <c r="B2247" s="15" t="n">
        <v>0.689027615783254</v>
      </c>
      <c r="C2247" s="18" t="n">
        <f aca="false">'Black-Scholes'!$B$5*EXP(('Black-Scholes'!$B$8-'Black-Scholes'!$B$10-'Black-Scholes'!$B$9^2/2)*'Black-Scholes'!$B$7+'Black-Scholes'!$B$9*SQRT('Black-Scholes'!$B$7)*B2247)</f>
        <v>118.270657923851</v>
      </c>
      <c r="D2247" s="18" t="n">
        <f aca="false">'Black-Scholes'!$B$5*EXP(('Black-Scholes'!$B$8-'Black-Scholes'!$B$10-'Black-Scholes'!$B$9^2/2)*'Black-Scholes'!$B$7-'Black-Scholes'!$B$9*SQRT('Black-Scholes'!$B$7)*B2247)</f>
        <v>89.7802181187688</v>
      </c>
      <c r="E2247" s="18" t="n">
        <f aca="false">EXP(-'Black-Scholes'!$B$8*'Black-Scholes'!$B$7)*IF(LOWER('Black-Scholes'!$B$11)="put",MAX('Black-Scholes'!$B$6-C2247,0),MAX(C2247-'Black-Scholes'!$B$6,0))</f>
        <v>17.3795874221538</v>
      </c>
      <c r="F2247" s="18" t="n">
        <f aca="false">(E2247+G2247)/2</f>
        <v>8.68979371107691</v>
      </c>
      <c r="G2247" s="18" t="n">
        <f aca="false">EXP(-'Black-Scholes'!$B$8*'Black-Scholes'!$B$7)*IF(LOWER('Black-Scholes'!$B$11)="put",MAX('Black-Scholes'!$B$6-D2247,0),MAX(D2247-'Black-Scholes'!$B$6,0))</f>
        <v>0</v>
      </c>
    </row>
    <row r="2248" customFormat="false" ht="15" hidden="false" customHeight="false" outlineLevel="0" collapsed="false">
      <c r="A2248" s="0" t="n">
        <v>2237</v>
      </c>
      <c r="B2248" s="15" t="n">
        <v>-0.630064634616522</v>
      </c>
      <c r="C2248" s="18" t="n">
        <f aca="false">'Black-Scholes'!$B$5*EXP(('Black-Scholes'!$B$8-'Black-Scholes'!$B$10-'Black-Scholes'!$B$9^2/2)*'Black-Scholes'!$B$7+'Black-Scholes'!$B$9*SQRT('Black-Scholes'!$B$7)*B2248)</f>
        <v>90.845227249995</v>
      </c>
      <c r="D2248" s="18" t="n">
        <f aca="false">'Black-Scholes'!$B$5*EXP(('Black-Scholes'!$B$8-'Black-Scholes'!$B$10-'Black-Scholes'!$B$9^2/2)*'Black-Scholes'!$B$7-'Black-Scholes'!$B$9*SQRT('Black-Scholes'!$B$7)*B2248)</f>
        <v>116.884131251421</v>
      </c>
      <c r="E2248" s="18" t="n">
        <f aca="false">EXP(-'Black-Scholes'!$B$8*'Black-Scholes'!$B$7)*IF(LOWER('Black-Scholes'!$B$11)="put",MAX('Black-Scholes'!$B$6-C2248,0),MAX(C2248-'Black-Scholes'!$B$6,0))</f>
        <v>0</v>
      </c>
      <c r="F2248" s="18" t="n">
        <f aca="false">(E2248+G2248)/2</f>
        <v>8.03034122674194</v>
      </c>
      <c r="G2248" s="18" t="n">
        <f aca="false">EXP(-'Black-Scholes'!$B$8*'Black-Scholes'!$B$7)*IF(LOWER('Black-Scholes'!$B$11)="put",MAX('Black-Scholes'!$B$6-D2248,0),MAX(D2248-'Black-Scholes'!$B$6,0))</f>
        <v>16.0606824534839</v>
      </c>
    </row>
    <row r="2249" customFormat="false" ht="15" hidden="false" customHeight="false" outlineLevel="0" collapsed="false">
      <c r="A2249" s="0" t="n">
        <v>2238</v>
      </c>
      <c r="B2249" s="15" t="n">
        <v>-0.798581149604728</v>
      </c>
      <c r="C2249" s="18" t="n">
        <f aca="false">'Black-Scholes'!$B$5*EXP(('Black-Scholes'!$B$8-'Black-Scholes'!$B$10-'Black-Scholes'!$B$9^2/2)*'Black-Scholes'!$B$7+'Black-Scholes'!$B$9*SQRT('Black-Scholes'!$B$7)*B2249)</f>
        <v>87.8344643488274</v>
      </c>
      <c r="D2249" s="18" t="n">
        <f aca="false">'Black-Scholes'!$B$5*EXP(('Black-Scholes'!$B$8-'Black-Scholes'!$B$10-'Black-Scholes'!$B$9^2/2)*'Black-Scholes'!$B$7-'Black-Scholes'!$B$9*SQRT('Black-Scholes'!$B$7)*B2249)</f>
        <v>120.890649748641</v>
      </c>
      <c r="E2249" s="18" t="n">
        <f aca="false">EXP(-'Black-Scholes'!$B$8*'Black-Scholes'!$B$7)*IF(LOWER('Black-Scholes'!$B$11)="put",MAX('Black-Scholes'!$B$6-C2249,0),MAX(C2249-'Black-Scholes'!$B$6,0))</f>
        <v>0</v>
      </c>
      <c r="F2249" s="18" t="n">
        <f aca="false">(E2249+G2249)/2</f>
        <v>9.93590036892295</v>
      </c>
      <c r="G2249" s="18" t="n">
        <f aca="false">EXP(-'Black-Scholes'!$B$8*'Black-Scholes'!$B$7)*IF(LOWER('Black-Scholes'!$B$11)="put",MAX('Black-Scholes'!$B$6-D2249,0),MAX(D2249-'Black-Scholes'!$B$6,0))</f>
        <v>19.8718007378459</v>
      </c>
    </row>
    <row r="2250" customFormat="false" ht="15" hidden="false" customHeight="false" outlineLevel="0" collapsed="false">
      <c r="A2250" s="0" t="n">
        <v>2239</v>
      </c>
      <c r="B2250" s="15" t="n">
        <v>-0.852038198203731</v>
      </c>
      <c r="C2250" s="18" t="n">
        <f aca="false">'Black-Scholes'!$B$5*EXP(('Black-Scholes'!$B$8-'Black-Scholes'!$B$10-'Black-Scholes'!$B$9^2/2)*'Black-Scholes'!$B$7+'Black-Scholes'!$B$9*SQRT('Black-Scholes'!$B$7)*B2250)</f>
        <v>86.9003922740897</v>
      </c>
      <c r="D2250" s="18" t="n">
        <f aca="false">'Black-Scholes'!$B$5*EXP(('Black-Scholes'!$B$8-'Black-Scholes'!$B$10-'Black-Scholes'!$B$9^2/2)*'Black-Scholes'!$B$7-'Black-Scholes'!$B$9*SQRT('Black-Scholes'!$B$7)*B2250)</f>
        <v>122.19007518358</v>
      </c>
      <c r="E2250" s="18" t="n">
        <f aca="false">EXP(-'Black-Scholes'!$B$8*'Black-Scholes'!$B$7)*IF(LOWER('Black-Scholes'!$B$11)="put",MAX('Black-Scholes'!$B$6-C2250,0),MAX(C2250-'Black-Scholes'!$B$6,0))</f>
        <v>0</v>
      </c>
      <c r="F2250" s="18" t="n">
        <f aca="false">(E2250+G2250)/2</f>
        <v>10.5539262232521</v>
      </c>
      <c r="G2250" s="18" t="n">
        <f aca="false">EXP(-'Black-Scholes'!$B$8*'Black-Scholes'!$B$7)*IF(LOWER('Black-Scholes'!$B$11)="put",MAX('Black-Scholes'!$B$6-D2250,0),MAX(D2250-'Black-Scholes'!$B$6,0))</f>
        <v>21.1078524465042</v>
      </c>
    </row>
    <row r="2251" customFormat="false" ht="15" hidden="false" customHeight="false" outlineLevel="0" collapsed="false">
      <c r="A2251" s="0" t="n">
        <v>2240</v>
      </c>
      <c r="B2251" s="15" t="n">
        <v>0.773364516014685</v>
      </c>
      <c r="C2251" s="18" t="n">
        <f aca="false">'Black-Scholes'!$B$5*EXP(('Black-Scholes'!$B$8-'Black-Scholes'!$B$10-'Black-Scholes'!$B$9^2/2)*'Black-Scholes'!$B$7+'Black-Scholes'!$B$9*SQRT('Black-Scholes'!$B$7)*B2251)</f>
        <v>120.282493559031</v>
      </c>
      <c r="D2251" s="18" t="n">
        <f aca="false">'Black-Scholes'!$B$5*EXP(('Black-Scholes'!$B$8-'Black-Scholes'!$B$10-'Black-Scholes'!$B$9^2/2)*'Black-Scholes'!$B$7-'Black-Scholes'!$B$9*SQRT('Black-Scholes'!$B$7)*B2251)</f>
        <v>88.278561171019</v>
      </c>
      <c r="E2251" s="18" t="n">
        <f aca="false">EXP(-'Black-Scholes'!$B$8*'Black-Scholes'!$B$7)*IF(LOWER('Black-Scholes'!$B$11)="put",MAX('Black-Scholes'!$B$6-C2251,0),MAX(C2251-'Black-Scholes'!$B$6,0))</f>
        <v>19.2933046755963</v>
      </c>
      <c r="F2251" s="18" t="n">
        <f aca="false">(E2251+G2251)/2</f>
        <v>9.64665233779815</v>
      </c>
      <c r="G2251" s="18" t="n">
        <f aca="false">EXP(-'Black-Scholes'!$B$8*'Black-Scholes'!$B$7)*IF(LOWER('Black-Scholes'!$B$11)="put",MAX('Black-Scholes'!$B$6-D2251,0),MAX(D2251-'Black-Scholes'!$B$6,0))</f>
        <v>0</v>
      </c>
    </row>
    <row r="2252" customFormat="false" ht="15" hidden="false" customHeight="false" outlineLevel="0" collapsed="false">
      <c r="A2252" s="0" t="n">
        <v>2241</v>
      </c>
      <c r="B2252" s="15" t="n">
        <v>-1.17703301647207</v>
      </c>
      <c r="C2252" s="18" t="n">
        <f aca="false">'Black-Scholes'!$B$5*EXP(('Black-Scholes'!$B$8-'Black-Scholes'!$B$10-'Black-Scholes'!$B$9^2/2)*'Black-Scholes'!$B$7+'Black-Scholes'!$B$9*SQRT('Black-Scholes'!$B$7)*B2252)</f>
        <v>81.4316145460939</v>
      </c>
      <c r="D2252" s="18" t="n">
        <f aca="false">'Black-Scholes'!$B$5*EXP(('Black-Scholes'!$B$8-'Black-Scholes'!$B$10-'Black-Scholes'!$B$9^2/2)*'Black-Scholes'!$B$7-'Black-Scholes'!$B$9*SQRT('Black-Scholes'!$B$7)*B2252)</f>
        <v>130.396106286744</v>
      </c>
      <c r="E2252" s="18" t="n">
        <f aca="false">EXP(-'Black-Scholes'!$B$8*'Black-Scholes'!$B$7)*IF(LOWER('Black-Scholes'!$B$11)="put",MAX('Black-Scholes'!$B$6-C2252,0),MAX(C2252-'Black-Scholes'!$B$6,0))</f>
        <v>0</v>
      </c>
      <c r="F2252" s="18" t="n">
        <f aca="false">(E2252+G2252)/2</f>
        <v>14.4568353451008</v>
      </c>
      <c r="G2252" s="18" t="n">
        <f aca="false">EXP(-'Black-Scholes'!$B$8*'Black-Scholes'!$B$7)*IF(LOWER('Black-Scholes'!$B$11)="put",MAX('Black-Scholes'!$B$6-D2252,0),MAX(D2252-'Black-Scholes'!$B$6,0))</f>
        <v>28.9136706902017</v>
      </c>
    </row>
    <row r="2253" customFormat="false" ht="15" hidden="false" customHeight="false" outlineLevel="0" collapsed="false">
      <c r="A2253" s="0" t="n">
        <v>2242</v>
      </c>
      <c r="B2253" s="15" t="n">
        <v>0.931922839866996</v>
      </c>
      <c r="C2253" s="18" t="n">
        <f aca="false">'Black-Scholes'!$B$5*EXP(('Black-Scholes'!$B$8-'Black-Scholes'!$B$10-'Black-Scholes'!$B$9^2/2)*'Black-Scholes'!$B$7+'Black-Scholes'!$B$9*SQRT('Black-Scholes'!$B$7)*B2253)</f>
        <v>124.157975901399</v>
      </c>
      <c r="D2253" s="18" t="n">
        <f aca="false">'Black-Scholes'!$B$5*EXP(('Black-Scholes'!$B$8-'Black-Scholes'!$B$10-'Black-Scholes'!$B$9^2/2)*'Black-Scholes'!$B$7-'Black-Scholes'!$B$9*SQRT('Black-Scholes'!$B$7)*B2253)</f>
        <v>85.523023296435</v>
      </c>
      <c r="E2253" s="18" t="n">
        <f aca="false">EXP(-'Black-Scholes'!$B$8*'Black-Scholes'!$B$7)*IF(LOWER('Black-Scholes'!$B$11)="put",MAX('Black-Scholes'!$B$6-C2253,0),MAX(C2253-'Black-Scholes'!$B$6,0))</f>
        <v>22.9797775137902</v>
      </c>
      <c r="F2253" s="18" t="n">
        <f aca="false">(E2253+G2253)/2</f>
        <v>11.4898887568951</v>
      </c>
      <c r="G2253" s="18" t="n">
        <f aca="false">EXP(-'Black-Scholes'!$B$8*'Black-Scholes'!$B$7)*IF(LOWER('Black-Scholes'!$B$11)="put",MAX('Black-Scholes'!$B$6-D2253,0),MAX(D2253-'Black-Scholes'!$B$6,0))</f>
        <v>0</v>
      </c>
    </row>
    <row r="2254" customFormat="false" ht="15" hidden="false" customHeight="false" outlineLevel="0" collapsed="false">
      <c r="A2254" s="0" t="n">
        <v>2243</v>
      </c>
      <c r="B2254" s="15" t="n">
        <v>-1.31918840354186</v>
      </c>
      <c r="C2254" s="18" t="n">
        <f aca="false">'Black-Scholes'!$B$5*EXP(('Black-Scholes'!$B$8-'Black-Scholes'!$B$10-'Black-Scholes'!$B$9^2/2)*'Black-Scholes'!$B$7+'Black-Scholes'!$B$9*SQRT('Black-Scholes'!$B$7)*B2254)</f>
        <v>79.1490279610749</v>
      </c>
      <c r="D2254" s="18" t="n">
        <f aca="false">'Black-Scholes'!$B$5*EXP(('Black-Scholes'!$B$8-'Black-Scholes'!$B$10-'Black-Scholes'!$B$9^2/2)*'Black-Scholes'!$B$7-'Black-Scholes'!$B$9*SQRT('Black-Scholes'!$B$7)*B2254)</f>
        <v>134.156612392961</v>
      </c>
      <c r="E2254" s="18" t="n">
        <f aca="false">EXP(-'Black-Scholes'!$B$8*'Black-Scholes'!$B$7)*IF(LOWER('Black-Scholes'!$B$11)="put",MAX('Black-Scholes'!$B$6-C2254,0),MAX(C2254-'Black-Scholes'!$B$6,0))</f>
        <v>0</v>
      </c>
      <c r="F2254" s="18" t="n">
        <f aca="false">(E2254+G2254)/2</f>
        <v>16.2453873747254</v>
      </c>
      <c r="G2254" s="18" t="n">
        <f aca="false">EXP(-'Black-Scholes'!$B$8*'Black-Scholes'!$B$7)*IF(LOWER('Black-Scholes'!$B$11)="put",MAX('Black-Scholes'!$B$6-D2254,0),MAX(D2254-'Black-Scholes'!$B$6,0))</f>
        <v>32.4907747494507</v>
      </c>
    </row>
    <row r="2255" customFormat="false" ht="15" hidden="false" customHeight="false" outlineLevel="0" collapsed="false">
      <c r="A2255" s="0" t="n">
        <v>2244</v>
      </c>
      <c r="B2255" s="15" t="n">
        <v>0.395089673771596</v>
      </c>
      <c r="C2255" s="18" t="n">
        <f aca="false">'Black-Scholes'!$B$5*EXP(('Black-Scholes'!$B$8-'Black-Scholes'!$B$10-'Black-Scholes'!$B$9^2/2)*'Black-Scholes'!$B$7+'Black-Scholes'!$B$9*SQRT('Black-Scholes'!$B$7)*B2255)</f>
        <v>111.518235068358</v>
      </c>
      <c r="D2255" s="18" t="n">
        <f aca="false">'Black-Scholes'!$B$5*EXP(('Black-Scholes'!$B$8-'Black-Scholes'!$B$10-'Black-Scholes'!$B$9^2/2)*'Black-Scholes'!$B$7-'Black-Scholes'!$B$9*SQRT('Black-Scholes'!$B$7)*B2255)</f>
        <v>95.2164052717013</v>
      </c>
      <c r="E2255" s="18" t="n">
        <f aca="false">EXP(-'Black-Scholes'!$B$8*'Black-Scholes'!$B$7)*IF(LOWER('Black-Scholes'!$B$11)="put",MAX('Black-Scholes'!$B$6-C2255,0),MAX(C2255-'Black-Scholes'!$B$6,0))</f>
        <v>10.9564841153379</v>
      </c>
      <c r="F2255" s="18" t="n">
        <f aca="false">(E2255+G2255)/2</f>
        <v>5.47824205766894</v>
      </c>
      <c r="G2255" s="18" t="n">
        <f aca="false">EXP(-'Black-Scholes'!$B$8*'Black-Scholes'!$B$7)*IF(LOWER('Black-Scholes'!$B$11)="put",MAX('Black-Scholes'!$B$6-D2255,0),MAX(D2255-'Black-Scholes'!$B$6,0))</f>
        <v>0</v>
      </c>
    </row>
    <row r="2256" customFormat="false" ht="15" hidden="false" customHeight="false" outlineLevel="0" collapsed="false">
      <c r="A2256" s="0" t="n">
        <v>2245</v>
      </c>
      <c r="B2256" s="15" t="n">
        <v>0.569015130342372</v>
      </c>
      <c r="C2256" s="18" t="n">
        <f aca="false">'Black-Scholes'!$B$5*EXP(('Black-Scholes'!$B$8-'Black-Scholes'!$B$10-'Black-Scholes'!$B$9^2/2)*'Black-Scholes'!$B$7+'Black-Scholes'!$B$9*SQRT('Black-Scholes'!$B$7)*B2256)</f>
        <v>115.465664886415</v>
      </c>
      <c r="D2256" s="18" t="n">
        <f aca="false">'Black-Scholes'!$B$5*EXP(('Black-Scholes'!$B$8-'Black-Scholes'!$B$10-'Black-Scholes'!$B$9^2/2)*'Black-Scholes'!$B$7-'Black-Scholes'!$B$9*SQRT('Black-Scholes'!$B$7)*B2256)</f>
        <v>91.9612377921959</v>
      </c>
      <c r="E2256" s="18" t="n">
        <f aca="false">EXP(-'Black-Scholes'!$B$8*'Black-Scholes'!$B$7)*IF(LOWER('Black-Scholes'!$B$11)="put",MAX('Black-Scholes'!$B$6-C2256,0),MAX(C2256-'Black-Scholes'!$B$6,0))</f>
        <v>14.7113955094253</v>
      </c>
      <c r="F2256" s="18" t="n">
        <f aca="false">(E2256+G2256)/2</f>
        <v>7.35569775471264</v>
      </c>
      <c r="G2256" s="18" t="n">
        <f aca="false">EXP(-'Black-Scholes'!$B$8*'Black-Scholes'!$B$7)*IF(LOWER('Black-Scholes'!$B$11)="put",MAX('Black-Scholes'!$B$6-D2256,0),MAX(D2256-'Black-Scholes'!$B$6,0))</f>
        <v>0</v>
      </c>
    </row>
    <row r="2257" customFormat="false" ht="15" hidden="false" customHeight="false" outlineLevel="0" collapsed="false">
      <c r="A2257" s="0" t="n">
        <v>2246</v>
      </c>
      <c r="B2257" s="15" t="n">
        <v>0.132874586615741</v>
      </c>
      <c r="C2257" s="18" t="n">
        <f aca="false">'Black-Scholes'!$B$5*EXP(('Black-Scholes'!$B$8-'Black-Scholes'!$B$10-'Black-Scholes'!$B$9^2/2)*'Black-Scholes'!$B$7+'Black-Scholes'!$B$9*SQRT('Black-Scholes'!$B$7)*B2257)</f>
        <v>105.820588978326</v>
      </c>
      <c r="D2257" s="18" t="n">
        <f aca="false">'Black-Scholes'!$B$5*EXP(('Black-Scholes'!$B$8-'Black-Scholes'!$B$10-'Black-Scholes'!$B$9^2/2)*'Black-Scholes'!$B$7-'Black-Scholes'!$B$9*SQRT('Black-Scholes'!$B$7)*B2257)</f>
        <v>100.343095497498</v>
      </c>
      <c r="E2257" s="18" t="n">
        <f aca="false">EXP(-'Black-Scholes'!$B$8*'Black-Scholes'!$B$7)*IF(LOWER('Black-Scholes'!$B$11)="put",MAX('Black-Scholes'!$B$6-C2257,0),MAX(C2257-'Black-Scholes'!$B$6,0))</f>
        <v>5.5367155041079</v>
      </c>
      <c r="F2257" s="18" t="n">
        <f aca="false">(E2257+G2257)/2</f>
        <v>2.93153901837077</v>
      </c>
      <c r="G2257" s="18" t="n">
        <f aca="false">EXP(-'Black-Scholes'!$B$8*'Black-Scholes'!$B$7)*IF(LOWER('Black-Scholes'!$B$11)="put",MAX('Black-Scholes'!$B$6-D2257,0),MAX(D2257-'Black-Scholes'!$B$6,0))</f>
        <v>0.326362532633645</v>
      </c>
    </row>
    <row r="2258" customFormat="false" ht="15" hidden="false" customHeight="false" outlineLevel="0" collapsed="false">
      <c r="A2258" s="0" t="n">
        <v>2247</v>
      </c>
      <c r="B2258" s="15" t="n">
        <v>1.37108007090673</v>
      </c>
      <c r="C2258" s="18" t="n">
        <f aca="false">'Black-Scholes'!$B$5*EXP(('Black-Scholes'!$B$8-'Black-Scholes'!$B$10-'Black-Scholes'!$B$9^2/2)*'Black-Scholes'!$B$7+'Black-Scholes'!$B$9*SQRT('Black-Scholes'!$B$7)*B2258)</f>
        <v>135.556184504747</v>
      </c>
      <c r="D2258" s="18" t="n">
        <f aca="false">'Black-Scholes'!$B$5*EXP(('Black-Scholes'!$B$8-'Black-Scholes'!$B$10-'Black-Scholes'!$B$9^2/2)*'Black-Scholes'!$B$7-'Black-Scholes'!$B$9*SQRT('Black-Scholes'!$B$7)*B2258)</f>
        <v>78.3318408101235</v>
      </c>
      <c r="E2258" s="18" t="n">
        <f aca="false">EXP(-'Black-Scholes'!$B$8*'Black-Scholes'!$B$7)*IF(LOWER('Black-Scholes'!$B$11)="put",MAX('Black-Scholes'!$B$6-C2258,0),MAX(C2258-'Black-Scholes'!$B$6,0))</f>
        <v>33.8220889238919</v>
      </c>
      <c r="F2258" s="18" t="n">
        <f aca="false">(E2258+G2258)/2</f>
        <v>16.911044461946</v>
      </c>
      <c r="G2258" s="18" t="n">
        <f aca="false">EXP(-'Black-Scholes'!$B$8*'Black-Scholes'!$B$7)*IF(LOWER('Black-Scholes'!$B$11)="put",MAX('Black-Scholes'!$B$6-D2258,0),MAX(D2258-'Black-Scholes'!$B$6,0))</f>
        <v>0</v>
      </c>
    </row>
    <row r="2259" customFormat="false" ht="15" hidden="false" customHeight="false" outlineLevel="0" collapsed="false">
      <c r="A2259" s="0" t="n">
        <v>2248</v>
      </c>
      <c r="B2259" s="15" t="n">
        <v>0.476550559835534</v>
      </c>
      <c r="C2259" s="18" t="n">
        <f aca="false">'Black-Scholes'!$B$5*EXP(('Black-Scholes'!$B$8-'Black-Scholes'!$B$10-'Black-Scholes'!$B$9^2/2)*'Black-Scholes'!$B$7+'Black-Scholes'!$B$9*SQRT('Black-Scholes'!$B$7)*B2259)</f>
        <v>113.349991045539</v>
      </c>
      <c r="D2259" s="18" t="n">
        <f aca="false">'Black-Scholes'!$B$5*EXP(('Black-Scholes'!$B$8-'Black-Scholes'!$B$10-'Black-Scholes'!$B$9^2/2)*'Black-Scholes'!$B$7-'Black-Scholes'!$B$9*SQRT('Black-Scholes'!$B$7)*B2259)</f>
        <v>93.6776912596989</v>
      </c>
      <c r="E2259" s="18" t="n">
        <f aca="false">EXP(-'Black-Scholes'!$B$8*'Black-Scholes'!$B$7)*IF(LOWER('Black-Scholes'!$B$11)="put",MAX('Black-Scholes'!$B$6-C2259,0),MAX(C2259-'Black-Scholes'!$B$6,0))</f>
        <v>12.6989042993373</v>
      </c>
      <c r="F2259" s="18" t="n">
        <f aca="false">(E2259+G2259)/2</f>
        <v>6.34945214966865</v>
      </c>
      <c r="G2259" s="18" t="n">
        <f aca="false">EXP(-'Black-Scholes'!$B$8*'Black-Scholes'!$B$7)*IF(LOWER('Black-Scholes'!$B$11)="put",MAX('Black-Scholes'!$B$6-D2259,0),MAX(D2259-'Black-Scholes'!$B$6,0))</f>
        <v>0</v>
      </c>
    </row>
    <row r="2260" customFormat="false" ht="15" hidden="false" customHeight="false" outlineLevel="0" collapsed="false">
      <c r="A2260" s="0" t="n">
        <v>2249</v>
      </c>
      <c r="B2260" s="15" t="n">
        <v>0.314567681900969</v>
      </c>
      <c r="C2260" s="18" t="n">
        <f aca="false">'Black-Scholes'!$B$5*EXP(('Black-Scholes'!$B$8-'Black-Scholes'!$B$10-'Black-Scholes'!$B$9^2/2)*'Black-Scholes'!$B$7+'Black-Scholes'!$B$9*SQRT('Black-Scholes'!$B$7)*B2260)</f>
        <v>109.736684885602</v>
      </c>
      <c r="D2260" s="18" t="n">
        <f aca="false">'Black-Scholes'!$B$5*EXP(('Black-Scholes'!$B$8-'Black-Scholes'!$B$10-'Black-Scholes'!$B$9^2/2)*'Black-Scholes'!$B$7-'Black-Scholes'!$B$9*SQRT('Black-Scholes'!$B$7)*B2260)</f>
        <v>96.7622220091939</v>
      </c>
      <c r="E2260" s="18" t="n">
        <f aca="false">EXP(-'Black-Scholes'!$B$8*'Black-Scholes'!$B$7)*IF(LOWER('Black-Scholes'!$B$11)="put",MAX('Black-Scholes'!$B$6-C2260,0),MAX(C2260-'Black-Scholes'!$B$6,0))</f>
        <v>9.2618211602762</v>
      </c>
      <c r="F2260" s="18" t="n">
        <f aca="false">(E2260+G2260)/2</f>
        <v>4.6309105801381</v>
      </c>
      <c r="G2260" s="18" t="n">
        <f aca="false">EXP(-'Black-Scholes'!$B$8*'Black-Scholes'!$B$7)*IF(LOWER('Black-Scholes'!$B$11)="put",MAX('Black-Scholes'!$B$6-D2260,0),MAX(D2260-'Black-Scholes'!$B$6,0))</f>
        <v>0</v>
      </c>
    </row>
    <row r="2261" customFormat="false" ht="15" hidden="false" customHeight="false" outlineLevel="0" collapsed="false">
      <c r="A2261" s="0" t="n">
        <v>2250</v>
      </c>
      <c r="B2261" s="15" t="n">
        <v>-0.262962042530063</v>
      </c>
      <c r="C2261" s="18" t="n">
        <f aca="false">'Black-Scholes'!$B$5*EXP(('Black-Scholes'!$B$8-'Black-Scholes'!$B$10-'Black-Scholes'!$B$9^2/2)*'Black-Scholes'!$B$7+'Black-Scholes'!$B$9*SQRT('Black-Scholes'!$B$7)*B2261)</f>
        <v>97.7660888836798</v>
      </c>
      <c r="D2261" s="18" t="n">
        <f aca="false">'Black-Scholes'!$B$5*EXP(('Black-Scholes'!$B$8-'Black-Scholes'!$B$10-'Black-Scholes'!$B$9^2/2)*'Black-Scholes'!$B$7-'Black-Scholes'!$B$9*SQRT('Black-Scholes'!$B$7)*B2261)</f>
        <v>108.6099033591</v>
      </c>
      <c r="E2261" s="18" t="n">
        <f aca="false">EXP(-'Black-Scholes'!$B$8*'Black-Scholes'!$B$7)*IF(LOWER('Black-Scholes'!$B$11)="put",MAX('Black-Scholes'!$B$6-C2261,0),MAX(C2261-'Black-Scholes'!$B$6,0))</f>
        <v>0</v>
      </c>
      <c r="F2261" s="18" t="n">
        <f aca="false">(E2261+G2261)/2</f>
        <v>4.09499670864149</v>
      </c>
      <c r="G2261" s="18" t="n">
        <f aca="false">EXP(-'Black-Scholes'!$B$8*'Black-Scholes'!$B$7)*IF(LOWER('Black-Scholes'!$B$11)="put",MAX('Black-Scholes'!$B$6-D2261,0),MAX(D2261-'Black-Scholes'!$B$6,0))</f>
        <v>8.18999341728299</v>
      </c>
    </row>
    <row r="2262" customFormat="false" ht="15" hidden="false" customHeight="false" outlineLevel="0" collapsed="false">
      <c r="A2262" s="0" t="n">
        <v>2251</v>
      </c>
      <c r="B2262" s="15" t="n">
        <v>-0.857896152415481</v>
      </c>
      <c r="C2262" s="18" t="n">
        <f aca="false">'Black-Scholes'!$B$5*EXP(('Black-Scholes'!$B$8-'Black-Scholes'!$B$10-'Black-Scholes'!$B$9^2/2)*'Black-Scholes'!$B$7+'Black-Scholes'!$B$9*SQRT('Black-Scholes'!$B$7)*B2262)</f>
        <v>86.7986401878499</v>
      </c>
      <c r="D2262" s="18" t="n">
        <f aca="false">'Black-Scholes'!$B$5*EXP(('Black-Scholes'!$B$8-'Black-Scholes'!$B$10-'Black-Scholes'!$B$9^2/2)*'Black-Scholes'!$B$7-'Black-Scholes'!$B$9*SQRT('Black-Scholes'!$B$7)*B2262)</f>
        <v>122.333315850033</v>
      </c>
      <c r="E2262" s="18" t="n">
        <f aca="false">EXP(-'Black-Scholes'!$B$8*'Black-Scholes'!$B$7)*IF(LOWER('Black-Scholes'!$B$11)="put",MAX('Black-Scholes'!$B$6-C2262,0),MAX(C2262-'Black-Scholes'!$B$6,0))</f>
        <v>0</v>
      </c>
      <c r="F2262" s="18" t="n">
        <f aca="false">(E2262+G2262)/2</f>
        <v>10.6220535916097</v>
      </c>
      <c r="G2262" s="18" t="n">
        <f aca="false">EXP(-'Black-Scholes'!$B$8*'Black-Scholes'!$B$7)*IF(LOWER('Black-Scholes'!$B$11)="put",MAX('Black-Scholes'!$B$6-D2262,0),MAX(D2262-'Black-Scholes'!$B$6,0))</f>
        <v>21.2441071832194</v>
      </c>
    </row>
    <row r="2263" customFormat="false" ht="15" hidden="false" customHeight="false" outlineLevel="0" collapsed="false">
      <c r="A2263" s="0" t="n">
        <v>2252</v>
      </c>
      <c r="B2263" s="15" t="n">
        <v>0.182370853406381</v>
      </c>
      <c r="C2263" s="18" t="n">
        <f aca="false">'Black-Scholes'!$B$5*EXP(('Black-Scholes'!$B$8-'Black-Scholes'!$B$10-'Black-Scholes'!$B$9^2/2)*'Black-Scholes'!$B$7+'Black-Scholes'!$B$9*SQRT('Black-Scholes'!$B$7)*B2263)</f>
        <v>106.87333590641</v>
      </c>
      <c r="D2263" s="18" t="n">
        <f aca="false">'Black-Scholes'!$B$5*EXP(('Black-Scholes'!$B$8-'Black-Scholes'!$B$10-'Black-Scholes'!$B$9^2/2)*'Black-Scholes'!$B$7-'Black-Scholes'!$B$9*SQRT('Black-Scholes'!$B$7)*B2263)</f>
        <v>99.3546741607482</v>
      </c>
      <c r="E2263" s="18" t="n">
        <f aca="false">EXP(-'Black-Scholes'!$B$8*'Black-Scholes'!$B$7)*IF(LOWER('Black-Scholes'!$B$11)="put",MAX('Black-Scholes'!$B$6-C2263,0),MAX(C2263-'Black-Scholes'!$B$6,0))</f>
        <v>6.53811935865484</v>
      </c>
      <c r="F2263" s="18" t="n">
        <f aca="false">(E2263+G2263)/2</f>
        <v>3.26905967932742</v>
      </c>
      <c r="G2263" s="18" t="n">
        <f aca="false">EXP(-'Black-Scholes'!$B$8*'Black-Scholes'!$B$7)*IF(LOWER('Black-Scholes'!$B$11)="put",MAX('Black-Scholes'!$B$6-D2263,0),MAX(D2263-'Black-Scholes'!$B$6,0))</f>
        <v>0</v>
      </c>
    </row>
    <row r="2264" customFormat="false" ht="15" hidden="false" customHeight="false" outlineLevel="0" collapsed="false">
      <c r="A2264" s="0" t="n">
        <v>2253</v>
      </c>
      <c r="B2264" s="15" t="n">
        <v>0.21197410375629</v>
      </c>
      <c r="C2264" s="18" t="n">
        <f aca="false">'Black-Scholes'!$B$5*EXP(('Black-Scholes'!$B$8-'Black-Scholes'!$B$10-'Black-Scholes'!$B$9^2/2)*'Black-Scholes'!$B$7+'Black-Scholes'!$B$9*SQRT('Black-Scholes'!$B$7)*B2264)</f>
        <v>107.50797240656</v>
      </c>
      <c r="D2264" s="18" t="n">
        <f aca="false">'Black-Scholes'!$B$5*EXP(('Black-Scholes'!$B$8-'Black-Scholes'!$B$10-'Black-Scholes'!$B$9^2/2)*'Black-Scholes'!$B$7-'Black-Scholes'!$B$9*SQRT('Black-Scholes'!$B$7)*B2264)</f>
        <v>98.7681678647829</v>
      </c>
      <c r="E2264" s="18" t="n">
        <f aca="false">EXP(-'Black-Scholes'!$B$8*'Black-Scholes'!$B$7)*IF(LOWER('Black-Scholes'!$B$11)="put",MAX('Black-Scholes'!$B$6-C2264,0),MAX(C2264-'Black-Scholes'!$B$6,0))</f>
        <v>7.14180427145959</v>
      </c>
      <c r="F2264" s="18" t="n">
        <f aca="false">(E2264+G2264)/2</f>
        <v>3.5709021357298</v>
      </c>
      <c r="G2264" s="18" t="n">
        <f aca="false">EXP(-'Black-Scholes'!$B$8*'Black-Scholes'!$B$7)*IF(LOWER('Black-Scholes'!$B$11)="put",MAX('Black-Scholes'!$B$6-D2264,0),MAX(D2264-'Black-Scholes'!$B$6,0))</f>
        <v>0</v>
      </c>
    </row>
    <row r="2265" customFormat="false" ht="15" hidden="false" customHeight="false" outlineLevel="0" collapsed="false">
      <c r="A2265" s="0" t="n">
        <v>2254</v>
      </c>
      <c r="B2265" s="15" t="n">
        <v>-0.760820884569192</v>
      </c>
      <c r="C2265" s="18" t="n">
        <f aca="false">'Black-Scholes'!$B$5*EXP(('Black-Scholes'!$B$8-'Black-Scholes'!$B$10-'Black-Scholes'!$B$9^2/2)*'Black-Scholes'!$B$7+'Black-Scholes'!$B$9*SQRT('Black-Scholes'!$B$7)*B2265)</f>
        <v>88.5003059503715</v>
      </c>
      <c r="D2265" s="18" t="n">
        <f aca="false">'Black-Scholes'!$B$5*EXP(('Black-Scholes'!$B$8-'Black-Scholes'!$B$10-'Black-Scholes'!$B$9^2/2)*'Black-Scholes'!$B$7-'Black-Scholes'!$B$9*SQRT('Black-Scholes'!$B$7)*B2265)</f>
        <v>119.981115900414</v>
      </c>
      <c r="E2265" s="18" t="n">
        <f aca="false">EXP(-'Black-Scholes'!$B$8*'Black-Scholes'!$B$7)*IF(LOWER('Black-Scholes'!$B$11)="put",MAX('Black-Scholes'!$B$6-C2265,0),MAX(C2265-'Black-Scholes'!$B$6,0))</f>
        <v>0</v>
      </c>
      <c r="F2265" s="18" t="n">
        <f aca="false">(E2265+G2265)/2</f>
        <v>9.50331268941629</v>
      </c>
      <c r="G2265" s="18" t="n">
        <f aca="false">EXP(-'Black-Scholes'!$B$8*'Black-Scholes'!$B$7)*IF(LOWER('Black-Scholes'!$B$11)="put",MAX('Black-Scholes'!$B$6-D2265,0),MAX(D2265-'Black-Scholes'!$B$6,0))</f>
        <v>19.0066253788326</v>
      </c>
    </row>
    <row r="2266" customFormat="false" ht="15" hidden="false" customHeight="false" outlineLevel="0" collapsed="false">
      <c r="A2266" s="0" t="n">
        <v>2255</v>
      </c>
      <c r="B2266" s="15" t="n">
        <v>-0.173164397596962</v>
      </c>
      <c r="C2266" s="18" t="n">
        <f aca="false">'Black-Scholes'!$B$5*EXP(('Black-Scholes'!$B$8-'Black-Scholes'!$B$10-'Black-Scholes'!$B$9^2/2)*'Black-Scholes'!$B$7+'Black-Scholes'!$B$9*SQRT('Black-Scholes'!$B$7)*B2266)</f>
        <v>99.5377835713081</v>
      </c>
      <c r="D2266" s="18" t="n">
        <f aca="false">'Black-Scholes'!$B$5*EXP(('Black-Scholes'!$B$8-'Black-Scholes'!$B$10-'Black-Scholes'!$B$9^2/2)*'Black-Scholes'!$B$7-'Black-Scholes'!$B$9*SQRT('Black-Scholes'!$B$7)*B2266)</f>
        <v>106.676732035596</v>
      </c>
      <c r="E2266" s="18" t="n">
        <f aca="false">EXP(-'Black-Scholes'!$B$8*'Black-Scholes'!$B$7)*IF(LOWER('Black-Scholes'!$B$11)="put",MAX('Black-Scholes'!$B$6-C2266,0),MAX(C2266-'Black-Scholes'!$B$6,0))</f>
        <v>0</v>
      </c>
      <c r="F2266" s="18" t="n">
        <f aca="false">(E2266+G2266)/2</f>
        <v>3.17555198588277</v>
      </c>
      <c r="G2266" s="18" t="n">
        <f aca="false">EXP(-'Black-Scholes'!$B$8*'Black-Scholes'!$B$7)*IF(LOWER('Black-Scholes'!$B$11)="put",MAX('Black-Scholes'!$B$6-D2266,0),MAX(D2266-'Black-Scholes'!$B$6,0))</f>
        <v>6.35110397176555</v>
      </c>
    </row>
    <row r="2267" customFormat="false" ht="15" hidden="false" customHeight="false" outlineLevel="0" collapsed="false">
      <c r="A2267" s="0" t="n">
        <v>2256</v>
      </c>
      <c r="B2267" s="15" t="n">
        <v>0.916929861904465</v>
      </c>
      <c r="C2267" s="18" t="n">
        <f aca="false">'Black-Scholes'!$B$5*EXP(('Black-Scholes'!$B$8-'Black-Scholes'!$B$10-'Black-Scholes'!$B$9^2/2)*'Black-Scholes'!$B$7+'Black-Scholes'!$B$9*SQRT('Black-Scholes'!$B$7)*B2267)</f>
        <v>123.786233972487</v>
      </c>
      <c r="D2267" s="18" t="n">
        <f aca="false">'Black-Scholes'!$B$5*EXP(('Black-Scholes'!$B$8-'Black-Scholes'!$B$10-'Black-Scholes'!$B$9^2/2)*'Black-Scholes'!$B$7-'Black-Scholes'!$B$9*SQRT('Black-Scholes'!$B$7)*B2267)</f>
        <v>85.7798571351128</v>
      </c>
      <c r="E2267" s="18" t="n">
        <f aca="false">EXP(-'Black-Scholes'!$B$8*'Black-Scholes'!$B$7)*IF(LOWER('Black-Scholes'!$B$11)="put",MAX('Black-Scholes'!$B$6-C2267,0),MAX(C2267-'Black-Scholes'!$B$6,0))</f>
        <v>22.6261656526883</v>
      </c>
      <c r="F2267" s="18" t="n">
        <f aca="false">(E2267+G2267)/2</f>
        <v>11.3130828263441</v>
      </c>
      <c r="G2267" s="18" t="n">
        <f aca="false">EXP(-'Black-Scholes'!$B$8*'Black-Scholes'!$B$7)*IF(LOWER('Black-Scholes'!$B$11)="put",MAX('Black-Scholes'!$B$6-D2267,0),MAX(D2267-'Black-Scholes'!$B$6,0))</f>
        <v>0</v>
      </c>
    </row>
    <row r="2268" customFormat="false" ht="15" hidden="false" customHeight="false" outlineLevel="0" collapsed="false">
      <c r="A2268" s="0" t="n">
        <v>2257</v>
      </c>
      <c r="B2268" s="15" t="n">
        <v>-0.291915048609419</v>
      </c>
      <c r="C2268" s="18" t="n">
        <f aca="false">'Black-Scholes'!$B$5*EXP(('Black-Scholes'!$B$8-'Black-Scholes'!$B$10-'Black-Scholes'!$B$9^2/2)*'Black-Scholes'!$B$7+'Black-Scholes'!$B$9*SQRT('Black-Scholes'!$B$7)*B2268)</f>
        <v>97.201600391717</v>
      </c>
      <c r="D2268" s="18" t="n">
        <f aca="false">'Black-Scholes'!$B$5*EXP(('Black-Scholes'!$B$8-'Black-Scholes'!$B$10-'Black-Scholes'!$B$9^2/2)*'Black-Scholes'!$B$7-'Black-Scholes'!$B$9*SQRT('Black-Scholes'!$B$7)*B2268)</f>
        <v>109.240644420073</v>
      </c>
      <c r="E2268" s="18" t="n">
        <f aca="false">EXP(-'Black-Scholes'!$B$8*'Black-Scholes'!$B$7)*IF(LOWER('Black-Scholes'!$B$11)="put",MAX('Black-Scholes'!$B$6-C2268,0),MAX(C2268-'Black-Scholes'!$B$6,0))</f>
        <v>0</v>
      </c>
      <c r="F2268" s="18" t="n">
        <f aca="false">(E2268+G2268)/2</f>
        <v>4.39498643686096</v>
      </c>
      <c r="G2268" s="18" t="n">
        <f aca="false">EXP(-'Black-Scholes'!$B$8*'Black-Scholes'!$B$7)*IF(LOWER('Black-Scholes'!$B$11)="put",MAX('Black-Scholes'!$B$6-D2268,0),MAX(D2268-'Black-Scholes'!$B$6,0))</f>
        <v>8.78997287372192</v>
      </c>
    </row>
    <row r="2269" customFormat="false" ht="15" hidden="false" customHeight="false" outlineLevel="0" collapsed="false">
      <c r="A2269" s="0" t="n">
        <v>2258</v>
      </c>
      <c r="B2269" s="15" t="n">
        <v>0.112623746290916</v>
      </c>
      <c r="C2269" s="18" t="n">
        <f aca="false">'Black-Scholes'!$B$5*EXP(('Black-Scholes'!$B$8-'Black-Scholes'!$B$10-'Black-Scholes'!$B$9^2/2)*'Black-Scholes'!$B$7+'Black-Scholes'!$B$9*SQRT('Black-Scholes'!$B$7)*B2269)</f>
        <v>105.392864570792</v>
      </c>
      <c r="D2269" s="18" t="n">
        <f aca="false">'Black-Scholes'!$B$5*EXP(('Black-Scholes'!$B$8-'Black-Scholes'!$B$10-'Black-Scholes'!$B$9^2/2)*'Black-Scholes'!$B$7-'Black-Scholes'!$B$9*SQRT('Black-Scholes'!$B$7)*B2269)</f>
        <v>100.750326017766</v>
      </c>
      <c r="E2269" s="18" t="n">
        <f aca="false">EXP(-'Black-Scholes'!$B$8*'Black-Scholes'!$B$7)*IF(LOWER('Black-Scholes'!$B$11)="put",MAX('Black-Scholes'!$B$6-C2269,0),MAX(C2269-'Black-Scholes'!$B$6,0))</f>
        <v>5.12985146208476</v>
      </c>
      <c r="F2269" s="18" t="n">
        <f aca="false">(E2269+G2269)/2</f>
        <v>2.9217918240763</v>
      </c>
      <c r="G2269" s="18" t="n">
        <f aca="false">EXP(-'Black-Scholes'!$B$8*'Black-Scholes'!$B$7)*IF(LOWER('Black-Scholes'!$B$11)="put",MAX('Black-Scholes'!$B$6-D2269,0),MAX(D2269-'Black-Scholes'!$B$6,0))</f>
        <v>0.713732186067829</v>
      </c>
    </row>
    <row r="2270" customFormat="false" ht="15" hidden="false" customHeight="false" outlineLevel="0" collapsed="false">
      <c r="A2270" s="0" t="n">
        <v>2259</v>
      </c>
      <c r="B2270" s="15" t="n">
        <v>-1.76825854386307</v>
      </c>
      <c r="C2270" s="18" t="n">
        <f aca="false">'Black-Scholes'!$B$5*EXP(('Black-Scholes'!$B$8-'Black-Scholes'!$B$10-'Black-Scholes'!$B$9^2/2)*'Black-Scholes'!$B$7+'Black-Scholes'!$B$9*SQRT('Black-Scholes'!$B$7)*B2270)</f>
        <v>72.350218796714</v>
      </c>
      <c r="D2270" s="18" t="n">
        <f aca="false">'Black-Scholes'!$B$5*EXP(('Black-Scholes'!$B$8-'Black-Scholes'!$B$10-'Black-Scholes'!$B$9^2/2)*'Black-Scholes'!$B$7-'Black-Scholes'!$B$9*SQRT('Black-Scholes'!$B$7)*B2270)</f>
        <v>146.763418854178</v>
      </c>
      <c r="E2270" s="18" t="n">
        <f aca="false">EXP(-'Black-Scholes'!$B$8*'Black-Scholes'!$B$7)*IF(LOWER('Black-Scholes'!$B$11)="put",MAX('Black-Scholes'!$B$6-C2270,0),MAX(C2270-'Black-Scholes'!$B$6,0))</f>
        <v>0</v>
      </c>
      <c r="F2270" s="18" t="n">
        <f aca="false">(E2270+G2270)/2</f>
        <v>22.241370002173</v>
      </c>
      <c r="G2270" s="18" t="n">
        <f aca="false">EXP(-'Black-Scholes'!$B$8*'Black-Scholes'!$B$7)*IF(LOWER('Black-Scholes'!$B$11)="put",MAX('Black-Scholes'!$B$6-D2270,0),MAX(D2270-'Black-Scholes'!$B$6,0))</f>
        <v>44.482740004346</v>
      </c>
    </row>
    <row r="2271" customFormat="false" ht="15" hidden="false" customHeight="false" outlineLevel="0" collapsed="false">
      <c r="A2271" s="0" t="n">
        <v>2260</v>
      </c>
      <c r="B2271" s="15" t="n">
        <v>-0.568466067105639</v>
      </c>
      <c r="C2271" s="18" t="n">
        <f aca="false">'Black-Scholes'!$B$5*EXP(('Black-Scholes'!$B$8-'Black-Scholes'!$B$10-'Black-Scholes'!$B$9^2/2)*'Black-Scholes'!$B$7+'Black-Scholes'!$B$9*SQRT('Black-Scholes'!$B$7)*B2271)</f>
        <v>91.9713368536633</v>
      </c>
      <c r="D2271" s="18" t="n">
        <f aca="false">'Black-Scholes'!$B$5*EXP(('Black-Scholes'!$B$8-'Black-Scholes'!$B$10-'Black-Scholes'!$B$9^2/2)*'Black-Scholes'!$B$7-'Black-Scholes'!$B$9*SQRT('Black-Scholes'!$B$7)*B2271)</f>
        <v>115.45298599224</v>
      </c>
      <c r="E2271" s="18" t="n">
        <f aca="false">EXP(-'Black-Scholes'!$B$8*'Black-Scholes'!$B$7)*IF(LOWER('Black-Scholes'!$B$11)="put",MAX('Black-Scholes'!$B$6-C2271,0),MAX(C2271-'Black-Scholes'!$B$6,0))</f>
        <v>0</v>
      </c>
      <c r="F2271" s="18" t="n">
        <f aca="false">(E2271+G2271)/2</f>
        <v>7.34966748610813</v>
      </c>
      <c r="G2271" s="18" t="n">
        <f aca="false">EXP(-'Black-Scholes'!$B$8*'Black-Scholes'!$B$7)*IF(LOWER('Black-Scholes'!$B$11)="put",MAX('Black-Scholes'!$B$6-D2271,0),MAX(D2271-'Black-Scholes'!$B$6,0))</f>
        <v>14.6993349722163</v>
      </c>
    </row>
    <row r="2272" customFormat="false" ht="15" hidden="false" customHeight="false" outlineLevel="0" collapsed="false">
      <c r="A2272" s="0" t="n">
        <v>2261</v>
      </c>
      <c r="B2272" s="15" t="n">
        <v>1.80173770807942</v>
      </c>
      <c r="C2272" s="18" t="n">
        <f aca="false">'Black-Scholes'!$B$5*EXP(('Black-Scholes'!$B$8-'Black-Scholes'!$B$10-'Black-Scholes'!$B$9^2/2)*'Black-Scholes'!$B$7+'Black-Scholes'!$B$9*SQRT('Black-Scholes'!$B$7)*B2272)</f>
        <v>147.749419538341</v>
      </c>
      <c r="D2272" s="18" t="n">
        <f aca="false">'Black-Scholes'!$B$5*EXP(('Black-Scholes'!$B$8-'Black-Scholes'!$B$10-'Black-Scholes'!$B$9^2/2)*'Black-Scholes'!$B$7-'Black-Scholes'!$B$9*SQRT('Black-Scholes'!$B$7)*B2272)</f>
        <v>71.8673920928546</v>
      </c>
      <c r="E2272" s="18" t="n">
        <f aca="false">EXP(-'Black-Scholes'!$B$8*'Black-Scholes'!$B$7)*IF(LOWER('Black-Scholes'!$B$11)="put",MAX('Black-Scholes'!$B$6-C2272,0),MAX(C2272-'Black-Scholes'!$B$6,0))</f>
        <v>45.4206528676988</v>
      </c>
      <c r="F2272" s="18" t="n">
        <f aca="false">(E2272+G2272)/2</f>
        <v>22.7103264338494</v>
      </c>
      <c r="G2272" s="18" t="n">
        <f aca="false">EXP(-'Black-Scholes'!$B$8*'Black-Scholes'!$B$7)*IF(LOWER('Black-Scholes'!$B$11)="put",MAX('Black-Scholes'!$B$6-D2272,0),MAX(D2272-'Black-Scholes'!$B$6,0))</f>
        <v>0</v>
      </c>
    </row>
    <row r="2273" customFormat="false" ht="15" hidden="false" customHeight="false" outlineLevel="0" collapsed="false">
      <c r="A2273" s="0" t="n">
        <v>2262</v>
      </c>
      <c r="B2273" s="15" t="n">
        <v>0.0810221801138248</v>
      </c>
      <c r="C2273" s="18" t="n">
        <f aca="false">'Black-Scholes'!$B$5*EXP(('Black-Scholes'!$B$8-'Black-Scholes'!$B$10-'Black-Scholes'!$B$9^2/2)*'Black-Scholes'!$B$7+'Black-Scholes'!$B$9*SQRT('Black-Scholes'!$B$7)*B2273)</f>
        <v>104.72884925673</v>
      </c>
      <c r="D2273" s="18" t="n">
        <f aca="false">'Black-Scholes'!$B$5*EXP(('Black-Scholes'!$B$8-'Black-Scholes'!$B$10-'Black-Scholes'!$B$9^2/2)*'Black-Scholes'!$B$7-'Black-Scholes'!$B$9*SQRT('Black-Scholes'!$B$7)*B2273)</f>
        <v>101.389116187307</v>
      </c>
      <c r="E2273" s="18" t="n">
        <f aca="false">EXP(-'Black-Scholes'!$B$8*'Black-Scholes'!$B$7)*IF(LOWER('Black-Scholes'!$B$11)="put",MAX('Black-Scholes'!$B$6-C2273,0),MAX(C2273-'Black-Scholes'!$B$6,0))</f>
        <v>4.49822055703021</v>
      </c>
      <c r="F2273" s="18" t="n">
        <f aca="false">(E2273+G2273)/2</f>
        <v>2.90979437422346</v>
      </c>
      <c r="G2273" s="18" t="n">
        <f aca="false">EXP(-'Black-Scholes'!$B$8*'Black-Scholes'!$B$7)*IF(LOWER('Black-Scholes'!$B$11)="put",MAX('Black-Scholes'!$B$6-D2273,0),MAX(D2273-'Black-Scholes'!$B$6,0))</f>
        <v>1.32136819141671</v>
      </c>
    </row>
    <row r="2274" customFormat="false" ht="15" hidden="false" customHeight="false" outlineLevel="0" collapsed="false">
      <c r="A2274" s="0" t="n">
        <v>2263</v>
      </c>
      <c r="B2274" s="15" t="n">
        <v>-0.320742909924199</v>
      </c>
      <c r="C2274" s="18" t="n">
        <f aca="false">'Black-Scholes'!$B$5*EXP(('Black-Scholes'!$B$8-'Black-Scholes'!$B$10-'Black-Scholes'!$B$9^2/2)*'Black-Scholes'!$B$7+'Black-Scholes'!$B$9*SQRT('Black-Scholes'!$B$7)*B2274)</f>
        <v>96.6427900193639</v>
      </c>
      <c r="D2274" s="18" t="n">
        <f aca="false">'Black-Scholes'!$B$5*EXP(('Black-Scholes'!$B$8-'Black-Scholes'!$B$10-'Black-Scholes'!$B$9^2/2)*'Black-Scholes'!$B$7-'Black-Scholes'!$B$9*SQRT('Black-Scholes'!$B$7)*B2274)</f>
        <v>109.872298423152</v>
      </c>
      <c r="E2274" s="18" t="n">
        <f aca="false">EXP(-'Black-Scholes'!$B$8*'Black-Scholes'!$B$7)*IF(LOWER('Black-Scholes'!$B$11)="put",MAX('Black-Scholes'!$B$6-C2274,0),MAX(C2274-'Black-Scholes'!$B$6,0))</f>
        <v>0</v>
      </c>
      <c r="F2274" s="18" t="n">
        <f aca="false">(E2274+G2274)/2</f>
        <v>4.69541037377724</v>
      </c>
      <c r="G2274" s="18" t="n">
        <f aca="false">EXP(-'Black-Scholes'!$B$8*'Black-Scholes'!$B$7)*IF(LOWER('Black-Scholes'!$B$11)="put",MAX('Black-Scholes'!$B$6-D2274,0),MAX(D2274-'Black-Scholes'!$B$6,0))</f>
        <v>9.39082074755448</v>
      </c>
    </row>
    <row r="2275" customFormat="false" ht="15" hidden="false" customHeight="false" outlineLevel="0" collapsed="false">
      <c r="A2275" s="0" t="n">
        <v>2264</v>
      </c>
      <c r="B2275" s="15" t="n">
        <v>-0.691571605549749</v>
      </c>
      <c r="C2275" s="18" t="n">
        <f aca="false">'Black-Scholes'!$B$5*EXP(('Black-Scholes'!$B$8-'Black-Scholes'!$B$10-'Black-Scholes'!$B$9^2/2)*'Black-Scholes'!$B$7+'Black-Scholes'!$B$9*SQRT('Black-Scholes'!$B$7)*B2275)</f>
        <v>89.7345497465156</v>
      </c>
      <c r="D2275" s="18" t="n">
        <f aca="false">'Black-Scholes'!$B$5*EXP(('Black-Scholes'!$B$8-'Black-Scholes'!$B$10-'Black-Scholes'!$B$9^2/2)*'Black-Scholes'!$B$7-'Black-Scholes'!$B$9*SQRT('Black-Scholes'!$B$7)*B2275)</f>
        <v>118.330849103814</v>
      </c>
      <c r="E2275" s="18" t="n">
        <f aca="false">EXP(-'Black-Scholes'!$B$8*'Black-Scholes'!$B$7)*IF(LOWER('Black-Scholes'!$B$11)="put",MAX('Black-Scholes'!$B$6-C2275,0),MAX(C2275-'Black-Scholes'!$B$6,0))</f>
        <v>0</v>
      </c>
      <c r="F2275" s="18" t="n">
        <f aca="false">(E2275+G2275)/2</f>
        <v>8.71842152181505</v>
      </c>
      <c r="G2275" s="18" t="n">
        <f aca="false">EXP(-'Black-Scholes'!$B$8*'Black-Scholes'!$B$7)*IF(LOWER('Black-Scholes'!$B$11)="put",MAX('Black-Scholes'!$B$6-D2275,0),MAX(D2275-'Black-Scholes'!$B$6,0))</f>
        <v>17.4368430436301</v>
      </c>
    </row>
    <row r="2276" customFormat="false" ht="15" hidden="false" customHeight="false" outlineLevel="0" collapsed="false">
      <c r="A2276" s="0" t="n">
        <v>2265</v>
      </c>
      <c r="B2276" s="15" t="n">
        <v>-1.63351786953582</v>
      </c>
      <c r="C2276" s="18" t="n">
        <f aca="false">'Black-Scholes'!$B$5*EXP(('Black-Scholes'!$B$8-'Black-Scholes'!$B$10-'Black-Scholes'!$B$9^2/2)*'Black-Scholes'!$B$7+'Black-Scholes'!$B$9*SQRT('Black-Scholes'!$B$7)*B2276)</f>
        <v>74.3264302643611</v>
      </c>
      <c r="D2276" s="18" t="n">
        <f aca="false">'Black-Scholes'!$B$5*EXP(('Black-Scholes'!$B$8-'Black-Scholes'!$B$10-'Black-Scholes'!$B$9^2/2)*'Black-Scholes'!$B$7-'Black-Scholes'!$B$9*SQRT('Black-Scholes'!$B$7)*B2276)</f>
        <v>142.861232911182</v>
      </c>
      <c r="E2276" s="18" t="n">
        <f aca="false">EXP(-'Black-Scholes'!$B$8*'Black-Scholes'!$B$7)*IF(LOWER('Black-Scholes'!$B$11)="put",MAX('Black-Scholes'!$B$6-C2276,0),MAX(C2276-'Black-Scholes'!$B$6,0))</f>
        <v>0</v>
      </c>
      <c r="F2276" s="18" t="n">
        <f aca="false">(E2276+G2276)/2</f>
        <v>20.3854329577472</v>
      </c>
      <c r="G2276" s="18" t="n">
        <f aca="false">EXP(-'Black-Scholes'!$B$8*'Black-Scholes'!$B$7)*IF(LOWER('Black-Scholes'!$B$11)="put",MAX('Black-Scholes'!$B$6-D2276,0),MAX(D2276-'Black-Scholes'!$B$6,0))</f>
        <v>40.7708659154945</v>
      </c>
    </row>
    <row r="2277" customFormat="false" ht="15" hidden="false" customHeight="false" outlineLevel="0" collapsed="false">
      <c r="A2277" s="0" t="n">
        <v>2266</v>
      </c>
      <c r="B2277" s="15" t="n">
        <v>-1.69108356793648</v>
      </c>
      <c r="C2277" s="18" t="n">
        <f aca="false">'Black-Scholes'!$B$5*EXP(('Black-Scholes'!$B$8-'Black-Scholes'!$B$10-'Black-Scholes'!$B$9^2/2)*'Black-Scholes'!$B$7+'Black-Scholes'!$B$9*SQRT('Black-Scholes'!$B$7)*B2277)</f>
        <v>73.4756069130466</v>
      </c>
      <c r="D2277" s="18" t="n">
        <f aca="false">'Black-Scholes'!$B$5*EXP(('Black-Scholes'!$B$8-'Black-Scholes'!$B$10-'Black-Scholes'!$B$9^2/2)*'Black-Scholes'!$B$7-'Black-Scholes'!$B$9*SQRT('Black-Scholes'!$B$7)*B2277)</f>
        <v>144.515518980602</v>
      </c>
      <c r="E2277" s="18" t="n">
        <f aca="false">EXP(-'Black-Scholes'!$B$8*'Black-Scholes'!$B$7)*IF(LOWER('Black-Scholes'!$B$11)="put",MAX('Black-Scholes'!$B$6-C2277,0),MAX(C2277-'Black-Scholes'!$B$6,0))</f>
        <v>0</v>
      </c>
      <c r="F2277" s="18" t="n">
        <f aca="false">(E2277+G2277)/2</f>
        <v>21.1722357506341</v>
      </c>
      <c r="G2277" s="18" t="n">
        <f aca="false">EXP(-'Black-Scholes'!$B$8*'Black-Scholes'!$B$7)*IF(LOWER('Black-Scholes'!$B$11)="put",MAX('Black-Scholes'!$B$6-D2277,0),MAX(D2277-'Black-Scholes'!$B$6,0))</f>
        <v>42.3444715012682</v>
      </c>
    </row>
    <row r="2278" customFormat="false" ht="15" hidden="false" customHeight="false" outlineLevel="0" collapsed="false">
      <c r="A2278" s="0" t="n">
        <v>2267</v>
      </c>
      <c r="B2278" s="15" t="n">
        <v>0.736974896897336</v>
      </c>
      <c r="C2278" s="18" t="n">
        <f aca="false">'Black-Scholes'!$B$5*EXP(('Black-Scholes'!$B$8-'Black-Scholes'!$B$10-'Black-Scholes'!$B$9^2/2)*'Black-Scholes'!$B$7+'Black-Scholes'!$B$9*SQRT('Black-Scholes'!$B$7)*B2278)</f>
        <v>119.41026459163</v>
      </c>
      <c r="D2278" s="18" t="n">
        <f aca="false">'Black-Scholes'!$B$5*EXP(('Black-Scholes'!$B$8-'Black-Scholes'!$B$10-'Black-Scholes'!$B$9^2/2)*'Black-Scholes'!$B$7-'Black-Scholes'!$B$9*SQRT('Black-Scholes'!$B$7)*B2278)</f>
        <v>88.9233894738217</v>
      </c>
      <c r="E2278" s="18" t="n">
        <f aca="false">EXP(-'Black-Scholes'!$B$8*'Black-Scholes'!$B$7)*IF(LOWER('Black-Scholes'!$B$11)="put",MAX('Black-Scholes'!$B$6-C2278,0),MAX(C2278-'Black-Scholes'!$B$6,0))</f>
        <v>18.4636148169026</v>
      </c>
      <c r="F2278" s="18" t="n">
        <f aca="false">(E2278+G2278)/2</f>
        <v>9.23180740845131</v>
      </c>
      <c r="G2278" s="18" t="n">
        <f aca="false">EXP(-'Black-Scholes'!$B$8*'Black-Scholes'!$B$7)*IF(LOWER('Black-Scholes'!$B$11)="put",MAX('Black-Scholes'!$B$6-D2278,0),MAX(D2278-'Black-Scholes'!$B$6,0))</f>
        <v>0</v>
      </c>
    </row>
    <row r="2279" customFormat="false" ht="15" hidden="false" customHeight="false" outlineLevel="0" collapsed="false">
      <c r="A2279" s="0" t="n">
        <v>2268</v>
      </c>
      <c r="B2279" s="15" t="n">
        <v>0.604475841508611</v>
      </c>
      <c r="C2279" s="18" t="n">
        <f aca="false">'Black-Scholes'!$B$5*EXP(('Black-Scholes'!$B$8-'Black-Scholes'!$B$10-'Black-Scholes'!$B$9^2/2)*'Black-Scholes'!$B$7+'Black-Scholes'!$B$9*SQRT('Black-Scholes'!$B$7)*B2279)</f>
        <v>116.287474555732</v>
      </c>
      <c r="D2279" s="18" t="n">
        <f aca="false">'Black-Scholes'!$B$5*EXP(('Black-Scholes'!$B$8-'Black-Scholes'!$B$10-'Black-Scholes'!$B$9^2/2)*'Black-Scholes'!$B$7-'Black-Scholes'!$B$9*SQRT('Black-Scholes'!$B$7)*B2279)</f>
        <v>91.3113429113521</v>
      </c>
      <c r="E2279" s="18" t="n">
        <f aca="false">EXP(-'Black-Scholes'!$B$8*'Black-Scholes'!$B$7)*IF(LOWER('Black-Scholes'!$B$11)="put",MAX('Black-Scholes'!$B$6-C2279,0),MAX(C2279-'Black-Scholes'!$B$6,0))</f>
        <v>15.4931250482192</v>
      </c>
      <c r="F2279" s="18" t="n">
        <f aca="false">(E2279+G2279)/2</f>
        <v>7.74656252410958</v>
      </c>
      <c r="G2279" s="18" t="n">
        <f aca="false">EXP(-'Black-Scholes'!$B$8*'Black-Scholes'!$B$7)*IF(LOWER('Black-Scholes'!$B$11)="put",MAX('Black-Scholes'!$B$6-D2279,0),MAX(D2279-'Black-Scholes'!$B$6,0))</f>
        <v>0</v>
      </c>
    </row>
    <row r="2280" customFormat="false" ht="15" hidden="false" customHeight="false" outlineLevel="0" collapsed="false">
      <c r="A2280" s="0" t="n">
        <v>2269</v>
      </c>
      <c r="B2280" s="15" t="n">
        <v>-1.94635439357716</v>
      </c>
      <c r="C2280" s="18" t="n">
        <f aca="false">'Black-Scholes'!$B$5*EXP(('Black-Scholes'!$B$8-'Black-Scholes'!$B$10-'Black-Scholes'!$B$9^2/2)*'Black-Scholes'!$B$7+'Black-Scholes'!$B$9*SQRT('Black-Scholes'!$B$7)*B2280)</f>
        <v>69.8185202223782</v>
      </c>
      <c r="D2280" s="18" t="n">
        <f aca="false">'Black-Scholes'!$B$5*EXP(('Black-Scholes'!$B$8-'Black-Scholes'!$B$10-'Black-Scholes'!$B$9^2/2)*'Black-Scholes'!$B$7-'Black-Scholes'!$B$9*SQRT('Black-Scholes'!$B$7)*B2280)</f>
        <v>152.08522655068</v>
      </c>
      <c r="E2280" s="18" t="n">
        <f aca="false">EXP(-'Black-Scholes'!$B$8*'Black-Scholes'!$B$7)*IF(LOWER('Black-Scholes'!$B$11)="put",MAX('Black-Scholes'!$B$6-C2280,0),MAX(C2280-'Black-Scholes'!$B$6,0))</f>
        <v>0</v>
      </c>
      <c r="F2280" s="18" t="n">
        <f aca="false">(E2280+G2280)/2</f>
        <v>24.7725000383962</v>
      </c>
      <c r="G2280" s="18" t="n">
        <f aca="false">EXP(-'Black-Scholes'!$B$8*'Black-Scholes'!$B$7)*IF(LOWER('Black-Scholes'!$B$11)="put",MAX('Black-Scholes'!$B$6-D2280,0),MAX(D2280-'Black-Scholes'!$B$6,0))</f>
        <v>49.5450000767924</v>
      </c>
    </row>
    <row r="2281" customFormat="false" ht="15" hidden="false" customHeight="false" outlineLevel="0" collapsed="false">
      <c r="A2281" s="0" t="n">
        <v>2270</v>
      </c>
      <c r="B2281" s="15" t="n">
        <v>0.6450376988787</v>
      </c>
      <c r="C2281" s="18" t="n">
        <f aca="false">'Black-Scholes'!$B$5*EXP(('Black-Scholes'!$B$8-'Black-Scholes'!$B$10-'Black-Scholes'!$B$9^2/2)*'Black-Scholes'!$B$7+'Black-Scholes'!$B$9*SQRT('Black-Scholes'!$B$7)*B2281)</f>
        <v>117.234678587925</v>
      </c>
      <c r="D2281" s="18" t="n">
        <f aca="false">'Black-Scholes'!$B$5*EXP(('Black-Scholes'!$B$8-'Black-Scholes'!$B$10-'Black-Scholes'!$B$9^2/2)*'Black-Scholes'!$B$7-'Black-Scholes'!$B$9*SQRT('Black-Scholes'!$B$7)*B2281)</f>
        <v>90.5735878952397</v>
      </c>
      <c r="E2281" s="18" t="n">
        <f aca="false">EXP(-'Black-Scholes'!$B$8*'Black-Scholes'!$B$7)*IF(LOWER('Black-Scholes'!$B$11)="put",MAX('Black-Scholes'!$B$6-C2281,0),MAX(C2281-'Black-Scholes'!$B$6,0))</f>
        <v>16.3941333946467</v>
      </c>
      <c r="F2281" s="18" t="n">
        <f aca="false">(E2281+G2281)/2</f>
        <v>8.19706669732333</v>
      </c>
      <c r="G2281" s="18" t="n">
        <f aca="false">EXP(-'Black-Scholes'!$B$8*'Black-Scholes'!$B$7)*IF(LOWER('Black-Scholes'!$B$11)="put",MAX('Black-Scholes'!$B$6-D2281,0),MAX(D2281-'Black-Scholes'!$B$6,0))</f>
        <v>0</v>
      </c>
    </row>
    <row r="2282" customFormat="false" ht="15" hidden="false" customHeight="false" outlineLevel="0" collapsed="false">
      <c r="A2282" s="0" t="n">
        <v>2271</v>
      </c>
      <c r="B2282" s="15" t="n">
        <v>-0.857060605629708</v>
      </c>
      <c r="C2282" s="18" t="n">
        <f aca="false">'Black-Scholes'!$B$5*EXP(('Black-Scholes'!$B$8-'Black-Scholes'!$B$10-'Black-Scholes'!$B$9^2/2)*'Black-Scholes'!$B$7+'Black-Scholes'!$B$9*SQRT('Black-Scholes'!$B$7)*B2282)</f>
        <v>86.8131462648304</v>
      </c>
      <c r="D2282" s="18" t="n">
        <f aca="false">'Black-Scholes'!$B$5*EXP(('Black-Scholes'!$B$8-'Black-Scholes'!$B$10-'Black-Scholes'!$B$9^2/2)*'Black-Scholes'!$B$7-'Black-Scholes'!$B$9*SQRT('Black-Scholes'!$B$7)*B2282)</f>
        <v>122.312874516279</v>
      </c>
      <c r="E2282" s="18" t="n">
        <f aca="false">EXP(-'Black-Scholes'!$B$8*'Black-Scholes'!$B$7)*IF(LOWER('Black-Scholes'!$B$11)="put",MAX('Black-Scholes'!$B$6-C2282,0),MAX(C2282-'Black-Scholes'!$B$6,0))</f>
        <v>0</v>
      </c>
      <c r="F2282" s="18" t="n">
        <f aca="false">(E2282+G2282)/2</f>
        <v>10.6123313925385</v>
      </c>
      <c r="G2282" s="18" t="n">
        <f aca="false">EXP(-'Black-Scholes'!$B$8*'Black-Scholes'!$B$7)*IF(LOWER('Black-Scholes'!$B$11)="put",MAX('Black-Scholes'!$B$6-D2282,0),MAX(D2282-'Black-Scholes'!$B$6,0))</f>
        <v>21.2246627850769</v>
      </c>
    </row>
    <row r="2283" customFormat="false" ht="15" hidden="false" customHeight="false" outlineLevel="0" collapsed="false">
      <c r="A2283" s="0" t="n">
        <v>2272</v>
      </c>
      <c r="B2283" s="15" t="n">
        <v>0.259305600902874</v>
      </c>
      <c r="C2283" s="18" t="n">
        <f aca="false">'Black-Scholes'!$B$5*EXP(('Black-Scholes'!$B$8-'Black-Scholes'!$B$10-'Black-Scholes'!$B$9^2/2)*'Black-Scholes'!$B$7+'Black-Scholes'!$B$9*SQRT('Black-Scholes'!$B$7)*B2283)</f>
        <v>108.530507239012</v>
      </c>
      <c r="D2283" s="18" t="n">
        <f aca="false">'Black-Scholes'!$B$5*EXP(('Black-Scholes'!$B$8-'Black-Scholes'!$B$10-'Black-Scholes'!$B$9^2/2)*'Black-Scholes'!$B$7-'Black-Scholes'!$B$9*SQRT('Black-Scholes'!$B$7)*B2283)</f>
        <v>97.83761023128</v>
      </c>
      <c r="E2283" s="18" t="n">
        <f aca="false">EXP(-'Black-Scholes'!$B$8*'Black-Scholes'!$B$7)*IF(LOWER('Black-Scholes'!$B$11)="put",MAX('Black-Scholes'!$B$6-C2283,0),MAX(C2283-'Black-Scholes'!$B$6,0))</f>
        <v>8.1144694916648</v>
      </c>
      <c r="F2283" s="18" t="n">
        <f aca="false">(E2283+G2283)/2</f>
        <v>4.0572347458324</v>
      </c>
      <c r="G2283" s="18" t="n">
        <f aca="false">EXP(-'Black-Scholes'!$B$8*'Black-Scholes'!$B$7)*IF(LOWER('Black-Scholes'!$B$11)="put",MAX('Black-Scholes'!$B$6-D2283,0),MAX(D2283-'Black-Scholes'!$B$6,0))</f>
        <v>0</v>
      </c>
    </row>
    <row r="2284" customFormat="false" ht="15" hidden="false" customHeight="false" outlineLevel="0" collapsed="false">
      <c r="A2284" s="0" t="n">
        <v>2273</v>
      </c>
      <c r="B2284" s="15" t="n">
        <v>1.63629058321005</v>
      </c>
      <c r="C2284" s="18" t="n">
        <f aca="false">'Black-Scholes'!$B$5*EXP(('Black-Scholes'!$B$8-'Black-Scholes'!$B$10-'Black-Scholes'!$B$9^2/2)*'Black-Scholes'!$B$7+'Black-Scholes'!$B$9*SQRT('Black-Scholes'!$B$7)*B2284)</f>
        <v>142.94047754022</v>
      </c>
      <c r="D2284" s="18" t="n">
        <f aca="false">'Black-Scholes'!$B$5*EXP(('Black-Scholes'!$B$8-'Black-Scholes'!$B$10-'Black-Scholes'!$B$9^2/2)*'Black-Scholes'!$B$7-'Black-Scholes'!$B$9*SQRT('Black-Scholes'!$B$7)*B2284)</f>
        <v>74.2852245086831</v>
      </c>
      <c r="E2284" s="18" t="n">
        <f aca="false">EXP(-'Black-Scholes'!$B$8*'Black-Scholes'!$B$7)*IF(LOWER('Black-Scholes'!$B$11)="put",MAX('Black-Scholes'!$B$6-C2284,0),MAX(C2284-'Black-Scholes'!$B$6,0))</f>
        <v>40.8462457383691</v>
      </c>
      <c r="F2284" s="18" t="n">
        <f aca="false">(E2284+G2284)/2</f>
        <v>20.4231228691845</v>
      </c>
      <c r="G2284" s="18" t="n">
        <f aca="false">EXP(-'Black-Scholes'!$B$8*'Black-Scholes'!$B$7)*IF(LOWER('Black-Scholes'!$B$11)="put",MAX('Black-Scholes'!$B$6-D2284,0),MAX(D2284-'Black-Scholes'!$B$6,0))</f>
        <v>0</v>
      </c>
    </row>
    <row r="2285" customFormat="false" ht="15" hidden="false" customHeight="false" outlineLevel="0" collapsed="false">
      <c r="A2285" s="0" t="n">
        <v>2274</v>
      </c>
      <c r="B2285" s="15" t="n">
        <v>-0.491982763527167</v>
      </c>
      <c r="C2285" s="18" t="n">
        <f aca="false">'Black-Scholes'!$B$5*EXP(('Black-Scholes'!$B$8-'Black-Scholes'!$B$10-'Black-Scholes'!$B$9^2/2)*'Black-Scholes'!$B$7+'Black-Scholes'!$B$9*SQRT('Black-Scholes'!$B$7)*B2285)</f>
        <v>93.3890063507249</v>
      </c>
      <c r="D2285" s="18" t="n">
        <f aca="false">'Black-Scholes'!$B$5*EXP(('Black-Scholes'!$B$8-'Black-Scholes'!$B$10-'Black-Scholes'!$B$9^2/2)*'Black-Scholes'!$B$7-'Black-Scholes'!$B$9*SQRT('Black-Scholes'!$B$7)*B2285)</f>
        <v>113.700379524074</v>
      </c>
      <c r="E2285" s="18" t="n">
        <f aca="false">EXP(-'Black-Scholes'!$B$8*'Black-Scholes'!$B$7)*IF(LOWER('Black-Scholes'!$B$11)="put",MAX('Black-Scholes'!$B$6-C2285,0),MAX(C2285-'Black-Scholes'!$B$6,0))</f>
        <v>0</v>
      </c>
      <c r="F2285" s="18" t="n">
        <f aca="false">(E2285+G2285)/2</f>
        <v>6.51610206506325</v>
      </c>
      <c r="G2285" s="18" t="n">
        <f aca="false">EXP(-'Black-Scholes'!$B$8*'Black-Scholes'!$B$7)*IF(LOWER('Black-Scholes'!$B$11)="put",MAX('Black-Scholes'!$B$6-D2285,0),MAX(D2285-'Black-Scholes'!$B$6,0))</f>
        <v>13.0322041301265</v>
      </c>
    </row>
    <row r="2286" customFormat="false" ht="15" hidden="false" customHeight="false" outlineLevel="0" collapsed="false">
      <c r="A2286" s="0" t="n">
        <v>2275</v>
      </c>
      <c r="B2286" s="15" t="n">
        <v>-0.138934145806984</v>
      </c>
      <c r="C2286" s="18" t="n">
        <f aca="false">'Black-Scholes'!$B$5*EXP(('Black-Scholes'!$B$8-'Black-Scholes'!$B$10-'Black-Scholes'!$B$9^2/2)*'Black-Scholes'!$B$7+'Black-Scholes'!$B$9*SQRT('Black-Scholes'!$B$7)*B2286)</f>
        <v>100.221562170892</v>
      </c>
      <c r="D2286" s="18" t="n">
        <f aca="false">'Black-Scholes'!$B$5*EXP(('Black-Scholes'!$B$8-'Black-Scholes'!$B$10-'Black-Scholes'!$B$9^2/2)*'Black-Scholes'!$B$7-'Black-Scholes'!$B$9*SQRT('Black-Scholes'!$B$7)*B2286)</f>
        <v>105.948911945194</v>
      </c>
      <c r="E2286" s="18" t="n">
        <f aca="false">EXP(-'Black-Scholes'!$B$8*'Black-Scholes'!$B$7)*IF(LOWER('Black-Scholes'!$B$11)="put",MAX('Black-Scholes'!$B$6-C2286,0),MAX(C2286-'Black-Scholes'!$B$6,0))</f>
        <v>0.210756456308253</v>
      </c>
      <c r="F2286" s="18" t="n">
        <f aca="false">(E2286+G2286)/2</f>
        <v>2.9347682711704</v>
      </c>
      <c r="G2286" s="18" t="n">
        <f aca="false">EXP(-'Black-Scholes'!$B$8*'Black-Scholes'!$B$7)*IF(LOWER('Black-Scholes'!$B$11)="put",MAX('Black-Scholes'!$B$6-D2286,0),MAX(D2286-'Black-Scholes'!$B$6,0))</f>
        <v>5.65878008603254</v>
      </c>
    </row>
    <row r="2287" customFormat="false" ht="15" hidden="false" customHeight="false" outlineLevel="0" collapsed="false">
      <c r="A2287" s="0" t="n">
        <v>2276</v>
      </c>
      <c r="B2287" s="15" t="n">
        <v>0.283715687557065</v>
      </c>
      <c r="C2287" s="18" t="n">
        <f aca="false">'Black-Scholes'!$B$5*EXP(('Black-Scholes'!$B$8-'Black-Scholes'!$B$10-'Black-Scholes'!$B$9^2/2)*'Black-Scholes'!$B$7+'Black-Scholes'!$B$9*SQRT('Black-Scholes'!$B$7)*B2287)</f>
        <v>109.061650526703</v>
      </c>
      <c r="D2287" s="18" t="n">
        <f aca="false">'Black-Scholes'!$B$5*EXP(('Black-Scholes'!$B$8-'Black-Scholes'!$B$10-'Black-Scholes'!$B$9^2/2)*'Black-Scholes'!$B$7-'Black-Scholes'!$B$9*SQRT('Black-Scholes'!$B$7)*B2287)</f>
        <v>97.3611293628257</v>
      </c>
      <c r="E2287" s="18" t="n">
        <f aca="false">EXP(-'Black-Scholes'!$B$8*'Black-Scholes'!$B$7)*IF(LOWER('Black-Scholes'!$B$11)="put",MAX('Black-Scholes'!$B$6-C2287,0),MAX(C2287-'Black-Scholes'!$B$6,0))</f>
        <v>8.61970861554208</v>
      </c>
      <c r="F2287" s="18" t="n">
        <f aca="false">(E2287+G2287)/2</f>
        <v>4.30985430777104</v>
      </c>
      <c r="G2287" s="18" t="n">
        <f aca="false">EXP(-'Black-Scholes'!$B$8*'Black-Scholes'!$B$7)*IF(LOWER('Black-Scholes'!$B$11)="put",MAX('Black-Scholes'!$B$6-D2287,0),MAX(D2287-'Black-Scholes'!$B$6,0))</f>
        <v>0</v>
      </c>
    </row>
    <row r="2288" customFormat="false" ht="15" hidden="false" customHeight="false" outlineLevel="0" collapsed="false">
      <c r="A2288" s="0" t="n">
        <v>2277</v>
      </c>
      <c r="B2288" s="15" t="n">
        <v>-0.485661956985281</v>
      </c>
      <c r="C2288" s="18" t="n">
        <f aca="false">'Black-Scholes'!$B$5*EXP(('Black-Scholes'!$B$8-'Black-Scholes'!$B$10-'Black-Scholes'!$B$9^2/2)*'Black-Scholes'!$B$7+'Black-Scholes'!$B$9*SQRT('Black-Scholes'!$B$7)*B2288)</f>
        <v>93.5071397732998</v>
      </c>
      <c r="D2288" s="18" t="n">
        <f aca="false">'Black-Scholes'!$B$5*EXP(('Black-Scholes'!$B$8-'Black-Scholes'!$B$10-'Black-Scholes'!$B$9^2/2)*'Black-Scholes'!$B$7-'Black-Scholes'!$B$9*SQRT('Black-Scholes'!$B$7)*B2288)</f>
        <v>113.556734717765</v>
      </c>
      <c r="E2288" s="18" t="n">
        <f aca="false">EXP(-'Black-Scholes'!$B$8*'Black-Scholes'!$B$7)*IF(LOWER('Black-Scholes'!$B$11)="put",MAX('Black-Scholes'!$B$6-C2288,0),MAX(C2288-'Black-Scholes'!$B$6,0))</f>
        <v>0</v>
      </c>
      <c r="F2288" s="18" t="n">
        <f aca="false">(E2288+G2288)/2</f>
        <v>6.44778248184431</v>
      </c>
      <c r="G2288" s="18" t="n">
        <f aca="false">EXP(-'Black-Scholes'!$B$8*'Black-Scholes'!$B$7)*IF(LOWER('Black-Scholes'!$B$11)="put",MAX('Black-Scholes'!$B$6-D2288,0),MAX(D2288-'Black-Scholes'!$B$6,0))</f>
        <v>12.8955649636886</v>
      </c>
    </row>
    <row r="2289" customFormat="false" ht="15" hidden="false" customHeight="false" outlineLevel="0" collapsed="false">
      <c r="A2289" s="0" t="n">
        <v>2278</v>
      </c>
      <c r="B2289" s="15" t="n">
        <v>0.465691548947535</v>
      </c>
      <c r="C2289" s="18" t="n">
        <f aca="false">'Black-Scholes'!$B$5*EXP(('Black-Scholes'!$B$8-'Black-Scholes'!$B$10-'Black-Scholes'!$B$9^2/2)*'Black-Scholes'!$B$7+'Black-Scholes'!$B$9*SQRT('Black-Scholes'!$B$7)*B2289)</f>
        <v>113.104084415089</v>
      </c>
      <c r="D2289" s="18" t="n">
        <f aca="false">'Black-Scholes'!$B$5*EXP(('Black-Scholes'!$B$8-'Black-Scholes'!$B$10-'Black-Scholes'!$B$9^2/2)*'Black-Scholes'!$B$7-'Black-Scholes'!$B$9*SQRT('Black-Scholes'!$B$7)*B2289)</f>
        <v>93.881361759532</v>
      </c>
      <c r="E2289" s="18" t="n">
        <f aca="false">EXP(-'Black-Scholes'!$B$8*'Black-Scholes'!$B$7)*IF(LOWER('Black-Scholes'!$B$11)="put",MAX('Black-Scholes'!$B$6-C2289,0),MAX(C2289-'Black-Scholes'!$B$6,0))</f>
        <v>12.4649906767737</v>
      </c>
      <c r="F2289" s="18" t="n">
        <f aca="false">(E2289+G2289)/2</f>
        <v>6.23249533838685</v>
      </c>
      <c r="G2289" s="18" t="n">
        <f aca="false">EXP(-'Black-Scholes'!$B$8*'Black-Scholes'!$B$7)*IF(LOWER('Black-Scholes'!$B$11)="put",MAX('Black-Scholes'!$B$6-D2289,0),MAX(D2289-'Black-Scholes'!$B$6,0))</f>
        <v>0</v>
      </c>
    </row>
    <row r="2290" customFormat="false" ht="15" hidden="false" customHeight="false" outlineLevel="0" collapsed="false">
      <c r="A2290" s="0" t="n">
        <v>2279</v>
      </c>
      <c r="B2290" s="15" t="n">
        <v>0.605737420619928</v>
      </c>
      <c r="C2290" s="18" t="n">
        <f aca="false">'Black-Scholes'!$B$5*EXP(('Black-Scholes'!$B$8-'Black-Scholes'!$B$10-'Black-Scholes'!$B$9^2/2)*'Black-Scholes'!$B$7+'Black-Scholes'!$B$9*SQRT('Black-Scholes'!$B$7)*B2290)</f>
        <v>116.316819427426</v>
      </c>
      <c r="D2290" s="18" t="n">
        <f aca="false">'Black-Scholes'!$B$5*EXP(('Black-Scholes'!$B$8-'Black-Scholes'!$B$10-'Black-Scholes'!$B$9^2/2)*'Black-Scholes'!$B$7-'Black-Scholes'!$B$9*SQRT('Black-Scholes'!$B$7)*B2290)</f>
        <v>91.2883065211285</v>
      </c>
      <c r="E2290" s="18" t="n">
        <f aca="false">EXP(-'Black-Scholes'!$B$8*'Black-Scholes'!$B$7)*IF(LOWER('Black-Scholes'!$B$11)="put",MAX('Black-Scholes'!$B$6-C2290,0),MAX(C2290-'Black-Scholes'!$B$6,0))</f>
        <v>15.5210387536322</v>
      </c>
      <c r="F2290" s="18" t="n">
        <f aca="false">(E2290+G2290)/2</f>
        <v>7.76051937681612</v>
      </c>
      <c r="G2290" s="18" t="n">
        <f aca="false">EXP(-'Black-Scholes'!$B$8*'Black-Scholes'!$B$7)*IF(LOWER('Black-Scholes'!$B$11)="put",MAX('Black-Scholes'!$B$6-D2290,0),MAX(D2290-'Black-Scholes'!$B$6,0))</f>
        <v>0</v>
      </c>
    </row>
    <row r="2291" customFormat="false" ht="15" hidden="false" customHeight="false" outlineLevel="0" collapsed="false">
      <c r="A2291" s="0" t="n">
        <v>2280</v>
      </c>
      <c r="B2291" s="15" t="n">
        <v>1.10725755539514</v>
      </c>
      <c r="C2291" s="18" t="n">
        <f aca="false">'Black-Scholes'!$B$5*EXP(('Black-Scholes'!$B$8-'Black-Scholes'!$B$10-'Black-Scholes'!$B$9^2/2)*'Black-Scholes'!$B$7+'Black-Scholes'!$B$9*SQRT('Black-Scholes'!$B$7)*B2291)</f>
        <v>128.589054710708</v>
      </c>
      <c r="D2291" s="18" t="n">
        <f aca="false">'Black-Scholes'!$B$5*EXP(('Black-Scholes'!$B$8-'Black-Scholes'!$B$10-'Black-Scholes'!$B$9^2/2)*'Black-Scholes'!$B$7-'Black-Scholes'!$B$9*SQRT('Black-Scholes'!$B$7)*B2291)</f>
        <v>82.5759664330852</v>
      </c>
      <c r="E2291" s="18" t="n">
        <f aca="false">EXP(-'Black-Scholes'!$B$8*'Black-Scholes'!$B$7)*IF(LOWER('Black-Scholes'!$B$11)="put",MAX('Black-Scholes'!$B$6-C2291,0),MAX(C2291-'Black-Scholes'!$B$6,0))</f>
        <v>27.1947500594864</v>
      </c>
      <c r="F2291" s="18" t="n">
        <f aca="false">(E2291+G2291)/2</f>
        <v>13.5973750297432</v>
      </c>
      <c r="G2291" s="18" t="n">
        <f aca="false">EXP(-'Black-Scholes'!$B$8*'Black-Scholes'!$B$7)*IF(LOWER('Black-Scholes'!$B$11)="put",MAX('Black-Scholes'!$B$6-D2291,0),MAX(D2291-'Black-Scholes'!$B$6,0))</f>
        <v>0</v>
      </c>
    </row>
    <row r="2292" customFormat="false" ht="15" hidden="false" customHeight="false" outlineLevel="0" collapsed="false">
      <c r="A2292" s="0" t="n">
        <v>2281</v>
      </c>
      <c r="B2292" s="15" t="n">
        <v>-0.714207404939738</v>
      </c>
      <c r="C2292" s="18" t="n">
        <f aca="false">'Black-Scholes'!$B$5*EXP(('Black-Scholes'!$B$8-'Black-Scholes'!$B$10-'Black-Scholes'!$B$9^2/2)*'Black-Scholes'!$B$7+'Black-Scholes'!$B$9*SQRT('Black-Scholes'!$B$7)*B2292)</f>
        <v>89.3292252698533</v>
      </c>
      <c r="D2292" s="18" t="n">
        <f aca="false">'Black-Scholes'!$B$5*EXP(('Black-Scholes'!$B$8-'Black-Scholes'!$B$10-'Black-Scholes'!$B$9^2/2)*'Black-Scholes'!$B$7-'Black-Scholes'!$B$9*SQRT('Black-Scholes'!$B$7)*B2292)</f>
        <v>118.867766213988</v>
      </c>
      <c r="E2292" s="18" t="n">
        <f aca="false">EXP(-'Black-Scholes'!$B$8*'Black-Scholes'!$B$7)*IF(LOWER('Black-Scholes'!$B$11)="put",MAX('Black-Scholes'!$B$6-C2292,0),MAX(C2292-'Black-Scholes'!$B$6,0))</f>
        <v>0</v>
      </c>
      <c r="F2292" s="18" t="n">
        <f aca="false">(E2292+G2292)/2</f>
        <v>8.97378719867295</v>
      </c>
      <c r="G2292" s="18" t="n">
        <f aca="false">EXP(-'Black-Scholes'!$B$8*'Black-Scholes'!$B$7)*IF(LOWER('Black-Scholes'!$B$11)="put",MAX('Black-Scholes'!$B$6-D2292,0),MAX(D2292-'Black-Scholes'!$B$6,0))</f>
        <v>17.9475743973459</v>
      </c>
    </row>
    <row r="2293" customFormat="false" ht="15" hidden="false" customHeight="false" outlineLevel="0" collapsed="false">
      <c r="A2293" s="0" t="n">
        <v>2282</v>
      </c>
      <c r="B2293" s="15" t="n">
        <v>-1.11556619223304</v>
      </c>
      <c r="C2293" s="18" t="n">
        <f aca="false">'Black-Scholes'!$B$5*EXP(('Black-Scholes'!$B$8-'Black-Scholes'!$B$10-'Black-Scholes'!$B$9^2/2)*'Black-Scholes'!$B$7+'Black-Scholes'!$B$9*SQRT('Black-Scholes'!$B$7)*B2293)</f>
        <v>82.4388616367044</v>
      </c>
      <c r="D2293" s="18" t="n">
        <f aca="false">'Black-Scholes'!$B$5*EXP(('Black-Scholes'!$B$8-'Black-Scholes'!$B$10-'Black-Scholes'!$B$9^2/2)*'Black-Scholes'!$B$7-'Black-Scholes'!$B$9*SQRT('Black-Scholes'!$B$7)*B2293)</f>
        <v>128.802912299385</v>
      </c>
      <c r="E2293" s="18" t="n">
        <f aca="false">EXP(-'Black-Scholes'!$B$8*'Black-Scholes'!$B$7)*IF(LOWER('Black-Scholes'!$B$11)="put",MAX('Black-Scholes'!$B$6-C2293,0),MAX(C2293-'Black-Scholes'!$B$6,0))</f>
        <v>0</v>
      </c>
      <c r="F2293" s="18" t="n">
        <f aca="false">(E2293+G2293)/2</f>
        <v>13.6990888452444</v>
      </c>
      <c r="G2293" s="18" t="n">
        <f aca="false">EXP(-'Black-Scholes'!$B$8*'Black-Scholes'!$B$7)*IF(LOWER('Black-Scholes'!$B$11)="put",MAX('Black-Scholes'!$B$6-D2293,0),MAX(D2293-'Black-Scholes'!$B$6,0))</f>
        <v>27.3981776904888</v>
      </c>
    </row>
    <row r="2294" customFormat="false" ht="15" hidden="false" customHeight="false" outlineLevel="0" collapsed="false">
      <c r="A2294" s="0" t="n">
        <v>2283</v>
      </c>
      <c r="B2294" s="15" t="n">
        <v>0.306683705679042</v>
      </c>
      <c r="C2294" s="18" t="n">
        <f aca="false">'Black-Scholes'!$B$5*EXP(('Black-Scholes'!$B$8-'Black-Scholes'!$B$10-'Black-Scholes'!$B$9^2/2)*'Black-Scholes'!$B$7+'Black-Scholes'!$B$9*SQRT('Black-Scholes'!$B$7)*B2294)</f>
        <v>109.563788949307</v>
      </c>
      <c r="D2294" s="18" t="n">
        <f aca="false">'Black-Scholes'!$B$5*EXP(('Black-Scholes'!$B$8-'Black-Scholes'!$B$10-'Black-Scholes'!$B$9^2/2)*'Black-Scholes'!$B$7-'Black-Scholes'!$B$9*SQRT('Black-Scholes'!$B$7)*B2294)</f>
        <v>96.9149165730884</v>
      </c>
      <c r="E2294" s="18" t="n">
        <f aca="false">EXP(-'Black-Scholes'!$B$8*'Black-Scholes'!$B$7)*IF(LOWER('Black-Scholes'!$B$11)="put",MAX('Black-Scholes'!$B$6-C2294,0),MAX(C2294-'Black-Scholes'!$B$6,0))</f>
        <v>9.09735745829597</v>
      </c>
      <c r="F2294" s="18" t="n">
        <f aca="false">(E2294+G2294)/2</f>
        <v>4.54867872914799</v>
      </c>
      <c r="G2294" s="18" t="n">
        <f aca="false">EXP(-'Black-Scholes'!$B$8*'Black-Scholes'!$B$7)*IF(LOWER('Black-Scholes'!$B$11)="put",MAX('Black-Scholes'!$B$6-D2294,0),MAX(D2294-'Black-Scholes'!$B$6,0))</f>
        <v>0</v>
      </c>
    </row>
    <row r="2295" customFormat="false" ht="15" hidden="false" customHeight="false" outlineLevel="0" collapsed="false">
      <c r="A2295" s="0" t="n">
        <v>2284</v>
      </c>
      <c r="B2295" s="15" t="n">
        <v>-0.651923824362105</v>
      </c>
      <c r="C2295" s="18" t="n">
        <f aca="false">'Black-Scholes'!$B$5*EXP(('Black-Scholes'!$B$8-'Black-Scholes'!$B$10-'Black-Scholes'!$B$9^2/2)*'Black-Scholes'!$B$7+'Black-Scholes'!$B$9*SQRT('Black-Scholes'!$B$7)*B2295)</f>
        <v>90.4489335351536</v>
      </c>
      <c r="D2295" s="18" t="n">
        <f aca="false">'Black-Scholes'!$B$5*EXP(('Black-Scholes'!$B$8-'Black-Scholes'!$B$10-'Black-Scholes'!$B$9^2/2)*'Black-Scholes'!$B$7-'Black-Scholes'!$B$9*SQRT('Black-Scholes'!$B$7)*B2295)</f>
        <v>117.396248362914</v>
      </c>
      <c r="E2295" s="18" t="n">
        <f aca="false">EXP(-'Black-Scholes'!$B$8*'Black-Scholes'!$B$7)*IF(LOWER('Black-Scholes'!$B$11)="put",MAX('Black-Scholes'!$B$6-C2295,0),MAX(C2295-'Black-Scholes'!$B$6,0))</f>
        <v>0</v>
      </c>
      <c r="F2295" s="18" t="n">
        <f aca="false">(E2295+G2295)/2</f>
        <v>8.27391165936308</v>
      </c>
      <c r="G2295" s="18" t="n">
        <f aca="false">EXP(-'Black-Scholes'!$B$8*'Black-Scholes'!$B$7)*IF(LOWER('Black-Scholes'!$B$11)="put",MAX('Black-Scholes'!$B$6-D2295,0),MAX(D2295-'Black-Scholes'!$B$6,0))</f>
        <v>16.5478233187262</v>
      </c>
    </row>
    <row r="2296" customFormat="false" ht="15" hidden="false" customHeight="false" outlineLevel="0" collapsed="false">
      <c r="A2296" s="0" t="n">
        <v>2285</v>
      </c>
      <c r="B2296" s="15" t="n">
        <v>-0.911477901376973</v>
      </c>
      <c r="C2296" s="18" t="n">
        <f aca="false">'Black-Scholes'!$B$5*EXP(('Black-Scholes'!$B$8-'Black-Scholes'!$B$10-'Black-Scholes'!$B$9^2/2)*'Black-Scholes'!$B$7+'Black-Scholes'!$B$9*SQRT('Black-Scholes'!$B$7)*B2296)</f>
        <v>85.873441826876</v>
      </c>
      <c r="D2296" s="18" t="n">
        <f aca="false">'Black-Scholes'!$B$5*EXP(('Black-Scholes'!$B$8-'Black-Scholes'!$B$10-'Black-Scholes'!$B$9^2/2)*'Black-Scholes'!$B$7-'Black-Scholes'!$B$9*SQRT('Black-Scholes'!$B$7)*B2296)</f>
        <v>123.651332001582</v>
      </c>
      <c r="E2296" s="18" t="n">
        <f aca="false">EXP(-'Black-Scholes'!$B$8*'Black-Scholes'!$B$7)*IF(LOWER('Black-Scholes'!$B$11)="put",MAX('Black-Scholes'!$B$6-C2296,0),MAX(C2296-'Black-Scholes'!$B$6,0))</f>
        <v>0</v>
      </c>
      <c r="F2296" s="18" t="n">
        <f aca="false">(E2296+G2296)/2</f>
        <v>11.2489214642702</v>
      </c>
      <c r="G2296" s="18" t="n">
        <f aca="false">EXP(-'Black-Scholes'!$B$8*'Black-Scholes'!$B$7)*IF(LOWER('Black-Scholes'!$B$11)="put",MAX('Black-Scholes'!$B$6-D2296,0),MAX(D2296-'Black-Scholes'!$B$6,0))</f>
        <v>22.4978429285404</v>
      </c>
    </row>
    <row r="2297" customFormat="false" ht="15" hidden="false" customHeight="false" outlineLevel="0" collapsed="false">
      <c r="A2297" s="0" t="n">
        <v>2286</v>
      </c>
      <c r="B2297" s="15" t="n">
        <v>-1.12859906966066</v>
      </c>
      <c r="C2297" s="18" t="n">
        <f aca="false">'Black-Scholes'!$B$5*EXP(('Black-Scholes'!$B$8-'Black-Scholes'!$B$10-'Black-Scholes'!$B$9^2/2)*'Black-Scholes'!$B$7+'Black-Scholes'!$B$9*SQRT('Black-Scholes'!$B$7)*B2297)</f>
        <v>82.2242583322695</v>
      </c>
      <c r="D2297" s="18" t="n">
        <f aca="false">'Black-Scholes'!$B$5*EXP(('Black-Scholes'!$B$8-'Black-Scholes'!$B$10-'Black-Scholes'!$B$9^2/2)*'Black-Scholes'!$B$7-'Black-Scholes'!$B$9*SQRT('Black-Scholes'!$B$7)*B2297)</f>
        <v>129.13908475215</v>
      </c>
      <c r="E2297" s="18" t="n">
        <f aca="false">EXP(-'Black-Scholes'!$B$8*'Black-Scholes'!$B$7)*IF(LOWER('Black-Scholes'!$B$11)="put",MAX('Black-Scholes'!$B$6-C2297,0),MAX(C2297-'Black-Scholes'!$B$6,0))</f>
        <v>0</v>
      </c>
      <c r="F2297" s="18" t="n">
        <f aca="false">(E2297+G2297)/2</f>
        <v>13.8589774096325</v>
      </c>
      <c r="G2297" s="18" t="n">
        <f aca="false">EXP(-'Black-Scholes'!$B$8*'Black-Scholes'!$B$7)*IF(LOWER('Black-Scholes'!$B$11)="put",MAX('Black-Scholes'!$B$6-D2297,0),MAX(D2297-'Black-Scholes'!$B$6,0))</f>
        <v>27.7179548192649</v>
      </c>
    </row>
    <row r="2298" customFormat="false" ht="15" hidden="false" customHeight="false" outlineLevel="0" collapsed="false">
      <c r="A2298" s="0" t="n">
        <v>2287</v>
      </c>
      <c r="B2298" s="15" t="n">
        <v>0.620478841839458</v>
      </c>
      <c r="C2298" s="18" t="n">
        <f aca="false">'Black-Scholes'!$B$5*EXP(('Black-Scholes'!$B$8-'Black-Scholes'!$B$10-'Black-Scholes'!$B$9^2/2)*'Black-Scholes'!$B$7+'Black-Scholes'!$B$9*SQRT('Black-Scholes'!$B$7)*B2298)</f>
        <v>116.660260505628</v>
      </c>
      <c r="D2298" s="18" t="n">
        <f aca="false">'Black-Scholes'!$B$5*EXP(('Black-Scholes'!$B$8-'Black-Scholes'!$B$10-'Black-Scholes'!$B$9^2/2)*'Black-Scholes'!$B$7-'Black-Scholes'!$B$9*SQRT('Black-Scholes'!$B$7)*B2298)</f>
        <v>91.019559012054</v>
      </c>
      <c r="E2298" s="18" t="n">
        <f aca="false">EXP(-'Black-Scholes'!$B$8*'Black-Scholes'!$B$7)*IF(LOWER('Black-Scholes'!$B$11)="put",MAX('Black-Scholes'!$B$6-C2298,0),MAX(C2298-'Black-Scholes'!$B$6,0))</f>
        <v>15.8477300128005</v>
      </c>
      <c r="F2298" s="18" t="n">
        <f aca="false">(E2298+G2298)/2</f>
        <v>7.92386500640023</v>
      </c>
      <c r="G2298" s="18" t="n">
        <f aca="false">EXP(-'Black-Scholes'!$B$8*'Black-Scholes'!$B$7)*IF(LOWER('Black-Scholes'!$B$11)="put",MAX('Black-Scholes'!$B$6-D2298,0),MAX(D2298-'Black-Scholes'!$B$6,0))</f>
        <v>0</v>
      </c>
    </row>
    <row r="2299" customFormat="false" ht="15" hidden="false" customHeight="false" outlineLevel="0" collapsed="false">
      <c r="A2299" s="0" t="n">
        <v>2288</v>
      </c>
      <c r="B2299" s="15" t="n">
        <v>-0.36031397895513</v>
      </c>
      <c r="C2299" s="18" t="n">
        <f aca="false">'Black-Scholes'!$B$5*EXP(('Black-Scholes'!$B$8-'Black-Scholes'!$B$10-'Black-Scholes'!$B$9^2/2)*'Black-Scholes'!$B$7+'Black-Scholes'!$B$9*SQRT('Black-Scholes'!$B$7)*B2299)</f>
        <v>95.8809569476644</v>
      </c>
      <c r="D2299" s="18" t="n">
        <f aca="false">'Black-Scholes'!$B$5*EXP(('Black-Scholes'!$B$8-'Black-Scholes'!$B$10-'Black-Scholes'!$B$9^2/2)*'Black-Scholes'!$B$7-'Black-Scholes'!$B$9*SQRT('Black-Scholes'!$B$7)*B2299)</f>
        <v>110.745301293243</v>
      </c>
      <c r="E2299" s="18" t="n">
        <f aca="false">EXP(-'Black-Scholes'!$B$8*'Black-Scholes'!$B$7)*IF(LOWER('Black-Scholes'!$B$11)="put",MAX('Black-Scholes'!$B$6-C2299,0),MAX(C2299-'Black-Scholes'!$B$6,0))</f>
        <v>0</v>
      </c>
      <c r="F2299" s="18" t="n">
        <f aca="false">(E2299+G2299)/2</f>
        <v>5.11062338262936</v>
      </c>
      <c r="G2299" s="18" t="n">
        <f aca="false">EXP(-'Black-Scholes'!$B$8*'Black-Scholes'!$B$7)*IF(LOWER('Black-Scholes'!$B$11)="put",MAX('Black-Scholes'!$B$6-D2299,0),MAX(D2299-'Black-Scholes'!$B$6,0))</f>
        <v>10.2212467652587</v>
      </c>
    </row>
    <row r="2300" customFormat="false" ht="15" hidden="false" customHeight="false" outlineLevel="0" collapsed="false">
      <c r="A2300" s="0" t="n">
        <v>2289</v>
      </c>
      <c r="B2300" s="15" t="n">
        <v>0.553466810390843</v>
      </c>
      <c r="C2300" s="18" t="n">
        <f aca="false">'Black-Scholes'!$B$5*EXP(('Black-Scholes'!$B$8-'Black-Scholes'!$B$10-'Black-Scholes'!$B$9^2/2)*'Black-Scholes'!$B$7+'Black-Scholes'!$B$9*SQRT('Black-Scholes'!$B$7)*B2300)</f>
        <v>115.10716316504</v>
      </c>
      <c r="D2300" s="18" t="n">
        <f aca="false">'Black-Scholes'!$B$5*EXP(('Black-Scholes'!$B$8-'Black-Scholes'!$B$10-'Black-Scholes'!$B$9^2/2)*'Black-Scholes'!$B$7-'Black-Scholes'!$B$9*SQRT('Black-Scholes'!$B$7)*B2300)</f>
        <v>92.2476514361578</v>
      </c>
      <c r="E2300" s="18" t="n">
        <f aca="false">EXP(-'Black-Scholes'!$B$8*'Black-Scholes'!$B$7)*IF(LOWER('Black-Scholes'!$B$11)="put",MAX('Black-Scholes'!$B$6-C2300,0),MAX(C2300-'Black-Scholes'!$B$6,0))</f>
        <v>14.3703781233198</v>
      </c>
      <c r="F2300" s="18" t="n">
        <f aca="false">(E2300+G2300)/2</f>
        <v>7.1851890616599</v>
      </c>
      <c r="G2300" s="18" t="n">
        <f aca="false">EXP(-'Black-Scholes'!$B$8*'Black-Scholes'!$B$7)*IF(LOWER('Black-Scholes'!$B$11)="put",MAX('Black-Scholes'!$B$6-D2300,0),MAX(D2300-'Black-Scholes'!$B$6,0))</f>
        <v>0</v>
      </c>
    </row>
    <row r="2301" customFormat="false" ht="15" hidden="false" customHeight="false" outlineLevel="0" collapsed="false">
      <c r="A2301" s="0" t="n">
        <v>2290</v>
      </c>
      <c r="B2301" s="15" t="n">
        <v>-0.740149976584573</v>
      </c>
      <c r="C2301" s="18" t="n">
        <f aca="false">'Black-Scholes'!$B$5*EXP(('Black-Scholes'!$B$8-'Black-Scholes'!$B$10-'Black-Scholes'!$B$9^2/2)*'Black-Scholes'!$B$7+'Black-Scholes'!$B$9*SQRT('Black-Scholes'!$B$7)*B2301)</f>
        <v>88.8669396294663</v>
      </c>
      <c r="D2301" s="18" t="n">
        <f aca="false">'Black-Scholes'!$B$5*EXP(('Black-Scholes'!$B$8-'Black-Scholes'!$B$10-'Black-Scholes'!$B$9^2/2)*'Black-Scholes'!$B$7-'Black-Scholes'!$B$9*SQRT('Black-Scholes'!$B$7)*B2301)</f>
        <v>119.486116093648</v>
      </c>
      <c r="E2301" s="18" t="n">
        <f aca="false">EXP(-'Black-Scholes'!$B$8*'Black-Scholes'!$B$7)*IF(LOWER('Black-Scholes'!$B$11)="put",MAX('Black-Scholes'!$B$6-C2301,0),MAX(C2301-'Black-Scholes'!$B$6,0))</f>
        <v>0</v>
      </c>
      <c r="F2301" s="18" t="n">
        <f aca="false">(E2301+G2301)/2</f>
        <v>9.26788349875733</v>
      </c>
      <c r="G2301" s="18" t="n">
        <f aca="false">EXP(-'Black-Scholes'!$B$8*'Black-Scholes'!$B$7)*IF(LOWER('Black-Scholes'!$B$11)="put",MAX('Black-Scholes'!$B$6-D2301,0),MAX(D2301-'Black-Scholes'!$B$6,0))</f>
        <v>18.5357669975147</v>
      </c>
    </row>
    <row r="2302" customFormat="false" ht="15" hidden="false" customHeight="false" outlineLevel="0" collapsed="false">
      <c r="A2302" s="0" t="n">
        <v>2291</v>
      </c>
      <c r="B2302" s="15" t="n">
        <v>1.05167475232306</v>
      </c>
      <c r="C2302" s="18" t="n">
        <f aca="false">'Black-Scholes'!$B$5*EXP(('Black-Scholes'!$B$8-'Black-Scholes'!$B$10-'Black-Scholes'!$B$9^2/2)*'Black-Scholes'!$B$7+'Black-Scholes'!$B$9*SQRT('Black-Scholes'!$B$7)*B2302)</f>
        <v>127.167502713478</v>
      </c>
      <c r="D2302" s="18" t="n">
        <f aca="false">'Black-Scholes'!$B$5*EXP(('Black-Scholes'!$B$8-'Black-Scholes'!$B$10-'Black-Scholes'!$B$9^2/2)*'Black-Scholes'!$B$7-'Black-Scholes'!$B$9*SQRT('Black-Scholes'!$B$7)*B2302)</f>
        <v>83.4990484115893</v>
      </c>
      <c r="E2302" s="18" t="n">
        <f aca="false">EXP(-'Black-Scholes'!$B$8*'Black-Scholes'!$B$7)*IF(LOWER('Black-Scholes'!$B$11)="put",MAX('Black-Scholes'!$B$6-C2302,0),MAX(C2302-'Black-Scholes'!$B$6,0))</f>
        <v>25.8425279712631</v>
      </c>
      <c r="F2302" s="18" t="n">
        <f aca="false">(E2302+G2302)/2</f>
        <v>12.9212639856316</v>
      </c>
      <c r="G2302" s="18" t="n">
        <f aca="false">EXP(-'Black-Scholes'!$B$8*'Black-Scholes'!$B$7)*IF(LOWER('Black-Scholes'!$B$11)="put",MAX('Black-Scholes'!$B$6-D2302,0),MAX(D2302-'Black-Scholes'!$B$6,0))</f>
        <v>0</v>
      </c>
    </row>
    <row r="2303" customFormat="false" ht="15" hidden="false" customHeight="false" outlineLevel="0" collapsed="false">
      <c r="A2303" s="0" t="n">
        <v>2292</v>
      </c>
      <c r="B2303" s="15" t="n">
        <v>0.435247907325406</v>
      </c>
      <c r="C2303" s="18" t="n">
        <f aca="false">'Black-Scholes'!$B$5*EXP(('Black-Scholes'!$B$8-'Black-Scholes'!$B$10-'Black-Scholes'!$B$9^2/2)*'Black-Scholes'!$B$7+'Black-Scholes'!$B$9*SQRT('Black-Scholes'!$B$7)*B2303)</f>
        <v>112.417516656053</v>
      </c>
      <c r="D2303" s="18" t="n">
        <f aca="false">'Black-Scholes'!$B$5*EXP(('Black-Scholes'!$B$8-'Black-Scholes'!$B$10-'Black-Scholes'!$B$9^2/2)*'Black-Scholes'!$B$7-'Black-Scholes'!$B$9*SQRT('Black-Scholes'!$B$7)*B2303)</f>
        <v>94.4547236169696</v>
      </c>
      <c r="E2303" s="18" t="n">
        <f aca="false">EXP(-'Black-Scholes'!$B$8*'Black-Scholes'!$B$7)*IF(LOWER('Black-Scholes'!$B$11)="put",MAX('Black-Scholes'!$B$6-C2303,0),MAX(C2303-'Black-Scholes'!$B$6,0))</f>
        <v>11.8119072224657</v>
      </c>
      <c r="F2303" s="18" t="n">
        <f aca="false">(E2303+G2303)/2</f>
        <v>5.90595361123283</v>
      </c>
      <c r="G2303" s="18" t="n">
        <f aca="false">EXP(-'Black-Scholes'!$B$8*'Black-Scholes'!$B$7)*IF(LOWER('Black-Scholes'!$B$11)="put",MAX('Black-Scholes'!$B$6-D2303,0),MAX(D2303-'Black-Scholes'!$B$6,0))</f>
        <v>0</v>
      </c>
    </row>
    <row r="2304" customFormat="false" ht="15" hidden="false" customHeight="false" outlineLevel="0" collapsed="false">
      <c r="A2304" s="0" t="n">
        <v>2293</v>
      </c>
      <c r="B2304" s="15" t="n">
        <v>-0.849215812031084</v>
      </c>
      <c r="C2304" s="18" t="n">
        <f aca="false">'Black-Scholes'!$B$5*EXP(('Black-Scholes'!$B$8-'Black-Scholes'!$B$10-'Black-Scholes'!$B$9^2/2)*'Black-Scholes'!$B$7+'Black-Scholes'!$B$9*SQRT('Black-Scholes'!$B$7)*B2304)</f>
        <v>86.9494594145391</v>
      </c>
      <c r="D2304" s="18" t="n">
        <f aca="false">'Black-Scholes'!$B$5*EXP(('Black-Scholes'!$B$8-'Black-Scholes'!$B$10-'Black-Scholes'!$B$9^2/2)*'Black-Scholes'!$B$7-'Black-Scholes'!$B$9*SQRT('Black-Scholes'!$B$7)*B2304)</f>
        <v>122.121121131181</v>
      </c>
      <c r="E2304" s="18" t="n">
        <f aca="false">EXP(-'Black-Scholes'!$B$8*'Black-Scholes'!$B$7)*IF(LOWER('Black-Scholes'!$B$11)="put",MAX('Black-Scholes'!$B$6-C2304,0),MAX(C2304-'Black-Scholes'!$B$6,0))</f>
        <v>0</v>
      </c>
      <c r="F2304" s="18" t="n">
        <f aca="false">(E2304+G2304)/2</f>
        <v>10.5211306614617</v>
      </c>
      <c r="G2304" s="18" t="n">
        <f aca="false">EXP(-'Black-Scholes'!$B$8*'Black-Scholes'!$B$7)*IF(LOWER('Black-Scholes'!$B$11)="put",MAX('Black-Scholes'!$B$6-D2304,0),MAX(D2304-'Black-Scholes'!$B$6,0))</f>
        <v>21.0422613229235</v>
      </c>
    </row>
    <row r="2305" customFormat="false" ht="15" hidden="false" customHeight="false" outlineLevel="0" collapsed="false">
      <c r="A2305" s="0" t="n">
        <v>2294</v>
      </c>
      <c r="B2305" s="15" t="n">
        <v>-1.0826198482842</v>
      </c>
      <c r="C2305" s="18" t="n">
        <f aca="false">'Black-Scholes'!$B$5*EXP(('Black-Scholes'!$B$8-'Black-Scholes'!$B$10-'Black-Scholes'!$B$9^2/2)*'Black-Scholes'!$B$7+'Black-Scholes'!$B$9*SQRT('Black-Scholes'!$B$7)*B2305)</f>
        <v>82.9838670764783</v>
      </c>
      <c r="D2305" s="18" t="n">
        <f aca="false">'Black-Scholes'!$B$5*EXP(('Black-Scholes'!$B$8-'Black-Scholes'!$B$10-'Black-Scholes'!$B$9^2/2)*'Black-Scholes'!$B$7-'Black-Scholes'!$B$9*SQRT('Black-Scholes'!$B$7)*B2305)</f>
        <v>127.956985370032</v>
      </c>
      <c r="E2305" s="18" t="n">
        <f aca="false">EXP(-'Black-Scholes'!$B$8*'Black-Scholes'!$B$7)*IF(LOWER('Black-Scholes'!$B$11)="put",MAX('Black-Scholes'!$B$6-C2305,0),MAX(C2305-'Black-Scholes'!$B$6,0))</f>
        <v>0</v>
      </c>
      <c r="F2305" s="18" t="n">
        <f aca="false">(E2305+G2305)/2</f>
        <v>13.2967535521551</v>
      </c>
      <c r="G2305" s="18" t="n">
        <f aca="false">EXP(-'Black-Scholes'!$B$8*'Black-Scholes'!$B$7)*IF(LOWER('Black-Scholes'!$B$11)="put",MAX('Black-Scholes'!$B$6-D2305,0),MAX(D2305-'Black-Scholes'!$B$6,0))</f>
        <v>26.5935071043102</v>
      </c>
    </row>
    <row r="2306" customFormat="false" ht="15" hidden="false" customHeight="false" outlineLevel="0" collapsed="false">
      <c r="A2306" s="0" t="n">
        <v>2295</v>
      </c>
      <c r="B2306" s="15" t="n">
        <v>-0.838055315815021</v>
      </c>
      <c r="C2306" s="18" t="n">
        <f aca="false">'Black-Scholes'!$B$5*EXP(('Black-Scholes'!$B$8-'Black-Scholes'!$B$10-'Black-Scholes'!$B$9^2/2)*'Black-Scholes'!$B$7+'Black-Scholes'!$B$9*SQRT('Black-Scholes'!$B$7)*B2306)</f>
        <v>87.1437560010581</v>
      </c>
      <c r="D2306" s="18" t="n">
        <f aca="false">'Black-Scholes'!$B$5*EXP(('Black-Scholes'!$B$8-'Black-Scholes'!$B$10-'Black-Scholes'!$B$9^2/2)*'Black-Scholes'!$B$7-'Black-Scholes'!$B$9*SQRT('Black-Scholes'!$B$7)*B2306)</f>
        <v>121.848838662918</v>
      </c>
      <c r="E2306" s="18" t="n">
        <f aca="false">EXP(-'Black-Scholes'!$B$8*'Black-Scholes'!$B$7)*IF(LOWER('Black-Scholes'!$B$11)="put",MAX('Black-Scholes'!$B$6-C2306,0),MAX(C2306-'Black-Scholes'!$B$6,0))</f>
        <v>0</v>
      </c>
      <c r="F2306" s="18" t="n">
        <f aca="false">(E2306+G2306)/2</f>
        <v>10.3916291136681</v>
      </c>
      <c r="G2306" s="18" t="n">
        <f aca="false">EXP(-'Black-Scholes'!$B$8*'Black-Scholes'!$B$7)*IF(LOWER('Black-Scholes'!$B$11)="put",MAX('Black-Scholes'!$B$6-D2306,0),MAX(D2306-'Black-Scholes'!$B$6,0))</f>
        <v>20.7832582273362</v>
      </c>
    </row>
    <row r="2307" customFormat="false" ht="15" hidden="false" customHeight="false" outlineLevel="0" collapsed="false">
      <c r="A2307" s="0" t="n">
        <v>2296</v>
      </c>
      <c r="B2307" s="15" t="n">
        <v>1.21990677256424</v>
      </c>
      <c r="C2307" s="18" t="n">
        <f aca="false">'Black-Scholes'!$B$5*EXP(('Black-Scholes'!$B$8-'Black-Scholes'!$B$10-'Black-Scholes'!$B$9^2/2)*'Black-Scholes'!$B$7+'Black-Scholes'!$B$9*SQRT('Black-Scholes'!$B$7)*B2307)</f>
        <v>131.519027964665</v>
      </c>
      <c r="D2307" s="18" t="n">
        <f aca="false">'Black-Scholes'!$B$5*EXP(('Black-Scholes'!$B$8-'Black-Scholes'!$B$10-'Black-Scholes'!$B$9^2/2)*'Black-Scholes'!$B$7-'Black-Scholes'!$B$9*SQRT('Black-Scholes'!$B$7)*B2307)</f>
        <v>80.7363438566961</v>
      </c>
      <c r="E2307" s="18" t="n">
        <f aca="false">EXP(-'Black-Scholes'!$B$8*'Black-Scholes'!$B$7)*IF(LOWER('Black-Scholes'!$B$11)="put",MAX('Black-Scholes'!$B$6-C2307,0),MAX(C2307-'Black-Scholes'!$B$6,0))</f>
        <v>29.9818268316499</v>
      </c>
      <c r="F2307" s="18" t="n">
        <f aca="false">(E2307+G2307)/2</f>
        <v>14.9909134158249</v>
      </c>
      <c r="G2307" s="18" t="n">
        <f aca="false">EXP(-'Black-Scholes'!$B$8*'Black-Scholes'!$B$7)*IF(LOWER('Black-Scholes'!$B$11)="put",MAX('Black-Scholes'!$B$6-D2307,0),MAX(D2307-'Black-Scholes'!$B$6,0))</f>
        <v>0</v>
      </c>
    </row>
    <row r="2308" customFormat="false" ht="15" hidden="false" customHeight="false" outlineLevel="0" collapsed="false">
      <c r="A2308" s="0" t="n">
        <v>2297</v>
      </c>
      <c r="B2308" s="15" t="n">
        <v>1.44997095251304</v>
      </c>
      <c r="C2308" s="18" t="n">
        <f aca="false">'Black-Scholes'!$B$5*EXP(('Black-Scholes'!$B$8-'Black-Scholes'!$B$10-'Black-Scholes'!$B$9^2/2)*'Black-Scholes'!$B$7+'Black-Scholes'!$B$9*SQRT('Black-Scholes'!$B$7)*B2308)</f>
        <v>137.711976393904</v>
      </c>
      <c r="D2308" s="18" t="n">
        <f aca="false">'Black-Scholes'!$B$5*EXP(('Black-Scholes'!$B$8-'Black-Scholes'!$B$10-'Black-Scholes'!$B$9^2/2)*'Black-Scholes'!$B$7-'Black-Scholes'!$B$9*SQRT('Black-Scholes'!$B$7)*B2308)</f>
        <v>77.1056065238755</v>
      </c>
      <c r="E2308" s="18" t="n">
        <f aca="false">EXP(-'Black-Scholes'!$B$8*'Black-Scholes'!$B$7)*IF(LOWER('Black-Scholes'!$B$11)="put",MAX('Black-Scholes'!$B$6-C2308,0),MAX(C2308-'Black-Scholes'!$B$6,0))</f>
        <v>35.8727416019578</v>
      </c>
      <c r="F2308" s="18" t="n">
        <f aca="false">(E2308+G2308)/2</f>
        <v>17.9363708009789</v>
      </c>
      <c r="G2308" s="18" t="n">
        <f aca="false">EXP(-'Black-Scholes'!$B$8*'Black-Scholes'!$B$7)*IF(LOWER('Black-Scholes'!$B$11)="put",MAX('Black-Scholes'!$B$6-D2308,0),MAX(D2308-'Black-Scholes'!$B$6,0))</f>
        <v>0</v>
      </c>
    </row>
    <row r="2309" customFormat="false" ht="15" hidden="false" customHeight="false" outlineLevel="0" collapsed="false">
      <c r="A2309" s="0" t="n">
        <v>2298</v>
      </c>
      <c r="B2309" s="15" t="n">
        <v>0.115364082088312</v>
      </c>
      <c r="C2309" s="18" t="n">
        <f aca="false">'Black-Scholes'!$B$5*EXP(('Black-Scholes'!$B$8-'Black-Scholes'!$B$10-'Black-Scholes'!$B$9^2/2)*'Black-Scholes'!$B$7+'Black-Scholes'!$B$9*SQRT('Black-Scholes'!$B$7)*B2309)</f>
        <v>105.450642770427</v>
      </c>
      <c r="D2309" s="18" t="n">
        <f aca="false">'Black-Scholes'!$B$5*EXP(('Black-Scholes'!$B$8-'Black-Scholes'!$B$10-'Black-Scholes'!$B$9^2/2)*'Black-Scholes'!$B$7-'Black-Scholes'!$B$9*SQRT('Black-Scholes'!$B$7)*B2309)</f>
        <v>100.695123201576</v>
      </c>
      <c r="E2309" s="18" t="n">
        <f aca="false">EXP(-'Black-Scholes'!$B$8*'Black-Scholes'!$B$7)*IF(LOWER('Black-Scholes'!$B$11)="put",MAX('Black-Scholes'!$B$6-C2309,0),MAX(C2309-'Black-Scholes'!$B$6,0))</f>
        <v>5.18481178567252</v>
      </c>
      <c r="F2309" s="18" t="n">
        <f aca="false">(E2309+G2309)/2</f>
        <v>2.92301671433256</v>
      </c>
      <c r="G2309" s="18" t="n">
        <f aca="false">EXP(-'Black-Scholes'!$B$8*'Black-Scholes'!$B$7)*IF(LOWER('Black-Scholes'!$B$11)="put",MAX('Black-Scholes'!$B$6-D2309,0),MAX(D2309-'Black-Scholes'!$B$6,0))</f>
        <v>0.661221642992607</v>
      </c>
    </row>
    <row r="2310" customFormat="false" ht="15" hidden="false" customHeight="false" outlineLevel="0" collapsed="false">
      <c r="A2310" s="0" t="n">
        <v>2299</v>
      </c>
      <c r="B2310" s="15" t="n">
        <v>-1.07139171854281</v>
      </c>
      <c r="C2310" s="18" t="n">
        <f aca="false">'Black-Scholes'!$B$5*EXP(('Black-Scholes'!$B$8-'Black-Scholes'!$B$10-'Black-Scholes'!$B$9^2/2)*'Black-Scholes'!$B$7+'Black-Scholes'!$B$9*SQRT('Black-Scholes'!$B$7)*B2310)</f>
        <v>83.1704271953964</v>
      </c>
      <c r="D2310" s="18" t="n">
        <f aca="false">'Black-Scholes'!$B$5*EXP(('Black-Scholes'!$B$8-'Black-Scholes'!$B$10-'Black-Scholes'!$B$9^2/2)*'Black-Scholes'!$B$7-'Black-Scholes'!$B$9*SQRT('Black-Scholes'!$B$7)*B2310)</f>
        <v>127.669964235092</v>
      </c>
      <c r="E2310" s="18" t="n">
        <f aca="false">EXP(-'Black-Scholes'!$B$8*'Black-Scholes'!$B$7)*IF(LOWER('Black-Scholes'!$B$11)="put",MAX('Black-Scholes'!$B$6-C2310,0),MAX(C2310-'Black-Scholes'!$B$6,0))</f>
        <v>0</v>
      </c>
      <c r="F2310" s="18" t="n">
        <f aca="false">(E2310+G2310)/2</f>
        <v>13.160242077651</v>
      </c>
      <c r="G2310" s="18" t="n">
        <f aca="false">EXP(-'Black-Scholes'!$B$8*'Black-Scholes'!$B$7)*IF(LOWER('Black-Scholes'!$B$11)="put",MAX('Black-Scholes'!$B$6-D2310,0),MAX(D2310-'Black-Scholes'!$B$6,0))</f>
        <v>26.320484155302</v>
      </c>
    </row>
    <row r="2311" customFormat="false" ht="15" hidden="false" customHeight="false" outlineLevel="0" collapsed="false">
      <c r="A2311" s="0" t="n">
        <v>2300</v>
      </c>
      <c r="B2311" s="15" t="n">
        <v>-1.5452967670642</v>
      </c>
      <c r="C2311" s="18" t="n">
        <f aca="false">'Black-Scholes'!$B$5*EXP(('Black-Scholes'!$B$8-'Black-Scholes'!$B$10-'Black-Scholes'!$B$9^2/2)*'Black-Scholes'!$B$7+'Black-Scholes'!$B$9*SQRT('Black-Scholes'!$B$7)*B2311)</f>
        <v>75.6495001322395</v>
      </c>
      <c r="D2311" s="18" t="n">
        <f aca="false">'Black-Scholes'!$B$5*EXP(('Black-Scholes'!$B$8-'Black-Scholes'!$B$10-'Black-Scholes'!$B$9^2/2)*'Black-Scholes'!$B$7-'Black-Scholes'!$B$9*SQRT('Black-Scholes'!$B$7)*B2311)</f>
        <v>140.36266527726</v>
      </c>
      <c r="E2311" s="18" t="n">
        <f aca="false">EXP(-'Black-Scholes'!$B$8*'Black-Scholes'!$B$7)*IF(LOWER('Black-Scholes'!$B$11)="put",MAX('Black-Scholes'!$B$6-C2311,0),MAX(C2311-'Black-Scholes'!$B$6,0))</f>
        <v>0</v>
      </c>
      <c r="F2311" s="18" t="n">
        <f aca="false">(E2311+G2311)/2</f>
        <v>19.1970774315016</v>
      </c>
      <c r="G2311" s="18" t="n">
        <f aca="false">EXP(-'Black-Scholes'!$B$8*'Black-Scholes'!$B$7)*IF(LOWER('Black-Scholes'!$B$11)="put",MAX('Black-Scholes'!$B$6-D2311,0),MAX(D2311-'Black-Scholes'!$B$6,0))</f>
        <v>38.3941548630032</v>
      </c>
    </row>
    <row r="2312" customFormat="false" ht="15" hidden="false" customHeight="false" outlineLevel="0" collapsed="false">
      <c r="A2312" s="0" t="n">
        <v>2301</v>
      </c>
      <c r="B2312" s="15" t="n">
        <v>-0.0384806308363577</v>
      </c>
      <c r="C2312" s="18" t="n">
        <f aca="false">'Black-Scholes'!$B$5*EXP(('Black-Scholes'!$B$8-'Black-Scholes'!$B$10-'Black-Scholes'!$B$9^2/2)*'Black-Scholes'!$B$7+'Black-Scholes'!$B$9*SQRT('Black-Scholes'!$B$7)*B2312)</f>
        <v>102.255446480863</v>
      </c>
      <c r="D2312" s="18" t="n">
        <f aca="false">'Black-Scholes'!$B$5*EXP(('Black-Scholes'!$B$8-'Black-Scholes'!$B$10-'Black-Scholes'!$B$9^2/2)*'Black-Scholes'!$B$7-'Black-Scholes'!$B$9*SQRT('Black-Scholes'!$B$7)*B2312)</f>
        <v>103.841563759059</v>
      </c>
      <c r="E2312" s="18" t="n">
        <f aca="false">EXP(-'Black-Scholes'!$B$8*'Black-Scholes'!$B$7)*IF(LOWER('Black-Scholes'!$B$11)="put",MAX('Black-Scholes'!$B$6-C2312,0),MAX(C2312-'Black-Scholes'!$B$6,0))</f>
        <v>2.14544705798347</v>
      </c>
      <c r="F2312" s="18" t="n">
        <f aca="false">(E2312+G2312)/2</f>
        <v>2.89982777084806</v>
      </c>
      <c r="G2312" s="18" t="n">
        <f aca="false">EXP(-'Black-Scholes'!$B$8*'Black-Scholes'!$B$7)*IF(LOWER('Black-Scholes'!$B$11)="put",MAX('Black-Scholes'!$B$6-D2312,0),MAX(D2312-'Black-Scholes'!$B$6,0))</f>
        <v>3.65420848371264</v>
      </c>
    </row>
    <row r="2313" customFormat="false" ht="15" hidden="false" customHeight="false" outlineLevel="0" collapsed="false">
      <c r="A2313" s="0" t="n">
        <v>2302</v>
      </c>
      <c r="B2313" s="15" t="n">
        <v>0.580326898005164</v>
      </c>
      <c r="C2313" s="18" t="n">
        <f aca="false">'Black-Scholes'!$B$5*EXP(('Black-Scholes'!$B$8-'Black-Scholes'!$B$10-'Black-Scholes'!$B$9^2/2)*'Black-Scholes'!$B$7+'Black-Scholes'!$B$9*SQRT('Black-Scholes'!$B$7)*B2313)</f>
        <v>115.727184754915</v>
      </c>
      <c r="D2313" s="18" t="n">
        <f aca="false">'Black-Scholes'!$B$5*EXP(('Black-Scholes'!$B$8-'Black-Scholes'!$B$10-'Black-Scholes'!$B$9^2/2)*'Black-Scholes'!$B$7-'Black-Scholes'!$B$9*SQRT('Black-Scholes'!$B$7)*B2313)</f>
        <v>91.7534241236486</v>
      </c>
      <c r="E2313" s="18" t="n">
        <f aca="false">EXP(-'Black-Scholes'!$B$8*'Black-Scholes'!$B$7)*IF(LOWER('Black-Scholes'!$B$11)="put",MAX('Black-Scholes'!$B$6-C2313,0),MAX(C2313-'Black-Scholes'!$B$6,0))</f>
        <v>14.9601609034346</v>
      </c>
      <c r="F2313" s="18" t="n">
        <f aca="false">(E2313+G2313)/2</f>
        <v>7.48008045171732</v>
      </c>
      <c r="G2313" s="18" t="n">
        <f aca="false">EXP(-'Black-Scholes'!$B$8*'Black-Scholes'!$B$7)*IF(LOWER('Black-Scholes'!$B$11)="put",MAX('Black-Scholes'!$B$6-D2313,0),MAX(D2313-'Black-Scholes'!$B$6,0))</f>
        <v>0</v>
      </c>
    </row>
    <row r="2314" customFormat="false" ht="15" hidden="false" customHeight="false" outlineLevel="0" collapsed="false">
      <c r="A2314" s="0" t="n">
        <v>2303</v>
      </c>
      <c r="B2314" s="15" t="n">
        <v>2.51251239826598</v>
      </c>
      <c r="C2314" s="18" t="n">
        <f aca="false">'Black-Scholes'!$B$5*EXP(('Black-Scholes'!$B$8-'Black-Scholes'!$B$10-'Black-Scholes'!$B$9^2/2)*'Black-Scholes'!$B$7+'Black-Scholes'!$B$9*SQRT('Black-Scholes'!$B$7)*B2314)</f>
        <v>170.318917629388</v>
      </c>
      <c r="D2314" s="18" t="n">
        <f aca="false">'Black-Scholes'!$B$5*EXP(('Black-Scholes'!$B$8-'Black-Scholes'!$B$10-'Black-Scholes'!$B$9^2/2)*'Black-Scholes'!$B$7-'Black-Scholes'!$B$9*SQRT('Black-Scholes'!$B$7)*B2314)</f>
        <v>62.3440168200167</v>
      </c>
      <c r="E2314" s="18" t="n">
        <f aca="false">EXP(-'Black-Scholes'!$B$8*'Black-Scholes'!$B$7)*IF(LOWER('Black-Scholes'!$B$11)="put",MAX('Black-Scholes'!$B$6-C2314,0),MAX(C2314-'Black-Scholes'!$B$6,0))</f>
        <v>66.8894235481159</v>
      </c>
      <c r="F2314" s="18" t="n">
        <f aca="false">(E2314+G2314)/2</f>
        <v>33.4447117740579</v>
      </c>
      <c r="G2314" s="18" t="n">
        <f aca="false">EXP(-'Black-Scholes'!$B$8*'Black-Scholes'!$B$7)*IF(LOWER('Black-Scholes'!$B$11)="put",MAX('Black-Scholes'!$B$6-D2314,0),MAX(D2314-'Black-Scholes'!$B$6,0))</f>
        <v>0</v>
      </c>
    </row>
    <row r="2315" customFormat="false" ht="15" hidden="false" customHeight="false" outlineLevel="0" collapsed="false">
      <c r="A2315" s="0" t="n">
        <v>2304</v>
      </c>
      <c r="B2315" s="15" t="n">
        <v>-2.07115821564429</v>
      </c>
      <c r="C2315" s="18" t="n">
        <f aca="false">'Black-Scholes'!$B$5*EXP(('Black-Scholes'!$B$8-'Black-Scholes'!$B$10-'Black-Scholes'!$B$9^2/2)*'Black-Scholes'!$B$7+'Black-Scholes'!$B$9*SQRT('Black-Scholes'!$B$7)*B2315)</f>
        <v>68.0973666037439</v>
      </c>
      <c r="D2315" s="18" t="n">
        <f aca="false">'Black-Scholes'!$B$5*EXP(('Black-Scholes'!$B$8-'Black-Scholes'!$B$10-'Black-Scholes'!$B$9^2/2)*'Black-Scholes'!$B$7-'Black-Scholes'!$B$9*SQRT('Black-Scholes'!$B$7)*B2315)</f>
        <v>155.929164298547</v>
      </c>
      <c r="E2315" s="18" t="n">
        <f aca="false">EXP(-'Black-Scholes'!$B$8*'Black-Scholes'!$B$7)*IF(LOWER('Black-Scholes'!$B$11)="put",MAX('Black-Scholes'!$B$6-C2315,0),MAX(C2315-'Black-Scholes'!$B$6,0))</f>
        <v>0</v>
      </c>
      <c r="F2315" s="18" t="n">
        <f aca="false">(E2315+G2315)/2</f>
        <v>26.6007333842565</v>
      </c>
      <c r="G2315" s="18" t="n">
        <f aca="false">EXP(-'Black-Scholes'!$B$8*'Black-Scholes'!$B$7)*IF(LOWER('Black-Scholes'!$B$11)="put",MAX('Black-Scholes'!$B$6-D2315,0),MAX(D2315-'Black-Scholes'!$B$6,0))</f>
        <v>53.2014667685131</v>
      </c>
    </row>
    <row r="2316" customFormat="false" ht="15" hidden="false" customHeight="false" outlineLevel="0" collapsed="false">
      <c r="A2316" s="0" t="n">
        <v>2305</v>
      </c>
      <c r="B2316" s="15" t="n">
        <v>0.274626185963013</v>
      </c>
      <c r="C2316" s="18" t="n">
        <f aca="false">'Black-Scholes'!$B$5*EXP(('Black-Scholes'!$B$8-'Black-Scholes'!$B$10-'Black-Scholes'!$B$9^2/2)*'Black-Scholes'!$B$7+'Black-Scholes'!$B$9*SQRT('Black-Scholes'!$B$7)*B2316)</f>
        <v>108.863567419663</v>
      </c>
      <c r="D2316" s="18" t="n">
        <f aca="false">'Black-Scholes'!$B$5*EXP(('Black-Scholes'!$B$8-'Black-Scholes'!$B$10-'Black-Scholes'!$B$9^2/2)*'Black-Scholes'!$B$7-'Black-Scholes'!$B$9*SQRT('Black-Scholes'!$B$7)*B2316)</f>
        <v>97.5382831661243</v>
      </c>
      <c r="E2316" s="18" t="n">
        <f aca="false">EXP(-'Black-Scholes'!$B$8*'Black-Scholes'!$B$7)*IF(LOWER('Black-Scholes'!$B$11)="put",MAX('Black-Scholes'!$B$6-C2316,0),MAX(C2316-'Black-Scholes'!$B$6,0))</f>
        <v>8.43128613562977</v>
      </c>
      <c r="F2316" s="18" t="n">
        <f aca="false">(E2316+G2316)/2</f>
        <v>4.21564306781489</v>
      </c>
      <c r="G2316" s="18" t="n">
        <f aca="false">EXP(-'Black-Scholes'!$B$8*'Black-Scholes'!$B$7)*IF(LOWER('Black-Scholes'!$B$11)="put",MAX('Black-Scholes'!$B$6-D2316,0),MAX(D2316-'Black-Scholes'!$B$6,0))</f>
        <v>0</v>
      </c>
    </row>
    <row r="2317" customFormat="false" ht="15" hidden="false" customHeight="false" outlineLevel="0" collapsed="false">
      <c r="A2317" s="0" t="n">
        <v>2306</v>
      </c>
      <c r="B2317" s="15" t="n">
        <v>-0.854948646180139</v>
      </c>
      <c r="C2317" s="18" t="n">
        <f aca="false">'Black-Scholes'!$B$5*EXP(('Black-Scholes'!$B$8-'Black-Scholes'!$B$10-'Black-Scholes'!$B$9^2/2)*'Black-Scholes'!$B$7+'Black-Scholes'!$B$9*SQRT('Black-Scholes'!$B$7)*B2317)</f>
        <v>86.8498231792209</v>
      </c>
      <c r="D2317" s="18" t="n">
        <f aca="false">'Black-Scholes'!$B$5*EXP(('Black-Scholes'!$B$8-'Black-Scholes'!$B$10-'Black-Scholes'!$B$9^2/2)*'Black-Scholes'!$B$7-'Black-Scholes'!$B$9*SQRT('Black-Scholes'!$B$7)*B2317)</f>
        <v>122.261221459736</v>
      </c>
      <c r="E2317" s="18" t="n">
        <f aca="false">EXP(-'Black-Scholes'!$B$8*'Black-Scholes'!$B$7)*IF(LOWER('Black-Scholes'!$B$11)="put",MAX('Black-Scholes'!$B$6-C2317,0),MAX(C2317-'Black-Scholes'!$B$6,0))</f>
        <v>0</v>
      </c>
      <c r="F2317" s="18" t="n">
        <f aca="false">(E2317+G2317)/2</f>
        <v>10.5877644389136</v>
      </c>
      <c r="G2317" s="18" t="n">
        <f aca="false">EXP(-'Black-Scholes'!$B$8*'Black-Scholes'!$B$7)*IF(LOWER('Black-Scholes'!$B$11)="put",MAX('Black-Scholes'!$B$6-D2317,0),MAX(D2317-'Black-Scholes'!$B$6,0))</f>
        <v>21.1755288778272</v>
      </c>
    </row>
    <row r="2318" customFormat="false" ht="15" hidden="false" customHeight="false" outlineLevel="0" collapsed="false">
      <c r="A2318" s="0" t="n">
        <v>2307</v>
      </c>
      <c r="B2318" s="15" t="n">
        <v>0.659887316935441</v>
      </c>
      <c r="C2318" s="18" t="n">
        <f aca="false">'Black-Scholes'!$B$5*EXP(('Black-Scholes'!$B$8-'Black-Scholes'!$B$10-'Black-Scholes'!$B$9^2/2)*'Black-Scholes'!$B$7+'Black-Scholes'!$B$9*SQRT('Black-Scholes'!$B$7)*B2318)</f>
        <v>117.583374171251</v>
      </c>
      <c r="D2318" s="18" t="n">
        <f aca="false">'Black-Scholes'!$B$5*EXP(('Black-Scholes'!$B$8-'Black-Scholes'!$B$10-'Black-Scholes'!$B$9^2/2)*'Black-Scholes'!$B$7-'Black-Scholes'!$B$9*SQRT('Black-Scholes'!$B$7)*B2318)</f>
        <v>90.3049903125656</v>
      </c>
      <c r="E2318" s="18" t="n">
        <f aca="false">EXP(-'Black-Scholes'!$B$8*'Black-Scholes'!$B$7)*IF(LOWER('Black-Scholes'!$B$11)="put",MAX('Black-Scholes'!$B$6-C2318,0),MAX(C2318-'Black-Scholes'!$B$6,0))</f>
        <v>16.7258228936998</v>
      </c>
      <c r="F2318" s="18" t="n">
        <f aca="false">(E2318+G2318)/2</f>
        <v>8.36291144684988</v>
      </c>
      <c r="G2318" s="18" t="n">
        <f aca="false">EXP(-'Black-Scholes'!$B$8*'Black-Scholes'!$B$7)*IF(LOWER('Black-Scholes'!$B$11)="put",MAX('Black-Scholes'!$B$6-D2318,0),MAX(D2318-'Black-Scholes'!$B$6,0))</f>
        <v>0</v>
      </c>
    </row>
    <row r="2319" customFormat="false" ht="15" hidden="false" customHeight="false" outlineLevel="0" collapsed="false">
      <c r="A2319" s="0" t="n">
        <v>2308</v>
      </c>
      <c r="B2319" s="15" t="n">
        <v>0.351800393527054</v>
      </c>
      <c r="C2319" s="18" t="n">
        <f aca="false">'Black-Scholes'!$B$5*EXP(('Black-Scholes'!$B$8-'Black-Scholes'!$B$10-'Black-Scholes'!$B$9^2/2)*'Black-Scholes'!$B$7+'Black-Scholes'!$B$9*SQRT('Black-Scholes'!$B$7)*B2319)</f>
        <v>110.556893824408</v>
      </c>
      <c r="D2319" s="18" t="n">
        <f aca="false">'Black-Scholes'!$B$5*EXP(('Black-Scholes'!$B$8-'Black-Scholes'!$B$10-'Black-Scholes'!$B$9^2/2)*'Black-Scholes'!$B$7-'Black-Scholes'!$B$9*SQRT('Black-Scholes'!$B$7)*B2319)</f>
        <v>96.0443541613807</v>
      </c>
      <c r="E2319" s="18" t="n">
        <f aca="false">EXP(-'Black-Scholes'!$B$8*'Black-Scholes'!$B$7)*IF(LOWER('Black-Scholes'!$B$11)="put",MAX('Black-Scholes'!$B$6-C2319,0),MAX(C2319-'Black-Scholes'!$B$6,0))</f>
        <v>10.0420280371067</v>
      </c>
      <c r="F2319" s="18" t="n">
        <f aca="false">(E2319+G2319)/2</f>
        <v>5.02101401855333</v>
      </c>
      <c r="G2319" s="18" t="n">
        <f aca="false">EXP(-'Black-Scholes'!$B$8*'Black-Scholes'!$B$7)*IF(LOWER('Black-Scholes'!$B$11)="put",MAX('Black-Scholes'!$B$6-D2319,0),MAX(D2319-'Black-Scholes'!$B$6,0))</f>
        <v>0</v>
      </c>
    </row>
    <row r="2320" customFormat="false" ht="15" hidden="false" customHeight="false" outlineLevel="0" collapsed="false">
      <c r="A2320" s="0" t="n">
        <v>2309</v>
      </c>
      <c r="B2320" s="15" t="n">
        <v>-1.40395847741018</v>
      </c>
      <c r="C2320" s="18" t="n">
        <f aca="false">'Black-Scholes'!$B$5*EXP(('Black-Scholes'!$B$8-'Black-Scholes'!$B$10-'Black-Scholes'!$B$9^2/2)*'Black-Scholes'!$B$7+'Black-Scholes'!$B$9*SQRT('Black-Scholes'!$B$7)*B2320)</f>
        <v>77.8184454014698</v>
      </c>
      <c r="D2320" s="18" t="n">
        <f aca="false">'Black-Scholes'!$B$5*EXP(('Black-Scholes'!$B$8-'Black-Scholes'!$B$10-'Black-Scholes'!$B$9^2/2)*'Black-Scholes'!$B$7-'Black-Scholes'!$B$9*SQRT('Black-Scholes'!$B$7)*B2320)</f>
        <v>136.450495903289</v>
      </c>
      <c r="E2320" s="18" t="n">
        <f aca="false">EXP(-'Black-Scholes'!$B$8*'Black-Scholes'!$B$7)*IF(LOWER('Black-Scholes'!$B$11)="put",MAX('Black-Scholes'!$B$6-C2320,0),MAX(C2320-'Black-Scholes'!$B$6,0))</f>
        <v>0</v>
      </c>
      <c r="F2320" s="18" t="n">
        <f aca="false">(E2320+G2320)/2</f>
        <v>17.3363921204258</v>
      </c>
      <c r="G2320" s="18" t="n">
        <f aca="false">EXP(-'Black-Scholes'!$B$8*'Black-Scholes'!$B$7)*IF(LOWER('Black-Scholes'!$B$11)="put",MAX('Black-Scholes'!$B$6-D2320,0),MAX(D2320-'Black-Scholes'!$B$6,0))</f>
        <v>34.6727842408515</v>
      </c>
    </row>
    <row r="2321" customFormat="false" ht="15" hidden="false" customHeight="false" outlineLevel="0" collapsed="false">
      <c r="A2321" s="0" t="n">
        <v>2310</v>
      </c>
      <c r="B2321" s="15" t="n">
        <v>0.144892669018311</v>
      </c>
      <c r="C2321" s="18" t="n">
        <f aca="false">'Black-Scholes'!$B$5*EXP(('Black-Scholes'!$B$8-'Black-Scholes'!$B$10-'Black-Scholes'!$B$9^2/2)*'Black-Scholes'!$B$7+'Black-Scholes'!$B$9*SQRT('Black-Scholes'!$B$7)*B2321)</f>
        <v>106.075247017497</v>
      </c>
      <c r="D2321" s="18" t="n">
        <f aca="false">'Black-Scholes'!$B$5*EXP(('Black-Scholes'!$B$8-'Black-Scholes'!$B$10-'Black-Scholes'!$B$9^2/2)*'Black-Scholes'!$B$7-'Black-Scholes'!$B$9*SQRT('Black-Scholes'!$B$7)*B2321)</f>
        <v>100.102198807061</v>
      </c>
      <c r="E2321" s="18" t="n">
        <f aca="false">EXP(-'Black-Scholes'!$B$8*'Black-Scholes'!$B$7)*IF(LOWER('Black-Scholes'!$B$11)="put",MAX('Black-Scholes'!$B$6-C2321,0),MAX(C2321-'Black-Scholes'!$B$6,0))</f>
        <v>5.7789537241534</v>
      </c>
      <c r="F2321" s="18" t="n">
        <f aca="false">(E2321+G2321)/2</f>
        <v>2.93808411828935</v>
      </c>
      <c r="G2321" s="18" t="n">
        <f aca="false">EXP(-'Black-Scholes'!$B$8*'Black-Scholes'!$B$7)*IF(LOWER('Black-Scholes'!$B$11)="put",MAX('Black-Scholes'!$B$6-D2321,0),MAX(D2321-'Black-Scholes'!$B$6,0))</f>
        <v>0.0972145124253087</v>
      </c>
    </row>
    <row r="2322" customFormat="false" ht="15" hidden="false" customHeight="false" outlineLevel="0" collapsed="false">
      <c r="A2322" s="0" t="n">
        <v>2311</v>
      </c>
      <c r="B2322" s="15" t="n">
        <v>1.18420324691363</v>
      </c>
      <c r="C2322" s="18" t="n">
        <f aca="false">'Black-Scholes'!$B$5*EXP(('Black-Scholes'!$B$8-'Black-Scholes'!$B$10-'Black-Scholes'!$B$9^2/2)*'Black-Scholes'!$B$7+'Black-Scholes'!$B$9*SQRT('Black-Scholes'!$B$7)*B2322)</f>
        <v>130.583234456036</v>
      </c>
      <c r="D2322" s="18" t="n">
        <f aca="false">'Black-Scholes'!$B$5*EXP(('Black-Scholes'!$B$8-'Black-Scholes'!$B$10-'Black-Scholes'!$B$9^2/2)*'Black-Scholes'!$B$7-'Black-Scholes'!$B$9*SQRT('Black-Scholes'!$B$7)*B2322)</f>
        <v>81.314921549355</v>
      </c>
      <c r="E2322" s="18" t="n">
        <f aca="false">EXP(-'Black-Scholes'!$B$8*'Black-Scholes'!$B$7)*IF(LOWER('Black-Scholes'!$B$11)="put",MAX('Black-Scholes'!$B$6-C2322,0),MAX(C2322-'Black-Scholes'!$B$6,0))</f>
        <v>29.0916725109855</v>
      </c>
      <c r="F2322" s="18" t="n">
        <f aca="false">(E2322+G2322)/2</f>
        <v>14.5458362554928</v>
      </c>
      <c r="G2322" s="18" t="n">
        <f aca="false">EXP(-'Black-Scholes'!$B$8*'Black-Scholes'!$B$7)*IF(LOWER('Black-Scholes'!$B$11)="put",MAX('Black-Scholes'!$B$6-D2322,0),MAX(D2322-'Black-Scholes'!$B$6,0))</f>
        <v>0</v>
      </c>
    </row>
    <row r="2323" customFormat="false" ht="15" hidden="false" customHeight="false" outlineLevel="0" collapsed="false">
      <c r="A2323" s="0" t="n">
        <v>2312</v>
      </c>
      <c r="B2323" s="15" t="n">
        <v>0.407253793110278</v>
      </c>
      <c r="C2323" s="18" t="n">
        <f aca="false">'Black-Scholes'!$B$5*EXP(('Black-Scholes'!$B$8-'Black-Scholes'!$B$10-'Black-Scholes'!$B$9^2/2)*'Black-Scholes'!$B$7+'Black-Scholes'!$B$9*SQRT('Black-Scholes'!$B$7)*B2323)</f>
        <v>111.789869577803</v>
      </c>
      <c r="D2323" s="18" t="n">
        <f aca="false">'Black-Scholes'!$B$5*EXP(('Black-Scholes'!$B$8-'Black-Scholes'!$B$10-'Black-Scholes'!$B$9^2/2)*'Black-Scholes'!$B$7-'Black-Scholes'!$B$9*SQRT('Black-Scholes'!$B$7)*B2323)</f>
        <v>94.985042075422</v>
      </c>
      <c r="E2323" s="18" t="n">
        <f aca="false">EXP(-'Black-Scholes'!$B$8*'Black-Scholes'!$B$7)*IF(LOWER('Black-Scholes'!$B$11)="put",MAX('Black-Scholes'!$B$6-C2323,0),MAX(C2323-'Black-Scholes'!$B$6,0))</f>
        <v>11.2148708534324</v>
      </c>
      <c r="F2323" s="18" t="n">
        <f aca="false">(E2323+G2323)/2</f>
        <v>5.60743542671621</v>
      </c>
      <c r="G2323" s="18" t="n">
        <f aca="false">EXP(-'Black-Scholes'!$B$8*'Black-Scholes'!$B$7)*IF(LOWER('Black-Scholes'!$B$11)="put",MAX('Black-Scholes'!$B$6-D2323,0),MAX(D2323-'Black-Scholes'!$B$6,0))</f>
        <v>0</v>
      </c>
    </row>
    <row r="2324" customFormat="false" ht="15" hidden="false" customHeight="false" outlineLevel="0" collapsed="false">
      <c r="A2324" s="0" t="n">
        <v>2313</v>
      </c>
      <c r="B2324" s="15" t="n">
        <v>-0.565127143010329</v>
      </c>
      <c r="C2324" s="18" t="n">
        <f aca="false">'Black-Scholes'!$B$5*EXP(('Black-Scholes'!$B$8-'Black-Scholes'!$B$10-'Black-Scholes'!$B$9^2/2)*'Black-Scholes'!$B$7+'Black-Scholes'!$B$9*SQRT('Black-Scholes'!$B$7)*B2324)</f>
        <v>92.0327744274595</v>
      </c>
      <c r="D2324" s="18" t="n">
        <f aca="false">'Black-Scholes'!$B$5*EXP(('Black-Scholes'!$B$8-'Black-Scholes'!$B$10-'Black-Scholes'!$B$9^2/2)*'Black-Scholes'!$B$7-'Black-Scholes'!$B$9*SQRT('Black-Scholes'!$B$7)*B2324)</f>
        <v>115.375913977504</v>
      </c>
      <c r="E2324" s="18" t="n">
        <f aca="false">EXP(-'Black-Scholes'!$B$8*'Black-Scholes'!$B$7)*IF(LOWER('Black-Scholes'!$B$11)="put",MAX('Black-Scholes'!$B$6-C2324,0),MAX(C2324-'Black-Scholes'!$B$6,0))</f>
        <v>0</v>
      </c>
      <c r="F2324" s="18" t="n">
        <f aca="false">(E2324+G2324)/2</f>
        <v>7.31301090199683</v>
      </c>
      <c r="G2324" s="18" t="n">
        <f aca="false">EXP(-'Black-Scholes'!$B$8*'Black-Scholes'!$B$7)*IF(LOWER('Black-Scholes'!$B$11)="put",MAX('Black-Scholes'!$B$6-D2324,0),MAX(D2324-'Black-Scholes'!$B$6,0))</f>
        <v>14.6260218039937</v>
      </c>
    </row>
    <row r="2325" customFormat="false" ht="15" hidden="false" customHeight="false" outlineLevel="0" collapsed="false">
      <c r="A2325" s="0" t="n">
        <v>2314</v>
      </c>
      <c r="B2325" s="15" t="n">
        <v>-0.87540908923317</v>
      </c>
      <c r="C2325" s="18" t="n">
        <f aca="false">'Black-Scholes'!$B$5*EXP(('Black-Scholes'!$B$8-'Black-Scholes'!$B$10-'Black-Scholes'!$B$9^2/2)*'Black-Scholes'!$B$7+'Black-Scholes'!$B$9*SQRT('Black-Scholes'!$B$7)*B2325)</f>
        <v>86.4951521744649</v>
      </c>
      <c r="D2325" s="18" t="n">
        <f aca="false">'Black-Scholes'!$B$5*EXP(('Black-Scholes'!$B$8-'Black-Scholes'!$B$10-'Black-Scholes'!$B$9^2/2)*'Black-Scholes'!$B$7-'Black-Scholes'!$B$9*SQRT('Black-Scholes'!$B$7)*B2325)</f>
        <v>122.762550252942</v>
      </c>
      <c r="E2325" s="18" t="n">
        <f aca="false">EXP(-'Black-Scholes'!$B$8*'Black-Scholes'!$B$7)*IF(LOWER('Black-Scholes'!$B$11)="put",MAX('Black-Scholes'!$B$6-C2325,0),MAX(C2325-'Black-Scholes'!$B$6,0))</f>
        <v>0</v>
      </c>
      <c r="F2325" s="18" t="n">
        <f aca="false">(E2325+G2325)/2</f>
        <v>10.8262037886373</v>
      </c>
      <c r="G2325" s="18" t="n">
        <f aca="false">EXP(-'Black-Scholes'!$B$8*'Black-Scholes'!$B$7)*IF(LOWER('Black-Scholes'!$B$11)="put",MAX('Black-Scholes'!$B$6-D2325,0),MAX(D2325-'Black-Scholes'!$B$6,0))</f>
        <v>21.6524075772745</v>
      </c>
    </row>
    <row r="2326" customFormat="false" ht="15" hidden="false" customHeight="false" outlineLevel="0" collapsed="false">
      <c r="A2326" s="0" t="n">
        <v>2315</v>
      </c>
      <c r="B2326" s="15" t="n">
        <v>-1.1577858501123</v>
      </c>
      <c r="C2326" s="18" t="n">
        <f aca="false">'Black-Scholes'!$B$5*EXP(('Black-Scholes'!$B$8-'Black-Scholes'!$B$10-'Black-Scholes'!$B$9^2/2)*'Black-Scholes'!$B$7+'Black-Scholes'!$B$9*SQRT('Black-Scholes'!$B$7)*B2326)</f>
        <v>81.7456842198152</v>
      </c>
      <c r="D2326" s="18" t="n">
        <f aca="false">'Black-Scholes'!$B$5*EXP(('Black-Scholes'!$B$8-'Black-Scholes'!$B$10-'Black-Scholes'!$B$9^2/2)*'Black-Scholes'!$B$7-'Black-Scholes'!$B$9*SQRT('Black-Scholes'!$B$7)*B2326)</f>
        <v>129.895120051851</v>
      </c>
      <c r="E2326" s="18" t="n">
        <f aca="false">EXP(-'Black-Scholes'!$B$8*'Black-Scholes'!$B$7)*IF(LOWER('Black-Scholes'!$B$11)="put",MAX('Black-Scholes'!$B$6-C2326,0),MAX(C2326-'Black-Scholes'!$B$6,0))</f>
        <v>0</v>
      </c>
      <c r="F2326" s="18" t="n">
        <f aca="false">(E2326+G2326)/2</f>
        <v>14.218558921151</v>
      </c>
      <c r="G2326" s="18" t="n">
        <f aca="false">EXP(-'Black-Scholes'!$B$8*'Black-Scholes'!$B$7)*IF(LOWER('Black-Scholes'!$B$11)="put",MAX('Black-Scholes'!$B$6-D2326,0),MAX(D2326-'Black-Scholes'!$B$6,0))</f>
        <v>28.437117842302</v>
      </c>
    </row>
    <row r="2327" customFormat="false" ht="15" hidden="false" customHeight="false" outlineLevel="0" collapsed="false">
      <c r="A2327" s="0" t="n">
        <v>2316</v>
      </c>
      <c r="B2327" s="15" t="n">
        <v>0.878352208153993</v>
      </c>
      <c r="C2327" s="18" t="n">
        <f aca="false">'Black-Scholes'!$B$5*EXP(('Black-Scholes'!$B$8-'Black-Scholes'!$B$10-'Black-Scholes'!$B$9^2/2)*'Black-Scholes'!$B$7+'Black-Scholes'!$B$9*SQRT('Black-Scholes'!$B$7)*B2327)</f>
        <v>122.834832481258</v>
      </c>
      <c r="D2327" s="18" t="n">
        <f aca="false">'Black-Scholes'!$B$5*EXP(('Black-Scholes'!$B$8-'Black-Scholes'!$B$10-'Black-Scholes'!$B$9^2/2)*'Black-Scholes'!$B$7-'Black-Scholes'!$B$9*SQRT('Black-Scholes'!$B$7)*B2327)</f>
        <v>86.4442540520723</v>
      </c>
      <c r="E2327" s="18" t="n">
        <f aca="false">EXP(-'Black-Scholes'!$B$8*'Black-Scholes'!$B$7)*IF(LOWER('Black-Scholes'!$B$11)="put",MAX('Black-Scholes'!$B$6-C2327,0),MAX(C2327-'Black-Scholes'!$B$6,0))</f>
        <v>21.7211645597171</v>
      </c>
      <c r="F2327" s="18" t="n">
        <f aca="false">(E2327+G2327)/2</f>
        <v>10.8605822798586</v>
      </c>
      <c r="G2327" s="18" t="n">
        <f aca="false">EXP(-'Black-Scholes'!$B$8*'Black-Scholes'!$B$7)*IF(LOWER('Black-Scholes'!$B$11)="put",MAX('Black-Scholes'!$B$6-D2327,0),MAX(D2327-'Black-Scholes'!$B$6,0))</f>
        <v>0</v>
      </c>
    </row>
    <row r="2328" customFormat="false" ht="15" hidden="false" customHeight="false" outlineLevel="0" collapsed="false">
      <c r="A2328" s="0" t="n">
        <v>2317</v>
      </c>
      <c r="B2328" s="15" t="n">
        <v>0.88608008576493</v>
      </c>
      <c r="C2328" s="18" t="n">
        <f aca="false">'Black-Scholes'!$B$5*EXP(('Black-Scholes'!$B$8-'Black-Scholes'!$B$10-'Black-Scholes'!$B$9^2/2)*'Black-Scholes'!$B$7+'Black-Scholes'!$B$9*SQRT('Black-Scholes'!$B$7)*B2328)</f>
        <v>123.024829781379</v>
      </c>
      <c r="D2328" s="18" t="n">
        <f aca="false">'Black-Scholes'!$B$5*EXP(('Black-Scholes'!$B$8-'Black-Scholes'!$B$10-'Black-Scholes'!$B$9^2/2)*'Black-Scholes'!$B$7-'Black-Scholes'!$B$9*SQRT('Black-Scholes'!$B$7)*B2328)</f>
        <v>86.3107511249798</v>
      </c>
      <c r="E2328" s="18" t="n">
        <f aca="false">EXP(-'Black-Scholes'!$B$8*'Black-Scholes'!$B$7)*IF(LOWER('Black-Scholes'!$B$11)="put",MAX('Black-Scholes'!$B$6-C2328,0),MAX(C2328-'Black-Scholes'!$B$6,0))</f>
        <v>21.9018955821679</v>
      </c>
      <c r="F2328" s="18" t="n">
        <f aca="false">(E2328+G2328)/2</f>
        <v>10.950947791084</v>
      </c>
      <c r="G2328" s="18" t="n">
        <f aca="false">EXP(-'Black-Scholes'!$B$8*'Black-Scholes'!$B$7)*IF(LOWER('Black-Scholes'!$B$11)="put",MAX('Black-Scholes'!$B$6-D2328,0),MAX(D2328-'Black-Scholes'!$B$6,0))</f>
        <v>0</v>
      </c>
    </row>
    <row r="2329" customFormat="false" ht="15" hidden="false" customHeight="false" outlineLevel="0" collapsed="false">
      <c r="A2329" s="0" t="n">
        <v>2318</v>
      </c>
      <c r="B2329" s="15" t="n">
        <v>1.58558193827533</v>
      </c>
      <c r="C2329" s="18" t="n">
        <f aca="false">'Black-Scholes'!$B$5*EXP(('Black-Scholes'!$B$8-'Black-Scholes'!$B$10-'Black-Scholes'!$B$9^2/2)*'Black-Scholes'!$B$7+'Black-Scholes'!$B$9*SQRT('Black-Scholes'!$B$7)*B2329)</f>
        <v>141.498140215443</v>
      </c>
      <c r="D2329" s="18" t="n">
        <f aca="false">'Black-Scholes'!$B$5*EXP(('Black-Scholes'!$B$8-'Black-Scholes'!$B$10-'Black-Scholes'!$B$9^2/2)*'Black-Scholes'!$B$7-'Black-Scholes'!$B$9*SQRT('Black-Scholes'!$B$7)*B2329)</f>
        <v>75.0424383619901</v>
      </c>
      <c r="E2329" s="18" t="n">
        <f aca="false">EXP(-'Black-Scholes'!$B$8*'Black-Scholes'!$B$7)*IF(LOWER('Black-Scholes'!$B$11)="put",MAX('Black-Scholes'!$B$6-C2329,0),MAX(C2329-'Black-Scholes'!$B$6,0))</f>
        <v>39.4742520349856</v>
      </c>
      <c r="F2329" s="18" t="n">
        <f aca="false">(E2329+G2329)/2</f>
        <v>19.7371260174928</v>
      </c>
      <c r="G2329" s="18" t="n">
        <f aca="false">EXP(-'Black-Scholes'!$B$8*'Black-Scholes'!$B$7)*IF(LOWER('Black-Scholes'!$B$11)="put",MAX('Black-Scholes'!$B$6-D2329,0),MAX(D2329-'Black-Scholes'!$B$6,0))</f>
        <v>0</v>
      </c>
    </row>
    <row r="2330" customFormat="false" ht="15" hidden="false" customHeight="false" outlineLevel="0" collapsed="false">
      <c r="A2330" s="0" t="n">
        <v>2319</v>
      </c>
      <c r="B2330" s="15" t="n">
        <v>-0.249932595749733</v>
      </c>
      <c r="C2330" s="18" t="n">
        <f aca="false">'Black-Scholes'!$B$5*EXP(('Black-Scholes'!$B$8-'Black-Scholes'!$B$10-'Black-Scholes'!$B$9^2/2)*'Black-Scholes'!$B$7+'Black-Scholes'!$B$9*SQRT('Black-Scholes'!$B$7)*B2330)</f>
        <v>98.0211887307161</v>
      </c>
      <c r="D2330" s="18" t="n">
        <f aca="false">'Black-Scholes'!$B$5*EXP(('Black-Scholes'!$B$8-'Black-Scholes'!$B$10-'Black-Scholes'!$B$9^2/2)*'Black-Scholes'!$B$7-'Black-Scholes'!$B$9*SQRT('Black-Scholes'!$B$7)*B2330)</f>
        <v>108.327246414287</v>
      </c>
      <c r="E2330" s="18" t="n">
        <f aca="false">EXP(-'Black-Scholes'!$B$8*'Black-Scholes'!$B$7)*IF(LOWER('Black-Scholes'!$B$11)="put",MAX('Black-Scholes'!$B$6-C2330,0),MAX(C2330-'Black-Scholes'!$B$6,0))</f>
        <v>0</v>
      </c>
      <c r="F2330" s="18" t="n">
        <f aca="false">(E2330+G2330)/2</f>
        <v>3.96056090716887</v>
      </c>
      <c r="G2330" s="18" t="n">
        <f aca="false">EXP(-'Black-Scholes'!$B$8*'Black-Scholes'!$B$7)*IF(LOWER('Black-Scholes'!$B$11)="put",MAX('Black-Scholes'!$B$6-D2330,0),MAX(D2330-'Black-Scholes'!$B$6,0))</f>
        <v>7.92112181433774</v>
      </c>
    </row>
    <row r="2331" customFormat="false" ht="15" hidden="false" customHeight="false" outlineLevel="0" collapsed="false">
      <c r="A2331" s="0" t="n">
        <v>2320</v>
      </c>
      <c r="B2331" s="15" t="n">
        <v>1.11606085690546</v>
      </c>
      <c r="C2331" s="18" t="n">
        <f aca="false">'Black-Scholes'!$B$5*EXP(('Black-Scholes'!$B$8-'Black-Scholes'!$B$10-'Black-Scholes'!$B$9^2/2)*'Black-Scholes'!$B$7+'Black-Scholes'!$B$9*SQRT('Black-Scholes'!$B$7)*B2331)</f>
        <v>128.815655779834</v>
      </c>
      <c r="D2331" s="18" t="n">
        <f aca="false">'Black-Scholes'!$B$5*EXP(('Black-Scholes'!$B$8-'Black-Scholes'!$B$10-'Black-Scholes'!$B$9^2/2)*'Black-Scholes'!$B$7-'Black-Scholes'!$B$9*SQRT('Black-Scholes'!$B$7)*B2331)</f>
        <v>82.4307061216384</v>
      </c>
      <c r="E2331" s="18" t="n">
        <f aca="false">EXP(-'Black-Scholes'!$B$8*'Black-Scholes'!$B$7)*IF(LOWER('Black-Scholes'!$B$11)="put",MAX('Black-Scholes'!$B$6-C2331,0),MAX(C2331-'Black-Scholes'!$B$6,0))</f>
        <v>27.4102996640618</v>
      </c>
      <c r="F2331" s="18" t="n">
        <f aca="false">(E2331+G2331)/2</f>
        <v>13.7051498320309</v>
      </c>
      <c r="G2331" s="18" t="n">
        <f aca="false">EXP(-'Black-Scholes'!$B$8*'Black-Scholes'!$B$7)*IF(LOWER('Black-Scholes'!$B$11)="put",MAX('Black-Scholes'!$B$6-D2331,0),MAX(D2331-'Black-Scholes'!$B$6,0))</f>
        <v>0</v>
      </c>
    </row>
    <row r="2332" customFormat="false" ht="15" hidden="false" customHeight="false" outlineLevel="0" collapsed="false">
      <c r="A2332" s="0" t="n">
        <v>2321</v>
      </c>
      <c r="B2332" s="15" t="n">
        <v>0.616534834352939</v>
      </c>
      <c r="C2332" s="18" t="n">
        <f aca="false">'Black-Scholes'!$B$5*EXP(('Black-Scholes'!$B$8-'Black-Scholes'!$B$10-'Black-Scholes'!$B$9^2/2)*'Black-Scholes'!$B$7+'Black-Scholes'!$B$9*SQRT('Black-Scholes'!$B$7)*B2332)</f>
        <v>116.568275001387</v>
      </c>
      <c r="D2332" s="18" t="n">
        <f aca="false">'Black-Scholes'!$B$5*EXP(('Black-Scholes'!$B$8-'Black-Scholes'!$B$10-'Black-Scholes'!$B$9^2/2)*'Black-Scholes'!$B$7-'Black-Scholes'!$B$9*SQRT('Black-Scholes'!$B$7)*B2332)</f>
        <v>91.0913837004733</v>
      </c>
      <c r="E2332" s="18" t="n">
        <f aca="false">EXP(-'Black-Scholes'!$B$8*'Black-Scholes'!$B$7)*IF(LOWER('Black-Scholes'!$B$11)="put",MAX('Black-Scholes'!$B$6-C2332,0),MAX(C2332-'Black-Scholes'!$B$6,0))</f>
        <v>15.7602306945385</v>
      </c>
      <c r="F2332" s="18" t="n">
        <f aca="false">(E2332+G2332)/2</f>
        <v>7.88011534726924</v>
      </c>
      <c r="G2332" s="18" t="n">
        <f aca="false">EXP(-'Black-Scholes'!$B$8*'Black-Scholes'!$B$7)*IF(LOWER('Black-Scholes'!$B$11)="put",MAX('Black-Scholes'!$B$6-D2332,0),MAX(D2332-'Black-Scholes'!$B$6,0))</f>
        <v>0</v>
      </c>
    </row>
    <row r="2333" customFormat="false" ht="15" hidden="false" customHeight="false" outlineLevel="0" collapsed="false">
      <c r="A2333" s="0" t="n">
        <v>2322</v>
      </c>
      <c r="B2333" s="15" t="n">
        <v>-0.129867338164933</v>
      </c>
      <c r="C2333" s="18" t="n">
        <f aca="false">'Black-Scholes'!$B$5*EXP(('Black-Scholes'!$B$8-'Black-Scholes'!$B$10-'Black-Scholes'!$B$9^2/2)*'Black-Scholes'!$B$7+'Black-Scholes'!$B$9*SQRT('Black-Scholes'!$B$7)*B2333)</f>
        <v>100.403464973976</v>
      </c>
      <c r="D2333" s="18" t="n">
        <f aca="false">'Black-Scholes'!$B$5*EXP(('Black-Scholes'!$B$8-'Black-Scholes'!$B$10-'Black-Scholes'!$B$9^2/2)*'Black-Scholes'!$B$7-'Black-Scholes'!$B$9*SQRT('Black-Scholes'!$B$7)*B2333)</f>
        <v>105.756962353897</v>
      </c>
      <c r="E2333" s="18" t="n">
        <f aca="false">EXP(-'Black-Scholes'!$B$8*'Black-Scholes'!$B$7)*IF(LOWER('Black-Scholes'!$B$11)="put",MAX('Black-Scholes'!$B$6-C2333,0),MAX(C2333-'Black-Scholes'!$B$6,0))</f>
        <v>0.383787755001643</v>
      </c>
      <c r="F2333" s="18" t="n">
        <f aca="false">(E2333+G2333)/2</f>
        <v>2.92998987088554</v>
      </c>
      <c r="G2333" s="18" t="n">
        <f aca="false">EXP(-'Black-Scholes'!$B$8*'Black-Scholes'!$B$7)*IF(LOWER('Black-Scholes'!$B$11)="put",MAX('Black-Scholes'!$B$6-D2333,0),MAX(D2333-'Black-Scholes'!$B$6,0))</f>
        <v>5.47619198676944</v>
      </c>
    </row>
    <row r="2334" customFormat="false" ht="15" hidden="false" customHeight="false" outlineLevel="0" collapsed="false">
      <c r="A2334" s="0" t="n">
        <v>2323</v>
      </c>
      <c r="B2334" s="15" t="n">
        <v>0.646488234417028</v>
      </c>
      <c r="C2334" s="18" t="n">
        <f aca="false">'Black-Scholes'!$B$5*EXP(('Black-Scholes'!$B$8-'Black-Scholes'!$B$10-'Black-Scholes'!$B$9^2/2)*'Black-Scholes'!$B$7+'Black-Scholes'!$B$9*SQRT('Black-Scholes'!$B$7)*B2334)</f>
        <v>117.268694135286</v>
      </c>
      <c r="D2334" s="18" t="n">
        <f aca="false">'Black-Scholes'!$B$5*EXP(('Black-Scholes'!$B$8-'Black-Scholes'!$B$10-'Black-Scholes'!$B$9^2/2)*'Black-Scholes'!$B$7-'Black-Scholes'!$B$9*SQRT('Black-Scholes'!$B$7)*B2334)</f>
        <v>90.5473156646892</v>
      </c>
      <c r="E2334" s="18" t="n">
        <f aca="false">EXP(-'Black-Scholes'!$B$8*'Black-Scholes'!$B$7)*IF(LOWER('Black-Scholes'!$B$11)="put",MAX('Black-Scholes'!$B$6-C2334,0),MAX(C2334-'Black-Scholes'!$B$6,0))</f>
        <v>16.4264899841867</v>
      </c>
      <c r="F2334" s="18" t="n">
        <f aca="false">(E2334+G2334)/2</f>
        <v>8.21324499209333</v>
      </c>
      <c r="G2334" s="18" t="n">
        <f aca="false">EXP(-'Black-Scholes'!$B$8*'Black-Scholes'!$B$7)*IF(LOWER('Black-Scholes'!$B$11)="put",MAX('Black-Scholes'!$B$6-D2334,0),MAX(D2334-'Black-Scholes'!$B$6,0))</f>
        <v>0</v>
      </c>
    </row>
    <row r="2335" customFormat="false" ht="15" hidden="false" customHeight="false" outlineLevel="0" collapsed="false">
      <c r="A2335" s="0" t="n">
        <v>2324</v>
      </c>
      <c r="B2335" s="15" t="n">
        <v>-0.909942694389823</v>
      </c>
      <c r="C2335" s="18" t="n">
        <f aca="false">'Black-Scholes'!$B$5*EXP(('Black-Scholes'!$B$8-'Black-Scholes'!$B$10-'Black-Scholes'!$B$9^2/2)*'Black-Scholes'!$B$7+'Black-Scholes'!$B$9*SQRT('Black-Scholes'!$B$7)*B2335)</f>
        <v>85.8998125767053</v>
      </c>
      <c r="D2335" s="18" t="n">
        <f aca="false">'Black-Scholes'!$B$5*EXP(('Black-Scholes'!$B$8-'Black-Scholes'!$B$10-'Black-Scholes'!$B$9^2/2)*'Black-Scholes'!$B$7-'Black-Scholes'!$B$9*SQRT('Black-Scholes'!$B$7)*B2335)</f>
        <v>123.613371751793</v>
      </c>
      <c r="E2335" s="18" t="n">
        <f aca="false">EXP(-'Black-Scholes'!$B$8*'Black-Scholes'!$B$7)*IF(LOWER('Black-Scholes'!$B$11)="put",MAX('Black-Scholes'!$B$6-C2335,0),MAX(C2335-'Black-Scholes'!$B$6,0))</f>
        <v>0</v>
      </c>
      <c r="F2335" s="18" t="n">
        <f aca="false">(E2335+G2335)/2</f>
        <v>11.2308670109896</v>
      </c>
      <c r="G2335" s="18" t="n">
        <f aca="false">EXP(-'Black-Scholes'!$B$8*'Black-Scholes'!$B$7)*IF(LOWER('Black-Scholes'!$B$11)="put",MAX('Black-Scholes'!$B$6-D2335,0),MAX(D2335-'Black-Scholes'!$B$6,0))</f>
        <v>22.4617340219792</v>
      </c>
    </row>
    <row r="2336" customFormat="false" ht="15" hidden="false" customHeight="false" outlineLevel="0" collapsed="false">
      <c r="A2336" s="0" t="n">
        <v>2325</v>
      </c>
      <c r="B2336" s="15" t="n">
        <v>-0.502277767945247</v>
      </c>
      <c r="C2336" s="18" t="n">
        <f aca="false">'Black-Scholes'!$B$5*EXP(('Black-Scholes'!$B$8-'Black-Scholes'!$B$10-'Black-Scholes'!$B$9^2/2)*'Black-Scholes'!$B$7+'Black-Scholes'!$B$9*SQRT('Black-Scholes'!$B$7)*B2336)</f>
        <v>93.1969161289605</v>
      </c>
      <c r="D2336" s="18" t="n">
        <f aca="false">'Black-Scholes'!$B$5*EXP(('Black-Scholes'!$B$8-'Black-Scholes'!$B$10-'Black-Scholes'!$B$9^2/2)*'Black-Scholes'!$B$7-'Black-Scholes'!$B$9*SQRT('Black-Scholes'!$B$7)*B2336)</f>
        <v>113.93472988699</v>
      </c>
      <c r="E2336" s="18" t="n">
        <f aca="false">EXP(-'Black-Scholes'!$B$8*'Black-Scholes'!$B$7)*IF(LOWER('Black-Scholes'!$B$11)="put",MAX('Black-Scholes'!$B$6-C2336,0),MAX(C2336-'Black-Scholes'!$B$6,0))</f>
        <v>0</v>
      </c>
      <c r="F2336" s="18" t="n">
        <f aca="false">(E2336+G2336)/2</f>
        <v>6.62756254548729</v>
      </c>
      <c r="G2336" s="18" t="n">
        <f aca="false">EXP(-'Black-Scholes'!$B$8*'Black-Scholes'!$B$7)*IF(LOWER('Black-Scholes'!$B$11)="put",MAX('Black-Scholes'!$B$6-D2336,0),MAX(D2336-'Black-Scholes'!$B$6,0))</f>
        <v>13.2551250909746</v>
      </c>
    </row>
    <row r="2337" customFormat="false" ht="15" hidden="false" customHeight="false" outlineLevel="0" collapsed="false">
      <c r="A2337" s="0" t="n">
        <v>2326</v>
      </c>
      <c r="B2337" s="15" t="n">
        <v>-0.976556136548303</v>
      </c>
      <c r="C2337" s="18" t="n">
        <f aca="false">'Black-Scholes'!$B$5*EXP(('Black-Scholes'!$B$8-'Black-Scholes'!$B$10-'Black-Scholes'!$B$9^2/2)*'Black-Scholes'!$B$7+'Black-Scholes'!$B$9*SQRT('Black-Scholes'!$B$7)*B2337)</f>
        <v>84.7629857471781</v>
      </c>
      <c r="D2337" s="18" t="n">
        <f aca="false">'Black-Scholes'!$B$5*EXP(('Black-Scholes'!$B$8-'Black-Scholes'!$B$10-'Black-Scholes'!$B$9^2/2)*'Black-Scholes'!$B$7-'Black-Scholes'!$B$9*SQRT('Black-Scholes'!$B$7)*B2337)</f>
        <v>125.271253387946</v>
      </c>
      <c r="E2337" s="18" t="n">
        <f aca="false">EXP(-'Black-Scholes'!$B$8*'Black-Scholes'!$B$7)*IF(LOWER('Black-Scholes'!$B$11)="put",MAX('Black-Scholes'!$B$6-C2337,0),MAX(C2337-'Black-Scholes'!$B$6,0))</f>
        <v>0</v>
      </c>
      <c r="F2337" s="18" t="n">
        <f aca="false">(E2337+G2337)/2</f>
        <v>12.0193799083138</v>
      </c>
      <c r="G2337" s="18" t="n">
        <f aca="false">EXP(-'Black-Scholes'!$B$8*'Black-Scholes'!$B$7)*IF(LOWER('Black-Scholes'!$B$11)="put",MAX('Black-Scholes'!$B$6-D2337,0),MAX(D2337-'Black-Scholes'!$B$6,0))</f>
        <v>24.0387598166276</v>
      </c>
    </row>
    <row r="2338" customFormat="false" ht="15" hidden="false" customHeight="false" outlineLevel="0" collapsed="false">
      <c r="A2338" s="0" t="n">
        <v>2327</v>
      </c>
      <c r="B2338" s="15" t="n">
        <v>0.10019886362885</v>
      </c>
      <c r="C2338" s="18" t="n">
        <f aca="false">'Black-Scholes'!$B$5*EXP(('Black-Scholes'!$B$8-'Black-Scholes'!$B$10-'Black-Scholes'!$B$9^2/2)*'Black-Scholes'!$B$7+'Black-Scholes'!$B$9*SQRT('Black-Scholes'!$B$7)*B2338)</f>
        <v>105.131290912455</v>
      </c>
      <c r="D2338" s="18" t="n">
        <f aca="false">'Black-Scholes'!$B$5*EXP(('Black-Scholes'!$B$8-'Black-Scholes'!$B$10-'Black-Scholes'!$B$9^2/2)*'Black-Scholes'!$B$7-'Black-Scholes'!$B$9*SQRT('Black-Scholes'!$B$7)*B2338)</f>
        <v>101.000999543473</v>
      </c>
      <c r="E2338" s="18" t="n">
        <f aca="false">EXP(-'Black-Scholes'!$B$8*'Black-Scholes'!$B$7)*IF(LOWER('Black-Scholes'!$B$11)="put",MAX('Black-Scholes'!$B$6-C2338,0),MAX(C2338-'Black-Scholes'!$B$6,0))</f>
        <v>4.88103490160014</v>
      </c>
      <c r="F2338" s="18" t="n">
        <f aca="false">(E2338+G2338)/2</f>
        <v>2.91660756063181</v>
      </c>
      <c r="G2338" s="18" t="n">
        <f aca="false">EXP(-'Black-Scholes'!$B$8*'Black-Scholes'!$B$7)*IF(LOWER('Black-Scholes'!$B$11)="put",MAX('Black-Scholes'!$B$6-D2338,0),MAX(D2338-'Black-Scholes'!$B$6,0))</f>
        <v>0.952180219663475</v>
      </c>
    </row>
    <row r="2339" customFormat="false" ht="15" hidden="false" customHeight="false" outlineLevel="0" collapsed="false">
      <c r="A2339" s="0" t="n">
        <v>2328</v>
      </c>
      <c r="B2339" s="15" t="n">
        <v>0.224179150015646</v>
      </c>
      <c r="C2339" s="18" t="n">
        <f aca="false">'Black-Scholes'!$B$5*EXP(('Black-Scholes'!$B$8-'Black-Scholes'!$B$10-'Black-Scholes'!$B$9^2/2)*'Black-Scholes'!$B$7+'Black-Scholes'!$B$9*SQRT('Black-Scholes'!$B$7)*B2339)</f>
        <v>107.770720917161</v>
      </c>
      <c r="D2339" s="18" t="n">
        <f aca="false">'Black-Scholes'!$B$5*EXP(('Black-Scholes'!$B$8-'Black-Scholes'!$B$10-'Black-Scholes'!$B$9^2/2)*'Black-Scholes'!$B$7-'Black-Scholes'!$B$9*SQRT('Black-Scholes'!$B$7)*B2339)</f>
        <v>98.5273678703095</v>
      </c>
      <c r="E2339" s="18" t="n">
        <f aca="false">EXP(-'Black-Scholes'!$B$8*'Black-Scholes'!$B$7)*IF(LOWER('Black-Scholes'!$B$11)="put",MAX('Black-Scholes'!$B$6-C2339,0),MAX(C2339-'Black-Scholes'!$B$6,0))</f>
        <v>7.39173838598684</v>
      </c>
      <c r="F2339" s="18" t="n">
        <f aca="false">(E2339+G2339)/2</f>
        <v>3.69586919299342</v>
      </c>
      <c r="G2339" s="18" t="n">
        <f aca="false">EXP(-'Black-Scholes'!$B$8*'Black-Scholes'!$B$7)*IF(LOWER('Black-Scholes'!$B$11)="put",MAX('Black-Scholes'!$B$6-D2339,0),MAX(D2339-'Black-Scholes'!$B$6,0))</f>
        <v>0</v>
      </c>
    </row>
    <row r="2340" customFormat="false" ht="15" hidden="false" customHeight="false" outlineLevel="0" collapsed="false">
      <c r="A2340" s="0" t="n">
        <v>2329</v>
      </c>
      <c r="B2340" s="15" t="n">
        <v>1.18194850643729</v>
      </c>
      <c r="C2340" s="18" t="n">
        <f aca="false">'Black-Scholes'!$B$5*EXP(('Black-Scholes'!$B$8-'Black-Scholes'!$B$10-'Black-Scholes'!$B$9^2/2)*'Black-Scholes'!$B$7+'Black-Scholes'!$B$9*SQRT('Black-Scholes'!$B$7)*B2340)</f>
        <v>130.524361470512</v>
      </c>
      <c r="D2340" s="18" t="n">
        <f aca="false">'Black-Scholes'!$B$5*EXP(('Black-Scholes'!$B$8-'Black-Scholes'!$B$10-'Black-Scholes'!$B$9^2/2)*'Black-Scholes'!$B$7-'Black-Scholes'!$B$9*SQRT('Black-Scholes'!$B$7)*B2340)</f>
        <v>81.3515986274523</v>
      </c>
      <c r="E2340" s="18" t="n">
        <f aca="false">EXP(-'Black-Scholes'!$B$8*'Black-Scholes'!$B$7)*IF(LOWER('Black-Scholes'!$B$11)="put",MAX('Black-Scholes'!$B$6-C2340,0),MAX(C2340-'Black-Scholes'!$B$6,0))</f>
        <v>29.0356707948469</v>
      </c>
      <c r="F2340" s="18" t="n">
        <f aca="false">(E2340+G2340)/2</f>
        <v>14.5178353974235</v>
      </c>
      <c r="G2340" s="18" t="n">
        <f aca="false">EXP(-'Black-Scholes'!$B$8*'Black-Scholes'!$B$7)*IF(LOWER('Black-Scholes'!$B$11)="put",MAX('Black-Scholes'!$B$6-D2340,0),MAX(D2340-'Black-Scholes'!$B$6,0))</f>
        <v>0</v>
      </c>
    </row>
    <row r="2341" customFormat="false" ht="15" hidden="false" customHeight="false" outlineLevel="0" collapsed="false">
      <c r="A2341" s="0" t="n">
        <v>2330</v>
      </c>
      <c r="B2341" s="15" t="n">
        <v>-1.57672103070151</v>
      </c>
      <c r="C2341" s="18" t="n">
        <f aca="false">'Black-Scholes'!$B$5*EXP(('Black-Scholes'!$B$8-'Black-Scholes'!$B$10-'Black-Scholes'!$B$9^2/2)*'Black-Scholes'!$B$7+'Black-Scholes'!$B$9*SQRT('Black-Scholes'!$B$7)*B2341)</f>
        <v>75.1755450938863</v>
      </c>
      <c r="D2341" s="18" t="n">
        <f aca="false">'Black-Scholes'!$B$5*EXP(('Black-Scholes'!$B$8-'Black-Scholes'!$B$10-'Black-Scholes'!$B$9^2/2)*'Black-Scholes'!$B$7-'Black-Scholes'!$B$9*SQRT('Black-Scholes'!$B$7)*B2341)</f>
        <v>141.247601892243</v>
      </c>
      <c r="E2341" s="18" t="n">
        <f aca="false">EXP(-'Black-Scholes'!$B$8*'Black-Scholes'!$B$7)*IF(LOWER('Black-Scholes'!$B$11)="put",MAX('Black-Scholes'!$B$6-C2341,0),MAX(C2341-'Black-Scholes'!$B$6,0))</f>
        <v>0</v>
      </c>
      <c r="F2341" s="18" t="n">
        <f aca="false">(E2341+G2341)/2</f>
        <v>19.6179663049963</v>
      </c>
      <c r="G2341" s="18" t="n">
        <f aca="false">EXP(-'Black-Scholes'!$B$8*'Black-Scholes'!$B$7)*IF(LOWER('Black-Scholes'!$B$11)="put",MAX('Black-Scholes'!$B$6-D2341,0),MAX(D2341-'Black-Scholes'!$B$6,0))</f>
        <v>39.2359326099926</v>
      </c>
    </row>
    <row r="2342" customFormat="false" ht="15" hidden="false" customHeight="false" outlineLevel="0" collapsed="false">
      <c r="A2342" s="0" t="n">
        <v>2331</v>
      </c>
      <c r="B2342" s="15" t="n">
        <v>-1.59930678921822</v>
      </c>
      <c r="C2342" s="18" t="n">
        <f aca="false">'Black-Scholes'!$B$5*EXP(('Black-Scholes'!$B$8-'Black-Scholes'!$B$10-'Black-Scholes'!$B$9^2/2)*'Black-Scholes'!$B$7+'Black-Scholes'!$B$9*SQRT('Black-Scholes'!$B$7)*B2342)</f>
        <v>74.8367315644858</v>
      </c>
      <c r="D2342" s="18" t="n">
        <f aca="false">'Black-Scholes'!$B$5*EXP(('Black-Scholes'!$B$8-'Black-Scholes'!$B$10-'Black-Scholes'!$B$9^2/2)*'Black-Scholes'!$B$7-'Black-Scholes'!$B$9*SQRT('Black-Scholes'!$B$7)*B2342)</f>
        <v>141.887081964608</v>
      </c>
      <c r="E2342" s="18" t="n">
        <f aca="false">EXP(-'Black-Scholes'!$B$8*'Black-Scholes'!$B$7)*IF(LOWER('Black-Scholes'!$B$11)="put",MAX('Black-Scholes'!$B$6-C2342,0),MAX(C2342-'Black-Scholes'!$B$6,0))</f>
        <v>0</v>
      </c>
      <c r="F2342" s="18" t="n">
        <f aca="false">(E2342+G2342)/2</f>
        <v>19.9221124356044</v>
      </c>
      <c r="G2342" s="18" t="n">
        <f aca="false">EXP(-'Black-Scholes'!$B$8*'Black-Scholes'!$B$7)*IF(LOWER('Black-Scholes'!$B$11)="put",MAX('Black-Scholes'!$B$6-D2342,0),MAX(D2342-'Black-Scholes'!$B$6,0))</f>
        <v>39.8442248712087</v>
      </c>
    </row>
    <row r="2343" customFormat="false" ht="15" hidden="false" customHeight="false" outlineLevel="0" collapsed="false">
      <c r="A2343" s="0" t="n">
        <v>2332</v>
      </c>
      <c r="B2343" s="15" t="n">
        <v>-0.0780257932848124</v>
      </c>
      <c r="C2343" s="18" t="n">
        <f aca="false">'Black-Scholes'!$B$5*EXP(('Black-Scholes'!$B$8-'Black-Scholes'!$B$10-'Black-Scholes'!$B$9^2/2)*'Black-Scholes'!$B$7+'Black-Scholes'!$B$9*SQRT('Black-Scholes'!$B$7)*B2343)</f>
        <v>101.449894599521</v>
      </c>
      <c r="D2343" s="18" t="n">
        <f aca="false">'Black-Scholes'!$B$5*EXP(('Black-Scholes'!$B$8-'Black-Scholes'!$B$10-'Black-Scholes'!$B$9^2/2)*'Black-Scholes'!$B$7-'Black-Scholes'!$B$9*SQRT('Black-Scholes'!$B$7)*B2343)</f>
        <v>104.66610642988</v>
      </c>
      <c r="E2343" s="18" t="n">
        <f aca="false">EXP(-'Black-Scholes'!$B$8*'Black-Scholes'!$B$7)*IF(LOWER('Black-Scholes'!$B$11)="put",MAX('Black-Scholes'!$B$6-C2343,0),MAX(C2343-'Black-Scholes'!$B$6,0))</f>
        <v>1.3791824054893</v>
      </c>
      <c r="F2343" s="18" t="n">
        <f aca="false">(E2343+G2343)/2</f>
        <v>2.90886006972155</v>
      </c>
      <c r="G2343" s="18" t="n">
        <f aca="false">EXP(-'Black-Scholes'!$B$8*'Black-Scholes'!$B$7)*IF(LOWER('Black-Scholes'!$B$11)="put",MAX('Black-Scholes'!$B$6-D2343,0),MAX(D2343-'Black-Scholes'!$B$6,0))</f>
        <v>4.43853773395381</v>
      </c>
    </row>
    <row r="2344" customFormat="false" ht="15" hidden="false" customHeight="false" outlineLevel="0" collapsed="false">
      <c r="A2344" s="0" t="n">
        <v>2333</v>
      </c>
      <c r="B2344" s="15" t="n">
        <v>-0.0133837295773822</v>
      </c>
      <c r="C2344" s="18" t="n">
        <f aca="false">'Black-Scholes'!$B$5*EXP(('Black-Scholes'!$B$8-'Black-Scholes'!$B$10-'Black-Scholes'!$B$9^2/2)*'Black-Scholes'!$B$7+'Black-Scholes'!$B$9*SQRT('Black-Scholes'!$B$7)*B2344)</f>
        <v>102.76999572843</v>
      </c>
      <c r="D2344" s="18" t="n">
        <f aca="false">'Black-Scholes'!$B$5*EXP(('Black-Scholes'!$B$8-'Black-Scholes'!$B$10-'Black-Scholes'!$B$9^2/2)*'Black-Scholes'!$B$7-'Black-Scholes'!$B$9*SQRT('Black-Scholes'!$B$7)*B2344)</f>
        <v>103.321649380162</v>
      </c>
      <c r="E2344" s="18" t="n">
        <f aca="false">EXP(-'Black-Scholes'!$B$8*'Black-Scholes'!$B$7)*IF(LOWER('Black-Scholes'!$B$11)="put",MAX('Black-Scholes'!$B$6-C2344,0),MAX(C2344-'Black-Scholes'!$B$6,0))</f>
        <v>2.634901442624</v>
      </c>
      <c r="F2344" s="18" t="n">
        <f aca="false">(E2344+G2344)/2</f>
        <v>2.89727603545429</v>
      </c>
      <c r="G2344" s="18" t="n">
        <f aca="false">EXP(-'Black-Scholes'!$B$8*'Black-Scholes'!$B$7)*IF(LOWER('Black-Scholes'!$B$11)="put",MAX('Black-Scholes'!$B$6-D2344,0),MAX(D2344-'Black-Scholes'!$B$6,0))</f>
        <v>3.15965062828459</v>
      </c>
    </row>
    <row r="2345" customFormat="false" ht="15" hidden="false" customHeight="false" outlineLevel="0" collapsed="false">
      <c r="A2345" s="0" t="n">
        <v>2334</v>
      </c>
      <c r="B2345" s="15" t="n">
        <v>-1.75932497125006</v>
      </c>
      <c r="C2345" s="18" t="n">
        <f aca="false">'Black-Scholes'!$B$5*EXP(('Black-Scholes'!$B$8-'Black-Scholes'!$B$10-'Black-Scholes'!$B$9^2/2)*'Black-Scholes'!$B$7+'Black-Scholes'!$B$9*SQRT('Black-Scholes'!$B$7)*B2345)</f>
        <v>72.4796035357276</v>
      </c>
      <c r="D2345" s="18" t="n">
        <f aca="false">'Black-Scholes'!$B$5*EXP(('Black-Scholes'!$B$8-'Black-Scholes'!$B$10-'Black-Scholes'!$B$9^2/2)*'Black-Scholes'!$B$7-'Black-Scholes'!$B$9*SQRT('Black-Scholes'!$B$7)*B2345)</f>
        <v>146.50142864288</v>
      </c>
      <c r="E2345" s="18" t="n">
        <f aca="false">EXP(-'Black-Scholes'!$B$8*'Black-Scholes'!$B$7)*IF(LOWER('Black-Scholes'!$B$11)="put",MAX('Black-Scholes'!$B$6-C2345,0),MAX(C2345-'Black-Scholes'!$B$6,0))</f>
        <v>0</v>
      </c>
      <c r="F2345" s="18" t="n">
        <f aca="false">(E2345+G2345)/2</f>
        <v>22.1167636032137</v>
      </c>
      <c r="G2345" s="18" t="n">
        <f aca="false">EXP(-'Black-Scholes'!$B$8*'Black-Scholes'!$B$7)*IF(LOWER('Black-Scholes'!$B$11)="put",MAX('Black-Scholes'!$B$6-D2345,0),MAX(D2345-'Black-Scholes'!$B$6,0))</f>
        <v>44.2335272064273</v>
      </c>
    </row>
    <row r="2346" customFormat="false" ht="15" hidden="false" customHeight="false" outlineLevel="0" collapsed="false">
      <c r="A2346" s="0" t="n">
        <v>2335</v>
      </c>
      <c r="B2346" s="15" t="n">
        <v>-0.577024692947351</v>
      </c>
      <c r="C2346" s="18" t="n">
        <f aca="false">'Black-Scholes'!$B$5*EXP(('Black-Scholes'!$B$8-'Black-Scholes'!$B$10-'Black-Scholes'!$B$9^2/2)*'Black-Scholes'!$B$7+'Black-Scholes'!$B$9*SQRT('Black-Scholes'!$B$7)*B2346)</f>
        <v>91.8140418629083</v>
      </c>
      <c r="D2346" s="18" t="n">
        <f aca="false">'Black-Scholes'!$B$5*EXP(('Black-Scholes'!$B$8-'Black-Scholes'!$B$10-'Black-Scholes'!$B$9^2/2)*'Black-Scholes'!$B$7-'Black-Scholes'!$B$9*SQRT('Black-Scholes'!$B$7)*B2346)</f>
        <v>115.650779009472</v>
      </c>
      <c r="E2346" s="18" t="n">
        <f aca="false">EXP(-'Black-Scholes'!$B$8*'Black-Scholes'!$B$7)*IF(LOWER('Black-Scholes'!$B$11)="put",MAX('Black-Scholes'!$B$6-C2346,0),MAX(C2346-'Black-Scholes'!$B$6,0))</f>
        <v>0</v>
      </c>
      <c r="F2346" s="18" t="n">
        <f aca="false">(E2346+G2346)/2</f>
        <v>7.44374075508385</v>
      </c>
      <c r="G2346" s="18" t="n">
        <f aca="false">EXP(-'Black-Scholes'!$B$8*'Black-Scholes'!$B$7)*IF(LOWER('Black-Scholes'!$B$11)="put",MAX('Black-Scholes'!$B$6-D2346,0),MAX(D2346-'Black-Scholes'!$B$6,0))</f>
        <v>14.8874815101677</v>
      </c>
    </row>
    <row r="2347" customFormat="false" ht="15" hidden="false" customHeight="false" outlineLevel="0" collapsed="false">
      <c r="A2347" s="0" t="n">
        <v>2336</v>
      </c>
      <c r="B2347" s="15" t="n">
        <v>0.916260523688635</v>
      </c>
      <c r="C2347" s="18" t="n">
        <f aca="false">'Black-Scholes'!$B$5*EXP(('Black-Scholes'!$B$8-'Black-Scholes'!$B$10-'Black-Scholes'!$B$9^2/2)*'Black-Scholes'!$B$7+'Black-Scholes'!$B$9*SQRT('Black-Scholes'!$B$7)*B2347)</f>
        <v>123.769664110198</v>
      </c>
      <c r="D2347" s="18" t="n">
        <f aca="false">'Black-Scholes'!$B$5*EXP(('Black-Scholes'!$B$8-'Black-Scholes'!$B$10-'Black-Scholes'!$B$9^2/2)*'Black-Scholes'!$B$7-'Black-Scholes'!$B$9*SQRT('Black-Scholes'!$B$7)*B2347)</f>
        <v>85.7913410510638</v>
      </c>
      <c r="E2347" s="18" t="n">
        <f aca="false">EXP(-'Black-Scholes'!$B$8*'Black-Scholes'!$B$7)*IF(LOWER('Black-Scholes'!$B$11)="put",MAX('Black-Scholes'!$B$6-C2347,0),MAX(C2347-'Black-Scholes'!$B$6,0))</f>
        <v>22.6104039121188</v>
      </c>
      <c r="F2347" s="18" t="n">
        <f aca="false">(E2347+G2347)/2</f>
        <v>11.3052019560594</v>
      </c>
      <c r="G2347" s="18" t="n">
        <f aca="false">EXP(-'Black-Scholes'!$B$8*'Black-Scholes'!$B$7)*IF(LOWER('Black-Scholes'!$B$11)="put",MAX('Black-Scholes'!$B$6-D2347,0),MAX(D2347-'Black-Scholes'!$B$6,0))</f>
        <v>0</v>
      </c>
    </row>
    <row r="2348" customFormat="false" ht="15" hidden="false" customHeight="false" outlineLevel="0" collapsed="false">
      <c r="A2348" s="0" t="n">
        <v>2337</v>
      </c>
      <c r="B2348" s="15" t="n">
        <v>2.97524941614412</v>
      </c>
      <c r="C2348" s="18" t="n">
        <f aca="false">'Black-Scholes'!$B$5*EXP(('Black-Scholes'!$B$8-'Black-Scholes'!$B$10-'Black-Scholes'!$B$9^2/2)*'Black-Scholes'!$B$7+'Black-Scholes'!$B$9*SQRT('Black-Scholes'!$B$7)*B2348)</f>
        <v>186.833915389727</v>
      </c>
      <c r="D2348" s="18" t="n">
        <f aca="false">'Black-Scholes'!$B$5*EXP(('Black-Scholes'!$B$8-'Black-Scholes'!$B$10-'Black-Scholes'!$B$9^2/2)*'Black-Scholes'!$B$7-'Black-Scholes'!$B$9*SQRT('Black-Scholes'!$B$7)*B2348)</f>
        <v>56.8331795825409</v>
      </c>
      <c r="E2348" s="18" t="n">
        <f aca="false">EXP(-'Black-Scholes'!$B$8*'Black-Scholes'!$B$7)*IF(LOWER('Black-Scholes'!$B$11)="put",MAX('Black-Scholes'!$B$6-C2348,0),MAX(C2348-'Black-Scholes'!$B$6,0))</f>
        <v>82.5989753633136</v>
      </c>
      <c r="F2348" s="18" t="n">
        <f aca="false">(E2348+G2348)/2</f>
        <v>41.2994876816568</v>
      </c>
      <c r="G2348" s="18" t="n">
        <f aca="false">EXP(-'Black-Scholes'!$B$8*'Black-Scholes'!$B$7)*IF(LOWER('Black-Scholes'!$B$11)="put",MAX('Black-Scholes'!$B$6-D2348,0),MAX(D2348-'Black-Scholes'!$B$6,0))</f>
        <v>0</v>
      </c>
    </row>
    <row r="2349" customFormat="false" ht="15" hidden="false" customHeight="false" outlineLevel="0" collapsed="false">
      <c r="A2349" s="0" t="n">
        <v>2338</v>
      </c>
      <c r="B2349" s="15" t="n">
        <v>-1.25930054763919</v>
      </c>
      <c r="C2349" s="18" t="n">
        <f aca="false">'Black-Scholes'!$B$5*EXP(('Black-Scholes'!$B$8-'Black-Scholes'!$B$10-'Black-Scholes'!$B$9^2/2)*'Black-Scholes'!$B$7+'Black-Scholes'!$B$9*SQRT('Black-Scholes'!$B$7)*B2349)</f>
        <v>80.1027412600198</v>
      </c>
      <c r="D2349" s="18" t="n">
        <f aca="false">'Black-Scholes'!$B$5*EXP(('Black-Scholes'!$B$8-'Black-Scholes'!$B$10-'Black-Scholes'!$B$9^2/2)*'Black-Scholes'!$B$7-'Black-Scholes'!$B$9*SQRT('Black-Scholes'!$B$7)*B2349)</f>
        <v>132.559326914738</v>
      </c>
      <c r="E2349" s="18" t="n">
        <f aca="false">EXP(-'Black-Scholes'!$B$8*'Black-Scholes'!$B$7)*IF(LOWER('Black-Scholes'!$B$11)="put",MAX('Black-Scholes'!$B$6-C2349,0),MAX(C2349-'Black-Scholes'!$B$6,0))</f>
        <v>0</v>
      </c>
      <c r="F2349" s="18" t="n">
        <f aca="false">(E2349+G2349)/2</f>
        <v>15.4856949016182</v>
      </c>
      <c r="G2349" s="18" t="n">
        <f aca="false">EXP(-'Black-Scholes'!$B$8*'Black-Scholes'!$B$7)*IF(LOWER('Black-Scholes'!$B$11)="put",MAX('Black-Scholes'!$B$6-D2349,0),MAX(D2349-'Black-Scholes'!$B$6,0))</f>
        <v>30.9713898032364</v>
      </c>
    </row>
    <row r="2350" customFormat="false" ht="15" hidden="false" customHeight="false" outlineLevel="0" collapsed="false">
      <c r="A2350" s="0" t="n">
        <v>2339</v>
      </c>
      <c r="B2350" s="15" t="n">
        <v>-0.586927319195736</v>
      </c>
      <c r="C2350" s="18" t="n">
        <f aca="false">'Black-Scholes'!$B$5*EXP(('Black-Scholes'!$B$8-'Black-Scholes'!$B$10-'Black-Scholes'!$B$9^2/2)*'Black-Scholes'!$B$7+'Black-Scholes'!$B$9*SQRT('Black-Scholes'!$B$7)*B2350)</f>
        <v>91.632381785289</v>
      </c>
      <c r="D2350" s="18" t="n">
        <f aca="false">'Black-Scholes'!$B$5*EXP(('Black-Scholes'!$B$8-'Black-Scholes'!$B$10-'Black-Scholes'!$B$9^2/2)*'Black-Scholes'!$B$7-'Black-Scholes'!$B$9*SQRT('Black-Scholes'!$B$7)*B2350)</f>
        <v>115.880055266208</v>
      </c>
      <c r="E2350" s="18" t="n">
        <f aca="false">EXP(-'Black-Scholes'!$B$8*'Black-Scholes'!$B$7)*IF(LOWER('Black-Scholes'!$B$11)="put",MAX('Black-Scholes'!$B$6-C2350,0),MAX(C2350-'Black-Scholes'!$B$6,0))</f>
        <v>0</v>
      </c>
      <c r="F2350" s="18" t="n">
        <f aca="false">(E2350+G2350)/2</f>
        <v>7.55278791595745</v>
      </c>
      <c r="G2350" s="18" t="n">
        <f aca="false">EXP(-'Black-Scholes'!$B$8*'Black-Scholes'!$B$7)*IF(LOWER('Black-Scholes'!$B$11)="put",MAX('Black-Scholes'!$B$6-D2350,0),MAX(D2350-'Black-Scholes'!$B$6,0))</f>
        <v>15.1055758319149</v>
      </c>
    </row>
    <row r="2351" customFormat="false" ht="15" hidden="false" customHeight="false" outlineLevel="0" collapsed="false">
      <c r="A2351" s="0" t="n">
        <v>2340</v>
      </c>
      <c r="B2351" s="15" t="n">
        <v>-0.635976549151074</v>
      </c>
      <c r="C2351" s="18" t="n">
        <f aca="false">'Black-Scholes'!$B$5*EXP(('Black-Scholes'!$B$8-'Black-Scholes'!$B$10-'Black-Scholes'!$B$9^2/2)*'Black-Scholes'!$B$7+'Black-Scholes'!$B$9*SQRT('Black-Scholes'!$B$7)*B2351)</f>
        <v>90.7378768832461</v>
      </c>
      <c r="D2351" s="18" t="n">
        <f aca="false">'Black-Scholes'!$B$5*EXP(('Black-Scholes'!$B$8-'Black-Scholes'!$B$10-'Black-Scholes'!$B$9^2/2)*'Black-Scholes'!$B$7-'Black-Scholes'!$B$9*SQRT('Black-Scholes'!$B$7)*B2351)</f>
        <v>117.022414786235</v>
      </c>
      <c r="E2351" s="18" t="n">
        <f aca="false">EXP(-'Black-Scholes'!$B$8*'Black-Scholes'!$B$7)*IF(LOWER('Black-Scholes'!$B$11)="put",MAX('Black-Scholes'!$B$6-C2351,0),MAX(C2351-'Black-Scholes'!$B$6,0))</f>
        <v>0</v>
      </c>
      <c r="F2351" s="18" t="n">
        <f aca="false">(E2351+G2351)/2</f>
        <v>8.09611091036161</v>
      </c>
      <c r="G2351" s="18" t="n">
        <f aca="false">EXP(-'Black-Scholes'!$B$8*'Black-Scholes'!$B$7)*IF(LOWER('Black-Scholes'!$B$11)="put",MAX('Black-Scholes'!$B$6-D2351,0),MAX(D2351-'Black-Scholes'!$B$6,0))</f>
        <v>16.1922218207232</v>
      </c>
    </row>
    <row r="2352" customFormat="false" ht="15" hidden="false" customHeight="false" outlineLevel="0" collapsed="false">
      <c r="A2352" s="0" t="n">
        <v>2341</v>
      </c>
      <c r="B2352" s="15" t="n">
        <v>0.0202047027214614</v>
      </c>
      <c r="C2352" s="18" t="n">
        <f aca="false">'Black-Scholes'!$B$5*EXP(('Black-Scholes'!$B$8-'Black-Scholes'!$B$10-'Black-Scholes'!$B$9^2/2)*'Black-Scholes'!$B$7+'Black-Scholes'!$B$9*SQRT('Black-Scholes'!$B$7)*B2352)</f>
        <v>103.462696405209</v>
      </c>
      <c r="D2352" s="18" t="n">
        <f aca="false">'Black-Scholes'!$B$5*EXP(('Black-Scholes'!$B$8-'Black-Scholes'!$B$10-'Black-Scholes'!$B$9^2/2)*'Black-Scholes'!$B$7-'Black-Scholes'!$B$9*SQRT('Black-Scholes'!$B$7)*B2352)</f>
        <v>102.629893037651</v>
      </c>
      <c r="E2352" s="18" t="n">
        <f aca="false">EXP(-'Black-Scholes'!$B$8*'Black-Scholes'!$B$7)*IF(LOWER('Black-Scholes'!$B$11)="put",MAX('Black-Scholes'!$B$6-C2352,0),MAX(C2352-'Black-Scholes'!$B$6,0))</f>
        <v>3.293818708748</v>
      </c>
      <c r="F2352" s="18" t="n">
        <f aca="false">(E2352+G2352)/2</f>
        <v>2.8977251747256</v>
      </c>
      <c r="G2352" s="18" t="n">
        <f aca="false">EXP(-'Black-Scholes'!$B$8*'Black-Scholes'!$B$7)*IF(LOWER('Black-Scholes'!$B$11)="put",MAX('Black-Scholes'!$B$6-D2352,0),MAX(D2352-'Black-Scholes'!$B$6,0))</f>
        <v>2.5016316407032</v>
      </c>
    </row>
    <row r="2353" customFormat="false" ht="15" hidden="false" customHeight="false" outlineLevel="0" collapsed="false">
      <c r="A2353" s="0" t="n">
        <v>2342</v>
      </c>
      <c r="B2353" s="15" t="n">
        <v>-1.2691783627653</v>
      </c>
      <c r="C2353" s="18" t="n">
        <f aca="false">'Black-Scholes'!$B$5*EXP(('Black-Scholes'!$B$8-'Black-Scholes'!$B$10-'Black-Scholes'!$B$9^2/2)*'Black-Scholes'!$B$7+'Black-Scholes'!$B$9*SQRT('Black-Scholes'!$B$7)*B2353)</f>
        <v>79.9446494577446</v>
      </c>
      <c r="D2353" s="18" t="n">
        <f aca="false">'Black-Scholes'!$B$5*EXP(('Black-Scholes'!$B$8-'Black-Scholes'!$B$10-'Black-Scholes'!$B$9^2/2)*'Black-Scholes'!$B$7-'Black-Scholes'!$B$9*SQRT('Black-Scholes'!$B$7)*B2353)</f>
        <v>132.821465069605</v>
      </c>
      <c r="E2353" s="18" t="n">
        <f aca="false">EXP(-'Black-Scholes'!$B$8*'Black-Scholes'!$B$7)*IF(LOWER('Black-Scholes'!$B$11)="put",MAX('Black-Scholes'!$B$6-C2353,0),MAX(C2353-'Black-Scholes'!$B$6,0))</f>
        <v>0</v>
      </c>
      <c r="F2353" s="18" t="n">
        <f aca="false">(E2353+G2353)/2</f>
        <v>15.6103716647151</v>
      </c>
      <c r="G2353" s="18" t="n">
        <f aca="false">EXP(-'Black-Scholes'!$B$8*'Black-Scholes'!$B$7)*IF(LOWER('Black-Scholes'!$B$11)="put",MAX('Black-Scholes'!$B$6-D2353,0),MAX(D2353-'Black-Scholes'!$B$6,0))</f>
        <v>31.2207433294302</v>
      </c>
    </row>
    <row r="2354" customFormat="false" ht="15" hidden="false" customHeight="false" outlineLevel="0" collapsed="false">
      <c r="A2354" s="0" t="n">
        <v>2343</v>
      </c>
      <c r="B2354" s="15" t="n">
        <v>-0.171704045230634</v>
      </c>
      <c r="C2354" s="18" t="n">
        <f aca="false">'Black-Scholes'!$B$5*EXP(('Black-Scholes'!$B$8-'Black-Scholes'!$B$10-'Black-Scholes'!$B$9^2/2)*'Black-Scholes'!$B$7+'Black-Scholes'!$B$9*SQRT('Black-Scholes'!$B$7)*B2354)</f>
        <v>99.5668598648203</v>
      </c>
      <c r="D2354" s="18" t="n">
        <f aca="false">'Black-Scholes'!$B$5*EXP(('Black-Scholes'!$B$8-'Black-Scholes'!$B$10-'Black-Scholes'!$B$9^2/2)*'Black-Scholes'!$B$7-'Black-Scholes'!$B$9*SQRT('Black-Scholes'!$B$7)*B2354)</f>
        <v>106.645579461579</v>
      </c>
      <c r="E2354" s="18" t="n">
        <f aca="false">EXP(-'Black-Scholes'!$B$8*'Black-Scholes'!$B$7)*IF(LOWER('Black-Scholes'!$B$11)="put",MAX('Black-Scholes'!$B$6-C2354,0),MAX(C2354-'Black-Scholes'!$B$6,0))</f>
        <v>0</v>
      </c>
      <c r="F2354" s="18" t="n">
        <f aca="false">(E2354+G2354)/2</f>
        <v>3.16073536335578</v>
      </c>
      <c r="G2354" s="18" t="n">
        <f aca="false">EXP(-'Black-Scholes'!$B$8*'Black-Scholes'!$B$7)*IF(LOWER('Black-Scholes'!$B$11)="put",MAX('Black-Scholes'!$B$6-D2354,0),MAX(D2354-'Black-Scholes'!$B$6,0))</f>
        <v>6.32147072671156</v>
      </c>
    </row>
    <row r="2355" customFormat="false" ht="15" hidden="false" customHeight="false" outlineLevel="0" collapsed="false">
      <c r="A2355" s="0" t="n">
        <v>2344</v>
      </c>
      <c r="B2355" s="15" t="n">
        <v>-0.107100702517296</v>
      </c>
      <c r="C2355" s="18" t="n">
        <f aca="false">'Black-Scholes'!$B$5*EXP(('Black-Scholes'!$B$8-'Black-Scholes'!$B$10-'Black-Scholes'!$B$9^2/2)*'Black-Scholes'!$B$7+'Black-Scholes'!$B$9*SQRT('Black-Scholes'!$B$7)*B2355)</f>
        <v>100.861677198349</v>
      </c>
      <c r="D2355" s="18" t="n">
        <f aca="false">'Black-Scholes'!$B$5*EXP(('Black-Scholes'!$B$8-'Black-Scholes'!$B$10-'Black-Scholes'!$B$9^2/2)*'Black-Scholes'!$B$7-'Black-Scholes'!$B$9*SQRT('Black-Scholes'!$B$7)*B2355)</f>
        <v>105.276510964339</v>
      </c>
      <c r="E2355" s="18" t="n">
        <f aca="false">EXP(-'Black-Scholes'!$B$8*'Black-Scholes'!$B$7)*IF(LOWER('Black-Scholes'!$B$11)="put",MAX('Black-Scholes'!$B$6-C2355,0),MAX(C2355-'Black-Scholes'!$B$6,0))</f>
        <v>0.819652705491096</v>
      </c>
      <c r="F2355" s="18" t="n">
        <f aca="false">(E2355+G2355)/2</f>
        <v>2.91941259673533</v>
      </c>
      <c r="G2355" s="18" t="n">
        <f aca="false">EXP(-'Black-Scholes'!$B$8*'Black-Scholes'!$B$7)*IF(LOWER('Black-Scholes'!$B$11)="put",MAX('Black-Scholes'!$B$6-D2355,0),MAX(D2355-'Black-Scholes'!$B$6,0))</f>
        <v>5.01917248797957</v>
      </c>
    </row>
    <row r="2356" customFormat="false" ht="15" hidden="false" customHeight="false" outlineLevel="0" collapsed="false">
      <c r="A2356" s="0" t="n">
        <v>2345</v>
      </c>
      <c r="B2356" s="15" t="n">
        <v>-0.0730893285051346</v>
      </c>
      <c r="C2356" s="18" t="n">
        <f aca="false">'Black-Scholes'!$B$5*EXP(('Black-Scholes'!$B$8-'Black-Scholes'!$B$10-'Black-Scholes'!$B$9^2/2)*'Black-Scholes'!$B$7+'Black-Scholes'!$B$9*SQRT('Black-Scholes'!$B$7)*B2356)</f>
        <v>101.550104826125</v>
      </c>
      <c r="D2356" s="18" t="n">
        <f aca="false">'Black-Scholes'!$B$5*EXP(('Black-Scholes'!$B$8-'Black-Scholes'!$B$10-'Black-Scholes'!$B$9^2/2)*'Black-Scholes'!$B$7-'Black-Scholes'!$B$9*SQRT('Black-Scholes'!$B$7)*B2356)</f>
        <v>104.562821314999</v>
      </c>
      <c r="E2356" s="18" t="n">
        <f aca="false">EXP(-'Black-Scholes'!$B$8*'Black-Scholes'!$B$7)*IF(LOWER('Black-Scholes'!$B$11)="put",MAX('Black-Scholes'!$B$6-C2356,0),MAX(C2356-'Black-Scholes'!$B$6,0))</f>
        <v>1.47450532167086</v>
      </c>
      <c r="F2356" s="18" t="n">
        <f aca="false">(E2356+G2356)/2</f>
        <v>2.90739760761869</v>
      </c>
      <c r="G2356" s="18" t="n">
        <f aca="false">EXP(-'Black-Scholes'!$B$8*'Black-Scholes'!$B$7)*IF(LOWER('Black-Scholes'!$B$11)="put",MAX('Black-Scholes'!$B$6-D2356,0),MAX(D2356-'Black-Scholes'!$B$6,0))</f>
        <v>4.34028989356652</v>
      </c>
    </row>
    <row r="2357" customFormat="false" ht="15" hidden="false" customHeight="false" outlineLevel="0" collapsed="false">
      <c r="A2357" s="0" t="n">
        <v>2346</v>
      </c>
      <c r="B2357" s="15" t="n">
        <v>1.22155633738834</v>
      </c>
      <c r="C2357" s="18" t="n">
        <f aca="false">'Black-Scholes'!$B$5*EXP(('Black-Scholes'!$B$8-'Black-Scholes'!$B$10-'Black-Scholes'!$B$9^2/2)*'Black-Scholes'!$B$7+'Black-Scholes'!$B$9*SQRT('Black-Scholes'!$B$7)*B2357)</f>
        <v>131.562424955332</v>
      </c>
      <c r="D2357" s="18" t="n">
        <f aca="false">'Black-Scholes'!$B$5*EXP(('Black-Scholes'!$B$8-'Black-Scholes'!$B$10-'Black-Scholes'!$B$9^2/2)*'Black-Scholes'!$B$7-'Black-Scholes'!$B$9*SQRT('Black-Scholes'!$B$7)*B2357)</f>
        <v>80.7097122834178</v>
      </c>
      <c r="E2357" s="18" t="n">
        <f aca="false">EXP(-'Black-Scholes'!$B$8*'Black-Scholes'!$B$7)*IF(LOWER('Black-Scholes'!$B$11)="put",MAX('Black-Scholes'!$B$6-C2357,0),MAX(C2357-'Black-Scholes'!$B$6,0))</f>
        <v>30.0231073261074</v>
      </c>
      <c r="F2357" s="18" t="n">
        <f aca="false">(E2357+G2357)/2</f>
        <v>15.0115536630537</v>
      </c>
      <c r="G2357" s="18" t="n">
        <f aca="false">EXP(-'Black-Scholes'!$B$8*'Black-Scholes'!$B$7)*IF(LOWER('Black-Scholes'!$B$11)="put",MAX('Black-Scholes'!$B$6-D2357,0),MAX(D2357-'Black-Scholes'!$B$6,0))</f>
        <v>0</v>
      </c>
    </row>
    <row r="2358" customFormat="false" ht="15" hidden="false" customHeight="false" outlineLevel="0" collapsed="false">
      <c r="A2358" s="0" t="n">
        <v>2347</v>
      </c>
      <c r="B2358" s="15" t="n">
        <v>-0.417762679280482</v>
      </c>
      <c r="C2358" s="18" t="n">
        <f aca="false">'Black-Scholes'!$B$5*EXP(('Black-Scholes'!$B$8-'Black-Scholes'!$B$10-'Black-Scholes'!$B$9^2/2)*'Black-Scholes'!$B$7+'Black-Scholes'!$B$9*SQRT('Black-Scholes'!$B$7)*B2358)</f>
        <v>94.7856143261789</v>
      </c>
      <c r="D2358" s="18" t="n">
        <f aca="false">'Black-Scholes'!$B$5*EXP(('Black-Scholes'!$B$8-'Black-Scholes'!$B$10-'Black-Scholes'!$B$9^2/2)*'Black-Scholes'!$B$7-'Black-Scholes'!$B$9*SQRT('Black-Scholes'!$B$7)*B2358)</f>
        <v>112.025074067816</v>
      </c>
      <c r="E2358" s="18" t="n">
        <f aca="false">EXP(-'Black-Scholes'!$B$8*'Black-Scholes'!$B$7)*IF(LOWER('Black-Scholes'!$B$11)="put",MAX('Black-Scholes'!$B$6-C2358,0),MAX(C2358-'Black-Scholes'!$B$6,0))</f>
        <v>0</v>
      </c>
      <c r="F2358" s="18" t="n">
        <f aca="false">(E2358+G2358)/2</f>
        <v>5.71930214255337</v>
      </c>
      <c r="G2358" s="18" t="n">
        <f aca="false">EXP(-'Black-Scholes'!$B$8*'Black-Scholes'!$B$7)*IF(LOWER('Black-Scholes'!$B$11)="put",MAX('Black-Scholes'!$B$6-D2358,0),MAX(D2358-'Black-Scholes'!$B$6,0))</f>
        <v>11.4386042851067</v>
      </c>
    </row>
    <row r="2359" customFormat="false" ht="15" hidden="false" customHeight="false" outlineLevel="0" collapsed="false">
      <c r="A2359" s="0" t="n">
        <v>2348</v>
      </c>
      <c r="B2359" s="15" t="n">
        <v>-0.589685421345243</v>
      </c>
      <c r="C2359" s="18" t="n">
        <f aca="false">'Black-Scholes'!$B$5*EXP(('Black-Scholes'!$B$8-'Black-Scholes'!$B$10-'Black-Scholes'!$B$9^2/2)*'Black-Scholes'!$B$7+'Black-Scholes'!$B$9*SQRT('Black-Scholes'!$B$7)*B2359)</f>
        <v>91.5818494300768</v>
      </c>
      <c r="D2359" s="18" t="n">
        <f aca="false">'Black-Scholes'!$B$5*EXP(('Black-Scholes'!$B$8-'Black-Scholes'!$B$10-'Black-Scholes'!$B$9^2/2)*'Black-Scholes'!$B$7-'Black-Scholes'!$B$9*SQRT('Black-Scholes'!$B$7)*B2359)</f>
        <v>115.943994705641</v>
      </c>
      <c r="E2359" s="18" t="n">
        <f aca="false">EXP(-'Black-Scholes'!$B$8*'Black-Scholes'!$B$7)*IF(LOWER('Black-Scholes'!$B$11)="put",MAX('Black-Scholes'!$B$6-C2359,0),MAX(C2359-'Black-Scholes'!$B$6,0))</f>
        <v>0</v>
      </c>
      <c r="F2359" s="18" t="n">
        <f aca="false">(E2359+G2359)/2</f>
        <v>7.58319845404443</v>
      </c>
      <c r="G2359" s="18" t="n">
        <f aca="false">EXP(-'Black-Scholes'!$B$8*'Black-Scholes'!$B$7)*IF(LOWER('Black-Scholes'!$B$11)="put",MAX('Black-Scholes'!$B$6-D2359,0),MAX(D2359-'Black-Scholes'!$B$6,0))</f>
        <v>15.1663969080889</v>
      </c>
    </row>
    <row r="2360" customFormat="false" ht="15" hidden="false" customHeight="false" outlineLevel="0" collapsed="false">
      <c r="A2360" s="0" t="n">
        <v>2349</v>
      </c>
      <c r="B2360" s="15" t="n">
        <v>1.52865857409992</v>
      </c>
      <c r="C2360" s="18" t="n">
        <f aca="false">'Black-Scholes'!$B$5*EXP(('Black-Scholes'!$B$8-'Black-Scholes'!$B$10-'Black-Scholes'!$B$9^2/2)*'Black-Scholes'!$B$7+'Black-Scholes'!$B$9*SQRT('Black-Scholes'!$B$7)*B2360)</f>
        <v>139.896365324432</v>
      </c>
      <c r="D2360" s="18" t="n">
        <f aca="false">'Black-Scholes'!$B$5*EXP(('Black-Scholes'!$B$8-'Black-Scholes'!$B$10-'Black-Scholes'!$B$9^2/2)*'Black-Scholes'!$B$7-'Black-Scholes'!$B$9*SQRT('Black-Scholes'!$B$7)*B2360)</f>
        <v>75.9016536335927</v>
      </c>
      <c r="E2360" s="18" t="n">
        <f aca="false">EXP(-'Black-Scholes'!$B$8*'Black-Scholes'!$B$7)*IF(LOWER('Black-Scholes'!$B$11)="put",MAX('Black-Scholes'!$B$6-C2360,0),MAX(C2360-'Black-Scholes'!$B$6,0))</f>
        <v>37.9505966272298</v>
      </c>
      <c r="F2360" s="18" t="n">
        <f aca="false">(E2360+G2360)/2</f>
        <v>18.9752983136149</v>
      </c>
      <c r="G2360" s="18" t="n">
        <f aca="false">EXP(-'Black-Scholes'!$B$8*'Black-Scholes'!$B$7)*IF(LOWER('Black-Scholes'!$B$11)="put",MAX('Black-Scholes'!$B$6-D2360,0),MAX(D2360-'Black-Scholes'!$B$6,0))</f>
        <v>0</v>
      </c>
    </row>
    <row r="2361" customFormat="false" ht="15" hidden="false" customHeight="false" outlineLevel="0" collapsed="false">
      <c r="A2361" s="0" t="n">
        <v>2350</v>
      </c>
      <c r="B2361" s="15" t="n">
        <v>-0.524244787227027</v>
      </c>
      <c r="C2361" s="18" t="n">
        <f aca="false">'Black-Scholes'!$B$5*EXP(('Black-Scholes'!$B$8-'Black-Scholes'!$B$10-'Black-Scholes'!$B$9^2/2)*'Black-Scholes'!$B$7+'Black-Scholes'!$B$9*SQRT('Black-Scholes'!$B$7)*B2361)</f>
        <v>92.7883625657971</v>
      </c>
      <c r="D2361" s="18" t="n">
        <f aca="false">'Black-Scholes'!$B$5*EXP(('Black-Scholes'!$B$8-'Black-Scholes'!$B$10-'Black-Scholes'!$B$9^2/2)*'Black-Scholes'!$B$7-'Black-Scholes'!$B$9*SQRT('Black-Scholes'!$B$7)*B2361)</f>
        <v>114.436392364657</v>
      </c>
      <c r="E2361" s="18" t="n">
        <f aca="false">EXP(-'Black-Scholes'!$B$8*'Black-Scholes'!$B$7)*IF(LOWER('Black-Scholes'!$B$11)="put",MAX('Black-Scholes'!$B$6-C2361,0),MAX(C2361-'Black-Scholes'!$B$6,0))</f>
        <v>0</v>
      </c>
      <c r="F2361" s="18" t="n">
        <f aca="false">(E2361+G2361)/2</f>
        <v>6.86616060044952</v>
      </c>
      <c r="G2361" s="18" t="n">
        <f aca="false">EXP(-'Black-Scholes'!$B$8*'Black-Scholes'!$B$7)*IF(LOWER('Black-Scholes'!$B$11)="put",MAX('Black-Scholes'!$B$6-D2361,0),MAX(D2361-'Black-Scholes'!$B$6,0))</f>
        <v>13.732321200899</v>
      </c>
    </row>
    <row r="2362" customFormat="false" ht="15" hidden="false" customHeight="false" outlineLevel="0" collapsed="false">
      <c r="A2362" s="0" t="n">
        <v>2351</v>
      </c>
      <c r="B2362" s="15" t="n">
        <v>0.667016704778033</v>
      </c>
      <c r="C2362" s="18" t="n">
        <f aca="false">'Black-Scholes'!$B$5*EXP(('Black-Scholes'!$B$8-'Black-Scholes'!$B$10-'Black-Scholes'!$B$9^2/2)*'Black-Scholes'!$B$7+'Black-Scholes'!$B$9*SQRT('Black-Scholes'!$B$7)*B2362)</f>
        <v>117.751153254702</v>
      </c>
      <c r="D2362" s="18" t="n">
        <f aca="false">'Black-Scholes'!$B$5*EXP(('Black-Scholes'!$B$8-'Black-Scholes'!$B$10-'Black-Scholes'!$B$9^2/2)*'Black-Scholes'!$B$7-'Black-Scholes'!$B$9*SQRT('Black-Scholes'!$B$7)*B2362)</f>
        <v>90.1763182096868</v>
      </c>
      <c r="E2362" s="18" t="n">
        <f aca="false">EXP(-'Black-Scholes'!$B$8*'Black-Scholes'!$B$7)*IF(LOWER('Black-Scholes'!$B$11)="put",MAX('Black-Scholes'!$B$6-C2362,0),MAX(C2362-'Black-Scholes'!$B$6,0))</f>
        <v>16.885419294694</v>
      </c>
      <c r="F2362" s="18" t="n">
        <f aca="false">(E2362+G2362)/2</f>
        <v>8.44270964734701</v>
      </c>
      <c r="G2362" s="18" t="n">
        <f aca="false">EXP(-'Black-Scholes'!$B$8*'Black-Scholes'!$B$7)*IF(LOWER('Black-Scholes'!$B$11)="put",MAX('Black-Scholes'!$B$6-D2362,0),MAX(D2362-'Black-Scholes'!$B$6,0))</f>
        <v>0</v>
      </c>
    </row>
    <row r="2363" customFormat="false" ht="15" hidden="false" customHeight="false" outlineLevel="0" collapsed="false">
      <c r="A2363" s="0" t="n">
        <v>2352</v>
      </c>
      <c r="B2363" s="15" t="n">
        <v>-0.392071765861397</v>
      </c>
      <c r="C2363" s="18" t="n">
        <f aca="false">'Black-Scholes'!$B$5*EXP(('Black-Scholes'!$B$8-'Black-Scholes'!$B$10-'Black-Scholes'!$B$9^2/2)*'Black-Scholes'!$B$7+'Black-Scholes'!$B$9*SQRT('Black-Scholes'!$B$7)*B2363)</f>
        <v>95.2738934879002</v>
      </c>
      <c r="D2363" s="18" t="n">
        <f aca="false">'Black-Scholes'!$B$5*EXP(('Black-Scholes'!$B$8-'Black-Scholes'!$B$10-'Black-Scholes'!$B$9^2/2)*'Black-Scholes'!$B$7-'Black-Scholes'!$B$9*SQRT('Black-Scholes'!$B$7)*B2363)</f>
        <v>111.450945025167</v>
      </c>
      <c r="E2363" s="18" t="n">
        <f aca="false">EXP(-'Black-Scholes'!$B$8*'Black-Scholes'!$B$7)*IF(LOWER('Black-Scholes'!$B$11)="put",MAX('Black-Scholes'!$B$6-C2363,0),MAX(C2363-'Black-Scholes'!$B$6,0))</f>
        <v>0</v>
      </c>
      <c r="F2363" s="18" t="n">
        <f aca="false">(E2363+G2363)/2</f>
        <v>5.44623792313951</v>
      </c>
      <c r="G2363" s="18" t="n">
        <f aca="false">EXP(-'Black-Scholes'!$B$8*'Black-Scholes'!$B$7)*IF(LOWER('Black-Scholes'!$B$11)="put",MAX('Black-Scholes'!$B$6-D2363,0),MAX(D2363-'Black-Scholes'!$B$6,0))</f>
        <v>10.892475846279</v>
      </c>
    </row>
    <row r="2364" customFormat="false" ht="15" hidden="false" customHeight="false" outlineLevel="0" collapsed="false">
      <c r="A2364" s="0" t="n">
        <v>2353</v>
      </c>
      <c r="B2364" s="15" t="n">
        <v>0.271017441717014</v>
      </c>
      <c r="C2364" s="18" t="n">
        <f aca="false">'Black-Scholes'!$B$5*EXP(('Black-Scholes'!$B$8-'Black-Scholes'!$B$10-'Black-Scholes'!$B$9^2/2)*'Black-Scholes'!$B$7+'Black-Scholes'!$B$9*SQRT('Black-Scholes'!$B$7)*B2364)</f>
        <v>108.785023613019</v>
      </c>
      <c r="D2364" s="18" t="n">
        <f aca="false">'Black-Scholes'!$B$5*EXP(('Black-Scholes'!$B$8-'Black-Scholes'!$B$10-'Black-Scholes'!$B$9^2/2)*'Black-Scholes'!$B$7-'Black-Scholes'!$B$9*SQRT('Black-Scholes'!$B$7)*B2364)</f>
        <v>97.608706720755</v>
      </c>
      <c r="E2364" s="18" t="n">
        <f aca="false">EXP(-'Black-Scholes'!$B$8*'Black-Scholes'!$B$7)*IF(LOWER('Black-Scholes'!$B$11)="put",MAX('Black-Scholes'!$B$6-C2364,0),MAX(C2364-'Black-Scholes'!$B$6,0))</f>
        <v>8.3565729556374</v>
      </c>
      <c r="F2364" s="18" t="n">
        <f aca="false">(E2364+G2364)/2</f>
        <v>4.1782864778187</v>
      </c>
      <c r="G2364" s="18" t="n">
        <f aca="false">EXP(-'Black-Scholes'!$B$8*'Black-Scholes'!$B$7)*IF(LOWER('Black-Scholes'!$B$11)="put",MAX('Black-Scholes'!$B$6-D2364,0),MAX(D2364-'Black-Scholes'!$B$6,0))</f>
        <v>0</v>
      </c>
    </row>
    <row r="2365" customFormat="false" ht="15" hidden="false" customHeight="false" outlineLevel="0" collapsed="false">
      <c r="A2365" s="0" t="n">
        <v>2354</v>
      </c>
      <c r="B2365" s="15" t="n">
        <v>1.01160049544541</v>
      </c>
      <c r="C2365" s="18" t="n">
        <f aca="false">'Black-Scholes'!$B$5*EXP(('Black-Scholes'!$B$8-'Black-Scholes'!$B$10-'Black-Scholes'!$B$9^2/2)*'Black-Scholes'!$B$7+'Black-Scholes'!$B$9*SQRT('Black-Scholes'!$B$7)*B2365)</f>
        <v>126.152347672097</v>
      </c>
      <c r="D2365" s="18" t="n">
        <f aca="false">'Black-Scholes'!$B$5*EXP(('Black-Scholes'!$B$8-'Black-Scholes'!$B$10-'Black-Scholes'!$B$9^2/2)*'Black-Scholes'!$B$7-'Black-Scholes'!$B$9*SQRT('Black-Scholes'!$B$7)*B2365)</f>
        <v>84.1709699533576</v>
      </c>
      <c r="E2365" s="18" t="n">
        <f aca="false">EXP(-'Black-Scholes'!$B$8*'Black-Scholes'!$B$7)*IF(LOWER('Black-Scholes'!$B$11)="put",MAX('Black-Scholes'!$B$6-C2365,0),MAX(C2365-'Black-Scholes'!$B$6,0))</f>
        <v>24.8768826254714</v>
      </c>
      <c r="F2365" s="18" t="n">
        <f aca="false">(E2365+G2365)/2</f>
        <v>12.4384413127357</v>
      </c>
      <c r="G2365" s="18" t="n">
        <f aca="false">EXP(-'Black-Scholes'!$B$8*'Black-Scholes'!$B$7)*IF(LOWER('Black-Scholes'!$B$11)="put",MAX('Black-Scholes'!$B$6-D2365,0),MAX(D2365-'Black-Scholes'!$B$6,0))</f>
        <v>0</v>
      </c>
    </row>
    <row r="2366" customFormat="false" ht="15" hidden="false" customHeight="false" outlineLevel="0" collapsed="false">
      <c r="A2366" s="0" t="n">
        <v>2355</v>
      </c>
      <c r="B2366" s="15" t="n">
        <v>-1.16429941127469</v>
      </c>
      <c r="C2366" s="18" t="n">
        <f aca="false">'Black-Scholes'!$B$5*EXP(('Black-Scholes'!$B$8-'Black-Scholes'!$B$10-'Black-Scholes'!$B$9^2/2)*'Black-Scholes'!$B$7+'Black-Scholes'!$B$9*SQRT('Black-Scholes'!$B$7)*B2366)</f>
        <v>81.6392624505504</v>
      </c>
      <c r="D2366" s="18" t="n">
        <f aca="false">'Black-Scholes'!$B$5*EXP(('Black-Scholes'!$B$8-'Black-Scholes'!$B$10-'Black-Scholes'!$B$9^2/2)*'Black-Scholes'!$B$7-'Black-Scholes'!$B$9*SQRT('Black-Scholes'!$B$7)*B2366)</f>
        <v>130.064446281411</v>
      </c>
      <c r="E2366" s="18" t="n">
        <f aca="false">EXP(-'Black-Scholes'!$B$8*'Black-Scholes'!$B$7)*IF(LOWER('Black-Scholes'!$B$11)="put",MAX('Black-Scholes'!$B$6-C2366,0),MAX(C2366-'Black-Scholes'!$B$6,0))</f>
        <v>0</v>
      </c>
      <c r="F2366" s="18" t="n">
        <f aca="false">(E2366+G2366)/2</f>
        <v>14.2990929670994</v>
      </c>
      <c r="G2366" s="18" t="n">
        <f aca="false">EXP(-'Black-Scholes'!$B$8*'Black-Scholes'!$B$7)*IF(LOWER('Black-Scholes'!$B$11)="put",MAX('Black-Scholes'!$B$6-D2366,0),MAX(D2366-'Black-Scholes'!$B$6,0))</f>
        <v>28.5981859341989</v>
      </c>
    </row>
    <row r="2367" customFormat="false" ht="15" hidden="false" customHeight="false" outlineLevel="0" collapsed="false">
      <c r="A2367" s="0" t="n">
        <v>2356</v>
      </c>
      <c r="B2367" s="15" t="n">
        <v>0.439084072362757</v>
      </c>
      <c r="C2367" s="18" t="n">
        <f aca="false">'Black-Scholes'!$B$5*EXP(('Black-Scholes'!$B$8-'Black-Scholes'!$B$10-'Black-Scholes'!$B$9^2/2)*'Black-Scholes'!$B$7+'Black-Scholes'!$B$9*SQRT('Black-Scholes'!$B$7)*B2367)</f>
        <v>112.503800181001</v>
      </c>
      <c r="D2367" s="18" t="n">
        <f aca="false">'Black-Scholes'!$B$5*EXP(('Black-Scholes'!$B$8-'Black-Scholes'!$B$10-'Black-Scholes'!$B$9^2/2)*'Black-Scholes'!$B$7-'Black-Scholes'!$B$9*SQRT('Black-Scholes'!$B$7)*B2367)</f>
        <v>94.3822826284115</v>
      </c>
      <c r="E2367" s="18" t="n">
        <f aca="false">EXP(-'Black-Scholes'!$B$8*'Black-Scholes'!$B$7)*IF(LOWER('Black-Scholes'!$B$11)="put",MAX('Black-Scholes'!$B$6-C2367,0),MAX(C2367-'Black-Scholes'!$B$6,0))</f>
        <v>11.8939826502458</v>
      </c>
      <c r="F2367" s="18" t="n">
        <f aca="false">(E2367+G2367)/2</f>
        <v>5.94699132512291</v>
      </c>
      <c r="G2367" s="18" t="n">
        <f aca="false">EXP(-'Black-Scholes'!$B$8*'Black-Scholes'!$B$7)*IF(LOWER('Black-Scholes'!$B$11)="put",MAX('Black-Scholes'!$B$6-D2367,0),MAX(D2367-'Black-Scholes'!$B$6,0))</f>
        <v>0</v>
      </c>
    </row>
    <row r="2368" customFormat="false" ht="15" hidden="false" customHeight="false" outlineLevel="0" collapsed="false">
      <c r="A2368" s="0" t="n">
        <v>2357</v>
      </c>
      <c r="B2368" s="15" t="n">
        <v>1.08221353536035</v>
      </c>
      <c r="C2368" s="18" t="n">
        <f aca="false">'Black-Scholes'!$B$5*EXP(('Black-Scholes'!$B$8-'Black-Scholes'!$B$10-'Black-Scholes'!$B$9^2/2)*'Black-Scholes'!$B$7+'Black-Scholes'!$B$9*SQRT('Black-Scholes'!$B$7)*B2368)</f>
        <v>127.946587677139</v>
      </c>
      <c r="D2368" s="18" t="n">
        <f aca="false">'Black-Scholes'!$B$5*EXP(('Black-Scholes'!$B$8-'Black-Scholes'!$B$10-'Black-Scholes'!$B$9^2/2)*'Black-Scholes'!$B$7-'Black-Scholes'!$B$9*SQRT('Black-Scholes'!$B$7)*B2368)</f>
        <v>82.9906108340151</v>
      </c>
      <c r="E2368" s="18" t="n">
        <f aca="false">EXP(-'Black-Scholes'!$B$8*'Black-Scholes'!$B$7)*IF(LOWER('Black-Scholes'!$B$11)="put",MAX('Black-Scholes'!$B$6-C2368,0),MAX(C2368-'Black-Scholes'!$B$6,0))</f>
        <v>26.5836165128833</v>
      </c>
      <c r="F2368" s="18" t="n">
        <f aca="false">(E2368+G2368)/2</f>
        <v>13.2918082564416</v>
      </c>
      <c r="G2368" s="18" t="n">
        <f aca="false">EXP(-'Black-Scholes'!$B$8*'Black-Scholes'!$B$7)*IF(LOWER('Black-Scholes'!$B$11)="put",MAX('Black-Scholes'!$B$6-D2368,0),MAX(D2368-'Black-Scholes'!$B$6,0))</f>
        <v>0</v>
      </c>
    </row>
    <row r="2369" customFormat="false" ht="15" hidden="false" customHeight="false" outlineLevel="0" collapsed="false">
      <c r="A2369" s="0" t="n">
        <v>2358</v>
      </c>
      <c r="B2369" s="15" t="n">
        <v>0.868716630611108</v>
      </c>
      <c r="C2369" s="18" t="n">
        <f aca="false">'Black-Scholes'!$B$5*EXP(('Black-Scholes'!$B$8-'Black-Scholes'!$B$10-'Black-Scholes'!$B$9^2/2)*'Black-Scholes'!$B$7+'Black-Scholes'!$B$9*SQRT('Black-Scholes'!$B$7)*B2369)</f>
        <v>122.598343514556</v>
      </c>
      <c r="D2369" s="18" t="n">
        <f aca="false">'Black-Scholes'!$B$5*EXP(('Black-Scholes'!$B$8-'Black-Scholes'!$B$10-'Black-Scholes'!$B$9^2/2)*'Black-Scholes'!$B$7-'Black-Scholes'!$B$9*SQRT('Black-Scholes'!$B$7)*B2369)</f>
        <v>86.6110027350644</v>
      </c>
      <c r="E2369" s="18" t="n">
        <f aca="false">EXP(-'Black-Scholes'!$B$8*'Black-Scholes'!$B$7)*IF(LOWER('Black-Scholes'!$B$11)="put",MAX('Black-Scholes'!$B$6-C2369,0),MAX(C2369-'Black-Scholes'!$B$6,0))</f>
        <v>21.4962092960208</v>
      </c>
      <c r="F2369" s="18" t="n">
        <f aca="false">(E2369+G2369)/2</f>
        <v>10.7481046480104</v>
      </c>
      <c r="G2369" s="18" t="n">
        <f aca="false">EXP(-'Black-Scholes'!$B$8*'Black-Scholes'!$B$7)*IF(LOWER('Black-Scholes'!$B$11)="put",MAX('Black-Scholes'!$B$6-D2369,0),MAX(D2369-'Black-Scholes'!$B$6,0))</f>
        <v>0</v>
      </c>
    </row>
    <row r="2370" customFormat="false" ht="15" hidden="false" customHeight="false" outlineLevel="0" collapsed="false">
      <c r="A2370" s="0" t="n">
        <v>2359</v>
      </c>
      <c r="B2370" s="15" t="n">
        <v>-0.854071886151319</v>
      </c>
      <c r="C2370" s="18" t="n">
        <f aca="false">'Black-Scholes'!$B$5*EXP(('Black-Scholes'!$B$8-'Black-Scholes'!$B$10-'Black-Scholes'!$B$9^2/2)*'Black-Scholes'!$B$7+'Black-Scholes'!$B$9*SQRT('Black-Scholes'!$B$7)*B2370)</f>
        <v>86.865053805237</v>
      </c>
      <c r="D2370" s="18" t="n">
        <f aca="false">'Black-Scholes'!$B$5*EXP(('Black-Scholes'!$B$8-'Black-Scholes'!$B$10-'Black-Scholes'!$B$9^2/2)*'Black-Scholes'!$B$7-'Black-Scholes'!$B$9*SQRT('Black-Scholes'!$B$7)*B2370)</f>
        <v>122.23978458888</v>
      </c>
      <c r="E2370" s="18" t="n">
        <f aca="false">EXP(-'Black-Scholes'!$B$8*'Black-Scholes'!$B$7)*IF(LOWER('Black-Scholes'!$B$11)="put",MAX('Black-Scholes'!$B$6-C2370,0),MAX(C2370-'Black-Scholes'!$B$6,0))</f>
        <v>0</v>
      </c>
      <c r="F2370" s="18" t="n">
        <f aca="false">(E2370+G2370)/2</f>
        <v>10.5775687477498</v>
      </c>
      <c r="G2370" s="18" t="n">
        <f aca="false">EXP(-'Black-Scholes'!$B$8*'Black-Scholes'!$B$7)*IF(LOWER('Black-Scholes'!$B$11)="put",MAX('Black-Scholes'!$B$6-D2370,0),MAX(D2370-'Black-Scholes'!$B$6,0))</f>
        <v>21.1551374954997</v>
      </c>
    </row>
    <row r="2371" customFormat="false" ht="15" hidden="false" customHeight="false" outlineLevel="0" collapsed="false">
      <c r="A2371" s="0" t="n">
        <v>2360</v>
      </c>
      <c r="B2371" s="15" t="n">
        <v>0.479092068947827</v>
      </c>
      <c r="C2371" s="18" t="n">
        <f aca="false">'Black-Scholes'!$B$5*EXP(('Black-Scholes'!$B$8-'Black-Scholes'!$B$10-'Black-Scholes'!$B$9^2/2)*'Black-Scholes'!$B$7+'Black-Scholes'!$B$9*SQRT('Black-Scholes'!$B$7)*B2371)</f>
        <v>113.407621698205</v>
      </c>
      <c r="D2371" s="18" t="n">
        <f aca="false">'Black-Scholes'!$B$5*EXP(('Black-Scholes'!$B$8-'Black-Scholes'!$B$10-'Black-Scholes'!$B$9^2/2)*'Black-Scholes'!$B$7-'Black-Scholes'!$B$9*SQRT('Black-Scholes'!$B$7)*B2371)</f>
        <v>93.6300868182451</v>
      </c>
      <c r="E2371" s="18" t="n">
        <f aca="false">EXP(-'Black-Scholes'!$B$8*'Black-Scholes'!$B$7)*IF(LOWER('Black-Scholes'!$B$11)="put",MAX('Black-Scholes'!$B$6-C2371,0),MAX(C2371-'Black-Scholes'!$B$6,0))</f>
        <v>12.7537242719065</v>
      </c>
      <c r="F2371" s="18" t="n">
        <f aca="false">(E2371+G2371)/2</f>
        <v>6.37686213595326</v>
      </c>
      <c r="G2371" s="18" t="n">
        <f aca="false">EXP(-'Black-Scholes'!$B$8*'Black-Scholes'!$B$7)*IF(LOWER('Black-Scholes'!$B$11)="put",MAX('Black-Scholes'!$B$6-D2371,0),MAX(D2371-'Black-Scholes'!$B$6,0))</f>
        <v>0</v>
      </c>
    </row>
    <row r="2372" customFormat="false" ht="15" hidden="false" customHeight="false" outlineLevel="0" collapsed="false">
      <c r="A2372" s="0" t="n">
        <v>2361</v>
      </c>
      <c r="B2372" s="15" t="n">
        <v>-2.17107646492235</v>
      </c>
      <c r="C2372" s="18" t="n">
        <f aca="false">'Black-Scholes'!$B$5*EXP(('Black-Scholes'!$B$8-'Black-Scholes'!$B$10-'Black-Scholes'!$B$9^2/2)*'Black-Scholes'!$B$7+'Black-Scholes'!$B$9*SQRT('Black-Scholes'!$B$7)*B2372)</f>
        <v>66.7500397645397</v>
      </c>
      <c r="D2372" s="18" t="n">
        <f aca="false">'Black-Scholes'!$B$5*EXP(('Black-Scholes'!$B$8-'Black-Scholes'!$B$10-'Black-Scholes'!$B$9^2/2)*'Black-Scholes'!$B$7-'Black-Scholes'!$B$9*SQRT('Black-Scholes'!$B$7)*B2372)</f>
        <v>159.076541420946</v>
      </c>
      <c r="E2372" s="18" t="n">
        <f aca="false">EXP(-'Black-Scholes'!$B$8*'Black-Scholes'!$B$7)*IF(LOWER('Black-Scholes'!$B$11)="put",MAX('Black-Scholes'!$B$6-C2372,0),MAX(C2372-'Black-Scholes'!$B$6,0))</f>
        <v>0</v>
      </c>
      <c r="F2372" s="18" t="n">
        <f aca="false">(E2372+G2372)/2</f>
        <v>28.0976722486696</v>
      </c>
      <c r="G2372" s="18" t="n">
        <f aca="false">EXP(-'Black-Scholes'!$B$8*'Black-Scholes'!$B$7)*IF(LOWER('Black-Scholes'!$B$11)="put",MAX('Black-Scholes'!$B$6-D2372,0),MAX(D2372-'Black-Scholes'!$B$6,0))</f>
        <v>56.1953444973392</v>
      </c>
    </row>
    <row r="2373" customFormat="false" ht="15" hidden="false" customHeight="false" outlineLevel="0" collapsed="false">
      <c r="A2373" s="0" t="n">
        <v>2362</v>
      </c>
      <c r="B2373" s="15" t="n">
        <v>2.16195427089662</v>
      </c>
      <c r="C2373" s="18" t="n">
        <f aca="false">'Black-Scholes'!$B$5*EXP(('Black-Scholes'!$B$8-'Black-Scholes'!$B$10-'Black-Scholes'!$B$9^2/2)*'Black-Scholes'!$B$7+'Black-Scholes'!$B$9*SQRT('Black-Scholes'!$B$7)*B2373)</f>
        <v>158.786580594111</v>
      </c>
      <c r="D2373" s="18" t="n">
        <f aca="false">'Black-Scholes'!$B$5*EXP(('Black-Scholes'!$B$8-'Black-Scholes'!$B$10-'Black-Scholes'!$B$9^2/2)*'Black-Scholes'!$B$7-'Black-Scholes'!$B$9*SQRT('Black-Scholes'!$B$7)*B2373)</f>
        <v>66.8719322862437</v>
      </c>
      <c r="E2373" s="18" t="n">
        <f aca="false">EXP(-'Black-Scholes'!$B$8*'Black-Scholes'!$B$7)*IF(LOWER('Black-Scholes'!$B$11)="put",MAX('Black-Scholes'!$B$6-C2373,0),MAX(C2373-'Black-Scholes'!$B$6,0))</f>
        <v>55.9195252269015</v>
      </c>
      <c r="F2373" s="18" t="n">
        <f aca="false">(E2373+G2373)/2</f>
        <v>27.9597626134507</v>
      </c>
      <c r="G2373" s="18" t="n">
        <f aca="false">EXP(-'Black-Scholes'!$B$8*'Black-Scholes'!$B$7)*IF(LOWER('Black-Scholes'!$B$11)="put",MAX('Black-Scholes'!$B$6-D2373,0),MAX(D2373-'Black-Scholes'!$B$6,0))</f>
        <v>0</v>
      </c>
    </row>
    <row r="2374" customFormat="false" ht="15" hidden="false" customHeight="false" outlineLevel="0" collapsed="false">
      <c r="A2374" s="0" t="n">
        <v>2363</v>
      </c>
      <c r="B2374" s="15" t="n">
        <v>-0.424955932684669</v>
      </c>
      <c r="C2374" s="18" t="n">
        <f aca="false">'Black-Scholes'!$B$5*EXP(('Black-Scholes'!$B$8-'Black-Scholes'!$B$10-'Black-Scholes'!$B$9^2/2)*'Black-Scholes'!$B$7+'Black-Scholes'!$B$9*SQRT('Black-Scholes'!$B$7)*B2374)</f>
        <v>94.6493489802138</v>
      </c>
      <c r="D2374" s="18" t="n">
        <f aca="false">'Black-Scholes'!$B$5*EXP(('Black-Scholes'!$B$8-'Black-Scholes'!$B$10-'Black-Scholes'!$B$9^2/2)*'Black-Scholes'!$B$7-'Black-Scholes'!$B$9*SQRT('Black-Scholes'!$B$7)*B2374)</f>
        <v>112.18635500254</v>
      </c>
      <c r="E2374" s="18" t="n">
        <f aca="false">EXP(-'Black-Scholes'!$B$8*'Black-Scholes'!$B$7)*IF(LOWER('Black-Scholes'!$B$11)="put",MAX('Black-Scholes'!$B$6-C2374,0),MAX(C2374-'Black-Scholes'!$B$6,0))</f>
        <v>0</v>
      </c>
      <c r="F2374" s="18" t="n">
        <f aca="false">(E2374+G2374)/2</f>
        <v>5.79600972791392</v>
      </c>
      <c r="G2374" s="18" t="n">
        <f aca="false">EXP(-'Black-Scholes'!$B$8*'Black-Scholes'!$B$7)*IF(LOWER('Black-Scholes'!$B$11)="put",MAX('Black-Scholes'!$B$6-D2374,0),MAX(D2374-'Black-Scholes'!$B$6,0))</f>
        <v>11.5920194558278</v>
      </c>
    </row>
    <row r="2375" customFormat="false" ht="15" hidden="false" customHeight="false" outlineLevel="0" collapsed="false">
      <c r="A2375" s="0" t="n">
        <v>2364</v>
      </c>
      <c r="B2375" s="15" t="n">
        <v>-1.15569404112175</v>
      </c>
      <c r="C2375" s="18" t="n">
        <f aca="false">'Black-Scholes'!$B$5*EXP(('Black-Scholes'!$B$8-'Black-Scholes'!$B$10-'Black-Scholes'!$B$9^2/2)*'Black-Scholes'!$B$7+'Black-Scholes'!$B$9*SQRT('Black-Scholes'!$B$7)*B2375)</f>
        <v>81.7798906460853</v>
      </c>
      <c r="D2375" s="18" t="n">
        <f aca="false">'Black-Scholes'!$B$5*EXP(('Black-Scholes'!$B$8-'Black-Scholes'!$B$10-'Black-Scholes'!$B$9^2/2)*'Black-Scholes'!$B$7-'Black-Scholes'!$B$9*SQRT('Black-Scholes'!$B$7)*B2375)</f>
        <v>129.840788261825</v>
      </c>
      <c r="E2375" s="18" t="n">
        <f aca="false">EXP(-'Black-Scholes'!$B$8*'Black-Scholes'!$B$7)*IF(LOWER('Black-Scholes'!$B$11)="put",MAX('Black-Scholes'!$B$6-C2375,0),MAX(C2375-'Black-Scholes'!$B$6,0))</f>
        <v>0</v>
      </c>
      <c r="F2375" s="18" t="n">
        <f aca="false">(E2375+G2375)/2</f>
        <v>14.1927179224719</v>
      </c>
      <c r="G2375" s="18" t="n">
        <f aca="false">EXP(-'Black-Scholes'!$B$8*'Black-Scholes'!$B$7)*IF(LOWER('Black-Scholes'!$B$11)="put",MAX('Black-Scholes'!$B$6-D2375,0),MAX(D2375-'Black-Scholes'!$B$6,0))</f>
        <v>28.3854358449438</v>
      </c>
    </row>
    <row r="2376" customFormat="false" ht="15" hidden="false" customHeight="false" outlineLevel="0" collapsed="false">
      <c r="A2376" s="0" t="n">
        <v>2365</v>
      </c>
      <c r="B2376" s="15" t="n">
        <v>1.61801292072133</v>
      </c>
      <c r="C2376" s="18" t="n">
        <f aca="false">'Black-Scholes'!$B$5*EXP(('Black-Scholes'!$B$8-'Black-Scholes'!$B$10-'Black-Scholes'!$B$9^2/2)*'Black-Scholes'!$B$7+'Black-Scholes'!$B$9*SQRT('Black-Scholes'!$B$7)*B2376)</f>
        <v>142.41890786758</v>
      </c>
      <c r="D2376" s="18" t="n">
        <f aca="false">'Black-Scholes'!$B$5*EXP(('Black-Scholes'!$B$8-'Black-Scholes'!$B$10-'Black-Scholes'!$B$9^2/2)*'Black-Scholes'!$B$7-'Black-Scholes'!$B$9*SQRT('Black-Scholes'!$B$7)*B2376)</f>
        <v>74.5572734999938</v>
      </c>
      <c r="E2376" s="18" t="n">
        <f aca="false">EXP(-'Black-Scholes'!$B$8*'Black-Scholes'!$B$7)*IF(LOWER('Black-Scholes'!$B$11)="put",MAX('Black-Scholes'!$B$6-C2376,0),MAX(C2376-'Black-Scholes'!$B$6,0))</f>
        <v>40.3501133188271</v>
      </c>
      <c r="F2376" s="18" t="n">
        <f aca="false">(E2376+G2376)/2</f>
        <v>20.1750566594135</v>
      </c>
      <c r="G2376" s="18" t="n">
        <f aca="false">EXP(-'Black-Scholes'!$B$8*'Black-Scholes'!$B$7)*IF(LOWER('Black-Scholes'!$B$11)="put",MAX('Black-Scholes'!$B$6-D2376,0),MAX(D2376-'Black-Scholes'!$B$6,0))</f>
        <v>0</v>
      </c>
    </row>
    <row r="2377" customFormat="false" ht="15" hidden="false" customHeight="false" outlineLevel="0" collapsed="false">
      <c r="A2377" s="0" t="n">
        <v>2366</v>
      </c>
      <c r="B2377" s="15" t="n">
        <v>0.417068376305902</v>
      </c>
      <c r="C2377" s="18" t="n">
        <f aca="false">'Black-Scholes'!$B$5*EXP(('Black-Scholes'!$B$8-'Black-Scholes'!$B$10-'Black-Scholes'!$B$9^2/2)*'Black-Scholes'!$B$7+'Black-Scholes'!$B$9*SQRT('Black-Scholes'!$B$7)*B2377)</f>
        <v>112.009519279384</v>
      </c>
      <c r="D2377" s="18" t="n">
        <f aca="false">'Black-Scholes'!$B$5*EXP(('Black-Scholes'!$B$8-'Black-Scholes'!$B$10-'Black-Scholes'!$B$9^2/2)*'Black-Scholes'!$B$7-'Black-Scholes'!$B$9*SQRT('Black-Scholes'!$B$7)*B2377)</f>
        <v>94.7987772268566</v>
      </c>
      <c r="E2377" s="18" t="n">
        <f aca="false">EXP(-'Black-Scholes'!$B$8*'Black-Scholes'!$B$7)*IF(LOWER('Black-Scholes'!$B$11)="put",MAX('Black-Scholes'!$B$6-C2377,0),MAX(C2377-'Black-Scholes'!$B$6,0))</f>
        <v>11.4238081126584</v>
      </c>
      <c r="F2377" s="18" t="n">
        <f aca="false">(E2377+G2377)/2</f>
        <v>5.71190405632918</v>
      </c>
      <c r="G2377" s="18" t="n">
        <f aca="false">EXP(-'Black-Scholes'!$B$8*'Black-Scholes'!$B$7)*IF(LOWER('Black-Scholes'!$B$11)="put",MAX('Black-Scholes'!$B$6-D2377,0),MAX(D2377-'Black-Scholes'!$B$6,0))</f>
        <v>0</v>
      </c>
    </row>
    <row r="2378" customFormat="false" ht="15" hidden="false" customHeight="false" outlineLevel="0" collapsed="false">
      <c r="A2378" s="0" t="n">
        <v>2367</v>
      </c>
      <c r="B2378" s="15" t="n">
        <v>0.865984546949554</v>
      </c>
      <c r="C2378" s="18" t="n">
        <f aca="false">'Black-Scholes'!$B$5*EXP(('Black-Scholes'!$B$8-'Black-Scholes'!$B$10-'Black-Scholes'!$B$9^2/2)*'Black-Scholes'!$B$7+'Black-Scholes'!$B$9*SQRT('Black-Scholes'!$B$7)*B2378)</f>
        <v>122.531372027143</v>
      </c>
      <c r="D2378" s="18" t="n">
        <f aca="false">'Black-Scholes'!$B$5*EXP(('Black-Scholes'!$B$8-'Black-Scholes'!$B$10-'Black-Scholes'!$B$9^2/2)*'Black-Scholes'!$B$7-'Black-Scholes'!$B$9*SQRT('Black-Scholes'!$B$7)*B2378)</f>
        <v>86.6583413682938</v>
      </c>
      <c r="E2378" s="18" t="n">
        <f aca="false">EXP(-'Black-Scholes'!$B$8*'Black-Scholes'!$B$7)*IF(LOWER('Black-Scholes'!$B$11)="put",MAX('Black-Scholes'!$B$6-C2378,0),MAX(C2378-'Black-Scholes'!$B$6,0))</f>
        <v>21.432504046591</v>
      </c>
      <c r="F2378" s="18" t="n">
        <f aca="false">(E2378+G2378)/2</f>
        <v>10.7162520232955</v>
      </c>
      <c r="G2378" s="18" t="n">
        <f aca="false">EXP(-'Black-Scholes'!$B$8*'Black-Scholes'!$B$7)*IF(LOWER('Black-Scholes'!$B$11)="put",MAX('Black-Scholes'!$B$6-D2378,0),MAX(D2378-'Black-Scholes'!$B$6,0))</f>
        <v>0</v>
      </c>
    </row>
    <row r="2379" customFormat="false" ht="15" hidden="false" customHeight="false" outlineLevel="0" collapsed="false">
      <c r="A2379" s="0" t="n">
        <v>2368</v>
      </c>
      <c r="B2379" s="15" t="n">
        <v>-0.0579029920263679</v>
      </c>
      <c r="C2379" s="18" t="n">
        <f aca="false">'Black-Scholes'!$B$5*EXP(('Black-Scholes'!$B$8-'Black-Scholes'!$B$10-'Black-Scholes'!$B$9^2/2)*'Black-Scholes'!$B$7+'Black-Scholes'!$B$9*SQRT('Black-Scholes'!$B$7)*B2379)</f>
        <v>101.859008512456</v>
      </c>
      <c r="D2379" s="18" t="n">
        <f aca="false">'Black-Scholes'!$B$5*EXP(('Black-Scholes'!$B$8-'Black-Scholes'!$B$10-'Black-Scholes'!$B$9^2/2)*'Black-Scholes'!$B$7-'Black-Scholes'!$B$9*SQRT('Black-Scholes'!$B$7)*B2379)</f>
        <v>104.245717885179</v>
      </c>
      <c r="E2379" s="18" t="n">
        <f aca="false">EXP(-'Black-Scholes'!$B$8*'Black-Scholes'!$B$7)*IF(LOWER('Black-Scholes'!$B$11)="put",MAX('Black-Scholes'!$B$6-C2379,0),MAX(C2379-'Black-Scholes'!$B$6,0))</f>
        <v>1.76834359744588</v>
      </c>
      <c r="F2379" s="18" t="n">
        <f aca="false">(E2379+G2379)/2</f>
        <v>2.90349768897861</v>
      </c>
      <c r="G2379" s="18" t="n">
        <f aca="false">EXP(-'Black-Scholes'!$B$8*'Black-Scholes'!$B$7)*IF(LOWER('Black-Scholes'!$B$11)="put",MAX('Black-Scholes'!$B$6-D2379,0),MAX(D2379-'Black-Scholes'!$B$6,0))</f>
        <v>4.03865178051134</v>
      </c>
    </row>
    <row r="2380" customFormat="false" ht="15" hidden="false" customHeight="false" outlineLevel="0" collapsed="false">
      <c r="A2380" s="0" t="n">
        <v>2369</v>
      </c>
      <c r="B2380" s="15" t="n">
        <v>-1.5161879739563</v>
      </c>
      <c r="C2380" s="18" t="n">
        <f aca="false">'Black-Scholes'!$B$5*EXP(('Black-Scholes'!$B$8-'Black-Scholes'!$B$10-'Black-Scholes'!$B$9^2/2)*'Black-Scholes'!$B$7+'Black-Scholes'!$B$9*SQRT('Black-Scholes'!$B$7)*B2380)</f>
        <v>76.091197742756</v>
      </c>
      <c r="D2380" s="18" t="n">
        <f aca="false">'Black-Scholes'!$B$5*EXP(('Black-Scholes'!$B$8-'Black-Scholes'!$B$10-'Black-Scholes'!$B$9^2/2)*'Black-Scholes'!$B$7-'Black-Scholes'!$B$9*SQRT('Black-Scholes'!$B$7)*B2380)</f>
        <v>139.547881758301</v>
      </c>
      <c r="E2380" s="18" t="n">
        <f aca="false">EXP(-'Black-Scholes'!$B$8*'Black-Scholes'!$B$7)*IF(LOWER('Black-Scholes'!$B$11)="put",MAX('Black-Scholes'!$B$6-C2380,0),MAX(C2380-'Black-Scholes'!$B$6,0))</f>
        <v>0</v>
      </c>
      <c r="F2380" s="18" t="n">
        <f aca="false">(E2380+G2380)/2</f>
        <v>18.8095544025854</v>
      </c>
      <c r="G2380" s="18" t="n">
        <f aca="false">EXP(-'Black-Scholes'!$B$8*'Black-Scholes'!$B$7)*IF(LOWER('Black-Scholes'!$B$11)="put",MAX('Black-Scholes'!$B$6-D2380,0),MAX(D2380-'Black-Scholes'!$B$6,0))</f>
        <v>37.6191088051707</v>
      </c>
    </row>
    <row r="2381" customFormat="false" ht="15" hidden="false" customHeight="false" outlineLevel="0" collapsed="false">
      <c r="A2381" s="0" t="n">
        <v>2370</v>
      </c>
      <c r="B2381" s="15" t="n">
        <v>-0.828296263145048</v>
      </c>
      <c r="C2381" s="18" t="n">
        <f aca="false">'Black-Scholes'!$B$5*EXP(('Black-Scholes'!$B$8-'Black-Scholes'!$B$10-'Black-Scholes'!$B$9^2/2)*'Black-Scholes'!$B$7+'Black-Scholes'!$B$9*SQRT('Black-Scholes'!$B$7)*B2381)</f>
        <v>87.3140101999127</v>
      </c>
      <c r="D2381" s="18" t="n">
        <f aca="false">'Black-Scholes'!$B$5*EXP(('Black-Scholes'!$B$8-'Black-Scholes'!$B$10-'Black-Scholes'!$B$9^2/2)*'Black-Scholes'!$B$7-'Black-Scholes'!$B$9*SQRT('Black-Scholes'!$B$7)*B2381)</f>
        <v>121.611244760629</v>
      </c>
      <c r="E2381" s="18" t="n">
        <f aca="false">EXP(-'Black-Scholes'!$B$8*'Black-Scholes'!$B$7)*IF(LOWER('Black-Scholes'!$B$11)="put",MAX('Black-Scholes'!$B$6-C2381,0),MAX(C2381-'Black-Scholes'!$B$6,0))</f>
        <v>0</v>
      </c>
      <c r="F2381" s="18" t="n">
        <f aca="false">(E2381+G2381)/2</f>
        <v>10.2786259581984</v>
      </c>
      <c r="G2381" s="18" t="n">
        <f aca="false">EXP(-'Black-Scholes'!$B$8*'Black-Scholes'!$B$7)*IF(LOWER('Black-Scholes'!$B$11)="put",MAX('Black-Scholes'!$B$6-D2381,0),MAX(D2381-'Black-Scholes'!$B$6,0))</f>
        <v>20.5572519163967</v>
      </c>
    </row>
    <row r="2382" customFormat="false" ht="15" hidden="false" customHeight="false" outlineLevel="0" collapsed="false">
      <c r="A2382" s="0" t="n">
        <v>2371</v>
      </c>
      <c r="B2382" s="15" t="n">
        <v>-0.419031165814921</v>
      </c>
      <c r="C2382" s="18" t="n">
        <f aca="false">'Black-Scholes'!$B$5*EXP(('Black-Scholes'!$B$8-'Black-Scholes'!$B$10-'Black-Scholes'!$B$9^2/2)*'Black-Scholes'!$B$7+'Black-Scholes'!$B$9*SQRT('Black-Scholes'!$B$7)*B2382)</f>
        <v>94.7615705211459</v>
      </c>
      <c r="D2382" s="18" t="n">
        <f aca="false">'Black-Scholes'!$B$5*EXP(('Black-Scholes'!$B$8-'Black-Scholes'!$B$10-'Black-Scholes'!$B$9^2/2)*'Black-Scholes'!$B$7-'Black-Scholes'!$B$9*SQRT('Black-Scholes'!$B$7)*B2382)</f>
        <v>112.053498132812</v>
      </c>
      <c r="E2382" s="18" t="n">
        <f aca="false">EXP(-'Black-Scholes'!$B$8*'Black-Scholes'!$B$7)*IF(LOWER('Black-Scholes'!$B$11)="put",MAX('Black-Scholes'!$B$6-C2382,0),MAX(C2382-'Black-Scholes'!$B$6,0))</f>
        <v>0</v>
      </c>
      <c r="F2382" s="18" t="n">
        <f aca="false">(E2382+G2382)/2</f>
        <v>5.73282104604783</v>
      </c>
      <c r="G2382" s="18" t="n">
        <f aca="false">EXP(-'Black-Scholes'!$B$8*'Black-Scholes'!$B$7)*IF(LOWER('Black-Scholes'!$B$11)="put",MAX('Black-Scholes'!$B$6-D2382,0),MAX(D2382-'Black-Scholes'!$B$6,0))</f>
        <v>11.4656420920957</v>
      </c>
    </row>
    <row r="2383" customFormat="false" ht="15" hidden="false" customHeight="false" outlineLevel="0" collapsed="false">
      <c r="A2383" s="0" t="n">
        <v>2372</v>
      </c>
      <c r="B2383" s="15" t="n">
        <v>0.63316853260047</v>
      </c>
      <c r="C2383" s="18" t="n">
        <f aca="false">'Black-Scholes'!$B$5*EXP(('Black-Scholes'!$B$8-'Black-Scholes'!$B$10-'Black-Scholes'!$B$9^2/2)*'Black-Scholes'!$B$7+'Black-Scholes'!$B$9*SQRT('Black-Scholes'!$B$7)*B2383)</f>
        <v>116.956713061613</v>
      </c>
      <c r="D2383" s="18" t="n">
        <f aca="false">'Black-Scholes'!$B$5*EXP(('Black-Scholes'!$B$8-'Black-Scholes'!$B$10-'Black-Scholes'!$B$9^2/2)*'Black-Scholes'!$B$7-'Black-Scholes'!$B$9*SQRT('Black-Scholes'!$B$7)*B2383)</f>
        <v>90.7888498872212</v>
      </c>
      <c r="E2383" s="18" t="n">
        <f aca="false">EXP(-'Black-Scholes'!$B$8*'Black-Scholes'!$B$7)*IF(LOWER('Black-Scholes'!$B$11)="put",MAX('Black-Scholes'!$B$6-C2383,0),MAX(C2383-'Black-Scholes'!$B$6,0))</f>
        <v>16.1297244070219</v>
      </c>
      <c r="F2383" s="18" t="n">
        <f aca="false">(E2383+G2383)/2</f>
        <v>8.06486220351096</v>
      </c>
      <c r="G2383" s="18" t="n">
        <f aca="false">EXP(-'Black-Scholes'!$B$8*'Black-Scholes'!$B$7)*IF(LOWER('Black-Scholes'!$B$11)="put",MAX('Black-Scholes'!$B$6-D2383,0),MAX(D2383-'Black-Scholes'!$B$6,0))</f>
        <v>0</v>
      </c>
    </row>
    <row r="2384" customFormat="false" ht="15" hidden="false" customHeight="false" outlineLevel="0" collapsed="false">
      <c r="A2384" s="0" t="n">
        <v>2373</v>
      </c>
      <c r="B2384" s="15" t="n">
        <v>-0.553521533232934</v>
      </c>
      <c r="C2384" s="18" t="n">
        <f aca="false">'Black-Scholes'!$B$5*EXP(('Black-Scholes'!$B$8-'Black-Scholes'!$B$10-'Black-Scholes'!$B$9^2/2)*'Black-Scholes'!$B$7+'Black-Scholes'!$B$9*SQRT('Black-Scholes'!$B$7)*B2384)</f>
        <v>92.2466418309501</v>
      </c>
      <c r="D2384" s="18" t="n">
        <f aca="false">'Black-Scholes'!$B$5*EXP(('Black-Scholes'!$B$8-'Black-Scholes'!$B$10-'Black-Scholes'!$B$9^2/2)*'Black-Scholes'!$B$7-'Black-Scholes'!$B$9*SQRT('Black-Scholes'!$B$7)*B2384)</f>
        <v>115.108422970157</v>
      </c>
      <c r="E2384" s="18" t="n">
        <f aca="false">EXP(-'Black-Scholes'!$B$8*'Black-Scholes'!$B$7)*IF(LOWER('Black-Scholes'!$B$11)="put",MAX('Black-Scholes'!$B$6-C2384,0),MAX(C2384-'Black-Scholes'!$B$6,0))</f>
        <v>0</v>
      </c>
      <c r="F2384" s="18" t="n">
        <f aca="false">(E2384+G2384)/2</f>
        <v>7.18578824350797</v>
      </c>
      <c r="G2384" s="18" t="n">
        <f aca="false">EXP(-'Black-Scholes'!$B$8*'Black-Scholes'!$B$7)*IF(LOWER('Black-Scholes'!$B$11)="put",MAX('Black-Scholes'!$B$6-D2384,0),MAX(D2384-'Black-Scholes'!$B$6,0))</f>
        <v>14.3715764870159</v>
      </c>
    </row>
    <row r="2385" customFormat="false" ht="15" hidden="false" customHeight="false" outlineLevel="0" collapsed="false">
      <c r="A2385" s="0" t="n">
        <v>2374</v>
      </c>
      <c r="B2385" s="15" t="n">
        <v>0.807109772143628</v>
      </c>
      <c r="C2385" s="18" t="n">
        <f aca="false">'Black-Scholes'!$B$5*EXP(('Black-Scholes'!$B$8-'Black-Scholes'!$B$10-'Black-Scholes'!$B$9^2/2)*'Black-Scholes'!$B$7+'Black-Scholes'!$B$9*SQRT('Black-Scholes'!$B$7)*B2385)</f>
        <v>121.097031858151</v>
      </c>
      <c r="D2385" s="18" t="n">
        <f aca="false">'Black-Scholes'!$B$5*EXP(('Black-Scholes'!$B$8-'Black-Scholes'!$B$10-'Black-Scholes'!$B$9^2/2)*'Black-Scholes'!$B$7-'Black-Scholes'!$B$9*SQRT('Black-Scholes'!$B$7)*B2385)</f>
        <v>87.6847706547556</v>
      </c>
      <c r="E2385" s="18" t="n">
        <f aca="false">EXP(-'Black-Scholes'!$B$8*'Black-Scholes'!$B$7)*IF(LOWER('Black-Scholes'!$B$11)="put",MAX('Black-Scholes'!$B$6-C2385,0),MAX(C2385-'Black-Scholes'!$B$6,0))</f>
        <v>20.0681174731022</v>
      </c>
      <c r="F2385" s="18" t="n">
        <f aca="false">(E2385+G2385)/2</f>
        <v>10.0340587365511</v>
      </c>
      <c r="G2385" s="18" t="n">
        <f aca="false">EXP(-'Black-Scholes'!$B$8*'Black-Scholes'!$B$7)*IF(LOWER('Black-Scholes'!$B$11)="put",MAX('Black-Scholes'!$B$6-D2385,0),MAX(D2385-'Black-Scholes'!$B$6,0))</f>
        <v>0</v>
      </c>
    </row>
    <row r="2386" customFormat="false" ht="15" hidden="false" customHeight="false" outlineLevel="0" collapsed="false">
      <c r="A2386" s="0" t="n">
        <v>2375</v>
      </c>
      <c r="B2386" s="15" t="n">
        <v>1.13746752490449</v>
      </c>
      <c r="C2386" s="18" t="n">
        <f aca="false">'Black-Scholes'!$B$5*EXP(('Black-Scholes'!$B$8-'Black-Scholes'!$B$10-'Black-Scholes'!$B$9^2/2)*'Black-Scholes'!$B$7+'Black-Scholes'!$B$9*SQRT('Black-Scholes'!$B$7)*B2386)</f>
        <v>129.368340845458</v>
      </c>
      <c r="D2386" s="18" t="n">
        <f aca="false">'Black-Scholes'!$B$5*EXP(('Black-Scholes'!$B$8-'Black-Scholes'!$B$10-'Black-Scholes'!$B$9^2/2)*'Black-Scholes'!$B$7-'Black-Scholes'!$B$9*SQRT('Black-Scholes'!$B$7)*B2386)</f>
        <v>82.0785471627728</v>
      </c>
      <c r="E2386" s="18" t="n">
        <f aca="false">EXP(-'Black-Scholes'!$B$8*'Black-Scholes'!$B$7)*IF(LOWER('Black-Scholes'!$B$11)="put",MAX('Black-Scholes'!$B$6-C2386,0),MAX(C2386-'Black-Scholes'!$B$6,0))</f>
        <v>27.9360299609658</v>
      </c>
      <c r="F2386" s="18" t="n">
        <f aca="false">(E2386+G2386)/2</f>
        <v>13.9680149804829</v>
      </c>
      <c r="G2386" s="18" t="n">
        <f aca="false">EXP(-'Black-Scholes'!$B$8*'Black-Scholes'!$B$7)*IF(LOWER('Black-Scholes'!$B$11)="put",MAX('Black-Scholes'!$B$6-D2386,0),MAX(D2386-'Black-Scholes'!$B$6,0))</f>
        <v>0</v>
      </c>
    </row>
    <row r="2387" customFormat="false" ht="15" hidden="false" customHeight="false" outlineLevel="0" collapsed="false">
      <c r="A2387" s="0" t="n">
        <v>2376</v>
      </c>
      <c r="B2387" s="15" t="n">
        <v>0.563999619313979</v>
      </c>
      <c r="C2387" s="18" t="n">
        <f aca="false">'Black-Scholes'!$B$5*EXP(('Black-Scholes'!$B$8-'Black-Scholes'!$B$10-'Black-Scholes'!$B$9^2/2)*'Black-Scholes'!$B$7+'Black-Scholes'!$B$9*SQRT('Black-Scholes'!$B$7)*B2387)</f>
        <v>115.349899095454</v>
      </c>
      <c r="D2387" s="18" t="n">
        <f aca="false">'Black-Scholes'!$B$5*EXP(('Black-Scholes'!$B$8-'Black-Scholes'!$B$10-'Black-Scholes'!$B$9^2/2)*'Black-Scholes'!$B$7-'Black-Scholes'!$B$9*SQRT('Black-Scholes'!$B$7)*B2387)</f>
        <v>92.0535305944801</v>
      </c>
      <c r="E2387" s="18" t="n">
        <f aca="false">EXP(-'Black-Scholes'!$B$8*'Black-Scholes'!$B$7)*IF(LOWER('Black-Scholes'!$B$11)="put",MAX('Black-Scholes'!$B$6-C2387,0),MAX(C2387-'Black-Scholes'!$B$6,0))</f>
        <v>14.6012756827131</v>
      </c>
      <c r="F2387" s="18" t="n">
        <f aca="false">(E2387+G2387)/2</f>
        <v>7.30063784135654</v>
      </c>
      <c r="G2387" s="18" t="n">
        <f aca="false">EXP(-'Black-Scholes'!$B$8*'Black-Scholes'!$B$7)*IF(LOWER('Black-Scholes'!$B$11)="put",MAX('Black-Scholes'!$B$6-D2387,0),MAX(D2387-'Black-Scholes'!$B$6,0))</f>
        <v>0</v>
      </c>
    </row>
    <row r="2388" customFormat="false" ht="15" hidden="false" customHeight="false" outlineLevel="0" collapsed="false">
      <c r="A2388" s="0" t="n">
        <v>2377</v>
      </c>
      <c r="B2388" s="15" t="n">
        <v>-0.862088340735214</v>
      </c>
      <c r="C2388" s="18" t="n">
        <f aca="false">'Black-Scholes'!$B$5*EXP(('Black-Scholes'!$B$8-'Black-Scholes'!$B$10-'Black-Scholes'!$B$9^2/2)*'Black-Scholes'!$B$7+'Black-Scholes'!$B$9*SQRT('Black-Scholes'!$B$7)*B2388)</f>
        <v>86.7258954389672</v>
      </c>
      <c r="D2388" s="18" t="n">
        <f aca="false">'Black-Scholes'!$B$5*EXP(('Black-Scholes'!$B$8-'Black-Scholes'!$B$10-'Black-Scholes'!$B$9^2/2)*'Black-Scholes'!$B$7-'Black-Scholes'!$B$9*SQRT('Black-Scholes'!$B$7)*B2388)</f>
        <v>122.435927720414</v>
      </c>
      <c r="E2388" s="18" t="n">
        <f aca="false">EXP(-'Black-Scholes'!$B$8*'Black-Scholes'!$B$7)*IF(LOWER('Black-Scholes'!$B$11)="put",MAX('Black-Scholes'!$B$6-C2388,0),MAX(C2388-'Black-Scholes'!$B$6,0))</f>
        <v>0</v>
      </c>
      <c r="F2388" s="18" t="n">
        <f aca="false">(E2388+G2388)/2</f>
        <v>10.6708573068146</v>
      </c>
      <c r="G2388" s="18" t="n">
        <f aca="false">EXP(-'Black-Scholes'!$B$8*'Black-Scholes'!$B$7)*IF(LOWER('Black-Scholes'!$B$11)="put",MAX('Black-Scholes'!$B$6-D2388,0),MAX(D2388-'Black-Scholes'!$B$6,0))</f>
        <v>21.3417146136293</v>
      </c>
    </row>
    <row r="2389" customFormat="false" ht="15" hidden="false" customHeight="false" outlineLevel="0" collapsed="false">
      <c r="A2389" s="0" t="n">
        <v>2378</v>
      </c>
      <c r="B2389" s="15" t="n">
        <v>-0.0253415456341444</v>
      </c>
      <c r="C2389" s="18" t="n">
        <f aca="false">'Black-Scholes'!$B$5*EXP(('Black-Scholes'!$B$8-'Black-Scholes'!$B$10-'Black-Scholes'!$B$9^2/2)*'Black-Scholes'!$B$7+'Black-Scholes'!$B$9*SQRT('Black-Scholes'!$B$7)*B2389)</f>
        <v>102.52450845359</v>
      </c>
      <c r="D2389" s="18" t="n">
        <f aca="false">'Black-Scholes'!$B$5*EXP(('Black-Scholes'!$B$8-'Black-Scholes'!$B$10-'Black-Scholes'!$B$9^2/2)*'Black-Scholes'!$B$7-'Black-Scholes'!$B$9*SQRT('Black-Scholes'!$B$7)*B2389)</f>
        <v>103.569045349388</v>
      </c>
      <c r="E2389" s="18" t="n">
        <f aca="false">EXP(-'Black-Scholes'!$B$8*'Black-Scholes'!$B$7)*IF(LOWER('Black-Scholes'!$B$11)="put",MAX('Black-Scholes'!$B$6-C2389,0),MAX(C2389-'Black-Scholes'!$B$6,0))</f>
        <v>2.40138672345533</v>
      </c>
      <c r="F2389" s="18" t="n">
        <f aca="false">(E2389+G2389)/2</f>
        <v>2.89818383858555</v>
      </c>
      <c r="G2389" s="18" t="n">
        <f aca="false">EXP(-'Black-Scholes'!$B$8*'Black-Scholes'!$B$7)*IF(LOWER('Black-Scholes'!$B$11)="put",MAX('Black-Scholes'!$B$6-D2389,0),MAX(D2389-'Black-Scholes'!$B$6,0))</f>
        <v>3.39498095371576</v>
      </c>
    </row>
    <row r="2390" customFormat="false" ht="15" hidden="false" customHeight="false" outlineLevel="0" collapsed="false">
      <c r="A2390" s="0" t="n">
        <v>2379</v>
      </c>
      <c r="B2390" s="15" t="n">
        <v>-0.899470328687339</v>
      </c>
      <c r="C2390" s="18" t="n">
        <f aca="false">'Black-Scholes'!$B$5*EXP(('Black-Scholes'!$B$8-'Black-Scholes'!$B$10-'Black-Scholes'!$B$9^2/2)*'Black-Scholes'!$B$7+'Black-Scholes'!$B$9*SQRT('Black-Scholes'!$B$7)*B2390)</f>
        <v>86.0799159719428</v>
      </c>
      <c r="D2390" s="18" t="n">
        <f aca="false">'Black-Scholes'!$B$5*EXP(('Black-Scholes'!$B$8-'Black-Scholes'!$B$10-'Black-Scholes'!$B$9^2/2)*'Black-Scholes'!$B$7-'Black-Scholes'!$B$9*SQRT('Black-Scholes'!$B$7)*B2390)</f>
        <v>123.354737810322</v>
      </c>
      <c r="E2390" s="18" t="n">
        <f aca="false">EXP(-'Black-Scholes'!$B$8*'Black-Scholes'!$B$7)*IF(LOWER('Black-Scholes'!$B$11)="put",MAX('Black-Scholes'!$B$6-C2390,0),MAX(C2390-'Black-Scholes'!$B$6,0))</f>
        <v>0</v>
      </c>
      <c r="F2390" s="18" t="n">
        <f aca="false">(E2390+G2390)/2</f>
        <v>11.1078569033391</v>
      </c>
      <c r="G2390" s="18" t="n">
        <f aca="false">EXP(-'Black-Scholes'!$B$8*'Black-Scholes'!$B$7)*IF(LOWER('Black-Scholes'!$B$11)="put",MAX('Black-Scholes'!$B$6-D2390,0),MAX(D2390-'Black-Scholes'!$B$6,0))</f>
        <v>22.2157138066781</v>
      </c>
    </row>
    <row r="2391" customFormat="false" ht="15" hidden="false" customHeight="false" outlineLevel="0" collapsed="false">
      <c r="A2391" s="0" t="n">
        <v>2380</v>
      </c>
      <c r="B2391" s="15" t="n">
        <v>0.0129748521673136</v>
      </c>
      <c r="C2391" s="18" t="n">
        <f aca="false">'Black-Scholes'!$B$5*EXP(('Black-Scholes'!$B$8-'Black-Scholes'!$B$10-'Black-Scholes'!$B$9^2/2)*'Black-Scholes'!$B$7+'Black-Scholes'!$B$9*SQRT('Black-Scholes'!$B$7)*B2391)</f>
        <v>103.31320054794</v>
      </c>
      <c r="D2391" s="18" t="n">
        <f aca="false">'Black-Scholes'!$B$5*EXP(('Black-Scholes'!$B$8-'Black-Scholes'!$B$10-'Black-Scholes'!$B$9^2/2)*'Black-Scholes'!$B$7-'Black-Scholes'!$B$9*SQRT('Black-Scholes'!$B$7)*B2391)</f>
        <v>102.778400138</v>
      </c>
      <c r="E2391" s="18" t="n">
        <f aca="false">EXP(-'Black-Scholes'!$B$8*'Black-Scholes'!$B$7)*IF(LOWER('Black-Scholes'!$B$11)="put",MAX('Black-Scholes'!$B$6-C2391,0),MAX(C2391-'Black-Scholes'!$B$6,0))</f>
        <v>3.15161385047223</v>
      </c>
      <c r="F2391" s="18" t="n">
        <f aca="false">(E2391+G2391)/2</f>
        <v>2.89725490738733</v>
      </c>
      <c r="G2391" s="18" t="n">
        <f aca="false">EXP(-'Black-Scholes'!$B$8*'Black-Scholes'!$B$7)*IF(LOWER('Black-Scholes'!$B$11)="put",MAX('Black-Scholes'!$B$6-D2391,0),MAX(D2391-'Black-Scholes'!$B$6,0))</f>
        <v>2.64289596430244</v>
      </c>
    </row>
    <row r="2392" customFormat="false" ht="15" hidden="false" customHeight="false" outlineLevel="0" collapsed="false">
      <c r="A2392" s="0" t="n">
        <v>2381</v>
      </c>
      <c r="B2392" s="15" t="n">
        <v>1.3077795737397</v>
      </c>
      <c r="C2392" s="18" t="n">
        <f aca="false">'Black-Scholes'!$B$5*EXP(('Black-Scholes'!$B$8-'Black-Scholes'!$B$10-'Black-Scholes'!$B$9^2/2)*'Black-Scholes'!$B$7+'Black-Scholes'!$B$9*SQRT('Black-Scholes'!$B$7)*B2392)</f>
        <v>133.850847376202</v>
      </c>
      <c r="D2392" s="18" t="n">
        <f aca="false">'Black-Scholes'!$B$5*EXP(('Black-Scholes'!$B$8-'Black-Scholes'!$B$10-'Black-Scholes'!$B$9^2/2)*'Black-Scholes'!$B$7-'Black-Scholes'!$B$9*SQRT('Black-Scholes'!$B$7)*B2392)</f>
        <v>79.3298337186429</v>
      </c>
      <c r="E2392" s="18" t="n">
        <f aca="false">EXP(-'Black-Scholes'!$B$8*'Black-Scholes'!$B$7)*IF(LOWER('Black-Scholes'!$B$11)="put",MAX('Black-Scholes'!$B$6-C2392,0),MAX(C2392-'Black-Scholes'!$B$6,0))</f>
        <v>32.1999220685266</v>
      </c>
      <c r="F2392" s="18" t="n">
        <f aca="false">(E2392+G2392)/2</f>
        <v>16.0999610342633</v>
      </c>
      <c r="G2392" s="18" t="n">
        <f aca="false">EXP(-'Black-Scholes'!$B$8*'Black-Scholes'!$B$7)*IF(LOWER('Black-Scholes'!$B$11)="put",MAX('Black-Scholes'!$B$6-D2392,0),MAX(D2392-'Black-Scholes'!$B$6,0))</f>
        <v>0</v>
      </c>
    </row>
    <row r="2393" customFormat="false" ht="15" hidden="false" customHeight="false" outlineLevel="0" collapsed="false">
      <c r="A2393" s="0" t="n">
        <v>2382</v>
      </c>
      <c r="B2393" s="15" t="n">
        <v>-2.03626277358641</v>
      </c>
      <c r="C2393" s="18" t="n">
        <f aca="false">'Black-Scholes'!$B$5*EXP(('Black-Scholes'!$B$8-'Black-Scholes'!$B$10-'Black-Scholes'!$B$9^2/2)*'Black-Scholes'!$B$7+'Black-Scholes'!$B$9*SQRT('Black-Scholes'!$B$7)*B2393)</f>
        <v>68.5742864429253</v>
      </c>
      <c r="D2393" s="18" t="n">
        <f aca="false">'Black-Scholes'!$B$5*EXP(('Black-Scholes'!$B$8-'Black-Scholes'!$B$10-'Black-Scholes'!$B$9^2/2)*'Black-Scholes'!$B$7-'Black-Scholes'!$B$9*SQRT('Black-Scholes'!$B$7)*B2393)</f>
        <v>154.844709529589</v>
      </c>
      <c r="E2393" s="18" t="n">
        <f aca="false">EXP(-'Black-Scholes'!$B$8*'Black-Scholes'!$B$7)*IF(LOWER('Black-Scholes'!$B$11)="put",MAX('Black-Scholes'!$B$6-C2393,0),MAX(C2393-'Black-Scholes'!$B$6,0))</f>
        <v>0</v>
      </c>
      <c r="F2393" s="18" t="n">
        <f aca="false">(E2393+G2393)/2</f>
        <v>26.0849507413698</v>
      </c>
      <c r="G2393" s="18" t="n">
        <f aca="false">EXP(-'Black-Scholes'!$B$8*'Black-Scholes'!$B$7)*IF(LOWER('Black-Scholes'!$B$11)="put",MAX('Black-Scholes'!$B$6-D2393,0),MAX(D2393-'Black-Scholes'!$B$6,0))</f>
        <v>52.1699014827397</v>
      </c>
    </row>
    <row r="2394" customFormat="false" ht="15" hidden="false" customHeight="false" outlineLevel="0" collapsed="false">
      <c r="A2394" s="0" t="n">
        <v>2383</v>
      </c>
      <c r="B2394" s="15" t="n">
        <v>0.338622686669126</v>
      </c>
      <c r="C2394" s="18" t="n">
        <f aca="false">'Black-Scholes'!$B$5*EXP(('Black-Scholes'!$B$8-'Black-Scholes'!$B$10-'Black-Scholes'!$B$9^2/2)*'Black-Scholes'!$B$7+'Black-Scholes'!$B$9*SQRT('Black-Scholes'!$B$7)*B2394)</f>
        <v>110.265900188142</v>
      </c>
      <c r="D2394" s="18" t="n">
        <f aca="false">'Black-Scholes'!$B$5*EXP(('Black-Scholes'!$B$8-'Black-Scholes'!$B$10-'Black-Scholes'!$B$9^2/2)*'Black-Scholes'!$B$7-'Black-Scholes'!$B$9*SQRT('Black-Scholes'!$B$7)*B2394)</f>
        <v>96.2978168893188</v>
      </c>
      <c r="E2394" s="18" t="n">
        <f aca="false">EXP(-'Black-Scholes'!$B$8*'Black-Scholes'!$B$7)*IF(LOWER('Black-Scholes'!$B$11)="put",MAX('Black-Scholes'!$B$6-C2394,0),MAX(C2394-'Black-Scholes'!$B$6,0))</f>
        <v>9.76522632794806</v>
      </c>
      <c r="F2394" s="18" t="n">
        <f aca="false">(E2394+G2394)/2</f>
        <v>4.88261316397403</v>
      </c>
      <c r="G2394" s="18" t="n">
        <f aca="false">EXP(-'Black-Scholes'!$B$8*'Black-Scholes'!$B$7)*IF(LOWER('Black-Scholes'!$B$11)="put",MAX('Black-Scholes'!$B$6-D2394,0),MAX(D2394-'Black-Scholes'!$B$6,0))</f>
        <v>0</v>
      </c>
    </row>
    <row r="2395" customFormat="false" ht="15" hidden="false" customHeight="false" outlineLevel="0" collapsed="false">
      <c r="A2395" s="0" t="n">
        <v>2384</v>
      </c>
      <c r="B2395" s="15" t="n">
        <v>0.064801184582916</v>
      </c>
      <c r="C2395" s="18" t="n">
        <f aca="false">'Black-Scholes'!$B$5*EXP(('Black-Scholes'!$B$8-'Black-Scholes'!$B$10-'Black-Scholes'!$B$9^2/2)*'Black-Scholes'!$B$7+'Black-Scholes'!$B$9*SQRT('Black-Scholes'!$B$7)*B2395)</f>
        <v>104.389638548629</v>
      </c>
      <c r="D2395" s="18" t="n">
        <f aca="false">'Black-Scholes'!$B$5*EXP(('Black-Scholes'!$B$8-'Black-Scholes'!$B$10-'Black-Scholes'!$B$9^2/2)*'Black-Scholes'!$B$7-'Black-Scholes'!$B$9*SQRT('Black-Scholes'!$B$7)*B2395)</f>
        <v>101.718576796366</v>
      </c>
      <c r="E2395" s="18" t="n">
        <f aca="false">EXP(-'Black-Scholes'!$B$8*'Black-Scholes'!$B$7)*IF(LOWER('Black-Scholes'!$B$11)="put",MAX('Black-Scholes'!$B$6-C2395,0),MAX(C2395-'Black-Scholes'!$B$6,0))</f>
        <v>4.17555335037882</v>
      </c>
      <c r="F2395" s="18" t="n">
        <f aca="false">(E2395+G2395)/2</f>
        <v>2.90515708367297</v>
      </c>
      <c r="G2395" s="18" t="n">
        <f aca="false">EXP(-'Black-Scholes'!$B$8*'Black-Scholes'!$B$7)*IF(LOWER('Black-Scholes'!$B$11)="put",MAX('Black-Scholes'!$B$6-D2395,0),MAX(D2395-'Black-Scholes'!$B$6,0))</f>
        <v>1.63476081696711</v>
      </c>
    </row>
    <row r="2396" customFormat="false" ht="15" hidden="false" customHeight="false" outlineLevel="0" collapsed="false">
      <c r="A2396" s="0" t="n">
        <v>2385</v>
      </c>
      <c r="B2396" s="15" t="n">
        <v>-0.152825596539085</v>
      </c>
      <c r="C2396" s="18" t="n">
        <f aca="false">'Black-Scholes'!$B$5*EXP(('Black-Scholes'!$B$8-'Black-Scholes'!$B$10-'Black-Scholes'!$B$9^2/2)*'Black-Scholes'!$B$7+'Black-Scholes'!$B$9*SQRT('Black-Scholes'!$B$7)*B2396)</f>
        <v>99.9435040342024</v>
      </c>
      <c r="D2396" s="18" t="n">
        <f aca="false">'Black-Scholes'!$B$5*EXP(('Black-Scholes'!$B$8-'Black-Scholes'!$B$10-'Black-Scholes'!$B$9^2/2)*'Black-Scholes'!$B$7-'Black-Scholes'!$B$9*SQRT('Black-Scholes'!$B$7)*B2396)</f>
        <v>106.243678046547</v>
      </c>
      <c r="E2396" s="18" t="n">
        <f aca="false">EXP(-'Black-Scholes'!$B$8*'Black-Scholes'!$B$7)*IF(LOWER('Black-Scholes'!$B$11)="put",MAX('Black-Scholes'!$B$6-C2396,0),MAX(C2396-'Black-Scholes'!$B$6,0))</f>
        <v>0</v>
      </c>
      <c r="F2396" s="18" t="n">
        <f aca="false">(E2396+G2396)/2</f>
        <v>2.96958513749245</v>
      </c>
      <c r="G2396" s="18" t="n">
        <f aca="false">EXP(-'Black-Scholes'!$B$8*'Black-Scholes'!$B$7)*IF(LOWER('Black-Scholes'!$B$11)="put",MAX('Black-Scholes'!$B$6-D2396,0),MAX(D2396-'Black-Scholes'!$B$6,0))</f>
        <v>5.93917027498489</v>
      </c>
    </row>
    <row r="2397" customFormat="false" ht="15" hidden="false" customHeight="false" outlineLevel="0" collapsed="false">
      <c r="A2397" s="0" t="n">
        <v>2386</v>
      </c>
      <c r="B2397" s="15" t="n">
        <v>1.30110872684058</v>
      </c>
      <c r="C2397" s="18" t="n">
        <f aca="false">'Black-Scholes'!$B$5*EXP(('Black-Scholes'!$B$8-'Black-Scholes'!$B$10-'Black-Scholes'!$B$9^2/2)*'Black-Scholes'!$B$7+'Black-Scholes'!$B$9*SQRT('Black-Scholes'!$B$7)*B2397)</f>
        <v>133.672386748994</v>
      </c>
      <c r="D2397" s="18" t="n">
        <f aca="false">'Black-Scholes'!$B$5*EXP(('Black-Scholes'!$B$8-'Black-Scholes'!$B$10-'Black-Scholes'!$B$9^2/2)*'Black-Scholes'!$B$7-'Black-Scholes'!$B$9*SQRT('Black-Scholes'!$B$7)*B2397)</f>
        <v>79.4357437889732</v>
      </c>
      <c r="E2397" s="18" t="n">
        <f aca="false">EXP(-'Black-Scholes'!$B$8*'Black-Scholes'!$B$7)*IF(LOWER('Black-Scholes'!$B$11)="put",MAX('Black-Scholes'!$B$6-C2397,0),MAX(C2397-'Black-Scholes'!$B$6,0))</f>
        <v>32.0301650688106</v>
      </c>
      <c r="F2397" s="18" t="n">
        <f aca="false">(E2397+G2397)/2</f>
        <v>16.0150825344053</v>
      </c>
      <c r="G2397" s="18" t="n">
        <f aca="false">EXP(-'Black-Scholes'!$B$8*'Black-Scholes'!$B$7)*IF(LOWER('Black-Scholes'!$B$11)="put",MAX('Black-Scholes'!$B$6-D2397,0),MAX(D2397-'Black-Scholes'!$B$6,0))</f>
        <v>0</v>
      </c>
    </row>
    <row r="2398" customFormat="false" ht="15" hidden="false" customHeight="false" outlineLevel="0" collapsed="false">
      <c r="A2398" s="0" t="n">
        <v>2387</v>
      </c>
      <c r="B2398" s="15" t="n">
        <v>0.335768607570602</v>
      </c>
      <c r="C2398" s="18" t="n">
        <f aca="false">'Black-Scholes'!$B$5*EXP(('Black-Scholes'!$B$8-'Black-Scholes'!$B$10-'Black-Scholes'!$B$9^2/2)*'Black-Scholes'!$B$7+'Black-Scholes'!$B$9*SQRT('Black-Scholes'!$B$7)*B2398)</f>
        <v>110.202976628531</v>
      </c>
      <c r="D2398" s="18" t="n">
        <f aca="false">'Black-Scholes'!$B$5*EXP(('Black-Scholes'!$B$8-'Black-Scholes'!$B$10-'Black-Scholes'!$B$9^2/2)*'Black-Scholes'!$B$7-'Black-Scholes'!$B$9*SQRT('Black-Scholes'!$B$7)*B2398)</f>
        <v>96.3528008979803</v>
      </c>
      <c r="E2398" s="18" t="n">
        <f aca="false">EXP(-'Black-Scholes'!$B$8*'Black-Scholes'!$B$7)*IF(LOWER('Black-Scholes'!$B$11)="put",MAX('Black-Scholes'!$B$6-C2398,0),MAX(C2398-'Black-Scholes'!$B$6,0))</f>
        <v>9.70537158655157</v>
      </c>
      <c r="F2398" s="18" t="n">
        <f aca="false">(E2398+G2398)/2</f>
        <v>4.85268579327578</v>
      </c>
      <c r="G2398" s="18" t="n">
        <f aca="false">EXP(-'Black-Scholes'!$B$8*'Black-Scholes'!$B$7)*IF(LOWER('Black-Scholes'!$B$11)="put",MAX('Black-Scholes'!$B$6-D2398,0),MAX(D2398-'Black-Scholes'!$B$6,0))</f>
        <v>0</v>
      </c>
    </row>
    <row r="2399" customFormat="false" ht="15" hidden="false" customHeight="false" outlineLevel="0" collapsed="false">
      <c r="A2399" s="0" t="n">
        <v>2388</v>
      </c>
      <c r="B2399" s="15" t="n">
        <v>-1.03571891742232</v>
      </c>
      <c r="C2399" s="18" t="n">
        <f aca="false">'Black-Scholes'!$B$5*EXP(('Black-Scholes'!$B$8-'Black-Scholes'!$B$10-'Black-Scholes'!$B$9^2/2)*'Black-Scholes'!$B$7+'Black-Scholes'!$B$9*SQRT('Black-Scholes'!$B$7)*B2399)</f>
        <v>83.7659334285947</v>
      </c>
      <c r="D2399" s="18" t="n">
        <f aca="false">'Black-Scholes'!$B$5*EXP(('Black-Scholes'!$B$8-'Black-Scholes'!$B$10-'Black-Scholes'!$B$9^2/2)*'Black-Scholes'!$B$7-'Black-Scholes'!$B$9*SQRT('Black-Scholes'!$B$7)*B2399)</f>
        <v>126.762336797752</v>
      </c>
      <c r="E2399" s="18" t="n">
        <f aca="false">EXP(-'Black-Scholes'!$B$8*'Black-Scholes'!$B$7)*IF(LOWER('Black-Scholes'!$B$11)="put",MAX('Black-Scholes'!$B$6-C2399,0),MAX(C2399-'Black-Scholes'!$B$6,0))</f>
        <v>0</v>
      </c>
      <c r="F2399" s="18" t="n">
        <f aca="false">(E2399+G2399)/2</f>
        <v>12.72856111521</v>
      </c>
      <c r="G2399" s="18" t="n">
        <f aca="false">EXP(-'Black-Scholes'!$B$8*'Black-Scholes'!$B$7)*IF(LOWER('Black-Scholes'!$B$11)="put",MAX('Black-Scholes'!$B$6-D2399,0),MAX(D2399-'Black-Scholes'!$B$6,0))</f>
        <v>25.4571222304199</v>
      </c>
    </row>
    <row r="2400" customFormat="false" ht="15" hidden="false" customHeight="false" outlineLevel="0" collapsed="false">
      <c r="A2400" s="0" t="n">
        <v>2389</v>
      </c>
      <c r="B2400" s="15" t="n">
        <v>0.886686297910085</v>
      </c>
      <c r="C2400" s="18" t="n">
        <f aca="false">'Black-Scholes'!$B$5*EXP(('Black-Scholes'!$B$8-'Black-Scholes'!$B$10-'Black-Scholes'!$B$9^2/2)*'Black-Scholes'!$B$7+'Black-Scholes'!$B$9*SQRT('Black-Scholes'!$B$7)*B2400)</f>
        <v>123.039746514825</v>
      </c>
      <c r="D2400" s="18" t="n">
        <f aca="false">'Black-Scholes'!$B$5*EXP(('Black-Scholes'!$B$8-'Black-Scholes'!$B$10-'Black-Scholes'!$B$9^2/2)*'Black-Scholes'!$B$7-'Black-Scholes'!$B$9*SQRT('Black-Scholes'!$B$7)*B2400)</f>
        <v>86.3002872342085</v>
      </c>
      <c r="E2400" s="18" t="n">
        <f aca="false">EXP(-'Black-Scholes'!$B$8*'Black-Scholes'!$B$7)*IF(LOWER('Black-Scholes'!$B$11)="put",MAX('Black-Scholes'!$B$6-C2400,0),MAX(C2400-'Black-Scholes'!$B$6,0))</f>
        <v>21.9160848179392</v>
      </c>
      <c r="F2400" s="18" t="n">
        <f aca="false">(E2400+G2400)/2</f>
        <v>10.9580424089696</v>
      </c>
      <c r="G2400" s="18" t="n">
        <f aca="false">EXP(-'Black-Scholes'!$B$8*'Black-Scholes'!$B$7)*IF(LOWER('Black-Scholes'!$B$11)="put",MAX('Black-Scholes'!$B$6-D2400,0),MAX(D2400-'Black-Scholes'!$B$6,0))</f>
        <v>0</v>
      </c>
    </row>
    <row r="2401" customFormat="false" ht="15" hidden="false" customHeight="false" outlineLevel="0" collapsed="false">
      <c r="A2401" s="0" t="n">
        <v>2390</v>
      </c>
      <c r="B2401" s="15" t="n">
        <v>1.31730695338116</v>
      </c>
      <c r="C2401" s="18" t="n">
        <f aca="false">'Black-Scholes'!$B$5*EXP(('Black-Scholes'!$B$8-'Black-Scholes'!$B$10-'Black-Scholes'!$B$9^2/2)*'Black-Scholes'!$B$7+'Black-Scholes'!$B$9*SQRT('Black-Scholes'!$B$7)*B2401)</f>
        <v>134.106140093679</v>
      </c>
      <c r="D2401" s="18" t="n">
        <f aca="false">'Black-Scholes'!$B$5*EXP(('Black-Scholes'!$B$8-'Black-Scholes'!$B$10-'Black-Scholes'!$B$9^2/2)*'Black-Scholes'!$B$7-'Black-Scholes'!$B$9*SQRT('Black-Scholes'!$B$7)*B2401)</f>
        <v>79.1788165555744</v>
      </c>
      <c r="E2401" s="18" t="n">
        <f aca="false">EXP(-'Black-Scholes'!$B$8*'Black-Scholes'!$B$7)*IF(LOWER('Black-Scholes'!$B$11)="put",MAX('Black-Scholes'!$B$6-C2401,0),MAX(C2401-'Black-Scholes'!$B$6,0))</f>
        <v>32.4427640132514</v>
      </c>
      <c r="F2401" s="18" t="n">
        <f aca="false">(E2401+G2401)/2</f>
        <v>16.2213820066257</v>
      </c>
      <c r="G2401" s="18" t="n">
        <f aca="false">EXP(-'Black-Scholes'!$B$8*'Black-Scholes'!$B$7)*IF(LOWER('Black-Scholes'!$B$11)="put",MAX('Black-Scholes'!$B$6-D2401,0),MAX(D2401-'Black-Scholes'!$B$6,0))</f>
        <v>0</v>
      </c>
    </row>
    <row r="2402" customFormat="false" ht="15" hidden="false" customHeight="false" outlineLevel="0" collapsed="false">
      <c r="A2402" s="0" t="n">
        <v>2391</v>
      </c>
      <c r="B2402" s="15" t="n">
        <v>-1.14574101189426</v>
      </c>
      <c r="C2402" s="18" t="n">
        <f aca="false">'Black-Scholes'!$B$5*EXP(('Black-Scholes'!$B$8-'Black-Scholes'!$B$10-'Black-Scholes'!$B$9^2/2)*'Black-Scholes'!$B$7+'Black-Scholes'!$B$9*SQRT('Black-Scholes'!$B$7)*B2402)</f>
        <v>81.9428443088976</v>
      </c>
      <c r="D2402" s="18" t="n">
        <f aca="false">'Black-Scholes'!$B$5*EXP(('Black-Scholes'!$B$8-'Black-Scholes'!$B$10-'Black-Scholes'!$B$9^2/2)*'Black-Scholes'!$B$7-'Black-Scholes'!$B$9*SQRT('Black-Scholes'!$B$7)*B2402)</f>
        <v>129.582583506936</v>
      </c>
      <c r="E2402" s="18" t="n">
        <f aca="false">EXP(-'Black-Scholes'!$B$8*'Black-Scholes'!$B$7)*IF(LOWER('Black-Scholes'!$B$11)="put",MAX('Black-Scholes'!$B$6-C2402,0),MAX(C2402-'Black-Scholes'!$B$6,0))</f>
        <v>0</v>
      </c>
      <c r="F2402" s="18" t="n">
        <f aca="false">(E2402+G2402)/2</f>
        <v>14.0699119422736</v>
      </c>
      <c r="G2402" s="18" t="n">
        <f aca="false">EXP(-'Black-Scholes'!$B$8*'Black-Scholes'!$B$7)*IF(LOWER('Black-Scholes'!$B$11)="put",MAX('Black-Scholes'!$B$6-D2402,0),MAX(D2402-'Black-Scholes'!$B$6,0))</f>
        <v>28.1398238845473</v>
      </c>
    </row>
    <row r="2403" customFormat="false" ht="15" hidden="false" customHeight="false" outlineLevel="0" collapsed="false">
      <c r="A2403" s="0" t="n">
        <v>2392</v>
      </c>
      <c r="B2403" s="15" t="n">
        <v>-0.578306054592139</v>
      </c>
      <c r="C2403" s="18" t="n">
        <f aca="false">'Black-Scholes'!$B$5*EXP(('Black-Scholes'!$B$8-'Black-Scholes'!$B$10-'Black-Scholes'!$B$9^2/2)*'Black-Scholes'!$B$7+'Black-Scholes'!$B$9*SQRT('Black-Scholes'!$B$7)*B2403)</f>
        <v>91.7905154792784</v>
      </c>
      <c r="D2403" s="18" t="n">
        <f aca="false">'Black-Scholes'!$B$5*EXP(('Black-Scholes'!$B$8-'Black-Scholes'!$B$10-'Black-Scholes'!$B$9^2/2)*'Black-Scholes'!$B$7-'Black-Scholes'!$B$9*SQRT('Black-Scholes'!$B$7)*B2403)</f>
        <v>115.68042090199</v>
      </c>
      <c r="E2403" s="18" t="n">
        <f aca="false">EXP(-'Black-Scholes'!$B$8*'Black-Scholes'!$B$7)*IF(LOWER('Black-Scholes'!$B$11)="put",MAX('Black-Scholes'!$B$6-C2403,0),MAX(C2403-'Black-Scholes'!$B$6,0))</f>
        <v>0</v>
      </c>
      <c r="F2403" s="18" t="n">
        <f aca="false">(E2403+G2403)/2</f>
        <v>7.45783887526469</v>
      </c>
      <c r="G2403" s="18" t="n">
        <f aca="false">EXP(-'Black-Scholes'!$B$8*'Black-Scholes'!$B$7)*IF(LOWER('Black-Scholes'!$B$11)="put",MAX('Black-Scholes'!$B$6-D2403,0),MAX(D2403-'Black-Scholes'!$B$6,0))</f>
        <v>14.9156777505294</v>
      </c>
    </row>
    <row r="2404" customFormat="false" ht="15" hidden="false" customHeight="false" outlineLevel="0" collapsed="false">
      <c r="A2404" s="0" t="n">
        <v>2393</v>
      </c>
      <c r="B2404" s="15" t="n">
        <v>-0.871452193109892</v>
      </c>
      <c r="C2404" s="18" t="n">
        <f aca="false">'Black-Scholes'!$B$5*EXP(('Black-Scholes'!$B$8-'Black-Scholes'!$B$10-'Black-Scholes'!$B$9^2/2)*'Black-Scholes'!$B$7+'Black-Scholes'!$B$9*SQRT('Black-Scholes'!$B$7)*B2404)</f>
        <v>86.563629733214</v>
      </c>
      <c r="D2404" s="18" t="n">
        <f aca="false">'Black-Scholes'!$B$5*EXP(('Black-Scholes'!$B$8-'Black-Scholes'!$B$10-'Black-Scholes'!$B$9^2/2)*'Black-Scholes'!$B$7-'Black-Scholes'!$B$9*SQRT('Black-Scholes'!$B$7)*B2404)</f>
        <v>122.665436952898</v>
      </c>
      <c r="E2404" s="18" t="n">
        <f aca="false">EXP(-'Black-Scholes'!$B$8*'Black-Scholes'!$B$7)*IF(LOWER('Black-Scholes'!$B$11)="put",MAX('Black-Scholes'!$B$6-C2404,0),MAX(C2404-'Black-Scholes'!$B$6,0))</f>
        <v>0</v>
      </c>
      <c r="F2404" s="18" t="n">
        <f aca="false">(E2404+G2404)/2</f>
        <v>10.7800152743814</v>
      </c>
      <c r="G2404" s="18" t="n">
        <f aca="false">EXP(-'Black-Scholes'!$B$8*'Black-Scholes'!$B$7)*IF(LOWER('Black-Scholes'!$B$11)="put",MAX('Black-Scholes'!$B$6-D2404,0),MAX(D2404-'Black-Scholes'!$B$6,0))</f>
        <v>21.5600305487627</v>
      </c>
    </row>
    <row r="2405" customFormat="false" ht="15" hidden="false" customHeight="false" outlineLevel="0" collapsed="false">
      <c r="A2405" s="0" t="n">
        <v>2394</v>
      </c>
      <c r="B2405" s="15" t="n">
        <v>-0.489350211882707</v>
      </c>
      <c r="C2405" s="18" t="n">
        <f aca="false">'Black-Scholes'!$B$5*EXP(('Black-Scholes'!$B$8-'Black-Scholes'!$B$10-'Black-Scholes'!$B$9^2/2)*'Black-Scholes'!$B$7+'Black-Scholes'!$B$9*SQRT('Black-Scholes'!$B$7)*B2405)</f>
        <v>93.4381895737748</v>
      </c>
      <c r="D2405" s="18" t="n">
        <f aca="false">'Black-Scholes'!$B$5*EXP(('Black-Scholes'!$B$8-'Black-Scholes'!$B$10-'Black-Scholes'!$B$9^2/2)*'Black-Scholes'!$B$7-'Black-Scholes'!$B$9*SQRT('Black-Scholes'!$B$7)*B2405)</f>
        <v>113.640530856709</v>
      </c>
      <c r="E2405" s="18" t="n">
        <f aca="false">EXP(-'Black-Scholes'!$B$8*'Black-Scholes'!$B$7)*IF(LOWER('Black-Scholes'!$B$11)="put",MAX('Black-Scholes'!$B$6-C2405,0),MAX(C2405-'Black-Scholes'!$B$6,0))</f>
        <v>0</v>
      </c>
      <c r="F2405" s="18" t="n">
        <f aca="false">(E2405+G2405)/2</f>
        <v>6.48763715835586</v>
      </c>
      <c r="G2405" s="18" t="n">
        <f aca="false">EXP(-'Black-Scholes'!$B$8*'Black-Scholes'!$B$7)*IF(LOWER('Black-Scholes'!$B$11)="put",MAX('Black-Scholes'!$B$6-D2405,0),MAX(D2405-'Black-Scholes'!$B$6,0))</f>
        <v>12.9752743167117</v>
      </c>
    </row>
    <row r="2406" customFormat="false" ht="15" hidden="false" customHeight="false" outlineLevel="0" collapsed="false">
      <c r="A2406" s="0" t="n">
        <v>2395</v>
      </c>
      <c r="B2406" s="15" t="n">
        <v>-0.918453657792363</v>
      </c>
      <c r="C2406" s="18" t="n">
        <f aca="false">'Black-Scholes'!$B$5*EXP(('Black-Scholes'!$B$8-'Black-Scholes'!$B$10-'Black-Scholes'!$B$9^2/2)*'Black-Scholes'!$B$7+'Black-Scholes'!$B$9*SQRT('Black-Scholes'!$B$7)*B2406)</f>
        <v>85.7537189195323</v>
      </c>
      <c r="D2406" s="18" t="n">
        <f aca="false">'Black-Scholes'!$B$5*EXP(('Black-Scholes'!$B$8-'Black-Scholes'!$B$10-'Black-Scholes'!$B$9^2/2)*'Black-Scholes'!$B$7-'Black-Scholes'!$B$9*SQRT('Black-Scholes'!$B$7)*B2406)</f>
        <v>123.823964712451</v>
      </c>
      <c r="E2406" s="18" t="n">
        <f aca="false">EXP(-'Black-Scholes'!$B$8*'Black-Scholes'!$B$7)*IF(LOWER('Black-Scholes'!$B$11)="put",MAX('Black-Scholes'!$B$6-C2406,0),MAX(C2406-'Black-Scholes'!$B$6,0))</f>
        <v>0</v>
      </c>
      <c r="F2406" s="18" t="n">
        <f aca="false">(E2406+G2406)/2</f>
        <v>11.331028121375</v>
      </c>
      <c r="G2406" s="18" t="n">
        <f aca="false">EXP(-'Black-Scholes'!$B$8*'Black-Scholes'!$B$7)*IF(LOWER('Black-Scholes'!$B$11)="put",MAX('Black-Scholes'!$B$6-D2406,0),MAX(D2406-'Black-Scholes'!$B$6,0))</f>
        <v>22.66205624275</v>
      </c>
    </row>
    <row r="2407" customFormat="false" ht="15" hidden="false" customHeight="false" outlineLevel="0" collapsed="false">
      <c r="A2407" s="0" t="n">
        <v>2396</v>
      </c>
      <c r="B2407" s="15" t="n">
        <v>-0.55539240803488</v>
      </c>
      <c r="C2407" s="18" t="n">
        <f aca="false">'Black-Scholes'!$B$5*EXP(('Black-Scholes'!$B$8-'Black-Scholes'!$B$10-'Black-Scholes'!$B$9^2/2)*'Black-Scholes'!$B$7+'Black-Scholes'!$B$9*SQRT('Black-Scholes'!$B$7)*B2407)</f>
        <v>92.2121319041749</v>
      </c>
      <c r="D2407" s="18" t="n">
        <f aca="false">'Black-Scholes'!$B$5*EXP(('Black-Scholes'!$B$8-'Black-Scholes'!$B$10-'Black-Scholes'!$B$9^2/2)*'Black-Scholes'!$B$7-'Black-Scholes'!$B$9*SQRT('Black-Scholes'!$B$7)*B2407)</f>
        <v>115.151501718754</v>
      </c>
      <c r="E2407" s="18" t="n">
        <f aca="false">EXP(-'Black-Scholes'!$B$8*'Black-Scholes'!$B$7)*IF(LOWER('Black-Scholes'!$B$11)="put",MAX('Black-Scholes'!$B$6-C2407,0),MAX(C2407-'Black-Scholes'!$B$6,0))</f>
        <v>0</v>
      </c>
      <c r="F2407" s="18" t="n">
        <f aca="false">(E2407+G2407)/2</f>
        <v>7.20627713012614</v>
      </c>
      <c r="G2407" s="18" t="n">
        <f aca="false">EXP(-'Black-Scholes'!$B$8*'Black-Scholes'!$B$7)*IF(LOWER('Black-Scholes'!$B$11)="put",MAX('Black-Scholes'!$B$6-D2407,0),MAX(D2407-'Black-Scholes'!$B$6,0))</f>
        <v>14.4125542602523</v>
      </c>
    </row>
    <row r="2408" customFormat="false" ht="15" hidden="false" customHeight="false" outlineLevel="0" collapsed="false">
      <c r="A2408" s="0" t="n">
        <v>2397</v>
      </c>
      <c r="B2408" s="15" t="n">
        <v>2.2009469477858</v>
      </c>
      <c r="C2408" s="18" t="n">
        <f aca="false">'Black-Scholes'!$B$5*EXP(('Black-Scholes'!$B$8-'Black-Scholes'!$B$10-'Black-Scholes'!$B$9^2/2)*'Black-Scholes'!$B$7+'Black-Scholes'!$B$9*SQRT('Black-Scholes'!$B$7)*B2408)</f>
        <v>160.02972441055</v>
      </c>
      <c r="D2408" s="18" t="n">
        <f aca="false">'Black-Scholes'!$B$5*EXP(('Black-Scholes'!$B$8-'Black-Scholes'!$B$10-'Black-Scholes'!$B$9^2/2)*'Black-Scholes'!$B$7-'Black-Scholes'!$B$9*SQRT('Black-Scholes'!$B$7)*B2408)</f>
        <v>66.3524573610624</v>
      </c>
      <c r="E2408" s="18" t="n">
        <f aca="false">EXP(-'Black-Scholes'!$B$8*'Black-Scholes'!$B$7)*IF(LOWER('Black-Scholes'!$B$11)="put",MAX('Black-Scholes'!$B$6-C2408,0),MAX(C2408-'Black-Scholes'!$B$6,0))</f>
        <v>57.1020402039841</v>
      </c>
      <c r="F2408" s="18" t="n">
        <f aca="false">(E2408+G2408)/2</f>
        <v>28.5510201019921</v>
      </c>
      <c r="G2408" s="18" t="n">
        <f aca="false">EXP(-'Black-Scholes'!$B$8*'Black-Scholes'!$B$7)*IF(LOWER('Black-Scholes'!$B$11)="put",MAX('Black-Scholes'!$B$6-D2408,0),MAX(D2408-'Black-Scholes'!$B$6,0))</f>
        <v>0</v>
      </c>
    </row>
    <row r="2409" customFormat="false" ht="15" hidden="false" customHeight="false" outlineLevel="0" collapsed="false">
      <c r="A2409" s="0" t="n">
        <v>2398</v>
      </c>
      <c r="B2409" s="15" t="n">
        <v>-1.35586105329864</v>
      </c>
      <c r="C2409" s="18" t="n">
        <f aca="false">'Black-Scholes'!$B$5*EXP(('Black-Scholes'!$B$8-'Black-Scholes'!$B$10-'Black-Scholes'!$B$9^2/2)*'Black-Scholes'!$B$7+'Black-Scholes'!$B$9*SQRT('Black-Scholes'!$B$7)*B2409)</f>
        <v>78.5706307735416</v>
      </c>
      <c r="D2409" s="18" t="n">
        <f aca="false">'Black-Scholes'!$B$5*EXP(('Black-Scholes'!$B$8-'Black-Scholes'!$B$10-'Black-Scholes'!$B$9^2/2)*'Black-Scholes'!$B$7-'Black-Scholes'!$B$9*SQRT('Black-Scholes'!$B$7)*B2409)</f>
        <v>135.144205422738</v>
      </c>
      <c r="E2409" s="18" t="n">
        <f aca="false">EXP(-'Black-Scholes'!$B$8*'Black-Scholes'!$B$7)*IF(LOWER('Black-Scholes'!$B$11)="put",MAX('Black-Scholes'!$B$6-C2409,0),MAX(C2409-'Black-Scholes'!$B$6,0))</f>
        <v>0</v>
      </c>
      <c r="F2409" s="18" t="n">
        <f aca="false">(E2409+G2409)/2</f>
        <v>16.7151011494029</v>
      </c>
      <c r="G2409" s="18" t="n">
        <f aca="false">EXP(-'Black-Scholes'!$B$8*'Black-Scholes'!$B$7)*IF(LOWER('Black-Scholes'!$B$11)="put",MAX('Black-Scholes'!$B$6-D2409,0),MAX(D2409-'Black-Scholes'!$B$6,0))</f>
        <v>33.4302022988059</v>
      </c>
    </row>
    <row r="2410" customFormat="false" ht="15" hidden="false" customHeight="false" outlineLevel="0" collapsed="false">
      <c r="A2410" s="0" t="n">
        <v>2399</v>
      </c>
      <c r="B2410" s="15" t="n">
        <v>0.0115005177446325</v>
      </c>
      <c r="C2410" s="18" t="n">
        <f aca="false">'Black-Scholes'!$B$5*EXP(('Black-Scholes'!$B$8-'Black-Scholes'!$B$10-'Black-Scholes'!$B$9^2/2)*'Black-Scholes'!$B$7+'Black-Scholes'!$B$9*SQRT('Black-Scholes'!$B$7)*B2410)</f>
        <v>103.282741397281</v>
      </c>
      <c r="D2410" s="18" t="n">
        <f aca="false">'Black-Scholes'!$B$5*EXP(('Black-Scholes'!$B$8-'Black-Scholes'!$B$10-'Black-Scholes'!$B$9^2/2)*'Black-Scholes'!$B$7-'Black-Scholes'!$B$9*SQRT('Black-Scholes'!$B$7)*B2410)</f>
        <v>102.808710553196</v>
      </c>
      <c r="E2410" s="18" t="n">
        <f aca="false">EXP(-'Black-Scholes'!$B$8*'Black-Scholes'!$B$7)*IF(LOWER('Black-Scholes'!$B$11)="put",MAX('Black-Scholes'!$B$6-C2410,0),MAX(C2410-'Black-Scholes'!$B$6,0))</f>
        <v>3.12264021012017</v>
      </c>
      <c r="F2410" s="18" t="n">
        <f aca="false">(E2410+G2410)/2</f>
        <v>2.89718416661272</v>
      </c>
      <c r="G2410" s="18" t="n">
        <f aca="false">EXP(-'Black-Scholes'!$B$8*'Black-Scholes'!$B$7)*IF(LOWER('Black-Scholes'!$B$11)="put",MAX('Black-Scholes'!$B$6-D2410,0),MAX(D2410-'Black-Scholes'!$B$6,0))</f>
        <v>2.67172812310527</v>
      </c>
    </row>
    <row r="2411" customFormat="false" ht="15" hidden="false" customHeight="false" outlineLevel="0" collapsed="false">
      <c r="A2411" s="0" t="n">
        <v>2400</v>
      </c>
      <c r="B2411" s="15" t="n">
        <v>0.735669288868652</v>
      </c>
      <c r="C2411" s="18" t="n">
        <f aca="false">'Black-Scholes'!$B$5*EXP(('Black-Scholes'!$B$8-'Black-Scholes'!$B$10-'Black-Scholes'!$B$9^2/2)*'Black-Scholes'!$B$7+'Black-Scholes'!$B$9*SQRT('Black-Scholes'!$B$7)*B2411)</f>
        <v>119.379088062208</v>
      </c>
      <c r="D2411" s="18" t="n">
        <f aca="false">'Black-Scholes'!$B$5*EXP(('Black-Scholes'!$B$8-'Black-Scholes'!$B$10-'Black-Scholes'!$B$9^2/2)*'Black-Scholes'!$B$7-'Black-Scholes'!$B$9*SQRT('Black-Scholes'!$B$7)*B2411)</f>
        <v>88.9466123239306</v>
      </c>
      <c r="E2411" s="18" t="n">
        <f aca="false">EXP(-'Black-Scholes'!$B$8*'Black-Scholes'!$B$7)*IF(LOWER('Black-Scholes'!$B$11)="put",MAX('Black-Scholes'!$B$6-C2411,0),MAX(C2411-'Black-Scholes'!$B$6,0))</f>
        <v>18.4339587847628</v>
      </c>
      <c r="F2411" s="18" t="n">
        <f aca="false">(E2411+G2411)/2</f>
        <v>9.21697939238142</v>
      </c>
      <c r="G2411" s="18" t="n">
        <f aca="false">EXP(-'Black-Scholes'!$B$8*'Black-Scholes'!$B$7)*IF(LOWER('Black-Scholes'!$B$11)="put",MAX('Black-Scholes'!$B$6-D2411,0),MAX(D2411-'Black-Scholes'!$B$6,0))</f>
        <v>0</v>
      </c>
    </row>
    <row r="2412" customFormat="false" ht="15" hidden="false" customHeight="false" outlineLevel="0" collapsed="false">
      <c r="A2412" s="0" t="n">
        <v>2401</v>
      </c>
      <c r="B2412" s="15" t="n">
        <v>-0.605304983757946</v>
      </c>
      <c r="C2412" s="18" t="n">
        <f aca="false">'Black-Scholes'!$B$5*EXP(('Black-Scholes'!$B$8-'Black-Scholes'!$B$10-'Black-Scholes'!$B$9^2/2)*'Black-Scholes'!$B$7+'Black-Scholes'!$B$9*SQRT('Black-Scholes'!$B$7)*B2412)</f>
        <v>91.2962021483211</v>
      </c>
      <c r="D2412" s="18" t="n">
        <f aca="false">'Black-Scholes'!$B$5*EXP(('Black-Scholes'!$B$8-'Black-Scholes'!$B$10-'Black-Scholes'!$B$9^2/2)*'Black-Scholes'!$B$7-'Black-Scholes'!$B$9*SQRT('Black-Scholes'!$B$7)*B2412)</f>
        <v>116.306759926364</v>
      </c>
      <c r="E2412" s="18" t="n">
        <f aca="false">EXP(-'Black-Scholes'!$B$8*'Black-Scholes'!$B$7)*IF(LOWER('Black-Scholes'!$B$11)="put",MAX('Black-Scholes'!$B$6-C2412,0),MAX(C2412-'Black-Scholes'!$B$6,0))</f>
        <v>0</v>
      </c>
      <c r="F2412" s="18" t="n">
        <f aca="false">(E2412+G2412)/2</f>
        <v>7.75573493011333</v>
      </c>
      <c r="G2412" s="18" t="n">
        <f aca="false">EXP(-'Black-Scholes'!$B$8*'Black-Scholes'!$B$7)*IF(LOWER('Black-Scholes'!$B$11)="put",MAX('Black-Scholes'!$B$6-D2412,0),MAX(D2412-'Black-Scholes'!$B$6,0))</f>
        <v>15.5114698602267</v>
      </c>
    </row>
    <row r="2413" customFormat="false" ht="15" hidden="false" customHeight="false" outlineLevel="0" collapsed="false">
      <c r="A2413" s="0" t="n">
        <v>2402</v>
      </c>
      <c r="B2413" s="15" t="n">
        <v>2.89408703192882</v>
      </c>
      <c r="C2413" s="18" t="n">
        <f aca="false">'Black-Scholes'!$B$5*EXP(('Black-Scholes'!$B$8-'Black-Scholes'!$B$10-'Black-Scholes'!$B$9^2/2)*'Black-Scholes'!$B$7+'Black-Scholes'!$B$9*SQRT('Black-Scholes'!$B$7)*B2413)</f>
        <v>183.825620280194</v>
      </c>
      <c r="D2413" s="18" t="n">
        <f aca="false">'Black-Scholes'!$B$5*EXP(('Black-Scholes'!$B$8-'Black-Scholes'!$B$10-'Black-Scholes'!$B$9^2/2)*'Black-Scholes'!$B$7-'Black-Scholes'!$B$9*SQRT('Black-Scholes'!$B$7)*B2413)</f>
        <v>57.7632511141193</v>
      </c>
      <c r="E2413" s="18" t="n">
        <f aca="false">EXP(-'Black-Scholes'!$B$8*'Black-Scholes'!$B$7)*IF(LOWER('Black-Scholes'!$B$11)="put",MAX('Black-Scholes'!$B$6-C2413,0),MAX(C2413-'Black-Scholes'!$B$6,0))</f>
        <v>79.7373965375446</v>
      </c>
      <c r="F2413" s="18" t="n">
        <f aca="false">(E2413+G2413)/2</f>
        <v>39.8686982687723</v>
      </c>
      <c r="G2413" s="18" t="n">
        <f aca="false">EXP(-'Black-Scholes'!$B$8*'Black-Scholes'!$B$7)*IF(LOWER('Black-Scholes'!$B$11)="put",MAX('Black-Scholes'!$B$6-D2413,0),MAX(D2413-'Black-Scholes'!$B$6,0))</f>
        <v>0</v>
      </c>
    </row>
    <row r="2414" customFormat="false" ht="15" hidden="false" customHeight="false" outlineLevel="0" collapsed="false">
      <c r="A2414" s="0" t="n">
        <v>2403</v>
      </c>
      <c r="B2414" s="15" t="n">
        <v>0.951940488049987</v>
      </c>
      <c r="C2414" s="18" t="n">
        <f aca="false">'Black-Scholes'!$B$5*EXP(('Black-Scholes'!$B$8-'Black-Scholes'!$B$10-'Black-Scholes'!$B$9^2/2)*'Black-Scholes'!$B$7+'Black-Scholes'!$B$9*SQRT('Black-Scholes'!$B$7)*B2414)</f>
        <v>124.656042384242</v>
      </c>
      <c r="D2414" s="18" t="n">
        <f aca="false">'Black-Scholes'!$B$5*EXP(('Black-Scholes'!$B$8-'Black-Scholes'!$B$10-'Black-Scholes'!$B$9^2/2)*'Black-Scholes'!$B$7-'Black-Scholes'!$B$9*SQRT('Black-Scholes'!$B$7)*B2414)</f>
        <v>85.1813138164882</v>
      </c>
      <c r="E2414" s="18" t="n">
        <f aca="false">EXP(-'Black-Scholes'!$B$8*'Black-Scholes'!$B$7)*IF(LOWER('Black-Scholes'!$B$11)="put",MAX('Black-Scholes'!$B$6-C2414,0),MAX(C2414-'Black-Scholes'!$B$6,0))</f>
        <v>23.4535530076279</v>
      </c>
      <c r="F2414" s="18" t="n">
        <f aca="false">(E2414+G2414)/2</f>
        <v>11.726776503814</v>
      </c>
      <c r="G2414" s="18" t="n">
        <f aca="false">EXP(-'Black-Scholes'!$B$8*'Black-Scholes'!$B$7)*IF(LOWER('Black-Scholes'!$B$11)="put",MAX('Black-Scholes'!$B$6-D2414,0),MAX(D2414-'Black-Scholes'!$B$6,0))</f>
        <v>0</v>
      </c>
    </row>
    <row r="2415" customFormat="false" ht="15" hidden="false" customHeight="false" outlineLevel="0" collapsed="false">
      <c r="A2415" s="0" t="n">
        <v>2404</v>
      </c>
      <c r="B2415" s="15" t="n">
        <v>0.121049926979246</v>
      </c>
      <c r="C2415" s="18" t="n">
        <f aca="false">'Black-Scholes'!$B$5*EXP(('Black-Scholes'!$B$8-'Black-Scholes'!$B$10-'Black-Scholes'!$B$9^2/2)*'Black-Scholes'!$B$7+'Black-Scholes'!$B$9*SQRT('Black-Scholes'!$B$7)*B2415)</f>
        <v>105.57062617789</v>
      </c>
      <c r="D2415" s="18" t="n">
        <f aca="false">'Black-Scholes'!$B$5*EXP(('Black-Scholes'!$B$8-'Black-Scholes'!$B$10-'Black-Scholes'!$B$9^2/2)*'Black-Scholes'!$B$7-'Black-Scholes'!$B$9*SQRT('Black-Scholes'!$B$7)*B2415)</f>
        <v>100.580680913659</v>
      </c>
      <c r="E2415" s="18" t="n">
        <f aca="false">EXP(-'Black-Scholes'!$B$8*'Black-Scholes'!$B$7)*IF(LOWER('Black-Scholes'!$B$11)="put",MAX('Black-Scholes'!$B$6-C2415,0),MAX(C2415-'Black-Scholes'!$B$6,0))</f>
        <v>5.29894353330327</v>
      </c>
      <c r="F2415" s="18" t="n">
        <f aca="false">(E2415+G2415)/2</f>
        <v>2.92565215231096</v>
      </c>
      <c r="G2415" s="18" t="n">
        <f aca="false">EXP(-'Black-Scholes'!$B$8*'Black-Scholes'!$B$7)*IF(LOWER('Black-Scholes'!$B$11)="put",MAX('Black-Scholes'!$B$6-D2415,0),MAX(D2415-'Black-Scholes'!$B$6,0))</f>
        <v>0.552360771318651</v>
      </c>
    </row>
    <row r="2416" customFormat="false" ht="15" hidden="false" customHeight="false" outlineLevel="0" collapsed="false">
      <c r="A2416" s="0" t="n">
        <v>2405</v>
      </c>
      <c r="B2416" s="15" t="n">
        <v>0.182871583479637</v>
      </c>
      <c r="C2416" s="18" t="n">
        <f aca="false">'Black-Scholes'!$B$5*EXP(('Black-Scholes'!$B$8-'Black-Scholes'!$B$10-'Black-Scholes'!$B$9^2/2)*'Black-Scholes'!$B$7+'Black-Scholes'!$B$9*SQRT('Black-Scholes'!$B$7)*B2416)</f>
        <v>106.88403938102</v>
      </c>
      <c r="D2416" s="18" t="n">
        <f aca="false">'Black-Scholes'!$B$5*EXP(('Black-Scholes'!$B$8-'Black-Scholes'!$B$10-'Black-Scholes'!$B$9^2/2)*'Black-Scholes'!$B$7-'Black-Scholes'!$B$9*SQRT('Black-Scholes'!$B$7)*B2416)</f>
        <v>99.3447246843026</v>
      </c>
      <c r="E2416" s="18" t="n">
        <f aca="false">EXP(-'Black-Scholes'!$B$8*'Black-Scholes'!$B$7)*IF(LOWER('Black-Scholes'!$B$11)="put",MAX('Black-Scholes'!$B$6-C2416,0),MAX(C2416-'Black-Scholes'!$B$6,0))</f>
        <v>6.54830081864799</v>
      </c>
      <c r="F2416" s="18" t="n">
        <f aca="false">(E2416+G2416)/2</f>
        <v>3.274150409324</v>
      </c>
      <c r="G2416" s="18" t="n">
        <f aca="false">EXP(-'Black-Scholes'!$B$8*'Black-Scholes'!$B$7)*IF(LOWER('Black-Scholes'!$B$11)="put",MAX('Black-Scholes'!$B$6-D2416,0),MAX(D2416-'Black-Scholes'!$B$6,0))</f>
        <v>0</v>
      </c>
    </row>
    <row r="2417" customFormat="false" ht="15" hidden="false" customHeight="false" outlineLevel="0" collapsed="false">
      <c r="A2417" s="0" t="n">
        <v>2406</v>
      </c>
      <c r="B2417" s="15" t="n">
        <v>1.04079327189128</v>
      </c>
      <c r="C2417" s="18" t="n">
        <f aca="false">'Black-Scholes'!$B$5*EXP(('Black-Scholes'!$B$8-'Black-Scholes'!$B$10-'Black-Scholes'!$B$9^2/2)*'Black-Scholes'!$B$7+'Black-Scholes'!$B$9*SQRT('Black-Scholes'!$B$7)*B2417)</f>
        <v>126.89104950614</v>
      </c>
      <c r="D2417" s="18" t="n">
        <f aca="false">'Black-Scholes'!$B$5*EXP(('Black-Scholes'!$B$8-'Black-Scholes'!$B$10-'Black-Scholes'!$B$9^2/2)*'Black-Scholes'!$B$7-'Black-Scholes'!$B$9*SQRT('Black-Scholes'!$B$7)*B2417)</f>
        <v>83.6809649441804</v>
      </c>
      <c r="E2417" s="18" t="n">
        <f aca="false">EXP(-'Black-Scholes'!$B$8*'Black-Scholes'!$B$7)*IF(LOWER('Black-Scholes'!$B$11)="put",MAX('Black-Scholes'!$B$6-C2417,0),MAX(C2417-'Black-Scholes'!$B$6,0))</f>
        <v>25.5795575459462</v>
      </c>
      <c r="F2417" s="18" t="n">
        <f aca="false">(E2417+G2417)/2</f>
        <v>12.7897787729731</v>
      </c>
      <c r="G2417" s="18" t="n">
        <f aca="false">EXP(-'Black-Scholes'!$B$8*'Black-Scholes'!$B$7)*IF(LOWER('Black-Scholes'!$B$11)="put",MAX('Black-Scholes'!$B$6-D2417,0),MAX(D2417-'Black-Scholes'!$B$6,0))</f>
        <v>0</v>
      </c>
    </row>
    <row r="2418" customFormat="false" ht="15" hidden="false" customHeight="false" outlineLevel="0" collapsed="false">
      <c r="A2418" s="0" t="n">
        <v>2407</v>
      </c>
      <c r="B2418" s="15" t="n">
        <v>-0.500637326303615</v>
      </c>
      <c r="C2418" s="18" t="n">
        <f aca="false">'Black-Scholes'!$B$5*EXP(('Black-Scholes'!$B$8-'Black-Scholes'!$B$10-'Black-Scholes'!$B$9^2/2)*'Black-Scholes'!$B$7+'Black-Scholes'!$B$9*SQRT('Black-Scholes'!$B$7)*B2418)</f>
        <v>93.227497965876</v>
      </c>
      <c r="D2418" s="18" t="n">
        <f aca="false">'Black-Scholes'!$B$5*EXP(('Black-Scholes'!$B$8-'Black-Scholes'!$B$10-'Black-Scholes'!$B$9^2/2)*'Black-Scholes'!$B$7-'Black-Scholes'!$B$9*SQRT('Black-Scholes'!$B$7)*B2418)</f>
        <v>113.897355363331</v>
      </c>
      <c r="E2418" s="18" t="n">
        <f aca="false">EXP(-'Black-Scholes'!$B$8*'Black-Scholes'!$B$7)*IF(LOWER('Black-Scholes'!$B$11)="put",MAX('Black-Scholes'!$B$6-C2418,0),MAX(C2418-'Black-Scholes'!$B$6,0))</f>
        <v>0</v>
      </c>
      <c r="F2418" s="18" t="n">
        <f aca="false">(E2418+G2418)/2</f>
        <v>6.60978667217164</v>
      </c>
      <c r="G2418" s="18" t="n">
        <f aca="false">EXP(-'Black-Scholes'!$B$8*'Black-Scholes'!$B$7)*IF(LOWER('Black-Scholes'!$B$11)="put",MAX('Black-Scholes'!$B$6-D2418,0),MAX(D2418-'Black-Scholes'!$B$6,0))</f>
        <v>13.2195733443433</v>
      </c>
    </row>
    <row r="2419" customFormat="false" ht="15" hidden="false" customHeight="false" outlineLevel="0" collapsed="false">
      <c r="A2419" s="0" t="n">
        <v>2408</v>
      </c>
      <c r="B2419" s="15" t="n">
        <v>0.494574719773979</v>
      </c>
      <c r="C2419" s="18" t="n">
        <f aca="false">'Black-Scholes'!$B$5*EXP(('Black-Scholes'!$B$8-'Black-Scholes'!$B$10-'Black-Scholes'!$B$9^2/2)*'Black-Scholes'!$B$7+'Black-Scholes'!$B$9*SQRT('Black-Scholes'!$B$7)*B2419)</f>
        <v>113.759336085831</v>
      </c>
      <c r="D2419" s="18" t="n">
        <f aca="false">'Black-Scholes'!$B$5*EXP(('Black-Scholes'!$B$8-'Black-Scholes'!$B$10-'Black-Scholes'!$B$9^2/2)*'Black-Scholes'!$B$7-'Black-Scholes'!$B$9*SQRT('Black-Scholes'!$B$7)*B2419)</f>
        <v>93.3406068530679</v>
      </c>
      <c r="E2419" s="18" t="n">
        <f aca="false">EXP(-'Black-Scholes'!$B$8*'Black-Scholes'!$B$7)*IF(LOWER('Black-Scholes'!$B$11)="put",MAX('Black-Scholes'!$B$6-C2419,0),MAX(C2419-'Black-Scholes'!$B$6,0))</f>
        <v>13.0882853464372</v>
      </c>
      <c r="F2419" s="18" t="n">
        <f aca="false">(E2419+G2419)/2</f>
        <v>6.54414267321859</v>
      </c>
      <c r="G2419" s="18" t="n">
        <f aca="false">EXP(-'Black-Scholes'!$B$8*'Black-Scholes'!$B$7)*IF(LOWER('Black-Scholes'!$B$11)="put",MAX('Black-Scholes'!$B$6-D2419,0),MAX(D2419-'Black-Scholes'!$B$6,0))</f>
        <v>0</v>
      </c>
    </row>
    <row r="2420" customFormat="false" ht="15" hidden="false" customHeight="false" outlineLevel="0" collapsed="false">
      <c r="A2420" s="0" t="n">
        <v>2409</v>
      </c>
      <c r="B2420" s="15" t="n">
        <v>1.25206391628085</v>
      </c>
      <c r="C2420" s="18" t="n">
        <f aca="false">'Black-Scholes'!$B$5*EXP(('Black-Scholes'!$B$8-'Black-Scholes'!$B$10-'Black-Scholes'!$B$9^2/2)*'Black-Scholes'!$B$7+'Black-Scholes'!$B$9*SQRT('Black-Scholes'!$B$7)*B2420)</f>
        <v>132.367609090928</v>
      </c>
      <c r="D2420" s="18" t="n">
        <f aca="false">'Black-Scholes'!$B$5*EXP(('Black-Scholes'!$B$8-'Black-Scholes'!$B$10-'Black-Scholes'!$B$9^2/2)*'Black-Scholes'!$B$7-'Black-Scholes'!$B$9*SQRT('Black-Scholes'!$B$7)*B2420)</f>
        <v>80.2187600001107</v>
      </c>
      <c r="E2420" s="18" t="n">
        <f aca="false">EXP(-'Black-Scholes'!$B$8*'Black-Scholes'!$B$7)*IF(LOWER('Black-Scholes'!$B$11)="put",MAX('Black-Scholes'!$B$6-C2420,0),MAX(C2420-'Black-Scholes'!$B$6,0))</f>
        <v>30.7890221680271</v>
      </c>
      <c r="F2420" s="18" t="n">
        <f aca="false">(E2420+G2420)/2</f>
        <v>15.3945110840136</v>
      </c>
      <c r="G2420" s="18" t="n">
        <f aca="false">EXP(-'Black-Scholes'!$B$8*'Black-Scholes'!$B$7)*IF(LOWER('Black-Scholes'!$B$11)="put",MAX('Black-Scholes'!$B$6-D2420,0),MAX(D2420-'Black-Scholes'!$B$6,0))</f>
        <v>0</v>
      </c>
    </row>
    <row r="2421" customFormat="false" ht="15" hidden="false" customHeight="false" outlineLevel="0" collapsed="false">
      <c r="A2421" s="0" t="n">
        <v>2410</v>
      </c>
      <c r="B2421" s="15" t="n">
        <v>-0.203559951570657</v>
      </c>
      <c r="C2421" s="18" t="n">
        <f aca="false">'Black-Scholes'!$B$5*EXP(('Black-Scholes'!$B$8-'Black-Scholes'!$B$10-'Black-Scholes'!$B$9^2/2)*'Black-Scholes'!$B$7+'Black-Scholes'!$B$9*SQRT('Black-Scholes'!$B$7)*B2421)</f>
        <v>98.9345178740569</v>
      </c>
      <c r="D2421" s="18" t="n">
        <f aca="false">'Black-Scholes'!$B$5*EXP(('Black-Scholes'!$B$8-'Black-Scholes'!$B$10-'Black-Scholes'!$B$9^2/2)*'Black-Scholes'!$B$7-'Black-Scholes'!$B$9*SQRT('Black-Scholes'!$B$7)*B2421)</f>
        <v>107.327206859902</v>
      </c>
      <c r="E2421" s="18" t="n">
        <f aca="false">EXP(-'Black-Scholes'!$B$8*'Black-Scholes'!$B$7)*IF(LOWER('Black-Scholes'!$B$11)="put",MAX('Black-Scholes'!$B$6-C2421,0),MAX(C2421-'Black-Scholes'!$B$6,0))</f>
        <v>0</v>
      </c>
      <c r="F2421" s="18" t="n">
        <f aca="false">(E2421+G2421)/2</f>
        <v>3.48492738227121</v>
      </c>
      <c r="G2421" s="18" t="n">
        <f aca="false">EXP(-'Black-Scholes'!$B$8*'Black-Scholes'!$B$7)*IF(LOWER('Black-Scholes'!$B$11)="put",MAX('Black-Scholes'!$B$6-D2421,0),MAX(D2421-'Black-Scholes'!$B$6,0))</f>
        <v>6.96985476454242</v>
      </c>
    </row>
    <row r="2422" customFormat="false" ht="15" hidden="false" customHeight="false" outlineLevel="0" collapsed="false">
      <c r="A2422" s="0" t="n">
        <v>2411</v>
      </c>
      <c r="B2422" s="15" t="n">
        <v>-1.15188065665826</v>
      </c>
      <c r="C2422" s="18" t="n">
        <f aca="false">'Black-Scholes'!$B$5*EXP(('Black-Scholes'!$B$8-'Black-Scholes'!$B$10-'Black-Scholes'!$B$9^2/2)*'Black-Scholes'!$B$7+'Black-Scholes'!$B$9*SQRT('Black-Scholes'!$B$7)*B2422)</f>
        <v>81.8422860697177</v>
      </c>
      <c r="D2422" s="18" t="n">
        <f aca="false">'Black-Scholes'!$B$5*EXP(('Black-Scholes'!$B$8-'Black-Scholes'!$B$10-'Black-Scholes'!$B$9^2/2)*'Black-Scholes'!$B$7-'Black-Scholes'!$B$9*SQRT('Black-Scholes'!$B$7)*B2422)</f>
        <v>129.741799445928</v>
      </c>
      <c r="E2422" s="18" t="n">
        <f aca="false">EXP(-'Black-Scholes'!$B$8*'Black-Scholes'!$B$7)*IF(LOWER('Black-Scholes'!$B$11)="put",MAX('Black-Scholes'!$B$6-C2422,0),MAX(C2422-'Black-Scholes'!$B$6,0))</f>
        <v>0</v>
      </c>
      <c r="F2422" s="18" t="n">
        <f aca="false">(E2422+G2422)/2</f>
        <v>14.1456373852829</v>
      </c>
      <c r="G2422" s="18" t="n">
        <f aca="false">EXP(-'Black-Scholes'!$B$8*'Black-Scholes'!$B$7)*IF(LOWER('Black-Scholes'!$B$11)="put",MAX('Black-Scholes'!$B$6-D2422,0),MAX(D2422-'Black-Scholes'!$B$6,0))</f>
        <v>28.2912747705659</v>
      </c>
    </row>
    <row r="2423" customFormat="false" ht="15" hidden="false" customHeight="false" outlineLevel="0" collapsed="false">
      <c r="A2423" s="0" t="n">
        <v>2412</v>
      </c>
      <c r="B2423" s="15" t="n">
        <v>-0.645298861527012</v>
      </c>
      <c r="C2423" s="18" t="n">
        <f aca="false">'Black-Scholes'!$B$5*EXP(('Black-Scholes'!$B$8-'Black-Scholes'!$B$10-'Black-Scholes'!$B$9^2/2)*'Black-Scholes'!$B$7+'Black-Scholes'!$B$9*SQRT('Black-Scholes'!$B$7)*B2423)</f>
        <v>90.5688571311743</v>
      </c>
      <c r="D2423" s="18" t="n">
        <f aca="false">'Black-Scholes'!$B$5*EXP(('Black-Scholes'!$B$8-'Black-Scholes'!$B$10-'Black-Scholes'!$B$9^2/2)*'Black-Scholes'!$B$7-'Black-Scholes'!$B$9*SQRT('Black-Scholes'!$B$7)*B2423)</f>
        <v>117.240802211677</v>
      </c>
      <c r="E2423" s="18" t="n">
        <f aca="false">EXP(-'Black-Scholes'!$B$8*'Black-Scholes'!$B$7)*IF(LOWER('Black-Scholes'!$B$11)="put",MAX('Black-Scholes'!$B$6-C2423,0),MAX(C2423-'Black-Scholes'!$B$6,0))</f>
        <v>0</v>
      </c>
      <c r="F2423" s="18" t="n">
        <f aca="false">(E2423+G2423)/2</f>
        <v>8.19997918287188</v>
      </c>
      <c r="G2423" s="18" t="n">
        <f aca="false">EXP(-'Black-Scholes'!$B$8*'Black-Scholes'!$B$7)*IF(LOWER('Black-Scholes'!$B$11)="put",MAX('Black-Scholes'!$B$6-D2423,0),MAX(D2423-'Black-Scholes'!$B$6,0))</f>
        <v>16.3999583657438</v>
      </c>
    </row>
    <row r="2424" customFormat="false" ht="15" hidden="false" customHeight="false" outlineLevel="0" collapsed="false">
      <c r="A2424" s="0" t="n">
        <v>2413</v>
      </c>
      <c r="B2424" s="15" t="n">
        <v>0.179209104741157</v>
      </c>
      <c r="C2424" s="18" t="n">
        <f aca="false">'Black-Scholes'!$B$5*EXP(('Black-Scholes'!$B$8-'Black-Scholes'!$B$10-'Black-Scholes'!$B$9^2/2)*'Black-Scholes'!$B$7+'Black-Scholes'!$B$9*SQRT('Black-Scholes'!$B$7)*B2424)</f>
        <v>106.805775943994</v>
      </c>
      <c r="D2424" s="18" t="n">
        <f aca="false">'Black-Scholes'!$B$5*EXP(('Black-Scholes'!$B$8-'Black-Scholes'!$B$10-'Black-Scholes'!$B$9^2/2)*'Black-Scholes'!$B$7-'Black-Scholes'!$B$9*SQRT('Black-Scholes'!$B$7)*B2424)</f>
        <v>99.4175209309055</v>
      </c>
      <c r="E2424" s="18" t="n">
        <f aca="false">EXP(-'Black-Scholes'!$B$8*'Black-Scholes'!$B$7)*IF(LOWER('Black-Scholes'!$B$11)="put",MAX('Black-Scholes'!$B$6-C2424,0),MAX(C2424-'Black-Scholes'!$B$6,0))</f>
        <v>6.47385433448593</v>
      </c>
      <c r="F2424" s="18" t="n">
        <f aca="false">(E2424+G2424)/2</f>
        <v>3.23692716724296</v>
      </c>
      <c r="G2424" s="18" t="n">
        <f aca="false">EXP(-'Black-Scholes'!$B$8*'Black-Scholes'!$B$7)*IF(LOWER('Black-Scholes'!$B$11)="put",MAX('Black-Scholes'!$B$6-D2424,0),MAX(D2424-'Black-Scholes'!$B$6,0))</f>
        <v>0</v>
      </c>
    </row>
    <row r="2425" customFormat="false" ht="15" hidden="false" customHeight="false" outlineLevel="0" collapsed="false">
      <c r="A2425" s="0" t="n">
        <v>2414</v>
      </c>
      <c r="B2425" s="15" t="n">
        <v>-0.813925932505908</v>
      </c>
      <c r="C2425" s="18" t="n">
        <f aca="false">'Black-Scholes'!$B$5*EXP(('Black-Scholes'!$B$8-'Black-Scholes'!$B$10-'Black-Scholes'!$B$9^2/2)*'Black-Scholes'!$B$7+'Black-Scholes'!$B$9*SQRT('Black-Scholes'!$B$7)*B2425)</f>
        <v>87.5653174028845</v>
      </c>
      <c r="D2425" s="18" t="n">
        <f aca="false">'Black-Scholes'!$B$5*EXP(('Black-Scholes'!$B$8-'Black-Scholes'!$B$10-'Black-Scholes'!$B$9^2/2)*'Black-Scholes'!$B$7-'Black-Scholes'!$B$9*SQRT('Black-Scholes'!$B$7)*B2425)</f>
        <v>121.262227790472</v>
      </c>
      <c r="E2425" s="18" t="n">
        <f aca="false">EXP(-'Black-Scholes'!$B$8*'Black-Scholes'!$B$7)*IF(LOWER('Black-Scholes'!$B$11)="put",MAX('Black-Scholes'!$B$6-C2425,0),MAX(C2425-'Black-Scholes'!$B$6,0))</f>
        <v>0</v>
      </c>
      <c r="F2425" s="18" t="n">
        <f aca="false">(E2425+G2425)/2</f>
        <v>10.1126283523671</v>
      </c>
      <c r="G2425" s="18" t="n">
        <f aca="false">EXP(-'Black-Scholes'!$B$8*'Black-Scholes'!$B$7)*IF(LOWER('Black-Scholes'!$B$11)="put",MAX('Black-Scholes'!$B$6-D2425,0),MAX(D2425-'Black-Scholes'!$B$6,0))</f>
        <v>20.2252567047342</v>
      </c>
    </row>
    <row r="2426" customFormat="false" ht="15" hidden="false" customHeight="false" outlineLevel="0" collapsed="false">
      <c r="A2426" s="0" t="n">
        <v>2415</v>
      </c>
      <c r="B2426" s="15" t="n">
        <v>-0.413383182693877</v>
      </c>
      <c r="C2426" s="18" t="n">
        <f aca="false">'Black-Scholes'!$B$5*EXP(('Black-Scholes'!$B$8-'Black-Scholes'!$B$10-'Black-Scholes'!$B$9^2/2)*'Black-Scholes'!$B$7+'Black-Scholes'!$B$9*SQRT('Black-Scholes'!$B$7)*B2426)</f>
        <v>94.8686733514205</v>
      </c>
      <c r="D2426" s="18" t="n">
        <f aca="false">'Black-Scholes'!$B$5*EXP(('Black-Scholes'!$B$8-'Black-Scholes'!$B$10-'Black-Scholes'!$B$9^2/2)*'Black-Scholes'!$B$7-'Black-Scholes'!$B$9*SQRT('Black-Scholes'!$B$7)*B2426)</f>
        <v>111.92699434217</v>
      </c>
      <c r="E2426" s="18" t="n">
        <f aca="false">EXP(-'Black-Scholes'!$B$8*'Black-Scholes'!$B$7)*IF(LOWER('Black-Scholes'!$B$11)="put",MAX('Black-Scholes'!$B$6-C2426,0),MAX(C2426-'Black-Scholes'!$B$6,0))</f>
        <v>0</v>
      </c>
      <c r="F2426" s="18" t="n">
        <f aca="false">(E2426+G2426)/2</f>
        <v>5.6726539820627</v>
      </c>
      <c r="G2426" s="18" t="n">
        <f aca="false">EXP(-'Black-Scholes'!$B$8*'Black-Scholes'!$B$7)*IF(LOWER('Black-Scholes'!$B$11)="put",MAX('Black-Scholes'!$B$6-D2426,0),MAX(D2426-'Black-Scholes'!$B$6,0))</f>
        <v>11.3453079641254</v>
      </c>
    </row>
    <row r="2427" customFormat="false" ht="15" hidden="false" customHeight="false" outlineLevel="0" collapsed="false">
      <c r="A2427" s="0" t="n">
        <v>2416</v>
      </c>
      <c r="B2427" s="15" t="n">
        <v>-0.349710623373704</v>
      </c>
      <c r="C2427" s="18" t="n">
        <f aca="false">'Black-Scholes'!$B$5*EXP(('Black-Scholes'!$B$8-'Black-Scholes'!$B$10-'Black-Scholes'!$B$9^2/2)*'Black-Scholes'!$B$7+'Black-Scholes'!$B$9*SQRT('Black-Scholes'!$B$7)*B2427)</f>
        <v>96.0845046762759</v>
      </c>
      <c r="D2427" s="18" t="n">
        <f aca="false">'Black-Scholes'!$B$5*EXP(('Black-Scholes'!$B$8-'Black-Scholes'!$B$10-'Black-Scholes'!$B$9^2/2)*'Black-Scholes'!$B$7-'Black-Scholes'!$B$9*SQRT('Black-Scholes'!$B$7)*B2427)</f>
        <v>110.510695780018</v>
      </c>
      <c r="E2427" s="18" t="n">
        <f aca="false">EXP(-'Black-Scholes'!$B$8*'Black-Scholes'!$B$7)*IF(LOWER('Black-Scholes'!$B$11)="put",MAX('Black-Scholes'!$B$6-C2427,0),MAX(C2427-'Black-Scholes'!$B$6,0))</f>
        <v>0</v>
      </c>
      <c r="F2427" s="18" t="n">
        <f aca="false">(E2427+G2427)/2</f>
        <v>4.9990415489641</v>
      </c>
      <c r="G2427" s="18" t="n">
        <f aca="false">EXP(-'Black-Scholes'!$B$8*'Black-Scholes'!$B$7)*IF(LOWER('Black-Scholes'!$B$11)="put",MAX('Black-Scholes'!$B$6-D2427,0),MAX(D2427-'Black-Scholes'!$B$6,0))</f>
        <v>9.9980830979282</v>
      </c>
    </row>
    <row r="2428" customFormat="false" ht="15" hidden="false" customHeight="false" outlineLevel="0" collapsed="false">
      <c r="A2428" s="0" t="n">
        <v>2417</v>
      </c>
      <c r="B2428" s="15" t="n">
        <v>-0.739925710175644</v>
      </c>
      <c r="C2428" s="18" t="n">
        <f aca="false">'Black-Scholes'!$B$5*EXP(('Black-Scholes'!$B$8-'Black-Scholes'!$B$10-'Black-Scholes'!$B$9^2/2)*'Black-Scholes'!$B$7+'Black-Scholes'!$B$9*SQRT('Black-Scholes'!$B$7)*B2428)</f>
        <v>88.8709256927443</v>
      </c>
      <c r="D2428" s="18" t="n">
        <f aca="false">'Black-Scholes'!$B$5*EXP(('Black-Scholes'!$B$8-'Black-Scholes'!$B$10-'Black-Scholes'!$B$9^2/2)*'Black-Scholes'!$B$7-'Black-Scholes'!$B$9*SQRT('Black-Scholes'!$B$7)*B2428)</f>
        <v>119.480756869403</v>
      </c>
      <c r="E2428" s="18" t="n">
        <f aca="false">EXP(-'Black-Scholes'!$B$8*'Black-Scholes'!$B$7)*IF(LOWER('Black-Scholes'!$B$11)="put",MAX('Black-Scholes'!$B$6-C2428,0),MAX(C2428-'Black-Scholes'!$B$6,0))</f>
        <v>0</v>
      </c>
      <c r="F2428" s="18" t="n">
        <f aca="false">(E2428+G2428)/2</f>
        <v>9.26533457286048</v>
      </c>
      <c r="G2428" s="18" t="n">
        <f aca="false">EXP(-'Black-Scholes'!$B$8*'Black-Scholes'!$B$7)*IF(LOWER('Black-Scholes'!$B$11)="put",MAX('Black-Scholes'!$B$6-D2428,0),MAX(D2428-'Black-Scholes'!$B$6,0))</f>
        <v>18.530669145721</v>
      </c>
    </row>
    <row r="2429" customFormat="false" ht="15" hidden="false" customHeight="false" outlineLevel="0" collapsed="false">
      <c r="A2429" s="0" t="n">
        <v>2418</v>
      </c>
      <c r="B2429" s="15" t="n">
        <v>-0.796678526320679</v>
      </c>
      <c r="C2429" s="18" t="n">
        <f aca="false">'Black-Scholes'!$B$5*EXP(('Black-Scholes'!$B$8-'Black-Scholes'!$B$10-'Black-Scholes'!$B$9^2/2)*'Black-Scholes'!$B$7+'Black-Scholes'!$B$9*SQRT('Black-Scholes'!$B$7)*B2429)</f>
        <v>87.8678938882084</v>
      </c>
      <c r="D2429" s="18" t="n">
        <f aca="false">'Black-Scholes'!$B$5*EXP(('Black-Scholes'!$B$8-'Black-Scholes'!$B$10-'Black-Scholes'!$B$9^2/2)*'Black-Scholes'!$B$7-'Black-Scholes'!$B$9*SQRT('Black-Scholes'!$B$7)*B2429)</f>
        <v>120.844656626947</v>
      </c>
      <c r="E2429" s="18" t="n">
        <f aca="false">EXP(-'Black-Scholes'!$B$8*'Black-Scholes'!$B$7)*IF(LOWER('Black-Scholes'!$B$11)="put",MAX('Black-Scholes'!$B$6-C2429,0),MAX(C2429-'Black-Scholes'!$B$6,0))</f>
        <v>0</v>
      </c>
      <c r="F2429" s="18" t="n">
        <f aca="false">(E2429+G2429)/2</f>
        <v>9.9140253635831</v>
      </c>
      <c r="G2429" s="18" t="n">
        <f aca="false">EXP(-'Black-Scholes'!$B$8*'Black-Scholes'!$B$7)*IF(LOWER('Black-Scholes'!$B$11)="put",MAX('Black-Scholes'!$B$6-D2429,0),MAX(D2429-'Black-Scholes'!$B$6,0))</f>
        <v>19.8280507271662</v>
      </c>
    </row>
    <row r="2430" customFormat="false" ht="15" hidden="false" customHeight="false" outlineLevel="0" collapsed="false">
      <c r="A2430" s="0" t="n">
        <v>2419</v>
      </c>
      <c r="B2430" s="15" t="n">
        <v>-0.389683868434725</v>
      </c>
      <c r="C2430" s="18" t="n">
        <f aca="false">'Black-Scholes'!$B$5*EXP(('Black-Scholes'!$B$8-'Black-Scholes'!$B$10-'Black-Scholes'!$B$9^2/2)*'Black-Scholes'!$B$7+'Black-Scholes'!$B$9*SQRT('Black-Scholes'!$B$7)*B2430)</f>
        <v>95.3194052117858</v>
      </c>
      <c r="D2430" s="18" t="n">
        <f aca="false">'Black-Scholes'!$B$5*EXP(('Black-Scholes'!$B$8-'Black-Scholes'!$B$10-'Black-Scholes'!$B$9^2/2)*'Black-Scholes'!$B$7-'Black-Scholes'!$B$9*SQRT('Black-Scholes'!$B$7)*B2430)</f>
        <v>111.397731048165</v>
      </c>
      <c r="E2430" s="18" t="n">
        <f aca="false">EXP(-'Black-Scholes'!$B$8*'Black-Scholes'!$B$7)*IF(LOWER('Black-Scholes'!$B$11)="put",MAX('Black-Scholes'!$B$6-C2430,0),MAX(C2430-'Black-Scholes'!$B$6,0))</f>
        <v>0</v>
      </c>
      <c r="F2430" s="18" t="n">
        <f aca="false">(E2430+G2430)/2</f>
        <v>5.42092857278008</v>
      </c>
      <c r="G2430" s="18" t="n">
        <f aca="false">EXP(-'Black-Scholes'!$B$8*'Black-Scholes'!$B$7)*IF(LOWER('Black-Scholes'!$B$11)="put",MAX('Black-Scholes'!$B$6-D2430,0),MAX(D2430-'Black-Scholes'!$B$6,0))</f>
        <v>10.8418571455602</v>
      </c>
    </row>
    <row r="2431" customFormat="false" ht="15" hidden="false" customHeight="false" outlineLevel="0" collapsed="false">
      <c r="A2431" s="0" t="n">
        <v>2420</v>
      </c>
      <c r="B2431" s="15" t="n">
        <v>0.894502260065603</v>
      </c>
      <c r="C2431" s="18" t="n">
        <f aca="false">'Black-Scholes'!$B$5*EXP(('Black-Scholes'!$B$8-'Black-Scholes'!$B$10-'Black-Scholes'!$B$9^2/2)*'Black-Scholes'!$B$7+'Black-Scholes'!$B$9*SQRT('Black-Scholes'!$B$7)*B2431)</f>
        <v>123.232231721815</v>
      </c>
      <c r="D2431" s="18" t="n">
        <f aca="false">'Black-Scholes'!$B$5*EXP(('Black-Scholes'!$B$8-'Black-Scholes'!$B$10-'Black-Scholes'!$B$9^2/2)*'Black-Scholes'!$B$7-'Black-Scholes'!$B$9*SQRT('Black-Scholes'!$B$7)*B2431)</f>
        <v>86.1654886639035</v>
      </c>
      <c r="E2431" s="18" t="n">
        <f aca="false">EXP(-'Black-Scholes'!$B$8*'Black-Scholes'!$B$7)*IF(LOWER('Black-Scholes'!$B$11)="put",MAX('Black-Scholes'!$B$6-C2431,0),MAX(C2431-'Black-Scholes'!$B$6,0))</f>
        <v>22.0991824106095</v>
      </c>
      <c r="F2431" s="18" t="n">
        <f aca="false">(E2431+G2431)/2</f>
        <v>11.0495912053047</v>
      </c>
      <c r="G2431" s="18" t="n">
        <f aca="false">EXP(-'Black-Scholes'!$B$8*'Black-Scholes'!$B$7)*IF(LOWER('Black-Scholes'!$B$11)="put",MAX('Black-Scholes'!$B$6-D2431,0),MAX(D2431-'Black-Scholes'!$B$6,0))</f>
        <v>0</v>
      </c>
    </row>
    <row r="2432" customFormat="false" ht="15" hidden="false" customHeight="false" outlineLevel="0" collapsed="false">
      <c r="A2432" s="0" t="n">
        <v>2421</v>
      </c>
      <c r="B2432" s="15" t="n">
        <v>-0.274457965380886</v>
      </c>
      <c r="C2432" s="18" t="n">
        <f aca="false">'Black-Scholes'!$B$5*EXP(('Black-Scholes'!$B$8-'Black-Scholes'!$B$10-'Black-Scholes'!$B$9^2/2)*'Black-Scholes'!$B$7+'Black-Scholes'!$B$9*SQRT('Black-Scholes'!$B$7)*B2432)</f>
        <v>97.5415648106828</v>
      </c>
      <c r="D2432" s="18" t="n">
        <f aca="false">'Black-Scholes'!$B$5*EXP(('Black-Scholes'!$B$8-'Black-Scholes'!$B$10-'Black-Scholes'!$B$9^2/2)*'Black-Scholes'!$B$7-'Black-Scholes'!$B$9*SQRT('Black-Scholes'!$B$7)*B2432)</f>
        <v>108.859904862739</v>
      </c>
      <c r="E2432" s="18" t="n">
        <f aca="false">EXP(-'Black-Scholes'!$B$8*'Black-Scholes'!$B$7)*IF(LOWER('Black-Scholes'!$B$11)="put",MAX('Black-Scholes'!$B$6-C2432,0),MAX(C2432-'Black-Scholes'!$B$6,0))</f>
        <v>0</v>
      </c>
      <c r="F2432" s="18" t="n">
        <f aca="false">(E2432+G2432)/2</f>
        <v>4.21390110185705</v>
      </c>
      <c r="G2432" s="18" t="n">
        <f aca="false">EXP(-'Black-Scholes'!$B$8*'Black-Scholes'!$B$7)*IF(LOWER('Black-Scholes'!$B$11)="put",MAX('Black-Scholes'!$B$6-D2432,0),MAX(D2432-'Black-Scholes'!$B$6,0))</f>
        <v>8.42780220371411</v>
      </c>
    </row>
    <row r="2433" customFormat="false" ht="15" hidden="false" customHeight="false" outlineLevel="0" collapsed="false">
      <c r="A2433" s="0" t="n">
        <v>2422</v>
      </c>
      <c r="B2433" s="15" t="n">
        <v>-0.693200489332349</v>
      </c>
      <c r="C2433" s="18" t="n">
        <f aca="false">'Black-Scholes'!$B$5*EXP(('Black-Scholes'!$B$8-'Black-Scholes'!$B$10-'Black-Scholes'!$B$9^2/2)*'Black-Scholes'!$B$7+'Black-Scholes'!$B$9*SQRT('Black-Scholes'!$B$7)*B2433)</f>
        <v>89.7053210772204</v>
      </c>
      <c r="D2433" s="18" t="n">
        <f aca="false">'Black-Scholes'!$B$5*EXP(('Black-Scholes'!$B$8-'Black-Scholes'!$B$10-'Black-Scholes'!$B$9^2/2)*'Black-Scholes'!$B$7-'Black-Scholes'!$B$9*SQRT('Black-Scholes'!$B$7)*B2433)</f>
        <v>118.369404823969</v>
      </c>
      <c r="E2433" s="18" t="n">
        <f aca="false">EXP(-'Black-Scholes'!$B$8*'Black-Scholes'!$B$7)*IF(LOWER('Black-Scholes'!$B$11)="put",MAX('Black-Scholes'!$B$6-C2433,0),MAX(C2433-'Black-Scholes'!$B$6,0))</f>
        <v>0</v>
      </c>
      <c r="F2433" s="18" t="n">
        <f aca="false">(E2433+G2433)/2</f>
        <v>8.73675918956219</v>
      </c>
      <c r="G2433" s="18" t="n">
        <f aca="false">EXP(-'Black-Scholes'!$B$8*'Black-Scholes'!$B$7)*IF(LOWER('Black-Scholes'!$B$11)="put",MAX('Black-Scholes'!$B$6-D2433,0),MAX(D2433-'Black-Scholes'!$B$6,0))</f>
        <v>17.4735183791244</v>
      </c>
    </row>
    <row r="2434" customFormat="false" ht="15" hidden="false" customHeight="false" outlineLevel="0" collapsed="false">
      <c r="A2434" s="0" t="n">
        <v>2423</v>
      </c>
      <c r="B2434" s="15" t="n">
        <v>1.3713818219691</v>
      </c>
      <c r="C2434" s="18" t="n">
        <f aca="false">'Black-Scholes'!$B$5*EXP(('Black-Scholes'!$B$8-'Black-Scholes'!$B$10-'Black-Scholes'!$B$9^2/2)*'Black-Scholes'!$B$7+'Black-Scholes'!$B$9*SQRT('Black-Scholes'!$B$7)*B2434)</f>
        <v>135.564365596147</v>
      </c>
      <c r="D2434" s="18" t="n">
        <f aca="false">'Black-Scholes'!$B$5*EXP(('Black-Scholes'!$B$8-'Black-Scholes'!$B$10-'Black-Scholes'!$B$9^2/2)*'Black-Scholes'!$B$7-'Black-Scholes'!$B$9*SQRT('Black-Scholes'!$B$7)*B2434)</f>
        <v>78.3271136095325</v>
      </c>
      <c r="E2434" s="18" t="n">
        <f aca="false">EXP(-'Black-Scholes'!$B$8*'Black-Scholes'!$B$7)*IF(LOWER('Black-Scholes'!$B$11)="put",MAX('Black-Scholes'!$B$6-C2434,0),MAX(C2434-'Black-Scholes'!$B$6,0))</f>
        <v>33.8298710187559</v>
      </c>
      <c r="F2434" s="18" t="n">
        <f aca="false">(E2434+G2434)/2</f>
        <v>16.9149355093779</v>
      </c>
      <c r="G2434" s="18" t="n">
        <f aca="false">EXP(-'Black-Scholes'!$B$8*'Black-Scholes'!$B$7)*IF(LOWER('Black-Scholes'!$B$11)="put",MAX('Black-Scholes'!$B$6-D2434,0),MAX(D2434-'Black-Scholes'!$B$6,0))</f>
        <v>0</v>
      </c>
    </row>
    <row r="2435" customFormat="false" ht="15" hidden="false" customHeight="false" outlineLevel="0" collapsed="false">
      <c r="A2435" s="0" t="n">
        <v>2424</v>
      </c>
      <c r="B2435" s="15" t="n">
        <v>0.899987646469925</v>
      </c>
      <c r="C2435" s="18" t="n">
        <f aca="false">'Black-Scholes'!$B$5*EXP(('Black-Scholes'!$B$8-'Black-Scholes'!$B$10-'Black-Scholes'!$B$9^2/2)*'Black-Scholes'!$B$7+'Black-Scholes'!$B$9*SQRT('Black-Scholes'!$B$7)*B2435)</f>
        <v>123.367501190471</v>
      </c>
      <c r="D2435" s="18" t="n">
        <f aca="false">'Black-Scholes'!$B$5*EXP(('Black-Scholes'!$B$8-'Black-Scholes'!$B$10-'Black-Scholes'!$B$9^2/2)*'Black-Scholes'!$B$7-'Black-Scholes'!$B$9*SQRT('Black-Scholes'!$B$7)*B2435)</f>
        <v>86.0710102984059</v>
      </c>
      <c r="E2435" s="18" t="n">
        <f aca="false">EXP(-'Black-Scholes'!$B$8*'Black-Scholes'!$B$7)*IF(LOWER('Black-Scholes'!$B$11)="put",MAX('Black-Scholes'!$B$6-C2435,0),MAX(C2435-'Black-Scholes'!$B$6,0))</f>
        <v>22.227854709431</v>
      </c>
      <c r="F2435" s="18" t="n">
        <f aca="false">(E2435+G2435)/2</f>
        <v>11.1139273547155</v>
      </c>
      <c r="G2435" s="18" t="n">
        <f aca="false">EXP(-'Black-Scholes'!$B$8*'Black-Scholes'!$B$7)*IF(LOWER('Black-Scholes'!$B$11)="put",MAX('Black-Scholes'!$B$6-D2435,0),MAX(D2435-'Black-Scholes'!$B$6,0))</f>
        <v>0</v>
      </c>
    </row>
    <row r="2436" customFormat="false" ht="15" hidden="false" customHeight="false" outlineLevel="0" collapsed="false">
      <c r="A2436" s="0" t="n">
        <v>2425</v>
      </c>
      <c r="B2436" s="15" t="n">
        <v>0.184022016584424</v>
      </c>
      <c r="C2436" s="18" t="n">
        <f aca="false">'Black-Scholes'!$B$5*EXP(('Black-Scholes'!$B$8-'Black-Scholes'!$B$10-'Black-Scholes'!$B$9^2/2)*'Black-Scholes'!$B$7+'Black-Scholes'!$B$9*SQRT('Black-Scholes'!$B$7)*B2436)</f>
        <v>106.908634797905</v>
      </c>
      <c r="D2436" s="18" t="n">
        <f aca="false">'Black-Scholes'!$B$5*EXP(('Black-Scholes'!$B$8-'Black-Scholes'!$B$10-'Black-Scholes'!$B$9^2/2)*'Black-Scholes'!$B$7-'Black-Scholes'!$B$9*SQRT('Black-Scholes'!$B$7)*B2436)</f>
        <v>99.3218694217359</v>
      </c>
      <c r="E2436" s="18" t="n">
        <f aca="false">EXP(-'Black-Scholes'!$B$8*'Black-Scholes'!$B$7)*IF(LOWER('Black-Scholes'!$B$11)="put",MAX('Black-Scholes'!$B$6-C2436,0),MAX(C2436-'Black-Scholes'!$B$6,0))</f>
        <v>6.57169670289699</v>
      </c>
      <c r="F2436" s="18" t="n">
        <f aca="false">(E2436+G2436)/2</f>
        <v>3.2858483514485</v>
      </c>
      <c r="G2436" s="18" t="n">
        <f aca="false">EXP(-'Black-Scholes'!$B$8*'Black-Scholes'!$B$7)*IF(LOWER('Black-Scholes'!$B$11)="put",MAX('Black-Scholes'!$B$6-D2436,0),MAX(D2436-'Black-Scholes'!$B$6,0))</f>
        <v>0</v>
      </c>
    </row>
    <row r="2437" customFormat="false" ht="15" hidden="false" customHeight="false" outlineLevel="0" collapsed="false">
      <c r="A2437" s="0" t="n">
        <v>2426</v>
      </c>
      <c r="B2437" s="15" t="n">
        <v>-0.548430918421802</v>
      </c>
      <c r="C2437" s="18" t="n">
        <f aca="false">'Black-Scholes'!$B$5*EXP(('Black-Scholes'!$B$8-'Black-Scholes'!$B$10-'Black-Scholes'!$B$9^2/2)*'Black-Scholes'!$B$7+'Black-Scholes'!$B$9*SQRT('Black-Scholes'!$B$7)*B2437)</f>
        <v>92.3406080816683</v>
      </c>
      <c r="D2437" s="18" t="n">
        <f aca="false">'Black-Scholes'!$B$5*EXP(('Black-Scholes'!$B$8-'Black-Scholes'!$B$10-'Black-Scholes'!$B$9^2/2)*'Black-Scholes'!$B$7-'Black-Scholes'!$B$9*SQRT('Black-Scholes'!$B$7)*B2437)</f>
        <v>114.991288080564</v>
      </c>
      <c r="E2437" s="18" t="n">
        <f aca="false">EXP(-'Black-Scholes'!$B$8*'Black-Scholes'!$B$7)*IF(LOWER('Black-Scholes'!$B$11)="put",MAX('Black-Scholes'!$B$6-C2437,0),MAX(C2437-'Black-Scholes'!$B$6,0))</f>
        <v>0</v>
      </c>
      <c r="F2437" s="18" t="n">
        <f aca="false">(E2437+G2437)/2</f>
        <v>7.13007716669974</v>
      </c>
      <c r="G2437" s="18" t="n">
        <f aca="false">EXP(-'Black-Scholes'!$B$8*'Black-Scholes'!$B$7)*IF(LOWER('Black-Scholes'!$B$11)="put",MAX('Black-Scholes'!$B$6-D2437,0),MAX(D2437-'Black-Scholes'!$B$6,0))</f>
        <v>14.2601543333995</v>
      </c>
    </row>
    <row r="2438" customFormat="false" ht="15" hidden="false" customHeight="false" outlineLevel="0" collapsed="false">
      <c r="A2438" s="0" t="n">
        <v>2427</v>
      </c>
      <c r="B2438" s="15" t="n">
        <v>0.145509171825888</v>
      </c>
      <c r="C2438" s="18" t="n">
        <f aca="false">'Black-Scholes'!$B$5*EXP(('Black-Scholes'!$B$8-'Black-Scholes'!$B$10-'Black-Scholes'!$B$9^2/2)*'Black-Scholes'!$B$7+'Black-Scholes'!$B$9*SQRT('Black-Scholes'!$B$7)*B2438)</f>
        <v>106.088326961383</v>
      </c>
      <c r="D2438" s="18" t="n">
        <f aca="false">'Black-Scholes'!$B$5*EXP(('Black-Scholes'!$B$8-'Black-Scholes'!$B$10-'Black-Scholes'!$B$9^2/2)*'Black-Scholes'!$B$7-'Black-Scholes'!$B$9*SQRT('Black-Scholes'!$B$7)*B2438)</f>
        <v>100.089856910636</v>
      </c>
      <c r="E2438" s="18" t="n">
        <f aca="false">EXP(-'Black-Scholes'!$B$8*'Black-Scholes'!$B$7)*IF(LOWER('Black-Scholes'!$B$11)="put",MAX('Black-Scholes'!$B$6-C2438,0),MAX(C2438-'Black-Scholes'!$B$6,0))</f>
        <v>5.79139575164837</v>
      </c>
      <c r="F2438" s="18" t="n">
        <f aca="false">(E2438+G2438)/2</f>
        <v>2.93843514452012</v>
      </c>
      <c r="G2438" s="18" t="n">
        <f aca="false">EXP(-'Black-Scholes'!$B$8*'Black-Scholes'!$B$7)*IF(LOWER('Black-Scholes'!$B$11)="put",MAX('Black-Scholes'!$B$6-D2438,0),MAX(D2438-'Black-Scholes'!$B$6,0))</f>
        <v>0.0854745373918715</v>
      </c>
    </row>
    <row r="2439" customFormat="false" ht="15" hidden="false" customHeight="false" outlineLevel="0" collapsed="false">
      <c r="A2439" s="0" t="n">
        <v>2428</v>
      </c>
      <c r="B2439" s="15" t="n">
        <v>0.64822581941563</v>
      </c>
      <c r="C2439" s="18" t="n">
        <f aca="false">'Black-Scholes'!$B$5*EXP(('Black-Scholes'!$B$8-'Black-Scholes'!$B$10-'Black-Scholes'!$B$9^2/2)*'Black-Scholes'!$B$7+'Black-Scholes'!$B$9*SQRT('Black-Scholes'!$B$7)*B2439)</f>
        <v>117.30945408201</v>
      </c>
      <c r="D2439" s="18" t="n">
        <f aca="false">'Black-Scholes'!$B$5*EXP(('Black-Scholes'!$B$8-'Black-Scholes'!$B$10-'Black-Scholes'!$B$9^2/2)*'Black-Scholes'!$B$7-'Black-Scholes'!$B$9*SQRT('Black-Scholes'!$B$7)*B2439)</f>
        <v>90.5158544001954</v>
      </c>
      <c r="E2439" s="18" t="n">
        <f aca="false">EXP(-'Black-Scholes'!$B$8*'Black-Scholes'!$B$7)*IF(LOWER('Black-Scholes'!$B$11)="put",MAX('Black-Scholes'!$B$6-C2439,0),MAX(C2439-'Black-Scholes'!$B$6,0))</f>
        <v>16.4652620448516</v>
      </c>
      <c r="F2439" s="18" t="n">
        <f aca="false">(E2439+G2439)/2</f>
        <v>8.23263102242582</v>
      </c>
      <c r="G2439" s="18" t="n">
        <f aca="false">EXP(-'Black-Scholes'!$B$8*'Black-Scholes'!$B$7)*IF(LOWER('Black-Scholes'!$B$11)="put",MAX('Black-Scholes'!$B$6-D2439,0),MAX(D2439-'Black-Scholes'!$B$6,0))</f>
        <v>0</v>
      </c>
    </row>
    <row r="2440" customFormat="false" ht="15" hidden="false" customHeight="false" outlineLevel="0" collapsed="false">
      <c r="A2440" s="0" t="n">
        <v>2429</v>
      </c>
      <c r="B2440" s="15" t="n">
        <v>-0.0428651270363428</v>
      </c>
      <c r="C2440" s="18" t="n">
        <f aca="false">'Black-Scholes'!$B$5*EXP(('Black-Scholes'!$B$8-'Black-Scholes'!$B$10-'Black-Scholes'!$B$9^2/2)*'Black-Scholes'!$B$7+'Black-Scholes'!$B$9*SQRT('Black-Scholes'!$B$7)*B2440)</f>
        <v>102.165818060848</v>
      </c>
      <c r="D2440" s="18" t="n">
        <f aca="false">'Black-Scholes'!$B$5*EXP(('Black-Scholes'!$B$8-'Black-Scholes'!$B$10-'Black-Scholes'!$B$9^2/2)*'Black-Scholes'!$B$7-'Black-Scholes'!$B$9*SQRT('Black-Scholes'!$B$7)*B2440)</f>
        <v>103.932662283676</v>
      </c>
      <c r="E2440" s="18" t="n">
        <f aca="false">EXP(-'Black-Scholes'!$B$8*'Black-Scholes'!$B$7)*IF(LOWER('Black-Scholes'!$B$11)="put",MAX('Black-Scholes'!$B$6-C2440,0),MAX(C2440-'Black-Scholes'!$B$6,0))</f>
        <v>2.06018986759408</v>
      </c>
      <c r="F2440" s="18" t="n">
        <f aca="false">(E2440+G2440)/2</f>
        <v>2.90052697422522</v>
      </c>
      <c r="G2440" s="18" t="n">
        <f aca="false">EXP(-'Black-Scholes'!$B$8*'Black-Scholes'!$B$7)*IF(LOWER('Black-Scholes'!$B$11)="put",MAX('Black-Scholes'!$B$6-D2440,0),MAX(D2440-'Black-Scholes'!$B$6,0))</f>
        <v>3.74086408085635</v>
      </c>
    </row>
    <row r="2441" customFormat="false" ht="15" hidden="false" customHeight="false" outlineLevel="0" collapsed="false">
      <c r="A2441" s="0" t="n">
        <v>2430</v>
      </c>
      <c r="B2441" s="15" t="n">
        <v>0.589249137291394</v>
      </c>
      <c r="C2441" s="18" t="n">
        <f aca="false">'Black-Scholes'!$B$5*EXP(('Black-Scholes'!$B$8-'Black-Scholes'!$B$10-'Black-Scholes'!$B$9^2/2)*'Black-Scholes'!$B$7+'Black-Scholes'!$B$9*SQRT('Black-Scholes'!$B$7)*B2441)</f>
        <v>115.933878243806</v>
      </c>
      <c r="D2441" s="18" t="n">
        <f aca="false">'Black-Scholes'!$B$5*EXP(('Black-Scholes'!$B$8-'Black-Scholes'!$B$10-'Black-Scholes'!$B$9^2/2)*'Black-Scholes'!$B$7-'Black-Scholes'!$B$9*SQRT('Black-Scholes'!$B$7)*B2441)</f>
        <v>91.5898409188334</v>
      </c>
      <c r="E2441" s="18" t="n">
        <f aca="false">EXP(-'Black-Scholes'!$B$8*'Black-Scholes'!$B$7)*IF(LOWER('Black-Scholes'!$B$11)="put",MAX('Black-Scholes'!$B$6-C2441,0),MAX(C2441-'Black-Scholes'!$B$6,0))</f>
        <v>15.1567738319201</v>
      </c>
      <c r="F2441" s="18" t="n">
        <f aca="false">(E2441+G2441)/2</f>
        <v>7.57838691596007</v>
      </c>
      <c r="G2441" s="18" t="n">
        <f aca="false">EXP(-'Black-Scholes'!$B$8*'Black-Scholes'!$B$7)*IF(LOWER('Black-Scholes'!$B$11)="put",MAX('Black-Scholes'!$B$6-D2441,0),MAX(D2441-'Black-Scholes'!$B$6,0))</f>
        <v>0</v>
      </c>
    </row>
    <row r="2442" customFormat="false" ht="15" hidden="false" customHeight="false" outlineLevel="0" collapsed="false">
      <c r="A2442" s="0" t="n">
        <v>2431</v>
      </c>
      <c r="B2442" s="15" t="n">
        <v>-0.28466571769212</v>
      </c>
      <c r="C2442" s="18" t="n">
        <f aca="false">'Black-Scholes'!$B$5*EXP(('Black-Scholes'!$B$8-'Black-Scholes'!$B$10-'Black-Scholes'!$B$9^2/2)*'Black-Scholes'!$B$7+'Black-Scholes'!$B$9*SQRT('Black-Scholes'!$B$7)*B2442)</f>
        <v>97.3426319188187</v>
      </c>
      <c r="D2442" s="18" t="n">
        <f aca="false">'Black-Scholes'!$B$5*EXP(('Black-Scholes'!$B$8-'Black-Scholes'!$B$10-'Black-Scholes'!$B$9^2/2)*'Black-Scholes'!$B$7-'Black-Scholes'!$B$9*SQRT('Black-Scholes'!$B$7)*B2442)</f>
        <v>109.082374866431</v>
      </c>
      <c r="E2442" s="18" t="n">
        <f aca="false">EXP(-'Black-Scholes'!$B$8*'Black-Scholes'!$B$7)*IF(LOWER('Black-Scholes'!$B$11)="put",MAX('Black-Scholes'!$B$6-C2442,0),MAX(C2442-'Black-Scholes'!$B$6,0))</f>
        <v>0</v>
      </c>
      <c r="F2442" s="18" t="n">
        <f aca="false">(E2442+G2442)/2</f>
        <v>4.31971110864745</v>
      </c>
      <c r="G2442" s="18" t="n">
        <f aca="false">EXP(-'Black-Scholes'!$B$8*'Black-Scholes'!$B$7)*IF(LOWER('Black-Scholes'!$B$11)="put",MAX('Black-Scholes'!$B$6-D2442,0),MAX(D2442-'Black-Scholes'!$B$6,0))</f>
        <v>8.63942221729491</v>
      </c>
    </row>
    <row r="2443" customFormat="false" ht="15" hidden="false" customHeight="false" outlineLevel="0" collapsed="false">
      <c r="A2443" s="0" t="n">
        <v>2432</v>
      </c>
      <c r="B2443" s="15" t="n">
        <v>-0.556743735181451</v>
      </c>
      <c r="C2443" s="18" t="n">
        <f aca="false">'Black-Scholes'!$B$5*EXP(('Black-Scholes'!$B$8-'Black-Scholes'!$B$10-'Black-Scholes'!$B$9^2/2)*'Black-Scholes'!$B$7+'Black-Scholes'!$B$9*SQRT('Black-Scholes'!$B$7)*B2443)</f>
        <v>92.1872135201984</v>
      </c>
      <c r="D2443" s="18" t="n">
        <f aca="false">'Black-Scholes'!$B$5*EXP(('Black-Scholes'!$B$8-'Black-Scholes'!$B$10-'Black-Scholes'!$B$9^2/2)*'Black-Scholes'!$B$7-'Black-Scholes'!$B$9*SQRT('Black-Scholes'!$B$7)*B2443)</f>
        <v>115.18262739471</v>
      </c>
      <c r="E2443" s="18" t="n">
        <f aca="false">EXP(-'Black-Scholes'!$B$8*'Black-Scholes'!$B$7)*IF(LOWER('Black-Scholes'!$B$11)="put",MAX('Black-Scholes'!$B$6-C2443,0),MAX(C2443-'Black-Scholes'!$B$6,0))</f>
        <v>0</v>
      </c>
      <c r="F2443" s="18" t="n">
        <f aca="false">(E2443+G2443)/2</f>
        <v>7.22108095953946</v>
      </c>
      <c r="G2443" s="18" t="n">
        <f aca="false">EXP(-'Black-Scholes'!$B$8*'Black-Scholes'!$B$7)*IF(LOWER('Black-Scholes'!$B$11)="put",MAX('Black-Scholes'!$B$6-D2443,0),MAX(D2443-'Black-Scholes'!$B$6,0))</f>
        <v>14.4421619190789</v>
      </c>
    </row>
    <row r="2444" customFormat="false" ht="15" hidden="false" customHeight="false" outlineLevel="0" collapsed="false">
      <c r="A2444" s="0" t="n">
        <v>2433</v>
      </c>
      <c r="B2444" s="15" t="n">
        <v>0.645754437066524</v>
      </c>
      <c r="C2444" s="18" t="n">
        <f aca="false">'Black-Scholes'!$B$5*EXP(('Black-Scholes'!$B$8-'Black-Scholes'!$B$10-'Black-Scholes'!$B$9^2/2)*'Black-Scholes'!$B$7+'Black-Scholes'!$B$9*SQRT('Black-Scholes'!$B$7)*B2444)</f>
        <v>117.2514851067</v>
      </c>
      <c r="D2444" s="18" t="n">
        <f aca="false">'Black-Scholes'!$B$5*EXP(('Black-Scholes'!$B$8-'Black-Scholes'!$B$10-'Black-Scholes'!$B$9^2/2)*'Black-Scholes'!$B$7-'Black-Scholes'!$B$9*SQRT('Black-Scholes'!$B$7)*B2444)</f>
        <v>90.5606053159224</v>
      </c>
      <c r="E2444" s="18" t="n">
        <f aca="false">EXP(-'Black-Scholes'!$B$8*'Black-Scholes'!$B$7)*IF(LOWER('Black-Scholes'!$B$11)="put",MAX('Black-Scholes'!$B$6-C2444,0),MAX(C2444-'Black-Scholes'!$B$6,0))</f>
        <v>16.4101202498287</v>
      </c>
      <c r="F2444" s="18" t="n">
        <f aca="false">(E2444+G2444)/2</f>
        <v>8.20506012491437</v>
      </c>
      <c r="G2444" s="18" t="n">
        <f aca="false">EXP(-'Black-Scholes'!$B$8*'Black-Scholes'!$B$7)*IF(LOWER('Black-Scholes'!$B$11)="put",MAX('Black-Scholes'!$B$6-D2444,0),MAX(D2444-'Black-Scholes'!$B$6,0))</f>
        <v>0</v>
      </c>
    </row>
    <row r="2445" customFormat="false" ht="15" hidden="false" customHeight="false" outlineLevel="0" collapsed="false">
      <c r="A2445" s="0" t="n">
        <v>2434</v>
      </c>
      <c r="B2445" s="15" t="n">
        <v>0.408321193930097</v>
      </c>
      <c r="C2445" s="18" t="n">
        <f aca="false">'Black-Scholes'!$B$5*EXP(('Black-Scholes'!$B$8-'Black-Scholes'!$B$10-'Black-Scholes'!$B$9^2/2)*'Black-Scholes'!$B$7+'Black-Scholes'!$B$9*SQRT('Black-Scholes'!$B$7)*B2445)</f>
        <v>111.813737045015</v>
      </c>
      <c r="D2445" s="18" t="n">
        <f aca="false">'Black-Scholes'!$B$5*EXP(('Black-Scholes'!$B$8-'Black-Scholes'!$B$10-'Black-Scholes'!$B$9^2/2)*'Black-Scholes'!$B$7-'Black-Scholes'!$B$9*SQRT('Black-Scholes'!$B$7)*B2445)</f>
        <v>94.9647668173253</v>
      </c>
      <c r="E2445" s="18" t="n">
        <f aca="false">EXP(-'Black-Scholes'!$B$8*'Black-Scholes'!$B$7)*IF(LOWER('Black-Scholes'!$B$11)="put",MAX('Black-Scholes'!$B$6-C2445,0),MAX(C2445-'Black-Scholes'!$B$6,0))</f>
        <v>11.2375742905325</v>
      </c>
      <c r="F2445" s="18" t="n">
        <f aca="false">(E2445+G2445)/2</f>
        <v>5.61878714526627</v>
      </c>
      <c r="G2445" s="18" t="n">
        <f aca="false">EXP(-'Black-Scholes'!$B$8*'Black-Scholes'!$B$7)*IF(LOWER('Black-Scholes'!$B$11)="put",MAX('Black-Scholes'!$B$6-D2445,0),MAX(D2445-'Black-Scholes'!$B$6,0))</f>
        <v>0</v>
      </c>
    </row>
    <row r="2446" customFormat="false" ht="15" hidden="false" customHeight="false" outlineLevel="0" collapsed="false">
      <c r="A2446" s="0" t="n">
        <v>2435</v>
      </c>
      <c r="B2446" s="15" t="n">
        <v>-0.490065881729237</v>
      </c>
      <c r="C2446" s="18" t="n">
        <f aca="false">'Black-Scholes'!$B$5*EXP(('Black-Scholes'!$B$8-'Black-Scholes'!$B$10-'Black-Scholes'!$B$9^2/2)*'Black-Scholes'!$B$7+'Black-Scholes'!$B$9*SQRT('Black-Scholes'!$B$7)*B2446)</f>
        <v>93.4248163519203</v>
      </c>
      <c r="D2446" s="18" t="n">
        <f aca="false">'Black-Scholes'!$B$5*EXP(('Black-Scholes'!$B$8-'Black-Scholes'!$B$10-'Black-Scholes'!$B$9^2/2)*'Black-Scholes'!$B$7-'Black-Scholes'!$B$9*SQRT('Black-Scholes'!$B$7)*B2446)</f>
        <v>113.656797841116</v>
      </c>
      <c r="E2446" s="18" t="n">
        <f aca="false">EXP(-'Black-Scholes'!$B$8*'Black-Scholes'!$B$7)*IF(LOWER('Black-Scholes'!$B$11)="put",MAX('Black-Scholes'!$B$6-C2446,0),MAX(C2446-'Black-Scholes'!$B$6,0))</f>
        <v>0</v>
      </c>
      <c r="F2446" s="18" t="n">
        <f aca="false">(E2446+G2446)/2</f>
        <v>6.49537397546369</v>
      </c>
      <c r="G2446" s="18" t="n">
        <f aca="false">EXP(-'Black-Scholes'!$B$8*'Black-Scholes'!$B$7)*IF(LOWER('Black-Scholes'!$B$11)="put",MAX('Black-Scholes'!$B$6-D2446,0),MAX(D2446-'Black-Scholes'!$B$6,0))</f>
        <v>12.9907479509274</v>
      </c>
    </row>
    <row r="2447" customFormat="false" ht="15" hidden="false" customHeight="false" outlineLevel="0" collapsed="false">
      <c r="A2447" s="0" t="n">
        <v>2436</v>
      </c>
      <c r="B2447" s="15" t="n">
        <v>-0.170443720384524</v>
      </c>
      <c r="C2447" s="18" t="n">
        <f aca="false">'Black-Scholes'!$B$5*EXP(('Black-Scholes'!$B$8-'Black-Scholes'!$B$10-'Black-Scholes'!$B$9^2/2)*'Black-Scholes'!$B$7+'Black-Scholes'!$B$9*SQRT('Black-Scholes'!$B$7)*B2447)</f>
        <v>99.5919603456307</v>
      </c>
      <c r="D2447" s="18" t="n">
        <f aca="false">'Black-Scholes'!$B$5*EXP(('Black-Scholes'!$B$8-'Black-Scholes'!$B$10-'Black-Scholes'!$B$9^2/2)*'Black-Scholes'!$B$7-'Black-Scholes'!$B$9*SQRT('Black-Scholes'!$B$7)*B2447)</f>
        <v>106.618701234546</v>
      </c>
      <c r="E2447" s="18" t="n">
        <f aca="false">EXP(-'Black-Scholes'!$B$8*'Black-Scholes'!$B$7)*IF(LOWER('Black-Scholes'!$B$11)="put",MAX('Black-Scholes'!$B$6-C2447,0),MAX(C2447-'Black-Scholes'!$B$6,0))</f>
        <v>0</v>
      </c>
      <c r="F2447" s="18" t="n">
        <f aca="false">(E2447+G2447)/2</f>
        <v>3.14795168313987</v>
      </c>
      <c r="G2447" s="18" t="n">
        <f aca="false">EXP(-'Black-Scholes'!$B$8*'Black-Scholes'!$B$7)*IF(LOWER('Black-Scholes'!$B$11)="put",MAX('Black-Scholes'!$B$6-D2447,0),MAX(D2447-'Black-Scholes'!$B$6,0))</f>
        <v>6.29590336627973</v>
      </c>
    </row>
    <row r="2448" customFormat="false" ht="15" hidden="false" customHeight="false" outlineLevel="0" collapsed="false">
      <c r="A2448" s="0" t="n">
        <v>2437</v>
      </c>
      <c r="B2448" s="15" t="n">
        <v>0.497408088620667</v>
      </c>
      <c r="C2448" s="18" t="n">
        <f aca="false">'Black-Scholes'!$B$5*EXP(('Black-Scholes'!$B$8-'Black-Scholes'!$B$10-'Black-Scholes'!$B$9^2/2)*'Black-Scholes'!$B$7+'Black-Scholes'!$B$9*SQRT('Black-Scholes'!$B$7)*B2448)</f>
        <v>113.82381878621</v>
      </c>
      <c r="D2448" s="18" t="n">
        <f aca="false">'Black-Scholes'!$B$5*EXP(('Black-Scholes'!$B$8-'Black-Scholes'!$B$10-'Black-Scholes'!$B$9^2/2)*'Black-Scholes'!$B$7-'Black-Scholes'!$B$9*SQRT('Black-Scholes'!$B$7)*B2448)</f>
        <v>93.2877281634484</v>
      </c>
      <c r="E2448" s="18" t="n">
        <f aca="false">EXP(-'Black-Scholes'!$B$8*'Black-Scholes'!$B$7)*IF(LOWER('Black-Scholes'!$B$11)="put",MAX('Black-Scholes'!$B$6-C2448,0),MAX(C2448-'Black-Scholes'!$B$6,0))</f>
        <v>13.1496231884089</v>
      </c>
      <c r="F2448" s="18" t="n">
        <f aca="false">(E2448+G2448)/2</f>
        <v>6.57481159420446</v>
      </c>
      <c r="G2448" s="18" t="n">
        <f aca="false">EXP(-'Black-Scholes'!$B$8*'Black-Scholes'!$B$7)*IF(LOWER('Black-Scholes'!$B$11)="put",MAX('Black-Scholes'!$B$6-D2448,0),MAX(D2448-'Black-Scholes'!$B$6,0))</f>
        <v>0</v>
      </c>
    </row>
    <row r="2449" customFormat="false" ht="15" hidden="false" customHeight="false" outlineLevel="0" collapsed="false">
      <c r="A2449" s="0" t="n">
        <v>2438</v>
      </c>
      <c r="B2449" s="15" t="n">
        <v>-0.57380103123582</v>
      </c>
      <c r="C2449" s="18" t="n">
        <f aca="false">'Black-Scholes'!$B$5*EXP(('Black-Scholes'!$B$8-'Black-Scholes'!$B$10-'Black-Scholes'!$B$9^2/2)*'Black-Scholes'!$B$7+'Black-Scholes'!$B$9*SQRT('Black-Scholes'!$B$7)*B2449)</f>
        <v>91.8732564318978</v>
      </c>
      <c r="D2449" s="18" t="n">
        <f aca="false">'Black-Scholes'!$B$5*EXP(('Black-Scholes'!$B$8-'Black-Scholes'!$B$10-'Black-Scholes'!$B$9^2/2)*'Black-Scholes'!$B$7-'Black-Scholes'!$B$9*SQRT('Black-Scholes'!$B$7)*B2449)</f>
        <v>115.576239243512</v>
      </c>
      <c r="E2449" s="18" t="n">
        <f aca="false">EXP(-'Black-Scholes'!$B$8*'Black-Scholes'!$B$7)*IF(LOWER('Black-Scholes'!$B$11)="put",MAX('Black-Scholes'!$B$6-C2449,0),MAX(C2449-'Black-Scholes'!$B$6,0))</f>
        <v>0</v>
      </c>
      <c r="F2449" s="18" t="n">
        <f aca="false">(E2449+G2449)/2</f>
        <v>7.4082885457459</v>
      </c>
      <c r="G2449" s="18" t="n">
        <f aca="false">EXP(-'Black-Scholes'!$B$8*'Black-Scholes'!$B$7)*IF(LOWER('Black-Scholes'!$B$11)="put",MAX('Black-Scholes'!$B$6-D2449,0),MAX(D2449-'Black-Scholes'!$B$6,0))</f>
        <v>14.8165770914918</v>
      </c>
    </row>
    <row r="2450" customFormat="false" ht="15" hidden="false" customHeight="false" outlineLevel="0" collapsed="false">
      <c r="A2450" s="0" t="n">
        <v>2439</v>
      </c>
      <c r="B2450" s="15" t="n">
        <v>-0.636940938222036</v>
      </c>
      <c r="C2450" s="18" t="n">
        <f aca="false">'Black-Scholes'!$B$5*EXP(('Black-Scholes'!$B$8-'Black-Scholes'!$B$10-'Black-Scholes'!$B$9^2/2)*'Black-Scholes'!$B$7+'Black-Scholes'!$B$9*SQRT('Black-Scholes'!$B$7)*B2450)</f>
        <v>90.7203772475884</v>
      </c>
      <c r="D2450" s="18" t="n">
        <f aca="false">'Black-Scholes'!$B$5*EXP(('Black-Scholes'!$B$8-'Black-Scholes'!$B$10-'Black-Scholes'!$B$9^2/2)*'Black-Scholes'!$B$7-'Black-Scholes'!$B$9*SQRT('Black-Scholes'!$B$7)*B2450)</f>
        <v>117.044987990676</v>
      </c>
      <c r="E2450" s="18" t="n">
        <f aca="false">EXP(-'Black-Scholes'!$B$8*'Black-Scholes'!$B$7)*IF(LOWER('Black-Scholes'!$B$11)="put",MAX('Black-Scholes'!$B$6-C2450,0),MAX(C2450-'Black-Scholes'!$B$6,0))</f>
        <v>0</v>
      </c>
      <c r="F2450" s="18" t="n">
        <f aca="false">(E2450+G2450)/2</f>
        <v>8.10684705849623</v>
      </c>
      <c r="G2450" s="18" t="n">
        <f aca="false">EXP(-'Black-Scholes'!$B$8*'Black-Scholes'!$B$7)*IF(LOWER('Black-Scholes'!$B$11)="put",MAX('Black-Scholes'!$B$6-D2450,0),MAX(D2450-'Black-Scholes'!$B$6,0))</f>
        <v>16.2136941169925</v>
      </c>
    </row>
    <row r="2451" customFormat="false" ht="15" hidden="false" customHeight="false" outlineLevel="0" collapsed="false">
      <c r="A2451" s="0" t="n">
        <v>2440</v>
      </c>
      <c r="B2451" s="15" t="n">
        <v>-0.190551093110989</v>
      </c>
      <c r="C2451" s="18" t="n">
        <f aca="false">'Black-Scholes'!$B$5*EXP(('Black-Scholes'!$B$8-'Black-Scholes'!$B$10-'Black-Scholes'!$B$9^2/2)*'Black-Scholes'!$B$7+'Black-Scholes'!$B$9*SQRT('Black-Scholes'!$B$7)*B2451)</f>
        <v>99.1922580471683</v>
      </c>
      <c r="D2451" s="18" t="n">
        <f aca="false">'Black-Scholes'!$B$5*EXP(('Black-Scholes'!$B$8-'Black-Scholes'!$B$10-'Black-Scholes'!$B$9^2/2)*'Black-Scholes'!$B$7-'Black-Scholes'!$B$9*SQRT('Black-Scholes'!$B$7)*B2451)</f>
        <v>107.048328917004</v>
      </c>
      <c r="E2451" s="18" t="n">
        <f aca="false">EXP(-'Black-Scholes'!$B$8*'Black-Scholes'!$B$7)*IF(LOWER('Black-Scholes'!$B$11)="put",MAX('Black-Scholes'!$B$6-C2451,0),MAX(C2451-'Black-Scholes'!$B$6,0))</f>
        <v>0</v>
      </c>
      <c r="F2451" s="18" t="n">
        <f aca="false">(E2451+G2451)/2</f>
        <v>3.35228892970664</v>
      </c>
      <c r="G2451" s="18" t="n">
        <f aca="false">EXP(-'Black-Scholes'!$B$8*'Black-Scholes'!$B$7)*IF(LOWER('Black-Scholes'!$B$11)="put",MAX('Black-Scholes'!$B$6-D2451,0),MAX(D2451-'Black-Scholes'!$B$6,0))</f>
        <v>6.70457785941328</v>
      </c>
    </row>
    <row r="2452" customFormat="false" ht="15" hidden="false" customHeight="false" outlineLevel="0" collapsed="false">
      <c r="A2452" s="0" t="n">
        <v>2441</v>
      </c>
      <c r="B2452" s="15" t="n">
        <v>0.545676905936122</v>
      </c>
      <c r="C2452" s="18" t="n">
        <f aca="false">'Black-Scholes'!$B$5*EXP(('Black-Scholes'!$B$8-'Black-Scholes'!$B$10-'Black-Scholes'!$B$9^2/2)*'Black-Scholes'!$B$7+'Black-Scholes'!$B$9*SQRT('Black-Scholes'!$B$7)*B2452)</f>
        <v>114.927968031962</v>
      </c>
      <c r="D2452" s="18" t="n">
        <f aca="false">'Black-Scholes'!$B$5*EXP(('Black-Scholes'!$B$8-'Black-Scholes'!$B$10-'Black-Scholes'!$B$9^2/2)*'Black-Scholes'!$B$7-'Black-Scholes'!$B$9*SQRT('Black-Scholes'!$B$7)*B2452)</f>
        <v>92.3914835290623</v>
      </c>
      <c r="E2452" s="18" t="n">
        <f aca="false">EXP(-'Black-Scholes'!$B$8*'Black-Scholes'!$B$7)*IF(LOWER('Black-Scholes'!$B$11)="put",MAX('Black-Scholes'!$B$6-C2452,0),MAX(C2452-'Black-Scholes'!$B$6,0))</f>
        <v>14.1999224400081</v>
      </c>
      <c r="F2452" s="18" t="n">
        <f aca="false">(E2452+G2452)/2</f>
        <v>7.09996122000404</v>
      </c>
      <c r="G2452" s="18" t="n">
        <f aca="false">EXP(-'Black-Scholes'!$B$8*'Black-Scholes'!$B$7)*IF(LOWER('Black-Scholes'!$B$11)="put",MAX('Black-Scholes'!$B$6-D2452,0),MAX(D2452-'Black-Scholes'!$B$6,0))</f>
        <v>0</v>
      </c>
    </row>
    <row r="2453" customFormat="false" ht="15" hidden="false" customHeight="false" outlineLevel="0" collapsed="false">
      <c r="A2453" s="0" t="n">
        <v>2442</v>
      </c>
      <c r="B2453" s="15" t="n">
        <v>0.795898423092187</v>
      </c>
      <c r="C2453" s="18" t="n">
        <f aca="false">'Black-Scholes'!$B$5*EXP(('Black-Scholes'!$B$8-'Black-Scholes'!$B$10-'Black-Scholes'!$B$9^2/2)*'Black-Scholes'!$B$7+'Black-Scholes'!$B$9*SQRT('Black-Scholes'!$B$7)*B2453)</f>
        <v>120.825803836342</v>
      </c>
      <c r="D2453" s="18" t="n">
        <f aca="false">'Black-Scholes'!$B$5*EXP(('Black-Scholes'!$B$8-'Black-Scholes'!$B$10-'Black-Scholes'!$B$9^2/2)*'Black-Scholes'!$B$7-'Black-Scholes'!$B$9*SQRT('Black-Scholes'!$B$7)*B2453)</f>
        <v>87.8816041632642</v>
      </c>
      <c r="E2453" s="18" t="n">
        <f aca="false">EXP(-'Black-Scholes'!$B$8*'Black-Scholes'!$B$7)*IF(LOWER('Black-Scholes'!$B$11)="put",MAX('Black-Scholes'!$B$6-C2453,0),MAX(C2453-'Black-Scholes'!$B$6,0))</f>
        <v>19.8101173980082</v>
      </c>
      <c r="F2453" s="18" t="n">
        <f aca="false">(E2453+G2453)/2</f>
        <v>9.9050586990041</v>
      </c>
      <c r="G2453" s="18" t="n">
        <f aca="false">EXP(-'Black-Scholes'!$B$8*'Black-Scholes'!$B$7)*IF(LOWER('Black-Scholes'!$B$11)="put",MAX('Black-Scholes'!$B$6-D2453,0),MAX(D2453-'Black-Scholes'!$B$6,0))</f>
        <v>0</v>
      </c>
    </row>
    <row r="2454" customFormat="false" ht="15" hidden="false" customHeight="false" outlineLevel="0" collapsed="false">
      <c r="A2454" s="0" t="n">
        <v>2443</v>
      </c>
      <c r="B2454" s="15" t="n">
        <v>1.36675668791455</v>
      </c>
      <c r="C2454" s="18" t="n">
        <f aca="false">'Black-Scholes'!$B$5*EXP(('Black-Scholes'!$B$8-'Black-Scholes'!$B$10-'Black-Scholes'!$B$9^2/2)*'Black-Scholes'!$B$7+'Black-Scholes'!$B$9*SQRT('Black-Scholes'!$B$7)*B2454)</f>
        <v>135.439022904979</v>
      </c>
      <c r="D2454" s="18" t="n">
        <f aca="false">'Black-Scholes'!$B$5*EXP(('Black-Scholes'!$B$8-'Black-Scholes'!$B$10-'Black-Scholes'!$B$9^2/2)*'Black-Scholes'!$B$7-'Black-Scholes'!$B$9*SQRT('Black-Scholes'!$B$7)*B2454)</f>
        <v>78.3996018112386</v>
      </c>
      <c r="E2454" s="18" t="n">
        <f aca="false">EXP(-'Black-Scholes'!$B$8*'Black-Scholes'!$B$7)*IF(LOWER('Black-Scholes'!$B$11)="put",MAX('Black-Scholes'!$B$6-C2454,0),MAX(C2454-'Black-Scholes'!$B$6,0))</f>
        <v>33.710641362771</v>
      </c>
      <c r="F2454" s="18" t="n">
        <f aca="false">(E2454+G2454)/2</f>
        <v>16.8553206813855</v>
      </c>
      <c r="G2454" s="18" t="n">
        <f aca="false">EXP(-'Black-Scholes'!$B$8*'Black-Scholes'!$B$7)*IF(LOWER('Black-Scholes'!$B$11)="put",MAX('Black-Scholes'!$B$6-D2454,0),MAX(D2454-'Black-Scholes'!$B$6,0))</f>
        <v>0</v>
      </c>
    </row>
    <row r="2455" customFormat="false" ht="15" hidden="false" customHeight="false" outlineLevel="0" collapsed="false">
      <c r="A2455" s="0" t="n">
        <v>2444</v>
      </c>
      <c r="B2455" s="15" t="n">
        <v>1.40804898094251</v>
      </c>
      <c r="C2455" s="18" t="n">
        <f aca="false">'Black-Scholes'!$B$5*EXP(('Black-Scholes'!$B$8-'Black-Scholes'!$B$10-'Black-Scholes'!$B$9^2/2)*'Black-Scholes'!$B$7+'Black-Scholes'!$B$9*SQRT('Black-Scholes'!$B$7)*B2455)</f>
        <v>136.562171825232</v>
      </c>
      <c r="D2455" s="18" t="n">
        <f aca="false">'Black-Scholes'!$B$5*EXP(('Black-Scholes'!$B$8-'Black-Scholes'!$B$10-'Black-Scholes'!$B$9^2/2)*'Black-Scholes'!$B$7-'Black-Scholes'!$B$9*SQRT('Black-Scholes'!$B$7)*B2455)</f>
        <v>77.7548081107164</v>
      </c>
      <c r="E2455" s="18" t="n">
        <f aca="false">EXP(-'Black-Scholes'!$B$8*'Black-Scholes'!$B$7)*IF(LOWER('Black-Scholes'!$B$11)="put",MAX('Black-Scholes'!$B$6-C2455,0),MAX(C2455-'Black-Scholes'!$B$6,0))</f>
        <v>34.7790136638117</v>
      </c>
      <c r="F2455" s="18" t="n">
        <f aca="false">(E2455+G2455)/2</f>
        <v>17.3895068319058</v>
      </c>
      <c r="G2455" s="18" t="n">
        <f aca="false">EXP(-'Black-Scholes'!$B$8*'Black-Scholes'!$B$7)*IF(LOWER('Black-Scholes'!$B$11)="put",MAX('Black-Scholes'!$B$6-D2455,0),MAX(D2455-'Black-Scholes'!$B$6,0))</f>
        <v>0</v>
      </c>
    </row>
    <row r="2456" customFormat="false" ht="15" hidden="false" customHeight="false" outlineLevel="0" collapsed="false">
      <c r="A2456" s="0" t="n">
        <v>2445</v>
      </c>
      <c r="B2456" s="15" t="n">
        <v>0.43479544095642</v>
      </c>
      <c r="C2456" s="18" t="n">
        <f aca="false">'Black-Scholes'!$B$5*EXP(('Black-Scholes'!$B$8-'Black-Scholes'!$B$10-'Black-Scholes'!$B$9^2/2)*'Black-Scholes'!$B$7+'Black-Scholes'!$B$9*SQRT('Black-Scholes'!$B$7)*B2456)</f>
        <v>112.40734408722</v>
      </c>
      <c r="D2456" s="18" t="n">
        <f aca="false">'Black-Scholes'!$B$5*EXP(('Black-Scholes'!$B$8-'Black-Scholes'!$B$10-'Black-Scholes'!$B$9^2/2)*'Black-Scholes'!$B$7-'Black-Scholes'!$B$9*SQRT('Black-Scholes'!$B$7)*B2456)</f>
        <v>94.4632715208934</v>
      </c>
      <c r="E2456" s="18" t="n">
        <f aca="false">EXP(-'Black-Scholes'!$B$8*'Black-Scholes'!$B$7)*IF(LOWER('Black-Scholes'!$B$11)="put",MAX('Black-Scholes'!$B$6-C2456,0),MAX(C2456-'Black-Scholes'!$B$6,0))</f>
        <v>11.8022307756691</v>
      </c>
      <c r="F2456" s="18" t="n">
        <f aca="false">(E2456+G2456)/2</f>
        <v>5.90111538783453</v>
      </c>
      <c r="G2456" s="18" t="n">
        <f aca="false">EXP(-'Black-Scholes'!$B$8*'Black-Scholes'!$B$7)*IF(LOWER('Black-Scholes'!$B$11)="put",MAX('Black-Scholes'!$B$6-D2456,0),MAX(D2456-'Black-Scholes'!$B$6,0))</f>
        <v>0</v>
      </c>
    </row>
    <row r="2457" customFormat="false" ht="15" hidden="false" customHeight="false" outlineLevel="0" collapsed="false">
      <c r="A2457" s="0" t="n">
        <v>2446</v>
      </c>
      <c r="B2457" s="15" t="n">
        <v>-0.714715526399762</v>
      </c>
      <c r="C2457" s="18" t="n">
        <f aca="false">'Black-Scholes'!$B$5*EXP(('Black-Scholes'!$B$8-'Black-Scholes'!$B$10-'Black-Scholes'!$B$9^2/2)*'Black-Scholes'!$B$7+'Black-Scholes'!$B$9*SQRT('Black-Scholes'!$B$7)*B2457)</f>
        <v>89.3201477118379</v>
      </c>
      <c r="D2457" s="18" t="n">
        <f aca="false">'Black-Scholes'!$B$5*EXP(('Black-Scholes'!$B$8-'Black-Scholes'!$B$10-'Black-Scholes'!$B$9^2/2)*'Black-Scholes'!$B$7-'Black-Scholes'!$B$9*SQRT('Black-Scholes'!$B$7)*B2457)</f>
        <v>118.879846680396</v>
      </c>
      <c r="E2457" s="18" t="n">
        <f aca="false">EXP(-'Black-Scholes'!$B$8*'Black-Scholes'!$B$7)*IF(LOWER('Black-Scholes'!$B$11)="put",MAX('Black-Scholes'!$B$6-C2457,0),MAX(C2457-'Black-Scholes'!$B$6,0))</f>
        <v>0</v>
      </c>
      <c r="F2457" s="18" t="n">
        <f aca="false">(E2457+G2457)/2</f>
        <v>8.97953284622731</v>
      </c>
      <c r="G2457" s="18" t="n">
        <f aca="false">EXP(-'Black-Scholes'!$B$8*'Black-Scholes'!$B$7)*IF(LOWER('Black-Scholes'!$B$11)="put",MAX('Black-Scholes'!$B$6-D2457,0),MAX(D2457-'Black-Scholes'!$B$6,0))</f>
        <v>17.9590656924546</v>
      </c>
    </row>
    <row r="2458" customFormat="false" ht="15" hidden="false" customHeight="false" outlineLevel="0" collapsed="false">
      <c r="A2458" s="0" t="n">
        <v>2447</v>
      </c>
      <c r="B2458" s="15" t="n">
        <v>-1.11211271544303</v>
      </c>
      <c r="C2458" s="18" t="n">
        <f aca="false">'Black-Scholes'!$B$5*EXP(('Black-Scholes'!$B$8-'Black-Scholes'!$B$10-'Black-Scholes'!$B$9^2/2)*'Black-Scholes'!$B$7+'Black-Scholes'!$B$9*SQRT('Black-Scholes'!$B$7)*B2458)</f>
        <v>82.4958214444289</v>
      </c>
      <c r="D2458" s="18" t="n">
        <f aca="false">'Black-Scholes'!$B$5*EXP(('Black-Scholes'!$B$8-'Black-Scholes'!$B$10-'Black-Scholes'!$B$9^2/2)*'Black-Scholes'!$B$7-'Black-Scholes'!$B$9*SQRT('Black-Scholes'!$B$7)*B2458)</f>
        <v>128.713979442054</v>
      </c>
      <c r="E2458" s="18" t="n">
        <f aca="false">EXP(-'Black-Scholes'!$B$8*'Black-Scholes'!$B$7)*IF(LOWER('Black-Scholes'!$B$11)="put",MAX('Black-Scholes'!$B$6-C2458,0),MAX(C2458-'Black-Scholes'!$B$6,0))</f>
        <v>0</v>
      </c>
      <c r="F2458" s="18" t="n">
        <f aca="false">(E2458+G2458)/2</f>
        <v>13.6567910698953</v>
      </c>
      <c r="G2458" s="18" t="n">
        <f aca="false">EXP(-'Black-Scholes'!$B$8*'Black-Scholes'!$B$7)*IF(LOWER('Black-Scholes'!$B$11)="put",MAX('Black-Scholes'!$B$6-D2458,0),MAX(D2458-'Black-Scholes'!$B$6,0))</f>
        <v>27.3135821397905</v>
      </c>
    </row>
    <row r="2459" customFormat="false" ht="15" hidden="false" customHeight="false" outlineLevel="0" collapsed="false">
      <c r="A2459" s="0" t="n">
        <v>2448</v>
      </c>
      <c r="B2459" s="15" t="n">
        <v>-0.36003098124262</v>
      </c>
      <c r="C2459" s="18" t="n">
        <f aca="false">'Black-Scholes'!$B$5*EXP(('Black-Scholes'!$B$8-'Black-Scholes'!$B$10-'Black-Scholes'!$B$9^2/2)*'Black-Scholes'!$B$7+'Black-Scholes'!$B$9*SQRT('Black-Scholes'!$B$7)*B2459)</f>
        <v>95.8863839195429</v>
      </c>
      <c r="D2459" s="18" t="n">
        <f aca="false">'Black-Scholes'!$B$5*EXP(('Black-Scholes'!$B$8-'Black-Scholes'!$B$10-'Black-Scholes'!$B$9^2/2)*'Black-Scholes'!$B$7-'Black-Scholes'!$B$9*SQRT('Black-Scholes'!$B$7)*B2459)</f>
        <v>110.739033337239</v>
      </c>
      <c r="E2459" s="18" t="n">
        <f aca="false">EXP(-'Black-Scholes'!$B$8*'Black-Scholes'!$B$7)*IF(LOWER('Black-Scholes'!$B$11)="put",MAX('Black-Scholes'!$B$6-C2459,0),MAX(C2459-'Black-Scholes'!$B$6,0))</f>
        <v>0</v>
      </c>
      <c r="F2459" s="18" t="n">
        <f aca="false">(E2459+G2459)/2</f>
        <v>5.1076422505381</v>
      </c>
      <c r="G2459" s="18" t="n">
        <f aca="false">EXP(-'Black-Scholes'!$B$8*'Black-Scholes'!$B$7)*IF(LOWER('Black-Scholes'!$B$11)="put",MAX('Black-Scholes'!$B$6-D2459,0),MAX(D2459-'Black-Scholes'!$B$6,0))</f>
        <v>10.2152845010762</v>
      </c>
    </row>
    <row r="2460" customFormat="false" ht="15" hidden="false" customHeight="false" outlineLevel="0" collapsed="false">
      <c r="A2460" s="0" t="n">
        <v>2449</v>
      </c>
      <c r="B2460" s="15" t="n">
        <v>0.571808545619255</v>
      </c>
      <c r="C2460" s="18" t="n">
        <f aca="false">'Black-Scholes'!$B$5*EXP(('Black-Scholes'!$B$8-'Black-Scholes'!$B$10-'Black-Scholes'!$B$9^2/2)*'Black-Scholes'!$B$7+'Black-Scholes'!$B$9*SQRT('Black-Scholes'!$B$7)*B2460)</f>
        <v>115.530191620183</v>
      </c>
      <c r="D2460" s="18" t="n">
        <f aca="false">'Black-Scholes'!$B$5*EXP(('Black-Scholes'!$B$8-'Black-Scholes'!$B$10-'Black-Scholes'!$B$9^2/2)*'Black-Scholes'!$B$7-'Black-Scholes'!$B$9*SQRT('Black-Scholes'!$B$7)*B2460)</f>
        <v>91.909874955999</v>
      </c>
      <c r="E2460" s="18" t="n">
        <f aca="false">EXP(-'Black-Scholes'!$B$8*'Black-Scholes'!$B$7)*IF(LOWER('Black-Scholes'!$B$11)="put",MAX('Black-Scholes'!$B$6-C2460,0),MAX(C2460-'Black-Scholes'!$B$6,0))</f>
        <v>14.7727752372522</v>
      </c>
      <c r="F2460" s="18" t="n">
        <f aca="false">(E2460+G2460)/2</f>
        <v>7.38638761862608</v>
      </c>
      <c r="G2460" s="18" t="n">
        <f aca="false">EXP(-'Black-Scholes'!$B$8*'Black-Scholes'!$B$7)*IF(LOWER('Black-Scholes'!$B$11)="put",MAX('Black-Scholes'!$B$6-D2460,0),MAX(D2460-'Black-Scholes'!$B$6,0))</f>
        <v>0</v>
      </c>
    </row>
    <row r="2461" customFormat="false" ht="15" hidden="false" customHeight="false" outlineLevel="0" collapsed="false">
      <c r="A2461" s="0" t="n">
        <v>2450</v>
      </c>
      <c r="B2461" s="15" t="n">
        <v>1.73374854398143</v>
      </c>
      <c r="C2461" s="18" t="n">
        <f aca="false">'Black-Scholes'!$B$5*EXP(('Black-Scholes'!$B$8-'Black-Scholes'!$B$10-'Black-Scholes'!$B$9^2/2)*'Black-Scholes'!$B$7+'Black-Scholes'!$B$9*SQRT('Black-Scholes'!$B$7)*B2461)</f>
        <v>145.753945440863</v>
      </c>
      <c r="D2461" s="18" t="n">
        <f aca="false">'Black-Scholes'!$B$5*EXP(('Black-Scholes'!$B$8-'Black-Scholes'!$B$10-'Black-Scholes'!$B$9^2/2)*'Black-Scholes'!$B$7-'Black-Scholes'!$B$9*SQRT('Black-Scholes'!$B$7)*B2461)</f>
        <v>72.8513072722398</v>
      </c>
      <c r="E2461" s="18" t="n">
        <f aca="false">EXP(-'Black-Scholes'!$B$8*'Black-Scholes'!$B$7)*IF(LOWER('Black-Scholes'!$B$11)="put",MAX('Black-Scholes'!$B$6-C2461,0),MAX(C2461-'Black-Scholes'!$B$6,0))</f>
        <v>43.5224991903494</v>
      </c>
      <c r="F2461" s="18" t="n">
        <f aca="false">(E2461+G2461)/2</f>
        <v>21.7612495951747</v>
      </c>
      <c r="G2461" s="18" t="n">
        <f aca="false">EXP(-'Black-Scholes'!$B$8*'Black-Scholes'!$B$7)*IF(LOWER('Black-Scholes'!$B$11)="put",MAX('Black-Scholes'!$B$6-D2461,0),MAX(D2461-'Black-Scholes'!$B$6,0))</f>
        <v>0</v>
      </c>
    </row>
    <row r="2462" customFormat="false" ht="15" hidden="false" customHeight="false" outlineLevel="0" collapsed="false">
      <c r="A2462" s="0" t="n">
        <v>2451</v>
      </c>
      <c r="B2462" s="15" t="n">
        <v>-0.941050941800426</v>
      </c>
      <c r="C2462" s="18" t="n">
        <f aca="false">'Black-Scholes'!$B$5*EXP(('Black-Scholes'!$B$8-'Black-Scholes'!$B$10-'Black-Scholes'!$B$9^2/2)*'Black-Scholes'!$B$7+'Black-Scholes'!$B$9*SQRT('Black-Scholes'!$B$7)*B2462)</f>
        <v>85.3670331542907</v>
      </c>
      <c r="D2462" s="18" t="n">
        <f aca="false">'Black-Scholes'!$B$5*EXP(('Black-Scholes'!$B$8-'Black-Scholes'!$B$10-'Black-Scholes'!$B$9^2/2)*'Black-Scholes'!$B$7-'Black-Scholes'!$B$9*SQRT('Black-Scholes'!$B$7)*B2462)</f>
        <v>124.384848261766</v>
      </c>
      <c r="E2462" s="18" t="n">
        <f aca="false">EXP(-'Black-Scholes'!$B$8*'Black-Scholes'!$B$7)*IF(LOWER('Black-Scholes'!$B$11)="put",MAX('Black-Scholes'!$B$6-C2462,0),MAX(C2462-'Black-Scholes'!$B$6,0))</f>
        <v>0</v>
      </c>
      <c r="F2462" s="18" t="n">
        <f aca="false">(E2462+G2462)/2</f>
        <v>11.5977925892885</v>
      </c>
      <c r="G2462" s="18" t="n">
        <f aca="false">EXP(-'Black-Scholes'!$B$8*'Black-Scholes'!$B$7)*IF(LOWER('Black-Scholes'!$B$11)="put",MAX('Black-Scholes'!$B$6-D2462,0),MAX(D2462-'Black-Scholes'!$B$6,0))</f>
        <v>23.195585178577</v>
      </c>
    </row>
    <row r="2463" customFormat="false" ht="15" hidden="false" customHeight="false" outlineLevel="0" collapsed="false">
      <c r="A2463" s="0" t="n">
        <v>2452</v>
      </c>
      <c r="B2463" s="15" t="n">
        <v>-1.4346046384053</v>
      </c>
      <c r="C2463" s="18" t="n">
        <f aca="false">'Black-Scholes'!$B$5*EXP(('Black-Scholes'!$B$8-'Black-Scholes'!$B$10-'Black-Scholes'!$B$9^2/2)*'Black-Scholes'!$B$7+'Black-Scholes'!$B$9*SQRT('Black-Scholes'!$B$7)*B2463)</f>
        <v>77.3429368201286</v>
      </c>
      <c r="D2463" s="18" t="n">
        <f aca="false">'Black-Scholes'!$B$5*EXP(('Black-Scholes'!$B$8-'Black-Scholes'!$B$10-'Black-Scholes'!$B$9^2/2)*'Black-Scholes'!$B$7-'Black-Scholes'!$B$9*SQRT('Black-Scholes'!$B$7)*B2463)</f>
        <v>137.289400972037</v>
      </c>
      <c r="E2463" s="18" t="n">
        <f aca="false">EXP(-'Black-Scholes'!$B$8*'Black-Scholes'!$B$7)*IF(LOWER('Black-Scholes'!$B$11)="put",MAX('Black-Scholes'!$B$6-C2463,0),MAX(C2463-'Black-Scholes'!$B$6,0))</f>
        <v>0</v>
      </c>
      <c r="F2463" s="18" t="n">
        <f aca="false">(E2463+G2463)/2</f>
        <v>17.7353877133038</v>
      </c>
      <c r="G2463" s="18" t="n">
        <f aca="false">EXP(-'Black-Scholes'!$B$8*'Black-Scholes'!$B$7)*IF(LOWER('Black-Scholes'!$B$11)="put",MAX('Black-Scholes'!$B$6-D2463,0),MAX(D2463-'Black-Scholes'!$B$6,0))</f>
        <v>35.4707754266076</v>
      </c>
    </row>
    <row r="2464" customFormat="false" ht="15" hidden="false" customHeight="false" outlineLevel="0" collapsed="false">
      <c r="A2464" s="0" t="n">
        <v>2453</v>
      </c>
      <c r="B2464" s="15" t="n">
        <v>0.906464815489578</v>
      </c>
      <c r="C2464" s="18" t="n">
        <f aca="false">'Black-Scholes'!$B$5*EXP(('Black-Scholes'!$B$8-'Black-Scholes'!$B$10-'Black-Scholes'!$B$9^2/2)*'Black-Scholes'!$B$7+'Black-Scholes'!$B$9*SQRT('Black-Scholes'!$B$7)*B2464)</f>
        <v>123.527419181041</v>
      </c>
      <c r="D2464" s="18" t="n">
        <f aca="false">'Black-Scholes'!$B$5*EXP(('Black-Scholes'!$B$8-'Black-Scholes'!$B$10-'Black-Scholes'!$B$9^2/2)*'Black-Scholes'!$B$7-'Black-Scholes'!$B$9*SQRT('Black-Scholes'!$B$7)*B2464)</f>
        <v>85.9595831909304</v>
      </c>
      <c r="E2464" s="18" t="n">
        <f aca="false">EXP(-'Black-Scholes'!$B$8*'Black-Scholes'!$B$7)*IF(LOWER('Black-Scholes'!$B$11)="put",MAX('Black-Scholes'!$B$6-C2464,0),MAX(C2464-'Black-Scholes'!$B$6,0))</f>
        <v>22.3799734075684</v>
      </c>
      <c r="F2464" s="18" t="n">
        <f aca="false">(E2464+G2464)/2</f>
        <v>11.1899867037842</v>
      </c>
      <c r="G2464" s="18" t="n">
        <f aca="false">EXP(-'Black-Scholes'!$B$8*'Black-Scholes'!$B$7)*IF(LOWER('Black-Scholes'!$B$11)="put",MAX('Black-Scholes'!$B$6-D2464,0),MAX(D2464-'Black-Scholes'!$B$6,0))</f>
        <v>0</v>
      </c>
    </row>
    <row r="2465" customFormat="false" ht="15" hidden="false" customHeight="false" outlineLevel="0" collapsed="false">
      <c r="A2465" s="0" t="n">
        <v>2454</v>
      </c>
      <c r="B2465" s="15" t="n">
        <v>0.453076515253531</v>
      </c>
      <c r="C2465" s="18" t="n">
        <f aca="false">'Black-Scholes'!$B$5*EXP(('Black-Scholes'!$B$8-'Black-Scholes'!$B$10-'Black-Scholes'!$B$9^2/2)*'Black-Scholes'!$B$7+'Black-Scholes'!$B$9*SQRT('Black-Scholes'!$B$7)*B2465)</f>
        <v>112.819081730954</v>
      </c>
      <c r="D2465" s="18" t="n">
        <f aca="false">'Black-Scholes'!$B$5*EXP(('Black-Scholes'!$B$8-'Black-Scholes'!$B$10-'Black-Scholes'!$B$9^2/2)*'Black-Scholes'!$B$7-'Black-Scholes'!$B$9*SQRT('Black-Scholes'!$B$7)*B2465)</f>
        <v>94.118524123214</v>
      </c>
      <c r="E2465" s="18" t="n">
        <f aca="false">EXP(-'Black-Scholes'!$B$8*'Black-Scholes'!$B$7)*IF(LOWER('Black-Scholes'!$B$11)="put",MAX('Black-Scholes'!$B$6-C2465,0),MAX(C2465-'Black-Scholes'!$B$6,0))</f>
        <v>12.1938877375625</v>
      </c>
      <c r="F2465" s="18" t="n">
        <f aca="false">(E2465+G2465)/2</f>
        <v>6.09694386878126</v>
      </c>
      <c r="G2465" s="18" t="n">
        <f aca="false">EXP(-'Black-Scholes'!$B$8*'Black-Scholes'!$B$7)*IF(LOWER('Black-Scholes'!$B$11)="put",MAX('Black-Scholes'!$B$6-D2465,0),MAX(D2465-'Black-Scholes'!$B$6,0))</f>
        <v>0</v>
      </c>
    </row>
    <row r="2466" customFormat="false" ht="15" hidden="false" customHeight="false" outlineLevel="0" collapsed="false">
      <c r="A2466" s="0" t="n">
        <v>2455</v>
      </c>
      <c r="B2466" s="15" t="n">
        <v>0.443501661766138</v>
      </c>
      <c r="C2466" s="18" t="n">
        <f aca="false">'Black-Scholes'!$B$5*EXP(('Black-Scholes'!$B$8-'Black-Scholes'!$B$10-'Black-Scholes'!$B$9^2/2)*'Black-Scholes'!$B$7+'Black-Scholes'!$B$9*SQRT('Black-Scholes'!$B$7)*B2466)</f>
        <v>112.60324322349</v>
      </c>
      <c r="D2466" s="18" t="n">
        <f aca="false">'Black-Scholes'!$B$5*EXP(('Black-Scholes'!$B$8-'Black-Scholes'!$B$10-'Black-Scholes'!$B$9^2/2)*'Black-Scholes'!$B$7-'Black-Scholes'!$B$9*SQRT('Black-Scholes'!$B$7)*B2466)</f>
        <v>94.2989310208301</v>
      </c>
      <c r="E2466" s="18" t="n">
        <f aca="false">EXP(-'Black-Scholes'!$B$8*'Black-Scholes'!$B$7)*IF(LOWER('Black-Scholes'!$B$11)="put",MAX('Black-Scholes'!$B$6-C2466,0),MAX(C2466-'Black-Scholes'!$B$6,0))</f>
        <v>11.9885757983225</v>
      </c>
      <c r="F2466" s="18" t="n">
        <f aca="false">(E2466+G2466)/2</f>
        <v>5.99428789916123</v>
      </c>
      <c r="G2466" s="18" t="n">
        <f aca="false">EXP(-'Black-Scholes'!$B$8*'Black-Scholes'!$B$7)*IF(LOWER('Black-Scholes'!$B$11)="put",MAX('Black-Scholes'!$B$6-D2466,0),MAX(D2466-'Black-Scholes'!$B$6,0))</f>
        <v>0</v>
      </c>
    </row>
    <row r="2467" customFormat="false" ht="15" hidden="false" customHeight="false" outlineLevel="0" collapsed="false">
      <c r="A2467" s="0" t="n">
        <v>2456</v>
      </c>
      <c r="B2467" s="15" t="n">
        <v>0.819765733711885</v>
      </c>
      <c r="C2467" s="18" t="n">
        <f aca="false">'Black-Scholes'!$B$5*EXP(('Black-Scholes'!$B$8-'Black-Scholes'!$B$10-'Black-Scholes'!$B$9^2/2)*'Black-Scholes'!$B$7+'Black-Scholes'!$B$9*SQRT('Black-Scholes'!$B$7)*B2467)</f>
        <v>121.40393999229</v>
      </c>
      <c r="D2467" s="18" t="n">
        <f aca="false">'Black-Scholes'!$B$5*EXP(('Black-Scholes'!$B$8-'Black-Scholes'!$B$10-'Black-Scholes'!$B$9^2/2)*'Black-Scholes'!$B$7-'Black-Scholes'!$B$9*SQRT('Black-Scholes'!$B$7)*B2467)</f>
        <v>87.4631042956923</v>
      </c>
      <c r="E2467" s="18" t="n">
        <f aca="false">EXP(-'Black-Scholes'!$B$8*'Black-Scholes'!$B$7)*IF(LOWER('Black-Scholes'!$B$11)="put",MAX('Black-Scholes'!$B$6-C2467,0),MAX(C2467-'Black-Scholes'!$B$6,0))</f>
        <v>20.3600575209135</v>
      </c>
      <c r="F2467" s="18" t="n">
        <f aca="false">(E2467+G2467)/2</f>
        <v>10.1800287604568</v>
      </c>
      <c r="G2467" s="18" t="n">
        <f aca="false">EXP(-'Black-Scholes'!$B$8*'Black-Scholes'!$B$7)*IF(LOWER('Black-Scholes'!$B$11)="put",MAX('Black-Scholes'!$B$6-D2467,0),MAX(D2467-'Black-Scholes'!$B$6,0))</f>
        <v>0</v>
      </c>
    </row>
    <row r="2468" customFormat="false" ht="15" hidden="false" customHeight="false" outlineLevel="0" collapsed="false">
      <c r="A2468" s="0" t="n">
        <v>2457</v>
      </c>
      <c r="B2468" s="15" t="n">
        <v>0.975176848058996</v>
      </c>
      <c r="C2468" s="18" t="n">
        <f aca="false">'Black-Scholes'!$B$5*EXP(('Black-Scholes'!$B$8-'Black-Scholes'!$B$10-'Black-Scholes'!$B$9^2/2)*'Black-Scholes'!$B$7+'Black-Scholes'!$B$9*SQRT('Black-Scholes'!$B$7)*B2468)</f>
        <v>125.236701114353</v>
      </c>
      <c r="D2468" s="18" t="n">
        <f aca="false">'Black-Scholes'!$B$5*EXP(('Black-Scholes'!$B$8-'Black-Scholes'!$B$10-'Black-Scholes'!$B$9^2/2)*'Black-Scholes'!$B$7-'Black-Scholes'!$B$9*SQRT('Black-Scholes'!$B$7)*B2468)</f>
        <v>84.7863714947111</v>
      </c>
      <c r="E2468" s="18" t="n">
        <f aca="false">EXP(-'Black-Scholes'!$B$8*'Black-Scholes'!$B$7)*IF(LOWER('Black-Scholes'!$B$11)="put",MAX('Black-Scholes'!$B$6-C2468,0),MAX(C2468-'Black-Scholes'!$B$6,0))</f>
        <v>24.0058926773022</v>
      </c>
      <c r="F2468" s="18" t="n">
        <f aca="false">(E2468+G2468)/2</f>
        <v>12.0029463386511</v>
      </c>
      <c r="G2468" s="18" t="n">
        <f aca="false">EXP(-'Black-Scholes'!$B$8*'Black-Scholes'!$B$7)*IF(LOWER('Black-Scholes'!$B$11)="put",MAX('Black-Scholes'!$B$6-D2468,0),MAX(D2468-'Black-Scholes'!$B$6,0))</f>
        <v>0</v>
      </c>
    </row>
    <row r="2469" customFormat="false" ht="15" hidden="false" customHeight="false" outlineLevel="0" collapsed="false">
      <c r="A2469" s="0" t="n">
        <v>2458</v>
      </c>
      <c r="B2469" s="15" t="n">
        <v>-0.104063245803043</v>
      </c>
      <c r="C2469" s="18" t="n">
        <f aca="false">'Black-Scholes'!$B$5*EXP(('Black-Scholes'!$B$8-'Black-Scholes'!$B$10-'Black-Scholes'!$B$9^2/2)*'Black-Scholes'!$B$7+'Black-Scholes'!$B$9*SQRT('Black-Scholes'!$B$7)*B2469)</f>
        <v>100.922968409128</v>
      </c>
      <c r="D2469" s="18" t="n">
        <f aca="false">'Black-Scholes'!$B$5*EXP(('Black-Scholes'!$B$8-'Black-Scholes'!$B$10-'Black-Scholes'!$B$9^2/2)*'Black-Scholes'!$B$7-'Black-Scholes'!$B$9*SQRT('Black-Scholes'!$B$7)*B2469)</f>
        <v>105.212575817313</v>
      </c>
      <c r="E2469" s="18" t="n">
        <f aca="false">EXP(-'Black-Scholes'!$B$8*'Black-Scholes'!$B$7)*IF(LOWER('Black-Scholes'!$B$11)="put",MAX('Black-Scholes'!$B$6-C2469,0),MAX(C2469-'Black-Scholes'!$B$6,0))</f>
        <v>0.877954708646792</v>
      </c>
      <c r="F2469" s="18" t="n">
        <f aca="false">(E2469+G2469)/2</f>
        <v>2.91815510175776</v>
      </c>
      <c r="G2469" s="18" t="n">
        <f aca="false">EXP(-'Black-Scholes'!$B$8*'Black-Scholes'!$B$7)*IF(LOWER('Black-Scholes'!$B$11)="put",MAX('Black-Scholes'!$B$6-D2469,0),MAX(D2469-'Black-Scholes'!$B$6,0))</f>
        <v>4.95835549486874</v>
      </c>
    </row>
    <row r="2470" customFormat="false" ht="15" hidden="false" customHeight="false" outlineLevel="0" collapsed="false">
      <c r="A2470" s="0" t="n">
        <v>2459</v>
      </c>
      <c r="B2470" s="15" t="n">
        <v>2.3644358561927</v>
      </c>
      <c r="C2470" s="18" t="n">
        <f aca="false">'Black-Scholes'!$B$5*EXP(('Black-Scholes'!$B$8-'Black-Scholes'!$B$10-'Black-Scholes'!$B$9^2/2)*'Black-Scholes'!$B$7+'Black-Scholes'!$B$9*SQRT('Black-Scholes'!$B$7)*B2470)</f>
        <v>165.348828962183</v>
      </c>
      <c r="D2470" s="18" t="n">
        <f aca="false">'Black-Scholes'!$B$5*EXP(('Black-Scholes'!$B$8-'Black-Scholes'!$B$10-'Black-Scholes'!$B$9^2/2)*'Black-Scholes'!$B$7-'Black-Scholes'!$B$9*SQRT('Black-Scholes'!$B$7)*B2470)</f>
        <v>64.2179659335968</v>
      </c>
      <c r="E2470" s="18" t="n">
        <f aca="false">EXP(-'Black-Scholes'!$B$8*'Black-Scholes'!$B$7)*IF(LOWER('Black-Scholes'!$B$11)="put",MAX('Black-Scholes'!$B$6-C2470,0),MAX(C2470-'Black-Scholes'!$B$6,0))</f>
        <v>62.1617289654931</v>
      </c>
      <c r="F2470" s="18" t="n">
        <f aca="false">(E2470+G2470)/2</f>
        <v>31.0808644827465</v>
      </c>
      <c r="G2470" s="18" t="n">
        <f aca="false">EXP(-'Black-Scholes'!$B$8*'Black-Scholes'!$B$7)*IF(LOWER('Black-Scholes'!$B$11)="put",MAX('Black-Scholes'!$B$6-D2470,0),MAX(D2470-'Black-Scholes'!$B$6,0))</f>
        <v>0</v>
      </c>
    </row>
    <row r="2471" customFormat="false" ht="15" hidden="false" customHeight="false" outlineLevel="0" collapsed="false">
      <c r="A2471" s="0" t="n">
        <v>2460</v>
      </c>
      <c r="B2471" s="15" t="n">
        <v>1.50126094430132</v>
      </c>
      <c r="C2471" s="18" t="n">
        <f aca="false">'Black-Scholes'!$B$5*EXP(('Black-Scholes'!$B$8-'Black-Scholes'!$B$10-'Black-Scholes'!$B$9^2/2)*'Black-Scholes'!$B$7+'Black-Scholes'!$B$9*SQRT('Black-Scholes'!$B$7)*B2471)</f>
        <v>139.131895936672</v>
      </c>
      <c r="D2471" s="18" t="n">
        <f aca="false">'Black-Scholes'!$B$5*EXP(('Black-Scholes'!$B$8-'Black-Scholes'!$B$10-'Black-Scholes'!$B$9^2/2)*'Black-Scholes'!$B$7-'Black-Scholes'!$B$9*SQRT('Black-Scholes'!$B$7)*B2471)</f>
        <v>76.3187002805358</v>
      </c>
      <c r="E2471" s="18" t="n">
        <f aca="false">EXP(-'Black-Scholes'!$B$8*'Black-Scholes'!$B$7)*IF(LOWER('Black-Scholes'!$B$11)="put",MAX('Black-Scholes'!$B$6-C2471,0),MAX(C2471-'Black-Scholes'!$B$6,0))</f>
        <v>37.2234108514628</v>
      </c>
      <c r="F2471" s="18" t="n">
        <f aca="false">(E2471+G2471)/2</f>
        <v>18.6117054257314</v>
      </c>
      <c r="G2471" s="18" t="n">
        <f aca="false">EXP(-'Black-Scholes'!$B$8*'Black-Scholes'!$B$7)*IF(LOWER('Black-Scholes'!$B$11)="put",MAX('Black-Scholes'!$B$6-D2471,0),MAX(D2471-'Black-Scholes'!$B$6,0))</f>
        <v>0</v>
      </c>
    </row>
    <row r="2472" customFormat="false" ht="15" hidden="false" customHeight="false" outlineLevel="0" collapsed="false">
      <c r="A2472" s="0" t="n">
        <v>2461</v>
      </c>
      <c r="B2472" s="15" t="n">
        <v>-0.399963322011004</v>
      </c>
      <c r="C2472" s="18" t="n">
        <f aca="false">'Black-Scholes'!$B$5*EXP(('Black-Scholes'!$B$8-'Black-Scholes'!$B$10-'Black-Scholes'!$B$9^2/2)*'Black-Scholes'!$B$7+'Black-Scholes'!$B$9*SQRT('Black-Scholes'!$B$7)*B2472)</f>
        <v>95.123640236278</v>
      </c>
      <c r="D2472" s="18" t="n">
        <f aca="false">'Black-Scholes'!$B$5*EXP(('Black-Scholes'!$B$8-'Black-Scholes'!$B$10-'Black-Scholes'!$B$9^2/2)*'Black-Scholes'!$B$7-'Black-Scholes'!$B$9*SQRT('Black-Scholes'!$B$7)*B2472)</f>
        <v>111.626988192195</v>
      </c>
      <c r="E2472" s="18" t="n">
        <f aca="false">EXP(-'Black-Scholes'!$B$8*'Black-Scholes'!$B$7)*IF(LOWER('Black-Scholes'!$B$11)="put",MAX('Black-Scholes'!$B$6-C2472,0),MAX(C2472-'Black-Scholes'!$B$6,0))</f>
        <v>0</v>
      </c>
      <c r="F2472" s="18" t="n">
        <f aca="false">(E2472+G2472)/2</f>
        <v>5.52996664336904</v>
      </c>
      <c r="G2472" s="18" t="n">
        <f aca="false">EXP(-'Black-Scholes'!$B$8*'Black-Scholes'!$B$7)*IF(LOWER('Black-Scholes'!$B$11)="put",MAX('Black-Scholes'!$B$6-D2472,0),MAX(D2472-'Black-Scholes'!$B$6,0))</f>
        <v>11.0599332867381</v>
      </c>
    </row>
    <row r="2473" customFormat="false" ht="15" hidden="false" customHeight="false" outlineLevel="0" collapsed="false">
      <c r="A2473" s="0" t="n">
        <v>2462</v>
      </c>
      <c r="B2473" s="15" t="n">
        <v>0.60302621547516</v>
      </c>
      <c r="C2473" s="18" t="n">
        <f aca="false">'Black-Scholes'!$B$5*EXP(('Black-Scholes'!$B$8-'Black-Scholes'!$B$10-'Black-Scholes'!$B$9^2/2)*'Black-Scholes'!$B$7+'Black-Scholes'!$B$9*SQRT('Black-Scholes'!$B$7)*B2473)</f>
        <v>116.25376477253</v>
      </c>
      <c r="D2473" s="18" t="n">
        <f aca="false">'Black-Scholes'!$B$5*EXP(('Black-Scholes'!$B$8-'Black-Scholes'!$B$10-'Black-Scholes'!$B$9^2/2)*'Black-Scholes'!$B$7-'Black-Scholes'!$B$9*SQRT('Black-Scholes'!$B$7)*B2473)</f>
        <v>91.3378202093514</v>
      </c>
      <c r="E2473" s="18" t="n">
        <f aca="false">EXP(-'Black-Scholes'!$B$8*'Black-Scholes'!$B$7)*IF(LOWER('Black-Scholes'!$B$11)="put",MAX('Black-Scholes'!$B$6-C2473,0),MAX(C2473-'Black-Scholes'!$B$6,0))</f>
        <v>15.4610593105439</v>
      </c>
      <c r="F2473" s="18" t="n">
        <f aca="false">(E2473+G2473)/2</f>
        <v>7.73052965527196</v>
      </c>
      <c r="G2473" s="18" t="n">
        <f aca="false">EXP(-'Black-Scholes'!$B$8*'Black-Scholes'!$B$7)*IF(LOWER('Black-Scholes'!$B$11)="put",MAX('Black-Scholes'!$B$6-D2473,0),MAX(D2473-'Black-Scholes'!$B$6,0))</f>
        <v>0</v>
      </c>
    </row>
    <row r="2474" customFormat="false" ht="15" hidden="false" customHeight="false" outlineLevel="0" collapsed="false">
      <c r="A2474" s="0" t="n">
        <v>2463</v>
      </c>
      <c r="B2474" s="15" t="n">
        <v>1.06495046155013</v>
      </c>
      <c r="C2474" s="18" t="n">
        <f aca="false">'Black-Scholes'!$B$5*EXP(('Black-Scholes'!$B$8-'Black-Scholes'!$B$10-'Black-Scholes'!$B$9^2/2)*'Black-Scholes'!$B$7+'Black-Scholes'!$B$9*SQRT('Black-Scholes'!$B$7)*B2474)</f>
        <v>127.505599119642</v>
      </c>
      <c r="D2474" s="18" t="n">
        <f aca="false">'Black-Scholes'!$B$5*EXP(('Black-Scholes'!$B$8-'Black-Scholes'!$B$10-'Black-Scholes'!$B$9^2/2)*'Black-Scholes'!$B$7-'Black-Scholes'!$B$9*SQRT('Black-Scholes'!$B$7)*B2474)</f>
        <v>83.2776406586672</v>
      </c>
      <c r="E2474" s="18" t="n">
        <f aca="false">EXP(-'Black-Scholes'!$B$8*'Black-Scholes'!$B$7)*IF(LOWER('Black-Scholes'!$B$11)="put",MAX('Black-Scholes'!$B$6-C2474,0),MAX(C2474-'Black-Scholes'!$B$6,0))</f>
        <v>26.1641352211241</v>
      </c>
      <c r="F2474" s="18" t="n">
        <f aca="false">(E2474+G2474)/2</f>
        <v>13.082067610562</v>
      </c>
      <c r="G2474" s="18" t="n">
        <f aca="false">EXP(-'Black-Scholes'!$B$8*'Black-Scholes'!$B$7)*IF(LOWER('Black-Scholes'!$B$11)="put",MAX('Black-Scholes'!$B$6-D2474,0),MAX(D2474-'Black-Scholes'!$B$6,0))</f>
        <v>0</v>
      </c>
    </row>
    <row r="2475" customFormat="false" ht="15" hidden="false" customHeight="false" outlineLevel="0" collapsed="false">
      <c r="A2475" s="0" t="n">
        <v>2464</v>
      </c>
      <c r="B2475" s="15" t="n">
        <v>0.614792734065154</v>
      </c>
      <c r="C2475" s="18" t="n">
        <f aca="false">'Black-Scholes'!$B$5*EXP(('Black-Scholes'!$B$8-'Black-Scholes'!$B$10-'Black-Scholes'!$B$9^2/2)*'Black-Scholes'!$B$7+'Black-Scholes'!$B$9*SQRT('Black-Scholes'!$B$7)*B2475)</f>
        <v>116.527667350972</v>
      </c>
      <c r="D2475" s="18" t="n">
        <f aca="false">'Black-Scholes'!$B$5*EXP(('Black-Scholes'!$B$8-'Black-Scholes'!$B$10-'Black-Scholes'!$B$9^2/2)*'Black-Scholes'!$B$7-'Black-Scholes'!$B$9*SQRT('Black-Scholes'!$B$7)*B2475)</f>
        <v>91.1231272953567</v>
      </c>
      <c r="E2475" s="18" t="n">
        <f aca="false">EXP(-'Black-Scholes'!$B$8*'Black-Scholes'!$B$7)*IF(LOWER('Black-Scholes'!$B$11)="put",MAX('Black-Scholes'!$B$6-C2475,0),MAX(C2475-'Black-Scholes'!$B$6,0))</f>
        <v>15.7216035026043</v>
      </c>
      <c r="F2475" s="18" t="n">
        <f aca="false">(E2475+G2475)/2</f>
        <v>7.86080175130217</v>
      </c>
      <c r="G2475" s="18" t="n">
        <f aca="false">EXP(-'Black-Scholes'!$B$8*'Black-Scholes'!$B$7)*IF(LOWER('Black-Scholes'!$B$11)="put",MAX('Black-Scholes'!$B$6-D2475,0),MAX(D2475-'Black-Scholes'!$B$6,0))</f>
        <v>0</v>
      </c>
    </row>
    <row r="2476" customFormat="false" ht="15" hidden="false" customHeight="false" outlineLevel="0" collapsed="false">
      <c r="A2476" s="0" t="n">
        <v>2465</v>
      </c>
      <c r="B2476" s="15" t="n">
        <v>-0.512348779700906</v>
      </c>
      <c r="C2476" s="18" t="n">
        <f aca="false">'Black-Scholes'!$B$5*EXP(('Black-Scholes'!$B$8-'Black-Scholes'!$B$10-'Black-Scholes'!$B$9^2/2)*'Black-Scholes'!$B$7+'Black-Scholes'!$B$9*SQRT('Black-Scholes'!$B$7)*B2476)</f>
        <v>93.0093876049727</v>
      </c>
      <c r="D2476" s="18" t="n">
        <f aca="false">'Black-Scholes'!$B$5*EXP(('Black-Scholes'!$B$8-'Black-Scholes'!$B$10-'Black-Scholes'!$B$9^2/2)*'Black-Scholes'!$B$7-'Black-Scholes'!$B$9*SQRT('Black-Scholes'!$B$7)*B2476)</f>
        <v>114.164448760287</v>
      </c>
      <c r="E2476" s="18" t="n">
        <f aca="false">EXP(-'Black-Scholes'!$B$8*'Black-Scholes'!$B$7)*IF(LOWER('Black-Scholes'!$B$11)="put",MAX('Black-Scholes'!$B$6-C2476,0),MAX(C2476-'Black-Scholes'!$B$6,0))</f>
        <v>0</v>
      </c>
      <c r="F2476" s="18" t="n">
        <f aca="false">(E2476+G2476)/2</f>
        <v>6.7368202213089</v>
      </c>
      <c r="G2476" s="18" t="n">
        <f aca="false">EXP(-'Black-Scholes'!$B$8*'Black-Scholes'!$B$7)*IF(LOWER('Black-Scholes'!$B$11)="put",MAX('Black-Scholes'!$B$6-D2476,0),MAX(D2476-'Black-Scholes'!$B$6,0))</f>
        <v>13.4736404426178</v>
      </c>
    </row>
    <row r="2477" customFormat="false" ht="15" hidden="false" customHeight="false" outlineLevel="0" collapsed="false">
      <c r="A2477" s="0" t="n">
        <v>2466</v>
      </c>
      <c r="B2477" s="15" t="n">
        <v>1.16445988840056</v>
      </c>
      <c r="C2477" s="18" t="n">
        <f aca="false">'Black-Scholes'!$B$5*EXP(('Black-Scholes'!$B$8-'Black-Scholes'!$B$10-'Black-Scholes'!$B$9^2/2)*'Black-Scholes'!$B$7+'Black-Scholes'!$B$9*SQRT('Black-Scholes'!$B$7)*B2477)</f>
        <v>130.068620822105</v>
      </c>
      <c r="D2477" s="18" t="n">
        <f aca="false">'Black-Scholes'!$B$5*EXP(('Black-Scholes'!$B$8-'Black-Scholes'!$B$10-'Black-Scholes'!$B$9^2/2)*'Black-Scholes'!$B$7-'Black-Scholes'!$B$9*SQRT('Black-Scholes'!$B$7)*B2477)</f>
        <v>81.6366422457598</v>
      </c>
      <c r="E2477" s="18" t="n">
        <f aca="false">EXP(-'Black-Scholes'!$B$8*'Black-Scholes'!$B$7)*IF(LOWER('Black-Scholes'!$B$11)="put",MAX('Black-Scholes'!$B$6-C2477,0),MAX(C2477-'Black-Scholes'!$B$6,0))</f>
        <v>28.6021568801415</v>
      </c>
      <c r="F2477" s="18" t="n">
        <f aca="false">(E2477+G2477)/2</f>
        <v>14.3010784400708</v>
      </c>
      <c r="G2477" s="18" t="n">
        <f aca="false">EXP(-'Black-Scholes'!$B$8*'Black-Scholes'!$B$7)*IF(LOWER('Black-Scholes'!$B$11)="put",MAX('Black-Scholes'!$B$6-D2477,0),MAX(D2477-'Black-Scholes'!$B$6,0))</f>
        <v>0</v>
      </c>
    </row>
    <row r="2478" customFormat="false" ht="15" hidden="false" customHeight="false" outlineLevel="0" collapsed="false">
      <c r="A2478" s="0" t="n">
        <v>2467</v>
      </c>
      <c r="B2478" s="15" t="n">
        <v>1.44697687798835</v>
      </c>
      <c r="C2478" s="18" t="n">
        <f aca="false">'Black-Scholes'!$B$5*EXP(('Black-Scholes'!$B$8-'Black-Scholes'!$B$10-'Black-Scholes'!$B$9^2/2)*'Black-Scholes'!$B$7+'Black-Scholes'!$B$9*SQRT('Black-Scholes'!$B$7)*B2478)</f>
        <v>137.629537095255</v>
      </c>
      <c r="D2478" s="18" t="n">
        <f aca="false">'Black-Scholes'!$B$5*EXP(('Black-Scholes'!$B$8-'Black-Scholes'!$B$10-'Black-Scholes'!$B$9^2/2)*'Black-Scholes'!$B$7-'Black-Scholes'!$B$9*SQRT('Black-Scholes'!$B$7)*B2478)</f>
        <v>77.1517923373128</v>
      </c>
      <c r="E2478" s="18" t="n">
        <f aca="false">EXP(-'Black-Scholes'!$B$8*'Black-Scholes'!$B$7)*IF(LOWER('Black-Scholes'!$B$11)="put",MAX('Black-Scholes'!$B$6-C2478,0),MAX(C2478-'Black-Scholes'!$B$6,0))</f>
        <v>35.7943229153476</v>
      </c>
      <c r="F2478" s="18" t="n">
        <f aca="false">(E2478+G2478)/2</f>
        <v>17.8971614576738</v>
      </c>
      <c r="G2478" s="18" t="n">
        <f aca="false">EXP(-'Black-Scholes'!$B$8*'Black-Scholes'!$B$7)*IF(LOWER('Black-Scholes'!$B$11)="put",MAX('Black-Scholes'!$B$6-D2478,0),MAX(D2478-'Black-Scholes'!$B$6,0))</f>
        <v>0</v>
      </c>
    </row>
    <row r="2479" customFormat="false" ht="15" hidden="false" customHeight="false" outlineLevel="0" collapsed="false">
      <c r="A2479" s="0" t="n">
        <v>2468</v>
      </c>
      <c r="B2479" s="15" t="n">
        <v>-1.26636928948028</v>
      </c>
      <c r="C2479" s="18" t="n">
        <f aca="false">'Black-Scholes'!$B$5*EXP(('Black-Scholes'!$B$8-'Black-Scholes'!$B$10-'Black-Scholes'!$B$9^2/2)*'Black-Scholes'!$B$7+'Black-Scholes'!$B$9*SQRT('Black-Scholes'!$B$7)*B2479)</f>
        <v>79.9895761526151</v>
      </c>
      <c r="D2479" s="18" t="n">
        <f aca="false">'Black-Scholes'!$B$5*EXP(('Black-Scholes'!$B$8-'Black-Scholes'!$B$10-'Black-Scholes'!$B$9^2/2)*'Black-Scholes'!$B$7-'Black-Scholes'!$B$9*SQRT('Black-Scholes'!$B$7)*B2479)</f>
        <v>132.746864981437</v>
      </c>
      <c r="E2479" s="18" t="n">
        <f aca="false">EXP(-'Black-Scholes'!$B$8*'Black-Scholes'!$B$7)*IF(LOWER('Black-Scholes'!$B$11)="put",MAX('Black-Scholes'!$B$6-C2479,0),MAX(C2479-'Black-Scholes'!$B$6,0))</f>
        <v>0</v>
      </c>
      <c r="F2479" s="18" t="n">
        <f aca="false">(E2479+G2479)/2</f>
        <v>15.5748907652476</v>
      </c>
      <c r="G2479" s="18" t="n">
        <f aca="false">EXP(-'Black-Scholes'!$B$8*'Black-Scholes'!$B$7)*IF(LOWER('Black-Scholes'!$B$11)="put",MAX('Black-Scholes'!$B$6-D2479,0),MAX(D2479-'Black-Scholes'!$B$6,0))</f>
        <v>31.1497815304953</v>
      </c>
    </row>
    <row r="2480" customFormat="false" ht="15" hidden="false" customHeight="false" outlineLevel="0" collapsed="false">
      <c r="A2480" s="0" t="n">
        <v>2469</v>
      </c>
      <c r="B2480" s="15" t="n">
        <v>0.00963485130896243</v>
      </c>
      <c r="C2480" s="18" t="n">
        <f aca="false">'Black-Scholes'!$B$5*EXP(('Black-Scholes'!$B$8-'Black-Scholes'!$B$10-'Black-Scholes'!$B$9^2/2)*'Black-Scholes'!$B$7+'Black-Scholes'!$B$9*SQRT('Black-Scholes'!$B$7)*B2480)</f>
        <v>103.244210357533</v>
      </c>
      <c r="D2480" s="18" t="n">
        <f aca="false">'Black-Scholes'!$B$5*EXP(('Black-Scholes'!$B$8-'Black-Scholes'!$B$10-'Black-Scholes'!$B$9^2/2)*'Black-Scholes'!$B$7-'Black-Scholes'!$B$9*SQRT('Black-Scholes'!$B$7)*B2480)</f>
        <v>102.847079063149</v>
      </c>
      <c r="E2480" s="18" t="n">
        <f aca="false">EXP(-'Black-Scholes'!$B$8*'Black-Scholes'!$B$7)*IF(LOWER('Black-Scholes'!$B$11)="put",MAX('Black-Scholes'!$B$6-C2480,0),MAX(C2480-'Black-Scholes'!$B$6,0))</f>
        <v>3.08598835135528</v>
      </c>
      <c r="F2480" s="18" t="n">
        <f aca="false">(E2480+G2480)/2</f>
        <v>2.89710686505137</v>
      </c>
      <c r="G2480" s="18" t="n">
        <f aca="false">EXP(-'Black-Scholes'!$B$8*'Black-Scholes'!$B$7)*IF(LOWER('Black-Scholes'!$B$11)="put",MAX('Black-Scholes'!$B$6-D2480,0),MAX(D2480-'Black-Scholes'!$B$6,0))</f>
        <v>2.70822537874745</v>
      </c>
    </row>
    <row r="2481" customFormat="false" ht="15" hidden="false" customHeight="false" outlineLevel="0" collapsed="false">
      <c r="A2481" s="0" t="n">
        <v>2470</v>
      </c>
      <c r="B2481" s="15" t="n">
        <v>-2.49380822483538</v>
      </c>
      <c r="C2481" s="18" t="n">
        <f aca="false">'Black-Scholes'!$B$5*EXP(('Black-Scholes'!$B$8-'Black-Scholes'!$B$10-'Black-Scholes'!$B$9^2/2)*'Black-Scholes'!$B$7+'Black-Scholes'!$B$9*SQRT('Black-Scholes'!$B$7)*B2481)</f>
        <v>62.5776722412832</v>
      </c>
      <c r="D2481" s="18" t="n">
        <f aca="false">'Black-Scholes'!$B$5*EXP(('Black-Scholes'!$B$8-'Black-Scholes'!$B$10-'Black-Scholes'!$B$9^2/2)*'Black-Scholes'!$B$7-'Black-Scholes'!$B$9*SQRT('Black-Scholes'!$B$7)*B2481)</f>
        <v>169.682972938206</v>
      </c>
      <c r="E2481" s="18" t="n">
        <f aca="false">EXP(-'Black-Scholes'!$B$8*'Black-Scholes'!$B$7)*IF(LOWER('Black-Scholes'!$B$11)="put",MAX('Black-Scholes'!$B$6-C2481,0),MAX(C2481-'Black-Scholes'!$B$6,0))</f>
        <v>0</v>
      </c>
      <c r="F2481" s="18" t="n">
        <f aca="false">(E2481+G2481)/2</f>
        <v>33.1422471227544</v>
      </c>
      <c r="G2481" s="18" t="n">
        <f aca="false">EXP(-'Black-Scholes'!$B$8*'Black-Scholes'!$B$7)*IF(LOWER('Black-Scholes'!$B$11)="put",MAX('Black-Scholes'!$B$6-D2481,0),MAX(D2481-'Black-Scholes'!$B$6,0))</f>
        <v>66.2844942455087</v>
      </c>
    </row>
    <row r="2482" customFormat="false" ht="15" hidden="false" customHeight="false" outlineLevel="0" collapsed="false">
      <c r="A2482" s="0" t="n">
        <v>2471</v>
      </c>
      <c r="B2482" s="15" t="n">
        <v>-0.00498699921821753</v>
      </c>
      <c r="C2482" s="18" t="n">
        <f aca="false">'Black-Scholes'!$B$5*EXP(('Black-Scholes'!$B$8-'Black-Scholes'!$B$10-'Black-Scholes'!$B$9^2/2)*'Black-Scholes'!$B$7+'Black-Scholes'!$B$9*SQRT('Black-Scholes'!$B$7)*B2482)</f>
        <v>102.942727114351</v>
      </c>
      <c r="D2482" s="18" t="n">
        <f aca="false">'Black-Scholes'!$B$5*EXP(('Black-Scholes'!$B$8-'Black-Scholes'!$B$10-'Black-Scholes'!$B$9^2/2)*'Black-Scholes'!$B$7-'Black-Scholes'!$B$9*SQRT('Black-Scholes'!$B$7)*B2482)</f>
        <v>103.148282186642</v>
      </c>
      <c r="E2482" s="18" t="n">
        <f aca="false">EXP(-'Black-Scholes'!$B$8*'Black-Scholes'!$B$7)*IF(LOWER('Black-Scholes'!$B$11)="put",MAX('Black-Scholes'!$B$6-C2482,0),MAX(C2482-'Black-Scholes'!$B$6,0))</f>
        <v>2.79920861944709</v>
      </c>
      <c r="F2482" s="18" t="n">
        <f aca="false">(E2482+G2482)/2</f>
        <v>2.89697363600621</v>
      </c>
      <c r="G2482" s="18" t="n">
        <f aca="false">EXP(-'Black-Scholes'!$B$8*'Black-Scholes'!$B$7)*IF(LOWER('Black-Scholes'!$B$11)="put",MAX('Black-Scholes'!$B$6-D2482,0),MAX(D2482-'Black-Scholes'!$B$6,0))</f>
        <v>2.99473865256533</v>
      </c>
    </row>
    <row r="2483" customFormat="false" ht="15" hidden="false" customHeight="false" outlineLevel="0" collapsed="false">
      <c r="A2483" s="0" t="n">
        <v>2472</v>
      </c>
      <c r="B2483" s="15" t="n">
        <v>-0.355443351769146</v>
      </c>
      <c r="C2483" s="18" t="n">
        <f aca="false">'Black-Scholes'!$B$5*EXP(('Black-Scholes'!$B$8-'Black-Scholes'!$B$10-'Black-Scholes'!$B$9^2/2)*'Black-Scholes'!$B$7+'Black-Scholes'!$B$9*SQRT('Black-Scholes'!$B$7)*B2483)</f>
        <v>95.9744025332415</v>
      </c>
      <c r="D2483" s="18" t="n">
        <f aca="false">'Black-Scholes'!$B$5*EXP(('Black-Scholes'!$B$8-'Black-Scholes'!$B$10-'Black-Scholes'!$B$9^2/2)*'Black-Scholes'!$B$7-'Black-Scholes'!$B$9*SQRT('Black-Scholes'!$B$7)*B2483)</f>
        <v>110.637474005382</v>
      </c>
      <c r="E2483" s="18" t="n">
        <f aca="false">EXP(-'Black-Scholes'!$B$8*'Black-Scholes'!$B$7)*IF(LOWER('Black-Scholes'!$B$11)="put",MAX('Black-Scholes'!$B$6-C2483,0),MAX(C2483-'Black-Scholes'!$B$6,0))</f>
        <v>0</v>
      </c>
      <c r="F2483" s="18" t="n">
        <f aca="false">(E2483+G2483)/2</f>
        <v>5.05933913814053</v>
      </c>
      <c r="G2483" s="18" t="n">
        <f aca="false">EXP(-'Black-Scholes'!$B$8*'Black-Scholes'!$B$7)*IF(LOWER('Black-Scholes'!$B$11)="put",MAX('Black-Scholes'!$B$6-D2483,0),MAX(D2483-'Black-Scholes'!$B$6,0))</f>
        <v>10.1186782762811</v>
      </c>
    </row>
    <row r="2484" customFormat="false" ht="15" hidden="false" customHeight="false" outlineLevel="0" collapsed="false">
      <c r="A2484" s="0" t="n">
        <v>2473</v>
      </c>
      <c r="B2484" s="15" t="n">
        <v>-0.490964553405373</v>
      </c>
      <c r="C2484" s="18" t="n">
        <f aca="false">'Black-Scholes'!$B$5*EXP(('Black-Scholes'!$B$8-'Black-Scholes'!$B$10-'Black-Scholes'!$B$9^2/2)*'Black-Scholes'!$B$7+'Black-Scholes'!$B$9*SQRT('Black-Scholes'!$B$7)*B2484)</f>
        <v>93.408026213587</v>
      </c>
      <c r="D2484" s="18" t="n">
        <f aca="false">'Black-Scholes'!$B$5*EXP(('Black-Scholes'!$B$8-'Black-Scholes'!$B$10-'Black-Scholes'!$B$9^2/2)*'Black-Scholes'!$B$7-'Black-Scholes'!$B$9*SQRT('Black-Scholes'!$B$7)*B2484)</f>
        <v>113.677227706039</v>
      </c>
      <c r="E2484" s="18" t="n">
        <f aca="false">EXP(-'Black-Scholes'!$B$8*'Black-Scholes'!$B$7)*IF(LOWER('Black-Scholes'!$B$11)="put",MAX('Black-Scholes'!$B$6-C2484,0),MAX(C2484-'Black-Scholes'!$B$6,0))</f>
        <v>0</v>
      </c>
      <c r="F2484" s="18" t="n">
        <f aca="false">(E2484+G2484)/2</f>
        <v>6.50509071979042</v>
      </c>
      <c r="G2484" s="18" t="n">
        <f aca="false">EXP(-'Black-Scholes'!$B$8*'Black-Scholes'!$B$7)*IF(LOWER('Black-Scholes'!$B$11)="put",MAX('Black-Scholes'!$B$6-D2484,0),MAX(D2484-'Black-Scholes'!$B$6,0))</f>
        <v>13.0101814395808</v>
      </c>
    </row>
    <row r="2485" customFormat="false" ht="15" hidden="false" customHeight="false" outlineLevel="0" collapsed="false">
      <c r="A2485" s="0" t="n">
        <v>2474</v>
      </c>
      <c r="B2485" s="15" t="n">
        <v>1.40400998402815</v>
      </c>
      <c r="C2485" s="18" t="n">
        <f aca="false">'Black-Scholes'!$B$5*EXP(('Black-Scholes'!$B$8-'Black-Scholes'!$B$10-'Black-Scholes'!$B$9^2/2)*'Black-Scholes'!$B$7+'Black-Scholes'!$B$9*SQRT('Black-Scholes'!$B$7)*B2485)</f>
        <v>136.451901531242</v>
      </c>
      <c r="D2485" s="18" t="n">
        <f aca="false">'Black-Scholes'!$B$5*EXP(('Black-Scholes'!$B$8-'Black-Scholes'!$B$10-'Black-Scholes'!$B$9^2/2)*'Black-Scholes'!$B$7-'Black-Scholes'!$B$9*SQRT('Black-Scholes'!$B$7)*B2485)</f>
        <v>77.8176437726111</v>
      </c>
      <c r="E2485" s="18" t="n">
        <f aca="false">EXP(-'Black-Scholes'!$B$8*'Black-Scholes'!$B$7)*IF(LOWER('Black-Scholes'!$B$11)="put",MAX('Black-Scholes'!$B$6-C2485,0),MAX(C2485-'Black-Scholes'!$B$6,0))</f>
        <v>34.6741213155201</v>
      </c>
      <c r="F2485" s="18" t="n">
        <f aca="false">(E2485+G2485)/2</f>
        <v>17.33706065776</v>
      </c>
      <c r="G2485" s="18" t="n">
        <f aca="false">EXP(-'Black-Scholes'!$B$8*'Black-Scholes'!$B$7)*IF(LOWER('Black-Scholes'!$B$11)="put",MAX('Black-Scholes'!$B$6-D2485,0),MAX(D2485-'Black-Scholes'!$B$6,0))</f>
        <v>0</v>
      </c>
    </row>
    <row r="2486" customFormat="false" ht="15" hidden="false" customHeight="false" outlineLevel="0" collapsed="false">
      <c r="A2486" s="0" t="n">
        <v>2475</v>
      </c>
      <c r="B2486" s="15" t="n">
        <v>-2.00427397390437</v>
      </c>
      <c r="C2486" s="18" t="n">
        <f aca="false">'Black-Scholes'!$B$5*EXP(('Black-Scholes'!$B$8-'Black-Scholes'!$B$10-'Black-Scholes'!$B$9^2/2)*'Black-Scholes'!$B$7+'Black-Scholes'!$B$9*SQRT('Black-Scholes'!$B$7)*B2486)</f>
        <v>69.0144146815517</v>
      </c>
      <c r="D2486" s="18" t="n">
        <f aca="false">'Black-Scholes'!$B$5*EXP(('Black-Scholes'!$B$8-'Black-Scholes'!$B$10-'Black-Scholes'!$B$9^2/2)*'Black-Scholes'!$B$7-'Black-Scholes'!$B$9*SQRT('Black-Scholes'!$B$7)*B2486)</f>
        <v>153.857212503347</v>
      </c>
      <c r="E2486" s="18" t="n">
        <f aca="false">EXP(-'Black-Scholes'!$B$8*'Black-Scholes'!$B$7)*IF(LOWER('Black-Scholes'!$B$11)="put",MAX('Black-Scholes'!$B$6-C2486,0),MAX(C2486-'Black-Scholes'!$B$6,0))</f>
        <v>0</v>
      </c>
      <c r="F2486" s="18" t="n">
        <f aca="false">(E2486+G2486)/2</f>
        <v>25.6152826273856</v>
      </c>
      <c r="G2486" s="18" t="n">
        <f aca="false">EXP(-'Black-Scholes'!$B$8*'Black-Scholes'!$B$7)*IF(LOWER('Black-Scholes'!$B$11)="put",MAX('Black-Scholes'!$B$6-D2486,0),MAX(D2486-'Black-Scholes'!$B$6,0))</f>
        <v>51.2305652547712</v>
      </c>
    </row>
    <row r="2487" customFormat="false" ht="15" hidden="false" customHeight="false" outlineLevel="0" collapsed="false">
      <c r="A2487" s="0" t="n">
        <v>2476</v>
      </c>
      <c r="B2487" s="15" t="n">
        <v>-0.380896922202493</v>
      </c>
      <c r="C2487" s="18" t="n">
        <f aca="false">'Black-Scholes'!$B$5*EXP(('Black-Scholes'!$B$8-'Black-Scholes'!$B$10-'Black-Scholes'!$B$9^2/2)*'Black-Scholes'!$B$7+'Black-Scholes'!$B$9*SQRT('Black-Scholes'!$B$7)*B2487)</f>
        <v>95.4870657887797</v>
      </c>
      <c r="D2487" s="18" t="n">
        <f aca="false">'Black-Scholes'!$B$5*EXP(('Black-Scholes'!$B$8-'Black-Scholes'!$B$10-'Black-Scholes'!$B$9^2/2)*'Black-Scholes'!$B$7-'Black-Scholes'!$B$9*SQRT('Black-Scholes'!$B$7)*B2487)</f>
        <v>111.202133794139</v>
      </c>
      <c r="E2487" s="18" t="n">
        <f aca="false">EXP(-'Black-Scholes'!$B$8*'Black-Scholes'!$B$7)*IF(LOWER('Black-Scholes'!$B$11)="put",MAX('Black-Scholes'!$B$6-C2487,0),MAX(C2487-'Black-Scholes'!$B$6,0))</f>
        <v>0</v>
      </c>
      <c r="F2487" s="18" t="n">
        <f aca="false">(E2487+G2487)/2</f>
        <v>5.32789964108924</v>
      </c>
      <c r="G2487" s="18" t="n">
        <f aca="false">EXP(-'Black-Scholes'!$B$8*'Black-Scholes'!$B$7)*IF(LOWER('Black-Scholes'!$B$11)="put",MAX('Black-Scholes'!$B$6-D2487,0),MAX(D2487-'Black-Scholes'!$B$6,0))</f>
        <v>10.6557992821785</v>
      </c>
    </row>
    <row r="2488" customFormat="false" ht="15" hidden="false" customHeight="false" outlineLevel="0" collapsed="false">
      <c r="A2488" s="0" t="n">
        <v>2477</v>
      </c>
      <c r="B2488" s="15" t="n">
        <v>1.35854522749948</v>
      </c>
      <c r="C2488" s="18" t="n">
        <f aca="false">'Black-Scholes'!$B$5*EXP(('Black-Scholes'!$B$8-'Black-Scholes'!$B$10-'Black-Scholes'!$B$9^2/2)*'Black-Scholes'!$B$7+'Black-Scholes'!$B$9*SQRT('Black-Scholes'!$B$7)*B2488)</f>
        <v>135.216775017857</v>
      </c>
      <c r="D2488" s="18" t="n">
        <f aca="false">'Black-Scholes'!$B$5*EXP(('Black-Scholes'!$B$8-'Black-Scholes'!$B$10-'Black-Scholes'!$B$9^2/2)*'Black-Scholes'!$B$7-'Black-Scholes'!$B$9*SQRT('Black-Scholes'!$B$7)*B2488)</f>
        <v>78.5284626412023</v>
      </c>
      <c r="E2488" s="18" t="n">
        <f aca="false">EXP(-'Black-Scholes'!$B$8*'Black-Scholes'!$B$7)*IF(LOWER('Black-Scholes'!$B$11)="put",MAX('Black-Scholes'!$B$6-C2488,0),MAX(C2488-'Black-Scholes'!$B$6,0))</f>
        <v>33.4992326330068</v>
      </c>
      <c r="F2488" s="18" t="n">
        <f aca="false">(E2488+G2488)/2</f>
        <v>16.7496163165034</v>
      </c>
      <c r="G2488" s="18" t="n">
        <f aca="false">EXP(-'Black-Scholes'!$B$8*'Black-Scholes'!$B$7)*IF(LOWER('Black-Scholes'!$B$11)="put",MAX('Black-Scholes'!$B$6-D2488,0),MAX(D2488-'Black-Scholes'!$B$6,0))</f>
        <v>0</v>
      </c>
    </row>
    <row r="2489" customFormat="false" ht="15" hidden="false" customHeight="false" outlineLevel="0" collapsed="false">
      <c r="A2489" s="0" t="n">
        <v>2478</v>
      </c>
      <c r="B2489" s="15" t="n">
        <v>-0.3082425212634</v>
      </c>
      <c r="C2489" s="18" t="n">
        <f aca="false">'Black-Scholes'!$B$5*EXP(('Black-Scholes'!$B$8-'Black-Scholes'!$B$10-'Black-Scholes'!$B$9^2/2)*'Black-Scholes'!$B$7+'Black-Scholes'!$B$9*SQRT('Black-Scholes'!$B$7)*B2489)</f>
        <v>96.8847067860196</v>
      </c>
      <c r="D2489" s="18" t="n">
        <f aca="false">'Black-Scholes'!$B$5*EXP(('Black-Scholes'!$B$8-'Black-Scholes'!$B$10-'Black-Scholes'!$B$9^2/2)*'Black-Scholes'!$B$7-'Black-Scholes'!$B$9*SQRT('Black-Scholes'!$B$7)*B2489)</f>
        <v>109.597952222794</v>
      </c>
      <c r="E2489" s="18" t="n">
        <f aca="false">EXP(-'Black-Scholes'!$B$8*'Black-Scholes'!$B$7)*IF(LOWER('Black-Scholes'!$B$11)="put",MAX('Black-Scholes'!$B$6-C2489,0),MAX(C2489-'Black-Scholes'!$B$6,0))</f>
        <v>0</v>
      </c>
      <c r="F2489" s="18" t="n">
        <f aca="false">(E2489+G2489)/2</f>
        <v>4.5649272846369</v>
      </c>
      <c r="G2489" s="18" t="n">
        <f aca="false">EXP(-'Black-Scholes'!$B$8*'Black-Scholes'!$B$7)*IF(LOWER('Black-Scholes'!$B$11)="put",MAX('Black-Scholes'!$B$6-D2489,0),MAX(D2489-'Black-Scholes'!$B$6,0))</f>
        <v>9.1298545692738</v>
      </c>
    </row>
    <row r="2490" customFormat="false" ht="15" hidden="false" customHeight="false" outlineLevel="0" collapsed="false">
      <c r="A2490" s="0" t="n">
        <v>2479</v>
      </c>
      <c r="B2490" s="15" t="n">
        <v>-0.956033636560356</v>
      </c>
      <c r="C2490" s="18" t="n">
        <f aca="false">'Black-Scholes'!$B$5*EXP(('Black-Scholes'!$B$8-'Black-Scholes'!$B$10-'Black-Scholes'!$B$9^2/2)*'Black-Scholes'!$B$7+'Black-Scholes'!$B$9*SQRT('Black-Scholes'!$B$7)*B2490)</f>
        <v>85.1116103974736</v>
      </c>
      <c r="D2490" s="18" t="n">
        <f aca="false">'Black-Scholes'!$B$5*EXP(('Black-Scholes'!$B$8-'Black-Scholes'!$B$10-'Black-Scholes'!$B$9^2/2)*'Black-Scholes'!$B$7-'Black-Scholes'!$B$9*SQRT('Black-Scholes'!$B$7)*B2490)</f>
        <v>124.758131303891</v>
      </c>
      <c r="E2490" s="18" t="n">
        <f aca="false">EXP(-'Black-Scholes'!$B$8*'Black-Scholes'!$B$7)*IF(LOWER('Black-Scholes'!$B$11)="put",MAX('Black-Scholes'!$B$6-C2490,0),MAX(C2490-'Black-Scholes'!$B$6,0))</f>
        <v>0</v>
      </c>
      <c r="F2490" s="18" t="n">
        <f aca="false">(E2490+G2490)/2</f>
        <v>11.7753314959565</v>
      </c>
      <c r="G2490" s="18" t="n">
        <f aca="false">EXP(-'Black-Scholes'!$B$8*'Black-Scholes'!$B$7)*IF(LOWER('Black-Scholes'!$B$11)="put",MAX('Black-Scholes'!$B$6-D2490,0),MAX(D2490-'Black-Scholes'!$B$6,0))</f>
        <v>23.550662991913</v>
      </c>
    </row>
    <row r="2491" customFormat="false" ht="15" hidden="false" customHeight="false" outlineLevel="0" collapsed="false">
      <c r="A2491" s="0" t="n">
        <v>2480</v>
      </c>
      <c r="B2491" s="15" t="n">
        <v>-0.464363410062116</v>
      </c>
      <c r="C2491" s="18" t="n">
        <f aca="false">'Black-Scholes'!$B$5*EXP(('Black-Scholes'!$B$8-'Black-Scholes'!$B$10-'Black-Scholes'!$B$9^2/2)*'Black-Scholes'!$B$7+'Black-Scholes'!$B$9*SQRT('Black-Scholes'!$B$7)*B2491)</f>
        <v>93.906302569305</v>
      </c>
      <c r="D2491" s="18" t="n">
        <f aca="false">'Black-Scholes'!$B$5*EXP(('Black-Scholes'!$B$8-'Black-Scholes'!$B$10-'Black-Scholes'!$B$9^2/2)*'Black-Scholes'!$B$7-'Black-Scholes'!$B$9*SQRT('Black-Scholes'!$B$7)*B2491)</f>
        <v>113.074044818419</v>
      </c>
      <c r="E2491" s="18" t="n">
        <f aca="false">EXP(-'Black-Scholes'!$B$8*'Black-Scholes'!$B$7)*IF(LOWER('Black-Scholes'!$B$11)="put",MAX('Black-Scholes'!$B$6-C2491,0),MAX(C2491-'Black-Scholes'!$B$6,0))</f>
        <v>0</v>
      </c>
      <c r="F2491" s="18" t="n">
        <f aca="false">(E2491+G2491)/2</f>
        <v>6.21820806426053</v>
      </c>
      <c r="G2491" s="18" t="n">
        <f aca="false">EXP(-'Black-Scholes'!$B$8*'Black-Scholes'!$B$7)*IF(LOWER('Black-Scholes'!$B$11)="put",MAX('Black-Scholes'!$B$6-D2491,0),MAX(D2491-'Black-Scholes'!$B$6,0))</f>
        <v>12.4364161285211</v>
      </c>
    </row>
    <row r="2492" customFormat="false" ht="15" hidden="false" customHeight="false" outlineLevel="0" collapsed="false">
      <c r="A2492" s="0" t="n">
        <v>2481</v>
      </c>
      <c r="B2492" s="15" t="n">
        <v>-1.09065737316897</v>
      </c>
      <c r="C2492" s="18" t="n">
        <f aca="false">'Black-Scholes'!$B$5*EXP(('Black-Scholes'!$B$8-'Black-Scholes'!$B$10-'Black-Scholes'!$B$9^2/2)*'Black-Scholes'!$B$7+'Black-Scholes'!$B$9*SQRT('Black-Scholes'!$B$7)*B2492)</f>
        <v>82.8505772578721</v>
      </c>
      <c r="D2492" s="18" t="n">
        <f aca="false">'Black-Scholes'!$B$5*EXP(('Black-Scholes'!$B$8-'Black-Scholes'!$B$10-'Black-Scholes'!$B$9^2/2)*'Black-Scholes'!$B$7-'Black-Scholes'!$B$9*SQRT('Black-Scholes'!$B$7)*B2492)</f>
        <v>128.16284227452</v>
      </c>
      <c r="E2492" s="18" t="n">
        <f aca="false">EXP(-'Black-Scholes'!$B$8*'Black-Scholes'!$B$7)*IF(LOWER('Black-Scholes'!$B$11)="put",MAX('Black-Scholes'!$B$6-C2492,0),MAX(C2492-'Black-Scholes'!$B$6,0))</f>
        <v>0</v>
      </c>
      <c r="F2492" s="18" t="n">
        <f aca="false">(E2492+G2492)/2</f>
        <v>13.3946621245481</v>
      </c>
      <c r="G2492" s="18" t="n">
        <f aca="false">EXP(-'Black-Scholes'!$B$8*'Black-Scholes'!$B$7)*IF(LOWER('Black-Scholes'!$B$11)="put",MAX('Black-Scholes'!$B$6-D2492,0),MAX(D2492-'Black-Scholes'!$B$6,0))</f>
        <v>26.7893242490961</v>
      </c>
    </row>
    <row r="2493" customFormat="false" ht="15" hidden="false" customHeight="false" outlineLevel="0" collapsed="false">
      <c r="A2493" s="0" t="n">
        <v>2482</v>
      </c>
      <c r="B2493" s="15" t="n">
        <v>-0.713446479434371</v>
      </c>
      <c r="C2493" s="18" t="n">
        <f aca="false">'Black-Scholes'!$B$5*EXP(('Black-Scholes'!$B$8-'Black-Scholes'!$B$10-'Black-Scholes'!$B$9^2/2)*'Black-Scholes'!$B$7+'Black-Scholes'!$B$9*SQRT('Black-Scholes'!$B$7)*B2493)</f>
        <v>89.3428208815283</v>
      </c>
      <c r="D2493" s="18" t="n">
        <f aca="false">'Black-Scholes'!$B$5*EXP(('Black-Scholes'!$B$8-'Black-Scholes'!$B$10-'Black-Scholes'!$B$9^2/2)*'Black-Scholes'!$B$7-'Black-Scholes'!$B$9*SQRT('Black-Scholes'!$B$7)*B2493)</f>
        <v>118.849677687409</v>
      </c>
      <c r="E2493" s="18" t="n">
        <f aca="false">EXP(-'Black-Scholes'!$B$8*'Black-Scholes'!$B$7)*IF(LOWER('Black-Scholes'!$B$11)="put",MAX('Black-Scholes'!$B$6-C2493,0),MAX(C2493-'Black-Scholes'!$B$6,0))</f>
        <v>0</v>
      </c>
      <c r="F2493" s="18" t="n">
        <f aca="false">(E2493+G2493)/2</f>
        <v>8.96518402930924</v>
      </c>
      <c r="G2493" s="18" t="n">
        <f aca="false">EXP(-'Black-Scholes'!$B$8*'Black-Scholes'!$B$7)*IF(LOWER('Black-Scholes'!$B$11)="put",MAX('Black-Scholes'!$B$6-D2493,0),MAX(D2493-'Black-Scholes'!$B$6,0))</f>
        <v>17.9303680586185</v>
      </c>
    </row>
    <row r="2494" customFormat="false" ht="15" hidden="false" customHeight="false" outlineLevel="0" collapsed="false">
      <c r="A2494" s="0" t="n">
        <v>2483</v>
      </c>
      <c r="B2494" s="15" t="n">
        <v>0.515364992507261</v>
      </c>
      <c r="C2494" s="18" t="n">
        <f aca="false">'Black-Scholes'!$B$5*EXP(('Black-Scholes'!$B$8-'Black-Scholes'!$B$10-'Black-Scholes'!$B$9^2/2)*'Black-Scholes'!$B$7+'Black-Scholes'!$B$9*SQRT('Black-Scholes'!$B$7)*B2494)</f>
        <v>114.233338391253</v>
      </c>
      <c r="D2494" s="18" t="n">
        <f aca="false">'Black-Scholes'!$B$5*EXP(('Black-Scholes'!$B$8-'Black-Scholes'!$B$10-'Black-Scholes'!$B$9^2/2)*'Black-Scholes'!$B$7-'Black-Scholes'!$B$9*SQRT('Black-Scholes'!$B$7)*B2494)</f>
        <v>92.9532973035012</v>
      </c>
      <c r="E2494" s="18" t="n">
        <f aca="false">EXP(-'Black-Scholes'!$B$8*'Black-Scholes'!$B$7)*IF(LOWER('Black-Scholes'!$B$11)="put",MAX('Black-Scholes'!$B$6-C2494,0),MAX(C2494-'Black-Scholes'!$B$6,0))</f>
        <v>13.5391702866355</v>
      </c>
      <c r="F2494" s="18" t="n">
        <f aca="false">(E2494+G2494)/2</f>
        <v>6.76958514331777</v>
      </c>
      <c r="G2494" s="18" t="n">
        <f aca="false">EXP(-'Black-Scholes'!$B$8*'Black-Scholes'!$B$7)*IF(LOWER('Black-Scholes'!$B$11)="put",MAX('Black-Scholes'!$B$6-D2494,0),MAX(D2494-'Black-Scholes'!$B$6,0))</f>
        <v>0</v>
      </c>
    </row>
    <row r="2495" customFormat="false" ht="15" hidden="false" customHeight="false" outlineLevel="0" collapsed="false">
      <c r="A2495" s="0" t="n">
        <v>2484</v>
      </c>
      <c r="B2495" s="15" t="n">
        <v>-2.08519576147561</v>
      </c>
      <c r="C2495" s="18" t="n">
        <f aca="false">'Black-Scholes'!$B$5*EXP(('Black-Scholes'!$B$8-'Black-Scholes'!$B$10-'Black-Scholes'!$B$9^2/2)*'Black-Scholes'!$B$7+'Black-Scholes'!$B$9*SQRT('Black-Scholes'!$B$7)*B2495)</f>
        <v>67.9064507472157</v>
      </c>
      <c r="D2495" s="18" t="n">
        <f aca="false">'Black-Scholes'!$B$5*EXP(('Black-Scholes'!$B$8-'Black-Scholes'!$B$10-'Black-Scholes'!$B$9^2/2)*'Black-Scholes'!$B$7-'Black-Scholes'!$B$9*SQRT('Black-Scholes'!$B$7)*B2495)</f>
        <v>156.367551957337</v>
      </c>
      <c r="E2495" s="18" t="n">
        <f aca="false">EXP(-'Black-Scholes'!$B$8*'Black-Scholes'!$B$7)*IF(LOWER('Black-Scholes'!$B$11)="put",MAX('Black-Scholes'!$B$6-C2495,0),MAX(C2495-'Black-Scholes'!$B$6,0))</f>
        <v>0</v>
      </c>
      <c r="F2495" s="18" t="n">
        <f aca="false">(E2495+G2495)/2</f>
        <v>26.8092370044459</v>
      </c>
      <c r="G2495" s="18" t="n">
        <f aca="false">EXP(-'Black-Scholes'!$B$8*'Black-Scholes'!$B$7)*IF(LOWER('Black-Scholes'!$B$11)="put",MAX('Black-Scholes'!$B$6-D2495,0),MAX(D2495-'Black-Scholes'!$B$6,0))</f>
        <v>53.6184740088919</v>
      </c>
    </row>
    <row r="2496" customFormat="false" ht="15" hidden="false" customHeight="false" outlineLevel="0" collapsed="false">
      <c r="A2496" s="0" t="n">
        <v>2485</v>
      </c>
      <c r="B2496" s="15" t="n">
        <v>1.60194549112321</v>
      </c>
      <c r="C2496" s="18" t="n">
        <f aca="false">'Black-Scholes'!$B$5*EXP(('Black-Scholes'!$B$8-'Black-Scholes'!$B$10-'Black-Scholes'!$B$9^2/2)*'Black-Scholes'!$B$7+'Black-Scholes'!$B$9*SQRT('Black-Scholes'!$B$7)*B2496)</f>
        <v>141.961981269259</v>
      </c>
      <c r="D2496" s="18" t="n">
        <f aca="false">'Black-Scholes'!$B$5*EXP(('Black-Scholes'!$B$8-'Black-Scholes'!$B$10-'Black-Scholes'!$B$9^2/2)*'Black-Scholes'!$B$7-'Black-Scholes'!$B$9*SQRT('Black-Scholes'!$B$7)*B2496)</f>
        <v>74.79724761881</v>
      </c>
      <c r="E2496" s="18" t="n">
        <f aca="false">EXP(-'Black-Scholes'!$B$8*'Black-Scholes'!$B$7)*IF(LOWER('Black-Scholes'!$B$11)="put",MAX('Black-Scholes'!$B$6-C2496,0),MAX(C2496-'Black-Scholes'!$B$6,0))</f>
        <v>39.9154712936665</v>
      </c>
      <c r="F2496" s="18" t="n">
        <f aca="false">(E2496+G2496)/2</f>
        <v>19.9577356468333</v>
      </c>
      <c r="G2496" s="18" t="n">
        <f aca="false">EXP(-'Black-Scholes'!$B$8*'Black-Scholes'!$B$7)*IF(LOWER('Black-Scholes'!$B$11)="put",MAX('Black-Scholes'!$B$6-D2496,0),MAX(D2496-'Black-Scholes'!$B$6,0))</f>
        <v>0</v>
      </c>
    </row>
    <row r="2497" customFormat="false" ht="15" hidden="false" customHeight="false" outlineLevel="0" collapsed="false">
      <c r="A2497" s="0" t="n">
        <v>2486</v>
      </c>
      <c r="B2497" s="15" t="n">
        <v>0.78602648246764</v>
      </c>
      <c r="C2497" s="18" t="n">
        <f aca="false">'Black-Scholes'!$B$5*EXP(('Black-Scholes'!$B$8-'Black-Scholes'!$B$10-'Black-Scholes'!$B$9^2/2)*'Black-Scholes'!$B$7+'Black-Scholes'!$B$9*SQRT('Black-Scholes'!$B$7)*B2497)</f>
        <v>120.587482151236</v>
      </c>
      <c r="D2497" s="18" t="n">
        <f aca="false">'Black-Scholes'!$B$5*EXP(('Black-Scholes'!$B$8-'Black-Scholes'!$B$10-'Black-Scholes'!$B$9^2/2)*'Black-Scholes'!$B$7-'Black-Scholes'!$B$9*SQRT('Black-Scholes'!$B$7)*B2497)</f>
        <v>88.0552879621158</v>
      </c>
      <c r="E2497" s="18" t="n">
        <f aca="false">EXP(-'Black-Scholes'!$B$8*'Black-Scholes'!$B$7)*IF(LOWER('Black-Scholes'!$B$11)="put",MAX('Black-Scholes'!$B$6-C2497,0),MAX(C2497-'Black-Scholes'!$B$6,0))</f>
        <v>19.5834187986391</v>
      </c>
      <c r="F2497" s="18" t="n">
        <f aca="false">(E2497+G2497)/2</f>
        <v>9.79170939931955</v>
      </c>
      <c r="G2497" s="18" t="n">
        <f aca="false">EXP(-'Black-Scholes'!$B$8*'Black-Scholes'!$B$7)*IF(LOWER('Black-Scholes'!$B$11)="put",MAX('Black-Scholes'!$B$6-D2497,0),MAX(D2497-'Black-Scholes'!$B$6,0))</f>
        <v>0</v>
      </c>
    </row>
    <row r="2498" customFormat="false" ht="15" hidden="false" customHeight="false" outlineLevel="0" collapsed="false">
      <c r="A2498" s="0" t="n">
        <v>2487</v>
      </c>
      <c r="B2498" s="15" t="n">
        <v>-0.505702989865127</v>
      </c>
      <c r="C2498" s="18" t="n">
        <f aca="false">'Black-Scholes'!$B$5*EXP(('Black-Scholes'!$B$8-'Black-Scholes'!$B$10-'Black-Scholes'!$B$9^2/2)*'Black-Scholes'!$B$7+'Black-Scholes'!$B$9*SQRT('Black-Scholes'!$B$7)*B2498)</f>
        <v>93.1330939679649</v>
      </c>
      <c r="D2498" s="18" t="n">
        <f aca="false">'Black-Scholes'!$B$5*EXP(('Black-Scholes'!$B$8-'Black-Scholes'!$B$10-'Black-Scholes'!$B$9^2/2)*'Black-Scholes'!$B$7-'Black-Scholes'!$B$9*SQRT('Black-Scholes'!$B$7)*B2498)</f>
        <v>114.012806973921</v>
      </c>
      <c r="E2498" s="18" t="n">
        <f aca="false">EXP(-'Black-Scholes'!$B$8*'Black-Scholes'!$B$7)*IF(LOWER('Black-Scholes'!$B$11)="put",MAX('Black-Scholes'!$B$6-C2498,0),MAX(C2498-'Black-Scholes'!$B$6,0))</f>
        <v>0</v>
      </c>
      <c r="F2498" s="18" t="n">
        <f aca="false">(E2498+G2498)/2</f>
        <v>6.66469715672108</v>
      </c>
      <c r="G2498" s="18" t="n">
        <f aca="false">EXP(-'Black-Scholes'!$B$8*'Black-Scholes'!$B$7)*IF(LOWER('Black-Scholes'!$B$11)="put",MAX('Black-Scholes'!$B$6-D2498,0),MAX(D2498-'Black-Scholes'!$B$6,0))</f>
        <v>13.3293943134422</v>
      </c>
    </row>
    <row r="2499" customFormat="false" ht="15" hidden="false" customHeight="false" outlineLevel="0" collapsed="false">
      <c r="A2499" s="0" t="n">
        <v>2488</v>
      </c>
      <c r="B2499" s="15" t="n">
        <v>0.312475794712349</v>
      </c>
      <c r="C2499" s="18" t="n">
        <f aca="false">'Black-Scholes'!$B$5*EXP(('Black-Scholes'!$B$8-'Black-Scholes'!$B$10-'Black-Scholes'!$B$9^2/2)*'Black-Scholes'!$B$7+'Black-Scholes'!$B$9*SQRT('Black-Scholes'!$B$7)*B2499)</f>
        <v>109.690783135353</v>
      </c>
      <c r="D2499" s="18" t="n">
        <f aca="false">'Black-Scholes'!$B$5*EXP(('Black-Scholes'!$B$8-'Black-Scholes'!$B$10-'Black-Scholes'!$B$9^2/2)*'Black-Scholes'!$B$7-'Black-Scholes'!$B$9*SQRT('Black-Scholes'!$B$7)*B2499)</f>
        <v>96.8027136095019</v>
      </c>
      <c r="E2499" s="18" t="n">
        <f aca="false">EXP(-'Black-Scholes'!$B$8*'Black-Scholes'!$B$7)*IF(LOWER('Black-Scholes'!$B$11)="put",MAX('Black-Scholes'!$B$6-C2499,0),MAX(C2499-'Black-Scholes'!$B$6,0))</f>
        <v>9.21815806480341</v>
      </c>
      <c r="F2499" s="18" t="n">
        <f aca="false">(E2499+G2499)/2</f>
        <v>4.60907903240171</v>
      </c>
      <c r="G2499" s="18" t="n">
        <f aca="false">EXP(-'Black-Scholes'!$B$8*'Black-Scholes'!$B$7)*IF(LOWER('Black-Scholes'!$B$11)="put",MAX('Black-Scholes'!$B$6-D2499,0),MAX(D2499-'Black-Scholes'!$B$6,0))</f>
        <v>0</v>
      </c>
    </row>
    <row r="2500" customFormat="false" ht="15" hidden="false" customHeight="false" outlineLevel="0" collapsed="false">
      <c r="A2500" s="0" t="n">
        <v>2489</v>
      </c>
      <c r="B2500" s="15" t="n">
        <v>0.646839694560196</v>
      </c>
      <c r="C2500" s="18" t="n">
        <f aca="false">'Black-Scholes'!$B$5*EXP(('Black-Scholes'!$B$8-'Black-Scholes'!$B$10-'Black-Scholes'!$B$9^2/2)*'Black-Scholes'!$B$7+'Black-Scholes'!$B$9*SQRT('Black-Scholes'!$B$7)*B2500)</f>
        <v>117.276937479409</v>
      </c>
      <c r="D2500" s="18" t="n">
        <f aca="false">'Black-Scholes'!$B$5*EXP(('Black-Scholes'!$B$8-'Black-Scholes'!$B$10-'Black-Scholes'!$B$9^2/2)*'Black-Scholes'!$B$7-'Black-Scholes'!$B$9*SQRT('Black-Scholes'!$B$7)*B2500)</f>
        <v>90.5409511338743</v>
      </c>
      <c r="E2500" s="18" t="n">
        <f aca="false">EXP(-'Black-Scholes'!$B$8*'Black-Scholes'!$B$7)*IF(LOWER('Black-Scholes'!$B$11)="put",MAX('Black-Scholes'!$B$6-C2500,0),MAX(C2500-'Black-Scholes'!$B$6,0))</f>
        <v>16.434331295673</v>
      </c>
      <c r="F2500" s="18" t="n">
        <f aca="false">(E2500+G2500)/2</f>
        <v>8.21716564783651</v>
      </c>
      <c r="G2500" s="18" t="n">
        <f aca="false">EXP(-'Black-Scholes'!$B$8*'Black-Scholes'!$B$7)*IF(LOWER('Black-Scholes'!$B$11)="put",MAX('Black-Scholes'!$B$6-D2500,0),MAX(D2500-'Black-Scholes'!$B$6,0))</f>
        <v>0</v>
      </c>
    </row>
    <row r="2501" customFormat="false" ht="15" hidden="false" customHeight="false" outlineLevel="0" collapsed="false">
      <c r="A2501" s="0" t="n">
        <v>2490</v>
      </c>
      <c r="B2501" s="15" t="n">
        <v>-0.040759856319129</v>
      </c>
      <c r="C2501" s="18" t="n">
        <f aca="false">'Black-Scholes'!$B$5*EXP(('Black-Scholes'!$B$8-'Black-Scholes'!$B$10-'Black-Scholes'!$B$9^2/2)*'Black-Scholes'!$B$7+'Black-Scholes'!$B$9*SQRT('Black-Scholes'!$B$7)*B2501)</f>
        <v>102.208844459447</v>
      </c>
      <c r="D2501" s="18" t="n">
        <f aca="false">'Black-Scholes'!$B$5*EXP(('Black-Scholes'!$B$8-'Black-Scholes'!$B$10-'Black-Scholes'!$B$9^2/2)*'Black-Scholes'!$B$7-'Black-Scholes'!$B$9*SQRT('Black-Scholes'!$B$7)*B2501)</f>
        <v>103.888910217223</v>
      </c>
      <c r="E2501" s="18" t="n">
        <f aca="false">EXP(-'Black-Scholes'!$B$8*'Black-Scholes'!$B$7)*IF(LOWER('Black-Scholes'!$B$11)="put",MAX('Black-Scholes'!$B$6-C2501,0),MAX(C2501-'Black-Scholes'!$B$6,0))</f>
        <v>2.10111784397153</v>
      </c>
      <c r="F2501" s="18" t="n">
        <f aca="false">(E2501+G2501)/2</f>
        <v>2.90018183591765</v>
      </c>
      <c r="G2501" s="18" t="n">
        <f aca="false">EXP(-'Black-Scholes'!$B$8*'Black-Scholes'!$B$7)*IF(LOWER('Black-Scholes'!$B$11)="put",MAX('Black-Scholes'!$B$6-D2501,0),MAX(D2501-'Black-Scholes'!$B$6,0))</f>
        <v>3.69924582786376</v>
      </c>
    </row>
    <row r="2502" customFormat="false" ht="15" hidden="false" customHeight="false" outlineLevel="0" collapsed="false">
      <c r="A2502" s="0" t="n">
        <v>2491</v>
      </c>
      <c r="B2502" s="15" t="n">
        <v>-0.0323484791543474</v>
      </c>
      <c r="C2502" s="18" t="n">
        <f aca="false">'Black-Scholes'!$B$5*EXP(('Black-Scholes'!$B$8-'Black-Scholes'!$B$10-'Black-Scholes'!$B$9^2/2)*'Black-Scholes'!$B$7+'Black-Scholes'!$B$9*SQRT('Black-Scholes'!$B$7)*B2502)</f>
        <v>102.38093259675</v>
      </c>
      <c r="D2502" s="18" t="n">
        <f aca="false">'Black-Scholes'!$B$5*EXP(('Black-Scholes'!$B$8-'Black-Scholes'!$B$10-'Black-Scholes'!$B$9^2/2)*'Black-Scholes'!$B$7-'Black-Scholes'!$B$9*SQRT('Black-Scholes'!$B$7)*B2502)</f>
        <v>103.714287378846</v>
      </c>
      <c r="E2502" s="18" t="n">
        <f aca="false">EXP(-'Black-Scholes'!$B$8*'Black-Scholes'!$B$7)*IF(LOWER('Black-Scholes'!$B$11)="put",MAX('Black-Scholes'!$B$6-C2502,0),MAX(C2502-'Black-Scholes'!$B$6,0))</f>
        <v>2.26481314378164</v>
      </c>
      <c r="F2502" s="18" t="n">
        <f aca="false">(E2502+G2502)/2</f>
        <v>2.89897629479573</v>
      </c>
      <c r="G2502" s="18" t="n">
        <f aca="false">EXP(-'Black-Scholes'!$B$8*'Black-Scholes'!$B$7)*IF(LOWER('Black-Scholes'!$B$11)="put",MAX('Black-Scholes'!$B$6-D2502,0),MAX(D2502-'Black-Scholes'!$B$6,0))</f>
        <v>3.53313944580982</v>
      </c>
    </row>
    <row r="2503" customFormat="false" ht="15" hidden="false" customHeight="false" outlineLevel="0" collapsed="false">
      <c r="A2503" s="0" t="n">
        <v>2492</v>
      </c>
      <c r="B2503" s="15" t="n">
        <v>1.11520441200108</v>
      </c>
      <c r="C2503" s="18" t="n">
        <f aca="false">'Black-Scholes'!$B$5*EXP(('Black-Scholes'!$B$8-'Black-Scholes'!$B$10-'Black-Scholes'!$B$9^2/2)*'Black-Scholes'!$B$7+'Black-Scholes'!$B$9*SQRT('Black-Scholes'!$B$7)*B2503)</f>
        <v>128.793592967047</v>
      </c>
      <c r="D2503" s="18" t="n">
        <f aca="false">'Black-Scholes'!$B$5*EXP(('Black-Scholes'!$B$8-'Black-Scholes'!$B$10-'Black-Scholes'!$B$9^2/2)*'Black-Scholes'!$B$7-'Black-Scholes'!$B$9*SQRT('Black-Scholes'!$B$7)*B2503)</f>
        <v>82.4448268026069</v>
      </c>
      <c r="E2503" s="18" t="n">
        <f aca="false">EXP(-'Black-Scholes'!$B$8*'Black-Scholes'!$B$7)*IF(LOWER('Black-Scholes'!$B$11)="put",MAX('Black-Scholes'!$B$6-C2503,0),MAX(C2503-'Black-Scholes'!$B$6,0))</f>
        <v>27.3893128673515</v>
      </c>
      <c r="F2503" s="18" t="n">
        <f aca="false">(E2503+G2503)/2</f>
        <v>13.6946564336757</v>
      </c>
      <c r="G2503" s="18" t="n">
        <f aca="false">EXP(-'Black-Scholes'!$B$8*'Black-Scholes'!$B$7)*IF(LOWER('Black-Scholes'!$B$11)="put",MAX('Black-Scholes'!$B$6-D2503,0),MAX(D2503-'Black-Scholes'!$B$6,0))</f>
        <v>0</v>
      </c>
    </row>
    <row r="2504" customFormat="false" ht="15" hidden="false" customHeight="false" outlineLevel="0" collapsed="false">
      <c r="A2504" s="0" t="n">
        <v>2493</v>
      </c>
      <c r="B2504" s="15" t="n">
        <v>-0.929963512598062</v>
      </c>
      <c r="C2504" s="18" t="n">
        <f aca="false">'Black-Scholes'!$B$5*EXP(('Black-Scholes'!$B$8-'Black-Scholes'!$B$10-'Black-Scholes'!$B$9^2/2)*'Black-Scholes'!$B$7+'Black-Scholes'!$B$9*SQRT('Black-Scholes'!$B$7)*B2504)</f>
        <v>85.5565433820211</v>
      </c>
      <c r="D2504" s="18" t="n">
        <f aca="false">'Black-Scholes'!$B$5*EXP(('Black-Scholes'!$B$8-'Black-Scholes'!$B$10-'Black-Scholes'!$B$9^2/2)*'Black-Scholes'!$B$7-'Black-Scholes'!$B$9*SQRT('Black-Scholes'!$B$7)*B2504)</f>
        <v>124.109332211345</v>
      </c>
      <c r="E2504" s="18" t="n">
        <f aca="false">EXP(-'Black-Scholes'!$B$8*'Black-Scholes'!$B$7)*IF(LOWER('Black-Scholes'!$B$11)="put",MAX('Black-Scholes'!$B$6-C2504,0),MAX(C2504-'Black-Scholes'!$B$6,0))</f>
        <v>0</v>
      </c>
      <c r="F2504" s="18" t="n">
        <f aca="false">(E2504+G2504)/2</f>
        <v>11.466753102247</v>
      </c>
      <c r="G2504" s="18" t="n">
        <f aca="false">EXP(-'Black-Scholes'!$B$8*'Black-Scholes'!$B$7)*IF(LOWER('Black-Scholes'!$B$11)="put",MAX('Black-Scholes'!$B$6-D2504,0),MAX(D2504-'Black-Scholes'!$B$6,0))</f>
        <v>22.9335062044941</v>
      </c>
    </row>
    <row r="2505" customFormat="false" ht="15" hidden="false" customHeight="false" outlineLevel="0" collapsed="false">
      <c r="A2505" s="0" t="n">
        <v>2494</v>
      </c>
      <c r="B2505" s="15" t="n">
        <v>0.488570386378814</v>
      </c>
      <c r="C2505" s="18" t="n">
        <f aca="false">'Black-Scholes'!$B$5*EXP(('Black-Scholes'!$B$8-'Black-Scholes'!$B$10-'Black-Scholes'!$B$9^2/2)*'Black-Scholes'!$B$7+'Black-Scholes'!$B$9*SQRT('Black-Scholes'!$B$7)*B2505)</f>
        <v>113.622808281949</v>
      </c>
      <c r="D2505" s="18" t="n">
        <f aca="false">'Black-Scholes'!$B$5*EXP(('Black-Scholes'!$B$8-'Black-Scholes'!$B$10-'Black-Scholes'!$B$9^2/2)*'Black-Scholes'!$B$7-'Black-Scholes'!$B$9*SQRT('Black-Scholes'!$B$7)*B2505)</f>
        <v>93.4527638069345</v>
      </c>
      <c r="E2505" s="18" t="n">
        <f aca="false">EXP(-'Black-Scholes'!$B$8*'Black-Scholes'!$B$7)*IF(LOWER('Black-Scholes'!$B$11)="put",MAX('Black-Scholes'!$B$6-C2505,0),MAX(C2505-'Black-Scholes'!$B$6,0))</f>
        <v>12.958416082122</v>
      </c>
      <c r="F2505" s="18" t="n">
        <f aca="false">(E2505+G2505)/2</f>
        <v>6.479208041061</v>
      </c>
      <c r="G2505" s="18" t="n">
        <f aca="false">EXP(-'Black-Scholes'!$B$8*'Black-Scholes'!$B$7)*IF(LOWER('Black-Scholes'!$B$11)="put",MAX('Black-Scholes'!$B$6-D2505,0),MAX(D2505-'Black-Scholes'!$B$6,0))</f>
        <v>0</v>
      </c>
    </row>
    <row r="2506" customFormat="false" ht="15" hidden="false" customHeight="false" outlineLevel="0" collapsed="false">
      <c r="A2506" s="0" t="n">
        <v>2495</v>
      </c>
      <c r="B2506" s="15" t="n">
        <v>-0.158314378721723</v>
      </c>
      <c r="C2506" s="18" t="n">
        <f aca="false">'Black-Scholes'!$B$5*EXP(('Black-Scholes'!$B$8-'Black-Scholes'!$B$10-'Black-Scholes'!$B$9^2/2)*'Black-Scholes'!$B$7+'Black-Scholes'!$B$9*SQRT('Black-Scholes'!$B$7)*B2506)</f>
        <v>99.8338506067493</v>
      </c>
      <c r="D2506" s="18" t="n">
        <f aca="false">'Black-Scholes'!$B$5*EXP(('Black-Scholes'!$B$8-'Black-Scholes'!$B$10-'Black-Scholes'!$B$9^2/2)*'Black-Scholes'!$B$7-'Black-Scholes'!$B$9*SQRT('Black-Scholes'!$B$7)*B2506)</f>
        <v>106.360371766886</v>
      </c>
      <c r="E2506" s="18" t="n">
        <f aca="false">EXP(-'Black-Scholes'!$B$8*'Black-Scholes'!$B$7)*IF(LOWER('Black-Scholes'!$B$11)="put",MAX('Black-Scholes'!$B$6-C2506,0),MAX(C2506-'Black-Scholes'!$B$6,0))</f>
        <v>0</v>
      </c>
      <c r="F2506" s="18" t="n">
        <f aca="false">(E2506+G2506)/2</f>
        <v>3.02508638771271</v>
      </c>
      <c r="G2506" s="18" t="n">
        <f aca="false">EXP(-'Black-Scholes'!$B$8*'Black-Scholes'!$B$7)*IF(LOWER('Black-Scholes'!$B$11)="put",MAX('Black-Scholes'!$B$6-D2506,0),MAX(D2506-'Black-Scholes'!$B$6,0))</f>
        <v>6.05017277542543</v>
      </c>
    </row>
    <row r="2507" customFormat="false" ht="15" hidden="false" customHeight="false" outlineLevel="0" collapsed="false">
      <c r="A2507" s="0" t="n">
        <v>2496</v>
      </c>
      <c r="B2507" s="15" t="n">
        <v>1.06272729790183</v>
      </c>
      <c r="C2507" s="18" t="n">
        <f aca="false">'Black-Scholes'!$B$5*EXP(('Black-Scholes'!$B$8-'Black-Scholes'!$B$10-'Black-Scholes'!$B$9^2/2)*'Black-Scholes'!$B$7+'Black-Scholes'!$B$9*SQRT('Black-Scholes'!$B$7)*B2507)</f>
        <v>127.448918559008</v>
      </c>
      <c r="D2507" s="18" t="n">
        <f aca="false">'Black-Scholes'!$B$5*EXP(('Black-Scholes'!$B$8-'Black-Scholes'!$B$10-'Black-Scholes'!$B$9^2/2)*'Black-Scholes'!$B$7-'Black-Scholes'!$B$9*SQRT('Black-Scholes'!$B$7)*B2507)</f>
        <v>83.3146768564957</v>
      </c>
      <c r="E2507" s="18" t="n">
        <f aca="false">EXP(-'Black-Scholes'!$B$8*'Black-Scholes'!$B$7)*IF(LOWER('Black-Scholes'!$B$11)="put",MAX('Black-Scholes'!$B$6-C2507,0),MAX(C2507-'Black-Scholes'!$B$6,0))</f>
        <v>26.1102190040523</v>
      </c>
      <c r="F2507" s="18" t="n">
        <f aca="false">(E2507+G2507)/2</f>
        <v>13.0551095020261</v>
      </c>
      <c r="G2507" s="18" t="n">
        <f aca="false">EXP(-'Black-Scholes'!$B$8*'Black-Scholes'!$B$7)*IF(LOWER('Black-Scholes'!$B$11)="put",MAX('Black-Scholes'!$B$6-D2507,0),MAX(D2507-'Black-Scholes'!$B$6,0))</f>
        <v>0</v>
      </c>
    </row>
    <row r="2508" customFormat="false" ht="15" hidden="false" customHeight="false" outlineLevel="0" collapsed="false">
      <c r="A2508" s="0" t="n">
        <v>2497</v>
      </c>
      <c r="B2508" s="15" t="n">
        <v>-1.77645925086915</v>
      </c>
      <c r="C2508" s="18" t="n">
        <f aca="false">'Black-Scholes'!$B$5*EXP(('Black-Scholes'!$B$8-'Black-Scholes'!$B$10-'Black-Scholes'!$B$9^2/2)*'Black-Scholes'!$B$7+'Black-Scholes'!$B$9*SQRT('Black-Scholes'!$B$7)*B2508)</f>
        <v>72.2316514676506</v>
      </c>
      <c r="D2508" s="18" t="n">
        <f aca="false">'Black-Scholes'!$B$5*EXP(('Black-Scholes'!$B$8-'Black-Scholes'!$B$10-'Black-Scholes'!$B$9^2/2)*'Black-Scholes'!$B$7-'Black-Scholes'!$B$9*SQRT('Black-Scholes'!$B$7)*B2508)</f>
        <v>147.004329123073</v>
      </c>
      <c r="E2508" s="18" t="n">
        <f aca="false">EXP(-'Black-Scholes'!$B$8*'Black-Scholes'!$B$7)*IF(LOWER('Black-Scholes'!$B$11)="put",MAX('Black-Scholes'!$B$6-C2508,0),MAX(C2508-'Black-Scholes'!$B$6,0))</f>
        <v>0</v>
      </c>
      <c r="F2508" s="18" t="n">
        <f aca="false">(E2508+G2508)/2</f>
        <v>22.3559504703914</v>
      </c>
      <c r="G2508" s="18" t="n">
        <f aca="false">EXP(-'Black-Scholes'!$B$8*'Black-Scholes'!$B$7)*IF(LOWER('Black-Scholes'!$B$11)="put",MAX('Black-Scholes'!$B$6-D2508,0),MAX(D2508-'Black-Scholes'!$B$6,0))</f>
        <v>44.7119009407828</v>
      </c>
    </row>
    <row r="2509" customFormat="false" ht="15" hidden="false" customHeight="false" outlineLevel="0" collapsed="false">
      <c r="A2509" s="0" t="n">
        <v>2498</v>
      </c>
      <c r="B2509" s="15" t="n">
        <v>-0.725382553526069</v>
      </c>
      <c r="C2509" s="18" t="n">
        <f aca="false">'Black-Scholes'!$B$5*EXP(('Black-Scholes'!$B$8-'Black-Scholes'!$B$10-'Black-Scholes'!$B$9^2/2)*'Black-Scholes'!$B$7+'Black-Scholes'!$B$9*SQRT('Black-Scholes'!$B$7)*B2509)</f>
        <v>89.129794746347</v>
      </c>
      <c r="D2509" s="18" t="n">
        <f aca="false">'Black-Scholes'!$B$5*EXP(('Black-Scholes'!$B$8-'Black-Scholes'!$B$10-'Black-Scholes'!$B$9^2/2)*'Black-Scholes'!$B$7-'Black-Scholes'!$B$9*SQRT('Black-Scholes'!$B$7)*B2509)</f>
        <v>119.133736318727</v>
      </c>
      <c r="E2509" s="18" t="n">
        <f aca="false">EXP(-'Black-Scholes'!$B$8*'Black-Scholes'!$B$7)*IF(LOWER('Black-Scholes'!$B$11)="put",MAX('Black-Scholes'!$B$6-C2509,0),MAX(C2509-'Black-Scholes'!$B$6,0))</f>
        <v>0</v>
      </c>
      <c r="F2509" s="18" t="n">
        <f aca="false">(E2509+G2509)/2</f>
        <v>9.10028649350575</v>
      </c>
      <c r="G2509" s="18" t="n">
        <f aca="false">EXP(-'Black-Scholes'!$B$8*'Black-Scholes'!$B$7)*IF(LOWER('Black-Scholes'!$B$11)="put",MAX('Black-Scholes'!$B$6-D2509,0),MAX(D2509-'Black-Scholes'!$B$6,0))</f>
        <v>18.2005729870115</v>
      </c>
    </row>
    <row r="2510" customFormat="false" ht="15" hidden="false" customHeight="false" outlineLevel="0" collapsed="false">
      <c r="A2510" s="0" t="n">
        <v>2499</v>
      </c>
      <c r="B2510" s="15" t="n">
        <v>-1.155192451525</v>
      </c>
      <c r="C2510" s="18" t="n">
        <f aca="false">'Black-Scholes'!$B$5*EXP(('Black-Scholes'!$B$8-'Black-Scholes'!$B$10-'Black-Scholes'!$B$9^2/2)*'Black-Scholes'!$B$7+'Black-Scholes'!$B$9*SQRT('Black-Scholes'!$B$7)*B2510)</f>
        <v>81.7880950460769</v>
      </c>
      <c r="D2510" s="18" t="n">
        <f aca="false">'Black-Scholes'!$B$5*EXP(('Black-Scholes'!$B$8-'Black-Scholes'!$B$10-'Black-Scholes'!$B$9^2/2)*'Black-Scholes'!$B$7-'Black-Scholes'!$B$9*SQRT('Black-Scholes'!$B$7)*B2510)</f>
        <v>129.827763557417</v>
      </c>
      <c r="E2510" s="18" t="n">
        <f aca="false">EXP(-'Black-Scholes'!$B$8*'Black-Scholes'!$B$7)*IF(LOWER('Black-Scholes'!$B$11)="put",MAX('Black-Scholes'!$B$6-C2510,0),MAX(C2510-'Black-Scholes'!$B$6,0))</f>
        <v>0</v>
      </c>
      <c r="F2510" s="18" t="n">
        <f aca="false">(E2510+G2510)/2</f>
        <v>14.1865231814325</v>
      </c>
      <c r="G2510" s="18" t="n">
        <f aca="false">EXP(-'Black-Scholes'!$B$8*'Black-Scholes'!$B$7)*IF(LOWER('Black-Scholes'!$B$11)="put",MAX('Black-Scholes'!$B$6-D2510,0),MAX(D2510-'Black-Scholes'!$B$6,0))</f>
        <v>28.3730463628649</v>
      </c>
    </row>
    <row r="2511" customFormat="false" ht="15" hidden="false" customHeight="false" outlineLevel="0" collapsed="false">
      <c r="A2511" s="0" t="n">
        <v>2500</v>
      </c>
      <c r="B2511" s="15" t="n">
        <v>-0.332736250164533</v>
      </c>
      <c r="C2511" s="18" t="n">
        <f aca="false">'Black-Scholes'!$B$5*EXP(('Black-Scholes'!$B$8-'Black-Scholes'!$B$10-'Black-Scholes'!$B$9^2/2)*'Black-Scholes'!$B$7+'Black-Scholes'!$B$9*SQRT('Black-Scholes'!$B$7)*B2511)</f>
        <v>96.4112538470916</v>
      </c>
      <c r="D2511" s="18" t="n">
        <f aca="false">'Black-Scholes'!$B$5*EXP(('Black-Scholes'!$B$8-'Black-Scholes'!$B$10-'Black-Scholes'!$B$9^2/2)*'Black-Scholes'!$B$7-'Black-Scholes'!$B$9*SQRT('Black-Scholes'!$B$7)*B2511)</f>
        <v>110.136161928714</v>
      </c>
      <c r="E2511" s="18" t="n">
        <f aca="false">EXP(-'Black-Scholes'!$B$8*'Black-Scholes'!$B$7)*IF(LOWER('Black-Scholes'!$B$11)="put",MAX('Black-Scholes'!$B$6-C2511,0),MAX(C2511-'Black-Scholes'!$B$6,0))</f>
        <v>0</v>
      </c>
      <c r="F2511" s="18" t="n">
        <f aca="false">(E2511+G2511)/2</f>
        <v>4.82090773904815</v>
      </c>
      <c r="G2511" s="18" t="n">
        <f aca="false">EXP(-'Black-Scholes'!$B$8*'Black-Scholes'!$B$7)*IF(LOWER('Black-Scholes'!$B$11)="put",MAX('Black-Scholes'!$B$6-D2511,0),MAX(D2511-'Black-Scholes'!$B$6,0))</f>
        <v>9.64181547809629</v>
      </c>
    </row>
    <row r="2512" customFormat="false" ht="15" hidden="false" customHeight="false" outlineLevel="0" collapsed="false">
      <c r="A2512" s="0" t="n">
        <v>2501</v>
      </c>
      <c r="B2512" s="15" t="n">
        <v>1.86238315608304</v>
      </c>
      <c r="C2512" s="18" t="n">
        <f aca="false">'Black-Scholes'!$B$5*EXP(('Black-Scholes'!$B$8-'Black-Scholes'!$B$10-'Black-Scholes'!$B$9^2/2)*'Black-Scholes'!$B$7+'Black-Scholes'!$B$9*SQRT('Black-Scholes'!$B$7)*B2512)</f>
        <v>149.552397624073</v>
      </c>
      <c r="D2512" s="18" t="n">
        <f aca="false">'Black-Scholes'!$B$5*EXP(('Black-Scholes'!$B$8-'Black-Scholes'!$B$10-'Black-Scholes'!$B$9^2/2)*'Black-Scholes'!$B$7-'Black-Scholes'!$B$9*SQRT('Black-Scholes'!$B$7)*B2512)</f>
        <v>71.0009711254833</v>
      </c>
      <c r="E2512" s="18" t="n">
        <f aca="false">EXP(-'Black-Scholes'!$B$8*'Black-Scholes'!$B$7)*IF(LOWER('Black-Scholes'!$B$11)="put",MAX('Black-Scholes'!$B$6-C2512,0),MAX(C2512-'Black-Scholes'!$B$6,0))</f>
        <v>47.1356986745775</v>
      </c>
      <c r="F2512" s="18" t="n">
        <f aca="false">(E2512+G2512)/2</f>
        <v>23.5678493372888</v>
      </c>
      <c r="G2512" s="18" t="n">
        <f aca="false">EXP(-'Black-Scholes'!$B$8*'Black-Scholes'!$B$7)*IF(LOWER('Black-Scholes'!$B$11)="put",MAX('Black-Scholes'!$B$6-D2512,0),MAX(D2512-'Black-Scholes'!$B$6,0))</f>
        <v>0</v>
      </c>
    </row>
    <row r="2513" customFormat="false" ht="15" hidden="false" customHeight="false" outlineLevel="0" collapsed="false">
      <c r="A2513" s="0" t="n">
        <v>2502</v>
      </c>
      <c r="B2513" s="15" t="n">
        <v>-0.43535553009844</v>
      </c>
      <c r="C2513" s="18" t="n">
        <f aca="false">'Black-Scholes'!$B$5*EXP(('Black-Scholes'!$B$8-'Black-Scholes'!$B$10-'Black-Scholes'!$B$9^2/2)*'Black-Scholes'!$B$7+'Black-Scholes'!$B$9*SQRT('Black-Scholes'!$B$7)*B2513)</f>
        <v>94.4526905429938</v>
      </c>
      <c r="D2513" s="18" t="n">
        <f aca="false">'Black-Scholes'!$B$5*EXP(('Black-Scholes'!$B$8-'Black-Scholes'!$B$10-'Black-Scholes'!$B$9^2/2)*'Black-Scholes'!$B$7-'Black-Scholes'!$B$9*SQRT('Black-Scholes'!$B$7)*B2513)</f>
        <v>112.419936419071</v>
      </c>
      <c r="E2513" s="18" t="n">
        <f aca="false">EXP(-'Black-Scholes'!$B$8*'Black-Scholes'!$B$7)*IF(LOWER('Black-Scholes'!$B$11)="put",MAX('Black-Scholes'!$B$6-C2513,0),MAX(C2513-'Black-Scholes'!$B$6,0))</f>
        <v>0</v>
      </c>
      <c r="F2513" s="18" t="n">
        <f aca="false">(E2513+G2513)/2</f>
        <v>5.9071044861244</v>
      </c>
      <c r="G2513" s="18" t="n">
        <f aca="false">EXP(-'Black-Scholes'!$B$8*'Black-Scholes'!$B$7)*IF(LOWER('Black-Scholes'!$B$11)="put",MAX('Black-Scholes'!$B$6-D2513,0),MAX(D2513-'Black-Scholes'!$B$6,0))</f>
        <v>11.8142089722488</v>
      </c>
    </row>
    <row r="2514" customFormat="false" ht="15" hidden="false" customHeight="false" outlineLevel="0" collapsed="false">
      <c r="A2514" s="0" t="n">
        <v>2503</v>
      </c>
      <c r="B2514" s="15" t="n">
        <v>-1.32088282877761</v>
      </c>
      <c r="C2514" s="18" t="n">
        <f aca="false">'Black-Scholes'!$B$5*EXP(('Black-Scholes'!$B$8-'Black-Scholes'!$B$10-'Black-Scholes'!$B$9^2/2)*'Black-Scholes'!$B$7+'Black-Scholes'!$B$9*SQRT('Black-Scholes'!$B$7)*B2514)</f>
        <v>79.1222100833481</v>
      </c>
      <c r="D2514" s="18" t="n">
        <f aca="false">'Black-Scholes'!$B$5*EXP(('Black-Scholes'!$B$8-'Black-Scholes'!$B$10-'Black-Scholes'!$B$9^2/2)*'Black-Scholes'!$B$7-'Black-Scholes'!$B$9*SQRT('Black-Scholes'!$B$7)*B2514)</f>
        <v>134.202083767227</v>
      </c>
      <c r="E2514" s="18" t="n">
        <f aca="false">EXP(-'Black-Scholes'!$B$8*'Black-Scholes'!$B$7)*IF(LOWER('Black-Scholes'!$B$11)="put",MAX('Black-Scholes'!$B$6-C2514,0),MAX(C2514-'Black-Scholes'!$B$6,0))</f>
        <v>0</v>
      </c>
      <c r="F2514" s="18" t="n">
        <f aca="false">(E2514+G2514)/2</f>
        <v>16.2670142293122</v>
      </c>
      <c r="G2514" s="18" t="n">
        <f aca="false">EXP(-'Black-Scholes'!$B$8*'Black-Scholes'!$B$7)*IF(LOWER('Black-Scholes'!$B$11)="put",MAX('Black-Scholes'!$B$6-D2514,0),MAX(D2514-'Black-Scholes'!$B$6,0))</f>
        <v>32.5340284586244</v>
      </c>
    </row>
    <row r="2515" customFormat="false" ht="15" hidden="false" customHeight="false" outlineLevel="0" collapsed="false">
      <c r="A2515" s="0" t="n">
        <v>2504</v>
      </c>
      <c r="B2515" s="15" t="n">
        <v>-0.542649527106617</v>
      </c>
      <c r="C2515" s="18" t="n">
        <f aca="false">'Black-Scholes'!$B$5*EXP(('Black-Scholes'!$B$8-'Black-Scholes'!$B$10-'Black-Scholes'!$B$9^2/2)*'Black-Scholes'!$B$7+'Black-Scholes'!$B$9*SQRT('Black-Scholes'!$B$7)*B2515)</f>
        <v>92.4474412721339</v>
      </c>
      <c r="D2515" s="18" t="n">
        <f aca="false">'Black-Scholes'!$B$5*EXP(('Black-Scholes'!$B$8-'Black-Scholes'!$B$10-'Black-Scholes'!$B$9^2/2)*'Black-Scholes'!$B$7-'Black-Scholes'!$B$9*SQRT('Black-Scholes'!$B$7)*B2515)</f>
        <v>114.858402994592</v>
      </c>
      <c r="E2515" s="18" t="n">
        <f aca="false">EXP(-'Black-Scholes'!$B$8*'Black-Scholes'!$B$7)*IF(LOWER('Black-Scholes'!$B$11)="put",MAX('Black-Scholes'!$B$6-C2515,0),MAX(C2515-'Black-Scholes'!$B$6,0))</f>
        <v>0</v>
      </c>
      <c r="F2515" s="18" t="n">
        <f aca="false">(E2515+G2515)/2</f>
        <v>7.06687506477251</v>
      </c>
      <c r="G2515" s="18" t="n">
        <f aca="false">EXP(-'Black-Scholes'!$B$8*'Black-Scholes'!$B$7)*IF(LOWER('Black-Scholes'!$B$11)="put",MAX('Black-Scholes'!$B$6-D2515,0),MAX(D2515-'Black-Scholes'!$B$6,0))</f>
        <v>14.133750129545</v>
      </c>
    </row>
    <row r="2516" customFormat="false" ht="15" hidden="false" customHeight="false" outlineLevel="0" collapsed="false">
      <c r="A2516" s="0" t="n">
        <v>2505</v>
      </c>
      <c r="B2516" s="15" t="n">
        <v>-0.657234101700152</v>
      </c>
      <c r="C2516" s="18" t="n">
        <f aca="false">'Black-Scholes'!$B$5*EXP(('Black-Scholes'!$B$8-'Black-Scholes'!$B$10-'Black-Scholes'!$B$9^2/2)*'Black-Scholes'!$B$7+'Black-Scholes'!$B$9*SQRT('Black-Scholes'!$B$7)*B2516)</f>
        <v>90.3529227441707</v>
      </c>
      <c r="D2516" s="18" t="n">
        <f aca="false">'Black-Scholes'!$B$5*EXP(('Black-Scholes'!$B$8-'Black-Scholes'!$B$10-'Black-Scholes'!$B$9^2/2)*'Black-Scholes'!$B$7-'Black-Scholes'!$B$9*SQRT('Black-Scholes'!$B$7)*B2516)</f>
        <v>117.520995923053</v>
      </c>
      <c r="E2516" s="18" t="n">
        <f aca="false">EXP(-'Black-Scholes'!$B$8*'Black-Scholes'!$B$7)*IF(LOWER('Black-Scholes'!$B$11)="put",MAX('Black-Scholes'!$B$6-C2516,0),MAX(C2516-'Black-Scholes'!$B$6,0))</f>
        <v>0</v>
      </c>
      <c r="F2516" s="18" t="n">
        <f aca="false">(E2516+G2516)/2</f>
        <v>8.3332434342825</v>
      </c>
      <c r="G2516" s="18" t="n">
        <f aca="false">EXP(-'Black-Scholes'!$B$8*'Black-Scholes'!$B$7)*IF(LOWER('Black-Scholes'!$B$11)="put",MAX('Black-Scholes'!$B$6-D2516,0),MAX(D2516-'Black-Scholes'!$B$6,0))</f>
        <v>16.666486868565</v>
      </c>
    </row>
    <row r="2517" customFormat="false" ht="15" hidden="false" customHeight="false" outlineLevel="0" collapsed="false">
      <c r="A2517" s="0" t="n">
        <v>2506</v>
      </c>
      <c r="B2517" s="15" t="n">
        <v>0.310265594487611</v>
      </c>
      <c r="C2517" s="18" t="n">
        <f aca="false">'Black-Scholes'!$B$5*EXP(('Black-Scholes'!$B$8-'Black-Scholes'!$B$10-'Black-Scholes'!$B$9^2/2)*'Black-Scholes'!$B$7+'Black-Scholes'!$B$9*SQRT('Black-Scholes'!$B$7)*B2517)</f>
        <v>109.642306131824</v>
      </c>
      <c r="D2517" s="18" t="n">
        <f aca="false">'Black-Scholes'!$B$5*EXP(('Black-Scholes'!$B$8-'Black-Scholes'!$B$10-'Black-Scholes'!$B$9^2/2)*'Black-Scholes'!$B$7-'Black-Scholes'!$B$9*SQRT('Black-Scholes'!$B$7)*B2517)</f>
        <v>96.8455137443668</v>
      </c>
      <c r="E2517" s="18" t="n">
        <f aca="false">EXP(-'Black-Scholes'!$B$8*'Black-Scholes'!$B$7)*IF(LOWER('Black-Scholes'!$B$11)="put",MAX('Black-Scholes'!$B$6-C2517,0),MAX(C2517-'Black-Scholes'!$B$6,0))</f>
        <v>9.17204531263431</v>
      </c>
      <c r="F2517" s="18" t="n">
        <f aca="false">(E2517+G2517)/2</f>
        <v>4.58602265631716</v>
      </c>
      <c r="G2517" s="18" t="n">
        <f aca="false">EXP(-'Black-Scholes'!$B$8*'Black-Scholes'!$B$7)*IF(LOWER('Black-Scholes'!$B$11)="put",MAX('Black-Scholes'!$B$6-D2517,0),MAX(D2517-'Black-Scholes'!$B$6,0))</f>
        <v>0</v>
      </c>
    </row>
    <row r="2518" customFormat="false" ht="15" hidden="false" customHeight="false" outlineLevel="0" collapsed="false">
      <c r="A2518" s="0" t="n">
        <v>2507</v>
      </c>
      <c r="B2518" s="15" t="n">
        <v>1.21240115238747</v>
      </c>
      <c r="C2518" s="18" t="n">
        <f aca="false">'Black-Scholes'!$B$5*EXP(('Black-Scholes'!$B$8-'Black-Scholes'!$B$10-'Black-Scholes'!$B$9^2/2)*'Black-Scholes'!$B$7+'Black-Scholes'!$B$9*SQRT('Black-Scholes'!$B$7)*B2518)</f>
        <v>131.3217496973</v>
      </c>
      <c r="D2518" s="18" t="n">
        <f aca="false">'Black-Scholes'!$B$5*EXP(('Black-Scholes'!$B$8-'Black-Scholes'!$B$10-'Black-Scholes'!$B$9^2/2)*'Black-Scholes'!$B$7-'Black-Scholes'!$B$9*SQRT('Black-Scholes'!$B$7)*B2518)</f>
        <v>80.8576301330832</v>
      </c>
      <c r="E2518" s="18" t="n">
        <f aca="false">EXP(-'Black-Scholes'!$B$8*'Black-Scholes'!$B$7)*IF(LOWER('Black-Scholes'!$B$11)="put",MAX('Black-Scholes'!$B$6-C2518,0),MAX(C2518-'Black-Scholes'!$B$6,0))</f>
        <v>29.7941699389179</v>
      </c>
      <c r="F2518" s="18" t="n">
        <f aca="false">(E2518+G2518)/2</f>
        <v>14.897084969459</v>
      </c>
      <c r="G2518" s="18" t="n">
        <f aca="false">EXP(-'Black-Scholes'!$B$8*'Black-Scholes'!$B$7)*IF(LOWER('Black-Scholes'!$B$11)="put",MAX('Black-Scholes'!$B$6-D2518,0),MAX(D2518-'Black-Scholes'!$B$6,0))</f>
        <v>0</v>
      </c>
    </row>
    <row r="2519" customFormat="false" ht="15" hidden="false" customHeight="false" outlineLevel="0" collapsed="false">
      <c r="A2519" s="0" t="n">
        <v>2508</v>
      </c>
      <c r="B2519" s="15" t="n">
        <v>-0.146724942238013</v>
      </c>
      <c r="C2519" s="18" t="n">
        <f aca="false">'Black-Scholes'!$B$5*EXP(('Black-Scholes'!$B$8-'Black-Scholes'!$B$10-'Black-Scholes'!$B$9^2/2)*'Black-Scholes'!$B$7+'Black-Scholes'!$B$9*SQRT('Black-Scholes'!$B$7)*B2519)</f>
        <v>100.065522611931</v>
      </c>
      <c r="D2519" s="18" t="n">
        <f aca="false">'Black-Scholes'!$B$5*EXP(('Black-Scholes'!$B$8-'Black-Scholes'!$B$10-'Black-Scholes'!$B$9^2/2)*'Black-Scholes'!$B$7-'Black-Scholes'!$B$9*SQRT('Black-Scholes'!$B$7)*B2519)</f>
        <v>106.114125907614</v>
      </c>
      <c r="E2519" s="18" t="n">
        <f aca="false">EXP(-'Black-Scholes'!$B$8*'Black-Scholes'!$B$7)*IF(LOWER('Black-Scholes'!$B$11)="put",MAX('Black-Scholes'!$B$6-C2519,0),MAX(C2519-'Black-Scholes'!$B$6,0))</f>
        <v>0.0623270364388696</v>
      </c>
      <c r="F2519" s="18" t="n">
        <f aca="false">(E2519+G2519)/2</f>
        <v>2.93913175243152</v>
      </c>
      <c r="G2519" s="18" t="n">
        <f aca="false">EXP(-'Black-Scholes'!$B$8*'Black-Scholes'!$B$7)*IF(LOWER('Black-Scholes'!$B$11)="put",MAX('Black-Scholes'!$B$6-D2519,0),MAX(D2519-'Black-Scholes'!$B$6,0))</f>
        <v>5.81593646842418</v>
      </c>
    </row>
    <row r="2520" customFormat="false" ht="15" hidden="false" customHeight="false" outlineLevel="0" collapsed="false">
      <c r="A2520" s="0" t="n">
        <v>2509</v>
      </c>
      <c r="B2520" s="15" t="n">
        <v>0.877312913584048</v>
      </c>
      <c r="C2520" s="18" t="n">
        <f aca="false">'Black-Scholes'!$B$5*EXP(('Black-Scholes'!$B$8-'Black-Scholes'!$B$10-'Black-Scholes'!$B$9^2/2)*'Black-Scholes'!$B$7+'Black-Scholes'!$B$9*SQRT('Black-Scholes'!$B$7)*B2520)</f>
        <v>122.809302819754</v>
      </c>
      <c r="D2520" s="18" t="n">
        <f aca="false">'Black-Scholes'!$B$5*EXP(('Black-Scholes'!$B$8-'Black-Scholes'!$B$10-'Black-Scholes'!$B$9^2/2)*'Black-Scholes'!$B$7-'Black-Scholes'!$B$9*SQRT('Black-Scholes'!$B$7)*B2520)</f>
        <v>86.4622241283958</v>
      </c>
      <c r="E2520" s="18" t="n">
        <f aca="false">EXP(-'Black-Scholes'!$B$8*'Black-Scholes'!$B$7)*IF(LOWER('Black-Scholes'!$B$11)="put",MAX('Black-Scholes'!$B$6-C2520,0),MAX(C2520-'Black-Scholes'!$B$6,0))</f>
        <v>21.6968799944971</v>
      </c>
      <c r="F2520" s="18" t="n">
        <f aca="false">(E2520+G2520)/2</f>
        <v>10.8484399972486</v>
      </c>
      <c r="G2520" s="18" t="n">
        <f aca="false">EXP(-'Black-Scholes'!$B$8*'Black-Scholes'!$B$7)*IF(LOWER('Black-Scholes'!$B$11)="put",MAX('Black-Scholes'!$B$6-D2520,0),MAX(D2520-'Black-Scholes'!$B$6,0))</f>
        <v>0</v>
      </c>
    </row>
    <row r="2521" customFormat="false" ht="15" hidden="false" customHeight="false" outlineLevel="0" collapsed="false">
      <c r="A2521" s="0" t="n">
        <v>2510</v>
      </c>
      <c r="B2521" s="15" t="n">
        <v>0.501231075714692</v>
      </c>
      <c r="C2521" s="18" t="n">
        <f aca="false">'Black-Scholes'!$B$5*EXP(('Black-Scholes'!$B$8-'Black-Scholes'!$B$10-'Black-Scholes'!$B$9^2/2)*'Black-Scholes'!$B$7+'Black-Scholes'!$B$9*SQRT('Black-Scholes'!$B$7)*B2521)</f>
        <v>113.910881463961</v>
      </c>
      <c r="D2521" s="18" t="n">
        <f aca="false">'Black-Scholes'!$B$5*EXP(('Black-Scholes'!$B$8-'Black-Scholes'!$B$10-'Black-Scholes'!$B$9^2/2)*'Black-Scholes'!$B$7-'Black-Scholes'!$B$9*SQRT('Black-Scholes'!$B$7)*B2521)</f>
        <v>93.2164278687727</v>
      </c>
      <c r="E2521" s="18" t="n">
        <f aca="false">EXP(-'Black-Scholes'!$B$8*'Black-Scholes'!$B$7)*IF(LOWER('Black-Scholes'!$B$11)="put",MAX('Black-Scholes'!$B$6-C2521,0),MAX(C2521-'Black-Scholes'!$B$6,0))</f>
        <v>13.2324397692609</v>
      </c>
      <c r="F2521" s="18" t="n">
        <f aca="false">(E2521+G2521)/2</f>
        <v>6.61621988463045</v>
      </c>
      <c r="G2521" s="18" t="n">
        <f aca="false">EXP(-'Black-Scholes'!$B$8*'Black-Scholes'!$B$7)*IF(LOWER('Black-Scholes'!$B$11)="put",MAX('Black-Scholes'!$B$6-D2521,0),MAX(D2521-'Black-Scholes'!$B$6,0))</f>
        <v>0</v>
      </c>
    </row>
    <row r="2522" customFormat="false" ht="15" hidden="false" customHeight="false" outlineLevel="0" collapsed="false">
      <c r="A2522" s="0" t="n">
        <v>2511</v>
      </c>
      <c r="B2522" s="15" t="n">
        <v>1.46224842372277</v>
      </c>
      <c r="C2522" s="18" t="n">
        <f aca="false">'Black-Scholes'!$B$5*EXP(('Black-Scholes'!$B$8-'Black-Scholes'!$B$10-'Black-Scholes'!$B$9^2/2)*'Black-Scholes'!$B$7+'Black-Scholes'!$B$9*SQRT('Black-Scholes'!$B$7)*B2522)</f>
        <v>138.05054286288</v>
      </c>
      <c r="D2522" s="18" t="n">
        <f aca="false">'Black-Scholes'!$B$5*EXP(('Black-Scholes'!$B$8-'Black-Scholes'!$B$10-'Black-Scholes'!$B$9^2/2)*'Black-Scholes'!$B$7-'Black-Scholes'!$B$9*SQRT('Black-Scholes'!$B$7)*B2522)</f>
        <v>76.916506413165</v>
      </c>
      <c r="E2522" s="18" t="n">
        <f aca="false">EXP(-'Black-Scholes'!$B$8*'Black-Scholes'!$B$7)*IF(LOWER('Black-Scholes'!$B$11)="put",MAX('Black-Scholes'!$B$6-C2522,0),MAX(C2522-'Black-Scholes'!$B$6,0))</f>
        <v>36.1947959893968</v>
      </c>
      <c r="F2522" s="18" t="n">
        <f aca="false">(E2522+G2522)/2</f>
        <v>18.0973979946984</v>
      </c>
      <c r="G2522" s="18" t="n">
        <f aca="false">EXP(-'Black-Scholes'!$B$8*'Black-Scholes'!$B$7)*IF(LOWER('Black-Scholes'!$B$11)="put",MAX('Black-Scholes'!$B$6-D2522,0),MAX(D2522-'Black-Scholes'!$B$6,0))</f>
        <v>0</v>
      </c>
    </row>
    <row r="2523" customFormat="false" ht="15" hidden="false" customHeight="false" outlineLevel="0" collapsed="false">
      <c r="A2523" s="0" t="n">
        <v>2512</v>
      </c>
      <c r="B2523" s="15" t="n">
        <v>0.348458069422627</v>
      </c>
      <c r="C2523" s="18" t="n">
        <f aca="false">'Black-Scholes'!$B$5*EXP(('Black-Scholes'!$B$8-'Black-Scholes'!$B$10-'Black-Scholes'!$B$9^2/2)*'Black-Scholes'!$B$7+'Black-Scholes'!$B$9*SQRT('Black-Scholes'!$B$7)*B2523)</f>
        <v>110.483015125587</v>
      </c>
      <c r="D2523" s="18" t="n">
        <f aca="false">'Black-Scholes'!$B$5*EXP(('Black-Scholes'!$B$8-'Black-Scholes'!$B$10-'Black-Scholes'!$B$9^2/2)*'Black-Scholes'!$B$7-'Black-Scholes'!$B$9*SQRT('Black-Scholes'!$B$7)*B2523)</f>
        <v>96.1085778966446</v>
      </c>
      <c r="E2523" s="18" t="n">
        <f aca="false">EXP(-'Black-Scholes'!$B$8*'Black-Scholes'!$B$7)*IF(LOWER('Black-Scholes'!$B$11)="put",MAX('Black-Scholes'!$B$6-C2523,0),MAX(C2523-'Black-Scholes'!$B$6,0))</f>
        <v>9.97175244494396</v>
      </c>
      <c r="F2523" s="18" t="n">
        <f aca="false">(E2523+G2523)/2</f>
        <v>4.98587622247198</v>
      </c>
      <c r="G2523" s="18" t="n">
        <f aca="false">EXP(-'Black-Scholes'!$B$8*'Black-Scholes'!$B$7)*IF(LOWER('Black-Scholes'!$B$11)="put",MAX('Black-Scholes'!$B$6-D2523,0),MAX(D2523-'Black-Scholes'!$B$6,0))</f>
        <v>0</v>
      </c>
    </row>
    <row r="2524" customFormat="false" ht="15" hidden="false" customHeight="false" outlineLevel="0" collapsed="false">
      <c r="A2524" s="0" t="n">
        <v>2513</v>
      </c>
      <c r="B2524" s="15" t="n">
        <v>1.89643746238489</v>
      </c>
      <c r="C2524" s="18" t="n">
        <f aca="false">'Black-Scholes'!$B$5*EXP(('Black-Scholes'!$B$8-'Black-Scholes'!$B$10-'Black-Scholes'!$B$9^2/2)*'Black-Scholes'!$B$7+'Black-Scholes'!$B$9*SQRT('Black-Scholes'!$B$7)*B2524)</f>
        <v>150.574454849512</v>
      </c>
      <c r="D2524" s="18" t="n">
        <f aca="false">'Black-Scholes'!$B$5*EXP(('Black-Scholes'!$B$8-'Black-Scholes'!$B$10-'Black-Scholes'!$B$9^2/2)*'Black-Scholes'!$B$7-'Black-Scholes'!$B$9*SQRT('Black-Scholes'!$B$7)*B2524)</f>
        <v>70.5190364199947</v>
      </c>
      <c r="E2524" s="18" t="n">
        <f aca="false">EXP(-'Black-Scholes'!$B$8*'Black-Scholes'!$B$7)*IF(LOWER('Black-Scholes'!$B$11)="put",MAX('Black-Scholes'!$B$6-C2524,0),MAX(C2524-'Black-Scholes'!$B$6,0))</f>
        <v>48.1079095809389</v>
      </c>
      <c r="F2524" s="18" t="n">
        <f aca="false">(E2524+G2524)/2</f>
        <v>24.0539547904694</v>
      </c>
      <c r="G2524" s="18" t="n">
        <f aca="false">EXP(-'Black-Scholes'!$B$8*'Black-Scholes'!$B$7)*IF(LOWER('Black-Scholes'!$B$11)="put",MAX('Black-Scholes'!$B$6-D2524,0),MAX(D2524-'Black-Scholes'!$B$6,0))</f>
        <v>0</v>
      </c>
    </row>
    <row r="2525" customFormat="false" ht="15" hidden="false" customHeight="false" outlineLevel="0" collapsed="false">
      <c r="A2525" s="0" t="n">
        <v>2514</v>
      </c>
      <c r="B2525" s="15" t="n">
        <v>-0.632553800035631</v>
      </c>
      <c r="C2525" s="18" t="n">
        <f aca="false">'Black-Scholes'!$B$5*EXP(('Black-Scholes'!$B$8-'Black-Scholes'!$B$10-'Black-Scholes'!$B$9^2/2)*'Black-Scholes'!$B$7+'Black-Scholes'!$B$9*SQRT('Black-Scholes'!$B$7)*B2525)</f>
        <v>90.8000127459345</v>
      </c>
      <c r="D2525" s="18" t="n">
        <f aca="false">'Black-Scholes'!$B$5*EXP(('Black-Scholes'!$B$8-'Black-Scholes'!$B$10-'Black-Scholes'!$B$9^2/2)*'Black-Scholes'!$B$7-'Black-Scholes'!$B$9*SQRT('Black-Scholes'!$B$7)*B2525)</f>
        <v>116.942334525488</v>
      </c>
      <c r="E2525" s="18" t="n">
        <f aca="false">EXP(-'Black-Scholes'!$B$8*'Black-Scholes'!$B$7)*IF(LOWER('Black-Scholes'!$B$11)="put",MAX('Black-Scholes'!$B$6-C2525,0),MAX(C2525-'Black-Scholes'!$B$6,0))</f>
        <v>0</v>
      </c>
      <c r="F2525" s="18" t="n">
        <f aca="false">(E2525+G2525)/2</f>
        <v>8.05802356018902</v>
      </c>
      <c r="G2525" s="18" t="n">
        <f aca="false">EXP(-'Black-Scholes'!$B$8*'Black-Scholes'!$B$7)*IF(LOWER('Black-Scholes'!$B$11)="put",MAX('Black-Scholes'!$B$6-D2525,0),MAX(D2525-'Black-Scholes'!$B$6,0))</f>
        <v>16.1160471203781</v>
      </c>
    </row>
    <row r="2526" customFormat="false" ht="15" hidden="false" customHeight="false" outlineLevel="0" collapsed="false">
      <c r="A2526" s="0" t="n">
        <v>2515</v>
      </c>
      <c r="B2526" s="15" t="n">
        <v>-0.433382701324503</v>
      </c>
      <c r="C2526" s="18" t="n">
        <f aca="false">'Black-Scholes'!$B$5*EXP(('Black-Scholes'!$B$8-'Black-Scholes'!$B$10-'Black-Scholes'!$B$9^2/2)*'Black-Scholes'!$B$7+'Black-Scholes'!$B$9*SQRT('Black-Scholes'!$B$7)*B2526)</f>
        <v>94.489965693395</v>
      </c>
      <c r="D2526" s="18" t="n">
        <f aca="false">'Black-Scholes'!$B$5*EXP(('Black-Scholes'!$B$8-'Black-Scholes'!$B$10-'Black-Scholes'!$B$9^2/2)*'Black-Scholes'!$B$7-'Black-Scholes'!$B$9*SQRT('Black-Scholes'!$B$7)*B2526)</f>
        <v>112.375588111742</v>
      </c>
      <c r="E2526" s="18" t="n">
        <f aca="false">EXP(-'Black-Scholes'!$B$8*'Black-Scholes'!$B$7)*IF(LOWER('Black-Scholes'!$B$11)="put",MAX('Black-Scholes'!$B$6-C2526,0),MAX(C2526-'Black-Scholes'!$B$6,0))</f>
        <v>0</v>
      </c>
      <c r="F2526" s="18" t="n">
        <f aca="false">(E2526+G2526)/2</f>
        <v>5.88601177869517</v>
      </c>
      <c r="G2526" s="18" t="n">
        <f aca="false">EXP(-'Black-Scholes'!$B$8*'Black-Scholes'!$B$7)*IF(LOWER('Black-Scholes'!$B$11)="put",MAX('Black-Scholes'!$B$6-D2526,0),MAX(D2526-'Black-Scholes'!$B$6,0))</f>
        <v>11.7720235573903</v>
      </c>
    </row>
    <row r="2527" customFormat="false" ht="15" hidden="false" customHeight="false" outlineLevel="0" collapsed="false">
      <c r="A2527" s="0" t="n">
        <v>2516</v>
      </c>
      <c r="B2527" s="15" t="n">
        <v>-1.20289681343898</v>
      </c>
      <c r="C2527" s="18" t="n">
        <f aca="false">'Black-Scholes'!$B$5*EXP(('Black-Scholes'!$B$8-'Black-Scholes'!$B$10-'Black-Scholes'!$B$9^2/2)*'Black-Scholes'!$B$7+'Black-Scholes'!$B$9*SQRT('Black-Scholes'!$B$7)*B2527)</f>
        <v>81.0114759717298</v>
      </c>
      <c r="D2527" s="18" t="n">
        <f aca="false">'Black-Scholes'!$B$5*EXP(('Black-Scholes'!$B$8-'Black-Scholes'!$B$10-'Black-Scholes'!$B$9^2/2)*'Black-Scholes'!$B$7-'Black-Scholes'!$B$9*SQRT('Black-Scholes'!$B$7)*B2527)</f>
        <v>131.072361515288</v>
      </c>
      <c r="E2527" s="18" t="n">
        <f aca="false">EXP(-'Black-Scholes'!$B$8*'Black-Scholes'!$B$7)*IF(LOWER('Black-Scholes'!$B$11)="put",MAX('Black-Scholes'!$B$6-C2527,0),MAX(C2527-'Black-Scholes'!$B$6,0))</f>
        <v>0</v>
      </c>
      <c r="F2527" s="18" t="n">
        <f aca="false">(E2527+G2527)/2</f>
        <v>14.7784722810325</v>
      </c>
      <c r="G2527" s="18" t="n">
        <f aca="false">EXP(-'Black-Scholes'!$B$8*'Black-Scholes'!$B$7)*IF(LOWER('Black-Scholes'!$B$11)="put",MAX('Black-Scholes'!$B$6-D2527,0),MAX(D2527-'Black-Scholes'!$B$6,0))</f>
        <v>29.5569445620651</v>
      </c>
    </row>
    <row r="2528" customFormat="false" ht="15" hidden="false" customHeight="false" outlineLevel="0" collapsed="false">
      <c r="A2528" s="0" t="n">
        <v>2517</v>
      </c>
      <c r="B2528" s="15" t="n">
        <v>-0.300989983874035</v>
      </c>
      <c r="C2528" s="18" t="n">
        <f aca="false">'Black-Scholes'!$B$5*EXP(('Black-Scholes'!$B$8-'Black-Scholes'!$B$10-'Black-Scholes'!$B$9^2/2)*'Black-Scholes'!$B$7+'Black-Scholes'!$B$9*SQRT('Black-Scholes'!$B$7)*B2528)</f>
        <v>97.0253407483538</v>
      </c>
      <c r="D2528" s="18" t="n">
        <f aca="false">'Black-Scholes'!$B$5*EXP(('Black-Scholes'!$B$8-'Black-Scholes'!$B$10-'Black-Scholes'!$B$9^2/2)*'Black-Scholes'!$B$7-'Black-Scholes'!$B$9*SQRT('Black-Scholes'!$B$7)*B2528)</f>
        <v>109.439094813318</v>
      </c>
      <c r="E2528" s="18" t="n">
        <f aca="false">EXP(-'Black-Scholes'!$B$8*'Black-Scholes'!$B$7)*IF(LOWER('Black-Scholes'!$B$11)="put",MAX('Black-Scholes'!$B$6-C2528,0),MAX(C2528-'Black-Scholes'!$B$6,0))</f>
        <v>0</v>
      </c>
      <c r="F2528" s="18" t="n">
        <f aca="false">(E2528+G2528)/2</f>
        <v>4.48937236354017</v>
      </c>
      <c r="G2528" s="18" t="n">
        <f aca="false">EXP(-'Black-Scholes'!$B$8*'Black-Scholes'!$B$7)*IF(LOWER('Black-Scholes'!$B$11)="put",MAX('Black-Scholes'!$B$6-D2528,0),MAX(D2528-'Black-Scholes'!$B$6,0))</f>
        <v>8.97874472708034</v>
      </c>
    </row>
    <row r="2529" customFormat="false" ht="15" hidden="false" customHeight="false" outlineLevel="0" collapsed="false">
      <c r="A2529" s="0" t="n">
        <v>2518</v>
      </c>
      <c r="B2529" s="15" t="n">
        <v>-1.35745371510701</v>
      </c>
      <c r="C2529" s="18" t="n">
        <f aca="false">'Black-Scholes'!$B$5*EXP(('Black-Scholes'!$B$8-'Black-Scholes'!$B$10-'Black-Scholes'!$B$9^2/2)*'Black-Scholes'!$B$7+'Black-Scholes'!$B$9*SQRT('Black-Scholes'!$B$7)*B2529)</f>
        <v>78.5456074705405</v>
      </c>
      <c r="D2529" s="18" t="n">
        <f aca="false">'Black-Scholes'!$B$5*EXP(('Black-Scholes'!$B$8-'Black-Scholes'!$B$10-'Black-Scholes'!$B$9^2/2)*'Black-Scholes'!$B$7-'Black-Scholes'!$B$9*SQRT('Black-Scholes'!$B$7)*B2529)</f>
        <v>135.187260082445</v>
      </c>
      <c r="E2529" s="18" t="n">
        <f aca="false">EXP(-'Black-Scholes'!$B$8*'Black-Scholes'!$B$7)*IF(LOWER('Black-Scholes'!$B$11)="put",MAX('Black-Scholes'!$B$6-C2529,0),MAX(C2529-'Black-Scholes'!$B$6,0))</f>
        <v>0</v>
      </c>
      <c r="F2529" s="18" t="n">
        <f aca="false">(E2529+G2529)/2</f>
        <v>16.7355785789905</v>
      </c>
      <c r="G2529" s="18" t="n">
        <f aca="false">EXP(-'Black-Scholes'!$B$8*'Black-Scholes'!$B$7)*IF(LOWER('Black-Scholes'!$B$11)="put",MAX('Black-Scholes'!$B$6-D2529,0),MAX(D2529-'Black-Scholes'!$B$6,0))</f>
        <v>33.4711571579811</v>
      </c>
    </row>
    <row r="2530" customFormat="false" ht="15" hidden="false" customHeight="false" outlineLevel="0" collapsed="false">
      <c r="A2530" s="0" t="n">
        <v>2519</v>
      </c>
      <c r="B2530" s="15" t="n">
        <v>0.280772183822529</v>
      </c>
      <c r="C2530" s="18" t="n">
        <f aca="false">'Black-Scholes'!$B$5*EXP(('Black-Scholes'!$B$8-'Black-Scholes'!$B$10-'Black-Scholes'!$B$9^2/2)*'Black-Scholes'!$B$7+'Black-Scholes'!$B$9*SQRT('Black-Scholes'!$B$7)*B2530)</f>
        <v>108.997464746541</v>
      </c>
      <c r="D2530" s="18" t="n">
        <f aca="false">'Black-Scholes'!$B$5*EXP(('Black-Scholes'!$B$8-'Black-Scholes'!$B$10-'Black-Scholes'!$B$9^2/2)*'Black-Scholes'!$B$7-'Black-Scholes'!$B$9*SQRT('Black-Scholes'!$B$7)*B2530)</f>
        <v>97.4184628068661</v>
      </c>
      <c r="E2530" s="18" t="n">
        <f aca="false">EXP(-'Black-Scholes'!$B$8*'Black-Scholes'!$B$7)*IF(LOWER('Black-Scholes'!$B$11)="put",MAX('Black-Scholes'!$B$6-C2530,0),MAX(C2530-'Black-Scholes'!$B$6,0))</f>
        <v>8.55865321281755</v>
      </c>
      <c r="F2530" s="18" t="n">
        <f aca="false">(E2530+G2530)/2</f>
        <v>4.27932660640877</v>
      </c>
      <c r="G2530" s="18" t="n">
        <f aca="false">EXP(-'Black-Scholes'!$B$8*'Black-Scholes'!$B$7)*IF(LOWER('Black-Scholes'!$B$11)="put",MAX('Black-Scholes'!$B$6-D2530,0),MAX(D2530-'Black-Scholes'!$B$6,0))</f>
        <v>0</v>
      </c>
    </row>
    <row r="2531" customFormat="false" ht="15" hidden="false" customHeight="false" outlineLevel="0" collapsed="false">
      <c r="A2531" s="0" t="n">
        <v>2520</v>
      </c>
      <c r="B2531" s="15" t="n">
        <v>-0.160969223578924</v>
      </c>
      <c r="C2531" s="18" t="n">
        <f aca="false">'Black-Scholes'!$B$5*EXP(('Black-Scholes'!$B$8-'Black-Scholes'!$B$10-'Black-Scholes'!$B$9^2/2)*'Black-Scholes'!$B$7+'Black-Scholes'!$B$9*SQRT('Black-Scholes'!$B$7)*B2531)</f>
        <v>99.7808560002686</v>
      </c>
      <c r="D2531" s="18" t="n">
        <f aca="false">'Black-Scholes'!$B$5*EXP(('Black-Scholes'!$B$8-'Black-Scholes'!$B$10-'Black-Scholes'!$B$9^2/2)*'Black-Scholes'!$B$7-'Black-Scholes'!$B$9*SQRT('Black-Scholes'!$B$7)*B2531)</f>
        <v>106.416860819725</v>
      </c>
      <c r="E2531" s="18" t="n">
        <f aca="false">EXP(-'Black-Scholes'!$B$8*'Black-Scholes'!$B$7)*IF(LOWER('Black-Scholes'!$B$11)="put",MAX('Black-Scholes'!$B$6-C2531,0),MAX(C2531-'Black-Scholes'!$B$6,0))</f>
        <v>0</v>
      </c>
      <c r="F2531" s="18" t="n">
        <f aca="false">(E2531+G2531)/2</f>
        <v>3.05195341232406</v>
      </c>
      <c r="G2531" s="18" t="n">
        <f aca="false">EXP(-'Black-Scholes'!$B$8*'Black-Scholes'!$B$7)*IF(LOWER('Black-Scholes'!$B$11)="put",MAX('Black-Scholes'!$B$6-D2531,0),MAX(D2531-'Black-Scholes'!$B$6,0))</f>
        <v>6.10390682464811</v>
      </c>
    </row>
    <row r="2532" customFormat="false" ht="15" hidden="false" customHeight="false" outlineLevel="0" collapsed="false">
      <c r="A2532" s="0" t="n">
        <v>2521</v>
      </c>
      <c r="B2532" s="15" t="n">
        <v>1.21272311382414</v>
      </c>
      <c r="C2532" s="18" t="n">
        <f aca="false">'Black-Scholes'!$B$5*EXP(('Black-Scholes'!$B$8-'Black-Scholes'!$B$10-'Black-Scholes'!$B$9^2/2)*'Black-Scholes'!$B$7+'Black-Scholes'!$B$9*SQRT('Black-Scholes'!$B$7)*B2532)</f>
        <v>131.3302060774</v>
      </c>
      <c r="D2532" s="18" t="n">
        <f aca="false">'Black-Scholes'!$B$5*EXP(('Black-Scholes'!$B$8-'Black-Scholes'!$B$10-'Black-Scholes'!$B$9^2/2)*'Black-Scholes'!$B$7-'Black-Scholes'!$B$9*SQRT('Black-Scholes'!$B$7)*B2532)</f>
        <v>80.8524236929595</v>
      </c>
      <c r="E2532" s="18" t="n">
        <f aca="false">EXP(-'Black-Scholes'!$B$8*'Black-Scholes'!$B$7)*IF(LOWER('Black-Scholes'!$B$11)="put",MAX('Black-Scholes'!$B$6-C2532,0),MAX(C2532-'Black-Scholes'!$B$6,0))</f>
        <v>29.8022138964936</v>
      </c>
      <c r="F2532" s="18" t="n">
        <f aca="false">(E2532+G2532)/2</f>
        <v>14.9011069482468</v>
      </c>
      <c r="G2532" s="18" t="n">
        <f aca="false">EXP(-'Black-Scholes'!$B$8*'Black-Scholes'!$B$7)*IF(LOWER('Black-Scholes'!$B$11)="put",MAX('Black-Scholes'!$B$6-D2532,0),MAX(D2532-'Black-Scholes'!$B$6,0))</f>
        <v>0</v>
      </c>
    </row>
    <row r="2533" customFormat="false" ht="15" hidden="false" customHeight="false" outlineLevel="0" collapsed="false">
      <c r="A2533" s="0" t="n">
        <v>2522</v>
      </c>
      <c r="B2533" s="15" t="n">
        <v>-0.906575130302914</v>
      </c>
      <c r="C2533" s="18" t="n">
        <f aca="false">'Black-Scholes'!$B$5*EXP(('Black-Scholes'!$B$8-'Black-Scholes'!$B$10-'Black-Scholes'!$B$9^2/2)*'Black-Scholes'!$B$7+'Black-Scholes'!$B$9*SQRT('Black-Scholes'!$B$7)*B2533)</f>
        <v>85.9576866887769</v>
      </c>
      <c r="D2533" s="18" t="n">
        <f aca="false">'Black-Scholes'!$B$5*EXP(('Black-Scholes'!$B$8-'Black-Scholes'!$B$10-'Black-Scholes'!$B$9^2/2)*'Black-Scholes'!$B$7-'Black-Scholes'!$B$9*SQRT('Black-Scholes'!$B$7)*B2533)</f>
        <v>123.530144591944</v>
      </c>
      <c r="E2533" s="18" t="n">
        <f aca="false">EXP(-'Black-Scholes'!$B$8*'Black-Scholes'!$B$7)*IF(LOWER('Black-Scholes'!$B$11)="put",MAX('Black-Scholes'!$B$6-C2533,0),MAX(C2533-'Black-Scholes'!$B$6,0))</f>
        <v>0</v>
      </c>
      <c r="F2533" s="18" t="n">
        <f aca="false">(E2533+G2533)/2</f>
        <v>11.1912829493066</v>
      </c>
      <c r="G2533" s="18" t="n">
        <f aca="false">EXP(-'Black-Scholes'!$B$8*'Black-Scholes'!$B$7)*IF(LOWER('Black-Scholes'!$B$11)="put",MAX('Black-Scholes'!$B$6-D2533,0),MAX(D2533-'Black-Scholes'!$B$6,0))</f>
        <v>22.3825658986131</v>
      </c>
    </row>
    <row r="2534" customFormat="false" ht="15" hidden="false" customHeight="false" outlineLevel="0" collapsed="false">
      <c r="A2534" s="0" t="n">
        <v>2523</v>
      </c>
      <c r="B2534" s="15" t="n">
        <v>2.57361109971017</v>
      </c>
      <c r="C2534" s="18" t="n">
        <f aca="false">'Black-Scholes'!$B$5*EXP(('Black-Scholes'!$B$8-'Black-Scholes'!$B$10-'Black-Scholes'!$B$9^2/2)*'Black-Scholes'!$B$7+'Black-Scholes'!$B$9*SQRT('Black-Scholes'!$B$7)*B2534)</f>
        <v>172.412938709076</v>
      </c>
      <c r="D2534" s="18" t="n">
        <f aca="false">'Black-Scholes'!$B$5*EXP(('Black-Scholes'!$B$8-'Black-Scholes'!$B$10-'Black-Scholes'!$B$9^2/2)*'Black-Scholes'!$B$7-'Black-Scholes'!$B$9*SQRT('Black-Scholes'!$B$7)*B2534)</f>
        <v>61.5868248923631</v>
      </c>
      <c r="E2534" s="18" t="n">
        <f aca="false">EXP(-'Black-Scholes'!$B$8*'Black-Scholes'!$B$7)*IF(LOWER('Black-Scholes'!$B$11)="put",MAX('Black-Scholes'!$B$6-C2534,0),MAX(C2534-'Black-Scholes'!$B$6,0))</f>
        <v>68.8813180146398</v>
      </c>
      <c r="F2534" s="18" t="n">
        <f aca="false">(E2534+G2534)/2</f>
        <v>34.4406590073199</v>
      </c>
      <c r="G2534" s="18" t="n">
        <f aca="false">EXP(-'Black-Scholes'!$B$8*'Black-Scholes'!$B$7)*IF(LOWER('Black-Scholes'!$B$11)="put",MAX('Black-Scholes'!$B$6-D2534,0),MAX(D2534-'Black-Scholes'!$B$6,0))</f>
        <v>0</v>
      </c>
    </row>
    <row r="2535" customFormat="false" ht="15" hidden="false" customHeight="false" outlineLevel="0" collapsed="false">
      <c r="A2535" s="0" t="n">
        <v>2524</v>
      </c>
      <c r="B2535" s="15" t="n">
        <v>-0.971585164681667</v>
      </c>
      <c r="C2535" s="18" t="n">
        <f aca="false">'Black-Scholes'!$B$5*EXP(('Black-Scholes'!$B$8-'Black-Scholes'!$B$10-'Black-Scholes'!$B$9^2/2)*'Black-Scholes'!$B$7+'Black-Scholes'!$B$9*SQRT('Black-Scholes'!$B$7)*B2535)</f>
        <v>84.8472985353794</v>
      </c>
      <c r="D2535" s="18" t="n">
        <f aca="false">'Black-Scholes'!$B$5*EXP(('Black-Scholes'!$B$8-'Black-Scholes'!$B$10-'Black-Scholes'!$B$9^2/2)*'Black-Scholes'!$B$7-'Black-Scholes'!$B$9*SQRT('Black-Scholes'!$B$7)*B2535)</f>
        <v>125.146771302636</v>
      </c>
      <c r="E2535" s="18" t="n">
        <f aca="false">EXP(-'Black-Scholes'!$B$8*'Black-Scholes'!$B$7)*IF(LOWER('Black-Scholes'!$B$11)="put",MAX('Black-Scholes'!$B$6-C2535,0),MAX(C2535-'Black-Scholes'!$B$6,0))</f>
        <v>0</v>
      </c>
      <c r="F2535" s="18" t="n">
        <f aca="false">(E2535+G2535)/2</f>
        <v>11.9601743971287</v>
      </c>
      <c r="G2535" s="18" t="n">
        <f aca="false">EXP(-'Black-Scholes'!$B$8*'Black-Scholes'!$B$7)*IF(LOWER('Black-Scholes'!$B$11)="put",MAX('Black-Scholes'!$B$6-D2535,0),MAX(D2535-'Black-Scholes'!$B$6,0))</f>
        <v>23.9203487942574</v>
      </c>
    </row>
    <row r="2536" customFormat="false" ht="15" hidden="false" customHeight="false" outlineLevel="0" collapsed="false">
      <c r="A2536" s="0" t="n">
        <v>2525</v>
      </c>
      <c r="B2536" s="15" t="n">
        <v>0.329171159615646</v>
      </c>
      <c r="C2536" s="18" t="n">
        <f aca="false">'Black-Scholes'!$B$5*EXP(('Black-Scholes'!$B$8-'Black-Scholes'!$B$10-'Black-Scholes'!$B$9^2/2)*'Black-Scholes'!$B$7+'Black-Scholes'!$B$9*SQRT('Black-Scholes'!$B$7)*B2536)</f>
        <v>110.057660840392</v>
      </c>
      <c r="D2536" s="18" t="n">
        <f aca="false">'Black-Scholes'!$B$5*EXP(('Black-Scholes'!$B$8-'Black-Scholes'!$B$10-'Black-Scholes'!$B$9^2/2)*'Black-Scholes'!$B$7-'Black-Scholes'!$B$9*SQRT('Black-Scholes'!$B$7)*B2536)</f>
        <v>96.480021330388</v>
      </c>
      <c r="E2536" s="18" t="n">
        <f aca="false">EXP(-'Black-Scholes'!$B$8*'Black-Scholes'!$B$7)*IF(LOWER('Black-Scholes'!$B$11)="put",MAX('Black-Scholes'!$B$6-C2536,0),MAX(C2536-'Black-Scholes'!$B$6,0))</f>
        <v>9.5671429330291</v>
      </c>
      <c r="F2536" s="18" t="n">
        <f aca="false">(E2536+G2536)/2</f>
        <v>4.78357146651455</v>
      </c>
      <c r="G2536" s="18" t="n">
        <f aca="false">EXP(-'Black-Scholes'!$B$8*'Black-Scholes'!$B$7)*IF(LOWER('Black-Scholes'!$B$11)="put",MAX('Black-Scholes'!$B$6-D2536,0),MAX(D2536-'Black-Scholes'!$B$6,0))</f>
        <v>0</v>
      </c>
    </row>
    <row r="2537" customFormat="false" ht="15" hidden="false" customHeight="false" outlineLevel="0" collapsed="false">
      <c r="A2537" s="0" t="n">
        <v>2526</v>
      </c>
      <c r="B2537" s="15" t="n">
        <v>0.213491096112258</v>
      </c>
      <c r="C2537" s="18" t="n">
        <f aca="false">'Black-Scholes'!$B$5*EXP(('Black-Scholes'!$B$8-'Black-Scholes'!$B$10-'Black-Scholes'!$B$9^2/2)*'Black-Scholes'!$B$7+'Black-Scholes'!$B$9*SQRT('Black-Scholes'!$B$7)*B2537)</f>
        <v>107.540595109618</v>
      </c>
      <c r="D2537" s="18" t="n">
        <f aca="false">'Black-Scholes'!$B$5*EXP(('Black-Scholes'!$B$8-'Black-Scholes'!$B$10-'Black-Scholes'!$B$9^2/2)*'Black-Scholes'!$B$7-'Black-Scholes'!$B$9*SQRT('Black-Scholes'!$B$7)*B2537)</f>
        <v>98.7382062990266</v>
      </c>
      <c r="E2537" s="18" t="n">
        <f aca="false">EXP(-'Black-Scholes'!$B$8*'Black-Scholes'!$B$7)*IF(LOWER('Black-Scholes'!$B$11)="put",MAX('Black-Scholes'!$B$6-C2537,0),MAX(C2537-'Black-Scholes'!$B$6,0))</f>
        <v>7.17283594651527</v>
      </c>
      <c r="F2537" s="18" t="n">
        <f aca="false">(E2537+G2537)/2</f>
        <v>3.58641797325764</v>
      </c>
      <c r="G2537" s="18" t="n">
        <f aca="false">EXP(-'Black-Scholes'!$B$8*'Black-Scholes'!$B$7)*IF(LOWER('Black-Scholes'!$B$11)="put",MAX('Black-Scholes'!$B$6-D2537,0),MAX(D2537-'Black-Scholes'!$B$6,0))</f>
        <v>0</v>
      </c>
    </row>
    <row r="2538" customFormat="false" ht="15" hidden="false" customHeight="false" outlineLevel="0" collapsed="false">
      <c r="A2538" s="0" t="n">
        <v>2527</v>
      </c>
      <c r="B2538" s="15" t="n">
        <v>-1.85440828178473</v>
      </c>
      <c r="C2538" s="18" t="n">
        <f aca="false">'Black-Scholes'!$B$5*EXP(('Black-Scholes'!$B$8-'Black-Scholes'!$B$10-'Black-Scholes'!$B$9^2/2)*'Black-Scholes'!$B$7+'Black-Scholes'!$B$9*SQRT('Black-Scholes'!$B$7)*B2538)</f>
        <v>71.1143062487497</v>
      </c>
      <c r="D2538" s="18" t="n">
        <f aca="false">'Black-Scholes'!$B$5*EXP(('Black-Scholes'!$B$8-'Black-Scholes'!$B$10-'Black-Scholes'!$B$9^2/2)*'Black-Scholes'!$B$7-'Black-Scholes'!$B$9*SQRT('Black-Scholes'!$B$7)*B2538)</f>
        <v>149.314055435087</v>
      </c>
      <c r="E2538" s="18" t="n">
        <f aca="false">EXP(-'Black-Scholes'!$B$8*'Black-Scholes'!$B$7)*IF(LOWER('Black-Scholes'!$B$11)="put",MAX('Black-Scholes'!$B$6-C2538,0),MAX(C2538-'Black-Scholes'!$B$6,0))</f>
        <v>0</v>
      </c>
      <c r="F2538" s="18" t="n">
        <f aca="false">(E2538+G2538)/2</f>
        <v>23.4544902856573</v>
      </c>
      <c r="G2538" s="18" t="n">
        <f aca="false">EXP(-'Black-Scholes'!$B$8*'Black-Scholes'!$B$7)*IF(LOWER('Black-Scholes'!$B$11)="put",MAX('Black-Scholes'!$B$6-D2538,0),MAX(D2538-'Black-Scholes'!$B$6,0))</f>
        <v>46.9089805713145</v>
      </c>
    </row>
    <row r="2539" customFormat="false" ht="15" hidden="false" customHeight="false" outlineLevel="0" collapsed="false">
      <c r="A2539" s="0" t="n">
        <v>2528</v>
      </c>
      <c r="B2539" s="15" t="n">
        <v>-0.950757893804578</v>
      </c>
      <c r="C2539" s="18" t="n">
        <f aca="false">'Black-Scholes'!$B$5*EXP(('Black-Scholes'!$B$8-'Black-Scholes'!$B$10-'Black-Scholes'!$B$9^2/2)*'Black-Scholes'!$B$7+'Black-Scholes'!$B$9*SQRT('Black-Scholes'!$B$7)*B2539)</f>
        <v>85.2014631855543</v>
      </c>
      <c r="D2539" s="18" t="n">
        <f aca="false">'Black-Scholes'!$B$5*EXP(('Black-Scholes'!$B$8-'Black-Scholes'!$B$10-'Black-Scholes'!$B$9^2/2)*'Black-Scholes'!$B$7-'Black-Scholes'!$B$9*SQRT('Black-Scholes'!$B$7)*B2539)</f>
        <v>124.626562366994</v>
      </c>
      <c r="E2539" s="18" t="n">
        <f aca="false">EXP(-'Black-Scholes'!$B$8*'Black-Scholes'!$B$7)*IF(LOWER('Black-Scholes'!$B$11)="put",MAX('Black-Scholes'!$B$6-C2539,0),MAX(C2539-'Black-Scholes'!$B$6,0))</f>
        <v>0</v>
      </c>
      <c r="F2539" s="18" t="n">
        <f aca="false">(E2539+G2539)/2</f>
        <v>11.7127553738932</v>
      </c>
      <c r="G2539" s="18" t="n">
        <f aca="false">EXP(-'Black-Scholes'!$B$8*'Black-Scholes'!$B$7)*IF(LOWER('Black-Scholes'!$B$11)="put",MAX('Black-Scholes'!$B$6-D2539,0),MAX(D2539-'Black-Scholes'!$B$6,0))</f>
        <v>23.4255107477864</v>
      </c>
    </row>
    <row r="2540" customFormat="false" ht="15" hidden="false" customHeight="false" outlineLevel="0" collapsed="false">
      <c r="A2540" s="0" t="n">
        <v>2529</v>
      </c>
      <c r="B2540" s="15" t="n">
        <v>1.89782506611527</v>
      </c>
      <c r="C2540" s="18" t="n">
        <f aca="false">'Black-Scholes'!$B$5*EXP(('Black-Scholes'!$B$8-'Black-Scholes'!$B$10-'Black-Scholes'!$B$9^2/2)*'Black-Scholes'!$B$7+'Black-Scholes'!$B$9*SQRT('Black-Scholes'!$B$7)*B2540)</f>
        <v>150.616248183553</v>
      </c>
      <c r="D2540" s="18" t="n">
        <f aca="false">'Black-Scholes'!$B$5*EXP(('Black-Scholes'!$B$8-'Black-Scholes'!$B$10-'Black-Scholes'!$B$9^2/2)*'Black-Scholes'!$B$7-'Black-Scholes'!$B$9*SQRT('Black-Scholes'!$B$7)*B2540)</f>
        <v>70.4994686397529</v>
      </c>
      <c r="E2540" s="18" t="n">
        <f aca="false">EXP(-'Black-Scholes'!$B$8*'Black-Scholes'!$B$7)*IF(LOWER('Black-Scholes'!$B$11)="put",MAX('Black-Scholes'!$B$6-C2540,0),MAX(C2540-'Black-Scholes'!$B$6,0))</f>
        <v>48.147664630026</v>
      </c>
      <c r="F2540" s="18" t="n">
        <f aca="false">(E2540+G2540)/2</f>
        <v>24.073832315013</v>
      </c>
      <c r="G2540" s="18" t="n">
        <f aca="false">EXP(-'Black-Scholes'!$B$8*'Black-Scholes'!$B$7)*IF(LOWER('Black-Scholes'!$B$11)="put",MAX('Black-Scholes'!$B$6-D2540,0),MAX(D2540-'Black-Scholes'!$B$6,0))</f>
        <v>0</v>
      </c>
    </row>
    <row r="2541" customFormat="false" ht="15" hidden="false" customHeight="false" outlineLevel="0" collapsed="false">
      <c r="A2541" s="0" t="n">
        <v>2530</v>
      </c>
      <c r="B2541" s="15" t="n">
        <v>0.164364737939352</v>
      </c>
      <c r="C2541" s="18" t="n">
        <f aca="false">'Black-Scholes'!$B$5*EXP(('Black-Scholes'!$B$8-'Black-Scholes'!$B$10-'Black-Scholes'!$B$9^2/2)*'Black-Scholes'!$B$7+'Black-Scholes'!$B$9*SQRT('Black-Scholes'!$B$7)*B2541)</f>
        <v>106.489153359803</v>
      </c>
      <c r="D2541" s="18" t="n">
        <f aca="false">'Black-Scholes'!$B$5*EXP(('Black-Scholes'!$B$8-'Black-Scholes'!$B$10-'Black-Scholes'!$B$9^2/2)*'Black-Scholes'!$B$7-'Black-Scholes'!$B$9*SQRT('Black-Scholes'!$B$7)*B2541)</f>
        <v>99.7131175376752</v>
      </c>
      <c r="E2541" s="18" t="n">
        <f aca="false">EXP(-'Black-Scholes'!$B$8*'Black-Scholes'!$B$7)*IF(LOWER('Black-Scholes'!$B$11)="put",MAX('Black-Scholes'!$B$6-C2541,0),MAX(C2541-'Black-Scholes'!$B$6,0))</f>
        <v>6.17267361594266</v>
      </c>
      <c r="F2541" s="18" t="n">
        <f aca="false">(E2541+G2541)/2</f>
        <v>3.08633680797133</v>
      </c>
      <c r="G2541" s="18" t="n">
        <f aca="false">EXP(-'Black-Scholes'!$B$8*'Black-Scholes'!$B$7)*IF(LOWER('Black-Scholes'!$B$11)="put",MAX('Black-Scholes'!$B$6-D2541,0),MAX(D2541-'Black-Scholes'!$B$6,0))</f>
        <v>0</v>
      </c>
    </row>
    <row r="2542" customFormat="false" ht="15" hidden="false" customHeight="false" outlineLevel="0" collapsed="false">
      <c r="A2542" s="0" t="n">
        <v>2531</v>
      </c>
      <c r="B2542" s="15" t="n">
        <v>-0.526374183413424</v>
      </c>
      <c r="C2542" s="18" t="n">
        <f aca="false">'Black-Scholes'!$B$5*EXP(('Black-Scholes'!$B$8-'Black-Scholes'!$B$10-'Black-Scholes'!$B$9^2/2)*'Black-Scholes'!$B$7+'Black-Scholes'!$B$9*SQRT('Black-Scholes'!$B$7)*B2542)</f>
        <v>92.7488543421824</v>
      </c>
      <c r="D2542" s="18" t="n">
        <f aca="false">'Black-Scholes'!$B$5*EXP(('Black-Scholes'!$B$8-'Black-Scholes'!$B$10-'Black-Scholes'!$B$9^2/2)*'Black-Scholes'!$B$7-'Black-Scholes'!$B$9*SQRT('Black-Scholes'!$B$7)*B2542)</f>
        <v>114.485138827471</v>
      </c>
      <c r="E2542" s="18" t="n">
        <f aca="false">EXP(-'Black-Scholes'!$B$8*'Black-Scholes'!$B$7)*IF(LOWER('Black-Scholes'!$B$11)="put",MAX('Black-Scholes'!$B$6-C2542,0),MAX(C2542-'Black-Scholes'!$B$6,0))</f>
        <v>0</v>
      </c>
      <c r="F2542" s="18" t="n">
        <f aca="false">(E2542+G2542)/2</f>
        <v>6.88934513533387</v>
      </c>
      <c r="G2542" s="18" t="n">
        <f aca="false">EXP(-'Black-Scholes'!$B$8*'Black-Scholes'!$B$7)*IF(LOWER('Black-Scholes'!$B$11)="put",MAX('Black-Scholes'!$B$6-D2542,0),MAX(D2542-'Black-Scholes'!$B$6,0))</f>
        <v>13.7786902706677</v>
      </c>
    </row>
    <row r="2543" customFormat="false" ht="15" hidden="false" customHeight="false" outlineLevel="0" collapsed="false">
      <c r="A2543" s="0" t="n">
        <v>2532</v>
      </c>
      <c r="B2543" s="15" t="n">
        <v>0.637869010768643</v>
      </c>
      <c r="C2543" s="18" t="n">
        <f aca="false">'Black-Scholes'!$B$5*EXP(('Black-Scholes'!$B$8-'Black-Scholes'!$B$10-'Black-Scholes'!$B$9^2/2)*'Black-Scholes'!$B$7+'Black-Scholes'!$B$9*SQRT('Black-Scholes'!$B$7)*B2543)</f>
        <v>117.066715255076</v>
      </c>
      <c r="D2543" s="18" t="n">
        <f aca="false">'Black-Scholes'!$B$5*EXP(('Black-Scholes'!$B$8-'Black-Scholes'!$B$10-'Black-Scholes'!$B$9^2/2)*'Black-Scholes'!$B$7-'Black-Scholes'!$B$9*SQRT('Black-Scholes'!$B$7)*B2543)</f>
        <v>90.7035397919665</v>
      </c>
      <c r="E2543" s="18" t="n">
        <f aca="false">EXP(-'Black-Scholes'!$B$8*'Black-Scholes'!$B$7)*IF(LOWER('Black-Scholes'!$B$11)="put",MAX('Black-Scholes'!$B$6-C2543,0),MAX(C2543-'Black-Scholes'!$B$6,0))</f>
        <v>16.2343617302035</v>
      </c>
      <c r="F2543" s="18" t="n">
        <f aca="false">(E2543+G2543)/2</f>
        <v>8.11718086510173</v>
      </c>
      <c r="G2543" s="18" t="n">
        <f aca="false">EXP(-'Black-Scholes'!$B$8*'Black-Scholes'!$B$7)*IF(LOWER('Black-Scholes'!$B$11)="put",MAX('Black-Scholes'!$B$6-D2543,0),MAX(D2543-'Black-Scholes'!$B$6,0))</f>
        <v>0</v>
      </c>
    </row>
    <row r="2544" customFormat="false" ht="15" hidden="false" customHeight="false" outlineLevel="0" collapsed="false">
      <c r="A2544" s="0" t="n">
        <v>2533</v>
      </c>
      <c r="B2544" s="15" t="n">
        <v>0.426364831160136</v>
      </c>
      <c r="C2544" s="18" t="n">
        <f aca="false">'Black-Scholes'!$B$5*EXP(('Black-Scholes'!$B$8-'Black-Scholes'!$B$10-'Black-Scholes'!$B$9^2/2)*'Black-Scholes'!$B$7+'Black-Scholes'!$B$9*SQRT('Black-Scholes'!$B$7)*B2544)</f>
        <v>112.217971293652</v>
      </c>
      <c r="D2544" s="18" t="n">
        <f aca="false">'Black-Scholes'!$B$5*EXP(('Black-Scholes'!$B$8-'Black-Scholes'!$B$10-'Black-Scholes'!$B$9^2/2)*'Black-Scholes'!$B$7-'Black-Scholes'!$B$9*SQRT('Black-Scholes'!$B$7)*B2544)</f>
        <v>94.622682472734</v>
      </c>
      <c r="E2544" s="18" t="n">
        <f aca="false">EXP(-'Black-Scholes'!$B$8*'Black-Scholes'!$B$7)*IF(LOWER('Black-Scholes'!$B$11)="put",MAX('Black-Scholes'!$B$6-C2544,0),MAX(C2544-'Black-Scholes'!$B$6,0))</f>
        <v>11.6220938022267</v>
      </c>
      <c r="F2544" s="18" t="n">
        <f aca="false">(E2544+G2544)/2</f>
        <v>5.81104690111334</v>
      </c>
      <c r="G2544" s="18" t="n">
        <f aca="false">EXP(-'Black-Scholes'!$B$8*'Black-Scholes'!$B$7)*IF(LOWER('Black-Scholes'!$B$11)="put",MAX('Black-Scholes'!$B$6-D2544,0),MAX(D2544-'Black-Scholes'!$B$6,0))</f>
        <v>0</v>
      </c>
    </row>
    <row r="2545" customFormat="false" ht="15" hidden="false" customHeight="false" outlineLevel="0" collapsed="false">
      <c r="A2545" s="0" t="n">
        <v>2534</v>
      </c>
      <c r="B2545" s="15" t="n">
        <v>1.10025254934454</v>
      </c>
      <c r="C2545" s="18" t="n">
        <f aca="false">'Black-Scholes'!$B$5*EXP(('Black-Scholes'!$B$8-'Black-Scholes'!$B$10-'Black-Scholes'!$B$9^2/2)*'Black-Scholes'!$B$7+'Black-Scholes'!$B$9*SQRT('Black-Scholes'!$B$7)*B2545)</f>
        <v>128.409027428117</v>
      </c>
      <c r="D2545" s="18" t="n">
        <f aca="false">'Black-Scholes'!$B$5*EXP(('Black-Scholes'!$B$8-'Black-Scholes'!$B$10-'Black-Scholes'!$B$9^2/2)*'Black-Scholes'!$B$7-'Black-Scholes'!$B$9*SQRT('Black-Scholes'!$B$7)*B2545)</f>
        <v>82.6917365400785</v>
      </c>
      <c r="E2545" s="18" t="n">
        <f aca="false">EXP(-'Black-Scholes'!$B$8*'Black-Scholes'!$B$7)*IF(LOWER('Black-Scholes'!$B$11)="put",MAX('Black-Scholes'!$B$6-C2545,0),MAX(C2545-'Black-Scholes'!$B$6,0))</f>
        <v>27.0235028110732</v>
      </c>
      <c r="F2545" s="18" t="n">
        <f aca="false">(E2545+G2545)/2</f>
        <v>13.5117514055366</v>
      </c>
      <c r="G2545" s="18" t="n">
        <f aca="false">EXP(-'Black-Scholes'!$B$8*'Black-Scholes'!$B$7)*IF(LOWER('Black-Scholes'!$B$11)="put",MAX('Black-Scholes'!$B$6-D2545,0),MAX(D2545-'Black-Scholes'!$B$6,0))</f>
        <v>0</v>
      </c>
    </row>
    <row r="2546" customFormat="false" ht="15" hidden="false" customHeight="false" outlineLevel="0" collapsed="false">
      <c r="A2546" s="0" t="n">
        <v>2535</v>
      </c>
      <c r="B2546" s="15" t="n">
        <v>-0.367156483569328</v>
      </c>
      <c r="C2546" s="18" t="n">
        <f aca="false">'Black-Scholes'!$B$5*EXP(('Black-Scholes'!$B$8-'Black-Scholes'!$B$10-'Black-Scholes'!$B$9^2/2)*'Black-Scholes'!$B$7+'Black-Scholes'!$B$9*SQRT('Black-Scholes'!$B$7)*B2546)</f>
        <v>95.7498335113345</v>
      </c>
      <c r="D2546" s="18" t="n">
        <f aca="false">'Black-Scholes'!$B$5*EXP(('Black-Scholes'!$B$8-'Black-Scholes'!$B$10-'Black-Scholes'!$B$9^2/2)*'Black-Scholes'!$B$7-'Black-Scholes'!$B$9*SQRT('Black-Scholes'!$B$7)*B2546)</f>
        <v>110.896960089196</v>
      </c>
      <c r="E2546" s="18" t="n">
        <f aca="false">EXP(-'Black-Scholes'!$B$8*'Black-Scholes'!$B$7)*IF(LOWER('Black-Scholes'!$B$11)="put",MAX('Black-Scholes'!$B$6-C2546,0),MAX(C2546-'Black-Scholes'!$B$6,0))</f>
        <v>0</v>
      </c>
      <c r="F2546" s="18" t="n">
        <f aca="false">(E2546+G2546)/2</f>
        <v>5.18275453722642</v>
      </c>
      <c r="G2546" s="18" t="n">
        <f aca="false">EXP(-'Black-Scholes'!$B$8*'Black-Scholes'!$B$7)*IF(LOWER('Black-Scholes'!$B$11)="put",MAX('Black-Scholes'!$B$6-D2546,0),MAX(D2546-'Black-Scholes'!$B$6,0))</f>
        <v>10.3655090744528</v>
      </c>
    </row>
    <row r="2547" customFormat="false" ht="15" hidden="false" customHeight="false" outlineLevel="0" collapsed="false">
      <c r="A2547" s="0" t="n">
        <v>2536</v>
      </c>
      <c r="B2547" s="15" t="n">
        <v>0.767665904395096</v>
      </c>
      <c r="C2547" s="18" t="n">
        <f aca="false">'Black-Scholes'!$B$5*EXP(('Black-Scholes'!$B$8-'Black-Scholes'!$B$10-'Black-Scholes'!$B$9^2/2)*'Black-Scholes'!$B$7+'Black-Scholes'!$B$9*SQRT('Black-Scholes'!$B$7)*B2547)</f>
        <v>120.145483007768</v>
      </c>
      <c r="D2547" s="18" t="n">
        <f aca="false">'Black-Scholes'!$B$5*EXP(('Black-Scholes'!$B$8-'Black-Scholes'!$B$10-'Black-Scholes'!$B$9^2/2)*'Black-Scholes'!$B$7-'Black-Scholes'!$B$9*SQRT('Black-Scholes'!$B$7)*B2547)</f>
        <v>88.3792315751651</v>
      </c>
      <c r="E2547" s="18" t="n">
        <f aca="false">EXP(-'Black-Scholes'!$B$8*'Black-Scholes'!$B$7)*IF(LOWER('Black-Scholes'!$B$11)="put",MAX('Black-Scholes'!$B$6-C2547,0),MAX(C2547-'Black-Scholes'!$B$6,0))</f>
        <v>19.1629762077681</v>
      </c>
      <c r="F2547" s="18" t="n">
        <f aca="false">(E2547+G2547)/2</f>
        <v>9.58148810388405</v>
      </c>
      <c r="G2547" s="18" t="n">
        <f aca="false">EXP(-'Black-Scholes'!$B$8*'Black-Scholes'!$B$7)*IF(LOWER('Black-Scholes'!$B$11)="put",MAX('Black-Scholes'!$B$6-D2547,0),MAX(D2547-'Black-Scholes'!$B$6,0))</f>
        <v>0</v>
      </c>
    </row>
    <row r="2548" customFormat="false" ht="15" hidden="false" customHeight="false" outlineLevel="0" collapsed="false">
      <c r="A2548" s="0" t="n">
        <v>2537</v>
      </c>
      <c r="B2548" s="15" t="n">
        <v>-0.594021771856118</v>
      </c>
      <c r="C2548" s="18" t="n">
        <f aca="false">'Black-Scholes'!$B$5*EXP(('Black-Scholes'!$B$8-'Black-Scholes'!$B$10-'Black-Scholes'!$B$9^2/2)*'Black-Scholes'!$B$7+'Black-Scholes'!$B$9*SQRT('Black-Scholes'!$B$7)*B2548)</f>
        <v>91.5024576621938</v>
      </c>
      <c r="D2548" s="18" t="n">
        <f aca="false">'Black-Scholes'!$B$5*EXP(('Black-Scholes'!$B$8-'Black-Scholes'!$B$10-'Black-Scholes'!$B$9^2/2)*'Black-Scholes'!$B$7-'Black-Scholes'!$B$9*SQRT('Black-Scholes'!$B$7)*B2548)</f>
        <v>116.044593082452</v>
      </c>
      <c r="E2548" s="18" t="n">
        <f aca="false">EXP(-'Black-Scholes'!$B$8*'Black-Scholes'!$B$7)*IF(LOWER('Black-Scholes'!$B$11)="put",MAX('Black-Scholes'!$B$6-C2548,0),MAX(C2548-'Black-Scholes'!$B$6,0))</f>
        <v>0</v>
      </c>
      <c r="F2548" s="18" t="n">
        <f aca="false">(E2548+G2548)/2</f>
        <v>7.6310445220846</v>
      </c>
      <c r="G2548" s="18" t="n">
        <f aca="false">EXP(-'Black-Scholes'!$B$8*'Black-Scholes'!$B$7)*IF(LOWER('Black-Scholes'!$B$11)="put",MAX('Black-Scholes'!$B$6-D2548,0),MAX(D2548-'Black-Scholes'!$B$6,0))</f>
        <v>15.2620890441692</v>
      </c>
    </row>
    <row r="2549" customFormat="false" ht="15" hidden="false" customHeight="false" outlineLevel="0" collapsed="false">
      <c r="A2549" s="0" t="n">
        <v>2538</v>
      </c>
      <c r="B2549" s="15" t="n">
        <v>-1.3116316715637</v>
      </c>
      <c r="C2549" s="18" t="n">
        <f aca="false">'Black-Scholes'!$B$5*EXP(('Black-Scholes'!$B$8-'Black-Scholes'!$B$10-'Black-Scholes'!$B$9^2/2)*'Black-Scholes'!$B$7+'Black-Scholes'!$B$9*SQRT('Black-Scholes'!$B$7)*B2549)</f>
        <v>79.2687399995937</v>
      </c>
      <c r="D2549" s="18" t="n">
        <f aca="false">'Black-Scholes'!$B$5*EXP(('Black-Scholes'!$B$8-'Black-Scholes'!$B$10-'Black-Scholes'!$B$9^2/2)*'Black-Scholes'!$B$7-'Black-Scholes'!$B$9*SQRT('Black-Scholes'!$B$7)*B2549)</f>
        <v>133.954008421328</v>
      </c>
      <c r="E2549" s="18" t="n">
        <f aca="false">EXP(-'Black-Scholes'!$B$8*'Black-Scholes'!$B$7)*IF(LOWER('Black-Scholes'!$B$11)="put",MAX('Black-Scholes'!$B$6-C2549,0),MAX(C2549-'Black-Scholes'!$B$6,0))</f>
        <v>0</v>
      </c>
      <c r="F2549" s="18" t="n">
        <f aca="false">(E2549+G2549)/2</f>
        <v>16.1490259450559</v>
      </c>
      <c r="G2549" s="18" t="n">
        <f aca="false">EXP(-'Black-Scholes'!$B$8*'Black-Scholes'!$B$7)*IF(LOWER('Black-Scholes'!$B$11)="put",MAX('Black-Scholes'!$B$6-D2549,0),MAX(D2549-'Black-Scholes'!$B$6,0))</f>
        <v>32.2980518901118</v>
      </c>
    </row>
    <row r="2550" customFormat="false" ht="15" hidden="false" customHeight="false" outlineLevel="0" collapsed="false">
      <c r="A2550" s="0" t="n">
        <v>2539</v>
      </c>
      <c r="B2550" s="15" t="n">
        <v>-0.0626722483628935</v>
      </c>
      <c r="C2550" s="18" t="n">
        <f aca="false">'Black-Scholes'!$B$5*EXP(('Black-Scholes'!$B$8-'Black-Scholes'!$B$10-'Black-Scholes'!$B$9^2/2)*'Black-Scholes'!$B$7+'Black-Scholes'!$B$9*SQRT('Black-Scholes'!$B$7)*B2550)</f>
        <v>101.761896490676</v>
      </c>
      <c r="D2550" s="18" t="n">
        <f aca="false">'Black-Scholes'!$B$5*EXP(('Black-Scholes'!$B$8-'Black-Scholes'!$B$10-'Black-Scholes'!$B$9^2/2)*'Black-Scholes'!$B$7-'Black-Scholes'!$B$9*SQRT('Black-Scholes'!$B$7)*B2550)</f>
        <v>104.345200233434</v>
      </c>
      <c r="E2550" s="18" t="n">
        <f aca="false">EXP(-'Black-Scholes'!$B$8*'Black-Scholes'!$B$7)*IF(LOWER('Black-Scholes'!$B$11)="put",MAX('Black-Scholes'!$B$6-C2550,0),MAX(C2550-'Black-Scholes'!$B$6,0))</f>
        <v>1.67596778485547</v>
      </c>
      <c r="F2550" s="18" t="n">
        <f aca="false">(E2550+G2550)/2</f>
        <v>2.90462505112279</v>
      </c>
      <c r="G2550" s="18" t="n">
        <f aca="false">EXP(-'Black-Scholes'!$B$8*'Black-Scholes'!$B$7)*IF(LOWER('Black-Scholes'!$B$11)="put",MAX('Black-Scholes'!$B$6-D2550,0),MAX(D2550-'Black-Scholes'!$B$6,0))</f>
        <v>4.1332823173901</v>
      </c>
    </row>
    <row r="2551" customFormat="false" ht="15" hidden="false" customHeight="false" outlineLevel="0" collapsed="false">
      <c r="A2551" s="0" t="n">
        <v>2540</v>
      </c>
      <c r="B2551" s="15" t="n">
        <v>0.407488848411895</v>
      </c>
      <c r="C2551" s="18" t="n">
        <f aca="false">'Black-Scholes'!$B$5*EXP(('Black-Scholes'!$B$8-'Black-Scholes'!$B$10-'Black-Scholes'!$B$9^2/2)*'Black-Scholes'!$B$7+'Black-Scholes'!$B$9*SQRT('Black-Scholes'!$B$7)*B2551)</f>
        <v>111.795125061638</v>
      </c>
      <c r="D2551" s="18" t="n">
        <f aca="false">'Black-Scholes'!$B$5*EXP(('Black-Scholes'!$B$8-'Black-Scholes'!$B$10-'Black-Scholes'!$B$9^2/2)*'Black-Scholes'!$B$7-'Black-Scholes'!$B$9*SQRT('Black-Scholes'!$B$7)*B2551)</f>
        <v>94.9805768328379</v>
      </c>
      <c r="E2551" s="18" t="n">
        <f aca="false">EXP(-'Black-Scholes'!$B$8*'Black-Scholes'!$B$7)*IF(LOWER('Black-Scholes'!$B$11)="put",MAX('Black-Scholes'!$B$6-C2551,0),MAX(C2551-'Black-Scholes'!$B$6,0))</f>
        <v>11.2198700242955</v>
      </c>
      <c r="F2551" s="18" t="n">
        <f aca="false">(E2551+G2551)/2</f>
        <v>5.60993501214777</v>
      </c>
      <c r="G2551" s="18" t="n">
        <f aca="false">EXP(-'Black-Scholes'!$B$8*'Black-Scholes'!$B$7)*IF(LOWER('Black-Scholes'!$B$11)="put",MAX('Black-Scholes'!$B$6-D2551,0),MAX(D2551-'Black-Scholes'!$B$6,0))</f>
        <v>0</v>
      </c>
    </row>
    <row r="2552" customFormat="false" ht="15" hidden="false" customHeight="false" outlineLevel="0" collapsed="false">
      <c r="A2552" s="0" t="n">
        <v>2541</v>
      </c>
      <c r="B2552" s="15" t="n">
        <v>0.450435384440383</v>
      </c>
      <c r="C2552" s="18" t="n">
        <f aca="false">'Black-Scholes'!$B$5*EXP(('Black-Scholes'!$B$8-'Black-Scholes'!$B$10-'Black-Scholes'!$B$9^2/2)*'Black-Scholes'!$B$7+'Black-Scholes'!$B$9*SQRT('Black-Scholes'!$B$7)*B2552)</f>
        <v>112.759503477121</v>
      </c>
      <c r="D2552" s="18" t="n">
        <f aca="false">'Black-Scholes'!$B$5*EXP(('Black-Scholes'!$B$8-'Black-Scholes'!$B$10-'Black-Scholes'!$B$9^2/2)*'Black-Scholes'!$B$7-'Black-Scholes'!$B$9*SQRT('Black-Scholes'!$B$7)*B2552)</f>
        <v>94.168253122967</v>
      </c>
      <c r="E2552" s="18" t="n">
        <f aca="false">EXP(-'Black-Scholes'!$B$8*'Black-Scholes'!$B$7)*IF(LOWER('Black-Scholes'!$B$11)="put",MAX('Black-Scholes'!$B$6-C2552,0),MAX(C2552-'Black-Scholes'!$B$6,0))</f>
        <v>12.1372151494565</v>
      </c>
      <c r="F2552" s="18" t="n">
        <f aca="false">(E2552+G2552)/2</f>
        <v>6.06860757472827</v>
      </c>
      <c r="G2552" s="18" t="n">
        <f aca="false">EXP(-'Black-Scholes'!$B$8*'Black-Scholes'!$B$7)*IF(LOWER('Black-Scholes'!$B$11)="put",MAX('Black-Scholes'!$B$6-D2552,0),MAX(D2552-'Black-Scholes'!$B$6,0))</f>
        <v>0</v>
      </c>
    </row>
    <row r="2553" customFormat="false" ht="15" hidden="false" customHeight="false" outlineLevel="0" collapsed="false">
      <c r="A2553" s="0" t="n">
        <v>2542</v>
      </c>
      <c r="B2553" s="15" t="n">
        <v>-0.318408504815035</v>
      </c>
      <c r="C2553" s="18" t="n">
        <f aca="false">'Black-Scholes'!$B$5*EXP(('Black-Scholes'!$B$8-'Black-Scholes'!$B$10-'Black-Scholes'!$B$9^2/2)*'Black-Scholes'!$B$7+'Black-Scholes'!$B$9*SQRT('Black-Scholes'!$B$7)*B2553)</f>
        <v>96.687921238556</v>
      </c>
      <c r="D2553" s="18" t="n">
        <f aca="false">'Black-Scholes'!$B$5*EXP(('Black-Scholes'!$B$8-'Black-Scholes'!$B$10-'Black-Scholes'!$B$9^2/2)*'Black-Scholes'!$B$7-'Black-Scholes'!$B$9*SQRT('Black-Scholes'!$B$7)*B2553)</f>
        <v>109.821013105196</v>
      </c>
      <c r="E2553" s="18" t="n">
        <f aca="false">EXP(-'Black-Scholes'!$B$8*'Black-Scholes'!$B$7)*IF(LOWER('Black-Scholes'!$B$11)="put",MAX('Black-Scholes'!$B$6-C2553,0),MAX(C2553-'Black-Scholes'!$B$6,0))</f>
        <v>0</v>
      </c>
      <c r="F2553" s="18" t="n">
        <f aca="false">(E2553+G2553)/2</f>
        <v>4.6710183220347</v>
      </c>
      <c r="G2553" s="18" t="n">
        <f aca="false">EXP(-'Black-Scholes'!$B$8*'Black-Scholes'!$B$7)*IF(LOWER('Black-Scholes'!$B$11)="put",MAX('Black-Scholes'!$B$6-D2553,0),MAX(D2553-'Black-Scholes'!$B$6,0))</f>
        <v>9.3420366440694</v>
      </c>
    </row>
    <row r="2554" customFormat="false" ht="15" hidden="false" customHeight="false" outlineLevel="0" collapsed="false">
      <c r="A2554" s="0" t="n">
        <v>2543</v>
      </c>
      <c r="B2554" s="15" t="n">
        <v>-1.55071077836481</v>
      </c>
      <c r="C2554" s="18" t="n">
        <f aca="false">'Black-Scholes'!$B$5*EXP(('Black-Scholes'!$B$8-'Black-Scholes'!$B$10-'Black-Scholes'!$B$9^2/2)*'Black-Scholes'!$B$7+'Black-Scholes'!$B$9*SQRT('Black-Scholes'!$B$7)*B2554)</f>
        <v>75.5676310145512</v>
      </c>
      <c r="D2554" s="18" t="n">
        <f aca="false">'Black-Scholes'!$B$5*EXP(('Black-Scholes'!$B$8-'Black-Scholes'!$B$10-'Black-Scholes'!$B$9^2/2)*'Black-Scholes'!$B$7-'Black-Scholes'!$B$9*SQRT('Black-Scholes'!$B$7)*B2554)</f>
        <v>140.514732603023</v>
      </c>
      <c r="E2554" s="18" t="n">
        <f aca="false">EXP(-'Black-Scholes'!$B$8*'Black-Scholes'!$B$7)*IF(LOWER('Black-Scholes'!$B$11)="put",MAX('Black-Scholes'!$B$6-C2554,0),MAX(C2554-'Black-Scholes'!$B$6,0))</f>
        <v>0</v>
      </c>
      <c r="F2554" s="18" t="n">
        <f aca="false">(E2554+G2554)/2</f>
        <v>19.2694028888871</v>
      </c>
      <c r="G2554" s="18" t="n">
        <f aca="false">EXP(-'Black-Scholes'!$B$8*'Black-Scholes'!$B$7)*IF(LOWER('Black-Scholes'!$B$11)="put",MAX('Black-Scholes'!$B$6-D2554,0),MAX(D2554-'Black-Scholes'!$B$6,0))</f>
        <v>38.5388057777743</v>
      </c>
    </row>
    <row r="2555" customFormat="false" ht="15" hidden="false" customHeight="false" outlineLevel="0" collapsed="false">
      <c r="A2555" s="0" t="n">
        <v>2544</v>
      </c>
      <c r="B2555" s="15" t="n">
        <v>1.76706203019605</v>
      </c>
      <c r="C2555" s="18" t="n">
        <f aca="false">'Black-Scholes'!$B$5*EXP(('Black-Scholes'!$B$8-'Black-Scholes'!$B$10-'Black-Scholes'!$B$9^2/2)*'Black-Scholes'!$B$7+'Black-Scholes'!$B$9*SQRT('Black-Scholes'!$B$7)*B2555)</f>
        <v>146.72830216881</v>
      </c>
      <c r="D2555" s="18" t="n">
        <f aca="false">'Black-Scholes'!$B$5*EXP(('Black-Scholes'!$B$8-'Black-Scholes'!$B$10-'Black-Scholes'!$B$9^2/2)*'Black-Scholes'!$B$7-'Black-Scholes'!$B$9*SQRT('Black-Scholes'!$B$7)*B2555)</f>
        <v>72.3675344735963</v>
      </c>
      <c r="E2555" s="18" t="n">
        <f aca="false">EXP(-'Black-Scholes'!$B$8*'Black-Scholes'!$B$7)*IF(LOWER('Black-Scholes'!$B$11)="put",MAX('Black-Scholes'!$B$6-C2555,0),MAX(C2555-'Black-Scholes'!$B$6,0))</f>
        <v>44.4493359799324</v>
      </c>
      <c r="F2555" s="18" t="n">
        <f aca="false">(E2555+G2555)/2</f>
        <v>22.2246679899662</v>
      </c>
      <c r="G2555" s="18" t="n">
        <f aca="false">EXP(-'Black-Scholes'!$B$8*'Black-Scholes'!$B$7)*IF(LOWER('Black-Scholes'!$B$11)="put",MAX('Black-Scholes'!$B$6-D2555,0),MAX(D2555-'Black-Scholes'!$B$6,0))</f>
        <v>0</v>
      </c>
    </row>
    <row r="2556" customFormat="false" ht="15" hidden="false" customHeight="false" outlineLevel="0" collapsed="false">
      <c r="A2556" s="0" t="n">
        <v>2545</v>
      </c>
      <c r="B2556" s="15" t="n">
        <v>0.916204161935837</v>
      </c>
      <c r="C2556" s="18" t="n">
        <f aca="false">'Black-Scholes'!$B$5*EXP(('Black-Scholes'!$B$8-'Black-Scholes'!$B$10-'Black-Scholes'!$B$9^2/2)*'Black-Scholes'!$B$7+'Black-Scholes'!$B$9*SQRT('Black-Scholes'!$B$7)*B2556)</f>
        <v>123.768268943019</v>
      </c>
      <c r="D2556" s="18" t="n">
        <f aca="false">'Black-Scholes'!$B$5*EXP(('Black-Scholes'!$B$8-'Black-Scholes'!$B$10-'Black-Scholes'!$B$9^2/2)*'Black-Scholes'!$B$7-'Black-Scholes'!$B$9*SQRT('Black-Scholes'!$B$7)*B2556)</f>
        <v>85.7923081265857</v>
      </c>
      <c r="E2556" s="18" t="n">
        <f aca="false">EXP(-'Black-Scholes'!$B$8*'Black-Scholes'!$B$7)*IF(LOWER('Black-Scholes'!$B$11)="put",MAX('Black-Scholes'!$B$6-C2556,0),MAX(C2556-'Black-Scholes'!$B$6,0))</f>
        <v>22.6090767880459</v>
      </c>
      <c r="F2556" s="18" t="n">
        <f aca="false">(E2556+G2556)/2</f>
        <v>11.304538394023</v>
      </c>
      <c r="G2556" s="18" t="n">
        <f aca="false">EXP(-'Black-Scholes'!$B$8*'Black-Scholes'!$B$7)*IF(LOWER('Black-Scholes'!$B$11)="put",MAX('Black-Scholes'!$B$6-D2556,0),MAX(D2556-'Black-Scholes'!$B$6,0))</f>
        <v>0</v>
      </c>
    </row>
    <row r="2557" customFormat="false" ht="15" hidden="false" customHeight="false" outlineLevel="0" collapsed="false">
      <c r="A2557" s="0" t="n">
        <v>2546</v>
      </c>
      <c r="B2557" s="15" t="n">
        <v>-0.628643810091891</v>
      </c>
      <c r="C2557" s="18" t="n">
        <f aca="false">'Black-Scholes'!$B$5*EXP(('Black-Scholes'!$B$8-'Black-Scholes'!$B$10-'Black-Scholes'!$B$9^2/2)*'Black-Scholes'!$B$7+'Black-Scholes'!$B$9*SQRT('Black-Scholes'!$B$7)*B2557)</f>
        <v>90.871045943569</v>
      </c>
      <c r="D2557" s="18" t="n">
        <f aca="false">'Black-Scholes'!$B$5*EXP(('Black-Scholes'!$B$8-'Black-Scholes'!$B$10-'Black-Scholes'!$B$9^2/2)*'Black-Scholes'!$B$7-'Black-Scholes'!$B$9*SQRT('Black-Scholes'!$B$7)*B2557)</f>
        <v>116.850921602109</v>
      </c>
      <c r="E2557" s="18" t="n">
        <f aca="false">EXP(-'Black-Scholes'!$B$8*'Black-Scholes'!$B$7)*IF(LOWER('Black-Scholes'!$B$11)="put",MAX('Black-Scholes'!$B$6-C2557,0),MAX(C2557-'Black-Scholes'!$B$6,0))</f>
        <v>0</v>
      </c>
      <c r="F2557" s="18" t="n">
        <f aca="false">(E2557+G2557)/2</f>
        <v>8.01454622894021</v>
      </c>
      <c r="G2557" s="18" t="n">
        <f aca="false">EXP(-'Black-Scholes'!$B$8*'Black-Scholes'!$B$7)*IF(LOWER('Black-Scholes'!$B$11)="put",MAX('Black-Scholes'!$B$6-D2557,0),MAX(D2557-'Black-Scholes'!$B$6,0))</f>
        <v>16.0290924578804</v>
      </c>
    </row>
    <row r="2558" customFormat="false" ht="15" hidden="false" customHeight="false" outlineLevel="0" collapsed="false">
      <c r="A2558" s="0" t="n">
        <v>2547</v>
      </c>
      <c r="B2558" s="15" t="n">
        <v>-1.53824713652039</v>
      </c>
      <c r="C2558" s="18" t="n">
        <f aca="false">'Black-Scholes'!$B$5*EXP(('Black-Scholes'!$B$8-'Black-Scholes'!$B$10-'Black-Scholes'!$B$9^2/2)*'Black-Scholes'!$B$7+'Black-Scholes'!$B$9*SQRT('Black-Scholes'!$B$7)*B2558)</f>
        <v>75.7562355644456</v>
      </c>
      <c r="D2558" s="18" t="n">
        <f aca="false">'Black-Scholes'!$B$5*EXP(('Black-Scholes'!$B$8-'Black-Scholes'!$B$10-'Black-Scholes'!$B$9^2/2)*'Black-Scholes'!$B$7-'Black-Scholes'!$B$9*SQRT('Black-Scholes'!$B$7)*B2558)</f>
        <v>140.16490373813</v>
      </c>
      <c r="E2558" s="18" t="n">
        <f aca="false">EXP(-'Black-Scholes'!$B$8*'Black-Scholes'!$B$7)*IF(LOWER('Black-Scholes'!$B$11)="put",MAX('Black-Scholes'!$B$6-C2558,0),MAX(C2558-'Black-Scholes'!$B$6,0))</f>
        <v>0</v>
      </c>
      <c r="F2558" s="18" t="n">
        <f aca="false">(E2558+G2558)/2</f>
        <v>19.1030191339739</v>
      </c>
      <c r="G2558" s="18" t="n">
        <f aca="false">EXP(-'Black-Scholes'!$B$8*'Black-Scholes'!$B$7)*IF(LOWER('Black-Scholes'!$B$11)="put",MAX('Black-Scholes'!$B$6-D2558,0),MAX(D2558-'Black-Scholes'!$B$6,0))</f>
        <v>38.2060382679478</v>
      </c>
    </row>
    <row r="2559" customFormat="false" ht="15" hidden="false" customHeight="false" outlineLevel="0" collapsed="false">
      <c r="A2559" s="0" t="n">
        <v>2548</v>
      </c>
      <c r="B2559" s="15" t="n">
        <v>-0.598434308759113</v>
      </c>
      <c r="C2559" s="18" t="n">
        <f aca="false">'Black-Scholes'!$B$5*EXP(('Black-Scholes'!$B$8-'Black-Scholes'!$B$10-'Black-Scholes'!$B$9^2/2)*'Black-Scholes'!$B$7+'Black-Scholes'!$B$9*SQRT('Black-Scholes'!$B$7)*B2559)</f>
        <v>91.4217416894234</v>
      </c>
      <c r="D2559" s="18" t="n">
        <f aca="false">'Black-Scholes'!$B$5*EXP(('Black-Scholes'!$B$8-'Black-Scholes'!$B$10-'Black-Scholes'!$B$9^2/2)*'Black-Scholes'!$B$7-'Black-Scholes'!$B$9*SQRT('Black-Scholes'!$B$7)*B2559)</f>
        <v>116.147048494505</v>
      </c>
      <c r="E2559" s="18" t="n">
        <f aca="false">EXP(-'Black-Scholes'!$B$8*'Black-Scholes'!$B$7)*IF(LOWER('Black-Scholes'!$B$11)="put",MAX('Black-Scholes'!$B$6-C2559,0),MAX(C2559-'Black-Scholes'!$B$6,0))</f>
        <v>0</v>
      </c>
      <c r="F2559" s="18" t="n">
        <f aca="false">(E2559+G2559)/2</f>
        <v>7.67977382340668</v>
      </c>
      <c r="G2559" s="18" t="n">
        <f aca="false">EXP(-'Black-Scholes'!$B$8*'Black-Scholes'!$B$7)*IF(LOWER('Black-Scholes'!$B$11)="put",MAX('Black-Scholes'!$B$6-D2559,0),MAX(D2559-'Black-Scholes'!$B$6,0))</f>
        <v>15.3595476468134</v>
      </c>
    </row>
    <row r="2560" customFormat="false" ht="15" hidden="false" customHeight="false" outlineLevel="0" collapsed="false">
      <c r="A2560" s="0" t="n">
        <v>2549</v>
      </c>
      <c r="B2560" s="15" t="n">
        <v>2.19797141382175</v>
      </c>
      <c r="C2560" s="18" t="n">
        <f aca="false">'Black-Scholes'!$B$5*EXP(('Black-Scholes'!$B$8-'Black-Scholes'!$B$10-'Black-Scholes'!$B$9^2/2)*'Black-Scholes'!$B$7+'Black-Scholes'!$B$9*SQRT('Black-Scholes'!$B$7)*B2560)</f>
        <v>159.934517966313</v>
      </c>
      <c r="D2560" s="18" t="n">
        <f aca="false">'Black-Scholes'!$B$5*EXP(('Black-Scholes'!$B$8-'Black-Scholes'!$B$10-'Black-Scholes'!$B$9^2/2)*'Black-Scholes'!$B$7-'Black-Scholes'!$B$9*SQRT('Black-Scholes'!$B$7)*B2560)</f>
        <v>66.3919559109196</v>
      </c>
      <c r="E2560" s="18" t="n">
        <f aca="false">EXP(-'Black-Scholes'!$B$8*'Black-Scholes'!$B$7)*IF(LOWER('Black-Scholes'!$B$11)="put",MAX('Black-Scholes'!$B$6-C2560,0),MAX(C2560-'Black-Scholes'!$B$6,0))</f>
        <v>57.0114770328232</v>
      </c>
      <c r="F2560" s="18" t="n">
        <f aca="false">(E2560+G2560)/2</f>
        <v>28.5057385164116</v>
      </c>
      <c r="G2560" s="18" t="n">
        <f aca="false">EXP(-'Black-Scholes'!$B$8*'Black-Scholes'!$B$7)*IF(LOWER('Black-Scholes'!$B$11)="put",MAX('Black-Scholes'!$B$6-D2560,0),MAX(D2560-'Black-Scholes'!$B$6,0))</f>
        <v>0</v>
      </c>
    </row>
    <row r="2561" customFormat="false" ht="15" hidden="false" customHeight="false" outlineLevel="0" collapsed="false">
      <c r="A2561" s="0" t="n">
        <v>2550</v>
      </c>
      <c r="B2561" s="15" t="n">
        <v>-0.0463443464499137</v>
      </c>
      <c r="C2561" s="18" t="n">
        <f aca="false">'Black-Scholes'!$B$5*EXP(('Black-Scholes'!$B$8-'Black-Scholes'!$B$10-'Black-Scholes'!$B$9^2/2)*'Black-Scholes'!$B$7+'Black-Scholes'!$B$9*SQRT('Black-Scholes'!$B$7)*B2561)</f>
        <v>102.094751329871</v>
      </c>
      <c r="D2561" s="18" t="n">
        <f aca="false">'Black-Scholes'!$B$5*EXP(('Black-Scholes'!$B$8-'Black-Scholes'!$B$10-'Black-Scholes'!$B$9^2/2)*'Black-Scholes'!$B$7-'Black-Scholes'!$B$9*SQRT('Black-Scholes'!$B$7)*B2561)</f>
        <v>104.005008358808</v>
      </c>
      <c r="E2561" s="18" t="n">
        <f aca="false">EXP(-'Black-Scholes'!$B$8*'Black-Scholes'!$B$7)*IF(LOWER('Black-Scholes'!$B$11)="put",MAX('Black-Scholes'!$B$6-C2561,0),MAX(C2561-'Black-Scholes'!$B$6,0))</f>
        <v>1.99258910198514</v>
      </c>
      <c r="F2561" s="18" t="n">
        <f aca="false">(E2561+G2561)/2</f>
        <v>2.90113544912712</v>
      </c>
      <c r="G2561" s="18" t="n">
        <f aca="false">EXP(-'Black-Scholes'!$B$8*'Black-Scholes'!$B$7)*IF(LOWER('Black-Scholes'!$B$11)="put",MAX('Black-Scholes'!$B$6-D2561,0),MAX(D2561-'Black-Scholes'!$B$6,0))</f>
        <v>3.8096817962691</v>
      </c>
    </row>
    <row r="2562" customFormat="false" ht="15" hidden="false" customHeight="false" outlineLevel="0" collapsed="false">
      <c r="A2562" s="0" t="n">
        <v>2551</v>
      </c>
      <c r="B2562" s="15" t="n">
        <v>1.04972983669866</v>
      </c>
      <c r="C2562" s="18" t="n">
        <f aca="false">'Black-Scholes'!$B$5*EXP(('Black-Scholes'!$B$8-'Black-Scholes'!$B$10-'Black-Scholes'!$B$9^2/2)*'Black-Scholes'!$B$7+'Black-Scholes'!$B$9*SQRT('Black-Scholes'!$B$7)*B2562)</f>
        <v>127.118046320364</v>
      </c>
      <c r="D2562" s="18" t="n">
        <f aca="false">'Black-Scholes'!$B$5*EXP(('Black-Scholes'!$B$8-'Black-Scholes'!$B$10-'Black-Scholes'!$B$9^2/2)*'Black-Scholes'!$B$7-'Black-Scholes'!$B$9*SQRT('Black-Scholes'!$B$7)*B2562)</f>
        <v>83.5315344502157</v>
      </c>
      <c r="E2562" s="18" t="n">
        <f aca="false">EXP(-'Black-Scholes'!$B$8*'Black-Scholes'!$B$7)*IF(LOWER('Black-Scholes'!$B$11)="put",MAX('Black-Scholes'!$B$6-C2562,0),MAX(C2562-'Black-Scholes'!$B$6,0))</f>
        <v>25.7954835949035</v>
      </c>
      <c r="F2562" s="18" t="n">
        <f aca="false">(E2562+G2562)/2</f>
        <v>12.8977417974517</v>
      </c>
      <c r="G2562" s="18" t="n">
        <f aca="false">EXP(-'Black-Scholes'!$B$8*'Black-Scholes'!$B$7)*IF(LOWER('Black-Scholes'!$B$11)="put",MAX('Black-Scholes'!$B$6-D2562,0),MAX(D2562-'Black-Scholes'!$B$6,0))</f>
        <v>0</v>
      </c>
    </row>
    <row r="2563" customFormat="false" ht="15" hidden="false" customHeight="false" outlineLevel="0" collapsed="false">
      <c r="A2563" s="0" t="n">
        <v>2552</v>
      </c>
      <c r="B2563" s="15" t="n">
        <v>0.01870919219458</v>
      </c>
      <c r="C2563" s="18" t="n">
        <f aca="false">'Black-Scholes'!$B$5*EXP(('Black-Scholes'!$B$8-'Black-Scholes'!$B$10-'Black-Scholes'!$B$9^2/2)*'Black-Scholes'!$B$7+'Black-Scholes'!$B$9*SQRT('Black-Scholes'!$B$7)*B2563)</f>
        <v>103.431755122419</v>
      </c>
      <c r="D2563" s="18" t="n">
        <f aca="false">'Black-Scholes'!$B$5*EXP(('Black-Scholes'!$B$8-'Black-Scholes'!$B$10-'Black-Scholes'!$B$9^2/2)*'Black-Scholes'!$B$7-'Black-Scholes'!$B$9*SQRT('Black-Scholes'!$B$7)*B2563)</f>
        <v>102.660594445932</v>
      </c>
      <c r="E2563" s="18" t="n">
        <f aca="false">EXP(-'Black-Scholes'!$B$8*'Black-Scholes'!$B$7)*IF(LOWER('Black-Scholes'!$B$11)="put",MAX('Black-Scholes'!$B$6-C2563,0),MAX(C2563-'Black-Scholes'!$B$6,0))</f>
        <v>3.26438645012576</v>
      </c>
      <c r="F2563" s="18" t="n">
        <f aca="false">(E2563+G2563)/2</f>
        <v>2.89761108687979</v>
      </c>
      <c r="G2563" s="18" t="n">
        <f aca="false">EXP(-'Black-Scholes'!$B$8*'Black-Scholes'!$B$7)*IF(LOWER('Black-Scholes'!$B$11)="put",MAX('Black-Scholes'!$B$6-D2563,0),MAX(D2563-'Black-Scholes'!$B$6,0))</f>
        <v>2.53083572363382</v>
      </c>
    </row>
    <row r="2564" customFormat="false" ht="15" hidden="false" customHeight="false" outlineLevel="0" collapsed="false">
      <c r="A2564" s="0" t="n">
        <v>2553</v>
      </c>
      <c r="B2564" s="15" t="n">
        <v>-0.00668210273285384</v>
      </c>
      <c r="C2564" s="18" t="n">
        <f aca="false">'Black-Scholes'!$B$5*EXP(('Black-Scholes'!$B$8-'Black-Scholes'!$B$10-'Black-Scholes'!$B$9^2/2)*'Black-Scholes'!$B$7+'Black-Scholes'!$B$9*SQRT('Black-Scholes'!$B$7)*B2564)</f>
        <v>102.907833313838</v>
      </c>
      <c r="D2564" s="18" t="n">
        <f aca="false">'Black-Scholes'!$B$5*EXP(('Black-Scholes'!$B$8-'Black-Scholes'!$B$10-'Black-Scholes'!$B$9^2/2)*'Black-Scholes'!$B$7-'Black-Scholes'!$B$9*SQRT('Black-Scholes'!$B$7)*B2564)</f>
        <v>103.18325751812</v>
      </c>
      <c r="E2564" s="18" t="n">
        <f aca="false">EXP(-'Black-Scholes'!$B$8*'Black-Scholes'!$B$7)*IF(LOWER('Black-Scholes'!$B$11)="put",MAX('Black-Scholes'!$B$6-C2564,0),MAX(C2564-'Black-Scholes'!$B$6,0))</f>
        <v>2.7660166096665</v>
      </c>
      <c r="F2564" s="18" t="n">
        <f aca="false">(E2564+G2564)/2</f>
        <v>2.89701241333286</v>
      </c>
      <c r="G2564" s="18" t="n">
        <f aca="false">EXP(-'Black-Scholes'!$B$8*'Black-Scholes'!$B$7)*IF(LOWER('Black-Scholes'!$B$11)="put",MAX('Black-Scholes'!$B$6-D2564,0),MAX(D2564-'Black-Scholes'!$B$6,0))</f>
        <v>3.02800821699923</v>
      </c>
    </row>
    <row r="2565" customFormat="false" ht="15" hidden="false" customHeight="false" outlineLevel="0" collapsed="false">
      <c r="A2565" s="0" t="n">
        <v>2554</v>
      </c>
      <c r="B2565" s="15" t="n">
        <v>-1.07265269324189</v>
      </c>
      <c r="C2565" s="18" t="n">
        <f aca="false">'Black-Scholes'!$B$5*EXP(('Black-Scholes'!$B$8-'Black-Scholes'!$B$10-'Black-Scholes'!$B$9^2/2)*'Black-Scholes'!$B$7+'Black-Scholes'!$B$9*SQRT('Black-Scholes'!$B$7)*B2565)</f>
        <v>83.1494546792078</v>
      </c>
      <c r="D2565" s="18" t="n">
        <f aca="false">'Black-Scholes'!$B$5*EXP(('Black-Scholes'!$B$8-'Black-Scholes'!$B$10-'Black-Scholes'!$B$9^2/2)*'Black-Scholes'!$B$7-'Black-Scholes'!$B$9*SQRT('Black-Scholes'!$B$7)*B2565)</f>
        <v>127.702166014431</v>
      </c>
      <c r="E2565" s="18" t="n">
        <f aca="false">EXP(-'Black-Scholes'!$B$8*'Black-Scholes'!$B$7)*IF(LOWER('Black-Scholes'!$B$11)="put",MAX('Black-Scholes'!$B$6-C2565,0),MAX(C2565-'Black-Scholes'!$B$6,0))</f>
        <v>0</v>
      </c>
      <c r="F2565" s="18" t="n">
        <f aca="false">(E2565+G2565)/2</f>
        <v>13.1755577176652</v>
      </c>
      <c r="G2565" s="18" t="n">
        <f aca="false">EXP(-'Black-Scholes'!$B$8*'Black-Scholes'!$B$7)*IF(LOWER('Black-Scholes'!$B$11)="put",MAX('Black-Scholes'!$B$6-D2565,0),MAX(D2565-'Black-Scholes'!$B$6,0))</f>
        <v>26.3511154353304</v>
      </c>
    </row>
    <row r="2566" customFormat="false" ht="15" hidden="false" customHeight="false" outlineLevel="0" collapsed="false">
      <c r="A2566" s="0" t="n">
        <v>2555</v>
      </c>
      <c r="B2566" s="15" t="n">
        <v>0.430126511634619</v>
      </c>
      <c r="C2566" s="18" t="n">
        <f aca="false">'Black-Scholes'!$B$5*EXP(('Black-Scholes'!$B$8-'Black-Scholes'!$B$10-'Black-Scholes'!$B$9^2/2)*'Black-Scholes'!$B$7+'Black-Scholes'!$B$9*SQRT('Black-Scholes'!$B$7)*B2566)</f>
        <v>112.302428690142</v>
      </c>
      <c r="D2566" s="18" t="n">
        <f aca="false">'Black-Scholes'!$B$5*EXP(('Black-Scholes'!$B$8-'Black-Scholes'!$B$10-'Black-Scholes'!$B$9^2/2)*'Black-Scholes'!$B$7-'Black-Scholes'!$B$9*SQRT('Black-Scholes'!$B$7)*B2566)</f>
        <v>94.5515211852729</v>
      </c>
      <c r="E2566" s="18" t="n">
        <f aca="false">EXP(-'Black-Scholes'!$B$8*'Black-Scholes'!$B$7)*IF(LOWER('Black-Scholes'!$B$11)="put",MAX('Black-Scholes'!$B$6-C2566,0),MAX(C2566-'Black-Scholes'!$B$6,0))</f>
        <v>11.7024321628852</v>
      </c>
      <c r="F2566" s="18" t="n">
        <f aca="false">(E2566+G2566)/2</f>
        <v>5.8512160814426</v>
      </c>
      <c r="G2566" s="18" t="n">
        <f aca="false">EXP(-'Black-Scholes'!$B$8*'Black-Scholes'!$B$7)*IF(LOWER('Black-Scholes'!$B$11)="put",MAX('Black-Scholes'!$B$6-D2566,0),MAX(D2566-'Black-Scholes'!$B$6,0))</f>
        <v>0</v>
      </c>
    </row>
    <row r="2567" customFormat="false" ht="15" hidden="false" customHeight="false" outlineLevel="0" collapsed="false">
      <c r="A2567" s="0" t="n">
        <v>2556</v>
      </c>
      <c r="B2567" s="15" t="n">
        <v>-0.622265731424155</v>
      </c>
      <c r="C2567" s="18" t="n">
        <f aca="false">'Black-Scholes'!$B$5*EXP(('Black-Scholes'!$B$8-'Black-Scholes'!$B$10-'Black-Scholes'!$B$9^2/2)*'Black-Scholes'!$B$7+'Black-Scholes'!$B$9*SQRT('Black-Scholes'!$B$7)*B2567)</f>
        <v>90.9870364434236</v>
      </c>
      <c r="D2567" s="18" t="n">
        <f aca="false">'Black-Scholes'!$B$5*EXP(('Black-Scholes'!$B$8-'Black-Scholes'!$B$10-'Black-Scholes'!$B$9^2/2)*'Black-Scholes'!$B$7-'Black-Scholes'!$B$9*SQRT('Black-Scholes'!$B$7)*B2567)</f>
        <v>116.701959757269</v>
      </c>
      <c r="E2567" s="18" t="n">
        <f aca="false">EXP(-'Black-Scholes'!$B$8*'Black-Scholes'!$B$7)*IF(LOWER('Black-Scholes'!$B$11)="put",MAX('Black-Scholes'!$B$6-C2567,0),MAX(C2567-'Black-Scholes'!$B$6,0))</f>
        <v>0</v>
      </c>
      <c r="F2567" s="18" t="n">
        <f aca="false">(E2567+G2567)/2</f>
        <v>7.94369778397059</v>
      </c>
      <c r="G2567" s="18" t="n">
        <f aca="false">EXP(-'Black-Scholes'!$B$8*'Black-Scholes'!$B$7)*IF(LOWER('Black-Scholes'!$B$11)="put",MAX('Black-Scholes'!$B$6-D2567,0),MAX(D2567-'Black-Scholes'!$B$6,0))</f>
        <v>15.8873955679412</v>
      </c>
    </row>
    <row r="2568" customFormat="false" ht="15" hidden="false" customHeight="false" outlineLevel="0" collapsed="false">
      <c r="A2568" s="0" t="n">
        <v>2557</v>
      </c>
      <c r="B2568" s="15" t="n">
        <v>0.723909437188234</v>
      </c>
      <c r="C2568" s="18" t="n">
        <f aca="false">'Black-Scholes'!$B$5*EXP(('Black-Scholes'!$B$8-'Black-Scholes'!$B$10-'Black-Scholes'!$B$9^2/2)*'Black-Scholes'!$B$7+'Black-Scholes'!$B$9*SQRT('Black-Scholes'!$B$7)*B2568)</f>
        <v>119.098641918123</v>
      </c>
      <c r="D2568" s="18" t="n">
        <f aca="false">'Black-Scholes'!$B$5*EXP(('Black-Scholes'!$B$8-'Black-Scholes'!$B$10-'Black-Scholes'!$B$9^2/2)*'Black-Scholes'!$B$7-'Black-Scholes'!$B$9*SQRT('Black-Scholes'!$B$7)*B2568)</f>
        <v>89.1560583264536</v>
      </c>
      <c r="E2568" s="18" t="n">
        <f aca="false">EXP(-'Black-Scholes'!$B$8*'Black-Scholes'!$B$7)*IF(LOWER('Black-Scholes'!$B$11)="put",MAX('Black-Scholes'!$B$6-C2568,0),MAX(C2568-'Black-Scholes'!$B$6,0))</f>
        <v>18.1671901605214</v>
      </c>
      <c r="F2568" s="18" t="n">
        <f aca="false">(E2568+G2568)/2</f>
        <v>9.08359508026072</v>
      </c>
      <c r="G2568" s="18" t="n">
        <f aca="false">EXP(-'Black-Scholes'!$B$8*'Black-Scholes'!$B$7)*IF(LOWER('Black-Scholes'!$B$11)="put",MAX('Black-Scholes'!$B$6-D2568,0),MAX(D2568-'Black-Scholes'!$B$6,0))</f>
        <v>0</v>
      </c>
    </row>
    <row r="2569" customFormat="false" ht="15" hidden="false" customHeight="false" outlineLevel="0" collapsed="false">
      <c r="A2569" s="0" t="n">
        <v>2558</v>
      </c>
      <c r="B2569" s="15" t="n">
        <v>-0.700209125394361</v>
      </c>
      <c r="C2569" s="18" t="n">
        <f aca="false">'Black-Scholes'!$B$5*EXP(('Black-Scholes'!$B$8-'Black-Scholes'!$B$10-'Black-Scholes'!$B$9^2/2)*'Black-Scholes'!$B$7+'Black-Scholes'!$B$9*SQRT('Black-Scholes'!$B$7)*B2569)</f>
        <v>89.579666774671</v>
      </c>
      <c r="D2569" s="18" t="n">
        <f aca="false">'Black-Scholes'!$B$5*EXP(('Black-Scholes'!$B$8-'Black-Scholes'!$B$10-'Black-Scholes'!$B$9^2/2)*'Black-Scholes'!$B$7-'Black-Scholes'!$B$9*SQRT('Black-Scholes'!$B$7)*B2569)</f>
        <v>118.535442782602</v>
      </c>
      <c r="E2569" s="18" t="n">
        <f aca="false">EXP(-'Black-Scholes'!$B$8*'Black-Scholes'!$B$7)*IF(LOWER('Black-Scholes'!$B$11)="put",MAX('Black-Scholes'!$B$6-C2569,0),MAX(C2569-'Black-Scholes'!$B$6,0))</f>
        <v>0</v>
      </c>
      <c r="F2569" s="18" t="n">
        <f aca="false">(E2569+G2569)/2</f>
        <v>8.81572928548034</v>
      </c>
      <c r="G2569" s="18" t="n">
        <f aca="false">EXP(-'Black-Scholes'!$B$8*'Black-Scholes'!$B$7)*IF(LOWER('Black-Scholes'!$B$11)="put",MAX('Black-Scholes'!$B$6-D2569,0),MAX(D2569-'Black-Scholes'!$B$6,0))</f>
        <v>17.6314585709607</v>
      </c>
    </row>
    <row r="2570" customFormat="false" ht="15" hidden="false" customHeight="false" outlineLevel="0" collapsed="false">
      <c r="A2570" s="0" t="n">
        <v>2559</v>
      </c>
      <c r="B2570" s="15" t="n">
        <v>-1.18831838297163</v>
      </c>
      <c r="C2570" s="18" t="n">
        <f aca="false">'Black-Scholes'!$B$5*EXP(('Black-Scholes'!$B$8-'Black-Scholes'!$B$10-'Black-Scholes'!$B$9^2/2)*'Black-Scholes'!$B$7+'Black-Scholes'!$B$9*SQRT('Black-Scholes'!$B$7)*B2570)</f>
        <v>81.2480246889551</v>
      </c>
      <c r="D2570" s="18" t="n">
        <f aca="false">'Black-Scholes'!$B$5*EXP(('Black-Scholes'!$B$8-'Black-Scholes'!$B$10-'Black-Scholes'!$B$9^2/2)*'Black-Scholes'!$B$7-'Black-Scholes'!$B$9*SQRT('Black-Scholes'!$B$7)*B2570)</f>
        <v>130.690752250338</v>
      </c>
      <c r="E2570" s="18" t="n">
        <f aca="false">EXP(-'Black-Scholes'!$B$8*'Black-Scholes'!$B$7)*IF(LOWER('Black-Scholes'!$B$11)="put",MAX('Black-Scholes'!$B$6-C2570,0),MAX(C2570-'Black-Scholes'!$B$6,0))</f>
        <v>0</v>
      </c>
      <c r="F2570" s="18" t="n">
        <f aca="false">(E2570+G2570)/2</f>
        <v>14.5969733002916</v>
      </c>
      <c r="G2570" s="18" t="n">
        <f aca="false">EXP(-'Black-Scholes'!$B$8*'Black-Scholes'!$B$7)*IF(LOWER('Black-Scholes'!$B$11)="put",MAX('Black-Scholes'!$B$6-D2570,0),MAX(D2570-'Black-Scholes'!$B$6,0))</f>
        <v>29.1939466005832</v>
      </c>
    </row>
    <row r="2571" customFormat="false" ht="15" hidden="false" customHeight="false" outlineLevel="0" collapsed="false">
      <c r="A2571" s="0" t="n">
        <v>2560</v>
      </c>
      <c r="B2571" s="15" t="n">
        <v>0.0612372298892672</v>
      </c>
      <c r="C2571" s="18" t="n">
        <f aca="false">'Black-Scholes'!$B$5*EXP(('Black-Scholes'!$B$8-'Black-Scholes'!$B$10-'Black-Scholes'!$B$9^2/2)*'Black-Scholes'!$B$7+'Black-Scholes'!$B$9*SQRT('Black-Scholes'!$B$7)*B2571)</f>
        <v>104.315257072545</v>
      </c>
      <c r="D2571" s="18" t="n">
        <f aca="false">'Black-Scholes'!$B$5*EXP(('Black-Scholes'!$B$8-'Black-Scholes'!$B$10-'Black-Scholes'!$B$9^2/2)*'Black-Scholes'!$B$7-'Black-Scholes'!$B$9*SQRT('Black-Scholes'!$B$7)*B2571)</f>
        <v>101.791106722473</v>
      </c>
      <c r="E2571" s="18" t="n">
        <f aca="false">EXP(-'Black-Scholes'!$B$8*'Black-Scholes'!$B$7)*IF(LOWER('Black-Scholes'!$B$11)="put",MAX('Black-Scholes'!$B$6-C2571,0),MAX(C2571-'Black-Scholes'!$B$6,0))</f>
        <v>4.10479950168954</v>
      </c>
      <c r="F2571" s="18" t="n">
        <f aca="false">(E2571+G2571)/2</f>
        <v>2.9042764592633</v>
      </c>
      <c r="G2571" s="18" t="n">
        <f aca="false">EXP(-'Black-Scholes'!$B$8*'Black-Scholes'!$B$7)*IF(LOWER('Black-Scholes'!$B$11)="put",MAX('Black-Scholes'!$B$6-D2571,0),MAX(D2571-'Black-Scholes'!$B$6,0))</f>
        <v>1.70375341683706</v>
      </c>
    </row>
    <row r="2572" customFormat="false" ht="15" hidden="false" customHeight="false" outlineLevel="0" collapsed="false">
      <c r="A2572" s="0" t="n">
        <v>2561</v>
      </c>
      <c r="B2572" s="15" t="n">
        <v>-0.188497220377002</v>
      </c>
      <c r="C2572" s="18" t="n">
        <f aca="false">'Black-Scholes'!$B$5*EXP(('Black-Scholes'!$B$8-'Black-Scholes'!$B$10-'Black-Scholes'!$B$9^2/2)*'Black-Scholes'!$B$7+'Black-Scholes'!$B$9*SQRT('Black-Scholes'!$B$7)*B2572)</f>
        <v>99.2330120717984</v>
      </c>
      <c r="D2572" s="18" t="n">
        <f aca="false">'Black-Scholes'!$B$5*EXP(('Black-Scholes'!$B$8-'Black-Scholes'!$B$10-'Black-Scholes'!$B$9^2/2)*'Black-Scholes'!$B$7-'Black-Scholes'!$B$9*SQRT('Black-Scholes'!$B$7)*B2572)</f>
        <v>107.00436521841</v>
      </c>
      <c r="E2572" s="18" t="n">
        <f aca="false">EXP(-'Black-Scholes'!$B$8*'Black-Scholes'!$B$7)*IF(LOWER('Black-Scholes'!$B$11)="put",MAX('Black-Scholes'!$B$6-C2572,0),MAX(C2572-'Black-Scholes'!$B$6,0))</f>
        <v>0</v>
      </c>
      <c r="F2572" s="18" t="n">
        <f aca="false">(E2572+G2572)/2</f>
        <v>3.33137914785043</v>
      </c>
      <c r="G2572" s="18" t="n">
        <f aca="false">EXP(-'Black-Scholes'!$B$8*'Black-Scholes'!$B$7)*IF(LOWER('Black-Scholes'!$B$11)="put",MAX('Black-Scholes'!$B$6-D2572,0),MAX(D2572-'Black-Scholes'!$B$6,0))</f>
        <v>6.66275829570087</v>
      </c>
    </row>
    <row r="2573" customFormat="false" ht="15" hidden="false" customHeight="false" outlineLevel="0" collapsed="false">
      <c r="A2573" s="0" t="n">
        <v>2562</v>
      </c>
      <c r="B2573" s="15" t="n">
        <v>-0.705046291224873</v>
      </c>
      <c r="C2573" s="18" t="n">
        <f aca="false">'Black-Scholes'!$B$5*EXP(('Black-Scholes'!$B$8-'Black-Scholes'!$B$10-'Black-Scholes'!$B$9^2/2)*'Black-Scholes'!$B$7+'Black-Scholes'!$B$9*SQRT('Black-Scholes'!$B$7)*B2573)</f>
        <v>89.4930463405211</v>
      </c>
      <c r="D2573" s="18" t="n">
        <f aca="false">'Black-Scholes'!$B$5*EXP(('Black-Scholes'!$B$8-'Black-Scholes'!$B$10-'Black-Scholes'!$B$9^2/2)*'Black-Scholes'!$B$7-'Black-Scholes'!$B$9*SQRT('Black-Scholes'!$B$7)*B2573)</f>
        <v>118.650173389458</v>
      </c>
      <c r="E2573" s="18" t="n">
        <f aca="false">EXP(-'Black-Scholes'!$B$8*'Black-Scholes'!$B$7)*IF(LOWER('Black-Scholes'!$B$11)="put",MAX('Black-Scholes'!$B$6-C2573,0),MAX(C2573-'Black-Scholes'!$B$6,0))</f>
        <v>0</v>
      </c>
      <c r="F2573" s="18" t="n">
        <f aca="false">(E2573+G2573)/2</f>
        <v>8.87029685004617</v>
      </c>
      <c r="G2573" s="18" t="n">
        <f aca="false">EXP(-'Black-Scholes'!$B$8*'Black-Scholes'!$B$7)*IF(LOWER('Black-Scholes'!$B$11)="put",MAX('Black-Scholes'!$B$6-D2573,0),MAX(D2573-'Black-Scholes'!$B$6,0))</f>
        <v>17.7405937000923</v>
      </c>
    </row>
    <row r="2574" customFormat="false" ht="15" hidden="false" customHeight="false" outlineLevel="0" collapsed="false">
      <c r="A2574" s="0" t="n">
        <v>2563</v>
      </c>
      <c r="B2574" s="15" t="n">
        <v>0.175021259537027</v>
      </c>
      <c r="C2574" s="18" t="n">
        <f aca="false">'Black-Scholes'!$B$5*EXP(('Black-Scholes'!$B$8-'Black-Scholes'!$B$10-'Black-Scholes'!$B$9^2/2)*'Black-Scholes'!$B$7+'Black-Scholes'!$B$9*SQRT('Black-Scholes'!$B$7)*B2574)</f>
        <v>106.71635618552</v>
      </c>
      <c r="D2574" s="18" t="n">
        <f aca="false">'Black-Scholes'!$B$5*EXP(('Black-Scholes'!$B$8-'Black-Scholes'!$B$10-'Black-Scholes'!$B$9^2/2)*'Black-Scholes'!$B$7-'Black-Scholes'!$B$9*SQRT('Black-Scholes'!$B$7)*B2574)</f>
        <v>99.5008248500748</v>
      </c>
      <c r="E2574" s="18" t="n">
        <f aca="false">EXP(-'Black-Scholes'!$B$8*'Black-Scholes'!$B$7)*IF(LOWER('Black-Scholes'!$B$11)="put",MAX('Black-Scholes'!$B$6-C2574,0),MAX(C2574-'Black-Scholes'!$B$6,0))</f>
        <v>6.38879562909378</v>
      </c>
      <c r="F2574" s="18" t="n">
        <f aca="false">(E2574+G2574)/2</f>
        <v>3.19439781454689</v>
      </c>
      <c r="G2574" s="18" t="n">
        <f aca="false">EXP(-'Black-Scholes'!$B$8*'Black-Scholes'!$B$7)*IF(LOWER('Black-Scholes'!$B$11)="put",MAX('Black-Scholes'!$B$6-D2574,0),MAX(D2574-'Black-Scholes'!$B$6,0))</f>
        <v>0</v>
      </c>
    </row>
    <row r="2575" customFormat="false" ht="15" hidden="false" customHeight="false" outlineLevel="0" collapsed="false">
      <c r="A2575" s="0" t="n">
        <v>2564</v>
      </c>
      <c r="B2575" s="15" t="n">
        <v>-1.19301281506991</v>
      </c>
      <c r="C2575" s="18" t="n">
        <f aca="false">'Black-Scholes'!$B$5*EXP(('Black-Scholes'!$B$8-'Black-Scholes'!$B$10-'Black-Scholes'!$B$9^2/2)*'Black-Scholes'!$B$7+'Black-Scholes'!$B$9*SQRT('Black-Scholes'!$B$7)*B2575)</f>
        <v>81.1717778211262</v>
      </c>
      <c r="D2575" s="18" t="n">
        <f aca="false">'Black-Scholes'!$B$5*EXP(('Black-Scholes'!$B$8-'Black-Scholes'!$B$10-'Black-Scholes'!$B$9^2/2)*'Black-Scholes'!$B$7-'Black-Scholes'!$B$9*SQRT('Black-Scholes'!$B$7)*B2575)</f>
        <v>130.813513643285</v>
      </c>
      <c r="E2575" s="18" t="n">
        <f aca="false">EXP(-'Black-Scholes'!$B$8*'Black-Scholes'!$B$7)*IF(LOWER('Black-Scholes'!$B$11)="put",MAX('Black-Scholes'!$B$6-C2575,0),MAX(C2575-'Black-Scholes'!$B$6,0))</f>
        <v>0</v>
      </c>
      <c r="F2575" s="18" t="n">
        <f aca="false">(E2575+G2575)/2</f>
        <v>14.6553604248735</v>
      </c>
      <c r="G2575" s="18" t="n">
        <f aca="false">EXP(-'Black-Scholes'!$B$8*'Black-Scholes'!$B$7)*IF(LOWER('Black-Scholes'!$B$11)="put",MAX('Black-Scholes'!$B$6-D2575,0),MAX(D2575-'Black-Scholes'!$B$6,0))</f>
        <v>29.310720849747</v>
      </c>
    </row>
    <row r="2576" customFormat="false" ht="15" hidden="false" customHeight="false" outlineLevel="0" collapsed="false">
      <c r="A2576" s="0" t="n">
        <v>2565</v>
      </c>
      <c r="B2576" s="15" t="n">
        <v>0.660075997985005</v>
      </c>
      <c r="C2576" s="18" t="n">
        <f aca="false">'Black-Scholes'!$B$5*EXP(('Black-Scholes'!$B$8-'Black-Scholes'!$B$10-'Black-Scholes'!$B$9^2/2)*'Black-Scholes'!$B$7+'Black-Scholes'!$B$9*SQRT('Black-Scholes'!$B$7)*B2576)</f>
        <v>117.587811405863</v>
      </c>
      <c r="D2576" s="18" t="n">
        <f aca="false">'Black-Scholes'!$B$5*EXP(('Black-Scholes'!$B$8-'Black-Scholes'!$B$10-'Black-Scholes'!$B$9^2/2)*'Black-Scholes'!$B$7-'Black-Scholes'!$B$9*SQRT('Black-Scholes'!$B$7)*B2576)</f>
        <v>90.3015826087923</v>
      </c>
      <c r="E2576" s="18" t="n">
        <f aca="false">EXP(-'Black-Scholes'!$B$8*'Black-Scholes'!$B$7)*IF(LOWER('Black-Scholes'!$B$11)="put",MAX('Black-Scholes'!$B$6-C2576,0),MAX(C2576-'Black-Scholes'!$B$6,0))</f>
        <v>16.7300437218258</v>
      </c>
      <c r="F2576" s="18" t="n">
        <f aca="false">(E2576+G2576)/2</f>
        <v>8.36502186091289</v>
      </c>
      <c r="G2576" s="18" t="n">
        <f aca="false">EXP(-'Black-Scholes'!$B$8*'Black-Scholes'!$B$7)*IF(LOWER('Black-Scholes'!$B$11)="put",MAX('Black-Scholes'!$B$6-D2576,0),MAX(D2576-'Black-Scholes'!$B$6,0))</f>
        <v>0</v>
      </c>
    </row>
    <row r="2577" customFormat="false" ht="15" hidden="false" customHeight="false" outlineLevel="0" collapsed="false">
      <c r="A2577" s="0" t="n">
        <v>2566</v>
      </c>
      <c r="B2577" s="15" t="n">
        <v>-1.17314739225425</v>
      </c>
      <c r="C2577" s="18" t="n">
        <f aca="false">'Black-Scholes'!$B$5*EXP(('Black-Scholes'!$B$8-'Black-Scholes'!$B$10-'Black-Scholes'!$B$9^2/2)*'Black-Scholes'!$B$7+'Black-Scholes'!$B$9*SQRT('Black-Scholes'!$B$7)*B2577)</f>
        <v>81.4949216723935</v>
      </c>
      <c r="D2577" s="18" t="n">
        <f aca="false">'Black-Scholes'!$B$5*EXP(('Black-Scholes'!$B$8-'Black-Scholes'!$B$10-'Black-Scholes'!$B$9^2/2)*'Black-Scholes'!$B$7-'Black-Scholes'!$B$9*SQRT('Black-Scholes'!$B$7)*B2577)</f>
        <v>130.294811597452</v>
      </c>
      <c r="E2577" s="18" t="n">
        <f aca="false">EXP(-'Black-Scholes'!$B$8*'Black-Scholes'!$B$7)*IF(LOWER('Black-Scholes'!$B$11)="put",MAX('Black-Scholes'!$B$6-C2577,0),MAX(C2577-'Black-Scholes'!$B$6,0))</f>
        <v>0</v>
      </c>
      <c r="F2577" s="18" t="n">
        <f aca="false">(E2577+G2577)/2</f>
        <v>14.4086581006008</v>
      </c>
      <c r="G2577" s="18" t="n">
        <f aca="false">EXP(-'Black-Scholes'!$B$8*'Black-Scholes'!$B$7)*IF(LOWER('Black-Scholes'!$B$11)="put",MAX('Black-Scholes'!$B$6-D2577,0),MAX(D2577-'Black-Scholes'!$B$6,0))</f>
        <v>28.8173162012016</v>
      </c>
    </row>
    <row r="2578" customFormat="false" ht="15" hidden="false" customHeight="false" outlineLevel="0" collapsed="false">
      <c r="A2578" s="0" t="n">
        <v>2567</v>
      </c>
      <c r="B2578" s="15" t="n">
        <v>0.671289995173919</v>
      </c>
      <c r="C2578" s="18" t="n">
        <f aca="false">'Black-Scholes'!$B$5*EXP(('Black-Scholes'!$B$8-'Black-Scholes'!$B$10-'Black-Scholes'!$B$9^2/2)*'Black-Scholes'!$B$7+'Black-Scholes'!$B$9*SQRT('Black-Scholes'!$B$7)*B2578)</f>
        <v>117.851833246519</v>
      </c>
      <c r="D2578" s="18" t="n">
        <f aca="false">'Black-Scholes'!$B$5*EXP(('Black-Scholes'!$B$8-'Black-Scholes'!$B$10-'Black-Scholes'!$B$9^2/2)*'Black-Scholes'!$B$7-'Black-Scholes'!$B$9*SQRT('Black-Scholes'!$B$7)*B2578)</f>
        <v>90.0992812156124</v>
      </c>
      <c r="E2578" s="18" t="n">
        <f aca="false">EXP(-'Black-Scholes'!$B$8*'Black-Scholes'!$B$7)*IF(LOWER('Black-Scholes'!$B$11)="put",MAX('Black-Scholes'!$B$6-C2578,0),MAX(C2578-'Black-Scholes'!$B$6,0))</f>
        <v>16.9811890653692</v>
      </c>
      <c r="F2578" s="18" t="n">
        <f aca="false">(E2578+G2578)/2</f>
        <v>8.49059453268461</v>
      </c>
      <c r="G2578" s="18" t="n">
        <f aca="false">EXP(-'Black-Scholes'!$B$8*'Black-Scholes'!$B$7)*IF(LOWER('Black-Scholes'!$B$11)="put",MAX('Black-Scholes'!$B$6-D2578,0),MAX(D2578-'Black-Scholes'!$B$6,0))</f>
        <v>0</v>
      </c>
    </row>
    <row r="2579" customFormat="false" ht="15" hidden="false" customHeight="false" outlineLevel="0" collapsed="false">
      <c r="A2579" s="0" t="n">
        <v>2568</v>
      </c>
      <c r="B2579" s="15" t="n">
        <v>0.141903366714049</v>
      </c>
      <c r="C2579" s="18" t="n">
        <f aca="false">'Black-Scholes'!$B$5*EXP(('Black-Scholes'!$B$8-'Black-Scholes'!$B$10-'Black-Scholes'!$B$9^2/2)*'Black-Scholes'!$B$7+'Black-Scholes'!$B$9*SQRT('Black-Scholes'!$B$7)*B2579)</f>
        <v>106.011847775269</v>
      </c>
      <c r="D2579" s="18" t="n">
        <f aca="false">'Black-Scholes'!$B$5*EXP(('Black-Scholes'!$B$8-'Black-Scholes'!$B$10-'Black-Scholes'!$B$9^2/2)*'Black-Scholes'!$B$7-'Black-Scholes'!$B$9*SQRT('Black-Scholes'!$B$7)*B2579)</f>
        <v>100.162063847459</v>
      </c>
      <c r="E2579" s="18" t="n">
        <f aca="false">EXP(-'Black-Scholes'!$B$8*'Black-Scholes'!$B$7)*IF(LOWER('Black-Scholes'!$B$11)="put",MAX('Black-Scholes'!$B$6-C2579,0),MAX(C2579-'Black-Scholes'!$B$6,0))</f>
        <v>5.71864649945471</v>
      </c>
      <c r="F2579" s="18" t="n">
        <f aca="false">(E2579+G2579)/2</f>
        <v>2.9364031999029</v>
      </c>
      <c r="G2579" s="18" t="n">
        <f aca="false">EXP(-'Black-Scholes'!$B$8*'Black-Scholes'!$B$7)*IF(LOWER('Black-Scholes'!$B$11)="put",MAX('Black-Scholes'!$B$6-D2579,0),MAX(D2579-'Black-Scholes'!$B$6,0))</f>
        <v>0.154159900351089</v>
      </c>
    </row>
    <row r="2580" customFormat="false" ht="15" hidden="false" customHeight="false" outlineLevel="0" collapsed="false">
      <c r="A2580" s="0" t="n">
        <v>2569</v>
      </c>
      <c r="B2580" s="15" t="n">
        <v>1.03189656664061</v>
      </c>
      <c r="C2580" s="18" t="n">
        <f aca="false">'Black-Scholes'!$B$5*EXP(('Black-Scholes'!$B$8-'Black-Scholes'!$B$10-'Black-Scholes'!$B$9^2/2)*'Black-Scholes'!$B$7+'Black-Scholes'!$B$9*SQRT('Black-Scholes'!$B$7)*B2580)</f>
        <v>126.665467805766</v>
      </c>
      <c r="D2580" s="18" t="n">
        <f aca="false">'Black-Scholes'!$B$5*EXP(('Black-Scholes'!$B$8-'Black-Scholes'!$B$10-'Black-Scholes'!$B$9^2/2)*'Black-Scholes'!$B$7-'Black-Scholes'!$B$9*SQRT('Black-Scholes'!$B$7)*B2580)</f>
        <v>83.8299944680756</v>
      </c>
      <c r="E2580" s="18" t="n">
        <f aca="false">EXP(-'Black-Scholes'!$B$8*'Black-Scholes'!$B$7)*IF(LOWER('Black-Scholes'!$B$11)="put",MAX('Black-Scholes'!$B$6-C2580,0),MAX(C2580-'Black-Scholes'!$B$6,0))</f>
        <v>25.3649775949214</v>
      </c>
      <c r="F2580" s="18" t="n">
        <f aca="false">(E2580+G2580)/2</f>
        <v>12.6824887974607</v>
      </c>
      <c r="G2580" s="18" t="n">
        <f aca="false">EXP(-'Black-Scholes'!$B$8*'Black-Scholes'!$B$7)*IF(LOWER('Black-Scholes'!$B$11)="put",MAX('Black-Scholes'!$B$6-D2580,0),MAX(D2580-'Black-Scholes'!$B$6,0))</f>
        <v>0</v>
      </c>
    </row>
    <row r="2581" customFormat="false" ht="15" hidden="false" customHeight="false" outlineLevel="0" collapsed="false">
      <c r="A2581" s="0" t="n">
        <v>2570</v>
      </c>
      <c r="B2581" s="15" t="n">
        <v>0.136613502046822</v>
      </c>
      <c r="C2581" s="18" t="n">
        <f aca="false">'Black-Scholes'!$B$5*EXP(('Black-Scholes'!$B$8-'Black-Scholes'!$B$10-'Black-Scholes'!$B$9^2/2)*'Black-Scholes'!$B$7+'Black-Scholes'!$B$9*SQRT('Black-Scholes'!$B$7)*B2581)</f>
        <v>105.899749418668</v>
      </c>
      <c r="D2581" s="18" t="n">
        <f aca="false">'Black-Scholes'!$B$5*EXP(('Black-Scholes'!$B$8-'Black-Scholes'!$B$10-'Black-Scholes'!$B$9^2/2)*'Black-Scholes'!$B$7-'Black-Scholes'!$B$9*SQRT('Black-Scholes'!$B$7)*B2581)</f>
        <v>100.268088675778</v>
      </c>
      <c r="E2581" s="18" t="n">
        <f aca="false">EXP(-'Black-Scholes'!$B$8*'Black-Scholes'!$B$7)*IF(LOWER('Black-Scholes'!$B$11)="put",MAX('Black-Scholes'!$B$6-C2581,0),MAX(C2581-'Black-Scholes'!$B$6,0))</f>
        <v>5.61201524421752</v>
      </c>
      <c r="F2581" s="18" t="n">
        <f aca="false">(E2581+G2581)/2</f>
        <v>2.93351454049637</v>
      </c>
      <c r="G2581" s="18" t="n">
        <f aca="false">EXP(-'Black-Scholes'!$B$8*'Black-Scholes'!$B$7)*IF(LOWER('Black-Scholes'!$B$11)="put",MAX('Black-Scholes'!$B$6-D2581,0),MAX(D2581-'Black-Scholes'!$B$6,0))</f>
        <v>0.255013836775225</v>
      </c>
    </row>
    <row r="2582" customFormat="false" ht="15" hidden="false" customHeight="false" outlineLevel="0" collapsed="false">
      <c r="A2582" s="0" t="n">
        <v>2571</v>
      </c>
      <c r="B2582" s="15" t="n">
        <v>0.798617740194918</v>
      </c>
      <c r="C2582" s="18" t="n">
        <f aca="false">'Black-Scholes'!$B$5*EXP(('Black-Scholes'!$B$8-'Black-Scholes'!$B$10-'Black-Scholes'!$B$9^2/2)*'Black-Scholes'!$B$7+'Black-Scholes'!$B$9*SQRT('Black-Scholes'!$B$7)*B2582)</f>
        <v>120.891534443923</v>
      </c>
      <c r="D2582" s="18" t="n">
        <f aca="false">'Black-Scholes'!$B$5*EXP(('Black-Scholes'!$B$8-'Black-Scholes'!$B$10-'Black-Scholes'!$B$9^2/2)*'Black-Scholes'!$B$7-'Black-Scholes'!$B$9*SQRT('Black-Scholes'!$B$7)*B2582)</f>
        <v>87.8338215682014</v>
      </c>
      <c r="E2582" s="18" t="n">
        <f aca="false">EXP(-'Black-Scholes'!$B$8*'Black-Scholes'!$B$7)*IF(LOWER('Black-Scholes'!$B$11)="put",MAX('Black-Scholes'!$B$6-C2582,0),MAX(C2582-'Black-Scholes'!$B$6,0))</f>
        <v>19.8726422860296</v>
      </c>
      <c r="F2582" s="18" t="n">
        <f aca="false">(E2582+G2582)/2</f>
        <v>9.93632114301478</v>
      </c>
      <c r="G2582" s="18" t="n">
        <f aca="false">EXP(-'Black-Scholes'!$B$8*'Black-Scholes'!$B$7)*IF(LOWER('Black-Scholes'!$B$11)="put",MAX('Black-Scholes'!$B$6-D2582,0),MAX(D2582-'Black-Scholes'!$B$6,0))</f>
        <v>0</v>
      </c>
    </row>
    <row r="2583" customFormat="false" ht="15" hidden="false" customHeight="false" outlineLevel="0" collapsed="false">
      <c r="A2583" s="0" t="n">
        <v>2572</v>
      </c>
      <c r="B2583" s="15" t="n">
        <v>0.104434618623952</v>
      </c>
      <c r="C2583" s="18" t="n">
        <f aca="false">'Black-Scholes'!$B$5*EXP(('Black-Scholes'!$B$8-'Black-Scholes'!$B$10-'Black-Scholes'!$B$9^2/2)*'Black-Scholes'!$B$7+'Black-Scholes'!$B$9*SQRT('Black-Scholes'!$B$7)*B2583)</f>
        <v>105.220390725749</v>
      </c>
      <c r="D2583" s="18" t="n">
        <f aca="false">'Black-Scholes'!$B$5*EXP(('Black-Scholes'!$B$8-'Black-Scholes'!$B$10-'Black-Scholes'!$B$9^2/2)*'Black-Scholes'!$B$7-'Black-Scholes'!$B$9*SQRT('Black-Scholes'!$B$7)*B2583)</f>
        <v>100.915472678008</v>
      </c>
      <c r="E2583" s="18" t="n">
        <f aca="false">EXP(-'Black-Scholes'!$B$8*'Black-Scholes'!$B$7)*IF(LOWER('Black-Scholes'!$B$11)="put",MAX('Black-Scholes'!$B$6-C2583,0),MAX(C2583-'Black-Scholes'!$B$6,0))</f>
        <v>4.96578926572296</v>
      </c>
      <c r="F2583" s="18" t="n">
        <f aca="false">(E2583+G2583)/2</f>
        <v>2.91830690718514</v>
      </c>
      <c r="G2583" s="18" t="n">
        <f aca="false">EXP(-'Black-Scholes'!$B$8*'Black-Scholes'!$B$7)*IF(LOWER('Black-Scholes'!$B$11)="put",MAX('Black-Scholes'!$B$6-D2583,0),MAX(D2583-'Black-Scholes'!$B$6,0))</f>
        <v>0.870824548647313</v>
      </c>
    </row>
    <row r="2584" customFormat="false" ht="15" hidden="false" customHeight="false" outlineLevel="0" collapsed="false">
      <c r="A2584" s="0" t="n">
        <v>2573</v>
      </c>
      <c r="B2584" s="15" t="n">
        <v>-1.5272778869985</v>
      </c>
      <c r="C2584" s="18" t="n">
        <f aca="false">'Black-Scholes'!$B$5*EXP(('Black-Scholes'!$B$8-'Black-Scholes'!$B$10-'Black-Scholes'!$B$9^2/2)*'Black-Scholes'!$B$7+'Black-Scholes'!$B$9*SQRT('Black-Scholes'!$B$7)*B2584)</f>
        <v>75.9226158145105</v>
      </c>
      <c r="D2584" s="18" t="n">
        <f aca="false">'Black-Scholes'!$B$5*EXP(('Black-Scholes'!$B$8-'Black-Scholes'!$B$10-'Black-Scholes'!$B$9^2/2)*'Black-Scholes'!$B$7-'Black-Scholes'!$B$9*SQRT('Black-Scholes'!$B$7)*B2584)</f>
        <v>139.857740036193</v>
      </c>
      <c r="E2584" s="18" t="n">
        <f aca="false">EXP(-'Black-Scholes'!$B$8*'Black-Scholes'!$B$7)*IF(LOWER('Black-Scholes'!$B$11)="put",MAX('Black-Scholes'!$B$6-C2584,0),MAX(C2584-'Black-Scholes'!$B$6,0))</f>
        <v>0</v>
      </c>
      <c r="F2584" s="18" t="n">
        <f aca="false">(E2584+G2584)/2</f>
        <v>18.9569275582637</v>
      </c>
      <c r="G2584" s="18" t="n">
        <f aca="false">EXP(-'Black-Scholes'!$B$8*'Black-Scholes'!$B$7)*IF(LOWER('Black-Scholes'!$B$11)="put",MAX('Black-Scholes'!$B$6-D2584,0),MAX(D2584-'Black-Scholes'!$B$6,0))</f>
        <v>37.9138551165274</v>
      </c>
    </row>
    <row r="2585" customFormat="false" ht="15" hidden="false" customHeight="false" outlineLevel="0" collapsed="false">
      <c r="A2585" s="0" t="n">
        <v>2574</v>
      </c>
      <c r="B2585" s="15" t="n">
        <v>-0.522751921144542</v>
      </c>
      <c r="C2585" s="18" t="n">
        <f aca="false">'Black-Scholes'!$B$5*EXP(('Black-Scholes'!$B$8-'Black-Scholes'!$B$10-'Black-Scholes'!$B$9^2/2)*'Black-Scholes'!$B$7+'Black-Scholes'!$B$9*SQRT('Black-Scholes'!$B$7)*B2585)</f>
        <v>92.8160708219276</v>
      </c>
      <c r="D2585" s="18" t="n">
        <f aca="false">'Black-Scholes'!$B$5*EXP(('Black-Scholes'!$B$8-'Black-Scholes'!$B$10-'Black-Scholes'!$B$9^2/2)*'Black-Scholes'!$B$7-'Black-Scholes'!$B$9*SQRT('Black-Scholes'!$B$7)*B2585)</f>
        <v>114.402229823168</v>
      </c>
      <c r="E2585" s="18" t="n">
        <f aca="false">EXP(-'Black-Scholes'!$B$8*'Black-Scholes'!$B$7)*IF(LOWER('Black-Scholes'!$B$11)="put",MAX('Black-Scholes'!$B$6-C2585,0),MAX(C2585-'Black-Scholes'!$B$6,0))</f>
        <v>0</v>
      </c>
      <c r="F2585" s="18" t="n">
        <f aca="false">(E2585+G2585)/2</f>
        <v>6.84991239310955</v>
      </c>
      <c r="G2585" s="18" t="n">
        <f aca="false">EXP(-'Black-Scholes'!$B$8*'Black-Scholes'!$B$7)*IF(LOWER('Black-Scholes'!$B$11)="put",MAX('Black-Scholes'!$B$6-D2585,0),MAX(D2585-'Black-Scholes'!$B$6,0))</f>
        <v>13.6998247862191</v>
      </c>
    </row>
    <row r="2586" customFormat="false" ht="15" hidden="false" customHeight="false" outlineLevel="0" collapsed="false">
      <c r="A2586" s="0" t="n">
        <v>2575</v>
      </c>
      <c r="B2586" s="15" t="n">
        <v>1.22387347402506</v>
      </c>
      <c r="C2586" s="18" t="n">
        <f aca="false">'Black-Scholes'!$B$5*EXP(('Black-Scholes'!$B$8-'Black-Scholes'!$B$10-'Black-Scholes'!$B$9^2/2)*'Black-Scholes'!$B$7+'Black-Scholes'!$B$9*SQRT('Black-Scholes'!$B$7)*B2586)</f>
        <v>131.623408707985</v>
      </c>
      <c r="D2586" s="18" t="n">
        <f aca="false">'Black-Scholes'!$B$5*EXP(('Black-Scholes'!$B$8-'Black-Scholes'!$B$10-'Black-Scholes'!$B$9^2/2)*'Black-Scholes'!$B$7-'Black-Scholes'!$B$9*SQRT('Black-Scholes'!$B$7)*B2586)</f>
        <v>80.6723178626312</v>
      </c>
      <c r="E2586" s="18" t="n">
        <f aca="false">EXP(-'Black-Scholes'!$B$8*'Black-Scholes'!$B$7)*IF(LOWER('Black-Scholes'!$B$11)="put",MAX('Black-Scholes'!$B$6-C2586,0),MAX(C2586-'Black-Scholes'!$B$6,0))</f>
        <v>30.0811168660475</v>
      </c>
      <c r="F2586" s="18" t="n">
        <f aca="false">(E2586+G2586)/2</f>
        <v>15.0405584330238</v>
      </c>
      <c r="G2586" s="18" t="n">
        <f aca="false">EXP(-'Black-Scholes'!$B$8*'Black-Scholes'!$B$7)*IF(LOWER('Black-Scholes'!$B$11)="put",MAX('Black-Scholes'!$B$6-D2586,0),MAX(D2586-'Black-Scholes'!$B$6,0))</f>
        <v>0</v>
      </c>
    </row>
    <row r="2587" customFormat="false" ht="15" hidden="false" customHeight="false" outlineLevel="0" collapsed="false">
      <c r="A2587" s="0" t="n">
        <v>2576</v>
      </c>
      <c r="B2587" s="15" t="n">
        <v>-0.775285477657083</v>
      </c>
      <c r="C2587" s="18" t="n">
        <f aca="false">'Black-Scholes'!$B$5*EXP(('Black-Scholes'!$B$8-'Black-Scholes'!$B$10-'Black-Scholes'!$B$9^2/2)*'Black-Scholes'!$B$7+'Black-Scholes'!$B$9*SQRT('Black-Scholes'!$B$7)*B2587)</f>
        <v>88.2446517393367</v>
      </c>
      <c r="D2587" s="18" t="n">
        <f aca="false">'Black-Scholes'!$B$5*EXP(('Black-Scholes'!$B$8-'Black-Scholes'!$B$10-'Black-Scholes'!$B$9^2/2)*'Black-Scholes'!$B$7-'Black-Scholes'!$B$9*SQRT('Black-Scholes'!$B$7)*B2587)</f>
        <v>120.328714048517</v>
      </c>
      <c r="E2587" s="18" t="n">
        <f aca="false">EXP(-'Black-Scholes'!$B$8*'Black-Scholes'!$B$7)*IF(LOWER('Black-Scholes'!$B$11)="put",MAX('Black-Scholes'!$B$6-C2587,0),MAX(C2587-'Black-Scholes'!$B$6,0))</f>
        <v>0</v>
      </c>
      <c r="F2587" s="18" t="n">
        <f aca="false">(E2587+G2587)/2</f>
        <v>9.6686354826051</v>
      </c>
      <c r="G2587" s="18" t="n">
        <f aca="false">EXP(-'Black-Scholes'!$B$8*'Black-Scholes'!$B$7)*IF(LOWER('Black-Scholes'!$B$11)="put",MAX('Black-Scholes'!$B$6-D2587,0),MAX(D2587-'Black-Scholes'!$B$6,0))</f>
        <v>19.3372709652102</v>
      </c>
    </row>
    <row r="2588" customFormat="false" ht="15" hidden="false" customHeight="false" outlineLevel="0" collapsed="false">
      <c r="A2588" s="0" t="n">
        <v>2577</v>
      </c>
      <c r="B2588" s="15" t="n">
        <v>-0.800514470205397</v>
      </c>
      <c r="C2588" s="18" t="n">
        <f aca="false">'Black-Scholes'!$B$5*EXP(('Black-Scholes'!$B$8-'Black-Scholes'!$B$10-'Black-Scholes'!$B$9^2/2)*'Black-Scholes'!$B$7+'Black-Scholes'!$B$9*SQRT('Black-Scholes'!$B$7)*B2588)</f>
        <v>87.800508478134</v>
      </c>
      <c r="D2588" s="18" t="n">
        <f aca="false">'Black-Scholes'!$B$5*EXP(('Black-Scholes'!$B$8-'Black-Scholes'!$B$10-'Black-Scholes'!$B$9^2/2)*'Black-Scholes'!$B$7-'Black-Scholes'!$B$9*SQRT('Black-Scholes'!$B$7)*B2588)</f>
        <v>120.937402863652</v>
      </c>
      <c r="E2588" s="18" t="n">
        <f aca="false">EXP(-'Black-Scholes'!$B$8*'Black-Scholes'!$B$7)*IF(LOWER('Black-Scholes'!$B$11)="put",MAX('Black-Scholes'!$B$6-C2588,0),MAX(C2588-'Black-Scholes'!$B$6,0))</f>
        <v>0</v>
      </c>
      <c r="F2588" s="18" t="n">
        <f aca="false">(E2588+G2588)/2</f>
        <v>9.95813683826571</v>
      </c>
      <c r="G2588" s="18" t="n">
        <f aca="false">EXP(-'Black-Scholes'!$B$8*'Black-Scholes'!$B$7)*IF(LOWER('Black-Scholes'!$B$11)="put",MAX('Black-Scholes'!$B$6-D2588,0),MAX(D2588-'Black-Scholes'!$B$6,0))</f>
        <v>19.9162736765314</v>
      </c>
    </row>
    <row r="2589" customFormat="false" ht="15" hidden="false" customHeight="false" outlineLevel="0" collapsed="false">
      <c r="A2589" s="0" t="n">
        <v>2578</v>
      </c>
      <c r="B2589" s="15" t="n">
        <v>0.381722375315241</v>
      </c>
      <c r="C2589" s="18" t="n">
        <f aca="false">'Black-Scholes'!$B$5*EXP(('Black-Scholes'!$B$8-'Black-Scholes'!$B$10-'Black-Scholes'!$B$9^2/2)*'Black-Scholes'!$B$7+'Black-Scholes'!$B$9*SQRT('Black-Scholes'!$B$7)*B2589)</f>
        <v>111.220493739121</v>
      </c>
      <c r="D2589" s="18" t="n">
        <f aca="false">'Black-Scholes'!$B$5*EXP(('Black-Scholes'!$B$8-'Black-Scholes'!$B$10-'Black-Scholes'!$B$9^2/2)*'Black-Scholes'!$B$7-'Black-Scholes'!$B$9*SQRT('Black-Scholes'!$B$7)*B2589)</f>
        <v>95.4713030708175</v>
      </c>
      <c r="E2589" s="18" t="n">
        <f aca="false">EXP(-'Black-Scholes'!$B$8*'Black-Scholes'!$B$7)*IF(LOWER('Black-Scholes'!$B$11)="put",MAX('Black-Scholes'!$B$6-C2589,0),MAX(C2589-'Black-Scholes'!$B$6,0))</f>
        <v>10.6732638020781</v>
      </c>
      <c r="F2589" s="18" t="n">
        <f aca="false">(E2589+G2589)/2</f>
        <v>5.33663190103906</v>
      </c>
      <c r="G2589" s="18" t="n">
        <f aca="false">EXP(-'Black-Scholes'!$B$8*'Black-Scholes'!$B$7)*IF(LOWER('Black-Scholes'!$B$11)="put",MAX('Black-Scholes'!$B$6-D2589,0),MAX(D2589-'Black-Scholes'!$B$6,0))</f>
        <v>0</v>
      </c>
    </row>
    <row r="2590" customFormat="false" ht="15" hidden="false" customHeight="false" outlineLevel="0" collapsed="false">
      <c r="A2590" s="0" t="n">
        <v>2579</v>
      </c>
      <c r="B2590" s="15" t="n">
        <v>-0.17889099609385</v>
      </c>
      <c r="C2590" s="18" t="n">
        <f aca="false">'Black-Scholes'!$B$5*EXP(('Black-Scholes'!$B$8-'Black-Scholes'!$B$10-'Black-Scholes'!$B$9^2/2)*'Black-Scholes'!$B$7+'Black-Scholes'!$B$9*SQRT('Black-Scholes'!$B$7)*B2590)</f>
        <v>99.4238462467375</v>
      </c>
      <c r="D2590" s="18" t="n">
        <f aca="false">'Black-Scholes'!$B$5*EXP(('Black-Scholes'!$B$8-'Black-Scholes'!$B$10-'Black-Scholes'!$B$9^2/2)*'Black-Scholes'!$B$7-'Black-Scholes'!$B$9*SQRT('Black-Scholes'!$B$7)*B2590)</f>
        <v>106.798980991967</v>
      </c>
      <c r="E2590" s="18" t="n">
        <f aca="false">EXP(-'Black-Scholes'!$B$8*'Black-Scholes'!$B$7)*IF(LOWER('Black-Scholes'!$B$11)="put",MAX('Black-Scholes'!$B$6-C2590,0),MAX(C2590-'Black-Scholes'!$B$6,0))</f>
        <v>0</v>
      </c>
      <c r="F2590" s="18" t="n">
        <f aca="false">(E2590+G2590)/2</f>
        <v>3.23369538809015</v>
      </c>
      <c r="G2590" s="18" t="n">
        <f aca="false">EXP(-'Black-Scholes'!$B$8*'Black-Scholes'!$B$7)*IF(LOWER('Black-Scholes'!$B$11)="put",MAX('Black-Scholes'!$B$6-D2590,0),MAX(D2590-'Black-Scholes'!$B$6,0))</f>
        <v>6.46739077618031</v>
      </c>
    </row>
    <row r="2591" customFormat="false" ht="15" hidden="false" customHeight="false" outlineLevel="0" collapsed="false">
      <c r="A2591" s="0" t="n">
        <v>2580</v>
      </c>
      <c r="B2591" s="15" t="n">
        <v>0.946299249616008</v>
      </c>
      <c r="C2591" s="18" t="n">
        <f aca="false">'Black-Scholes'!$B$5*EXP(('Black-Scholes'!$B$8-'Black-Scholes'!$B$10-'Black-Scholes'!$B$9^2/2)*'Black-Scholes'!$B$7+'Black-Scholes'!$B$9*SQRT('Black-Scholes'!$B$7)*B2591)</f>
        <v>124.515478802956</v>
      </c>
      <c r="D2591" s="18" t="n">
        <f aca="false">'Black-Scholes'!$B$5*EXP(('Black-Scholes'!$B$8-'Black-Scholes'!$B$10-'Black-Scholes'!$B$9^2/2)*'Black-Scholes'!$B$7-'Black-Scholes'!$B$9*SQRT('Black-Scholes'!$B$7)*B2591)</f>
        <v>85.2774736726271</v>
      </c>
      <c r="E2591" s="18" t="n">
        <f aca="false">EXP(-'Black-Scholes'!$B$8*'Black-Scholes'!$B$7)*IF(LOWER('Black-Scholes'!$B$11)="put",MAX('Black-Scholes'!$B$6-C2591,0),MAX(C2591-'Black-Scholes'!$B$6,0))</f>
        <v>23.3198447930949</v>
      </c>
      <c r="F2591" s="18" t="n">
        <f aca="false">(E2591+G2591)/2</f>
        <v>11.6599223965474</v>
      </c>
      <c r="G2591" s="18" t="n">
        <f aca="false">EXP(-'Black-Scholes'!$B$8*'Black-Scholes'!$B$7)*IF(LOWER('Black-Scholes'!$B$11)="put",MAX('Black-Scholes'!$B$6-D2591,0),MAX(D2591-'Black-Scholes'!$B$6,0))</f>
        <v>0</v>
      </c>
    </row>
    <row r="2592" customFormat="false" ht="15" hidden="false" customHeight="false" outlineLevel="0" collapsed="false">
      <c r="A2592" s="0" t="n">
        <v>2581</v>
      </c>
      <c r="B2592" s="15" t="n">
        <v>-2.32750976477076</v>
      </c>
      <c r="C2592" s="18" t="n">
        <f aca="false">'Black-Scholes'!$B$5*EXP(('Black-Scholes'!$B$8-'Black-Scholes'!$B$10-'Black-Scholes'!$B$9^2/2)*'Black-Scholes'!$B$7+'Black-Scholes'!$B$9*SQRT('Black-Scholes'!$B$7)*B2592)</f>
        <v>64.6939852193992</v>
      </c>
      <c r="D2592" s="18" t="n">
        <f aca="false">'Black-Scholes'!$B$5*EXP(('Black-Scholes'!$B$8-'Black-Scholes'!$B$10-'Black-Scholes'!$B$9^2/2)*'Black-Scholes'!$B$7-'Black-Scholes'!$B$9*SQRT('Black-Scholes'!$B$7)*B2592)</f>
        <v>164.132189869632</v>
      </c>
      <c r="E2592" s="18" t="n">
        <f aca="false">EXP(-'Black-Scholes'!$B$8*'Black-Scholes'!$B$7)*IF(LOWER('Black-Scholes'!$B$11)="put",MAX('Black-Scholes'!$B$6-C2592,0),MAX(C2592-'Black-Scholes'!$B$6,0))</f>
        <v>0</v>
      </c>
      <c r="F2592" s="18" t="n">
        <f aca="false">(E2592+G2592)/2</f>
        <v>30.5022130308303</v>
      </c>
      <c r="G2592" s="18" t="n">
        <f aca="false">EXP(-'Black-Scholes'!$B$8*'Black-Scholes'!$B$7)*IF(LOWER('Black-Scholes'!$B$11)="put",MAX('Black-Scholes'!$B$6-D2592,0),MAX(D2592-'Black-Scholes'!$B$6,0))</f>
        <v>61.0044260616606</v>
      </c>
    </row>
    <row r="2593" customFormat="false" ht="15" hidden="false" customHeight="false" outlineLevel="0" collapsed="false">
      <c r="A2593" s="0" t="n">
        <v>2582</v>
      </c>
      <c r="B2593" s="15" t="n">
        <v>0.00130926095299735</v>
      </c>
      <c r="C2593" s="18" t="n">
        <f aca="false">'Black-Scholes'!$B$5*EXP(('Black-Scholes'!$B$8-'Black-Scholes'!$B$10-'Black-Scholes'!$B$9^2/2)*'Black-Scholes'!$B$7+'Black-Scholes'!$B$9*SQRT('Black-Scholes'!$B$7)*B2593)</f>
        <v>103.0724396061</v>
      </c>
      <c r="D2593" s="18" t="n">
        <f aca="false">'Black-Scholes'!$B$5*EXP(('Black-Scholes'!$B$8-'Black-Scholes'!$B$10-'Black-Scholes'!$B$9^2/2)*'Black-Scholes'!$B$7-'Black-Scholes'!$B$9*SQRT('Black-Scholes'!$B$7)*B2593)</f>
        <v>103.018474250077</v>
      </c>
      <c r="E2593" s="18" t="n">
        <f aca="false">EXP(-'Black-Scholes'!$B$8*'Black-Scholes'!$B$7)*IF(LOWER('Black-Scholes'!$B$11)="put",MAX('Black-Scholes'!$B$6-C2593,0),MAX(C2593-'Black-Scholes'!$B$6,0))</f>
        <v>2.9225949583233</v>
      </c>
      <c r="F2593" s="18" t="n">
        <f aca="false">(E2593+G2593)/2</f>
        <v>2.89692824104719</v>
      </c>
      <c r="G2593" s="18" t="n">
        <f aca="false">EXP(-'Black-Scholes'!$B$8*'Black-Scholes'!$B$7)*IF(LOWER('Black-Scholes'!$B$11)="put",MAX('Black-Scholes'!$B$6-D2593,0),MAX(D2593-'Black-Scholes'!$B$6,0))</f>
        <v>2.87126152377107</v>
      </c>
    </row>
    <row r="2594" customFormat="false" ht="15" hidden="false" customHeight="false" outlineLevel="0" collapsed="false">
      <c r="A2594" s="0" t="n">
        <v>2583</v>
      </c>
      <c r="B2594" s="15" t="n">
        <v>0.0633630705029643</v>
      </c>
      <c r="C2594" s="18" t="n">
        <f aca="false">'Black-Scholes'!$B$5*EXP(('Black-Scholes'!$B$8-'Black-Scholes'!$B$10-'Black-Scholes'!$B$9^2/2)*'Black-Scholes'!$B$7+'Black-Scholes'!$B$9*SQRT('Black-Scholes'!$B$7)*B2594)</f>
        <v>104.359618024331</v>
      </c>
      <c r="D2594" s="18" t="n">
        <f aca="false">'Black-Scholes'!$B$5*EXP(('Black-Scholes'!$B$8-'Black-Scholes'!$B$10-'Black-Scholes'!$B$9^2/2)*'Black-Scholes'!$B$7-'Black-Scholes'!$B$9*SQRT('Black-Scholes'!$B$7)*B2594)</f>
        <v>101.747837587696</v>
      </c>
      <c r="E2594" s="18" t="n">
        <f aca="false">EXP(-'Black-Scholes'!$B$8*'Black-Scholes'!$B$7)*IF(LOWER('Black-Scholes'!$B$11)="put",MAX('Black-Scholes'!$B$6-C2594,0),MAX(C2594-'Black-Scholes'!$B$6,0))</f>
        <v>4.14699694432692</v>
      </c>
      <c r="F2594" s="18" t="n">
        <f aca="false">(E2594+G2594)/2</f>
        <v>2.90479574349592</v>
      </c>
      <c r="G2594" s="18" t="n">
        <f aca="false">EXP(-'Black-Scholes'!$B$8*'Black-Scholes'!$B$7)*IF(LOWER('Black-Scholes'!$B$11)="put",MAX('Black-Scholes'!$B$6-D2594,0),MAX(D2594-'Black-Scholes'!$B$6,0))</f>
        <v>1.66259454266492</v>
      </c>
    </row>
    <row r="2595" customFormat="false" ht="15" hidden="false" customHeight="false" outlineLevel="0" collapsed="false">
      <c r="A2595" s="0" t="n">
        <v>2584</v>
      </c>
      <c r="B2595" s="15" t="n">
        <v>1.45009062697671</v>
      </c>
      <c r="C2595" s="18" t="n">
        <f aca="false">'Black-Scholes'!$B$5*EXP(('Black-Scholes'!$B$8-'Black-Scholes'!$B$10-'Black-Scholes'!$B$9^2/2)*'Black-Scholes'!$B$7+'Black-Scholes'!$B$9*SQRT('Black-Scholes'!$B$7)*B2595)</f>
        <v>137.715272554734</v>
      </c>
      <c r="D2595" s="18" t="n">
        <f aca="false">'Black-Scholes'!$B$5*EXP(('Black-Scholes'!$B$8-'Black-Scholes'!$B$10-'Black-Scholes'!$B$9^2/2)*'Black-Scholes'!$B$7-'Black-Scholes'!$B$9*SQRT('Black-Scholes'!$B$7)*B2595)</f>
        <v>77.10376103154</v>
      </c>
      <c r="E2595" s="18" t="n">
        <f aca="false">EXP(-'Black-Scholes'!$B$8*'Black-Scholes'!$B$7)*IF(LOWER('Black-Scholes'!$B$11)="put",MAX('Black-Scholes'!$B$6-C2595,0),MAX(C2595-'Black-Scholes'!$B$6,0))</f>
        <v>35.875877007127</v>
      </c>
      <c r="F2595" s="18" t="n">
        <f aca="false">(E2595+G2595)/2</f>
        <v>17.9379385035635</v>
      </c>
      <c r="G2595" s="18" t="n">
        <f aca="false">EXP(-'Black-Scholes'!$B$8*'Black-Scholes'!$B$7)*IF(LOWER('Black-Scholes'!$B$11)="put",MAX('Black-Scholes'!$B$6-D2595,0),MAX(D2595-'Black-Scholes'!$B$6,0))</f>
        <v>0</v>
      </c>
    </row>
    <row r="2596" customFormat="false" ht="15" hidden="false" customHeight="false" outlineLevel="0" collapsed="false">
      <c r="A2596" s="0" t="n">
        <v>2585</v>
      </c>
      <c r="B2596" s="15" t="n">
        <v>0.43874663105811</v>
      </c>
      <c r="C2596" s="18" t="n">
        <f aca="false">'Black-Scholes'!$B$5*EXP(('Black-Scholes'!$B$8-'Black-Scholes'!$B$10-'Black-Scholes'!$B$9^2/2)*'Black-Scholes'!$B$7+'Black-Scholes'!$B$9*SQRT('Black-Scholes'!$B$7)*B2596)</f>
        <v>112.496207751382</v>
      </c>
      <c r="D2596" s="18" t="n">
        <f aca="false">'Black-Scholes'!$B$5*EXP(('Black-Scholes'!$B$8-'Black-Scholes'!$B$10-'Black-Scholes'!$B$9^2/2)*'Black-Scholes'!$B$7-'Black-Scholes'!$B$9*SQRT('Black-Scholes'!$B$7)*B2596)</f>
        <v>94.3886525394733</v>
      </c>
      <c r="E2596" s="18" t="n">
        <f aca="false">EXP(-'Black-Scholes'!$B$8*'Black-Scholes'!$B$7)*IF(LOWER('Black-Scholes'!$B$11)="put",MAX('Black-Scholes'!$B$6-C2596,0),MAX(C2596-'Black-Scholes'!$B$6,0))</f>
        <v>11.8867605077885</v>
      </c>
      <c r="F2596" s="18" t="n">
        <f aca="false">(E2596+G2596)/2</f>
        <v>5.94338025389423</v>
      </c>
      <c r="G2596" s="18" t="n">
        <f aca="false">EXP(-'Black-Scholes'!$B$8*'Black-Scholes'!$B$7)*IF(LOWER('Black-Scholes'!$B$11)="put",MAX('Black-Scholes'!$B$6-D2596,0),MAX(D2596-'Black-Scholes'!$B$6,0))</f>
        <v>0</v>
      </c>
    </row>
    <row r="2597" customFormat="false" ht="15" hidden="false" customHeight="false" outlineLevel="0" collapsed="false">
      <c r="A2597" s="0" t="n">
        <v>2586</v>
      </c>
      <c r="B2597" s="15" t="n">
        <v>1.10308201788012</v>
      </c>
      <c r="C2597" s="18" t="n">
        <f aca="false">'Black-Scholes'!$B$5*EXP(('Black-Scholes'!$B$8-'Black-Scholes'!$B$10-'Black-Scholes'!$B$9^2/2)*'Black-Scholes'!$B$7+'Black-Scholes'!$B$9*SQRT('Black-Scholes'!$B$7)*B2597)</f>
        <v>128.481713853131</v>
      </c>
      <c r="D2597" s="18" t="n">
        <f aca="false">'Black-Scholes'!$B$5*EXP(('Black-Scholes'!$B$8-'Black-Scholes'!$B$10-'Black-Scholes'!$B$9^2/2)*'Black-Scholes'!$B$7-'Black-Scholes'!$B$9*SQRT('Black-Scholes'!$B$7)*B2597)</f>
        <v>82.6449550446654</v>
      </c>
      <c r="E2597" s="18" t="n">
        <f aca="false">EXP(-'Black-Scholes'!$B$8*'Black-Scholes'!$B$7)*IF(LOWER('Black-Scholes'!$B$11)="put",MAX('Black-Scholes'!$B$6-C2597,0),MAX(C2597-'Black-Scholes'!$B$6,0))</f>
        <v>27.0926442773081</v>
      </c>
      <c r="F2597" s="18" t="n">
        <f aca="false">(E2597+G2597)/2</f>
        <v>13.546322138654</v>
      </c>
      <c r="G2597" s="18" t="n">
        <f aca="false">EXP(-'Black-Scholes'!$B$8*'Black-Scholes'!$B$7)*IF(LOWER('Black-Scholes'!$B$11)="put",MAX('Black-Scholes'!$B$6-D2597,0),MAX(D2597-'Black-Scholes'!$B$6,0))</f>
        <v>0</v>
      </c>
    </row>
    <row r="2598" customFormat="false" ht="15" hidden="false" customHeight="false" outlineLevel="0" collapsed="false">
      <c r="A2598" s="0" t="n">
        <v>2587</v>
      </c>
      <c r="B2598" s="15" t="n">
        <v>-0.369074434353727</v>
      </c>
      <c r="C2598" s="18" t="n">
        <f aca="false">'Black-Scholes'!$B$5*EXP(('Black-Scholes'!$B$8-'Black-Scholes'!$B$10-'Black-Scholes'!$B$9^2/2)*'Black-Scholes'!$B$7+'Black-Scholes'!$B$9*SQRT('Black-Scholes'!$B$7)*B2598)</f>
        <v>95.7131118611588</v>
      </c>
      <c r="D2598" s="18" t="n">
        <f aca="false">'Black-Scholes'!$B$5*EXP(('Black-Scholes'!$B$8-'Black-Scholes'!$B$10-'Black-Scholes'!$B$9^2/2)*'Black-Scholes'!$B$7-'Black-Scholes'!$B$9*SQRT('Black-Scholes'!$B$7)*B2598)</f>
        <v>110.939507231325</v>
      </c>
      <c r="E2598" s="18" t="n">
        <f aca="false">EXP(-'Black-Scholes'!$B$8*'Black-Scholes'!$B$7)*IF(LOWER('Black-Scholes'!$B$11)="put",MAX('Black-Scholes'!$B$6-C2598,0),MAX(C2598-'Black-Scholes'!$B$6,0))</f>
        <v>0</v>
      </c>
      <c r="F2598" s="18" t="n">
        <f aca="false">(E2598+G2598)/2</f>
        <v>5.20299058398713</v>
      </c>
      <c r="G2598" s="18" t="n">
        <f aca="false">EXP(-'Black-Scholes'!$B$8*'Black-Scholes'!$B$7)*IF(LOWER('Black-Scholes'!$B$11)="put",MAX('Black-Scholes'!$B$6-D2598,0),MAX(D2598-'Black-Scholes'!$B$6,0))</f>
        <v>10.4059811679743</v>
      </c>
    </row>
    <row r="2599" customFormat="false" ht="15" hidden="false" customHeight="false" outlineLevel="0" collapsed="false">
      <c r="A2599" s="0" t="n">
        <v>2588</v>
      </c>
      <c r="B2599" s="15" t="n">
        <v>0.60591801879401</v>
      </c>
      <c r="C2599" s="18" t="n">
        <f aca="false">'Black-Scholes'!$B$5*EXP(('Black-Scholes'!$B$8-'Black-Scholes'!$B$10-'Black-Scholes'!$B$9^2/2)*'Black-Scholes'!$B$7+'Black-Scholes'!$B$9*SQRT('Black-Scholes'!$B$7)*B2599)</f>
        <v>116.321020824342</v>
      </c>
      <c r="D2599" s="18" t="n">
        <f aca="false">'Black-Scholes'!$B$5*EXP(('Black-Scholes'!$B$8-'Black-Scholes'!$B$10-'Black-Scholes'!$B$9^2/2)*'Black-Scholes'!$B$7-'Black-Scholes'!$B$9*SQRT('Black-Scholes'!$B$7)*B2599)</f>
        <v>91.2850092803819</v>
      </c>
      <c r="E2599" s="18" t="n">
        <f aca="false">EXP(-'Black-Scholes'!$B$8*'Black-Scholes'!$B$7)*IF(LOWER('Black-Scholes'!$B$11)="put",MAX('Black-Scholes'!$B$6-C2599,0),MAX(C2599-'Black-Scholes'!$B$6,0))</f>
        <v>15.5250352460034</v>
      </c>
      <c r="F2599" s="18" t="n">
        <f aca="false">(E2599+G2599)/2</f>
        <v>7.76251762300171</v>
      </c>
      <c r="G2599" s="18" t="n">
        <f aca="false">EXP(-'Black-Scholes'!$B$8*'Black-Scholes'!$B$7)*IF(LOWER('Black-Scholes'!$B$11)="put",MAX('Black-Scholes'!$B$6-D2599,0),MAX(D2599-'Black-Scholes'!$B$6,0))</f>
        <v>0</v>
      </c>
    </row>
    <row r="2600" customFormat="false" ht="15" hidden="false" customHeight="false" outlineLevel="0" collapsed="false">
      <c r="A2600" s="0" t="n">
        <v>2589</v>
      </c>
      <c r="B2600" s="15" t="n">
        <v>-1.75012975500164</v>
      </c>
      <c r="C2600" s="18" t="n">
        <f aca="false">'Black-Scholes'!$B$5*EXP(('Black-Scholes'!$B$8-'Black-Scholes'!$B$10-'Black-Scholes'!$B$9^2/2)*'Black-Scholes'!$B$7+'Black-Scholes'!$B$9*SQRT('Black-Scholes'!$B$7)*B2600)</f>
        <v>72.6130193024304</v>
      </c>
      <c r="D2600" s="18" t="n">
        <f aca="false">'Black-Scholes'!$B$5*EXP(('Black-Scholes'!$B$8-'Black-Scholes'!$B$10-'Black-Scholes'!$B$9^2/2)*'Black-Scholes'!$B$7-'Black-Scholes'!$B$9*SQRT('Black-Scholes'!$B$7)*B2600)</f>
        <v>146.232253767448</v>
      </c>
      <c r="E2600" s="18" t="n">
        <f aca="false">EXP(-'Black-Scholes'!$B$8*'Black-Scholes'!$B$7)*IF(LOWER('Black-Scholes'!$B$11)="put",MAX('Black-Scholes'!$B$6-C2600,0),MAX(C2600-'Black-Scholes'!$B$6,0))</f>
        <v>0</v>
      </c>
      <c r="F2600" s="18" t="n">
        <f aca="false">(E2600+G2600)/2</f>
        <v>21.9887400722903</v>
      </c>
      <c r="G2600" s="18" t="n">
        <f aca="false">EXP(-'Black-Scholes'!$B$8*'Black-Scholes'!$B$7)*IF(LOWER('Black-Scholes'!$B$11)="put",MAX('Black-Scholes'!$B$6-D2600,0),MAX(D2600-'Black-Scholes'!$B$6,0))</f>
        <v>43.9774801445805</v>
      </c>
    </row>
    <row r="2601" customFormat="false" ht="15" hidden="false" customHeight="false" outlineLevel="0" collapsed="false">
      <c r="A2601" s="0" t="n">
        <v>2590</v>
      </c>
      <c r="B2601" s="15" t="n">
        <v>0.622147103901053</v>
      </c>
      <c r="C2601" s="18" t="n">
        <f aca="false">'Black-Scholes'!$B$5*EXP(('Black-Scholes'!$B$8-'Black-Scholes'!$B$10-'Black-Scholes'!$B$9^2/2)*'Black-Scholes'!$B$7+'Black-Scholes'!$B$9*SQRT('Black-Scholes'!$B$7)*B2601)</f>
        <v>116.699190977229</v>
      </c>
      <c r="D2601" s="18" t="n">
        <f aca="false">'Black-Scholes'!$B$5*EXP(('Black-Scholes'!$B$8-'Black-Scholes'!$B$10-'Black-Scholes'!$B$9^2/2)*'Black-Scholes'!$B$7-'Black-Scholes'!$B$9*SQRT('Black-Scholes'!$B$7)*B2601)</f>
        <v>90.9891951823856</v>
      </c>
      <c r="E2601" s="18" t="n">
        <f aca="false">EXP(-'Black-Scholes'!$B$8*'Black-Scholes'!$B$7)*IF(LOWER('Black-Scholes'!$B$11)="put",MAX('Black-Scholes'!$B$6-C2601,0),MAX(C2601-'Black-Scholes'!$B$6,0))</f>
        <v>15.8847618228972</v>
      </c>
      <c r="F2601" s="18" t="n">
        <f aca="false">(E2601+G2601)/2</f>
        <v>7.94238091144861</v>
      </c>
      <c r="G2601" s="18" t="n">
        <f aca="false">EXP(-'Black-Scholes'!$B$8*'Black-Scholes'!$B$7)*IF(LOWER('Black-Scholes'!$B$11)="put",MAX('Black-Scholes'!$B$6-D2601,0),MAX(D2601-'Black-Scholes'!$B$6,0))</f>
        <v>0</v>
      </c>
    </row>
    <row r="2602" customFormat="false" ht="15" hidden="false" customHeight="false" outlineLevel="0" collapsed="false">
      <c r="A2602" s="0" t="n">
        <v>2591</v>
      </c>
      <c r="B2602" s="15" t="n">
        <v>-0.411576953768271</v>
      </c>
      <c r="C2602" s="18" t="n">
        <f aca="false">'Black-Scholes'!$B$5*EXP(('Black-Scholes'!$B$8-'Black-Scholes'!$B$10-'Black-Scholes'!$B$9^2/2)*'Black-Scholes'!$B$7+'Black-Scholes'!$B$9*SQRT('Black-Scholes'!$B$7)*B2602)</f>
        <v>94.9029504506648</v>
      </c>
      <c r="D2602" s="18" t="n">
        <f aca="false">'Black-Scholes'!$B$5*EXP(('Black-Scholes'!$B$8-'Black-Scholes'!$B$10-'Black-Scholes'!$B$9^2/2)*'Black-Scholes'!$B$7-'Black-Scholes'!$B$9*SQRT('Black-Scholes'!$B$7)*B2602)</f>
        <v>111.886568489496</v>
      </c>
      <c r="E2602" s="18" t="n">
        <f aca="false">EXP(-'Black-Scholes'!$B$8*'Black-Scholes'!$B$7)*IF(LOWER('Black-Scholes'!$B$11)="put",MAX('Black-Scholes'!$B$6-C2602,0),MAX(C2602-'Black-Scholes'!$B$6,0))</f>
        <v>0</v>
      </c>
      <c r="F2602" s="18" t="n">
        <f aca="false">(E2602+G2602)/2</f>
        <v>5.653426851776</v>
      </c>
      <c r="G2602" s="18" t="n">
        <f aca="false">EXP(-'Black-Scholes'!$B$8*'Black-Scholes'!$B$7)*IF(LOWER('Black-Scholes'!$B$11)="put",MAX('Black-Scholes'!$B$6-D2602,0),MAX(D2602-'Black-Scholes'!$B$6,0))</f>
        <v>11.306853703552</v>
      </c>
    </row>
    <row r="2603" customFormat="false" ht="15" hidden="false" customHeight="false" outlineLevel="0" collapsed="false">
      <c r="A2603" s="0" t="n">
        <v>2592</v>
      </c>
      <c r="B2603" s="15" t="n">
        <v>0.98416031975364</v>
      </c>
      <c r="C2603" s="18" t="n">
        <f aca="false">'Black-Scholes'!$B$5*EXP(('Black-Scholes'!$B$8-'Black-Scholes'!$B$10-'Black-Scholes'!$B$9^2/2)*'Black-Scholes'!$B$7+'Black-Scholes'!$B$9*SQRT('Black-Scholes'!$B$7)*B2603)</f>
        <v>125.461915446344</v>
      </c>
      <c r="D2603" s="18" t="n">
        <f aca="false">'Black-Scholes'!$B$5*EXP(('Black-Scholes'!$B$8-'Black-Scholes'!$B$10-'Black-Scholes'!$B$9^2/2)*'Black-Scholes'!$B$7-'Black-Scholes'!$B$9*SQRT('Black-Scholes'!$B$7)*B2603)</f>
        <v>84.6341730689959</v>
      </c>
      <c r="E2603" s="18" t="n">
        <f aca="false">EXP(-'Black-Scholes'!$B$8*'Black-Scholes'!$B$7)*IF(LOWER('Black-Scholes'!$B$11)="put",MAX('Black-Scholes'!$B$6-C2603,0),MAX(C2603-'Black-Scholes'!$B$6,0))</f>
        <v>24.2201231767115</v>
      </c>
      <c r="F2603" s="18" t="n">
        <f aca="false">(E2603+G2603)/2</f>
        <v>12.1100615883558</v>
      </c>
      <c r="G2603" s="18" t="n">
        <f aca="false">EXP(-'Black-Scholes'!$B$8*'Black-Scholes'!$B$7)*IF(LOWER('Black-Scholes'!$B$11)="put",MAX('Black-Scholes'!$B$6-D2603,0),MAX(D2603-'Black-Scholes'!$B$6,0))</f>
        <v>0</v>
      </c>
    </row>
    <row r="2604" customFormat="false" ht="15" hidden="false" customHeight="false" outlineLevel="0" collapsed="false">
      <c r="A2604" s="0" t="n">
        <v>2593</v>
      </c>
      <c r="B2604" s="15" t="n">
        <v>1.38303300149888</v>
      </c>
      <c r="C2604" s="18" t="n">
        <f aca="false">'Black-Scholes'!$B$5*EXP(('Black-Scholes'!$B$8-'Black-Scholes'!$B$10-'Black-Scholes'!$B$9^2/2)*'Black-Scholes'!$B$7+'Black-Scholes'!$B$9*SQRT('Black-Scholes'!$B$7)*B2604)</f>
        <v>135.880630891691</v>
      </c>
      <c r="D2604" s="18" t="n">
        <f aca="false">'Black-Scholes'!$B$5*EXP(('Black-Scholes'!$B$8-'Black-Scholes'!$B$10-'Black-Scholes'!$B$9^2/2)*'Black-Scholes'!$B$7-'Black-Scholes'!$B$9*SQRT('Black-Scholes'!$B$7)*B2604)</f>
        <v>78.1448054499937</v>
      </c>
      <c r="E2604" s="18" t="n">
        <f aca="false">EXP(-'Black-Scholes'!$B$8*'Black-Scholes'!$B$7)*IF(LOWER('Black-Scholes'!$B$11)="put",MAX('Black-Scholes'!$B$6-C2604,0),MAX(C2604-'Black-Scholes'!$B$6,0))</f>
        <v>34.1307118738257</v>
      </c>
      <c r="F2604" s="18" t="n">
        <f aca="false">(E2604+G2604)/2</f>
        <v>17.0653559369128</v>
      </c>
      <c r="G2604" s="18" t="n">
        <f aca="false">EXP(-'Black-Scholes'!$B$8*'Black-Scholes'!$B$7)*IF(LOWER('Black-Scholes'!$B$11)="put",MAX('Black-Scholes'!$B$6-D2604,0),MAX(D2604-'Black-Scholes'!$B$6,0))</f>
        <v>0</v>
      </c>
    </row>
    <row r="2605" customFormat="false" ht="15" hidden="false" customHeight="false" outlineLevel="0" collapsed="false">
      <c r="A2605" s="0" t="n">
        <v>2594</v>
      </c>
      <c r="B2605" s="15" t="n">
        <v>0.215560723786741</v>
      </c>
      <c r="C2605" s="18" t="n">
        <f aca="false">'Black-Scholes'!$B$5*EXP(('Black-Scholes'!$B$8-'Black-Scholes'!$B$10-'Black-Scholes'!$B$9^2/2)*'Black-Scholes'!$B$7+'Black-Scholes'!$B$9*SQRT('Black-Scholes'!$B$7)*B2605)</f>
        <v>107.585118121942</v>
      </c>
      <c r="D2605" s="18" t="n">
        <f aca="false">'Black-Scholes'!$B$5*EXP(('Black-Scholes'!$B$8-'Black-Scholes'!$B$10-'Black-Scholes'!$B$9^2/2)*'Black-Scholes'!$B$7-'Black-Scholes'!$B$9*SQRT('Black-Scholes'!$B$7)*B2605)</f>
        <v>98.6973444916257</v>
      </c>
      <c r="E2605" s="18" t="n">
        <f aca="false">EXP(-'Black-Scholes'!$B$8*'Black-Scholes'!$B$7)*IF(LOWER('Black-Scholes'!$B$11)="put",MAX('Black-Scholes'!$B$6-C2605,0),MAX(C2605-'Black-Scholes'!$B$6,0))</f>
        <v>7.21518754590525</v>
      </c>
      <c r="F2605" s="18" t="n">
        <f aca="false">(E2605+G2605)/2</f>
        <v>3.60759377295262</v>
      </c>
      <c r="G2605" s="18" t="n">
        <f aca="false">EXP(-'Black-Scholes'!$B$8*'Black-Scholes'!$B$7)*IF(LOWER('Black-Scholes'!$B$11)="put",MAX('Black-Scholes'!$B$6-D2605,0),MAX(D2605-'Black-Scholes'!$B$6,0))</f>
        <v>0</v>
      </c>
    </row>
    <row r="2606" customFormat="false" ht="15" hidden="false" customHeight="false" outlineLevel="0" collapsed="false">
      <c r="A2606" s="0" t="n">
        <v>2595</v>
      </c>
      <c r="B2606" s="15" t="n">
        <v>-1.39892998387239</v>
      </c>
      <c r="C2606" s="18" t="n">
        <f aca="false">'Black-Scholes'!$B$5*EXP(('Black-Scholes'!$B$8-'Black-Scholes'!$B$10-'Black-Scholes'!$B$9^2/2)*'Black-Scholes'!$B$7+'Black-Scholes'!$B$9*SQRT('Black-Scholes'!$B$7)*B2606)</f>
        <v>77.8967466785812</v>
      </c>
      <c r="D2606" s="18" t="n">
        <f aca="false">'Black-Scholes'!$B$5*EXP(('Black-Scholes'!$B$8-'Black-Scholes'!$B$10-'Black-Scholes'!$B$9^2/2)*'Black-Scholes'!$B$7-'Black-Scholes'!$B$9*SQRT('Black-Scholes'!$B$7)*B2606)</f>
        <v>136.313336797842</v>
      </c>
      <c r="E2606" s="18" t="n">
        <f aca="false">EXP(-'Black-Scholes'!$B$8*'Black-Scholes'!$B$7)*IF(LOWER('Black-Scholes'!$B$11)="put",MAX('Black-Scholes'!$B$6-C2606,0),MAX(C2606-'Black-Scholes'!$B$6,0))</f>
        <v>0</v>
      </c>
      <c r="F2606" s="18" t="n">
        <f aca="false">(E2606+G2606)/2</f>
        <v>17.2711572319558</v>
      </c>
      <c r="G2606" s="18" t="n">
        <f aca="false">EXP(-'Black-Scholes'!$B$8*'Black-Scholes'!$B$7)*IF(LOWER('Black-Scholes'!$B$11)="put",MAX('Black-Scholes'!$B$6-D2606,0),MAX(D2606-'Black-Scholes'!$B$6,0))</f>
        <v>34.5423144639116</v>
      </c>
    </row>
    <row r="2607" customFormat="false" ht="15" hidden="false" customHeight="false" outlineLevel="0" collapsed="false">
      <c r="A2607" s="0" t="n">
        <v>2596</v>
      </c>
      <c r="B2607" s="15" t="n">
        <v>-2.95312636124236</v>
      </c>
      <c r="C2607" s="18" t="n">
        <f aca="false">'Black-Scholes'!$B$5*EXP(('Black-Scholes'!$B$8-'Black-Scholes'!$B$10-'Black-Scholes'!$B$9^2/2)*'Black-Scholes'!$B$7+'Black-Scholes'!$B$9*SQRT('Black-Scholes'!$B$7)*B2607)</f>
        <v>57.0852014311331</v>
      </c>
      <c r="D2607" s="18" t="n">
        <f aca="false">'Black-Scholes'!$B$5*EXP(('Black-Scholes'!$B$8-'Black-Scholes'!$B$10-'Black-Scholes'!$B$9^2/2)*'Black-Scholes'!$B$7-'Black-Scholes'!$B$9*SQRT('Black-Scholes'!$B$7)*B2607)</f>
        <v>186.009074142682</v>
      </c>
      <c r="E2607" s="18" t="n">
        <f aca="false">EXP(-'Black-Scholes'!$B$8*'Black-Scholes'!$B$7)*IF(LOWER('Black-Scholes'!$B$11)="put",MAX('Black-Scholes'!$B$6-C2607,0),MAX(C2607-'Black-Scholes'!$B$6,0))</f>
        <v>0</v>
      </c>
      <c r="F2607" s="18" t="n">
        <f aca="false">(E2607+G2607)/2</f>
        <v>40.9071810492915</v>
      </c>
      <c r="G2607" s="18" t="n">
        <f aca="false">EXP(-'Black-Scholes'!$B$8*'Black-Scholes'!$B$7)*IF(LOWER('Black-Scholes'!$B$11)="put",MAX('Black-Scholes'!$B$6-D2607,0),MAX(D2607-'Black-Scholes'!$B$6,0))</f>
        <v>81.8143620985831</v>
      </c>
    </row>
    <row r="2608" customFormat="false" ht="15" hidden="false" customHeight="false" outlineLevel="0" collapsed="false">
      <c r="A2608" s="0" t="n">
        <v>2597</v>
      </c>
      <c r="B2608" s="15" t="n">
        <v>0.244900740520271</v>
      </c>
      <c r="C2608" s="18" t="n">
        <f aca="false">'Black-Scholes'!$B$5*EXP(('Black-Scholes'!$B$8-'Black-Scholes'!$B$10-'Black-Scholes'!$B$9^2/2)*'Black-Scholes'!$B$7+'Black-Scholes'!$B$9*SQRT('Black-Scholes'!$B$7)*B2608)</f>
        <v>108.218283847597</v>
      </c>
      <c r="D2608" s="18" t="n">
        <f aca="false">'Black-Scholes'!$B$5*EXP(('Black-Scholes'!$B$8-'Black-Scholes'!$B$10-'Black-Scholes'!$B$9^2/2)*'Black-Scholes'!$B$7-'Black-Scholes'!$B$9*SQRT('Black-Scholes'!$B$7)*B2608)</f>
        <v>98.1198840706751</v>
      </c>
      <c r="E2608" s="18" t="n">
        <f aca="false">EXP(-'Black-Scholes'!$B$8*'Black-Scholes'!$B$7)*IF(LOWER('Black-Scholes'!$B$11)="put",MAX('Black-Scholes'!$B$6-C2608,0),MAX(C2608-'Black-Scholes'!$B$6,0))</f>
        <v>7.81747341473289</v>
      </c>
      <c r="F2608" s="18" t="n">
        <f aca="false">(E2608+G2608)/2</f>
        <v>3.90873670736645</v>
      </c>
      <c r="G2608" s="18" t="n">
        <f aca="false">EXP(-'Black-Scholes'!$B$8*'Black-Scholes'!$B$7)*IF(LOWER('Black-Scholes'!$B$11)="put",MAX('Black-Scholes'!$B$6-D2608,0),MAX(D2608-'Black-Scholes'!$B$6,0))</f>
        <v>0</v>
      </c>
    </row>
    <row r="2609" customFormat="false" ht="15" hidden="false" customHeight="false" outlineLevel="0" collapsed="false">
      <c r="A2609" s="0" t="n">
        <v>2598</v>
      </c>
      <c r="B2609" s="15" t="n">
        <v>-0.83667883005042</v>
      </c>
      <c r="C2609" s="18" t="n">
        <f aca="false">'Black-Scholes'!$B$5*EXP(('Black-Scholes'!$B$8-'Black-Scholes'!$B$10-'Black-Scholes'!$B$9^2/2)*'Black-Scholes'!$B$7+'Black-Scholes'!$B$9*SQRT('Black-Scholes'!$B$7)*B2609)</f>
        <v>87.1677497315313</v>
      </c>
      <c r="D2609" s="18" t="n">
        <f aca="false">'Black-Scholes'!$B$5*EXP(('Black-Scholes'!$B$8-'Black-Scholes'!$B$10-'Black-Scholes'!$B$9^2/2)*'Black-Scholes'!$B$7-'Black-Scholes'!$B$9*SQRT('Black-Scholes'!$B$7)*B2609)</f>
        <v>121.815298641495</v>
      </c>
      <c r="E2609" s="18" t="n">
        <f aca="false">EXP(-'Black-Scholes'!$B$8*'Black-Scholes'!$B$7)*IF(LOWER('Black-Scholes'!$B$11)="put",MAX('Black-Scholes'!$B$6-C2609,0),MAX(C2609-'Black-Scholes'!$B$6,0))</f>
        <v>0</v>
      </c>
      <c r="F2609" s="18" t="n">
        <f aca="false">(E2609+G2609)/2</f>
        <v>10.3756769860304</v>
      </c>
      <c r="G2609" s="18" t="n">
        <f aca="false">EXP(-'Black-Scholes'!$B$8*'Black-Scholes'!$B$7)*IF(LOWER('Black-Scholes'!$B$11)="put",MAX('Black-Scholes'!$B$6-D2609,0),MAX(D2609-'Black-Scholes'!$B$6,0))</f>
        <v>20.7513539720607</v>
      </c>
    </row>
    <row r="2610" customFormat="false" ht="15" hidden="false" customHeight="false" outlineLevel="0" collapsed="false">
      <c r="A2610" s="0" t="n">
        <v>2599</v>
      </c>
      <c r="B2610" s="15" t="n">
        <v>-0.0474771718043588</v>
      </c>
      <c r="C2610" s="18" t="n">
        <f aca="false">'Black-Scholes'!$B$5*EXP(('Black-Scholes'!$B$8-'Black-Scholes'!$B$10-'Black-Scholes'!$B$9^2/2)*'Black-Scholes'!$B$7+'Black-Scholes'!$B$9*SQRT('Black-Scholes'!$B$7)*B2610)</f>
        <v>102.071622845451</v>
      </c>
      <c r="D2610" s="18" t="n">
        <f aca="false">'Black-Scholes'!$B$5*EXP(('Black-Scholes'!$B$8-'Black-Scholes'!$B$10-'Black-Scholes'!$B$9^2/2)*'Black-Scholes'!$B$7-'Black-Scholes'!$B$9*SQRT('Black-Scholes'!$B$7)*B2610)</f>
        <v>104.028574930479</v>
      </c>
      <c r="E2610" s="18" t="n">
        <f aca="false">EXP(-'Black-Scholes'!$B$8*'Black-Scholes'!$B$7)*IF(LOWER('Black-Scholes'!$B$11)="put",MAX('Black-Scholes'!$B$6-C2610,0),MAX(C2610-'Black-Scholes'!$B$6,0))</f>
        <v>1.97058860706057</v>
      </c>
      <c r="F2610" s="18" t="n">
        <f aca="false">(E2610+G2610)/2</f>
        <v>2.90134380986924</v>
      </c>
      <c r="G2610" s="18" t="n">
        <f aca="false">EXP(-'Black-Scholes'!$B$8*'Black-Scholes'!$B$7)*IF(LOWER('Black-Scholes'!$B$11)="put",MAX('Black-Scholes'!$B$6-D2610,0),MAX(D2610-'Black-Scholes'!$B$6,0))</f>
        <v>3.83209901267792</v>
      </c>
    </row>
    <row r="2611" customFormat="false" ht="15" hidden="false" customHeight="false" outlineLevel="0" collapsed="false">
      <c r="A2611" s="0" t="n">
        <v>2600</v>
      </c>
      <c r="B2611" s="15" t="n">
        <v>-0.813221802907621</v>
      </c>
      <c r="C2611" s="18" t="n">
        <f aca="false">'Black-Scholes'!$B$5*EXP(('Black-Scholes'!$B$8-'Black-Scholes'!$B$10-'Black-Scholes'!$B$9^2/2)*'Black-Scholes'!$B$7+'Black-Scholes'!$B$9*SQRT('Black-Scholes'!$B$7)*B2611)</f>
        <v>87.5776497375736</v>
      </c>
      <c r="D2611" s="18" t="n">
        <f aca="false">'Black-Scholes'!$B$5*EXP(('Black-Scholes'!$B$8-'Black-Scholes'!$B$10-'Black-Scholes'!$B$9^2/2)*'Black-Scholes'!$B$7-'Black-Scholes'!$B$9*SQRT('Black-Scholes'!$B$7)*B2611)</f>
        <v>121.2451521281</v>
      </c>
      <c r="E2611" s="18" t="n">
        <f aca="false">EXP(-'Black-Scholes'!$B$8*'Black-Scholes'!$B$7)*IF(LOWER('Black-Scholes'!$B$11)="put",MAX('Black-Scholes'!$B$6-C2611,0),MAX(C2611-'Black-Scholes'!$B$6,0))</f>
        <v>0</v>
      </c>
      <c r="F2611" s="18" t="n">
        <f aca="false">(E2611+G2611)/2</f>
        <v>10.1045069161215</v>
      </c>
      <c r="G2611" s="18" t="n">
        <f aca="false">EXP(-'Black-Scholes'!$B$8*'Black-Scholes'!$B$7)*IF(LOWER('Black-Scholes'!$B$11)="put",MAX('Black-Scholes'!$B$6-D2611,0),MAX(D2611-'Black-Scholes'!$B$6,0))</f>
        <v>20.2090138322429</v>
      </c>
    </row>
    <row r="2612" customFormat="false" ht="15" hidden="false" customHeight="false" outlineLevel="0" collapsed="false">
      <c r="A2612" s="0" t="n">
        <v>2601</v>
      </c>
      <c r="B2612" s="15" t="n">
        <v>-0.097336022753783</v>
      </c>
      <c r="C2612" s="18" t="n">
        <f aca="false">'Black-Scholes'!$B$5*EXP(('Black-Scholes'!$B$8-'Black-Scholes'!$B$10-'Black-Scholes'!$B$9^2/2)*'Black-Scholes'!$B$7+'Black-Scholes'!$B$9*SQRT('Black-Scholes'!$B$7)*B2612)</f>
        <v>101.058846060413</v>
      </c>
      <c r="D2612" s="18" t="n">
        <f aca="false">'Black-Scholes'!$B$5*EXP(('Black-Scholes'!$B$8-'Black-Scholes'!$B$10-'Black-Scholes'!$B$9^2/2)*'Black-Scholes'!$B$7-'Black-Scholes'!$B$9*SQRT('Black-Scholes'!$B$7)*B2612)</f>
        <v>105.071113310614</v>
      </c>
      <c r="E2612" s="18" t="n">
        <f aca="false">EXP(-'Black-Scholes'!$B$8*'Black-Scholes'!$B$7)*IF(LOWER('Black-Scholes'!$B$11)="put",MAX('Black-Scholes'!$B$6-C2612,0),MAX(C2612-'Black-Scholes'!$B$6,0))</f>
        <v>1.00720552868181</v>
      </c>
      <c r="F2612" s="18" t="n">
        <f aca="false">(E2612+G2612)/2</f>
        <v>2.9154988623576</v>
      </c>
      <c r="G2612" s="18" t="n">
        <f aca="false">EXP(-'Black-Scholes'!$B$8*'Black-Scholes'!$B$7)*IF(LOWER('Black-Scholes'!$B$11)="put",MAX('Black-Scholes'!$B$6-D2612,0),MAX(D2612-'Black-Scholes'!$B$6,0))</f>
        <v>4.82379219603338</v>
      </c>
    </row>
    <row r="2613" customFormat="false" ht="15" hidden="false" customHeight="false" outlineLevel="0" collapsed="false">
      <c r="A2613" s="0" t="n">
        <v>2602</v>
      </c>
      <c r="B2613" s="15" t="n">
        <v>0.226521277179854</v>
      </c>
      <c r="C2613" s="18" t="n">
        <f aca="false">'Black-Scholes'!$B$5*EXP(('Black-Scholes'!$B$8-'Black-Scholes'!$B$10-'Black-Scholes'!$B$9^2/2)*'Black-Scholes'!$B$7+'Black-Scholes'!$B$9*SQRT('Black-Scholes'!$B$7)*B2613)</f>
        <v>107.821215289255</v>
      </c>
      <c r="D2613" s="18" t="n">
        <f aca="false">'Black-Scholes'!$B$5*EXP(('Black-Scholes'!$B$8-'Black-Scholes'!$B$10-'Black-Scholes'!$B$9^2/2)*'Black-Scholes'!$B$7-'Black-Scholes'!$B$9*SQRT('Black-Scholes'!$B$7)*B2613)</f>
        <v>98.4812259532356</v>
      </c>
      <c r="E2613" s="18" t="n">
        <f aca="false">EXP(-'Black-Scholes'!$B$8*'Black-Scholes'!$B$7)*IF(LOWER('Black-Scholes'!$B$11)="put",MAX('Black-Scholes'!$B$6-C2613,0),MAX(C2613-'Black-Scholes'!$B$6,0))</f>
        <v>7.43977011849438</v>
      </c>
      <c r="F2613" s="18" t="n">
        <f aca="false">(E2613+G2613)/2</f>
        <v>3.71988505924719</v>
      </c>
      <c r="G2613" s="18" t="n">
        <f aca="false">EXP(-'Black-Scholes'!$B$8*'Black-Scholes'!$B$7)*IF(LOWER('Black-Scholes'!$B$11)="put",MAX('Black-Scholes'!$B$6-D2613,0),MAX(D2613-'Black-Scholes'!$B$6,0))</f>
        <v>0</v>
      </c>
    </row>
    <row r="2614" customFormat="false" ht="15" hidden="false" customHeight="false" outlineLevel="0" collapsed="false">
      <c r="A2614" s="0" t="n">
        <v>2603</v>
      </c>
      <c r="B2614" s="15" t="n">
        <v>0.175484952427602</v>
      </c>
      <c r="C2614" s="18" t="n">
        <f aca="false">'Black-Scholes'!$B$5*EXP(('Black-Scholes'!$B$8-'Black-Scholes'!$B$10-'Black-Scholes'!$B$9^2/2)*'Black-Scholes'!$B$7+'Black-Scholes'!$B$9*SQRT('Black-Scholes'!$B$7)*B2614)</f>
        <v>106.726253367572</v>
      </c>
      <c r="D2614" s="18" t="n">
        <f aca="false">'Black-Scholes'!$B$5*EXP(('Black-Scholes'!$B$8-'Black-Scholes'!$B$10-'Black-Scholes'!$B$9^2/2)*'Black-Scholes'!$B$7-'Black-Scholes'!$B$9*SQRT('Black-Scholes'!$B$7)*B2614)</f>
        <v>99.4915977129193</v>
      </c>
      <c r="E2614" s="18" t="n">
        <f aca="false">EXP(-'Black-Scholes'!$B$8*'Black-Scholes'!$B$7)*IF(LOWER('Black-Scholes'!$B$11)="put",MAX('Black-Scholes'!$B$6-C2614,0),MAX(C2614-'Black-Scholes'!$B$6,0))</f>
        <v>6.39821011988172</v>
      </c>
      <c r="F2614" s="18" t="n">
        <f aca="false">(E2614+G2614)/2</f>
        <v>3.19910505994086</v>
      </c>
      <c r="G2614" s="18" t="n">
        <f aca="false">EXP(-'Black-Scholes'!$B$8*'Black-Scholes'!$B$7)*IF(LOWER('Black-Scholes'!$B$11)="put",MAX('Black-Scholes'!$B$6-D2614,0),MAX(D2614-'Black-Scholes'!$B$6,0))</f>
        <v>0</v>
      </c>
    </row>
    <row r="2615" customFormat="false" ht="15" hidden="false" customHeight="false" outlineLevel="0" collapsed="false">
      <c r="A2615" s="0" t="n">
        <v>2604</v>
      </c>
      <c r="B2615" s="15" t="n">
        <v>0.297949043000783</v>
      </c>
      <c r="C2615" s="18" t="n">
        <f aca="false">'Black-Scholes'!$B$5*EXP(('Black-Scholes'!$B$8-'Black-Scholes'!$B$10-'Black-Scholes'!$B$9^2/2)*'Black-Scholes'!$B$7+'Black-Scholes'!$B$9*SQRT('Black-Scholes'!$B$7)*B2615)</f>
        <v>109.372555486275</v>
      </c>
      <c r="D2615" s="18" t="n">
        <f aca="false">'Black-Scholes'!$B$5*EXP(('Black-Scholes'!$B$8-'Black-Scholes'!$B$10-'Black-Scholes'!$B$9^2/2)*'Black-Scholes'!$B$7-'Black-Scholes'!$B$9*SQRT('Black-Scholes'!$B$7)*B2615)</f>
        <v>97.084368361367</v>
      </c>
      <c r="E2615" s="18" t="n">
        <f aca="false">EXP(-'Black-Scholes'!$B$8*'Black-Scholes'!$B$7)*IF(LOWER('Black-Scholes'!$B$11)="put",MAX('Black-Scholes'!$B$6-C2615,0),MAX(C2615-'Black-Scholes'!$B$6,0))</f>
        <v>8.91545056131061</v>
      </c>
      <c r="F2615" s="18" t="n">
        <f aca="false">(E2615+G2615)/2</f>
        <v>4.45772528065531</v>
      </c>
      <c r="G2615" s="18" t="n">
        <f aca="false">EXP(-'Black-Scholes'!$B$8*'Black-Scholes'!$B$7)*IF(LOWER('Black-Scholes'!$B$11)="put",MAX('Black-Scholes'!$B$6-D2615,0),MAX(D2615-'Black-Scholes'!$B$6,0))</f>
        <v>0</v>
      </c>
    </row>
    <row r="2616" customFormat="false" ht="15" hidden="false" customHeight="false" outlineLevel="0" collapsed="false">
      <c r="A2616" s="0" t="n">
        <v>2605</v>
      </c>
      <c r="B2616" s="15" t="n">
        <v>0.774045791763436</v>
      </c>
      <c r="C2616" s="18" t="n">
        <f aca="false">'Black-Scholes'!$B$5*EXP(('Black-Scholes'!$B$8-'Black-Scholes'!$B$10-'Black-Scholes'!$B$9^2/2)*'Black-Scholes'!$B$7+'Black-Scholes'!$B$9*SQRT('Black-Scholes'!$B$7)*B2616)</f>
        <v>120.298883784804</v>
      </c>
      <c r="D2616" s="18" t="n">
        <f aca="false">'Black-Scholes'!$B$5*EXP(('Black-Scholes'!$B$8-'Black-Scholes'!$B$10-'Black-Scholes'!$B$9^2/2)*'Black-Scholes'!$B$7-'Black-Scholes'!$B$9*SQRT('Black-Scholes'!$B$7)*B2616)</f>
        <v>88.266533581876</v>
      </c>
      <c r="E2616" s="18" t="n">
        <f aca="false">EXP(-'Black-Scholes'!$B$8*'Black-Scholes'!$B$7)*IF(LOWER('Black-Scholes'!$B$11)="put",MAX('Black-Scholes'!$B$6-C2616,0),MAX(C2616-'Black-Scholes'!$B$6,0))</f>
        <v>19.308895540626</v>
      </c>
      <c r="F2616" s="18" t="n">
        <f aca="false">(E2616+G2616)/2</f>
        <v>9.65444777031298</v>
      </c>
      <c r="G2616" s="18" t="n">
        <f aca="false">EXP(-'Black-Scholes'!$B$8*'Black-Scholes'!$B$7)*IF(LOWER('Black-Scholes'!$B$11)="put",MAX('Black-Scholes'!$B$6-D2616,0),MAX(D2616-'Black-Scholes'!$B$6,0))</f>
        <v>0</v>
      </c>
    </row>
    <row r="2617" customFormat="false" ht="15" hidden="false" customHeight="false" outlineLevel="0" collapsed="false">
      <c r="A2617" s="0" t="n">
        <v>2606</v>
      </c>
      <c r="B2617" s="15" t="n">
        <v>0.0402235803035813</v>
      </c>
      <c r="C2617" s="18" t="n">
        <f aca="false">'Black-Scholes'!$B$5*EXP(('Black-Scholes'!$B$8-'Black-Scholes'!$B$10-'Black-Scholes'!$B$9^2/2)*'Black-Scholes'!$B$7+'Black-Scholes'!$B$9*SQRT('Black-Scholes'!$B$7)*B2617)</f>
        <v>103.877768188588</v>
      </c>
      <c r="D2617" s="18" t="n">
        <f aca="false">'Black-Scholes'!$B$5*EXP(('Black-Scholes'!$B$8-'Black-Scholes'!$B$10-'Black-Scholes'!$B$9^2/2)*'Black-Scholes'!$B$7-'Black-Scholes'!$B$9*SQRT('Black-Scholes'!$B$7)*B2617)</f>
        <v>102.219807477729</v>
      </c>
      <c r="E2617" s="18" t="n">
        <f aca="false">EXP(-'Black-Scholes'!$B$8*'Black-Scholes'!$B$7)*IF(LOWER('Black-Scholes'!$B$11)="put",MAX('Black-Scholes'!$B$6-C2617,0),MAX(C2617-'Black-Scholes'!$B$6,0))</f>
        <v>3.68864720237733</v>
      </c>
      <c r="F2617" s="18" t="n">
        <f aca="false">(E2617+G2617)/2</f>
        <v>2.90009669596</v>
      </c>
      <c r="G2617" s="18" t="n">
        <f aca="false">EXP(-'Black-Scholes'!$B$8*'Black-Scholes'!$B$7)*IF(LOWER('Black-Scholes'!$B$11)="put",MAX('Black-Scholes'!$B$6-D2617,0),MAX(D2617-'Black-Scholes'!$B$6,0))</f>
        <v>2.11154618954268</v>
      </c>
    </row>
    <row r="2618" customFormat="false" ht="15" hidden="false" customHeight="false" outlineLevel="0" collapsed="false">
      <c r="A2618" s="0" t="n">
        <v>2607</v>
      </c>
      <c r="B2618" s="15" t="n">
        <v>0.606023614365608</v>
      </c>
      <c r="C2618" s="18" t="n">
        <f aca="false">'Black-Scholes'!$B$5*EXP(('Black-Scholes'!$B$8-'Black-Scholes'!$B$10-'Black-Scholes'!$B$9^2/2)*'Black-Scholes'!$B$7+'Black-Scholes'!$B$9*SQRT('Black-Scholes'!$B$7)*B2618)</f>
        <v>116.32347744722</v>
      </c>
      <c r="D2618" s="18" t="n">
        <f aca="false">'Black-Scholes'!$B$5*EXP(('Black-Scholes'!$B$8-'Black-Scholes'!$B$10-'Black-Scholes'!$B$9^2/2)*'Black-Scholes'!$B$7-'Black-Scholes'!$B$9*SQRT('Black-Scholes'!$B$7)*B2618)</f>
        <v>91.2830814421924</v>
      </c>
      <c r="E2618" s="18" t="n">
        <f aca="false">EXP(-'Black-Scholes'!$B$8*'Black-Scholes'!$B$7)*IF(LOWER('Black-Scholes'!$B$11)="put",MAX('Black-Scholes'!$B$6-C2618,0),MAX(C2618-'Black-Scholes'!$B$6,0))</f>
        <v>15.5273720579692</v>
      </c>
      <c r="F2618" s="18" t="n">
        <f aca="false">(E2618+G2618)/2</f>
        <v>7.76368602898462</v>
      </c>
      <c r="G2618" s="18" t="n">
        <f aca="false">EXP(-'Black-Scholes'!$B$8*'Black-Scholes'!$B$7)*IF(LOWER('Black-Scholes'!$B$11)="put",MAX('Black-Scholes'!$B$6-D2618,0),MAX(D2618-'Black-Scholes'!$B$6,0))</f>
        <v>0</v>
      </c>
    </row>
    <row r="2619" customFormat="false" ht="15" hidden="false" customHeight="false" outlineLevel="0" collapsed="false">
      <c r="A2619" s="0" t="n">
        <v>2608</v>
      </c>
      <c r="B2619" s="15" t="n">
        <v>0.825357650522935</v>
      </c>
      <c r="C2619" s="18" t="n">
        <f aca="false">'Black-Scholes'!$B$5*EXP(('Black-Scholes'!$B$8-'Black-Scholes'!$B$10-'Black-Scholes'!$B$9^2/2)*'Black-Scholes'!$B$7+'Black-Scholes'!$B$9*SQRT('Black-Scholes'!$B$7)*B2619)</f>
        <v>121.539792092088</v>
      </c>
      <c r="D2619" s="18" t="n">
        <f aca="false">'Black-Scholes'!$B$5*EXP(('Black-Scholes'!$B$8-'Black-Scholes'!$B$10-'Black-Scholes'!$B$9^2/2)*'Black-Scholes'!$B$7-'Black-Scholes'!$B$9*SQRT('Black-Scholes'!$B$7)*B2619)</f>
        <v>87.3653416932647</v>
      </c>
      <c r="E2619" s="18" t="n">
        <f aca="false">EXP(-'Black-Scholes'!$B$8*'Black-Scholes'!$B$7)*IF(LOWER('Black-Scholes'!$B$11)="put",MAX('Black-Scholes'!$B$6-C2619,0),MAX(C2619-'Black-Scholes'!$B$6,0))</f>
        <v>20.4892840356217</v>
      </c>
      <c r="F2619" s="18" t="n">
        <f aca="false">(E2619+G2619)/2</f>
        <v>10.2446420178108</v>
      </c>
      <c r="G2619" s="18" t="n">
        <f aca="false">EXP(-'Black-Scholes'!$B$8*'Black-Scholes'!$B$7)*IF(LOWER('Black-Scholes'!$B$11)="put",MAX('Black-Scholes'!$B$6-D2619,0),MAX(D2619-'Black-Scholes'!$B$6,0))</f>
        <v>0</v>
      </c>
    </row>
    <row r="2620" customFormat="false" ht="15" hidden="false" customHeight="false" outlineLevel="0" collapsed="false">
      <c r="A2620" s="0" t="n">
        <v>2609</v>
      </c>
      <c r="B2620" s="15" t="n">
        <v>1.30214031745899</v>
      </c>
      <c r="C2620" s="18" t="n">
        <f aca="false">'Black-Scholes'!$B$5*EXP(('Black-Scholes'!$B$8-'Black-Scholes'!$B$10-'Black-Scholes'!$B$9^2/2)*'Black-Scholes'!$B$7+'Black-Scholes'!$B$9*SQRT('Black-Scholes'!$B$7)*B2620)</f>
        <v>133.699968630239</v>
      </c>
      <c r="D2620" s="18" t="n">
        <f aca="false">'Black-Scholes'!$B$5*EXP(('Black-Scholes'!$B$8-'Black-Scholes'!$B$10-'Black-Scholes'!$B$9^2/2)*'Black-Scholes'!$B$7-'Black-Scholes'!$B$9*SQRT('Black-Scholes'!$B$7)*B2620)</f>
        <v>79.4193564459224</v>
      </c>
      <c r="E2620" s="18" t="n">
        <f aca="false">EXP(-'Black-Scholes'!$B$8*'Black-Scholes'!$B$7)*IF(LOWER('Black-Scholes'!$B$11)="put",MAX('Black-Scholes'!$B$6-C2620,0),MAX(C2620-'Black-Scholes'!$B$6,0))</f>
        <v>32.0564017658343</v>
      </c>
      <c r="F2620" s="18" t="n">
        <f aca="false">(E2620+G2620)/2</f>
        <v>16.0282008829172</v>
      </c>
      <c r="G2620" s="18" t="n">
        <f aca="false">EXP(-'Black-Scholes'!$B$8*'Black-Scholes'!$B$7)*IF(LOWER('Black-Scholes'!$B$11)="put",MAX('Black-Scholes'!$B$6-D2620,0),MAX(D2620-'Black-Scholes'!$B$6,0))</f>
        <v>0</v>
      </c>
    </row>
    <row r="2621" customFormat="false" ht="15" hidden="false" customHeight="false" outlineLevel="0" collapsed="false">
      <c r="A2621" s="0" t="n">
        <v>2610</v>
      </c>
      <c r="B2621" s="15" t="n">
        <v>-1.06604676285012</v>
      </c>
      <c r="C2621" s="18" t="n">
        <f aca="false">'Black-Scholes'!$B$5*EXP(('Black-Scholes'!$B$8-'Black-Scholes'!$B$10-'Black-Scholes'!$B$9^2/2)*'Black-Scholes'!$B$7+'Black-Scholes'!$B$9*SQRT('Black-Scholes'!$B$7)*B2621)</f>
        <v>83.2593831831669</v>
      </c>
      <c r="D2621" s="18" t="n">
        <f aca="false">'Black-Scholes'!$B$5*EXP(('Black-Scholes'!$B$8-'Black-Scholes'!$B$10-'Black-Scholes'!$B$9^2/2)*'Black-Scholes'!$B$7-'Black-Scholes'!$B$9*SQRT('Black-Scholes'!$B$7)*B2621)</f>
        <v>127.5335590956</v>
      </c>
      <c r="E2621" s="18" t="n">
        <f aca="false">EXP(-'Black-Scholes'!$B$8*'Black-Scholes'!$B$7)*IF(LOWER('Black-Scholes'!$B$11)="put",MAX('Black-Scholes'!$B$6-C2621,0),MAX(C2621-'Black-Scholes'!$B$6,0))</f>
        <v>0</v>
      </c>
      <c r="F2621" s="18" t="n">
        <f aca="false">(E2621+G2621)/2</f>
        <v>13.0953657864818</v>
      </c>
      <c r="G2621" s="18" t="n">
        <f aca="false">EXP(-'Black-Scholes'!$B$8*'Black-Scholes'!$B$7)*IF(LOWER('Black-Scholes'!$B$11)="put",MAX('Black-Scholes'!$B$6-D2621,0),MAX(D2621-'Black-Scholes'!$B$6,0))</f>
        <v>26.1907315729637</v>
      </c>
    </row>
    <row r="2622" customFormat="false" ht="15" hidden="false" customHeight="false" outlineLevel="0" collapsed="false">
      <c r="A2622" s="0" t="n">
        <v>2611</v>
      </c>
      <c r="B2622" s="15" t="n">
        <v>-1.16644317705186</v>
      </c>
      <c r="C2622" s="18" t="n">
        <f aca="false">'Black-Scholes'!$B$5*EXP(('Black-Scholes'!$B$8-'Black-Scholes'!$B$10-'Black-Scholes'!$B$9^2/2)*'Black-Scholes'!$B$7+'Black-Scholes'!$B$9*SQRT('Black-Scholes'!$B$7)*B2622)</f>
        <v>81.604266861938</v>
      </c>
      <c r="D2622" s="18" t="n">
        <f aca="false">'Black-Scholes'!$B$5*EXP(('Black-Scholes'!$B$8-'Black-Scholes'!$B$10-'Black-Scholes'!$B$9^2/2)*'Black-Scholes'!$B$7-'Black-Scholes'!$B$9*SQRT('Black-Scholes'!$B$7)*B2622)</f>
        <v>130.120223779698</v>
      </c>
      <c r="E2622" s="18" t="n">
        <f aca="false">EXP(-'Black-Scholes'!$B$8*'Black-Scholes'!$B$7)*IF(LOWER('Black-Scholes'!$B$11)="put",MAX('Black-Scholes'!$B$6-C2622,0),MAX(C2622-'Black-Scholes'!$B$6,0))</f>
        <v>0</v>
      </c>
      <c r="F2622" s="18" t="n">
        <f aca="false">(E2622+G2622)/2</f>
        <v>14.3256215658976</v>
      </c>
      <c r="G2622" s="18" t="n">
        <f aca="false">EXP(-'Black-Scholes'!$B$8*'Black-Scholes'!$B$7)*IF(LOWER('Black-Scholes'!$B$11)="put",MAX('Black-Scholes'!$B$6-D2622,0),MAX(D2622-'Black-Scholes'!$B$6,0))</f>
        <v>28.6512431317951</v>
      </c>
    </row>
    <row r="2623" customFormat="false" ht="15" hidden="false" customHeight="false" outlineLevel="0" collapsed="false">
      <c r="A2623" s="0" t="n">
        <v>2612</v>
      </c>
      <c r="B2623" s="15" t="n">
        <v>0.0202477701399979</v>
      </c>
      <c r="C2623" s="18" t="n">
        <f aca="false">'Black-Scholes'!$B$5*EXP(('Black-Scholes'!$B$8-'Black-Scholes'!$B$10-'Black-Scholes'!$B$9^2/2)*'Black-Scholes'!$B$7+'Black-Scholes'!$B$9*SQRT('Black-Scholes'!$B$7)*B2623)</f>
        <v>103.463587583297</v>
      </c>
      <c r="D2623" s="18" t="n">
        <f aca="false">'Black-Scholes'!$B$5*EXP(('Black-Scholes'!$B$8-'Black-Scholes'!$B$10-'Black-Scholes'!$B$9^2/2)*'Black-Scholes'!$B$7-'Black-Scholes'!$B$9*SQRT('Black-Scholes'!$B$7)*B2623)</f>
        <v>102.629009040547</v>
      </c>
      <c r="E2623" s="18" t="n">
        <f aca="false">EXP(-'Black-Scholes'!$B$8*'Black-Scholes'!$B$7)*IF(LOWER('Black-Scholes'!$B$11)="put",MAX('Black-Scholes'!$B$6-C2623,0),MAX(C2623-'Black-Scholes'!$B$6,0))</f>
        <v>3.29466642356767</v>
      </c>
      <c r="F2623" s="18" t="n">
        <f aca="false">(E2623+G2623)/2</f>
        <v>2.89772859010699</v>
      </c>
      <c r="G2623" s="18" t="n">
        <f aca="false">EXP(-'Black-Scholes'!$B$8*'Black-Scholes'!$B$7)*IF(LOWER('Black-Scholes'!$B$11)="put",MAX('Black-Scholes'!$B$6-D2623,0),MAX(D2623-'Black-Scholes'!$B$6,0))</f>
        <v>2.50079075664631</v>
      </c>
    </row>
    <row r="2624" customFormat="false" ht="15" hidden="false" customHeight="false" outlineLevel="0" collapsed="false">
      <c r="A2624" s="0" t="n">
        <v>2613</v>
      </c>
      <c r="B2624" s="15" t="n">
        <v>1.67819082744624</v>
      </c>
      <c r="C2624" s="18" t="n">
        <f aca="false">'Black-Scholes'!$B$5*EXP(('Black-Scholes'!$B$8-'Black-Scholes'!$B$10-'Black-Scholes'!$B$9^2/2)*'Black-Scholes'!$B$7+'Black-Scholes'!$B$9*SQRT('Black-Scholes'!$B$7)*B2624)</f>
        <v>144.143358786681</v>
      </c>
      <c r="D2624" s="18" t="n">
        <f aca="false">'Black-Scholes'!$B$5*EXP(('Black-Scholes'!$B$8-'Black-Scholes'!$B$10-'Black-Scholes'!$B$9^2/2)*'Black-Scholes'!$B$7-'Black-Scholes'!$B$9*SQRT('Black-Scholes'!$B$7)*B2624)</f>
        <v>73.665311775951</v>
      </c>
      <c r="E2624" s="18" t="n">
        <f aca="false">EXP(-'Black-Scholes'!$B$8*'Black-Scholes'!$B$7)*IF(LOWER('Black-Scholes'!$B$11)="put",MAX('Black-Scholes'!$B$6-C2624,0),MAX(C2624-'Black-Scholes'!$B$6,0))</f>
        <v>41.9904617741829</v>
      </c>
      <c r="F2624" s="18" t="n">
        <f aca="false">(E2624+G2624)/2</f>
        <v>20.9952308870914</v>
      </c>
      <c r="G2624" s="18" t="n">
        <f aca="false">EXP(-'Black-Scholes'!$B$8*'Black-Scholes'!$B$7)*IF(LOWER('Black-Scholes'!$B$11)="put",MAX('Black-Scholes'!$B$6-D2624,0),MAX(D2624-'Black-Scholes'!$B$6,0))</f>
        <v>0</v>
      </c>
    </row>
    <row r="2625" customFormat="false" ht="15" hidden="false" customHeight="false" outlineLevel="0" collapsed="false">
      <c r="A2625" s="0" t="n">
        <v>2614</v>
      </c>
      <c r="B2625" s="15" t="n">
        <v>-1.10671551454395</v>
      </c>
      <c r="C2625" s="18" t="n">
        <f aca="false">'Black-Scholes'!$B$5*EXP(('Black-Scholes'!$B$8-'Black-Scholes'!$B$10-'Black-Scholes'!$B$9^2/2)*'Black-Scholes'!$B$7+'Black-Scholes'!$B$9*SQRT('Black-Scholes'!$B$7)*B2625)</f>
        <v>82.5849188277593</v>
      </c>
      <c r="D2625" s="18" t="n">
        <f aca="false">'Black-Scholes'!$B$5*EXP(('Black-Scholes'!$B$8-'Black-Scholes'!$B$10-'Black-Scholes'!$B$9^2/2)*'Black-Scholes'!$B$7-'Black-Scholes'!$B$9*SQRT('Black-Scholes'!$B$7)*B2625)</f>
        <v>128.575115362158</v>
      </c>
      <c r="E2625" s="18" t="n">
        <f aca="false">EXP(-'Black-Scholes'!$B$8*'Black-Scholes'!$B$7)*IF(LOWER('Black-Scholes'!$B$11)="put",MAX('Black-Scholes'!$B$6-C2625,0),MAX(C2625-'Black-Scholes'!$B$6,0))</f>
        <v>0</v>
      </c>
      <c r="F2625" s="18" t="n">
        <f aca="false">(E2625+G2625)/2</f>
        <v>13.5907452704935</v>
      </c>
      <c r="G2625" s="18" t="n">
        <f aca="false">EXP(-'Black-Scholes'!$B$8*'Black-Scholes'!$B$7)*IF(LOWER('Black-Scholes'!$B$11)="put",MAX('Black-Scholes'!$B$6-D2625,0),MAX(D2625-'Black-Scholes'!$B$6,0))</f>
        <v>27.1814905409869</v>
      </c>
    </row>
    <row r="2626" customFormat="false" ht="15" hidden="false" customHeight="false" outlineLevel="0" collapsed="false">
      <c r="A2626" s="0" t="n">
        <v>2615</v>
      </c>
      <c r="B2626" s="15" t="n">
        <v>-0.767743180374482</v>
      </c>
      <c r="C2626" s="18" t="n">
        <f aca="false">'Black-Scholes'!$B$5*EXP(('Black-Scholes'!$B$8-'Black-Scholes'!$B$10-'Black-Scholes'!$B$9^2/2)*'Black-Scholes'!$B$7+'Black-Scholes'!$B$9*SQRT('Black-Scholes'!$B$7)*B2626)</f>
        <v>88.3778656673849</v>
      </c>
      <c r="D2626" s="18" t="n">
        <f aca="false">'Black-Scholes'!$B$5*EXP(('Black-Scholes'!$B$8-'Black-Scholes'!$B$10-'Black-Scholes'!$B$9^2/2)*'Black-Scholes'!$B$7-'Black-Scholes'!$B$9*SQRT('Black-Scholes'!$B$7)*B2626)</f>
        <v>120.147339894091</v>
      </c>
      <c r="E2626" s="18" t="n">
        <f aca="false">EXP(-'Black-Scholes'!$B$8*'Black-Scholes'!$B$7)*IF(LOWER('Black-Scholes'!$B$11)="put",MAX('Black-Scholes'!$B$6-C2626,0),MAX(C2626-'Black-Scholes'!$B$6,0))</f>
        <v>0</v>
      </c>
      <c r="F2626" s="18" t="n">
        <f aca="false">(E2626+G2626)/2</f>
        <v>9.58237126633818</v>
      </c>
      <c r="G2626" s="18" t="n">
        <f aca="false">EXP(-'Black-Scholes'!$B$8*'Black-Scholes'!$B$7)*IF(LOWER('Black-Scholes'!$B$11)="put",MAX('Black-Scholes'!$B$6-D2626,0),MAX(D2626-'Black-Scholes'!$B$6,0))</f>
        <v>19.1647425326764</v>
      </c>
    </row>
    <row r="2627" customFormat="false" ht="15" hidden="false" customHeight="false" outlineLevel="0" collapsed="false">
      <c r="A2627" s="0" t="n">
        <v>2616</v>
      </c>
      <c r="B2627" s="15" t="n">
        <v>-0.636320327682284</v>
      </c>
      <c r="C2627" s="18" t="n">
        <f aca="false">'Black-Scholes'!$B$5*EXP(('Black-Scholes'!$B$8-'Black-Scholes'!$B$10-'Black-Scholes'!$B$9^2/2)*'Black-Scholes'!$B$7+'Black-Scholes'!$B$9*SQRT('Black-Scholes'!$B$7)*B2627)</f>
        <v>90.7316383509079</v>
      </c>
      <c r="D2627" s="18" t="n">
        <f aca="false">'Black-Scholes'!$B$5*EXP(('Black-Scholes'!$B$8-'Black-Scholes'!$B$10-'Black-Scholes'!$B$9^2/2)*'Black-Scholes'!$B$7-'Black-Scholes'!$B$9*SQRT('Black-Scholes'!$B$7)*B2627)</f>
        <v>117.030461021619</v>
      </c>
      <c r="E2627" s="18" t="n">
        <f aca="false">EXP(-'Black-Scholes'!$B$8*'Black-Scholes'!$B$7)*IF(LOWER('Black-Scholes'!$B$11)="put",MAX('Black-Scholes'!$B$6-C2627,0),MAX(C2627-'Black-Scholes'!$B$6,0))</f>
        <v>0</v>
      </c>
      <c r="F2627" s="18" t="n">
        <f aca="false">(E2627+G2627)/2</f>
        <v>8.09993781828842</v>
      </c>
      <c r="G2627" s="18" t="n">
        <f aca="false">EXP(-'Black-Scholes'!$B$8*'Black-Scholes'!$B$7)*IF(LOWER('Black-Scholes'!$B$11)="put",MAX('Black-Scholes'!$B$6-D2627,0),MAX(D2627-'Black-Scholes'!$B$6,0))</f>
        <v>16.1998756365768</v>
      </c>
    </row>
    <row r="2628" customFormat="false" ht="15" hidden="false" customHeight="false" outlineLevel="0" collapsed="false">
      <c r="A2628" s="0" t="n">
        <v>2617</v>
      </c>
      <c r="B2628" s="15" t="n">
        <v>-1.45517374324101</v>
      </c>
      <c r="C2628" s="18" t="n">
        <f aca="false">'Black-Scholes'!$B$5*EXP(('Black-Scholes'!$B$8-'Black-Scholes'!$B$10-'Black-Scholes'!$B$9^2/2)*'Black-Scholes'!$B$7+'Black-Scholes'!$B$9*SQRT('Black-Scholes'!$B$7)*B2628)</f>
        <v>77.0254153859426</v>
      </c>
      <c r="D2628" s="18" t="n">
        <f aca="false">'Black-Scholes'!$B$5*EXP(('Black-Scholes'!$B$8-'Black-Scholes'!$B$10-'Black-Scholes'!$B$9^2/2)*'Black-Scholes'!$B$7-'Black-Scholes'!$B$9*SQRT('Black-Scholes'!$B$7)*B2628)</f>
        <v>137.855348293149</v>
      </c>
      <c r="E2628" s="18" t="n">
        <f aca="false">EXP(-'Black-Scholes'!$B$8*'Black-Scholes'!$B$7)*IF(LOWER('Black-Scholes'!$B$11)="put",MAX('Black-Scholes'!$B$6-C2628,0),MAX(C2628-'Black-Scholes'!$B$6,0))</f>
        <v>0</v>
      </c>
      <c r="F2628" s="18" t="n">
        <f aca="false">(E2628+G2628)/2</f>
        <v>18.0045605855831</v>
      </c>
      <c r="G2628" s="18" t="n">
        <f aca="false">EXP(-'Black-Scholes'!$B$8*'Black-Scholes'!$B$7)*IF(LOWER('Black-Scholes'!$B$11)="put",MAX('Black-Scholes'!$B$6-D2628,0),MAX(D2628-'Black-Scholes'!$B$6,0))</f>
        <v>36.0091211711663</v>
      </c>
    </row>
    <row r="2629" customFormat="false" ht="15" hidden="false" customHeight="false" outlineLevel="0" collapsed="false">
      <c r="A2629" s="0" t="n">
        <v>2618</v>
      </c>
      <c r="B2629" s="15" t="n">
        <v>0.837679411052664</v>
      </c>
      <c r="C2629" s="18" t="n">
        <f aca="false">'Black-Scholes'!$B$5*EXP(('Black-Scholes'!$B$8-'Black-Scholes'!$B$10-'Black-Scholes'!$B$9^2/2)*'Black-Scholes'!$B$7+'Black-Scholes'!$B$9*SQRT('Black-Scholes'!$B$7)*B2629)</f>
        <v>121.839678295516</v>
      </c>
      <c r="D2629" s="18" t="n">
        <f aca="false">'Black-Scholes'!$B$5*EXP(('Black-Scholes'!$B$8-'Black-Scholes'!$B$10-'Black-Scholes'!$B$9^2/2)*'Black-Scholes'!$B$7-'Black-Scholes'!$B$9*SQRT('Black-Scholes'!$B$7)*B2629)</f>
        <v>87.1503077979183</v>
      </c>
      <c r="E2629" s="18" t="n">
        <f aca="false">EXP(-'Black-Scholes'!$B$8*'Black-Scholes'!$B$7)*IF(LOWER('Black-Scholes'!$B$11)="put",MAX('Black-Scholes'!$B$6-C2629,0),MAX(C2629-'Black-Scholes'!$B$6,0))</f>
        <v>20.7745446163248</v>
      </c>
      <c r="F2629" s="18" t="n">
        <f aca="false">(E2629+G2629)/2</f>
        <v>10.3872723081624</v>
      </c>
      <c r="G2629" s="18" t="n">
        <f aca="false">EXP(-'Black-Scholes'!$B$8*'Black-Scholes'!$B$7)*IF(LOWER('Black-Scholes'!$B$11)="put",MAX('Black-Scholes'!$B$6-D2629,0),MAX(D2629-'Black-Scholes'!$B$6,0))</f>
        <v>0</v>
      </c>
    </row>
    <row r="2630" customFormat="false" ht="15" hidden="false" customHeight="false" outlineLevel="0" collapsed="false">
      <c r="A2630" s="0" t="n">
        <v>2619</v>
      </c>
      <c r="B2630" s="15" t="n">
        <v>-0.440037093259977</v>
      </c>
      <c r="C2630" s="18" t="n">
        <f aca="false">'Black-Scholes'!$B$5*EXP(('Black-Scholes'!$B$8-'Black-Scholes'!$B$10-'Black-Scholes'!$B$9^2/2)*'Black-Scholes'!$B$7+'Black-Scholes'!$B$9*SQRT('Black-Scholes'!$B$7)*B2630)</f>
        <v>94.3642946852201</v>
      </c>
      <c r="D2630" s="18" t="n">
        <f aca="false">'Black-Scholes'!$B$5*EXP(('Black-Scholes'!$B$8-'Black-Scholes'!$B$10-'Black-Scholes'!$B$9^2/2)*'Black-Scholes'!$B$7-'Black-Scholes'!$B$9*SQRT('Black-Scholes'!$B$7)*B2630)</f>
        <v>112.525245919278</v>
      </c>
      <c r="E2630" s="18" t="n">
        <f aca="false">EXP(-'Black-Scholes'!$B$8*'Black-Scholes'!$B$7)*IF(LOWER('Black-Scholes'!$B$11)="put",MAX('Black-Scholes'!$B$6-C2630,0),MAX(C2630-'Black-Scholes'!$B$6,0))</f>
        <v>0</v>
      </c>
      <c r="F2630" s="18" t="n">
        <f aca="false">(E2630+G2630)/2</f>
        <v>5.95719123376232</v>
      </c>
      <c r="G2630" s="18" t="n">
        <f aca="false">EXP(-'Black-Scholes'!$B$8*'Black-Scholes'!$B$7)*IF(LOWER('Black-Scholes'!$B$11)="put",MAX('Black-Scholes'!$B$6-D2630,0),MAX(D2630-'Black-Scholes'!$B$6,0))</f>
        <v>11.9143824675246</v>
      </c>
    </row>
    <row r="2631" customFormat="false" ht="15" hidden="false" customHeight="false" outlineLevel="0" collapsed="false">
      <c r="A2631" s="0" t="n">
        <v>2620</v>
      </c>
      <c r="B2631" s="15" t="n">
        <v>0.302424440748933</v>
      </c>
      <c r="C2631" s="18" t="n">
        <f aca="false">'Black-Scholes'!$B$5*EXP(('Black-Scholes'!$B$8-'Black-Scholes'!$B$10-'Black-Scholes'!$B$9^2/2)*'Black-Scholes'!$B$7+'Black-Scholes'!$B$9*SQRT('Black-Scholes'!$B$7)*B2631)</f>
        <v>109.47049644992</v>
      </c>
      <c r="D2631" s="18" t="n">
        <f aca="false">'Black-Scholes'!$B$5*EXP(('Black-Scholes'!$B$8-'Black-Scholes'!$B$10-'Black-Scholes'!$B$9^2/2)*'Black-Scholes'!$B$7-'Black-Scholes'!$B$9*SQRT('Black-Scholes'!$B$7)*B2631)</f>
        <v>96.9975090074727</v>
      </c>
      <c r="E2631" s="18" t="n">
        <f aca="false">EXP(-'Black-Scholes'!$B$8*'Black-Scholes'!$B$7)*IF(LOWER('Black-Scholes'!$B$11)="put",MAX('Black-Scholes'!$B$6-C2631,0),MAX(C2631-'Black-Scholes'!$B$6,0))</f>
        <v>9.00861488779315</v>
      </c>
      <c r="F2631" s="18" t="n">
        <f aca="false">(E2631+G2631)/2</f>
        <v>4.50430744389658</v>
      </c>
      <c r="G2631" s="18" t="n">
        <f aca="false">EXP(-'Black-Scholes'!$B$8*'Black-Scholes'!$B$7)*IF(LOWER('Black-Scholes'!$B$11)="put",MAX('Black-Scholes'!$B$6-D2631,0),MAX(D2631-'Black-Scholes'!$B$6,0))</f>
        <v>0</v>
      </c>
    </row>
    <row r="2632" customFormat="false" ht="15" hidden="false" customHeight="false" outlineLevel="0" collapsed="false">
      <c r="A2632" s="0" t="n">
        <v>2621</v>
      </c>
      <c r="B2632" s="15" t="n">
        <v>0.480478643072627</v>
      </c>
      <c r="C2632" s="18" t="n">
        <f aca="false">'Black-Scholes'!$B$5*EXP(('Black-Scholes'!$B$8-'Black-Scholes'!$B$10-'Black-Scholes'!$B$9^2/2)*'Black-Scholes'!$B$7+'Black-Scholes'!$B$9*SQRT('Black-Scholes'!$B$7)*B2632)</f>
        <v>113.43907567409</v>
      </c>
      <c r="D2632" s="18" t="n">
        <f aca="false">'Black-Scholes'!$B$5*EXP(('Black-Scholes'!$B$8-'Black-Scholes'!$B$10-'Black-Scholes'!$B$9^2/2)*'Black-Scholes'!$B$7-'Black-Scholes'!$B$9*SQRT('Black-Scholes'!$B$7)*B2632)</f>
        <v>93.6041254070165</v>
      </c>
      <c r="E2632" s="18" t="n">
        <f aca="false">EXP(-'Black-Scholes'!$B$8*'Black-Scholes'!$B$7)*IF(LOWER('Black-Scholes'!$B$11)="put",MAX('Black-Scholes'!$B$6-C2632,0),MAX(C2632-'Black-Scholes'!$B$6,0))</f>
        <v>12.7836442192865</v>
      </c>
      <c r="F2632" s="18" t="n">
        <f aca="false">(E2632+G2632)/2</f>
        <v>6.39182210964327</v>
      </c>
      <c r="G2632" s="18" t="n">
        <f aca="false">EXP(-'Black-Scholes'!$B$8*'Black-Scholes'!$B$7)*IF(LOWER('Black-Scholes'!$B$11)="put",MAX('Black-Scholes'!$B$6-D2632,0),MAX(D2632-'Black-Scholes'!$B$6,0))</f>
        <v>0</v>
      </c>
    </row>
    <row r="2633" customFormat="false" ht="15" hidden="false" customHeight="false" outlineLevel="0" collapsed="false">
      <c r="A2633" s="0" t="n">
        <v>2622</v>
      </c>
      <c r="B2633" s="15" t="n">
        <v>-0.557449125064574</v>
      </c>
      <c r="C2633" s="18" t="n">
        <f aca="false">'Black-Scholes'!$B$5*EXP(('Black-Scholes'!$B$8-'Black-Scholes'!$B$10-'Black-Scholes'!$B$9^2/2)*'Black-Scholes'!$B$7+'Black-Scholes'!$B$9*SQRT('Black-Scholes'!$B$7)*B2633)</f>
        <v>92.174208852002</v>
      </c>
      <c r="D2633" s="18" t="n">
        <f aca="false">'Black-Scholes'!$B$5*EXP(('Black-Scholes'!$B$8-'Black-Scholes'!$B$10-'Black-Scholes'!$B$9^2/2)*'Black-Scholes'!$B$7-'Black-Scholes'!$B$9*SQRT('Black-Scholes'!$B$7)*B2633)</f>
        <v>115.198878273019</v>
      </c>
      <c r="E2633" s="18" t="n">
        <f aca="false">EXP(-'Black-Scholes'!$B$8*'Black-Scholes'!$B$7)*IF(LOWER('Black-Scholes'!$B$11)="put",MAX('Black-Scholes'!$B$6-C2633,0),MAX(C2633-'Black-Scholes'!$B$6,0))</f>
        <v>0</v>
      </c>
      <c r="F2633" s="18" t="n">
        <f aca="false">(E2633+G2633)/2</f>
        <v>7.22881011635008</v>
      </c>
      <c r="G2633" s="18" t="n">
        <f aca="false">EXP(-'Black-Scholes'!$B$8*'Black-Scholes'!$B$7)*IF(LOWER('Black-Scholes'!$B$11)="put",MAX('Black-Scholes'!$B$6-D2633,0),MAX(D2633-'Black-Scholes'!$B$6,0))</f>
        <v>14.4576202327002</v>
      </c>
    </row>
    <row r="2634" customFormat="false" ht="15" hidden="false" customHeight="false" outlineLevel="0" collapsed="false">
      <c r="A2634" s="0" t="n">
        <v>2623</v>
      </c>
      <c r="B2634" s="15" t="n">
        <v>0.4977560577237</v>
      </c>
      <c r="C2634" s="18" t="n">
        <f aca="false">'Black-Scholes'!$B$5*EXP(('Black-Scholes'!$B$8-'Black-Scholes'!$B$10-'Black-Scholes'!$B$9^2/2)*'Black-Scholes'!$B$7+'Black-Scholes'!$B$9*SQRT('Black-Scholes'!$B$7)*B2634)</f>
        <v>113.831740496283</v>
      </c>
      <c r="D2634" s="18" t="n">
        <f aca="false">'Black-Scholes'!$B$5*EXP(('Black-Scholes'!$B$8-'Black-Scholes'!$B$10-'Black-Scholes'!$B$9^2/2)*'Black-Scholes'!$B$7-'Black-Scholes'!$B$9*SQRT('Black-Scholes'!$B$7)*B2634)</f>
        <v>93.2812361399348</v>
      </c>
      <c r="E2634" s="18" t="n">
        <f aca="false">EXP(-'Black-Scholes'!$B$8*'Black-Scholes'!$B$7)*IF(LOWER('Black-Scholes'!$B$11)="put",MAX('Black-Scholes'!$B$6-C2634,0),MAX(C2634-'Black-Scholes'!$B$6,0))</f>
        <v>13.1571585521229</v>
      </c>
      <c r="F2634" s="18" t="n">
        <f aca="false">(E2634+G2634)/2</f>
        <v>6.57857927606147</v>
      </c>
      <c r="G2634" s="18" t="n">
        <f aca="false">EXP(-'Black-Scholes'!$B$8*'Black-Scholes'!$B$7)*IF(LOWER('Black-Scholes'!$B$11)="put",MAX('Black-Scholes'!$B$6-D2634,0),MAX(D2634-'Black-Scholes'!$B$6,0))</f>
        <v>0</v>
      </c>
    </row>
    <row r="2635" customFormat="false" ht="15" hidden="false" customHeight="false" outlineLevel="0" collapsed="false">
      <c r="A2635" s="0" t="n">
        <v>2624</v>
      </c>
      <c r="B2635" s="15" t="n">
        <v>0.705247714503258</v>
      </c>
      <c r="C2635" s="18" t="n">
        <f aca="false">'Black-Scholes'!$B$5*EXP(('Black-Scholes'!$B$8-'Black-Scholes'!$B$10-'Black-Scholes'!$B$9^2/2)*'Black-Scholes'!$B$7+'Black-Scholes'!$B$9*SQRT('Black-Scholes'!$B$7)*B2635)</f>
        <v>118.654953267116</v>
      </c>
      <c r="D2635" s="18" t="n">
        <f aca="false">'Black-Scholes'!$B$5*EXP(('Black-Scholes'!$B$8-'Black-Scholes'!$B$10-'Black-Scholes'!$B$9^2/2)*'Black-Scholes'!$B$7-'Black-Scholes'!$B$9*SQRT('Black-Scholes'!$B$7)*B2635)</f>
        <v>89.4894412165799</v>
      </c>
      <c r="E2635" s="18" t="n">
        <f aca="false">EXP(-'Black-Scholes'!$B$8*'Black-Scholes'!$B$7)*IF(LOWER('Black-Scholes'!$B$11)="put",MAX('Black-Scholes'!$B$6-C2635,0),MAX(C2635-'Black-Scholes'!$B$6,0))</f>
        <v>17.7451404603664</v>
      </c>
      <c r="F2635" s="18" t="n">
        <f aca="false">(E2635+G2635)/2</f>
        <v>8.87257023018318</v>
      </c>
      <c r="G2635" s="18" t="n">
        <f aca="false">EXP(-'Black-Scholes'!$B$8*'Black-Scholes'!$B$7)*IF(LOWER('Black-Scholes'!$B$11)="put",MAX('Black-Scholes'!$B$6-D2635,0),MAX(D2635-'Black-Scholes'!$B$6,0))</f>
        <v>0</v>
      </c>
    </row>
    <row r="2636" customFormat="false" ht="15" hidden="false" customHeight="false" outlineLevel="0" collapsed="false">
      <c r="A2636" s="0" t="n">
        <v>2625</v>
      </c>
      <c r="B2636" s="15" t="n">
        <v>0.840871004976979</v>
      </c>
      <c r="C2636" s="18" t="n">
        <f aca="false">'Black-Scholes'!$B$5*EXP(('Black-Scholes'!$B$8-'Black-Scholes'!$B$10-'Black-Scholes'!$B$9^2/2)*'Black-Scholes'!$B$7+'Black-Scholes'!$B$9*SQRT('Black-Scholes'!$B$7)*B2636)</f>
        <v>121.917475678038</v>
      </c>
      <c r="D2636" s="18" t="n">
        <f aca="false">'Black-Scholes'!$B$5*EXP(('Black-Scholes'!$B$8-'Black-Scholes'!$B$10-'Black-Scholes'!$B$9^2/2)*'Black-Scholes'!$B$7-'Black-Scholes'!$B$9*SQRT('Black-Scholes'!$B$7)*B2636)</f>
        <v>87.0946958703015</v>
      </c>
      <c r="E2636" s="18" t="n">
        <f aca="false">EXP(-'Black-Scholes'!$B$8*'Black-Scholes'!$B$7)*IF(LOWER('Black-Scholes'!$B$11)="put",MAX('Black-Scholes'!$B$6-C2636,0),MAX(C2636-'Black-Scholes'!$B$6,0))</f>
        <v>20.8485477757284</v>
      </c>
      <c r="F2636" s="18" t="n">
        <f aca="false">(E2636+G2636)/2</f>
        <v>10.4242738878642</v>
      </c>
      <c r="G2636" s="18" t="n">
        <f aca="false">EXP(-'Black-Scholes'!$B$8*'Black-Scholes'!$B$7)*IF(LOWER('Black-Scholes'!$B$11)="put",MAX('Black-Scholes'!$B$6-D2636,0),MAX(D2636-'Black-Scholes'!$B$6,0))</f>
        <v>0</v>
      </c>
    </row>
    <row r="2637" customFormat="false" ht="15" hidden="false" customHeight="false" outlineLevel="0" collapsed="false">
      <c r="A2637" s="0" t="n">
        <v>2626</v>
      </c>
      <c r="B2637" s="15" t="n">
        <v>0.278055583881545</v>
      </c>
      <c r="C2637" s="18" t="n">
        <f aca="false">'Black-Scholes'!$B$5*EXP(('Black-Scholes'!$B$8-'Black-Scholes'!$B$10-'Black-Scholes'!$B$9^2/2)*'Black-Scholes'!$B$7+'Black-Scholes'!$B$9*SQRT('Black-Scholes'!$B$7)*B2637)</f>
        <v>108.938260330209</v>
      </c>
      <c r="D2637" s="18" t="n">
        <f aca="false">'Black-Scholes'!$B$5*EXP(('Black-Scholes'!$B$8-'Black-Scholes'!$B$10-'Black-Scholes'!$B$9^2/2)*'Black-Scholes'!$B$7-'Black-Scholes'!$B$9*SQRT('Black-Scholes'!$B$7)*B2637)</f>
        <v>97.4714065863329</v>
      </c>
      <c r="E2637" s="18" t="n">
        <f aca="false">EXP(-'Black-Scholes'!$B$8*'Black-Scholes'!$B$7)*IF(LOWER('Black-Scholes'!$B$11)="put",MAX('Black-Scholes'!$B$6-C2637,0),MAX(C2637-'Black-Scholes'!$B$6,0))</f>
        <v>8.50233622994237</v>
      </c>
      <c r="F2637" s="18" t="n">
        <f aca="false">(E2637+G2637)/2</f>
        <v>4.25116811497118</v>
      </c>
      <c r="G2637" s="18" t="n">
        <f aca="false">EXP(-'Black-Scholes'!$B$8*'Black-Scholes'!$B$7)*IF(LOWER('Black-Scholes'!$B$11)="put",MAX('Black-Scholes'!$B$6-D2637,0),MAX(D2637-'Black-Scholes'!$B$6,0))</f>
        <v>0</v>
      </c>
    </row>
    <row r="2638" customFormat="false" ht="15" hidden="false" customHeight="false" outlineLevel="0" collapsed="false">
      <c r="A2638" s="0" t="n">
        <v>2627</v>
      </c>
      <c r="B2638" s="15" t="n">
        <v>-1.61641825176559</v>
      </c>
      <c r="C2638" s="18" t="n">
        <f aca="false">'Black-Scholes'!$B$5*EXP(('Black-Scholes'!$B$8-'Black-Scholes'!$B$10-'Black-Scholes'!$B$9^2/2)*'Black-Scholes'!$B$7+'Black-Scholes'!$B$9*SQRT('Black-Scholes'!$B$7)*B2638)</f>
        <v>74.5810561262289</v>
      </c>
      <c r="D2638" s="18" t="n">
        <f aca="false">'Black-Scholes'!$B$5*EXP(('Black-Scholes'!$B$8-'Black-Scholes'!$B$10-'Black-Scholes'!$B$9^2/2)*'Black-Scholes'!$B$7-'Black-Scholes'!$B$9*SQRT('Black-Scholes'!$B$7)*B2638)</f>
        <v>142.37349290793</v>
      </c>
      <c r="E2638" s="18" t="n">
        <f aca="false">EXP(-'Black-Scholes'!$B$8*'Black-Scholes'!$B$7)*IF(LOWER('Black-Scholes'!$B$11)="put",MAX('Black-Scholes'!$B$6-C2638,0),MAX(C2638-'Black-Scholes'!$B$6,0))</f>
        <v>0</v>
      </c>
      <c r="F2638" s="18" t="n">
        <f aca="false">(E2638+G2638)/2</f>
        <v>20.1534566364478</v>
      </c>
      <c r="G2638" s="18" t="n">
        <f aca="false">EXP(-'Black-Scholes'!$B$8*'Black-Scholes'!$B$7)*IF(LOWER('Black-Scholes'!$B$11)="put",MAX('Black-Scholes'!$B$6-D2638,0),MAX(D2638-'Black-Scholes'!$B$6,0))</f>
        <v>40.3069132728956</v>
      </c>
    </row>
    <row r="2639" customFormat="false" ht="15" hidden="false" customHeight="false" outlineLevel="0" collapsed="false">
      <c r="A2639" s="0" t="n">
        <v>2628</v>
      </c>
      <c r="B2639" s="15" t="n">
        <v>0.712574006164879</v>
      </c>
      <c r="C2639" s="18" t="n">
        <f aca="false">'Black-Scholes'!$B$5*EXP(('Black-Scholes'!$B$8-'Black-Scholes'!$B$10-'Black-Scholes'!$B$9^2/2)*'Black-Scholes'!$B$7+'Black-Scholes'!$B$9*SQRT('Black-Scholes'!$B$7)*B2639)</f>
        <v>118.828940863321</v>
      </c>
      <c r="D2639" s="18" t="n">
        <f aca="false">'Black-Scholes'!$B$5*EXP(('Black-Scholes'!$B$8-'Black-Scholes'!$B$10-'Black-Scholes'!$B$9^2/2)*'Black-Scholes'!$B$7-'Black-Scholes'!$B$9*SQRT('Black-Scholes'!$B$7)*B2639)</f>
        <v>89.3584120863877</v>
      </c>
      <c r="E2639" s="18" t="n">
        <f aca="false">EXP(-'Black-Scholes'!$B$8*'Black-Scholes'!$B$7)*IF(LOWER('Black-Scholes'!$B$11)="put",MAX('Black-Scholes'!$B$6-C2639,0),MAX(C2639-'Black-Scholes'!$B$6,0))</f>
        <v>17.9106425813744</v>
      </c>
      <c r="F2639" s="18" t="n">
        <f aca="false">(E2639+G2639)/2</f>
        <v>8.9553212906872</v>
      </c>
      <c r="G2639" s="18" t="n">
        <f aca="false">EXP(-'Black-Scholes'!$B$8*'Black-Scholes'!$B$7)*IF(LOWER('Black-Scholes'!$B$11)="put",MAX('Black-Scholes'!$B$6-D2639,0),MAX(D2639-'Black-Scholes'!$B$6,0))</f>
        <v>0</v>
      </c>
    </row>
    <row r="2640" customFormat="false" ht="15" hidden="false" customHeight="false" outlineLevel="0" collapsed="false">
      <c r="A2640" s="0" t="n">
        <v>2629</v>
      </c>
      <c r="B2640" s="15" t="n">
        <v>1.9340562192574</v>
      </c>
      <c r="C2640" s="18" t="n">
        <f aca="false">'Black-Scholes'!$B$5*EXP(('Black-Scholes'!$B$8-'Black-Scholes'!$B$10-'Black-Scholes'!$B$9^2/2)*'Black-Scholes'!$B$7+'Black-Scholes'!$B$9*SQRT('Black-Scholes'!$B$7)*B2640)</f>
        <v>151.711612091097</v>
      </c>
      <c r="D2640" s="18" t="n">
        <f aca="false">'Black-Scholes'!$B$5*EXP(('Black-Scholes'!$B$8-'Black-Scholes'!$B$10-'Black-Scholes'!$B$9^2/2)*'Black-Scholes'!$B$7-'Black-Scholes'!$B$9*SQRT('Black-Scholes'!$B$7)*B2640)</f>
        <v>69.9904596562965</v>
      </c>
      <c r="E2640" s="18" t="n">
        <f aca="false">EXP(-'Black-Scholes'!$B$8*'Black-Scholes'!$B$7)*IF(LOWER('Black-Scholes'!$B$11)="put",MAX('Black-Scholes'!$B$6-C2640,0),MAX(C2640-'Black-Scholes'!$B$6,0))</f>
        <v>49.1896070094181</v>
      </c>
      <c r="F2640" s="18" t="n">
        <f aca="false">(E2640+G2640)/2</f>
        <v>24.594803504709</v>
      </c>
      <c r="G2640" s="18" t="n">
        <f aca="false">EXP(-'Black-Scholes'!$B$8*'Black-Scholes'!$B$7)*IF(LOWER('Black-Scholes'!$B$11)="put",MAX('Black-Scholes'!$B$6-D2640,0),MAX(D2640-'Black-Scholes'!$B$6,0))</f>
        <v>0</v>
      </c>
    </row>
    <row r="2641" customFormat="false" ht="15" hidden="false" customHeight="false" outlineLevel="0" collapsed="false">
      <c r="A2641" s="0" t="n">
        <v>2630</v>
      </c>
      <c r="B2641" s="15" t="n">
        <v>1.46259402501164</v>
      </c>
      <c r="C2641" s="18" t="n">
        <f aca="false">'Black-Scholes'!$B$5*EXP(('Black-Scholes'!$B$8-'Black-Scholes'!$B$10-'Black-Scholes'!$B$9^2/2)*'Black-Scholes'!$B$7+'Black-Scholes'!$B$9*SQRT('Black-Scholes'!$B$7)*B2641)</f>
        <v>138.060085281772</v>
      </c>
      <c r="D2641" s="18" t="n">
        <f aca="false">'Black-Scholes'!$B$5*EXP(('Black-Scholes'!$B$8-'Black-Scholes'!$B$10-'Black-Scholes'!$B$9^2/2)*'Black-Scholes'!$B$7-'Black-Scholes'!$B$9*SQRT('Black-Scholes'!$B$7)*B2641)</f>
        <v>76.9111901081489</v>
      </c>
      <c r="E2641" s="18" t="n">
        <f aca="false">EXP(-'Black-Scholes'!$B$8*'Black-Scholes'!$B$7)*IF(LOWER('Black-Scholes'!$B$11)="put",MAX('Black-Scholes'!$B$6-C2641,0),MAX(C2641-'Black-Scholes'!$B$6,0))</f>
        <v>36.2038730190279</v>
      </c>
      <c r="F2641" s="18" t="n">
        <f aca="false">(E2641+G2641)/2</f>
        <v>18.1019365095139</v>
      </c>
      <c r="G2641" s="18" t="n">
        <f aca="false">EXP(-'Black-Scholes'!$B$8*'Black-Scholes'!$B$7)*IF(LOWER('Black-Scholes'!$B$11)="put",MAX('Black-Scholes'!$B$6-D2641,0),MAX(D2641-'Black-Scholes'!$B$6,0))</f>
        <v>0</v>
      </c>
    </row>
    <row r="2642" customFormat="false" ht="15" hidden="false" customHeight="false" outlineLevel="0" collapsed="false">
      <c r="A2642" s="0" t="n">
        <v>2631</v>
      </c>
      <c r="B2642" s="15" t="n">
        <v>0.967521876148619</v>
      </c>
      <c r="C2642" s="18" t="n">
        <f aca="false">'Black-Scholes'!$B$5*EXP(('Black-Scholes'!$B$8-'Black-Scholes'!$B$10-'Black-Scholes'!$B$9^2/2)*'Black-Scholes'!$B$7+'Black-Scholes'!$B$9*SQRT('Black-Scholes'!$B$7)*B2642)</f>
        <v>125.045111127537</v>
      </c>
      <c r="D2642" s="18" t="n">
        <f aca="false">'Black-Scholes'!$B$5*EXP(('Black-Scholes'!$B$8-'Black-Scholes'!$B$10-'Black-Scholes'!$B$9^2/2)*'Black-Scholes'!$B$7-'Black-Scholes'!$B$9*SQRT('Black-Scholes'!$B$7)*B2642)</f>
        <v>84.9162783711205</v>
      </c>
      <c r="E2642" s="18" t="n">
        <f aca="false">EXP(-'Black-Scholes'!$B$8*'Black-Scholes'!$B$7)*IF(LOWER('Black-Scholes'!$B$11)="put",MAX('Black-Scholes'!$B$6-C2642,0),MAX(C2642-'Black-Scholes'!$B$6,0))</f>
        <v>23.8236466444031</v>
      </c>
      <c r="F2642" s="18" t="n">
        <f aca="false">(E2642+G2642)/2</f>
        <v>11.9118233222016</v>
      </c>
      <c r="G2642" s="18" t="n">
        <f aca="false">EXP(-'Black-Scholes'!$B$8*'Black-Scholes'!$B$7)*IF(LOWER('Black-Scholes'!$B$11)="put",MAX('Black-Scholes'!$B$6-D2642,0),MAX(D2642-'Black-Scholes'!$B$6,0))</f>
        <v>0</v>
      </c>
    </row>
    <row r="2643" customFormat="false" ht="15" hidden="false" customHeight="false" outlineLevel="0" collapsed="false">
      <c r="A2643" s="0" t="n">
        <v>2632</v>
      </c>
      <c r="B2643" s="15" t="n">
        <v>-0.112209321429149</v>
      </c>
      <c r="C2643" s="18" t="n">
        <f aca="false">'Black-Scholes'!$B$5*EXP(('Black-Scholes'!$B$8-'Black-Scholes'!$B$10-'Black-Scholes'!$B$9^2/2)*'Black-Scholes'!$B$7+'Black-Scholes'!$B$9*SQRT('Black-Scholes'!$B$7)*B2643)</f>
        <v>100.758677051836</v>
      </c>
      <c r="D2643" s="18" t="n">
        <f aca="false">'Black-Scholes'!$B$5*EXP(('Black-Scholes'!$B$8-'Black-Scholes'!$B$10-'Black-Scholes'!$B$9^2/2)*'Black-Scholes'!$B$7-'Black-Scholes'!$B$9*SQRT('Black-Scholes'!$B$7)*B2643)</f>
        <v>105.384129448136</v>
      </c>
      <c r="E2643" s="18" t="n">
        <f aca="false">EXP(-'Black-Scholes'!$B$8*'Black-Scholes'!$B$7)*IF(LOWER('Black-Scholes'!$B$11)="put",MAX('Black-Scholes'!$B$6-C2643,0),MAX(C2643-'Black-Scholes'!$B$6,0))</f>
        <v>0.72167593539967</v>
      </c>
      <c r="F2643" s="18" t="n">
        <f aca="false">(E2643+G2643)/2</f>
        <v>2.92160914589371</v>
      </c>
      <c r="G2643" s="18" t="n">
        <f aca="false">EXP(-'Black-Scholes'!$B$8*'Black-Scholes'!$B$7)*IF(LOWER('Black-Scholes'!$B$11)="put",MAX('Black-Scholes'!$B$6-D2643,0),MAX(D2643-'Black-Scholes'!$B$6,0))</f>
        <v>5.12154235638775</v>
      </c>
    </row>
    <row r="2644" customFormat="false" ht="15" hidden="false" customHeight="false" outlineLevel="0" collapsed="false">
      <c r="A2644" s="0" t="n">
        <v>2633</v>
      </c>
      <c r="B2644" s="15" t="n">
        <v>-1.1570825016624</v>
      </c>
      <c r="C2644" s="18" t="n">
        <f aca="false">'Black-Scholes'!$B$5*EXP(('Black-Scholes'!$B$8-'Black-Scholes'!$B$10-'Black-Scholes'!$B$9^2/2)*'Black-Scholes'!$B$7+'Black-Scholes'!$B$9*SQRT('Black-Scholes'!$B$7)*B2644)</f>
        <v>81.7571841686997</v>
      </c>
      <c r="D2644" s="18" t="n">
        <f aca="false">'Black-Scholes'!$B$5*EXP(('Black-Scholes'!$B$8-'Black-Scholes'!$B$10-'Black-Scholes'!$B$9^2/2)*'Black-Scholes'!$B$7-'Black-Scholes'!$B$9*SQRT('Black-Scholes'!$B$7)*B2644)</f>
        <v>129.876849030703</v>
      </c>
      <c r="E2644" s="18" t="n">
        <f aca="false">EXP(-'Black-Scholes'!$B$8*'Black-Scholes'!$B$7)*IF(LOWER('Black-Scholes'!$B$11)="put",MAX('Black-Scholes'!$B$6-C2644,0),MAX(C2644-'Black-Scholes'!$B$6,0))</f>
        <v>0</v>
      </c>
      <c r="F2644" s="18" t="n">
        <f aca="false">(E2644+G2644)/2</f>
        <v>14.2098689546852</v>
      </c>
      <c r="G2644" s="18" t="n">
        <f aca="false">EXP(-'Black-Scholes'!$B$8*'Black-Scholes'!$B$7)*IF(LOWER('Black-Scholes'!$B$11)="put",MAX('Black-Scholes'!$B$6-D2644,0),MAX(D2644-'Black-Scholes'!$B$6,0))</f>
        <v>28.4197379093704</v>
      </c>
    </row>
    <row r="2645" customFormat="false" ht="15" hidden="false" customHeight="false" outlineLevel="0" collapsed="false">
      <c r="A2645" s="0" t="n">
        <v>2634</v>
      </c>
      <c r="B2645" s="15" t="n">
        <v>2.84856823814918</v>
      </c>
      <c r="C2645" s="18" t="n">
        <f aca="false">'Black-Scholes'!$B$5*EXP(('Black-Scholes'!$B$8-'Black-Scholes'!$B$10-'Black-Scholes'!$B$9^2/2)*'Black-Scholes'!$B$7+'Black-Scholes'!$B$9*SQRT('Black-Scholes'!$B$7)*B2645)</f>
        <v>182.159710705092</v>
      </c>
      <c r="D2645" s="18" t="n">
        <f aca="false">'Black-Scholes'!$B$5*EXP(('Black-Scholes'!$B$8-'Black-Scholes'!$B$10-'Black-Scholes'!$B$9^2/2)*'Black-Scholes'!$B$7-'Black-Scholes'!$B$9*SQRT('Black-Scholes'!$B$7)*B2645)</f>
        <v>58.2915147611549</v>
      </c>
      <c r="E2645" s="18" t="n">
        <f aca="false">EXP(-'Black-Scholes'!$B$8*'Black-Scholes'!$B$7)*IF(LOWER('Black-Scholes'!$B$11)="put",MAX('Black-Scholes'!$B$6-C2645,0),MAX(C2645-'Black-Scholes'!$B$6,0))</f>
        <v>78.1527343311501</v>
      </c>
      <c r="F2645" s="18" t="n">
        <f aca="false">(E2645+G2645)/2</f>
        <v>39.076367165575</v>
      </c>
      <c r="G2645" s="18" t="n">
        <f aca="false">EXP(-'Black-Scholes'!$B$8*'Black-Scholes'!$B$7)*IF(LOWER('Black-Scholes'!$B$11)="put",MAX('Black-Scholes'!$B$6-D2645,0),MAX(D2645-'Black-Scholes'!$B$6,0))</f>
        <v>0</v>
      </c>
    </row>
    <row r="2646" customFormat="false" ht="15" hidden="false" customHeight="false" outlineLevel="0" collapsed="false">
      <c r="A2646" s="0" t="n">
        <v>2635</v>
      </c>
      <c r="B2646" s="15" t="n">
        <v>1.31191770321362</v>
      </c>
      <c r="C2646" s="18" t="n">
        <f aca="false">'Black-Scholes'!$B$5*EXP(('Black-Scholes'!$B$8-'Black-Scholes'!$B$10-'Black-Scholes'!$B$9^2/2)*'Black-Scholes'!$B$7+'Black-Scholes'!$B$9*SQRT('Black-Scholes'!$B$7)*B2646)</f>
        <v>133.961671657727</v>
      </c>
      <c r="D2646" s="18" t="n">
        <f aca="false">'Black-Scholes'!$B$5*EXP(('Black-Scholes'!$B$8-'Black-Scholes'!$B$10-'Black-Scholes'!$B$9^2/2)*'Black-Scholes'!$B$7-'Black-Scholes'!$B$9*SQRT('Black-Scholes'!$B$7)*B2646)</f>
        <v>79.2642054555994</v>
      </c>
      <c r="E2646" s="18" t="n">
        <f aca="false">EXP(-'Black-Scholes'!$B$8*'Black-Scholes'!$B$7)*IF(LOWER('Black-Scholes'!$B$11)="put",MAX('Black-Scholes'!$B$6-C2646,0),MAX(C2646-'Black-Scholes'!$B$6,0))</f>
        <v>32.3053413860616</v>
      </c>
      <c r="F2646" s="18" t="n">
        <f aca="false">(E2646+G2646)/2</f>
        <v>16.1526706930308</v>
      </c>
      <c r="G2646" s="18" t="n">
        <f aca="false">EXP(-'Black-Scholes'!$B$8*'Black-Scholes'!$B$7)*IF(LOWER('Black-Scholes'!$B$11)="put",MAX('Black-Scholes'!$B$6-D2646,0),MAX(D2646-'Black-Scholes'!$B$6,0))</f>
        <v>0</v>
      </c>
    </row>
    <row r="2647" customFormat="false" ht="15" hidden="false" customHeight="false" outlineLevel="0" collapsed="false">
      <c r="A2647" s="0" t="n">
        <v>2636</v>
      </c>
      <c r="B2647" s="15" t="n">
        <v>1.26350631651213</v>
      </c>
      <c r="C2647" s="18" t="n">
        <f aca="false">'Black-Scholes'!$B$5*EXP(('Black-Scholes'!$B$8-'Black-Scholes'!$B$10-'Black-Scholes'!$B$9^2/2)*'Black-Scholes'!$B$7+'Black-Scholes'!$B$9*SQRT('Black-Scholes'!$B$7)*B2647)</f>
        <v>132.670876601572</v>
      </c>
      <c r="D2647" s="18" t="n">
        <f aca="false">'Black-Scholes'!$B$5*EXP(('Black-Scholes'!$B$8-'Black-Scholes'!$B$10-'Black-Scholes'!$B$9^2/2)*'Black-Scholes'!$B$7-'Black-Scholes'!$B$9*SQRT('Black-Scholes'!$B$7)*B2647)</f>
        <v>80.0353908668439</v>
      </c>
      <c r="E2647" s="18" t="n">
        <f aca="false">EXP(-'Black-Scholes'!$B$8*'Black-Scholes'!$B$7)*IF(LOWER('Black-Scholes'!$B$11)="put",MAX('Black-Scholes'!$B$6-C2647,0),MAX(C2647-'Black-Scholes'!$B$6,0))</f>
        <v>31.0774991476468</v>
      </c>
      <c r="F2647" s="18" t="n">
        <f aca="false">(E2647+G2647)/2</f>
        <v>15.5387495738234</v>
      </c>
      <c r="G2647" s="18" t="n">
        <f aca="false">EXP(-'Black-Scholes'!$B$8*'Black-Scholes'!$B$7)*IF(LOWER('Black-Scholes'!$B$11)="put",MAX('Black-Scholes'!$B$6-D2647,0),MAX(D2647-'Black-Scholes'!$B$6,0))</f>
        <v>0</v>
      </c>
    </row>
    <row r="2648" customFormat="false" ht="15" hidden="false" customHeight="false" outlineLevel="0" collapsed="false">
      <c r="A2648" s="0" t="n">
        <v>2637</v>
      </c>
      <c r="B2648" s="15" t="n">
        <v>-0.233221223467099</v>
      </c>
      <c r="C2648" s="18" t="n">
        <f aca="false">'Black-Scholes'!$B$5*EXP(('Black-Scholes'!$B$8-'Black-Scholes'!$B$10-'Black-Scholes'!$B$9^2/2)*'Black-Scholes'!$B$7+'Black-Scholes'!$B$9*SQRT('Black-Scholes'!$B$7)*B2648)</f>
        <v>98.3493505439464</v>
      </c>
      <c r="D2648" s="18" t="n">
        <f aca="false">'Black-Scholes'!$B$5*EXP(('Black-Scholes'!$B$8-'Black-Scholes'!$B$10-'Black-Scholes'!$B$9^2/2)*'Black-Scholes'!$B$7-'Black-Scholes'!$B$9*SQRT('Black-Scholes'!$B$7)*B2648)</f>
        <v>107.965791403055</v>
      </c>
      <c r="E2648" s="18" t="n">
        <f aca="false">EXP(-'Black-Scholes'!$B$8*'Black-Scholes'!$B$7)*IF(LOWER('Black-Scholes'!$B$11)="put",MAX('Black-Scholes'!$B$6-C2648,0),MAX(C2648-'Black-Scholes'!$B$6,0))</f>
        <v>0</v>
      </c>
      <c r="F2648" s="18" t="n">
        <f aca="false">(E2648+G2648)/2</f>
        <v>3.78864758601013</v>
      </c>
      <c r="G2648" s="18" t="n">
        <f aca="false">EXP(-'Black-Scholes'!$B$8*'Black-Scholes'!$B$7)*IF(LOWER('Black-Scholes'!$B$11)="put",MAX('Black-Scholes'!$B$6-D2648,0),MAX(D2648-'Black-Scholes'!$B$6,0))</f>
        <v>7.57729517202026</v>
      </c>
    </row>
    <row r="2649" customFormat="false" ht="15" hidden="false" customHeight="false" outlineLevel="0" collapsed="false">
      <c r="A2649" s="0" t="n">
        <v>2638</v>
      </c>
      <c r="B2649" s="15" t="n">
        <v>-2.13407502393054</v>
      </c>
      <c r="C2649" s="18" t="n">
        <f aca="false">'Black-Scholes'!$B$5*EXP(('Black-Scholes'!$B$8-'Black-Scholes'!$B$10-'Black-Scholes'!$B$9^2/2)*'Black-Scholes'!$B$7+'Black-Scholes'!$B$9*SQRT('Black-Scholes'!$B$7)*B2649)</f>
        <v>67.2458415714967</v>
      </c>
      <c r="D2649" s="18" t="n">
        <f aca="false">'Black-Scholes'!$B$5*EXP(('Black-Scholes'!$B$8-'Black-Scholes'!$B$10-'Black-Scholes'!$B$9^2/2)*'Black-Scholes'!$B$7-'Black-Scholes'!$B$9*SQRT('Black-Scholes'!$B$7)*B2649)</f>
        <v>157.903674298789</v>
      </c>
      <c r="E2649" s="18" t="n">
        <f aca="false">EXP(-'Black-Scholes'!$B$8*'Black-Scholes'!$B$7)*IF(LOWER('Black-Scholes'!$B$11)="put",MAX('Black-Scholes'!$B$6-C2649,0),MAX(C2649-'Black-Scholes'!$B$6,0))</f>
        <v>0</v>
      </c>
      <c r="F2649" s="18" t="n">
        <f aca="false">(E2649+G2649)/2</f>
        <v>27.5398393898571</v>
      </c>
      <c r="G2649" s="18" t="n">
        <f aca="false">EXP(-'Black-Scholes'!$B$8*'Black-Scholes'!$B$7)*IF(LOWER('Black-Scholes'!$B$11)="put",MAX('Black-Scholes'!$B$6-D2649,0),MAX(D2649-'Black-Scholes'!$B$6,0))</f>
        <v>55.0796787797141</v>
      </c>
    </row>
    <row r="2650" customFormat="false" ht="15" hidden="false" customHeight="false" outlineLevel="0" collapsed="false">
      <c r="A2650" s="0" t="n">
        <v>2639</v>
      </c>
      <c r="B2650" s="15" t="n">
        <v>-0.0812579279722603</v>
      </c>
      <c r="C2650" s="18" t="n">
        <f aca="false">'Black-Scholes'!$B$5*EXP(('Black-Scholes'!$B$8-'Black-Scholes'!$B$10-'Black-Scholes'!$B$9^2/2)*'Black-Scholes'!$B$7+'Black-Scholes'!$B$9*SQRT('Black-Scholes'!$B$7)*B2650)</f>
        <v>101.384335846601</v>
      </c>
      <c r="D2650" s="18" t="n">
        <f aca="false">'Black-Scholes'!$B$5*EXP(('Black-Scholes'!$B$8-'Black-Scholes'!$B$10-'Black-Scholes'!$B$9^2/2)*'Black-Scholes'!$B$7-'Black-Scholes'!$B$9*SQRT('Black-Scholes'!$B$7)*B2650)</f>
        <v>104.733787293528</v>
      </c>
      <c r="E2650" s="18" t="n">
        <f aca="false">EXP(-'Black-Scholes'!$B$8*'Black-Scholes'!$B$7)*IF(LOWER('Black-Scholes'!$B$11)="put",MAX('Black-Scholes'!$B$6-C2650,0),MAX(C2650-'Black-Scholes'!$B$6,0))</f>
        <v>1.31682099067844</v>
      </c>
      <c r="F2650" s="18" t="n">
        <f aca="false">(E2650+G2650)/2</f>
        <v>2.90986937680508</v>
      </c>
      <c r="G2650" s="18" t="n">
        <f aca="false">EXP(-'Black-Scholes'!$B$8*'Black-Scholes'!$B$7)*IF(LOWER('Black-Scholes'!$B$11)="put",MAX('Black-Scholes'!$B$6-D2650,0),MAX(D2650-'Black-Scholes'!$B$6,0))</f>
        <v>4.50291776293171</v>
      </c>
    </row>
    <row r="2651" customFormat="false" ht="15" hidden="false" customHeight="false" outlineLevel="0" collapsed="false">
      <c r="A2651" s="0" t="n">
        <v>2640</v>
      </c>
      <c r="B2651" s="15" t="n">
        <v>-2.23071658672926</v>
      </c>
      <c r="C2651" s="18" t="n">
        <f aca="false">'Black-Scholes'!$B$5*EXP(('Black-Scholes'!$B$8-'Black-Scholes'!$B$10-'Black-Scholes'!$B$9^2/2)*'Black-Scholes'!$B$7+'Black-Scholes'!$B$9*SQRT('Black-Scholes'!$B$7)*B2651)</f>
        <v>65.958573363346</v>
      </c>
      <c r="D2651" s="18" t="n">
        <f aca="false">'Black-Scholes'!$B$5*EXP(('Black-Scholes'!$B$8-'Black-Scholes'!$B$10-'Black-Scholes'!$B$9^2/2)*'Black-Scholes'!$B$7-'Black-Scholes'!$B$9*SQRT('Black-Scholes'!$B$7)*B2651)</f>
        <v>160.985371938841</v>
      </c>
      <c r="E2651" s="18" t="n">
        <f aca="false">EXP(-'Black-Scholes'!$B$8*'Black-Scholes'!$B$7)*IF(LOWER('Black-Scholes'!$B$11)="put",MAX('Black-Scholes'!$B$6-C2651,0),MAX(C2651-'Black-Scholes'!$B$6,0))</f>
        <v>0</v>
      </c>
      <c r="F2651" s="18" t="n">
        <f aca="false">(E2651+G2651)/2</f>
        <v>29.0055401261729</v>
      </c>
      <c r="G2651" s="18" t="n">
        <f aca="false">EXP(-'Black-Scholes'!$B$8*'Black-Scholes'!$B$7)*IF(LOWER('Black-Scholes'!$B$11)="put",MAX('Black-Scholes'!$B$6-D2651,0),MAX(D2651-'Black-Scholes'!$B$6,0))</f>
        <v>58.0110802523459</v>
      </c>
    </row>
    <row r="2652" customFormat="false" ht="15" hidden="false" customHeight="false" outlineLevel="0" collapsed="false">
      <c r="A2652" s="0" t="n">
        <v>2641</v>
      </c>
      <c r="B2652" s="15" t="n">
        <v>-0.810348243155575</v>
      </c>
      <c r="C2652" s="18" t="n">
        <f aca="false">'Black-Scholes'!$B$5*EXP(('Black-Scholes'!$B$8-'Black-Scholes'!$B$10-'Black-Scholes'!$B$9^2/2)*'Black-Scholes'!$B$7+'Black-Scholes'!$B$9*SQRT('Black-Scholes'!$B$7)*B2652)</f>
        <v>87.6279961254162</v>
      </c>
      <c r="D2652" s="18" t="n">
        <f aca="false">'Black-Scholes'!$B$5*EXP(('Black-Scholes'!$B$8-'Black-Scholes'!$B$10-'Black-Scholes'!$B$9^2/2)*'Black-Scholes'!$B$7-'Black-Scholes'!$B$9*SQRT('Black-Scholes'!$B$7)*B2652)</f>
        <v>121.17549110967</v>
      </c>
      <c r="E2652" s="18" t="n">
        <f aca="false">EXP(-'Black-Scholes'!$B$8*'Black-Scholes'!$B$7)*IF(LOWER('Black-Scholes'!$B$11)="put",MAX('Black-Scholes'!$B$6-C2652,0),MAX(C2652-'Black-Scholes'!$B$6,0))</f>
        <v>0</v>
      </c>
      <c r="F2652" s="18" t="n">
        <f aca="false">(E2652+G2652)/2</f>
        <v>10.0713751108858</v>
      </c>
      <c r="G2652" s="18" t="n">
        <f aca="false">EXP(-'Black-Scholes'!$B$8*'Black-Scholes'!$B$7)*IF(LOWER('Black-Scholes'!$B$11)="put",MAX('Black-Scholes'!$B$6-D2652,0),MAX(D2652-'Black-Scholes'!$B$6,0))</f>
        <v>20.1427502217717</v>
      </c>
    </row>
    <row r="2653" customFormat="false" ht="15" hidden="false" customHeight="false" outlineLevel="0" collapsed="false">
      <c r="A2653" s="0" t="n">
        <v>2642</v>
      </c>
      <c r="B2653" s="15" t="n">
        <v>0.3920748575099</v>
      </c>
      <c r="C2653" s="18" t="n">
        <f aca="false">'Black-Scholes'!$B$5*EXP(('Black-Scholes'!$B$8-'Black-Scholes'!$B$10-'Black-Scholes'!$B$9^2/2)*'Black-Scholes'!$B$7+'Black-Scholes'!$B$9*SQRT('Black-Scholes'!$B$7)*B2653)</f>
        <v>111.451013938618</v>
      </c>
      <c r="D2653" s="18" t="n">
        <f aca="false">'Black-Scholes'!$B$5*EXP(('Black-Scholes'!$B$8-'Black-Scholes'!$B$10-'Black-Scholes'!$B$9^2/2)*'Black-Scholes'!$B$7-'Black-Scholes'!$B$9*SQRT('Black-Scholes'!$B$7)*B2653)</f>
        <v>95.2738345772404</v>
      </c>
      <c r="E2653" s="18" t="n">
        <f aca="false">EXP(-'Black-Scholes'!$B$8*'Black-Scholes'!$B$7)*IF(LOWER('Black-Scholes'!$B$11)="put",MAX('Black-Scholes'!$B$6-C2653,0),MAX(C2653-'Black-Scholes'!$B$6,0))</f>
        <v>10.8925413987812</v>
      </c>
      <c r="F2653" s="18" t="n">
        <f aca="false">(E2653+G2653)/2</f>
        <v>5.44627069939058</v>
      </c>
      <c r="G2653" s="18" t="n">
        <f aca="false">EXP(-'Black-Scholes'!$B$8*'Black-Scholes'!$B$7)*IF(LOWER('Black-Scholes'!$B$11)="put",MAX('Black-Scholes'!$B$6-D2653,0),MAX(D2653-'Black-Scholes'!$B$6,0))</f>
        <v>0</v>
      </c>
    </row>
    <row r="2654" customFormat="false" ht="15" hidden="false" customHeight="false" outlineLevel="0" collapsed="false">
      <c r="A2654" s="0" t="n">
        <v>2643</v>
      </c>
      <c r="B2654" s="15" t="n">
        <v>0.598461666009367</v>
      </c>
      <c r="C2654" s="18" t="n">
        <f aca="false">'Black-Scholes'!$B$5*EXP(('Black-Scholes'!$B$8-'Black-Scholes'!$B$10-'Black-Scholes'!$B$9^2/2)*'Black-Scholes'!$B$7+'Black-Scholes'!$B$9*SQRT('Black-Scholes'!$B$7)*B2654)</f>
        <v>116.147683989018</v>
      </c>
      <c r="D2654" s="18" t="n">
        <f aca="false">'Black-Scholes'!$B$5*EXP(('Black-Scholes'!$B$8-'Black-Scholes'!$B$10-'Black-Scholes'!$B$9^2/2)*'Black-Scholes'!$B$7-'Black-Scholes'!$B$9*SQRT('Black-Scholes'!$B$7)*B2654)</f>
        <v>91.4212414812987</v>
      </c>
      <c r="E2654" s="18" t="n">
        <f aca="false">EXP(-'Black-Scholes'!$B$8*'Black-Scholes'!$B$7)*IF(LOWER('Black-Scholes'!$B$11)="put",MAX('Black-Scholes'!$B$6-C2654,0),MAX(C2654-'Black-Scholes'!$B$6,0))</f>
        <v>15.3601521478932</v>
      </c>
      <c r="F2654" s="18" t="n">
        <f aca="false">(E2654+G2654)/2</f>
        <v>7.68007607394658</v>
      </c>
      <c r="G2654" s="18" t="n">
        <f aca="false">EXP(-'Black-Scholes'!$B$8*'Black-Scholes'!$B$7)*IF(LOWER('Black-Scholes'!$B$11)="put",MAX('Black-Scholes'!$B$6-D2654,0),MAX(D2654-'Black-Scholes'!$B$6,0))</f>
        <v>0</v>
      </c>
    </row>
    <row r="2655" customFormat="false" ht="15" hidden="false" customHeight="false" outlineLevel="0" collapsed="false">
      <c r="A2655" s="0" t="n">
        <v>2644</v>
      </c>
      <c r="B2655" s="15" t="n">
        <v>0.185263053746904</v>
      </c>
      <c r="C2655" s="18" t="n">
        <f aca="false">'Black-Scholes'!$B$5*EXP(('Black-Scholes'!$B$8-'Black-Scholes'!$B$10-'Black-Scholes'!$B$9^2/2)*'Black-Scholes'!$B$7+'Black-Scholes'!$B$9*SQRT('Black-Scholes'!$B$7)*B2655)</f>
        <v>106.935173609089</v>
      </c>
      <c r="D2655" s="18" t="n">
        <f aca="false">'Black-Scholes'!$B$5*EXP(('Black-Scholes'!$B$8-'Black-Scholes'!$B$10-'Black-Scholes'!$B$9^2/2)*'Black-Scholes'!$B$7-'Black-Scholes'!$B$9*SQRT('Black-Scholes'!$B$7)*B2655)</f>
        <v>99.2972200547407</v>
      </c>
      <c r="E2655" s="18" t="n">
        <f aca="false">EXP(-'Black-Scholes'!$B$8*'Black-Scholes'!$B$7)*IF(LOWER('Black-Scholes'!$B$11)="put",MAX('Black-Scholes'!$B$6-C2655,0),MAX(C2655-'Black-Scholes'!$B$6,0))</f>
        <v>6.59694120098618</v>
      </c>
      <c r="F2655" s="18" t="n">
        <f aca="false">(E2655+G2655)/2</f>
        <v>3.29847060049309</v>
      </c>
      <c r="G2655" s="18" t="n">
        <f aca="false">EXP(-'Black-Scholes'!$B$8*'Black-Scholes'!$B$7)*IF(LOWER('Black-Scholes'!$B$11)="put",MAX('Black-Scholes'!$B$6-D2655,0),MAX(D2655-'Black-Scholes'!$B$6,0))</f>
        <v>0</v>
      </c>
    </row>
    <row r="2656" customFormat="false" ht="15" hidden="false" customHeight="false" outlineLevel="0" collapsed="false">
      <c r="A2656" s="0" t="n">
        <v>2645</v>
      </c>
      <c r="B2656" s="15" t="n">
        <v>0.796320515528491</v>
      </c>
      <c r="C2656" s="18" t="n">
        <f aca="false">'Black-Scholes'!$B$5*EXP(('Black-Scholes'!$B$8-'Black-Scholes'!$B$10-'Black-Scholes'!$B$9^2/2)*'Black-Scholes'!$B$7+'Black-Scholes'!$B$9*SQRT('Black-Scholes'!$B$7)*B2656)</f>
        <v>120.836004198467</v>
      </c>
      <c r="D2656" s="18" t="n">
        <f aca="false">'Black-Scholes'!$B$5*EXP(('Black-Scholes'!$B$8-'Black-Scholes'!$B$10-'Black-Scholes'!$B$9^2/2)*'Black-Scholes'!$B$7-'Black-Scholes'!$B$9*SQRT('Black-Scholes'!$B$7)*B2656)</f>
        <v>87.8741856443171</v>
      </c>
      <c r="E2656" s="18" t="n">
        <f aca="false">EXP(-'Black-Scholes'!$B$8*'Black-Scholes'!$B$7)*IF(LOWER('Black-Scholes'!$B$11)="put",MAX('Black-Scholes'!$B$6-C2656,0),MAX(C2656-'Black-Scholes'!$B$6,0))</f>
        <v>19.8198202826025</v>
      </c>
      <c r="F2656" s="18" t="n">
        <f aca="false">(E2656+G2656)/2</f>
        <v>9.90991014130125</v>
      </c>
      <c r="G2656" s="18" t="n">
        <f aca="false">EXP(-'Black-Scholes'!$B$8*'Black-Scholes'!$B$7)*IF(LOWER('Black-Scholes'!$B$11)="put",MAX('Black-Scholes'!$B$6-D2656,0),MAX(D2656-'Black-Scholes'!$B$6,0))</f>
        <v>0</v>
      </c>
    </row>
    <row r="2657" customFormat="false" ht="15" hidden="false" customHeight="false" outlineLevel="0" collapsed="false">
      <c r="A2657" s="0" t="n">
        <v>2646</v>
      </c>
      <c r="B2657" s="15" t="n">
        <v>1.66868537543148</v>
      </c>
      <c r="C2657" s="18" t="n">
        <f aca="false">'Black-Scholes'!$B$5*EXP(('Black-Scholes'!$B$8-'Black-Scholes'!$B$10-'Black-Scholes'!$B$9^2/2)*'Black-Scholes'!$B$7+'Black-Scholes'!$B$9*SQRT('Black-Scholes'!$B$7)*B2657)</f>
        <v>143.869589543136</v>
      </c>
      <c r="D2657" s="18" t="n">
        <f aca="false">'Black-Scholes'!$B$5*EXP(('Black-Scholes'!$B$8-'Black-Scholes'!$B$10-'Black-Scholes'!$B$9^2/2)*'Black-Scholes'!$B$7-'Black-Scholes'!$B$9*SQRT('Black-Scholes'!$B$7)*B2657)</f>
        <v>73.8054893961444</v>
      </c>
      <c r="E2657" s="18" t="n">
        <f aca="false">EXP(-'Black-Scholes'!$B$8*'Black-Scholes'!$B$7)*IF(LOWER('Black-Scholes'!$B$11)="put",MAX('Black-Scholes'!$B$6-C2657,0),MAX(C2657-'Black-Scholes'!$B$6,0))</f>
        <v>41.7300444142001</v>
      </c>
      <c r="F2657" s="18" t="n">
        <f aca="false">(E2657+G2657)/2</f>
        <v>20.8650222071</v>
      </c>
      <c r="G2657" s="18" t="n">
        <f aca="false">EXP(-'Black-Scholes'!$B$8*'Black-Scholes'!$B$7)*IF(LOWER('Black-Scholes'!$B$11)="put",MAX('Black-Scholes'!$B$6-D2657,0),MAX(D2657-'Black-Scholes'!$B$6,0))</f>
        <v>0</v>
      </c>
    </row>
    <row r="2658" customFormat="false" ht="15" hidden="false" customHeight="false" outlineLevel="0" collapsed="false">
      <c r="A2658" s="0" t="n">
        <v>2647</v>
      </c>
      <c r="B2658" s="15" t="n">
        <v>-0.684121098961485</v>
      </c>
      <c r="C2658" s="18" t="n">
        <f aca="false">'Black-Scholes'!$B$5*EXP(('Black-Scholes'!$B$8-'Black-Scholes'!$B$10-'Black-Scholes'!$B$9^2/2)*'Black-Scholes'!$B$7+'Black-Scholes'!$B$9*SQRT('Black-Scholes'!$B$7)*B2658)</f>
        <v>89.8683629902173</v>
      </c>
      <c r="D2658" s="18" t="n">
        <f aca="false">'Black-Scholes'!$B$5*EXP(('Black-Scholes'!$B$8-'Black-Scholes'!$B$10-'Black-Scholes'!$B$9^2/2)*'Black-Scholes'!$B$7-'Black-Scholes'!$B$9*SQRT('Black-Scholes'!$B$7)*B2658)</f>
        <v>118.154655455441</v>
      </c>
      <c r="E2658" s="18" t="n">
        <f aca="false">EXP(-'Black-Scholes'!$B$8*'Black-Scholes'!$B$7)*IF(LOWER('Black-Scholes'!$B$11)="put",MAX('Black-Scholes'!$B$6-C2658,0),MAX(C2658-'Black-Scholes'!$B$6,0))</f>
        <v>0</v>
      </c>
      <c r="F2658" s="18" t="n">
        <f aca="false">(E2658+G2658)/2</f>
        <v>8.63462123044377</v>
      </c>
      <c r="G2658" s="18" t="n">
        <f aca="false">EXP(-'Black-Scholes'!$B$8*'Black-Scholes'!$B$7)*IF(LOWER('Black-Scholes'!$B$11)="put",MAX('Black-Scholes'!$B$6-D2658,0),MAX(D2658-'Black-Scholes'!$B$6,0))</f>
        <v>17.2692424608875</v>
      </c>
    </row>
    <row r="2659" customFormat="false" ht="15" hidden="false" customHeight="false" outlineLevel="0" collapsed="false">
      <c r="A2659" s="0" t="n">
        <v>2648</v>
      </c>
      <c r="B2659" s="15" t="n">
        <v>0.255223660477232</v>
      </c>
      <c r="C2659" s="18" t="n">
        <f aca="false">'Black-Scholes'!$B$5*EXP(('Black-Scholes'!$B$8-'Black-Scholes'!$B$10-'Black-Scholes'!$B$9^2/2)*'Black-Scholes'!$B$7+'Black-Scholes'!$B$9*SQRT('Black-Scholes'!$B$7)*B2659)</f>
        <v>108.441940383411</v>
      </c>
      <c r="D2659" s="18" t="n">
        <f aca="false">'Black-Scholes'!$B$5*EXP(('Black-Scholes'!$B$8-'Black-Scholes'!$B$10-'Black-Scholes'!$B$9^2/2)*'Black-Scholes'!$B$7-'Black-Scholes'!$B$9*SQRT('Black-Scholes'!$B$7)*B2659)</f>
        <v>97.9175163032948</v>
      </c>
      <c r="E2659" s="18" t="n">
        <f aca="false">EXP(-'Black-Scholes'!$B$8*'Black-Scholes'!$B$7)*IF(LOWER('Black-Scholes'!$B$11)="put",MAX('Black-Scholes'!$B$6-C2659,0),MAX(C2659-'Black-Scholes'!$B$6,0))</f>
        <v>8.03022209258163</v>
      </c>
      <c r="F2659" s="18" t="n">
        <f aca="false">(E2659+G2659)/2</f>
        <v>4.01511104629082</v>
      </c>
      <c r="G2659" s="18" t="n">
        <f aca="false">EXP(-'Black-Scholes'!$B$8*'Black-Scholes'!$B$7)*IF(LOWER('Black-Scholes'!$B$11)="put",MAX('Black-Scholes'!$B$6-D2659,0),MAX(D2659-'Black-Scholes'!$B$6,0))</f>
        <v>0</v>
      </c>
    </row>
    <row r="2660" customFormat="false" ht="15" hidden="false" customHeight="false" outlineLevel="0" collapsed="false">
      <c r="A2660" s="0" t="n">
        <v>2649</v>
      </c>
      <c r="B2660" s="15" t="n">
        <v>-2.47944667568922</v>
      </c>
      <c r="C2660" s="18" t="n">
        <f aca="false">'Black-Scholes'!$B$5*EXP(('Black-Scholes'!$B$8-'Black-Scholes'!$B$10-'Black-Scholes'!$B$9^2/2)*'Black-Scholes'!$B$7+'Black-Scholes'!$B$9*SQRT('Black-Scholes'!$B$7)*B2660)</f>
        <v>62.7576730897024</v>
      </c>
      <c r="D2660" s="18" t="n">
        <f aca="false">'Black-Scholes'!$B$5*EXP(('Black-Scholes'!$B$8-'Black-Scholes'!$B$10-'Black-Scholes'!$B$9^2/2)*'Black-Scholes'!$B$7-'Black-Scholes'!$B$9*SQRT('Black-Scholes'!$B$7)*B2660)</f>
        <v>169.196290153656</v>
      </c>
      <c r="E2660" s="18" t="n">
        <f aca="false">EXP(-'Black-Scholes'!$B$8*'Black-Scholes'!$B$7)*IF(LOWER('Black-Scholes'!$B$11)="put",MAX('Black-Scholes'!$B$6-C2660,0),MAX(C2660-'Black-Scholes'!$B$6,0))</f>
        <v>0</v>
      </c>
      <c r="F2660" s="18" t="n">
        <f aca="false">(E2660+G2660)/2</f>
        <v>32.9107736302235</v>
      </c>
      <c r="G2660" s="18" t="n">
        <f aca="false">EXP(-'Black-Scholes'!$B$8*'Black-Scholes'!$B$7)*IF(LOWER('Black-Scholes'!$B$11)="put",MAX('Black-Scholes'!$B$6-D2660,0),MAX(D2660-'Black-Scholes'!$B$6,0))</f>
        <v>65.821547260447</v>
      </c>
    </row>
    <row r="2661" customFormat="false" ht="15" hidden="false" customHeight="false" outlineLevel="0" collapsed="false">
      <c r="A2661" s="0" t="n">
        <v>2650</v>
      </c>
      <c r="B2661" s="15" t="n">
        <v>-1.53223148496266</v>
      </c>
      <c r="C2661" s="18" t="n">
        <f aca="false">'Black-Scholes'!$B$5*EXP(('Black-Scholes'!$B$8-'Black-Scholes'!$B$10-'Black-Scholes'!$B$9^2/2)*'Black-Scholes'!$B$7+'Black-Scholes'!$B$9*SQRT('Black-Scholes'!$B$7)*B2661)</f>
        <v>75.8474350391669</v>
      </c>
      <c r="D2661" s="18" t="n">
        <f aca="false">'Black-Scholes'!$B$5*EXP(('Black-Scholes'!$B$8-'Black-Scholes'!$B$10-'Black-Scholes'!$B$9^2/2)*'Black-Scholes'!$B$7-'Black-Scholes'!$B$9*SQRT('Black-Scholes'!$B$7)*B2661)</f>
        <v>139.996368499085</v>
      </c>
      <c r="E2661" s="18" t="n">
        <f aca="false">EXP(-'Black-Scholes'!$B$8*'Black-Scholes'!$B$7)*IF(LOWER('Black-Scholes'!$B$11)="put",MAX('Black-Scholes'!$B$6-C2661,0),MAX(C2661-'Black-Scholes'!$B$6,0))</f>
        <v>0</v>
      </c>
      <c r="F2661" s="18" t="n">
        <f aca="false">(E2661+G2661)/2</f>
        <v>19.0228612947514</v>
      </c>
      <c r="G2661" s="18" t="n">
        <f aca="false">EXP(-'Black-Scholes'!$B$8*'Black-Scholes'!$B$7)*IF(LOWER('Black-Scholes'!$B$11)="put",MAX('Black-Scholes'!$B$6-D2661,0),MAX(D2661-'Black-Scholes'!$B$6,0))</f>
        <v>38.0457225895028</v>
      </c>
    </row>
    <row r="2662" customFormat="false" ht="15" hidden="false" customHeight="false" outlineLevel="0" collapsed="false">
      <c r="A2662" s="0" t="n">
        <v>2651</v>
      </c>
      <c r="B2662" s="15" t="n">
        <v>-1.32243174311339</v>
      </c>
      <c r="C2662" s="18" t="n">
        <f aca="false">'Black-Scholes'!$B$5*EXP(('Black-Scholes'!$B$8-'Black-Scholes'!$B$10-'Black-Scholes'!$B$9^2/2)*'Black-Scholes'!$B$7+'Black-Scholes'!$B$9*SQRT('Black-Scholes'!$B$7)*B2662)</f>
        <v>79.0977031743588</v>
      </c>
      <c r="D2662" s="18" t="n">
        <f aca="false">'Black-Scholes'!$B$5*EXP(('Black-Scholes'!$B$8-'Black-Scholes'!$B$10-'Black-Scholes'!$B$9^2/2)*'Black-Scholes'!$B$7-'Black-Scholes'!$B$9*SQRT('Black-Scholes'!$B$7)*B2662)</f>
        <v>134.24366371356</v>
      </c>
      <c r="E2662" s="18" t="n">
        <f aca="false">EXP(-'Black-Scholes'!$B$8*'Black-Scholes'!$B$7)*IF(LOWER('Black-Scholes'!$B$11)="put",MAX('Black-Scholes'!$B$6-C2662,0),MAX(C2662-'Black-Scholes'!$B$6,0))</f>
        <v>0</v>
      </c>
      <c r="F2662" s="18" t="n">
        <f aca="false">(E2662+G2662)/2</f>
        <v>16.2867902635227</v>
      </c>
      <c r="G2662" s="18" t="n">
        <f aca="false">EXP(-'Black-Scholes'!$B$8*'Black-Scholes'!$B$7)*IF(LOWER('Black-Scholes'!$B$11)="put",MAX('Black-Scholes'!$B$6-D2662,0),MAX(D2662-'Black-Scholes'!$B$6,0))</f>
        <v>32.5735805270455</v>
      </c>
    </row>
    <row r="2663" customFormat="false" ht="15" hidden="false" customHeight="false" outlineLevel="0" collapsed="false">
      <c r="A2663" s="0" t="n">
        <v>2652</v>
      </c>
      <c r="B2663" s="15" t="n">
        <v>1.35173303860045</v>
      </c>
      <c r="C2663" s="18" t="n">
        <f aca="false">'Black-Scholes'!$B$5*EXP(('Black-Scholes'!$B$8-'Black-Scholes'!$B$10-'Black-Scholes'!$B$9^2/2)*'Black-Scholes'!$B$7+'Black-Scholes'!$B$9*SQRT('Black-Scholes'!$B$7)*B2663)</f>
        <v>135.032676015304</v>
      </c>
      <c r="D2663" s="18" t="n">
        <f aca="false">'Black-Scholes'!$B$5*EXP(('Black-Scholes'!$B$8-'Black-Scholes'!$B$10-'Black-Scholes'!$B$9^2/2)*'Black-Scholes'!$B$7-'Black-Scholes'!$B$9*SQRT('Black-Scholes'!$B$7)*B2663)</f>
        <v>78.6355257023132</v>
      </c>
      <c r="E2663" s="18" t="n">
        <f aca="false">EXP(-'Black-Scholes'!$B$8*'Black-Scholes'!$B$7)*IF(LOWER('Black-Scholes'!$B$11)="put",MAX('Black-Scholes'!$B$6-C2663,0),MAX(C2663-'Black-Scholes'!$B$6,0))</f>
        <v>33.3241122447579</v>
      </c>
      <c r="F2663" s="18" t="n">
        <f aca="false">(E2663+G2663)/2</f>
        <v>16.662056122379</v>
      </c>
      <c r="G2663" s="18" t="n">
        <f aca="false">EXP(-'Black-Scholes'!$B$8*'Black-Scholes'!$B$7)*IF(LOWER('Black-Scholes'!$B$11)="put",MAX('Black-Scholes'!$B$6-D2663,0),MAX(D2663-'Black-Scholes'!$B$6,0))</f>
        <v>0</v>
      </c>
    </row>
    <row r="2664" customFormat="false" ht="15" hidden="false" customHeight="false" outlineLevel="0" collapsed="false">
      <c r="A2664" s="0" t="n">
        <v>2653</v>
      </c>
      <c r="B2664" s="15" t="n">
        <v>-0.2649949145423</v>
      </c>
      <c r="C2664" s="18" t="n">
        <f aca="false">'Black-Scholes'!$B$5*EXP(('Black-Scholes'!$B$8-'Black-Scholes'!$B$10-'Black-Scholes'!$B$9^2/2)*'Black-Scholes'!$B$7+'Black-Scholes'!$B$9*SQRT('Black-Scholes'!$B$7)*B2664)</f>
        <v>97.7263477739187</v>
      </c>
      <c r="D2664" s="18" t="n">
        <f aca="false">'Black-Scholes'!$B$5*EXP(('Black-Scholes'!$B$8-'Black-Scholes'!$B$10-'Black-Scholes'!$B$9^2/2)*'Black-Scholes'!$B$7-'Black-Scholes'!$B$9*SQRT('Black-Scholes'!$B$7)*B2664)</f>
        <v>108.654070343632</v>
      </c>
      <c r="E2664" s="18" t="n">
        <f aca="false">EXP(-'Black-Scholes'!$B$8*'Black-Scholes'!$B$7)*IF(LOWER('Black-Scholes'!$B$11)="put",MAX('Black-Scholes'!$B$6-C2664,0),MAX(C2664-'Black-Scholes'!$B$6,0))</f>
        <v>0</v>
      </c>
      <c r="F2664" s="18" t="n">
        <f aca="false">(E2664+G2664)/2</f>
        <v>4.11600317628083</v>
      </c>
      <c r="G2664" s="18" t="n">
        <f aca="false">EXP(-'Black-Scholes'!$B$8*'Black-Scholes'!$B$7)*IF(LOWER('Black-Scholes'!$B$11)="put",MAX('Black-Scholes'!$B$6-D2664,0),MAX(D2664-'Black-Scholes'!$B$6,0))</f>
        <v>8.23200635256166</v>
      </c>
    </row>
    <row r="2665" customFormat="false" ht="15" hidden="false" customHeight="false" outlineLevel="0" collapsed="false">
      <c r="A2665" s="0" t="n">
        <v>2654</v>
      </c>
      <c r="B2665" s="15" t="n">
        <v>1.24475256142749</v>
      </c>
      <c r="C2665" s="18" t="n">
        <f aca="false">'Black-Scholes'!$B$5*EXP(('Black-Scholes'!$B$8-'Black-Scholes'!$B$10-'Black-Scholes'!$B$9^2/2)*'Black-Scholes'!$B$7+'Black-Scholes'!$B$9*SQRT('Black-Scholes'!$B$7)*B2665)</f>
        <v>132.174193226363</v>
      </c>
      <c r="D2665" s="18" t="n">
        <f aca="false">'Black-Scholes'!$B$5*EXP(('Black-Scholes'!$B$8-'Black-Scholes'!$B$10-'Black-Scholes'!$B$9^2/2)*'Black-Scholes'!$B$7-'Black-Scholes'!$B$9*SQRT('Black-Scholes'!$B$7)*B2665)</f>
        <v>80.3361473693165</v>
      </c>
      <c r="E2665" s="18" t="n">
        <f aca="false">EXP(-'Black-Scholes'!$B$8*'Black-Scholes'!$B$7)*IF(LOWER('Black-Scholes'!$B$11)="put",MAX('Black-Scholes'!$B$6-C2665,0),MAX(C2665-'Black-Scholes'!$B$6,0))</f>
        <v>30.6050393064879</v>
      </c>
      <c r="F2665" s="18" t="n">
        <f aca="false">(E2665+G2665)/2</f>
        <v>15.302519653244</v>
      </c>
      <c r="G2665" s="18" t="n">
        <f aca="false">EXP(-'Black-Scholes'!$B$8*'Black-Scholes'!$B$7)*IF(LOWER('Black-Scholes'!$B$11)="put",MAX('Black-Scholes'!$B$6-D2665,0),MAX(D2665-'Black-Scholes'!$B$6,0))</f>
        <v>0</v>
      </c>
    </row>
    <row r="2666" customFormat="false" ht="15" hidden="false" customHeight="false" outlineLevel="0" collapsed="false">
      <c r="A2666" s="0" t="n">
        <v>2655</v>
      </c>
      <c r="B2666" s="15" t="n">
        <v>0.232632027946976</v>
      </c>
      <c r="C2666" s="18" t="n">
        <f aca="false">'Black-Scholes'!$B$5*EXP(('Black-Scholes'!$B$8-'Black-Scholes'!$B$10-'Black-Scholes'!$B$9^2/2)*'Black-Scholes'!$B$7+'Black-Scholes'!$B$9*SQRT('Black-Scholes'!$B$7)*B2666)</f>
        <v>107.95306956051</v>
      </c>
      <c r="D2666" s="18" t="n">
        <f aca="false">'Black-Scholes'!$B$5*EXP(('Black-Scholes'!$B$8-'Black-Scholes'!$B$10-'Black-Scholes'!$B$9^2/2)*'Black-Scholes'!$B$7-'Black-Scholes'!$B$9*SQRT('Black-Scholes'!$B$7)*B2666)</f>
        <v>98.3609406261649</v>
      </c>
      <c r="E2666" s="18" t="n">
        <f aca="false">EXP(-'Black-Scholes'!$B$8*'Black-Scholes'!$B$7)*IF(LOWER('Black-Scholes'!$B$11)="put",MAX('Black-Scholes'!$B$6-C2666,0),MAX(C2666-'Black-Scholes'!$B$6,0))</f>
        <v>7.56519378105829</v>
      </c>
      <c r="F2666" s="18" t="n">
        <f aca="false">(E2666+G2666)/2</f>
        <v>3.78259689052915</v>
      </c>
      <c r="G2666" s="18" t="n">
        <f aca="false">EXP(-'Black-Scholes'!$B$8*'Black-Scholes'!$B$7)*IF(LOWER('Black-Scholes'!$B$11)="put",MAX('Black-Scholes'!$B$6-D2666,0),MAX(D2666-'Black-Scholes'!$B$6,0))</f>
        <v>0</v>
      </c>
    </row>
    <row r="2667" customFormat="false" ht="15" hidden="false" customHeight="false" outlineLevel="0" collapsed="false">
      <c r="A2667" s="0" t="n">
        <v>2656</v>
      </c>
      <c r="B2667" s="15" t="n">
        <v>-0.864374654534943</v>
      </c>
      <c r="C2667" s="18" t="n">
        <f aca="false">'Black-Scholes'!$B$5*EXP(('Black-Scholes'!$B$8-'Black-Scholes'!$B$10-'Black-Scholes'!$B$9^2/2)*'Black-Scholes'!$B$7+'Black-Scholes'!$B$9*SQRT('Black-Scholes'!$B$7)*B2667)</f>
        <v>86.6862479820036</v>
      </c>
      <c r="D2667" s="18" t="n">
        <f aca="false">'Black-Scholes'!$B$5*EXP(('Black-Scholes'!$B$8-'Black-Scholes'!$B$10-'Black-Scholes'!$B$9^2/2)*'Black-Scholes'!$B$7-'Black-Scholes'!$B$9*SQRT('Black-Scholes'!$B$7)*B2667)</f>
        <v>122.491925912608</v>
      </c>
      <c r="E2667" s="18" t="n">
        <f aca="false">EXP(-'Black-Scholes'!$B$8*'Black-Scholes'!$B$7)*IF(LOWER('Black-Scholes'!$B$11)="put",MAX('Black-Scholes'!$B$6-C2667,0),MAX(C2667-'Black-Scholes'!$B$6,0))</f>
        <v>0</v>
      </c>
      <c r="F2667" s="18" t="n">
        <f aca="false">(E2667+G2667)/2</f>
        <v>10.6974908708816</v>
      </c>
      <c r="G2667" s="18" t="n">
        <f aca="false">EXP(-'Black-Scholes'!$B$8*'Black-Scholes'!$B$7)*IF(LOWER('Black-Scholes'!$B$11)="put",MAX('Black-Scholes'!$B$6-D2667,0),MAX(D2667-'Black-Scholes'!$B$6,0))</f>
        <v>21.3949817417632</v>
      </c>
    </row>
    <row r="2668" customFormat="false" ht="15" hidden="false" customHeight="false" outlineLevel="0" collapsed="false">
      <c r="A2668" s="0" t="n">
        <v>2657</v>
      </c>
      <c r="B2668" s="15" t="n">
        <v>-0.732600642918898</v>
      </c>
      <c r="C2668" s="18" t="n">
        <f aca="false">'Black-Scholes'!$B$5*EXP(('Black-Scholes'!$B$8-'Black-Scholes'!$B$10-'Black-Scholes'!$B$9^2/2)*'Black-Scholes'!$B$7+'Black-Scholes'!$B$9*SQRT('Black-Scholes'!$B$7)*B2668)</f>
        <v>89.0012182111605</v>
      </c>
      <c r="D2668" s="18" t="n">
        <f aca="false">'Black-Scholes'!$B$5*EXP(('Black-Scholes'!$B$8-'Black-Scholes'!$B$10-'Black-Scholes'!$B$9^2/2)*'Black-Scholes'!$B$7-'Black-Scholes'!$B$9*SQRT('Black-Scholes'!$B$7)*B2668)</f>
        <v>119.30584410947</v>
      </c>
      <c r="E2668" s="18" t="n">
        <f aca="false">EXP(-'Black-Scholes'!$B$8*'Black-Scholes'!$B$7)*IF(LOWER('Black-Scholes'!$B$11)="put",MAX('Black-Scholes'!$B$6-C2668,0),MAX(C2668-'Black-Scholes'!$B$6,0))</f>
        <v>0</v>
      </c>
      <c r="F2668" s="18" t="n">
        <f aca="false">(E2668+G2668)/2</f>
        <v>9.18214349087559</v>
      </c>
      <c r="G2668" s="18" t="n">
        <f aca="false">EXP(-'Black-Scholes'!$B$8*'Black-Scholes'!$B$7)*IF(LOWER('Black-Scholes'!$B$11)="put",MAX('Black-Scholes'!$B$6-D2668,0),MAX(D2668-'Black-Scholes'!$B$6,0))</f>
        <v>18.3642869817512</v>
      </c>
    </row>
    <row r="2669" customFormat="false" ht="15" hidden="false" customHeight="false" outlineLevel="0" collapsed="false">
      <c r="A2669" s="0" t="n">
        <v>2658</v>
      </c>
      <c r="B2669" s="15" t="n">
        <v>-0.105866435415231</v>
      </c>
      <c r="C2669" s="18" t="n">
        <f aca="false">'Black-Scholes'!$B$5*EXP(('Black-Scholes'!$B$8-'Black-Scholes'!$B$10-'Black-Scholes'!$B$9^2/2)*'Black-Scholes'!$B$7+'Black-Scholes'!$B$9*SQRT('Black-Scholes'!$B$7)*B2669)</f>
        <v>100.886578321691</v>
      </c>
      <c r="D2669" s="18" t="n">
        <f aca="false">'Black-Scholes'!$B$5*EXP(('Black-Scholes'!$B$8-'Black-Scholes'!$B$10-'Black-Scholes'!$B$9^2/2)*'Black-Scholes'!$B$7-'Black-Scholes'!$B$9*SQRT('Black-Scholes'!$B$7)*B2669)</f>
        <v>105.250526304851</v>
      </c>
      <c r="E2669" s="18" t="n">
        <f aca="false">EXP(-'Black-Scholes'!$B$8*'Black-Scholes'!$B$7)*IF(LOWER('Black-Scholes'!$B$11)="put",MAX('Black-Scholes'!$B$6-C2669,0),MAX(C2669-'Black-Scholes'!$B$6,0))</f>
        <v>0.843339386717389</v>
      </c>
      <c r="F2669" s="18" t="n">
        <f aca="false">(E2669+G2669)/2</f>
        <v>2.91889725100332</v>
      </c>
      <c r="G2669" s="18" t="n">
        <f aca="false">EXP(-'Black-Scholes'!$B$8*'Black-Scholes'!$B$7)*IF(LOWER('Black-Scholes'!$B$11)="put",MAX('Black-Scholes'!$B$6-D2669,0),MAX(D2669-'Black-Scholes'!$B$6,0))</f>
        <v>4.99445511528924</v>
      </c>
    </row>
    <row r="2670" customFormat="false" ht="15" hidden="false" customHeight="false" outlineLevel="0" collapsed="false">
      <c r="A2670" s="0" t="n">
        <v>2659</v>
      </c>
      <c r="B2670" s="15" t="n">
        <v>-1.24931749100104</v>
      </c>
      <c r="C2670" s="18" t="n">
        <f aca="false">'Black-Scholes'!$B$5*EXP(('Black-Scholes'!$B$8-'Black-Scholes'!$B$10-'Black-Scholes'!$B$9^2/2)*'Black-Scholes'!$B$7+'Black-Scholes'!$B$9*SQRT('Black-Scholes'!$B$7)*B2670)</f>
        <v>80.262835069967</v>
      </c>
      <c r="D2670" s="18" t="n">
        <f aca="false">'Black-Scholes'!$B$5*EXP(('Black-Scholes'!$B$8-'Black-Scholes'!$B$10-'Black-Scholes'!$B$9^2/2)*'Black-Scholes'!$B$7-'Black-Scholes'!$B$9*SQRT('Black-Scholes'!$B$7)*B2670)</f>
        <v>132.29492150629</v>
      </c>
      <c r="E2670" s="18" t="n">
        <f aca="false">EXP(-'Black-Scholes'!$B$8*'Black-Scholes'!$B$7)*IF(LOWER('Black-Scholes'!$B$11)="put",MAX('Black-Scholes'!$B$6-C2670,0),MAX(C2670-'Black-Scholes'!$B$6,0))</f>
        <v>0</v>
      </c>
      <c r="F2670" s="18" t="n">
        <f aca="false">(E2670+G2670)/2</f>
        <v>15.359939799362</v>
      </c>
      <c r="G2670" s="18" t="n">
        <f aca="false">EXP(-'Black-Scholes'!$B$8*'Black-Scholes'!$B$7)*IF(LOWER('Black-Scholes'!$B$11)="put",MAX('Black-Scholes'!$B$6-D2670,0),MAX(D2670-'Black-Scholes'!$B$6,0))</f>
        <v>30.719879598724</v>
      </c>
    </row>
    <row r="2671" customFormat="false" ht="15" hidden="false" customHeight="false" outlineLevel="0" collapsed="false">
      <c r="A2671" s="0" t="n">
        <v>2660</v>
      </c>
      <c r="B2671" s="15" t="n">
        <v>-0.338994520814174</v>
      </c>
      <c r="C2671" s="18" t="n">
        <f aca="false">'Black-Scholes'!$B$5*EXP(('Black-Scholes'!$B$8-'Black-Scholes'!$B$10-'Black-Scholes'!$B$9^2/2)*'Black-Scholes'!$B$7+'Black-Scholes'!$B$9*SQRT('Black-Scholes'!$B$7)*B2671)</f>
        <v>96.2906557923135</v>
      </c>
      <c r="D2671" s="18" t="n">
        <f aca="false">'Black-Scholes'!$B$5*EXP(('Black-Scholes'!$B$8-'Black-Scholes'!$B$10-'Black-Scholes'!$B$9^2/2)*'Black-Scholes'!$B$7-'Black-Scholes'!$B$9*SQRT('Black-Scholes'!$B$7)*B2671)</f>
        <v>110.274100618403</v>
      </c>
      <c r="E2671" s="18" t="n">
        <f aca="false">EXP(-'Black-Scholes'!$B$8*'Black-Scholes'!$B$7)*IF(LOWER('Black-Scholes'!$B$11)="put",MAX('Black-Scholes'!$B$6-C2671,0),MAX(C2671-'Black-Scholes'!$B$6,0))</f>
        <v>0</v>
      </c>
      <c r="F2671" s="18" t="n">
        <f aca="false">(E2671+G2671)/2</f>
        <v>4.88651340925301</v>
      </c>
      <c r="G2671" s="18" t="n">
        <f aca="false">EXP(-'Black-Scholes'!$B$8*'Black-Scholes'!$B$7)*IF(LOWER('Black-Scholes'!$B$11)="put",MAX('Black-Scholes'!$B$6-D2671,0),MAX(D2671-'Black-Scholes'!$B$6,0))</f>
        <v>9.77302681850602</v>
      </c>
    </row>
    <row r="2672" customFormat="false" ht="15" hidden="false" customHeight="false" outlineLevel="0" collapsed="false">
      <c r="A2672" s="0" t="n">
        <v>2661</v>
      </c>
      <c r="B2672" s="15" t="n">
        <v>1.00886206044141</v>
      </c>
      <c r="C2672" s="18" t="n">
        <f aca="false">'Black-Scholes'!$B$5*EXP(('Black-Scholes'!$B$8-'Black-Scholes'!$B$10-'Black-Scholes'!$B$9^2/2)*'Black-Scholes'!$B$7+'Black-Scholes'!$B$9*SQRT('Black-Scholes'!$B$7)*B2672)</f>
        <v>126.083274588098</v>
      </c>
      <c r="D2672" s="18" t="n">
        <f aca="false">'Black-Scholes'!$B$5*EXP(('Black-Scholes'!$B$8-'Black-Scholes'!$B$10-'Black-Scholes'!$B$9^2/2)*'Black-Scholes'!$B$7-'Black-Scholes'!$B$9*SQRT('Black-Scholes'!$B$7)*B2672)</f>
        <v>84.2170819257571</v>
      </c>
      <c r="E2672" s="18" t="n">
        <f aca="false">EXP(-'Black-Scholes'!$B$8*'Black-Scholes'!$B$7)*IF(LOWER('Black-Scholes'!$B$11)="put",MAX('Black-Scholes'!$B$6-C2672,0),MAX(C2672-'Black-Scholes'!$B$6,0))</f>
        <v>24.8111782755308</v>
      </c>
      <c r="F2672" s="18" t="n">
        <f aca="false">(E2672+G2672)/2</f>
        <v>12.4055891377654</v>
      </c>
      <c r="G2672" s="18" t="n">
        <f aca="false">EXP(-'Black-Scholes'!$B$8*'Black-Scholes'!$B$7)*IF(LOWER('Black-Scholes'!$B$11)="put",MAX('Black-Scholes'!$B$6-D2672,0),MAX(D2672-'Black-Scholes'!$B$6,0))</f>
        <v>0</v>
      </c>
    </row>
    <row r="2673" customFormat="false" ht="15" hidden="false" customHeight="false" outlineLevel="0" collapsed="false">
      <c r="A2673" s="0" t="n">
        <v>2662</v>
      </c>
      <c r="B2673" s="15" t="n">
        <v>-0.151941683094774</v>
      </c>
      <c r="C2673" s="18" t="n">
        <f aca="false">'Black-Scholes'!$B$5*EXP(('Black-Scholes'!$B$8-'Black-Scholes'!$B$10-'Black-Scholes'!$B$9^2/2)*'Black-Scholes'!$B$7+'Black-Scholes'!$B$9*SQRT('Black-Scholes'!$B$7)*B2673)</f>
        <v>99.961173877395</v>
      </c>
      <c r="D2673" s="18" t="n">
        <f aca="false">'Black-Scholes'!$B$5*EXP(('Black-Scholes'!$B$8-'Black-Scholes'!$B$10-'Black-Scholes'!$B$9^2/2)*'Black-Scholes'!$B$7-'Black-Scholes'!$B$9*SQRT('Black-Scholes'!$B$7)*B2673)</f>
        <v>106.22489766354</v>
      </c>
      <c r="E2673" s="18" t="n">
        <f aca="false">EXP(-'Black-Scholes'!$B$8*'Black-Scholes'!$B$7)*IF(LOWER('Black-Scholes'!$B$11)="put",MAX('Black-Scholes'!$B$6-C2673,0),MAX(C2673-'Black-Scholes'!$B$6,0))</f>
        <v>0</v>
      </c>
      <c r="F2673" s="18" t="n">
        <f aca="false">(E2673+G2673)/2</f>
        <v>2.9606529110324</v>
      </c>
      <c r="G2673" s="18" t="n">
        <f aca="false">EXP(-'Black-Scholes'!$B$8*'Black-Scholes'!$B$7)*IF(LOWER('Black-Scholes'!$B$11)="put",MAX('Black-Scholes'!$B$6-D2673,0),MAX(D2673-'Black-Scholes'!$B$6,0))</f>
        <v>5.9213058220648</v>
      </c>
    </row>
    <row r="2674" customFormat="false" ht="15" hidden="false" customHeight="false" outlineLevel="0" collapsed="false">
      <c r="A2674" s="0" t="n">
        <v>2663</v>
      </c>
      <c r="B2674" s="15" t="n">
        <v>-0.756674753140347</v>
      </c>
      <c r="C2674" s="18" t="n">
        <f aca="false">'Black-Scholes'!$B$5*EXP(('Black-Scholes'!$B$8-'Black-Scholes'!$B$10-'Black-Scholes'!$B$9^2/2)*'Black-Scholes'!$B$7+'Black-Scholes'!$B$9*SQRT('Black-Scholes'!$B$7)*B2674)</f>
        <v>88.5737231658997</v>
      </c>
      <c r="D2674" s="18" t="n">
        <f aca="false">'Black-Scholes'!$B$5*EXP(('Black-Scholes'!$B$8-'Black-Scholes'!$B$10-'Black-Scholes'!$B$9^2/2)*'Black-Scholes'!$B$7-'Black-Scholes'!$B$9*SQRT('Black-Scholes'!$B$7)*B2674)</f>
        <v>119.881665644395</v>
      </c>
      <c r="E2674" s="18" t="n">
        <f aca="false">EXP(-'Black-Scholes'!$B$8*'Black-Scholes'!$B$7)*IF(LOWER('Black-Scholes'!$B$11)="put",MAX('Black-Scholes'!$B$6-C2674,0),MAX(C2674-'Black-Scholes'!$B$6,0))</f>
        <v>0</v>
      </c>
      <c r="F2674" s="18" t="n">
        <f aca="false">(E2674+G2674)/2</f>
        <v>9.45601268451674</v>
      </c>
      <c r="G2674" s="18" t="n">
        <f aca="false">EXP(-'Black-Scholes'!$B$8*'Black-Scholes'!$B$7)*IF(LOWER('Black-Scholes'!$B$11)="put",MAX('Black-Scholes'!$B$6-D2674,0),MAX(D2674-'Black-Scholes'!$B$6,0))</f>
        <v>18.9120253690335</v>
      </c>
    </row>
    <row r="2675" customFormat="false" ht="15" hidden="false" customHeight="false" outlineLevel="0" collapsed="false">
      <c r="A2675" s="0" t="n">
        <v>2664</v>
      </c>
      <c r="B2675" s="15" t="n">
        <v>0.758698065099661</v>
      </c>
      <c r="C2675" s="18" t="n">
        <f aca="false">'Black-Scholes'!$B$5*EXP(('Black-Scholes'!$B$8-'Black-Scholes'!$B$10-'Black-Scholes'!$B$9^2/2)*'Black-Scholes'!$B$7+'Black-Scholes'!$B$9*SQRT('Black-Scholes'!$B$7)*B2675)</f>
        <v>119.93018706269</v>
      </c>
      <c r="D2675" s="18" t="n">
        <f aca="false">'Black-Scholes'!$B$5*EXP(('Black-Scholes'!$B$8-'Black-Scholes'!$B$10-'Black-Scholes'!$B$9^2/2)*'Black-Scholes'!$B$7-'Black-Scholes'!$B$9*SQRT('Black-Scholes'!$B$7)*B2675)</f>
        <v>88.5378879622958</v>
      </c>
      <c r="E2675" s="18" t="n">
        <f aca="false">EXP(-'Black-Scholes'!$B$8*'Black-Scholes'!$B$7)*IF(LOWER('Black-Scholes'!$B$11)="put",MAX('Black-Scholes'!$B$6-C2675,0),MAX(C2675-'Black-Scholes'!$B$6,0))</f>
        <v>18.9581803698339</v>
      </c>
      <c r="F2675" s="18" t="n">
        <f aca="false">(E2675+G2675)/2</f>
        <v>9.47909018491693</v>
      </c>
      <c r="G2675" s="18" t="n">
        <f aca="false">EXP(-'Black-Scholes'!$B$8*'Black-Scholes'!$B$7)*IF(LOWER('Black-Scholes'!$B$11)="put",MAX('Black-Scholes'!$B$6-D2675,0),MAX(D2675-'Black-Scholes'!$B$6,0))</f>
        <v>0</v>
      </c>
    </row>
    <row r="2676" customFormat="false" ht="15" hidden="false" customHeight="false" outlineLevel="0" collapsed="false">
      <c r="A2676" s="0" t="n">
        <v>2665</v>
      </c>
      <c r="B2676" s="15" t="n">
        <v>0.335533530928343</v>
      </c>
      <c r="C2676" s="18" t="n">
        <f aca="false">'Black-Scholes'!$B$5*EXP(('Black-Scholes'!$B$8-'Black-Scholes'!$B$10-'Black-Scholes'!$B$9^2/2)*'Black-Scholes'!$B$7+'Black-Scholes'!$B$9*SQRT('Black-Scholes'!$B$7)*B2676)</f>
        <v>110.197795521185</v>
      </c>
      <c r="D2676" s="18" t="n">
        <f aca="false">'Black-Scholes'!$B$5*EXP(('Black-Scholes'!$B$8-'Black-Scholes'!$B$10-'Black-Scholes'!$B$9^2/2)*'Black-Scholes'!$B$7-'Black-Scholes'!$B$9*SQRT('Black-Scholes'!$B$7)*B2676)</f>
        <v>96.3573310630545</v>
      </c>
      <c r="E2676" s="18" t="n">
        <f aca="false">EXP(-'Black-Scholes'!$B$8*'Black-Scholes'!$B$7)*IF(LOWER('Black-Scholes'!$B$11)="put",MAX('Black-Scholes'!$B$6-C2676,0),MAX(C2676-'Black-Scholes'!$B$6,0))</f>
        <v>9.70044316479267</v>
      </c>
      <c r="F2676" s="18" t="n">
        <f aca="false">(E2676+G2676)/2</f>
        <v>4.85022158239634</v>
      </c>
      <c r="G2676" s="18" t="n">
        <f aca="false">EXP(-'Black-Scholes'!$B$8*'Black-Scholes'!$B$7)*IF(LOWER('Black-Scholes'!$B$11)="put",MAX('Black-Scholes'!$B$6-D2676,0),MAX(D2676-'Black-Scholes'!$B$6,0))</f>
        <v>0</v>
      </c>
    </row>
    <row r="2677" customFormat="false" ht="15" hidden="false" customHeight="false" outlineLevel="0" collapsed="false">
      <c r="A2677" s="0" t="n">
        <v>2666</v>
      </c>
      <c r="B2677" s="15" t="n">
        <v>0.504279178018551</v>
      </c>
      <c r="C2677" s="18" t="n">
        <f aca="false">'Black-Scholes'!$B$5*EXP(('Black-Scholes'!$B$8-'Black-Scholes'!$B$10-'Black-Scholes'!$B$9^2/2)*'Black-Scholes'!$B$7+'Black-Scholes'!$B$9*SQRT('Black-Scholes'!$B$7)*B2677)</f>
        <v>113.980345039063</v>
      </c>
      <c r="D2677" s="18" t="n">
        <f aca="false">'Black-Scholes'!$B$5*EXP(('Black-Scholes'!$B$8-'Black-Scholes'!$B$10-'Black-Scholes'!$B$9^2/2)*'Black-Scholes'!$B$7-'Black-Scholes'!$B$9*SQRT('Black-Scholes'!$B$7)*B2677)</f>
        <v>93.1596185448863</v>
      </c>
      <c r="E2677" s="18" t="n">
        <f aca="false">EXP(-'Black-Scholes'!$B$8*'Black-Scholes'!$B$7)*IF(LOWER('Black-Scholes'!$B$11)="put",MAX('Black-Scholes'!$B$6-C2677,0),MAX(C2677-'Black-Scholes'!$B$6,0))</f>
        <v>13.298515565829</v>
      </c>
      <c r="F2677" s="18" t="n">
        <f aca="false">(E2677+G2677)/2</f>
        <v>6.64925778291448</v>
      </c>
      <c r="G2677" s="18" t="n">
        <f aca="false">EXP(-'Black-Scholes'!$B$8*'Black-Scholes'!$B$7)*IF(LOWER('Black-Scholes'!$B$11)="put",MAX('Black-Scholes'!$B$6-D2677,0),MAX(D2677-'Black-Scholes'!$B$6,0))</f>
        <v>0</v>
      </c>
    </row>
    <row r="2678" customFormat="false" ht="15" hidden="false" customHeight="false" outlineLevel="0" collapsed="false">
      <c r="A2678" s="0" t="n">
        <v>2667</v>
      </c>
      <c r="B2678" s="15" t="n">
        <v>0.274264166339363</v>
      </c>
      <c r="C2678" s="18" t="n">
        <f aca="false">'Black-Scholes'!$B$5*EXP(('Black-Scholes'!$B$8-'Black-Scholes'!$B$10-'Black-Scholes'!$B$9^2/2)*'Black-Scholes'!$B$7+'Black-Scholes'!$B$9*SQRT('Black-Scholes'!$B$7)*B2678)</f>
        <v>108.855685555465</v>
      </c>
      <c r="D2678" s="18" t="n">
        <f aca="false">'Black-Scholes'!$B$5*EXP(('Black-Scholes'!$B$8-'Black-Scholes'!$B$10-'Black-Scholes'!$B$9^2/2)*'Black-Scholes'!$B$7-'Black-Scholes'!$B$9*SQRT('Black-Scholes'!$B$7)*B2678)</f>
        <v>97.545345576307</v>
      </c>
      <c r="E2678" s="18" t="n">
        <f aca="false">EXP(-'Black-Scholes'!$B$8*'Black-Scholes'!$B$7)*IF(LOWER('Black-Scholes'!$B$11)="put",MAX('Black-Scholes'!$B$6-C2678,0),MAX(C2678-'Black-Scholes'!$B$6,0))</f>
        <v>8.42378867448384</v>
      </c>
      <c r="F2678" s="18" t="n">
        <f aca="false">(E2678+G2678)/2</f>
        <v>4.21189433724192</v>
      </c>
      <c r="G2678" s="18" t="n">
        <f aca="false">EXP(-'Black-Scholes'!$B$8*'Black-Scholes'!$B$7)*IF(LOWER('Black-Scholes'!$B$11)="put",MAX('Black-Scholes'!$B$6-D2678,0),MAX(D2678-'Black-Scholes'!$B$6,0))</f>
        <v>0</v>
      </c>
    </row>
    <row r="2679" customFormat="false" ht="15" hidden="false" customHeight="false" outlineLevel="0" collapsed="false">
      <c r="A2679" s="0" t="n">
        <v>2668</v>
      </c>
      <c r="B2679" s="15" t="n">
        <v>-0.899179317595137</v>
      </c>
      <c r="C2679" s="18" t="n">
        <f aca="false">'Black-Scholes'!$B$5*EXP(('Black-Scholes'!$B$8-'Black-Scholes'!$B$10-'Black-Scholes'!$B$9^2/2)*'Black-Scholes'!$B$7+'Black-Scholes'!$B$9*SQRT('Black-Scholes'!$B$7)*B2679)</f>
        <v>86.0849261598162</v>
      </c>
      <c r="D2679" s="18" t="n">
        <f aca="false">'Black-Scholes'!$B$5*EXP(('Black-Scholes'!$B$8-'Black-Scholes'!$B$10-'Black-Scholes'!$B$9^2/2)*'Black-Scholes'!$B$7-'Black-Scholes'!$B$9*SQRT('Black-Scholes'!$B$7)*B2679)</f>
        <v>123.347558499855</v>
      </c>
      <c r="E2679" s="18" t="n">
        <f aca="false">EXP(-'Black-Scholes'!$B$8*'Black-Scholes'!$B$7)*IF(LOWER('Black-Scholes'!$B$11)="put",MAX('Black-Scholes'!$B$6-C2679,0),MAX(C2679-'Black-Scholes'!$B$6,0))</f>
        <v>0</v>
      </c>
      <c r="F2679" s="18" t="n">
        <f aca="false">(E2679+G2679)/2</f>
        <v>11.1044423176568</v>
      </c>
      <c r="G2679" s="18" t="n">
        <f aca="false">EXP(-'Black-Scholes'!$B$8*'Black-Scholes'!$B$7)*IF(LOWER('Black-Scholes'!$B$11)="put",MAX('Black-Scholes'!$B$6-D2679,0),MAX(D2679-'Black-Scholes'!$B$6,0))</f>
        <v>22.2088846353135</v>
      </c>
    </row>
    <row r="2680" customFormat="false" ht="15" hidden="false" customHeight="false" outlineLevel="0" collapsed="false">
      <c r="A2680" s="0" t="n">
        <v>2669</v>
      </c>
      <c r="B2680" s="15" t="n">
        <v>0.441889007541184</v>
      </c>
      <c r="C2680" s="18" t="n">
        <f aca="false">'Black-Scholes'!$B$5*EXP(('Black-Scholes'!$B$8-'Black-Scholes'!$B$10-'Black-Scholes'!$B$9^2/2)*'Black-Scholes'!$B$7+'Black-Scholes'!$B$9*SQRT('Black-Scholes'!$B$7)*B2680)</f>
        <v>112.566931060515</v>
      </c>
      <c r="D2680" s="18" t="n">
        <f aca="false">'Black-Scholes'!$B$5*EXP(('Black-Scholes'!$B$8-'Black-Scholes'!$B$10-'Black-Scholes'!$B$9^2/2)*'Black-Scholes'!$B$7-'Black-Scholes'!$B$9*SQRT('Black-Scholes'!$B$7)*B2680)</f>
        <v>94.3293502400385</v>
      </c>
      <c r="E2680" s="18" t="n">
        <f aca="false">EXP(-'Black-Scholes'!$B$8*'Black-Scholes'!$B$7)*IF(LOWER('Black-Scholes'!$B$11)="put",MAX('Black-Scholes'!$B$6-C2680,0),MAX(C2680-'Black-Scholes'!$B$6,0))</f>
        <v>11.9540346004339</v>
      </c>
      <c r="F2680" s="18" t="n">
        <f aca="false">(E2680+G2680)/2</f>
        <v>5.97701730021694</v>
      </c>
      <c r="G2680" s="18" t="n">
        <f aca="false">EXP(-'Black-Scholes'!$B$8*'Black-Scholes'!$B$7)*IF(LOWER('Black-Scholes'!$B$11)="put",MAX('Black-Scholes'!$B$6-D2680,0),MAX(D2680-'Black-Scholes'!$B$6,0))</f>
        <v>0</v>
      </c>
    </row>
    <row r="2681" customFormat="false" ht="15" hidden="false" customHeight="false" outlineLevel="0" collapsed="false">
      <c r="A2681" s="0" t="n">
        <v>2670</v>
      </c>
      <c r="B2681" s="15" t="n">
        <v>-0.407296535051183</v>
      </c>
      <c r="C2681" s="18" t="n">
        <f aca="false">'Black-Scholes'!$B$5*EXP(('Black-Scholes'!$B$8-'Black-Scholes'!$B$10-'Black-Scholes'!$B$9^2/2)*'Black-Scholes'!$B$7+'Black-Scholes'!$B$9*SQRT('Black-Scholes'!$B$7)*B2681)</f>
        <v>94.9842301098815</v>
      </c>
      <c r="D2681" s="18" t="n">
        <f aca="false">'Black-Scholes'!$B$5*EXP(('Black-Scholes'!$B$8-'Black-Scholes'!$B$10-'Black-Scholes'!$B$9^2/2)*'Black-Scholes'!$B$7-'Black-Scholes'!$B$9*SQRT('Black-Scholes'!$B$7)*B2681)</f>
        <v>111.790825205088</v>
      </c>
      <c r="E2681" s="18" t="n">
        <f aca="false">EXP(-'Black-Scholes'!$B$8*'Black-Scholes'!$B$7)*IF(LOWER('Black-Scholes'!$B$11)="put",MAX('Black-Scholes'!$B$6-C2681,0),MAX(C2681-'Black-Scholes'!$B$6,0))</f>
        <v>0</v>
      </c>
      <c r="F2681" s="18" t="n">
        <f aca="false">(E2681+G2681)/2</f>
        <v>5.6078899371121</v>
      </c>
      <c r="G2681" s="18" t="n">
        <f aca="false">EXP(-'Black-Scholes'!$B$8*'Black-Scholes'!$B$7)*IF(LOWER('Black-Scholes'!$B$11)="put",MAX('Black-Scholes'!$B$6-D2681,0),MAX(D2681-'Black-Scholes'!$B$6,0))</f>
        <v>11.2157798742242</v>
      </c>
    </row>
    <row r="2682" customFormat="false" ht="15" hidden="false" customHeight="false" outlineLevel="0" collapsed="false">
      <c r="A2682" s="0" t="n">
        <v>2671</v>
      </c>
      <c r="B2682" s="15" t="n">
        <v>-0.564217978919364</v>
      </c>
      <c r="C2682" s="18" t="n">
        <f aca="false">'Black-Scholes'!$B$5*EXP(('Black-Scholes'!$B$8-'Black-Scholes'!$B$10-'Black-Scholes'!$B$9^2/2)*'Black-Scholes'!$B$7+'Black-Scholes'!$B$9*SQRT('Black-Scholes'!$B$7)*B2682)</f>
        <v>92.0495105277398</v>
      </c>
      <c r="D2682" s="18" t="n">
        <f aca="false">'Black-Scholes'!$B$5*EXP(('Black-Scholes'!$B$8-'Black-Scholes'!$B$10-'Black-Scholes'!$B$9^2/2)*'Black-Scholes'!$B$7-'Black-Scholes'!$B$9*SQRT('Black-Scholes'!$B$7)*B2682)</f>
        <v>115.354936757145</v>
      </c>
      <c r="E2682" s="18" t="n">
        <f aca="false">EXP(-'Black-Scholes'!$B$8*'Black-Scholes'!$B$7)*IF(LOWER('Black-Scholes'!$B$11)="put",MAX('Black-Scholes'!$B$6-C2682,0),MAX(C2682-'Black-Scholes'!$B$6,0))</f>
        <v>0</v>
      </c>
      <c r="F2682" s="18" t="n">
        <f aca="false">(E2682+G2682)/2</f>
        <v>7.30303382737207</v>
      </c>
      <c r="G2682" s="18" t="n">
        <f aca="false">EXP(-'Black-Scholes'!$B$8*'Black-Scholes'!$B$7)*IF(LOWER('Black-Scholes'!$B$11)="put",MAX('Black-Scholes'!$B$6-D2682,0),MAX(D2682-'Black-Scholes'!$B$6,0))</f>
        <v>14.6060676547441</v>
      </c>
    </row>
    <row r="2683" customFormat="false" ht="15" hidden="false" customHeight="false" outlineLevel="0" collapsed="false">
      <c r="A2683" s="0" t="n">
        <v>2672</v>
      </c>
      <c r="B2683" s="15" t="n">
        <v>0.186084117792957</v>
      </c>
      <c r="C2683" s="18" t="n">
        <f aca="false">'Black-Scholes'!$B$5*EXP(('Black-Scholes'!$B$8-'Black-Scholes'!$B$10-'Black-Scholes'!$B$9^2/2)*'Black-Scholes'!$B$7+'Black-Scholes'!$B$9*SQRT('Black-Scholes'!$B$7)*B2683)</f>
        <v>106.952735176228</v>
      </c>
      <c r="D2683" s="18" t="n">
        <f aca="false">'Black-Scholes'!$B$5*EXP(('Black-Scholes'!$B$8-'Black-Scholes'!$B$10-'Black-Scholes'!$B$9^2/2)*'Black-Scholes'!$B$7-'Black-Scholes'!$B$9*SQRT('Black-Scholes'!$B$7)*B2683)</f>
        <v>99.2809155180322</v>
      </c>
      <c r="E2683" s="18" t="n">
        <f aca="false">EXP(-'Black-Scholes'!$B$8*'Black-Scholes'!$B$7)*IF(LOWER('Black-Scholes'!$B$11)="put",MAX('Black-Scholes'!$B$6-C2683,0),MAX(C2683-'Black-Scholes'!$B$6,0))</f>
        <v>6.61364628038956</v>
      </c>
      <c r="F2683" s="18" t="n">
        <f aca="false">(E2683+G2683)/2</f>
        <v>3.30682314019478</v>
      </c>
      <c r="G2683" s="18" t="n">
        <f aca="false">EXP(-'Black-Scholes'!$B$8*'Black-Scholes'!$B$7)*IF(LOWER('Black-Scholes'!$B$11)="put",MAX('Black-Scholes'!$B$6-D2683,0),MAX(D2683-'Black-Scholes'!$B$6,0))</f>
        <v>0</v>
      </c>
    </row>
    <row r="2684" customFormat="false" ht="15" hidden="false" customHeight="false" outlineLevel="0" collapsed="false">
      <c r="A2684" s="0" t="n">
        <v>2673</v>
      </c>
      <c r="B2684" s="15" t="n">
        <v>-0.515601060633382</v>
      </c>
      <c r="C2684" s="18" t="n">
        <f aca="false">'Black-Scholes'!$B$5*EXP(('Black-Scholes'!$B$8-'Black-Scholes'!$B$10-'Black-Scholes'!$B$9^2/2)*'Black-Scholes'!$B$7+'Black-Scholes'!$B$9*SQRT('Black-Scholes'!$B$7)*B2684)</f>
        <v>92.9489087449596</v>
      </c>
      <c r="D2684" s="18" t="n">
        <f aca="false">'Black-Scholes'!$B$5*EXP(('Black-Scholes'!$B$8-'Black-Scholes'!$B$10-'Black-Scholes'!$B$9^2/2)*'Black-Scholes'!$B$7-'Black-Scholes'!$B$9*SQRT('Black-Scholes'!$B$7)*B2684)</f>
        <v>114.238731888602</v>
      </c>
      <c r="E2684" s="18" t="n">
        <f aca="false">EXP(-'Black-Scholes'!$B$8*'Black-Scholes'!$B$7)*IF(LOWER('Black-Scholes'!$B$11)="put",MAX('Black-Scholes'!$B$6-C2684,0),MAX(C2684-'Black-Scholes'!$B$6,0))</f>
        <v>0</v>
      </c>
      <c r="F2684" s="18" t="n">
        <f aca="false">(E2684+G2684)/2</f>
        <v>6.77215037000753</v>
      </c>
      <c r="G2684" s="18" t="n">
        <f aca="false">EXP(-'Black-Scholes'!$B$8*'Black-Scholes'!$B$7)*IF(LOWER('Black-Scholes'!$B$11)="put",MAX('Black-Scholes'!$B$6-D2684,0),MAX(D2684-'Black-Scholes'!$B$6,0))</f>
        <v>13.5443007400151</v>
      </c>
    </row>
    <row r="2685" customFormat="false" ht="15" hidden="false" customHeight="false" outlineLevel="0" collapsed="false">
      <c r="A2685" s="0" t="n">
        <v>2674</v>
      </c>
      <c r="B2685" s="15" t="n">
        <v>1.49381904730266</v>
      </c>
      <c r="C2685" s="18" t="n">
        <f aca="false">'Black-Scholes'!$B$5*EXP(('Black-Scholes'!$B$8-'Black-Scholes'!$B$10-'Black-Scholes'!$B$9^2/2)*'Black-Scholes'!$B$7+'Black-Scholes'!$B$9*SQRT('Black-Scholes'!$B$7)*B2685)</f>
        <v>138.924968920069</v>
      </c>
      <c r="D2685" s="18" t="n">
        <f aca="false">'Black-Scholes'!$B$5*EXP(('Black-Scholes'!$B$8-'Black-Scholes'!$B$10-'Black-Scholes'!$B$9^2/2)*'Black-Scholes'!$B$7-'Black-Scholes'!$B$9*SQRT('Black-Scholes'!$B$7)*B2685)</f>
        <v>76.4323760371896</v>
      </c>
      <c r="E2685" s="18" t="n">
        <f aca="false">EXP(-'Black-Scholes'!$B$8*'Black-Scholes'!$B$7)*IF(LOWER('Black-Scholes'!$B$11)="put",MAX('Black-Scholes'!$B$6-C2685,0),MAX(C2685-'Black-Scholes'!$B$6,0))</f>
        <v>37.0265757845454</v>
      </c>
      <c r="F2685" s="18" t="n">
        <f aca="false">(E2685+G2685)/2</f>
        <v>18.5132878922727</v>
      </c>
      <c r="G2685" s="18" t="n">
        <f aca="false">EXP(-'Black-Scholes'!$B$8*'Black-Scholes'!$B$7)*IF(LOWER('Black-Scholes'!$B$11)="put",MAX('Black-Scholes'!$B$6-D2685,0),MAX(D2685-'Black-Scholes'!$B$6,0))</f>
        <v>0</v>
      </c>
    </row>
    <row r="2686" customFormat="false" ht="15" hidden="false" customHeight="false" outlineLevel="0" collapsed="false">
      <c r="A2686" s="0" t="n">
        <v>2675</v>
      </c>
      <c r="B2686" s="15" t="n">
        <v>0.490790642379841</v>
      </c>
      <c r="C2686" s="18" t="n">
        <f aca="false">'Black-Scholes'!$B$5*EXP(('Black-Scholes'!$B$8-'Black-Scholes'!$B$10-'Black-Scholes'!$B$9^2/2)*'Black-Scholes'!$B$7+'Black-Scholes'!$B$9*SQRT('Black-Scholes'!$B$7)*B2686)</f>
        <v>113.673273830152</v>
      </c>
      <c r="D2686" s="18" t="n">
        <f aca="false">'Black-Scholes'!$B$5*EXP(('Black-Scholes'!$B$8-'Black-Scholes'!$B$10-'Black-Scholes'!$B$9^2/2)*'Black-Scholes'!$B$7-'Black-Scholes'!$B$9*SQRT('Black-Scholes'!$B$7)*B2686)</f>
        <v>93.4112752072166</v>
      </c>
      <c r="E2686" s="18" t="n">
        <f aca="false">EXP(-'Black-Scholes'!$B$8*'Black-Scholes'!$B$7)*IF(LOWER('Black-Scholes'!$B$11)="put",MAX('Black-Scholes'!$B$6-C2686,0),MAX(C2686-'Black-Scholes'!$B$6,0))</f>
        <v>13.006420396496</v>
      </c>
      <c r="F2686" s="18" t="n">
        <f aca="false">(E2686+G2686)/2</f>
        <v>6.50321019824799</v>
      </c>
      <c r="G2686" s="18" t="n">
        <f aca="false">EXP(-'Black-Scholes'!$B$8*'Black-Scholes'!$B$7)*IF(LOWER('Black-Scholes'!$B$11)="put",MAX('Black-Scholes'!$B$6-D2686,0),MAX(D2686-'Black-Scholes'!$B$6,0))</f>
        <v>0</v>
      </c>
    </row>
    <row r="2687" customFormat="false" ht="15" hidden="false" customHeight="false" outlineLevel="0" collapsed="false">
      <c r="A2687" s="0" t="n">
        <v>2676</v>
      </c>
      <c r="B2687" s="15" t="n">
        <v>-0.217447377995029</v>
      </c>
      <c r="C2687" s="18" t="n">
        <f aca="false">'Black-Scholes'!$B$5*EXP(('Black-Scholes'!$B$8-'Black-Scholes'!$B$10-'Black-Scholes'!$B$9^2/2)*'Black-Scholes'!$B$7+'Black-Scholes'!$B$9*SQRT('Black-Scholes'!$B$7)*B2687)</f>
        <v>98.6601099648688</v>
      </c>
      <c r="D2687" s="18" t="n">
        <f aca="false">'Black-Scholes'!$B$5*EXP(('Black-Scholes'!$B$8-'Black-Scholes'!$B$10-'Black-Scholes'!$B$9^2/2)*'Black-Scholes'!$B$7-'Black-Scholes'!$B$9*SQRT('Black-Scholes'!$B$7)*B2687)</f>
        <v>107.625720964984</v>
      </c>
      <c r="E2687" s="18" t="n">
        <f aca="false">EXP(-'Black-Scholes'!$B$8*'Black-Scholes'!$B$7)*IF(LOWER('Black-Scholes'!$B$11)="put",MAX('Black-Scholes'!$B$6-C2687,0),MAX(C2687-'Black-Scholes'!$B$6,0))</f>
        <v>0</v>
      </c>
      <c r="F2687" s="18" t="n">
        <f aca="false">(E2687+G2687)/2</f>
        <v>3.62690508246236</v>
      </c>
      <c r="G2687" s="18" t="n">
        <f aca="false">EXP(-'Black-Scholes'!$B$8*'Black-Scholes'!$B$7)*IF(LOWER('Black-Scholes'!$B$11)="put",MAX('Black-Scholes'!$B$6-D2687,0),MAX(D2687-'Black-Scholes'!$B$6,0))</f>
        <v>7.25381016492472</v>
      </c>
    </row>
    <row r="2688" customFormat="false" ht="15" hidden="false" customHeight="false" outlineLevel="0" collapsed="false">
      <c r="A2688" s="0" t="n">
        <v>2677</v>
      </c>
      <c r="B2688" s="15" t="n">
        <v>2.08830446502839</v>
      </c>
      <c r="C2688" s="18" t="n">
        <f aca="false">'Black-Scholes'!$B$5*EXP(('Black-Scholes'!$B$8-'Black-Scholes'!$B$10-'Black-Scholes'!$B$9^2/2)*'Black-Scholes'!$B$7+'Black-Scholes'!$B$9*SQRT('Black-Scholes'!$B$7)*B2688)</f>
        <v>156.464802259302</v>
      </c>
      <c r="D2688" s="18" t="n">
        <f aca="false">'Black-Scholes'!$B$5*EXP(('Black-Scholes'!$B$8-'Black-Scholes'!$B$10-'Black-Scholes'!$B$9^2/2)*'Black-Scholes'!$B$7-'Black-Scholes'!$B$9*SQRT('Black-Scholes'!$B$7)*B2688)</f>
        <v>67.8642436645671</v>
      </c>
      <c r="E2688" s="18" t="n">
        <f aca="false">EXP(-'Black-Scholes'!$B$8*'Black-Scholes'!$B$7)*IF(LOWER('Black-Scholes'!$B$11)="put",MAX('Black-Scholes'!$B$6-C2688,0),MAX(C2688-'Black-Scholes'!$B$6,0))</f>
        <v>53.7109813576626</v>
      </c>
      <c r="F2688" s="18" t="n">
        <f aca="false">(E2688+G2688)/2</f>
        <v>26.8554906788313</v>
      </c>
      <c r="G2688" s="18" t="n">
        <f aca="false">EXP(-'Black-Scholes'!$B$8*'Black-Scholes'!$B$7)*IF(LOWER('Black-Scholes'!$B$11)="put",MAX('Black-Scholes'!$B$6-D2688,0),MAX(D2688-'Black-Scholes'!$B$6,0))</f>
        <v>0</v>
      </c>
    </row>
    <row r="2689" customFormat="false" ht="15" hidden="false" customHeight="false" outlineLevel="0" collapsed="false">
      <c r="A2689" s="0" t="n">
        <v>2678</v>
      </c>
      <c r="B2689" s="15" t="n">
        <v>0.643372039244362</v>
      </c>
      <c r="C2689" s="18" t="n">
        <f aca="false">'Black-Scholes'!$B$5*EXP(('Black-Scholes'!$B$8-'Black-Scholes'!$B$10-'Black-Scholes'!$B$9^2/2)*'Black-Scholes'!$B$7+'Black-Scholes'!$B$9*SQRT('Black-Scholes'!$B$7)*B2689)</f>
        <v>117.195630477998</v>
      </c>
      <c r="D2689" s="18" t="n">
        <f aca="false">'Black-Scholes'!$B$5*EXP(('Black-Scholes'!$B$8-'Black-Scholes'!$B$10-'Black-Scholes'!$B$9^2/2)*'Black-Scholes'!$B$7-'Black-Scholes'!$B$9*SQRT('Black-Scholes'!$B$7)*B2689)</f>
        <v>90.6037658754438</v>
      </c>
      <c r="E2689" s="18" t="n">
        <f aca="false">EXP(-'Black-Scholes'!$B$8*'Black-Scholes'!$B$7)*IF(LOWER('Black-Scholes'!$B$11)="put",MAX('Black-Scholes'!$B$6-C2689,0),MAX(C2689-'Black-Scholes'!$B$6,0))</f>
        <v>16.3569896835134</v>
      </c>
      <c r="F2689" s="18" t="n">
        <f aca="false">(E2689+G2689)/2</f>
        <v>8.17849484175671</v>
      </c>
      <c r="G2689" s="18" t="n">
        <f aca="false">EXP(-'Black-Scholes'!$B$8*'Black-Scholes'!$B$7)*IF(LOWER('Black-Scholes'!$B$11)="put",MAX('Black-Scholes'!$B$6-D2689,0),MAX(D2689-'Black-Scholes'!$B$6,0))</f>
        <v>0</v>
      </c>
    </row>
    <row r="2690" customFormat="false" ht="15" hidden="false" customHeight="false" outlineLevel="0" collapsed="false">
      <c r="A2690" s="0" t="n">
        <v>2679</v>
      </c>
      <c r="B2690" s="15" t="n">
        <v>0.0829521295267402</v>
      </c>
      <c r="C2690" s="18" t="n">
        <f aca="false">'Black-Scholes'!$B$5*EXP(('Black-Scholes'!$B$8-'Black-Scholes'!$B$10-'Black-Scholes'!$B$9^2/2)*'Black-Scholes'!$B$7+'Black-Scholes'!$B$9*SQRT('Black-Scholes'!$B$7)*B2690)</f>
        <v>104.769281335643</v>
      </c>
      <c r="D2690" s="18" t="n">
        <f aca="false">'Black-Scholes'!$B$5*EXP(('Black-Scholes'!$B$8-'Black-Scholes'!$B$10-'Black-Scholes'!$B$9^2/2)*'Black-Scholes'!$B$7-'Black-Scholes'!$B$9*SQRT('Black-Scholes'!$B$7)*B2690)</f>
        <v>101.349988566173</v>
      </c>
      <c r="E2690" s="18" t="n">
        <f aca="false">EXP(-'Black-Scholes'!$B$8*'Black-Scholes'!$B$7)*IF(LOWER('Black-Scholes'!$B$11)="put",MAX('Black-Scholes'!$B$6-C2690,0),MAX(C2690-'Black-Scholes'!$B$6,0))</f>
        <v>4.53668074018538</v>
      </c>
      <c r="F2690" s="18" t="n">
        <f aca="false">(E2690+G2690)/2</f>
        <v>2.91041479353455</v>
      </c>
      <c r="G2690" s="18" t="n">
        <f aca="false">EXP(-'Black-Scholes'!$B$8*'Black-Scholes'!$B$7)*IF(LOWER('Black-Scholes'!$B$11)="put",MAX('Black-Scholes'!$B$6-D2690,0),MAX(D2690-'Black-Scholes'!$B$6,0))</f>
        <v>1.28414884688372</v>
      </c>
    </row>
    <row r="2691" customFormat="false" ht="15" hidden="false" customHeight="false" outlineLevel="0" collapsed="false">
      <c r="A2691" s="0" t="n">
        <v>2680</v>
      </c>
      <c r="B2691" s="15" t="n">
        <v>1.88411831981005</v>
      </c>
      <c r="C2691" s="18" t="n">
        <f aca="false">'Black-Scholes'!$B$5*EXP(('Black-Scholes'!$B$8-'Black-Scholes'!$B$10-'Black-Scholes'!$B$9^2/2)*'Black-Scholes'!$B$7+'Black-Scholes'!$B$9*SQRT('Black-Scholes'!$B$7)*B2691)</f>
        <v>150.203921866335</v>
      </c>
      <c r="D2691" s="18" t="n">
        <f aca="false">'Black-Scholes'!$B$5*EXP(('Black-Scholes'!$B$8-'Black-Scholes'!$B$10-'Black-Scholes'!$B$9^2/2)*'Black-Scholes'!$B$7-'Black-Scholes'!$B$9*SQRT('Black-Scholes'!$B$7)*B2691)</f>
        <v>70.6929974498454</v>
      </c>
      <c r="E2691" s="18" t="n">
        <f aca="false">EXP(-'Black-Scholes'!$B$8*'Black-Scholes'!$B$7)*IF(LOWER('Black-Scholes'!$B$11)="put",MAX('Black-Scholes'!$B$6-C2691,0),MAX(C2691-'Black-Scholes'!$B$6,0))</f>
        <v>47.7554477045926</v>
      </c>
      <c r="F2691" s="18" t="n">
        <f aca="false">(E2691+G2691)/2</f>
        <v>23.8777238522963</v>
      </c>
      <c r="G2691" s="18" t="n">
        <f aca="false">EXP(-'Black-Scholes'!$B$8*'Black-Scholes'!$B$7)*IF(LOWER('Black-Scholes'!$B$11)="put",MAX('Black-Scholes'!$B$6-D2691,0),MAX(D2691-'Black-Scholes'!$B$6,0))</f>
        <v>0</v>
      </c>
    </row>
    <row r="2692" customFormat="false" ht="15" hidden="false" customHeight="false" outlineLevel="0" collapsed="false">
      <c r="A2692" s="0" t="n">
        <v>2681</v>
      </c>
      <c r="B2692" s="15" t="n">
        <v>1.55088721259989</v>
      </c>
      <c r="C2692" s="18" t="n">
        <f aca="false">'Black-Scholes'!$B$5*EXP(('Black-Scholes'!$B$8-'Black-Scholes'!$B$10-'Black-Scholes'!$B$9^2/2)*'Black-Scholes'!$B$7+'Black-Scholes'!$B$9*SQRT('Black-Scholes'!$B$7)*B2692)</f>
        <v>140.519691012379</v>
      </c>
      <c r="D2692" s="18" t="n">
        <f aca="false">'Black-Scholes'!$B$5*EXP(('Black-Scholes'!$B$8-'Black-Scholes'!$B$10-'Black-Scholes'!$B$9^2/2)*'Black-Scholes'!$B$7-'Black-Scholes'!$B$9*SQRT('Black-Scholes'!$B$7)*B2692)</f>
        <v>75.5649645181625</v>
      </c>
      <c r="E2692" s="18" t="n">
        <f aca="false">EXP(-'Black-Scholes'!$B$8*'Black-Scholes'!$B$7)*IF(LOWER('Black-Scholes'!$B$11)="put",MAX('Black-Scholes'!$B$6-C2692,0),MAX(C2692-'Black-Scholes'!$B$6,0))</f>
        <v>38.5435223626523</v>
      </c>
      <c r="F2692" s="18" t="n">
        <f aca="false">(E2692+G2692)/2</f>
        <v>19.2717611813262</v>
      </c>
      <c r="G2692" s="18" t="n">
        <f aca="false">EXP(-'Black-Scholes'!$B$8*'Black-Scholes'!$B$7)*IF(LOWER('Black-Scholes'!$B$11)="put",MAX('Black-Scholes'!$B$6-D2692,0),MAX(D2692-'Black-Scholes'!$B$6,0))</f>
        <v>0</v>
      </c>
    </row>
    <row r="2693" customFormat="false" ht="15" hidden="false" customHeight="false" outlineLevel="0" collapsed="false">
      <c r="A2693" s="0" t="n">
        <v>2682</v>
      </c>
      <c r="B2693" s="15" t="n">
        <v>-1.41832260725802</v>
      </c>
      <c r="C2693" s="18" t="n">
        <f aca="false">'Black-Scholes'!$B$5*EXP(('Black-Scholes'!$B$8-'Black-Scholes'!$B$10-'Black-Scholes'!$B$9^2/2)*'Black-Scholes'!$B$7+'Black-Scholes'!$B$9*SQRT('Black-Scholes'!$B$7)*B2693)</f>
        <v>77.595207366156</v>
      </c>
      <c r="D2693" s="18" t="n">
        <f aca="false">'Black-Scholes'!$B$5*EXP(('Black-Scholes'!$B$8-'Black-Scholes'!$B$10-'Black-Scholes'!$B$9^2/2)*'Black-Scholes'!$B$7-'Black-Scholes'!$B$9*SQRT('Black-Scholes'!$B$7)*B2693)</f>
        <v>136.843058042847</v>
      </c>
      <c r="E2693" s="18" t="n">
        <f aca="false">EXP(-'Black-Scholes'!$B$8*'Black-Scholes'!$B$7)*IF(LOWER('Black-Scholes'!$B$11)="put",MAX('Black-Scholes'!$B$6-C2693,0),MAX(C2693-'Black-Scholes'!$B$6,0))</f>
        <v>0</v>
      </c>
      <c r="F2693" s="18" t="n">
        <f aca="false">(E2693+G2693)/2</f>
        <v>17.5231004494717</v>
      </c>
      <c r="G2693" s="18" t="n">
        <f aca="false">EXP(-'Black-Scholes'!$B$8*'Black-Scholes'!$B$7)*IF(LOWER('Black-Scholes'!$B$11)="put",MAX('Black-Scholes'!$B$6-D2693,0),MAX(D2693-'Black-Scholes'!$B$6,0))</f>
        <v>35.0462008989433</v>
      </c>
    </row>
    <row r="2694" customFormat="false" ht="15" hidden="false" customHeight="false" outlineLevel="0" collapsed="false">
      <c r="A2694" s="0" t="n">
        <v>2683</v>
      </c>
      <c r="B2694" s="15" t="n">
        <v>0.73330455550129</v>
      </c>
      <c r="C2694" s="18" t="n">
        <f aca="false">'Black-Scholes'!$B$5*EXP(('Black-Scholes'!$B$8-'Black-Scholes'!$B$10-'Black-Scholes'!$B$9^2/2)*'Black-Scholes'!$B$7+'Black-Scholes'!$B$9*SQRT('Black-Scholes'!$B$7)*B2694)</f>
        <v>119.322641468793</v>
      </c>
      <c r="D2694" s="18" t="n">
        <f aca="false">'Black-Scholes'!$B$5*EXP(('Black-Scholes'!$B$8-'Black-Scholes'!$B$10-'Black-Scholes'!$B$9^2/2)*'Black-Scholes'!$B$7-'Black-Scholes'!$B$9*SQRT('Black-Scholes'!$B$7)*B2694)</f>
        <v>88.9886892776392</v>
      </c>
      <c r="E2694" s="18" t="n">
        <f aca="false">EXP(-'Black-Scholes'!$B$8*'Black-Scholes'!$B$7)*IF(LOWER('Black-Scholes'!$B$11)="put",MAX('Black-Scholes'!$B$6-C2694,0),MAX(C2694-'Black-Scholes'!$B$6,0))</f>
        <v>18.3802651241939</v>
      </c>
      <c r="F2694" s="18" t="n">
        <f aca="false">(E2694+G2694)/2</f>
        <v>9.19013256209697</v>
      </c>
      <c r="G2694" s="18" t="n">
        <f aca="false">EXP(-'Black-Scholes'!$B$8*'Black-Scholes'!$B$7)*IF(LOWER('Black-Scholes'!$B$11)="put",MAX('Black-Scholes'!$B$6-D2694,0),MAX(D2694-'Black-Scholes'!$B$6,0))</f>
        <v>0</v>
      </c>
    </row>
    <row r="2695" customFormat="false" ht="15" hidden="false" customHeight="false" outlineLevel="0" collapsed="false">
      <c r="A2695" s="0" t="n">
        <v>2684</v>
      </c>
      <c r="B2695" s="15" t="n">
        <v>1.69969164420475</v>
      </c>
      <c r="C2695" s="18" t="n">
        <f aca="false">'Black-Scholes'!$B$5*EXP(('Black-Scholes'!$B$8-'Black-Scholes'!$B$10-'Black-Scholes'!$B$9^2/2)*'Black-Scholes'!$B$7+'Black-Scholes'!$B$9*SQRT('Black-Scholes'!$B$7)*B2695)</f>
        <v>144.764533394469</v>
      </c>
      <c r="D2695" s="18" t="n">
        <f aca="false">'Black-Scholes'!$B$5*EXP(('Black-Scholes'!$B$8-'Black-Scholes'!$B$10-'Black-Scholes'!$B$9^2/2)*'Black-Scholes'!$B$7-'Black-Scholes'!$B$9*SQRT('Black-Scholes'!$B$7)*B2695)</f>
        <v>73.349219014298</v>
      </c>
      <c r="E2695" s="18" t="n">
        <f aca="false">EXP(-'Black-Scholes'!$B$8*'Black-Scholes'!$B$7)*IF(LOWER('Black-Scholes'!$B$11)="put",MAX('Black-Scholes'!$B$6-C2695,0),MAX(C2695-'Black-Scholes'!$B$6,0))</f>
        <v>42.5813413388641</v>
      </c>
      <c r="F2695" s="18" t="n">
        <f aca="false">(E2695+G2695)/2</f>
        <v>21.290670669432</v>
      </c>
      <c r="G2695" s="18" t="n">
        <f aca="false">EXP(-'Black-Scholes'!$B$8*'Black-Scholes'!$B$7)*IF(LOWER('Black-Scholes'!$B$11)="put",MAX('Black-Scholes'!$B$6-D2695,0),MAX(D2695-'Black-Scholes'!$B$6,0))</f>
        <v>0</v>
      </c>
    </row>
    <row r="2696" customFormat="false" ht="15" hidden="false" customHeight="false" outlineLevel="0" collapsed="false">
      <c r="A2696" s="0" t="n">
        <v>2685</v>
      </c>
      <c r="B2696" s="15" t="n">
        <v>0.0624182236421269</v>
      </c>
      <c r="C2696" s="18" t="n">
        <f aca="false">'Black-Scholes'!$B$5*EXP(('Black-Scholes'!$B$8-'Black-Scholes'!$B$10-'Black-Scholes'!$B$9^2/2)*'Black-Scholes'!$B$7+'Black-Scholes'!$B$9*SQRT('Black-Scholes'!$B$7)*B2696)</f>
        <v>104.339899116026</v>
      </c>
      <c r="D2696" s="18" t="n">
        <f aca="false">'Black-Scholes'!$B$5*EXP(('Black-Scholes'!$B$8-'Black-Scholes'!$B$10-'Black-Scholes'!$B$9^2/2)*'Black-Scholes'!$B$7-'Black-Scholes'!$B$9*SQRT('Black-Scholes'!$B$7)*B2696)</f>
        <v>101.767066629477</v>
      </c>
      <c r="E2696" s="18" t="n">
        <f aca="false">EXP(-'Black-Scholes'!$B$8*'Black-Scholes'!$B$7)*IF(LOWER('Black-Scholes'!$B$11)="put",MAX('Black-Scholes'!$B$6-C2696,0),MAX(C2696-'Black-Scholes'!$B$6,0))</f>
        <v>4.12823973852898</v>
      </c>
      <c r="F2696" s="18" t="n">
        <f aca="false">(E2696+G2696)/2</f>
        <v>2.90456275577052</v>
      </c>
      <c r="G2696" s="18" t="n">
        <f aca="false">EXP(-'Black-Scholes'!$B$8*'Black-Scholes'!$B$7)*IF(LOWER('Black-Scholes'!$B$11)="put",MAX('Black-Scholes'!$B$6-D2696,0),MAX(D2696-'Black-Scholes'!$B$6,0))</f>
        <v>1.68088577301207</v>
      </c>
    </row>
    <row r="2697" customFormat="false" ht="15" hidden="false" customHeight="false" outlineLevel="0" collapsed="false">
      <c r="A2697" s="0" t="n">
        <v>2686</v>
      </c>
      <c r="B2697" s="15" t="n">
        <v>1.15482631822427</v>
      </c>
      <c r="C2697" s="18" t="n">
        <f aca="false">'Black-Scholes'!$B$5*EXP(('Black-Scholes'!$B$8-'Black-Scholes'!$B$10-'Black-Scholes'!$B$9^2/2)*'Black-Scholes'!$B$7+'Black-Scholes'!$B$9*SQRT('Black-Scholes'!$B$7)*B2697)</f>
        <v>129.818257051966</v>
      </c>
      <c r="D2697" s="18" t="n">
        <f aca="false">'Black-Scholes'!$B$5*EXP(('Black-Scholes'!$B$8-'Black-Scholes'!$B$10-'Black-Scholes'!$B$9^2/2)*'Black-Scholes'!$B$7-'Black-Scholes'!$B$9*SQRT('Black-Scholes'!$B$7)*B2697)</f>
        <v>81.7940843344019</v>
      </c>
      <c r="E2697" s="18" t="n">
        <f aca="false">EXP(-'Black-Scholes'!$B$8*'Black-Scholes'!$B$7)*IF(LOWER('Black-Scholes'!$B$11)="put",MAX('Black-Scholes'!$B$6-C2697,0),MAX(C2697-'Black-Scholes'!$B$6,0))</f>
        <v>28.3640034951563</v>
      </c>
      <c r="F2697" s="18" t="n">
        <f aca="false">(E2697+G2697)/2</f>
        <v>14.1820017475781</v>
      </c>
      <c r="G2697" s="18" t="n">
        <f aca="false">EXP(-'Black-Scholes'!$B$8*'Black-Scholes'!$B$7)*IF(LOWER('Black-Scholes'!$B$11)="put",MAX('Black-Scholes'!$B$6-D2697,0),MAX(D2697-'Black-Scholes'!$B$6,0))</f>
        <v>0</v>
      </c>
    </row>
    <row r="2698" customFormat="false" ht="15" hidden="false" customHeight="false" outlineLevel="0" collapsed="false">
      <c r="A2698" s="0" t="n">
        <v>2687</v>
      </c>
      <c r="B2698" s="15" t="n">
        <v>-0.826522925238026</v>
      </c>
      <c r="C2698" s="18" t="n">
        <f aca="false">'Black-Scholes'!$B$5*EXP(('Black-Scholes'!$B$8-'Black-Scholes'!$B$10-'Black-Scholes'!$B$9^2/2)*'Black-Scholes'!$B$7+'Black-Scholes'!$B$9*SQRT('Black-Scholes'!$B$7)*B2698)</f>
        <v>87.3449831409574</v>
      </c>
      <c r="D2698" s="18" t="n">
        <f aca="false">'Black-Scholes'!$B$5*EXP(('Black-Scholes'!$B$8-'Black-Scholes'!$B$10-'Black-Scholes'!$B$9^2/2)*'Black-Scholes'!$B$7-'Black-Scholes'!$B$9*SQRT('Black-Scholes'!$B$7)*B2698)</f>
        <v>121.568120842358</v>
      </c>
      <c r="E2698" s="18" t="n">
        <f aca="false">EXP(-'Black-Scholes'!$B$8*'Black-Scholes'!$B$7)*IF(LOWER('Black-Scholes'!$B$11)="put",MAX('Black-Scholes'!$B$6-C2698,0),MAX(C2698-'Black-Scholes'!$B$6,0))</f>
        <v>0</v>
      </c>
      <c r="F2698" s="18" t="n">
        <f aca="false">(E2698+G2698)/2</f>
        <v>10.2581155882188</v>
      </c>
      <c r="G2698" s="18" t="n">
        <f aca="false">EXP(-'Black-Scholes'!$B$8*'Black-Scholes'!$B$7)*IF(LOWER('Black-Scholes'!$B$11)="put",MAX('Black-Scholes'!$B$6-D2698,0),MAX(D2698-'Black-Scholes'!$B$6,0))</f>
        <v>20.5162311764377</v>
      </c>
    </row>
    <row r="2699" customFormat="false" ht="15" hidden="false" customHeight="false" outlineLevel="0" collapsed="false">
      <c r="A2699" s="0" t="n">
        <v>2688</v>
      </c>
      <c r="B2699" s="15" t="n">
        <v>-0.614208809757321</v>
      </c>
      <c r="C2699" s="18" t="n">
        <f aca="false">'Black-Scholes'!$B$5*EXP(('Black-Scholes'!$B$8-'Black-Scholes'!$B$10-'Black-Scholes'!$B$9^2/2)*'Black-Scholes'!$B$7+'Black-Scholes'!$B$9*SQRT('Black-Scholes'!$B$7)*B2699)</f>
        <v>91.1337697185882</v>
      </c>
      <c r="D2699" s="18" t="n">
        <f aca="false">'Black-Scholes'!$B$5*EXP(('Black-Scholes'!$B$8-'Black-Scholes'!$B$10-'Black-Scholes'!$B$9^2/2)*'Black-Scholes'!$B$7-'Black-Scholes'!$B$9*SQRT('Black-Scholes'!$B$7)*B2699)</f>
        <v>116.514059478084</v>
      </c>
      <c r="E2699" s="18" t="n">
        <f aca="false">EXP(-'Black-Scholes'!$B$8*'Black-Scholes'!$B$7)*IF(LOWER('Black-Scholes'!$B$11)="put",MAX('Black-Scholes'!$B$6-C2699,0),MAX(C2699-'Black-Scholes'!$B$6,0))</f>
        <v>0</v>
      </c>
      <c r="F2699" s="18" t="n">
        <f aca="false">(E2699+G2699)/2</f>
        <v>7.85432964675419</v>
      </c>
      <c r="G2699" s="18" t="n">
        <f aca="false">EXP(-'Black-Scholes'!$B$8*'Black-Scholes'!$B$7)*IF(LOWER('Black-Scholes'!$B$11)="put",MAX('Black-Scholes'!$B$6-D2699,0),MAX(D2699-'Black-Scholes'!$B$6,0))</f>
        <v>15.7086592935084</v>
      </c>
    </row>
    <row r="2700" customFormat="false" ht="15" hidden="false" customHeight="false" outlineLevel="0" collapsed="false">
      <c r="A2700" s="0" t="n">
        <v>2689</v>
      </c>
      <c r="B2700" s="15" t="n">
        <v>-0.92072222861883</v>
      </c>
      <c r="C2700" s="18" t="n">
        <f aca="false">'Black-Scholes'!$B$5*EXP(('Black-Scholes'!$B$8-'Black-Scholes'!$B$10-'Black-Scholes'!$B$9^2/2)*'Black-Scholes'!$B$7+'Black-Scholes'!$B$9*SQRT('Black-Scholes'!$B$7)*B2700)</f>
        <v>85.7148200676792</v>
      </c>
      <c r="D2700" s="18" t="n">
        <f aca="false">'Black-Scholes'!$B$5*EXP(('Black-Scholes'!$B$8-'Black-Scholes'!$B$10-'Black-Scholes'!$B$9^2/2)*'Black-Scholes'!$B$7-'Black-Scholes'!$B$9*SQRT('Black-Scholes'!$B$7)*B2700)</f>
        <v>123.880158146158</v>
      </c>
      <c r="E2700" s="18" t="n">
        <f aca="false">EXP(-'Black-Scholes'!$B$8*'Black-Scholes'!$B$7)*IF(LOWER('Black-Scholes'!$B$11)="put",MAX('Black-Scholes'!$B$6-C2700,0),MAX(C2700-'Black-Scholes'!$B$6,0))</f>
        <v>0</v>
      </c>
      <c r="F2700" s="18" t="n">
        <f aca="false">(E2700+G2700)/2</f>
        <v>11.357754545178</v>
      </c>
      <c r="G2700" s="18" t="n">
        <f aca="false">EXP(-'Black-Scholes'!$B$8*'Black-Scholes'!$B$7)*IF(LOWER('Black-Scholes'!$B$11)="put",MAX('Black-Scholes'!$B$6-D2700,0),MAX(D2700-'Black-Scholes'!$B$6,0))</f>
        <v>22.7155090903561</v>
      </c>
    </row>
    <row r="2701" customFormat="false" ht="15" hidden="false" customHeight="false" outlineLevel="0" collapsed="false">
      <c r="A2701" s="0" t="n">
        <v>2690</v>
      </c>
      <c r="B2701" s="15" t="n">
        <v>-1.1154275763814</v>
      </c>
      <c r="C2701" s="18" t="n">
        <f aca="false">'Black-Scholes'!$B$5*EXP(('Black-Scholes'!$B$8-'Black-Scholes'!$B$10-'Black-Scholes'!$B$9^2/2)*'Black-Scholes'!$B$7+'Black-Scholes'!$B$9*SQRT('Black-Scholes'!$B$7)*B2701)</f>
        <v>82.4411471349877</v>
      </c>
      <c r="D2701" s="18" t="n">
        <f aca="false">'Black-Scholes'!$B$5*EXP(('Black-Scholes'!$B$8-'Black-Scholes'!$B$10-'Black-Scholes'!$B$9^2/2)*'Black-Scholes'!$B$7-'Black-Scholes'!$B$9*SQRT('Black-Scholes'!$B$7)*B2701)</f>
        <v>128.799341523806</v>
      </c>
      <c r="E2701" s="18" t="n">
        <f aca="false">EXP(-'Black-Scholes'!$B$8*'Black-Scholes'!$B$7)*IF(LOWER('Black-Scholes'!$B$11)="put",MAX('Black-Scholes'!$B$6-C2701,0),MAX(C2701-'Black-Scholes'!$B$6,0))</f>
        <v>0</v>
      </c>
      <c r="F2701" s="18" t="n">
        <f aca="false">(E2701+G2701)/2</f>
        <v>13.6973905318446</v>
      </c>
      <c r="G2701" s="18" t="n">
        <f aca="false">EXP(-'Black-Scholes'!$B$8*'Black-Scholes'!$B$7)*IF(LOWER('Black-Scholes'!$B$11)="put",MAX('Black-Scholes'!$B$6-D2701,0),MAX(D2701-'Black-Scholes'!$B$6,0))</f>
        <v>27.3947810636891</v>
      </c>
    </row>
    <row r="2702" customFormat="false" ht="15" hidden="false" customHeight="false" outlineLevel="0" collapsed="false">
      <c r="A2702" s="0" t="n">
        <v>2691</v>
      </c>
      <c r="B2702" s="15" t="n">
        <v>0.342671334794799</v>
      </c>
      <c r="C2702" s="18" t="n">
        <f aca="false">'Black-Scholes'!$B$5*EXP(('Black-Scholes'!$B$8-'Black-Scholes'!$B$10-'Black-Scholes'!$B$9^2/2)*'Black-Scholes'!$B$7+'Black-Scholes'!$B$9*SQRT('Black-Scholes'!$B$7)*B2702)</f>
        <v>110.355221912509</v>
      </c>
      <c r="D2702" s="18" t="n">
        <f aca="false">'Black-Scholes'!$B$5*EXP(('Black-Scholes'!$B$8-'Black-Scholes'!$B$10-'Black-Scholes'!$B$9^2/2)*'Black-Scholes'!$B$7-'Black-Scholes'!$B$9*SQRT('Black-Scholes'!$B$7)*B2702)</f>
        <v>96.2198732550413</v>
      </c>
      <c r="E2702" s="18" t="n">
        <f aca="false">EXP(-'Black-Scholes'!$B$8*'Black-Scholes'!$B$7)*IF(LOWER('Black-Scholes'!$B$11)="put",MAX('Black-Scholes'!$B$6-C2702,0),MAX(C2702-'Black-Scholes'!$B$6,0))</f>
        <v>9.85019178041334</v>
      </c>
      <c r="F2702" s="18" t="n">
        <f aca="false">(E2702+G2702)/2</f>
        <v>4.92509589020667</v>
      </c>
      <c r="G2702" s="18" t="n">
        <f aca="false">EXP(-'Black-Scholes'!$B$8*'Black-Scholes'!$B$7)*IF(LOWER('Black-Scholes'!$B$11)="put",MAX('Black-Scholes'!$B$6-D2702,0),MAX(D2702-'Black-Scholes'!$B$6,0))</f>
        <v>0</v>
      </c>
    </row>
    <row r="2703" customFormat="false" ht="15" hidden="false" customHeight="false" outlineLevel="0" collapsed="false">
      <c r="A2703" s="0" t="n">
        <v>2692</v>
      </c>
      <c r="B2703" s="15" t="n">
        <v>0.838778477576132</v>
      </c>
      <c r="C2703" s="18" t="n">
        <f aca="false">'Black-Scholes'!$B$5*EXP(('Black-Scholes'!$B$8-'Black-Scholes'!$B$10-'Black-Scholes'!$B$9^2/2)*'Black-Scholes'!$B$7+'Black-Scholes'!$B$9*SQRT('Black-Scholes'!$B$7)*B2703)</f>
        <v>121.866463221579</v>
      </c>
      <c r="D2703" s="18" t="n">
        <f aca="false">'Black-Scholes'!$B$5*EXP(('Black-Scholes'!$B$8-'Black-Scholes'!$B$10-'Black-Scholes'!$B$9^2/2)*'Black-Scholes'!$B$7-'Black-Scholes'!$B$9*SQRT('Black-Scholes'!$B$7)*B2703)</f>
        <v>87.1311531060613</v>
      </c>
      <c r="E2703" s="18" t="n">
        <f aca="false">EXP(-'Black-Scholes'!$B$8*'Black-Scholes'!$B$7)*IF(LOWER('Black-Scholes'!$B$11)="put",MAX('Black-Scholes'!$B$6-C2703,0),MAX(C2703-'Black-Scholes'!$B$6,0))</f>
        <v>20.8000232261287</v>
      </c>
      <c r="F2703" s="18" t="n">
        <f aca="false">(E2703+G2703)/2</f>
        <v>10.4000116130643</v>
      </c>
      <c r="G2703" s="18" t="n">
        <f aca="false">EXP(-'Black-Scholes'!$B$8*'Black-Scholes'!$B$7)*IF(LOWER('Black-Scholes'!$B$11)="put",MAX('Black-Scholes'!$B$6-D2703,0),MAX(D2703-'Black-Scholes'!$B$6,0))</f>
        <v>0</v>
      </c>
    </row>
    <row r="2704" customFormat="false" ht="15" hidden="false" customHeight="false" outlineLevel="0" collapsed="false">
      <c r="A2704" s="0" t="n">
        <v>2693</v>
      </c>
      <c r="B2704" s="15" t="n">
        <v>0.41236847979831</v>
      </c>
      <c r="C2704" s="18" t="n">
        <f aca="false">'Black-Scholes'!$B$5*EXP(('Black-Scholes'!$B$8-'Black-Scholes'!$B$10-'Black-Scholes'!$B$9^2/2)*'Black-Scholes'!$B$7+'Black-Scholes'!$B$9*SQRT('Black-Scholes'!$B$7)*B2704)</f>
        <v>111.904282117813</v>
      </c>
      <c r="D2704" s="18" t="n">
        <f aca="false">'Black-Scholes'!$B$5*EXP(('Black-Scholes'!$B$8-'Black-Scholes'!$B$10-'Black-Scholes'!$B$9^2/2)*'Black-Scholes'!$B$7-'Black-Scholes'!$B$9*SQRT('Black-Scholes'!$B$7)*B2704)</f>
        <v>94.8879280086398</v>
      </c>
      <c r="E2704" s="18" t="n">
        <f aca="false">EXP(-'Black-Scholes'!$B$8*'Black-Scholes'!$B$7)*IF(LOWER('Black-Scholes'!$B$11)="put",MAX('Black-Scholes'!$B$6-C2704,0),MAX(C2704-'Black-Scholes'!$B$6,0))</f>
        <v>11.3237034280218</v>
      </c>
      <c r="F2704" s="18" t="n">
        <f aca="false">(E2704+G2704)/2</f>
        <v>5.66185171401092</v>
      </c>
      <c r="G2704" s="18" t="n">
        <f aca="false">EXP(-'Black-Scholes'!$B$8*'Black-Scholes'!$B$7)*IF(LOWER('Black-Scholes'!$B$11)="put",MAX('Black-Scholes'!$B$6-D2704,0),MAX(D2704-'Black-Scholes'!$B$6,0))</f>
        <v>0</v>
      </c>
    </row>
    <row r="2705" customFormat="false" ht="15" hidden="false" customHeight="false" outlineLevel="0" collapsed="false">
      <c r="A2705" s="0" t="n">
        <v>2694</v>
      </c>
      <c r="B2705" s="15" t="n">
        <v>-0.700997623357486</v>
      </c>
      <c r="C2705" s="18" t="n">
        <f aca="false">'Black-Scholes'!$B$5*EXP(('Black-Scholes'!$B$8-'Black-Scholes'!$B$10-'Black-Scholes'!$B$9^2/2)*'Black-Scholes'!$B$7+'Black-Scholes'!$B$9*SQRT('Black-Scholes'!$B$7)*B2705)</f>
        <v>89.5655412115402</v>
      </c>
      <c r="D2705" s="18" t="n">
        <f aca="false">'Black-Scholes'!$B$5*EXP(('Black-Scholes'!$B$8-'Black-Scholes'!$B$10-'Black-Scholes'!$B$9^2/2)*'Black-Scholes'!$B$7-'Black-Scholes'!$B$9*SQRT('Black-Scholes'!$B$7)*B2705)</f>
        <v>118.554137247657</v>
      </c>
      <c r="E2705" s="18" t="n">
        <f aca="false">EXP(-'Black-Scholes'!$B$8*'Black-Scholes'!$B$7)*IF(LOWER('Black-Scholes'!$B$11)="put",MAX('Black-Scholes'!$B$6-C2705,0),MAX(C2705-'Black-Scholes'!$B$6,0))</f>
        <v>0</v>
      </c>
      <c r="F2705" s="18" t="n">
        <f aca="false">(E2705+G2705)/2</f>
        <v>8.8246206480979</v>
      </c>
      <c r="G2705" s="18" t="n">
        <f aca="false">EXP(-'Black-Scholes'!$B$8*'Black-Scholes'!$B$7)*IF(LOWER('Black-Scholes'!$B$11)="put",MAX('Black-Scholes'!$B$6-D2705,0),MAX(D2705-'Black-Scholes'!$B$6,0))</f>
        <v>17.6492412961958</v>
      </c>
    </row>
    <row r="2706" customFormat="false" ht="15" hidden="false" customHeight="false" outlineLevel="0" collapsed="false">
      <c r="A2706" s="0" t="n">
        <v>2695</v>
      </c>
      <c r="B2706" s="15" t="n">
        <v>-1.63029485851843</v>
      </c>
      <c r="C2706" s="18" t="n">
        <f aca="false">'Black-Scholes'!$B$5*EXP(('Black-Scholes'!$B$8-'Black-Scholes'!$B$10-'Black-Scholes'!$B$9^2/2)*'Black-Scholes'!$B$7+'Black-Scholes'!$B$9*SQRT('Black-Scholes'!$B$7)*B2706)</f>
        <v>74.3743566901665</v>
      </c>
      <c r="D2706" s="18" t="n">
        <f aca="false">'Black-Scholes'!$B$5*EXP(('Black-Scholes'!$B$8-'Black-Scholes'!$B$10-'Black-Scholes'!$B$9^2/2)*'Black-Scholes'!$B$7-'Black-Scholes'!$B$9*SQRT('Black-Scholes'!$B$7)*B2706)</f>
        <v>142.769173919558</v>
      </c>
      <c r="E2706" s="18" t="n">
        <f aca="false">EXP(-'Black-Scholes'!$B$8*'Black-Scholes'!$B$7)*IF(LOWER('Black-Scholes'!$B$11)="put",MAX('Black-Scholes'!$B$6-C2706,0),MAX(C2706-'Black-Scholes'!$B$6,0))</f>
        <v>0</v>
      </c>
      <c r="F2706" s="18" t="n">
        <f aca="false">(E2706+G2706)/2</f>
        <v>20.3416483469359</v>
      </c>
      <c r="G2706" s="18" t="n">
        <f aca="false">EXP(-'Black-Scholes'!$B$8*'Black-Scholes'!$B$7)*IF(LOWER('Black-Scholes'!$B$11)="put",MAX('Black-Scholes'!$B$6-D2706,0),MAX(D2706-'Black-Scholes'!$B$6,0))</f>
        <v>40.6832966938718</v>
      </c>
    </row>
    <row r="2707" customFormat="false" ht="15" hidden="false" customHeight="false" outlineLevel="0" collapsed="false">
      <c r="A2707" s="0" t="n">
        <v>2696</v>
      </c>
      <c r="B2707" s="15" t="n">
        <v>0.189252046026401</v>
      </c>
      <c r="C2707" s="18" t="n">
        <f aca="false">'Black-Scholes'!$B$5*EXP(('Black-Scholes'!$B$8-'Black-Scholes'!$B$10-'Black-Scholes'!$B$9^2/2)*'Black-Scholes'!$B$7+'Black-Scholes'!$B$9*SQRT('Black-Scholes'!$B$7)*B2707)</f>
        <v>107.020520365704</v>
      </c>
      <c r="D2707" s="18" t="n">
        <f aca="false">'Black-Scholes'!$B$5*EXP(('Black-Scholes'!$B$8-'Black-Scholes'!$B$10-'Black-Scholes'!$B$9^2/2)*'Black-Scholes'!$B$7-'Black-Scholes'!$B$9*SQRT('Black-Scholes'!$B$7)*B2707)</f>
        <v>99.2180324779693</v>
      </c>
      <c r="E2707" s="18" t="n">
        <f aca="false">EXP(-'Black-Scholes'!$B$8*'Black-Scholes'!$B$7)*IF(LOWER('Black-Scholes'!$B$11)="put",MAX('Black-Scholes'!$B$6-C2707,0),MAX(C2707-'Black-Scholes'!$B$6,0))</f>
        <v>6.67812554716424</v>
      </c>
      <c r="F2707" s="18" t="n">
        <f aca="false">(E2707+G2707)/2</f>
        <v>3.33906277358212</v>
      </c>
      <c r="G2707" s="18" t="n">
        <f aca="false">EXP(-'Black-Scholes'!$B$8*'Black-Scholes'!$B$7)*IF(LOWER('Black-Scholes'!$B$11)="put",MAX('Black-Scholes'!$B$6-D2707,0),MAX(D2707-'Black-Scholes'!$B$6,0))</f>
        <v>0</v>
      </c>
    </row>
    <row r="2708" customFormat="false" ht="15" hidden="false" customHeight="false" outlineLevel="0" collapsed="false">
      <c r="A2708" s="0" t="n">
        <v>2697</v>
      </c>
      <c r="B2708" s="15" t="n">
        <v>-2.22340612064821</v>
      </c>
      <c r="C2708" s="18" t="n">
        <f aca="false">'Black-Scholes'!$B$5*EXP(('Black-Scholes'!$B$8-'Black-Scholes'!$B$10-'Black-Scholes'!$B$9^2/2)*'Black-Scholes'!$B$7+'Black-Scholes'!$B$9*SQRT('Black-Scholes'!$B$7)*B2708)</f>
        <v>66.055081480751</v>
      </c>
      <c r="D2708" s="18" t="n">
        <f aca="false">'Black-Scholes'!$B$5*EXP(('Black-Scholes'!$B$8-'Black-Scholes'!$B$10-'Black-Scholes'!$B$9^2/2)*'Black-Scholes'!$B$7-'Black-Scholes'!$B$9*SQRT('Black-Scholes'!$B$7)*B2708)</f>
        <v>160.750168305339</v>
      </c>
      <c r="E2708" s="18" t="n">
        <f aca="false">EXP(-'Black-Scholes'!$B$8*'Black-Scholes'!$B$7)*IF(LOWER('Black-Scholes'!$B$11)="put",MAX('Black-Scholes'!$B$6-C2708,0),MAX(C2708-'Black-Scholes'!$B$6,0))</f>
        <v>0</v>
      </c>
      <c r="F2708" s="18" t="n">
        <f aca="false">(E2708+G2708)/2</f>
        <v>28.8936738177045</v>
      </c>
      <c r="G2708" s="18" t="n">
        <f aca="false">EXP(-'Black-Scholes'!$B$8*'Black-Scholes'!$B$7)*IF(LOWER('Black-Scholes'!$B$11)="put",MAX('Black-Scholes'!$B$6-D2708,0),MAX(D2708-'Black-Scholes'!$B$6,0))</f>
        <v>57.787347635409</v>
      </c>
    </row>
    <row r="2709" customFormat="false" ht="15" hidden="false" customHeight="false" outlineLevel="0" collapsed="false">
      <c r="A2709" s="0" t="n">
        <v>2698</v>
      </c>
      <c r="B2709" s="15" t="n">
        <v>-1.80499474009763</v>
      </c>
      <c r="C2709" s="18" t="n">
        <f aca="false">'Black-Scholes'!$B$5*EXP(('Black-Scholes'!$B$8-'Black-Scholes'!$B$10-'Black-Scholes'!$B$9^2/2)*'Black-Scholes'!$B$7+'Black-Scholes'!$B$9*SQRT('Black-Scholes'!$B$7)*B2709)</f>
        <v>71.8205924578782</v>
      </c>
      <c r="D2709" s="18" t="n">
        <f aca="false">'Black-Scholes'!$B$5*EXP(('Black-Scholes'!$B$8-'Black-Scholes'!$B$10-'Black-Scholes'!$B$9^2/2)*'Black-Scholes'!$B$7-'Black-Scholes'!$B$9*SQRT('Black-Scholes'!$B$7)*B2709)</f>
        <v>147.845695810448</v>
      </c>
      <c r="E2709" s="18" t="n">
        <f aca="false">EXP(-'Black-Scholes'!$B$8*'Black-Scholes'!$B$7)*IF(LOWER('Black-Scholes'!$B$11)="put",MAX('Black-Scholes'!$B$6-C2709,0),MAX(C2709-'Black-Scholes'!$B$6,0))</f>
        <v>0</v>
      </c>
      <c r="F2709" s="18" t="n">
        <f aca="false">(E2709+G2709)/2</f>
        <v>22.7561168453042</v>
      </c>
      <c r="G2709" s="18" t="n">
        <f aca="false">EXP(-'Black-Scholes'!$B$8*'Black-Scholes'!$B$7)*IF(LOWER('Black-Scholes'!$B$11)="put",MAX('Black-Scholes'!$B$6-D2709,0),MAX(D2709-'Black-Scholes'!$B$6,0))</f>
        <v>45.5122336906084</v>
      </c>
    </row>
    <row r="2710" customFormat="false" ht="15" hidden="false" customHeight="false" outlineLevel="0" collapsed="false">
      <c r="A2710" s="0" t="n">
        <v>2699</v>
      </c>
      <c r="B2710" s="15" t="n">
        <v>-0.530785639426741</v>
      </c>
      <c r="C2710" s="18" t="n">
        <f aca="false">'Black-Scholes'!$B$5*EXP(('Black-Scholes'!$B$8-'Black-Scholes'!$B$10-'Black-Scholes'!$B$9^2/2)*'Black-Scholes'!$B$7+'Black-Scholes'!$B$9*SQRT('Black-Scholes'!$B$7)*B2710)</f>
        <v>92.6670589329303</v>
      </c>
      <c r="D2710" s="18" t="n">
        <f aca="false">'Black-Scholes'!$B$5*EXP(('Black-Scholes'!$B$8-'Black-Scholes'!$B$10-'Black-Scholes'!$B$9^2/2)*'Black-Scholes'!$B$7-'Black-Scholes'!$B$9*SQRT('Black-Scholes'!$B$7)*B2710)</f>
        <v>114.586192631179</v>
      </c>
      <c r="E2710" s="18" t="n">
        <f aca="false">EXP(-'Black-Scholes'!$B$8*'Black-Scholes'!$B$7)*IF(LOWER('Black-Scholes'!$B$11)="put",MAX('Black-Scholes'!$B$6-C2710,0),MAX(C2710-'Black-Scholes'!$B$6,0))</f>
        <v>0</v>
      </c>
      <c r="F2710" s="18" t="n">
        <f aca="false">(E2710+G2710)/2</f>
        <v>6.93740781110666</v>
      </c>
      <c r="G2710" s="18" t="n">
        <f aca="false">EXP(-'Black-Scholes'!$B$8*'Black-Scholes'!$B$7)*IF(LOWER('Black-Scholes'!$B$11)="put",MAX('Black-Scholes'!$B$6-D2710,0),MAX(D2710-'Black-Scholes'!$B$6,0))</f>
        <v>13.8748156222133</v>
      </c>
    </row>
    <row r="2711" customFormat="false" ht="15" hidden="false" customHeight="false" outlineLevel="0" collapsed="false">
      <c r="A2711" s="0" t="n">
        <v>2700</v>
      </c>
      <c r="B2711" s="15" t="n">
        <v>-0.182348512899908</v>
      </c>
      <c r="C2711" s="18" t="n">
        <f aca="false">'Black-Scholes'!$B$5*EXP(('Black-Scholes'!$B$8-'Black-Scholes'!$B$10-'Black-Scholes'!$B$9^2/2)*'Black-Scholes'!$B$7+'Black-Scholes'!$B$9*SQRT('Black-Scholes'!$B$7)*B2711)</f>
        <v>99.3551180884882</v>
      </c>
      <c r="D2711" s="18" t="n">
        <f aca="false">'Black-Scholes'!$B$5*EXP(('Black-Scholes'!$B$8-'Black-Scholes'!$B$10-'Black-Scholes'!$B$9^2/2)*'Black-Scholes'!$B$7-'Black-Scholes'!$B$9*SQRT('Black-Scholes'!$B$7)*B2711)</f>
        <v>106.872858386587</v>
      </c>
      <c r="E2711" s="18" t="n">
        <f aca="false">EXP(-'Black-Scholes'!$B$8*'Black-Scholes'!$B$7)*IF(LOWER('Black-Scholes'!$B$11)="put",MAX('Black-Scholes'!$B$6-C2711,0),MAX(C2711-'Black-Scholes'!$B$6,0))</f>
        <v>0</v>
      </c>
      <c r="F2711" s="18" t="n">
        <f aca="false">(E2711+G2711)/2</f>
        <v>3.26883256387386</v>
      </c>
      <c r="G2711" s="18" t="n">
        <f aca="false">EXP(-'Black-Scholes'!$B$8*'Black-Scholes'!$B$7)*IF(LOWER('Black-Scholes'!$B$11)="put",MAX('Black-Scholes'!$B$6-D2711,0),MAX(D2711-'Black-Scholes'!$B$6,0))</f>
        <v>6.53766512774772</v>
      </c>
    </row>
    <row r="2712" customFormat="false" ht="15" hidden="false" customHeight="false" outlineLevel="0" collapsed="false">
      <c r="A2712" s="0" t="n">
        <v>2701</v>
      </c>
      <c r="B2712" s="15" t="n">
        <v>-0.136895655731208</v>
      </c>
      <c r="C2712" s="18" t="n">
        <f aca="false">'Black-Scholes'!$B$5*EXP(('Black-Scholes'!$B$8-'Black-Scholes'!$B$10-'Black-Scholes'!$B$9^2/2)*'Black-Scholes'!$B$7+'Black-Scholes'!$B$9*SQRT('Black-Scholes'!$B$7)*B2712)</f>
        <v>100.262430633294</v>
      </c>
      <c r="D2712" s="18" t="n">
        <f aca="false">'Black-Scholes'!$B$5*EXP(('Black-Scholes'!$B$8-'Black-Scholes'!$B$10-'Black-Scholes'!$B$9^2/2)*'Black-Scholes'!$B$7-'Black-Scholes'!$B$9*SQRT('Black-Scholes'!$B$7)*B2712)</f>
        <v>105.905725588181</v>
      </c>
      <c r="E2712" s="18" t="n">
        <f aca="false">EXP(-'Black-Scholes'!$B$8*'Black-Scholes'!$B$7)*IF(LOWER('Black-Scholes'!$B$11)="put",MAX('Black-Scholes'!$B$6-C2712,0),MAX(C2712-'Black-Scholes'!$B$6,0))</f>
        <v>0.249631740279368</v>
      </c>
      <c r="F2712" s="18" t="n">
        <f aca="false">(E2712+G2712)/2</f>
        <v>2.93366584639175</v>
      </c>
      <c r="G2712" s="18" t="n">
        <f aca="false">EXP(-'Black-Scholes'!$B$8*'Black-Scholes'!$B$7)*IF(LOWER('Black-Scholes'!$B$11)="put",MAX('Black-Scholes'!$B$6-D2712,0),MAX(D2712-'Black-Scholes'!$B$6,0))</f>
        <v>5.61769995250413</v>
      </c>
    </row>
    <row r="2713" customFormat="false" ht="15" hidden="false" customHeight="false" outlineLevel="0" collapsed="false">
      <c r="A2713" s="0" t="n">
        <v>2702</v>
      </c>
      <c r="B2713" s="15" t="n">
        <v>-0.359328176924189</v>
      </c>
      <c r="C2713" s="18" t="n">
        <f aca="false">'Black-Scholes'!$B$5*EXP(('Black-Scholes'!$B$8-'Black-Scholes'!$B$10-'Black-Scholes'!$B$9^2/2)*'Black-Scholes'!$B$7+'Black-Scholes'!$B$9*SQRT('Black-Scholes'!$B$7)*B2713)</f>
        <v>95.8998627397575</v>
      </c>
      <c r="D2713" s="18" t="n">
        <f aca="false">'Black-Scholes'!$B$5*EXP(('Black-Scholes'!$B$8-'Black-Scholes'!$B$10-'Black-Scholes'!$B$9^2/2)*'Black-Scholes'!$B$7-'Black-Scholes'!$B$9*SQRT('Black-Scholes'!$B$7)*B2713)</f>
        <v>110.723468856974</v>
      </c>
      <c r="E2713" s="18" t="n">
        <f aca="false">EXP(-'Black-Scholes'!$B$8*'Black-Scholes'!$B$7)*IF(LOWER('Black-Scholes'!$B$11)="put",MAX('Black-Scholes'!$B$6-C2713,0),MAX(C2713-'Black-Scholes'!$B$6,0))</f>
        <v>0</v>
      </c>
      <c r="F2713" s="18" t="n">
        <f aca="false">(E2713+G2713)/2</f>
        <v>5.10023955473522</v>
      </c>
      <c r="G2713" s="18" t="n">
        <f aca="false">EXP(-'Black-Scholes'!$B$8*'Black-Scholes'!$B$7)*IF(LOWER('Black-Scholes'!$B$11)="put",MAX('Black-Scholes'!$B$6-D2713,0),MAX(D2713-'Black-Scholes'!$B$6,0))</f>
        <v>10.2004791094704</v>
      </c>
    </row>
    <row r="2714" customFormat="false" ht="15" hidden="false" customHeight="false" outlineLevel="0" collapsed="false">
      <c r="A2714" s="0" t="n">
        <v>2703</v>
      </c>
      <c r="B2714" s="15" t="n">
        <v>-0.368480741696985</v>
      </c>
      <c r="C2714" s="18" t="n">
        <f aca="false">'Black-Scholes'!$B$5*EXP(('Black-Scholes'!$B$8-'Black-Scholes'!$B$10-'Black-Scholes'!$B$9^2/2)*'Black-Scholes'!$B$7+'Black-Scholes'!$B$9*SQRT('Black-Scholes'!$B$7)*B2714)</f>
        <v>95.7244773702405</v>
      </c>
      <c r="D2714" s="18" t="n">
        <f aca="false">'Black-Scholes'!$B$5*EXP(('Black-Scholes'!$B$8-'Black-Scholes'!$B$10-'Black-Scholes'!$B$9^2/2)*'Black-Scholes'!$B$7-'Black-Scholes'!$B$9*SQRT('Black-Scholes'!$B$7)*B2714)</f>
        <v>110.926335219196</v>
      </c>
      <c r="E2714" s="18" t="n">
        <f aca="false">EXP(-'Black-Scholes'!$B$8*'Black-Scholes'!$B$7)*IF(LOWER('Black-Scholes'!$B$11)="put",MAX('Black-Scholes'!$B$6-C2714,0),MAX(C2714-'Black-Scholes'!$B$6,0))</f>
        <v>0</v>
      </c>
      <c r="F2714" s="18" t="n">
        <f aca="false">(E2714+G2714)/2</f>
        <v>5.19672578122862</v>
      </c>
      <c r="G2714" s="18" t="n">
        <f aca="false">EXP(-'Black-Scholes'!$B$8*'Black-Scholes'!$B$7)*IF(LOWER('Black-Scholes'!$B$11)="put",MAX('Black-Scholes'!$B$6-D2714,0),MAX(D2714-'Black-Scholes'!$B$6,0))</f>
        <v>10.3934515624572</v>
      </c>
    </row>
    <row r="2715" customFormat="false" ht="15" hidden="false" customHeight="false" outlineLevel="0" collapsed="false">
      <c r="A2715" s="0" t="n">
        <v>2704</v>
      </c>
      <c r="B2715" s="15" t="n">
        <v>-0.00142486024674437</v>
      </c>
      <c r="C2715" s="18" t="n">
        <f aca="false">'Black-Scholes'!$B$5*EXP(('Black-Scholes'!$B$8-'Black-Scholes'!$B$10-'Black-Scholes'!$B$9^2/2)*'Black-Scholes'!$B$7+'Black-Scholes'!$B$9*SQRT('Black-Scholes'!$B$7)*B2715)</f>
        <v>103.016092505037</v>
      </c>
      <c r="D2715" s="18" t="n">
        <f aca="false">'Black-Scholes'!$B$5*EXP(('Black-Scholes'!$B$8-'Black-Scholes'!$B$10-'Black-Scholes'!$B$9^2/2)*'Black-Scholes'!$B$7-'Black-Scholes'!$B$9*SQRT('Black-Scholes'!$B$7)*B2715)</f>
        <v>103.074822653892</v>
      </c>
      <c r="E2715" s="18" t="n">
        <f aca="false">EXP(-'Black-Scholes'!$B$8*'Black-Scholes'!$B$7)*IF(LOWER('Black-Scholes'!$B$11)="put",MAX('Black-Scholes'!$B$6-C2715,0),MAX(C2715-'Black-Scholes'!$B$6,0))</f>
        <v>2.86899593780704</v>
      </c>
      <c r="F2715" s="18" t="n">
        <f aca="false">(E2715+G2715)/2</f>
        <v>2.89692886065524</v>
      </c>
      <c r="G2715" s="18" t="n">
        <f aca="false">EXP(-'Black-Scholes'!$B$8*'Black-Scholes'!$B$7)*IF(LOWER('Black-Scholes'!$B$11)="put",MAX('Black-Scholes'!$B$6-D2715,0),MAX(D2715-'Black-Scholes'!$B$6,0))</f>
        <v>2.92486178350343</v>
      </c>
    </row>
    <row r="2716" customFormat="false" ht="15" hidden="false" customHeight="false" outlineLevel="0" collapsed="false">
      <c r="A2716" s="0" t="n">
        <v>2705</v>
      </c>
      <c r="B2716" s="15" t="n">
        <v>-1.49479779138966</v>
      </c>
      <c r="C2716" s="18" t="n">
        <f aca="false">'Black-Scholes'!$B$5*EXP(('Black-Scholes'!$B$8-'Black-Scholes'!$B$10-'Black-Scholes'!$B$9^2/2)*'Black-Scholes'!$B$7+'Black-Scholes'!$B$9*SQRT('Black-Scholes'!$B$7)*B2716)</f>
        <v>76.4174159542263</v>
      </c>
      <c r="D2716" s="18" t="n">
        <f aca="false">'Black-Scholes'!$B$5*EXP(('Black-Scholes'!$B$8-'Black-Scholes'!$B$10-'Black-Scholes'!$B$9^2/2)*'Black-Scholes'!$B$7-'Black-Scholes'!$B$9*SQRT('Black-Scholes'!$B$7)*B2716)</f>
        <v>138.952165980252</v>
      </c>
      <c r="E2716" s="18" t="n">
        <f aca="false">EXP(-'Black-Scholes'!$B$8*'Black-Scholes'!$B$7)*IF(LOWER('Black-Scholes'!$B$11)="put",MAX('Black-Scholes'!$B$6-C2716,0),MAX(C2716-'Black-Scholes'!$B$6,0))</f>
        <v>0</v>
      </c>
      <c r="F2716" s="18" t="n">
        <f aca="false">(E2716+G2716)/2</f>
        <v>18.5262232142256</v>
      </c>
      <c r="G2716" s="18" t="n">
        <f aca="false">EXP(-'Black-Scholes'!$B$8*'Black-Scholes'!$B$7)*IF(LOWER('Black-Scholes'!$B$11)="put",MAX('Black-Scholes'!$B$6-D2716,0),MAX(D2716-'Black-Scholes'!$B$6,0))</f>
        <v>37.0524464284511</v>
      </c>
    </row>
    <row r="2717" customFormat="false" ht="15" hidden="false" customHeight="false" outlineLevel="0" collapsed="false">
      <c r="A2717" s="0" t="n">
        <v>2706</v>
      </c>
      <c r="B2717" s="15" t="n">
        <v>0.312572526118344</v>
      </c>
      <c r="C2717" s="18" t="n">
        <f aca="false">'Black-Scholes'!$B$5*EXP(('Black-Scholes'!$B$8-'Black-Scholes'!$B$10-'Black-Scholes'!$B$9^2/2)*'Black-Scholes'!$B$7+'Black-Scholes'!$B$9*SQRT('Black-Scholes'!$B$7)*B2717)</f>
        <v>109.692905264616</v>
      </c>
      <c r="D2717" s="18" t="n">
        <f aca="false">'Black-Scholes'!$B$5*EXP(('Black-Scholes'!$B$8-'Black-Scholes'!$B$10-'Black-Scholes'!$B$9^2/2)*'Black-Scholes'!$B$7-'Black-Scholes'!$B$9*SQRT('Black-Scholes'!$B$7)*B2717)</f>
        <v>96.8008408550991</v>
      </c>
      <c r="E2717" s="18" t="n">
        <f aca="false">EXP(-'Black-Scholes'!$B$8*'Black-Scholes'!$B$7)*IF(LOWER('Black-Scholes'!$B$11)="put",MAX('Black-Scholes'!$B$6-C2717,0),MAX(C2717-'Black-Scholes'!$B$6,0))</f>
        <v>9.22017669660101</v>
      </c>
      <c r="F2717" s="18" t="n">
        <f aca="false">(E2717+G2717)/2</f>
        <v>4.61008834830051</v>
      </c>
      <c r="G2717" s="18" t="n">
        <f aca="false">EXP(-'Black-Scholes'!$B$8*'Black-Scholes'!$B$7)*IF(LOWER('Black-Scholes'!$B$11)="put",MAX('Black-Scholes'!$B$6-D2717,0),MAX(D2717-'Black-Scholes'!$B$6,0))</f>
        <v>0</v>
      </c>
    </row>
    <row r="2718" customFormat="false" ht="15" hidden="false" customHeight="false" outlineLevel="0" collapsed="false">
      <c r="A2718" s="0" t="n">
        <v>2707</v>
      </c>
      <c r="B2718" s="15" t="n">
        <v>-0.600406461105465</v>
      </c>
      <c r="C2718" s="18" t="n">
        <f aca="false">'Black-Scholes'!$B$5*EXP(('Black-Scholes'!$B$8-'Black-Scholes'!$B$10-'Black-Scholes'!$B$9^2/2)*'Black-Scholes'!$B$7+'Black-Scholes'!$B$9*SQRT('Black-Scholes'!$B$7)*B2718)</f>
        <v>91.3856892794993</v>
      </c>
      <c r="D2718" s="18" t="n">
        <f aca="false">'Black-Scholes'!$B$5*EXP(('Black-Scholes'!$B$8-'Black-Scholes'!$B$10-'Black-Scholes'!$B$9^2/2)*'Black-Scholes'!$B$7-'Black-Scholes'!$B$9*SQRT('Black-Scholes'!$B$7)*B2718)</f>
        <v>116.192869465347</v>
      </c>
      <c r="E2718" s="18" t="n">
        <f aca="false">EXP(-'Black-Scholes'!$B$8*'Black-Scholes'!$B$7)*IF(LOWER('Black-Scholes'!$B$11)="put",MAX('Black-Scholes'!$B$6-C2718,0),MAX(C2718-'Black-Scholes'!$B$6,0))</f>
        <v>0</v>
      </c>
      <c r="F2718" s="18" t="n">
        <f aca="false">(E2718+G2718)/2</f>
        <v>7.7015669512685</v>
      </c>
      <c r="G2718" s="18" t="n">
        <f aca="false">EXP(-'Black-Scholes'!$B$8*'Black-Scholes'!$B$7)*IF(LOWER('Black-Scholes'!$B$11)="put",MAX('Black-Scholes'!$B$6-D2718,0),MAX(D2718-'Black-Scholes'!$B$6,0))</f>
        <v>15.403133902537</v>
      </c>
    </row>
    <row r="2719" customFormat="false" ht="15" hidden="false" customHeight="false" outlineLevel="0" collapsed="false">
      <c r="A2719" s="0" t="n">
        <v>2708</v>
      </c>
      <c r="B2719" s="15" t="n">
        <v>0.359388399877911</v>
      </c>
      <c r="C2719" s="18" t="n">
        <f aca="false">'Black-Scholes'!$B$5*EXP(('Black-Scholes'!$B$8-'Black-Scholes'!$B$10-'Black-Scholes'!$B$9^2/2)*'Black-Scholes'!$B$7+'Black-Scholes'!$B$9*SQRT('Black-Scholes'!$B$7)*B2719)</f>
        <v>110.724802483873</v>
      </c>
      <c r="D2719" s="18" t="n">
        <f aca="false">'Black-Scholes'!$B$5*EXP(('Black-Scholes'!$B$8-'Black-Scholes'!$B$10-'Black-Scholes'!$B$9^2/2)*'Black-Scholes'!$B$7-'Black-Scholes'!$B$9*SQRT('Black-Scholes'!$B$7)*B2719)</f>
        <v>95.8987076721145</v>
      </c>
      <c r="E2719" s="18" t="n">
        <f aca="false">EXP(-'Black-Scholes'!$B$8*'Black-Scholes'!$B$7)*IF(LOWER('Black-Scholes'!$B$11)="put",MAX('Black-Scholes'!$B$6-C2719,0),MAX(C2719-'Black-Scholes'!$B$6,0))</f>
        <v>10.2017476946187</v>
      </c>
      <c r="F2719" s="18" t="n">
        <f aca="false">(E2719+G2719)/2</f>
        <v>5.10087384730937</v>
      </c>
      <c r="G2719" s="18" t="n">
        <f aca="false">EXP(-'Black-Scholes'!$B$8*'Black-Scholes'!$B$7)*IF(LOWER('Black-Scholes'!$B$11)="put",MAX('Black-Scholes'!$B$6-D2719,0),MAX(D2719-'Black-Scholes'!$B$6,0))</f>
        <v>0</v>
      </c>
    </row>
    <row r="2720" customFormat="false" ht="15" hidden="false" customHeight="false" outlineLevel="0" collapsed="false">
      <c r="A2720" s="0" t="n">
        <v>2709</v>
      </c>
      <c r="B2720" s="15" t="n">
        <v>0.399851782288731</v>
      </c>
      <c r="C2720" s="18" t="n">
        <f aca="false">'Black-Scholes'!$B$5*EXP(('Black-Scholes'!$B$8-'Black-Scholes'!$B$10-'Black-Scholes'!$B$9^2/2)*'Black-Scholes'!$B$7+'Black-Scholes'!$B$9*SQRT('Black-Scholes'!$B$7)*B2720)</f>
        <v>111.624498051318</v>
      </c>
      <c r="D2720" s="18" t="n">
        <f aca="false">'Black-Scholes'!$B$5*EXP(('Black-Scholes'!$B$8-'Black-Scholes'!$B$10-'Black-Scholes'!$B$9^2/2)*'Black-Scholes'!$B$7-'Black-Scholes'!$B$9*SQRT('Black-Scholes'!$B$7)*B2720)</f>
        <v>95.1257622728298</v>
      </c>
      <c r="E2720" s="18" t="n">
        <f aca="false">EXP(-'Black-Scholes'!$B$8*'Black-Scholes'!$B$7)*IF(LOWER('Black-Scholes'!$B$11)="put",MAX('Black-Scholes'!$B$6-C2720,0),MAX(C2720-'Black-Scholes'!$B$6,0))</f>
        <v>11.0575645914646</v>
      </c>
      <c r="F2720" s="18" t="n">
        <f aca="false">(E2720+G2720)/2</f>
        <v>5.52878229573229</v>
      </c>
      <c r="G2720" s="18" t="n">
        <f aca="false">EXP(-'Black-Scholes'!$B$8*'Black-Scholes'!$B$7)*IF(LOWER('Black-Scholes'!$B$11)="put",MAX('Black-Scholes'!$B$6-D2720,0),MAX(D2720-'Black-Scholes'!$B$6,0))</f>
        <v>0</v>
      </c>
    </row>
    <row r="2721" customFormat="false" ht="15" hidden="false" customHeight="false" outlineLevel="0" collapsed="false">
      <c r="A2721" s="0" t="n">
        <v>2710</v>
      </c>
      <c r="B2721" s="15" t="n">
        <v>-0.576941452016114</v>
      </c>
      <c r="C2721" s="18" t="n">
        <f aca="false">'Black-Scholes'!$B$5*EXP(('Black-Scholes'!$B$8-'Black-Scholes'!$B$10-'Black-Scholes'!$B$9^2/2)*'Black-Scholes'!$B$7+'Black-Scholes'!$B$9*SQRT('Black-Scholes'!$B$7)*B2721)</f>
        <v>91.8155704129011</v>
      </c>
      <c r="D2721" s="18" t="n">
        <f aca="false">'Black-Scholes'!$B$5*EXP(('Black-Scholes'!$B$8-'Black-Scholes'!$B$10-'Black-Scholes'!$B$9^2/2)*'Black-Scholes'!$B$7-'Black-Scholes'!$B$9*SQRT('Black-Scholes'!$B$7)*B2721)</f>
        <v>115.64885364979</v>
      </c>
      <c r="E2721" s="18" t="n">
        <f aca="false">EXP(-'Black-Scholes'!$B$8*'Black-Scholes'!$B$7)*IF(LOWER('Black-Scholes'!$B$11)="put",MAX('Black-Scholes'!$B$6-C2721,0),MAX(C2721-'Black-Scholes'!$B$6,0))</f>
        <v>0</v>
      </c>
      <c r="F2721" s="18" t="n">
        <f aca="false">(E2721+G2721)/2</f>
        <v>7.44282502569285</v>
      </c>
      <c r="G2721" s="18" t="n">
        <f aca="false">EXP(-'Black-Scholes'!$B$8*'Black-Scholes'!$B$7)*IF(LOWER('Black-Scholes'!$B$11)="put",MAX('Black-Scholes'!$B$6-D2721,0),MAX(D2721-'Black-Scholes'!$B$6,0))</f>
        <v>14.8856500513857</v>
      </c>
    </row>
    <row r="2722" customFormat="false" ht="15" hidden="false" customHeight="false" outlineLevel="0" collapsed="false">
      <c r="A2722" s="0" t="n">
        <v>2711</v>
      </c>
      <c r="B2722" s="15" t="n">
        <v>-1.31949290158231</v>
      </c>
      <c r="C2722" s="18" t="n">
        <f aca="false">'Black-Scholes'!$B$5*EXP(('Black-Scholes'!$B$8-'Black-Scholes'!$B$10-'Black-Scholes'!$B$9^2/2)*'Black-Scholes'!$B$7+'Black-Scholes'!$B$9*SQRT('Black-Scholes'!$B$7)*B2722)</f>
        <v>79.1442079630609</v>
      </c>
      <c r="D2722" s="18" t="n">
        <f aca="false">'Black-Scholes'!$B$5*EXP(('Black-Scholes'!$B$8-'Black-Scholes'!$B$10-'Black-Scholes'!$B$9^2/2)*'Black-Scholes'!$B$7-'Black-Scholes'!$B$9*SQRT('Black-Scholes'!$B$7)*B2722)</f>
        <v>134.164782726861</v>
      </c>
      <c r="E2722" s="18" t="n">
        <f aca="false">EXP(-'Black-Scholes'!$B$8*'Black-Scholes'!$B$7)*IF(LOWER('Black-Scholes'!$B$11)="put",MAX('Black-Scholes'!$B$6-C2722,0),MAX(C2722-'Black-Scholes'!$B$6,0))</f>
        <v>0</v>
      </c>
      <c r="F2722" s="18" t="n">
        <f aca="false">(E2722+G2722)/2</f>
        <v>16.2492733057321</v>
      </c>
      <c r="G2722" s="18" t="n">
        <f aca="false">EXP(-'Black-Scholes'!$B$8*'Black-Scholes'!$B$7)*IF(LOWER('Black-Scholes'!$B$11)="put",MAX('Black-Scholes'!$B$6-D2722,0),MAX(D2722-'Black-Scholes'!$B$6,0))</f>
        <v>32.4985466114642</v>
      </c>
    </row>
    <row r="2723" customFormat="false" ht="15" hidden="false" customHeight="false" outlineLevel="0" collapsed="false">
      <c r="A2723" s="0" t="n">
        <v>2712</v>
      </c>
      <c r="B2723" s="15" t="n">
        <v>-0.157462379649797</v>
      </c>
      <c r="C2723" s="18" t="n">
        <f aca="false">'Black-Scholes'!$B$5*EXP(('Black-Scholes'!$B$8-'Black-Scholes'!$B$10-'Black-Scholes'!$B$9^2/2)*'Black-Scholes'!$B$7+'Black-Scholes'!$B$9*SQRT('Black-Scholes'!$B$7)*B2723)</f>
        <v>99.850863725837</v>
      </c>
      <c r="D2723" s="18" t="n">
        <f aca="false">'Black-Scholes'!$B$5*EXP(('Black-Scholes'!$B$8-'Black-Scholes'!$B$10-'Black-Scholes'!$B$9^2/2)*'Black-Scholes'!$B$7-'Black-Scholes'!$B$9*SQRT('Black-Scholes'!$B$7)*B2723)</f>
        <v>106.342249523336</v>
      </c>
      <c r="E2723" s="18" t="n">
        <f aca="false">EXP(-'Black-Scholes'!$B$8*'Black-Scholes'!$B$7)*IF(LOWER('Black-Scholes'!$B$11)="put",MAX('Black-Scholes'!$B$6-C2723,0),MAX(C2723-'Black-Scholes'!$B$6,0))</f>
        <v>0</v>
      </c>
      <c r="F2723" s="18" t="n">
        <f aca="false">(E2723+G2723)/2</f>
        <v>3.01646718206149</v>
      </c>
      <c r="G2723" s="18" t="n">
        <f aca="false">EXP(-'Black-Scholes'!$B$8*'Black-Scholes'!$B$7)*IF(LOWER('Black-Scholes'!$B$11)="put",MAX('Black-Scholes'!$B$6-D2723,0),MAX(D2723-'Black-Scholes'!$B$6,0))</f>
        <v>6.03293436412297</v>
      </c>
    </row>
    <row r="2724" customFormat="false" ht="15" hidden="false" customHeight="false" outlineLevel="0" collapsed="false">
      <c r="A2724" s="0" t="n">
        <v>2713</v>
      </c>
      <c r="B2724" s="15" t="n">
        <v>-0.0915578223325042</v>
      </c>
      <c r="C2724" s="18" t="n">
        <f aca="false">'Black-Scholes'!$B$5*EXP(('Black-Scholes'!$B$8-'Black-Scholes'!$B$10-'Black-Scholes'!$B$9^2/2)*'Black-Scholes'!$B$7+'Black-Scholes'!$B$9*SQRT('Black-Scholes'!$B$7)*B2724)</f>
        <v>101.175701222039</v>
      </c>
      <c r="D2724" s="18" t="n">
        <f aca="false">'Black-Scholes'!$B$5*EXP(('Black-Scholes'!$B$8-'Black-Scholes'!$B$10-'Black-Scholes'!$B$9^2/2)*'Black-Scholes'!$B$7-'Black-Scholes'!$B$9*SQRT('Black-Scholes'!$B$7)*B2724)</f>
        <v>104.949759054802</v>
      </c>
      <c r="E2724" s="18" t="n">
        <f aca="false">EXP(-'Black-Scholes'!$B$8*'Black-Scholes'!$B$7)*IF(LOWER('Black-Scholes'!$B$11)="put",MAX('Black-Scholes'!$B$6-C2724,0),MAX(C2724-'Black-Scholes'!$B$6,0))</f>
        <v>1.11836159682467</v>
      </c>
      <c r="F2724" s="18" t="n">
        <f aca="false">(E2724+G2724)/2</f>
        <v>2.91335902697056</v>
      </c>
      <c r="G2724" s="18" t="n">
        <f aca="false">EXP(-'Black-Scholes'!$B$8*'Black-Scholes'!$B$7)*IF(LOWER('Black-Scholes'!$B$11)="put",MAX('Black-Scholes'!$B$6-D2724,0),MAX(D2724-'Black-Scholes'!$B$6,0))</f>
        <v>4.70835645711645</v>
      </c>
    </row>
    <row r="2725" customFormat="false" ht="15" hidden="false" customHeight="false" outlineLevel="0" collapsed="false">
      <c r="A2725" s="0" t="n">
        <v>2714</v>
      </c>
      <c r="B2725" s="15" t="n">
        <v>-0.86678044322555</v>
      </c>
      <c r="C2725" s="18" t="n">
        <f aca="false">'Black-Scholes'!$B$5*EXP(('Black-Scholes'!$B$8-'Black-Scholes'!$B$10-'Black-Scholes'!$B$9^2/2)*'Black-Scholes'!$B$7+'Black-Scholes'!$B$9*SQRT('Black-Scholes'!$B$7)*B2725)</f>
        <v>86.6445482558758</v>
      </c>
      <c r="D2725" s="18" t="n">
        <f aca="false">'Black-Scholes'!$B$5*EXP(('Black-Scholes'!$B$8-'Black-Scholes'!$B$10-'Black-Scholes'!$B$9^2/2)*'Black-Scholes'!$B$7-'Black-Scholes'!$B$9*SQRT('Black-Scholes'!$B$7)*B2725)</f>
        <v>122.550878032116</v>
      </c>
      <c r="E2725" s="18" t="n">
        <f aca="false">EXP(-'Black-Scholes'!$B$8*'Black-Scholes'!$B$7)*IF(LOWER('Black-Scholes'!$B$11)="put",MAX('Black-Scholes'!$B$6-C2725,0),MAX(C2725-'Black-Scholes'!$B$6,0))</f>
        <v>0</v>
      </c>
      <c r="F2725" s="18" t="n">
        <f aca="false">(E2725+G2725)/2</f>
        <v>10.7255293662376</v>
      </c>
      <c r="G2725" s="18" t="n">
        <f aca="false">EXP(-'Black-Scholes'!$B$8*'Black-Scholes'!$B$7)*IF(LOWER('Black-Scholes'!$B$11)="put",MAX('Black-Scholes'!$B$6-D2725,0),MAX(D2725-'Black-Scholes'!$B$6,0))</f>
        <v>21.4510587324751</v>
      </c>
    </row>
    <row r="2726" customFormat="false" ht="15" hidden="false" customHeight="false" outlineLevel="0" collapsed="false">
      <c r="A2726" s="0" t="n">
        <v>2715</v>
      </c>
      <c r="B2726" s="15" t="n">
        <v>1.35450485027621</v>
      </c>
      <c r="C2726" s="18" t="n">
        <f aca="false">'Black-Scholes'!$B$5*EXP(('Black-Scholes'!$B$8-'Black-Scholes'!$B$10-'Black-Scholes'!$B$9^2/2)*'Black-Scholes'!$B$7+'Black-Scholes'!$B$9*SQRT('Black-Scholes'!$B$7)*B2726)</f>
        <v>135.107553797695</v>
      </c>
      <c r="D2726" s="18" t="n">
        <f aca="false">'Black-Scholes'!$B$5*EXP(('Black-Scholes'!$B$8-'Black-Scholes'!$B$10-'Black-Scholes'!$B$9^2/2)*'Black-Scholes'!$B$7-'Black-Scholes'!$B$9*SQRT('Black-Scholes'!$B$7)*B2726)</f>
        <v>78.591945209467</v>
      </c>
      <c r="E2726" s="18" t="n">
        <f aca="false">EXP(-'Black-Scholes'!$B$8*'Black-Scholes'!$B$7)*IF(LOWER('Black-Scholes'!$B$11)="put",MAX('Black-Scholes'!$B$6-C2726,0),MAX(C2726-'Black-Scholes'!$B$6,0))</f>
        <v>33.3953381946097</v>
      </c>
      <c r="F2726" s="18" t="n">
        <f aca="false">(E2726+G2726)/2</f>
        <v>16.6976690973048</v>
      </c>
      <c r="G2726" s="18" t="n">
        <f aca="false">EXP(-'Black-Scholes'!$B$8*'Black-Scholes'!$B$7)*IF(LOWER('Black-Scholes'!$B$11)="put",MAX('Black-Scholes'!$B$6-D2726,0),MAX(D2726-'Black-Scholes'!$B$6,0))</f>
        <v>0</v>
      </c>
    </row>
    <row r="2727" customFormat="false" ht="15" hidden="false" customHeight="false" outlineLevel="0" collapsed="false">
      <c r="A2727" s="0" t="n">
        <v>2716</v>
      </c>
      <c r="B2727" s="15" t="n">
        <v>-0.207976287938386</v>
      </c>
      <c r="C2727" s="18" t="n">
        <f aca="false">'Black-Scholes'!$B$5*EXP(('Black-Scholes'!$B$8-'Black-Scholes'!$B$10-'Black-Scholes'!$B$9^2/2)*'Black-Scholes'!$B$7+'Black-Scholes'!$B$9*SQRT('Black-Scholes'!$B$7)*B2727)</f>
        <v>98.8471708332648</v>
      </c>
      <c r="D2727" s="18" t="n">
        <f aca="false">'Black-Scholes'!$B$5*EXP(('Black-Scholes'!$B$8-'Black-Scholes'!$B$10-'Black-Scholes'!$B$9^2/2)*'Black-Scholes'!$B$7-'Black-Scholes'!$B$9*SQRT('Black-Scholes'!$B$7)*B2727)</f>
        <v>107.422047347866</v>
      </c>
      <c r="E2727" s="18" t="n">
        <f aca="false">EXP(-'Black-Scholes'!$B$8*'Black-Scholes'!$B$7)*IF(LOWER('Black-Scholes'!$B$11)="put",MAX('Black-Scholes'!$B$6-C2727,0),MAX(C2727-'Black-Scholes'!$B$6,0))</f>
        <v>0</v>
      </c>
      <c r="F2727" s="18" t="n">
        <f aca="false">(E2727+G2727)/2</f>
        <v>3.53003491366395</v>
      </c>
      <c r="G2727" s="18" t="n">
        <f aca="false">EXP(-'Black-Scholes'!$B$8*'Black-Scholes'!$B$7)*IF(LOWER('Black-Scholes'!$B$11)="put",MAX('Black-Scholes'!$B$6-D2727,0),MAX(D2727-'Black-Scholes'!$B$6,0))</f>
        <v>7.0600698273279</v>
      </c>
    </row>
    <row r="2728" customFormat="false" ht="15" hidden="false" customHeight="false" outlineLevel="0" collapsed="false">
      <c r="A2728" s="0" t="n">
        <v>2717</v>
      </c>
      <c r="B2728" s="15" t="n">
        <v>-0.663199345856759</v>
      </c>
      <c r="C2728" s="18" t="n">
        <f aca="false">'Black-Scholes'!$B$5*EXP(('Black-Scholes'!$B$8-'Black-Scholes'!$B$10-'Black-Scholes'!$B$9^2/2)*'Black-Scholes'!$B$7+'Black-Scholes'!$B$9*SQRT('Black-Scholes'!$B$7)*B2728)</f>
        <v>90.245191572337</v>
      </c>
      <c r="D2728" s="18" t="n">
        <f aca="false">'Black-Scholes'!$B$5*EXP(('Black-Scholes'!$B$8-'Black-Scholes'!$B$10-'Black-Scholes'!$B$9^2/2)*'Black-Scholes'!$B$7-'Black-Scholes'!$B$9*SQRT('Black-Scholes'!$B$7)*B2728)</f>
        <v>117.661287880832</v>
      </c>
      <c r="E2728" s="18" t="n">
        <f aca="false">EXP(-'Black-Scholes'!$B$8*'Black-Scholes'!$B$7)*IF(LOWER('Black-Scholes'!$B$11)="put",MAX('Black-Scholes'!$B$6-C2728,0),MAX(C2728-'Black-Scholes'!$B$6,0))</f>
        <v>0</v>
      </c>
      <c r="F2728" s="18" t="n">
        <f aca="false">(E2728+G2728)/2</f>
        <v>8.39996835341274</v>
      </c>
      <c r="G2728" s="18" t="n">
        <f aca="false">EXP(-'Black-Scholes'!$B$8*'Black-Scholes'!$B$7)*IF(LOWER('Black-Scholes'!$B$11)="put",MAX('Black-Scholes'!$B$6-D2728,0),MAX(D2728-'Black-Scholes'!$B$6,0))</f>
        <v>16.7999367068255</v>
      </c>
    </row>
    <row r="2729" customFormat="false" ht="15" hidden="false" customHeight="false" outlineLevel="0" collapsed="false">
      <c r="A2729" s="0" t="n">
        <v>2718</v>
      </c>
      <c r="B2729" s="15" t="n">
        <v>-0.00062920277292861</v>
      </c>
      <c r="C2729" s="18" t="n">
        <f aca="false">'Black-Scholes'!$B$5*EXP(('Black-Scholes'!$B$8-'Black-Scholes'!$B$10-'Black-Scholes'!$B$9^2/2)*'Black-Scholes'!$B$7+'Black-Scholes'!$B$9*SQRT('Black-Scholes'!$B$7)*B2729)</f>
        <v>103.032486914221</v>
      </c>
      <c r="D2729" s="18" t="n">
        <f aca="false">'Black-Scholes'!$B$5*EXP(('Black-Scholes'!$B$8-'Black-Scholes'!$B$10-'Black-Scholes'!$B$9^2/2)*'Black-Scholes'!$B$7-'Black-Scholes'!$B$9*SQRT('Black-Scholes'!$B$7)*B2729)</f>
        <v>103.058421508295</v>
      </c>
      <c r="E2729" s="18" t="n">
        <f aca="false">EXP(-'Black-Scholes'!$B$8*'Black-Scholes'!$B$7)*IF(LOWER('Black-Scholes'!$B$11)="put",MAX('Black-Scholes'!$B$6-C2729,0),MAX(C2729-'Black-Scholes'!$B$6,0))</f>
        <v>2.88459078221999</v>
      </c>
      <c r="F2729" s="18" t="n">
        <f aca="false">(E2729+G2729)/2</f>
        <v>2.89692565671786</v>
      </c>
      <c r="G2729" s="18" t="n">
        <f aca="false">EXP(-'Black-Scholes'!$B$8*'Black-Scholes'!$B$7)*IF(LOWER('Black-Scholes'!$B$11)="put",MAX('Black-Scholes'!$B$6-D2729,0),MAX(D2729-'Black-Scholes'!$B$6,0))</f>
        <v>2.90926053121573</v>
      </c>
    </row>
    <row r="2730" customFormat="false" ht="15" hidden="false" customHeight="false" outlineLevel="0" collapsed="false">
      <c r="A2730" s="0" t="n">
        <v>2719</v>
      </c>
      <c r="B2730" s="15" t="n">
        <v>1.06143389434131</v>
      </c>
      <c r="C2730" s="18" t="n">
        <f aca="false">'Black-Scholes'!$B$5*EXP(('Black-Scholes'!$B$8-'Black-Scholes'!$B$10-'Black-Scholes'!$B$9^2/2)*'Black-Scholes'!$B$7+'Black-Scholes'!$B$9*SQRT('Black-Scholes'!$B$7)*B2730)</f>
        <v>127.415954245798</v>
      </c>
      <c r="D2730" s="18" t="n">
        <f aca="false">'Black-Scholes'!$B$5*EXP(('Black-Scholes'!$B$8-'Black-Scholes'!$B$10-'Black-Scholes'!$B$9^2/2)*'Black-Scholes'!$B$7-'Black-Scholes'!$B$9*SQRT('Black-Scholes'!$B$7)*B2730)</f>
        <v>83.3362315442043</v>
      </c>
      <c r="E2730" s="18" t="n">
        <f aca="false">EXP(-'Black-Scholes'!$B$8*'Black-Scholes'!$B$7)*IF(LOWER('Black-Scholes'!$B$11)="put",MAX('Black-Scholes'!$B$6-C2730,0),MAX(C2730-'Black-Scholes'!$B$6,0))</f>
        <v>26.0788623793687</v>
      </c>
      <c r="F2730" s="18" t="n">
        <f aca="false">(E2730+G2730)/2</f>
        <v>13.0394311896844</v>
      </c>
      <c r="G2730" s="18" t="n">
        <f aca="false">EXP(-'Black-Scholes'!$B$8*'Black-Scholes'!$B$7)*IF(LOWER('Black-Scholes'!$B$11)="put",MAX('Black-Scholes'!$B$6-D2730,0),MAX(D2730-'Black-Scholes'!$B$6,0))</f>
        <v>0</v>
      </c>
    </row>
    <row r="2731" customFormat="false" ht="15" hidden="false" customHeight="false" outlineLevel="0" collapsed="false">
      <c r="A2731" s="0" t="n">
        <v>2720</v>
      </c>
      <c r="B2731" s="15" t="n">
        <v>-0.270405665333553</v>
      </c>
      <c r="C2731" s="18" t="n">
        <f aca="false">'Black-Scholes'!$B$5*EXP(('Black-Scholes'!$B$8-'Black-Scholes'!$B$10-'Black-Scholes'!$B$9^2/2)*'Black-Scholes'!$B$7+'Black-Scholes'!$B$9*SQRT('Black-Scholes'!$B$7)*B2731)</f>
        <v>97.6206503917441</v>
      </c>
      <c r="D2731" s="18" t="n">
        <f aca="false">'Black-Scholes'!$B$5*EXP(('Black-Scholes'!$B$8-'Black-Scholes'!$B$10-'Black-Scholes'!$B$9^2/2)*'Black-Scholes'!$B$7-'Black-Scholes'!$B$9*SQRT('Black-Scholes'!$B$7)*B2731)</f>
        <v>108.771714005622</v>
      </c>
      <c r="E2731" s="18" t="n">
        <f aca="false">EXP(-'Black-Scholes'!$B$8*'Black-Scholes'!$B$7)*IF(LOWER('Black-Scholes'!$B$11)="put",MAX('Black-Scholes'!$B$6-C2731,0),MAX(C2731-'Black-Scholes'!$B$6,0))</f>
        <v>0</v>
      </c>
      <c r="F2731" s="18" t="n">
        <f aca="false">(E2731+G2731)/2</f>
        <v>4.17195623272632</v>
      </c>
      <c r="G2731" s="18" t="n">
        <f aca="false">EXP(-'Black-Scholes'!$B$8*'Black-Scholes'!$B$7)*IF(LOWER('Black-Scholes'!$B$11)="put",MAX('Black-Scholes'!$B$6-D2731,0),MAX(D2731-'Black-Scholes'!$B$6,0))</f>
        <v>8.34391246545264</v>
      </c>
    </row>
    <row r="2732" customFormat="false" ht="15" hidden="false" customHeight="false" outlineLevel="0" collapsed="false">
      <c r="A2732" s="0" t="n">
        <v>2721</v>
      </c>
      <c r="B2732" s="15" t="n">
        <v>-0.313532493871519</v>
      </c>
      <c r="C2732" s="18" t="n">
        <f aca="false">'Black-Scholes'!$B$5*EXP(('Black-Scholes'!$B$8-'Black-Scholes'!$B$10-'Black-Scholes'!$B$9^2/2)*'Black-Scholes'!$B$7+'Black-Scholes'!$B$9*SQRT('Black-Scholes'!$B$7)*B2732)</f>
        <v>96.7822575019579</v>
      </c>
      <c r="D2732" s="18" t="n">
        <f aca="false">'Black-Scholes'!$B$5*EXP(('Black-Scholes'!$B$8-'Black-Scholes'!$B$10-'Black-Scholes'!$B$9^2/2)*'Black-Scholes'!$B$7-'Black-Scholes'!$B$9*SQRT('Black-Scholes'!$B$7)*B2732)</f>
        <v>109.713967616831</v>
      </c>
      <c r="E2732" s="18" t="n">
        <f aca="false">EXP(-'Black-Scholes'!$B$8*'Black-Scholes'!$B$7)*IF(LOWER('Black-Scholes'!$B$11)="put",MAX('Black-Scholes'!$B$6-C2732,0),MAX(C2732-'Black-Scholes'!$B$6,0))</f>
        <v>0</v>
      </c>
      <c r="F2732" s="18" t="n">
        <f aca="false">(E2732+G2732)/2</f>
        <v>4.62010591288828</v>
      </c>
      <c r="G2732" s="18" t="n">
        <f aca="false">EXP(-'Black-Scholes'!$B$8*'Black-Scholes'!$B$7)*IF(LOWER('Black-Scholes'!$B$11)="put",MAX('Black-Scholes'!$B$6-D2732,0),MAX(D2732-'Black-Scholes'!$B$6,0))</f>
        <v>9.24021182577656</v>
      </c>
    </row>
    <row r="2733" customFormat="false" ht="15" hidden="false" customHeight="false" outlineLevel="0" collapsed="false">
      <c r="A2733" s="0" t="n">
        <v>2722</v>
      </c>
      <c r="B2733" s="15" t="n">
        <v>0.718094265420724</v>
      </c>
      <c r="C2733" s="18" t="n">
        <f aca="false">'Black-Scholes'!$B$5*EXP(('Black-Scholes'!$B$8-'Black-Scholes'!$B$10-'Black-Scholes'!$B$9^2/2)*'Black-Scholes'!$B$7+'Black-Scholes'!$B$9*SQRT('Black-Scholes'!$B$7)*B2733)</f>
        <v>118.960206624223</v>
      </c>
      <c r="D2733" s="18" t="n">
        <f aca="false">'Black-Scholes'!$B$5*EXP(('Black-Scholes'!$B$8-'Black-Scholes'!$B$10-'Black-Scholes'!$B$9^2/2)*'Black-Scholes'!$B$7-'Black-Scholes'!$B$9*SQRT('Black-Scholes'!$B$7)*B2733)</f>
        <v>89.2598102069157</v>
      </c>
      <c r="E2733" s="18" t="n">
        <f aca="false">EXP(-'Black-Scholes'!$B$8*'Black-Scholes'!$B$7)*IF(LOWER('Black-Scholes'!$B$11)="put",MAX('Black-Scholes'!$B$6-C2733,0),MAX(C2733-'Black-Scholes'!$B$6,0))</f>
        <v>18.035506435574</v>
      </c>
      <c r="F2733" s="18" t="n">
        <f aca="false">(E2733+G2733)/2</f>
        <v>9.01775321778698</v>
      </c>
      <c r="G2733" s="18" t="n">
        <f aca="false">EXP(-'Black-Scholes'!$B$8*'Black-Scholes'!$B$7)*IF(LOWER('Black-Scholes'!$B$11)="put",MAX('Black-Scholes'!$B$6-D2733,0),MAX(D2733-'Black-Scholes'!$B$6,0))</f>
        <v>0</v>
      </c>
    </row>
    <row r="2734" customFormat="false" ht="15" hidden="false" customHeight="false" outlineLevel="0" collapsed="false">
      <c r="A2734" s="0" t="n">
        <v>2723</v>
      </c>
      <c r="B2734" s="15" t="n">
        <v>1.57984540932368</v>
      </c>
      <c r="C2734" s="18" t="n">
        <f aca="false">'Black-Scholes'!$B$5*EXP(('Black-Scholes'!$B$8-'Black-Scholes'!$B$10-'Black-Scholes'!$B$9^2/2)*'Black-Scholes'!$B$7+'Black-Scholes'!$B$9*SQRT('Black-Scholes'!$B$7)*B2734)</f>
        <v>141.335891671997</v>
      </c>
      <c r="D2734" s="18" t="n">
        <f aca="false">'Black-Scholes'!$B$5*EXP(('Black-Scholes'!$B$8-'Black-Scholes'!$B$10-'Black-Scholes'!$B$9^2/2)*'Black-Scholes'!$B$7-'Black-Scholes'!$B$9*SQRT('Black-Scholes'!$B$7)*B2734)</f>
        <v>75.1285843945146</v>
      </c>
      <c r="E2734" s="18" t="n">
        <f aca="false">EXP(-'Black-Scholes'!$B$8*'Black-Scholes'!$B$7)*IF(LOWER('Black-Scholes'!$B$11)="put",MAX('Black-Scholes'!$B$6-C2734,0),MAX(C2734-'Black-Scholes'!$B$6,0))</f>
        <v>39.3199164463776</v>
      </c>
      <c r="F2734" s="18" t="n">
        <f aca="false">(E2734+G2734)/2</f>
        <v>19.6599582231888</v>
      </c>
      <c r="G2734" s="18" t="n">
        <f aca="false">EXP(-'Black-Scholes'!$B$8*'Black-Scholes'!$B$7)*IF(LOWER('Black-Scholes'!$B$11)="put",MAX('Black-Scholes'!$B$6-D2734,0),MAX(D2734-'Black-Scholes'!$B$6,0))</f>
        <v>0</v>
      </c>
    </row>
    <row r="2735" customFormat="false" ht="15" hidden="false" customHeight="false" outlineLevel="0" collapsed="false">
      <c r="A2735" s="0" t="n">
        <v>2724</v>
      </c>
      <c r="B2735" s="15" t="n">
        <v>0.241562515695594</v>
      </c>
      <c r="C2735" s="18" t="n">
        <f aca="false">'Black-Scholes'!$B$5*EXP(('Black-Scholes'!$B$8-'Black-Scholes'!$B$10-'Black-Scholes'!$B$9^2/2)*'Black-Scholes'!$B$7+'Black-Scholes'!$B$9*SQRT('Black-Scholes'!$B$7)*B2735)</f>
        <v>108.146056569044</v>
      </c>
      <c r="D2735" s="18" t="n">
        <f aca="false">'Black-Scholes'!$B$5*EXP(('Black-Scholes'!$B$8-'Black-Scholes'!$B$10-'Black-Scholes'!$B$9^2/2)*'Black-Scholes'!$B$7-'Black-Scholes'!$B$9*SQRT('Black-Scholes'!$B$7)*B2735)</f>
        <v>98.1854151905618</v>
      </c>
      <c r="E2735" s="18" t="n">
        <f aca="false">EXP(-'Black-Scholes'!$B$8*'Black-Scholes'!$B$7)*IF(LOWER('Black-Scholes'!$B$11)="put",MAX('Black-Scholes'!$B$6-C2735,0),MAX(C2735-'Black-Scholes'!$B$6,0))</f>
        <v>7.74876870212221</v>
      </c>
      <c r="F2735" s="18" t="n">
        <f aca="false">(E2735+G2735)/2</f>
        <v>3.8743843510611</v>
      </c>
      <c r="G2735" s="18" t="n">
        <f aca="false">EXP(-'Black-Scholes'!$B$8*'Black-Scholes'!$B$7)*IF(LOWER('Black-Scholes'!$B$11)="put",MAX('Black-Scholes'!$B$6-D2735,0),MAX(D2735-'Black-Scholes'!$B$6,0))</f>
        <v>0</v>
      </c>
    </row>
    <row r="2736" customFormat="false" ht="15" hidden="false" customHeight="false" outlineLevel="0" collapsed="false">
      <c r="A2736" s="0" t="n">
        <v>2725</v>
      </c>
      <c r="B2736" s="15" t="n">
        <v>2.41715198915905</v>
      </c>
      <c r="C2736" s="18" t="n">
        <f aca="false">'Black-Scholes'!$B$5*EXP(('Black-Scholes'!$B$8-'Black-Scholes'!$B$10-'Black-Scholes'!$B$9^2/2)*'Black-Scholes'!$B$7+'Black-Scholes'!$B$9*SQRT('Black-Scholes'!$B$7)*B2736)</f>
        <v>167.101361572867</v>
      </c>
      <c r="D2736" s="18" t="n">
        <f aca="false">'Black-Scholes'!$B$5*EXP(('Black-Scholes'!$B$8-'Black-Scholes'!$B$10-'Black-Scholes'!$B$9^2/2)*'Black-Scholes'!$B$7-'Black-Scholes'!$B$9*SQRT('Black-Scholes'!$B$7)*B2736)</f>
        <v>63.5444580792556</v>
      </c>
      <c r="E2736" s="18" t="n">
        <f aca="false">EXP(-'Black-Scholes'!$B$8*'Black-Scholes'!$B$7)*IF(LOWER('Black-Scholes'!$B$11)="put",MAX('Black-Scholes'!$B$6-C2736,0),MAX(C2736-'Black-Scholes'!$B$6,0))</f>
        <v>63.8287895521729</v>
      </c>
      <c r="F2736" s="18" t="n">
        <f aca="false">(E2736+G2736)/2</f>
        <v>31.9143947760864</v>
      </c>
      <c r="G2736" s="18" t="n">
        <f aca="false">EXP(-'Black-Scholes'!$B$8*'Black-Scholes'!$B$7)*IF(LOWER('Black-Scholes'!$B$11)="put",MAX('Black-Scholes'!$B$6-D2736,0),MAX(D2736-'Black-Scholes'!$B$6,0))</f>
        <v>0</v>
      </c>
    </row>
    <row r="2737" customFormat="false" ht="15" hidden="false" customHeight="false" outlineLevel="0" collapsed="false">
      <c r="A2737" s="0" t="n">
        <v>2726</v>
      </c>
      <c r="B2737" s="15" t="n">
        <v>-0.0203201299007065</v>
      </c>
      <c r="C2737" s="18" t="n">
        <f aca="false">'Black-Scholes'!$B$5*EXP(('Black-Scholes'!$B$8-'Black-Scholes'!$B$10-'Black-Scholes'!$B$9^2/2)*'Black-Scholes'!$B$7+'Black-Scholes'!$B$9*SQRT('Black-Scholes'!$B$7)*B2737)</f>
        <v>102.627523809187</v>
      </c>
      <c r="D2737" s="18" t="n">
        <f aca="false">'Black-Scholes'!$B$5*EXP(('Black-Scholes'!$B$8-'Black-Scholes'!$B$10-'Black-Scholes'!$B$9^2/2)*'Black-Scholes'!$B$7-'Black-Scholes'!$B$9*SQRT('Black-Scholes'!$B$7)*B2737)</f>
        <v>103.46508491422</v>
      </c>
      <c r="E2737" s="18" t="n">
        <f aca="false">EXP(-'Black-Scholes'!$B$8*'Black-Scholes'!$B$7)*IF(LOWER('Black-Scholes'!$B$11)="put",MAX('Black-Scholes'!$B$6-C2737,0),MAX(C2737-'Black-Scholes'!$B$6,0))</f>
        <v>2.49937796087441</v>
      </c>
      <c r="F2737" s="18" t="n">
        <f aca="false">(E2737+G2737)/2</f>
        <v>2.89773434483691</v>
      </c>
      <c r="G2737" s="18" t="n">
        <f aca="false">EXP(-'Black-Scholes'!$B$8*'Black-Scholes'!$B$7)*IF(LOWER('Black-Scholes'!$B$11)="put",MAX('Black-Scholes'!$B$6-D2737,0),MAX(D2737-'Black-Scholes'!$B$6,0))</f>
        <v>3.29609072879941</v>
      </c>
    </row>
    <row r="2738" customFormat="false" ht="15" hidden="false" customHeight="false" outlineLevel="0" collapsed="false">
      <c r="A2738" s="0" t="n">
        <v>2727</v>
      </c>
      <c r="B2738" s="15" t="n">
        <v>0.0234048714825723</v>
      </c>
      <c r="C2738" s="18" t="n">
        <f aca="false">'Black-Scholes'!$B$5*EXP(('Black-Scholes'!$B$8-'Black-Scholes'!$B$10-'Black-Scholes'!$B$9^2/2)*'Black-Scholes'!$B$7+'Black-Scholes'!$B$9*SQRT('Black-Scholes'!$B$7)*B2738)</f>
        <v>103.528937218922</v>
      </c>
      <c r="D2738" s="18" t="n">
        <f aca="false">'Black-Scholes'!$B$5*EXP(('Black-Scholes'!$B$8-'Black-Scholes'!$B$10-'Black-Scholes'!$B$9^2/2)*'Black-Scholes'!$B$7-'Black-Scholes'!$B$9*SQRT('Black-Scholes'!$B$7)*B2738)</f>
        <v>102.564227458455</v>
      </c>
      <c r="E2738" s="18" t="n">
        <f aca="false">EXP(-'Black-Scholes'!$B$8*'Black-Scholes'!$B$7)*IF(LOWER('Black-Scholes'!$B$11)="put",MAX('Black-Scholes'!$B$6-C2738,0),MAX(C2738-'Black-Scholes'!$B$6,0))</f>
        <v>3.35682891985398</v>
      </c>
      <c r="F2738" s="18" t="n">
        <f aca="false">(E2738+G2738)/2</f>
        <v>2.89799876472457</v>
      </c>
      <c r="G2738" s="18" t="n">
        <f aca="false">EXP(-'Black-Scholes'!$B$8*'Black-Scholes'!$B$7)*IF(LOWER('Black-Scholes'!$B$11)="put",MAX('Black-Scholes'!$B$6-D2738,0),MAX(D2738-'Black-Scholes'!$B$6,0))</f>
        <v>2.43916860959515</v>
      </c>
    </row>
    <row r="2739" customFormat="false" ht="15" hidden="false" customHeight="false" outlineLevel="0" collapsed="false">
      <c r="A2739" s="0" t="n">
        <v>2728</v>
      </c>
      <c r="B2739" s="15" t="n">
        <v>1.22516371109777</v>
      </c>
      <c r="C2739" s="18" t="n">
        <f aca="false">'Black-Scholes'!$B$5*EXP(('Black-Scholes'!$B$8-'Black-Scholes'!$B$10-'Black-Scholes'!$B$9^2/2)*'Black-Scholes'!$B$7+'Black-Scholes'!$B$9*SQRT('Black-Scholes'!$B$7)*B2739)</f>
        <v>131.657378170973</v>
      </c>
      <c r="D2739" s="18" t="n">
        <f aca="false">'Black-Scholes'!$B$5*EXP(('Black-Scholes'!$B$8-'Black-Scholes'!$B$10-'Black-Scholes'!$B$9^2/2)*'Black-Scholes'!$B$7-'Black-Scholes'!$B$9*SQRT('Black-Scholes'!$B$7)*B2739)</f>
        <v>80.6515032652736</v>
      </c>
      <c r="E2739" s="18" t="n">
        <f aca="false">EXP(-'Black-Scholes'!$B$8*'Black-Scholes'!$B$7)*IF(LOWER('Black-Scholes'!$B$11)="put",MAX('Black-Scholes'!$B$6-C2739,0),MAX(C2739-'Black-Scholes'!$B$6,0))</f>
        <v>30.1134296187762</v>
      </c>
      <c r="F2739" s="18" t="n">
        <f aca="false">(E2739+G2739)/2</f>
        <v>15.0567148093881</v>
      </c>
      <c r="G2739" s="18" t="n">
        <f aca="false">EXP(-'Black-Scholes'!$B$8*'Black-Scholes'!$B$7)*IF(LOWER('Black-Scholes'!$B$11)="put",MAX('Black-Scholes'!$B$6-D2739,0),MAX(D2739-'Black-Scholes'!$B$6,0))</f>
        <v>0</v>
      </c>
    </row>
    <row r="2740" customFormat="false" ht="15" hidden="false" customHeight="false" outlineLevel="0" collapsed="false">
      <c r="A2740" s="0" t="n">
        <v>2729</v>
      </c>
      <c r="B2740" s="15" t="n">
        <v>-0.365378438840969</v>
      </c>
      <c r="C2740" s="18" t="n">
        <f aca="false">'Black-Scholes'!$B$5*EXP(('Black-Scholes'!$B$8-'Black-Scholes'!$B$10-'Black-Scholes'!$B$9^2/2)*'Black-Scholes'!$B$7+'Black-Scholes'!$B$9*SQRT('Black-Scholes'!$B$7)*B2740)</f>
        <v>95.7838890635484</v>
      </c>
      <c r="D2740" s="18" t="n">
        <f aca="false">'Black-Scholes'!$B$5*EXP(('Black-Scholes'!$B$8-'Black-Scholes'!$B$10-'Black-Scholes'!$B$9^2/2)*'Black-Scholes'!$B$7-'Black-Scholes'!$B$9*SQRT('Black-Scholes'!$B$7)*B2740)</f>
        <v>110.857531149198</v>
      </c>
      <c r="E2740" s="18" t="n">
        <f aca="false">EXP(-'Black-Scholes'!$B$8*'Black-Scholes'!$B$7)*IF(LOWER('Black-Scholes'!$B$11)="put",MAX('Black-Scholes'!$B$6-C2740,0),MAX(C2740-'Black-Scholes'!$B$6,0))</f>
        <v>0</v>
      </c>
      <c r="F2740" s="18" t="n">
        <f aca="false">(E2740+G2740)/2</f>
        <v>5.16400155327488</v>
      </c>
      <c r="G2740" s="18" t="n">
        <f aca="false">EXP(-'Black-Scholes'!$B$8*'Black-Scholes'!$B$7)*IF(LOWER('Black-Scholes'!$B$11)="put",MAX('Black-Scholes'!$B$6-D2740,0),MAX(D2740-'Black-Scholes'!$B$6,0))</f>
        <v>10.3280031065498</v>
      </c>
    </row>
    <row r="2741" customFormat="false" ht="15" hidden="false" customHeight="false" outlineLevel="0" collapsed="false">
      <c r="A2741" s="0" t="n">
        <v>2730</v>
      </c>
      <c r="B2741" s="15" t="n">
        <v>0.584549906071287</v>
      </c>
      <c r="C2741" s="18" t="n">
        <f aca="false">'Black-Scholes'!$B$5*EXP(('Black-Scholes'!$B$8-'Black-Scholes'!$B$10-'Black-Scholes'!$B$9^2/2)*'Black-Scholes'!$B$7+'Black-Scholes'!$B$9*SQRT('Black-Scholes'!$B$7)*B2741)</f>
        <v>115.824969410579</v>
      </c>
      <c r="D2741" s="18" t="n">
        <f aca="false">'Black-Scholes'!$B$5*EXP(('Black-Scholes'!$B$8-'Black-Scholes'!$B$10-'Black-Scholes'!$B$9^2/2)*'Black-Scholes'!$B$7-'Black-Scholes'!$B$9*SQRT('Black-Scholes'!$B$7)*B2741)</f>
        <v>91.6759617506423</v>
      </c>
      <c r="E2741" s="18" t="n">
        <f aca="false">EXP(-'Black-Scholes'!$B$8*'Black-Scholes'!$B$7)*IF(LOWER('Black-Scholes'!$B$11)="put",MAX('Black-Scholes'!$B$6-C2741,0),MAX(C2741-'Black-Scholes'!$B$6,0))</f>
        <v>15.0531765451669</v>
      </c>
      <c r="F2741" s="18" t="n">
        <f aca="false">(E2741+G2741)/2</f>
        <v>7.52658827258344</v>
      </c>
      <c r="G2741" s="18" t="n">
        <f aca="false">EXP(-'Black-Scholes'!$B$8*'Black-Scholes'!$B$7)*IF(LOWER('Black-Scholes'!$B$11)="put",MAX('Black-Scholes'!$B$6-D2741,0),MAX(D2741-'Black-Scholes'!$B$6,0))</f>
        <v>0</v>
      </c>
    </row>
    <row r="2742" customFormat="false" ht="15" hidden="false" customHeight="false" outlineLevel="0" collapsed="false">
      <c r="A2742" s="0" t="n">
        <v>2731</v>
      </c>
      <c r="B2742" s="15" t="n">
        <v>1.72116920009095</v>
      </c>
      <c r="C2742" s="18" t="n">
        <f aca="false">'Black-Scholes'!$B$5*EXP(('Black-Scholes'!$B$8-'Black-Scholes'!$B$10-'Black-Scholes'!$B$9^2/2)*'Black-Scholes'!$B$7+'Black-Scholes'!$B$9*SQRT('Black-Scholes'!$B$7)*B2742)</f>
        <v>145.38770853542</v>
      </c>
      <c r="D2742" s="18" t="n">
        <f aca="false">'Black-Scholes'!$B$5*EXP(('Black-Scholes'!$B$8-'Black-Scholes'!$B$10-'Black-Scholes'!$B$9^2/2)*'Black-Scholes'!$B$7-'Black-Scholes'!$B$9*SQRT('Black-Scholes'!$B$7)*B2742)</f>
        <v>73.0348223547848</v>
      </c>
      <c r="E2742" s="18" t="n">
        <f aca="false">EXP(-'Black-Scholes'!$B$8*'Black-Scholes'!$B$7)*IF(LOWER('Black-Scholes'!$B$11)="put",MAX('Black-Scholes'!$B$6-C2742,0),MAX(C2742-'Black-Scholes'!$B$6,0))</f>
        <v>43.1741238695534</v>
      </c>
      <c r="F2742" s="18" t="n">
        <f aca="false">(E2742+G2742)/2</f>
        <v>21.5870619347767</v>
      </c>
      <c r="G2742" s="18" t="n">
        <f aca="false">EXP(-'Black-Scholes'!$B$8*'Black-Scholes'!$B$7)*IF(LOWER('Black-Scholes'!$B$11)="put",MAX('Black-Scholes'!$B$6-D2742,0),MAX(D2742-'Black-Scholes'!$B$6,0))</f>
        <v>0</v>
      </c>
    </row>
    <row r="2743" customFormat="false" ht="15" hidden="false" customHeight="false" outlineLevel="0" collapsed="false">
      <c r="A2743" s="0" t="n">
        <v>2732</v>
      </c>
      <c r="B2743" s="15" t="n">
        <v>-0.389287908718483</v>
      </c>
      <c r="C2743" s="18" t="n">
        <f aca="false">'Black-Scholes'!$B$5*EXP(('Black-Scholes'!$B$8-'Black-Scholes'!$B$10-'Black-Scholes'!$B$9^2/2)*'Black-Scholes'!$B$7+'Black-Scholes'!$B$9*SQRT('Black-Scholes'!$B$7)*B2743)</f>
        <v>95.326954039613</v>
      </c>
      <c r="D2743" s="18" t="n">
        <f aca="false">'Black-Scholes'!$B$5*EXP(('Black-Scholes'!$B$8-'Black-Scholes'!$B$10-'Black-Scholes'!$B$9^2/2)*'Black-Scholes'!$B$7-'Black-Scholes'!$B$9*SQRT('Black-Scholes'!$B$7)*B2743)</f>
        <v>111.388909594669</v>
      </c>
      <c r="E2743" s="18" t="n">
        <f aca="false">EXP(-'Black-Scholes'!$B$8*'Black-Scholes'!$B$7)*IF(LOWER('Black-Scholes'!$B$11)="put",MAX('Black-Scholes'!$B$6-C2743,0),MAX(C2743-'Black-Scholes'!$B$6,0))</f>
        <v>0</v>
      </c>
      <c r="F2743" s="18" t="n">
        <f aca="false">(E2743+G2743)/2</f>
        <v>5.41673295971371</v>
      </c>
      <c r="G2743" s="18" t="n">
        <f aca="false">EXP(-'Black-Scholes'!$B$8*'Black-Scholes'!$B$7)*IF(LOWER('Black-Scholes'!$B$11)="put",MAX('Black-Scholes'!$B$6-D2743,0),MAX(D2743-'Black-Scholes'!$B$6,0))</f>
        <v>10.8334659194274</v>
      </c>
    </row>
    <row r="2744" customFormat="false" ht="15" hidden="false" customHeight="false" outlineLevel="0" collapsed="false">
      <c r="A2744" s="0" t="n">
        <v>2733</v>
      </c>
      <c r="B2744" s="15" t="n">
        <v>0.639585690122117</v>
      </c>
      <c r="C2744" s="18" t="n">
        <f aca="false">'Black-Scholes'!$B$5*EXP(('Black-Scholes'!$B$8-'Black-Scholes'!$B$10-'Black-Scholes'!$B$9^2/2)*'Black-Scholes'!$B$7+'Black-Scholes'!$B$9*SQRT('Black-Scholes'!$B$7)*B2744)</f>
        <v>117.106915358361</v>
      </c>
      <c r="D2744" s="18" t="n">
        <f aca="false">'Black-Scholes'!$B$5*EXP(('Black-Scholes'!$B$8-'Black-Scholes'!$B$10-'Black-Scholes'!$B$9^2/2)*'Black-Scholes'!$B$7-'Black-Scholes'!$B$9*SQRT('Black-Scholes'!$B$7)*B2744)</f>
        <v>90.6724033585901</v>
      </c>
      <c r="E2744" s="18" t="n">
        <f aca="false">EXP(-'Black-Scholes'!$B$8*'Black-Scholes'!$B$7)*IF(LOWER('Black-Scholes'!$B$11)="put",MAX('Black-Scholes'!$B$6-C2744,0),MAX(C2744-'Black-Scholes'!$B$6,0))</f>
        <v>16.2726012513164</v>
      </c>
      <c r="F2744" s="18" t="n">
        <f aca="false">(E2744+G2744)/2</f>
        <v>8.13630062565821</v>
      </c>
      <c r="G2744" s="18" t="n">
        <f aca="false">EXP(-'Black-Scholes'!$B$8*'Black-Scholes'!$B$7)*IF(LOWER('Black-Scholes'!$B$11)="put",MAX('Black-Scholes'!$B$6-D2744,0),MAX(D2744-'Black-Scholes'!$B$6,0))</f>
        <v>0</v>
      </c>
    </row>
    <row r="2745" customFormat="false" ht="15" hidden="false" customHeight="false" outlineLevel="0" collapsed="false">
      <c r="A2745" s="0" t="n">
        <v>2734</v>
      </c>
      <c r="B2745" s="15" t="n">
        <v>-0.204007314345993</v>
      </c>
      <c r="C2745" s="18" t="n">
        <f aca="false">'Black-Scholes'!$B$5*EXP(('Black-Scholes'!$B$8-'Black-Scholes'!$B$10-'Black-Scholes'!$B$9^2/2)*'Black-Scholes'!$B$7+'Black-Scholes'!$B$9*SQRT('Black-Scholes'!$B$7)*B2745)</f>
        <v>98.9256663459487</v>
      </c>
      <c r="D2745" s="18" t="n">
        <f aca="false">'Black-Scholes'!$B$5*EXP(('Black-Scholes'!$B$8-'Black-Scholes'!$B$10-'Black-Scholes'!$B$9^2/2)*'Black-Scholes'!$B$7-'Black-Scholes'!$B$9*SQRT('Black-Scholes'!$B$7)*B2745)</f>
        <v>107.336810128936</v>
      </c>
      <c r="E2745" s="18" t="n">
        <f aca="false">EXP(-'Black-Scholes'!$B$8*'Black-Scholes'!$B$7)*IF(LOWER('Black-Scholes'!$B$11)="put",MAX('Black-Scholes'!$B$6-C2745,0),MAX(C2745-'Black-Scholes'!$B$6,0))</f>
        <v>0</v>
      </c>
      <c r="F2745" s="18" t="n">
        <f aca="false">(E2745+G2745)/2</f>
        <v>3.48949483830952</v>
      </c>
      <c r="G2745" s="18" t="n">
        <f aca="false">EXP(-'Black-Scholes'!$B$8*'Black-Scholes'!$B$7)*IF(LOWER('Black-Scholes'!$B$11)="put",MAX('Black-Scholes'!$B$6-D2745,0),MAX(D2745-'Black-Scholes'!$B$6,0))</f>
        <v>6.97898967661904</v>
      </c>
    </row>
    <row r="2746" customFormat="false" ht="15" hidden="false" customHeight="false" outlineLevel="0" collapsed="false">
      <c r="A2746" s="0" t="n">
        <v>2735</v>
      </c>
      <c r="B2746" s="15" t="n">
        <v>0.773201793604325</v>
      </c>
      <c r="C2746" s="18" t="n">
        <f aca="false">'Black-Scholes'!$B$5*EXP(('Black-Scholes'!$B$8-'Black-Scholes'!$B$10-'Black-Scholes'!$B$9^2/2)*'Black-Scholes'!$B$7+'Black-Scholes'!$B$9*SQRT('Black-Scholes'!$B$7)*B2746)</f>
        <v>120.278579091273</v>
      </c>
      <c r="D2746" s="18" t="n">
        <f aca="false">'Black-Scholes'!$B$5*EXP(('Black-Scholes'!$B$8-'Black-Scholes'!$B$10-'Black-Scholes'!$B$9^2/2)*'Black-Scholes'!$B$7-'Black-Scholes'!$B$9*SQRT('Black-Scholes'!$B$7)*B2746)</f>
        <v>88.2814341978207</v>
      </c>
      <c r="E2746" s="18" t="n">
        <f aca="false">EXP(-'Black-Scholes'!$B$8*'Black-Scholes'!$B$7)*IF(LOWER('Black-Scholes'!$B$11)="put",MAX('Black-Scholes'!$B$6-C2746,0),MAX(C2746-'Black-Scholes'!$B$6,0))</f>
        <v>19.2895811186839</v>
      </c>
      <c r="F2746" s="18" t="n">
        <f aca="false">(E2746+G2746)/2</f>
        <v>9.64479055934196</v>
      </c>
      <c r="G2746" s="18" t="n">
        <f aca="false">EXP(-'Black-Scholes'!$B$8*'Black-Scholes'!$B$7)*IF(LOWER('Black-Scholes'!$B$11)="put",MAX('Black-Scholes'!$B$6-D2746,0),MAX(D2746-'Black-Scholes'!$B$6,0))</f>
        <v>0</v>
      </c>
    </row>
    <row r="2747" customFormat="false" ht="15" hidden="false" customHeight="false" outlineLevel="0" collapsed="false">
      <c r="A2747" s="0" t="n">
        <v>2736</v>
      </c>
      <c r="B2747" s="15" t="n">
        <v>0.685809149097839</v>
      </c>
      <c r="C2747" s="18" t="n">
        <f aca="false">'Black-Scholes'!$B$5*EXP(('Black-Scholes'!$B$8-'Black-Scholes'!$B$10-'Black-Scholes'!$B$9^2/2)*'Black-Scholes'!$B$7+'Black-Scholes'!$B$9*SQRT('Black-Scholes'!$B$7)*B2747)</f>
        <v>118.194552386314</v>
      </c>
      <c r="D2747" s="18" t="n">
        <f aca="false">'Black-Scholes'!$B$5*EXP(('Black-Scholes'!$B$8-'Black-Scholes'!$B$10-'Black-Scholes'!$B$9^2/2)*'Black-Scholes'!$B$7-'Black-Scholes'!$B$9*SQRT('Black-Scholes'!$B$7)*B2747)</f>
        <v>89.8380276507829</v>
      </c>
      <c r="E2747" s="18" t="n">
        <f aca="false">EXP(-'Black-Scholes'!$B$8*'Black-Scholes'!$B$7)*IF(LOWER('Black-Scholes'!$B$11)="put",MAX('Black-Scholes'!$B$6-C2747,0),MAX(C2747-'Black-Scholes'!$B$6,0))</f>
        <v>17.3071935954817</v>
      </c>
      <c r="F2747" s="18" t="n">
        <f aca="false">(E2747+G2747)/2</f>
        <v>8.65359679774083</v>
      </c>
      <c r="G2747" s="18" t="n">
        <f aca="false">EXP(-'Black-Scholes'!$B$8*'Black-Scholes'!$B$7)*IF(LOWER('Black-Scholes'!$B$11)="put",MAX('Black-Scholes'!$B$6-D2747,0),MAX(D2747-'Black-Scholes'!$B$6,0))</f>
        <v>0</v>
      </c>
    </row>
    <row r="2748" customFormat="false" ht="15" hidden="false" customHeight="false" outlineLevel="0" collapsed="false">
      <c r="A2748" s="0" t="n">
        <v>2737</v>
      </c>
      <c r="B2748" s="15" t="n">
        <v>-0.0304514381307686</v>
      </c>
      <c r="C2748" s="18" t="n">
        <f aca="false">'Black-Scholes'!$B$5*EXP(('Black-Scholes'!$B$8-'Black-Scholes'!$B$10-'Black-Scholes'!$B$9^2/2)*'Black-Scholes'!$B$7+'Black-Scholes'!$B$9*SQRT('Black-Scholes'!$B$7)*B2748)</f>
        <v>102.419784132413</v>
      </c>
      <c r="D2748" s="18" t="n">
        <f aca="false">'Black-Scholes'!$B$5*EXP(('Black-Scholes'!$B$8-'Black-Scholes'!$B$10-'Black-Scholes'!$B$9^2/2)*'Black-Scholes'!$B$7-'Black-Scholes'!$B$9*SQRT('Black-Scholes'!$B$7)*B2748)</f>
        <v>103.67494479119</v>
      </c>
      <c r="E2748" s="18" t="n">
        <f aca="false">EXP(-'Black-Scholes'!$B$8*'Black-Scholes'!$B$7)*IF(LOWER('Black-Scholes'!$B$11)="put",MAX('Black-Scholes'!$B$6-C2748,0),MAX(C2748-'Black-Scholes'!$B$6,0))</f>
        <v>2.30176986769161</v>
      </c>
      <c r="F2748" s="18" t="n">
        <f aca="false">(E2748+G2748)/2</f>
        <v>2.89874274324374</v>
      </c>
      <c r="G2748" s="18" t="n">
        <f aca="false">EXP(-'Black-Scholes'!$B$8*'Black-Scholes'!$B$7)*IF(LOWER('Black-Scholes'!$B$11)="put",MAX('Black-Scholes'!$B$6-D2748,0),MAX(D2748-'Black-Scholes'!$B$6,0))</f>
        <v>3.49571561879587</v>
      </c>
    </row>
    <row r="2749" customFormat="false" ht="15" hidden="false" customHeight="false" outlineLevel="0" collapsed="false">
      <c r="A2749" s="0" t="n">
        <v>2738</v>
      </c>
      <c r="B2749" s="15" t="n">
        <v>-0.139184646039967</v>
      </c>
      <c r="C2749" s="18" t="n">
        <f aca="false">'Black-Scholes'!$B$5*EXP(('Black-Scholes'!$B$8-'Black-Scholes'!$B$10-'Black-Scholes'!$B$9^2/2)*'Black-Scholes'!$B$7+'Black-Scholes'!$B$9*SQRT('Black-Scholes'!$B$7)*B2749)</f>
        <v>100.216541191733</v>
      </c>
      <c r="D2749" s="18" t="n">
        <f aca="false">'Black-Scholes'!$B$5*EXP(('Black-Scholes'!$B$8-'Black-Scholes'!$B$10-'Black-Scholes'!$B$9^2/2)*'Black-Scholes'!$B$7-'Black-Scholes'!$B$9*SQRT('Black-Scholes'!$B$7)*B2749)</f>
        <v>105.954220123588</v>
      </c>
      <c r="E2749" s="18" t="n">
        <f aca="false">EXP(-'Black-Scholes'!$B$8*'Black-Scholes'!$B$7)*IF(LOWER('Black-Scholes'!$B$11)="put",MAX('Black-Scholes'!$B$6-C2749,0),MAX(C2749-'Black-Scholes'!$B$6,0))</f>
        <v>0.2059803531933</v>
      </c>
      <c r="F2749" s="18" t="n">
        <f aca="false">(E2749+G2749)/2</f>
        <v>2.93490486735246</v>
      </c>
      <c r="G2749" s="18" t="n">
        <f aca="false">EXP(-'Black-Scholes'!$B$8*'Black-Scholes'!$B$7)*IF(LOWER('Black-Scholes'!$B$11)="put",MAX('Black-Scholes'!$B$6-D2749,0),MAX(D2749-'Black-Scholes'!$B$6,0))</f>
        <v>5.66382938151162</v>
      </c>
    </row>
    <row r="2750" customFormat="false" ht="15" hidden="false" customHeight="false" outlineLevel="0" collapsed="false">
      <c r="A2750" s="0" t="n">
        <v>2739</v>
      </c>
      <c r="B2750" s="15" t="n">
        <v>0.953180629243529</v>
      </c>
      <c r="C2750" s="18" t="n">
        <f aca="false">'Black-Scholes'!$B$5*EXP(('Black-Scholes'!$B$8-'Black-Scholes'!$B$10-'Black-Scholes'!$B$9^2/2)*'Black-Scholes'!$B$7+'Black-Scholes'!$B$9*SQRT('Black-Scholes'!$B$7)*B2750)</f>
        <v>124.686964437492</v>
      </c>
      <c r="D2750" s="18" t="n">
        <f aca="false">'Black-Scholes'!$B$5*EXP(('Black-Scholes'!$B$8-'Black-Scholes'!$B$10-'Black-Scholes'!$B$9^2/2)*'Black-Scholes'!$B$7-'Black-Scholes'!$B$9*SQRT('Black-Scholes'!$B$7)*B2750)</f>
        <v>85.1601890651272</v>
      </c>
      <c r="E2750" s="18" t="n">
        <f aca="false">EXP(-'Black-Scholes'!$B$8*'Black-Scholes'!$B$7)*IF(LOWER('Black-Scholes'!$B$11)="put",MAX('Black-Scholes'!$B$6-C2750,0),MAX(C2750-'Black-Scholes'!$B$6,0))</f>
        <v>23.4829669745449</v>
      </c>
      <c r="F2750" s="18" t="n">
        <f aca="false">(E2750+G2750)/2</f>
        <v>11.7414834872725</v>
      </c>
      <c r="G2750" s="18" t="n">
        <f aca="false">EXP(-'Black-Scholes'!$B$8*'Black-Scholes'!$B$7)*IF(LOWER('Black-Scholes'!$B$11)="put",MAX('Black-Scholes'!$B$6-D2750,0),MAX(D2750-'Black-Scholes'!$B$6,0))</f>
        <v>0</v>
      </c>
    </row>
    <row r="2751" customFormat="false" ht="15" hidden="false" customHeight="false" outlineLevel="0" collapsed="false">
      <c r="A2751" s="0" t="n">
        <v>2740</v>
      </c>
      <c r="B2751" s="15" t="n">
        <v>-0.440057626137167</v>
      </c>
      <c r="C2751" s="18" t="n">
        <f aca="false">'Black-Scholes'!$B$5*EXP(('Black-Scholes'!$B$8-'Black-Scholes'!$B$10-'Black-Scholes'!$B$9^2/2)*'Black-Scholes'!$B$7+'Black-Scholes'!$B$9*SQRT('Black-Scholes'!$B$7)*B2751)</f>
        <v>94.363907171921</v>
      </c>
      <c r="D2751" s="18" t="n">
        <f aca="false">'Black-Scholes'!$B$5*EXP(('Black-Scholes'!$B$8-'Black-Scholes'!$B$10-'Black-Scholes'!$B$9^2/2)*'Black-Scholes'!$B$7-'Black-Scholes'!$B$9*SQRT('Black-Scholes'!$B$7)*B2751)</f>
        <v>112.525708013638</v>
      </c>
      <c r="E2751" s="18" t="n">
        <f aca="false">EXP(-'Black-Scholes'!$B$8*'Black-Scholes'!$B$7)*IF(LOWER('Black-Scholes'!$B$11)="put",MAX('Black-Scholes'!$B$6-C2751,0),MAX(C2751-'Black-Scholes'!$B$6,0))</f>
        <v>0</v>
      </c>
      <c r="F2751" s="18" t="n">
        <f aca="false">(E2751+G2751)/2</f>
        <v>5.95741101263832</v>
      </c>
      <c r="G2751" s="18" t="n">
        <f aca="false">EXP(-'Black-Scholes'!$B$8*'Black-Scholes'!$B$7)*IF(LOWER('Black-Scholes'!$B$11)="put",MAX('Black-Scholes'!$B$6-D2751,0),MAX(D2751-'Black-Scholes'!$B$6,0))</f>
        <v>11.9148220252766</v>
      </c>
    </row>
    <row r="2752" customFormat="false" ht="15" hidden="false" customHeight="false" outlineLevel="0" collapsed="false">
      <c r="A2752" s="0" t="n">
        <v>2741</v>
      </c>
      <c r="B2752" s="15" t="n">
        <v>0.0688882004964892</v>
      </c>
      <c r="C2752" s="18" t="n">
        <f aca="false">'Black-Scholes'!$B$5*EXP(('Black-Scholes'!$B$8-'Black-Scholes'!$B$10-'Black-Scholes'!$B$9^2/2)*'Black-Scholes'!$B$7+'Black-Scholes'!$B$9*SQRT('Black-Scholes'!$B$7)*B2752)</f>
        <v>104.475001854788</v>
      </c>
      <c r="D2752" s="18" t="n">
        <f aca="false">'Black-Scholes'!$B$5*EXP(('Black-Scholes'!$B$8-'Black-Scholes'!$B$10-'Black-Scholes'!$B$9^2/2)*'Black-Scholes'!$B$7-'Black-Scholes'!$B$9*SQRT('Black-Scholes'!$B$7)*B2752)</f>
        <v>101.635465680224</v>
      </c>
      <c r="E2752" s="18" t="n">
        <f aca="false">EXP(-'Black-Scholes'!$B$8*'Black-Scholes'!$B$7)*IF(LOWER('Black-Scholes'!$B$11)="put",MAX('Black-Scholes'!$B$6-C2752,0),MAX(C2752-'Black-Scholes'!$B$6,0))</f>
        <v>4.25675343896918</v>
      </c>
      <c r="F2752" s="18" t="n">
        <f aca="false">(E2752+G2752)/2</f>
        <v>2.90622825837965</v>
      </c>
      <c r="G2752" s="18" t="n">
        <f aca="false">EXP(-'Black-Scholes'!$B$8*'Black-Scholes'!$B$7)*IF(LOWER('Black-Scholes'!$B$11)="put",MAX('Black-Scholes'!$B$6-D2752,0),MAX(D2752-'Black-Scholes'!$B$6,0))</f>
        <v>1.55570307779013</v>
      </c>
    </row>
    <row r="2753" customFormat="false" ht="15" hidden="false" customHeight="false" outlineLevel="0" collapsed="false">
      <c r="A2753" s="0" t="n">
        <v>2742</v>
      </c>
      <c r="B2753" s="15" t="n">
        <v>-1.29213638981911</v>
      </c>
      <c r="C2753" s="18" t="n">
        <f aca="false">'Black-Scholes'!$B$5*EXP(('Black-Scholes'!$B$8-'Black-Scholes'!$B$10-'Black-Scholes'!$B$9^2/2)*'Black-Scholes'!$B$7+'Black-Scholes'!$B$9*SQRT('Black-Scholes'!$B$7)*B2753)</f>
        <v>79.5784166145207</v>
      </c>
      <c r="D2753" s="18" t="n">
        <f aca="false">'Black-Scholes'!$B$5*EXP(('Black-Scholes'!$B$8-'Black-Scholes'!$B$10-'Black-Scholes'!$B$9^2/2)*'Black-Scholes'!$B$7-'Black-Scholes'!$B$9*SQRT('Black-Scholes'!$B$7)*B2753)</f>
        <v>133.432731099554</v>
      </c>
      <c r="E2753" s="18" t="n">
        <f aca="false">EXP(-'Black-Scholes'!$B$8*'Black-Scholes'!$B$7)*IF(LOWER('Black-Scholes'!$B$11)="put",MAX('Black-Scholes'!$B$6-C2753,0),MAX(C2753-'Black-Scholes'!$B$6,0))</f>
        <v>0</v>
      </c>
      <c r="F2753" s="18" t="n">
        <f aca="false">(E2753+G2753)/2</f>
        <v>15.9010987816578</v>
      </c>
      <c r="G2753" s="18" t="n">
        <f aca="false">EXP(-'Black-Scholes'!$B$8*'Black-Scholes'!$B$7)*IF(LOWER('Black-Scholes'!$B$11)="put",MAX('Black-Scholes'!$B$6-D2753,0),MAX(D2753-'Black-Scholes'!$B$6,0))</f>
        <v>31.8021975633156</v>
      </c>
    </row>
    <row r="2754" customFormat="false" ht="15" hidden="false" customHeight="false" outlineLevel="0" collapsed="false">
      <c r="A2754" s="0" t="n">
        <v>2743</v>
      </c>
      <c r="B2754" s="15" t="n">
        <v>1.35742041975943</v>
      </c>
      <c r="C2754" s="18" t="n">
        <f aca="false">'Black-Scholes'!$B$5*EXP(('Black-Scholes'!$B$8-'Black-Scholes'!$B$10-'Black-Scholes'!$B$9^2/2)*'Black-Scholes'!$B$7+'Black-Scholes'!$B$9*SQRT('Black-Scholes'!$B$7)*B2754)</f>
        <v>135.18635986408</v>
      </c>
      <c r="D2754" s="18" t="n">
        <f aca="false">'Black-Scholes'!$B$5*EXP(('Black-Scholes'!$B$8-'Black-Scholes'!$B$10-'Black-Scholes'!$B$9^2/2)*'Black-Scholes'!$B$7-'Black-Scholes'!$B$9*SQRT('Black-Scholes'!$B$7)*B2754)</f>
        <v>78.5461305129423</v>
      </c>
      <c r="E2754" s="18" t="n">
        <f aca="false">EXP(-'Black-Scholes'!$B$8*'Black-Scholes'!$B$7)*IF(LOWER('Black-Scholes'!$B$11)="put",MAX('Black-Scholes'!$B$6-C2754,0),MAX(C2754-'Black-Scholes'!$B$6,0))</f>
        <v>33.4703008437836</v>
      </c>
      <c r="F2754" s="18" t="n">
        <f aca="false">(E2754+G2754)/2</f>
        <v>16.7351504218918</v>
      </c>
      <c r="G2754" s="18" t="n">
        <f aca="false">EXP(-'Black-Scholes'!$B$8*'Black-Scholes'!$B$7)*IF(LOWER('Black-Scholes'!$B$11)="put",MAX('Black-Scholes'!$B$6-D2754,0),MAX(D2754-'Black-Scholes'!$B$6,0))</f>
        <v>0</v>
      </c>
    </row>
    <row r="2755" customFormat="false" ht="15" hidden="false" customHeight="false" outlineLevel="0" collapsed="false">
      <c r="A2755" s="0" t="n">
        <v>2744</v>
      </c>
      <c r="B2755" s="15" t="n">
        <v>-1.01547358773084</v>
      </c>
      <c r="C2755" s="18" t="n">
        <f aca="false">'Black-Scholes'!$B$5*EXP(('Black-Scholes'!$B$8-'Black-Scholes'!$B$10-'Black-Scholes'!$B$9^2/2)*'Black-Scholes'!$B$7+'Black-Scholes'!$B$9*SQRT('Black-Scholes'!$B$7)*B2755)</f>
        <v>84.1057948126733</v>
      </c>
      <c r="D2755" s="18" t="n">
        <f aca="false">'Black-Scholes'!$B$5*EXP(('Black-Scholes'!$B$8-'Black-Scholes'!$B$10-'Black-Scholes'!$B$9^2/2)*'Black-Scholes'!$B$7-'Black-Scholes'!$B$9*SQRT('Black-Scholes'!$B$7)*B2755)</f>
        <v>126.250105466616</v>
      </c>
      <c r="E2755" s="18" t="n">
        <f aca="false">EXP(-'Black-Scholes'!$B$8*'Black-Scholes'!$B$7)*IF(LOWER('Black-Scholes'!$B$11)="put",MAX('Black-Scholes'!$B$6-C2755,0),MAX(C2755-'Black-Scholes'!$B$6,0))</f>
        <v>0</v>
      </c>
      <c r="F2755" s="18" t="n">
        <f aca="false">(E2755+G2755)/2</f>
        <v>12.4849363580462</v>
      </c>
      <c r="G2755" s="18" t="n">
        <f aca="false">EXP(-'Black-Scholes'!$B$8*'Black-Scholes'!$B$7)*IF(LOWER('Black-Scholes'!$B$11)="put",MAX('Black-Scholes'!$B$6-D2755,0),MAX(D2755-'Black-Scholes'!$B$6,0))</f>
        <v>24.9698727160924</v>
      </c>
    </row>
    <row r="2756" customFormat="false" ht="15" hidden="false" customHeight="false" outlineLevel="0" collapsed="false">
      <c r="A2756" s="0" t="n">
        <v>2745</v>
      </c>
      <c r="B2756" s="15" t="n">
        <v>-1.46512018226303</v>
      </c>
      <c r="C2756" s="18" t="n">
        <f aca="false">'Black-Scholes'!$B$5*EXP(('Black-Scholes'!$B$8-'Black-Scholes'!$B$10-'Black-Scholes'!$B$9^2/2)*'Black-Scholes'!$B$7+'Black-Scholes'!$B$9*SQRT('Black-Scholes'!$B$7)*B2756)</f>
        <v>76.8723419705048</v>
      </c>
      <c r="D2756" s="18" t="n">
        <f aca="false">'Black-Scholes'!$B$5*EXP(('Black-Scholes'!$B$8-'Black-Scholes'!$B$10-'Black-Scholes'!$B$9^2/2)*'Black-Scholes'!$B$7-'Black-Scholes'!$B$9*SQRT('Black-Scholes'!$B$7)*B2756)</f>
        <v>138.129855202379</v>
      </c>
      <c r="E2756" s="18" t="n">
        <f aca="false">EXP(-'Black-Scholes'!$B$8*'Black-Scholes'!$B$7)*IF(LOWER('Black-Scholes'!$B$11)="put",MAX('Black-Scholes'!$B$6-C2756,0),MAX(C2756-'Black-Scholes'!$B$6,0))</f>
        <v>0</v>
      </c>
      <c r="F2756" s="18" t="n">
        <f aca="false">(E2756+G2756)/2</f>
        <v>18.1351201102273</v>
      </c>
      <c r="G2756" s="18" t="n">
        <f aca="false">EXP(-'Black-Scholes'!$B$8*'Black-Scholes'!$B$7)*IF(LOWER('Black-Scholes'!$B$11)="put",MAX('Black-Scholes'!$B$6-D2756,0),MAX(D2756-'Black-Scholes'!$B$6,0))</f>
        <v>36.2702402204546</v>
      </c>
    </row>
    <row r="2757" customFormat="false" ht="15" hidden="false" customHeight="false" outlineLevel="0" collapsed="false">
      <c r="A2757" s="0" t="n">
        <v>2746</v>
      </c>
      <c r="B2757" s="15" t="n">
        <v>-0.743161958087597</v>
      </c>
      <c r="C2757" s="18" t="n">
        <f aca="false">'Black-Scholes'!$B$5*EXP(('Black-Scholes'!$B$8-'Black-Scholes'!$B$10-'Black-Scholes'!$B$9^2/2)*'Black-Scholes'!$B$7+'Black-Scholes'!$B$9*SQRT('Black-Scholes'!$B$7)*B2757)</f>
        <v>88.8134226346256</v>
      </c>
      <c r="D2757" s="18" t="n">
        <f aca="false">'Black-Scholes'!$B$5*EXP(('Black-Scholes'!$B$8-'Black-Scholes'!$B$10-'Black-Scholes'!$B$9^2/2)*'Black-Scholes'!$B$7-'Black-Scholes'!$B$9*SQRT('Black-Scholes'!$B$7)*B2757)</f>
        <v>119.558115771949</v>
      </c>
      <c r="E2757" s="18" t="n">
        <f aca="false">EXP(-'Black-Scholes'!$B$8*'Black-Scholes'!$B$7)*IF(LOWER('Black-Scholes'!$B$11)="put",MAX('Black-Scholes'!$B$6-C2757,0),MAX(C2757-'Black-Scholes'!$B$6,0))</f>
        <v>0</v>
      </c>
      <c r="F2757" s="18" t="n">
        <f aca="false">(E2757+G2757)/2</f>
        <v>9.30212760503463</v>
      </c>
      <c r="G2757" s="18" t="n">
        <f aca="false">EXP(-'Black-Scholes'!$B$8*'Black-Scholes'!$B$7)*IF(LOWER('Black-Scholes'!$B$11)="put",MAX('Black-Scholes'!$B$6-D2757,0),MAX(D2757-'Black-Scholes'!$B$6,0))</f>
        <v>18.6042552100693</v>
      </c>
    </row>
    <row r="2758" customFormat="false" ht="15" hidden="false" customHeight="false" outlineLevel="0" collapsed="false">
      <c r="A2758" s="0" t="n">
        <v>2747</v>
      </c>
      <c r="B2758" s="15" t="n">
        <v>0.857470914693751</v>
      </c>
      <c r="C2758" s="18" t="n">
        <f aca="false">'Black-Scholes'!$B$5*EXP(('Black-Scholes'!$B$8-'Black-Scholes'!$B$10-'Black-Scholes'!$B$9^2/2)*'Black-Scholes'!$B$7+'Black-Scholes'!$B$9*SQRT('Black-Scholes'!$B$7)*B2758)</f>
        <v>122.322912144339</v>
      </c>
      <c r="D2758" s="18" t="n">
        <f aca="false">'Black-Scholes'!$B$5*EXP(('Black-Scholes'!$B$8-'Black-Scholes'!$B$10-'Black-Scholes'!$B$9^2/2)*'Black-Scholes'!$B$7-'Black-Scholes'!$B$9*SQRT('Black-Scholes'!$B$7)*B2758)</f>
        <v>86.8060225129703</v>
      </c>
      <c r="E2758" s="18" t="n">
        <f aca="false">EXP(-'Black-Scholes'!$B$8*'Black-Scholes'!$B$7)*IF(LOWER('Black-Scholes'!$B$11)="put",MAX('Black-Scholes'!$B$6-C2758,0),MAX(C2758-'Black-Scholes'!$B$6,0))</f>
        <v>21.2342108722398</v>
      </c>
      <c r="F2758" s="18" t="n">
        <f aca="false">(E2758+G2758)/2</f>
        <v>10.6171054361199</v>
      </c>
      <c r="G2758" s="18" t="n">
        <f aca="false">EXP(-'Black-Scholes'!$B$8*'Black-Scholes'!$B$7)*IF(LOWER('Black-Scholes'!$B$11)="put",MAX('Black-Scholes'!$B$6-D2758,0),MAX(D2758-'Black-Scholes'!$B$6,0))</f>
        <v>0</v>
      </c>
    </row>
    <row r="2759" customFormat="false" ht="15" hidden="false" customHeight="false" outlineLevel="0" collapsed="false">
      <c r="A2759" s="0" t="n">
        <v>2748</v>
      </c>
      <c r="B2759" s="15" t="n">
        <v>0.959256504443781</v>
      </c>
      <c r="C2759" s="18" t="n">
        <f aca="false">'Black-Scholes'!$B$5*EXP(('Black-Scholes'!$B$8-'Black-Scholes'!$B$10-'Black-Scholes'!$B$9^2/2)*'Black-Scholes'!$B$7+'Black-Scholes'!$B$9*SQRT('Black-Scholes'!$B$7)*B2759)</f>
        <v>124.838573021323</v>
      </c>
      <c r="D2759" s="18" t="n">
        <f aca="false">'Black-Scholes'!$B$5*EXP(('Black-Scholes'!$B$8-'Black-Scholes'!$B$10-'Black-Scholes'!$B$9^2/2)*'Black-Scholes'!$B$7-'Black-Scholes'!$B$9*SQRT('Black-Scholes'!$B$7)*B2759)</f>
        <v>85.0567673794213</v>
      </c>
      <c r="E2759" s="18" t="n">
        <f aca="false">EXP(-'Black-Scholes'!$B$8*'Black-Scholes'!$B$7)*IF(LOWER('Black-Scholes'!$B$11)="put",MAX('Black-Scholes'!$B$6-C2759,0),MAX(C2759-'Black-Scholes'!$B$6,0))</f>
        <v>23.6271815204923</v>
      </c>
      <c r="F2759" s="18" t="n">
        <f aca="false">(E2759+G2759)/2</f>
        <v>11.8135907602462</v>
      </c>
      <c r="G2759" s="18" t="n">
        <f aca="false">EXP(-'Black-Scholes'!$B$8*'Black-Scholes'!$B$7)*IF(LOWER('Black-Scholes'!$B$11)="put",MAX('Black-Scholes'!$B$6-D2759,0),MAX(D2759-'Black-Scholes'!$B$6,0))</f>
        <v>0</v>
      </c>
    </row>
    <row r="2760" customFormat="false" ht="15" hidden="false" customHeight="false" outlineLevel="0" collapsed="false">
      <c r="A2760" s="0" t="n">
        <v>2749</v>
      </c>
      <c r="B2760" s="15" t="n">
        <v>1.32924647468871</v>
      </c>
      <c r="C2760" s="18" t="n">
        <f aca="false">'Black-Scholes'!$B$5*EXP(('Black-Scholes'!$B$8-'Black-Scholes'!$B$10-'Black-Scholes'!$B$9^2/2)*'Black-Scholes'!$B$7+'Black-Scholes'!$B$9*SQRT('Black-Scholes'!$B$7)*B2760)</f>
        <v>134.426755364041</v>
      </c>
      <c r="D2760" s="18" t="n">
        <f aca="false">'Black-Scholes'!$B$5*EXP(('Black-Scholes'!$B$8-'Black-Scholes'!$B$10-'Black-Scholes'!$B$9^2/2)*'Black-Scholes'!$B$7-'Black-Scholes'!$B$9*SQRT('Black-Scholes'!$B$7)*B2760)</f>
        <v>78.9899706847644</v>
      </c>
      <c r="E2760" s="18" t="n">
        <f aca="false">EXP(-'Black-Scholes'!$B$8*'Black-Scholes'!$B$7)*IF(LOWER('Black-Scholes'!$B$11)="put",MAX('Black-Scholes'!$B$6-C2760,0),MAX(C2760-'Black-Scholes'!$B$6,0))</f>
        <v>32.7477426923637</v>
      </c>
      <c r="F2760" s="18" t="n">
        <f aca="false">(E2760+G2760)/2</f>
        <v>16.3738713461818</v>
      </c>
      <c r="G2760" s="18" t="n">
        <f aca="false">EXP(-'Black-Scholes'!$B$8*'Black-Scholes'!$B$7)*IF(LOWER('Black-Scholes'!$B$11)="put",MAX('Black-Scholes'!$B$6-D2760,0),MAX(D2760-'Black-Scholes'!$B$6,0))</f>
        <v>0</v>
      </c>
    </row>
    <row r="2761" customFormat="false" ht="15" hidden="false" customHeight="false" outlineLevel="0" collapsed="false">
      <c r="A2761" s="0" t="n">
        <v>2750</v>
      </c>
      <c r="B2761" s="15" t="n">
        <v>1.59292314855281</v>
      </c>
      <c r="C2761" s="18" t="n">
        <f aca="false">'Black-Scholes'!$B$5*EXP(('Black-Scholes'!$B$8-'Black-Scholes'!$B$10-'Black-Scholes'!$B$9^2/2)*'Black-Scholes'!$B$7+'Black-Scholes'!$B$9*SQRT('Black-Scholes'!$B$7)*B2761)</f>
        <v>141.70604632658</v>
      </c>
      <c r="D2761" s="18" t="n">
        <f aca="false">'Black-Scholes'!$B$5*EXP(('Black-Scholes'!$B$8-'Black-Scholes'!$B$10-'Black-Scholes'!$B$9^2/2)*'Black-Scholes'!$B$7-'Black-Scholes'!$B$9*SQRT('Black-Scholes'!$B$7)*B2761)</f>
        <v>74.9323387442633</v>
      </c>
      <c r="E2761" s="18" t="n">
        <f aca="false">EXP(-'Black-Scholes'!$B$8*'Black-Scholes'!$B$7)*IF(LOWER('Black-Scholes'!$B$11)="put",MAX('Black-Scholes'!$B$6-C2761,0),MAX(C2761-'Black-Scholes'!$B$6,0))</f>
        <v>39.6720184454332</v>
      </c>
      <c r="F2761" s="18" t="n">
        <f aca="false">(E2761+G2761)/2</f>
        <v>19.8360092227166</v>
      </c>
      <c r="G2761" s="18" t="n">
        <f aca="false">EXP(-'Black-Scholes'!$B$8*'Black-Scholes'!$B$7)*IF(LOWER('Black-Scholes'!$B$11)="put",MAX('Black-Scholes'!$B$6-D2761,0),MAX(D2761-'Black-Scholes'!$B$6,0))</f>
        <v>0</v>
      </c>
    </row>
    <row r="2762" customFormat="false" ht="15" hidden="false" customHeight="false" outlineLevel="0" collapsed="false">
      <c r="A2762" s="0" t="n">
        <v>2751</v>
      </c>
      <c r="B2762" s="15" t="n">
        <v>0.17220797710279</v>
      </c>
      <c r="C2762" s="18" t="n">
        <f aca="false">'Black-Scholes'!$B$5*EXP(('Black-Scholes'!$B$8-'Black-Scholes'!$B$10-'Black-Scholes'!$B$9^2/2)*'Black-Scholes'!$B$7+'Black-Scholes'!$B$9*SQRT('Black-Scholes'!$B$7)*B2762)</f>
        <v>106.656328424547</v>
      </c>
      <c r="D2762" s="18" t="n">
        <f aca="false">'Black-Scholes'!$B$5*EXP(('Black-Scholes'!$B$8-'Black-Scholes'!$B$10-'Black-Scholes'!$B$9^2/2)*'Black-Scholes'!$B$7-'Black-Scholes'!$B$9*SQRT('Black-Scholes'!$B$7)*B2762)</f>
        <v>99.5568253876788</v>
      </c>
      <c r="E2762" s="18" t="n">
        <f aca="false">EXP(-'Black-Scholes'!$B$8*'Black-Scholes'!$B$7)*IF(LOWER('Black-Scholes'!$B$11)="put",MAX('Black-Scholes'!$B$6-C2762,0),MAX(C2762-'Black-Scholes'!$B$6,0))</f>
        <v>6.33169545657003</v>
      </c>
      <c r="F2762" s="18" t="n">
        <f aca="false">(E2762+G2762)/2</f>
        <v>3.16584772828502</v>
      </c>
      <c r="G2762" s="18" t="n">
        <f aca="false">EXP(-'Black-Scholes'!$B$8*'Black-Scholes'!$B$7)*IF(LOWER('Black-Scholes'!$B$11)="put",MAX('Black-Scholes'!$B$6-D2762,0),MAX(D2762-'Black-Scholes'!$B$6,0))</f>
        <v>0</v>
      </c>
    </row>
    <row r="2763" customFormat="false" ht="15" hidden="false" customHeight="false" outlineLevel="0" collapsed="false">
      <c r="A2763" s="0" t="n">
        <v>2752</v>
      </c>
      <c r="B2763" s="15" t="n">
        <v>-1.96846468134804</v>
      </c>
      <c r="C2763" s="18" t="n">
        <f aca="false">'Black-Scholes'!$B$5*EXP(('Black-Scholes'!$B$8-'Black-Scholes'!$B$10-'Black-Scholes'!$B$9^2/2)*'Black-Scholes'!$B$7+'Black-Scholes'!$B$9*SQRT('Black-Scholes'!$B$7)*B2763)</f>
        <v>69.5104603388735</v>
      </c>
      <c r="D2763" s="18" t="n">
        <f aca="false">'Black-Scholes'!$B$5*EXP(('Black-Scholes'!$B$8-'Black-Scholes'!$B$10-'Black-Scholes'!$B$9^2/2)*'Black-Scholes'!$B$7-'Black-Scholes'!$B$9*SQRT('Black-Scholes'!$B$7)*B2763)</f>
        <v>152.759245352247</v>
      </c>
      <c r="E2763" s="18" t="n">
        <f aca="false">EXP(-'Black-Scholes'!$B$8*'Black-Scholes'!$B$7)*IF(LOWER('Black-Scholes'!$B$11)="put",MAX('Black-Scholes'!$B$6-C2763,0),MAX(C2763-'Black-Scholes'!$B$6,0))</f>
        <v>0</v>
      </c>
      <c r="F2763" s="18" t="n">
        <f aca="false">(E2763+G2763)/2</f>
        <v>25.0930732967548</v>
      </c>
      <c r="G2763" s="18" t="n">
        <f aca="false">EXP(-'Black-Scholes'!$B$8*'Black-Scholes'!$B$7)*IF(LOWER('Black-Scholes'!$B$11)="put",MAX('Black-Scholes'!$B$6-D2763,0),MAX(D2763-'Black-Scholes'!$B$6,0))</f>
        <v>50.1861465935097</v>
      </c>
    </row>
    <row r="2764" customFormat="false" ht="15" hidden="false" customHeight="false" outlineLevel="0" collapsed="false">
      <c r="A2764" s="0" t="n">
        <v>2753</v>
      </c>
      <c r="B2764" s="15" t="n">
        <v>-0.230110653541636</v>
      </c>
      <c r="C2764" s="18" t="n">
        <f aca="false">'Black-Scholes'!$B$5*EXP(('Black-Scholes'!$B$8-'Black-Scholes'!$B$10-'Black-Scholes'!$B$9^2/2)*'Black-Scholes'!$B$7+'Black-Scholes'!$B$9*SQRT('Black-Scholes'!$B$7)*B2764)</f>
        <v>98.4105540861604</v>
      </c>
      <c r="D2764" s="18" t="n">
        <f aca="false">'Black-Scholes'!$B$5*EXP(('Black-Scholes'!$B$8-'Black-Scholes'!$B$10-'Black-Scholes'!$B$9^2/2)*'Black-Scholes'!$B$7-'Black-Scholes'!$B$9*SQRT('Black-Scholes'!$B$7)*B2764)</f>
        <v>107.898645262753</v>
      </c>
      <c r="E2764" s="18" t="n">
        <f aca="false">EXP(-'Black-Scholes'!$B$8*'Black-Scholes'!$B$7)*IF(LOWER('Black-Scholes'!$B$11)="put",MAX('Black-Scholes'!$B$6-C2764,0),MAX(C2764-'Black-Scholes'!$B$6,0))</f>
        <v>0</v>
      </c>
      <c r="F2764" s="18" t="n">
        <f aca="false">(E2764+G2764)/2</f>
        <v>3.75671189381197</v>
      </c>
      <c r="G2764" s="18" t="n">
        <f aca="false">EXP(-'Black-Scholes'!$B$8*'Black-Scholes'!$B$7)*IF(LOWER('Black-Scholes'!$B$11)="put",MAX('Black-Scholes'!$B$6-D2764,0),MAX(D2764-'Black-Scholes'!$B$6,0))</f>
        <v>7.51342378762394</v>
      </c>
    </row>
    <row r="2765" customFormat="false" ht="15" hidden="false" customHeight="false" outlineLevel="0" collapsed="false">
      <c r="A2765" s="0" t="n">
        <v>2754</v>
      </c>
      <c r="B2765" s="15" t="n">
        <v>1.11935681041734</v>
      </c>
      <c r="C2765" s="18" t="n">
        <f aca="false">'Black-Scholes'!$B$5*EXP(('Black-Scholes'!$B$8-'Black-Scholes'!$B$10-'Black-Scholes'!$B$9^2/2)*'Black-Scholes'!$B$7+'Black-Scholes'!$B$9*SQRT('Black-Scholes'!$B$7)*B2765)</f>
        <v>128.900597855882</v>
      </c>
      <c r="D2765" s="18" t="n">
        <f aca="false">'Black-Scholes'!$B$5*EXP(('Black-Scholes'!$B$8-'Black-Scholes'!$B$10-'Black-Scholes'!$B$9^2/2)*'Black-Scholes'!$B$7-'Black-Scholes'!$B$9*SQRT('Black-Scholes'!$B$7)*B2765)</f>
        <v>82.3763864720437</v>
      </c>
      <c r="E2765" s="18" t="n">
        <f aca="false">EXP(-'Black-Scholes'!$B$8*'Black-Scholes'!$B$7)*IF(LOWER('Black-Scholes'!$B$11)="put",MAX('Black-Scholes'!$B$6-C2765,0),MAX(C2765-'Black-Scholes'!$B$6,0))</f>
        <v>27.4910990661769</v>
      </c>
      <c r="F2765" s="18" t="n">
        <f aca="false">(E2765+G2765)/2</f>
        <v>13.7455495330884</v>
      </c>
      <c r="G2765" s="18" t="n">
        <f aca="false">EXP(-'Black-Scholes'!$B$8*'Black-Scholes'!$B$7)*IF(LOWER('Black-Scholes'!$B$11)="put",MAX('Black-Scholes'!$B$6-D2765,0),MAX(D2765-'Black-Scholes'!$B$6,0))</f>
        <v>0</v>
      </c>
    </row>
    <row r="2766" customFormat="false" ht="15" hidden="false" customHeight="false" outlineLevel="0" collapsed="false">
      <c r="A2766" s="0" t="n">
        <v>2755</v>
      </c>
      <c r="B2766" s="15" t="n">
        <v>0.11348268229755</v>
      </c>
      <c r="C2766" s="18" t="n">
        <f aca="false">'Black-Scholes'!$B$5*EXP(('Black-Scholes'!$B$8-'Black-Scholes'!$B$10-'Black-Scholes'!$B$9^2/2)*'Black-Scholes'!$B$7+'Black-Scholes'!$B$9*SQRT('Black-Scholes'!$B$7)*B2766)</f>
        <v>105.410971271242</v>
      </c>
      <c r="D2766" s="18" t="n">
        <f aca="false">'Black-Scholes'!$B$5*EXP(('Black-Scholes'!$B$8-'Black-Scholes'!$B$10-'Black-Scholes'!$B$9^2/2)*'Black-Scholes'!$B$7-'Black-Scholes'!$B$9*SQRT('Black-Scholes'!$B$7)*B2766)</f>
        <v>100.733019887755</v>
      </c>
      <c r="E2766" s="18" t="n">
        <f aca="false">EXP(-'Black-Scholes'!$B$8*'Black-Scholes'!$B$7)*IF(LOWER('Black-Scholes'!$B$11)="put",MAX('Black-Scholes'!$B$6-C2766,0),MAX(C2766-'Black-Scholes'!$B$6,0))</f>
        <v>5.14707508833304</v>
      </c>
      <c r="F2766" s="18" t="n">
        <f aca="false">(E2766+G2766)/2</f>
        <v>2.92217258715511</v>
      </c>
      <c r="G2766" s="18" t="n">
        <f aca="false">EXP(-'Black-Scholes'!$B$8*'Black-Scholes'!$B$7)*IF(LOWER('Black-Scholes'!$B$11)="put",MAX('Black-Scholes'!$B$6-D2766,0),MAX(D2766-'Black-Scholes'!$B$6,0))</f>
        <v>0.697270085977178</v>
      </c>
    </row>
    <row r="2767" customFormat="false" ht="15" hidden="false" customHeight="false" outlineLevel="0" collapsed="false">
      <c r="A2767" s="0" t="n">
        <v>2756</v>
      </c>
      <c r="B2767" s="15" t="n">
        <v>-0.47098212394604</v>
      </c>
      <c r="C2767" s="18" t="n">
        <f aca="false">'Black-Scholes'!$B$5*EXP(('Black-Scholes'!$B$8-'Black-Scholes'!$B$10-'Black-Scholes'!$B$9^2/2)*'Black-Scholes'!$B$7+'Black-Scholes'!$B$9*SQRT('Black-Scholes'!$B$7)*B2767)</f>
        <v>93.7820770190618</v>
      </c>
      <c r="D2767" s="18" t="n">
        <f aca="false">'Black-Scholes'!$B$5*EXP(('Black-Scholes'!$B$8-'Black-Scholes'!$B$10-'Black-Scholes'!$B$9^2/2)*'Black-Scholes'!$B$7-'Black-Scholes'!$B$9*SQRT('Black-Scholes'!$B$7)*B2767)</f>
        <v>113.223824881756</v>
      </c>
      <c r="E2767" s="18" t="n">
        <f aca="false">EXP(-'Black-Scholes'!$B$8*'Black-Scholes'!$B$7)*IF(LOWER('Black-Scholes'!$B$11)="put",MAX('Black-Scholes'!$B$6-C2767,0),MAX(C2767-'Black-Scholes'!$B$6,0))</f>
        <v>0</v>
      </c>
      <c r="F2767" s="18" t="n">
        <f aca="false">(E2767+G2767)/2</f>
        <v>6.28944566598547</v>
      </c>
      <c r="G2767" s="18" t="n">
        <f aca="false">EXP(-'Black-Scholes'!$B$8*'Black-Scholes'!$B$7)*IF(LOWER('Black-Scholes'!$B$11)="put",MAX('Black-Scholes'!$B$6-D2767,0),MAX(D2767-'Black-Scholes'!$B$6,0))</f>
        <v>12.5788913319709</v>
      </c>
    </row>
    <row r="2768" customFormat="false" ht="15" hidden="false" customHeight="false" outlineLevel="0" collapsed="false">
      <c r="A2768" s="0" t="n">
        <v>2757</v>
      </c>
      <c r="B2768" s="15" t="n">
        <v>1.41585187533899</v>
      </c>
      <c r="C2768" s="18" t="n">
        <f aca="false">'Black-Scholes'!$B$5*EXP(('Black-Scholes'!$B$8-'Black-Scholes'!$B$10-'Black-Scholes'!$B$9^2/2)*'Black-Scholes'!$B$7+'Black-Scholes'!$B$9*SQRT('Black-Scholes'!$B$7)*B2768)</f>
        <v>136.775454245027</v>
      </c>
      <c r="D2768" s="18" t="n">
        <f aca="false">'Black-Scholes'!$B$5*EXP(('Black-Scholes'!$B$8-'Black-Scholes'!$B$10-'Black-Scholes'!$B$9^2/2)*'Black-Scholes'!$B$7-'Black-Scholes'!$B$9*SQRT('Black-Scholes'!$B$7)*B2768)</f>
        <v>77.6335602324613</v>
      </c>
      <c r="E2768" s="18" t="n">
        <f aca="false">EXP(-'Black-Scholes'!$B$8*'Black-Scholes'!$B$7)*IF(LOWER('Black-Scholes'!$B$11)="put",MAX('Black-Scholes'!$B$6-C2768,0),MAX(C2768-'Black-Scholes'!$B$6,0))</f>
        <v>34.9818941772498</v>
      </c>
      <c r="F2768" s="18" t="n">
        <f aca="false">(E2768+G2768)/2</f>
        <v>17.4909470886249</v>
      </c>
      <c r="G2768" s="18" t="n">
        <f aca="false">EXP(-'Black-Scholes'!$B$8*'Black-Scholes'!$B$7)*IF(LOWER('Black-Scholes'!$B$11)="put",MAX('Black-Scholes'!$B$6-D2768,0),MAX(D2768-'Black-Scholes'!$B$6,0))</f>
        <v>0</v>
      </c>
    </row>
    <row r="2769" customFormat="false" ht="15" hidden="false" customHeight="false" outlineLevel="0" collapsed="false">
      <c r="A2769" s="0" t="n">
        <v>2758</v>
      </c>
      <c r="B2769" s="15" t="n">
        <v>-3.67547917865</v>
      </c>
      <c r="C2769" s="18" t="n">
        <f aca="false">'Black-Scholes'!$B$5*EXP(('Black-Scholes'!$B$8-'Black-Scholes'!$B$10-'Black-Scholes'!$B$9^2/2)*'Black-Scholes'!$B$7+'Black-Scholes'!$B$9*SQRT('Black-Scholes'!$B$7)*B2769)</f>
        <v>49.4061223269223</v>
      </c>
      <c r="D2769" s="18" t="n">
        <f aca="false">'Black-Scholes'!$B$5*EXP(('Black-Scholes'!$B$8-'Black-Scholes'!$B$10-'Black-Scholes'!$B$9^2/2)*'Black-Scholes'!$B$7-'Black-Scholes'!$B$9*SQRT('Black-Scholes'!$B$7)*B2769)</f>
        <v>214.92003349689</v>
      </c>
      <c r="E2769" s="18" t="n">
        <f aca="false">EXP(-'Black-Scholes'!$B$8*'Black-Scholes'!$B$7)*IF(LOWER('Black-Scholes'!$B$11)="put",MAX('Black-Scholes'!$B$6-C2769,0),MAX(C2769-'Black-Scholes'!$B$6,0))</f>
        <v>0</v>
      </c>
      <c r="F2769" s="18" t="n">
        <f aca="false">(E2769+G2769)/2</f>
        <v>54.6576586634248</v>
      </c>
      <c r="G2769" s="18" t="n">
        <f aca="false">EXP(-'Black-Scholes'!$B$8*'Black-Scholes'!$B$7)*IF(LOWER('Black-Scholes'!$B$11)="put",MAX('Black-Scholes'!$B$6-D2769,0),MAX(D2769-'Black-Scholes'!$B$6,0))</f>
        <v>109.31531732685</v>
      </c>
    </row>
    <row r="2770" customFormat="false" ht="15" hidden="false" customHeight="false" outlineLevel="0" collapsed="false">
      <c r="A2770" s="0" t="n">
        <v>2759</v>
      </c>
      <c r="B2770" s="15" t="n">
        <v>2.38092842253923</v>
      </c>
      <c r="C2770" s="18" t="n">
        <f aca="false">'Black-Scholes'!$B$5*EXP(('Black-Scholes'!$B$8-'Black-Scholes'!$B$10-'Black-Scholes'!$B$9^2/2)*'Black-Scholes'!$B$7+'Black-Scholes'!$B$9*SQRT('Black-Scholes'!$B$7)*B2770)</f>
        <v>165.895134771734</v>
      </c>
      <c r="D2770" s="18" t="n">
        <f aca="false">'Black-Scholes'!$B$5*EXP(('Black-Scholes'!$B$8-'Black-Scholes'!$B$10-'Black-Scholes'!$B$9^2/2)*'Black-Scholes'!$B$7-'Black-Scholes'!$B$9*SQRT('Black-Scholes'!$B$7)*B2770)</f>
        <v>64.0064910888682</v>
      </c>
      <c r="E2770" s="18" t="n">
        <f aca="false">EXP(-'Black-Scholes'!$B$8*'Black-Scholes'!$B$7)*IF(LOWER('Black-Scholes'!$B$11)="put",MAX('Black-Scholes'!$B$6-C2770,0),MAX(C2770-'Black-Scholes'!$B$6,0))</f>
        <v>62.6813911263137</v>
      </c>
      <c r="F2770" s="18" t="n">
        <f aca="false">(E2770+G2770)/2</f>
        <v>31.3406955631569</v>
      </c>
      <c r="G2770" s="18" t="n">
        <f aca="false">EXP(-'Black-Scholes'!$B$8*'Black-Scholes'!$B$7)*IF(LOWER('Black-Scholes'!$B$11)="put",MAX('Black-Scholes'!$B$6-D2770,0),MAX(D2770-'Black-Scholes'!$B$6,0))</f>
        <v>0</v>
      </c>
    </row>
    <row r="2771" customFormat="false" ht="15" hidden="false" customHeight="false" outlineLevel="0" collapsed="false">
      <c r="A2771" s="0" t="n">
        <v>2760</v>
      </c>
      <c r="B2771" s="15" t="n">
        <v>0.12840145524213</v>
      </c>
      <c r="C2771" s="18" t="n">
        <f aca="false">'Black-Scholes'!$B$5*EXP(('Black-Scholes'!$B$8-'Black-Scholes'!$B$10-'Black-Scholes'!$B$9^2/2)*'Black-Scholes'!$B$7+'Black-Scholes'!$B$9*SQRT('Black-Scholes'!$B$7)*B2771)</f>
        <v>105.725961433474</v>
      </c>
      <c r="D2771" s="18" t="n">
        <f aca="false">'Black-Scholes'!$B$5*EXP(('Black-Scholes'!$B$8-'Black-Scholes'!$B$10-'Black-Scholes'!$B$9^2/2)*'Black-Scholes'!$B$7-'Black-Scholes'!$B$9*SQRT('Black-Scholes'!$B$7)*B2771)</f>
        <v>100.432905234302</v>
      </c>
      <c r="E2771" s="18" t="n">
        <f aca="false">EXP(-'Black-Scholes'!$B$8*'Black-Scholes'!$B$7)*IF(LOWER('Black-Scholes'!$B$11)="put",MAX('Black-Scholes'!$B$6-C2771,0),MAX(C2771-'Black-Scholes'!$B$6,0))</f>
        <v>5.44670299907707</v>
      </c>
      <c r="F2771" s="18" t="n">
        <f aca="false">(E2771+G2771)/2</f>
        <v>2.92924759798275</v>
      </c>
      <c r="G2771" s="18" t="n">
        <f aca="false">EXP(-'Black-Scholes'!$B$8*'Black-Scholes'!$B$7)*IF(LOWER('Black-Scholes'!$B$11)="put",MAX('Black-Scholes'!$B$6-D2771,0),MAX(D2771-'Black-Scholes'!$B$6,0))</f>
        <v>0.411792196888436</v>
      </c>
    </row>
    <row r="2772" customFormat="false" ht="15" hidden="false" customHeight="false" outlineLevel="0" collapsed="false">
      <c r="A2772" s="0" t="n">
        <v>2761</v>
      </c>
      <c r="B2772" s="15" t="n">
        <v>1.73974580274799</v>
      </c>
      <c r="C2772" s="18" t="n">
        <f aca="false">'Black-Scholes'!$B$5*EXP(('Black-Scholes'!$B$8-'Black-Scholes'!$B$10-'Black-Scholes'!$B$9^2/2)*'Black-Scholes'!$B$7+'Black-Scholes'!$B$9*SQRT('Black-Scholes'!$B$7)*B2772)</f>
        <v>145.928875155178</v>
      </c>
      <c r="D2772" s="18" t="n">
        <f aca="false">'Black-Scholes'!$B$5*EXP(('Black-Scholes'!$B$8-'Black-Scholes'!$B$10-'Black-Scholes'!$B$9^2/2)*'Black-Scholes'!$B$7-'Black-Scholes'!$B$9*SQRT('Black-Scholes'!$B$7)*B2772)</f>
        <v>72.7639780280784</v>
      </c>
      <c r="E2772" s="18" t="n">
        <f aca="false">EXP(-'Black-Scholes'!$B$8*'Black-Scholes'!$B$7)*IF(LOWER('Black-Scholes'!$B$11)="put",MAX('Black-Scholes'!$B$6-C2772,0),MAX(C2772-'Black-Scholes'!$B$6,0))</f>
        <v>43.6888974818255</v>
      </c>
      <c r="F2772" s="18" t="n">
        <f aca="false">(E2772+G2772)/2</f>
        <v>21.8444487409128</v>
      </c>
      <c r="G2772" s="18" t="n">
        <f aca="false">EXP(-'Black-Scholes'!$B$8*'Black-Scholes'!$B$7)*IF(LOWER('Black-Scholes'!$B$11)="put",MAX('Black-Scholes'!$B$6-D2772,0),MAX(D2772-'Black-Scholes'!$B$6,0))</f>
        <v>0</v>
      </c>
    </row>
    <row r="2773" customFormat="false" ht="15" hidden="false" customHeight="false" outlineLevel="0" collapsed="false">
      <c r="A2773" s="0" t="n">
        <v>2762</v>
      </c>
      <c r="B2773" s="15" t="n">
        <v>0.294257247374279</v>
      </c>
      <c r="C2773" s="18" t="n">
        <f aca="false">'Black-Scholes'!$B$5*EXP(('Black-Scholes'!$B$8-'Black-Scholes'!$B$10-'Black-Scholes'!$B$9^2/2)*'Black-Scholes'!$B$7+'Black-Scholes'!$B$9*SQRT('Black-Scholes'!$B$7)*B2773)</f>
        <v>109.291829068086</v>
      </c>
      <c r="D2773" s="18" t="n">
        <f aca="false">'Black-Scholes'!$B$5*EXP(('Black-Scholes'!$B$8-'Black-Scholes'!$B$10-'Black-Scholes'!$B$9^2/2)*'Black-Scholes'!$B$7-'Black-Scholes'!$B$9*SQRT('Black-Scholes'!$B$7)*B2773)</f>
        <v>97.1560779611315</v>
      </c>
      <c r="E2773" s="18" t="n">
        <f aca="false">EXP(-'Black-Scholes'!$B$8*'Black-Scholes'!$B$7)*IF(LOWER('Black-Scholes'!$B$11)="put",MAX('Black-Scholes'!$B$6-C2773,0),MAX(C2773-'Black-Scholes'!$B$6,0))</f>
        <v>8.83866121699422</v>
      </c>
      <c r="F2773" s="18" t="n">
        <f aca="false">(E2773+G2773)/2</f>
        <v>4.41933060849711</v>
      </c>
      <c r="G2773" s="18" t="n">
        <f aca="false">EXP(-'Black-Scholes'!$B$8*'Black-Scholes'!$B$7)*IF(LOWER('Black-Scholes'!$B$11)="put",MAX('Black-Scholes'!$B$6-D2773,0),MAX(D2773-'Black-Scholes'!$B$6,0))</f>
        <v>0</v>
      </c>
    </row>
    <row r="2774" customFormat="false" ht="15" hidden="false" customHeight="false" outlineLevel="0" collapsed="false">
      <c r="A2774" s="0" t="n">
        <v>2763</v>
      </c>
      <c r="B2774" s="15" t="n">
        <v>1.28388634847285</v>
      </c>
      <c r="C2774" s="18" t="n">
        <f aca="false">'Black-Scholes'!$B$5*EXP(('Black-Scholes'!$B$8-'Black-Scholes'!$B$10-'Black-Scholes'!$B$9^2/2)*'Black-Scholes'!$B$7+'Black-Scholes'!$B$9*SQRT('Black-Scholes'!$B$7)*B2774)</f>
        <v>133.212747527117</v>
      </c>
      <c r="D2774" s="18" t="n">
        <f aca="false">'Black-Scholes'!$B$5*EXP(('Black-Scholes'!$B$8-'Black-Scholes'!$B$10-'Black-Scholes'!$B$9^2/2)*'Black-Scholes'!$B$7-'Black-Scholes'!$B$9*SQRT('Black-Scholes'!$B$7)*B2774)</f>
        <v>79.7098300467988</v>
      </c>
      <c r="E2774" s="18" t="n">
        <f aca="false">EXP(-'Black-Scholes'!$B$8*'Black-Scholes'!$B$7)*IF(LOWER('Black-Scholes'!$B$11)="put",MAX('Black-Scholes'!$B$6-C2774,0),MAX(C2774-'Black-Scholes'!$B$6,0))</f>
        <v>31.5929427163067</v>
      </c>
      <c r="F2774" s="18" t="n">
        <f aca="false">(E2774+G2774)/2</f>
        <v>15.7964713581534</v>
      </c>
      <c r="G2774" s="18" t="n">
        <f aca="false">EXP(-'Black-Scholes'!$B$8*'Black-Scholes'!$B$7)*IF(LOWER('Black-Scholes'!$B$11)="put",MAX('Black-Scholes'!$B$6-D2774,0),MAX(D2774-'Black-Scholes'!$B$6,0))</f>
        <v>0</v>
      </c>
    </row>
    <row r="2775" customFormat="false" ht="15" hidden="false" customHeight="false" outlineLevel="0" collapsed="false">
      <c r="A2775" s="0" t="n">
        <v>2764</v>
      </c>
      <c r="B2775" s="15" t="n">
        <v>-0.0655279266368866</v>
      </c>
      <c r="C2775" s="18" t="n">
        <f aca="false">'Black-Scholes'!$B$5*EXP(('Black-Scholes'!$B$8-'Black-Scholes'!$B$10-'Black-Scholes'!$B$9^2/2)*'Black-Scholes'!$B$7+'Black-Scholes'!$B$9*SQRT('Black-Scholes'!$B$7)*B2775)</f>
        <v>101.703793237289</v>
      </c>
      <c r="D2775" s="18" t="n">
        <f aca="false">'Black-Scholes'!$B$5*EXP(('Black-Scholes'!$B$8-'Black-Scholes'!$B$10-'Black-Scholes'!$B$9^2/2)*'Black-Scholes'!$B$7-'Black-Scholes'!$B$9*SQRT('Black-Scholes'!$B$7)*B2775)</f>
        <v>104.404812519425</v>
      </c>
      <c r="E2775" s="18" t="n">
        <f aca="false">EXP(-'Black-Scholes'!$B$8*'Black-Scholes'!$B$7)*IF(LOWER('Black-Scholes'!$B$11)="put",MAX('Black-Scholes'!$B$6-C2775,0),MAX(C2775-'Black-Scholes'!$B$6,0))</f>
        <v>1.62069826057502</v>
      </c>
      <c r="F2775" s="18" t="n">
        <f aca="false">(E2775+G2775)/2</f>
        <v>2.90534276923075</v>
      </c>
      <c r="G2775" s="18" t="n">
        <f aca="false">EXP(-'Black-Scholes'!$B$8*'Black-Scholes'!$B$7)*IF(LOWER('Black-Scholes'!$B$11)="put",MAX('Black-Scholes'!$B$6-D2775,0),MAX(D2775-'Black-Scholes'!$B$6,0))</f>
        <v>4.18998727788647</v>
      </c>
    </row>
    <row r="2776" customFormat="false" ht="15" hidden="false" customHeight="false" outlineLevel="0" collapsed="false">
      <c r="A2776" s="0" t="n">
        <v>2765</v>
      </c>
      <c r="B2776" s="15" t="n">
        <v>-0.413203308073944</v>
      </c>
      <c r="C2776" s="18" t="n">
        <f aca="false">'Black-Scholes'!$B$5*EXP(('Black-Scholes'!$B$8-'Black-Scholes'!$B$10-'Black-Scholes'!$B$9^2/2)*'Black-Scholes'!$B$7+'Black-Scholes'!$B$9*SQRT('Black-Scholes'!$B$7)*B2776)</f>
        <v>94.8720863061231</v>
      </c>
      <c r="D2776" s="18" t="n">
        <f aca="false">'Black-Scholes'!$B$5*EXP(('Black-Scholes'!$B$8-'Black-Scholes'!$B$10-'Black-Scholes'!$B$9^2/2)*'Black-Scholes'!$B$7-'Black-Scholes'!$B$9*SQRT('Black-Scholes'!$B$7)*B2776)</f>
        <v>111.922967849483</v>
      </c>
      <c r="E2776" s="18" t="n">
        <f aca="false">EXP(-'Black-Scholes'!$B$8*'Black-Scholes'!$B$7)*IF(LOWER('Black-Scholes'!$B$11)="put",MAX('Black-Scholes'!$B$6-C2776,0),MAX(C2776-'Black-Scholes'!$B$6,0))</f>
        <v>0</v>
      </c>
      <c r="F2776" s="18" t="n">
        <f aca="false">(E2776+G2776)/2</f>
        <v>5.67073892290214</v>
      </c>
      <c r="G2776" s="18" t="n">
        <f aca="false">EXP(-'Black-Scholes'!$B$8*'Black-Scholes'!$B$7)*IF(LOWER('Black-Scholes'!$B$11)="put",MAX('Black-Scholes'!$B$6-D2776,0),MAX(D2776-'Black-Scholes'!$B$6,0))</f>
        <v>11.3414778458043</v>
      </c>
    </row>
    <row r="2777" customFormat="false" ht="15" hidden="false" customHeight="false" outlineLevel="0" collapsed="false">
      <c r="A2777" s="0" t="n">
        <v>2766</v>
      </c>
      <c r="B2777" s="15" t="n">
        <v>-1.74089202239261</v>
      </c>
      <c r="C2777" s="18" t="n">
        <f aca="false">'Black-Scholes'!$B$5*EXP(('Black-Scholes'!$B$8-'Black-Scholes'!$B$10-'Black-Scholes'!$B$9^2/2)*'Black-Scholes'!$B$7+'Black-Scholes'!$B$9*SQRT('Black-Scholes'!$B$7)*B2777)</f>
        <v>72.7472992396998</v>
      </c>
      <c r="D2777" s="18" t="n">
        <f aca="false">'Black-Scholes'!$B$5*EXP(('Black-Scholes'!$B$8-'Black-Scholes'!$B$10-'Black-Scholes'!$B$9^2/2)*'Black-Scholes'!$B$7-'Black-Scholes'!$B$9*SQRT('Black-Scholes'!$B$7)*B2777)</f>
        <v>145.962332298639</v>
      </c>
      <c r="E2777" s="18" t="n">
        <f aca="false">EXP(-'Black-Scholes'!$B$8*'Black-Scholes'!$B$7)*IF(LOWER('Black-Scholes'!$B$11)="put",MAX('Black-Scholes'!$B$6-C2777,0),MAX(C2777-'Black-Scholes'!$B$6,0))</f>
        <v>0</v>
      </c>
      <c r="F2777" s="18" t="n">
        <f aca="false">(E2777+G2777)/2</f>
        <v>21.8603614505726</v>
      </c>
      <c r="G2777" s="18" t="n">
        <f aca="false">EXP(-'Black-Scholes'!$B$8*'Black-Scholes'!$B$7)*IF(LOWER('Black-Scholes'!$B$11)="put",MAX('Black-Scholes'!$B$6-D2777,0),MAX(D2777-'Black-Scholes'!$B$6,0))</f>
        <v>43.7207229011451</v>
      </c>
    </row>
    <row r="2778" customFormat="false" ht="15" hidden="false" customHeight="false" outlineLevel="0" collapsed="false">
      <c r="A2778" s="0" t="n">
        <v>2767</v>
      </c>
      <c r="B2778" s="15" t="n">
        <v>0.233988332267513</v>
      </c>
      <c r="C2778" s="18" t="n">
        <f aca="false">'Black-Scholes'!$B$5*EXP(('Black-Scholes'!$B$8-'Black-Scholes'!$B$10-'Black-Scholes'!$B$9^2/2)*'Black-Scholes'!$B$7+'Black-Scholes'!$B$9*SQRT('Black-Scholes'!$B$7)*B2778)</f>
        <v>107.982356975527</v>
      </c>
      <c r="D2778" s="18" t="n">
        <f aca="false">'Black-Scholes'!$B$5*EXP(('Black-Scholes'!$B$8-'Black-Scholes'!$B$10-'Black-Scholes'!$B$9^2/2)*'Black-Scholes'!$B$7-'Black-Scholes'!$B$9*SQRT('Black-Scholes'!$B$7)*B2778)</f>
        <v>98.3342627709089</v>
      </c>
      <c r="E2778" s="18" t="n">
        <f aca="false">EXP(-'Black-Scholes'!$B$8*'Black-Scholes'!$B$7)*IF(LOWER('Black-Scholes'!$B$11)="put",MAX('Black-Scholes'!$B$6-C2778,0),MAX(C2778-'Black-Scholes'!$B$6,0))</f>
        <v>7.59305283199021</v>
      </c>
      <c r="F2778" s="18" t="n">
        <f aca="false">(E2778+G2778)/2</f>
        <v>3.79652641599511</v>
      </c>
      <c r="G2778" s="18" t="n">
        <f aca="false">EXP(-'Black-Scholes'!$B$8*'Black-Scholes'!$B$7)*IF(LOWER('Black-Scholes'!$B$11)="put",MAX('Black-Scholes'!$B$6-D2778,0),MAX(D2778-'Black-Scholes'!$B$6,0))</f>
        <v>0</v>
      </c>
    </row>
    <row r="2779" customFormat="false" ht="15" hidden="false" customHeight="false" outlineLevel="0" collapsed="false">
      <c r="A2779" s="0" t="n">
        <v>2768</v>
      </c>
      <c r="B2779" s="15" t="n">
        <v>0.494444728638384</v>
      </c>
      <c r="C2779" s="18" t="n">
        <f aca="false">'Black-Scholes'!$B$5*EXP(('Black-Scholes'!$B$8-'Black-Scholes'!$B$10-'Black-Scholes'!$B$9^2/2)*'Black-Scholes'!$B$7+'Black-Scholes'!$B$9*SQRT('Black-Scholes'!$B$7)*B2779)</f>
        <v>113.75637858322</v>
      </c>
      <c r="D2779" s="18" t="n">
        <f aca="false">'Black-Scholes'!$B$5*EXP(('Black-Scholes'!$B$8-'Black-Scholes'!$B$10-'Black-Scholes'!$B$9^2/2)*'Black-Scholes'!$B$7-'Black-Scholes'!$B$9*SQRT('Black-Scholes'!$B$7)*B2779)</f>
        <v>93.3430335749094</v>
      </c>
      <c r="E2779" s="18" t="n">
        <f aca="false">EXP(-'Black-Scholes'!$B$8*'Black-Scholes'!$B$7)*IF(LOWER('Black-Scholes'!$B$11)="put",MAX('Black-Scholes'!$B$6-C2779,0),MAX(C2779-'Black-Scholes'!$B$6,0))</f>
        <v>13.0854720829302</v>
      </c>
      <c r="F2779" s="18" t="n">
        <f aca="false">(E2779+G2779)/2</f>
        <v>6.54273604146509</v>
      </c>
      <c r="G2779" s="18" t="n">
        <f aca="false">EXP(-'Black-Scholes'!$B$8*'Black-Scholes'!$B$7)*IF(LOWER('Black-Scholes'!$B$11)="put",MAX('Black-Scholes'!$B$6-D2779,0),MAX(D2779-'Black-Scholes'!$B$6,0))</f>
        <v>0</v>
      </c>
    </row>
    <row r="2780" customFormat="false" ht="15" hidden="false" customHeight="false" outlineLevel="0" collapsed="false">
      <c r="A2780" s="0" t="n">
        <v>2769</v>
      </c>
      <c r="B2780" s="15" t="n">
        <v>-0.21527255763855</v>
      </c>
      <c r="C2780" s="18" t="n">
        <f aca="false">'Black-Scholes'!$B$5*EXP(('Black-Scholes'!$B$8-'Black-Scholes'!$B$10-'Black-Scholes'!$B$9^2/2)*'Black-Scholes'!$B$7+'Black-Scholes'!$B$9*SQRT('Black-Scholes'!$B$7)*B2780)</f>
        <v>98.7030329022646</v>
      </c>
      <c r="D2780" s="18" t="n">
        <f aca="false">'Black-Scholes'!$B$5*EXP(('Black-Scholes'!$B$8-'Black-Scholes'!$B$10-'Black-Scholes'!$B$9^2/2)*'Black-Scholes'!$B$7-'Black-Scholes'!$B$9*SQRT('Black-Scholes'!$B$7)*B2780)</f>
        <v>107.578917822797</v>
      </c>
      <c r="E2780" s="18" t="n">
        <f aca="false">EXP(-'Black-Scholes'!$B$8*'Black-Scholes'!$B$7)*IF(LOWER('Black-Scholes'!$B$11)="put",MAX('Black-Scholes'!$B$6-C2780,0),MAX(C2780-'Black-Scholes'!$B$6,0))</f>
        <v>0</v>
      </c>
      <c r="F2780" s="18" t="n">
        <f aca="false">(E2780+G2780)/2</f>
        <v>3.6046448194589</v>
      </c>
      <c r="G2780" s="18" t="n">
        <f aca="false">EXP(-'Black-Scholes'!$B$8*'Black-Scholes'!$B$7)*IF(LOWER('Black-Scholes'!$B$11)="put",MAX('Black-Scholes'!$B$6-D2780,0),MAX(D2780-'Black-Scholes'!$B$6,0))</f>
        <v>7.2092896389178</v>
      </c>
    </row>
    <row r="2781" customFormat="false" ht="15" hidden="false" customHeight="false" outlineLevel="0" collapsed="false">
      <c r="A2781" s="0" t="n">
        <v>2770</v>
      </c>
      <c r="B2781" s="15" t="n">
        <v>-2.0674151782594</v>
      </c>
      <c r="C2781" s="18" t="n">
        <f aca="false">'Black-Scholes'!$B$5*EXP(('Black-Scholes'!$B$8-'Black-Scholes'!$B$10-'Black-Scholes'!$B$9^2/2)*'Black-Scholes'!$B$7+'Black-Scholes'!$B$9*SQRT('Black-Scholes'!$B$7)*B2781)</f>
        <v>68.1483638876384</v>
      </c>
      <c r="D2781" s="18" t="n">
        <f aca="false">'Black-Scholes'!$B$5*EXP(('Black-Scholes'!$B$8-'Black-Scholes'!$B$10-'Black-Scholes'!$B$9^2/2)*'Black-Scholes'!$B$7-'Black-Scholes'!$B$9*SQRT('Black-Scholes'!$B$7)*B2781)</f>
        <v>155.812478241751</v>
      </c>
      <c r="E2781" s="18" t="n">
        <f aca="false">EXP(-'Black-Scholes'!$B$8*'Black-Scholes'!$B$7)*IF(LOWER('Black-Scholes'!$B$11)="put",MAX('Black-Scholes'!$B$6-C2781,0),MAX(C2781-'Black-Scholes'!$B$6,0))</f>
        <v>0</v>
      </c>
      <c r="F2781" s="18" t="n">
        <f aca="false">(E2781+G2781)/2</f>
        <v>26.5452357789298</v>
      </c>
      <c r="G2781" s="18" t="n">
        <f aca="false">EXP(-'Black-Scholes'!$B$8*'Black-Scholes'!$B$7)*IF(LOWER('Black-Scholes'!$B$11)="put",MAX('Black-Scholes'!$B$6-D2781,0),MAX(D2781-'Black-Scholes'!$B$6,0))</f>
        <v>53.0904715578596</v>
      </c>
    </row>
    <row r="2782" customFormat="false" ht="15" hidden="false" customHeight="false" outlineLevel="0" collapsed="false">
      <c r="A2782" s="0" t="n">
        <v>2771</v>
      </c>
      <c r="B2782" s="15" t="n">
        <v>0.765567491385246</v>
      </c>
      <c r="C2782" s="18" t="n">
        <f aca="false">'Black-Scholes'!$B$5*EXP(('Black-Scholes'!$B$8-'Black-Scholes'!$B$10-'Black-Scholes'!$B$9^2/2)*'Black-Scholes'!$B$7+'Black-Scholes'!$B$9*SQRT('Black-Scholes'!$B$7)*B2782)</f>
        <v>120.095070618186</v>
      </c>
      <c r="D2782" s="18" t="n">
        <f aca="false">'Black-Scholes'!$B$5*EXP(('Black-Scholes'!$B$8-'Black-Scholes'!$B$10-'Black-Scholes'!$B$9^2/2)*'Black-Scholes'!$B$7-'Black-Scholes'!$B$9*SQRT('Black-Scholes'!$B$7)*B2782)</f>
        <v>88.4163305853927</v>
      </c>
      <c r="E2782" s="18" t="n">
        <f aca="false">EXP(-'Black-Scholes'!$B$8*'Black-Scholes'!$B$7)*IF(LOWER('Black-Scholes'!$B$11)="put",MAX('Black-Scholes'!$B$6-C2782,0),MAX(C2782-'Black-Scholes'!$B$6,0))</f>
        <v>19.115022459438</v>
      </c>
      <c r="F2782" s="18" t="n">
        <f aca="false">(E2782+G2782)/2</f>
        <v>9.557511229719</v>
      </c>
      <c r="G2782" s="18" t="n">
        <f aca="false">EXP(-'Black-Scholes'!$B$8*'Black-Scholes'!$B$7)*IF(LOWER('Black-Scholes'!$B$11)="put",MAX('Black-Scholes'!$B$6-D2782,0),MAX(D2782-'Black-Scholes'!$B$6,0))</f>
        <v>0</v>
      </c>
    </row>
    <row r="2783" customFormat="false" ht="15" hidden="false" customHeight="false" outlineLevel="0" collapsed="false">
      <c r="A2783" s="0" t="n">
        <v>2772</v>
      </c>
      <c r="B2783" s="15" t="n">
        <v>0.688084286021035</v>
      </c>
      <c r="C2783" s="18" t="n">
        <f aca="false">'Black-Scholes'!$B$5*EXP(('Black-Scholes'!$B$8-'Black-Scholes'!$B$10-'Black-Scholes'!$B$9^2/2)*'Black-Scholes'!$B$7+'Black-Scholes'!$B$9*SQRT('Black-Scholes'!$B$7)*B2783)</f>
        <v>118.248346382308</v>
      </c>
      <c r="D2783" s="18" t="n">
        <f aca="false">'Black-Scholes'!$B$5*EXP(('Black-Scholes'!$B$8-'Black-Scholes'!$B$10-'Black-Scholes'!$B$9^2/2)*'Black-Scholes'!$B$7-'Black-Scholes'!$B$9*SQRT('Black-Scholes'!$B$7)*B2783)</f>
        <v>89.7971581870876</v>
      </c>
      <c r="E2783" s="18" t="n">
        <f aca="false">EXP(-'Black-Scholes'!$B$8*'Black-Scholes'!$B$7)*IF(LOWER('Black-Scholes'!$B$11)="put",MAX('Black-Scholes'!$B$6-C2783,0),MAX(C2783-'Black-Scholes'!$B$6,0))</f>
        <v>17.3583640273321</v>
      </c>
      <c r="F2783" s="18" t="n">
        <f aca="false">(E2783+G2783)/2</f>
        <v>8.67918201366605</v>
      </c>
      <c r="G2783" s="18" t="n">
        <f aca="false">EXP(-'Black-Scholes'!$B$8*'Black-Scholes'!$B$7)*IF(LOWER('Black-Scholes'!$B$11)="put",MAX('Black-Scholes'!$B$6-D2783,0),MAX(D2783-'Black-Scholes'!$B$6,0))</f>
        <v>0</v>
      </c>
    </row>
    <row r="2784" customFormat="false" ht="15" hidden="false" customHeight="false" outlineLevel="0" collapsed="false">
      <c r="A2784" s="0" t="n">
        <v>2773</v>
      </c>
      <c r="B2784" s="15" t="n">
        <v>0.221260823780423</v>
      </c>
      <c r="C2784" s="18" t="n">
        <f aca="false">'Black-Scholes'!$B$5*EXP(('Black-Scholes'!$B$8-'Black-Scholes'!$B$10-'Black-Scholes'!$B$9^2/2)*'Black-Scholes'!$B$7+'Black-Scholes'!$B$9*SQRT('Black-Scholes'!$B$7)*B2784)</f>
        <v>107.707837246005</v>
      </c>
      <c r="D2784" s="18" t="n">
        <f aca="false">'Black-Scholes'!$B$5*EXP(('Black-Scholes'!$B$8-'Black-Scholes'!$B$10-'Black-Scholes'!$B$9^2/2)*'Black-Scholes'!$B$7-'Black-Scholes'!$B$9*SQRT('Black-Scholes'!$B$7)*B2784)</f>
        <v>98.5848916565026</v>
      </c>
      <c r="E2784" s="18" t="n">
        <f aca="false">EXP(-'Black-Scholes'!$B$8*'Black-Scholes'!$B$7)*IF(LOWER('Black-Scholes'!$B$11)="put",MAX('Black-Scholes'!$B$6-C2784,0),MAX(C2784-'Black-Scholes'!$B$6,0))</f>
        <v>7.33192158766229</v>
      </c>
      <c r="F2784" s="18" t="n">
        <f aca="false">(E2784+G2784)/2</f>
        <v>3.66596079383114</v>
      </c>
      <c r="G2784" s="18" t="n">
        <f aca="false">EXP(-'Black-Scholes'!$B$8*'Black-Scholes'!$B$7)*IF(LOWER('Black-Scholes'!$B$11)="put",MAX('Black-Scholes'!$B$6-D2784,0),MAX(D2784-'Black-Scholes'!$B$6,0))</f>
        <v>0</v>
      </c>
    </row>
    <row r="2785" customFormat="false" ht="15" hidden="false" customHeight="false" outlineLevel="0" collapsed="false">
      <c r="A2785" s="0" t="n">
        <v>2774</v>
      </c>
      <c r="B2785" s="15" t="n">
        <v>-0.301642848567607</v>
      </c>
      <c r="C2785" s="18" t="n">
        <f aca="false">'Black-Scholes'!$B$5*EXP(('Black-Scholes'!$B$8-'Black-Scholes'!$B$10-'Black-Scholes'!$B$9^2/2)*'Black-Scholes'!$B$7+'Black-Scholes'!$B$9*SQRT('Black-Scholes'!$B$7)*B2785)</f>
        <v>97.0126726915532</v>
      </c>
      <c r="D2785" s="18" t="n">
        <f aca="false">'Black-Scholes'!$B$5*EXP(('Black-Scholes'!$B$8-'Black-Scholes'!$B$10-'Black-Scholes'!$B$9^2/2)*'Black-Scholes'!$B$7-'Black-Scholes'!$B$9*SQRT('Black-Scholes'!$B$7)*B2785)</f>
        <v>109.453385530508</v>
      </c>
      <c r="E2785" s="18" t="n">
        <f aca="false">EXP(-'Black-Scholes'!$B$8*'Black-Scholes'!$B$7)*IF(LOWER('Black-Scholes'!$B$11)="put",MAX('Black-Scholes'!$B$6-C2785,0),MAX(C2785-'Black-Scholes'!$B$6,0))</f>
        <v>0</v>
      </c>
      <c r="F2785" s="18" t="n">
        <f aca="false">(E2785+G2785)/2</f>
        <v>4.49616923888443</v>
      </c>
      <c r="G2785" s="18" t="n">
        <f aca="false">EXP(-'Black-Scholes'!$B$8*'Black-Scholes'!$B$7)*IF(LOWER('Black-Scholes'!$B$11)="put",MAX('Black-Scholes'!$B$6-D2785,0),MAX(D2785-'Black-Scholes'!$B$6,0))</f>
        <v>8.99233847776887</v>
      </c>
    </row>
    <row r="2786" customFormat="false" ht="15" hidden="false" customHeight="false" outlineLevel="0" collapsed="false">
      <c r="A2786" s="0" t="n">
        <v>2775</v>
      </c>
      <c r="B2786" s="15" t="n">
        <v>-0.792957703749646</v>
      </c>
      <c r="C2786" s="18" t="n">
        <f aca="false">'Black-Scholes'!$B$5*EXP(('Black-Scholes'!$B$8-'Black-Scholes'!$B$10-'Black-Scholes'!$B$9^2/2)*'Black-Scholes'!$B$7+'Black-Scholes'!$B$9*SQRT('Black-Scholes'!$B$7)*B2786)</f>
        <v>87.9333063925917</v>
      </c>
      <c r="D2786" s="18" t="n">
        <f aca="false">'Black-Scholes'!$B$5*EXP(('Black-Scholes'!$B$8-'Black-Scholes'!$B$10-'Black-Scholes'!$B$9^2/2)*'Black-Scholes'!$B$7-'Black-Scholes'!$B$9*SQRT('Black-Scholes'!$B$7)*B2786)</f>
        <v>120.754761774182</v>
      </c>
      <c r="E2786" s="18" t="n">
        <f aca="false">EXP(-'Black-Scholes'!$B$8*'Black-Scholes'!$B$7)*IF(LOWER('Black-Scholes'!$B$11)="put",MAX('Black-Scholes'!$B$6-C2786,0),MAX(C2786-'Black-Scholes'!$B$6,0))</f>
        <v>0</v>
      </c>
      <c r="F2786" s="18" t="n">
        <f aca="false">(E2786+G2786)/2</f>
        <v>9.87127004905246</v>
      </c>
      <c r="G2786" s="18" t="n">
        <f aca="false">EXP(-'Black-Scholes'!$B$8*'Black-Scholes'!$B$7)*IF(LOWER('Black-Scholes'!$B$11)="put",MAX('Black-Scholes'!$B$6-D2786,0),MAX(D2786-'Black-Scholes'!$B$6,0))</f>
        <v>19.7425400981049</v>
      </c>
    </row>
    <row r="2787" customFormat="false" ht="15" hidden="false" customHeight="false" outlineLevel="0" collapsed="false">
      <c r="A2787" s="0" t="n">
        <v>2776</v>
      </c>
      <c r="B2787" s="15" t="n">
        <v>0.932329548783803</v>
      </c>
      <c r="C2787" s="18" t="n">
        <f aca="false">'Black-Scholes'!$B$5*EXP(('Black-Scholes'!$B$8-'Black-Scholes'!$B$10-'Black-Scholes'!$B$9^2/2)*'Black-Scholes'!$B$7+'Black-Scholes'!$B$9*SQRT('Black-Scholes'!$B$7)*B2787)</f>
        <v>124.168075543334</v>
      </c>
      <c r="D2787" s="18" t="n">
        <f aca="false">'Black-Scholes'!$B$5*EXP(('Black-Scholes'!$B$8-'Black-Scholes'!$B$10-'Black-Scholes'!$B$9^2/2)*'Black-Scholes'!$B$7-'Black-Scholes'!$B$9*SQRT('Black-Scholes'!$B$7)*B2787)</f>
        <v>85.5160669841249</v>
      </c>
      <c r="E2787" s="18" t="n">
        <f aca="false">EXP(-'Black-Scholes'!$B$8*'Black-Scholes'!$B$7)*IF(LOWER('Black-Scholes'!$B$11)="put",MAX('Black-Scholes'!$B$6-C2787,0),MAX(C2787-'Black-Scholes'!$B$6,0))</f>
        <v>22.989384590375</v>
      </c>
      <c r="F2787" s="18" t="n">
        <f aca="false">(E2787+G2787)/2</f>
        <v>11.4946922951875</v>
      </c>
      <c r="G2787" s="18" t="n">
        <f aca="false">EXP(-'Black-Scholes'!$B$8*'Black-Scholes'!$B$7)*IF(LOWER('Black-Scholes'!$B$11)="put",MAX('Black-Scholes'!$B$6-D2787,0),MAX(D2787-'Black-Scholes'!$B$6,0))</f>
        <v>0</v>
      </c>
    </row>
    <row r="2788" customFormat="false" ht="15" hidden="false" customHeight="false" outlineLevel="0" collapsed="false">
      <c r="A2788" s="0" t="n">
        <v>2777</v>
      </c>
      <c r="B2788" s="15" t="n">
        <v>0.698828224399528</v>
      </c>
      <c r="C2788" s="18" t="n">
        <f aca="false">'Black-Scholes'!$B$5*EXP(('Black-Scholes'!$B$8-'Black-Scholes'!$B$10-'Black-Scholes'!$B$9^2/2)*'Black-Scholes'!$B$7+'Black-Scholes'!$B$9*SQRT('Black-Scholes'!$B$7)*B2788)</f>
        <v>118.502710160689</v>
      </c>
      <c r="D2788" s="18" t="n">
        <f aca="false">'Black-Scholes'!$B$5*EXP(('Black-Scholes'!$B$8-'Black-Scholes'!$B$10-'Black-Scholes'!$B$9^2/2)*'Black-Scholes'!$B$7-'Black-Scholes'!$B$9*SQRT('Black-Scholes'!$B$7)*B2788)</f>
        <v>89.6044103215458</v>
      </c>
      <c r="E2788" s="18" t="n">
        <f aca="false">EXP(-'Black-Scholes'!$B$8*'Black-Scholes'!$B$7)*IF(LOWER('Black-Scholes'!$B$11)="put",MAX('Black-Scholes'!$B$6-C2788,0),MAX(C2788-'Black-Scholes'!$B$6,0))</f>
        <v>17.6003223378558</v>
      </c>
      <c r="F2788" s="18" t="n">
        <f aca="false">(E2788+G2788)/2</f>
        <v>8.80016116892789</v>
      </c>
      <c r="G2788" s="18" t="n">
        <f aca="false">EXP(-'Black-Scholes'!$B$8*'Black-Scholes'!$B$7)*IF(LOWER('Black-Scholes'!$B$11)="put",MAX('Black-Scholes'!$B$6-D2788,0),MAX(D2788-'Black-Scholes'!$B$6,0))</f>
        <v>0</v>
      </c>
    </row>
    <row r="2789" customFormat="false" ht="15" hidden="false" customHeight="false" outlineLevel="0" collapsed="false">
      <c r="A2789" s="0" t="n">
        <v>2778</v>
      </c>
      <c r="B2789" s="15" t="n">
        <v>0.445090316121567</v>
      </c>
      <c r="C2789" s="18" t="n">
        <f aca="false">'Black-Scholes'!$B$5*EXP(('Black-Scholes'!$B$8-'Black-Scholes'!$B$10-'Black-Scholes'!$B$9^2/2)*'Black-Scholes'!$B$7+'Black-Scholes'!$B$9*SQRT('Black-Scholes'!$B$7)*B2789)</f>
        <v>112.63902643446</v>
      </c>
      <c r="D2789" s="18" t="n">
        <f aca="false">'Black-Scholes'!$B$5*EXP(('Black-Scholes'!$B$8-'Black-Scholes'!$B$10-'Black-Scholes'!$B$9^2/2)*'Black-Scholes'!$B$7-'Black-Scholes'!$B$9*SQRT('Black-Scholes'!$B$7)*B2789)</f>
        <v>94.2689740987059</v>
      </c>
      <c r="E2789" s="18" t="n">
        <f aca="false">EXP(-'Black-Scholes'!$B$8*'Black-Scholes'!$B$7)*IF(LOWER('Black-Scholes'!$B$11)="put",MAX('Black-Scholes'!$B$6-C2789,0),MAX(C2789-'Black-Scholes'!$B$6,0))</f>
        <v>12.0226138415011</v>
      </c>
      <c r="F2789" s="18" t="n">
        <f aca="false">(E2789+G2789)/2</f>
        <v>6.01130692075054</v>
      </c>
      <c r="G2789" s="18" t="n">
        <f aca="false">EXP(-'Black-Scholes'!$B$8*'Black-Scholes'!$B$7)*IF(LOWER('Black-Scholes'!$B$11)="put",MAX('Black-Scholes'!$B$6-D2789,0),MAX(D2789-'Black-Scholes'!$B$6,0))</f>
        <v>0</v>
      </c>
    </row>
    <row r="2790" customFormat="false" ht="15" hidden="false" customHeight="false" outlineLevel="0" collapsed="false">
      <c r="A2790" s="0" t="n">
        <v>2779</v>
      </c>
      <c r="B2790" s="15" t="n">
        <v>1.15008117861472</v>
      </c>
      <c r="C2790" s="18" t="n">
        <f aca="false">'Black-Scholes'!$B$5*EXP(('Black-Scholes'!$B$8-'Black-Scholes'!$B$10-'Black-Scholes'!$B$9^2/2)*'Black-Scholes'!$B$7+'Black-Scholes'!$B$9*SQRT('Black-Scholes'!$B$7)*B2790)</f>
        <v>129.695114343427</v>
      </c>
      <c r="D2790" s="18" t="n">
        <f aca="false">'Black-Scholes'!$B$5*EXP(('Black-Scholes'!$B$8-'Black-Scholes'!$B$10-'Black-Scholes'!$B$9^2/2)*'Black-Scholes'!$B$7-'Black-Scholes'!$B$9*SQRT('Black-Scholes'!$B$7)*B2790)</f>
        <v>81.8717460500217</v>
      </c>
      <c r="E2790" s="18" t="n">
        <f aca="false">EXP(-'Black-Scholes'!$B$8*'Black-Scholes'!$B$7)*IF(LOWER('Black-Scholes'!$B$11)="put",MAX('Black-Scholes'!$B$6-C2790,0),MAX(C2790-'Black-Scholes'!$B$6,0))</f>
        <v>28.2468665273811</v>
      </c>
      <c r="F2790" s="18" t="n">
        <f aca="false">(E2790+G2790)/2</f>
        <v>14.1234332636905</v>
      </c>
      <c r="G2790" s="18" t="n">
        <f aca="false">EXP(-'Black-Scholes'!$B$8*'Black-Scholes'!$B$7)*IF(LOWER('Black-Scholes'!$B$11)="put",MAX('Black-Scholes'!$B$6-D2790,0),MAX(D2790-'Black-Scholes'!$B$6,0))</f>
        <v>0</v>
      </c>
    </row>
    <row r="2791" customFormat="false" ht="15" hidden="false" customHeight="false" outlineLevel="0" collapsed="false">
      <c r="A2791" s="0" t="n">
        <v>2780</v>
      </c>
      <c r="B2791" s="15" t="n">
        <v>-1.02702644040399</v>
      </c>
      <c r="C2791" s="18" t="n">
        <f aca="false">'Black-Scholes'!$B$5*EXP(('Black-Scholes'!$B$8-'Black-Scholes'!$B$10-'Black-Scholes'!$B$9^2/2)*'Black-Scholes'!$B$7+'Black-Scholes'!$B$9*SQRT('Black-Scholes'!$B$7)*B2791)</f>
        <v>83.911686777898</v>
      </c>
      <c r="D2791" s="18" t="n">
        <f aca="false">'Black-Scholes'!$B$5*EXP(('Black-Scholes'!$B$8-'Black-Scholes'!$B$10-'Black-Scholes'!$B$9^2/2)*'Black-Scholes'!$B$7-'Black-Scholes'!$B$9*SQRT('Black-Scholes'!$B$7)*B2791)</f>
        <v>126.542152508015</v>
      </c>
      <c r="E2791" s="18" t="n">
        <f aca="false">EXP(-'Black-Scholes'!$B$8*'Black-Scholes'!$B$7)*IF(LOWER('Black-Scholes'!$B$11)="put",MAX('Black-Scholes'!$B$6-C2791,0),MAX(C2791-'Black-Scholes'!$B$6,0))</f>
        <v>0</v>
      </c>
      <c r="F2791" s="18" t="n">
        <f aca="false">(E2791+G2791)/2</f>
        <v>12.6238382276049</v>
      </c>
      <c r="G2791" s="18" t="n">
        <f aca="false">EXP(-'Black-Scholes'!$B$8*'Black-Scholes'!$B$7)*IF(LOWER('Black-Scholes'!$B$11)="put",MAX('Black-Scholes'!$B$6-D2791,0),MAX(D2791-'Black-Scholes'!$B$6,0))</f>
        <v>25.2476764552097</v>
      </c>
    </row>
    <row r="2792" customFormat="false" ht="15" hidden="false" customHeight="false" outlineLevel="0" collapsed="false">
      <c r="A2792" s="0" t="n">
        <v>2781</v>
      </c>
      <c r="B2792" s="15" t="n">
        <v>0.174686963072877</v>
      </c>
      <c r="C2792" s="18" t="n">
        <f aca="false">'Black-Scholes'!$B$5*EXP(('Black-Scholes'!$B$8-'Black-Scholes'!$B$10-'Black-Scholes'!$B$9^2/2)*'Black-Scholes'!$B$7+'Black-Scholes'!$B$9*SQRT('Black-Scholes'!$B$7)*B2792)</f>
        <v>106.709221443926</v>
      </c>
      <c r="D2792" s="18" t="n">
        <f aca="false">'Black-Scholes'!$B$5*EXP(('Black-Scholes'!$B$8-'Black-Scholes'!$B$10-'Black-Scholes'!$B$9^2/2)*'Black-Scholes'!$B$7-'Black-Scholes'!$B$9*SQRT('Black-Scholes'!$B$7)*B2792)</f>
        <v>99.5074776272578</v>
      </c>
      <c r="E2792" s="18" t="n">
        <f aca="false">EXP(-'Black-Scholes'!$B$8*'Black-Scholes'!$B$7)*IF(LOWER('Black-Scholes'!$B$11)="put",MAX('Black-Scholes'!$B$6-C2792,0),MAX(C2792-'Black-Scholes'!$B$6,0))</f>
        <v>6.3820088529539</v>
      </c>
      <c r="F2792" s="18" t="n">
        <f aca="false">(E2792+G2792)/2</f>
        <v>3.19100442647695</v>
      </c>
      <c r="G2792" s="18" t="n">
        <f aca="false">EXP(-'Black-Scholes'!$B$8*'Black-Scholes'!$B$7)*IF(LOWER('Black-Scholes'!$B$11)="put",MAX('Black-Scholes'!$B$6-D2792,0),MAX(D2792-'Black-Scholes'!$B$6,0))</f>
        <v>0</v>
      </c>
    </row>
    <row r="2793" customFormat="false" ht="15" hidden="false" customHeight="false" outlineLevel="0" collapsed="false">
      <c r="A2793" s="0" t="n">
        <v>2782</v>
      </c>
      <c r="B2793" s="15" t="n">
        <v>-0.644486751530024</v>
      </c>
      <c r="C2793" s="18" t="n">
        <f aca="false">'Black-Scholes'!$B$5*EXP(('Black-Scholes'!$B$8-'Black-Scholes'!$B$10-'Black-Scholes'!$B$9^2/2)*'Black-Scholes'!$B$7+'Black-Scholes'!$B$9*SQRT('Black-Scholes'!$B$7)*B2793)</f>
        <v>90.5835687007416</v>
      </c>
      <c r="D2793" s="18" t="n">
        <f aca="false">'Black-Scholes'!$B$5*EXP(('Black-Scholes'!$B$8-'Black-Scholes'!$B$10-'Black-Scholes'!$B$9^2/2)*'Black-Scholes'!$B$7-'Black-Scholes'!$B$9*SQRT('Black-Scholes'!$B$7)*B2793)</f>
        <v>117.221761272546</v>
      </c>
      <c r="E2793" s="18" t="n">
        <f aca="false">EXP(-'Black-Scholes'!$B$8*'Black-Scholes'!$B$7)*IF(LOWER('Black-Scholes'!$B$11)="put",MAX('Black-Scholes'!$B$6-C2793,0),MAX(C2793-'Black-Scholes'!$B$6,0))</f>
        <v>0</v>
      </c>
      <c r="F2793" s="18" t="n">
        <f aca="false">(E2793+G2793)/2</f>
        <v>8.19092303208628</v>
      </c>
      <c r="G2793" s="18" t="n">
        <f aca="false">EXP(-'Black-Scholes'!$B$8*'Black-Scholes'!$B$7)*IF(LOWER('Black-Scholes'!$B$11)="put",MAX('Black-Scholes'!$B$6-D2793,0),MAX(D2793-'Black-Scholes'!$B$6,0))</f>
        <v>16.3818460641726</v>
      </c>
    </row>
    <row r="2794" customFormat="false" ht="15" hidden="false" customHeight="false" outlineLevel="0" collapsed="false">
      <c r="A2794" s="0" t="n">
        <v>2783</v>
      </c>
      <c r="B2794" s="15" t="n">
        <v>1.29768868641634</v>
      </c>
      <c r="C2794" s="18" t="n">
        <f aca="false">'Black-Scholes'!$B$5*EXP(('Black-Scholes'!$B$8-'Black-Scholes'!$B$10-'Black-Scholes'!$B$9^2/2)*'Black-Scholes'!$B$7+'Black-Scholes'!$B$9*SQRT('Black-Scholes'!$B$7)*B2794)</f>
        <v>133.580985019061</v>
      </c>
      <c r="D2794" s="18" t="n">
        <f aca="false">'Black-Scholes'!$B$5*EXP(('Black-Scholes'!$B$8-'Black-Scholes'!$B$10-'Black-Scholes'!$B$9^2/2)*'Black-Scholes'!$B$7-'Black-Scholes'!$B$9*SQRT('Black-Scholes'!$B$7)*B2794)</f>
        <v>79.4900970668724</v>
      </c>
      <c r="E2794" s="18" t="n">
        <f aca="false">EXP(-'Black-Scholes'!$B$8*'Black-Scholes'!$B$7)*IF(LOWER('Black-Scholes'!$B$11)="put",MAX('Black-Scholes'!$B$6-C2794,0),MAX(C2794-'Black-Scholes'!$B$6,0))</f>
        <v>31.9432210538486</v>
      </c>
      <c r="F2794" s="18" t="n">
        <f aca="false">(E2794+G2794)/2</f>
        <v>15.9716105269243</v>
      </c>
      <c r="G2794" s="18" t="n">
        <f aca="false">EXP(-'Black-Scholes'!$B$8*'Black-Scholes'!$B$7)*IF(LOWER('Black-Scholes'!$B$11)="put",MAX('Black-Scholes'!$B$6-D2794,0),MAX(D2794-'Black-Scholes'!$B$6,0))</f>
        <v>0</v>
      </c>
    </row>
    <row r="2795" customFormat="false" ht="15" hidden="false" customHeight="false" outlineLevel="0" collapsed="false">
      <c r="A2795" s="0" t="n">
        <v>2784</v>
      </c>
      <c r="B2795" s="15" t="n">
        <v>-0.462601436829028</v>
      </c>
      <c r="C2795" s="18" t="n">
        <f aca="false">'Black-Scholes'!$B$5*EXP(('Black-Scholes'!$B$8-'Black-Scholes'!$B$10-'Black-Scholes'!$B$9^2/2)*'Black-Scholes'!$B$7+'Black-Scholes'!$B$9*SQRT('Black-Scholes'!$B$7)*B2795)</f>
        <v>93.9394004790347</v>
      </c>
      <c r="D2795" s="18" t="n">
        <f aca="false">'Black-Scholes'!$B$5*EXP(('Black-Scholes'!$B$8-'Black-Scholes'!$B$10-'Black-Scholes'!$B$9^2/2)*'Black-Scholes'!$B$7-'Black-Scholes'!$B$9*SQRT('Black-Scholes'!$B$7)*B2795)</f>
        <v>113.034205150409</v>
      </c>
      <c r="E2795" s="18" t="n">
        <f aca="false">EXP(-'Black-Scholes'!$B$8*'Black-Scholes'!$B$7)*IF(LOWER('Black-Scholes'!$B$11)="put",MAX('Black-Scholes'!$B$6-C2795,0),MAX(C2795-'Black-Scholes'!$B$6,0))</f>
        <v>0</v>
      </c>
      <c r="F2795" s="18" t="n">
        <f aca="false">(E2795+G2795)/2</f>
        <v>6.19925973202368</v>
      </c>
      <c r="G2795" s="18" t="n">
        <f aca="false">EXP(-'Black-Scholes'!$B$8*'Black-Scholes'!$B$7)*IF(LOWER('Black-Scholes'!$B$11)="put",MAX('Black-Scholes'!$B$6-D2795,0),MAX(D2795-'Black-Scholes'!$B$6,0))</f>
        <v>12.3985194640474</v>
      </c>
    </row>
    <row r="2796" customFormat="false" ht="15" hidden="false" customHeight="false" outlineLevel="0" collapsed="false">
      <c r="A2796" s="0" t="n">
        <v>2785</v>
      </c>
      <c r="B2796" s="15" t="n">
        <v>-0.235589835865312</v>
      </c>
      <c r="C2796" s="18" t="n">
        <f aca="false">'Black-Scholes'!$B$5*EXP(('Black-Scholes'!$B$8-'Black-Scholes'!$B$10-'Black-Scholes'!$B$9^2/2)*'Black-Scholes'!$B$7+'Black-Scholes'!$B$9*SQRT('Black-Scholes'!$B$7)*B2796)</f>
        <v>98.3027712794289</v>
      </c>
      <c r="D2796" s="18" t="n">
        <f aca="false">'Black-Scholes'!$B$5*EXP(('Black-Scholes'!$B$8-'Black-Scholes'!$B$10-'Black-Scholes'!$B$9^2/2)*'Black-Scholes'!$B$7-'Black-Scholes'!$B$9*SQRT('Black-Scholes'!$B$7)*B2796)</f>
        <v>108.016949341851</v>
      </c>
      <c r="E2796" s="18" t="n">
        <f aca="false">EXP(-'Black-Scholes'!$B$8*'Black-Scholes'!$B$7)*IF(LOWER('Black-Scholes'!$B$11)="put",MAX('Black-Scholes'!$B$6-C2796,0),MAX(C2796-'Black-Scholes'!$B$6,0))</f>
        <v>0</v>
      </c>
      <c r="F2796" s="18" t="n">
        <f aca="false">(E2796+G2796)/2</f>
        <v>3.81297905434997</v>
      </c>
      <c r="G2796" s="18" t="n">
        <f aca="false">EXP(-'Black-Scholes'!$B$8*'Black-Scholes'!$B$7)*IF(LOWER('Black-Scholes'!$B$11)="put",MAX('Black-Scholes'!$B$6-D2796,0),MAX(D2796-'Black-Scholes'!$B$6,0))</f>
        <v>7.62595810869994</v>
      </c>
    </row>
    <row r="2797" customFormat="false" ht="15" hidden="false" customHeight="false" outlineLevel="0" collapsed="false">
      <c r="A2797" s="0" t="n">
        <v>2786</v>
      </c>
      <c r="B2797" s="15" t="n">
        <v>-0.085730714464733</v>
      </c>
      <c r="C2797" s="18" t="n">
        <f aca="false">'Black-Scholes'!$B$5*EXP(('Black-Scholes'!$B$8-'Black-Scholes'!$B$10-'Black-Scholes'!$B$9^2/2)*'Black-Scholes'!$B$7+'Black-Scholes'!$B$9*SQRT('Black-Scholes'!$B$7)*B2797)</f>
        <v>101.293682302457</v>
      </c>
      <c r="D2797" s="18" t="n">
        <f aca="false">'Black-Scholes'!$B$5*EXP(('Black-Scholes'!$B$8-'Black-Scholes'!$B$10-'Black-Scholes'!$B$9^2/2)*'Black-Scholes'!$B$7-'Black-Scholes'!$B$9*SQRT('Black-Scholes'!$B$7)*B2797)</f>
        <v>104.827519585553</v>
      </c>
      <c r="E2797" s="18" t="n">
        <f aca="false">EXP(-'Black-Scholes'!$B$8*'Black-Scholes'!$B$7)*IF(LOWER('Black-Scholes'!$B$11)="put",MAX('Black-Scholes'!$B$6-C2797,0),MAX(C2797-'Black-Scholes'!$B$6,0))</f>
        <v>1.23058867205292</v>
      </c>
      <c r="F2797" s="18" t="n">
        <f aca="false">(E2797+G2797)/2</f>
        <v>2.91133367459221</v>
      </c>
      <c r="G2797" s="18" t="n">
        <f aca="false">EXP(-'Black-Scholes'!$B$8*'Black-Scholes'!$B$7)*IF(LOWER('Black-Scholes'!$B$11)="put",MAX('Black-Scholes'!$B$6-D2797,0),MAX(D2797-'Black-Scholes'!$B$6,0))</f>
        <v>4.59207867713151</v>
      </c>
    </row>
    <row r="2798" customFormat="false" ht="15" hidden="false" customHeight="false" outlineLevel="0" collapsed="false">
      <c r="A2798" s="0" t="n">
        <v>2787</v>
      </c>
      <c r="B2798" s="15" t="n">
        <v>-0.24131624094142</v>
      </c>
      <c r="C2798" s="18" t="n">
        <f aca="false">'Black-Scholes'!$B$5*EXP(('Black-Scholes'!$B$8-'Black-Scholes'!$B$10-'Black-Scholes'!$B$9^2/2)*'Black-Scholes'!$B$7+'Black-Scholes'!$B$9*SQRT('Black-Scholes'!$B$7)*B2798)</f>
        <v>98.1902514274631</v>
      </c>
      <c r="D2798" s="18" t="n">
        <f aca="false">'Black-Scholes'!$B$5*EXP(('Black-Scholes'!$B$8-'Black-Scholes'!$B$10-'Black-Scholes'!$B$9^2/2)*'Black-Scholes'!$B$7-'Black-Scholes'!$B$9*SQRT('Black-Scholes'!$B$7)*B2798)</f>
        <v>108.140729971527</v>
      </c>
      <c r="E2798" s="18" t="n">
        <f aca="false">EXP(-'Black-Scholes'!$B$8*'Black-Scholes'!$B$7)*IF(LOWER('Black-Scholes'!$B$11)="put",MAX('Black-Scholes'!$B$6-C2798,0),MAX(C2798-'Black-Scholes'!$B$6,0))</f>
        <v>0</v>
      </c>
      <c r="F2798" s="18" t="n">
        <f aca="false">(E2798+G2798)/2</f>
        <v>3.87185094291552</v>
      </c>
      <c r="G2798" s="18" t="n">
        <f aca="false">EXP(-'Black-Scholes'!$B$8*'Black-Scholes'!$B$7)*IF(LOWER('Black-Scholes'!$B$11)="put",MAX('Black-Scholes'!$B$6-D2798,0),MAX(D2798-'Black-Scholes'!$B$6,0))</f>
        <v>7.74370188583104</v>
      </c>
    </row>
    <row r="2799" customFormat="false" ht="15" hidden="false" customHeight="false" outlineLevel="0" collapsed="false">
      <c r="A2799" s="0" t="n">
        <v>2788</v>
      </c>
      <c r="B2799" s="15" t="n">
        <v>-0.510128809829875</v>
      </c>
      <c r="C2799" s="18" t="n">
        <f aca="false">'Black-Scholes'!$B$5*EXP(('Black-Scholes'!$B$8-'Black-Scholes'!$B$10-'Black-Scholes'!$B$9^2/2)*'Black-Scholes'!$B$7+'Black-Scholes'!$B$9*SQRT('Black-Scholes'!$B$7)*B2799)</f>
        <v>93.0506923814713</v>
      </c>
      <c r="D2799" s="18" t="n">
        <f aca="false">'Black-Scholes'!$B$5*EXP(('Black-Scholes'!$B$8-'Black-Scholes'!$B$10-'Black-Scholes'!$B$9^2/2)*'Black-Scholes'!$B$7-'Black-Scholes'!$B$9*SQRT('Black-Scholes'!$B$7)*B2799)</f>
        <v>114.11377168396</v>
      </c>
      <c r="E2799" s="18" t="n">
        <f aca="false">EXP(-'Black-Scholes'!$B$8*'Black-Scholes'!$B$7)*IF(LOWER('Black-Scholes'!$B$11)="put",MAX('Black-Scholes'!$B$6-C2799,0),MAX(C2799-'Black-Scholes'!$B$6,0))</f>
        <v>0</v>
      </c>
      <c r="F2799" s="18" t="n">
        <f aca="false">(E2799+G2799)/2</f>
        <v>6.71271745823378</v>
      </c>
      <c r="G2799" s="18" t="n">
        <f aca="false">EXP(-'Black-Scholes'!$B$8*'Black-Scholes'!$B$7)*IF(LOWER('Black-Scholes'!$B$11)="put",MAX('Black-Scholes'!$B$6-D2799,0),MAX(D2799-'Black-Scholes'!$B$6,0))</f>
        <v>13.4254349164676</v>
      </c>
    </row>
    <row r="2800" customFormat="false" ht="15" hidden="false" customHeight="false" outlineLevel="0" collapsed="false">
      <c r="A2800" s="0" t="n">
        <v>2789</v>
      </c>
      <c r="B2800" s="15" t="n">
        <v>-0.340172848175003</v>
      </c>
      <c r="C2800" s="18" t="n">
        <f aca="false">'Black-Scholes'!$B$5*EXP(('Black-Scholes'!$B$8-'Black-Scholes'!$B$10-'Black-Scholes'!$B$9^2/2)*'Black-Scholes'!$B$7+'Black-Scholes'!$B$9*SQRT('Black-Scholes'!$B$7)*B2800)</f>
        <v>96.2679660831466</v>
      </c>
      <c r="D2800" s="18" t="n">
        <f aca="false">'Black-Scholes'!$B$5*EXP(('Black-Scholes'!$B$8-'Black-Scholes'!$B$10-'Black-Scholes'!$B$9^2/2)*'Black-Scholes'!$B$7-'Black-Scholes'!$B$9*SQRT('Black-Scholes'!$B$7)*B2800)</f>
        <v>110.300091478847</v>
      </c>
      <c r="E2800" s="18" t="n">
        <f aca="false">EXP(-'Black-Scholes'!$B$8*'Black-Scholes'!$B$7)*IF(LOWER('Black-Scholes'!$B$11)="put",MAX('Black-Scholes'!$B$6-C2800,0),MAX(C2800-'Black-Scholes'!$B$6,0))</f>
        <v>0</v>
      </c>
      <c r="F2800" s="18" t="n">
        <f aca="false">(E2800+G2800)/2</f>
        <v>4.89887504486412</v>
      </c>
      <c r="G2800" s="18" t="n">
        <f aca="false">EXP(-'Black-Scholes'!$B$8*'Black-Scholes'!$B$7)*IF(LOWER('Black-Scholes'!$B$11)="put",MAX('Black-Scholes'!$B$6-D2800,0),MAX(D2800-'Black-Scholes'!$B$6,0))</f>
        <v>9.79775008972824</v>
      </c>
    </row>
    <row r="2801" customFormat="false" ht="15" hidden="false" customHeight="false" outlineLevel="0" collapsed="false">
      <c r="A2801" s="0" t="n">
        <v>2790</v>
      </c>
      <c r="B2801" s="15" t="n">
        <v>-0.317508429462126</v>
      </c>
      <c r="C2801" s="18" t="n">
        <f aca="false">'Black-Scholes'!$B$5*EXP(('Black-Scholes'!$B$8-'Black-Scholes'!$B$10-'Black-Scholes'!$B$9^2/2)*'Black-Scholes'!$B$7+'Black-Scholes'!$B$9*SQRT('Black-Scholes'!$B$7)*B2801)</f>
        <v>96.7053280882228</v>
      </c>
      <c r="D2801" s="18" t="n">
        <f aca="false">'Black-Scholes'!$B$5*EXP(('Black-Scholes'!$B$8-'Black-Scholes'!$B$10-'Black-Scholes'!$B$9^2/2)*'Black-Scholes'!$B$7-'Black-Scholes'!$B$9*SQRT('Black-Scholes'!$B$7)*B2801)</f>
        <v>109.801245447062</v>
      </c>
      <c r="E2801" s="18" t="n">
        <f aca="false">EXP(-'Black-Scholes'!$B$8*'Black-Scholes'!$B$7)*IF(LOWER('Black-Scholes'!$B$11)="put",MAX('Black-Scholes'!$B$6-C2801,0),MAX(C2801-'Black-Scholes'!$B$6,0))</f>
        <v>0</v>
      </c>
      <c r="F2801" s="18" t="n">
        <f aca="false">(E2801+G2801)/2</f>
        <v>4.66161653299946</v>
      </c>
      <c r="G2801" s="18" t="n">
        <f aca="false">EXP(-'Black-Scholes'!$B$8*'Black-Scholes'!$B$7)*IF(LOWER('Black-Scholes'!$B$11)="put",MAX('Black-Scholes'!$B$6-D2801,0),MAX(D2801-'Black-Scholes'!$B$6,0))</f>
        <v>9.32323306599892</v>
      </c>
    </row>
    <row r="2802" customFormat="false" ht="15" hidden="false" customHeight="false" outlineLevel="0" collapsed="false">
      <c r="A2802" s="0" t="n">
        <v>2791</v>
      </c>
      <c r="B2802" s="15" t="n">
        <v>-0.105516143755649</v>
      </c>
      <c r="C2802" s="18" t="n">
        <f aca="false">'Black-Scholes'!$B$5*EXP(('Black-Scholes'!$B$8-'Black-Scholes'!$B$10-'Black-Scholes'!$B$9^2/2)*'Black-Scholes'!$B$7+'Black-Scholes'!$B$9*SQRT('Black-Scholes'!$B$7)*B2802)</f>
        <v>100.893646514671</v>
      </c>
      <c r="D2802" s="18" t="n">
        <f aca="false">'Black-Scholes'!$B$5*EXP(('Black-Scholes'!$B$8-'Black-Scholes'!$B$10-'Black-Scholes'!$B$9^2/2)*'Black-Scholes'!$B$7-'Black-Scholes'!$B$9*SQRT('Black-Scholes'!$B$7)*B2802)</f>
        <v>105.243152886832</v>
      </c>
      <c r="E2802" s="18" t="n">
        <f aca="false">EXP(-'Black-Scholes'!$B$8*'Black-Scholes'!$B$7)*IF(LOWER('Black-Scholes'!$B$11)="put",MAX('Black-Scholes'!$B$6-C2802,0),MAX(C2802-'Black-Scholes'!$B$6,0))</f>
        <v>0.850062859858002</v>
      </c>
      <c r="F2802" s="18" t="n">
        <f aca="false">(E2802+G2802)/2</f>
        <v>2.91875208148444</v>
      </c>
      <c r="G2802" s="18" t="n">
        <f aca="false">EXP(-'Black-Scholes'!$B$8*'Black-Scholes'!$B$7)*IF(LOWER('Black-Scholes'!$B$11)="put",MAX('Black-Scholes'!$B$6-D2802,0),MAX(D2802-'Black-Scholes'!$B$6,0))</f>
        <v>4.98744130311087</v>
      </c>
    </row>
    <row r="2803" customFormat="false" ht="15" hidden="false" customHeight="false" outlineLevel="0" collapsed="false">
      <c r="A2803" s="0" t="n">
        <v>2792</v>
      </c>
      <c r="B2803" s="15" t="n">
        <v>-0.0248680878728139</v>
      </c>
      <c r="C2803" s="18" t="n">
        <f aca="false">'Black-Scholes'!$B$5*EXP(('Black-Scholes'!$B$8-'Black-Scholes'!$B$10-'Black-Scholes'!$B$9^2/2)*'Black-Scholes'!$B$7+'Black-Scholes'!$B$9*SQRT('Black-Scholes'!$B$7)*B2803)</f>
        <v>102.534217118098</v>
      </c>
      <c r="D2803" s="18" t="n">
        <f aca="false">'Black-Scholes'!$B$5*EXP(('Black-Scholes'!$B$8-'Black-Scholes'!$B$10-'Black-Scholes'!$B$9^2/2)*'Black-Scholes'!$B$7-'Black-Scholes'!$B$9*SQRT('Black-Scholes'!$B$7)*B2803)</f>
        <v>103.559238700028</v>
      </c>
      <c r="E2803" s="18" t="n">
        <f aca="false">EXP(-'Black-Scholes'!$B$8*'Black-Scholes'!$B$7)*IF(LOWER('Black-Scholes'!$B$11)="put",MAX('Black-Scholes'!$B$6-C2803,0),MAX(C2803-'Black-Scholes'!$B$6,0))</f>
        <v>2.41062189080776</v>
      </c>
      <c r="F2803" s="18" t="n">
        <f aca="false">(E2803+G2803)/2</f>
        <v>2.89813723554822</v>
      </c>
      <c r="G2803" s="18" t="n">
        <f aca="false">EXP(-'Black-Scholes'!$B$8*'Black-Scholes'!$B$7)*IF(LOWER('Black-Scholes'!$B$11)="put",MAX('Black-Scholes'!$B$6-D2803,0),MAX(D2803-'Black-Scholes'!$B$6,0))</f>
        <v>3.38565258028867</v>
      </c>
    </row>
    <row r="2804" customFormat="false" ht="15" hidden="false" customHeight="false" outlineLevel="0" collapsed="false">
      <c r="A2804" s="0" t="n">
        <v>2793</v>
      </c>
      <c r="B2804" s="15" t="n">
        <v>-2.0466805516683</v>
      </c>
      <c r="C2804" s="18" t="n">
        <f aca="false">'Black-Scholes'!$B$5*EXP(('Black-Scholes'!$B$8-'Black-Scholes'!$B$10-'Black-Scholes'!$B$9^2/2)*'Black-Scholes'!$B$7+'Black-Scholes'!$B$9*SQRT('Black-Scholes'!$B$7)*B2804)</f>
        <v>68.431556847428</v>
      </c>
      <c r="D2804" s="18" t="n">
        <f aca="false">'Black-Scholes'!$B$5*EXP(('Black-Scholes'!$B$8-'Black-Scholes'!$B$10-'Black-Scholes'!$B$9^2/2)*'Black-Scholes'!$B$7-'Black-Scholes'!$B$9*SQRT('Black-Scholes'!$B$7)*B2804)</f>
        <v>155.167673433586</v>
      </c>
      <c r="E2804" s="18" t="n">
        <f aca="false">EXP(-'Black-Scholes'!$B$8*'Black-Scholes'!$B$7)*IF(LOWER('Black-Scholes'!$B$11)="put",MAX('Black-Scholes'!$B$6-C2804,0),MAX(C2804-'Black-Scholes'!$B$6,0))</f>
        <v>0</v>
      </c>
      <c r="F2804" s="18" t="n">
        <f aca="false">(E2804+G2804)/2</f>
        <v>26.2385571256367</v>
      </c>
      <c r="G2804" s="18" t="n">
        <f aca="false">EXP(-'Black-Scholes'!$B$8*'Black-Scholes'!$B$7)*IF(LOWER('Black-Scholes'!$B$11)="put",MAX('Black-Scholes'!$B$6-D2804,0),MAX(D2804-'Black-Scholes'!$B$6,0))</f>
        <v>52.4771142512734</v>
      </c>
    </row>
    <row r="2805" customFormat="false" ht="15" hidden="false" customHeight="false" outlineLevel="0" collapsed="false">
      <c r="A2805" s="0" t="n">
        <v>2794</v>
      </c>
      <c r="B2805" s="15" t="n">
        <v>-0.0399699820551987</v>
      </c>
      <c r="C2805" s="18" t="n">
        <f aca="false">'Black-Scholes'!$B$5*EXP(('Black-Scholes'!$B$8-'Black-Scholes'!$B$10-'Black-Scholes'!$B$9^2/2)*'Black-Scholes'!$B$7+'Black-Scholes'!$B$9*SQRT('Black-Scholes'!$B$7)*B2805)</f>
        <v>102.224992162036</v>
      </c>
      <c r="D2805" s="18" t="n">
        <f aca="false">'Black-Scholes'!$B$5*EXP(('Black-Scholes'!$B$8-'Black-Scholes'!$B$10-'Black-Scholes'!$B$9^2/2)*'Black-Scholes'!$B$7-'Black-Scholes'!$B$9*SQRT('Black-Scholes'!$B$7)*B2805)</f>
        <v>103.872499678185</v>
      </c>
      <c r="E2805" s="18" t="n">
        <f aca="false">EXP(-'Black-Scholes'!$B$8*'Black-Scholes'!$B$7)*IF(LOWER('Black-Scholes'!$B$11)="put",MAX('Black-Scholes'!$B$6-C2805,0),MAX(C2805-'Black-Scholes'!$B$6,0))</f>
        <v>2.11647801381208</v>
      </c>
      <c r="F2805" s="18" t="n">
        <f aca="false">(E2805+G2805)/2</f>
        <v>2.90005682703583</v>
      </c>
      <c r="G2805" s="18" t="n">
        <f aca="false">EXP(-'Black-Scholes'!$B$8*'Black-Scholes'!$B$7)*IF(LOWER('Black-Scholes'!$B$11)="put",MAX('Black-Scholes'!$B$6-D2805,0),MAX(D2805-'Black-Scholes'!$B$6,0))</f>
        <v>3.68363564025957</v>
      </c>
    </row>
    <row r="2806" customFormat="false" ht="15" hidden="false" customHeight="false" outlineLevel="0" collapsed="false">
      <c r="A2806" s="0" t="n">
        <v>2795</v>
      </c>
      <c r="B2806" s="15" t="n">
        <v>-0.784297235051426</v>
      </c>
      <c r="C2806" s="18" t="n">
        <f aca="false">'Black-Scholes'!$B$5*EXP(('Black-Scholes'!$B$8-'Black-Scholes'!$B$10-'Black-Scholes'!$B$9^2/2)*'Black-Scholes'!$B$7+'Black-Scholes'!$B$9*SQRT('Black-Scholes'!$B$7)*B2806)</f>
        <v>88.08574710479</v>
      </c>
      <c r="D2806" s="18" t="n">
        <f aca="false">'Black-Scholes'!$B$5*EXP(('Black-Scholes'!$B$8-'Black-Scholes'!$B$10-'Black-Scholes'!$B$9^2/2)*'Black-Scholes'!$B$7-'Black-Scholes'!$B$9*SQRT('Black-Scholes'!$B$7)*B2806)</f>
        <v>120.545784243864</v>
      </c>
      <c r="E2806" s="18" t="n">
        <f aca="false">EXP(-'Black-Scholes'!$B$8*'Black-Scholes'!$B$7)*IF(LOWER('Black-Scholes'!$B$11)="put",MAX('Black-Scholes'!$B$6-C2806,0),MAX(C2806-'Black-Scholes'!$B$6,0))</f>
        <v>0</v>
      </c>
      <c r="F2806" s="18" t="n">
        <f aca="false">(E2806+G2806)/2</f>
        <v>9.77187726110335</v>
      </c>
      <c r="G2806" s="18" t="n">
        <f aca="false">EXP(-'Black-Scholes'!$B$8*'Black-Scholes'!$B$7)*IF(LOWER('Black-Scholes'!$B$11)="put",MAX('Black-Scholes'!$B$6-D2806,0),MAX(D2806-'Black-Scholes'!$B$6,0))</f>
        <v>19.5437545222067</v>
      </c>
    </row>
    <row r="2807" customFormat="false" ht="15" hidden="false" customHeight="false" outlineLevel="0" collapsed="false">
      <c r="A2807" s="0" t="n">
        <v>2796</v>
      </c>
      <c r="B2807" s="15" t="n">
        <v>-0.550517567678196</v>
      </c>
      <c r="C2807" s="18" t="n">
        <f aca="false">'Black-Scholes'!$B$5*EXP(('Black-Scholes'!$B$8-'Black-Scholes'!$B$10-'Black-Scholes'!$B$9^2/2)*'Black-Scholes'!$B$7+'Black-Scholes'!$B$9*SQRT('Black-Scholes'!$B$7)*B2807)</f>
        <v>92.3020796295264</v>
      </c>
      <c r="D2807" s="18" t="n">
        <f aca="false">'Black-Scholes'!$B$5*EXP(('Black-Scholes'!$B$8-'Black-Scholes'!$B$10-'Black-Scholes'!$B$9^2/2)*'Black-Scholes'!$B$7-'Black-Scholes'!$B$9*SQRT('Black-Scholes'!$B$7)*B2807)</f>
        <v>115.039287392793</v>
      </c>
      <c r="E2807" s="18" t="n">
        <f aca="false">EXP(-'Black-Scholes'!$B$8*'Black-Scholes'!$B$7)*IF(LOWER('Black-Scholes'!$B$11)="put",MAX('Black-Scholes'!$B$6-C2807,0),MAX(C2807-'Black-Scholes'!$B$6,0))</f>
        <v>0</v>
      </c>
      <c r="F2807" s="18" t="n">
        <f aca="false">(E2807+G2807)/2</f>
        <v>7.15290634577388</v>
      </c>
      <c r="G2807" s="18" t="n">
        <f aca="false">EXP(-'Black-Scholes'!$B$8*'Black-Scholes'!$B$7)*IF(LOWER('Black-Scholes'!$B$11)="put",MAX('Black-Scholes'!$B$6-D2807,0),MAX(D2807-'Black-Scholes'!$B$6,0))</f>
        <v>14.3058126915478</v>
      </c>
    </row>
    <row r="2808" customFormat="false" ht="15" hidden="false" customHeight="false" outlineLevel="0" collapsed="false">
      <c r="A2808" s="0" t="n">
        <v>2797</v>
      </c>
      <c r="B2808" s="15" t="n">
        <v>-0.342123627700309</v>
      </c>
      <c r="C2808" s="18" t="n">
        <f aca="false">'Black-Scholes'!$B$5*EXP(('Black-Scholes'!$B$8-'Black-Scholes'!$B$10-'Black-Scholes'!$B$9^2/2)*'Black-Scholes'!$B$7+'Black-Scholes'!$B$9*SQRT('Black-Scholes'!$B$7)*B2808)</f>
        <v>96.2304138937916</v>
      </c>
      <c r="D2808" s="18" t="n">
        <f aca="false">'Black-Scholes'!$B$5*EXP(('Black-Scholes'!$B$8-'Black-Scholes'!$B$10-'Black-Scholes'!$B$9^2/2)*'Black-Scholes'!$B$7-'Black-Scholes'!$B$9*SQRT('Black-Scholes'!$B$7)*B2808)</f>
        <v>110.343134106988</v>
      </c>
      <c r="E2808" s="18" t="n">
        <f aca="false">EXP(-'Black-Scholes'!$B$8*'Black-Scholes'!$B$7)*IF(LOWER('Black-Scholes'!$B$11)="put",MAX('Black-Scholes'!$B$6-C2808,0),MAX(C2808-'Black-Scholes'!$B$6,0))</f>
        <v>0</v>
      </c>
      <c r="F2808" s="18" t="n">
        <f aca="false">(E2808+G2808)/2</f>
        <v>4.91934675206192</v>
      </c>
      <c r="G2808" s="18" t="n">
        <f aca="false">EXP(-'Black-Scholes'!$B$8*'Black-Scholes'!$B$7)*IF(LOWER('Black-Scholes'!$B$11)="put",MAX('Black-Scholes'!$B$6-D2808,0),MAX(D2808-'Black-Scholes'!$B$6,0))</f>
        <v>9.83869350412384</v>
      </c>
    </row>
    <row r="2809" customFormat="false" ht="15" hidden="false" customHeight="false" outlineLevel="0" collapsed="false">
      <c r="A2809" s="0" t="n">
        <v>2798</v>
      </c>
      <c r="B2809" s="15" t="n">
        <v>-0.315885592140974</v>
      </c>
      <c r="C2809" s="18" t="n">
        <f aca="false">'Black-Scholes'!$B$5*EXP(('Black-Scholes'!$B$8-'Black-Scholes'!$B$10-'Black-Scholes'!$B$9^2/2)*'Black-Scholes'!$B$7+'Black-Scholes'!$B$9*SQRT('Black-Scholes'!$B$7)*B2809)</f>
        <v>96.736720585554</v>
      </c>
      <c r="D2809" s="18" t="n">
        <f aca="false">'Black-Scholes'!$B$5*EXP(('Black-Scholes'!$B$8-'Black-Scholes'!$B$10-'Black-Scholes'!$B$9^2/2)*'Black-Scholes'!$B$7-'Black-Scholes'!$B$9*SQRT('Black-Scholes'!$B$7)*B2809)</f>
        <v>109.765613318086</v>
      </c>
      <c r="E2809" s="18" t="n">
        <f aca="false">EXP(-'Black-Scholes'!$B$8*'Black-Scholes'!$B$7)*IF(LOWER('Black-Scholes'!$B$11)="put",MAX('Black-Scholes'!$B$6-C2809,0),MAX(C2809-'Black-Scholes'!$B$6,0))</f>
        <v>0</v>
      </c>
      <c r="F2809" s="18" t="n">
        <f aca="false">(E2809+G2809)/2</f>
        <v>4.64466936822949</v>
      </c>
      <c r="G2809" s="18" t="n">
        <f aca="false">EXP(-'Black-Scholes'!$B$8*'Black-Scholes'!$B$7)*IF(LOWER('Black-Scholes'!$B$11)="put",MAX('Black-Scholes'!$B$6-D2809,0),MAX(D2809-'Black-Scholes'!$B$6,0))</f>
        <v>9.28933873645898</v>
      </c>
    </row>
    <row r="2810" customFormat="false" ht="15" hidden="false" customHeight="false" outlineLevel="0" collapsed="false">
      <c r="A2810" s="0" t="n">
        <v>2799</v>
      </c>
      <c r="B2810" s="15" t="n">
        <v>0.250246405773687</v>
      </c>
      <c r="C2810" s="18" t="n">
        <f aca="false">'Black-Scholes'!$B$5*EXP(('Black-Scholes'!$B$8-'Black-Scholes'!$B$10-'Black-Scholes'!$B$9^2/2)*'Black-Scholes'!$B$7+'Black-Scholes'!$B$9*SQRT('Black-Scholes'!$B$7)*B2810)</f>
        <v>108.334045462804</v>
      </c>
      <c r="D2810" s="18" t="n">
        <f aca="false">'Black-Scholes'!$B$5*EXP(('Black-Scholes'!$B$8-'Black-Scholes'!$B$10-'Black-Scholes'!$B$9^2/2)*'Black-Scholes'!$B$7-'Black-Scholes'!$B$9*SQRT('Black-Scholes'!$B$7)*B2810)</f>
        <v>98.0150369174514</v>
      </c>
      <c r="E2810" s="18" t="n">
        <f aca="false">EXP(-'Black-Scholes'!$B$8*'Black-Scholes'!$B$7)*IF(LOWER('Black-Scholes'!$B$11)="put",MAX('Black-Scholes'!$B$6-C2810,0),MAX(C2810-'Black-Scholes'!$B$6,0))</f>
        <v>7.92758926934586</v>
      </c>
      <c r="F2810" s="18" t="n">
        <f aca="false">(E2810+G2810)/2</f>
        <v>3.96379463467293</v>
      </c>
      <c r="G2810" s="18" t="n">
        <f aca="false">EXP(-'Black-Scholes'!$B$8*'Black-Scholes'!$B$7)*IF(LOWER('Black-Scholes'!$B$11)="put",MAX('Black-Scholes'!$B$6-D2810,0),MAX(D2810-'Black-Scholes'!$B$6,0))</f>
        <v>0</v>
      </c>
    </row>
    <row r="2811" customFormat="false" ht="15" hidden="false" customHeight="false" outlineLevel="0" collapsed="false">
      <c r="A2811" s="0" t="n">
        <v>2800</v>
      </c>
      <c r="B2811" s="15" t="n">
        <v>-1.47668669425049</v>
      </c>
      <c r="C2811" s="18" t="n">
        <f aca="false">'Black-Scholes'!$B$5*EXP(('Black-Scholes'!$B$8-'Black-Scholes'!$B$10-'Black-Scholes'!$B$9^2/2)*'Black-Scholes'!$B$7+'Black-Scholes'!$B$9*SQRT('Black-Scholes'!$B$7)*B2811)</f>
        <v>76.6947185251053</v>
      </c>
      <c r="D2811" s="18" t="n">
        <f aca="false">'Black-Scholes'!$B$5*EXP(('Black-Scholes'!$B$8-'Black-Scholes'!$B$10-'Black-Scholes'!$B$9^2/2)*'Black-Scholes'!$B$7-'Black-Scholes'!$B$9*SQRT('Black-Scholes'!$B$7)*B2811)</f>
        <v>138.449761204584</v>
      </c>
      <c r="E2811" s="18" t="n">
        <f aca="false">EXP(-'Black-Scholes'!$B$8*'Black-Scholes'!$B$7)*IF(LOWER('Black-Scholes'!$B$11)="put",MAX('Black-Scholes'!$B$6-C2811,0),MAX(C2811-'Black-Scholes'!$B$6,0))</f>
        <v>0</v>
      </c>
      <c r="F2811" s="18" t="n">
        <f aca="false">(E2811+G2811)/2</f>
        <v>18.287272111413</v>
      </c>
      <c r="G2811" s="18" t="n">
        <f aca="false">EXP(-'Black-Scholes'!$B$8*'Black-Scholes'!$B$7)*IF(LOWER('Black-Scholes'!$B$11)="put",MAX('Black-Scholes'!$B$6-D2811,0),MAX(D2811-'Black-Scholes'!$B$6,0))</f>
        <v>36.574544222826</v>
      </c>
    </row>
    <row r="2812" customFormat="false" ht="15" hidden="false" customHeight="false" outlineLevel="0" collapsed="false">
      <c r="A2812" s="0" t="n">
        <v>2801</v>
      </c>
      <c r="B2812" s="15" t="n">
        <v>0.0402405178483513</v>
      </c>
      <c r="C2812" s="18" t="n">
        <f aca="false">'Black-Scholes'!$B$5*EXP(('Black-Scholes'!$B$8-'Black-Scholes'!$B$10-'Black-Scholes'!$B$9^2/2)*'Black-Scholes'!$B$7+'Black-Scholes'!$B$9*SQRT('Black-Scholes'!$B$7)*B2812)</f>
        <v>103.878120076053</v>
      </c>
      <c r="D2812" s="18" t="n">
        <f aca="false">'Black-Scholes'!$B$5*EXP(('Black-Scholes'!$B$8-'Black-Scholes'!$B$10-'Black-Scholes'!$B$9^2/2)*'Black-Scholes'!$B$7-'Black-Scholes'!$B$9*SQRT('Black-Scholes'!$B$7)*B2812)</f>
        <v>102.219461207803</v>
      </c>
      <c r="E2812" s="18" t="n">
        <f aca="false">EXP(-'Black-Scholes'!$B$8*'Black-Scholes'!$B$7)*IF(LOWER('Black-Scholes'!$B$11)="put",MAX('Black-Scholes'!$B$6-C2812,0),MAX(C2812-'Black-Scholes'!$B$6,0))</f>
        <v>3.68898192808897</v>
      </c>
      <c r="F2812" s="18" t="n">
        <f aca="false">(E2812+G2812)/2</f>
        <v>2.90009936774431</v>
      </c>
      <c r="G2812" s="18" t="n">
        <f aca="false">EXP(-'Black-Scholes'!$B$8*'Black-Scholes'!$B$7)*IF(LOWER('Black-Scholes'!$B$11)="put",MAX('Black-Scholes'!$B$6-D2812,0),MAX(D2812-'Black-Scholes'!$B$6,0))</f>
        <v>2.11121680739966</v>
      </c>
    </row>
    <row r="2813" customFormat="false" ht="15" hidden="false" customHeight="false" outlineLevel="0" collapsed="false">
      <c r="A2813" s="0" t="n">
        <v>2802</v>
      </c>
      <c r="B2813" s="15" t="n">
        <v>-0.666295612083301</v>
      </c>
      <c r="C2813" s="18" t="n">
        <f aca="false">'Black-Scholes'!$B$5*EXP(('Black-Scholes'!$B$8-'Black-Scholes'!$B$10-'Black-Scholes'!$B$9^2/2)*'Black-Scholes'!$B$7+'Black-Scholes'!$B$9*SQRT('Black-Scholes'!$B$7)*B2813)</f>
        <v>90.1893242443797</v>
      </c>
      <c r="D2813" s="18" t="n">
        <f aca="false">'Black-Scholes'!$B$5*EXP(('Black-Scholes'!$B$8-'Black-Scholes'!$B$10-'Black-Scholes'!$B$9^2/2)*'Black-Scholes'!$B$7-'Black-Scholes'!$B$9*SQRT('Black-Scholes'!$B$7)*B2813)</f>
        <v>117.734172579914</v>
      </c>
      <c r="E2813" s="18" t="n">
        <f aca="false">EXP(-'Black-Scholes'!$B$8*'Black-Scholes'!$B$7)*IF(LOWER('Black-Scholes'!$B$11)="put",MAX('Black-Scholes'!$B$6-C2813,0),MAX(C2813-'Black-Scholes'!$B$6,0))</f>
        <v>0</v>
      </c>
      <c r="F2813" s="18" t="n">
        <f aca="false">(E2813+G2813)/2</f>
        <v>8.43463338859383</v>
      </c>
      <c r="G2813" s="18" t="n">
        <f aca="false">EXP(-'Black-Scholes'!$B$8*'Black-Scholes'!$B$7)*IF(LOWER('Black-Scholes'!$B$11)="put",MAX('Black-Scholes'!$B$6-D2813,0),MAX(D2813-'Black-Scholes'!$B$6,0))</f>
        <v>16.8692667771877</v>
      </c>
    </row>
    <row r="2814" customFormat="false" ht="15" hidden="false" customHeight="false" outlineLevel="0" collapsed="false">
      <c r="A2814" s="0" t="n">
        <v>2803</v>
      </c>
      <c r="B2814" s="15" t="n">
        <v>0.903687993150644</v>
      </c>
      <c r="C2814" s="18" t="n">
        <f aca="false">'Black-Scholes'!$B$5*EXP(('Black-Scholes'!$B$8-'Black-Scholes'!$B$10-'Black-Scholes'!$B$9^2/2)*'Black-Scholes'!$B$7+'Black-Scholes'!$B$9*SQRT('Black-Scholes'!$B$7)*B2814)</f>
        <v>123.458835487866</v>
      </c>
      <c r="D2814" s="18" t="n">
        <f aca="false">'Black-Scholes'!$B$5*EXP(('Black-Scholes'!$B$8-'Black-Scholes'!$B$10-'Black-Scholes'!$B$9^2/2)*'Black-Scholes'!$B$7-'Black-Scholes'!$B$9*SQRT('Black-Scholes'!$B$7)*B2814)</f>
        <v>86.0073353477986</v>
      </c>
      <c r="E2814" s="18" t="n">
        <f aca="false">EXP(-'Black-Scholes'!$B$8*'Black-Scholes'!$B$7)*IF(LOWER('Black-Scholes'!$B$11)="put",MAX('Black-Scholes'!$B$6-C2814,0),MAX(C2814-'Black-Scholes'!$B$6,0))</f>
        <v>22.3147345805797</v>
      </c>
      <c r="F2814" s="18" t="n">
        <f aca="false">(E2814+G2814)/2</f>
        <v>11.1573672902899</v>
      </c>
      <c r="G2814" s="18" t="n">
        <f aca="false">EXP(-'Black-Scholes'!$B$8*'Black-Scholes'!$B$7)*IF(LOWER('Black-Scholes'!$B$11)="put",MAX('Black-Scholes'!$B$6-D2814,0),MAX(D2814-'Black-Scholes'!$B$6,0))</f>
        <v>0</v>
      </c>
    </row>
    <row r="2815" customFormat="false" ht="15" hidden="false" customHeight="false" outlineLevel="0" collapsed="false">
      <c r="A2815" s="0" t="n">
        <v>2804</v>
      </c>
      <c r="B2815" s="15" t="n">
        <v>0.830035402688407</v>
      </c>
      <c r="C2815" s="18" t="n">
        <f aca="false">'Black-Scholes'!$B$5*EXP(('Black-Scholes'!$B$8-'Black-Scholes'!$B$10-'Black-Scholes'!$B$9^2/2)*'Black-Scholes'!$B$7+'Black-Scholes'!$B$9*SQRT('Black-Scholes'!$B$7)*B2815)</f>
        <v>121.65355190294</v>
      </c>
      <c r="D2815" s="18" t="n">
        <f aca="false">'Black-Scholes'!$B$5*EXP(('Black-Scholes'!$B$8-'Black-Scholes'!$B$10-'Black-Scholes'!$B$9^2/2)*'Black-Scholes'!$B$7-'Black-Scholes'!$B$9*SQRT('Black-Scholes'!$B$7)*B2815)</f>
        <v>87.283645231545</v>
      </c>
      <c r="E2815" s="18" t="n">
        <f aca="false">EXP(-'Black-Scholes'!$B$8*'Black-Scholes'!$B$7)*IF(LOWER('Black-Scholes'!$B$11)="put",MAX('Black-Scholes'!$B$6-C2815,0),MAX(C2815-'Black-Scholes'!$B$6,0))</f>
        <v>20.5974957150304</v>
      </c>
      <c r="F2815" s="18" t="n">
        <f aca="false">(E2815+G2815)/2</f>
        <v>10.2987478575152</v>
      </c>
      <c r="G2815" s="18" t="n">
        <f aca="false">EXP(-'Black-Scholes'!$B$8*'Black-Scholes'!$B$7)*IF(LOWER('Black-Scholes'!$B$11)="put",MAX('Black-Scholes'!$B$6-D2815,0),MAX(D2815-'Black-Scholes'!$B$6,0))</f>
        <v>0</v>
      </c>
    </row>
    <row r="2816" customFormat="false" ht="15" hidden="false" customHeight="false" outlineLevel="0" collapsed="false">
      <c r="A2816" s="0" t="n">
        <v>2805</v>
      </c>
      <c r="B2816" s="15" t="n">
        <v>-2.05695761640324</v>
      </c>
      <c r="C2816" s="18" t="n">
        <f aca="false">'Black-Scholes'!$B$5*EXP(('Black-Scholes'!$B$8-'Black-Scholes'!$B$10-'Black-Scholes'!$B$9^2/2)*'Black-Scholes'!$B$7+'Black-Scholes'!$B$9*SQRT('Black-Scholes'!$B$7)*B2816)</f>
        <v>68.291046192679</v>
      </c>
      <c r="D2816" s="18" t="n">
        <f aca="false">'Black-Scholes'!$B$5*EXP(('Black-Scholes'!$B$8-'Black-Scholes'!$B$10-'Black-Scholes'!$B$9^2/2)*'Black-Scholes'!$B$7-'Black-Scholes'!$B$9*SQRT('Black-Scholes'!$B$7)*B2816)</f>
        <v>155.48693507337</v>
      </c>
      <c r="E2816" s="18" t="n">
        <f aca="false">EXP(-'Black-Scholes'!$B$8*'Black-Scholes'!$B$7)*IF(LOWER('Black-Scholes'!$B$11)="put",MAX('Black-Scholes'!$B$6-C2816,0),MAX(C2816-'Black-Scholes'!$B$6,0))</f>
        <v>0</v>
      </c>
      <c r="F2816" s="18" t="n">
        <f aca="false">(E2816+G2816)/2</f>
        <v>26.3904026585752</v>
      </c>
      <c r="G2816" s="18" t="n">
        <f aca="false">EXP(-'Black-Scholes'!$B$8*'Black-Scholes'!$B$7)*IF(LOWER('Black-Scholes'!$B$11)="put",MAX('Black-Scholes'!$B$6-D2816,0),MAX(D2816-'Black-Scholes'!$B$6,0))</f>
        <v>52.7808053171503</v>
      </c>
    </row>
    <row r="2817" customFormat="false" ht="15" hidden="false" customHeight="false" outlineLevel="0" collapsed="false">
      <c r="A2817" s="0" t="n">
        <v>2806</v>
      </c>
      <c r="B2817" s="15" t="n">
        <v>0.0577025379674477</v>
      </c>
      <c r="C2817" s="18" t="n">
        <f aca="false">'Black-Scholes'!$B$5*EXP(('Black-Scholes'!$B$8-'Black-Scholes'!$B$10-'Black-Scholes'!$B$9^2/2)*'Black-Scholes'!$B$7+'Black-Scholes'!$B$9*SQRT('Black-Scholes'!$B$7)*B2817)</f>
        <v>104.241538673499</v>
      </c>
      <c r="D2817" s="18" t="n">
        <f aca="false">'Black-Scholes'!$B$5*EXP(('Black-Scholes'!$B$8-'Black-Scholes'!$B$10-'Black-Scholes'!$B$9^2/2)*'Black-Scholes'!$B$7-'Black-Scholes'!$B$9*SQRT('Black-Scholes'!$B$7)*B2817)</f>
        <v>101.863092204654</v>
      </c>
      <c r="E2817" s="18" t="n">
        <f aca="false">EXP(-'Black-Scholes'!$B$8*'Black-Scholes'!$B$7)*IF(LOWER('Black-Scholes'!$B$11)="put",MAX('Black-Scholes'!$B$6-C2817,0),MAX(C2817-'Black-Scholes'!$B$6,0))</f>
        <v>4.03467639138965</v>
      </c>
      <c r="F2817" s="18" t="n">
        <f aca="false">(E2817+G2817)/2</f>
        <v>2.9034522585072</v>
      </c>
      <c r="G2817" s="18" t="n">
        <f aca="false">EXP(-'Black-Scholes'!$B$8*'Black-Scholes'!$B$7)*IF(LOWER('Black-Scholes'!$B$11)="put",MAX('Black-Scholes'!$B$6-D2817,0),MAX(D2817-'Black-Scholes'!$B$6,0))</f>
        <v>1.77222812562476</v>
      </c>
    </row>
    <row r="2818" customFormat="false" ht="15" hidden="false" customHeight="false" outlineLevel="0" collapsed="false">
      <c r="A2818" s="0" t="n">
        <v>2807</v>
      </c>
      <c r="B2818" s="15" t="n">
        <v>0.223678452876239</v>
      </c>
      <c r="C2818" s="18" t="n">
        <f aca="false">'Black-Scholes'!$B$5*EXP(('Black-Scholes'!$B$8-'Black-Scholes'!$B$10-'Black-Scholes'!$B$9^2/2)*'Black-Scholes'!$B$7+'Black-Scholes'!$B$9*SQRT('Black-Scholes'!$B$7)*B2818)</f>
        <v>107.759929359165</v>
      </c>
      <c r="D2818" s="18" t="n">
        <f aca="false">'Black-Scholes'!$B$5*EXP(('Black-Scholes'!$B$8-'Black-Scholes'!$B$10-'Black-Scholes'!$B$9^2/2)*'Black-Scholes'!$B$7-'Black-Scholes'!$B$9*SQRT('Black-Scholes'!$B$7)*B2818)</f>
        <v>98.5372348385867</v>
      </c>
      <c r="E2818" s="18" t="n">
        <f aca="false">EXP(-'Black-Scholes'!$B$8*'Black-Scholes'!$B$7)*IF(LOWER('Black-Scholes'!$B$11)="put",MAX('Black-Scholes'!$B$6-C2818,0),MAX(C2818-'Black-Scholes'!$B$6,0))</f>
        <v>7.38147313848507</v>
      </c>
      <c r="F2818" s="18" t="n">
        <f aca="false">(E2818+G2818)/2</f>
        <v>3.69073656924253</v>
      </c>
      <c r="G2818" s="18" t="n">
        <f aca="false">EXP(-'Black-Scholes'!$B$8*'Black-Scholes'!$B$7)*IF(LOWER('Black-Scholes'!$B$11)="put",MAX('Black-Scholes'!$B$6-D2818,0),MAX(D2818-'Black-Scholes'!$B$6,0))</f>
        <v>0</v>
      </c>
    </row>
    <row r="2819" customFormat="false" ht="15" hidden="false" customHeight="false" outlineLevel="0" collapsed="false">
      <c r="A2819" s="0" t="n">
        <v>2808</v>
      </c>
      <c r="B2819" s="15" t="n">
        <v>-0.329406777269817</v>
      </c>
      <c r="C2819" s="18" t="n">
        <f aca="false">'Black-Scholes'!$B$5*EXP(('Black-Scholes'!$B$8-'Black-Scholes'!$B$10-'Black-Scholes'!$B$9^2/2)*'Black-Scholes'!$B$7+'Black-Scholes'!$B$9*SQRT('Black-Scholes'!$B$7)*B2819)</f>
        <v>96.4754749582494</v>
      </c>
      <c r="D2819" s="18" t="n">
        <f aca="false">'Black-Scholes'!$B$5*EXP(('Black-Scholes'!$B$8-'Black-Scholes'!$B$10-'Black-Scholes'!$B$9^2/2)*'Black-Scholes'!$B$7-'Black-Scholes'!$B$9*SQRT('Black-Scholes'!$B$7)*B2819)</f>
        <v>110.062847268166</v>
      </c>
      <c r="E2819" s="18" t="n">
        <f aca="false">EXP(-'Black-Scholes'!$B$8*'Black-Scholes'!$B$7)*IF(LOWER('Black-Scholes'!$B$11)="put",MAX('Black-Scholes'!$B$6-C2819,0),MAX(C2819-'Black-Scholes'!$B$6,0))</f>
        <v>0</v>
      </c>
      <c r="F2819" s="18" t="n">
        <f aca="false">(E2819+G2819)/2</f>
        <v>4.78603820786818</v>
      </c>
      <c r="G2819" s="18" t="n">
        <f aca="false">EXP(-'Black-Scholes'!$B$8*'Black-Scholes'!$B$7)*IF(LOWER('Black-Scholes'!$B$11)="put",MAX('Black-Scholes'!$B$6-D2819,0),MAX(D2819-'Black-Scholes'!$B$6,0))</f>
        <v>9.57207641573635</v>
      </c>
    </row>
    <row r="2820" customFormat="false" ht="15" hidden="false" customHeight="false" outlineLevel="0" collapsed="false">
      <c r="A2820" s="0" t="n">
        <v>2809</v>
      </c>
      <c r="B2820" s="15" t="n">
        <v>-0.629214157756066</v>
      </c>
      <c r="C2820" s="18" t="n">
        <f aca="false">'Black-Scholes'!$B$5*EXP(('Black-Scholes'!$B$8-'Black-Scholes'!$B$10-'Black-Scholes'!$B$9^2/2)*'Black-Scholes'!$B$7+'Black-Scholes'!$B$9*SQRT('Black-Scholes'!$B$7)*B2820)</f>
        <v>90.8606809169882</v>
      </c>
      <c r="D2820" s="18" t="n">
        <f aca="false">'Black-Scholes'!$B$5*EXP(('Black-Scholes'!$B$8-'Black-Scholes'!$B$10-'Black-Scholes'!$B$9^2/2)*'Black-Scholes'!$B$7-'Black-Scholes'!$B$9*SQRT('Black-Scholes'!$B$7)*B2820)</f>
        <v>116.8642514924</v>
      </c>
      <c r="E2820" s="18" t="n">
        <f aca="false">EXP(-'Black-Scholes'!$B$8*'Black-Scholes'!$B$7)*IF(LOWER('Black-Scholes'!$B$11)="put",MAX('Black-Scholes'!$B$6-C2820,0),MAX(C2820-'Black-Scholes'!$B$6,0))</f>
        <v>0</v>
      </c>
      <c r="F2820" s="18" t="n">
        <f aca="false">(E2820+G2820)/2</f>
        <v>8.02088612087539</v>
      </c>
      <c r="G2820" s="18" t="n">
        <f aca="false">EXP(-'Black-Scholes'!$B$8*'Black-Scholes'!$B$7)*IF(LOWER('Black-Scholes'!$B$11)="put",MAX('Black-Scholes'!$B$6-D2820,0),MAX(D2820-'Black-Scholes'!$B$6,0))</f>
        <v>16.0417722417508</v>
      </c>
    </row>
    <row r="2821" customFormat="false" ht="15" hidden="false" customHeight="false" outlineLevel="0" collapsed="false">
      <c r="A2821" s="0" t="n">
        <v>2810</v>
      </c>
      <c r="B2821" s="15" t="n">
        <v>0.218897509823491</v>
      </c>
      <c r="C2821" s="18" t="n">
        <f aca="false">'Black-Scholes'!$B$5*EXP(('Black-Scholes'!$B$8-'Black-Scholes'!$B$10-'Black-Scholes'!$B$9^2/2)*'Black-Scholes'!$B$7+'Black-Scholes'!$B$9*SQRT('Black-Scholes'!$B$7)*B2821)</f>
        <v>107.656939788613</v>
      </c>
      <c r="D2821" s="18" t="n">
        <f aca="false">'Black-Scholes'!$B$5*EXP(('Black-Scholes'!$B$8-'Black-Scholes'!$B$10-'Black-Scholes'!$B$9^2/2)*'Black-Scholes'!$B$7-'Black-Scholes'!$B$9*SQRT('Black-Scholes'!$B$7)*B2821)</f>
        <v>98.6315000807477</v>
      </c>
      <c r="E2821" s="18" t="n">
        <f aca="false">EXP(-'Black-Scholes'!$B$8*'Black-Scholes'!$B$7)*IF(LOWER('Black-Scholes'!$B$11)="put",MAX('Black-Scholes'!$B$6-C2821,0),MAX(C2821-'Black-Scholes'!$B$6,0))</f>
        <v>7.28350642855857</v>
      </c>
      <c r="F2821" s="18" t="n">
        <f aca="false">(E2821+G2821)/2</f>
        <v>3.64175321427929</v>
      </c>
      <c r="G2821" s="18" t="n">
        <f aca="false">EXP(-'Black-Scholes'!$B$8*'Black-Scholes'!$B$7)*IF(LOWER('Black-Scholes'!$B$11)="put",MAX('Black-Scholes'!$B$6-D2821,0),MAX(D2821-'Black-Scholes'!$B$6,0))</f>
        <v>0</v>
      </c>
    </row>
    <row r="2822" customFormat="false" ht="15" hidden="false" customHeight="false" outlineLevel="0" collapsed="false">
      <c r="A2822" s="0" t="n">
        <v>2811</v>
      </c>
      <c r="B2822" s="15" t="n">
        <v>-0.559722337342152</v>
      </c>
      <c r="C2822" s="18" t="n">
        <f aca="false">'Black-Scholes'!$B$5*EXP(('Black-Scholes'!$B$8-'Black-Scholes'!$B$10-'Black-Scholes'!$B$9^2/2)*'Black-Scholes'!$B$7+'Black-Scholes'!$B$9*SQRT('Black-Scholes'!$B$7)*B2822)</f>
        <v>92.1323120681043</v>
      </c>
      <c r="D2822" s="18" t="n">
        <f aca="false">'Black-Scholes'!$B$5*EXP(('Black-Scholes'!$B$8-'Black-Scholes'!$B$10-'Black-Scholes'!$B$9^2/2)*'Black-Scholes'!$B$7-'Black-Scholes'!$B$9*SQRT('Black-Scholes'!$B$7)*B2822)</f>
        <v>115.251264481504</v>
      </c>
      <c r="E2822" s="18" t="n">
        <f aca="false">EXP(-'Black-Scholes'!$B$8*'Black-Scholes'!$B$7)*IF(LOWER('Black-Scholes'!$B$11)="put",MAX('Black-Scholes'!$B$6-C2822,0),MAX(C2822-'Black-Scholes'!$B$6,0))</f>
        <v>0</v>
      </c>
      <c r="F2822" s="18" t="n">
        <f aca="false">(E2822+G2822)/2</f>
        <v>7.25372576782483</v>
      </c>
      <c r="G2822" s="18" t="n">
        <f aca="false">EXP(-'Black-Scholes'!$B$8*'Black-Scholes'!$B$7)*IF(LOWER('Black-Scholes'!$B$11)="put",MAX('Black-Scholes'!$B$6-D2822,0),MAX(D2822-'Black-Scholes'!$B$6,0))</f>
        <v>14.5074515356497</v>
      </c>
    </row>
    <row r="2823" customFormat="false" ht="15" hidden="false" customHeight="false" outlineLevel="0" collapsed="false">
      <c r="A2823" s="0" t="n">
        <v>2812</v>
      </c>
      <c r="B2823" s="15" t="n">
        <v>-0.744606061124428</v>
      </c>
      <c r="C2823" s="18" t="n">
        <f aca="false">'Black-Scholes'!$B$5*EXP(('Black-Scholes'!$B$8-'Black-Scholes'!$B$10-'Black-Scholes'!$B$9^2/2)*'Black-Scholes'!$B$7+'Black-Scholes'!$B$9*SQRT('Black-Scholes'!$B$7)*B2823)</f>
        <v>88.7877751918913</v>
      </c>
      <c r="D2823" s="18" t="n">
        <f aca="false">'Black-Scholes'!$B$5*EXP(('Black-Scholes'!$B$8-'Black-Scholes'!$B$10-'Black-Scholes'!$B$9^2/2)*'Black-Scholes'!$B$7-'Black-Scholes'!$B$9*SQRT('Black-Scholes'!$B$7)*B2823)</f>
        <v>119.592651606652</v>
      </c>
      <c r="E2823" s="18" t="n">
        <f aca="false">EXP(-'Black-Scholes'!$B$8*'Black-Scholes'!$B$7)*IF(LOWER('Black-Scholes'!$B$11)="put",MAX('Black-Scholes'!$B$6-C2823,0),MAX(C2823-'Black-Scholes'!$B$6,0))</f>
        <v>0</v>
      </c>
      <c r="F2823" s="18" t="n">
        <f aca="false">(E2823+G2823)/2</f>
        <v>9.31855335611928</v>
      </c>
      <c r="G2823" s="18" t="n">
        <f aca="false">EXP(-'Black-Scholes'!$B$8*'Black-Scholes'!$B$7)*IF(LOWER('Black-Scholes'!$B$11)="put",MAX('Black-Scholes'!$B$6-D2823,0),MAX(D2823-'Black-Scholes'!$B$6,0))</f>
        <v>18.6371067122386</v>
      </c>
    </row>
    <row r="2824" customFormat="false" ht="15" hidden="false" customHeight="false" outlineLevel="0" collapsed="false">
      <c r="A2824" s="0" t="n">
        <v>2813</v>
      </c>
      <c r="B2824" s="15" t="n">
        <v>0.13279695159932</v>
      </c>
      <c r="C2824" s="18" t="n">
        <f aca="false">'Black-Scholes'!$B$5*EXP(('Black-Scholes'!$B$8-'Black-Scholes'!$B$10-'Black-Scholes'!$B$9^2/2)*'Black-Scholes'!$B$7+'Black-Scholes'!$B$9*SQRT('Black-Scholes'!$B$7)*B2824)</f>
        <v>105.818945914449</v>
      </c>
      <c r="D2824" s="18" t="n">
        <f aca="false">'Black-Scholes'!$B$5*EXP(('Black-Scholes'!$B$8-'Black-Scholes'!$B$10-'Black-Scholes'!$B$9^2/2)*'Black-Scholes'!$B$7-'Black-Scholes'!$B$9*SQRT('Black-Scholes'!$B$7)*B2824)</f>
        <v>100.344653537167</v>
      </c>
      <c r="E2824" s="18" t="n">
        <f aca="false">EXP(-'Black-Scholes'!$B$8*'Black-Scholes'!$B$7)*IF(LOWER('Black-Scholes'!$B$11)="put",MAX('Black-Scholes'!$B$6-C2824,0),MAX(C2824-'Black-Scholes'!$B$6,0))</f>
        <v>5.53515257340211</v>
      </c>
      <c r="F2824" s="18" t="n">
        <f aca="false">(E2824+G2824)/2</f>
        <v>2.93149857960679</v>
      </c>
      <c r="G2824" s="18" t="n">
        <f aca="false">EXP(-'Black-Scholes'!$B$8*'Black-Scholes'!$B$7)*IF(LOWER('Black-Scholes'!$B$11)="put",MAX('Black-Scholes'!$B$6-D2824,0),MAX(D2824-'Black-Scholes'!$B$6,0))</f>
        <v>0.327844585811479</v>
      </c>
    </row>
    <row r="2825" customFormat="false" ht="15" hidden="false" customHeight="false" outlineLevel="0" collapsed="false">
      <c r="A2825" s="0" t="n">
        <v>2814</v>
      </c>
      <c r="B2825" s="15" t="n">
        <v>-0.0788552679345871</v>
      </c>
      <c r="C2825" s="18" t="n">
        <f aca="false">'Black-Scholes'!$B$5*EXP(('Black-Scholes'!$B$8-'Black-Scholes'!$B$10-'Black-Scholes'!$B$9^2/2)*'Black-Scholes'!$B$7+'Black-Scholes'!$B$9*SQRT('Black-Scholes'!$B$7)*B2825)</f>
        <v>101.433065972293</v>
      </c>
      <c r="D2825" s="18" t="n">
        <f aca="false">'Black-Scholes'!$B$5*EXP(('Black-Scholes'!$B$8-'Black-Scholes'!$B$10-'Black-Scholes'!$B$9^2/2)*'Black-Scholes'!$B$7-'Black-Scholes'!$B$9*SQRT('Black-Scholes'!$B$7)*B2825)</f>
        <v>104.683471446619</v>
      </c>
      <c r="E2825" s="18" t="n">
        <f aca="false">EXP(-'Black-Scholes'!$B$8*'Black-Scholes'!$B$7)*IF(LOWER('Black-Scholes'!$B$11)="put",MAX('Black-Scholes'!$B$6-C2825,0),MAX(C2825-'Black-Scholes'!$B$6,0))</f>
        <v>1.3631745200961</v>
      </c>
      <c r="F2825" s="18" t="n">
        <f aca="false">(E2825+G2825)/2</f>
        <v>2.90911518446456</v>
      </c>
      <c r="G2825" s="18" t="n">
        <f aca="false">EXP(-'Black-Scholes'!$B$8*'Black-Scholes'!$B$7)*IF(LOWER('Black-Scholes'!$B$11)="put",MAX('Black-Scholes'!$B$6-D2825,0),MAX(D2825-'Black-Scholes'!$B$6,0))</f>
        <v>4.45505584883301</v>
      </c>
    </row>
    <row r="2826" customFormat="false" ht="15" hidden="false" customHeight="false" outlineLevel="0" collapsed="false">
      <c r="A2826" s="0" t="n">
        <v>2815</v>
      </c>
      <c r="B2826" s="15" t="n">
        <v>0.516387330986406</v>
      </c>
      <c r="C2826" s="18" t="n">
        <f aca="false">'Black-Scholes'!$B$5*EXP(('Black-Scholes'!$B$8-'Black-Scholes'!$B$10-'Black-Scholes'!$B$9^2/2)*'Black-Scholes'!$B$7+'Black-Scholes'!$B$9*SQRT('Black-Scholes'!$B$7)*B2826)</f>
        <v>114.256697806782</v>
      </c>
      <c r="D2826" s="18" t="n">
        <f aca="false">'Black-Scholes'!$B$5*EXP(('Black-Scholes'!$B$8-'Black-Scholes'!$B$10-'Black-Scholes'!$B$9^2/2)*'Black-Scholes'!$B$7-'Black-Scholes'!$B$9*SQRT('Black-Scholes'!$B$7)*B2826)</f>
        <v>92.9342932999004</v>
      </c>
      <c r="E2826" s="18" t="n">
        <f aca="false">EXP(-'Black-Scholes'!$B$8*'Black-Scholes'!$B$7)*IF(LOWER('Black-Scholes'!$B$11)="put",MAX('Black-Scholes'!$B$6-C2826,0),MAX(C2826-'Black-Scholes'!$B$6,0))</f>
        <v>13.5613904500261</v>
      </c>
      <c r="F2826" s="18" t="n">
        <f aca="false">(E2826+G2826)/2</f>
        <v>6.78069522501307</v>
      </c>
      <c r="G2826" s="18" t="n">
        <f aca="false">EXP(-'Black-Scholes'!$B$8*'Black-Scholes'!$B$7)*IF(LOWER('Black-Scholes'!$B$11)="put",MAX('Black-Scholes'!$B$6-D2826,0),MAX(D2826-'Black-Scholes'!$B$6,0))</f>
        <v>0</v>
      </c>
    </row>
    <row r="2827" customFormat="false" ht="15" hidden="false" customHeight="false" outlineLevel="0" collapsed="false">
      <c r="A2827" s="0" t="n">
        <v>2816</v>
      </c>
      <c r="B2827" s="15" t="n">
        <v>0.240303416468167</v>
      </c>
      <c r="C2827" s="18" t="n">
        <f aca="false">'Black-Scholes'!$B$5*EXP(('Black-Scholes'!$B$8-'Black-Scholes'!$B$10-'Black-Scholes'!$B$9^2/2)*'Black-Scholes'!$B$7+'Black-Scholes'!$B$9*SQRT('Black-Scholes'!$B$7)*B2827)</f>
        <v>108.118826674447</v>
      </c>
      <c r="D2827" s="18" t="n">
        <f aca="false">'Black-Scholes'!$B$5*EXP(('Black-Scholes'!$B$8-'Black-Scholes'!$B$10-'Black-Scholes'!$B$9^2/2)*'Black-Scholes'!$B$7-'Black-Scholes'!$B$9*SQRT('Black-Scholes'!$B$7)*B2827)</f>
        <v>98.2101433400328</v>
      </c>
      <c r="E2827" s="18" t="n">
        <f aca="false">EXP(-'Black-Scholes'!$B$8*'Black-Scholes'!$B$7)*IF(LOWER('Black-Scholes'!$B$11)="put",MAX('Black-Scholes'!$B$6-C2827,0),MAX(C2827-'Black-Scholes'!$B$6,0))</f>
        <v>7.72286682515523</v>
      </c>
      <c r="F2827" s="18" t="n">
        <f aca="false">(E2827+G2827)/2</f>
        <v>3.86143341257762</v>
      </c>
      <c r="G2827" s="18" t="n">
        <f aca="false">EXP(-'Black-Scholes'!$B$8*'Black-Scholes'!$B$7)*IF(LOWER('Black-Scholes'!$B$11)="put",MAX('Black-Scholes'!$B$6-D2827,0),MAX(D2827-'Black-Scholes'!$B$6,0))</f>
        <v>0</v>
      </c>
    </row>
    <row r="2828" customFormat="false" ht="15" hidden="false" customHeight="false" outlineLevel="0" collapsed="false">
      <c r="A2828" s="0" t="n">
        <v>2817</v>
      </c>
      <c r="B2828" s="15" t="n">
        <v>-0.785838093556858</v>
      </c>
      <c r="C2828" s="18" t="n">
        <f aca="false">'Black-Scholes'!$B$5*EXP(('Black-Scholes'!$B$8-'Black-Scholes'!$B$10-'Black-Scholes'!$B$9^2/2)*'Black-Scholes'!$B$7+'Black-Scholes'!$B$9*SQRT('Black-Scholes'!$B$7)*B2828)</f>
        <v>88.0586057525764</v>
      </c>
      <c r="D2828" s="18" t="n">
        <f aca="false">'Black-Scholes'!$B$5*EXP(('Black-Scholes'!$B$8-'Black-Scholes'!$B$10-'Black-Scholes'!$B$9^2/2)*'Black-Scholes'!$B$7-'Black-Scholes'!$B$9*SQRT('Black-Scholes'!$B$7)*B2828)</f>
        <v>120.582938767946</v>
      </c>
      <c r="E2828" s="18" t="n">
        <f aca="false">EXP(-'Black-Scholes'!$B$8*'Black-Scholes'!$B$7)*IF(LOWER('Black-Scholes'!$B$11)="put",MAX('Black-Scholes'!$B$6-C2828,0),MAX(C2828-'Black-Scholes'!$B$6,0))</f>
        <v>0</v>
      </c>
      <c r="F2828" s="18" t="n">
        <f aca="false">(E2828+G2828)/2</f>
        <v>9.78954849938322</v>
      </c>
      <c r="G2828" s="18" t="n">
        <f aca="false">EXP(-'Black-Scholes'!$B$8*'Black-Scholes'!$B$7)*IF(LOWER('Black-Scholes'!$B$11)="put",MAX('Black-Scholes'!$B$6-D2828,0),MAX(D2828-'Black-Scholes'!$B$6,0))</f>
        <v>19.5790969987664</v>
      </c>
    </row>
    <row r="2829" customFormat="false" ht="15" hidden="false" customHeight="false" outlineLevel="0" collapsed="false">
      <c r="A2829" s="0" t="n">
        <v>2818</v>
      </c>
      <c r="B2829" s="15" t="n">
        <v>0.0161074995313209</v>
      </c>
      <c r="C2829" s="18" t="n">
        <f aca="false">'Black-Scholes'!$B$5*EXP(('Black-Scholes'!$B$8-'Black-Scholes'!$B$10-'Black-Scholes'!$B$9^2/2)*'Black-Scholes'!$B$7+'Black-Scholes'!$B$9*SQRT('Black-Scholes'!$B$7)*B2829)</f>
        <v>103.377949594487</v>
      </c>
      <c r="D2829" s="18" t="n">
        <f aca="false">'Black-Scholes'!$B$5*EXP(('Black-Scholes'!$B$8-'Black-Scholes'!$B$10-'Black-Scholes'!$B$9^2/2)*'Black-Scholes'!$B$7-'Black-Scholes'!$B$9*SQRT('Black-Scholes'!$B$7)*B2829)</f>
        <v>102.714026609208</v>
      </c>
      <c r="E2829" s="18" t="n">
        <f aca="false">EXP(-'Black-Scholes'!$B$8*'Black-Scholes'!$B$7)*IF(LOWER('Black-Scholes'!$B$11)="put",MAX('Black-Scholes'!$B$6-C2829,0),MAX(C2829-'Black-Scholes'!$B$6,0))</f>
        <v>3.21320504875674</v>
      </c>
      <c r="F2829" s="18" t="n">
        <f aca="false">(E2829+G2829)/2</f>
        <v>2.89743350915685</v>
      </c>
      <c r="G2829" s="18" t="n">
        <f aca="false">EXP(-'Black-Scholes'!$B$8*'Black-Scholes'!$B$7)*IF(LOWER('Black-Scholes'!$B$11)="put",MAX('Black-Scholes'!$B$6-D2829,0),MAX(D2829-'Black-Scholes'!$B$6,0))</f>
        <v>2.58166196955696</v>
      </c>
    </row>
    <row r="2830" customFormat="false" ht="15" hidden="false" customHeight="false" outlineLevel="0" collapsed="false">
      <c r="A2830" s="0" t="n">
        <v>2819</v>
      </c>
      <c r="B2830" s="15" t="n">
        <v>-0.616757098587771</v>
      </c>
      <c r="C2830" s="18" t="n">
        <f aca="false">'Black-Scholes'!$B$5*EXP(('Black-Scholes'!$B$8-'Black-Scholes'!$B$10-'Black-Scholes'!$B$9^2/2)*'Black-Scholes'!$B$7+'Black-Scholes'!$B$9*SQRT('Black-Scholes'!$B$7)*B2830)</f>
        <v>91.0873345191333</v>
      </c>
      <c r="D2830" s="18" t="n">
        <f aca="false">'Black-Scholes'!$B$5*EXP(('Black-Scholes'!$B$8-'Black-Scholes'!$B$10-'Black-Scholes'!$B$9^2/2)*'Black-Scholes'!$B$7-'Black-Scholes'!$B$9*SQRT('Black-Scholes'!$B$7)*B2830)</f>
        <v>116.573456908251</v>
      </c>
      <c r="E2830" s="18" t="n">
        <f aca="false">EXP(-'Black-Scholes'!$B$8*'Black-Scholes'!$B$7)*IF(LOWER('Black-Scholes'!$B$11)="put",MAX('Black-Scholes'!$B$6-C2830,0),MAX(C2830-'Black-Scholes'!$B$6,0))</f>
        <v>0</v>
      </c>
      <c r="F2830" s="18" t="n">
        <f aca="false">(E2830+G2830)/2</f>
        <v>7.88257993841136</v>
      </c>
      <c r="G2830" s="18" t="n">
        <f aca="false">EXP(-'Black-Scholes'!$B$8*'Black-Scholes'!$B$7)*IF(LOWER('Black-Scholes'!$B$11)="put",MAX('Black-Scholes'!$B$6-D2830,0),MAX(D2830-'Black-Scholes'!$B$6,0))</f>
        <v>15.7651598768227</v>
      </c>
    </row>
    <row r="2831" customFormat="false" ht="15" hidden="false" customHeight="false" outlineLevel="0" collapsed="false">
      <c r="A2831" s="0" t="n">
        <v>2820</v>
      </c>
      <c r="B2831" s="15" t="n">
        <v>0.853483714641545</v>
      </c>
      <c r="C2831" s="18" t="n">
        <f aca="false">'Black-Scholes'!$B$5*EXP(('Black-Scholes'!$B$8-'Black-Scholes'!$B$10-'Black-Scholes'!$B$9^2/2)*'Black-Scholes'!$B$7+'Black-Scholes'!$B$9*SQRT('Black-Scholes'!$B$7)*B2831)</f>
        <v>122.225405842882</v>
      </c>
      <c r="D2831" s="18" t="n">
        <f aca="false">'Black-Scholes'!$B$5*EXP(('Black-Scholes'!$B$8-'Black-Scholes'!$B$10-'Black-Scholes'!$B$9^2/2)*'Black-Scholes'!$B$7-'Black-Scholes'!$B$9*SQRT('Black-Scholes'!$B$7)*B2831)</f>
        <v>86.8752727162411</v>
      </c>
      <c r="E2831" s="18" t="n">
        <f aca="false">EXP(-'Black-Scholes'!$B$8*'Black-Scholes'!$B$7)*IF(LOWER('Black-Scholes'!$B$11)="put",MAX('Black-Scholes'!$B$6-C2831,0),MAX(C2831-'Black-Scholes'!$B$6,0))</f>
        <v>21.1414600092192</v>
      </c>
      <c r="F2831" s="18" t="n">
        <f aca="false">(E2831+G2831)/2</f>
        <v>10.5707300046096</v>
      </c>
      <c r="G2831" s="18" t="n">
        <f aca="false">EXP(-'Black-Scholes'!$B$8*'Black-Scholes'!$B$7)*IF(LOWER('Black-Scholes'!$B$11)="put",MAX('Black-Scholes'!$B$6-D2831,0),MAX(D2831-'Black-Scholes'!$B$6,0))</f>
        <v>0</v>
      </c>
    </row>
    <row r="2832" customFormat="false" ht="15" hidden="false" customHeight="false" outlineLevel="0" collapsed="false">
      <c r="A2832" s="0" t="n">
        <v>2821</v>
      </c>
      <c r="B2832" s="15" t="n">
        <v>-1.29403880315589</v>
      </c>
      <c r="C2832" s="18" t="n">
        <f aca="false">'Black-Scholes'!$B$5*EXP(('Black-Scholes'!$B$8-'Black-Scholes'!$B$10-'Black-Scholes'!$B$9^2/2)*'Black-Scholes'!$B$7+'Black-Scholes'!$B$9*SQRT('Black-Scholes'!$B$7)*B2832)</f>
        <v>79.5481441657394</v>
      </c>
      <c r="D2832" s="18" t="n">
        <f aca="false">'Black-Scholes'!$B$5*EXP(('Black-Scholes'!$B$8-'Black-Scholes'!$B$10-'Black-Scholes'!$B$9^2/2)*'Black-Scholes'!$B$7-'Black-Scholes'!$B$9*SQRT('Black-Scholes'!$B$7)*B2832)</f>
        <v>133.483509600552</v>
      </c>
      <c r="E2832" s="18" t="n">
        <f aca="false">EXP(-'Black-Scholes'!$B$8*'Black-Scholes'!$B$7)*IF(LOWER('Black-Scholes'!$B$11)="put",MAX('Black-Scholes'!$B$6-C2832,0),MAX(C2832-'Black-Scholes'!$B$6,0))</f>
        <v>0</v>
      </c>
      <c r="F2832" s="18" t="n">
        <f aca="false">(E2832+G2832)/2</f>
        <v>15.9252497837988</v>
      </c>
      <c r="G2832" s="18" t="n">
        <f aca="false">EXP(-'Black-Scholes'!$B$8*'Black-Scholes'!$B$7)*IF(LOWER('Black-Scholes'!$B$11)="put",MAX('Black-Scholes'!$B$6-D2832,0),MAX(D2832-'Black-Scholes'!$B$6,0))</f>
        <v>31.8504995675976</v>
      </c>
    </row>
    <row r="2833" customFormat="false" ht="15" hidden="false" customHeight="false" outlineLevel="0" collapsed="false">
      <c r="A2833" s="0" t="n">
        <v>2822</v>
      </c>
      <c r="B2833" s="15" t="n">
        <v>-0.146120089211631</v>
      </c>
      <c r="C2833" s="18" t="n">
        <f aca="false">'Black-Scholes'!$B$5*EXP(('Black-Scholes'!$B$8-'Black-Scholes'!$B$10-'Black-Scholes'!$B$9^2/2)*'Black-Scholes'!$B$7+'Black-Scholes'!$B$9*SQRT('Black-Scholes'!$B$7)*B2833)</f>
        <v>100.077628330972</v>
      </c>
      <c r="D2833" s="18" t="n">
        <f aca="false">'Black-Scholes'!$B$5*EXP(('Black-Scholes'!$B$8-'Black-Scholes'!$B$10-'Black-Scholes'!$B$9^2/2)*'Black-Scholes'!$B$7-'Black-Scholes'!$B$9*SQRT('Black-Scholes'!$B$7)*B2833)</f>
        <v>106.101289993974</v>
      </c>
      <c r="E2833" s="18" t="n">
        <f aca="false">EXP(-'Black-Scholes'!$B$8*'Black-Scholes'!$B$7)*IF(LOWER('Black-Scholes'!$B$11)="put",MAX('Black-Scholes'!$B$6-C2833,0),MAX(C2833-'Black-Scholes'!$B$6,0))</f>
        <v>0.073842352595383</v>
      </c>
      <c r="F2833" s="18" t="n">
        <f aca="false">(E2833+G2833)/2</f>
        <v>2.93878446113759</v>
      </c>
      <c r="G2833" s="18" t="n">
        <f aca="false">EXP(-'Black-Scholes'!$B$8*'Black-Scholes'!$B$7)*IF(LOWER('Black-Scholes'!$B$11)="put",MAX('Black-Scholes'!$B$6-D2833,0),MAX(D2833-'Black-Scholes'!$B$6,0))</f>
        <v>5.80372656967981</v>
      </c>
    </row>
    <row r="2834" customFormat="false" ht="15" hidden="false" customHeight="false" outlineLevel="0" collapsed="false">
      <c r="A2834" s="0" t="n">
        <v>2823</v>
      </c>
      <c r="B2834" s="15" t="n">
        <v>-1.78004124982965</v>
      </c>
      <c r="C2834" s="18" t="n">
        <f aca="false">'Black-Scholes'!$B$5*EXP(('Black-Scholes'!$B$8-'Black-Scholes'!$B$10-'Black-Scholes'!$B$9^2/2)*'Black-Scholes'!$B$7+'Black-Scholes'!$B$9*SQRT('Black-Scholes'!$B$7)*B2834)</f>
        <v>72.1799232588075</v>
      </c>
      <c r="D2834" s="18" t="n">
        <f aca="false">'Black-Scholes'!$B$5*EXP(('Black-Scholes'!$B$8-'Black-Scholes'!$B$10-'Black-Scholes'!$B$9^2/2)*'Black-Scholes'!$B$7-'Black-Scholes'!$B$9*SQRT('Black-Scholes'!$B$7)*B2834)</f>
        <v>147.109680726322</v>
      </c>
      <c r="E2834" s="18" t="n">
        <f aca="false">EXP(-'Black-Scholes'!$B$8*'Black-Scholes'!$B$7)*IF(LOWER('Black-Scholes'!$B$11)="put",MAX('Black-Scholes'!$B$6-C2834,0),MAX(C2834-'Black-Scholes'!$B$6,0))</f>
        <v>0</v>
      </c>
      <c r="F2834" s="18" t="n">
        <f aca="false">(E2834+G2834)/2</f>
        <v>22.4060572428558</v>
      </c>
      <c r="G2834" s="18" t="n">
        <f aca="false">EXP(-'Black-Scholes'!$B$8*'Black-Scholes'!$B$7)*IF(LOWER('Black-Scholes'!$B$11)="put",MAX('Black-Scholes'!$B$6-D2834,0),MAX(D2834-'Black-Scholes'!$B$6,0))</f>
        <v>44.8121144857116</v>
      </c>
    </row>
    <row r="2835" customFormat="false" ht="15" hidden="false" customHeight="false" outlineLevel="0" collapsed="false">
      <c r="A2835" s="0" t="n">
        <v>2824</v>
      </c>
      <c r="B2835" s="15" t="n">
        <v>0.455284176413001</v>
      </c>
      <c r="C2835" s="18" t="n">
        <f aca="false">'Black-Scholes'!$B$5*EXP(('Black-Scholes'!$B$8-'Black-Scholes'!$B$10-'Black-Scholes'!$B$9^2/2)*'Black-Scholes'!$B$7+'Black-Scholes'!$B$9*SQRT('Black-Scholes'!$B$7)*B2835)</f>
        <v>112.868905990609</v>
      </c>
      <c r="D2835" s="18" t="n">
        <f aca="false">'Black-Scholes'!$B$5*EXP(('Black-Scholes'!$B$8-'Black-Scholes'!$B$10-'Black-Scholes'!$B$9^2/2)*'Black-Scholes'!$B$7-'Black-Scholes'!$B$9*SQRT('Black-Scholes'!$B$7)*B2835)</f>
        <v>94.0769769340818</v>
      </c>
      <c r="E2835" s="18" t="n">
        <f aca="false">EXP(-'Black-Scholes'!$B$8*'Black-Scholes'!$B$7)*IF(LOWER('Black-Scholes'!$B$11)="put",MAX('Black-Scholes'!$B$6-C2835,0),MAX(C2835-'Black-Scholes'!$B$6,0))</f>
        <v>12.241282039401</v>
      </c>
      <c r="F2835" s="18" t="n">
        <f aca="false">(E2835+G2835)/2</f>
        <v>6.12064101970051</v>
      </c>
      <c r="G2835" s="18" t="n">
        <f aca="false">EXP(-'Black-Scholes'!$B$8*'Black-Scholes'!$B$7)*IF(LOWER('Black-Scholes'!$B$11)="put",MAX('Black-Scholes'!$B$6-D2835,0),MAX(D2835-'Black-Scholes'!$B$6,0))</f>
        <v>0</v>
      </c>
    </row>
    <row r="2836" customFormat="false" ht="15" hidden="false" customHeight="false" outlineLevel="0" collapsed="false">
      <c r="A2836" s="0" t="n">
        <v>2825</v>
      </c>
      <c r="B2836" s="15" t="n">
        <v>0.395639224087993</v>
      </c>
      <c r="C2836" s="18" t="n">
        <f aca="false">'Black-Scholes'!$B$5*EXP(('Black-Scholes'!$B$8-'Black-Scholes'!$B$10-'Black-Scholes'!$B$9^2/2)*'Black-Scholes'!$B$7+'Black-Scholes'!$B$9*SQRT('Black-Scholes'!$B$7)*B2836)</f>
        <v>111.530492718238</v>
      </c>
      <c r="D2836" s="18" t="n">
        <f aca="false">'Black-Scholes'!$B$5*EXP(('Black-Scholes'!$B$8-'Black-Scholes'!$B$10-'Black-Scholes'!$B$9^2/2)*'Black-Scholes'!$B$7-'Black-Scholes'!$B$9*SQRT('Black-Scholes'!$B$7)*B2836)</f>
        <v>95.2059406056692</v>
      </c>
      <c r="E2836" s="18" t="n">
        <f aca="false">EXP(-'Black-Scholes'!$B$8*'Black-Scholes'!$B$7)*IF(LOWER('Black-Scholes'!$B$11)="put",MAX('Black-Scholes'!$B$6-C2836,0),MAX(C2836-'Black-Scholes'!$B$6,0))</f>
        <v>10.9681439525793</v>
      </c>
      <c r="F2836" s="18" t="n">
        <f aca="false">(E2836+G2836)/2</f>
        <v>5.48407197628965</v>
      </c>
      <c r="G2836" s="18" t="n">
        <f aca="false">EXP(-'Black-Scholes'!$B$8*'Black-Scholes'!$B$7)*IF(LOWER('Black-Scholes'!$B$11)="put",MAX('Black-Scholes'!$B$6-D2836,0),MAX(D2836-'Black-Scholes'!$B$6,0))</f>
        <v>0</v>
      </c>
    </row>
    <row r="2837" customFormat="false" ht="15" hidden="false" customHeight="false" outlineLevel="0" collapsed="false">
      <c r="A2837" s="0" t="n">
        <v>2826</v>
      </c>
      <c r="B2837" s="15" t="n">
        <v>-1.17056874246672</v>
      </c>
      <c r="C2837" s="18" t="n">
        <f aca="false">'Black-Scholes'!$B$5*EXP(('Black-Scholes'!$B$8-'Black-Scholes'!$B$10-'Black-Scholes'!$B$9^2/2)*'Black-Scholes'!$B$7+'Black-Scholes'!$B$9*SQRT('Black-Scholes'!$B$7)*B2837)</f>
        <v>81.5369618846512</v>
      </c>
      <c r="D2837" s="18" t="n">
        <f aca="false">'Black-Scholes'!$B$5*EXP(('Black-Scholes'!$B$8-'Black-Scholes'!$B$10-'Black-Scholes'!$B$9^2/2)*'Black-Scholes'!$B$7-'Black-Scholes'!$B$9*SQRT('Black-Scholes'!$B$7)*B2837)</f>
        <v>130.227631984562</v>
      </c>
      <c r="E2837" s="18" t="n">
        <f aca="false">EXP(-'Black-Scholes'!$B$8*'Black-Scholes'!$B$7)*IF(LOWER('Black-Scholes'!$B$11)="put",MAX('Black-Scholes'!$B$6-C2837,0),MAX(C2837-'Black-Scholes'!$B$6,0))</f>
        <v>0</v>
      </c>
      <c r="F2837" s="18" t="n">
        <f aca="false">(E2837+G2837)/2</f>
        <v>14.3767064883471</v>
      </c>
      <c r="G2837" s="18" t="n">
        <f aca="false">EXP(-'Black-Scholes'!$B$8*'Black-Scholes'!$B$7)*IF(LOWER('Black-Scholes'!$B$11)="put",MAX('Black-Scholes'!$B$6-D2837,0),MAX(D2837-'Black-Scholes'!$B$6,0))</f>
        <v>28.7534129766941</v>
      </c>
    </row>
    <row r="2838" customFormat="false" ht="15" hidden="false" customHeight="false" outlineLevel="0" collapsed="false">
      <c r="A2838" s="0" t="n">
        <v>2827</v>
      </c>
      <c r="B2838" s="15" t="n">
        <v>-0.796121546456743</v>
      </c>
      <c r="C2838" s="18" t="n">
        <f aca="false">'Black-Scholes'!$B$5*EXP(('Black-Scholes'!$B$8-'Black-Scholes'!$B$10-'Black-Scholes'!$B$9^2/2)*'Black-Scholes'!$B$7+'Black-Scholes'!$B$9*SQRT('Black-Scholes'!$B$7)*B2838)</f>
        <v>87.8776825629242</v>
      </c>
      <c r="D2838" s="18" t="n">
        <f aca="false">'Black-Scholes'!$B$5*EXP(('Black-Scholes'!$B$8-'Black-Scholes'!$B$10-'Black-Scholes'!$B$9^2/2)*'Black-Scholes'!$B$7-'Black-Scholes'!$B$9*SQRT('Black-Scholes'!$B$7)*B2838)</f>
        <v>120.831195768623</v>
      </c>
      <c r="E2838" s="18" t="n">
        <f aca="false">EXP(-'Black-Scholes'!$B$8*'Black-Scholes'!$B$7)*IF(LOWER('Black-Scholes'!$B$11)="put",MAX('Black-Scholes'!$B$6-C2838,0),MAX(C2838-'Black-Scholes'!$B$6,0))</f>
        <v>0</v>
      </c>
      <c r="F2838" s="18" t="n">
        <f aca="false">(E2838+G2838)/2</f>
        <v>9.90762318132446</v>
      </c>
      <c r="G2838" s="18" t="n">
        <f aca="false">EXP(-'Black-Scholes'!$B$8*'Black-Scholes'!$B$7)*IF(LOWER('Black-Scholes'!$B$11)="put",MAX('Black-Scholes'!$B$6-D2838,0),MAX(D2838-'Black-Scholes'!$B$6,0))</f>
        <v>19.8152463626489</v>
      </c>
    </row>
    <row r="2839" customFormat="false" ht="15" hidden="false" customHeight="false" outlineLevel="0" collapsed="false">
      <c r="A2839" s="0" t="n">
        <v>2828</v>
      </c>
      <c r="B2839" s="15" t="n">
        <v>0.297039477830706</v>
      </c>
      <c r="C2839" s="18" t="n">
        <f aca="false">'Black-Scholes'!$B$5*EXP(('Black-Scholes'!$B$8-'Black-Scholes'!$B$10-'Black-Scholes'!$B$9^2/2)*'Black-Scholes'!$B$7+'Black-Scholes'!$B$9*SQRT('Black-Scholes'!$B$7)*B2839)</f>
        <v>109.352661002457</v>
      </c>
      <c r="D2839" s="18" t="n">
        <f aca="false">'Black-Scholes'!$B$5*EXP(('Black-Scholes'!$B$8-'Black-Scholes'!$B$10-'Black-Scholes'!$B$9^2/2)*'Black-Scholes'!$B$7-'Black-Scholes'!$B$9*SQRT('Black-Scholes'!$B$7)*B2839)</f>
        <v>97.1020308798435</v>
      </c>
      <c r="E2839" s="18" t="n">
        <f aca="false">EXP(-'Black-Scholes'!$B$8*'Black-Scholes'!$B$7)*IF(LOWER('Black-Scholes'!$B$11)="put",MAX('Black-Scholes'!$B$6-C2839,0),MAX(C2839-'Black-Scholes'!$B$6,0))</f>
        <v>8.89652634291702</v>
      </c>
      <c r="F2839" s="18" t="n">
        <f aca="false">(E2839+G2839)/2</f>
        <v>4.44826317145851</v>
      </c>
      <c r="G2839" s="18" t="n">
        <f aca="false">EXP(-'Black-Scholes'!$B$8*'Black-Scholes'!$B$7)*IF(LOWER('Black-Scholes'!$B$11)="put",MAX('Black-Scholes'!$B$6-D2839,0),MAX(D2839-'Black-Scholes'!$B$6,0))</f>
        <v>0</v>
      </c>
    </row>
    <row r="2840" customFormat="false" ht="15" hidden="false" customHeight="false" outlineLevel="0" collapsed="false">
      <c r="A2840" s="0" t="n">
        <v>2829</v>
      </c>
      <c r="B2840" s="15" t="n">
        <v>-1.21415935758505</v>
      </c>
      <c r="C2840" s="18" t="n">
        <f aca="false">'Black-Scholes'!$B$5*EXP(('Black-Scholes'!$B$8-'Black-Scholes'!$B$10-'Black-Scholes'!$B$9^2/2)*'Black-Scholes'!$B$7+'Black-Scholes'!$B$9*SQRT('Black-Scholes'!$B$7)*B2840)</f>
        <v>80.8292022704647</v>
      </c>
      <c r="D2840" s="18" t="n">
        <f aca="false">'Black-Scholes'!$B$5*EXP(('Black-Scholes'!$B$8-'Black-Scholes'!$B$10-'Black-Scholes'!$B$9^2/2)*'Black-Scholes'!$B$7-'Black-Scholes'!$B$9*SQRT('Black-Scholes'!$B$7)*B2840)</f>
        <v>131.367935933887</v>
      </c>
      <c r="E2840" s="18" t="n">
        <f aca="false">EXP(-'Black-Scholes'!$B$8*'Black-Scholes'!$B$7)*IF(LOWER('Black-Scholes'!$B$11)="put",MAX('Black-Scholes'!$B$6-C2840,0),MAX(C2840-'Black-Scholes'!$B$6,0))</f>
        <v>0</v>
      </c>
      <c r="F2840" s="18" t="n">
        <f aca="false">(E2840+G2840)/2</f>
        <v>14.9190518230832</v>
      </c>
      <c r="G2840" s="18" t="n">
        <f aca="false">EXP(-'Black-Scholes'!$B$8*'Black-Scholes'!$B$7)*IF(LOWER('Black-Scholes'!$B$11)="put",MAX('Black-Scholes'!$B$6-D2840,0),MAX(D2840-'Black-Scholes'!$B$6,0))</f>
        <v>29.8381036461665</v>
      </c>
    </row>
    <row r="2841" customFormat="false" ht="15" hidden="false" customHeight="false" outlineLevel="0" collapsed="false">
      <c r="A2841" s="0" t="n">
        <v>2830</v>
      </c>
      <c r="B2841" s="15" t="n">
        <v>-0.568827392243879</v>
      </c>
      <c r="C2841" s="18" t="n">
        <f aca="false">'Black-Scholes'!$B$5*EXP(('Black-Scholes'!$B$8-'Black-Scholes'!$B$10-'Black-Scholes'!$B$9^2/2)*'Black-Scholes'!$B$7+'Black-Scholes'!$B$9*SQRT('Black-Scholes'!$B$7)*B2841)</f>
        <v>91.9646907826049</v>
      </c>
      <c r="D2841" s="18" t="n">
        <f aca="false">'Black-Scholes'!$B$5*EXP(('Black-Scholes'!$B$8-'Black-Scholes'!$B$10-'Black-Scholes'!$B$9^2/2)*'Black-Scholes'!$B$7-'Black-Scholes'!$B$9*SQRT('Black-Scholes'!$B$7)*B2841)</f>
        <v>115.461329506934</v>
      </c>
      <c r="E2841" s="18" t="n">
        <f aca="false">EXP(-'Black-Scholes'!$B$8*'Black-Scholes'!$B$7)*IF(LOWER('Black-Scholes'!$B$11)="put",MAX('Black-Scholes'!$B$6-C2841,0),MAX(C2841-'Black-Scholes'!$B$6,0))</f>
        <v>0</v>
      </c>
      <c r="F2841" s="18" t="n">
        <f aca="false">(E2841+G2841)/2</f>
        <v>7.35363578444814</v>
      </c>
      <c r="G2841" s="18" t="n">
        <f aca="false">EXP(-'Black-Scholes'!$B$8*'Black-Scholes'!$B$7)*IF(LOWER('Black-Scholes'!$B$11)="put",MAX('Black-Scholes'!$B$6-D2841,0),MAX(D2841-'Black-Scholes'!$B$6,0))</f>
        <v>14.7072715688963</v>
      </c>
    </row>
    <row r="2842" customFormat="false" ht="15" hidden="false" customHeight="false" outlineLevel="0" collapsed="false">
      <c r="A2842" s="0" t="n">
        <v>2831</v>
      </c>
      <c r="B2842" s="15" t="n">
        <v>-0.925203790804835</v>
      </c>
      <c r="C2842" s="18" t="n">
        <f aca="false">'Black-Scholes'!$B$5*EXP(('Black-Scholes'!$B$8-'Black-Scholes'!$B$10-'Black-Scholes'!$B$9^2/2)*'Black-Scholes'!$B$7+'Black-Scholes'!$B$9*SQRT('Black-Scholes'!$B$7)*B2842)</f>
        <v>85.6380272287296</v>
      </c>
      <c r="D2842" s="18" t="n">
        <f aca="false">'Black-Scholes'!$B$5*EXP(('Black-Scholes'!$B$8-'Black-Scholes'!$B$10-'Black-Scholes'!$B$9^2/2)*'Black-Scholes'!$B$7-'Black-Scholes'!$B$9*SQRT('Black-Scholes'!$B$7)*B2842)</f>
        <v>123.99124324867</v>
      </c>
      <c r="E2842" s="18" t="n">
        <f aca="false">EXP(-'Black-Scholes'!$B$8*'Black-Scholes'!$B$7)*IF(LOWER('Black-Scholes'!$B$11)="put",MAX('Black-Scholes'!$B$6-C2842,0),MAX(C2842-'Black-Scholes'!$B$6,0))</f>
        <v>0</v>
      </c>
      <c r="F2842" s="18" t="n">
        <f aca="false">(E2842+G2842)/2</f>
        <v>11.4105882542443</v>
      </c>
      <c r="G2842" s="18" t="n">
        <f aca="false">EXP(-'Black-Scholes'!$B$8*'Black-Scholes'!$B$7)*IF(LOWER('Black-Scholes'!$B$11)="put",MAX('Black-Scholes'!$B$6-D2842,0),MAX(D2842-'Black-Scholes'!$B$6,0))</f>
        <v>22.8211765084886</v>
      </c>
    </row>
    <row r="2843" customFormat="false" ht="15" hidden="false" customHeight="false" outlineLevel="0" collapsed="false">
      <c r="A2843" s="0" t="n">
        <v>2832</v>
      </c>
      <c r="B2843" s="15" t="n">
        <v>0.791977827530813</v>
      </c>
      <c r="C2843" s="18" t="n">
        <f aca="false">'Black-Scholes'!$B$5*EXP(('Black-Scholes'!$B$8-'Black-Scholes'!$B$10-'Black-Scholes'!$B$9^2/2)*'Black-Scholes'!$B$7+'Black-Scholes'!$B$9*SQRT('Black-Scholes'!$B$7)*B2843)</f>
        <v>120.731099149028</v>
      </c>
      <c r="D2843" s="18" t="n">
        <f aca="false">'Black-Scholes'!$B$5*EXP(('Black-Scholes'!$B$8-'Black-Scholes'!$B$10-'Black-Scholes'!$B$9^2/2)*'Black-Scholes'!$B$7-'Black-Scholes'!$B$9*SQRT('Black-Scholes'!$B$7)*B2843)</f>
        <v>87.9505408324538</v>
      </c>
      <c r="E2843" s="18" t="n">
        <f aca="false">EXP(-'Black-Scholes'!$B$8*'Black-Scholes'!$B$7)*IF(LOWER('Black-Scholes'!$B$11)="put",MAX('Black-Scholes'!$B$6-C2843,0),MAX(C2843-'Black-Scholes'!$B$6,0))</f>
        <v>19.720031512797</v>
      </c>
      <c r="F2843" s="18" t="n">
        <f aca="false">(E2843+G2843)/2</f>
        <v>9.86001575639849</v>
      </c>
      <c r="G2843" s="18" t="n">
        <f aca="false">EXP(-'Black-Scholes'!$B$8*'Black-Scholes'!$B$7)*IF(LOWER('Black-Scholes'!$B$11)="put",MAX('Black-Scholes'!$B$6-D2843,0),MAX(D2843-'Black-Scholes'!$B$6,0))</f>
        <v>0</v>
      </c>
    </row>
    <row r="2844" customFormat="false" ht="15" hidden="false" customHeight="false" outlineLevel="0" collapsed="false">
      <c r="A2844" s="0" t="n">
        <v>2833</v>
      </c>
      <c r="B2844" s="15" t="n">
        <v>-0.565871616901603</v>
      </c>
      <c r="C2844" s="18" t="n">
        <f aca="false">'Black-Scholes'!$B$5*EXP(('Black-Scholes'!$B$8-'Black-Scholes'!$B$10-'Black-Scholes'!$B$9^2/2)*'Black-Scholes'!$B$7+'Black-Scholes'!$B$9*SQRT('Black-Scholes'!$B$7)*B2844)</f>
        <v>92.0190722480357</v>
      </c>
      <c r="D2844" s="18" t="n">
        <f aca="false">'Black-Scholes'!$B$5*EXP(('Black-Scholes'!$B$8-'Black-Scholes'!$B$10-'Black-Scholes'!$B$9^2/2)*'Black-Scholes'!$B$7-'Black-Scholes'!$B$9*SQRT('Black-Scholes'!$B$7)*B2844)</f>
        <v>115.393094127617</v>
      </c>
      <c r="E2844" s="18" t="n">
        <f aca="false">EXP(-'Black-Scholes'!$B$8*'Black-Scholes'!$B$7)*IF(LOWER('Black-Scholes'!$B$11)="put",MAX('Black-Scholes'!$B$6-C2844,0),MAX(C2844-'Black-Scholes'!$B$6,0))</f>
        <v>0</v>
      </c>
      <c r="F2844" s="18" t="n">
        <f aca="false">(E2844+G2844)/2</f>
        <v>7.32118203414934</v>
      </c>
      <c r="G2844" s="18" t="n">
        <f aca="false">EXP(-'Black-Scholes'!$B$8*'Black-Scholes'!$B$7)*IF(LOWER('Black-Scholes'!$B$11)="put",MAX('Black-Scholes'!$B$6-D2844,0),MAX(D2844-'Black-Scholes'!$B$6,0))</f>
        <v>14.6423640682987</v>
      </c>
    </row>
    <row r="2845" customFormat="false" ht="15" hidden="false" customHeight="false" outlineLevel="0" collapsed="false">
      <c r="A2845" s="0" t="n">
        <v>2834</v>
      </c>
      <c r="B2845" s="15" t="n">
        <v>-0.732515196186338</v>
      </c>
      <c r="C2845" s="18" t="n">
        <f aca="false">'Black-Scholes'!$B$5*EXP(('Black-Scholes'!$B$8-'Black-Scholes'!$B$10-'Black-Scholes'!$B$9^2/2)*'Black-Scholes'!$B$7+'Black-Scholes'!$B$9*SQRT('Black-Scholes'!$B$7)*B2845)</f>
        <v>89.0027391968148</v>
      </c>
      <c r="D2845" s="18" t="n">
        <f aca="false">'Black-Scholes'!$B$5*EXP(('Black-Scholes'!$B$8-'Black-Scholes'!$B$10-'Black-Scholes'!$B$9^2/2)*'Black-Scholes'!$B$7-'Black-Scholes'!$B$9*SQRT('Black-Scholes'!$B$7)*B2845)</f>
        <v>119.30380526798</v>
      </c>
      <c r="E2845" s="18" t="n">
        <f aca="false">EXP(-'Black-Scholes'!$B$8*'Black-Scholes'!$B$7)*IF(LOWER('Black-Scholes'!$B$11)="put",MAX('Black-Scholes'!$B$6-C2845,0),MAX(C2845-'Black-Scholes'!$B$6,0))</f>
        <v>0</v>
      </c>
      <c r="F2845" s="18" t="n">
        <f aca="false">(E2845+G2845)/2</f>
        <v>9.18117378786718</v>
      </c>
      <c r="G2845" s="18" t="n">
        <f aca="false">EXP(-'Black-Scholes'!$B$8*'Black-Scholes'!$B$7)*IF(LOWER('Black-Scholes'!$B$11)="put",MAX('Black-Scholes'!$B$6-D2845,0),MAX(D2845-'Black-Scholes'!$B$6,0))</f>
        <v>18.3623475757344</v>
      </c>
    </row>
    <row r="2846" customFormat="false" ht="15" hidden="false" customHeight="false" outlineLevel="0" collapsed="false">
      <c r="A2846" s="0" t="n">
        <v>2835</v>
      </c>
      <c r="B2846" s="15" t="n">
        <v>2.35407413315728</v>
      </c>
      <c r="C2846" s="18" t="n">
        <f aca="false">'Black-Scholes'!$B$5*EXP(('Black-Scholes'!$B$8-'Black-Scholes'!$B$10-'Black-Scholes'!$B$9^2/2)*'Black-Scholes'!$B$7+'Black-Scholes'!$B$9*SQRT('Black-Scholes'!$B$7)*B2846)</f>
        <v>165.006524017604</v>
      </c>
      <c r="D2846" s="18" t="n">
        <f aca="false">'Black-Scholes'!$B$5*EXP(('Black-Scholes'!$B$8-'Black-Scholes'!$B$10-'Black-Scholes'!$B$9^2/2)*'Black-Scholes'!$B$7-'Black-Scholes'!$B$9*SQRT('Black-Scholes'!$B$7)*B2846)</f>
        <v>64.3511856799113</v>
      </c>
      <c r="E2846" s="18" t="n">
        <f aca="false">EXP(-'Black-Scholes'!$B$8*'Black-Scholes'!$B$7)*IF(LOWER('Black-Scholes'!$B$11)="put",MAX('Black-Scholes'!$B$6-C2846,0),MAX(C2846-'Black-Scholes'!$B$6,0))</f>
        <v>61.8361184300575</v>
      </c>
      <c r="F2846" s="18" t="n">
        <f aca="false">(E2846+G2846)/2</f>
        <v>30.9180592150287</v>
      </c>
      <c r="G2846" s="18" t="n">
        <f aca="false">EXP(-'Black-Scholes'!$B$8*'Black-Scholes'!$B$7)*IF(LOWER('Black-Scholes'!$B$11)="put",MAX('Black-Scholes'!$B$6-D2846,0),MAX(D2846-'Black-Scholes'!$B$6,0))</f>
        <v>0</v>
      </c>
    </row>
    <row r="2847" customFormat="false" ht="15" hidden="false" customHeight="false" outlineLevel="0" collapsed="false">
      <c r="A2847" s="0" t="n">
        <v>2836</v>
      </c>
      <c r="B2847" s="15" t="n">
        <v>-1.2477047976025</v>
      </c>
      <c r="C2847" s="18" t="n">
        <f aca="false">'Black-Scholes'!$B$5*EXP(('Black-Scholes'!$B$8-'Black-Scholes'!$B$10-'Black-Scholes'!$B$9^2/2)*'Black-Scholes'!$B$7+'Black-Scholes'!$B$9*SQRT('Black-Scholes'!$B$7)*B2847)</f>
        <v>80.2887271141885</v>
      </c>
      <c r="D2847" s="18" t="n">
        <f aca="false">'Black-Scholes'!$B$5*EXP(('Black-Scholes'!$B$8-'Black-Scholes'!$B$10-'Black-Scholes'!$B$9^2/2)*'Black-Scholes'!$B$7-'Black-Scholes'!$B$9*SQRT('Black-Scholes'!$B$7)*B2847)</f>
        <v>132.252258157635</v>
      </c>
      <c r="E2847" s="18" t="n">
        <f aca="false">EXP(-'Black-Scholes'!$B$8*'Black-Scholes'!$B$7)*IF(LOWER('Black-Scholes'!$B$11)="put",MAX('Black-Scholes'!$B$6-C2847,0),MAX(C2847-'Black-Scholes'!$B$6,0))</f>
        <v>0</v>
      </c>
      <c r="F2847" s="18" t="n">
        <f aca="false">(E2847+G2847)/2</f>
        <v>15.339648483068</v>
      </c>
      <c r="G2847" s="18" t="n">
        <f aca="false">EXP(-'Black-Scholes'!$B$8*'Black-Scholes'!$B$7)*IF(LOWER('Black-Scholes'!$B$11)="put",MAX('Black-Scholes'!$B$6-D2847,0),MAX(D2847-'Black-Scholes'!$B$6,0))</f>
        <v>30.6792969661359</v>
      </c>
    </row>
    <row r="2848" customFormat="false" ht="15" hidden="false" customHeight="false" outlineLevel="0" collapsed="false">
      <c r="A2848" s="0" t="n">
        <v>2837</v>
      </c>
      <c r="B2848" s="15" t="n">
        <v>-1.34896420760719</v>
      </c>
      <c r="C2848" s="18" t="n">
        <f aca="false">'Black-Scholes'!$B$5*EXP(('Black-Scholes'!$B$8-'Black-Scholes'!$B$10-'Black-Scholes'!$B$9^2/2)*'Black-Scholes'!$B$7+'Black-Scholes'!$B$9*SQRT('Black-Scholes'!$B$7)*B2848)</f>
        <v>78.6790834577535</v>
      </c>
      <c r="D2848" s="18" t="n">
        <f aca="false">'Black-Scholes'!$B$5*EXP(('Black-Scholes'!$B$8-'Black-Scholes'!$B$10-'Black-Scholes'!$B$9^2/2)*'Black-Scholes'!$B$7-'Black-Scholes'!$B$9*SQRT('Black-Scholes'!$B$7)*B2848)</f>
        <v>134.95792018415</v>
      </c>
      <c r="E2848" s="18" t="n">
        <f aca="false">EXP(-'Black-Scholes'!$B$8*'Black-Scholes'!$B$7)*IF(LOWER('Black-Scholes'!$B$11)="put",MAX('Black-Scholes'!$B$6-C2848,0),MAX(C2848-'Black-Scholes'!$B$6,0))</f>
        <v>0</v>
      </c>
      <c r="F2848" s="18" t="n">
        <f aca="false">(E2848+G2848)/2</f>
        <v>16.6265011492555</v>
      </c>
      <c r="G2848" s="18" t="n">
        <f aca="false">EXP(-'Black-Scholes'!$B$8*'Black-Scholes'!$B$7)*IF(LOWER('Black-Scholes'!$B$11)="put",MAX('Black-Scholes'!$B$6-D2848,0),MAX(D2848-'Black-Scholes'!$B$6,0))</f>
        <v>33.2530022985111</v>
      </c>
    </row>
    <row r="2849" customFormat="false" ht="15" hidden="false" customHeight="false" outlineLevel="0" collapsed="false">
      <c r="A2849" s="0" t="n">
        <v>2838</v>
      </c>
      <c r="B2849" s="15" t="n">
        <v>0.0353433324345198</v>
      </c>
      <c r="C2849" s="18" t="n">
        <f aca="false">'Black-Scholes'!$B$5*EXP(('Black-Scholes'!$B$8-'Black-Scholes'!$B$10-'Black-Scholes'!$B$9^2/2)*'Black-Scholes'!$B$7+'Black-Scholes'!$B$9*SQRT('Black-Scholes'!$B$7)*B2849)</f>
        <v>103.776427801885</v>
      </c>
      <c r="D2849" s="18" t="n">
        <f aca="false">'Black-Scholes'!$B$5*EXP(('Black-Scholes'!$B$8-'Black-Scholes'!$B$10-'Black-Scholes'!$B$9^2/2)*'Black-Scholes'!$B$7-'Black-Scholes'!$B$9*SQRT('Black-Scholes'!$B$7)*B2849)</f>
        <v>102.319627784112</v>
      </c>
      <c r="E2849" s="18" t="n">
        <f aca="false">EXP(-'Black-Scholes'!$B$8*'Black-Scholes'!$B$7)*IF(LOWER('Black-Scholes'!$B$11)="put",MAX('Black-Scholes'!$B$6-C2849,0),MAX(C2849-'Black-Scholes'!$B$6,0))</f>
        <v>3.59224924465508</v>
      </c>
      <c r="F2849" s="18" t="n">
        <f aca="false">(E2849+G2849)/2</f>
        <v>2.89937372339592</v>
      </c>
      <c r="G2849" s="18" t="n">
        <f aca="false">EXP(-'Black-Scholes'!$B$8*'Black-Scholes'!$B$7)*IF(LOWER('Black-Scholes'!$B$11)="put",MAX('Black-Scholes'!$B$6-D2849,0),MAX(D2849-'Black-Scholes'!$B$6,0))</f>
        <v>2.20649820213675</v>
      </c>
    </row>
    <row r="2850" customFormat="false" ht="15" hidden="false" customHeight="false" outlineLevel="0" collapsed="false">
      <c r="A2850" s="0" t="n">
        <v>2839</v>
      </c>
      <c r="B2850" s="15" t="n">
        <v>1.47914259113983</v>
      </c>
      <c r="C2850" s="18" t="n">
        <f aca="false">'Black-Scholes'!$B$5*EXP(('Black-Scholes'!$B$8-'Black-Scholes'!$B$10-'Black-Scholes'!$B$9^2/2)*'Black-Scholes'!$B$7+'Black-Scholes'!$B$9*SQRT('Black-Scholes'!$B$7)*B2850)</f>
        <v>138.517781575892</v>
      </c>
      <c r="D2850" s="18" t="n">
        <f aca="false">'Black-Scholes'!$B$5*EXP(('Black-Scholes'!$B$8-'Black-Scholes'!$B$10-'Black-Scholes'!$B$9^2/2)*'Black-Scholes'!$B$7-'Black-Scholes'!$B$9*SQRT('Black-Scholes'!$B$7)*B2850)</f>
        <v>76.6570569110358</v>
      </c>
      <c r="E2850" s="18" t="n">
        <f aca="false">EXP(-'Black-Scholes'!$B$8*'Black-Scholes'!$B$7)*IF(LOWER('Black-Scholes'!$B$11)="put",MAX('Black-Scholes'!$B$6-C2850,0),MAX(C2850-'Black-Scholes'!$B$6,0))</f>
        <v>36.6392472014802</v>
      </c>
      <c r="F2850" s="18" t="n">
        <f aca="false">(E2850+G2850)/2</f>
        <v>18.3196236007401</v>
      </c>
      <c r="G2850" s="18" t="n">
        <f aca="false">EXP(-'Black-Scholes'!$B$8*'Black-Scholes'!$B$7)*IF(LOWER('Black-Scholes'!$B$11)="put",MAX('Black-Scholes'!$B$6-D2850,0),MAX(D2850-'Black-Scholes'!$B$6,0))</f>
        <v>0</v>
      </c>
    </row>
    <row r="2851" customFormat="false" ht="15" hidden="false" customHeight="false" outlineLevel="0" collapsed="false">
      <c r="A2851" s="0" t="n">
        <v>2840</v>
      </c>
      <c r="B2851" s="15" t="n">
        <v>1.13236314060517</v>
      </c>
      <c r="C2851" s="18" t="n">
        <f aca="false">'Black-Scholes'!$B$5*EXP(('Black-Scholes'!$B$8-'Black-Scholes'!$B$10-'Black-Scholes'!$B$9^2/2)*'Black-Scholes'!$B$7+'Black-Scholes'!$B$9*SQRT('Black-Scholes'!$B$7)*B2851)</f>
        <v>129.236339090123</v>
      </c>
      <c r="D2851" s="18" t="n">
        <f aca="false">'Black-Scholes'!$B$5*EXP(('Black-Scholes'!$B$8-'Black-Scholes'!$B$10-'Black-Scholes'!$B$9^2/2)*'Black-Scholes'!$B$7-'Black-Scholes'!$B$9*SQRT('Black-Scholes'!$B$7)*B2851)</f>
        <v>82.1623820375235</v>
      </c>
      <c r="E2851" s="18" t="n">
        <f aca="false">EXP(-'Black-Scholes'!$B$8*'Black-Scholes'!$B$7)*IF(LOWER('Black-Scholes'!$B$11)="put",MAX('Black-Scholes'!$B$6-C2851,0),MAX(C2851-'Black-Scholes'!$B$6,0))</f>
        <v>27.8104660072052</v>
      </c>
      <c r="F2851" s="18" t="n">
        <f aca="false">(E2851+G2851)/2</f>
        <v>13.9052330036026</v>
      </c>
      <c r="G2851" s="18" t="n">
        <f aca="false">EXP(-'Black-Scholes'!$B$8*'Black-Scholes'!$B$7)*IF(LOWER('Black-Scholes'!$B$11)="put",MAX('Black-Scholes'!$B$6-D2851,0),MAX(D2851-'Black-Scholes'!$B$6,0))</f>
        <v>0</v>
      </c>
    </row>
    <row r="2852" customFormat="false" ht="15" hidden="false" customHeight="false" outlineLevel="0" collapsed="false">
      <c r="A2852" s="0" t="n">
        <v>2841</v>
      </c>
      <c r="B2852" s="15" t="n">
        <v>-0.460742523994512</v>
      </c>
      <c r="C2852" s="18" t="n">
        <f aca="false">'Black-Scholes'!$B$5*EXP(('Black-Scholes'!$B$8-'Black-Scholes'!$B$10-'Black-Scholes'!$B$9^2/2)*'Black-Scholes'!$B$7+'Black-Scholes'!$B$9*SQRT('Black-Scholes'!$B$7)*B2852)</f>
        <v>93.9743320035417</v>
      </c>
      <c r="D2852" s="18" t="n">
        <f aca="false">'Black-Scholes'!$B$5*EXP(('Black-Scholes'!$B$8-'Black-Scholes'!$B$10-'Black-Scholes'!$B$9^2/2)*'Black-Scholes'!$B$7-'Black-Scholes'!$B$9*SQRT('Black-Scholes'!$B$7)*B2852)</f>
        <v>112.992188814424</v>
      </c>
      <c r="E2852" s="18" t="n">
        <f aca="false">EXP(-'Black-Scholes'!$B$8*'Black-Scholes'!$B$7)*IF(LOWER('Black-Scholes'!$B$11)="put",MAX('Black-Scholes'!$B$6-C2852,0),MAX(C2852-'Black-Scholes'!$B$6,0))</f>
        <v>0</v>
      </c>
      <c r="F2852" s="18" t="n">
        <f aca="false">(E2852+G2852)/2</f>
        <v>6.17927614447479</v>
      </c>
      <c r="G2852" s="18" t="n">
        <f aca="false">EXP(-'Black-Scholes'!$B$8*'Black-Scholes'!$B$7)*IF(LOWER('Black-Scholes'!$B$11)="put",MAX('Black-Scholes'!$B$6-D2852,0),MAX(D2852-'Black-Scholes'!$B$6,0))</f>
        <v>12.3585522889496</v>
      </c>
    </row>
    <row r="2853" customFormat="false" ht="15" hidden="false" customHeight="false" outlineLevel="0" collapsed="false">
      <c r="A2853" s="0" t="n">
        <v>2842</v>
      </c>
      <c r="B2853" s="15" t="n">
        <v>1.18274751179362</v>
      </c>
      <c r="C2853" s="18" t="n">
        <f aca="false">'Black-Scholes'!$B$5*EXP(('Black-Scholes'!$B$8-'Black-Scholes'!$B$10-'Black-Scholes'!$B$9^2/2)*'Black-Scholes'!$B$7+'Black-Scholes'!$B$9*SQRT('Black-Scholes'!$B$7)*B2853)</f>
        <v>130.54522106995</v>
      </c>
      <c r="D2853" s="18" t="n">
        <f aca="false">'Black-Scholes'!$B$5*EXP(('Black-Scholes'!$B$8-'Black-Scholes'!$B$10-'Black-Scholes'!$B$9^2/2)*'Black-Scholes'!$B$7-'Black-Scholes'!$B$9*SQRT('Black-Scholes'!$B$7)*B2853)</f>
        <v>81.3385995934998</v>
      </c>
      <c r="E2853" s="18" t="n">
        <f aca="false">EXP(-'Black-Scholes'!$B$8*'Black-Scholes'!$B$7)*IF(LOWER('Black-Scholes'!$B$11)="put",MAX('Black-Scholes'!$B$6-C2853,0),MAX(C2853-'Black-Scholes'!$B$6,0))</f>
        <v>29.0555130596158</v>
      </c>
      <c r="F2853" s="18" t="n">
        <f aca="false">(E2853+G2853)/2</f>
        <v>14.5277565298079</v>
      </c>
      <c r="G2853" s="18" t="n">
        <f aca="false">EXP(-'Black-Scholes'!$B$8*'Black-Scholes'!$B$7)*IF(LOWER('Black-Scholes'!$B$11)="put",MAX('Black-Scholes'!$B$6-D2853,0),MAX(D2853-'Black-Scholes'!$B$6,0))</f>
        <v>0</v>
      </c>
    </row>
    <row r="2854" customFormat="false" ht="15" hidden="false" customHeight="false" outlineLevel="0" collapsed="false">
      <c r="A2854" s="0" t="n">
        <v>2843</v>
      </c>
      <c r="B2854" s="15" t="n">
        <v>-0.739702943065698</v>
      </c>
      <c r="C2854" s="18" t="n">
        <f aca="false">'Black-Scholes'!$B$5*EXP(('Black-Scholes'!$B$8-'Black-Scholes'!$B$10-'Black-Scholes'!$B$9^2/2)*'Black-Scholes'!$B$7+'Black-Scholes'!$B$9*SQRT('Black-Scholes'!$B$7)*B2854)</f>
        <v>88.8748852848053</v>
      </c>
      <c r="D2854" s="18" t="n">
        <f aca="false">'Black-Scholes'!$B$5*EXP(('Black-Scholes'!$B$8-'Black-Scholes'!$B$10-'Black-Scholes'!$B$9^2/2)*'Black-Scholes'!$B$7-'Black-Scholes'!$B$9*SQRT('Black-Scholes'!$B$7)*B2854)</f>
        <v>119.475433711406</v>
      </c>
      <c r="E2854" s="18" t="n">
        <f aca="false">EXP(-'Black-Scholes'!$B$8*'Black-Scholes'!$B$7)*IF(LOWER('Black-Scholes'!$B$11)="put",MAX('Black-Scholes'!$B$6-C2854,0),MAX(C2854-'Black-Scholes'!$B$6,0))</f>
        <v>0</v>
      </c>
      <c r="F2854" s="18" t="n">
        <f aca="false">(E2854+G2854)/2</f>
        <v>9.26280280060145</v>
      </c>
      <c r="G2854" s="18" t="n">
        <f aca="false">EXP(-'Black-Scholes'!$B$8*'Black-Scholes'!$B$7)*IF(LOWER('Black-Scholes'!$B$11)="put",MAX('Black-Scholes'!$B$6-D2854,0),MAX(D2854-'Black-Scholes'!$B$6,0))</f>
        <v>18.5256056012029</v>
      </c>
    </row>
    <row r="2855" customFormat="false" ht="15" hidden="false" customHeight="false" outlineLevel="0" collapsed="false">
      <c r="A2855" s="0" t="n">
        <v>2844</v>
      </c>
      <c r="B2855" s="15" t="n">
        <v>0.169844578123491</v>
      </c>
      <c r="C2855" s="18" t="n">
        <f aca="false">'Black-Scholes'!$B$5*EXP(('Black-Scholes'!$B$8-'Black-Scholes'!$B$10-'Black-Scholes'!$B$9^2/2)*'Black-Scholes'!$B$7+'Black-Scholes'!$B$9*SQRT('Black-Scholes'!$B$7)*B2855)</f>
        <v>106.605926046032</v>
      </c>
      <c r="D2855" s="18" t="n">
        <f aca="false">'Black-Scholes'!$B$5*EXP(('Black-Scholes'!$B$8-'Black-Scholes'!$B$10-'Black-Scholes'!$B$9^2/2)*'Black-Scholes'!$B$7-'Black-Scholes'!$B$9*SQRT('Black-Scholes'!$B$7)*B2855)</f>
        <v>99.6038950111331</v>
      </c>
      <c r="E2855" s="18" t="n">
        <f aca="false">EXP(-'Black-Scholes'!$B$8*'Black-Scholes'!$B$7)*IF(LOWER('Black-Scholes'!$B$11)="put",MAX('Black-Scholes'!$B$6-C2855,0),MAX(C2855-'Black-Scholes'!$B$6,0))</f>
        <v>6.28375123106132</v>
      </c>
      <c r="F2855" s="18" t="n">
        <f aca="false">(E2855+G2855)/2</f>
        <v>3.14187561553066</v>
      </c>
      <c r="G2855" s="18" t="n">
        <f aca="false">EXP(-'Black-Scholes'!$B$8*'Black-Scholes'!$B$7)*IF(LOWER('Black-Scholes'!$B$11)="put",MAX('Black-Scholes'!$B$6-D2855,0),MAX(D2855-'Black-Scholes'!$B$6,0))</f>
        <v>0</v>
      </c>
    </row>
    <row r="2856" customFormat="false" ht="15" hidden="false" customHeight="false" outlineLevel="0" collapsed="false">
      <c r="A2856" s="0" t="n">
        <v>2845</v>
      </c>
      <c r="B2856" s="15" t="n">
        <v>-2.59127529873357</v>
      </c>
      <c r="C2856" s="18" t="n">
        <f aca="false">'Black-Scholes'!$B$5*EXP(('Black-Scholes'!$B$8-'Black-Scholes'!$B$10-'Black-Scholes'!$B$9^2/2)*'Black-Scholes'!$B$7+'Black-Scholes'!$B$9*SQRT('Black-Scholes'!$B$7)*B2856)</f>
        <v>61.3696323850047</v>
      </c>
      <c r="D2856" s="18" t="n">
        <f aca="false">'Black-Scholes'!$B$5*EXP(('Black-Scholes'!$B$8-'Black-Scholes'!$B$10-'Black-Scholes'!$B$9^2/2)*'Black-Scholes'!$B$7-'Black-Scholes'!$B$9*SQRT('Black-Scholes'!$B$7)*B2856)</f>
        <v>173.023123209194</v>
      </c>
      <c r="E2856" s="18" t="n">
        <f aca="false">EXP(-'Black-Scholes'!$B$8*'Black-Scholes'!$B$7)*IF(LOWER('Black-Scholes'!$B$11)="put",MAX('Black-Scholes'!$B$6-C2856,0),MAX(C2856-'Black-Scholes'!$B$6,0))</f>
        <v>0</v>
      </c>
      <c r="F2856" s="18" t="n">
        <f aca="false">(E2856+G2856)/2</f>
        <v>34.7308717327631</v>
      </c>
      <c r="G2856" s="18" t="n">
        <f aca="false">EXP(-'Black-Scholes'!$B$8*'Black-Scholes'!$B$7)*IF(LOWER('Black-Scholes'!$B$11)="put",MAX('Black-Scholes'!$B$6-D2856,0),MAX(D2856-'Black-Scholes'!$B$6,0))</f>
        <v>69.4617434655262</v>
      </c>
    </row>
    <row r="2857" customFormat="false" ht="15" hidden="false" customHeight="false" outlineLevel="0" collapsed="false">
      <c r="A2857" s="0" t="n">
        <v>2846</v>
      </c>
      <c r="B2857" s="15" t="n">
        <v>-2.26906645546916</v>
      </c>
      <c r="C2857" s="18" t="n">
        <f aca="false">'Black-Scholes'!$B$5*EXP(('Black-Scholes'!$B$8-'Black-Scholes'!$B$10-'Black-Scholes'!$B$9^2/2)*'Black-Scholes'!$B$7+'Black-Scholes'!$B$9*SQRT('Black-Scholes'!$B$7)*B2857)</f>
        <v>65.4546080083409</v>
      </c>
      <c r="D2857" s="18" t="n">
        <f aca="false">'Black-Scholes'!$B$5*EXP(('Black-Scholes'!$B$8-'Black-Scholes'!$B$10-'Black-Scholes'!$B$9^2/2)*'Black-Scholes'!$B$7-'Black-Scholes'!$B$9*SQRT('Black-Scholes'!$B$7)*B2857)</f>
        <v>162.224872908879</v>
      </c>
      <c r="E2857" s="18" t="n">
        <f aca="false">EXP(-'Black-Scholes'!$B$8*'Black-Scholes'!$B$7)*IF(LOWER('Black-Scholes'!$B$11)="put",MAX('Black-Scholes'!$B$6-C2857,0),MAX(C2857-'Black-Scholes'!$B$6,0))</f>
        <v>0</v>
      </c>
      <c r="F2857" s="18" t="n">
        <f aca="false">(E2857+G2857)/2</f>
        <v>29.5950650233715</v>
      </c>
      <c r="G2857" s="18" t="n">
        <f aca="false">EXP(-'Black-Scholes'!$B$8*'Black-Scholes'!$B$7)*IF(LOWER('Black-Scholes'!$B$11)="put",MAX('Black-Scholes'!$B$6-D2857,0),MAX(D2857-'Black-Scholes'!$B$6,0))</f>
        <v>59.190130046743</v>
      </c>
    </row>
    <row r="2858" customFormat="false" ht="15" hidden="false" customHeight="false" outlineLevel="0" collapsed="false">
      <c r="A2858" s="0" t="n">
        <v>2847</v>
      </c>
      <c r="B2858" s="15" t="n">
        <v>0.14982336922219</v>
      </c>
      <c r="C2858" s="18" t="n">
        <f aca="false">'Black-Scholes'!$B$5*EXP(('Black-Scholes'!$B$8-'Black-Scholes'!$B$10-'Black-Scholes'!$B$9^2/2)*'Black-Scholes'!$B$7+'Black-Scholes'!$B$9*SQRT('Black-Scholes'!$B$7)*B2858)</f>
        <v>106.179903660488</v>
      </c>
      <c r="D2858" s="18" t="n">
        <f aca="false">'Black-Scholes'!$B$5*EXP(('Black-Scholes'!$B$8-'Black-Scholes'!$B$10-'Black-Scholes'!$B$9^2/2)*'Black-Scholes'!$B$7-'Black-Scholes'!$B$9*SQRT('Black-Scholes'!$B$7)*B2858)</f>
        <v>100.003532677954</v>
      </c>
      <c r="E2858" s="18" t="n">
        <f aca="false">EXP(-'Black-Scholes'!$B$8*'Black-Scholes'!$B$7)*IF(LOWER('Black-Scholes'!$B$11)="put",MAX('Black-Scholes'!$B$6-C2858,0),MAX(C2858-'Black-Scholes'!$B$6,0))</f>
        <v>5.87850620243585</v>
      </c>
      <c r="F2858" s="18" t="n">
        <f aca="false">(E2858+G2858)/2</f>
        <v>2.94093329482639</v>
      </c>
      <c r="G2858" s="18" t="n">
        <f aca="false">EXP(-'Black-Scholes'!$B$8*'Black-Scholes'!$B$7)*IF(LOWER('Black-Scholes'!$B$11)="put",MAX('Black-Scholes'!$B$6-D2858,0),MAX(D2858-'Black-Scholes'!$B$6,0))</f>
        <v>0.00336038721692567</v>
      </c>
    </row>
    <row r="2859" customFormat="false" ht="15" hidden="false" customHeight="false" outlineLevel="0" collapsed="false">
      <c r="A2859" s="0" t="n">
        <v>2848</v>
      </c>
      <c r="B2859" s="15" t="n">
        <v>-0.289700781653583</v>
      </c>
      <c r="C2859" s="18" t="n">
        <f aca="false">'Black-Scholes'!$B$5*EXP(('Black-Scholes'!$B$8-'Black-Scholes'!$B$10-'Black-Scholes'!$B$9^2/2)*'Black-Scholes'!$B$7+'Black-Scholes'!$B$9*SQRT('Black-Scholes'!$B$7)*B2859)</f>
        <v>97.244655983031</v>
      </c>
      <c r="D2859" s="18" t="n">
        <f aca="false">'Black-Scholes'!$B$5*EXP(('Black-Scholes'!$B$8-'Black-Scholes'!$B$10-'Black-Scholes'!$B$9^2/2)*'Black-Scholes'!$B$7-'Black-Scholes'!$B$9*SQRT('Black-Scholes'!$B$7)*B2859)</f>
        <v>109.192277540747</v>
      </c>
      <c r="E2859" s="18" t="n">
        <f aca="false">EXP(-'Black-Scholes'!$B$8*'Black-Scholes'!$B$7)*IF(LOWER('Black-Scholes'!$B$11)="put",MAX('Black-Scholes'!$B$6-C2859,0),MAX(C2859-'Black-Scholes'!$B$6,0))</f>
        <v>0</v>
      </c>
      <c r="F2859" s="18" t="n">
        <f aca="false">(E2859+G2859)/2</f>
        <v>4.37198243746788</v>
      </c>
      <c r="G2859" s="18" t="n">
        <f aca="false">EXP(-'Black-Scholes'!$B$8*'Black-Scholes'!$B$7)*IF(LOWER('Black-Scholes'!$B$11)="put",MAX('Black-Scholes'!$B$6-D2859,0),MAX(D2859-'Black-Scholes'!$B$6,0))</f>
        <v>8.74396487493576</v>
      </c>
    </row>
    <row r="2860" customFormat="false" ht="15" hidden="false" customHeight="false" outlineLevel="0" collapsed="false">
      <c r="A2860" s="0" t="n">
        <v>2849</v>
      </c>
      <c r="B2860" s="15" t="n">
        <v>0.462187156835253</v>
      </c>
      <c r="C2860" s="18" t="n">
        <f aca="false">'Black-Scholes'!$B$5*EXP(('Black-Scholes'!$B$8-'Black-Scholes'!$B$10-'Black-Scholes'!$B$9^2/2)*'Black-Scholes'!$B$7+'Black-Scholes'!$B$9*SQRT('Black-Scholes'!$B$7)*B2860)</f>
        <v>113.024839976433</v>
      </c>
      <c r="D2860" s="18" t="n">
        <f aca="false">'Black-Scholes'!$B$5*EXP(('Black-Scholes'!$B$8-'Black-Scholes'!$B$10-'Black-Scholes'!$B$9^2/2)*'Black-Scholes'!$B$7-'Black-Scholes'!$B$9*SQRT('Black-Scholes'!$B$7)*B2860)</f>
        <v>93.9471842443452</v>
      </c>
      <c r="E2860" s="18" t="n">
        <f aca="false">EXP(-'Black-Scholes'!$B$8*'Black-Scholes'!$B$7)*IF(LOWER('Black-Scholes'!$B$11)="put",MAX('Black-Scholes'!$B$6-C2860,0),MAX(C2860-'Black-Scholes'!$B$6,0))</f>
        <v>12.3896110349964</v>
      </c>
      <c r="F2860" s="18" t="n">
        <f aca="false">(E2860+G2860)/2</f>
        <v>6.19480551749818</v>
      </c>
      <c r="G2860" s="18" t="n">
        <f aca="false">EXP(-'Black-Scholes'!$B$8*'Black-Scholes'!$B$7)*IF(LOWER('Black-Scholes'!$B$11)="put",MAX('Black-Scholes'!$B$6-D2860,0),MAX(D2860-'Black-Scholes'!$B$6,0))</f>
        <v>0</v>
      </c>
    </row>
    <row r="2861" customFormat="false" ht="15" hidden="false" customHeight="false" outlineLevel="0" collapsed="false">
      <c r="A2861" s="0" t="n">
        <v>2850</v>
      </c>
      <c r="B2861" s="15" t="n">
        <v>-1.86056766409402</v>
      </c>
      <c r="C2861" s="18" t="n">
        <f aca="false">'Black-Scholes'!$B$5*EXP(('Black-Scholes'!$B$8-'Black-Scholes'!$B$10-'Black-Scholes'!$B$9^2/2)*'Black-Scholes'!$B$7+'Black-Scholes'!$B$9*SQRT('Black-Scholes'!$B$7)*B2861)</f>
        <v>71.026756145308</v>
      </c>
      <c r="D2861" s="18" t="n">
        <f aca="false">'Black-Scholes'!$B$5*EXP(('Black-Scholes'!$B$8-'Black-Scholes'!$B$10-'Black-Scholes'!$B$9^2/2)*'Black-Scholes'!$B$7-'Black-Scholes'!$B$9*SQRT('Black-Scholes'!$B$7)*B2861)</f>
        <v>149.498105245442</v>
      </c>
      <c r="E2861" s="18" t="n">
        <f aca="false">EXP(-'Black-Scholes'!$B$8*'Black-Scholes'!$B$7)*IF(LOWER('Black-Scholes'!$B$11)="put",MAX('Black-Scholes'!$B$6-C2861,0),MAX(C2861-'Black-Scholes'!$B$6,0))</f>
        <v>0</v>
      </c>
      <c r="F2861" s="18" t="n">
        <f aca="false">(E2861+G2861)/2</f>
        <v>23.5420270832488</v>
      </c>
      <c r="G2861" s="18" t="n">
        <f aca="false">EXP(-'Black-Scholes'!$B$8*'Black-Scholes'!$B$7)*IF(LOWER('Black-Scholes'!$B$11)="put",MAX('Black-Scholes'!$B$6-D2861,0),MAX(D2861-'Black-Scholes'!$B$6,0))</f>
        <v>47.0840541664976</v>
      </c>
    </row>
    <row r="2862" customFormat="false" ht="15" hidden="false" customHeight="false" outlineLevel="0" collapsed="false">
      <c r="A2862" s="0" t="n">
        <v>2851</v>
      </c>
      <c r="B2862" s="15" t="n">
        <v>-0.465522798981976</v>
      </c>
      <c r="C2862" s="18" t="n">
        <f aca="false">'Black-Scholes'!$B$5*EXP(('Black-Scholes'!$B$8-'Black-Scholes'!$B$10-'Black-Scholes'!$B$9^2/2)*'Black-Scholes'!$B$7+'Black-Scholes'!$B$9*SQRT('Black-Scholes'!$B$7)*B2862)</f>
        <v>93.8845303083136</v>
      </c>
      <c r="D2862" s="18" t="n">
        <f aca="false">'Black-Scholes'!$B$5*EXP(('Black-Scholes'!$B$8-'Black-Scholes'!$B$10-'Black-Scholes'!$B$9^2/2)*'Black-Scholes'!$B$7-'Black-Scholes'!$B$9*SQRT('Black-Scholes'!$B$7)*B2862)</f>
        <v>113.100267217434</v>
      </c>
      <c r="E2862" s="18" t="n">
        <f aca="false">EXP(-'Black-Scholes'!$B$8*'Black-Scholes'!$B$7)*IF(LOWER('Black-Scholes'!$B$11)="put",MAX('Black-Scholes'!$B$6-C2862,0),MAX(C2862-'Black-Scholes'!$B$6,0))</f>
        <v>0</v>
      </c>
      <c r="F2862" s="18" t="n">
        <f aca="false">(E2862+G2862)/2</f>
        <v>6.23067982302287</v>
      </c>
      <c r="G2862" s="18" t="n">
        <f aca="false">EXP(-'Black-Scholes'!$B$8*'Black-Scholes'!$B$7)*IF(LOWER('Black-Scholes'!$B$11)="put",MAX('Black-Scholes'!$B$6-D2862,0),MAX(D2862-'Black-Scholes'!$B$6,0))</f>
        <v>12.4613596460457</v>
      </c>
    </row>
    <row r="2863" customFormat="false" ht="15" hidden="false" customHeight="false" outlineLevel="0" collapsed="false">
      <c r="A2863" s="0" t="n">
        <v>2852</v>
      </c>
      <c r="B2863" s="15" t="n">
        <v>-1.7641301680077</v>
      </c>
      <c r="C2863" s="18" t="n">
        <f aca="false">'Black-Scholes'!$B$5*EXP(('Black-Scholes'!$B$8-'Black-Scholes'!$B$10-'Black-Scholes'!$B$9^2/2)*'Black-Scholes'!$B$7+'Black-Scholes'!$B$9*SQRT('Black-Scholes'!$B$7)*B2863)</f>
        <v>72.4099812447858</v>
      </c>
      <c r="D2863" s="18" t="n">
        <f aca="false">'Black-Scholes'!$B$5*EXP(('Black-Scholes'!$B$8-'Black-Scholes'!$B$10-'Black-Scholes'!$B$9^2/2)*'Black-Scholes'!$B$7-'Black-Scholes'!$B$9*SQRT('Black-Scholes'!$B$7)*B2863)</f>
        <v>146.642289956652</v>
      </c>
      <c r="E2863" s="18" t="n">
        <f aca="false">EXP(-'Black-Scholes'!$B$8*'Black-Scholes'!$B$7)*IF(LOWER('Black-Scholes'!$B$11)="put",MAX('Black-Scholes'!$B$6-C2863,0),MAX(C2863-'Black-Scholes'!$B$6,0))</f>
        <v>0</v>
      </c>
      <c r="F2863" s="18" t="n">
        <f aca="false">(E2863+G2863)/2</f>
        <v>22.1837593164306</v>
      </c>
      <c r="G2863" s="18" t="n">
        <f aca="false">EXP(-'Black-Scholes'!$B$8*'Black-Scholes'!$B$7)*IF(LOWER('Black-Scholes'!$B$11)="put",MAX('Black-Scholes'!$B$6-D2863,0),MAX(D2863-'Black-Scholes'!$B$6,0))</f>
        <v>44.3675186328613</v>
      </c>
    </row>
    <row r="2864" customFormat="false" ht="15" hidden="false" customHeight="false" outlineLevel="0" collapsed="false">
      <c r="A2864" s="0" t="n">
        <v>2853</v>
      </c>
      <c r="B2864" s="15" t="n">
        <v>0.161134665832814</v>
      </c>
      <c r="C2864" s="18" t="n">
        <f aca="false">'Black-Scholes'!$B$5*EXP(('Black-Scholes'!$B$8-'Black-Scholes'!$B$10-'Black-Scholes'!$B$9^2/2)*'Black-Scholes'!$B$7+'Black-Scholes'!$B$9*SQRT('Black-Scholes'!$B$7)*B2864)</f>
        <v>106.420382047042</v>
      </c>
      <c r="D2864" s="18" t="n">
        <f aca="false">'Black-Scholes'!$B$5*EXP(('Black-Scholes'!$B$8-'Black-Scholes'!$B$10-'Black-Scholes'!$B$9^2/2)*'Black-Scholes'!$B$7-'Black-Scholes'!$B$9*SQRT('Black-Scholes'!$B$7)*B2864)</f>
        <v>99.777554460948</v>
      </c>
      <c r="E2864" s="18" t="n">
        <f aca="false">EXP(-'Black-Scholes'!$B$8*'Black-Scholes'!$B$7)*IF(LOWER('Black-Scholes'!$B$11)="put",MAX('Black-Scholes'!$B$6-C2864,0),MAX(C2864-'Black-Scholes'!$B$6,0))</f>
        <v>6.10725631968225</v>
      </c>
      <c r="F2864" s="18" t="n">
        <f aca="false">(E2864+G2864)/2</f>
        <v>3.05362815984112</v>
      </c>
      <c r="G2864" s="18" t="n">
        <f aca="false">EXP(-'Black-Scholes'!$B$8*'Black-Scholes'!$B$7)*IF(LOWER('Black-Scholes'!$B$11)="put",MAX('Black-Scholes'!$B$6-D2864,0),MAX(D2864-'Black-Scholes'!$B$6,0))</f>
        <v>0</v>
      </c>
    </row>
    <row r="2865" customFormat="false" ht="15" hidden="false" customHeight="false" outlineLevel="0" collapsed="false">
      <c r="A2865" s="0" t="n">
        <v>2854</v>
      </c>
      <c r="B2865" s="15" t="n">
        <v>-0.602187880897781</v>
      </c>
      <c r="C2865" s="18" t="n">
        <f aca="false">'Black-Scholes'!$B$5*EXP(('Black-Scholes'!$B$8-'Black-Scholes'!$B$10-'Black-Scholes'!$B$9^2/2)*'Black-Scholes'!$B$7+'Black-Scholes'!$B$9*SQRT('Black-Scholes'!$B$7)*B2865)</f>
        <v>91.3531358238572</v>
      </c>
      <c r="D2865" s="18" t="n">
        <f aca="false">'Black-Scholes'!$B$5*EXP(('Black-Scholes'!$B$8-'Black-Scholes'!$B$10-'Black-Scholes'!$B$9^2/2)*'Black-Scholes'!$B$7-'Black-Scholes'!$B$9*SQRT('Black-Scholes'!$B$7)*B2865)</f>
        <v>116.234274496361</v>
      </c>
      <c r="E2865" s="18" t="n">
        <f aca="false">EXP(-'Black-Scholes'!$B$8*'Black-Scholes'!$B$7)*IF(LOWER('Black-Scholes'!$B$11)="put",MAX('Black-Scholes'!$B$6-C2865,0),MAX(C2865-'Black-Scholes'!$B$6,0))</f>
        <v>0</v>
      </c>
      <c r="F2865" s="18" t="n">
        <f aca="false">(E2865+G2865)/2</f>
        <v>7.72125979318018</v>
      </c>
      <c r="G2865" s="18" t="n">
        <f aca="false">EXP(-'Black-Scholes'!$B$8*'Black-Scholes'!$B$7)*IF(LOWER('Black-Scholes'!$B$11)="put",MAX('Black-Scholes'!$B$6-D2865,0),MAX(D2865-'Black-Scholes'!$B$6,0))</f>
        <v>15.4425195863604</v>
      </c>
    </row>
    <row r="2866" customFormat="false" ht="15" hidden="false" customHeight="false" outlineLevel="0" collapsed="false">
      <c r="A2866" s="0" t="n">
        <v>2855</v>
      </c>
      <c r="B2866" s="15" t="n">
        <v>2.07830088726739</v>
      </c>
      <c r="C2866" s="18" t="n">
        <f aca="false">'Black-Scholes'!$B$5*EXP(('Black-Scholes'!$B$8-'Black-Scholes'!$B$10-'Black-Scholes'!$B$9^2/2)*'Black-Scholes'!$B$7+'Black-Scholes'!$B$9*SQRT('Black-Scholes'!$B$7)*B2866)</f>
        <v>156.152073640873</v>
      </c>
      <c r="D2866" s="18" t="n">
        <f aca="false">'Black-Scholes'!$B$5*EXP(('Black-Scholes'!$B$8-'Black-Scholes'!$B$10-'Black-Scholes'!$B$9^2/2)*'Black-Scholes'!$B$7-'Black-Scholes'!$B$9*SQRT('Black-Scholes'!$B$7)*B2866)</f>
        <v>68.0001566285588</v>
      </c>
      <c r="E2866" s="18" t="n">
        <f aca="false">EXP(-'Black-Scholes'!$B$8*'Black-Scholes'!$B$7)*IF(LOWER('Black-Scholes'!$B$11)="put",MAX('Black-Scholes'!$B$6-C2866,0),MAX(C2866-'Black-Scholes'!$B$6,0))</f>
        <v>53.413504693929</v>
      </c>
      <c r="F2866" s="18" t="n">
        <f aca="false">(E2866+G2866)/2</f>
        <v>26.7067523469645</v>
      </c>
      <c r="G2866" s="18" t="n">
        <f aca="false">EXP(-'Black-Scholes'!$B$8*'Black-Scholes'!$B$7)*IF(LOWER('Black-Scholes'!$B$11)="put",MAX('Black-Scholes'!$B$6-D2866,0),MAX(D2866-'Black-Scholes'!$B$6,0))</f>
        <v>0</v>
      </c>
    </row>
    <row r="2867" customFormat="false" ht="15" hidden="false" customHeight="false" outlineLevel="0" collapsed="false">
      <c r="A2867" s="0" t="n">
        <v>2856</v>
      </c>
      <c r="B2867" s="15" t="n">
        <v>0.433241672816183</v>
      </c>
      <c r="C2867" s="18" t="n">
        <f aca="false">'Black-Scholes'!$B$5*EXP(('Black-Scholes'!$B$8-'Black-Scholes'!$B$10-'Black-Scholes'!$B$9^2/2)*'Black-Scholes'!$B$7+'Black-Scholes'!$B$9*SQRT('Black-Scholes'!$B$7)*B2867)</f>
        <v>112.37241852413</v>
      </c>
      <c r="D2867" s="18" t="n">
        <f aca="false">'Black-Scholes'!$B$5*EXP(('Black-Scholes'!$B$8-'Black-Scholes'!$B$10-'Black-Scholes'!$B$9^2/2)*'Black-Scholes'!$B$7-'Black-Scholes'!$B$9*SQRT('Black-Scholes'!$B$7)*B2867)</f>
        <v>94.4926308867642</v>
      </c>
      <c r="E2867" s="18" t="n">
        <f aca="false">EXP(-'Black-Scholes'!$B$8*'Black-Scholes'!$B$7)*IF(LOWER('Black-Scholes'!$B$11)="put",MAX('Black-Scholes'!$B$6-C2867,0),MAX(C2867-'Black-Scholes'!$B$6,0))</f>
        <v>11.7690085523901</v>
      </c>
      <c r="F2867" s="18" t="n">
        <f aca="false">(E2867+G2867)/2</f>
        <v>5.88450427619506</v>
      </c>
      <c r="G2867" s="18" t="n">
        <f aca="false">EXP(-'Black-Scholes'!$B$8*'Black-Scholes'!$B$7)*IF(LOWER('Black-Scholes'!$B$11)="put",MAX('Black-Scholes'!$B$6-D2867,0),MAX(D2867-'Black-Scholes'!$B$6,0))</f>
        <v>0</v>
      </c>
    </row>
    <row r="2868" customFormat="false" ht="15" hidden="false" customHeight="false" outlineLevel="0" collapsed="false">
      <c r="A2868" s="0" t="n">
        <v>2857</v>
      </c>
      <c r="B2868" s="15" t="n">
        <v>-0.100680336208723</v>
      </c>
      <c r="C2868" s="18" t="n">
        <f aca="false">'Black-Scholes'!$B$5*EXP(('Black-Scholes'!$B$8-'Black-Scholes'!$B$10-'Black-Scholes'!$B$9^2/2)*'Black-Scholes'!$B$7+'Black-Scholes'!$B$9*SQRT('Black-Scholes'!$B$7)*B2868)</f>
        <v>100.991274169367</v>
      </c>
      <c r="D2868" s="18" t="n">
        <f aca="false">'Black-Scholes'!$B$5*EXP(('Black-Scholes'!$B$8-'Black-Scholes'!$B$10-'Black-Scholes'!$B$9^2/2)*'Black-Scholes'!$B$7-'Black-Scholes'!$B$9*SQRT('Black-Scholes'!$B$7)*B2868)</f>
        <v>105.141414966665</v>
      </c>
      <c r="E2868" s="18" t="n">
        <f aca="false">EXP(-'Black-Scholes'!$B$8*'Black-Scholes'!$B$7)*IF(LOWER('Black-Scholes'!$B$11)="put",MAX('Black-Scholes'!$B$6-C2868,0),MAX(C2868-'Black-Scholes'!$B$6,0))</f>
        <v>0.942929157649222</v>
      </c>
      <c r="F2868" s="18" t="n">
        <f aca="false">(E2868+G2868)/2</f>
        <v>2.9167971787545</v>
      </c>
      <c r="G2868" s="18" t="n">
        <f aca="false">EXP(-'Black-Scholes'!$B$8*'Black-Scholes'!$B$7)*IF(LOWER('Black-Scholes'!$B$11)="put",MAX('Black-Scholes'!$B$6-D2868,0),MAX(D2868-'Black-Scholes'!$B$6,0))</f>
        <v>4.89066519985978</v>
      </c>
    </row>
    <row r="2869" customFormat="false" ht="15" hidden="false" customHeight="false" outlineLevel="0" collapsed="false">
      <c r="A2869" s="0" t="n">
        <v>2858</v>
      </c>
      <c r="B2869" s="15" t="n">
        <v>-0.0819729170999059</v>
      </c>
      <c r="C2869" s="18" t="n">
        <f aca="false">'Black-Scholes'!$B$5*EXP(('Black-Scholes'!$B$8-'Black-Scholes'!$B$10-'Black-Scholes'!$B$9^2/2)*'Black-Scholes'!$B$7+'Black-Scholes'!$B$9*SQRT('Black-Scholes'!$B$7)*B2869)</f>
        <v>101.369839143556</v>
      </c>
      <c r="D2869" s="18" t="n">
        <f aca="false">'Black-Scholes'!$B$5*EXP(('Black-Scholes'!$B$8-'Black-Scholes'!$B$10-'Black-Scholes'!$B$9^2/2)*'Black-Scholes'!$B$7-'Black-Scholes'!$B$9*SQRT('Black-Scholes'!$B$7)*B2869)</f>
        <v>104.74876506824</v>
      </c>
      <c r="E2869" s="18" t="n">
        <f aca="false">EXP(-'Black-Scholes'!$B$8*'Black-Scholes'!$B$7)*IF(LOWER('Black-Scholes'!$B$11)="put",MAX('Black-Scholes'!$B$6-C2869,0),MAX(C2869-'Black-Scholes'!$B$6,0))</f>
        <v>1.30303130018326</v>
      </c>
      <c r="F2869" s="18" t="n">
        <f aca="false">(E2869+G2869)/2</f>
        <v>2.91009818156704</v>
      </c>
      <c r="G2869" s="18" t="n">
        <f aca="false">EXP(-'Black-Scholes'!$B$8*'Black-Scholes'!$B$7)*IF(LOWER('Black-Scholes'!$B$11)="put",MAX('Black-Scholes'!$B$6-D2869,0),MAX(D2869-'Black-Scholes'!$B$6,0))</f>
        <v>4.51716506295082</v>
      </c>
    </row>
    <row r="2870" customFormat="false" ht="15" hidden="false" customHeight="false" outlineLevel="0" collapsed="false">
      <c r="A2870" s="0" t="n">
        <v>2859</v>
      </c>
      <c r="B2870" s="15" t="n">
        <v>0.92122712210637</v>
      </c>
      <c r="C2870" s="18" t="n">
        <f aca="false">'Black-Scholes'!$B$5*EXP(('Black-Scholes'!$B$8-'Black-Scholes'!$B$10-'Black-Scholes'!$B$9^2/2)*'Black-Scholes'!$B$7+'Black-Scholes'!$B$9*SQRT('Black-Scholes'!$B$7)*B2870)</f>
        <v>123.89266803478</v>
      </c>
      <c r="D2870" s="18" t="n">
        <f aca="false">'Black-Scholes'!$B$5*EXP(('Black-Scholes'!$B$8-'Black-Scholes'!$B$10-'Black-Scholes'!$B$9^2/2)*'Black-Scholes'!$B$7-'Black-Scholes'!$B$9*SQRT('Black-Scholes'!$B$7)*B2870)</f>
        <v>85.706165133781</v>
      </c>
      <c r="E2870" s="18" t="n">
        <f aca="false">EXP(-'Black-Scholes'!$B$8*'Black-Scholes'!$B$7)*IF(LOWER('Black-Scholes'!$B$11)="put",MAX('Black-Scholes'!$B$6-C2870,0),MAX(C2870-'Black-Scholes'!$B$6,0))</f>
        <v>22.7274088645107</v>
      </c>
      <c r="F2870" s="18" t="n">
        <f aca="false">(E2870+G2870)/2</f>
        <v>11.3637044322554</v>
      </c>
      <c r="G2870" s="18" t="n">
        <f aca="false">EXP(-'Black-Scholes'!$B$8*'Black-Scholes'!$B$7)*IF(LOWER('Black-Scholes'!$B$11)="put",MAX('Black-Scholes'!$B$6-D2870,0),MAX(D2870-'Black-Scholes'!$B$6,0))</f>
        <v>0</v>
      </c>
    </row>
    <row r="2871" customFormat="false" ht="15" hidden="false" customHeight="false" outlineLevel="0" collapsed="false">
      <c r="A2871" s="0" t="n">
        <v>2860</v>
      </c>
      <c r="B2871" s="15" t="n">
        <v>0.655209492490191</v>
      </c>
      <c r="C2871" s="18" t="n">
        <f aca="false">'Black-Scholes'!$B$5*EXP(('Black-Scholes'!$B$8-'Black-Scholes'!$B$10-'Black-Scholes'!$B$9^2/2)*'Black-Scholes'!$B$7+'Black-Scholes'!$B$9*SQRT('Black-Scholes'!$B$7)*B2871)</f>
        <v>117.473418738082</v>
      </c>
      <c r="D2871" s="18" t="n">
        <f aca="false">'Black-Scholes'!$B$5*EXP(('Black-Scholes'!$B$8-'Black-Scholes'!$B$10-'Black-Scholes'!$B$9^2/2)*'Black-Scholes'!$B$7-'Black-Scholes'!$B$9*SQRT('Black-Scholes'!$B$7)*B2871)</f>
        <v>90.3895160242868</v>
      </c>
      <c r="E2871" s="18" t="n">
        <f aca="false">EXP(-'Black-Scholes'!$B$8*'Black-Scholes'!$B$7)*IF(LOWER('Black-Scholes'!$B$11)="put",MAX('Black-Scholes'!$B$6-C2871,0),MAX(C2871-'Black-Scholes'!$B$6,0))</f>
        <v>16.6212300502855</v>
      </c>
      <c r="F2871" s="18" t="n">
        <f aca="false">(E2871+G2871)/2</f>
        <v>8.31061502514276</v>
      </c>
      <c r="G2871" s="18" t="n">
        <f aca="false">EXP(-'Black-Scholes'!$B$8*'Black-Scholes'!$B$7)*IF(LOWER('Black-Scholes'!$B$11)="put",MAX('Black-Scholes'!$B$6-D2871,0),MAX(D2871-'Black-Scholes'!$B$6,0))</f>
        <v>0</v>
      </c>
    </row>
    <row r="2872" customFormat="false" ht="15" hidden="false" customHeight="false" outlineLevel="0" collapsed="false">
      <c r="A2872" s="0" t="n">
        <v>2861</v>
      </c>
      <c r="B2872" s="15" t="n">
        <v>0.826491626473138</v>
      </c>
      <c r="C2872" s="18" t="n">
        <f aca="false">'Black-Scholes'!$B$5*EXP(('Black-Scholes'!$B$8-'Black-Scholes'!$B$10-'Black-Scholes'!$B$9^2/2)*'Black-Scholes'!$B$7+'Black-Scholes'!$B$9*SQRT('Black-Scholes'!$B$7)*B2872)</f>
        <v>121.567359858333</v>
      </c>
      <c r="D2872" s="18" t="n">
        <f aca="false">'Black-Scholes'!$B$5*EXP(('Black-Scholes'!$B$8-'Black-Scholes'!$B$10-'Black-Scholes'!$B$9^2/2)*'Black-Scholes'!$B$7-'Black-Scholes'!$B$9*SQRT('Black-Scholes'!$B$7)*B2872)</f>
        <v>87.345529900687</v>
      </c>
      <c r="E2872" s="18" t="n">
        <f aca="false">EXP(-'Black-Scholes'!$B$8*'Black-Scholes'!$B$7)*IF(LOWER('Black-Scholes'!$B$11)="put",MAX('Black-Scholes'!$B$6-C2872,0),MAX(C2872-'Black-Scholes'!$B$6,0))</f>
        <v>20.5155073060419</v>
      </c>
      <c r="F2872" s="18" t="n">
        <f aca="false">(E2872+G2872)/2</f>
        <v>10.2577536530209</v>
      </c>
      <c r="G2872" s="18" t="n">
        <f aca="false">EXP(-'Black-Scholes'!$B$8*'Black-Scholes'!$B$7)*IF(LOWER('Black-Scholes'!$B$11)="put",MAX('Black-Scholes'!$B$6-D2872,0),MAX(D2872-'Black-Scholes'!$B$6,0))</f>
        <v>0</v>
      </c>
    </row>
    <row r="2873" customFormat="false" ht="15" hidden="false" customHeight="false" outlineLevel="0" collapsed="false">
      <c r="A2873" s="0" t="n">
        <v>2862</v>
      </c>
      <c r="B2873" s="15" t="n">
        <v>0.171646248934645</v>
      </c>
      <c r="C2873" s="18" t="n">
        <f aca="false">'Black-Scholes'!$B$5*EXP(('Black-Scholes'!$B$8-'Black-Scholes'!$B$10-'Black-Scholes'!$B$9^2/2)*'Black-Scholes'!$B$7+'Black-Scholes'!$B$9*SQRT('Black-Scholes'!$B$7)*B2873)</f>
        <v>106.644346724808</v>
      </c>
      <c r="D2873" s="18" t="n">
        <f aca="false">'Black-Scholes'!$B$5*EXP(('Black-Scholes'!$B$8-'Black-Scholes'!$B$10-'Black-Scholes'!$B$9^2/2)*'Black-Scholes'!$B$7-'Black-Scholes'!$B$9*SQRT('Black-Scholes'!$B$7)*B2873)</f>
        <v>99.5680107906129</v>
      </c>
      <c r="E2873" s="18" t="n">
        <f aca="false">EXP(-'Black-Scholes'!$B$8*'Black-Scholes'!$B$7)*IF(LOWER('Black-Scholes'!$B$11)="put",MAX('Black-Scholes'!$B$6-C2873,0),MAX(C2873-'Black-Scholes'!$B$6,0))</f>
        <v>6.32029811122278</v>
      </c>
      <c r="F2873" s="18" t="n">
        <f aca="false">(E2873+G2873)/2</f>
        <v>3.16014905561139</v>
      </c>
      <c r="G2873" s="18" t="n">
        <f aca="false">EXP(-'Black-Scholes'!$B$8*'Black-Scholes'!$B$7)*IF(LOWER('Black-Scholes'!$B$11)="put",MAX('Black-Scholes'!$B$6-D2873,0),MAX(D2873-'Black-Scholes'!$B$6,0))</f>
        <v>0</v>
      </c>
    </row>
    <row r="2874" customFormat="false" ht="15" hidden="false" customHeight="false" outlineLevel="0" collapsed="false">
      <c r="A2874" s="0" t="n">
        <v>2863</v>
      </c>
      <c r="B2874" s="15" t="n">
        <v>-0.269407756843444</v>
      </c>
      <c r="C2874" s="18" t="n">
        <f aca="false">'Black-Scholes'!$B$5*EXP(('Black-Scholes'!$B$8-'Black-Scholes'!$B$10-'Black-Scholes'!$B$9^2/2)*'Black-Scholes'!$B$7+'Black-Scholes'!$B$9*SQRT('Black-Scholes'!$B$7)*B2874)</f>
        <v>97.6401356312952</v>
      </c>
      <c r="D2874" s="18" t="n">
        <f aca="false">'Black-Scholes'!$B$5*EXP(('Black-Scholes'!$B$8-'Black-Scholes'!$B$10-'Black-Scholes'!$B$9^2/2)*'Black-Scholes'!$B$7-'Black-Scholes'!$B$9*SQRT('Black-Scholes'!$B$7)*B2874)</f>
        <v>108.750007328444</v>
      </c>
      <c r="E2874" s="18" t="n">
        <f aca="false">EXP(-'Black-Scholes'!$B$8*'Black-Scholes'!$B$7)*IF(LOWER('Black-Scholes'!$B$11)="put",MAX('Black-Scholes'!$B$6-C2874,0),MAX(C2874-'Black-Scholes'!$B$6,0))</f>
        <v>0</v>
      </c>
      <c r="F2874" s="18" t="n">
        <f aca="false">(E2874+G2874)/2</f>
        <v>4.16163221770631</v>
      </c>
      <c r="G2874" s="18" t="n">
        <f aca="false">EXP(-'Black-Scholes'!$B$8*'Black-Scholes'!$B$7)*IF(LOWER('Black-Scholes'!$B$11)="put",MAX('Black-Scholes'!$B$6-D2874,0),MAX(D2874-'Black-Scholes'!$B$6,0))</f>
        <v>8.32326443541263</v>
      </c>
    </row>
    <row r="2875" customFormat="false" ht="15" hidden="false" customHeight="false" outlineLevel="0" collapsed="false">
      <c r="A2875" s="0" t="n">
        <v>2864</v>
      </c>
      <c r="B2875" s="15" t="n">
        <v>1.61914135627176</v>
      </c>
      <c r="C2875" s="18" t="n">
        <f aca="false">'Black-Scholes'!$B$5*EXP(('Black-Scholes'!$B$8-'Black-Scholes'!$B$10-'Black-Scholes'!$B$9^2/2)*'Black-Scholes'!$B$7+'Black-Scholes'!$B$9*SQRT('Black-Scholes'!$B$7)*B2875)</f>
        <v>142.451053606621</v>
      </c>
      <c r="D2875" s="18" t="n">
        <f aca="false">'Black-Scholes'!$B$5*EXP(('Black-Scholes'!$B$8-'Black-Scholes'!$B$10-'Black-Scholes'!$B$9^2/2)*'Black-Scholes'!$B$7-'Black-Scholes'!$B$9*SQRT('Black-Scholes'!$B$7)*B2875)</f>
        <v>74.5404487830341</v>
      </c>
      <c r="E2875" s="18" t="n">
        <f aca="false">EXP(-'Black-Scholes'!$B$8*'Black-Scholes'!$B$7)*IF(LOWER('Black-Scholes'!$B$11)="put",MAX('Black-Scholes'!$B$6-C2875,0),MAX(C2875-'Black-Scholes'!$B$6,0))</f>
        <v>40.3806912916753</v>
      </c>
      <c r="F2875" s="18" t="n">
        <f aca="false">(E2875+G2875)/2</f>
        <v>20.1903456458377</v>
      </c>
      <c r="G2875" s="18" t="n">
        <f aca="false">EXP(-'Black-Scholes'!$B$8*'Black-Scholes'!$B$7)*IF(LOWER('Black-Scholes'!$B$11)="put",MAX('Black-Scholes'!$B$6-D2875,0),MAX(D2875-'Black-Scholes'!$B$6,0))</f>
        <v>0</v>
      </c>
    </row>
    <row r="2876" customFormat="false" ht="15" hidden="false" customHeight="false" outlineLevel="0" collapsed="false">
      <c r="A2876" s="0" t="n">
        <v>2865</v>
      </c>
      <c r="B2876" s="15" t="n">
        <v>0.00231219405606887</v>
      </c>
      <c r="C2876" s="18" t="n">
        <f aca="false">'Black-Scholes'!$B$5*EXP(('Black-Scholes'!$B$8-'Black-Scholes'!$B$10-'Black-Scholes'!$B$9^2/2)*'Black-Scholes'!$B$7+'Black-Scholes'!$B$9*SQRT('Black-Scholes'!$B$7)*B2876)</f>
        <v>103.093116632137</v>
      </c>
      <c r="D2876" s="18" t="n">
        <f aca="false">'Black-Scholes'!$B$5*EXP(('Black-Scholes'!$B$8-'Black-Scholes'!$B$10-'Black-Scholes'!$B$9^2/2)*'Black-Scholes'!$B$7-'Black-Scholes'!$B$9*SQRT('Black-Scholes'!$B$7)*B2876)</f>
        <v>102.997812194802</v>
      </c>
      <c r="E2876" s="18" t="n">
        <f aca="false">EXP(-'Black-Scholes'!$B$8*'Black-Scholes'!$B$7)*IF(LOWER('Black-Scholes'!$B$11)="put",MAX('Black-Scholes'!$B$6-C2876,0),MAX(C2876-'Black-Scholes'!$B$6,0))</f>
        <v>2.94226355390098</v>
      </c>
      <c r="F2876" s="18" t="n">
        <f aca="false">(E2876+G2876)/2</f>
        <v>2.89693536136168</v>
      </c>
      <c r="G2876" s="18" t="n">
        <f aca="false">EXP(-'Black-Scholes'!$B$8*'Black-Scholes'!$B$7)*IF(LOWER('Black-Scholes'!$B$11)="put",MAX('Black-Scholes'!$B$6-D2876,0),MAX(D2876-'Black-Scholes'!$B$6,0))</f>
        <v>2.85160716882239</v>
      </c>
    </row>
    <row r="2877" customFormat="false" ht="15" hidden="false" customHeight="false" outlineLevel="0" collapsed="false">
      <c r="A2877" s="0" t="n">
        <v>2866</v>
      </c>
      <c r="B2877" s="15" t="n">
        <v>-0.0234077596827526</v>
      </c>
      <c r="C2877" s="18" t="n">
        <f aca="false">'Black-Scholes'!$B$5*EXP(('Black-Scholes'!$B$8-'Black-Scholes'!$B$10-'Black-Scholes'!$B$9^2/2)*'Black-Scholes'!$B$7+'Black-Scholes'!$B$9*SQRT('Black-Scholes'!$B$7)*B2877)</f>
        <v>102.564168213268</v>
      </c>
      <c r="D2877" s="18" t="n">
        <f aca="false">'Black-Scholes'!$B$5*EXP(('Black-Scholes'!$B$8-'Black-Scholes'!$B$10-'Black-Scholes'!$B$9^2/2)*'Black-Scholes'!$B$7-'Black-Scholes'!$B$9*SQRT('Black-Scholes'!$B$7)*B2877)</f>
        <v>103.528997021398</v>
      </c>
      <c r="E2877" s="18" t="n">
        <f aca="false">EXP(-'Black-Scholes'!$B$8*'Black-Scholes'!$B$7)*IF(LOWER('Black-Scholes'!$B$11)="put",MAX('Black-Scholes'!$B$6-C2877,0),MAX(C2877-'Black-Scholes'!$B$6,0))</f>
        <v>2.43911225383008</v>
      </c>
      <c r="F2877" s="18" t="n">
        <f aca="false">(E2877+G2877)/2</f>
        <v>2.8979990297796</v>
      </c>
      <c r="G2877" s="18" t="n">
        <f aca="false">EXP(-'Black-Scholes'!$B$8*'Black-Scholes'!$B$7)*IF(LOWER('Black-Scholes'!$B$11)="put",MAX('Black-Scholes'!$B$6-D2877,0),MAX(D2877-'Black-Scholes'!$B$6,0))</f>
        <v>3.35688580572911</v>
      </c>
    </row>
    <row r="2878" customFormat="false" ht="15" hidden="false" customHeight="false" outlineLevel="0" collapsed="false">
      <c r="A2878" s="0" t="n">
        <v>2867</v>
      </c>
      <c r="B2878" s="15" t="n">
        <v>1.05750195733401</v>
      </c>
      <c r="C2878" s="18" t="n">
        <f aca="false">'Black-Scholes'!$B$5*EXP(('Black-Scholes'!$B$8-'Black-Scholes'!$B$10-'Black-Scholes'!$B$9^2/2)*'Black-Scholes'!$B$7+'Black-Scholes'!$B$9*SQRT('Black-Scholes'!$B$7)*B2878)</f>
        <v>127.31579533165</v>
      </c>
      <c r="D2878" s="18" t="n">
        <f aca="false">'Black-Scholes'!$B$5*EXP(('Black-Scholes'!$B$8-'Black-Scholes'!$B$10-'Black-Scholes'!$B$9^2/2)*'Black-Scholes'!$B$7-'Black-Scholes'!$B$9*SQRT('Black-Scholes'!$B$7)*B2878)</f>
        <v>83.4017918813088</v>
      </c>
      <c r="E2878" s="18" t="n">
        <f aca="false">EXP(-'Black-Scholes'!$B$8*'Black-Scholes'!$B$7)*IF(LOWER('Black-Scholes'!$B$11)="put",MAX('Black-Scholes'!$B$6-C2878,0),MAX(C2878-'Black-Scholes'!$B$6,0))</f>
        <v>25.9835882731049</v>
      </c>
      <c r="F2878" s="18" t="n">
        <f aca="false">(E2878+G2878)/2</f>
        <v>12.9917941365524</v>
      </c>
      <c r="G2878" s="18" t="n">
        <f aca="false">EXP(-'Black-Scholes'!$B$8*'Black-Scholes'!$B$7)*IF(LOWER('Black-Scholes'!$B$11)="put",MAX('Black-Scholes'!$B$6-D2878,0),MAX(D2878-'Black-Scholes'!$B$6,0))</f>
        <v>0</v>
      </c>
    </row>
    <row r="2879" customFormat="false" ht="15" hidden="false" customHeight="false" outlineLevel="0" collapsed="false">
      <c r="A2879" s="0" t="n">
        <v>2868</v>
      </c>
      <c r="B2879" s="15" t="n">
        <v>0.73605098914529</v>
      </c>
      <c r="C2879" s="18" t="n">
        <f aca="false">'Black-Scholes'!$B$5*EXP(('Black-Scholes'!$B$8-'Black-Scholes'!$B$10-'Black-Scholes'!$B$9^2/2)*'Black-Scholes'!$B$7+'Black-Scholes'!$B$9*SQRT('Black-Scholes'!$B$7)*B2879)</f>
        <v>119.388201816264</v>
      </c>
      <c r="D2879" s="18" t="n">
        <f aca="false">'Black-Scholes'!$B$5*EXP(('Black-Scholes'!$B$8-'Black-Scholes'!$B$10-'Black-Scholes'!$B$9^2/2)*'Black-Scholes'!$B$7-'Black-Scholes'!$B$9*SQRT('Black-Scholes'!$B$7)*B2879)</f>
        <v>88.9398223937997</v>
      </c>
      <c r="E2879" s="18" t="n">
        <f aca="false">EXP(-'Black-Scholes'!$B$8*'Black-Scholes'!$B$7)*IF(LOWER('Black-Scholes'!$B$11)="put",MAX('Black-Scholes'!$B$6-C2879,0),MAX(C2879-'Black-Scholes'!$B$6,0))</f>
        <v>18.4426280557881</v>
      </c>
      <c r="F2879" s="18" t="n">
        <f aca="false">(E2879+G2879)/2</f>
        <v>9.22131402789403</v>
      </c>
      <c r="G2879" s="18" t="n">
        <f aca="false">EXP(-'Black-Scholes'!$B$8*'Black-Scholes'!$B$7)*IF(LOWER('Black-Scholes'!$B$11)="put",MAX('Black-Scholes'!$B$6-D2879,0),MAX(D2879-'Black-Scholes'!$B$6,0))</f>
        <v>0</v>
      </c>
    </row>
    <row r="2880" customFormat="false" ht="15" hidden="false" customHeight="false" outlineLevel="0" collapsed="false">
      <c r="A2880" s="0" t="n">
        <v>2869</v>
      </c>
      <c r="B2880" s="15" t="n">
        <v>-0.0758178796991867</v>
      </c>
      <c r="C2880" s="18" t="n">
        <f aca="false">'Black-Scholes'!$B$5*EXP(('Black-Scholes'!$B$8-'Black-Scholes'!$B$10-'Black-Scholes'!$B$9^2/2)*'Black-Scholes'!$B$7+'Black-Scholes'!$B$9*SQRT('Black-Scholes'!$B$7)*B2880)</f>
        <v>101.494703012213</v>
      </c>
      <c r="D2880" s="18" t="n">
        <f aca="false">'Black-Scholes'!$B$5*EXP(('Black-Scholes'!$B$8-'Black-Scholes'!$B$10-'Black-Scholes'!$B$9^2/2)*'Black-Scholes'!$B$7-'Black-Scholes'!$B$9*SQRT('Black-Scholes'!$B$7)*B2880)</f>
        <v>104.619897889409</v>
      </c>
      <c r="E2880" s="18" t="n">
        <f aca="false">EXP(-'Black-Scholes'!$B$8*'Black-Scholes'!$B$7)*IF(LOWER('Black-Scholes'!$B$11)="put",MAX('Black-Scholes'!$B$6-C2880,0),MAX(C2880-'Black-Scholes'!$B$6,0))</f>
        <v>1.42180548610663</v>
      </c>
      <c r="F2880" s="18" t="n">
        <f aca="false">(E2880+G2880)/2</f>
        <v>2.90819414835063</v>
      </c>
      <c r="G2880" s="18" t="n">
        <f aca="false">EXP(-'Black-Scholes'!$B$8*'Black-Scholes'!$B$7)*IF(LOWER('Black-Scholes'!$B$11)="put",MAX('Black-Scholes'!$B$6-D2880,0),MAX(D2880-'Black-Scholes'!$B$6,0))</f>
        <v>4.39458281059463</v>
      </c>
    </row>
    <row r="2881" customFormat="false" ht="15" hidden="false" customHeight="false" outlineLevel="0" collapsed="false">
      <c r="A2881" s="0" t="n">
        <v>2870</v>
      </c>
      <c r="B2881" s="15" t="n">
        <v>0.490905298843177</v>
      </c>
      <c r="C2881" s="18" t="n">
        <f aca="false">'Black-Scholes'!$B$5*EXP(('Black-Scholes'!$B$8-'Black-Scholes'!$B$10-'Black-Scholes'!$B$9^2/2)*'Black-Scholes'!$B$7+'Black-Scholes'!$B$9*SQRT('Black-Scholes'!$B$7)*B2881)</f>
        <v>113.67588053515</v>
      </c>
      <c r="D2881" s="18" t="n">
        <f aca="false">'Black-Scholes'!$B$5*EXP(('Black-Scholes'!$B$8-'Black-Scholes'!$B$10-'Black-Scholes'!$B$9^2/2)*'Black-Scholes'!$B$7-'Black-Scholes'!$B$9*SQRT('Black-Scholes'!$B$7)*B2881)</f>
        <v>93.4091331904861</v>
      </c>
      <c r="E2881" s="18" t="n">
        <f aca="false">EXP(-'Black-Scholes'!$B$8*'Black-Scholes'!$B$7)*IF(LOWER('Black-Scholes'!$B$11)="put",MAX('Black-Scholes'!$B$6-C2881,0),MAX(C2881-'Black-Scholes'!$B$6,0))</f>
        <v>13.0088999709911</v>
      </c>
      <c r="F2881" s="18" t="n">
        <f aca="false">(E2881+G2881)/2</f>
        <v>6.50444998549557</v>
      </c>
      <c r="G2881" s="18" t="n">
        <f aca="false">EXP(-'Black-Scholes'!$B$8*'Black-Scholes'!$B$7)*IF(LOWER('Black-Scholes'!$B$11)="put",MAX('Black-Scholes'!$B$6-D2881,0),MAX(D2881-'Black-Scholes'!$B$6,0))</f>
        <v>0</v>
      </c>
    </row>
    <row r="2882" customFormat="false" ht="15" hidden="false" customHeight="false" outlineLevel="0" collapsed="false">
      <c r="A2882" s="0" t="n">
        <v>2871</v>
      </c>
      <c r="B2882" s="15" t="n">
        <v>0.964547280206963</v>
      </c>
      <c r="C2882" s="18" t="n">
        <f aca="false">'Black-Scholes'!$B$5*EXP(('Black-Scholes'!$B$8-'Black-Scholes'!$B$10-'Black-Scholes'!$B$9^2/2)*'Black-Scholes'!$B$7+'Black-Scholes'!$B$9*SQRT('Black-Scholes'!$B$7)*B2882)</f>
        <v>124.970741515668</v>
      </c>
      <c r="D2882" s="18" t="n">
        <f aca="false">'Black-Scholes'!$B$5*EXP(('Black-Scholes'!$B$8-'Black-Scholes'!$B$10-'Black-Scholes'!$B$9^2/2)*'Black-Scholes'!$B$7-'Black-Scholes'!$B$9*SQRT('Black-Scholes'!$B$7)*B2882)</f>
        <v>84.9668117246655</v>
      </c>
      <c r="E2882" s="18" t="n">
        <f aca="false">EXP(-'Black-Scholes'!$B$8*'Black-Scholes'!$B$7)*IF(LOWER('Black-Scholes'!$B$11)="put",MAX('Black-Scholes'!$B$6-C2882,0),MAX(C2882-'Black-Scholes'!$B$6,0))</f>
        <v>23.7529040813049</v>
      </c>
      <c r="F2882" s="18" t="n">
        <f aca="false">(E2882+G2882)/2</f>
        <v>11.8764520406524</v>
      </c>
      <c r="G2882" s="18" t="n">
        <f aca="false">EXP(-'Black-Scholes'!$B$8*'Black-Scholes'!$B$7)*IF(LOWER('Black-Scholes'!$B$11)="put",MAX('Black-Scholes'!$B$6-D2882,0),MAX(D2882-'Black-Scholes'!$B$6,0))</f>
        <v>0</v>
      </c>
    </row>
    <row r="2883" customFormat="false" ht="15" hidden="false" customHeight="false" outlineLevel="0" collapsed="false">
      <c r="A2883" s="0" t="n">
        <v>2872</v>
      </c>
      <c r="B2883" s="15" t="n">
        <v>0.391273294191459</v>
      </c>
      <c r="C2883" s="18" t="n">
        <f aca="false">'Black-Scholes'!$B$5*EXP(('Black-Scholes'!$B$8-'Black-Scholes'!$B$10-'Black-Scholes'!$B$9^2/2)*'Black-Scholes'!$B$7+'Black-Scholes'!$B$9*SQRT('Black-Scholes'!$B$7)*B2883)</f>
        <v>111.43314836178</v>
      </c>
      <c r="D2883" s="18" t="n">
        <f aca="false">'Black-Scholes'!$B$5*EXP(('Black-Scholes'!$B$8-'Black-Scholes'!$B$10-'Black-Scholes'!$B$9^2/2)*'Black-Scholes'!$B$7-'Black-Scholes'!$B$9*SQRT('Black-Scholes'!$B$7)*B2883)</f>
        <v>95.2891094037826</v>
      </c>
      <c r="E2883" s="18" t="n">
        <f aca="false">EXP(-'Black-Scholes'!$B$8*'Black-Scholes'!$B$7)*IF(LOWER('Black-Scholes'!$B$11)="put",MAX('Black-Scholes'!$B$6-C2883,0),MAX(C2883-'Black-Scholes'!$B$6,0))</f>
        <v>10.8755471364073</v>
      </c>
      <c r="F2883" s="18" t="n">
        <f aca="false">(E2883+G2883)/2</f>
        <v>5.43777356820365</v>
      </c>
      <c r="G2883" s="18" t="n">
        <f aca="false">EXP(-'Black-Scholes'!$B$8*'Black-Scholes'!$B$7)*IF(LOWER('Black-Scholes'!$B$11)="put",MAX('Black-Scholes'!$B$6-D2883,0),MAX(D2883-'Black-Scholes'!$B$6,0))</f>
        <v>0</v>
      </c>
    </row>
    <row r="2884" customFormat="false" ht="15" hidden="false" customHeight="false" outlineLevel="0" collapsed="false">
      <c r="A2884" s="0" t="n">
        <v>2873</v>
      </c>
      <c r="B2884" s="15" t="n">
        <v>-0.608615098267932</v>
      </c>
      <c r="C2884" s="18" t="n">
        <f aca="false">'Black-Scholes'!$B$5*EXP(('Black-Scholes'!$B$8-'Black-Scholes'!$B$10-'Black-Scholes'!$B$9^2/2)*'Black-Scholes'!$B$7+'Black-Scholes'!$B$9*SQRT('Black-Scholes'!$B$7)*B2884)</f>
        <v>91.23578197361</v>
      </c>
      <c r="D2884" s="18" t="n">
        <f aca="false">'Black-Scholes'!$B$5*EXP(('Black-Scholes'!$B$8-'Black-Scholes'!$B$10-'Black-Scholes'!$B$9^2/2)*'Black-Scholes'!$B$7-'Black-Scholes'!$B$9*SQRT('Black-Scholes'!$B$7)*B2884)</f>
        <v>116.383783157851</v>
      </c>
      <c r="E2884" s="18" t="n">
        <f aca="false">EXP(-'Black-Scholes'!$B$8*'Black-Scholes'!$B$7)*IF(LOWER('Black-Scholes'!$B$11)="put",MAX('Black-Scholes'!$B$6-C2884,0),MAX(C2884-'Black-Scholes'!$B$6,0))</f>
        <v>0</v>
      </c>
      <c r="F2884" s="18" t="n">
        <f aca="false">(E2884+G2884)/2</f>
        <v>7.79236831219353</v>
      </c>
      <c r="G2884" s="18" t="n">
        <f aca="false">EXP(-'Black-Scholes'!$B$8*'Black-Scholes'!$B$7)*IF(LOWER('Black-Scholes'!$B$11)="put",MAX('Black-Scholes'!$B$6-D2884,0),MAX(D2884-'Black-Scholes'!$B$6,0))</f>
        <v>15.5847366243871</v>
      </c>
    </row>
    <row r="2885" customFormat="false" ht="15" hidden="false" customHeight="false" outlineLevel="0" collapsed="false">
      <c r="A2885" s="0" t="n">
        <v>2874</v>
      </c>
      <c r="B2885" s="15" t="n">
        <v>-0.0298409222188865</v>
      </c>
      <c r="C2885" s="18" t="n">
        <f aca="false">'Black-Scholes'!$B$5*EXP(('Black-Scholes'!$B$8-'Black-Scholes'!$B$10-'Black-Scholes'!$B$9^2/2)*'Black-Scholes'!$B$7+'Black-Scholes'!$B$9*SQRT('Black-Scholes'!$B$7)*B2885)</f>
        <v>102.432290677523</v>
      </c>
      <c r="D2885" s="18" t="n">
        <f aca="false">'Black-Scholes'!$B$5*EXP(('Black-Scholes'!$B$8-'Black-Scholes'!$B$10-'Black-Scholes'!$B$9^2/2)*'Black-Scholes'!$B$7-'Black-Scholes'!$B$9*SQRT('Black-Scholes'!$B$7)*B2885)</f>
        <v>103.662286523322</v>
      </c>
      <c r="E2885" s="18" t="n">
        <f aca="false">EXP(-'Black-Scholes'!$B$8*'Black-Scholes'!$B$7)*IF(LOWER('Black-Scholes'!$B$11)="put",MAX('Black-Scholes'!$B$6-C2885,0),MAX(C2885-'Black-Scholes'!$B$6,0))</f>
        <v>2.31366646139893</v>
      </c>
      <c r="F2885" s="18" t="n">
        <f aca="false">(E2885+G2885)/2</f>
        <v>2.89867058166749</v>
      </c>
      <c r="G2885" s="18" t="n">
        <f aca="false">EXP(-'Black-Scholes'!$B$8*'Black-Scholes'!$B$7)*IF(LOWER('Black-Scholes'!$B$11)="put",MAX('Black-Scholes'!$B$6-D2885,0),MAX(D2885-'Black-Scholes'!$B$6,0))</f>
        <v>3.48367470193606</v>
      </c>
    </row>
    <row r="2886" customFormat="false" ht="15" hidden="false" customHeight="false" outlineLevel="0" collapsed="false">
      <c r="A2886" s="0" t="n">
        <v>2875</v>
      </c>
      <c r="B2886" s="15" t="n">
        <v>-0.79901733928084</v>
      </c>
      <c r="C2886" s="18" t="n">
        <f aca="false">'Black-Scholes'!$B$5*EXP(('Black-Scholes'!$B$8-'Black-Scholes'!$B$10-'Black-Scholes'!$B$9^2/2)*'Black-Scholes'!$B$7+'Black-Scholes'!$B$9*SQRT('Black-Scholes'!$B$7)*B2886)</f>
        <v>87.8268021857367</v>
      </c>
      <c r="D2886" s="18" t="n">
        <f aca="false">'Black-Scholes'!$B$5*EXP(('Black-Scholes'!$B$8-'Black-Scholes'!$B$10-'Black-Scholes'!$B$9^2/2)*'Black-Scholes'!$B$7-'Black-Scholes'!$B$9*SQRT('Black-Scholes'!$B$7)*B2886)</f>
        <v>120.901196459343</v>
      </c>
      <c r="E2886" s="18" t="n">
        <f aca="false">EXP(-'Black-Scholes'!$B$8*'Black-Scholes'!$B$7)*IF(LOWER('Black-Scholes'!$B$11)="put",MAX('Black-Scholes'!$B$6-C2886,0),MAX(C2886-'Black-Scholes'!$B$6,0))</f>
        <v>0</v>
      </c>
      <c r="F2886" s="18" t="n">
        <f aca="false">(E2886+G2886)/2</f>
        <v>9.94091653969853</v>
      </c>
      <c r="G2886" s="18" t="n">
        <f aca="false">EXP(-'Black-Scholes'!$B$8*'Black-Scholes'!$B$7)*IF(LOWER('Black-Scholes'!$B$11)="put",MAX('Black-Scholes'!$B$6-D2886,0),MAX(D2886-'Black-Scholes'!$B$6,0))</f>
        <v>19.8818330793971</v>
      </c>
    </row>
    <row r="2887" customFormat="false" ht="15" hidden="false" customHeight="false" outlineLevel="0" collapsed="false">
      <c r="A2887" s="0" t="n">
        <v>2876</v>
      </c>
      <c r="B2887" s="15" t="n">
        <v>0.483428053013814</v>
      </c>
      <c r="C2887" s="18" t="n">
        <f aca="false">'Black-Scholes'!$B$5*EXP(('Black-Scholes'!$B$8-'Black-Scholes'!$B$10-'Black-Scholes'!$B$9^2/2)*'Black-Scholes'!$B$7+'Black-Scholes'!$B$9*SQRT('Black-Scholes'!$B$7)*B2887)</f>
        <v>113.506011081648</v>
      </c>
      <c r="D2887" s="18" t="n">
        <f aca="false">'Black-Scholes'!$B$5*EXP(('Black-Scholes'!$B$8-'Black-Scholes'!$B$10-'Black-Scholes'!$B$9^2/2)*'Black-Scholes'!$B$7-'Black-Scholes'!$B$9*SQRT('Black-Scholes'!$B$7)*B2887)</f>
        <v>93.5489263014939</v>
      </c>
      <c r="E2887" s="18" t="n">
        <f aca="false">EXP(-'Black-Scholes'!$B$8*'Black-Scholes'!$B$7)*IF(LOWER('Black-Scholes'!$B$11)="put",MAX('Black-Scholes'!$B$6-C2887,0),MAX(C2887-'Black-Scholes'!$B$6,0))</f>
        <v>12.8473151484959</v>
      </c>
      <c r="F2887" s="18" t="n">
        <f aca="false">(E2887+G2887)/2</f>
        <v>6.42365757424794</v>
      </c>
      <c r="G2887" s="18" t="n">
        <f aca="false">EXP(-'Black-Scholes'!$B$8*'Black-Scholes'!$B$7)*IF(LOWER('Black-Scholes'!$B$11)="put",MAX('Black-Scholes'!$B$6-D2887,0),MAX(D2887-'Black-Scholes'!$B$6,0))</f>
        <v>0</v>
      </c>
    </row>
    <row r="2888" customFormat="false" ht="15" hidden="false" customHeight="false" outlineLevel="0" collapsed="false">
      <c r="A2888" s="0" t="n">
        <v>2877</v>
      </c>
      <c r="B2888" s="15" t="n">
        <v>-0.712920942809892</v>
      </c>
      <c r="C2888" s="18" t="n">
        <f aca="false">'Black-Scholes'!$B$5*EXP(('Black-Scholes'!$B$8-'Black-Scholes'!$B$10-'Black-Scholes'!$B$9^2/2)*'Black-Scholes'!$B$7+'Black-Scholes'!$B$9*SQRT('Black-Scholes'!$B$7)*B2888)</f>
        <v>89.3522119599567</v>
      </c>
      <c r="D2888" s="18" t="n">
        <f aca="false">'Black-Scholes'!$B$5*EXP(('Black-Scholes'!$B$8-'Black-Scholes'!$B$10-'Black-Scholes'!$B$9^2/2)*'Black-Scholes'!$B$7-'Black-Scholes'!$B$9*SQRT('Black-Scholes'!$B$7)*B2888)</f>
        <v>118.837186372199</v>
      </c>
      <c r="E2888" s="18" t="n">
        <f aca="false">EXP(-'Black-Scholes'!$B$8*'Black-Scholes'!$B$7)*IF(LOWER('Black-Scholes'!$B$11)="put",MAX('Black-Scholes'!$B$6-C2888,0),MAX(C2888-'Black-Scholes'!$B$6,0))</f>
        <v>0</v>
      </c>
      <c r="F2888" s="18" t="n">
        <f aca="false">(E2888+G2888)/2</f>
        <v>8.95924297601972</v>
      </c>
      <c r="G2888" s="18" t="n">
        <f aca="false">EXP(-'Black-Scholes'!$B$8*'Black-Scholes'!$B$7)*IF(LOWER('Black-Scholes'!$B$11)="put",MAX('Black-Scholes'!$B$6-D2888,0),MAX(D2888-'Black-Scholes'!$B$6,0))</f>
        <v>17.9184859520394</v>
      </c>
    </row>
    <row r="2889" customFormat="false" ht="15" hidden="false" customHeight="false" outlineLevel="0" collapsed="false">
      <c r="A2889" s="0" t="n">
        <v>2878</v>
      </c>
      <c r="B2889" s="15" t="n">
        <v>-0.80837995996003</v>
      </c>
      <c r="C2889" s="18" t="n">
        <f aca="false">'Black-Scholes'!$B$5*EXP(('Black-Scholes'!$B$8-'Black-Scholes'!$B$10-'Black-Scholes'!$B$9^2/2)*'Black-Scholes'!$B$7+'Black-Scholes'!$B$9*SQRT('Black-Scholes'!$B$7)*B2889)</f>
        <v>87.6624982584141</v>
      </c>
      <c r="D2889" s="18" t="n">
        <f aca="false">'Black-Scholes'!$B$5*EXP(('Black-Scholes'!$B$8-'Black-Scholes'!$B$10-'Black-Scholes'!$B$9^2/2)*'Black-Scholes'!$B$7-'Black-Scholes'!$B$9*SQRT('Black-Scholes'!$B$7)*B2889)</f>
        <v>121.127798960879</v>
      </c>
      <c r="E2889" s="18" t="n">
        <f aca="false">EXP(-'Black-Scholes'!$B$8*'Black-Scholes'!$B$7)*IF(LOWER('Black-Scholes'!$B$11)="put",MAX('Black-Scholes'!$B$6-C2889,0),MAX(C2889-'Black-Scholes'!$B$6,0))</f>
        <v>0</v>
      </c>
      <c r="F2889" s="18" t="n">
        <f aca="false">(E2889+G2889)/2</f>
        <v>10.0486920232619</v>
      </c>
      <c r="G2889" s="18" t="n">
        <f aca="false">EXP(-'Black-Scholes'!$B$8*'Black-Scholes'!$B$7)*IF(LOWER('Black-Scholes'!$B$11)="put",MAX('Black-Scholes'!$B$6-D2889,0),MAX(D2889-'Black-Scholes'!$B$6,0))</f>
        <v>20.0973840465238</v>
      </c>
    </row>
    <row r="2890" customFormat="false" ht="15" hidden="false" customHeight="false" outlineLevel="0" collapsed="false">
      <c r="A2890" s="0" t="n">
        <v>2879</v>
      </c>
      <c r="B2890" s="15" t="n">
        <v>2.21564383751825</v>
      </c>
      <c r="C2890" s="18" t="n">
        <f aca="false">'Black-Scholes'!$B$5*EXP(('Black-Scholes'!$B$8-'Black-Scholes'!$B$10-'Black-Scholes'!$B$9^2/2)*'Black-Scholes'!$B$7+'Black-Scholes'!$B$9*SQRT('Black-Scholes'!$B$7)*B2890)</f>
        <v>160.500804254943</v>
      </c>
      <c r="D2890" s="18" t="n">
        <f aca="false">'Black-Scholes'!$B$5*EXP(('Black-Scholes'!$B$8-'Black-Scholes'!$B$10-'Black-Scholes'!$B$9^2/2)*'Black-Scholes'!$B$7-'Black-Scholes'!$B$9*SQRT('Black-Scholes'!$B$7)*B2890)</f>
        <v>66.1577087712729</v>
      </c>
      <c r="E2890" s="18" t="n">
        <f aca="false">EXP(-'Black-Scholes'!$B$8*'Black-Scholes'!$B$7)*IF(LOWER('Black-Scholes'!$B$11)="put",MAX('Black-Scholes'!$B$6-C2890,0),MAX(C2890-'Black-Scholes'!$B$6,0))</f>
        <v>57.5501452132598</v>
      </c>
      <c r="F2890" s="18" t="n">
        <f aca="false">(E2890+G2890)/2</f>
        <v>28.7750726066299</v>
      </c>
      <c r="G2890" s="18" t="n">
        <f aca="false">EXP(-'Black-Scholes'!$B$8*'Black-Scholes'!$B$7)*IF(LOWER('Black-Scholes'!$B$11)="put",MAX('Black-Scholes'!$B$6-D2890,0),MAX(D2890-'Black-Scholes'!$B$6,0))</f>
        <v>0</v>
      </c>
    </row>
    <row r="2891" customFormat="false" ht="15" hidden="false" customHeight="false" outlineLevel="0" collapsed="false">
      <c r="A2891" s="0" t="n">
        <v>2880</v>
      </c>
      <c r="B2891" s="15" t="n">
        <v>-1.01281102748135</v>
      </c>
      <c r="C2891" s="18" t="n">
        <f aca="false">'Black-Scholes'!$B$5*EXP(('Black-Scholes'!$B$8-'Black-Scholes'!$B$10-'Black-Scholes'!$B$9^2/2)*'Black-Scholes'!$B$7+'Black-Scholes'!$B$9*SQRT('Black-Scholes'!$B$7)*B2891)</f>
        <v>84.1505940888959</v>
      </c>
      <c r="D2891" s="18" t="n">
        <f aca="false">'Black-Scholes'!$B$5*EXP(('Black-Scholes'!$B$8-'Black-Scholes'!$B$10-'Black-Scholes'!$B$9^2/2)*'Black-Scholes'!$B$7-'Black-Scholes'!$B$9*SQRT('Black-Scholes'!$B$7)*B2891)</f>
        <v>126.182893661291</v>
      </c>
      <c r="E2891" s="18" t="n">
        <f aca="false">EXP(-'Black-Scholes'!$B$8*'Black-Scholes'!$B$7)*IF(LOWER('Black-Scholes'!$B$11)="put",MAX('Black-Scholes'!$B$6-C2891,0),MAX(C2891-'Black-Scholes'!$B$6,0))</f>
        <v>0</v>
      </c>
      <c r="F2891" s="18" t="n">
        <f aca="false">(E2891+G2891)/2</f>
        <v>12.4529694345965</v>
      </c>
      <c r="G2891" s="18" t="n">
        <f aca="false">EXP(-'Black-Scholes'!$B$8*'Black-Scholes'!$B$7)*IF(LOWER('Black-Scholes'!$B$11)="put",MAX('Black-Scholes'!$B$6-D2891,0),MAX(D2891-'Black-Scholes'!$B$6,0))</f>
        <v>24.905938869193</v>
      </c>
    </row>
    <row r="2892" customFormat="false" ht="15" hidden="false" customHeight="false" outlineLevel="0" collapsed="false">
      <c r="A2892" s="0" t="n">
        <v>2881</v>
      </c>
      <c r="B2892" s="15" t="n">
        <v>0.728340648719542</v>
      </c>
      <c r="C2892" s="18" t="n">
        <f aca="false">'Black-Scholes'!$B$5*EXP(('Black-Scholes'!$B$8-'Black-Scholes'!$B$10-'Black-Scholes'!$B$9^2/2)*'Black-Scholes'!$B$7+'Black-Scholes'!$B$9*SQRT('Black-Scholes'!$B$7)*B2892)</f>
        <v>119.20423895858</v>
      </c>
      <c r="D2892" s="18" t="n">
        <f aca="false">'Black-Scholes'!$B$5*EXP(('Black-Scholes'!$B$8-'Black-Scholes'!$B$10-'Black-Scholes'!$B$9^2/2)*'Black-Scholes'!$B$7-'Black-Scholes'!$B$9*SQRT('Black-Scholes'!$B$7)*B2892)</f>
        <v>89.0770794580818</v>
      </c>
      <c r="E2892" s="18" t="n">
        <f aca="false">EXP(-'Black-Scholes'!$B$8*'Black-Scholes'!$B$7)*IF(LOWER('Black-Scholes'!$B$11)="put",MAX('Black-Scholes'!$B$6-C2892,0),MAX(C2892-'Black-Scholes'!$B$6,0))</f>
        <v>18.2676371725443</v>
      </c>
      <c r="F2892" s="18" t="n">
        <f aca="false">(E2892+G2892)/2</f>
        <v>9.13381858627213</v>
      </c>
      <c r="G2892" s="18" t="n">
        <f aca="false">EXP(-'Black-Scholes'!$B$8*'Black-Scholes'!$B$7)*IF(LOWER('Black-Scholes'!$B$11)="put",MAX('Black-Scholes'!$B$6-D2892,0),MAX(D2892-'Black-Scholes'!$B$6,0))</f>
        <v>0</v>
      </c>
    </row>
    <row r="2893" customFormat="false" ht="15" hidden="false" customHeight="false" outlineLevel="0" collapsed="false">
      <c r="A2893" s="0" t="n">
        <v>2882</v>
      </c>
      <c r="B2893" s="15" t="n">
        <v>0.101746826553541</v>
      </c>
      <c r="C2893" s="18" t="n">
        <f aca="false">'Black-Scholes'!$B$5*EXP(('Black-Scholes'!$B$8-'Black-Scholes'!$B$10-'Black-Scholes'!$B$9^2/2)*'Black-Scholes'!$B$7+'Black-Scholes'!$B$9*SQRT('Black-Scholes'!$B$7)*B2893)</f>
        <v>105.163843819376</v>
      </c>
      <c r="D2893" s="18" t="n">
        <f aca="false">'Black-Scholes'!$B$5*EXP(('Black-Scholes'!$B$8-'Black-Scholes'!$B$10-'Black-Scholes'!$B$9^2/2)*'Black-Scholes'!$B$7-'Black-Scholes'!$B$9*SQRT('Black-Scholes'!$B$7)*B2893)</f>
        <v>100.969735222794</v>
      </c>
      <c r="E2893" s="18" t="n">
        <f aca="false">EXP(-'Black-Scholes'!$B$8*'Black-Scholes'!$B$7)*IF(LOWER('Black-Scholes'!$B$11)="put",MAX('Black-Scholes'!$B$6-C2893,0),MAX(C2893-'Black-Scholes'!$B$6,0))</f>
        <v>4.91200018451621</v>
      </c>
      <c r="F2893" s="18" t="n">
        <f aca="false">(E2893+G2893)/2</f>
        <v>2.91722043120622</v>
      </c>
      <c r="G2893" s="18" t="n">
        <f aca="false">EXP(-'Black-Scholes'!$B$8*'Black-Scholes'!$B$7)*IF(LOWER('Black-Scholes'!$B$11)="put",MAX('Black-Scholes'!$B$6-D2893,0),MAX(D2893-'Black-Scholes'!$B$6,0))</f>
        <v>0.922440677896233</v>
      </c>
    </row>
    <row r="2894" customFormat="false" ht="15" hidden="false" customHeight="false" outlineLevel="0" collapsed="false">
      <c r="A2894" s="0" t="n">
        <v>2883</v>
      </c>
      <c r="B2894" s="15" t="n">
        <v>-0.791699922172087</v>
      </c>
      <c r="C2894" s="18" t="n">
        <f aca="false">'Black-Scholes'!$B$5*EXP(('Black-Scholes'!$B$8-'Black-Scholes'!$B$10-'Black-Scholes'!$B$9^2/2)*'Black-Scholes'!$B$7+'Black-Scholes'!$B$9*SQRT('Black-Scholes'!$B$7)*B2894)</f>
        <v>87.9554293536272</v>
      </c>
      <c r="D2894" s="18" t="n">
        <f aca="false">'Black-Scholes'!$B$5*EXP(('Black-Scholes'!$B$8-'Black-Scholes'!$B$10-'Black-Scholes'!$B$9^2/2)*'Black-Scholes'!$B$7-'Black-Scholes'!$B$9*SQRT('Black-Scholes'!$B$7)*B2894)</f>
        <v>120.724388971625</v>
      </c>
      <c r="E2894" s="18" t="n">
        <f aca="false">EXP(-'Black-Scholes'!$B$8*'Black-Scholes'!$B$7)*IF(LOWER('Black-Scholes'!$B$11)="put",MAX('Black-Scholes'!$B$6-C2894,0),MAX(C2894-'Black-Scholes'!$B$6,0))</f>
        <v>0</v>
      </c>
      <c r="F2894" s="18" t="n">
        <f aca="false">(E2894+G2894)/2</f>
        <v>9.85682429730404</v>
      </c>
      <c r="G2894" s="18" t="n">
        <f aca="false">EXP(-'Black-Scholes'!$B$8*'Black-Scholes'!$B$7)*IF(LOWER('Black-Scholes'!$B$11)="put",MAX('Black-Scholes'!$B$6-D2894,0),MAX(D2894-'Black-Scholes'!$B$6,0))</f>
        <v>19.7136485946081</v>
      </c>
    </row>
    <row r="2895" customFormat="false" ht="15" hidden="false" customHeight="false" outlineLevel="0" collapsed="false">
      <c r="A2895" s="0" t="n">
        <v>2884</v>
      </c>
      <c r="B2895" s="15" t="n">
        <v>1.48921879258137</v>
      </c>
      <c r="C2895" s="18" t="n">
        <f aca="false">'Black-Scholes'!$B$5*EXP(('Black-Scholes'!$B$8-'Black-Scholes'!$B$10-'Black-Scholes'!$B$9^2/2)*'Black-Scholes'!$B$7+'Black-Scholes'!$B$9*SQRT('Black-Scholes'!$B$7)*B2895)</f>
        <v>138.797209652763</v>
      </c>
      <c r="D2895" s="18" t="n">
        <f aca="false">'Black-Scholes'!$B$5*EXP(('Black-Scholes'!$B$8-'Black-Scholes'!$B$10-'Black-Scholes'!$B$9^2/2)*'Black-Scholes'!$B$7-'Black-Scholes'!$B$9*SQRT('Black-Scholes'!$B$7)*B2895)</f>
        <v>76.5027300766219</v>
      </c>
      <c r="E2895" s="18" t="n">
        <f aca="false">EXP(-'Black-Scholes'!$B$8*'Black-Scholes'!$B$7)*IF(LOWER('Black-Scholes'!$B$11)="put",MAX('Black-Scholes'!$B$6-C2895,0),MAX(C2895-'Black-Scholes'!$B$6,0))</f>
        <v>36.9050474102309</v>
      </c>
      <c r="F2895" s="18" t="n">
        <f aca="false">(E2895+G2895)/2</f>
        <v>18.4525237051154</v>
      </c>
      <c r="G2895" s="18" t="n">
        <f aca="false">EXP(-'Black-Scholes'!$B$8*'Black-Scholes'!$B$7)*IF(LOWER('Black-Scholes'!$B$11)="put",MAX('Black-Scholes'!$B$6-D2895,0),MAX(D2895-'Black-Scholes'!$B$6,0))</f>
        <v>0</v>
      </c>
    </row>
    <row r="2896" customFormat="false" ht="15" hidden="false" customHeight="false" outlineLevel="0" collapsed="false">
      <c r="A2896" s="0" t="n">
        <v>2885</v>
      </c>
      <c r="B2896" s="15" t="n">
        <v>1.0511219463741</v>
      </c>
      <c r="C2896" s="18" t="n">
        <f aca="false">'Black-Scholes'!$B$5*EXP(('Black-Scholes'!$B$8-'Black-Scholes'!$B$10-'Black-Scholes'!$B$9^2/2)*'Black-Scholes'!$B$7+'Black-Scholes'!$B$9*SQRT('Black-Scholes'!$B$7)*B2896)</f>
        <v>127.15344370028</v>
      </c>
      <c r="D2896" s="18" t="n">
        <f aca="false">'Black-Scholes'!$B$5*EXP(('Black-Scholes'!$B$8-'Black-Scholes'!$B$10-'Black-Scholes'!$B$9^2/2)*'Black-Scholes'!$B$7-'Black-Scholes'!$B$9*SQRT('Black-Scholes'!$B$7)*B2896)</f>
        <v>83.5082806760838</v>
      </c>
      <c r="E2896" s="18" t="n">
        <f aca="false">EXP(-'Black-Scholes'!$B$8*'Black-Scholes'!$B$7)*IF(LOWER('Black-Scholes'!$B$11)="put",MAX('Black-Scholes'!$B$6-C2896,0),MAX(C2896-'Black-Scholes'!$B$6,0))</f>
        <v>25.8291546242297</v>
      </c>
      <c r="F2896" s="18" t="n">
        <f aca="false">(E2896+G2896)/2</f>
        <v>12.9145773121149</v>
      </c>
      <c r="G2896" s="18" t="n">
        <f aca="false">EXP(-'Black-Scholes'!$B$8*'Black-Scholes'!$B$7)*IF(LOWER('Black-Scholes'!$B$11)="put",MAX('Black-Scholes'!$B$6-D2896,0),MAX(D2896-'Black-Scholes'!$B$6,0))</f>
        <v>0</v>
      </c>
    </row>
    <row r="2897" customFormat="false" ht="15" hidden="false" customHeight="false" outlineLevel="0" collapsed="false">
      <c r="A2897" s="0" t="n">
        <v>2886</v>
      </c>
      <c r="B2897" s="15" t="n">
        <v>-1.36714299774471</v>
      </c>
      <c r="C2897" s="18" t="n">
        <f aca="false">'Black-Scholes'!$B$5*EXP(('Black-Scholes'!$B$8-'Black-Scholes'!$B$10-'Black-Scholes'!$B$9^2/2)*'Black-Scholes'!$B$7+'Black-Scholes'!$B$9*SQRT('Black-Scholes'!$B$7)*B2897)</f>
        <v>78.3935447378602</v>
      </c>
      <c r="D2897" s="18" t="n">
        <f aca="false">'Black-Scholes'!$B$5*EXP(('Black-Scholes'!$B$8-'Black-Scholes'!$B$10-'Black-Scholes'!$B$9^2/2)*'Black-Scholes'!$B$7-'Black-Scholes'!$B$9*SQRT('Black-Scholes'!$B$7)*B2897)</f>
        <v>135.449487594422</v>
      </c>
      <c r="E2897" s="18" t="n">
        <f aca="false">EXP(-'Black-Scholes'!$B$8*'Black-Scholes'!$B$7)*IF(LOWER('Black-Scholes'!$B$11)="put",MAX('Black-Scholes'!$B$6-C2897,0),MAX(C2897-'Black-Scholes'!$B$6,0))</f>
        <v>0</v>
      </c>
      <c r="F2897" s="18" t="n">
        <f aca="false">(E2897+G2897)/2</f>
        <v>16.8602978416438</v>
      </c>
      <c r="G2897" s="18" t="n">
        <f aca="false">EXP(-'Black-Scholes'!$B$8*'Black-Scholes'!$B$7)*IF(LOWER('Black-Scholes'!$B$11)="put",MAX('Black-Scholes'!$B$6-D2897,0),MAX(D2897-'Black-Scholes'!$B$6,0))</f>
        <v>33.7205956832876</v>
      </c>
    </row>
    <row r="2898" customFormat="false" ht="15" hidden="false" customHeight="false" outlineLevel="0" collapsed="false">
      <c r="A2898" s="0" t="n">
        <v>2887</v>
      </c>
      <c r="B2898" s="15" t="n">
        <v>-1.05486325892663</v>
      </c>
      <c r="C2898" s="18" t="n">
        <f aca="false">'Black-Scholes'!$B$5*EXP(('Black-Scholes'!$B$8-'Black-Scholes'!$B$10-'Black-Scholes'!$B$9^2/2)*'Black-Scholes'!$B$7+'Black-Scholes'!$B$9*SQRT('Black-Scholes'!$B$7)*B2898)</f>
        <v>83.4458179325161</v>
      </c>
      <c r="D2898" s="18" t="n">
        <f aca="false">'Black-Scholes'!$B$5*EXP(('Black-Scholes'!$B$8-'Black-Scholes'!$B$10-'Black-Scholes'!$B$9^2/2)*'Black-Scholes'!$B$7-'Black-Scholes'!$B$9*SQRT('Black-Scholes'!$B$7)*B2898)</f>
        <v>127.248623460565</v>
      </c>
      <c r="E2898" s="18" t="n">
        <f aca="false">EXP(-'Black-Scholes'!$B$8*'Black-Scholes'!$B$7)*IF(LOWER('Black-Scholes'!$B$11)="put",MAX('Black-Scholes'!$B$6-C2898,0),MAX(C2898-'Black-Scholes'!$B$6,0))</f>
        <v>0</v>
      </c>
      <c r="F2898" s="18" t="n">
        <f aca="false">(E2898+G2898)/2</f>
        <v>12.9598462064149</v>
      </c>
      <c r="G2898" s="18" t="n">
        <f aca="false">EXP(-'Black-Scholes'!$B$8*'Black-Scholes'!$B$7)*IF(LOWER('Black-Scholes'!$B$11)="put",MAX('Black-Scholes'!$B$6-D2898,0),MAX(D2898-'Black-Scholes'!$B$6,0))</f>
        <v>25.9196924128298</v>
      </c>
    </row>
    <row r="2899" customFormat="false" ht="15" hidden="false" customHeight="false" outlineLevel="0" collapsed="false">
      <c r="A2899" s="0" t="n">
        <v>2888</v>
      </c>
      <c r="B2899" s="15" t="n">
        <v>-0.284065703349736</v>
      </c>
      <c r="C2899" s="18" t="n">
        <f aca="false">'Black-Scholes'!$B$5*EXP(('Black-Scholes'!$B$8-'Black-Scholes'!$B$10-'Black-Scholes'!$B$9^2/2)*'Black-Scholes'!$B$7+'Black-Scholes'!$B$9*SQRT('Black-Scholes'!$B$7)*B2899)</f>
        <v>97.3543140148026</v>
      </c>
      <c r="D2899" s="18" t="n">
        <f aca="false">'Black-Scholes'!$B$5*EXP(('Black-Scholes'!$B$8-'Black-Scholes'!$B$10-'Black-Scholes'!$B$9^2/2)*'Black-Scholes'!$B$7-'Black-Scholes'!$B$9*SQRT('Black-Scholes'!$B$7)*B2899)</f>
        <v>109.069285453946</v>
      </c>
      <c r="E2899" s="18" t="n">
        <f aca="false">EXP(-'Black-Scholes'!$B$8*'Black-Scholes'!$B$7)*IF(LOWER('Black-Scholes'!$B$11)="put",MAX('Black-Scholes'!$B$6-C2899,0),MAX(C2899-'Black-Scholes'!$B$6,0))</f>
        <v>0</v>
      </c>
      <c r="F2899" s="18" t="n">
        <f aca="false">(E2899+G2899)/2</f>
        <v>4.31348559149488</v>
      </c>
      <c r="G2899" s="18" t="n">
        <f aca="false">EXP(-'Black-Scholes'!$B$8*'Black-Scholes'!$B$7)*IF(LOWER('Black-Scholes'!$B$11)="put",MAX('Black-Scholes'!$B$6-D2899,0),MAX(D2899-'Black-Scholes'!$B$6,0))</f>
        <v>8.62697118298976</v>
      </c>
    </row>
    <row r="2900" customFormat="false" ht="15" hidden="false" customHeight="false" outlineLevel="0" collapsed="false">
      <c r="A2900" s="0" t="n">
        <v>2889</v>
      </c>
      <c r="B2900" s="15" t="n">
        <v>-1.10505822034318</v>
      </c>
      <c r="C2900" s="18" t="n">
        <f aca="false">'Black-Scholes'!$B$5*EXP(('Black-Scholes'!$B$8-'Black-Scholes'!$B$10-'Black-Scholes'!$B$9^2/2)*'Black-Scholes'!$B$7+'Black-Scholes'!$B$9*SQRT('Black-Scholes'!$B$7)*B2900)</f>
        <v>82.6122968662641</v>
      </c>
      <c r="D2900" s="18" t="n">
        <f aca="false">'Black-Scholes'!$B$5*EXP(('Black-Scholes'!$B$8-'Black-Scholes'!$B$10-'Black-Scholes'!$B$9^2/2)*'Black-Scholes'!$B$7-'Black-Scholes'!$B$9*SQRT('Black-Scholes'!$B$7)*B2900)</f>
        <v>128.532505065717</v>
      </c>
      <c r="E2900" s="18" t="n">
        <f aca="false">EXP(-'Black-Scholes'!$B$8*'Black-Scholes'!$B$7)*IF(LOWER('Black-Scholes'!$B$11)="put",MAX('Black-Scholes'!$B$6-C2900,0),MAX(C2900-'Black-Scholes'!$B$6,0))</f>
        <v>0</v>
      </c>
      <c r="F2900" s="18" t="n">
        <f aca="false">(E2900+G2900)/2</f>
        <v>13.5704791866128</v>
      </c>
      <c r="G2900" s="18" t="n">
        <f aca="false">EXP(-'Black-Scholes'!$B$8*'Black-Scholes'!$B$7)*IF(LOWER('Black-Scholes'!$B$11)="put",MAX('Black-Scholes'!$B$6-D2900,0),MAX(D2900-'Black-Scholes'!$B$6,0))</f>
        <v>27.1409583732256</v>
      </c>
    </row>
    <row r="2901" customFormat="false" ht="15" hidden="false" customHeight="false" outlineLevel="0" collapsed="false">
      <c r="A2901" s="0" t="n">
        <v>2890</v>
      </c>
      <c r="B2901" s="15" t="n">
        <v>2.38080451001467</v>
      </c>
      <c r="C2901" s="18" t="n">
        <f aca="false">'Black-Scholes'!$B$5*EXP(('Black-Scholes'!$B$8-'Black-Scholes'!$B$10-'Black-Scholes'!$B$9^2/2)*'Black-Scholes'!$B$7+'Black-Scholes'!$B$9*SQRT('Black-Scholes'!$B$7)*B2901)</f>
        <v>165.891023525686</v>
      </c>
      <c r="D2901" s="18" t="n">
        <f aca="false">'Black-Scholes'!$B$5*EXP(('Black-Scholes'!$B$8-'Black-Scholes'!$B$10-'Black-Scholes'!$B$9^2/2)*'Black-Scholes'!$B$7-'Black-Scholes'!$B$9*SQRT('Black-Scholes'!$B$7)*B2901)</f>
        <v>64.0080773497037</v>
      </c>
      <c r="E2901" s="18" t="n">
        <f aca="false">EXP(-'Black-Scholes'!$B$8*'Black-Scholes'!$B$7)*IF(LOWER('Black-Scholes'!$B$11)="put",MAX('Black-Scholes'!$B$6-C2901,0),MAX(C2901-'Black-Scholes'!$B$6,0))</f>
        <v>62.6774803881008</v>
      </c>
      <c r="F2901" s="18" t="n">
        <f aca="false">(E2901+G2901)/2</f>
        <v>31.3387401940504</v>
      </c>
      <c r="G2901" s="18" t="n">
        <f aca="false">EXP(-'Black-Scholes'!$B$8*'Black-Scholes'!$B$7)*IF(LOWER('Black-Scholes'!$B$11)="put",MAX('Black-Scholes'!$B$6-D2901,0),MAX(D2901-'Black-Scholes'!$B$6,0))</f>
        <v>0</v>
      </c>
    </row>
    <row r="2902" customFormat="false" ht="15" hidden="false" customHeight="false" outlineLevel="0" collapsed="false">
      <c r="A2902" s="0" t="n">
        <v>2891</v>
      </c>
      <c r="B2902" s="15" t="n">
        <v>-1.47187945071721</v>
      </c>
      <c r="C2902" s="18" t="n">
        <f aca="false">'Black-Scholes'!$B$5*EXP(('Black-Scholes'!$B$8-'Black-Scholes'!$B$10-'Black-Scholes'!$B$9^2/2)*'Black-Scholes'!$B$7+'Black-Scholes'!$B$9*SQRT('Black-Scholes'!$B$7)*B2902)</f>
        <v>76.7684920220724</v>
      </c>
      <c r="D2902" s="18" t="n">
        <f aca="false">'Black-Scholes'!$B$5*EXP(('Black-Scholes'!$B$8-'Black-Scholes'!$B$10-'Black-Scholes'!$B$9^2/2)*'Black-Scholes'!$B$7-'Black-Scholes'!$B$9*SQRT('Black-Scholes'!$B$7)*B2902)</f>
        <v>138.316712830579</v>
      </c>
      <c r="E2902" s="18" t="n">
        <f aca="false">EXP(-'Black-Scholes'!$B$8*'Black-Scholes'!$B$7)*IF(LOWER('Black-Scholes'!$B$11)="put",MAX('Black-Scholes'!$B$6-C2902,0),MAX(C2902-'Black-Scholes'!$B$6,0))</f>
        <v>0</v>
      </c>
      <c r="F2902" s="18" t="n">
        <f aca="false">(E2902+G2902)/2</f>
        <v>18.2239923472955</v>
      </c>
      <c r="G2902" s="18" t="n">
        <f aca="false">EXP(-'Black-Scholes'!$B$8*'Black-Scholes'!$B$7)*IF(LOWER('Black-Scholes'!$B$11)="put",MAX('Black-Scholes'!$B$6-D2902,0),MAX(D2902-'Black-Scholes'!$B$6,0))</f>
        <v>36.4479846945909</v>
      </c>
    </row>
    <row r="2903" customFormat="false" ht="15" hidden="false" customHeight="false" outlineLevel="0" collapsed="false">
      <c r="A2903" s="0" t="n">
        <v>2892</v>
      </c>
      <c r="B2903" s="15" t="n">
        <v>0.701179423914009</v>
      </c>
      <c r="C2903" s="18" t="n">
        <f aca="false">'Black-Scholes'!$B$5*EXP(('Black-Scholes'!$B$8-'Black-Scholes'!$B$10-'Black-Scholes'!$B$9^2/2)*'Black-Scholes'!$B$7+'Black-Scholes'!$B$9*SQRT('Black-Scholes'!$B$7)*B2903)</f>
        <v>118.558447967651</v>
      </c>
      <c r="D2903" s="18" t="n">
        <f aca="false">'Black-Scholes'!$B$5*EXP(('Black-Scholes'!$B$8-'Black-Scholes'!$B$10-'Black-Scholes'!$B$9^2/2)*'Black-Scholes'!$B$7-'Black-Scholes'!$B$9*SQRT('Black-Scholes'!$B$7)*B2903)</f>
        <v>89.5622846576974</v>
      </c>
      <c r="E2903" s="18" t="n">
        <f aca="false">EXP(-'Black-Scholes'!$B$8*'Black-Scholes'!$B$7)*IF(LOWER('Black-Scholes'!$B$11)="put",MAX('Black-Scholes'!$B$6-C2903,0),MAX(C2903-'Black-Scholes'!$B$6,0))</f>
        <v>17.6533417798955</v>
      </c>
      <c r="F2903" s="18" t="n">
        <f aca="false">(E2903+G2903)/2</f>
        <v>8.82667088994772</v>
      </c>
      <c r="G2903" s="18" t="n">
        <f aca="false">EXP(-'Black-Scholes'!$B$8*'Black-Scholes'!$B$7)*IF(LOWER('Black-Scholes'!$B$11)="put",MAX('Black-Scholes'!$B$6-D2903,0),MAX(D2903-'Black-Scholes'!$B$6,0))</f>
        <v>0</v>
      </c>
    </row>
    <row r="2904" customFormat="false" ht="15" hidden="false" customHeight="false" outlineLevel="0" collapsed="false">
      <c r="A2904" s="0" t="n">
        <v>2893</v>
      </c>
      <c r="B2904" s="15" t="n">
        <v>0.480478543270485</v>
      </c>
      <c r="C2904" s="18" t="n">
        <f aca="false">'Black-Scholes'!$B$5*EXP(('Black-Scholes'!$B$8-'Black-Scholes'!$B$10-'Black-Scholes'!$B$9^2/2)*'Black-Scholes'!$B$7+'Black-Scholes'!$B$9*SQRT('Black-Scholes'!$B$7)*B2904)</f>
        <v>113.439073409798</v>
      </c>
      <c r="D2904" s="18" t="n">
        <f aca="false">'Black-Scholes'!$B$5*EXP(('Black-Scholes'!$B$8-'Black-Scholes'!$B$10-'Black-Scholes'!$B$9^2/2)*'Black-Scholes'!$B$7-'Black-Scholes'!$B$9*SQRT('Black-Scholes'!$B$7)*B2904)</f>
        <v>93.604127275395</v>
      </c>
      <c r="E2904" s="18" t="n">
        <f aca="false">EXP(-'Black-Scholes'!$B$8*'Black-Scholes'!$B$7)*IF(LOWER('Black-Scholes'!$B$11)="put",MAX('Black-Scholes'!$B$6-C2904,0),MAX(C2904-'Black-Scholes'!$B$6,0))</f>
        <v>12.7836420654249</v>
      </c>
      <c r="F2904" s="18" t="n">
        <f aca="false">(E2904+G2904)/2</f>
        <v>6.39182103271245</v>
      </c>
      <c r="G2904" s="18" t="n">
        <f aca="false">EXP(-'Black-Scholes'!$B$8*'Black-Scholes'!$B$7)*IF(LOWER('Black-Scholes'!$B$11)="put",MAX('Black-Scholes'!$B$6-D2904,0),MAX(D2904-'Black-Scholes'!$B$6,0))</f>
        <v>0</v>
      </c>
    </row>
    <row r="2905" customFormat="false" ht="15" hidden="false" customHeight="false" outlineLevel="0" collapsed="false">
      <c r="A2905" s="0" t="n">
        <v>2894</v>
      </c>
      <c r="B2905" s="15" t="n">
        <v>1.14783499551311</v>
      </c>
      <c r="C2905" s="18" t="n">
        <f aca="false">'Black-Scholes'!$B$5*EXP(('Black-Scholes'!$B$8-'Black-Scholes'!$B$10-'Black-Scholes'!$B$9^2/2)*'Black-Scholes'!$B$7+'Black-Scholes'!$B$9*SQRT('Black-Scholes'!$B$7)*B2905)</f>
        <v>129.636863633743</v>
      </c>
      <c r="D2905" s="18" t="n">
        <f aca="false">'Black-Scholes'!$B$5*EXP(('Black-Scholes'!$B$8-'Black-Scholes'!$B$10-'Black-Scholes'!$B$9^2/2)*'Black-Scholes'!$B$7-'Black-Scholes'!$B$9*SQRT('Black-Scholes'!$B$7)*B2905)</f>
        <v>81.9085340991679</v>
      </c>
      <c r="E2905" s="18" t="n">
        <f aca="false">EXP(-'Black-Scholes'!$B$8*'Black-Scholes'!$B$7)*IF(LOWER('Black-Scholes'!$B$11)="put",MAX('Black-Scholes'!$B$6-C2905,0),MAX(C2905-'Black-Scholes'!$B$6,0))</f>
        <v>28.1914567383313</v>
      </c>
      <c r="F2905" s="18" t="n">
        <f aca="false">(E2905+G2905)/2</f>
        <v>14.0957283691656</v>
      </c>
      <c r="G2905" s="18" t="n">
        <f aca="false">EXP(-'Black-Scholes'!$B$8*'Black-Scholes'!$B$7)*IF(LOWER('Black-Scholes'!$B$11)="put",MAX('Black-Scholes'!$B$6-D2905,0),MAX(D2905-'Black-Scholes'!$B$6,0))</f>
        <v>0</v>
      </c>
    </row>
    <row r="2906" customFormat="false" ht="15" hidden="false" customHeight="false" outlineLevel="0" collapsed="false">
      <c r="A2906" s="0" t="n">
        <v>2895</v>
      </c>
      <c r="B2906" s="15" t="n">
        <v>1.15885669972153</v>
      </c>
      <c r="C2906" s="18" t="n">
        <f aca="false">'Black-Scholes'!$B$5*EXP(('Black-Scholes'!$B$8-'Black-Scholes'!$B$10-'Black-Scholes'!$B$9^2/2)*'Black-Scholes'!$B$7+'Black-Scholes'!$B$9*SQRT('Black-Scholes'!$B$7)*B2906)</f>
        <v>129.922942658837</v>
      </c>
      <c r="D2906" s="18" t="n">
        <f aca="false">'Black-Scholes'!$B$5*EXP(('Black-Scholes'!$B$8-'Black-Scholes'!$B$10-'Black-Scholes'!$B$9^2/2)*'Black-Scholes'!$B$7-'Black-Scholes'!$B$9*SQRT('Black-Scholes'!$B$7)*B2906)</f>
        <v>81.7281786276672</v>
      </c>
      <c r="E2906" s="18" t="n">
        <f aca="false">EXP(-'Black-Scholes'!$B$8*'Black-Scholes'!$B$7)*IF(LOWER('Black-Scholes'!$B$11)="put",MAX('Black-Scholes'!$B$6-C2906,0),MAX(C2906-'Black-Scholes'!$B$6,0))</f>
        <v>28.4635835247334</v>
      </c>
      <c r="F2906" s="18" t="n">
        <f aca="false">(E2906+G2906)/2</f>
        <v>14.2317917623667</v>
      </c>
      <c r="G2906" s="18" t="n">
        <f aca="false">EXP(-'Black-Scholes'!$B$8*'Black-Scholes'!$B$7)*IF(LOWER('Black-Scholes'!$B$11)="put",MAX('Black-Scholes'!$B$6-D2906,0),MAX(D2906-'Black-Scholes'!$B$6,0))</f>
        <v>0</v>
      </c>
    </row>
    <row r="2907" customFormat="false" ht="15" hidden="false" customHeight="false" outlineLevel="0" collapsed="false">
      <c r="A2907" s="0" t="n">
        <v>2896</v>
      </c>
      <c r="B2907" s="15" t="n">
        <v>-0.13258001190168</v>
      </c>
      <c r="C2907" s="18" t="n">
        <f aca="false">'Black-Scholes'!$B$5*EXP(('Black-Scholes'!$B$8-'Black-Scholes'!$B$10-'Black-Scholes'!$B$9^2/2)*'Black-Scholes'!$B$7+'Black-Scholes'!$B$9*SQRT('Black-Scholes'!$B$7)*B2907)</f>
        <v>100.349007379378</v>
      </c>
      <c r="D2907" s="18" t="n">
        <f aca="false">'Black-Scholes'!$B$5*EXP(('Black-Scholes'!$B$8-'Black-Scholes'!$B$10-'Black-Scholes'!$B$9^2/2)*'Black-Scholes'!$B$7-'Black-Scholes'!$B$9*SQRT('Black-Scholes'!$B$7)*B2907)</f>
        <v>105.814354748024</v>
      </c>
      <c r="E2907" s="18" t="n">
        <f aca="false">EXP(-'Black-Scholes'!$B$8*'Black-Scholes'!$B$7)*IF(LOWER('Black-Scholes'!$B$11)="put",MAX('Black-Scholes'!$B$6-C2907,0),MAX(C2907-'Black-Scholes'!$B$6,0))</f>
        <v>0.331986088632272</v>
      </c>
      <c r="F2907" s="18" t="n">
        <f aca="false">(E2907+G2907)/2</f>
        <v>2.93138570471912</v>
      </c>
      <c r="G2907" s="18" t="n">
        <f aca="false">EXP(-'Black-Scholes'!$B$8*'Black-Scholes'!$B$7)*IF(LOWER('Black-Scholes'!$B$11)="put",MAX('Black-Scholes'!$B$6-D2907,0),MAX(D2907-'Black-Scholes'!$B$6,0))</f>
        <v>5.53078532080596</v>
      </c>
    </row>
    <row r="2908" customFormat="false" ht="15" hidden="false" customHeight="false" outlineLevel="0" collapsed="false">
      <c r="A2908" s="0" t="n">
        <v>2897</v>
      </c>
      <c r="B2908" s="15" t="n">
        <v>-2.57726989914771</v>
      </c>
      <c r="C2908" s="18" t="n">
        <f aca="false">'Black-Scholes'!$B$5*EXP(('Black-Scholes'!$B$8-'Black-Scholes'!$B$10-'Black-Scholes'!$B$9^2/2)*'Black-Scholes'!$B$7+'Black-Scholes'!$B$9*SQRT('Black-Scholes'!$B$7)*B2908)</f>
        <v>61.5417746093133</v>
      </c>
      <c r="D2908" s="18" t="n">
        <f aca="false">'Black-Scholes'!$B$5*EXP(('Black-Scholes'!$B$8-'Black-Scholes'!$B$10-'Black-Scholes'!$B$9^2/2)*'Black-Scholes'!$B$7-'Black-Scholes'!$B$9*SQRT('Black-Scholes'!$B$7)*B2908)</f>
        <v>172.539149754169</v>
      </c>
      <c r="E2908" s="18" t="n">
        <f aca="false">EXP(-'Black-Scholes'!$B$8*'Black-Scholes'!$B$7)*IF(LOWER('Black-Scholes'!$B$11)="put",MAX('Black-Scholes'!$B$6-C2908,0),MAX(C2908-'Black-Scholes'!$B$6,0))</f>
        <v>0</v>
      </c>
      <c r="F2908" s="18" t="n">
        <f aca="false">(E2908+G2908)/2</f>
        <v>34.5006868372145</v>
      </c>
      <c r="G2908" s="18" t="n">
        <f aca="false">EXP(-'Black-Scholes'!$B$8*'Black-Scholes'!$B$7)*IF(LOWER('Black-Scholes'!$B$11)="put",MAX('Black-Scholes'!$B$6-D2908,0),MAX(D2908-'Black-Scholes'!$B$6,0))</f>
        <v>69.001373674429</v>
      </c>
    </row>
    <row r="2909" customFormat="false" ht="15" hidden="false" customHeight="false" outlineLevel="0" collapsed="false">
      <c r="A2909" s="0" t="n">
        <v>2898</v>
      </c>
      <c r="B2909" s="15" t="n">
        <v>0.965629669943617</v>
      </c>
      <c r="C2909" s="18" t="n">
        <f aca="false">'Black-Scholes'!$B$5*EXP(('Black-Scholes'!$B$8-'Black-Scholes'!$B$10-'Black-Scholes'!$B$9^2/2)*'Black-Scholes'!$B$7+'Black-Scholes'!$B$9*SQRT('Black-Scholes'!$B$7)*B2909)</f>
        <v>124.997797853712</v>
      </c>
      <c r="D2909" s="18" t="n">
        <f aca="false">'Black-Scholes'!$B$5*EXP(('Black-Scholes'!$B$8-'Black-Scholes'!$B$10-'Black-Scholes'!$B$9^2/2)*'Black-Scholes'!$B$7-'Black-Scholes'!$B$9*SQRT('Black-Scholes'!$B$7)*B2909)</f>
        <v>84.9484202744156</v>
      </c>
      <c r="E2909" s="18" t="n">
        <f aca="false">EXP(-'Black-Scholes'!$B$8*'Black-Scholes'!$B$7)*IF(LOWER('Black-Scholes'!$B$11)="put",MAX('Black-Scholes'!$B$6-C2909,0),MAX(C2909-'Black-Scholes'!$B$6,0))</f>
        <v>23.7786408661719</v>
      </c>
      <c r="F2909" s="18" t="n">
        <f aca="false">(E2909+G2909)/2</f>
        <v>11.8893204330859</v>
      </c>
      <c r="G2909" s="18" t="n">
        <f aca="false">EXP(-'Black-Scholes'!$B$8*'Black-Scholes'!$B$7)*IF(LOWER('Black-Scholes'!$B$11)="put",MAX('Black-Scholes'!$B$6-D2909,0),MAX(D2909-'Black-Scholes'!$B$6,0))</f>
        <v>0</v>
      </c>
    </row>
    <row r="2910" customFormat="false" ht="15" hidden="false" customHeight="false" outlineLevel="0" collapsed="false">
      <c r="A2910" s="0" t="n">
        <v>2899</v>
      </c>
      <c r="B2910" s="15" t="n">
        <v>-1.55322558433248</v>
      </c>
      <c r="C2910" s="18" t="n">
        <f aca="false">'Black-Scholes'!$B$5*EXP(('Black-Scholes'!$B$8-'Black-Scholes'!$B$10-'Black-Scholes'!$B$9^2/2)*'Black-Scholes'!$B$7+'Black-Scholes'!$B$9*SQRT('Black-Scholes'!$B$7)*B2910)</f>
        <v>75.5296329852316</v>
      </c>
      <c r="D2910" s="18" t="n">
        <f aca="false">'Black-Scholes'!$B$5*EXP(('Black-Scholes'!$B$8-'Black-Scholes'!$B$10-'Black-Scholes'!$B$9^2/2)*'Black-Scholes'!$B$7-'Black-Scholes'!$B$9*SQRT('Black-Scholes'!$B$7)*B2910)</f>
        <v>140.585423836626</v>
      </c>
      <c r="E2910" s="18" t="n">
        <f aca="false">EXP(-'Black-Scholes'!$B$8*'Black-Scholes'!$B$7)*IF(LOWER('Black-Scholes'!$B$11)="put",MAX('Black-Scholes'!$B$6-C2910,0),MAX(C2910-'Black-Scholes'!$B$6,0))</f>
        <v>0</v>
      </c>
      <c r="F2910" s="18" t="n">
        <f aca="false">(E2910+G2910)/2</f>
        <v>19.3030246796157</v>
      </c>
      <c r="G2910" s="18" t="n">
        <f aca="false">EXP(-'Black-Scholes'!$B$8*'Black-Scholes'!$B$7)*IF(LOWER('Black-Scholes'!$B$11)="put",MAX('Black-Scholes'!$B$6-D2910,0),MAX(D2910-'Black-Scholes'!$B$6,0))</f>
        <v>38.6060493592314</v>
      </c>
    </row>
    <row r="2911" customFormat="false" ht="15" hidden="false" customHeight="false" outlineLevel="0" collapsed="false">
      <c r="A2911" s="0" t="n">
        <v>2900</v>
      </c>
      <c r="B2911" s="15" t="n">
        <v>-1.16666227570207</v>
      </c>
      <c r="C2911" s="18" t="n">
        <f aca="false">'Black-Scholes'!$B$5*EXP(('Black-Scholes'!$B$8-'Black-Scholes'!$B$10-'Black-Scholes'!$B$9^2/2)*'Black-Scholes'!$B$7+'Black-Scholes'!$B$9*SQRT('Black-Scholes'!$B$7)*B2911)</f>
        <v>81.6006910633398</v>
      </c>
      <c r="D2911" s="18" t="n">
        <f aca="false">'Black-Scholes'!$B$5*EXP(('Black-Scholes'!$B$8-'Black-Scholes'!$B$10-'Black-Scholes'!$B$9^2/2)*'Black-Scholes'!$B$7-'Black-Scholes'!$B$9*SQRT('Black-Scholes'!$B$7)*B2911)</f>
        <v>130.125925737705</v>
      </c>
      <c r="E2911" s="18" t="n">
        <f aca="false">EXP(-'Black-Scholes'!$B$8*'Black-Scholes'!$B$7)*IF(LOWER('Black-Scholes'!$B$11)="put",MAX('Black-Scholes'!$B$6-C2911,0),MAX(C2911-'Black-Scholes'!$B$6,0))</f>
        <v>0</v>
      </c>
      <c r="F2911" s="18" t="n">
        <f aca="false">(E2911+G2911)/2</f>
        <v>14.3283335010144</v>
      </c>
      <c r="G2911" s="18" t="n">
        <f aca="false">EXP(-'Black-Scholes'!$B$8*'Black-Scholes'!$B$7)*IF(LOWER('Black-Scholes'!$B$11)="put",MAX('Black-Scholes'!$B$6-D2911,0),MAX(D2911-'Black-Scholes'!$B$6,0))</f>
        <v>28.6566670020288</v>
      </c>
    </row>
    <row r="2912" customFormat="false" ht="15" hidden="false" customHeight="false" outlineLevel="0" collapsed="false">
      <c r="A2912" s="0" t="n">
        <v>2901</v>
      </c>
      <c r="B2912" s="15" t="n">
        <v>0.906022818144041</v>
      </c>
      <c r="C2912" s="18" t="n">
        <f aca="false">'Black-Scholes'!$B$5*EXP(('Black-Scholes'!$B$8-'Black-Scholes'!$B$10-'Black-Scholes'!$B$9^2/2)*'Black-Scholes'!$B$7+'Black-Scholes'!$B$9*SQRT('Black-Scholes'!$B$7)*B2912)</f>
        <v>123.516499905401</v>
      </c>
      <c r="D2912" s="18" t="n">
        <f aca="false">'Black-Scholes'!$B$5*EXP(('Black-Scholes'!$B$8-'Black-Scholes'!$B$10-'Black-Scholes'!$B$9^2/2)*'Black-Scholes'!$B$7-'Black-Scholes'!$B$9*SQRT('Black-Scholes'!$B$7)*B2912)</f>
        <v>85.9671823083232</v>
      </c>
      <c r="E2912" s="18" t="n">
        <f aca="false">EXP(-'Black-Scholes'!$B$8*'Black-Scholes'!$B$7)*IF(LOWER('Black-Scholes'!$B$11)="put",MAX('Black-Scholes'!$B$6-C2912,0),MAX(C2912-'Black-Scholes'!$B$6,0))</f>
        <v>22.3695866712858</v>
      </c>
      <c r="F2912" s="18" t="n">
        <f aca="false">(E2912+G2912)/2</f>
        <v>11.1847933356429</v>
      </c>
      <c r="G2912" s="18" t="n">
        <f aca="false">EXP(-'Black-Scholes'!$B$8*'Black-Scholes'!$B$7)*IF(LOWER('Black-Scholes'!$B$11)="put",MAX('Black-Scholes'!$B$6-D2912,0),MAX(D2912-'Black-Scholes'!$B$6,0))</f>
        <v>0</v>
      </c>
    </row>
    <row r="2913" customFormat="false" ht="15" hidden="false" customHeight="false" outlineLevel="0" collapsed="false">
      <c r="A2913" s="0" t="n">
        <v>2902</v>
      </c>
      <c r="B2913" s="15" t="n">
        <v>-0.744234554663126</v>
      </c>
      <c r="C2913" s="18" t="n">
        <f aca="false">'Black-Scholes'!$B$5*EXP(('Black-Scholes'!$B$8-'Black-Scholes'!$B$10-'Black-Scholes'!$B$9^2/2)*'Black-Scholes'!$B$7+'Black-Scholes'!$B$9*SQRT('Black-Scholes'!$B$7)*B2913)</f>
        <v>88.7943724834156</v>
      </c>
      <c r="D2913" s="18" t="n">
        <f aca="false">'Black-Scholes'!$B$5*EXP(('Black-Scholes'!$B$8-'Black-Scholes'!$B$10-'Black-Scholes'!$B$9^2/2)*'Black-Scholes'!$B$7-'Black-Scholes'!$B$9*SQRT('Black-Scholes'!$B$7)*B2913)</f>
        <v>119.583766048201</v>
      </c>
      <c r="E2913" s="18" t="n">
        <f aca="false">EXP(-'Black-Scholes'!$B$8*'Black-Scholes'!$B$7)*IF(LOWER('Black-Scholes'!$B$11)="put",MAX('Black-Scholes'!$B$6-C2913,0),MAX(C2913-'Black-Scholes'!$B$6,0))</f>
        <v>0</v>
      </c>
      <c r="F2913" s="18" t="n">
        <f aca="false">(E2913+G2913)/2</f>
        <v>9.31432725379347</v>
      </c>
      <c r="G2913" s="18" t="n">
        <f aca="false">EXP(-'Black-Scholes'!$B$8*'Black-Scholes'!$B$7)*IF(LOWER('Black-Scholes'!$B$11)="put",MAX('Black-Scholes'!$B$6-D2913,0),MAX(D2913-'Black-Scholes'!$B$6,0))</f>
        <v>18.6286545075869</v>
      </c>
    </row>
    <row r="2914" customFormat="false" ht="15" hidden="false" customHeight="false" outlineLevel="0" collapsed="false">
      <c r="A2914" s="0" t="n">
        <v>2903</v>
      </c>
      <c r="B2914" s="15" t="n">
        <v>0.1673177217789</v>
      </c>
      <c r="C2914" s="18" t="n">
        <f aca="false">'Black-Scholes'!$B$5*EXP(('Black-Scholes'!$B$8-'Black-Scholes'!$B$10-'Black-Scholes'!$B$9^2/2)*'Black-Scholes'!$B$7+'Black-Scholes'!$B$9*SQRT('Black-Scholes'!$B$7)*B2914)</f>
        <v>106.552064085202</v>
      </c>
      <c r="D2914" s="18" t="n">
        <f aca="false">'Black-Scholes'!$B$5*EXP(('Black-Scholes'!$B$8-'Black-Scholes'!$B$10-'Black-Scholes'!$B$9^2/2)*'Black-Scholes'!$B$7-'Black-Scholes'!$B$9*SQRT('Black-Scholes'!$B$7)*B2914)</f>
        <v>99.6542446795104</v>
      </c>
      <c r="E2914" s="18" t="n">
        <f aca="false">EXP(-'Black-Scholes'!$B$8*'Black-Scholes'!$B$7)*IF(LOWER('Black-Scholes'!$B$11)="put",MAX('Black-Scholes'!$B$6-C2914,0),MAX(C2914-'Black-Scholes'!$B$6,0))</f>
        <v>6.23251614905853</v>
      </c>
      <c r="F2914" s="18" t="n">
        <f aca="false">(E2914+G2914)/2</f>
        <v>3.11625807452926</v>
      </c>
      <c r="G2914" s="18" t="n">
        <f aca="false">EXP(-'Black-Scholes'!$B$8*'Black-Scholes'!$B$7)*IF(LOWER('Black-Scholes'!$B$11)="put",MAX('Black-Scholes'!$B$6-D2914,0),MAX(D2914-'Black-Scholes'!$B$6,0))</f>
        <v>0</v>
      </c>
    </row>
    <row r="2915" customFormat="false" ht="15" hidden="false" customHeight="false" outlineLevel="0" collapsed="false">
      <c r="A2915" s="0" t="n">
        <v>2904</v>
      </c>
      <c r="B2915" s="15" t="n">
        <v>0.0712348497175074</v>
      </c>
      <c r="C2915" s="18" t="n">
        <f aca="false">'Black-Scholes'!$B$5*EXP(('Black-Scholes'!$B$8-'Black-Scholes'!$B$10-'Black-Scholes'!$B$9^2/2)*'Black-Scholes'!$B$7+'Black-Scholes'!$B$9*SQRT('Black-Scholes'!$B$7)*B2915)</f>
        <v>104.524046599312</v>
      </c>
      <c r="D2915" s="18" t="n">
        <f aca="false">'Black-Scholes'!$B$5*EXP(('Black-Scholes'!$B$8-'Black-Scholes'!$B$10-'Black-Scholes'!$B$9^2/2)*'Black-Scholes'!$B$7-'Black-Scholes'!$B$9*SQRT('Black-Scholes'!$B$7)*B2915)</f>
        <v>101.587776314847</v>
      </c>
      <c r="E2915" s="18" t="n">
        <f aca="false">EXP(-'Black-Scholes'!$B$8*'Black-Scholes'!$B$7)*IF(LOWER('Black-Scholes'!$B$11)="put",MAX('Black-Scholes'!$B$6-C2915,0),MAX(C2915-'Black-Scholes'!$B$6,0))</f>
        <v>4.30340624307808</v>
      </c>
      <c r="F2915" s="18" t="n">
        <f aca="false">(E2915+G2915)/2</f>
        <v>2.90687289664308</v>
      </c>
      <c r="G2915" s="18" t="n">
        <f aca="false">EXP(-'Black-Scholes'!$B$8*'Black-Scholes'!$B$7)*IF(LOWER('Black-Scholes'!$B$11)="put",MAX('Black-Scholes'!$B$6-D2915,0),MAX(D2915-'Black-Scholes'!$B$6,0))</f>
        <v>1.51033955020808</v>
      </c>
    </row>
    <row r="2916" customFormat="false" ht="15" hidden="false" customHeight="false" outlineLevel="0" collapsed="false">
      <c r="A2916" s="0" t="n">
        <v>2905</v>
      </c>
      <c r="B2916" s="15" t="n">
        <v>1.85807957942234</v>
      </c>
      <c r="C2916" s="18" t="n">
        <f aca="false">'Black-Scholes'!$B$5*EXP(('Black-Scholes'!$B$8-'Black-Scholes'!$B$10-'Black-Scholes'!$B$9^2/2)*'Black-Scholes'!$B$7+'Black-Scholes'!$B$9*SQRT('Black-Scholes'!$B$7)*B2916)</f>
        <v>149.423730963107</v>
      </c>
      <c r="D2916" s="18" t="n">
        <f aca="false">'Black-Scholes'!$B$5*EXP(('Black-Scholes'!$B$8-'Black-Scholes'!$B$10-'Black-Scholes'!$B$9^2/2)*'Black-Scholes'!$B$7-'Black-Scholes'!$B$9*SQRT('Black-Scholes'!$B$7)*B2916)</f>
        <v>71.0621090573311</v>
      </c>
      <c r="E2916" s="18" t="n">
        <f aca="false">EXP(-'Black-Scholes'!$B$8*'Black-Scholes'!$B$7)*IF(LOWER('Black-Scholes'!$B$11)="put",MAX('Black-Scholes'!$B$6-C2916,0),MAX(C2916-'Black-Scholes'!$B$6,0))</f>
        <v>47.0133071607142</v>
      </c>
      <c r="F2916" s="18" t="n">
        <f aca="false">(E2916+G2916)/2</f>
        <v>23.5066535803571</v>
      </c>
      <c r="G2916" s="18" t="n">
        <f aca="false">EXP(-'Black-Scholes'!$B$8*'Black-Scholes'!$B$7)*IF(LOWER('Black-Scholes'!$B$11)="put",MAX('Black-Scholes'!$B$6-D2916,0),MAX(D2916-'Black-Scholes'!$B$6,0))</f>
        <v>0</v>
      </c>
    </row>
    <row r="2917" customFormat="false" ht="15" hidden="false" customHeight="false" outlineLevel="0" collapsed="false">
      <c r="A2917" s="0" t="n">
        <v>2906</v>
      </c>
      <c r="B2917" s="15" t="n">
        <v>1.22600100932192</v>
      </c>
      <c r="C2917" s="18" t="n">
        <f aca="false">'Black-Scholes'!$B$5*EXP(('Black-Scholes'!$B$8-'Black-Scholes'!$B$10-'Black-Scholes'!$B$9^2/2)*'Black-Scholes'!$B$7+'Black-Scholes'!$B$9*SQRT('Black-Scholes'!$B$7)*B2917)</f>
        <v>131.67942731488</v>
      </c>
      <c r="D2917" s="18" t="n">
        <f aca="false">'Black-Scholes'!$B$5*EXP(('Black-Scholes'!$B$8-'Black-Scholes'!$B$10-'Black-Scholes'!$B$9^2/2)*'Black-Scholes'!$B$7-'Black-Scholes'!$B$9*SQRT('Black-Scholes'!$B$7)*B2917)</f>
        <v>80.6379985239629</v>
      </c>
      <c r="E2917" s="18" t="n">
        <f aca="false">EXP(-'Black-Scholes'!$B$8*'Black-Scholes'!$B$7)*IF(LOWER('Black-Scholes'!$B$11)="put",MAX('Black-Scholes'!$B$6-C2917,0),MAX(C2917-'Black-Scholes'!$B$6,0))</f>
        <v>30.1344034132457</v>
      </c>
      <c r="F2917" s="18" t="n">
        <f aca="false">(E2917+G2917)/2</f>
        <v>15.0672017066228</v>
      </c>
      <c r="G2917" s="18" t="n">
        <f aca="false">EXP(-'Black-Scholes'!$B$8*'Black-Scholes'!$B$7)*IF(LOWER('Black-Scholes'!$B$11)="put",MAX('Black-Scholes'!$B$6-D2917,0),MAX(D2917-'Black-Scholes'!$B$6,0))</f>
        <v>0</v>
      </c>
    </row>
    <row r="2918" customFormat="false" ht="15" hidden="false" customHeight="false" outlineLevel="0" collapsed="false">
      <c r="A2918" s="0" t="n">
        <v>2907</v>
      </c>
      <c r="B2918" s="15" t="n">
        <v>0.819283657914198</v>
      </c>
      <c r="C2918" s="18" t="n">
        <f aca="false">'Black-Scholes'!$B$5*EXP(('Black-Scholes'!$B$8-'Black-Scholes'!$B$10-'Black-Scholes'!$B$9^2/2)*'Black-Scholes'!$B$7+'Black-Scholes'!$B$9*SQRT('Black-Scholes'!$B$7)*B2918)</f>
        <v>121.392235376307</v>
      </c>
      <c r="D2918" s="18" t="n">
        <f aca="false">'Black-Scholes'!$B$5*EXP(('Black-Scholes'!$B$8-'Black-Scholes'!$B$10-'Black-Scholes'!$B$9^2/2)*'Black-Scholes'!$B$7-'Black-Scholes'!$B$9*SQRT('Black-Scholes'!$B$7)*B2918)</f>
        <v>87.471537471383</v>
      </c>
      <c r="E2918" s="18" t="n">
        <f aca="false">EXP(-'Black-Scholes'!$B$8*'Black-Scholes'!$B$7)*IF(LOWER('Black-Scholes'!$B$11)="put",MAX('Black-Scholes'!$B$6-C2918,0),MAX(C2918-'Black-Scholes'!$B$6,0))</f>
        <v>20.3489237457884</v>
      </c>
      <c r="F2918" s="18" t="n">
        <f aca="false">(E2918+G2918)/2</f>
        <v>10.1744618728942</v>
      </c>
      <c r="G2918" s="18" t="n">
        <f aca="false">EXP(-'Black-Scholes'!$B$8*'Black-Scholes'!$B$7)*IF(LOWER('Black-Scholes'!$B$11)="put",MAX('Black-Scholes'!$B$6-D2918,0),MAX(D2918-'Black-Scholes'!$B$6,0))</f>
        <v>0</v>
      </c>
    </row>
    <row r="2919" customFormat="false" ht="15" hidden="false" customHeight="false" outlineLevel="0" collapsed="false">
      <c r="A2919" s="0" t="n">
        <v>2908</v>
      </c>
      <c r="B2919" s="15" t="n">
        <v>1.53872961004275</v>
      </c>
      <c r="C2919" s="18" t="n">
        <f aca="false">'Black-Scholes'!$B$5*EXP(('Black-Scholes'!$B$8-'Black-Scholes'!$B$10-'Black-Scholes'!$B$9^2/2)*'Black-Scholes'!$B$7+'Black-Scholes'!$B$9*SQRT('Black-Scholes'!$B$7)*B2919)</f>
        <v>140.178429561668</v>
      </c>
      <c r="D2919" s="18" t="n">
        <f aca="false">'Black-Scholes'!$B$5*EXP(('Black-Scholes'!$B$8-'Black-Scholes'!$B$10-'Black-Scholes'!$B$9^2/2)*'Black-Scholes'!$B$7-'Black-Scholes'!$B$9*SQRT('Black-Scholes'!$B$7)*B2919)</f>
        <v>75.7489258415633</v>
      </c>
      <c r="E2919" s="18" t="n">
        <f aca="false">EXP(-'Black-Scholes'!$B$8*'Black-Scholes'!$B$7)*IF(LOWER('Black-Scholes'!$B$11)="put",MAX('Black-Scholes'!$B$6-C2919,0),MAX(C2919-'Black-Scholes'!$B$6,0))</f>
        <v>38.2189044292881</v>
      </c>
      <c r="F2919" s="18" t="n">
        <f aca="false">(E2919+G2919)/2</f>
        <v>19.109452214644</v>
      </c>
      <c r="G2919" s="18" t="n">
        <f aca="false">EXP(-'Black-Scholes'!$B$8*'Black-Scholes'!$B$7)*IF(LOWER('Black-Scholes'!$B$11)="put",MAX('Black-Scholes'!$B$6-D2919,0),MAX(D2919-'Black-Scholes'!$B$6,0))</f>
        <v>0</v>
      </c>
    </row>
    <row r="2920" customFormat="false" ht="15" hidden="false" customHeight="false" outlineLevel="0" collapsed="false">
      <c r="A2920" s="0" t="n">
        <v>2909</v>
      </c>
      <c r="B2920" s="15" t="n">
        <v>-0.151563289541872</v>
      </c>
      <c r="C2920" s="18" t="n">
        <f aca="false">'Black-Scholes'!$B$5*EXP(('Black-Scholes'!$B$8-'Black-Scholes'!$B$10-'Black-Scholes'!$B$9^2/2)*'Black-Scholes'!$B$7+'Black-Scholes'!$B$9*SQRT('Black-Scholes'!$B$7)*B2920)</f>
        <v>99.9687390964016</v>
      </c>
      <c r="D2920" s="18" t="n">
        <f aca="false">'Black-Scholes'!$B$5*EXP(('Black-Scholes'!$B$8-'Black-Scholes'!$B$10-'Black-Scholes'!$B$9^2/2)*'Black-Scholes'!$B$7-'Black-Scholes'!$B$9*SQRT('Black-Scholes'!$B$7)*B2920)</f>
        <v>106.216859004435</v>
      </c>
      <c r="E2920" s="18" t="n">
        <f aca="false">EXP(-'Black-Scholes'!$B$8*'Black-Scholes'!$B$7)*IF(LOWER('Black-Scholes'!$B$11)="put",MAX('Black-Scholes'!$B$6-C2920,0),MAX(C2920-'Black-Scholes'!$B$6,0))</f>
        <v>0</v>
      </c>
      <c r="F2920" s="18" t="n">
        <f aca="false">(E2920+G2920)/2</f>
        <v>2.95682960649521</v>
      </c>
      <c r="G2920" s="18" t="n">
        <f aca="false">EXP(-'Black-Scholes'!$B$8*'Black-Scholes'!$B$7)*IF(LOWER('Black-Scholes'!$B$11)="put",MAX('Black-Scholes'!$B$6-D2920,0),MAX(D2920-'Black-Scholes'!$B$6,0))</f>
        <v>5.91365921299042</v>
      </c>
    </row>
    <row r="2921" customFormat="false" ht="15" hidden="false" customHeight="false" outlineLevel="0" collapsed="false">
      <c r="A2921" s="0" t="n">
        <v>2910</v>
      </c>
      <c r="B2921" s="15" t="n">
        <v>-1.39627359853738</v>
      </c>
      <c r="C2921" s="18" t="n">
        <f aca="false">'Black-Scholes'!$B$5*EXP(('Black-Scholes'!$B$8-'Black-Scholes'!$B$10-'Black-Scholes'!$B$9^2/2)*'Black-Scholes'!$B$7+'Black-Scholes'!$B$9*SQRT('Black-Scholes'!$B$7)*B2921)</f>
        <v>77.9381424290184</v>
      </c>
      <c r="D2921" s="18" t="n">
        <f aca="false">'Black-Scholes'!$B$5*EXP(('Black-Scholes'!$B$8-'Black-Scholes'!$B$10-'Black-Scholes'!$B$9^2/2)*'Black-Scholes'!$B$7-'Black-Scholes'!$B$9*SQRT('Black-Scholes'!$B$7)*B2921)</f>
        <v>136.24093588225</v>
      </c>
      <c r="E2921" s="18" t="n">
        <f aca="false">EXP(-'Black-Scholes'!$B$8*'Black-Scholes'!$B$7)*IF(LOWER('Black-Scholes'!$B$11)="put",MAX('Black-Scholes'!$B$6-C2921,0),MAX(C2921-'Black-Scholes'!$B$6,0))</f>
        <v>0</v>
      </c>
      <c r="F2921" s="18" t="n">
        <f aca="false">(E2921+G2921)/2</f>
        <v>17.2367222913202</v>
      </c>
      <c r="G2921" s="18" t="n">
        <f aca="false">EXP(-'Black-Scholes'!$B$8*'Black-Scholes'!$B$7)*IF(LOWER('Black-Scholes'!$B$11)="put",MAX('Black-Scholes'!$B$6-D2921,0),MAX(D2921-'Black-Scholes'!$B$6,0))</f>
        <v>34.4734445826404</v>
      </c>
    </row>
    <row r="2922" customFormat="false" ht="15" hidden="false" customHeight="false" outlineLevel="0" collapsed="false">
      <c r="A2922" s="0" t="n">
        <v>2911</v>
      </c>
      <c r="B2922" s="15" t="n">
        <v>-0.0551952077689384</v>
      </c>
      <c r="C2922" s="18" t="n">
        <f aca="false">'Black-Scholes'!$B$5*EXP(('Black-Scholes'!$B$8-'Black-Scholes'!$B$10-'Black-Scholes'!$B$9^2/2)*'Black-Scholes'!$B$7+'Black-Scholes'!$B$9*SQRT('Black-Scholes'!$B$7)*B2922)</f>
        <v>101.914185895898</v>
      </c>
      <c r="D2922" s="18" t="n">
        <f aca="false">'Black-Scholes'!$B$5*EXP(('Black-Scholes'!$B$8-'Black-Scholes'!$B$10-'Black-Scholes'!$B$9^2/2)*'Black-Scholes'!$B$7-'Black-Scholes'!$B$9*SQRT('Black-Scholes'!$B$7)*B2922)</f>
        <v>104.189278186453</v>
      </c>
      <c r="E2922" s="18" t="n">
        <f aca="false">EXP(-'Black-Scholes'!$B$8*'Black-Scholes'!$B$7)*IF(LOWER('Black-Scholes'!$B$11)="put",MAX('Black-Scholes'!$B$6-C2922,0),MAX(C2922-'Black-Scholes'!$B$6,0))</f>
        <v>1.82082994814284</v>
      </c>
      <c r="F2922" s="18" t="n">
        <f aca="false">(E2922+G2922)/2</f>
        <v>2.90289731325773</v>
      </c>
      <c r="G2922" s="18" t="n">
        <f aca="false">EXP(-'Black-Scholes'!$B$8*'Black-Scholes'!$B$7)*IF(LOWER('Black-Scholes'!$B$11)="put",MAX('Black-Scholes'!$B$6-D2922,0),MAX(D2922-'Black-Scholes'!$B$6,0))</f>
        <v>3.98496467837262</v>
      </c>
    </row>
    <row r="2923" customFormat="false" ht="15" hidden="false" customHeight="false" outlineLevel="0" collapsed="false">
      <c r="A2923" s="0" t="n">
        <v>2912</v>
      </c>
      <c r="B2923" s="15" t="n">
        <v>0.511771825573239</v>
      </c>
      <c r="C2923" s="18" t="n">
        <f aca="false">'Black-Scholes'!$B$5*EXP(('Black-Scholes'!$B$8-'Black-Scholes'!$B$10-'Black-Scholes'!$B$9^2/2)*'Black-Scholes'!$B$7+'Black-Scholes'!$B$9*SQRT('Black-Scholes'!$B$7)*B2923)</f>
        <v>114.151275990321</v>
      </c>
      <c r="D2923" s="18" t="n">
        <f aca="false">'Black-Scholes'!$B$5*EXP(('Black-Scholes'!$B$8-'Black-Scholes'!$B$10-'Black-Scholes'!$B$9^2/2)*'Black-Scholes'!$B$7-'Black-Scholes'!$B$9*SQRT('Black-Scholes'!$B$7)*B2923)</f>
        <v>93.0201206542266</v>
      </c>
      <c r="E2923" s="18" t="n">
        <f aca="false">EXP(-'Black-Scholes'!$B$8*'Black-Scholes'!$B$7)*IF(LOWER('Black-Scholes'!$B$11)="put",MAX('Black-Scholes'!$B$6-C2923,0),MAX(C2923-'Black-Scholes'!$B$6,0))</f>
        <v>13.461110116224</v>
      </c>
      <c r="F2923" s="18" t="n">
        <f aca="false">(E2923+G2923)/2</f>
        <v>6.730555058112</v>
      </c>
      <c r="G2923" s="18" t="n">
        <f aca="false">EXP(-'Black-Scholes'!$B$8*'Black-Scholes'!$B$7)*IF(LOWER('Black-Scholes'!$B$11)="put",MAX('Black-Scholes'!$B$6-D2923,0),MAX(D2923-'Black-Scholes'!$B$6,0))</f>
        <v>0</v>
      </c>
    </row>
    <row r="2924" customFormat="false" ht="15" hidden="false" customHeight="false" outlineLevel="0" collapsed="false">
      <c r="A2924" s="0" t="n">
        <v>2913</v>
      </c>
      <c r="B2924" s="15" t="n">
        <v>-0.913039764366052</v>
      </c>
      <c r="C2924" s="18" t="n">
        <f aca="false">'Black-Scholes'!$B$5*EXP(('Black-Scholes'!$B$8-'Black-Scholes'!$B$10-'Black-Scholes'!$B$9^2/2)*'Black-Scholes'!$B$7+'Black-Scholes'!$B$9*SQRT('Black-Scholes'!$B$7)*B2924)</f>
        <v>85.8466215059538</v>
      </c>
      <c r="D2924" s="18" t="n">
        <f aca="false">'Black-Scholes'!$B$5*EXP(('Black-Scholes'!$B$8-'Black-Scholes'!$B$10-'Black-Scholes'!$B$9^2/2)*'Black-Scholes'!$B$7-'Black-Scholes'!$B$9*SQRT('Black-Scholes'!$B$7)*B2924)</f>
        <v>123.689963322752</v>
      </c>
      <c r="E2924" s="18" t="n">
        <f aca="false">EXP(-'Black-Scholes'!$B$8*'Black-Scholes'!$B$7)*IF(LOWER('Black-Scholes'!$B$11)="put",MAX('Black-Scholes'!$B$6-C2924,0),MAX(C2924-'Black-Scholes'!$B$6,0))</f>
        <v>0</v>
      </c>
      <c r="F2924" s="18" t="n">
        <f aca="false">(E2924+G2924)/2</f>
        <v>11.2672950889722</v>
      </c>
      <c r="G2924" s="18" t="n">
        <f aca="false">EXP(-'Black-Scholes'!$B$8*'Black-Scholes'!$B$7)*IF(LOWER('Black-Scholes'!$B$11)="put",MAX('Black-Scholes'!$B$6-D2924,0),MAX(D2924-'Black-Scholes'!$B$6,0))</f>
        <v>22.5345901779443</v>
      </c>
    </row>
    <row r="2925" customFormat="false" ht="15" hidden="false" customHeight="false" outlineLevel="0" collapsed="false">
      <c r="A2925" s="0" t="n">
        <v>2914</v>
      </c>
      <c r="B2925" s="15" t="n">
        <v>-0.281991013404437</v>
      </c>
      <c r="C2925" s="18" t="n">
        <f aca="false">'Black-Scholes'!$B$5*EXP(('Black-Scholes'!$B$8-'Black-Scholes'!$B$10-'Black-Scholes'!$B$9^2/2)*'Black-Scholes'!$B$7+'Black-Scholes'!$B$9*SQRT('Black-Scholes'!$B$7)*B2925)</f>
        <v>97.3947184001637</v>
      </c>
      <c r="D2925" s="18" t="n">
        <f aca="false">'Black-Scholes'!$B$5*EXP(('Black-Scholes'!$B$8-'Black-Scholes'!$B$10-'Black-Scholes'!$B$9^2/2)*'Black-Scholes'!$B$7-'Black-Scholes'!$B$9*SQRT('Black-Scholes'!$B$7)*B2925)</f>
        <v>109.024037852095</v>
      </c>
      <c r="E2925" s="18" t="n">
        <f aca="false">EXP(-'Black-Scholes'!$B$8*'Black-Scholes'!$B$7)*IF(LOWER('Black-Scholes'!$B$11)="put",MAX('Black-Scholes'!$B$6-C2925,0),MAX(C2925-'Black-Scholes'!$B$6,0))</f>
        <v>0</v>
      </c>
      <c r="F2925" s="18" t="n">
        <f aca="false">(E2925+G2925)/2</f>
        <v>4.29196516636059</v>
      </c>
      <c r="G2925" s="18" t="n">
        <f aca="false">EXP(-'Black-Scholes'!$B$8*'Black-Scholes'!$B$7)*IF(LOWER('Black-Scholes'!$B$11)="put",MAX('Black-Scholes'!$B$6-D2925,0),MAX(D2925-'Black-Scholes'!$B$6,0))</f>
        <v>8.58393033272118</v>
      </c>
    </row>
    <row r="2926" customFormat="false" ht="15" hidden="false" customHeight="false" outlineLevel="0" collapsed="false">
      <c r="A2926" s="0" t="n">
        <v>2915</v>
      </c>
      <c r="B2926" s="15" t="n">
        <v>0.575920296000653</v>
      </c>
      <c r="C2926" s="18" t="n">
        <f aca="false">'Black-Scholes'!$B$5*EXP(('Black-Scholes'!$B$8-'Black-Scholes'!$B$10-'Black-Scholes'!$B$9^2/2)*'Black-Scholes'!$B$7+'Black-Scholes'!$B$9*SQRT('Black-Scholes'!$B$7)*B2926)</f>
        <v>115.625236956988</v>
      </c>
      <c r="D2926" s="18" t="n">
        <f aca="false">'Black-Scholes'!$B$5*EXP(('Black-Scholes'!$B$8-'Black-Scholes'!$B$10-'Black-Scholes'!$B$9^2/2)*'Black-Scholes'!$B$7-'Black-Scholes'!$B$9*SQRT('Black-Scholes'!$B$7)*B2926)</f>
        <v>91.8343239322709</v>
      </c>
      <c r="E2926" s="18" t="n">
        <f aca="false">EXP(-'Black-Scholes'!$B$8*'Black-Scholes'!$B$7)*IF(LOWER('Black-Scholes'!$B$11)="put",MAX('Black-Scholes'!$B$6-C2926,0),MAX(C2926-'Black-Scholes'!$B$6,0))</f>
        <v>14.8631851582828</v>
      </c>
      <c r="F2926" s="18" t="n">
        <f aca="false">(E2926+G2926)/2</f>
        <v>7.43159257914141</v>
      </c>
      <c r="G2926" s="18" t="n">
        <f aca="false">EXP(-'Black-Scholes'!$B$8*'Black-Scholes'!$B$7)*IF(LOWER('Black-Scholes'!$B$11)="put",MAX('Black-Scholes'!$B$6-D2926,0),MAX(D2926-'Black-Scholes'!$B$6,0))</f>
        <v>0</v>
      </c>
    </row>
    <row r="2927" customFormat="false" ht="15" hidden="false" customHeight="false" outlineLevel="0" collapsed="false">
      <c r="A2927" s="0" t="n">
        <v>2916</v>
      </c>
      <c r="B2927" s="15" t="n">
        <v>-0.465569281447924</v>
      </c>
      <c r="C2927" s="18" t="n">
        <f aca="false">'Black-Scholes'!$B$5*EXP(('Black-Scholes'!$B$8-'Black-Scholes'!$B$10-'Black-Scholes'!$B$9^2/2)*'Black-Scholes'!$B$7+'Black-Scholes'!$B$9*SQRT('Black-Scholes'!$B$7)*B2927)</f>
        <v>93.883657515474</v>
      </c>
      <c r="D2927" s="18" t="n">
        <f aca="false">'Black-Scholes'!$B$5*EXP(('Black-Scholes'!$B$8-'Black-Scholes'!$B$10-'Black-Scholes'!$B$9^2/2)*'Black-Scholes'!$B$7-'Black-Scholes'!$B$9*SQRT('Black-Scholes'!$B$7)*B2927)</f>
        <v>113.101318658186</v>
      </c>
      <c r="E2927" s="18" t="n">
        <f aca="false">EXP(-'Black-Scholes'!$B$8*'Black-Scholes'!$B$7)*IF(LOWER('Black-Scholes'!$B$11)="put",MAX('Black-Scholes'!$B$6-C2927,0),MAX(C2927-'Black-Scholes'!$B$6,0))</f>
        <v>0</v>
      </c>
      <c r="F2927" s="18" t="n">
        <f aca="false">(E2927+G2927)/2</f>
        <v>6.23117990371324</v>
      </c>
      <c r="G2927" s="18" t="n">
        <f aca="false">EXP(-'Black-Scholes'!$B$8*'Black-Scholes'!$B$7)*IF(LOWER('Black-Scholes'!$B$11)="put",MAX('Black-Scholes'!$B$6-D2927,0),MAX(D2927-'Black-Scholes'!$B$6,0))</f>
        <v>12.4623598074265</v>
      </c>
    </row>
    <row r="2928" customFormat="false" ht="15" hidden="false" customHeight="false" outlineLevel="0" collapsed="false">
      <c r="A2928" s="0" t="n">
        <v>2917</v>
      </c>
      <c r="B2928" s="15" t="n">
        <v>1.73206315939443</v>
      </c>
      <c r="C2928" s="18" t="n">
        <f aca="false">'Black-Scholes'!$B$5*EXP(('Black-Scholes'!$B$8-'Black-Scholes'!$B$10-'Black-Scholes'!$B$9^2/2)*'Black-Scholes'!$B$7+'Black-Scholes'!$B$9*SQRT('Black-Scholes'!$B$7)*B2928)</f>
        <v>145.704823429648</v>
      </c>
      <c r="D2928" s="18" t="n">
        <f aca="false">'Black-Scholes'!$B$5*EXP(('Black-Scholes'!$B$8-'Black-Scholes'!$B$10-'Black-Scholes'!$B$9^2/2)*'Black-Scholes'!$B$7-'Black-Scholes'!$B$9*SQRT('Black-Scholes'!$B$7)*B2928)</f>
        <v>72.8758679055024</v>
      </c>
      <c r="E2928" s="18" t="n">
        <f aca="false">EXP(-'Black-Scholes'!$B$8*'Black-Scholes'!$B$7)*IF(LOWER('Black-Scholes'!$B$11)="put",MAX('Black-Scholes'!$B$6-C2928,0),MAX(C2928-'Black-Scholes'!$B$6,0))</f>
        <v>43.475772887891</v>
      </c>
      <c r="F2928" s="18" t="n">
        <f aca="false">(E2928+G2928)/2</f>
        <v>21.7378864439455</v>
      </c>
      <c r="G2928" s="18" t="n">
        <f aca="false">EXP(-'Black-Scholes'!$B$8*'Black-Scholes'!$B$7)*IF(LOWER('Black-Scholes'!$B$11)="put",MAX('Black-Scholes'!$B$6-D2928,0),MAX(D2928-'Black-Scholes'!$B$6,0))</f>
        <v>0</v>
      </c>
    </row>
    <row r="2929" customFormat="false" ht="15" hidden="false" customHeight="false" outlineLevel="0" collapsed="false">
      <c r="A2929" s="0" t="n">
        <v>2918</v>
      </c>
      <c r="B2929" s="15" t="n">
        <v>-1.48142195564418</v>
      </c>
      <c r="C2929" s="18" t="n">
        <f aca="false">'Black-Scholes'!$B$5*EXP(('Black-Scholes'!$B$8-'Black-Scholes'!$B$10-'Black-Scholes'!$B$9^2/2)*'Black-Scholes'!$B$7+'Black-Scholes'!$B$9*SQRT('Black-Scholes'!$B$7)*B2929)</f>
        <v>76.6221190003579</v>
      </c>
      <c r="D2929" s="18" t="n">
        <f aca="false">'Black-Scholes'!$B$5*EXP(('Black-Scholes'!$B$8-'Black-Scholes'!$B$10-'Black-Scholes'!$B$9^2/2)*'Black-Scholes'!$B$7-'Black-Scholes'!$B$9*SQRT('Black-Scholes'!$B$7)*B2929)</f>
        <v>138.580942474379</v>
      </c>
      <c r="E2929" s="18" t="n">
        <f aca="false">EXP(-'Black-Scholes'!$B$8*'Black-Scholes'!$B$7)*IF(LOWER('Black-Scholes'!$B$11)="put",MAX('Black-Scholes'!$B$6-C2929,0),MAX(C2929-'Black-Scholes'!$B$6,0))</f>
        <v>0</v>
      </c>
      <c r="F2929" s="18" t="n">
        <f aca="false">(E2929+G2929)/2</f>
        <v>18.3496638532992</v>
      </c>
      <c r="G2929" s="18" t="n">
        <f aca="false">EXP(-'Black-Scholes'!$B$8*'Black-Scholes'!$B$7)*IF(LOWER('Black-Scholes'!$B$11)="put",MAX('Black-Scholes'!$B$6-D2929,0),MAX(D2929-'Black-Scholes'!$B$6,0))</f>
        <v>36.6993277065984</v>
      </c>
    </row>
    <row r="2930" customFormat="false" ht="15" hidden="false" customHeight="false" outlineLevel="0" collapsed="false">
      <c r="A2930" s="0" t="n">
        <v>2919</v>
      </c>
      <c r="B2930" s="15" t="n">
        <v>-0.672068603413029</v>
      </c>
      <c r="C2930" s="18" t="n">
        <f aca="false">'Black-Scholes'!$B$5*EXP(('Black-Scholes'!$B$8-'Black-Scholes'!$B$10-'Black-Scholes'!$B$9^2/2)*'Black-Scholes'!$B$7+'Black-Scholes'!$B$9*SQRT('Black-Scholes'!$B$7)*B2930)</f>
        <v>90.0852518994364</v>
      </c>
      <c r="D2930" s="18" t="n">
        <f aca="false">'Black-Scholes'!$B$5*EXP(('Black-Scholes'!$B$8-'Black-Scholes'!$B$10-'Black-Scholes'!$B$9^2/2)*'Black-Scholes'!$B$7-'Black-Scholes'!$B$9*SQRT('Black-Scholes'!$B$7)*B2930)</f>
        <v>117.870186757174</v>
      </c>
      <c r="E2930" s="18" t="n">
        <f aca="false">EXP(-'Black-Scholes'!$B$8*'Black-Scholes'!$B$7)*IF(LOWER('Black-Scholes'!$B$11)="put",MAX('Black-Scholes'!$B$6-C2930,0),MAX(C2930-'Black-Scholes'!$B$6,0))</f>
        <v>0</v>
      </c>
      <c r="F2930" s="18" t="n">
        <f aca="false">(E2930+G2930)/2</f>
        <v>8.49932373237326</v>
      </c>
      <c r="G2930" s="18" t="n">
        <f aca="false">EXP(-'Black-Scholes'!$B$8*'Black-Scholes'!$B$7)*IF(LOWER('Black-Scholes'!$B$11)="put",MAX('Black-Scholes'!$B$6-D2930,0),MAX(D2930-'Black-Scholes'!$B$6,0))</f>
        <v>16.9986474647465</v>
      </c>
    </row>
    <row r="2931" customFormat="false" ht="15" hidden="false" customHeight="false" outlineLevel="0" collapsed="false">
      <c r="A2931" s="0" t="n">
        <v>2920</v>
      </c>
      <c r="B2931" s="15" t="n">
        <v>0.666538543723744</v>
      </c>
      <c r="C2931" s="18" t="n">
        <f aca="false">'Black-Scholes'!$B$5*EXP(('Black-Scholes'!$B$8-'Black-Scholes'!$B$10-'Black-Scholes'!$B$9^2/2)*'Black-Scholes'!$B$7+'Black-Scholes'!$B$9*SQRT('Black-Scholes'!$B$7)*B2931)</f>
        <v>117.739892990016</v>
      </c>
      <c r="D2931" s="18" t="n">
        <f aca="false">'Black-Scholes'!$B$5*EXP(('Black-Scholes'!$B$8-'Black-Scholes'!$B$10-'Black-Scholes'!$B$9^2/2)*'Black-Scholes'!$B$7-'Black-Scholes'!$B$9*SQRT('Black-Scholes'!$B$7)*B2931)</f>
        <v>90.184942382732</v>
      </c>
      <c r="E2931" s="18" t="n">
        <f aca="false">EXP(-'Black-Scholes'!$B$8*'Black-Scholes'!$B$7)*IF(LOWER('Black-Scholes'!$B$11)="put",MAX('Black-Scholes'!$B$6-C2931,0),MAX(C2931-'Black-Scholes'!$B$6,0))</f>
        <v>16.8747081995969</v>
      </c>
      <c r="F2931" s="18" t="n">
        <f aca="false">(E2931+G2931)/2</f>
        <v>8.43735409979843</v>
      </c>
      <c r="G2931" s="18" t="n">
        <f aca="false">EXP(-'Black-Scholes'!$B$8*'Black-Scholes'!$B$7)*IF(LOWER('Black-Scholes'!$B$11)="put",MAX('Black-Scholes'!$B$6-D2931,0),MAX(D2931-'Black-Scholes'!$B$6,0))</f>
        <v>0</v>
      </c>
    </row>
    <row r="2932" customFormat="false" ht="15" hidden="false" customHeight="false" outlineLevel="0" collapsed="false">
      <c r="A2932" s="0" t="n">
        <v>2921</v>
      </c>
      <c r="B2932" s="15" t="n">
        <v>-1.82725294328536</v>
      </c>
      <c r="C2932" s="18" t="n">
        <f aca="false">'Black-Scholes'!$B$5*EXP(('Black-Scholes'!$B$8-'Black-Scholes'!$B$10-'Black-Scholes'!$B$9^2/2)*'Black-Scholes'!$B$7+'Black-Scholes'!$B$9*SQRT('Black-Scholes'!$B$7)*B2932)</f>
        <v>71.5015835731568</v>
      </c>
      <c r="D2932" s="18" t="n">
        <f aca="false">'Black-Scholes'!$B$5*EXP(('Black-Scholes'!$B$8-'Black-Scholes'!$B$10-'Black-Scholes'!$B$9^2/2)*'Black-Scholes'!$B$7-'Black-Scholes'!$B$9*SQRT('Black-Scholes'!$B$7)*B2932)</f>
        <v>148.505318831008</v>
      </c>
      <c r="E2932" s="18" t="n">
        <f aca="false">EXP(-'Black-Scholes'!$B$8*'Black-Scholes'!$B$7)*IF(LOWER('Black-Scholes'!$B$11)="put",MAX('Black-Scholes'!$B$6-C2932,0),MAX(C2932-'Black-Scholes'!$B$6,0))</f>
        <v>0</v>
      </c>
      <c r="F2932" s="18" t="n">
        <f aca="false">(E2932+G2932)/2</f>
        <v>23.0698432584216</v>
      </c>
      <c r="G2932" s="18" t="n">
        <f aca="false">EXP(-'Black-Scholes'!$B$8*'Black-Scholes'!$B$7)*IF(LOWER('Black-Scholes'!$B$11)="put",MAX('Black-Scholes'!$B$6-D2932,0),MAX(D2932-'Black-Scholes'!$B$6,0))</f>
        <v>46.1396865168432</v>
      </c>
    </row>
    <row r="2933" customFormat="false" ht="15" hidden="false" customHeight="false" outlineLevel="0" collapsed="false">
      <c r="A2933" s="0" t="n">
        <v>2922</v>
      </c>
      <c r="B2933" s="15" t="n">
        <v>0.515572382690362</v>
      </c>
      <c r="C2933" s="18" t="n">
        <f aca="false">'Black-Scholes'!$B$5*EXP(('Black-Scholes'!$B$8-'Black-Scholes'!$B$10-'Black-Scholes'!$B$9^2/2)*'Black-Scholes'!$B$7+'Black-Scholes'!$B$9*SQRT('Black-Scholes'!$B$7)*B2933)</f>
        <v>114.238076664113</v>
      </c>
      <c r="D2933" s="18" t="n">
        <f aca="false">'Black-Scholes'!$B$5*EXP(('Black-Scholes'!$B$8-'Black-Scholes'!$B$10-'Black-Scholes'!$B$9^2/2)*'Black-Scholes'!$B$7-'Black-Scholes'!$B$9*SQRT('Black-Scholes'!$B$7)*B2933)</f>
        <v>92.9494418631902</v>
      </c>
      <c r="E2933" s="18" t="n">
        <f aca="false">EXP(-'Black-Scholes'!$B$8*'Black-Scholes'!$B$7)*IF(LOWER('Black-Scholes'!$B$11)="put",MAX('Black-Scholes'!$B$6-C2933,0),MAX(C2933-'Black-Scholes'!$B$6,0))</f>
        <v>13.5436774712008</v>
      </c>
      <c r="F2933" s="18" t="n">
        <f aca="false">(E2933+G2933)/2</f>
        <v>6.7718387356004</v>
      </c>
      <c r="G2933" s="18" t="n">
        <f aca="false">EXP(-'Black-Scholes'!$B$8*'Black-Scholes'!$B$7)*IF(LOWER('Black-Scholes'!$B$11)="put",MAX('Black-Scholes'!$B$6-D2933,0),MAX(D2933-'Black-Scholes'!$B$6,0))</f>
        <v>0</v>
      </c>
    </row>
    <row r="2934" customFormat="false" ht="15" hidden="false" customHeight="false" outlineLevel="0" collapsed="false">
      <c r="A2934" s="0" t="n">
        <v>2923</v>
      </c>
      <c r="B2934" s="15" t="n">
        <v>0.453574490042213</v>
      </c>
      <c r="C2934" s="18" t="n">
        <f aca="false">'Black-Scholes'!$B$5*EXP(('Black-Scholes'!$B$8-'Black-Scholes'!$B$10-'Black-Scholes'!$B$9^2/2)*'Black-Scholes'!$B$7+'Black-Scholes'!$B$9*SQRT('Black-Scholes'!$B$7)*B2934)</f>
        <v>112.830318502184</v>
      </c>
      <c r="D2934" s="18" t="n">
        <f aca="false">'Black-Scholes'!$B$5*EXP(('Black-Scholes'!$B$8-'Black-Scholes'!$B$10-'Black-Scholes'!$B$9^2/2)*'Black-Scholes'!$B$7-'Black-Scholes'!$B$9*SQRT('Black-Scholes'!$B$7)*B2934)</f>
        <v>94.1091508595544</v>
      </c>
      <c r="E2934" s="18" t="n">
        <f aca="false">EXP(-'Black-Scholes'!$B$8*'Black-Scholes'!$B$7)*IF(LOWER('Black-Scholes'!$B$11)="put",MAX('Black-Scholes'!$B$6-C2934,0),MAX(C2934-'Black-Scholes'!$B$6,0))</f>
        <v>12.2045764849933</v>
      </c>
      <c r="F2934" s="18" t="n">
        <f aca="false">(E2934+G2934)/2</f>
        <v>6.10228824249665</v>
      </c>
      <c r="G2934" s="18" t="n">
        <f aca="false">EXP(-'Black-Scholes'!$B$8*'Black-Scholes'!$B$7)*IF(LOWER('Black-Scholes'!$B$11)="put",MAX('Black-Scholes'!$B$6-D2934,0),MAX(D2934-'Black-Scholes'!$B$6,0))</f>
        <v>0</v>
      </c>
    </row>
    <row r="2935" customFormat="false" ht="15" hidden="false" customHeight="false" outlineLevel="0" collapsed="false">
      <c r="A2935" s="0" t="n">
        <v>2924</v>
      </c>
      <c r="B2935" s="15" t="n">
        <v>-0.865552589338998</v>
      </c>
      <c r="C2935" s="18" t="n">
        <f aca="false">'Black-Scholes'!$B$5*EXP(('Black-Scholes'!$B$8-'Black-Scholes'!$B$10-'Black-Scholes'!$B$9^2/2)*'Black-Scholes'!$B$7+'Black-Scholes'!$B$9*SQRT('Black-Scholes'!$B$7)*B2935)</f>
        <v>86.6658282377046</v>
      </c>
      <c r="D2935" s="18" t="n">
        <f aca="false">'Black-Scholes'!$B$5*EXP(('Black-Scholes'!$B$8-'Black-Scholes'!$B$10-'Black-Scholes'!$B$9^2/2)*'Black-Scholes'!$B$7-'Black-Scholes'!$B$9*SQRT('Black-Scholes'!$B$7)*B2935)</f>
        <v>122.520786812651</v>
      </c>
      <c r="E2935" s="18" t="n">
        <f aca="false">EXP(-'Black-Scholes'!$B$8*'Black-Scholes'!$B$7)*IF(LOWER('Black-Scholes'!$B$11)="put",MAX('Black-Scholes'!$B$6-C2935,0),MAX(C2935-'Black-Scholes'!$B$6,0))</f>
        <v>0</v>
      </c>
      <c r="F2935" s="18" t="n">
        <f aca="false">(E2935+G2935)/2</f>
        <v>10.7112175395504</v>
      </c>
      <c r="G2935" s="18" t="n">
        <f aca="false">EXP(-'Black-Scholes'!$B$8*'Black-Scholes'!$B$7)*IF(LOWER('Black-Scholes'!$B$11)="put",MAX('Black-Scholes'!$B$6-D2935,0),MAX(D2935-'Black-Scholes'!$B$6,0))</f>
        <v>21.4224350791008</v>
      </c>
    </row>
    <row r="2936" customFormat="false" ht="15" hidden="false" customHeight="false" outlineLevel="0" collapsed="false">
      <c r="A2936" s="0" t="n">
        <v>2925</v>
      </c>
      <c r="B2936" s="15" t="n">
        <v>0.448769742912998</v>
      </c>
      <c r="C2936" s="18" t="n">
        <f aca="false">'Black-Scholes'!$B$5*EXP(('Black-Scholes'!$B$8-'Black-Scholes'!$B$10-'Black-Scholes'!$B$9^2/2)*'Black-Scholes'!$B$7+'Black-Scholes'!$B$9*SQRT('Black-Scholes'!$B$7)*B2936)</f>
        <v>112.721946350819</v>
      </c>
      <c r="D2936" s="18" t="n">
        <f aca="false">'Black-Scholes'!$B$5*EXP(('Black-Scholes'!$B$8-'Black-Scholes'!$B$10-'Black-Scholes'!$B$9^2/2)*'Black-Scholes'!$B$7-'Black-Scholes'!$B$9*SQRT('Black-Scholes'!$B$7)*B2936)</f>
        <v>94.1996284592757</v>
      </c>
      <c r="E2936" s="18" t="n">
        <f aca="false">EXP(-'Black-Scholes'!$B$8*'Black-Scholes'!$B$7)*IF(LOWER('Black-Scholes'!$B$11)="put",MAX('Black-Scholes'!$B$6-C2936,0),MAX(C2936-'Black-Scholes'!$B$6,0))</f>
        <v>12.1014897058189</v>
      </c>
      <c r="F2936" s="18" t="n">
        <f aca="false">(E2936+G2936)/2</f>
        <v>6.05074485290943</v>
      </c>
      <c r="G2936" s="18" t="n">
        <f aca="false">EXP(-'Black-Scholes'!$B$8*'Black-Scholes'!$B$7)*IF(LOWER('Black-Scholes'!$B$11)="put",MAX('Black-Scholes'!$B$6-D2936,0),MAX(D2936-'Black-Scholes'!$B$6,0))</f>
        <v>0</v>
      </c>
    </row>
    <row r="2937" customFormat="false" ht="15" hidden="false" customHeight="false" outlineLevel="0" collapsed="false">
      <c r="A2937" s="0" t="n">
        <v>2926</v>
      </c>
      <c r="B2937" s="15" t="n">
        <v>-0.156071034690952</v>
      </c>
      <c r="C2937" s="18" t="n">
        <f aca="false">'Black-Scholes'!$B$5*EXP(('Black-Scholes'!$B$8-'Black-Scholes'!$B$10-'Black-Scholes'!$B$9^2/2)*'Black-Scholes'!$B$7+'Black-Scholes'!$B$9*SQRT('Black-Scholes'!$B$7)*B2937)</f>
        <v>99.8786529912794</v>
      </c>
      <c r="D2937" s="18" t="n">
        <f aca="false">'Black-Scholes'!$B$5*EXP(('Black-Scholes'!$B$8-'Black-Scholes'!$B$10-'Black-Scholes'!$B$9^2/2)*'Black-Scholes'!$B$7-'Black-Scholes'!$B$9*SQRT('Black-Scholes'!$B$7)*B2937)</f>
        <v>106.31266188963</v>
      </c>
      <c r="E2937" s="18" t="n">
        <f aca="false">EXP(-'Black-Scholes'!$B$8*'Black-Scholes'!$B$7)*IF(LOWER('Black-Scholes'!$B$11)="put",MAX('Black-Scholes'!$B$6-C2937,0),MAX(C2937-'Black-Scholes'!$B$6,0))</f>
        <v>0</v>
      </c>
      <c r="F2937" s="18" t="n">
        <f aca="false">(E2937+G2937)/2</f>
        <v>3.00239486817031</v>
      </c>
      <c r="G2937" s="18" t="n">
        <f aca="false">EXP(-'Black-Scholes'!$B$8*'Black-Scholes'!$B$7)*IF(LOWER('Black-Scholes'!$B$11)="put",MAX('Black-Scholes'!$B$6-D2937,0),MAX(D2937-'Black-Scholes'!$B$6,0))</f>
        <v>6.00478973634061</v>
      </c>
    </row>
    <row r="2938" customFormat="false" ht="15" hidden="false" customHeight="false" outlineLevel="0" collapsed="false">
      <c r="A2938" s="0" t="n">
        <v>2927</v>
      </c>
      <c r="B2938" s="15" t="n">
        <v>-1.31622157383327</v>
      </c>
      <c r="C2938" s="18" t="n">
        <f aca="false">'Black-Scholes'!$B$5*EXP(('Black-Scholes'!$B$8-'Black-Scholes'!$B$10-'Black-Scholes'!$B$9^2/2)*'Black-Scholes'!$B$7+'Black-Scholes'!$B$9*SQRT('Black-Scholes'!$B$7)*B2938)</f>
        <v>79.1960062348627</v>
      </c>
      <c r="D2938" s="18" t="n">
        <f aca="false">'Black-Scholes'!$B$5*EXP(('Black-Scholes'!$B$8-'Black-Scholes'!$B$10-'Black-Scholes'!$B$9^2/2)*'Black-Scholes'!$B$7-'Black-Scholes'!$B$9*SQRT('Black-Scholes'!$B$7)*B2938)</f>
        <v>134.077032040781</v>
      </c>
      <c r="E2938" s="18" t="n">
        <f aca="false">EXP(-'Black-Scholes'!$B$8*'Black-Scholes'!$B$7)*IF(LOWER('Black-Scholes'!$B$11)="put",MAX('Black-Scholes'!$B$6-C2938,0),MAX(C2938-'Black-Scholes'!$B$6,0))</f>
        <v>0</v>
      </c>
      <c r="F2938" s="18" t="n">
        <f aca="false">(E2938+G2938)/2</f>
        <v>16.2075377884224</v>
      </c>
      <c r="G2938" s="18" t="n">
        <f aca="false">EXP(-'Black-Scholes'!$B$8*'Black-Scholes'!$B$7)*IF(LOWER('Black-Scholes'!$B$11)="put",MAX('Black-Scholes'!$B$6-D2938,0),MAX(D2938-'Black-Scholes'!$B$6,0))</f>
        <v>32.4150755768448</v>
      </c>
    </row>
    <row r="2939" customFormat="false" ht="15" hidden="false" customHeight="false" outlineLevel="0" collapsed="false">
      <c r="A2939" s="0" t="n">
        <v>2928</v>
      </c>
      <c r="B2939" s="15" t="n">
        <v>0.704832582819425</v>
      </c>
      <c r="C2939" s="18" t="n">
        <f aca="false">'Black-Scholes'!$B$5*EXP(('Black-Scholes'!$B$8-'Black-Scholes'!$B$10-'Black-Scholes'!$B$9^2/2)*'Black-Scholes'!$B$7+'Black-Scholes'!$B$9*SQRT('Black-Scholes'!$B$7)*B2939)</f>
        <v>118.645102189962</v>
      </c>
      <c r="D2939" s="18" t="n">
        <f aca="false">'Black-Scholes'!$B$5*EXP(('Black-Scholes'!$B$8-'Black-Scholes'!$B$10-'Black-Scholes'!$B$9^2/2)*'Black-Scholes'!$B$7-'Black-Scholes'!$B$9*SQRT('Black-Scholes'!$B$7)*B2939)</f>
        <v>89.4968715055139</v>
      </c>
      <c r="E2939" s="18" t="n">
        <f aca="false">EXP(-'Black-Scholes'!$B$8*'Black-Scholes'!$B$7)*IF(LOWER('Black-Scholes'!$B$11)="put",MAX('Black-Scholes'!$B$6-C2939,0),MAX(C2939-'Black-Scholes'!$B$6,0))</f>
        <v>17.7357698259145</v>
      </c>
      <c r="F2939" s="18" t="n">
        <f aca="false">(E2939+G2939)/2</f>
        <v>8.86788491295726</v>
      </c>
      <c r="G2939" s="18" t="n">
        <f aca="false">EXP(-'Black-Scholes'!$B$8*'Black-Scholes'!$B$7)*IF(LOWER('Black-Scholes'!$B$11)="put",MAX('Black-Scholes'!$B$6-D2939,0),MAX(D2939-'Black-Scholes'!$B$6,0))</f>
        <v>0</v>
      </c>
    </row>
    <row r="2940" customFormat="false" ht="15" hidden="false" customHeight="false" outlineLevel="0" collapsed="false">
      <c r="A2940" s="0" t="n">
        <v>2929</v>
      </c>
      <c r="B2940" s="15" t="n">
        <v>1.96690488207276</v>
      </c>
      <c r="C2940" s="18" t="n">
        <f aca="false">'Black-Scholes'!$B$5*EXP(('Black-Scholes'!$B$8-'Black-Scholes'!$B$10-'Black-Scholes'!$B$9^2/2)*'Black-Scholes'!$B$7+'Black-Scholes'!$B$9*SQRT('Black-Scholes'!$B$7)*B2940)</f>
        <v>152.71159803262</v>
      </c>
      <c r="D2940" s="18" t="n">
        <f aca="false">'Black-Scholes'!$B$5*EXP(('Black-Scholes'!$B$8-'Black-Scholes'!$B$10-'Black-Scholes'!$B$9^2/2)*'Black-Scholes'!$B$7-'Black-Scholes'!$B$9*SQRT('Black-Scholes'!$B$7)*B2940)</f>
        <v>69.5321481947</v>
      </c>
      <c r="E2940" s="18" t="n">
        <f aca="false">EXP(-'Black-Scholes'!$B$8*'Black-Scholes'!$B$7)*IF(LOWER('Black-Scholes'!$B$11)="put",MAX('Black-Scholes'!$B$6-C2940,0),MAX(C2940-'Black-Scholes'!$B$6,0))</f>
        <v>50.1408230610821</v>
      </c>
      <c r="F2940" s="18" t="n">
        <f aca="false">(E2940+G2940)/2</f>
        <v>25.0704115305411</v>
      </c>
      <c r="G2940" s="18" t="n">
        <f aca="false">EXP(-'Black-Scholes'!$B$8*'Black-Scholes'!$B$7)*IF(LOWER('Black-Scholes'!$B$11)="put",MAX('Black-Scholes'!$B$6-D2940,0),MAX(D2940-'Black-Scholes'!$B$6,0))</f>
        <v>0</v>
      </c>
    </row>
    <row r="2941" customFormat="false" ht="15" hidden="false" customHeight="false" outlineLevel="0" collapsed="false">
      <c r="A2941" s="0" t="n">
        <v>2930</v>
      </c>
      <c r="B2941" s="15" t="n">
        <v>2.2153670890415</v>
      </c>
      <c r="C2941" s="18" t="n">
        <f aca="false">'Black-Scholes'!$B$5*EXP(('Black-Scholes'!$B$8-'Black-Scholes'!$B$10-'Black-Scholes'!$B$9^2/2)*'Black-Scholes'!$B$7+'Black-Scholes'!$B$9*SQRT('Black-Scholes'!$B$7)*B2941)</f>
        <v>160.491920830174</v>
      </c>
      <c r="D2941" s="18" t="n">
        <f aca="false">'Black-Scholes'!$B$5*EXP(('Black-Scholes'!$B$8-'Black-Scholes'!$B$10-'Black-Scholes'!$B$9^2/2)*'Black-Scholes'!$B$7-'Black-Scholes'!$B$9*SQRT('Black-Scholes'!$B$7)*B2941)</f>
        <v>66.1613706816402</v>
      </c>
      <c r="E2941" s="18" t="n">
        <f aca="false">EXP(-'Black-Scholes'!$B$8*'Black-Scholes'!$B$7)*IF(LOWER('Black-Scholes'!$B$11)="put",MAX('Black-Scholes'!$B$6-C2941,0),MAX(C2941-'Black-Scholes'!$B$6,0))</f>
        <v>57.5416950382291</v>
      </c>
      <c r="F2941" s="18" t="n">
        <f aca="false">(E2941+G2941)/2</f>
        <v>28.7708475191145</v>
      </c>
      <c r="G2941" s="18" t="n">
        <f aca="false">EXP(-'Black-Scholes'!$B$8*'Black-Scholes'!$B$7)*IF(LOWER('Black-Scholes'!$B$11)="put",MAX('Black-Scholes'!$B$6-D2941,0),MAX(D2941-'Black-Scholes'!$B$6,0))</f>
        <v>0</v>
      </c>
    </row>
    <row r="2942" customFormat="false" ht="15" hidden="false" customHeight="false" outlineLevel="0" collapsed="false">
      <c r="A2942" s="0" t="n">
        <v>2931</v>
      </c>
      <c r="B2942" s="15" t="n">
        <v>0.591400995252291</v>
      </c>
      <c r="C2942" s="18" t="n">
        <f aca="false">'Black-Scholes'!$B$5*EXP(('Black-Scholes'!$B$8-'Black-Scholes'!$B$10-'Black-Scholes'!$B$9^2/2)*'Black-Scholes'!$B$7+'Black-Scholes'!$B$9*SQRT('Black-Scholes'!$B$7)*B2942)</f>
        <v>115.983783629733</v>
      </c>
      <c r="D2942" s="18" t="n">
        <f aca="false">'Black-Scholes'!$B$5*EXP(('Black-Scholes'!$B$8-'Black-Scholes'!$B$10-'Black-Scholes'!$B$9^2/2)*'Black-Scholes'!$B$7-'Black-Scholes'!$B$9*SQRT('Black-Scholes'!$B$7)*B2942)</f>
        <v>91.5504317340747</v>
      </c>
      <c r="E2942" s="18" t="n">
        <f aca="false">EXP(-'Black-Scholes'!$B$8*'Black-Scholes'!$B$7)*IF(LOWER('Black-Scholes'!$B$11)="put",MAX('Black-Scholes'!$B$6-C2942,0),MAX(C2942-'Black-Scholes'!$B$6,0))</f>
        <v>15.2042453034552</v>
      </c>
      <c r="F2942" s="18" t="n">
        <f aca="false">(E2942+G2942)/2</f>
        <v>7.60212265172759</v>
      </c>
      <c r="G2942" s="18" t="n">
        <f aca="false">EXP(-'Black-Scholes'!$B$8*'Black-Scholes'!$B$7)*IF(LOWER('Black-Scholes'!$B$11)="put",MAX('Black-Scholes'!$B$6-D2942,0),MAX(D2942-'Black-Scholes'!$B$6,0))</f>
        <v>0</v>
      </c>
    </row>
    <row r="2943" customFormat="false" ht="15" hidden="false" customHeight="false" outlineLevel="0" collapsed="false">
      <c r="A2943" s="0" t="n">
        <v>2932</v>
      </c>
      <c r="B2943" s="15" t="n">
        <v>1.22230515994637</v>
      </c>
      <c r="C2943" s="18" t="n">
        <f aca="false">'Black-Scholes'!$B$5*EXP(('Black-Scholes'!$B$8-'Black-Scholes'!$B$10-'Black-Scholes'!$B$9^2/2)*'Black-Scholes'!$B$7+'Black-Scholes'!$B$9*SQRT('Black-Scholes'!$B$7)*B2943)</f>
        <v>131.582129813158</v>
      </c>
      <c r="D2943" s="18" t="n">
        <f aca="false">'Black-Scholes'!$B$5*EXP(('Black-Scholes'!$B$8-'Black-Scholes'!$B$10-'Black-Scholes'!$B$9^2/2)*'Black-Scholes'!$B$7-'Black-Scholes'!$B$9*SQRT('Black-Scholes'!$B$7)*B2943)</f>
        <v>80.6976257378663</v>
      </c>
      <c r="E2943" s="18" t="n">
        <f aca="false">EXP(-'Black-Scholes'!$B$8*'Black-Scholes'!$B$7)*IF(LOWER('Black-Scholes'!$B$11)="put",MAX('Black-Scholes'!$B$6-C2943,0),MAX(C2943-'Black-Scholes'!$B$6,0))</f>
        <v>30.0418511666775</v>
      </c>
      <c r="F2943" s="18" t="n">
        <f aca="false">(E2943+G2943)/2</f>
        <v>15.0209255833388</v>
      </c>
      <c r="G2943" s="18" t="n">
        <f aca="false">EXP(-'Black-Scholes'!$B$8*'Black-Scholes'!$B$7)*IF(LOWER('Black-Scholes'!$B$11)="put",MAX('Black-Scholes'!$B$6-D2943,0),MAX(D2943-'Black-Scholes'!$B$6,0))</f>
        <v>0</v>
      </c>
    </row>
    <row r="2944" customFormat="false" ht="15" hidden="false" customHeight="false" outlineLevel="0" collapsed="false">
      <c r="A2944" s="0" t="n">
        <v>2933</v>
      </c>
      <c r="B2944" s="15" t="n">
        <v>-1.04298391414326</v>
      </c>
      <c r="C2944" s="18" t="n">
        <f aca="false">'Black-Scholes'!$B$5*EXP(('Black-Scholes'!$B$8-'Black-Scholes'!$B$10-'Black-Scholes'!$B$9^2/2)*'Black-Scholes'!$B$7+'Black-Scholes'!$B$9*SQRT('Black-Scholes'!$B$7)*B2944)</f>
        <v>83.6443099630632</v>
      </c>
      <c r="D2944" s="18" t="n">
        <f aca="false">'Black-Scholes'!$B$5*EXP(('Black-Scholes'!$B$8-'Black-Scholes'!$B$10-'Black-Scholes'!$B$9^2/2)*'Black-Scholes'!$B$7-'Black-Scholes'!$B$9*SQRT('Black-Scholes'!$B$7)*B2944)</f>
        <v>126.946656265592</v>
      </c>
      <c r="E2944" s="18" t="n">
        <f aca="false">EXP(-'Black-Scholes'!$B$8*'Black-Scholes'!$B$7)*IF(LOWER('Black-Scholes'!$B$11)="put",MAX('Black-Scholes'!$B$6-C2944,0),MAX(C2944-'Black-Scholes'!$B$6,0))</f>
        <v>0</v>
      </c>
      <c r="F2944" s="18" t="n">
        <f aca="false">(E2944+G2944)/2</f>
        <v>12.8162261658687</v>
      </c>
      <c r="G2944" s="18" t="n">
        <f aca="false">EXP(-'Black-Scholes'!$B$8*'Black-Scholes'!$B$7)*IF(LOWER('Black-Scholes'!$B$11)="put",MAX('Black-Scholes'!$B$6-D2944,0),MAX(D2944-'Black-Scholes'!$B$6,0))</f>
        <v>25.6324523317374</v>
      </c>
    </row>
    <row r="2945" customFormat="false" ht="15" hidden="false" customHeight="false" outlineLevel="0" collapsed="false">
      <c r="A2945" s="0" t="n">
        <v>2934</v>
      </c>
      <c r="B2945" s="15" t="n">
        <v>0.417364303250956</v>
      </c>
      <c r="C2945" s="18" t="n">
        <f aca="false">'Black-Scholes'!$B$5*EXP(('Black-Scholes'!$B$8-'Black-Scholes'!$B$10-'Black-Scholes'!$B$9^2/2)*'Black-Scholes'!$B$7+'Black-Scholes'!$B$9*SQRT('Black-Scholes'!$B$7)*B2945)</f>
        <v>112.016148802539</v>
      </c>
      <c r="D2945" s="18" t="n">
        <f aca="false">'Black-Scholes'!$B$5*EXP(('Black-Scholes'!$B$8-'Black-Scholes'!$B$10-'Black-Scholes'!$B$9^2/2)*'Black-Scholes'!$B$7-'Black-Scholes'!$B$9*SQRT('Black-Scholes'!$B$7)*B2945)</f>
        <v>94.7931666903812</v>
      </c>
      <c r="E2945" s="18" t="n">
        <f aca="false">EXP(-'Black-Scholes'!$B$8*'Black-Scholes'!$B$7)*IF(LOWER('Black-Scholes'!$B$11)="put",MAX('Black-Scholes'!$B$6-C2945,0),MAX(C2945-'Black-Scholes'!$B$6,0))</f>
        <v>11.4301143101538</v>
      </c>
      <c r="F2945" s="18" t="n">
        <f aca="false">(E2945+G2945)/2</f>
        <v>5.71505715507689</v>
      </c>
      <c r="G2945" s="18" t="n">
        <f aca="false">EXP(-'Black-Scholes'!$B$8*'Black-Scholes'!$B$7)*IF(LOWER('Black-Scholes'!$B$11)="put",MAX('Black-Scholes'!$B$6-D2945,0),MAX(D2945-'Black-Scholes'!$B$6,0))</f>
        <v>0</v>
      </c>
    </row>
    <row r="2946" customFormat="false" ht="15" hidden="false" customHeight="false" outlineLevel="0" collapsed="false">
      <c r="A2946" s="0" t="n">
        <v>2935</v>
      </c>
      <c r="B2946" s="15" t="n">
        <v>-0.164188103187146</v>
      </c>
      <c r="C2946" s="18" t="n">
        <f aca="false">'Black-Scholes'!$B$5*EXP(('Black-Scholes'!$B$8-'Black-Scholes'!$B$10-'Black-Scholes'!$B$9^2/2)*'Black-Scholes'!$B$7+'Black-Scholes'!$B$9*SQRT('Black-Scholes'!$B$7)*B2946)</f>
        <v>99.7166401602582</v>
      </c>
      <c r="D2946" s="18" t="n">
        <f aca="false">'Black-Scholes'!$B$5*EXP(('Black-Scholes'!$B$8-'Black-Scholes'!$B$10-'Black-Scholes'!$B$9^2/2)*'Black-Scholes'!$B$7-'Black-Scholes'!$B$9*SQRT('Black-Scholes'!$B$7)*B2946)</f>
        <v>106.485391489208</v>
      </c>
      <c r="E2946" s="18" t="n">
        <f aca="false">EXP(-'Black-Scholes'!$B$8*'Black-Scholes'!$B$7)*IF(LOWER('Black-Scholes'!$B$11)="put",MAX('Black-Scholes'!$B$6-C2946,0),MAX(C2946-'Black-Scholes'!$B$6,0))</f>
        <v>0</v>
      </c>
      <c r="F2946" s="18" t="n">
        <f aca="false">(E2946+G2946)/2</f>
        <v>3.08454760697069</v>
      </c>
      <c r="G2946" s="18" t="n">
        <f aca="false">EXP(-'Black-Scholes'!$B$8*'Black-Scholes'!$B$7)*IF(LOWER('Black-Scholes'!$B$11)="put",MAX('Black-Scholes'!$B$6-D2946,0),MAX(D2946-'Black-Scholes'!$B$6,0))</f>
        <v>6.16909521394138</v>
      </c>
    </row>
    <row r="2947" customFormat="false" ht="15" hidden="false" customHeight="false" outlineLevel="0" collapsed="false">
      <c r="A2947" s="0" t="n">
        <v>2936</v>
      </c>
      <c r="B2947" s="15" t="n">
        <v>-1.91672822760202</v>
      </c>
      <c r="C2947" s="18" t="n">
        <f aca="false">'Black-Scholes'!$B$5*EXP(('Black-Scholes'!$B$8-'Black-Scholes'!$B$10-'Black-Scholes'!$B$9^2/2)*'Black-Scholes'!$B$7+'Black-Scholes'!$B$9*SQRT('Black-Scholes'!$B$7)*B2947)</f>
        <v>70.2334392681516</v>
      </c>
      <c r="D2947" s="18" t="n">
        <f aca="false">'Black-Scholes'!$B$5*EXP(('Black-Scholes'!$B$8-'Black-Scholes'!$B$10-'Black-Scholes'!$B$9^2/2)*'Black-Scholes'!$B$7-'Black-Scholes'!$B$9*SQRT('Black-Scholes'!$B$7)*B2947)</f>
        <v>151.186750586322</v>
      </c>
      <c r="E2947" s="18" t="n">
        <f aca="false">EXP(-'Black-Scholes'!$B$8*'Black-Scholes'!$B$7)*IF(LOWER('Black-Scholes'!$B$11)="put",MAX('Black-Scholes'!$B$6-C2947,0),MAX(C2947-'Black-Scholes'!$B$6,0))</f>
        <v>0</v>
      </c>
      <c r="F2947" s="18" t="n">
        <f aca="false">(E2947+G2947)/2</f>
        <v>24.3451716511441</v>
      </c>
      <c r="G2947" s="18" t="n">
        <f aca="false">EXP(-'Black-Scholes'!$B$8*'Black-Scholes'!$B$7)*IF(LOWER('Black-Scholes'!$B$11)="put",MAX('Black-Scholes'!$B$6-D2947,0),MAX(D2947-'Black-Scholes'!$B$6,0))</f>
        <v>48.6903433022882</v>
      </c>
    </row>
    <row r="2948" customFormat="false" ht="15" hidden="false" customHeight="false" outlineLevel="0" collapsed="false">
      <c r="A2948" s="0" t="n">
        <v>2937</v>
      </c>
      <c r="B2948" s="15" t="n">
        <v>1.81611583935236</v>
      </c>
      <c r="C2948" s="18" t="n">
        <f aca="false">'Black-Scholes'!$B$5*EXP(('Black-Scholes'!$B$8-'Black-Scholes'!$B$10-'Black-Scholes'!$B$9^2/2)*'Black-Scholes'!$B$7+'Black-Scholes'!$B$9*SQRT('Black-Scholes'!$B$7)*B2948)</f>
        <v>148.174903120944</v>
      </c>
      <c r="D2948" s="18" t="n">
        <f aca="false">'Black-Scholes'!$B$5*EXP(('Black-Scholes'!$B$8-'Black-Scholes'!$B$10-'Black-Scholes'!$B$9^2/2)*'Black-Scholes'!$B$7-'Black-Scholes'!$B$9*SQRT('Black-Scholes'!$B$7)*B2948)</f>
        <v>71.6610251925499</v>
      </c>
      <c r="E2948" s="18" t="n">
        <f aca="false">EXP(-'Black-Scholes'!$B$8*'Black-Scholes'!$B$7)*IF(LOWER('Black-Scholes'!$B$11)="put",MAX('Black-Scholes'!$B$6-C2948,0),MAX(C2948-'Black-Scholes'!$B$6,0))</f>
        <v>45.8253853711131</v>
      </c>
      <c r="F2948" s="18" t="n">
        <f aca="false">(E2948+G2948)/2</f>
        <v>22.9126926855565</v>
      </c>
      <c r="G2948" s="18" t="n">
        <f aca="false">EXP(-'Black-Scholes'!$B$8*'Black-Scholes'!$B$7)*IF(LOWER('Black-Scholes'!$B$11)="put",MAX('Black-Scholes'!$B$6-D2948,0),MAX(D2948-'Black-Scholes'!$B$6,0))</f>
        <v>0</v>
      </c>
    </row>
    <row r="2949" customFormat="false" ht="15" hidden="false" customHeight="false" outlineLevel="0" collapsed="false">
      <c r="A2949" s="0" t="n">
        <v>2938</v>
      </c>
      <c r="B2949" s="15" t="n">
        <v>-0.890860795187712</v>
      </c>
      <c r="C2949" s="18" t="n">
        <f aca="false">'Black-Scholes'!$B$5*EXP(('Black-Scholes'!$B$8-'Black-Scholes'!$B$10-'Black-Scholes'!$B$9^2/2)*'Black-Scholes'!$B$7+'Black-Scholes'!$B$9*SQRT('Black-Scholes'!$B$7)*B2949)</f>
        <v>86.22826524113</v>
      </c>
      <c r="D2949" s="18" t="n">
        <f aca="false">'Black-Scholes'!$B$5*EXP(('Black-Scholes'!$B$8-'Black-Scholes'!$B$10-'Black-Scholes'!$B$9^2/2)*'Black-Scholes'!$B$7-'Black-Scholes'!$B$9*SQRT('Black-Scholes'!$B$7)*B2949)</f>
        <v>123.142515226999</v>
      </c>
      <c r="E2949" s="18" t="n">
        <f aca="false">EXP(-'Black-Scholes'!$B$8*'Black-Scholes'!$B$7)*IF(LOWER('Black-Scholes'!$B$11)="put",MAX('Black-Scholes'!$B$6-C2949,0),MAX(C2949-'Black-Scholes'!$B$6,0))</f>
        <v>0</v>
      </c>
      <c r="F2949" s="18" t="n">
        <f aca="false">(E2949+G2949)/2</f>
        <v>11.0069207204388</v>
      </c>
      <c r="G2949" s="18" t="n">
        <f aca="false">EXP(-'Black-Scholes'!$B$8*'Black-Scholes'!$B$7)*IF(LOWER('Black-Scholes'!$B$11)="put",MAX('Black-Scholes'!$B$6-D2949,0),MAX(D2949-'Black-Scholes'!$B$6,0))</f>
        <v>22.0138414408776</v>
      </c>
    </row>
    <row r="2950" customFormat="false" ht="15" hidden="false" customHeight="false" outlineLevel="0" collapsed="false">
      <c r="A2950" s="0" t="n">
        <v>2939</v>
      </c>
      <c r="B2950" s="15" t="n">
        <v>-0.976552469038027</v>
      </c>
      <c r="C2950" s="18" t="n">
        <f aca="false">'Black-Scholes'!$B$5*EXP(('Black-Scholes'!$B$8-'Black-Scholes'!$B$10-'Black-Scholes'!$B$9^2/2)*'Black-Scholes'!$B$7+'Black-Scholes'!$B$9*SQRT('Black-Scholes'!$B$7)*B2950)</f>
        <v>84.7630479210251</v>
      </c>
      <c r="D2950" s="18" t="n">
        <f aca="false">'Black-Scholes'!$B$5*EXP(('Black-Scholes'!$B$8-'Black-Scholes'!$B$10-'Black-Scholes'!$B$9^2/2)*'Black-Scholes'!$B$7-'Black-Scholes'!$B$9*SQRT('Black-Scholes'!$B$7)*B2950)</f>
        <v>125.271161501258</v>
      </c>
      <c r="E2950" s="18" t="n">
        <f aca="false">EXP(-'Black-Scholes'!$B$8*'Black-Scholes'!$B$7)*IF(LOWER('Black-Scholes'!$B$11)="put",MAX('Black-Scholes'!$B$6-C2950,0),MAX(C2950-'Black-Scholes'!$B$6,0))</f>
        <v>0</v>
      </c>
      <c r="F2950" s="18" t="n">
        <f aca="false">(E2950+G2950)/2</f>
        <v>12.0193362056531</v>
      </c>
      <c r="G2950" s="18" t="n">
        <f aca="false">EXP(-'Black-Scholes'!$B$8*'Black-Scholes'!$B$7)*IF(LOWER('Black-Scholes'!$B$11)="put",MAX('Black-Scholes'!$B$6-D2950,0),MAX(D2950-'Black-Scholes'!$B$6,0))</f>
        <v>24.0386724113061</v>
      </c>
    </row>
    <row r="2951" customFormat="false" ht="15" hidden="false" customHeight="false" outlineLevel="0" collapsed="false">
      <c r="A2951" s="0" t="n">
        <v>2940</v>
      </c>
      <c r="B2951" s="15" t="n">
        <v>0.215202388368807</v>
      </c>
      <c r="C2951" s="18" t="n">
        <f aca="false">'Black-Scholes'!$B$5*EXP(('Black-Scholes'!$B$8-'Black-Scholes'!$B$10-'Black-Scholes'!$B$9^2/2)*'Black-Scholes'!$B$7+'Black-Scholes'!$B$9*SQRT('Black-Scholes'!$B$7)*B2951)</f>
        <v>107.57740808657</v>
      </c>
      <c r="D2951" s="18" t="n">
        <f aca="false">'Black-Scholes'!$B$5*EXP(('Black-Scholes'!$B$8-'Black-Scholes'!$B$10-'Black-Scholes'!$B$9^2/2)*'Black-Scholes'!$B$7-'Black-Scholes'!$B$9*SQRT('Black-Scholes'!$B$7)*B2951)</f>
        <v>98.7044180959324</v>
      </c>
      <c r="E2951" s="18" t="n">
        <f aca="false">EXP(-'Black-Scholes'!$B$8*'Black-Scholes'!$B$7)*IF(LOWER('Black-Scholes'!$B$11)="put",MAX('Black-Scholes'!$B$6-C2951,0),MAX(C2951-'Black-Scholes'!$B$6,0))</f>
        <v>7.2078535333955</v>
      </c>
      <c r="F2951" s="18" t="n">
        <f aca="false">(E2951+G2951)/2</f>
        <v>3.60392676669775</v>
      </c>
      <c r="G2951" s="18" t="n">
        <f aca="false">EXP(-'Black-Scholes'!$B$8*'Black-Scholes'!$B$7)*IF(LOWER('Black-Scholes'!$B$11)="put",MAX('Black-Scholes'!$B$6-D2951,0),MAX(D2951-'Black-Scholes'!$B$6,0))</f>
        <v>0</v>
      </c>
    </row>
    <row r="2952" customFormat="false" ht="15" hidden="false" customHeight="false" outlineLevel="0" collapsed="false">
      <c r="A2952" s="0" t="n">
        <v>2941</v>
      </c>
      <c r="B2952" s="15" t="n">
        <v>0.105507032881073</v>
      </c>
      <c r="C2952" s="18" t="n">
        <f aca="false">'Black-Scholes'!$B$5*EXP(('Black-Scholes'!$B$8-'Black-Scholes'!$B$10-'Black-Scholes'!$B$9^2/2)*'Black-Scholes'!$B$7+'Black-Scholes'!$B$9*SQRT('Black-Scholes'!$B$7)*B2952)</f>
        <v>105.242961115574</v>
      </c>
      <c r="D2952" s="18" t="n">
        <f aca="false">'Black-Scholes'!$B$5*EXP(('Black-Scholes'!$B$8-'Black-Scholes'!$B$10-'Black-Scholes'!$B$9^2/2)*'Black-Scholes'!$B$7-'Black-Scholes'!$B$9*SQRT('Black-Scholes'!$B$7)*B2952)</f>
        <v>100.893830360711</v>
      </c>
      <c r="E2952" s="18" t="n">
        <f aca="false">EXP(-'Black-Scholes'!$B$8*'Black-Scholes'!$B$7)*IF(LOWER('Black-Scholes'!$B$11)="put",MAX('Black-Scholes'!$B$6-C2952,0),MAX(C2952-'Black-Scholes'!$B$6,0))</f>
        <v>4.98725888464704</v>
      </c>
      <c r="F2952" s="18" t="n">
        <f aca="false">(E2952+G2952)/2</f>
        <v>2.91874831213359</v>
      </c>
      <c r="G2952" s="18" t="n">
        <f aca="false">EXP(-'Black-Scholes'!$B$8*'Black-Scholes'!$B$7)*IF(LOWER('Black-Scholes'!$B$11)="put",MAX('Black-Scholes'!$B$6-D2952,0),MAX(D2952-'Black-Scholes'!$B$6,0))</f>
        <v>0.85023773962014</v>
      </c>
    </row>
    <row r="2953" customFormat="false" ht="15" hidden="false" customHeight="false" outlineLevel="0" collapsed="false">
      <c r="A2953" s="0" t="n">
        <v>2942</v>
      </c>
      <c r="B2953" s="15" t="n">
        <v>0.136596688993528</v>
      </c>
      <c r="C2953" s="18" t="n">
        <f aca="false">'Black-Scholes'!$B$5*EXP(('Black-Scholes'!$B$8-'Black-Scholes'!$B$10-'Black-Scholes'!$B$9^2/2)*'Black-Scholes'!$B$7+'Black-Scholes'!$B$9*SQRT('Black-Scholes'!$B$7)*B2953)</f>
        <v>105.89939331964</v>
      </c>
      <c r="D2953" s="18" t="n">
        <f aca="false">'Black-Scholes'!$B$5*EXP(('Black-Scholes'!$B$8-'Black-Scholes'!$B$10-'Black-Scholes'!$B$9^2/2)*'Black-Scholes'!$B$7-'Black-Scholes'!$B$9*SQRT('Black-Scholes'!$B$7)*B2953)</f>
        <v>100.268425838888</v>
      </c>
      <c r="E2953" s="18" t="n">
        <f aca="false">EXP(-'Black-Scholes'!$B$8*'Black-Scholes'!$B$7)*IF(LOWER('Black-Scholes'!$B$11)="put",MAX('Black-Scholes'!$B$6-C2953,0),MAX(C2953-'Black-Scholes'!$B$6,0))</f>
        <v>5.61167651234458</v>
      </c>
      <c r="F2953" s="18" t="n">
        <f aca="false">(E2953+G2953)/2</f>
        <v>2.93350553429573</v>
      </c>
      <c r="G2953" s="18" t="n">
        <f aca="false">EXP(-'Black-Scholes'!$B$8*'Black-Scholes'!$B$7)*IF(LOWER('Black-Scholes'!$B$11)="put",MAX('Black-Scholes'!$B$6-D2953,0),MAX(D2953-'Black-Scholes'!$B$6,0))</f>
        <v>0.255334556246871</v>
      </c>
    </row>
    <row r="2954" customFormat="false" ht="15" hidden="false" customHeight="false" outlineLevel="0" collapsed="false">
      <c r="A2954" s="0" t="n">
        <v>2943</v>
      </c>
      <c r="B2954" s="15" t="n">
        <v>-0.0830305603565349</v>
      </c>
      <c r="C2954" s="18" t="n">
        <f aca="false">'Black-Scholes'!$B$5*EXP(('Black-Scholes'!$B$8-'Black-Scholes'!$B$10-'Black-Scholes'!$B$9^2/2)*'Black-Scholes'!$B$7+'Black-Scholes'!$B$9*SQRT('Black-Scholes'!$B$7)*B2954)</f>
        <v>101.348398785902</v>
      </c>
      <c r="D2954" s="18" t="n">
        <f aca="false">'Black-Scholes'!$B$5*EXP(('Black-Scholes'!$B$8-'Black-Scholes'!$B$10-'Black-Scholes'!$B$9^2/2)*'Black-Scholes'!$B$7-'Black-Scholes'!$B$9*SQRT('Black-Scholes'!$B$7)*B2954)</f>
        <v>104.770924776867</v>
      </c>
      <c r="E2954" s="18" t="n">
        <f aca="false">EXP(-'Black-Scholes'!$B$8*'Black-Scholes'!$B$7)*IF(LOWER('Black-Scholes'!$B$11)="put",MAX('Black-Scholes'!$B$6-C2954,0),MAX(C2954-'Black-Scholes'!$B$6,0))</f>
        <v>1.28263660111073</v>
      </c>
      <c r="F2954" s="18" t="n">
        <f aca="false">(E2954+G2954)/2</f>
        <v>2.91044031547292</v>
      </c>
      <c r="G2954" s="18" t="n">
        <f aca="false">EXP(-'Black-Scholes'!$B$8*'Black-Scholes'!$B$7)*IF(LOWER('Black-Scholes'!$B$11)="put",MAX('Black-Scholes'!$B$6-D2954,0),MAX(D2954-'Black-Scholes'!$B$6,0))</f>
        <v>4.53824402983512</v>
      </c>
    </row>
    <row r="2955" customFormat="false" ht="15" hidden="false" customHeight="false" outlineLevel="0" collapsed="false">
      <c r="A2955" s="0" t="n">
        <v>2944</v>
      </c>
      <c r="B2955" s="15" t="n">
        <v>-0.892252468436684</v>
      </c>
      <c r="C2955" s="18" t="n">
        <f aca="false">'Black-Scholes'!$B$5*EXP(('Black-Scholes'!$B$8-'Black-Scholes'!$B$10-'Black-Scholes'!$B$9^2/2)*'Black-Scholes'!$B$7+'Black-Scholes'!$B$9*SQRT('Black-Scholes'!$B$7)*B2955)</f>
        <v>86.2042682668714</v>
      </c>
      <c r="D2955" s="18" t="n">
        <f aca="false">'Black-Scholes'!$B$5*EXP(('Black-Scholes'!$B$8-'Black-Scholes'!$B$10-'Black-Scholes'!$B$9^2/2)*'Black-Scholes'!$B$7-'Black-Scholes'!$B$9*SQRT('Black-Scholes'!$B$7)*B2955)</f>
        <v>123.176794826229</v>
      </c>
      <c r="E2955" s="18" t="n">
        <f aca="false">EXP(-'Black-Scholes'!$B$8*'Black-Scholes'!$B$7)*IF(LOWER('Black-Scholes'!$B$11)="put",MAX('Black-Scholes'!$B$6-C2955,0),MAX(C2955-'Black-Scholes'!$B$6,0))</f>
        <v>0</v>
      </c>
      <c r="F2955" s="18" t="n">
        <f aca="false">(E2955+G2955)/2</f>
        <v>11.0232246021623</v>
      </c>
      <c r="G2955" s="18" t="n">
        <f aca="false">EXP(-'Black-Scholes'!$B$8*'Black-Scholes'!$B$7)*IF(LOWER('Black-Scholes'!$B$11)="put",MAX('Black-Scholes'!$B$6-D2955,0),MAX(D2955-'Black-Scholes'!$B$6,0))</f>
        <v>22.0464492043247</v>
      </c>
    </row>
    <row r="2956" customFormat="false" ht="15" hidden="false" customHeight="false" outlineLevel="0" collapsed="false">
      <c r="A2956" s="0" t="n">
        <v>2945</v>
      </c>
      <c r="B2956" s="15" t="n">
        <v>-0.974321308326749</v>
      </c>
      <c r="C2956" s="18" t="n">
        <f aca="false">'Black-Scholes'!$B$5*EXP(('Black-Scholes'!$B$8-'Black-Scholes'!$B$10-'Black-Scholes'!$B$9^2/2)*'Black-Scholes'!$B$7+'Black-Scholes'!$B$9*SQRT('Black-Scholes'!$B$7)*B2956)</f>
        <v>84.8008803578799</v>
      </c>
      <c r="D2956" s="18" t="n">
        <f aca="false">'Black-Scholes'!$B$5*EXP(('Black-Scholes'!$B$8-'Black-Scholes'!$B$10-'Black-Scholes'!$B$9^2/2)*'Black-Scholes'!$B$7-'Black-Scholes'!$B$9*SQRT('Black-Scholes'!$B$7)*B2956)</f>
        <v>125.215273952836</v>
      </c>
      <c r="E2956" s="18" t="n">
        <f aca="false">EXP(-'Black-Scholes'!$B$8*'Black-Scholes'!$B$7)*IF(LOWER('Black-Scholes'!$B$11)="put",MAX('Black-Scholes'!$B$6-C2956,0),MAX(C2956-'Black-Scholes'!$B$6,0))</f>
        <v>0</v>
      </c>
      <c r="F2956" s="18" t="n">
        <f aca="false">(E2956+G2956)/2</f>
        <v>11.992755265392</v>
      </c>
      <c r="G2956" s="18" t="n">
        <f aca="false">EXP(-'Black-Scholes'!$B$8*'Black-Scholes'!$B$7)*IF(LOWER('Black-Scholes'!$B$11)="put",MAX('Black-Scholes'!$B$6-D2956,0),MAX(D2956-'Black-Scholes'!$B$6,0))</f>
        <v>23.985510530784</v>
      </c>
    </row>
    <row r="2957" customFormat="false" ht="15" hidden="false" customHeight="false" outlineLevel="0" collapsed="false">
      <c r="A2957" s="0" t="n">
        <v>2946</v>
      </c>
      <c r="B2957" s="15" t="n">
        <v>0.682486950421687</v>
      </c>
      <c r="C2957" s="18" t="n">
        <f aca="false">'Black-Scholes'!$B$5*EXP(('Black-Scholes'!$B$8-'Black-Scholes'!$B$10-'Black-Scholes'!$B$9^2/2)*'Black-Scholes'!$B$7+'Black-Scholes'!$B$9*SQRT('Black-Scholes'!$B$7)*B2957)</f>
        <v>118.116045313718</v>
      </c>
      <c r="D2957" s="18" t="n">
        <f aca="false">'Black-Scholes'!$B$5*EXP(('Black-Scholes'!$B$8-'Black-Scholes'!$B$10-'Black-Scholes'!$B$9^2/2)*'Black-Scholes'!$B$7-'Black-Scholes'!$B$9*SQRT('Black-Scholes'!$B$7)*B2957)</f>
        <v>89.8977394413352</v>
      </c>
      <c r="E2957" s="18" t="n">
        <f aca="false">EXP(-'Black-Scholes'!$B$8*'Black-Scholes'!$B$7)*IF(LOWER('Black-Scholes'!$B$11)="put",MAX('Black-Scholes'!$B$6-C2957,0),MAX(C2957-'Black-Scholes'!$B$6,0))</f>
        <v>17.2325153579972</v>
      </c>
      <c r="F2957" s="18" t="n">
        <f aca="false">(E2957+G2957)/2</f>
        <v>8.61625767899861</v>
      </c>
      <c r="G2957" s="18" t="n">
        <f aca="false">EXP(-'Black-Scholes'!$B$8*'Black-Scholes'!$B$7)*IF(LOWER('Black-Scholes'!$B$11)="put",MAX('Black-Scholes'!$B$6-D2957,0),MAX(D2957-'Black-Scholes'!$B$6,0))</f>
        <v>0</v>
      </c>
    </row>
    <row r="2958" customFormat="false" ht="15" hidden="false" customHeight="false" outlineLevel="0" collapsed="false">
      <c r="A2958" s="0" t="n">
        <v>2947</v>
      </c>
      <c r="B2958" s="15" t="n">
        <v>-0.694873673659291</v>
      </c>
      <c r="C2958" s="18" t="n">
        <f aca="false">'Black-Scholes'!$B$5*EXP(('Black-Scholes'!$B$8-'Black-Scholes'!$B$10-'Black-Scholes'!$B$9^2/2)*'Black-Scholes'!$B$7+'Black-Scholes'!$B$9*SQRT('Black-Scholes'!$B$7)*B2958)</f>
        <v>89.6753073918894</v>
      </c>
      <c r="D2958" s="18" t="n">
        <f aca="false">'Black-Scholes'!$B$5*EXP(('Black-Scholes'!$B$8-'Black-Scholes'!$B$10-'Black-Scholes'!$B$9^2/2)*'Black-Scholes'!$B$7-'Black-Scholes'!$B$9*SQRT('Black-Scholes'!$B$7)*B2958)</f>
        <v>118.409022218908</v>
      </c>
      <c r="E2958" s="18" t="n">
        <f aca="false">EXP(-'Black-Scholes'!$B$8*'Black-Scholes'!$B$7)*IF(LOWER('Black-Scholes'!$B$11)="put",MAX('Black-Scholes'!$B$6-C2958,0),MAX(C2958-'Black-Scholes'!$B$6,0))</f>
        <v>0</v>
      </c>
      <c r="F2958" s="18" t="n">
        <f aca="false">(E2958+G2958)/2</f>
        <v>8.75560180545617</v>
      </c>
      <c r="G2958" s="18" t="n">
        <f aca="false">EXP(-'Black-Scholes'!$B$8*'Black-Scholes'!$B$7)*IF(LOWER('Black-Scholes'!$B$11)="put",MAX('Black-Scholes'!$B$6-D2958,0),MAX(D2958-'Black-Scholes'!$B$6,0))</f>
        <v>17.5112036109123</v>
      </c>
    </row>
    <row r="2959" customFormat="false" ht="15" hidden="false" customHeight="false" outlineLevel="0" collapsed="false">
      <c r="A2959" s="0" t="n">
        <v>2948</v>
      </c>
      <c r="B2959" s="15" t="n">
        <v>-0.922645084142901</v>
      </c>
      <c r="C2959" s="18" t="n">
        <f aca="false">'Black-Scholes'!$B$5*EXP(('Black-Scholes'!$B$8-'Black-Scholes'!$B$10-'Black-Scholes'!$B$9^2/2)*'Black-Scholes'!$B$7+'Black-Scholes'!$B$9*SQRT('Black-Scholes'!$B$7)*B2959)</f>
        <v>85.6818629622083</v>
      </c>
      <c r="D2959" s="18" t="n">
        <f aca="false">'Black-Scholes'!$B$5*EXP(('Black-Scholes'!$B$8-'Black-Scholes'!$B$10-'Black-Scholes'!$B$9^2/2)*'Black-Scholes'!$B$7-'Black-Scholes'!$B$9*SQRT('Black-Scholes'!$B$7)*B2959)</f>
        <v>123.927808037239</v>
      </c>
      <c r="E2959" s="18" t="n">
        <f aca="false">EXP(-'Black-Scholes'!$B$8*'Black-Scholes'!$B$7)*IF(LOWER('Black-Scholes'!$B$11)="put",MAX('Black-Scholes'!$B$6-C2959,0),MAX(C2959-'Black-Scholes'!$B$6,0))</f>
        <v>0</v>
      </c>
      <c r="F2959" s="18" t="n">
        <f aca="false">(E2959+G2959)/2</f>
        <v>11.3804175344134</v>
      </c>
      <c r="G2959" s="18" t="n">
        <f aca="false">EXP(-'Black-Scholes'!$B$8*'Black-Scholes'!$B$7)*IF(LOWER('Black-Scholes'!$B$11)="put",MAX('Black-Scholes'!$B$6-D2959,0),MAX(D2959-'Black-Scholes'!$B$6,0))</f>
        <v>22.7608350688268</v>
      </c>
    </row>
    <row r="2960" customFormat="false" ht="15" hidden="false" customHeight="false" outlineLevel="0" collapsed="false">
      <c r="A2960" s="0" t="n">
        <v>2949</v>
      </c>
      <c r="B2960" s="15" t="n">
        <v>0.159728559447093</v>
      </c>
      <c r="C2960" s="18" t="n">
        <f aca="false">'Black-Scholes'!$B$5*EXP(('Black-Scholes'!$B$8-'Black-Scholes'!$B$10-'Black-Scholes'!$B$9^2/2)*'Black-Scholes'!$B$7+'Black-Scholes'!$B$9*SQRT('Black-Scholes'!$B$7)*B2960)</f>
        <v>106.390458579043</v>
      </c>
      <c r="D2960" s="18" t="n">
        <f aca="false">'Black-Scholes'!$B$5*EXP(('Black-Scholes'!$B$8-'Black-Scholes'!$B$10-'Black-Scholes'!$B$9^2/2)*'Black-Scholes'!$B$7-'Black-Scholes'!$B$9*SQRT('Black-Scholes'!$B$7)*B2960)</f>
        <v>99.8056179780879</v>
      </c>
      <c r="E2960" s="18" t="n">
        <f aca="false">EXP(-'Black-Scholes'!$B$8*'Black-Scholes'!$B$7)*IF(LOWER('Black-Scholes'!$B$11)="put",MAX('Black-Scholes'!$B$6-C2960,0),MAX(C2960-'Black-Scholes'!$B$6,0))</f>
        <v>6.07879223643916</v>
      </c>
      <c r="F2960" s="18" t="n">
        <f aca="false">(E2960+G2960)/2</f>
        <v>3.03939611821958</v>
      </c>
      <c r="G2960" s="18" t="n">
        <f aca="false">EXP(-'Black-Scholes'!$B$8*'Black-Scholes'!$B$7)*IF(LOWER('Black-Scholes'!$B$11)="put",MAX('Black-Scholes'!$B$6-D2960,0),MAX(D2960-'Black-Scholes'!$B$6,0))</f>
        <v>0</v>
      </c>
    </row>
    <row r="2961" customFormat="false" ht="15" hidden="false" customHeight="false" outlineLevel="0" collapsed="false">
      <c r="A2961" s="0" t="n">
        <v>2950</v>
      </c>
      <c r="B2961" s="15" t="n">
        <v>-1.34795275897347</v>
      </c>
      <c r="C2961" s="18" t="n">
        <f aca="false">'Black-Scholes'!$B$5*EXP(('Black-Scholes'!$B$8-'Black-Scholes'!$B$10-'Black-Scholes'!$B$9^2/2)*'Black-Scholes'!$B$7+'Black-Scholes'!$B$9*SQRT('Black-Scholes'!$B$7)*B2961)</f>
        <v>78.695001037974</v>
      </c>
      <c r="D2961" s="18" t="n">
        <f aca="false">'Black-Scholes'!$B$5*EXP(('Black-Scholes'!$B$8-'Black-Scholes'!$B$10-'Black-Scholes'!$B$9^2/2)*'Black-Scholes'!$B$7-'Black-Scholes'!$B$9*SQRT('Black-Scholes'!$B$7)*B2961)</f>
        <v>134.930622344483</v>
      </c>
      <c r="E2961" s="18" t="n">
        <f aca="false">EXP(-'Black-Scholes'!$B$8*'Black-Scholes'!$B$7)*IF(LOWER('Black-Scholes'!$B$11)="put",MAX('Black-Scholes'!$B$6-C2961,0),MAX(C2961-'Black-Scholes'!$B$6,0))</f>
        <v>0</v>
      </c>
      <c r="F2961" s="18" t="n">
        <f aca="false">(E2961+G2961)/2</f>
        <v>16.6135178950974</v>
      </c>
      <c r="G2961" s="18" t="n">
        <f aca="false">EXP(-'Black-Scholes'!$B$8*'Black-Scholes'!$B$7)*IF(LOWER('Black-Scholes'!$B$11)="put",MAX('Black-Scholes'!$B$6-D2961,0),MAX(D2961-'Black-Scholes'!$B$6,0))</f>
        <v>33.2270357901947</v>
      </c>
    </row>
    <row r="2962" customFormat="false" ht="15" hidden="false" customHeight="false" outlineLevel="0" collapsed="false">
      <c r="A2962" s="0" t="n">
        <v>2951</v>
      </c>
      <c r="B2962" s="15" t="n">
        <v>1.17952167876868</v>
      </c>
      <c r="C2962" s="18" t="n">
        <f aca="false">'Black-Scholes'!$B$5*EXP(('Black-Scholes'!$B$8-'Black-Scholes'!$B$10-'Black-Scholes'!$B$9^2/2)*'Black-Scholes'!$B$7+'Black-Scholes'!$B$9*SQRT('Black-Scholes'!$B$7)*B2962)</f>
        <v>130.461024816101</v>
      </c>
      <c r="D2962" s="18" t="n">
        <f aca="false">'Black-Scholes'!$B$5*EXP(('Black-Scholes'!$B$8-'Black-Scholes'!$B$10-'Black-Scholes'!$B$9^2/2)*'Black-Scholes'!$B$7-'Black-Scholes'!$B$9*SQRT('Black-Scholes'!$B$7)*B2962)</f>
        <v>81.3910934734824</v>
      </c>
      <c r="E2962" s="18" t="n">
        <f aca="false">EXP(-'Black-Scholes'!$B$8*'Black-Scholes'!$B$7)*IF(LOWER('Black-Scholes'!$B$11)="put",MAX('Black-Scholes'!$B$6-C2962,0),MAX(C2962-'Black-Scholes'!$B$6,0))</f>
        <v>28.9754231055218</v>
      </c>
      <c r="F2962" s="18" t="n">
        <f aca="false">(E2962+G2962)/2</f>
        <v>14.4877115527609</v>
      </c>
      <c r="G2962" s="18" t="n">
        <f aca="false">EXP(-'Black-Scholes'!$B$8*'Black-Scholes'!$B$7)*IF(LOWER('Black-Scholes'!$B$11)="put",MAX('Black-Scholes'!$B$6-D2962,0),MAX(D2962-'Black-Scholes'!$B$6,0))</f>
        <v>0</v>
      </c>
    </row>
    <row r="2963" customFormat="false" ht="15" hidden="false" customHeight="false" outlineLevel="0" collapsed="false">
      <c r="A2963" s="0" t="n">
        <v>2952</v>
      </c>
      <c r="B2963" s="15" t="n">
        <v>0.207211138759282</v>
      </c>
      <c r="C2963" s="18" t="n">
        <f aca="false">'Black-Scholes'!$B$5*EXP(('Black-Scholes'!$B$8-'Black-Scholes'!$B$10-'Black-Scholes'!$B$9^2/2)*'Black-Scholes'!$B$7+'Black-Scholes'!$B$9*SQRT('Black-Scholes'!$B$7)*B2963)</f>
        <v>107.405609827345</v>
      </c>
      <c r="D2963" s="18" t="n">
        <f aca="false">'Black-Scholes'!$B$5*EXP(('Black-Scholes'!$B$8-'Black-Scholes'!$B$10-'Black-Scholes'!$B$9^2/2)*'Black-Scholes'!$B$7-'Black-Scholes'!$B$9*SQRT('Black-Scholes'!$B$7)*B2963)</f>
        <v>98.8622985570557</v>
      </c>
      <c r="E2963" s="18" t="n">
        <f aca="false">EXP(-'Black-Scholes'!$B$8*'Black-Scholes'!$B$7)*IF(LOWER('Black-Scholes'!$B$11)="put",MAX('Black-Scholes'!$B$6-C2963,0),MAX(C2963-'Black-Scholes'!$B$6,0))</f>
        <v>7.04443397414198</v>
      </c>
      <c r="F2963" s="18" t="n">
        <f aca="false">(E2963+G2963)/2</f>
        <v>3.52221698707099</v>
      </c>
      <c r="G2963" s="18" t="n">
        <f aca="false">EXP(-'Black-Scholes'!$B$8*'Black-Scholes'!$B$7)*IF(LOWER('Black-Scholes'!$B$11)="put",MAX('Black-Scholes'!$B$6-D2963,0),MAX(D2963-'Black-Scholes'!$B$6,0))</f>
        <v>0</v>
      </c>
    </row>
    <row r="2964" customFormat="false" ht="15" hidden="false" customHeight="false" outlineLevel="0" collapsed="false">
      <c r="A2964" s="0" t="n">
        <v>2953</v>
      </c>
      <c r="B2964" s="15" t="n">
        <v>-0.357941122559074</v>
      </c>
      <c r="C2964" s="18" t="n">
        <f aca="false">'Black-Scholes'!$B$5*EXP(('Black-Scholes'!$B$8-'Black-Scholes'!$B$10-'Black-Scholes'!$B$9^2/2)*'Black-Scholes'!$B$7+'Black-Scholes'!$B$9*SQRT('Black-Scholes'!$B$7)*B2964)</f>
        <v>95.9264700948171</v>
      </c>
      <c r="D2964" s="18" t="n">
        <f aca="false">'Black-Scholes'!$B$5*EXP(('Black-Scholes'!$B$8-'Black-Scholes'!$B$10-'Black-Scholes'!$B$9^2/2)*'Black-Scholes'!$B$7-'Black-Scholes'!$B$9*SQRT('Black-Scholes'!$B$7)*B2964)</f>
        <v>110.692757222882</v>
      </c>
      <c r="E2964" s="18" t="n">
        <f aca="false">EXP(-'Black-Scholes'!$B$8*'Black-Scholes'!$B$7)*IF(LOWER('Black-Scholes'!$B$11)="put",MAX('Black-Scholes'!$B$6-C2964,0),MAX(C2964-'Black-Scholes'!$B$6,0))</f>
        <v>0</v>
      </c>
      <c r="F2964" s="18" t="n">
        <f aca="false">(E2964+G2964)/2</f>
        <v>5.08563264972373</v>
      </c>
      <c r="G2964" s="18" t="n">
        <f aca="false">EXP(-'Black-Scholes'!$B$8*'Black-Scholes'!$B$7)*IF(LOWER('Black-Scholes'!$B$11)="put",MAX('Black-Scholes'!$B$6-D2964,0),MAX(D2964-'Black-Scholes'!$B$6,0))</f>
        <v>10.1712652994475</v>
      </c>
    </row>
    <row r="2965" customFormat="false" ht="15" hidden="false" customHeight="false" outlineLevel="0" collapsed="false">
      <c r="A2965" s="0" t="n">
        <v>2954</v>
      </c>
      <c r="B2965" s="15" t="n">
        <v>1.1479483905346</v>
      </c>
      <c r="C2965" s="18" t="n">
        <f aca="false">'Black-Scholes'!$B$5*EXP(('Black-Scholes'!$B$8-'Black-Scholes'!$B$10-'Black-Scholes'!$B$9^2/2)*'Black-Scholes'!$B$7+'Black-Scholes'!$B$9*SQRT('Black-Scholes'!$B$7)*B2965)</f>
        <v>129.639803702069</v>
      </c>
      <c r="D2965" s="18" t="n">
        <f aca="false">'Black-Scholes'!$B$5*EXP(('Black-Scholes'!$B$8-'Black-Scholes'!$B$10-'Black-Scholes'!$B$9^2/2)*'Black-Scholes'!$B$7-'Black-Scholes'!$B$9*SQRT('Black-Scholes'!$B$7)*B2965)</f>
        <v>81.9066765162351</v>
      </c>
      <c r="E2965" s="18" t="n">
        <f aca="false">EXP(-'Black-Scholes'!$B$8*'Black-Scholes'!$B$7)*IF(LOWER('Black-Scholes'!$B$11)="put",MAX('Black-Scholes'!$B$6-C2965,0),MAX(C2965-'Black-Scholes'!$B$6,0))</f>
        <v>28.1942534178334</v>
      </c>
      <c r="F2965" s="18" t="n">
        <f aca="false">(E2965+G2965)/2</f>
        <v>14.0971267089167</v>
      </c>
      <c r="G2965" s="18" t="n">
        <f aca="false">EXP(-'Black-Scholes'!$B$8*'Black-Scholes'!$B$7)*IF(LOWER('Black-Scholes'!$B$11)="put",MAX('Black-Scholes'!$B$6-D2965,0),MAX(D2965-'Black-Scholes'!$B$6,0))</f>
        <v>0</v>
      </c>
    </row>
    <row r="2966" customFormat="false" ht="15" hidden="false" customHeight="false" outlineLevel="0" collapsed="false">
      <c r="A2966" s="0" t="n">
        <v>2955</v>
      </c>
      <c r="B2966" s="15" t="n">
        <v>0.596207460795168</v>
      </c>
      <c r="C2966" s="18" t="n">
        <f aca="false">'Black-Scholes'!$B$5*EXP(('Black-Scholes'!$B$8-'Black-Scholes'!$B$10-'Black-Scholes'!$B$9^2/2)*'Black-Scholes'!$B$7+'Black-Scholes'!$B$9*SQRT('Black-Scholes'!$B$7)*B2966)</f>
        <v>116.095331648224</v>
      </c>
      <c r="D2966" s="18" t="n">
        <f aca="false">'Black-Scholes'!$B$5*EXP(('Black-Scholes'!$B$8-'Black-Scholes'!$B$10-'Black-Scholes'!$B$9^2/2)*'Black-Scholes'!$B$7-'Black-Scholes'!$B$9*SQRT('Black-Scholes'!$B$7)*B2966)</f>
        <v>91.4624672215754</v>
      </c>
      <c r="E2966" s="18" t="n">
        <f aca="false">EXP(-'Black-Scholes'!$B$8*'Black-Scholes'!$B$7)*IF(LOWER('Black-Scholes'!$B$11)="put",MAX('Black-Scholes'!$B$6-C2966,0),MAX(C2966-'Black-Scholes'!$B$6,0))</f>
        <v>15.3103530608881</v>
      </c>
      <c r="F2966" s="18" t="n">
        <f aca="false">(E2966+G2966)/2</f>
        <v>7.65517653044405</v>
      </c>
      <c r="G2966" s="18" t="n">
        <f aca="false">EXP(-'Black-Scholes'!$B$8*'Black-Scholes'!$B$7)*IF(LOWER('Black-Scholes'!$B$11)="put",MAX('Black-Scholes'!$B$6-D2966,0),MAX(D2966-'Black-Scholes'!$B$6,0))</f>
        <v>0</v>
      </c>
    </row>
    <row r="2967" customFormat="false" ht="15" hidden="false" customHeight="false" outlineLevel="0" collapsed="false">
      <c r="A2967" s="0" t="n">
        <v>2956</v>
      </c>
      <c r="B2967" s="15" t="n">
        <v>0.413860420662903</v>
      </c>
      <c r="C2967" s="18" t="n">
        <f aca="false">'Black-Scholes'!$B$5*EXP(('Black-Scholes'!$B$8-'Black-Scholes'!$B$10-'Black-Scholes'!$B$9^2/2)*'Black-Scholes'!$B$7+'Black-Scholes'!$B$9*SQRT('Black-Scholes'!$B$7)*B2967)</f>
        <v>111.937678014319</v>
      </c>
      <c r="D2967" s="18" t="n">
        <f aca="false">'Black-Scholes'!$B$5*EXP(('Black-Scholes'!$B$8-'Black-Scholes'!$B$10-'Black-Scholes'!$B$9^2/2)*'Black-Scholes'!$B$7-'Black-Scholes'!$B$9*SQRT('Black-Scholes'!$B$7)*B2967)</f>
        <v>94.8596187969462</v>
      </c>
      <c r="E2967" s="18" t="n">
        <f aca="false">EXP(-'Black-Scholes'!$B$8*'Black-Scholes'!$B$7)*IF(LOWER('Black-Scholes'!$B$11)="put",MAX('Black-Scholes'!$B$6-C2967,0),MAX(C2967-'Black-Scholes'!$B$6,0))</f>
        <v>11.3554705874354</v>
      </c>
      <c r="F2967" s="18" t="n">
        <f aca="false">(E2967+G2967)/2</f>
        <v>5.67773529371768</v>
      </c>
      <c r="G2967" s="18" t="n">
        <f aca="false">EXP(-'Black-Scholes'!$B$8*'Black-Scholes'!$B$7)*IF(LOWER('Black-Scholes'!$B$11)="put",MAX('Black-Scholes'!$B$6-D2967,0),MAX(D2967-'Black-Scholes'!$B$6,0))</f>
        <v>0</v>
      </c>
    </row>
    <row r="2968" customFormat="false" ht="15" hidden="false" customHeight="false" outlineLevel="0" collapsed="false">
      <c r="A2968" s="0" t="n">
        <v>2957</v>
      </c>
      <c r="B2968" s="15" t="n">
        <v>-0.203822035541016</v>
      </c>
      <c r="C2968" s="18" t="n">
        <f aca="false">'Black-Scholes'!$B$5*EXP(('Black-Scholes'!$B$8-'Black-Scholes'!$B$10-'Black-Scholes'!$B$9^2/2)*'Black-Scholes'!$B$7+'Black-Scholes'!$B$9*SQRT('Black-Scholes'!$B$7)*B2968)</f>
        <v>98.9293321797169</v>
      </c>
      <c r="D2968" s="18" t="n">
        <f aca="false">'Black-Scholes'!$B$5*EXP(('Black-Scholes'!$B$8-'Black-Scholes'!$B$10-'Black-Scholes'!$B$9^2/2)*'Black-Scholes'!$B$7-'Black-Scholes'!$B$9*SQRT('Black-Scholes'!$B$7)*B2968)</f>
        <v>107.332832755447</v>
      </c>
      <c r="E2968" s="18" t="n">
        <f aca="false">EXP(-'Black-Scholes'!$B$8*'Black-Scholes'!$B$7)*IF(LOWER('Black-Scholes'!$B$11)="put",MAX('Black-Scholes'!$B$6-C2968,0),MAX(C2968-'Black-Scholes'!$B$6,0))</f>
        <v>0</v>
      </c>
      <c r="F2968" s="18" t="n">
        <f aca="false">(E2968+G2968)/2</f>
        <v>3.48760314096186</v>
      </c>
      <c r="G2968" s="18" t="n">
        <f aca="false">EXP(-'Black-Scholes'!$B$8*'Black-Scholes'!$B$7)*IF(LOWER('Black-Scholes'!$B$11)="put",MAX('Black-Scholes'!$B$6-D2968,0),MAX(D2968-'Black-Scholes'!$B$6,0))</f>
        <v>6.97520628192371</v>
      </c>
    </row>
    <row r="2969" customFormat="false" ht="15" hidden="false" customHeight="false" outlineLevel="0" collapsed="false">
      <c r="A2969" s="0" t="n">
        <v>2958</v>
      </c>
      <c r="B2969" s="15" t="n">
        <v>-0.0848038448493438</v>
      </c>
      <c r="C2969" s="18" t="n">
        <f aca="false">'Black-Scholes'!$B$5*EXP(('Black-Scholes'!$B$8-'Black-Scholes'!$B$10-'Black-Scholes'!$B$9^2/2)*'Black-Scholes'!$B$7+'Black-Scholes'!$B$9*SQRT('Black-Scholes'!$B$7)*B2969)</f>
        <v>101.312461250238</v>
      </c>
      <c r="D2969" s="18" t="n">
        <f aca="false">'Black-Scholes'!$B$5*EXP(('Black-Scholes'!$B$8-'Black-Scholes'!$B$10-'Black-Scholes'!$B$9^2/2)*'Black-Scholes'!$B$7-'Black-Scholes'!$B$9*SQRT('Black-Scholes'!$B$7)*B2969)</f>
        <v>104.808089098009</v>
      </c>
      <c r="E2969" s="18" t="n">
        <f aca="false">EXP(-'Black-Scholes'!$B$8*'Black-Scholes'!$B$7)*IF(LOWER('Black-Scholes'!$B$11)="put",MAX('Black-Scholes'!$B$6-C2969,0),MAX(C2969-'Black-Scholes'!$B$6,0))</f>
        <v>1.24845175974361</v>
      </c>
      <c r="F2969" s="18" t="n">
        <f aca="false">(E2969+G2969)/2</f>
        <v>2.91102379269564</v>
      </c>
      <c r="G2969" s="18" t="n">
        <f aca="false">EXP(-'Black-Scholes'!$B$8*'Black-Scholes'!$B$7)*IF(LOWER('Black-Scholes'!$B$11)="put",MAX('Black-Scholes'!$B$6-D2969,0),MAX(D2969-'Black-Scholes'!$B$6,0))</f>
        <v>4.57359582564767</v>
      </c>
    </row>
    <row r="2970" customFormat="false" ht="15" hidden="false" customHeight="false" outlineLevel="0" collapsed="false">
      <c r="A2970" s="0" t="n">
        <v>2959</v>
      </c>
      <c r="B2970" s="15" t="n">
        <v>-0.49564540100291</v>
      </c>
      <c r="C2970" s="18" t="n">
        <f aca="false">'Black-Scholes'!$B$5*EXP(('Black-Scholes'!$B$8-'Black-Scholes'!$B$10-'Black-Scholes'!$B$9^2/2)*'Black-Scholes'!$B$7+'Black-Scholes'!$B$9*SQRT('Black-Scholes'!$B$7)*B2970)</f>
        <v>93.3206213858198</v>
      </c>
      <c r="D2970" s="18" t="n">
        <f aca="false">'Black-Scholes'!$B$5*EXP(('Black-Scholes'!$B$8-'Black-Scholes'!$B$10-'Black-Scholes'!$B$9^2/2)*'Black-Scholes'!$B$7-'Black-Scholes'!$B$9*SQRT('Black-Scholes'!$B$7)*B2970)</f>
        <v>113.783698691349</v>
      </c>
      <c r="E2970" s="18" t="n">
        <f aca="false">EXP(-'Black-Scholes'!$B$8*'Black-Scholes'!$B$7)*IF(LOWER('Black-Scholes'!$B$11)="put",MAX('Black-Scholes'!$B$6-C2970,0),MAX(C2970-'Black-Scholes'!$B$6,0))</f>
        <v>0</v>
      </c>
      <c r="F2970" s="18" t="n">
        <f aca="false">(E2970+G2970)/2</f>
        <v>6.55572988683166</v>
      </c>
      <c r="G2970" s="18" t="n">
        <f aca="false">EXP(-'Black-Scholes'!$B$8*'Black-Scholes'!$B$7)*IF(LOWER('Black-Scholes'!$B$11)="put",MAX('Black-Scholes'!$B$6-D2970,0),MAX(D2970-'Black-Scholes'!$B$6,0))</f>
        <v>13.1114597736633</v>
      </c>
    </row>
    <row r="2971" customFormat="false" ht="15" hidden="false" customHeight="false" outlineLevel="0" collapsed="false">
      <c r="A2971" s="0" t="n">
        <v>2960</v>
      </c>
      <c r="B2971" s="15" t="n">
        <v>0.78897862177089</v>
      </c>
      <c r="C2971" s="18" t="n">
        <f aca="false">'Black-Scholes'!$B$5*EXP(('Black-Scholes'!$B$8-'Black-Scholes'!$B$10-'Black-Scholes'!$B$9^2/2)*'Black-Scholes'!$B$7+'Black-Scholes'!$B$9*SQRT('Black-Scholes'!$B$7)*B2971)</f>
        <v>120.658701383184</v>
      </c>
      <c r="D2971" s="18" t="n">
        <f aca="false">'Black-Scholes'!$B$5*EXP(('Black-Scholes'!$B$8-'Black-Scholes'!$B$10-'Black-Scholes'!$B$9^2/2)*'Black-Scholes'!$B$7-'Black-Scholes'!$B$9*SQRT('Black-Scholes'!$B$7)*B2971)</f>
        <v>88.0033130120646</v>
      </c>
      <c r="E2971" s="18" t="n">
        <f aca="false">EXP(-'Black-Scholes'!$B$8*'Black-Scholes'!$B$7)*IF(LOWER('Black-Scholes'!$B$11)="put",MAX('Black-Scholes'!$B$6-C2971,0),MAX(C2971-'Black-Scholes'!$B$6,0))</f>
        <v>19.6511646276585</v>
      </c>
      <c r="F2971" s="18" t="n">
        <f aca="false">(E2971+G2971)/2</f>
        <v>9.82558231382926</v>
      </c>
      <c r="G2971" s="18" t="n">
        <f aca="false">EXP(-'Black-Scholes'!$B$8*'Black-Scholes'!$B$7)*IF(LOWER('Black-Scholes'!$B$11)="put",MAX('Black-Scholes'!$B$6-D2971,0),MAX(D2971-'Black-Scholes'!$B$6,0))</f>
        <v>0</v>
      </c>
    </row>
    <row r="2972" customFormat="false" ht="15" hidden="false" customHeight="false" outlineLevel="0" collapsed="false">
      <c r="A2972" s="0" t="n">
        <v>2961</v>
      </c>
      <c r="B2972" s="15" t="n">
        <v>-0.596330879919458</v>
      </c>
      <c r="C2972" s="18" t="n">
        <f aca="false">'Black-Scholes'!$B$5*EXP(('Black-Scholes'!$B$8-'Black-Scholes'!$B$10-'Black-Scholes'!$B$9^2/2)*'Black-Scholes'!$B$7+'Black-Scholes'!$B$9*SQRT('Black-Scholes'!$B$7)*B2972)</f>
        <v>91.4602096059168</v>
      </c>
      <c r="D2972" s="18" t="n">
        <f aca="false">'Black-Scholes'!$B$5*EXP(('Black-Scholes'!$B$8-'Black-Scholes'!$B$10-'Black-Scholes'!$B$9^2/2)*'Black-Scholes'!$B$7-'Black-Scholes'!$B$9*SQRT('Black-Scholes'!$B$7)*B2972)</f>
        <v>116.098197360425</v>
      </c>
      <c r="E2972" s="18" t="n">
        <f aca="false">EXP(-'Black-Scholes'!$B$8*'Black-Scholes'!$B$7)*IF(LOWER('Black-Scholes'!$B$11)="put",MAX('Black-Scholes'!$B$6-C2972,0),MAX(C2972-'Black-Scholes'!$B$6,0))</f>
        <v>0</v>
      </c>
      <c r="F2972" s="18" t="n">
        <f aca="false">(E2972+G2972)/2</f>
        <v>7.65653950532814</v>
      </c>
      <c r="G2972" s="18" t="n">
        <f aca="false">EXP(-'Black-Scholes'!$B$8*'Black-Scholes'!$B$7)*IF(LOWER('Black-Scholes'!$B$11)="put",MAX('Black-Scholes'!$B$6-D2972,0),MAX(D2972-'Black-Scholes'!$B$6,0))</f>
        <v>15.3130790106563</v>
      </c>
    </row>
    <row r="2973" customFormat="false" ht="15" hidden="false" customHeight="false" outlineLevel="0" collapsed="false">
      <c r="A2973" s="0" t="n">
        <v>2962</v>
      </c>
      <c r="B2973" s="15" t="n">
        <v>-0.683170363526367</v>
      </c>
      <c r="C2973" s="18" t="n">
        <f aca="false">'Black-Scholes'!$B$5*EXP(('Black-Scholes'!$B$8-'Black-Scholes'!$B$10-'Black-Scholes'!$B$9^2/2)*'Black-Scholes'!$B$7+'Black-Scholes'!$B$9*SQRT('Black-Scholes'!$B$7)*B2973)</f>
        <v>89.8854528223949</v>
      </c>
      <c r="D2973" s="18" t="n">
        <f aca="false">'Black-Scholes'!$B$5*EXP(('Black-Scholes'!$B$8-'Black-Scholes'!$B$10-'Black-Scholes'!$B$9^2/2)*'Black-Scholes'!$B$7-'Black-Scholes'!$B$9*SQRT('Black-Scholes'!$B$7)*B2973)</f>
        <v>118.132190827747</v>
      </c>
      <c r="E2973" s="18" t="n">
        <f aca="false">EXP(-'Black-Scholes'!$B$8*'Black-Scholes'!$B$7)*IF(LOWER('Black-Scholes'!$B$11)="put",MAX('Black-Scholes'!$B$6-C2973,0),MAX(C2973-'Black-Scholes'!$B$6,0))</f>
        <v>0</v>
      </c>
      <c r="F2973" s="18" t="n">
        <f aca="false">(E2973+G2973)/2</f>
        <v>8.62393672300743</v>
      </c>
      <c r="G2973" s="18" t="n">
        <f aca="false">EXP(-'Black-Scholes'!$B$8*'Black-Scholes'!$B$7)*IF(LOWER('Black-Scholes'!$B$11)="put",MAX('Black-Scholes'!$B$6-D2973,0),MAX(D2973-'Black-Scholes'!$B$6,0))</f>
        <v>17.2478734460149</v>
      </c>
    </row>
    <row r="2974" customFormat="false" ht="15" hidden="false" customHeight="false" outlineLevel="0" collapsed="false">
      <c r="A2974" s="0" t="n">
        <v>2963</v>
      </c>
      <c r="B2974" s="15" t="n">
        <v>-1.98555704637843</v>
      </c>
      <c r="C2974" s="18" t="n">
        <f aca="false">'Black-Scholes'!$B$5*EXP(('Black-Scholes'!$B$8-'Black-Scholes'!$B$10-'Black-Scholes'!$B$9^2/2)*'Black-Scholes'!$B$7+'Black-Scholes'!$B$9*SQRT('Black-Scholes'!$B$7)*B2974)</f>
        <v>69.2732463923076</v>
      </c>
      <c r="D2974" s="18" t="n">
        <f aca="false">'Black-Scholes'!$B$5*EXP(('Black-Scholes'!$B$8-'Black-Scholes'!$B$10-'Black-Scholes'!$B$9^2/2)*'Black-Scholes'!$B$7-'Black-Scholes'!$B$9*SQRT('Black-Scholes'!$B$7)*B2974)</f>
        <v>153.282342295895</v>
      </c>
      <c r="E2974" s="18" t="n">
        <f aca="false">EXP(-'Black-Scholes'!$B$8*'Black-Scholes'!$B$7)*IF(LOWER('Black-Scholes'!$B$11)="put",MAX('Black-Scholes'!$B$6-C2974,0),MAX(C2974-'Black-Scholes'!$B$6,0))</f>
        <v>0</v>
      </c>
      <c r="F2974" s="18" t="n">
        <f aca="false">(E2974+G2974)/2</f>
        <v>25.3418658990873</v>
      </c>
      <c r="G2974" s="18" t="n">
        <f aca="false">EXP(-'Black-Scholes'!$B$8*'Black-Scholes'!$B$7)*IF(LOWER('Black-Scholes'!$B$11)="put",MAX('Black-Scholes'!$B$6-D2974,0),MAX(D2974-'Black-Scholes'!$B$6,0))</f>
        <v>50.6837317981747</v>
      </c>
    </row>
    <row r="2975" customFormat="false" ht="15" hidden="false" customHeight="false" outlineLevel="0" collapsed="false">
      <c r="A2975" s="0" t="n">
        <v>2964</v>
      </c>
      <c r="B2975" s="15" t="n">
        <v>0.162531660804109</v>
      </c>
      <c r="C2975" s="18" t="n">
        <f aca="false">'Black-Scholes'!$B$5*EXP(('Black-Scholes'!$B$8-'Black-Scholes'!$B$10-'Black-Scholes'!$B$9^2/2)*'Black-Scholes'!$B$7+'Black-Scholes'!$B$9*SQRT('Black-Scholes'!$B$7)*B2975)</f>
        <v>106.450119948931</v>
      </c>
      <c r="D2975" s="18" t="n">
        <f aca="false">'Black-Scholes'!$B$5*EXP(('Black-Scholes'!$B$8-'Black-Scholes'!$B$10-'Black-Scholes'!$B$9^2/2)*'Black-Scholes'!$B$7-'Black-Scholes'!$B$9*SQRT('Black-Scholes'!$B$7)*B2975)</f>
        <v>99.7496806067267</v>
      </c>
      <c r="E2975" s="18" t="n">
        <f aca="false">EXP(-'Black-Scholes'!$B$8*'Black-Scholes'!$B$7)*IF(LOWER('Black-Scholes'!$B$11)="put",MAX('Black-Scholes'!$B$6-C2975,0),MAX(C2975-'Black-Scholes'!$B$6,0))</f>
        <v>6.13554388698205</v>
      </c>
      <c r="F2975" s="18" t="n">
        <f aca="false">(E2975+G2975)/2</f>
        <v>3.06777194349103</v>
      </c>
      <c r="G2975" s="18" t="n">
        <f aca="false">EXP(-'Black-Scholes'!$B$8*'Black-Scholes'!$B$7)*IF(LOWER('Black-Scholes'!$B$11)="put",MAX('Black-Scholes'!$B$6-D2975,0),MAX(D2975-'Black-Scholes'!$B$6,0))</f>
        <v>0</v>
      </c>
    </row>
    <row r="2976" customFormat="false" ht="15" hidden="false" customHeight="false" outlineLevel="0" collapsed="false">
      <c r="A2976" s="0" t="n">
        <v>2965</v>
      </c>
      <c r="B2976" s="15" t="n">
        <v>1.75083571941131</v>
      </c>
      <c r="C2976" s="18" t="n">
        <f aca="false">'Black-Scholes'!$B$5*EXP(('Black-Scholes'!$B$8-'Black-Scholes'!$B$10-'Black-Scholes'!$B$9^2/2)*'Black-Scholes'!$B$7+'Black-Scholes'!$B$9*SQRT('Black-Scholes'!$B$7)*B2976)</f>
        <v>146.252902178459</v>
      </c>
      <c r="D2976" s="18" t="n">
        <f aca="false">'Black-Scholes'!$B$5*EXP(('Black-Scholes'!$B$8-'Black-Scholes'!$B$10-'Black-Scholes'!$B$9^2/2)*'Black-Scholes'!$B$7-'Black-Scholes'!$B$9*SQRT('Black-Scholes'!$B$7)*B2976)</f>
        <v>72.6027675847209</v>
      </c>
      <c r="E2976" s="18" t="n">
        <f aca="false">EXP(-'Black-Scholes'!$B$8*'Black-Scholes'!$B$7)*IF(LOWER('Black-Scholes'!$B$11)="put",MAX('Black-Scholes'!$B$6-C2976,0),MAX(C2976-'Black-Scholes'!$B$6,0))</f>
        <v>43.9971215207035</v>
      </c>
      <c r="F2976" s="18" t="n">
        <f aca="false">(E2976+G2976)/2</f>
        <v>21.9985607603518</v>
      </c>
      <c r="G2976" s="18" t="n">
        <f aca="false">EXP(-'Black-Scholes'!$B$8*'Black-Scholes'!$B$7)*IF(LOWER('Black-Scholes'!$B$11)="put",MAX('Black-Scholes'!$B$6-D2976,0),MAX(D2976-'Black-Scholes'!$B$6,0))</f>
        <v>0</v>
      </c>
    </row>
    <row r="2977" customFormat="false" ht="15" hidden="false" customHeight="false" outlineLevel="0" collapsed="false">
      <c r="A2977" s="0" t="n">
        <v>2966</v>
      </c>
      <c r="B2977" s="15" t="n">
        <v>0.829349892444816</v>
      </c>
      <c r="C2977" s="18" t="n">
        <f aca="false">'Black-Scholes'!$B$5*EXP(('Black-Scholes'!$B$8-'Black-Scholes'!$B$10-'Black-Scholes'!$B$9^2/2)*'Black-Scholes'!$B$7+'Black-Scholes'!$B$9*SQRT('Black-Scholes'!$B$7)*B2977)</f>
        <v>121.636874095048</v>
      </c>
      <c r="D2977" s="18" t="n">
        <f aca="false">'Black-Scholes'!$B$5*EXP(('Black-Scholes'!$B$8-'Black-Scholes'!$B$10-'Black-Scholes'!$B$9^2/2)*'Black-Scholes'!$B$7-'Black-Scholes'!$B$9*SQRT('Black-Scholes'!$B$7)*B2977)</f>
        <v>87.2956128184974</v>
      </c>
      <c r="E2977" s="18" t="n">
        <f aca="false">EXP(-'Black-Scholes'!$B$8*'Black-Scholes'!$B$7)*IF(LOWER('Black-Scholes'!$B$11)="put",MAX('Black-Scholes'!$B$6-C2977,0),MAX(C2977-'Black-Scholes'!$B$6,0))</f>
        <v>20.5816312934266</v>
      </c>
      <c r="F2977" s="18" t="n">
        <f aca="false">(E2977+G2977)/2</f>
        <v>10.2908156467133</v>
      </c>
      <c r="G2977" s="18" t="n">
        <f aca="false">EXP(-'Black-Scholes'!$B$8*'Black-Scholes'!$B$7)*IF(LOWER('Black-Scholes'!$B$11)="put",MAX('Black-Scholes'!$B$6-D2977,0),MAX(D2977-'Black-Scholes'!$B$6,0))</f>
        <v>0</v>
      </c>
    </row>
    <row r="2978" customFormat="false" ht="15" hidden="false" customHeight="false" outlineLevel="0" collapsed="false">
      <c r="A2978" s="0" t="n">
        <v>2967</v>
      </c>
      <c r="B2978" s="15" t="n">
        <v>-0.259074698396174</v>
      </c>
      <c r="C2978" s="18" t="n">
        <f aca="false">'Black-Scholes'!$B$5*EXP(('Black-Scholes'!$B$8-'Black-Scholes'!$B$10-'Black-Scholes'!$B$9^2/2)*'Black-Scholes'!$B$7+'Black-Scholes'!$B$9*SQRT('Black-Scholes'!$B$7)*B2978)</f>
        <v>97.8421285254982</v>
      </c>
      <c r="D2978" s="18" t="n">
        <f aca="false">'Black-Scholes'!$B$5*EXP(('Black-Scholes'!$B$8-'Black-Scholes'!$B$10-'Black-Scholes'!$B$9^2/2)*'Black-Scholes'!$B$7-'Black-Scholes'!$B$9*SQRT('Black-Scholes'!$B$7)*B2978)</f>
        <v>108.525495361504</v>
      </c>
      <c r="E2978" s="18" t="n">
        <f aca="false">EXP(-'Black-Scholes'!$B$8*'Black-Scholes'!$B$7)*IF(LOWER('Black-Scholes'!$B$11)="put",MAX('Black-Scholes'!$B$6-C2978,0),MAX(C2978-'Black-Scholes'!$B$6,0))</f>
        <v>0</v>
      </c>
      <c r="F2978" s="18" t="n">
        <f aca="false">(E2978+G2978)/2</f>
        <v>4.05485102315331</v>
      </c>
      <c r="G2978" s="18" t="n">
        <f aca="false">EXP(-'Black-Scholes'!$B$8*'Black-Scholes'!$B$7)*IF(LOWER('Black-Scholes'!$B$11)="put",MAX('Black-Scholes'!$B$6-D2978,0),MAX(D2978-'Black-Scholes'!$B$6,0))</f>
        <v>8.10970204630662</v>
      </c>
    </row>
    <row r="2979" customFormat="false" ht="15" hidden="false" customHeight="false" outlineLevel="0" collapsed="false">
      <c r="A2979" s="0" t="n">
        <v>2968</v>
      </c>
      <c r="B2979" s="15" t="n">
        <v>1.70554362667187</v>
      </c>
      <c r="C2979" s="18" t="n">
        <f aca="false">'Black-Scholes'!$B$5*EXP(('Black-Scholes'!$B$8-'Black-Scholes'!$B$10-'Black-Scholes'!$B$9^2/2)*'Black-Scholes'!$B$7+'Black-Scholes'!$B$9*SQRT('Black-Scholes'!$B$7)*B2979)</f>
        <v>144.934064486672</v>
      </c>
      <c r="D2979" s="18" t="n">
        <f aca="false">'Black-Scholes'!$B$5*EXP(('Black-Scholes'!$B$8-'Black-Scholes'!$B$10-'Black-Scholes'!$B$9^2/2)*'Black-Scholes'!$B$7-'Black-Scholes'!$B$9*SQRT('Black-Scholes'!$B$7)*B2979)</f>
        <v>73.2634215638799</v>
      </c>
      <c r="E2979" s="18" t="n">
        <f aca="false">EXP(-'Black-Scholes'!$B$8*'Black-Scholes'!$B$7)*IF(LOWER('Black-Scholes'!$B$11)="put",MAX('Black-Scholes'!$B$6-C2979,0),MAX(C2979-'Black-Scholes'!$B$6,0))</f>
        <v>42.7426043021348</v>
      </c>
      <c r="F2979" s="18" t="n">
        <f aca="false">(E2979+G2979)/2</f>
        <v>21.3713021510674</v>
      </c>
      <c r="G2979" s="18" t="n">
        <f aca="false">EXP(-'Black-Scholes'!$B$8*'Black-Scholes'!$B$7)*IF(LOWER('Black-Scholes'!$B$11)="put",MAX('Black-Scholes'!$B$6-D2979,0),MAX(D2979-'Black-Scholes'!$B$6,0))</f>
        <v>0</v>
      </c>
    </row>
    <row r="2980" customFormat="false" ht="15" hidden="false" customHeight="false" outlineLevel="0" collapsed="false">
      <c r="A2980" s="0" t="n">
        <v>2969</v>
      </c>
      <c r="B2980" s="15" t="n">
        <v>-1.04284587594772</v>
      </c>
      <c r="C2980" s="18" t="n">
        <f aca="false">'Black-Scholes'!$B$5*EXP(('Black-Scholes'!$B$8-'Black-Scholes'!$B$10-'Black-Scholes'!$B$9^2/2)*'Black-Scholes'!$B$7+'Black-Scholes'!$B$9*SQRT('Black-Scholes'!$B$7)*B2980)</f>
        <v>83.6466192168625</v>
      </c>
      <c r="D2980" s="18" t="n">
        <f aca="false">'Black-Scholes'!$B$5*EXP(('Black-Scholes'!$B$8-'Black-Scholes'!$B$10-'Black-Scholes'!$B$9^2/2)*'Black-Scholes'!$B$7-'Black-Scholes'!$B$9*SQRT('Black-Scholes'!$B$7)*B2980)</f>
        <v>126.943151616497</v>
      </c>
      <c r="E2980" s="18" t="n">
        <f aca="false">EXP(-'Black-Scholes'!$B$8*'Black-Scholes'!$B$7)*IF(LOWER('Black-Scholes'!$B$11)="put",MAX('Black-Scholes'!$B$6-C2980,0),MAX(C2980-'Black-Scholes'!$B$6,0))</f>
        <v>0</v>
      </c>
      <c r="F2980" s="18" t="n">
        <f aca="false">(E2980+G2980)/2</f>
        <v>12.8145593031981</v>
      </c>
      <c r="G2980" s="18" t="n">
        <f aca="false">EXP(-'Black-Scholes'!$B$8*'Black-Scholes'!$B$7)*IF(LOWER('Black-Scholes'!$B$11)="put",MAX('Black-Scholes'!$B$6-D2980,0),MAX(D2980-'Black-Scholes'!$B$6,0))</f>
        <v>25.6291186063963</v>
      </c>
    </row>
    <row r="2981" customFormat="false" ht="15" hidden="false" customHeight="false" outlineLevel="0" collapsed="false">
      <c r="A2981" s="0" t="n">
        <v>2970</v>
      </c>
      <c r="B2981" s="15" t="n">
        <v>-0.597201780549923</v>
      </c>
      <c r="C2981" s="18" t="n">
        <f aca="false">'Black-Scholes'!$B$5*EXP(('Black-Scholes'!$B$8-'Black-Scholes'!$B$10-'Black-Scholes'!$B$9^2/2)*'Black-Scholes'!$B$7+'Black-Scholes'!$B$9*SQRT('Black-Scholes'!$B$7)*B2981)</f>
        <v>91.4442804423873</v>
      </c>
      <c r="D2981" s="18" t="n">
        <f aca="false">'Black-Scholes'!$B$5*EXP(('Black-Scholes'!$B$8-'Black-Scholes'!$B$10-'Black-Scholes'!$B$9^2/2)*'Black-Scholes'!$B$7-'Black-Scholes'!$B$9*SQRT('Black-Scholes'!$B$7)*B2981)</f>
        <v>116.118421120318</v>
      </c>
      <c r="E2981" s="18" t="n">
        <f aca="false">EXP(-'Black-Scholes'!$B$8*'Black-Scholes'!$B$7)*IF(LOWER('Black-Scholes'!$B$11)="put",MAX('Black-Scholes'!$B$6-C2981,0),MAX(C2981-'Black-Scholes'!$B$6,0))</f>
        <v>0</v>
      </c>
      <c r="F2981" s="18" t="n">
        <f aca="false">(E2981+G2981)/2</f>
        <v>7.66615822307018</v>
      </c>
      <c r="G2981" s="18" t="n">
        <f aca="false">EXP(-'Black-Scholes'!$B$8*'Black-Scholes'!$B$7)*IF(LOWER('Black-Scholes'!$B$11)="put",MAX('Black-Scholes'!$B$6-D2981,0),MAX(D2981-'Black-Scholes'!$B$6,0))</f>
        <v>15.3323164461404</v>
      </c>
    </row>
    <row r="2982" customFormat="false" ht="15" hidden="false" customHeight="false" outlineLevel="0" collapsed="false">
      <c r="A2982" s="0" t="n">
        <v>2971</v>
      </c>
      <c r="B2982" s="15" t="n">
        <v>-0.352310971077239</v>
      </c>
      <c r="C2982" s="18" t="n">
        <f aca="false">'Black-Scholes'!$B$5*EXP(('Black-Scholes'!$B$8-'Black-Scholes'!$B$10-'Black-Scholes'!$B$9^2/2)*'Black-Scholes'!$B$7+'Black-Scholes'!$B$9*SQRT('Black-Scholes'!$B$7)*B2982)</f>
        <v>96.0345470439073</v>
      </c>
      <c r="D2982" s="18" t="n">
        <f aca="false">'Black-Scholes'!$B$5*EXP(('Black-Scholes'!$B$8-'Black-Scholes'!$B$10-'Black-Scholes'!$B$9^2/2)*'Black-Scholes'!$B$7-'Black-Scholes'!$B$9*SQRT('Black-Scholes'!$B$7)*B2982)</f>
        <v>110.568183974449</v>
      </c>
      <c r="E2982" s="18" t="n">
        <f aca="false">EXP(-'Black-Scholes'!$B$8*'Black-Scholes'!$B$7)*IF(LOWER('Black-Scholes'!$B$11)="put",MAX('Black-Scholes'!$B$6-C2982,0),MAX(C2982-'Black-Scholes'!$B$6,0))</f>
        <v>0</v>
      </c>
      <c r="F2982" s="18" t="n">
        <f aca="false">(E2982+G2982)/2</f>
        <v>5.02638378001629</v>
      </c>
      <c r="G2982" s="18" t="n">
        <f aca="false">EXP(-'Black-Scholes'!$B$8*'Black-Scholes'!$B$7)*IF(LOWER('Black-Scholes'!$B$11)="put",MAX('Black-Scholes'!$B$6-D2982,0),MAX(D2982-'Black-Scholes'!$B$6,0))</f>
        <v>10.0527675600326</v>
      </c>
    </row>
    <row r="2983" customFormat="false" ht="15" hidden="false" customHeight="false" outlineLevel="0" collapsed="false">
      <c r="A2983" s="0" t="n">
        <v>2972</v>
      </c>
      <c r="B2983" s="15" t="n">
        <v>0.9953476810324</v>
      </c>
      <c r="C2983" s="18" t="n">
        <f aca="false">'Black-Scholes'!$B$5*EXP(('Black-Scholes'!$B$8-'Black-Scholes'!$B$10-'Black-Scholes'!$B$9^2/2)*'Black-Scholes'!$B$7+'Black-Scholes'!$B$9*SQRT('Black-Scholes'!$B$7)*B2983)</f>
        <v>125.742947284535</v>
      </c>
      <c r="D2983" s="18" t="n">
        <f aca="false">'Black-Scholes'!$B$5*EXP(('Black-Scholes'!$B$8-'Black-Scholes'!$B$10-'Black-Scholes'!$B$9^2/2)*'Black-Scholes'!$B$7-'Black-Scholes'!$B$9*SQRT('Black-Scholes'!$B$7)*B2983)</f>
        <v>84.4450181482227</v>
      </c>
      <c r="E2983" s="18" t="n">
        <f aca="false">EXP(-'Black-Scholes'!$B$8*'Black-Scholes'!$B$7)*IF(LOWER('Black-Scholes'!$B$11)="put",MAX('Black-Scholes'!$B$6-C2983,0),MAX(C2983-'Black-Scholes'!$B$6,0))</f>
        <v>24.4874489304208</v>
      </c>
      <c r="F2983" s="18" t="n">
        <f aca="false">(E2983+G2983)/2</f>
        <v>12.2437244652104</v>
      </c>
      <c r="G2983" s="18" t="n">
        <f aca="false">EXP(-'Black-Scholes'!$B$8*'Black-Scholes'!$B$7)*IF(LOWER('Black-Scholes'!$B$11)="put",MAX('Black-Scholes'!$B$6-D2983,0),MAX(D2983-'Black-Scholes'!$B$6,0))</f>
        <v>0</v>
      </c>
    </row>
    <row r="2984" customFormat="false" ht="15" hidden="false" customHeight="false" outlineLevel="0" collapsed="false">
      <c r="A2984" s="0" t="n">
        <v>2973</v>
      </c>
      <c r="B2984" s="15" t="n">
        <v>-0.0293185283709806</v>
      </c>
      <c r="C2984" s="18" t="n">
        <f aca="false">'Black-Scholes'!$B$5*EXP(('Black-Scholes'!$B$8-'Black-Scholes'!$B$10-'Black-Scholes'!$B$9^2/2)*'Black-Scholes'!$B$7+'Black-Scholes'!$B$9*SQRT('Black-Scholes'!$B$7)*B2984)</f>
        <v>102.442993236304</v>
      </c>
      <c r="D2984" s="18" t="n">
        <f aca="false">'Black-Scholes'!$B$5*EXP(('Black-Scholes'!$B$8-'Black-Scholes'!$B$10-'Black-Scholes'!$B$9^2/2)*'Black-Scholes'!$B$7-'Black-Scholes'!$B$9*SQRT('Black-Scholes'!$B$7)*B2984)</f>
        <v>103.651456580933</v>
      </c>
      <c r="E2984" s="18" t="n">
        <f aca="false">EXP(-'Black-Scholes'!$B$8*'Black-Scholes'!$B$7)*IF(LOWER('Black-Scholes'!$B$11)="put",MAX('Black-Scholes'!$B$6-C2984,0),MAX(C2984-'Black-Scholes'!$B$6,0))</f>
        <v>2.32384705022858</v>
      </c>
      <c r="F2984" s="18" t="n">
        <f aca="false">(E2984+G2984)/2</f>
        <v>2.89860999614951</v>
      </c>
      <c r="G2984" s="18" t="n">
        <f aca="false">EXP(-'Black-Scholes'!$B$8*'Black-Scholes'!$B$7)*IF(LOWER('Black-Scholes'!$B$11)="put",MAX('Black-Scholes'!$B$6-D2984,0),MAX(D2984-'Black-Scholes'!$B$6,0))</f>
        <v>3.47337294207043</v>
      </c>
    </row>
    <row r="2985" customFormat="false" ht="15" hidden="false" customHeight="false" outlineLevel="0" collapsed="false">
      <c r="A2985" s="0" t="n">
        <v>2974</v>
      </c>
      <c r="B2985" s="15" t="n">
        <v>-0.0154558366484012</v>
      </c>
      <c r="C2985" s="18" t="n">
        <f aca="false">'Black-Scholes'!$B$5*EXP(('Black-Scholes'!$B$8-'Black-Scholes'!$B$10-'Black-Scholes'!$B$9^2/2)*'Black-Scholes'!$B$7+'Black-Scholes'!$B$9*SQRT('Black-Scholes'!$B$7)*B2985)</f>
        <v>102.727414465366</v>
      </c>
      <c r="D2985" s="18" t="n">
        <f aca="false">'Black-Scholes'!$B$5*EXP(('Black-Scholes'!$B$8-'Black-Scholes'!$B$10-'Black-Scholes'!$B$9^2/2)*'Black-Scholes'!$B$7-'Black-Scholes'!$B$9*SQRT('Black-Scholes'!$B$7)*B2985)</f>
        <v>103.364476957936</v>
      </c>
      <c r="E2985" s="18" t="n">
        <f aca="false">EXP(-'Black-Scholes'!$B$8*'Black-Scholes'!$B$7)*IF(LOWER('Black-Scholes'!$B$11)="put",MAX('Black-Scholes'!$B$6-C2985,0),MAX(C2985-'Black-Scholes'!$B$6,0))</f>
        <v>2.59439689226471</v>
      </c>
      <c r="F2985" s="18" t="n">
        <f aca="false">(E2985+G2985)/2</f>
        <v>2.89739318635387</v>
      </c>
      <c r="G2985" s="18" t="n">
        <f aca="false">EXP(-'Black-Scholes'!$B$8*'Black-Scholes'!$B$7)*IF(LOWER('Black-Scholes'!$B$11)="put",MAX('Black-Scholes'!$B$6-D2985,0),MAX(D2985-'Black-Scholes'!$B$6,0))</f>
        <v>3.20038948044304</v>
      </c>
    </row>
    <row r="2986" customFormat="false" ht="15" hidden="false" customHeight="false" outlineLevel="0" collapsed="false">
      <c r="A2986" s="0" t="n">
        <v>2975</v>
      </c>
      <c r="B2986" s="15" t="n">
        <v>0.324482000107417</v>
      </c>
      <c r="C2986" s="18" t="n">
        <f aca="false">'Black-Scholes'!$B$5*EXP(('Black-Scholes'!$B$8-'Black-Scholes'!$B$10-'Black-Scholes'!$B$9^2/2)*'Black-Scholes'!$B$7+'Black-Scholes'!$B$9*SQRT('Black-Scholes'!$B$7)*B2986)</f>
        <v>109.954493639343</v>
      </c>
      <c r="D2986" s="18" t="n">
        <f aca="false">'Black-Scholes'!$B$5*EXP(('Black-Scholes'!$B$8-'Black-Scholes'!$B$10-'Black-Scholes'!$B$9^2/2)*'Black-Scholes'!$B$7-'Black-Scholes'!$B$9*SQRT('Black-Scholes'!$B$7)*B2986)</f>
        <v>96.5705458140025</v>
      </c>
      <c r="E2986" s="18" t="n">
        <f aca="false">EXP(-'Black-Scholes'!$B$8*'Black-Scholes'!$B$7)*IF(LOWER('Black-Scholes'!$B$11)="put",MAX('Black-Scholes'!$B$6-C2986,0),MAX(C2986-'Black-Scholes'!$B$6,0))</f>
        <v>9.469007255748</v>
      </c>
      <c r="F2986" s="18" t="n">
        <f aca="false">(E2986+G2986)/2</f>
        <v>4.734503627874</v>
      </c>
      <c r="G2986" s="18" t="n">
        <f aca="false">EXP(-'Black-Scholes'!$B$8*'Black-Scholes'!$B$7)*IF(LOWER('Black-Scholes'!$B$11)="put",MAX('Black-Scholes'!$B$6-D2986,0),MAX(D2986-'Black-Scholes'!$B$6,0))</f>
        <v>0</v>
      </c>
    </row>
    <row r="2987" customFormat="false" ht="15" hidden="false" customHeight="false" outlineLevel="0" collapsed="false">
      <c r="A2987" s="0" t="n">
        <v>2976</v>
      </c>
      <c r="B2987" s="15" t="n">
        <v>1.0909989870183</v>
      </c>
      <c r="C2987" s="18" t="n">
        <f aca="false">'Black-Scholes'!$B$5*EXP(('Black-Scholes'!$B$8-'Black-Scholes'!$B$10-'Black-Scholes'!$B$9^2/2)*'Black-Scholes'!$B$7+'Black-Scholes'!$B$9*SQRT('Black-Scholes'!$B$7)*B2987)</f>
        <v>128.171599014037</v>
      </c>
      <c r="D2987" s="18" t="n">
        <f aca="false">'Black-Scholes'!$B$5*EXP(('Black-Scholes'!$B$8-'Black-Scholes'!$B$10-'Black-Scholes'!$B$9^2/2)*'Black-Scholes'!$B$7-'Black-Scholes'!$B$9*SQRT('Black-Scholes'!$B$7)*B2987)</f>
        <v>82.8449168703176</v>
      </c>
      <c r="E2987" s="18" t="n">
        <f aca="false">EXP(-'Black-Scholes'!$B$8*'Black-Scholes'!$B$7)*IF(LOWER('Black-Scholes'!$B$11)="put",MAX('Black-Scholes'!$B$6-C2987,0),MAX(C2987-'Black-Scholes'!$B$6,0))</f>
        <v>26.7976539173876</v>
      </c>
      <c r="F2987" s="18" t="n">
        <f aca="false">(E2987+G2987)/2</f>
        <v>13.3988269586938</v>
      </c>
      <c r="G2987" s="18" t="n">
        <f aca="false">EXP(-'Black-Scholes'!$B$8*'Black-Scholes'!$B$7)*IF(LOWER('Black-Scholes'!$B$11)="put",MAX('Black-Scholes'!$B$6-D2987,0),MAX(D2987-'Black-Scholes'!$B$6,0))</f>
        <v>0</v>
      </c>
    </row>
    <row r="2988" customFormat="false" ht="15" hidden="false" customHeight="false" outlineLevel="0" collapsed="false">
      <c r="A2988" s="0" t="n">
        <v>2977</v>
      </c>
      <c r="B2988" s="15" t="n">
        <v>0.496072713765336</v>
      </c>
      <c r="C2988" s="18" t="n">
        <f aca="false">'Black-Scholes'!$B$5*EXP(('Black-Scholes'!$B$8-'Black-Scholes'!$B$10-'Black-Scholes'!$B$9^2/2)*'Black-Scholes'!$B$7+'Black-Scholes'!$B$9*SQRT('Black-Scholes'!$B$7)*B2988)</f>
        <v>113.793423352212</v>
      </c>
      <c r="D2988" s="18" t="n">
        <f aca="false">'Black-Scholes'!$B$5*EXP(('Black-Scholes'!$B$8-'Black-Scholes'!$B$10-'Black-Scholes'!$B$9^2/2)*'Black-Scholes'!$B$7-'Black-Scholes'!$B$9*SQRT('Black-Scholes'!$B$7)*B2988)</f>
        <v>93.3126463081068</v>
      </c>
      <c r="E2988" s="18" t="n">
        <f aca="false">EXP(-'Black-Scholes'!$B$8*'Black-Scholes'!$B$7)*IF(LOWER('Black-Scholes'!$B$11)="put",MAX('Black-Scholes'!$B$6-C2988,0),MAX(C2988-'Black-Scholes'!$B$6,0))</f>
        <v>13.1207101572191</v>
      </c>
      <c r="F2988" s="18" t="n">
        <f aca="false">(E2988+G2988)/2</f>
        <v>6.56035507860957</v>
      </c>
      <c r="G2988" s="18" t="n">
        <f aca="false">EXP(-'Black-Scholes'!$B$8*'Black-Scholes'!$B$7)*IF(LOWER('Black-Scholes'!$B$11)="put",MAX('Black-Scholes'!$B$6-D2988,0),MAX(D2988-'Black-Scholes'!$B$6,0))</f>
        <v>0</v>
      </c>
    </row>
    <row r="2989" customFormat="false" ht="15" hidden="false" customHeight="false" outlineLevel="0" collapsed="false">
      <c r="A2989" s="0" t="n">
        <v>2978</v>
      </c>
      <c r="B2989" s="15" t="n">
        <v>-1.47041097205098</v>
      </c>
      <c r="C2989" s="18" t="n">
        <f aca="false">'Black-Scholes'!$B$5*EXP(('Black-Scholes'!$B$8-'Black-Scholes'!$B$10-'Black-Scholes'!$B$9^2/2)*'Black-Scholes'!$B$7+'Black-Scholes'!$B$9*SQRT('Black-Scholes'!$B$7)*B2989)</f>
        <v>76.7910419118682</v>
      </c>
      <c r="D2989" s="18" t="n">
        <f aca="false">'Black-Scholes'!$B$5*EXP(('Black-Scholes'!$B$8-'Black-Scholes'!$B$10-'Black-Scholes'!$B$9^2/2)*'Black-Scholes'!$B$7-'Black-Scholes'!$B$9*SQRT('Black-Scholes'!$B$7)*B2989)</f>
        <v>138.276095767005</v>
      </c>
      <c r="E2989" s="18" t="n">
        <f aca="false">EXP(-'Black-Scholes'!$B$8*'Black-Scholes'!$B$7)*IF(LOWER('Black-Scholes'!$B$11)="put",MAX('Black-Scholes'!$B$6-C2989,0),MAX(C2989-'Black-Scholes'!$B$6,0))</f>
        <v>0</v>
      </c>
      <c r="F2989" s="18" t="n">
        <f aca="false">(E2989+G2989)/2</f>
        <v>18.2046742742913</v>
      </c>
      <c r="G2989" s="18" t="n">
        <f aca="false">EXP(-'Black-Scholes'!$B$8*'Black-Scholes'!$B$7)*IF(LOWER('Black-Scholes'!$B$11)="put",MAX('Black-Scholes'!$B$6-D2989,0),MAX(D2989-'Black-Scholes'!$B$6,0))</f>
        <v>36.4093485485826</v>
      </c>
    </row>
    <row r="2990" customFormat="false" ht="15" hidden="false" customHeight="false" outlineLevel="0" collapsed="false">
      <c r="A2990" s="0" t="n">
        <v>2979</v>
      </c>
      <c r="B2990" s="15" t="n">
        <v>0.644852583415424</v>
      </c>
      <c r="C2990" s="18" t="n">
        <f aca="false">'Black-Scholes'!$B$5*EXP(('Black-Scholes'!$B$8-'Black-Scholes'!$B$10-'Black-Scholes'!$B$9^2/2)*'Black-Scholes'!$B$7+'Black-Scholes'!$B$9*SQRT('Black-Scholes'!$B$7)*B2990)</f>
        <v>117.230338277904</v>
      </c>
      <c r="D2990" s="18" t="n">
        <f aca="false">'Black-Scholes'!$B$5*EXP(('Black-Scholes'!$B$8-'Black-Scholes'!$B$10-'Black-Scholes'!$B$9^2/2)*'Black-Scholes'!$B$7-'Black-Scholes'!$B$9*SQRT('Black-Scholes'!$B$7)*B2990)</f>
        <v>90.5769412716522</v>
      </c>
      <c r="E2990" s="18" t="n">
        <f aca="false">EXP(-'Black-Scholes'!$B$8*'Black-Scholes'!$B$7)*IF(LOWER('Black-Scholes'!$B$11)="put",MAX('Black-Scholes'!$B$6-C2990,0),MAX(C2990-'Black-Scholes'!$B$6,0))</f>
        <v>16.3900047640428</v>
      </c>
      <c r="F2990" s="18" t="n">
        <f aca="false">(E2990+G2990)/2</f>
        <v>8.19500238202142</v>
      </c>
      <c r="G2990" s="18" t="n">
        <f aca="false">EXP(-'Black-Scholes'!$B$8*'Black-Scholes'!$B$7)*IF(LOWER('Black-Scholes'!$B$11)="put",MAX('Black-Scholes'!$B$6-D2990,0),MAX(D2990-'Black-Scholes'!$B$6,0))</f>
        <v>0</v>
      </c>
    </row>
    <row r="2991" customFormat="false" ht="15" hidden="false" customHeight="false" outlineLevel="0" collapsed="false">
      <c r="A2991" s="0" t="n">
        <v>2980</v>
      </c>
      <c r="B2991" s="15" t="n">
        <v>0.726659945317928</v>
      </c>
      <c r="C2991" s="18" t="n">
        <f aca="false">'Black-Scholes'!$B$5*EXP(('Black-Scholes'!$B$8-'Black-Scholes'!$B$10-'Black-Scholes'!$B$9^2/2)*'Black-Scholes'!$B$7+'Black-Scholes'!$B$9*SQRT('Black-Scholes'!$B$7)*B2991)</f>
        <v>119.164176298321</v>
      </c>
      <c r="D2991" s="18" t="n">
        <f aca="false">'Black-Scholes'!$B$5*EXP(('Black-Scholes'!$B$8-'Black-Scholes'!$B$10-'Black-Scholes'!$B$9^2/2)*'Black-Scholes'!$B$7-'Black-Scholes'!$B$9*SQRT('Black-Scholes'!$B$7)*B2991)</f>
        <v>89.1070269211703</v>
      </c>
      <c r="E2991" s="18" t="n">
        <f aca="false">EXP(-'Black-Scholes'!$B$8*'Black-Scholes'!$B$7)*IF(LOWER('Black-Scholes'!$B$11)="put",MAX('Black-Scholes'!$B$6-C2991,0),MAX(C2991-'Black-Scholes'!$B$6,0))</f>
        <v>18.2295283912824</v>
      </c>
      <c r="F2991" s="18" t="n">
        <f aca="false">(E2991+G2991)/2</f>
        <v>9.11476419564119</v>
      </c>
      <c r="G2991" s="18" t="n">
        <f aca="false">EXP(-'Black-Scholes'!$B$8*'Black-Scholes'!$B$7)*IF(LOWER('Black-Scholes'!$B$11)="put",MAX('Black-Scholes'!$B$6-D2991,0),MAX(D2991-'Black-Scholes'!$B$6,0))</f>
        <v>0</v>
      </c>
    </row>
    <row r="2992" customFormat="false" ht="15" hidden="false" customHeight="false" outlineLevel="0" collapsed="false">
      <c r="A2992" s="0" t="n">
        <v>2981</v>
      </c>
      <c r="B2992" s="15" t="n">
        <v>0.894020894976188</v>
      </c>
      <c r="C2992" s="18" t="n">
        <f aca="false">'Black-Scholes'!$B$5*EXP(('Black-Scholes'!$B$8-'Black-Scholes'!$B$10-'Black-Scholes'!$B$9^2/2)*'Black-Scholes'!$B$7+'Black-Scholes'!$B$9*SQRT('Black-Scholes'!$B$7)*B2992)</f>
        <v>123.220368354037</v>
      </c>
      <c r="D2992" s="18" t="n">
        <f aca="false">'Black-Scholes'!$B$5*EXP(('Black-Scholes'!$B$8-'Black-Scholes'!$B$10-'Black-Scholes'!$B$9^2/2)*'Black-Scholes'!$B$7-'Black-Scholes'!$B$9*SQRT('Black-Scholes'!$B$7)*B2992)</f>
        <v>86.1737844748595</v>
      </c>
      <c r="E2992" s="18" t="n">
        <f aca="false">EXP(-'Black-Scholes'!$B$8*'Black-Scholes'!$B$7)*IF(LOWER('Black-Scholes'!$B$11)="put",MAX('Black-Scholes'!$B$6-C2992,0),MAX(C2992-'Black-Scholes'!$B$6,0))</f>
        <v>22.0878976261053</v>
      </c>
      <c r="F2992" s="18" t="n">
        <f aca="false">(E2992+G2992)/2</f>
        <v>11.0439488130527</v>
      </c>
      <c r="G2992" s="18" t="n">
        <f aca="false">EXP(-'Black-Scholes'!$B$8*'Black-Scholes'!$B$7)*IF(LOWER('Black-Scholes'!$B$11)="put",MAX('Black-Scholes'!$B$6-D2992,0),MAX(D2992-'Black-Scholes'!$B$6,0))</f>
        <v>0</v>
      </c>
    </row>
    <row r="2993" customFormat="false" ht="15" hidden="false" customHeight="false" outlineLevel="0" collapsed="false">
      <c r="A2993" s="0" t="n">
        <v>2982</v>
      </c>
      <c r="B2993" s="15" t="n">
        <v>0.918904282487307</v>
      </c>
      <c r="C2993" s="18" t="n">
        <f aca="false">'Black-Scholes'!$B$5*EXP(('Black-Scholes'!$B$8-'Black-Scholes'!$B$10-'Black-Scholes'!$B$9^2/2)*'Black-Scholes'!$B$7+'Black-Scholes'!$B$9*SQRT('Black-Scholes'!$B$7)*B2993)</f>
        <v>123.835124842611</v>
      </c>
      <c r="D2993" s="18" t="n">
        <f aca="false">'Black-Scholes'!$B$5*EXP(('Black-Scholes'!$B$8-'Black-Scholes'!$B$10-'Black-Scholes'!$B$9^2/2)*'Black-Scholes'!$B$7-'Black-Scholes'!$B$9*SQRT('Black-Scholes'!$B$7)*B2993)</f>
        <v>85.7459907191036</v>
      </c>
      <c r="E2993" s="18" t="n">
        <f aca="false">EXP(-'Black-Scholes'!$B$8*'Black-Scholes'!$B$7)*IF(LOWER('Black-Scholes'!$B$11)="put",MAX('Black-Scholes'!$B$6-C2993,0),MAX(C2993-'Black-Scholes'!$B$6,0))</f>
        <v>22.6726720869399</v>
      </c>
      <c r="F2993" s="18" t="n">
        <f aca="false">(E2993+G2993)/2</f>
        <v>11.33633604347</v>
      </c>
      <c r="G2993" s="18" t="n">
        <f aca="false">EXP(-'Black-Scholes'!$B$8*'Black-Scholes'!$B$7)*IF(LOWER('Black-Scholes'!$B$11)="put",MAX('Black-Scholes'!$B$6-D2993,0),MAX(D2993-'Black-Scholes'!$B$6,0))</f>
        <v>0</v>
      </c>
    </row>
    <row r="2994" customFormat="false" ht="15" hidden="false" customHeight="false" outlineLevel="0" collapsed="false">
      <c r="A2994" s="0" t="n">
        <v>2983</v>
      </c>
      <c r="B2994" s="15" t="n">
        <v>-1.43528993687451</v>
      </c>
      <c r="C2994" s="18" t="n">
        <f aca="false">'Black-Scholes'!$B$5*EXP(('Black-Scholes'!$B$8-'Black-Scholes'!$B$10-'Black-Scholes'!$B$9^2/2)*'Black-Scholes'!$B$7+'Black-Scholes'!$B$9*SQRT('Black-Scholes'!$B$7)*B2994)</f>
        <v>77.3323369473114</v>
      </c>
      <c r="D2994" s="18" t="n">
        <f aca="false">'Black-Scholes'!$B$5*EXP(('Black-Scholes'!$B$8-'Black-Scholes'!$B$10-'Black-Scholes'!$B$9^2/2)*'Black-Scholes'!$B$7-'Black-Scholes'!$B$9*SQRT('Black-Scholes'!$B$7)*B2994)</f>
        <v>137.308219104877</v>
      </c>
      <c r="E2994" s="18" t="n">
        <f aca="false">EXP(-'Black-Scholes'!$B$8*'Black-Scholes'!$B$7)*IF(LOWER('Black-Scholes'!$B$11)="put",MAX('Black-Scholes'!$B$6-C2994,0),MAX(C2994-'Black-Scholes'!$B$6,0))</f>
        <v>0</v>
      </c>
      <c r="F2994" s="18" t="n">
        <f aca="false">(E2994+G2994)/2</f>
        <v>17.7443378941393</v>
      </c>
      <c r="G2994" s="18" t="n">
        <f aca="false">EXP(-'Black-Scholes'!$B$8*'Black-Scholes'!$B$7)*IF(LOWER('Black-Scholes'!$B$11)="put",MAX('Black-Scholes'!$B$6-D2994,0),MAX(D2994-'Black-Scholes'!$B$6,0))</f>
        <v>35.4886757882786</v>
      </c>
    </row>
    <row r="2995" customFormat="false" ht="15" hidden="false" customHeight="false" outlineLevel="0" collapsed="false">
      <c r="A2995" s="0" t="n">
        <v>2984</v>
      </c>
      <c r="B2995" s="15" t="n">
        <v>-0.819674155342951</v>
      </c>
      <c r="C2995" s="18" t="n">
        <f aca="false">'Black-Scholes'!$B$5*EXP(('Black-Scholes'!$B$8-'Black-Scholes'!$B$10-'Black-Scholes'!$B$9^2/2)*'Black-Scholes'!$B$7+'Black-Scholes'!$B$9*SQRT('Black-Scholes'!$B$7)*B2995)</f>
        <v>87.4647062560494</v>
      </c>
      <c r="D2995" s="18" t="n">
        <f aca="false">'Black-Scholes'!$B$5*EXP(('Black-Scholes'!$B$8-'Black-Scholes'!$B$10-'Black-Scholes'!$B$9^2/2)*'Black-Scholes'!$B$7-'Black-Scholes'!$B$9*SQRT('Black-Scholes'!$B$7)*B2995)</f>
        <v>121.401716417692</v>
      </c>
      <c r="E2995" s="18" t="n">
        <f aca="false">EXP(-'Black-Scholes'!$B$8*'Black-Scholes'!$B$7)*IF(LOWER('Black-Scholes'!$B$11)="put",MAX('Black-Scholes'!$B$6-C2995,0),MAX(C2995-'Black-Scholes'!$B$6,0))</f>
        <v>0</v>
      </c>
      <c r="F2995" s="18" t="n">
        <f aca="false">(E2995+G2995)/2</f>
        <v>10.1789711956641</v>
      </c>
      <c r="G2995" s="18" t="n">
        <f aca="false">EXP(-'Black-Scholes'!$B$8*'Black-Scholes'!$B$7)*IF(LOWER('Black-Scholes'!$B$11)="put",MAX('Black-Scholes'!$B$6-D2995,0),MAX(D2995-'Black-Scholes'!$B$6,0))</f>
        <v>20.3579423913282</v>
      </c>
    </row>
    <row r="2996" customFormat="false" ht="15" hidden="false" customHeight="false" outlineLevel="0" collapsed="false">
      <c r="A2996" s="0" t="n">
        <v>2985</v>
      </c>
      <c r="B2996" s="15" t="n">
        <v>-0.418165210890087</v>
      </c>
      <c r="C2996" s="18" t="n">
        <f aca="false">'Black-Scholes'!$B$5*EXP(('Black-Scholes'!$B$8-'Black-Scholes'!$B$10-'Black-Scholes'!$B$9^2/2)*'Black-Scholes'!$B$7+'Black-Scholes'!$B$9*SQRT('Black-Scholes'!$B$7)*B2996)</f>
        <v>94.7779837921557</v>
      </c>
      <c r="D2996" s="18" t="n">
        <f aca="false">'Black-Scholes'!$B$5*EXP(('Black-Scholes'!$B$8-'Black-Scholes'!$B$10-'Black-Scholes'!$B$9^2/2)*'Black-Scholes'!$B$7-'Black-Scholes'!$B$9*SQRT('Black-Scholes'!$B$7)*B2996)</f>
        <v>112.034093157534</v>
      </c>
      <c r="E2996" s="18" t="n">
        <f aca="false">EXP(-'Black-Scholes'!$B$8*'Black-Scholes'!$B$7)*IF(LOWER('Black-Scholes'!$B$11)="put",MAX('Black-Scholes'!$B$6-C2996,0),MAX(C2996-'Black-Scholes'!$B$6,0))</f>
        <v>0</v>
      </c>
      <c r="F2996" s="18" t="n">
        <f aca="false">(E2996+G2996)/2</f>
        <v>5.72359175431442</v>
      </c>
      <c r="G2996" s="18" t="n">
        <f aca="false">EXP(-'Black-Scholes'!$B$8*'Black-Scholes'!$B$7)*IF(LOWER('Black-Scholes'!$B$11)="put",MAX('Black-Scholes'!$B$6-D2996,0),MAX(D2996-'Black-Scholes'!$B$6,0))</f>
        <v>11.4471835086288</v>
      </c>
    </row>
    <row r="2997" customFormat="false" ht="15" hidden="false" customHeight="false" outlineLevel="0" collapsed="false">
      <c r="A2997" s="0" t="n">
        <v>2986</v>
      </c>
      <c r="B2997" s="15" t="n">
        <v>0.485712648194158</v>
      </c>
      <c r="C2997" s="18" t="n">
        <f aca="false">'Black-Scholes'!$B$5*EXP(('Black-Scholes'!$B$8-'Black-Scholes'!$B$10-'Black-Scholes'!$B$9^2/2)*'Black-Scholes'!$B$7+'Black-Scholes'!$B$9*SQRT('Black-Scholes'!$B$7)*B2997)</f>
        <v>113.557885989233</v>
      </c>
      <c r="D2997" s="18" t="n">
        <f aca="false">'Black-Scholes'!$B$5*EXP(('Black-Scholes'!$B$8-'Black-Scholes'!$B$10-'Black-Scholes'!$B$9^2/2)*'Black-Scholes'!$B$7-'Black-Scholes'!$B$9*SQRT('Black-Scholes'!$B$7)*B2997)</f>
        <v>93.5061917801146</v>
      </c>
      <c r="E2997" s="18" t="n">
        <f aca="false">EXP(-'Black-Scholes'!$B$8*'Black-Scholes'!$B$7)*IF(LOWER('Black-Scholes'!$B$11)="put",MAX('Black-Scholes'!$B$6-C2997,0),MAX(C2997-'Black-Scholes'!$B$6,0))</f>
        <v>12.8966600869843</v>
      </c>
      <c r="F2997" s="18" t="n">
        <f aca="false">(E2997+G2997)/2</f>
        <v>6.44833004349216</v>
      </c>
      <c r="G2997" s="18" t="n">
        <f aca="false">EXP(-'Black-Scholes'!$B$8*'Black-Scholes'!$B$7)*IF(LOWER('Black-Scholes'!$B$11)="put",MAX('Black-Scholes'!$B$6-D2997,0),MAX(D2997-'Black-Scholes'!$B$6,0))</f>
        <v>0</v>
      </c>
    </row>
    <row r="2998" customFormat="false" ht="15" hidden="false" customHeight="false" outlineLevel="0" collapsed="false">
      <c r="A2998" s="0" t="n">
        <v>2987</v>
      </c>
      <c r="B2998" s="15" t="n">
        <v>-0.505959719331907</v>
      </c>
      <c r="C2998" s="18" t="n">
        <f aca="false">'Black-Scholes'!$B$5*EXP(('Black-Scholes'!$B$8-'Black-Scholes'!$B$10-'Black-Scholes'!$B$9^2/2)*'Black-Scholes'!$B$7+'Black-Scholes'!$B$9*SQRT('Black-Scholes'!$B$7)*B2998)</f>
        <v>93.1283120888201</v>
      </c>
      <c r="D2998" s="18" t="n">
        <f aca="false">'Black-Scholes'!$B$5*EXP(('Black-Scholes'!$B$8-'Black-Scholes'!$B$10-'Black-Scholes'!$B$9^2/2)*'Black-Scholes'!$B$7-'Black-Scholes'!$B$9*SQRT('Black-Scholes'!$B$7)*B2998)</f>
        <v>114.018661213643</v>
      </c>
      <c r="E2998" s="18" t="n">
        <f aca="false">EXP(-'Black-Scholes'!$B$8*'Black-Scholes'!$B$7)*IF(LOWER('Black-Scholes'!$B$11)="put",MAX('Black-Scholes'!$B$6-C2998,0),MAX(C2998-'Black-Scholes'!$B$6,0))</f>
        <v>0</v>
      </c>
      <c r="F2998" s="18" t="n">
        <f aca="false">(E2998+G2998)/2</f>
        <v>6.6674815192621</v>
      </c>
      <c r="G2998" s="18" t="n">
        <f aca="false">EXP(-'Black-Scholes'!$B$8*'Black-Scholes'!$B$7)*IF(LOWER('Black-Scholes'!$B$11)="put",MAX('Black-Scholes'!$B$6-D2998,0),MAX(D2998-'Black-Scholes'!$B$6,0))</f>
        <v>13.3349630385242</v>
      </c>
    </row>
    <row r="2999" customFormat="false" ht="15" hidden="false" customHeight="false" outlineLevel="0" collapsed="false">
      <c r="A2999" s="0" t="n">
        <v>2988</v>
      </c>
      <c r="B2999" s="15" t="n">
        <v>-0.688155635324039</v>
      </c>
      <c r="C2999" s="18" t="n">
        <f aca="false">'Black-Scholes'!$B$5*EXP(('Black-Scholes'!$B$8-'Black-Scholes'!$B$10-'Black-Scholes'!$B$9^2/2)*'Black-Scholes'!$B$7+'Black-Scholes'!$B$9*SQRT('Black-Scholes'!$B$7)*B2999)</f>
        <v>89.7958768033005</v>
      </c>
      <c r="D2999" s="18" t="n">
        <f aca="false">'Black-Scholes'!$B$5*EXP(('Black-Scholes'!$B$8-'Black-Scholes'!$B$10-'Black-Scholes'!$B$9^2/2)*'Black-Scholes'!$B$7-'Black-Scholes'!$B$9*SQRT('Black-Scholes'!$B$7)*B2999)</f>
        <v>118.250033781766</v>
      </c>
      <c r="E2999" s="18" t="n">
        <f aca="false">EXP(-'Black-Scholes'!$B$8*'Black-Scholes'!$B$7)*IF(LOWER('Black-Scholes'!$B$11)="put",MAX('Black-Scholes'!$B$6-C2999,0),MAX(C2999-'Black-Scholes'!$B$6,0))</f>
        <v>0</v>
      </c>
      <c r="F2999" s="18" t="n">
        <f aca="false">(E2999+G2999)/2</f>
        <v>8.67998456567399</v>
      </c>
      <c r="G2999" s="18" t="n">
        <f aca="false">EXP(-'Black-Scholes'!$B$8*'Black-Scholes'!$B$7)*IF(LOWER('Black-Scholes'!$B$11)="put",MAX('Black-Scholes'!$B$6-D2999,0),MAX(D2999-'Black-Scholes'!$B$6,0))</f>
        <v>17.359969131348</v>
      </c>
    </row>
    <row r="3000" customFormat="false" ht="15" hidden="false" customHeight="false" outlineLevel="0" collapsed="false">
      <c r="A3000" s="0" t="n">
        <v>2989</v>
      </c>
      <c r="B3000" s="15" t="n">
        <v>0.600682601456659</v>
      </c>
      <c r="C3000" s="18" t="n">
        <f aca="false">'Black-Scholes'!$B$5*EXP(('Black-Scholes'!$B$8-'Black-Scholes'!$B$10-'Black-Scholes'!$B$9^2/2)*'Black-Scholes'!$B$7+'Black-Scholes'!$B$9*SQRT('Black-Scholes'!$B$7)*B3000)</f>
        <v>116.199286750508</v>
      </c>
      <c r="D3000" s="18" t="n">
        <f aca="false">'Black-Scholes'!$B$5*EXP(('Black-Scholes'!$B$8-'Black-Scholes'!$B$10-'Black-Scholes'!$B$9^2/2)*'Black-Scholes'!$B$7-'Black-Scholes'!$B$9*SQRT('Black-Scholes'!$B$7)*B3000)</f>
        <v>91.3806423635999</v>
      </c>
      <c r="E3000" s="18" t="n">
        <f aca="false">EXP(-'Black-Scholes'!$B$8*'Black-Scholes'!$B$7)*IF(LOWER('Black-Scholes'!$B$11)="put",MAX('Black-Scholes'!$B$6-C3000,0),MAX(C3000-'Black-Scholes'!$B$6,0))</f>
        <v>15.4092382130081</v>
      </c>
      <c r="F3000" s="18" t="n">
        <f aca="false">(E3000+G3000)/2</f>
        <v>7.70461910650406</v>
      </c>
      <c r="G3000" s="18" t="n">
        <f aca="false">EXP(-'Black-Scholes'!$B$8*'Black-Scholes'!$B$7)*IF(LOWER('Black-Scholes'!$B$11)="put",MAX('Black-Scholes'!$B$6-D3000,0),MAX(D3000-'Black-Scholes'!$B$6,0))</f>
        <v>0</v>
      </c>
    </row>
    <row r="3001" customFormat="false" ht="15" hidden="false" customHeight="false" outlineLevel="0" collapsed="false">
      <c r="A3001" s="0" t="n">
        <v>2990</v>
      </c>
      <c r="B3001" s="15" t="n">
        <v>1.5551831921181</v>
      </c>
      <c r="C3001" s="18" t="n">
        <f aca="false">'Black-Scholes'!$B$5*EXP(('Black-Scholes'!$B$8-'Black-Scholes'!$B$10-'Black-Scholes'!$B$9^2/2)*'Black-Scholes'!$B$7+'Black-Scholes'!$B$9*SQRT('Black-Scholes'!$B$7)*B3001)</f>
        <v>140.640476837191</v>
      </c>
      <c r="D3001" s="18" t="n">
        <f aca="false">'Black-Scholes'!$B$5*EXP(('Black-Scholes'!$B$8-'Black-Scholes'!$B$10-'Black-Scholes'!$B$9^2/2)*'Black-Scholes'!$B$7-'Black-Scholes'!$B$9*SQRT('Black-Scholes'!$B$7)*B3001)</f>
        <v>75.5000672938966</v>
      </c>
      <c r="E3001" s="18" t="n">
        <f aca="false">EXP(-'Black-Scholes'!$B$8*'Black-Scholes'!$B$7)*IF(LOWER('Black-Scholes'!$B$11)="put",MAX('Black-Scholes'!$B$6-C3001,0),MAX(C3001-'Black-Scholes'!$B$6,0))</f>
        <v>38.6584173932754</v>
      </c>
      <c r="F3001" s="18" t="n">
        <f aca="false">(E3001+G3001)/2</f>
        <v>19.3292086966377</v>
      </c>
      <c r="G3001" s="18" t="n">
        <f aca="false">EXP(-'Black-Scholes'!$B$8*'Black-Scholes'!$B$7)*IF(LOWER('Black-Scholes'!$B$11)="put",MAX('Black-Scholes'!$B$6-D3001,0),MAX(D3001-'Black-Scholes'!$B$6,0))</f>
        <v>0</v>
      </c>
    </row>
    <row r="3002" customFormat="false" ht="15" hidden="false" customHeight="false" outlineLevel="0" collapsed="false">
      <c r="A3002" s="0" t="n">
        <v>2991</v>
      </c>
      <c r="B3002" s="15" t="n">
        <v>0.42512312790948</v>
      </c>
      <c r="C3002" s="18" t="n">
        <f aca="false">'Black-Scholes'!$B$5*EXP(('Black-Scholes'!$B$8-'Black-Scholes'!$B$10-'Black-Scholes'!$B$9^2/2)*'Black-Scholes'!$B$7+'Black-Scholes'!$B$9*SQRT('Black-Scholes'!$B$7)*B3002)</f>
        <v>112.190106469832</v>
      </c>
      <c r="D3002" s="18" t="n">
        <f aca="false">'Black-Scholes'!$B$5*EXP(('Black-Scholes'!$B$8-'Black-Scholes'!$B$10-'Black-Scholes'!$B$9^2/2)*'Black-Scholes'!$B$7-'Black-Scholes'!$B$9*SQRT('Black-Scholes'!$B$7)*B3002)</f>
        <v>94.6461840492941</v>
      </c>
      <c r="E3002" s="18" t="n">
        <f aca="false">EXP(-'Black-Scholes'!$B$8*'Black-Scholes'!$B$7)*IF(LOWER('Black-Scholes'!$B$11)="put",MAX('Black-Scholes'!$B$6-C3002,0),MAX(C3002-'Black-Scholes'!$B$6,0))</f>
        <v>11.5955879619005</v>
      </c>
      <c r="F3002" s="18" t="n">
        <f aca="false">(E3002+G3002)/2</f>
        <v>5.79779398095026</v>
      </c>
      <c r="G3002" s="18" t="n">
        <f aca="false">EXP(-'Black-Scholes'!$B$8*'Black-Scholes'!$B$7)*IF(LOWER('Black-Scholes'!$B$11)="put",MAX('Black-Scholes'!$B$6-D3002,0),MAX(D3002-'Black-Scholes'!$B$6,0))</f>
        <v>0</v>
      </c>
    </row>
    <row r="3003" customFormat="false" ht="15" hidden="false" customHeight="false" outlineLevel="0" collapsed="false">
      <c r="A3003" s="0" t="n">
        <v>2992</v>
      </c>
      <c r="B3003" s="15" t="n">
        <v>-0.797689914053572</v>
      </c>
      <c r="C3003" s="18" t="n">
        <f aca="false">'Black-Scholes'!$B$5*EXP(('Black-Scholes'!$B$8-'Black-Scholes'!$B$10-'Black-Scholes'!$B$9^2/2)*'Black-Scholes'!$B$7+'Black-Scholes'!$B$9*SQRT('Black-Scholes'!$B$7)*B3003)</f>
        <v>87.8501219836989</v>
      </c>
      <c r="D3003" s="18" t="n">
        <f aca="false">'Black-Scholes'!$B$5*EXP(('Black-Scholes'!$B$8-'Black-Scholes'!$B$10-'Black-Scholes'!$B$9^2/2)*'Black-Scholes'!$B$7-'Black-Scholes'!$B$9*SQRT('Black-Scholes'!$B$7)*B3003)</f>
        <v>120.869103260026</v>
      </c>
      <c r="E3003" s="18" t="n">
        <f aca="false">EXP(-'Black-Scholes'!$B$8*'Black-Scholes'!$B$7)*IF(LOWER('Black-Scholes'!$B$11)="put",MAX('Black-Scholes'!$B$6-C3003,0),MAX(C3003-'Black-Scholes'!$B$6,0))</f>
        <v>0</v>
      </c>
      <c r="F3003" s="18" t="n">
        <f aca="false">(E3003+G3003)/2</f>
        <v>9.92565254194034</v>
      </c>
      <c r="G3003" s="18" t="n">
        <f aca="false">EXP(-'Black-Scholes'!$B$8*'Black-Scholes'!$B$7)*IF(LOWER('Black-Scholes'!$B$11)="put",MAX('Black-Scholes'!$B$6-D3003,0),MAX(D3003-'Black-Scholes'!$B$6,0))</f>
        <v>19.8513050838807</v>
      </c>
    </row>
    <row r="3004" customFormat="false" ht="15" hidden="false" customHeight="false" outlineLevel="0" collapsed="false">
      <c r="A3004" s="0" t="n">
        <v>2993</v>
      </c>
      <c r="B3004" s="15" t="n">
        <v>1.24035932178637</v>
      </c>
      <c r="C3004" s="18" t="n">
        <f aca="false">'Black-Scholes'!$B$5*EXP(('Black-Scholes'!$B$8-'Black-Scholes'!$B$10-'Black-Scholes'!$B$9^2/2)*'Black-Scholes'!$B$7+'Black-Scholes'!$B$9*SQRT('Black-Scholes'!$B$7)*B3004)</f>
        <v>132.058109651085</v>
      </c>
      <c r="D3004" s="18" t="n">
        <f aca="false">'Black-Scholes'!$B$5*EXP(('Black-Scholes'!$B$8-'Black-Scholes'!$B$10-'Black-Scholes'!$B$9^2/2)*'Black-Scholes'!$B$7-'Black-Scholes'!$B$9*SQRT('Black-Scholes'!$B$7)*B3004)</f>
        <v>80.4067655784924</v>
      </c>
      <c r="E3004" s="18" t="n">
        <f aca="false">EXP(-'Black-Scholes'!$B$8*'Black-Scholes'!$B$7)*IF(LOWER('Black-Scholes'!$B$11)="put",MAX('Black-Scholes'!$B$6-C3004,0),MAX(C3004-'Black-Scholes'!$B$6,0))</f>
        <v>30.4946171939819</v>
      </c>
      <c r="F3004" s="18" t="n">
        <f aca="false">(E3004+G3004)/2</f>
        <v>15.2473085969909</v>
      </c>
      <c r="G3004" s="18" t="n">
        <f aca="false">EXP(-'Black-Scholes'!$B$8*'Black-Scholes'!$B$7)*IF(LOWER('Black-Scholes'!$B$11)="put",MAX('Black-Scholes'!$B$6-D3004,0),MAX(D3004-'Black-Scholes'!$B$6,0))</f>
        <v>0</v>
      </c>
    </row>
    <row r="3005" customFormat="false" ht="15" hidden="false" customHeight="false" outlineLevel="0" collapsed="false">
      <c r="A3005" s="0" t="n">
        <v>2994</v>
      </c>
      <c r="B3005" s="15" t="n">
        <v>0.500341576711212</v>
      </c>
      <c r="C3005" s="18" t="n">
        <f aca="false">'Black-Scholes'!$B$5*EXP(('Black-Scholes'!$B$8-'Black-Scholes'!$B$10-'Black-Scholes'!$B$9^2/2)*'Black-Scholes'!$B$7+'Black-Scholes'!$B$9*SQRT('Black-Scholes'!$B$7)*B3005)</f>
        <v>113.890618543289</v>
      </c>
      <c r="D3005" s="18" t="n">
        <f aca="false">'Black-Scholes'!$B$5*EXP(('Black-Scholes'!$B$8-'Black-Scholes'!$B$10-'Black-Scholes'!$B$9^2/2)*'Black-Scholes'!$B$7-'Black-Scholes'!$B$9*SQRT('Black-Scholes'!$B$7)*B3005)</f>
        <v>93.2330125278722</v>
      </c>
      <c r="E3005" s="18" t="n">
        <f aca="false">EXP(-'Black-Scholes'!$B$8*'Black-Scholes'!$B$7)*IF(LOWER('Black-Scholes'!$B$11)="put",MAX('Black-Scholes'!$B$6-C3005,0),MAX(C3005-'Black-Scholes'!$B$6,0))</f>
        <v>13.213165082892</v>
      </c>
      <c r="F3005" s="18" t="n">
        <f aca="false">(E3005+G3005)/2</f>
        <v>6.606582541446</v>
      </c>
      <c r="G3005" s="18" t="n">
        <f aca="false">EXP(-'Black-Scholes'!$B$8*'Black-Scholes'!$B$7)*IF(LOWER('Black-Scholes'!$B$11)="put",MAX('Black-Scholes'!$B$6-D3005,0),MAX(D3005-'Black-Scholes'!$B$6,0))</f>
        <v>0</v>
      </c>
    </row>
    <row r="3006" customFormat="false" ht="15" hidden="false" customHeight="false" outlineLevel="0" collapsed="false">
      <c r="A3006" s="0" t="n">
        <v>2995</v>
      </c>
      <c r="B3006" s="15" t="n">
        <v>-0.317614669380878</v>
      </c>
      <c r="C3006" s="18" t="n">
        <f aca="false">'Black-Scholes'!$B$5*EXP(('Black-Scholes'!$B$8-'Black-Scholes'!$B$10-'Black-Scholes'!$B$9^2/2)*'Black-Scholes'!$B$7+'Black-Scholes'!$B$9*SQRT('Black-Scholes'!$B$7)*B3006)</f>
        <v>96.7032733168129</v>
      </c>
      <c r="D3006" s="18" t="n">
        <f aca="false">'Black-Scholes'!$B$5*EXP(('Black-Scholes'!$B$8-'Black-Scholes'!$B$10-'Black-Scholes'!$B$9^2/2)*'Black-Scholes'!$B$7-'Black-Scholes'!$B$9*SQRT('Black-Scholes'!$B$7)*B3006)</f>
        <v>109.803578526927</v>
      </c>
      <c r="E3006" s="18" t="n">
        <f aca="false">EXP(-'Black-Scholes'!$B$8*'Black-Scholes'!$B$7)*IF(LOWER('Black-Scholes'!$B$11)="put",MAX('Black-Scholes'!$B$6-C3006,0),MAX(C3006-'Black-Scholes'!$B$6,0))</f>
        <v>0</v>
      </c>
      <c r="F3006" s="18" t="n">
        <f aca="false">(E3006+G3006)/2</f>
        <v>4.66272618010838</v>
      </c>
      <c r="G3006" s="18" t="n">
        <f aca="false">EXP(-'Black-Scholes'!$B$8*'Black-Scholes'!$B$7)*IF(LOWER('Black-Scholes'!$B$11)="put",MAX('Black-Scholes'!$B$6-D3006,0),MAX(D3006-'Black-Scholes'!$B$6,0))</f>
        <v>9.32545236021676</v>
      </c>
    </row>
    <row r="3007" customFormat="false" ht="15" hidden="false" customHeight="false" outlineLevel="0" collapsed="false">
      <c r="A3007" s="0" t="n">
        <v>2996</v>
      </c>
      <c r="B3007" s="15" t="n">
        <v>0.881079526485648</v>
      </c>
      <c r="C3007" s="18" t="n">
        <f aca="false">'Black-Scholes'!$B$5*EXP(('Black-Scholes'!$B$8-'Black-Scholes'!$B$10-'Black-Scholes'!$B$9^2/2)*'Black-Scholes'!$B$7+'Black-Scholes'!$B$9*SQRT('Black-Scholes'!$B$7)*B3007)</f>
        <v>122.901852696221</v>
      </c>
      <c r="D3007" s="18" t="n">
        <f aca="false">'Black-Scholes'!$B$5*EXP(('Black-Scholes'!$B$8-'Black-Scholes'!$B$10-'Black-Scholes'!$B$9^2/2)*'Black-Scholes'!$B$7-'Black-Scholes'!$B$9*SQRT('Black-Scholes'!$B$7)*B3007)</f>
        <v>86.3971147098918</v>
      </c>
      <c r="E3007" s="18" t="n">
        <f aca="false">EXP(-'Black-Scholes'!$B$8*'Black-Scholes'!$B$7)*IF(LOWER('Black-Scholes'!$B$11)="put",MAX('Black-Scholes'!$B$6-C3007,0),MAX(C3007-'Black-Scholes'!$B$6,0))</f>
        <v>21.784916160226</v>
      </c>
      <c r="F3007" s="18" t="n">
        <f aca="false">(E3007+G3007)/2</f>
        <v>10.892458080113</v>
      </c>
      <c r="G3007" s="18" t="n">
        <f aca="false">EXP(-'Black-Scholes'!$B$8*'Black-Scholes'!$B$7)*IF(LOWER('Black-Scholes'!$B$11)="put",MAX('Black-Scholes'!$B$6-D3007,0),MAX(D3007-'Black-Scholes'!$B$6,0))</f>
        <v>0</v>
      </c>
    </row>
    <row r="3008" customFormat="false" ht="15" hidden="false" customHeight="false" outlineLevel="0" collapsed="false">
      <c r="A3008" s="0" t="n">
        <v>2997</v>
      </c>
      <c r="B3008" s="15" t="n">
        <v>0.676936290472695</v>
      </c>
      <c r="C3008" s="18" t="n">
        <f aca="false">'Black-Scholes'!$B$5*EXP(('Black-Scholes'!$B$8-'Black-Scholes'!$B$10-'Black-Scholes'!$B$9^2/2)*'Black-Scholes'!$B$7+'Black-Scholes'!$B$9*SQRT('Black-Scholes'!$B$7)*B3008)</f>
        <v>117.984993669078</v>
      </c>
      <c r="D3008" s="18" t="n">
        <f aca="false">'Black-Scholes'!$B$5*EXP(('Black-Scholes'!$B$8-'Black-Scholes'!$B$10-'Black-Scholes'!$B$9^2/2)*'Black-Scholes'!$B$7-'Black-Scholes'!$B$9*SQRT('Black-Scholes'!$B$7)*B3008)</f>
        <v>89.9975932128777</v>
      </c>
      <c r="E3008" s="18" t="n">
        <f aca="false">EXP(-'Black-Scholes'!$B$8*'Black-Scholes'!$B$7)*IF(LOWER('Black-Scholes'!$B$11)="put",MAX('Black-Scholes'!$B$6-C3008,0),MAX(C3008-'Black-Scholes'!$B$6,0))</f>
        <v>17.1078551774857</v>
      </c>
      <c r="F3008" s="18" t="n">
        <f aca="false">(E3008+G3008)/2</f>
        <v>8.55392758874285</v>
      </c>
      <c r="G3008" s="18" t="n">
        <f aca="false">EXP(-'Black-Scholes'!$B$8*'Black-Scholes'!$B$7)*IF(LOWER('Black-Scholes'!$B$11)="put",MAX('Black-Scholes'!$B$6-D3008,0),MAX(D3008-'Black-Scholes'!$B$6,0))</f>
        <v>0</v>
      </c>
    </row>
    <row r="3009" customFormat="false" ht="15" hidden="false" customHeight="false" outlineLevel="0" collapsed="false">
      <c r="A3009" s="0" t="n">
        <v>2998</v>
      </c>
      <c r="B3009" s="15" t="n">
        <v>2.20984854033964</v>
      </c>
      <c r="C3009" s="18" t="n">
        <f aca="false">'Black-Scholes'!$B$5*EXP(('Black-Scholes'!$B$8-'Black-Scholes'!$B$10-'Black-Scholes'!$B$9^2/2)*'Black-Scholes'!$B$7+'Black-Scholes'!$B$9*SQRT('Black-Scholes'!$B$7)*B3009)</f>
        <v>160.314882051587</v>
      </c>
      <c r="D3009" s="18" t="n">
        <f aca="false">'Black-Scholes'!$B$5*EXP(('Black-Scholes'!$B$8-'Black-Scholes'!$B$10-'Black-Scholes'!$B$9^2/2)*'Black-Scholes'!$B$7-'Black-Scholes'!$B$9*SQRT('Black-Scholes'!$B$7)*B3009)</f>
        <v>66.234433943798</v>
      </c>
      <c r="E3009" s="18" t="n">
        <f aca="false">EXP(-'Black-Scholes'!$B$8*'Black-Scholes'!$B$7)*IF(LOWER('Black-Scholes'!$B$11)="put",MAX('Black-Scholes'!$B$6-C3009,0),MAX(C3009-'Black-Scholes'!$B$6,0))</f>
        <v>57.3732905427594</v>
      </c>
      <c r="F3009" s="18" t="n">
        <f aca="false">(E3009+G3009)/2</f>
        <v>28.6866452713797</v>
      </c>
      <c r="G3009" s="18" t="n">
        <f aca="false">EXP(-'Black-Scholes'!$B$8*'Black-Scholes'!$B$7)*IF(LOWER('Black-Scholes'!$B$11)="put",MAX('Black-Scholes'!$B$6-D3009,0),MAX(D3009-'Black-Scholes'!$B$6,0))</f>
        <v>0</v>
      </c>
    </row>
    <row r="3010" customFormat="false" ht="15" hidden="false" customHeight="false" outlineLevel="0" collapsed="false">
      <c r="A3010" s="0" t="n">
        <v>2999</v>
      </c>
      <c r="B3010" s="15" t="n">
        <v>-0.650324941736734</v>
      </c>
      <c r="C3010" s="18" t="n">
        <f aca="false">'Black-Scholes'!$B$5*EXP(('Black-Scholes'!$B$8-'Black-Scholes'!$B$10-'Black-Scholes'!$B$9^2/2)*'Black-Scholes'!$B$7+'Black-Scholes'!$B$9*SQRT('Black-Scholes'!$B$7)*B3010)</f>
        <v>90.4778616058286</v>
      </c>
      <c r="D3010" s="18" t="n">
        <f aca="false">'Black-Scholes'!$B$5*EXP(('Black-Scholes'!$B$8-'Black-Scholes'!$B$10-'Black-Scholes'!$B$9^2/2)*'Black-Scholes'!$B$7-'Black-Scholes'!$B$9*SQRT('Black-Scholes'!$B$7)*B3010)</f>
        <v>117.358713800212</v>
      </c>
      <c r="E3010" s="18" t="n">
        <f aca="false">EXP(-'Black-Scholes'!$B$8*'Black-Scholes'!$B$7)*IF(LOWER('Black-Scholes'!$B$11)="put",MAX('Black-Scholes'!$B$6-C3010,0),MAX(C3010-'Black-Scholes'!$B$6,0))</f>
        <v>0</v>
      </c>
      <c r="F3010" s="18" t="n">
        <f aca="false">(E3010+G3010)/2</f>
        <v>8.25605966912395</v>
      </c>
      <c r="G3010" s="18" t="n">
        <f aca="false">EXP(-'Black-Scholes'!$B$8*'Black-Scholes'!$B$7)*IF(LOWER('Black-Scholes'!$B$11)="put",MAX('Black-Scholes'!$B$6-D3010,0),MAX(D3010-'Black-Scholes'!$B$6,0))</f>
        <v>16.5121193382479</v>
      </c>
    </row>
    <row r="3011" customFormat="false" ht="15" hidden="false" customHeight="false" outlineLevel="0" collapsed="false">
      <c r="A3011" s="0" t="n">
        <v>3000</v>
      </c>
      <c r="B3011" s="15" t="n">
        <v>-0.0169423438890034</v>
      </c>
      <c r="C3011" s="18" t="n">
        <f aca="false">'Black-Scholes'!$B$5*EXP(('Black-Scholes'!$B$8-'Black-Scholes'!$B$10-'Black-Scholes'!$B$9^2/2)*'Black-Scholes'!$B$7+'Black-Scholes'!$B$9*SQRT('Black-Scholes'!$B$7)*B3011)</f>
        <v>102.696877995777</v>
      </c>
      <c r="D3011" s="18" t="n">
        <f aca="false">'Black-Scholes'!$B$5*EXP(('Black-Scholes'!$B$8-'Black-Scholes'!$B$10-'Black-Scholes'!$B$9^2/2)*'Black-Scholes'!$B$7-'Black-Scholes'!$B$9*SQRT('Black-Scholes'!$B$7)*B3011)</f>
        <v>103.39521193517</v>
      </c>
      <c r="E3011" s="18" t="n">
        <f aca="false">EXP(-'Black-Scholes'!$B$8*'Black-Scholes'!$B$7)*IF(LOWER('Black-Scholes'!$B$11)="put",MAX('Black-Scholes'!$B$6-C3011,0),MAX(C3011-'Black-Scholes'!$B$6,0))</f>
        <v>2.5653497038713</v>
      </c>
      <c r="F3011" s="18" t="n">
        <f aca="false">(E3011+G3011)/2</f>
        <v>2.89748759951036</v>
      </c>
      <c r="G3011" s="18" t="n">
        <f aca="false">EXP(-'Black-Scholes'!$B$8*'Black-Scholes'!$B$7)*IF(LOWER('Black-Scholes'!$B$11)="put",MAX('Black-Scholes'!$B$6-D3011,0),MAX(D3011-'Black-Scholes'!$B$6,0))</f>
        <v>3.22962549514943</v>
      </c>
    </row>
    <row r="3012" customFormat="false" ht="15" hidden="false" customHeight="false" outlineLevel="0" collapsed="false">
      <c r="A3012" s="0" t="n">
        <v>3001</v>
      </c>
      <c r="B3012" s="15" t="n">
        <v>0.150244767055787</v>
      </c>
      <c r="C3012" s="18" t="n">
        <f aca="false">'Black-Scholes'!$B$5*EXP(('Black-Scholes'!$B$8-'Black-Scholes'!$B$10-'Black-Scholes'!$B$9^2/2)*'Black-Scholes'!$B$7+'Black-Scholes'!$B$9*SQRT('Black-Scholes'!$B$7)*B3012)</f>
        <v>106.188852833874</v>
      </c>
      <c r="D3012" s="18" t="n">
        <f aca="false">'Black-Scholes'!$B$5*EXP(('Black-Scholes'!$B$8-'Black-Scholes'!$B$10-'Black-Scholes'!$B$9^2/2)*'Black-Scholes'!$B$7-'Black-Scholes'!$B$9*SQRT('Black-Scholes'!$B$7)*B3012)</f>
        <v>99.9951047787041</v>
      </c>
      <c r="E3012" s="18" t="n">
        <f aca="false">EXP(-'Black-Scholes'!$B$8*'Black-Scholes'!$B$7)*IF(LOWER('Black-Scholes'!$B$11)="put",MAX('Black-Scholes'!$B$6-C3012,0),MAX(C3012-'Black-Scholes'!$B$6,0))</f>
        <v>5.88701891948533</v>
      </c>
      <c r="F3012" s="18" t="n">
        <f aca="false">(E3012+G3012)/2</f>
        <v>2.94350945974267</v>
      </c>
      <c r="G3012" s="18" t="n">
        <f aca="false">EXP(-'Black-Scholes'!$B$8*'Black-Scholes'!$B$7)*IF(LOWER('Black-Scholes'!$B$11)="put",MAX('Black-Scholes'!$B$6-D3012,0),MAX(D3012-'Black-Scholes'!$B$6,0))</f>
        <v>0</v>
      </c>
    </row>
    <row r="3013" customFormat="false" ht="15" hidden="false" customHeight="false" outlineLevel="0" collapsed="false">
      <c r="A3013" s="0" t="n">
        <v>3002</v>
      </c>
      <c r="B3013" s="15" t="n">
        <v>0.450115581531571</v>
      </c>
      <c r="C3013" s="18" t="n">
        <f aca="false">'Black-Scholes'!$B$5*EXP(('Black-Scholes'!$B$8-'Black-Scholes'!$B$10-'Black-Scholes'!$B$9^2/2)*'Black-Scholes'!$B$7+'Black-Scholes'!$B$9*SQRT('Black-Scholes'!$B$7)*B3013)</f>
        <v>112.752291544321</v>
      </c>
      <c r="D3013" s="18" t="n">
        <f aca="false">'Black-Scholes'!$B$5*EXP(('Black-Scholes'!$B$8-'Black-Scholes'!$B$10-'Black-Scholes'!$B$9^2/2)*'Black-Scholes'!$B$7-'Black-Scholes'!$B$9*SQRT('Black-Scholes'!$B$7)*B3013)</f>
        <v>94.1742763718435</v>
      </c>
      <c r="E3013" s="18" t="n">
        <f aca="false">EXP(-'Black-Scholes'!$B$8*'Black-Scholes'!$B$7)*IF(LOWER('Black-Scholes'!$B$11)="put",MAX('Black-Scholes'!$B$6-C3013,0),MAX(C3013-'Black-Scholes'!$B$6,0))</f>
        <v>12.1303549467702</v>
      </c>
      <c r="F3013" s="18" t="n">
        <f aca="false">(E3013+G3013)/2</f>
        <v>6.06517747338509</v>
      </c>
      <c r="G3013" s="18" t="n">
        <f aca="false">EXP(-'Black-Scholes'!$B$8*'Black-Scholes'!$B$7)*IF(LOWER('Black-Scholes'!$B$11)="put",MAX('Black-Scholes'!$B$6-D3013,0),MAX(D3013-'Black-Scholes'!$B$6,0))</f>
        <v>0</v>
      </c>
    </row>
    <row r="3014" customFormat="false" ht="15" hidden="false" customHeight="false" outlineLevel="0" collapsed="false">
      <c r="A3014" s="0" t="n">
        <v>3003</v>
      </c>
      <c r="B3014" s="15" t="n">
        <v>0.824341153382124</v>
      </c>
      <c r="C3014" s="18" t="n">
        <f aca="false">'Black-Scholes'!$B$5*EXP(('Black-Scholes'!$B$8-'Black-Scholes'!$B$10-'Black-Scholes'!$B$9^2/2)*'Black-Scholes'!$B$7+'Black-Scholes'!$B$9*SQRT('Black-Scholes'!$B$7)*B3014)</f>
        <v>121.515085633346</v>
      </c>
      <c r="D3014" s="18" t="n">
        <f aca="false">'Black-Scholes'!$B$5*EXP(('Black-Scholes'!$B$8-'Black-Scholes'!$B$10-'Black-Scholes'!$B$9^2/2)*'Black-Scholes'!$B$7-'Black-Scholes'!$B$9*SQRT('Black-Scholes'!$B$7)*B3014)</f>
        <v>87.383104822828</v>
      </c>
      <c r="E3014" s="18" t="n">
        <f aca="false">EXP(-'Black-Scholes'!$B$8*'Black-Scholes'!$B$7)*IF(LOWER('Black-Scholes'!$B$11)="put",MAX('Black-Scholes'!$B$6-C3014,0),MAX(C3014-'Black-Scholes'!$B$6,0))</f>
        <v>20.4657825250913</v>
      </c>
      <c r="F3014" s="18" t="n">
        <f aca="false">(E3014+G3014)/2</f>
        <v>10.2328912625457</v>
      </c>
      <c r="G3014" s="18" t="n">
        <f aca="false">EXP(-'Black-Scholes'!$B$8*'Black-Scholes'!$B$7)*IF(LOWER('Black-Scholes'!$B$11)="put",MAX('Black-Scholes'!$B$6-D3014,0),MAX(D3014-'Black-Scholes'!$B$6,0))</f>
        <v>0</v>
      </c>
    </row>
    <row r="3015" customFormat="false" ht="15" hidden="false" customHeight="false" outlineLevel="0" collapsed="false">
      <c r="A3015" s="0" t="n">
        <v>3004</v>
      </c>
      <c r="B3015" s="15" t="n">
        <v>0.585379980967445</v>
      </c>
      <c r="C3015" s="18" t="n">
        <f aca="false">'Black-Scholes'!$B$5*EXP(('Black-Scholes'!$B$8-'Black-Scholes'!$B$10-'Black-Scholes'!$B$9^2/2)*'Black-Scholes'!$B$7+'Black-Scholes'!$B$9*SQRT('Black-Scholes'!$B$7)*B3015)</f>
        <v>115.844199686683</v>
      </c>
      <c r="D3015" s="18" t="n">
        <f aca="false">'Black-Scholes'!$B$5*EXP(('Black-Scholes'!$B$8-'Black-Scholes'!$B$10-'Black-Scholes'!$B$9^2/2)*'Black-Scholes'!$B$7-'Black-Scholes'!$B$9*SQRT('Black-Scholes'!$B$7)*B3015)</f>
        <v>91.6607434310257</v>
      </c>
      <c r="E3015" s="18" t="n">
        <f aca="false">EXP(-'Black-Scholes'!$B$8*'Black-Scholes'!$B$7)*IF(LOWER('Black-Scholes'!$B$11)="put",MAX('Black-Scholes'!$B$6-C3015,0),MAX(C3015-'Black-Scholes'!$B$6,0))</f>
        <v>15.0714689496383</v>
      </c>
      <c r="F3015" s="18" t="n">
        <f aca="false">(E3015+G3015)/2</f>
        <v>7.53573447481915</v>
      </c>
      <c r="G3015" s="18" t="n">
        <f aca="false">EXP(-'Black-Scholes'!$B$8*'Black-Scholes'!$B$7)*IF(LOWER('Black-Scholes'!$B$11)="put",MAX('Black-Scholes'!$B$6-D3015,0),MAX(D3015-'Black-Scholes'!$B$6,0))</f>
        <v>0</v>
      </c>
    </row>
    <row r="3016" customFormat="false" ht="15" hidden="false" customHeight="false" outlineLevel="0" collapsed="false">
      <c r="A3016" s="0" t="n">
        <v>3005</v>
      </c>
      <c r="B3016" s="15" t="n">
        <v>0.378084716806562</v>
      </c>
      <c r="C3016" s="18" t="n">
        <f aca="false">'Black-Scholes'!$B$5*EXP(('Black-Scholes'!$B$8-'Black-Scholes'!$B$10-'Black-Scholes'!$B$9^2/2)*'Black-Scholes'!$B$7+'Black-Scholes'!$B$9*SQRT('Black-Scholes'!$B$7)*B3016)</f>
        <v>111.139606731542</v>
      </c>
      <c r="D3016" s="18" t="n">
        <f aca="false">'Black-Scholes'!$B$5*EXP(('Black-Scholes'!$B$8-'Black-Scholes'!$B$10-'Black-Scholes'!$B$9^2/2)*'Black-Scholes'!$B$7-'Black-Scholes'!$B$9*SQRT('Black-Scholes'!$B$7)*B3016)</f>
        <v>95.5407867431299</v>
      </c>
      <c r="E3016" s="18" t="n">
        <f aca="false">EXP(-'Black-Scholes'!$B$8*'Black-Scholes'!$B$7)*IF(LOWER('Black-Scholes'!$B$11)="put",MAX('Black-Scholes'!$B$6-C3016,0),MAX(C3016-'Black-Scholes'!$B$6,0))</f>
        <v>10.5963217004092</v>
      </c>
      <c r="F3016" s="18" t="n">
        <f aca="false">(E3016+G3016)/2</f>
        <v>5.29816085020461</v>
      </c>
      <c r="G3016" s="18" t="n">
        <f aca="false">EXP(-'Black-Scholes'!$B$8*'Black-Scholes'!$B$7)*IF(LOWER('Black-Scholes'!$B$11)="put",MAX('Black-Scholes'!$B$6-D3016,0),MAX(D3016-'Black-Scholes'!$B$6,0))</f>
        <v>0</v>
      </c>
    </row>
    <row r="3017" customFormat="false" ht="15" hidden="false" customHeight="false" outlineLevel="0" collapsed="false">
      <c r="A3017" s="0" t="n">
        <v>3006</v>
      </c>
      <c r="B3017" s="15" t="n">
        <v>0.318291400174604</v>
      </c>
      <c r="C3017" s="18" t="n">
        <f aca="false">'Black-Scholes'!$B$5*EXP(('Black-Scholes'!$B$8-'Black-Scholes'!$B$10-'Black-Scholes'!$B$9^2/2)*'Black-Scholes'!$B$7+'Black-Scholes'!$B$9*SQRT('Black-Scholes'!$B$7)*B3017)</f>
        <v>109.818441025266</v>
      </c>
      <c r="D3017" s="18" t="n">
        <f aca="false">'Black-Scholes'!$B$5*EXP(('Black-Scholes'!$B$8-'Black-Scholes'!$B$10-'Black-Scholes'!$B$9^2/2)*'Black-Scholes'!$B$7-'Black-Scholes'!$B$9*SQRT('Black-Scholes'!$B$7)*B3017)</f>
        <v>96.6901857859249</v>
      </c>
      <c r="E3017" s="18" t="n">
        <f aca="false">EXP(-'Black-Scholes'!$B$8*'Black-Scholes'!$B$7)*IF(LOWER('Black-Scholes'!$B$11)="put",MAX('Black-Scholes'!$B$6-C3017,0),MAX(C3017-'Black-Scholes'!$B$6,0))</f>
        <v>9.33959000595788</v>
      </c>
      <c r="F3017" s="18" t="n">
        <f aca="false">(E3017+G3017)/2</f>
        <v>4.66979500297894</v>
      </c>
      <c r="G3017" s="18" t="n">
        <f aca="false">EXP(-'Black-Scholes'!$B$8*'Black-Scholes'!$B$7)*IF(LOWER('Black-Scholes'!$B$11)="put",MAX('Black-Scholes'!$B$6-D3017,0),MAX(D3017-'Black-Scholes'!$B$6,0))</f>
        <v>0</v>
      </c>
    </row>
    <row r="3018" customFormat="false" ht="15" hidden="false" customHeight="false" outlineLevel="0" collapsed="false">
      <c r="A3018" s="0" t="n">
        <v>3007</v>
      </c>
      <c r="B3018" s="15" t="n">
        <v>0.321323569713862</v>
      </c>
      <c r="C3018" s="18" t="n">
        <f aca="false">'Black-Scholes'!$B$5*EXP(('Black-Scholes'!$B$8-'Black-Scholes'!$B$10-'Black-Scholes'!$B$9^2/2)*'Black-Scholes'!$B$7+'Black-Scholes'!$B$9*SQRT('Black-Scholes'!$B$7)*B3018)</f>
        <v>109.885058849223</v>
      </c>
      <c r="D3018" s="18" t="n">
        <f aca="false">'Black-Scholes'!$B$5*EXP(('Black-Scholes'!$B$8-'Black-Scholes'!$B$10-'Black-Scholes'!$B$9^2/2)*'Black-Scholes'!$B$7-'Black-Scholes'!$B$9*SQRT('Black-Scholes'!$B$7)*B3018)</f>
        <v>96.6315673546065</v>
      </c>
      <c r="E3018" s="18" t="n">
        <f aca="false">EXP(-'Black-Scholes'!$B$8*'Black-Scholes'!$B$7)*IF(LOWER('Black-Scholes'!$B$11)="put",MAX('Black-Scholes'!$B$6-C3018,0),MAX(C3018-'Black-Scholes'!$B$6,0))</f>
        <v>9.40295884030214</v>
      </c>
      <c r="F3018" s="18" t="n">
        <f aca="false">(E3018+G3018)/2</f>
        <v>4.70147942015107</v>
      </c>
      <c r="G3018" s="18" t="n">
        <f aca="false">EXP(-'Black-Scholes'!$B$8*'Black-Scholes'!$B$7)*IF(LOWER('Black-Scholes'!$B$11)="put",MAX('Black-Scholes'!$B$6-D3018,0),MAX(D3018-'Black-Scholes'!$B$6,0))</f>
        <v>0</v>
      </c>
    </row>
    <row r="3019" customFormat="false" ht="15" hidden="false" customHeight="false" outlineLevel="0" collapsed="false">
      <c r="A3019" s="0" t="n">
        <v>3008</v>
      </c>
      <c r="B3019" s="15" t="n">
        <v>0.179255222897758</v>
      </c>
      <c r="C3019" s="18" t="n">
        <f aca="false">'Black-Scholes'!$B$5*EXP(('Black-Scholes'!$B$8-'Black-Scholes'!$B$10-'Black-Scholes'!$B$9^2/2)*'Black-Scholes'!$B$7+'Black-Scholes'!$B$9*SQRT('Black-Scholes'!$B$7)*B3019)</f>
        <v>106.806761085637</v>
      </c>
      <c r="D3019" s="18" t="n">
        <f aca="false">'Black-Scholes'!$B$5*EXP(('Black-Scholes'!$B$8-'Black-Scholes'!$B$10-'Black-Scholes'!$B$9^2/2)*'Black-Scholes'!$B$7-'Black-Scholes'!$B$9*SQRT('Black-Scholes'!$B$7)*B3019)</f>
        <v>99.4166039445747</v>
      </c>
      <c r="E3019" s="18" t="n">
        <f aca="false">EXP(-'Black-Scholes'!$B$8*'Black-Scholes'!$B$7)*IF(LOWER('Black-Scholes'!$B$11)="put",MAX('Black-Scholes'!$B$6-C3019,0),MAX(C3019-'Black-Scholes'!$B$6,0))</f>
        <v>6.47479143020447</v>
      </c>
      <c r="F3019" s="18" t="n">
        <f aca="false">(E3019+G3019)/2</f>
        <v>3.23739571510223</v>
      </c>
      <c r="G3019" s="18" t="n">
        <f aca="false">EXP(-'Black-Scholes'!$B$8*'Black-Scholes'!$B$7)*IF(LOWER('Black-Scholes'!$B$11)="put",MAX('Black-Scholes'!$B$6-D3019,0),MAX(D3019-'Black-Scholes'!$B$6,0))</f>
        <v>0</v>
      </c>
    </row>
    <row r="3020" customFormat="false" ht="15" hidden="false" customHeight="false" outlineLevel="0" collapsed="false">
      <c r="A3020" s="0" t="n">
        <v>3009</v>
      </c>
      <c r="B3020" s="15" t="n">
        <v>1.22487410647204</v>
      </c>
      <c r="C3020" s="18" t="n">
        <f aca="false">'Black-Scholes'!$B$5*EXP(('Black-Scholes'!$B$8-'Black-Scholes'!$B$10-'Black-Scholes'!$B$9^2/2)*'Black-Scholes'!$B$7+'Black-Scholes'!$B$9*SQRT('Black-Scholes'!$B$7)*B3020)</f>
        <v>131.649752674667</v>
      </c>
      <c r="D3020" s="18" t="n">
        <f aca="false">'Black-Scholes'!$B$5*EXP(('Black-Scholes'!$B$8-'Black-Scholes'!$B$10-'Black-Scholes'!$B$9^2/2)*'Black-Scholes'!$B$7-'Black-Scholes'!$B$9*SQRT('Black-Scholes'!$B$7)*B3020)</f>
        <v>80.6561748102459</v>
      </c>
      <c r="E3020" s="18" t="n">
        <f aca="false">EXP(-'Black-Scholes'!$B$8*'Black-Scholes'!$B$7)*IF(LOWER('Black-Scholes'!$B$11)="put",MAX('Black-Scholes'!$B$6-C3020,0),MAX(C3020-'Black-Scholes'!$B$6,0))</f>
        <v>30.1061760223136</v>
      </c>
      <c r="F3020" s="18" t="n">
        <f aca="false">(E3020+G3020)/2</f>
        <v>15.0530880111568</v>
      </c>
      <c r="G3020" s="18" t="n">
        <f aca="false">EXP(-'Black-Scholes'!$B$8*'Black-Scholes'!$B$7)*IF(LOWER('Black-Scholes'!$B$11)="put",MAX('Black-Scholes'!$B$6-D3020,0),MAX(D3020-'Black-Scholes'!$B$6,0))</f>
        <v>0</v>
      </c>
    </row>
    <row r="3021" customFormat="false" ht="15" hidden="false" customHeight="false" outlineLevel="0" collapsed="false">
      <c r="A3021" s="0" t="n">
        <v>3010</v>
      </c>
      <c r="B3021" s="15" t="n">
        <v>0.73288186351262</v>
      </c>
      <c r="C3021" s="18" t="n">
        <f aca="false">'Black-Scholes'!$B$5*EXP(('Black-Scholes'!$B$8-'Black-Scholes'!$B$10-'Black-Scholes'!$B$9^2/2)*'Black-Scholes'!$B$7+'Black-Scholes'!$B$9*SQRT('Black-Scholes'!$B$7)*B3021)</f>
        <v>119.312554550242</v>
      </c>
      <c r="D3021" s="18" t="n">
        <f aca="false">'Black-Scholes'!$B$5*EXP(('Black-Scholes'!$B$8-'Black-Scholes'!$B$10-'Black-Scholes'!$B$9^2/2)*'Black-Scholes'!$B$7-'Black-Scholes'!$B$9*SQRT('Black-Scholes'!$B$7)*B3021)</f>
        <v>88.9962125568457</v>
      </c>
      <c r="E3021" s="18" t="n">
        <f aca="false">EXP(-'Black-Scholes'!$B$8*'Black-Scholes'!$B$7)*IF(LOWER('Black-Scholes'!$B$11)="put",MAX('Black-Scholes'!$B$6-C3021,0),MAX(C3021-'Black-Scholes'!$B$6,0))</f>
        <v>18.3706701504655</v>
      </c>
      <c r="F3021" s="18" t="n">
        <f aca="false">(E3021+G3021)/2</f>
        <v>9.18533507523275</v>
      </c>
      <c r="G3021" s="18" t="n">
        <f aca="false">EXP(-'Black-Scholes'!$B$8*'Black-Scholes'!$B$7)*IF(LOWER('Black-Scholes'!$B$11)="put",MAX('Black-Scholes'!$B$6-D3021,0),MAX(D3021-'Black-Scholes'!$B$6,0))</f>
        <v>0</v>
      </c>
    </row>
    <row r="3022" customFormat="false" ht="15" hidden="false" customHeight="false" outlineLevel="0" collapsed="false">
      <c r="A3022" s="0" t="n">
        <v>3011</v>
      </c>
      <c r="B3022" s="15" t="n">
        <v>-2.24545837490326</v>
      </c>
      <c r="C3022" s="18" t="n">
        <f aca="false">'Black-Scholes'!$B$5*EXP(('Black-Scholes'!$B$8-'Black-Scholes'!$B$10-'Black-Scholes'!$B$9^2/2)*'Black-Scholes'!$B$7+'Black-Scholes'!$B$9*SQRT('Black-Scholes'!$B$7)*B3022)</f>
        <v>65.7643903012129</v>
      </c>
      <c r="D3022" s="18" t="n">
        <f aca="false">'Black-Scholes'!$B$5*EXP(('Black-Scholes'!$B$8-'Black-Scholes'!$B$10-'Black-Scholes'!$B$9^2/2)*'Black-Scholes'!$B$7-'Black-Scholes'!$B$9*SQRT('Black-Scholes'!$B$7)*B3022)</f>
        <v>161.460714785305</v>
      </c>
      <c r="E3022" s="18" t="n">
        <f aca="false">EXP(-'Black-Scholes'!$B$8*'Black-Scholes'!$B$7)*IF(LOWER('Black-Scholes'!$B$11)="put",MAX('Black-Scholes'!$B$6-C3022,0),MAX(C3022-'Black-Scholes'!$B$6,0))</f>
        <v>0</v>
      </c>
      <c r="F3022" s="18" t="n">
        <f aca="false">(E3022+G3022)/2</f>
        <v>29.2316201773139</v>
      </c>
      <c r="G3022" s="18" t="n">
        <f aca="false">EXP(-'Black-Scholes'!$B$8*'Black-Scholes'!$B$7)*IF(LOWER('Black-Scholes'!$B$11)="put",MAX('Black-Scholes'!$B$6-D3022,0),MAX(D3022-'Black-Scholes'!$B$6,0))</f>
        <v>58.4632403546279</v>
      </c>
    </row>
    <row r="3023" customFormat="false" ht="15" hidden="false" customHeight="false" outlineLevel="0" collapsed="false">
      <c r="A3023" s="0" t="n">
        <v>3012</v>
      </c>
      <c r="B3023" s="15" t="n">
        <v>1.26769218296151</v>
      </c>
      <c r="C3023" s="18" t="n">
        <f aca="false">'Black-Scholes'!$B$5*EXP(('Black-Scholes'!$B$8-'Black-Scholes'!$B$10-'Black-Scholes'!$B$9^2/2)*'Black-Scholes'!$B$7+'Black-Scholes'!$B$9*SQRT('Black-Scholes'!$B$7)*B3023)</f>
        <v>132.78199162058</v>
      </c>
      <c r="D3023" s="18" t="n">
        <f aca="false">'Black-Scholes'!$B$5*EXP(('Black-Scholes'!$B$8-'Black-Scholes'!$B$10-'Black-Scholes'!$B$9^2/2)*'Black-Scholes'!$B$7-'Black-Scholes'!$B$9*SQRT('Black-Scholes'!$B$7)*B3023)</f>
        <v>79.9684154143069</v>
      </c>
      <c r="E3023" s="18" t="n">
        <f aca="false">EXP(-'Black-Scholes'!$B$8*'Black-Scholes'!$B$7)*IF(LOWER('Black-Scholes'!$B$11)="put",MAX('Black-Scholes'!$B$6-C3023,0),MAX(C3023-'Black-Scholes'!$B$6,0))</f>
        <v>31.1831950232319</v>
      </c>
      <c r="F3023" s="18" t="n">
        <f aca="false">(E3023+G3023)/2</f>
        <v>15.591597511616</v>
      </c>
      <c r="G3023" s="18" t="n">
        <f aca="false">EXP(-'Black-Scholes'!$B$8*'Black-Scholes'!$B$7)*IF(LOWER('Black-Scholes'!$B$11)="put",MAX('Black-Scholes'!$B$6-D3023,0),MAX(D3023-'Black-Scholes'!$B$6,0))</f>
        <v>0</v>
      </c>
    </row>
    <row r="3024" customFormat="false" ht="15" hidden="false" customHeight="false" outlineLevel="0" collapsed="false">
      <c r="A3024" s="0" t="n">
        <v>3013</v>
      </c>
      <c r="B3024" s="15" t="n">
        <v>0.792478604432459</v>
      </c>
      <c r="C3024" s="18" t="n">
        <f aca="false">'Black-Scholes'!$B$5*EXP(('Black-Scholes'!$B$8-'Black-Scholes'!$B$10-'Black-Scholes'!$B$9^2/2)*'Black-Scholes'!$B$7+'Black-Scholes'!$B$9*SQRT('Black-Scholes'!$B$7)*B3024)</f>
        <v>120.743191623734</v>
      </c>
      <c r="D3024" s="18" t="n">
        <f aca="false">'Black-Scholes'!$B$5*EXP(('Black-Scholes'!$B$8-'Black-Scholes'!$B$10-'Black-Scholes'!$B$9^2/2)*'Black-Scholes'!$B$7-'Black-Scholes'!$B$9*SQRT('Black-Scholes'!$B$7)*B3024)</f>
        <v>87.9417325536922</v>
      </c>
      <c r="E3024" s="18" t="n">
        <f aca="false">EXP(-'Black-Scholes'!$B$8*'Black-Scholes'!$B$7)*IF(LOWER('Black-Scholes'!$B$11)="put",MAX('Black-Scholes'!$B$6-C3024,0),MAX(C3024-'Black-Scholes'!$B$6,0))</f>
        <v>19.7315342305523</v>
      </c>
      <c r="F3024" s="18" t="n">
        <f aca="false">(E3024+G3024)/2</f>
        <v>9.86576711527614</v>
      </c>
      <c r="G3024" s="18" t="n">
        <f aca="false">EXP(-'Black-Scholes'!$B$8*'Black-Scholes'!$B$7)*IF(LOWER('Black-Scholes'!$B$11)="put",MAX('Black-Scholes'!$B$6-D3024,0),MAX(D3024-'Black-Scholes'!$B$6,0))</f>
        <v>0</v>
      </c>
    </row>
    <row r="3025" customFormat="false" ht="15" hidden="false" customHeight="false" outlineLevel="0" collapsed="false">
      <c r="A3025" s="0" t="n">
        <v>3014</v>
      </c>
      <c r="B3025" s="15" t="n">
        <v>0.476302343132049</v>
      </c>
      <c r="C3025" s="18" t="n">
        <f aca="false">'Black-Scholes'!$B$5*EXP(('Black-Scholes'!$B$8-'Black-Scholes'!$B$10-'Black-Scholes'!$B$9^2/2)*'Black-Scholes'!$B$7+'Black-Scholes'!$B$9*SQRT('Black-Scholes'!$B$7)*B3025)</f>
        <v>113.344364112986</v>
      </c>
      <c r="D3025" s="18" t="n">
        <f aca="false">'Black-Scholes'!$B$5*EXP(('Black-Scholes'!$B$8-'Black-Scholes'!$B$10-'Black-Scholes'!$B$9^2/2)*'Black-Scholes'!$B$7-'Black-Scholes'!$B$9*SQRT('Black-Scholes'!$B$7)*B3025)</f>
        <v>93.6823418486763</v>
      </c>
      <c r="E3025" s="18" t="n">
        <f aca="false">EXP(-'Black-Scholes'!$B$8*'Black-Scholes'!$B$7)*IF(LOWER('Black-Scholes'!$B$11)="put",MAX('Black-Scholes'!$B$6-C3025,0),MAX(C3025-'Black-Scholes'!$B$6,0))</f>
        <v>12.6935517955237</v>
      </c>
      <c r="F3025" s="18" t="n">
        <f aca="false">(E3025+G3025)/2</f>
        <v>6.34677589776187</v>
      </c>
      <c r="G3025" s="18" t="n">
        <f aca="false">EXP(-'Black-Scholes'!$B$8*'Black-Scholes'!$B$7)*IF(LOWER('Black-Scholes'!$B$11)="put",MAX('Black-Scholes'!$B$6-D3025,0),MAX(D3025-'Black-Scholes'!$B$6,0))</f>
        <v>0</v>
      </c>
    </row>
    <row r="3026" customFormat="false" ht="15" hidden="false" customHeight="false" outlineLevel="0" collapsed="false">
      <c r="A3026" s="0" t="n">
        <v>3015</v>
      </c>
      <c r="B3026" s="15" t="n">
        <v>-0.101316525368808</v>
      </c>
      <c r="C3026" s="18" t="n">
        <f aca="false">'Black-Scholes'!$B$5*EXP(('Black-Scholes'!$B$8-'Black-Scholes'!$B$10-'Black-Scholes'!$B$9^2/2)*'Black-Scholes'!$B$7+'Black-Scholes'!$B$9*SQRT('Black-Scholes'!$B$7)*B3026)</f>
        <v>100.978425076052</v>
      </c>
      <c r="D3026" s="18" t="n">
        <f aca="false">'Black-Scholes'!$B$5*EXP(('Black-Scholes'!$B$8-'Black-Scholes'!$B$10-'Black-Scholes'!$B$9^2/2)*'Black-Scholes'!$B$7-'Black-Scholes'!$B$9*SQRT('Black-Scholes'!$B$7)*B3026)</f>
        <v>105.154793783488</v>
      </c>
      <c r="E3026" s="18" t="n">
        <f aca="false">EXP(-'Black-Scholes'!$B$8*'Black-Scholes'!$B$7)*IF(LOWER('Black-Scholes'!$B$11)="put",MAX('Black-Scholes'!$B$6-C3026,0),MAX(C3026-'Black-Scholes'!$B$6,0))</f>
        <v>0.930706722009651</v>
      </c>
      <c r="F3026" s="18" t="n">
        <f aca="false">(E3026+G3026)/2</f>
        <v>2.91704912304838</v>
      </c>
      <c r="G3026" s="18" t="n">
        <f aca="false">EXP(-'Black-Scholes'!$B$8*'Black-Scholes'!$B$7)*IF(LOWER('Black-Scholes'!$B$11)="put",MAX('Black-Scholes'!$B$6-D3026,0),MAX(D3026-'Black-Scholes'!$B$6,0))</f>
        <v>4.90339152408711</v>
      </c>
    </row>
    <row r="3027" customFormat="false" ht="15" hidden="false" customHeight="false" outlineLevel="0" collapsed="false">
      <c r="A3027" s="0" t="n">
        <v>3016</v>
      </c>
      <c r="B3027" s="15" t="n">
        <v>1.48048400283666</v>
      </c>
      <c r="C3027" s="18" t="n">
        <f aca="false">'Black-Scholes'!$B$5*EXP(('Black-Scholes'!$B$8-'Black-Scholes'!$B$10-'Black-Scholes'!$B$9^2/2)*'Black-Scholes'!$B$7+'Black-Scholes'!$B$9*SQRT('Black-Scholes'!$B$7)*B3027)</f>
        <v>138.554948435761</v>
      </c>
      <c r="D3027" s="18" t="n">
        <f aca="false">'Black-Scholes'!$B$5*EXP(('Black-Scholes'!$B$8-'Black-Scholes'!$B$10-'Black-Scholes'!$B$9^2/2)*'Black-Scholes'!$B$7-'Black-Scholes'!$B$9*SQRT('Black-Scholes'!$B$7)*B3027)</f>
        <v>76.6364939349436</v>
      </c>
      <c r="E3027" s="18" t="n">
        <f aca="false">EXP(-'Black-Scholes'!$B$8*'Black-Scholes'!$B$7)*IF(LOWER('Black-Scholes'!$B$11)="put",MAX('Black-Scholes'!$B$6-C3027,0),MAX(C3027-'Black-Scholes'!$B$6,0))</f>
        <v>36.6746014122033</v>
      </c>
      <c r="F3027" s="18" t="n">
        <f aca="false">(E3027+G3027)/2</f>
        <v>18.3373007061016</v>
      </c>
      <c r="G3027" s="18" t="n">
        <f aca="false">EXP(-'Black-Scholes'!$B$8*'Black-Scholes'!$B$7)*IF(LOWER('Black-Scholes'!$B$11)="put",MAX('Black-Scholes'!$B$6-D3027,0),MAX(D3027-'Black-Scholes'!$B$6,0))</f>
        <v>0</v>
      </c>
    </row>
    <row r="3028" customFormat="false" ht="15" hidden="false" customHeight="false" outlineLevel="0" collapsed="false">
      <c r="A3028" s="0" t="n">
        <v>3017</v>
      </c>
      <c r="B3028" s="15" t="n">
        <v>0.221133075785997</v>
      </c>
      <c r="C3028" s="18" t="n">
        <f aca="false">'Black-Scholes'!$B$5*EXP(('Black-Scholes'!$B$8-'Black-Scholes'!$B$10-'Black-Scholes'!$B$9^2/2)*'Black-Scholes'!$B$7+'Black-Scholes'!$B$9*SQRT('Black-Scholes'!$B$7)*B3028)</f>
        <v>107.705085389121</v>
      </c>
      <c r="D3028" s="18" t="n">
        <f aca="false">'Black-Scholes'!$B$5*EXP(('Black-Scholes'!$B$8-'Black-Scholes'!$B$10-'Black-Scholes'!$B$9^2/2)*'Black-Scholes'!$B$7-'Black-Scholes'!$B$9*SQRT('Black-Scholes'!$B$7)*B3028)</f>
        <v>98.5874104931181</v>
      </c>
      <c r="E3028" s="18" t="n">
        <f aca="false">EXP(-'Black-Scholes'!$B$8*'Black-Scholes'!$B$7)*IF(LOWER('Black-Scholes'!$B$11)="put",MAX('Black-Scholes'!$B$6-C3028,0),MAX(C3028-'Black-Scholes'!$B$6,0))</f>
        <v>7.32930394042233</v>
      </c>
      <c r="F3028" s="18" t="n">
        <f aca="false">(E3028+G3028)/2</f>
        <v>3.66465197021117</v>
      </c>
      <c r="G3028" s="18" t="n">
        <f aca="false">EXP(-'Black-Scholes'!$B$8*'Black-Scholes'!$B$7)*IF(LOWER('Black-Scholes'!$B$11)="put",MAX('Black-Scholes'!$B$6-D3028,0),MAX(D3028-'Black-Scholes'!$B$6,0))</f>
        <v>0</v>
      </c>
    </row>
    <row r="3029" customFormat="false" ht="15" hidden="false" customHeight="false" outlineLevel="0" collapsed="false">
      <c r="A3029" s="0" t="n">
        <v>3018</v>
      </c>
      <c r="B3029" s="15" t="n">
        <v>-0.367193638899732</v>
      </c>
      <c r="C3029" s="18" t="n">
        <f aca="false">'Black-Scholes'!$B$5*EXP(('Black-Scholes'!$B$8-'Black-Scholes'!$B$10-'Black-Scholes'!$B$9^2/2)*'Black-Scholes'!$B$7+'Black-Scholes'!$B$9*SQRT('Black-Scholes'!$B$7)*B3029)</f>
        <v>95.7491219906382</v>
      </c>
      <c r="D3029" s="18" t="n">
        <f aca="false">'Black-Scholes'!$B$5*EXP(('Black-Scholes'!$B$8-'Black-Scholes'!$B$10-'Black-Scholes'!$B$9^2/2)*'Black-Scholes'!$B$7-'Black-Scholes'!$B$9*SQRT('Black-Scholes'!$B$7)*B3029)</f>
        <v>110.897784174896</v>
      </c>
      <c r="E3029" s="18" t="n">
        <f aca="false">EXP(-'Black-Scholes'!$B$8*'Black-Scholes'!$B$7)*IF(LOWER('Black-Scholes'!$B$11)="put",MAX('Black-Scholes'!$B$6-C3029,0),MAX(C3029-'Black-Scholes'!$B$6,0))</f>
        <v>0</v>
      </c>
      <c r="F3029" s="18" t="n">
        <f aca="false">(E3029+G3029)/2</f>
        <v>5.18314648450974</v>
      </c>
      <c r="G3029" s="18" t="n">
        <f aca="false">EXP(-'Black-Scholes'!$B$8*'Black-Scholes'!$B$7)*IF(LOWER('Black-Scholes'!$B$11)="put",MAX('Black-Scholes'!$B$6-D3029,0),MAX(D3029-'Black-Scholes'!$B$6,0))</f>
        <v>10.3662929690195</v>
      </c>
    </row>
    <row r="3030" customFormat="false" ht="15" hidden="false" customHeight="false" outlineLevel="0" collapsed="false">
      <c r="A3030" s="0" t="n">
        <v>3019</v>
      </c>
      <c r="B3030" s="15" t="n">
        <v>1.33437085062357</v>
      </c>
      <c r="C3030" s="18" t="n">
        <f aca="false">'Black-Scholes'!$B$5*EXP(('Black-Scholes'!$B$8-'Black-Scholes'!$B$10-'Black-Scholes'!$B$9^2/2)*'Black-Scholes'!$B$7+'Black-Scholes'!$B$9*SQRT('Black-Scholes'!$B$7)*B3030)</f>
        <v>134.564596633062</v>
      </c>
      <c r="D3030" s="18" t="n">
        <f aca="false">'Black-Scholes'!$B$5*EXP(('Black-Scholes'!$B$8-'Black-Scholes'!$B$10-'Black-Scholes'!$B$9^2/2)*'Black-Scholes'!$B$7-'Black-Scholes'!$B$9*SQRT('Black-Scholes'!$B$7)*B3030)</f>
        <v>78.9090572939356</v>
      </c>
      <c r="E3030" s="18" t="n">
        <f aca="false">EXP(-'Black-Scholes'!$B$8*'Black-Scholes'!$B$7)*IF(LOWER('Black-Scholes'!$B$11)="put",MAX('Black-Scholes'!$B$6-C3030,0),MAX(C3030-'Black-Scholes'!$B$6,0))</f>
        <v>32.8788613633666</v>
      </c>
      <c r="F3030" s="18" t="n">
        <f aca="false">(E3030+G3030)/2</f>
        <v>16.4394306816833</v>
      </c>
      <c r="G3030" s="18" t="n">
        <f aca="false">EXP(-'Black-Scholes'!$B$8*'Black-Scholes'!$B$7)*IF(LOWER('Black-Scholes'!$B$11)="put",MAX('Black-Scholes'!$B$6-D3030,0),MAX(D3030-'Black-Scholes'!$B$6,0))</f>
        <v>0</v>
      </c>
    </row>
    <row r="3031" customFormat="false" ht="15" hidden="false" customHeight="false" outlineLevel="0" collapsed="false">
      <c r="A3031" s="0" t="n">
        <v>3020</v>
      </c>
      <c r="B3031" s="15" t="n">
        <v>0.42461874171243</v>
      </c>
      <c r="C3031" s="18" t="n">
        <f aca="false">'Black-Scholes'!$B$5*EXP(('Black-Scholes'!$B$8-'Black-Scholes'!$B$10-'Black-Scholes'!$B$9^2/2)*'Black-Scholes'!$B$7+'Black-Scholes'!$B$9*SQRT('Black-Scholes'!$B$7)*B3031)</f>
        <v>112.178789612418</v>
      </c>
      <c r="D3031" s="18" t="n">
        <f aca="false">'Black-Scholes'!$B$5*EXP(('Black-Scholes'!$B$8-'Black-Scholes'!$B$10-'Black-Scholes'!$B$9^2/2)*'Black-Scholes'!$B$7-'Black-Scholes'!$B$9*SQRT('Black-Scholes'!$B$7)*B3031)</f>
        <v>94.6557321766479</v>
      </c>
      <c r="E3031" s="18" t="n">
        <f aca="false">EXP(-'Black-Scholes'!$B$8*'Black-Scholes'!$B$7)*IF(LOWER('Black-Scholes'!$B$11)="put",MAX('Black-Scholes'!$B$6-C3031,0),MAX(C3031-'Black-Scholes'!$B$6,0))</f>
        <v>11.5848230341359</v>
      </c>
      <c r="F3031" s="18" t="n">
        <f aca="false">(E3031+G3031)/2</f>
        <v>5.79241151706795</v>
      </c>
      <c r="G3031" s="18" t="n">
        <f aca="false">EXP(-'Black-Scholes'!$B$8*'Black-Scholes'!$B$7)*IF(LOWER('Black-Scholes'!$B$11)="put",MAX('Black-Scholes'!$B$6-D3031,0),MAX(D3031-'Black-Scholes'!$B$6,0))</f>
        <v>0</v>
      </c>
    </row>
    <row r="3032" customFormat="false" ht="15" hidden="false" customHeight="false" outlineLevel="0" collapsed="false">
      <c r="A3032" s="0" t="n">
        <v>3021</v>
      </c>
      <c r="B3032" s="15" t="n">
        <v>-0.362548726435725</v>
      </c>
      <c r="C3032" s="18" t="n">
        <f aca="false">'Black-Scholes'!$B$5*EXP(('Black-Scholes'!$B$8-'Black-Scholes'!$B$10-'Black-Scholes'!$B$9^2/2)*'Black-Scholes'!$B$7+'Black-Scholes'!$B$9*SQRT('Black-Scholes'!$B$7)*B3032)</f>
        <v>95.8381125776173</v>
      </c>
      <c r="D3032" s="18" t="n">
        <f aca="false">'Black-Scholes'!$B$5*EXP(('Black-Scholes'!$B$8-'Black-Scholes'!$B$10-'Black-Scholes'!$B$9^2/2)*'Black-Scholes'!$B$7-'Black-Scholes'!$B$9*SQRT('Black-Scholes'!$B$7)*B3032)</f>
        <v>110.794809912956</v>
      </c>
      <c r="E3032" s="18" t="n">
        <f aca="false">EXP(-'Black-Scholes'!$B$8*'Black-Scholes'!$B$7)*IF(LOWER('Black-Scholes'!$B$11)="put",MAX('Black-Scholes'!$B$6-C3032,0),MAX(C3032-'Black-Scholes'!$B$6,0))</f>
        <v>0</v>
      </c>
      <c r="F3032" s="18" t="n">
        <f aca="false">(E3032+G3032)/2</f>
        <v>5.13417041054794</v>
      </c>
      <c r="G3032" s="18" t="n">
        <f aca="false">EXP(-'Black-Scholes'!$B$8*'Black-Scholes'!$B$7)*IF(LOWER('Black-Scholes'!$B$11)="put",MAX('Black-Scholes'!$B$6-D3032,0),MAX(D3032-'Black-Scholes'!$B$6,0))</f>
        <v>10.2683408210959</v>
      </c>
    </row>
    <row r="3033" customFormat="false" ht="15" hidden="false" customHeight="false" outlineLevel="0" collapsed="false">
      <c r="A3033" s="0" t="n">
        <v>3022</v>
      </c>
      <c r="B3033" s="15" t="n">
        <v>1.33390077868171</v>
      </c>
      <c r="C3033" s="18" t="n">
        <f aca="false">'Black-Scholes'!$B$5*EXP(('Black-Scholes'!$B$8-'Black-Scholes'!$B$10-'Black-Scholes'!$B$9^2/2)*'Black-Scholes'!$B$7+'Black-Scholes'!$B$9*SQRT('Black-Scholes'!$B$7)*B3033)</f>
        <v>134.551946219482</v>
      </c>
      <c r="D3033" s="18" t="n">
        <f aca="false">'Black-Scholes'!$B$5*EXP(('Black-Scholes'!$B$8-'Black-Scholes'!$B$10-'Black-Scholes'!$B$9^2/2)*'Black-Scholes'!$B$7-'Black-Scholes'!$B$9*SQRT('Black-Scholes'!$B$7)*B3033)</f>
        <v>78.916476229432</v>
      </c>
      <c r="E3033" s="18" t="n">
        <f aca="false">EXP(-'Black-Scholes'!$B$8*'Black-Scholes'!$B$7)*IF(LOWER('Black-Scholes'!$B$11)="put",MAX('Black-Scholes'!$B$6-C3033,0),MAX(C3033-'Black-Scholes'!$B$6,0))</f>
        <v>32.8668279177378</v>
      </c>
      <c r="F3033" s="18" t="n">
        <f aca="false">(E3033+G3033)/2</f>
        <v>16.4334139588689</v>
      </c>
      <c r="G3033" s="18" t="n">
        <f aca="false">EXP(-'Black-Scholes'!$B$8*'Black-Scholes'!$B$7)*IF(LOWER('Black-Scholes'!$B$11)="put",MAX('Black-Scholes'!$B$6-D3033,0),MAX(D3033-'Black-Scholes'!$B$6,0))</f>
        <v>0</v>
      </c>
    </row>
    <row r="3034" customFormat="false" ht="15" hidden="false" customHeight="false" outlineLevel="0" collapsed="false">
      <c r="A3034" s="0" t="n">
        <v>3023</v>
      </c>
      <c r="B3034" s="15" t="n">
        <v>-0.197078676038804</v>
      </c>
      <c r="C3034" s="18" t="n">
        <f aca="false">'Black-Scholes'!$B$5*EXP(('Black-Scholes'!$B$8-'Black-Scholes'!$B$10-'Black-Scholes'!$B$9^2/2)*'Black-Scholes'!$B$7+'Black-Scholes'!$B$9*SQRT('Black-Scholes'!$B$7)*B3034)</f>
        <v>99.0628454026858</v>
      </c>
      <c r="D3034" s="18" t="n">
        <f aca="false">'Black-Scholes'!$B$5*EXP(('Black-Scholes'!$B$8-'Black-Scholes'!$B$10-'Black-Scholes'!$B$9^2/2)*'Black-Scholes'!$B$7-'Black-Scholes'!$B$9*SQRT('Black-Scholes'!$B$7)*B3034)</f>
        <v>107.188173550744</v>
      </c>
      <c r="E3034" s="18" t="n">
        <f aca="false">EXP(-'Black-Scholes'!$B$8*'Black-Scholes'!$B$7)*IF(LOWER('Black-Scholes'!$B$11)="put",MAX('Black-Scholes'!$B$6-C3034,0),MAX(C3034-'Black-Scholes'!$B$6,0))</f>
        <v>0</v>
      </c>
      <c r="F3034" s="18" t="n">
        <f aca="false">(E3034+G3034)/2</f>
        <v>3.41880109494268</v>
      </c>
      <c r="G3034" s="18" t="n">
        <f aca="false">EXP(-'Black-Scholes'!$B$8*'Black-Scholes'!$B$7)*IF(LOWER('Black-Scholes'!$B$11)="put",MAX('Black-Scholes'!$B$6-D3034,0),MAX(D3034-'Black-Scholes'!$B$6,0))</f>
        <v>6.83760218988536</v>
      </c>
    </row>
    <row r="3035" customFormat="false" ht="15" hidden="false" customHeight="false" outlineLevel="0" collapsed="false">
      <c r="A3035" s="0" t="n">
        <v>3024</v>
      </c>
      <c r="B3035" s="15" t="n">
        <v>2.31217194609013</v>
      </c>
      <c r="C3035" s="18" t="n">
        <f aca="false">'Black-Scholes'!$B$5*EXP(('Black-Scholes'!$B$8-'Black-Scholes'!$B$10-'Black-Scholes'!$B$9^2/2)*'Black-Scholes'!$B$7+'Black-Scholes'!$B$9*SQRT('Black-Scholes'!$B$7)*B3035)</f>
        <v>163.629475364659</v>
      </c>
      <c r="D3035" s="18" t="n">
        <f aca="false">'Black-Scholes'!$B$5*EXP(('Black-Scholes'!$B$8-'Black-Scholes'!$B$10-'Black-Scholes'!$B$9^2/2)*'Black-Scholes'!$B$7-'Black-Scholes'!$B$9*SQRT('Black-Scholes'!$B$7)*B3035)</f>
        <v>64.8927428373761</v>
      </c>
      <c r="E3035" s="18" t="n">
        <f aca="false">EXP(-'Black-Scholes'!$B$8*'Black-Scholes'!$B$7)*IF(LOWER('Black-Scholes'!$B$11)="put",MAX('Black-Scholes'!$B$6-C3035,0),MAX(C3035-'Black-Scholes'!$B$6,0))</f>
        <v>60.5262292324071</v>
      </c>
      <c r="F3035" s="18" t="n">
        <f aca="false">(E3035+G3035)/2</f>
        <v>30.2631146162035</v>
      </c>
      <c r="G3035" s="18" t="n">
        <f aca="false">EXP(-'Black-Scholes'!$B$8*'Black-Scholes'!$B$7)*IF(LOWER('Black-Scholes'!$B$11)="put",MAX('Black-Scholes'!$B$6-D3035,0),MAX(D3035-'Black-Scholes'!$B$6,0))</f>
        <v>0</v>
      </c>
    </row>
    <row r="3036" customFormat="false" ht="15" hidden="false" customHeight="false" outlineLevel="0" collapsed="false">
      <c r="A3036" s="0" t="n">
        <v>3025</v>
      </c>
      <c r="B3036" s="15" t="n">
        <v>-0.456032048539794</v>
      </c>
      <c r="C3036" s="18" t="n">
        <f aca="false">'Black-Scholes'!$B$5*EXP(('Black-Scholes'!$B$8-'Black-Scholes'!$B$10-'Black-Scholes'!$B$9^2/2)*'Black-Scholes'!$B$7+'Black-Scholes'!$B$9*SQRT('Black-Scholes'!$B$7)*B3036)</f>
        <v>94.062906476634</v>
      </c>
      <c r="D3036" s="18" t="n">
        <f aca="false">'Black-Scholes'!$B$5*EXP(('Black-Scholes'!$B$8-'Black-Scholes'!$B$10-'Black-Scholes'!$B$9^2/2)*'Black-Scholes'!$B$7-'Black-Scholes'!$B$9*SQRT('Black-Scholes'!$B$7)*B3036)</f>
        <v>112.885789555007</v>
      </c>
      <c r="E3036" s="18" t="n">
        <f aca="false">EXP(-'Black-Scholes'!$B$8*'Black-Scholes'!$B$7)*IF(LOWER('Black-Scholes'!$B$11)="put",MAX('Black-Scholes'!$B$6-C3036,0),MAX(C3036-'Black-Scholes'!$B$6,0))</f>
        <v>0</v>
      </c>
      <c r="F3036" s="18" t="n">
        <f aca="false">(E3036+G3036)/2</f>
        <v>6.12867109132325</v>
      </c>
      <c r="G3036" s="18" t="n">
        <f aca="false">EXP(-'Black-Scholes'!$B$8*'Black-Scholes'!$B$7)*IF(LOWER('Black-Scholes'!$B$11)="put",MAX('Black-Scholes'!$B$6-D3036,0),MAX(D3036-'Black-Scholes'!$B$6,0))</f>
        <v>12.2573421826465</v>
      </c>
    </row>
    <row r="3037" customFormat="false" ht="15" hidden="false" customHeight="false" outlineLevel="0" collapsed="false">
      <c r="A3037" s="0" t="n">
        <v>3026</v>
      </c>
      <c r="B3037" s="15" t="n">
        <v>-0.0856295509842887</v>
      </c>
      <c r="C3037" s="18" t="n">
        <f aca="false">'Black-Scholes'!$B$5*EXP(('Black-Scholes'!$B$8-'Black-Scholes'!$B$10-'Black-Scholes'!$B$9^2/2)*'Black-Scholes'!$B$7+'Black-Scholes'!$B$9*SQRT('Black-Scholes'!$B$7)*B3037)</f>
        <v>101.29573176748</v>
      </c>
      <c r="D3037" s="18" t="n">
        <f aca="false">'Black-Scholes'!$B$5*EXP(('Black-Scholes'!$B$8-'Black-Scholes'!$B$10-'Black-Scholes'!$B$9^2/2)*'Black-Scholes'!$B$7-'Black-Scholes'!$B$9*SQRT('Black-Scholes'!$B$7)*B3037)</f>
        <v>104.825398663664</v>
      </c>
      <c r="E3037" s="18" t="n">
        <f aca="false">EXP(-'Black-Scholes'!$B$8*'Black-Scholes'!$B$7)*IF(LOWER('Black-Scholes'!$B$11)="put",MAX('Black-Scholes'!$B$6-C3037,0),MAX(C3037-'Black-Scholes'!$B$6,0))</f>
        <v>1.23253818348707</v>
      </c>
      <c r="F3037" s="18" t="n">
        <f aca="false">(E3037+G3037)/2</f>
        <v>2.91129968865514</v>
      </c>
      <c r="G3037" s="18" t="n">
        <f aca="false">EXP(-'Black-Scholes'!$B$8*'Black-Scholes'!$B$7)*IF(LOWER('Black-Scholes'!$B$11)="put",MAX('Black-Scholes'!$B$6-D3037,0),MAX(D3037-'Black-Scholes'!$B$6,0))</f>
        <v>4.59006119382321</v>
      </c>
    </row>
    <row r="3038" customFormat="false" ht="15" hidden="false" customHeight="false" outlineLevel="0" collapsed="false">
      <c r="A3038" s="0" t="n">
        <v>3027</v>
      </c>
      <c r="B3038" s="15" t="n">
        <v>0.202070450202131</v>
      </c>
      <c r="C3038" s="18" t="n">
        <f aca="false">'Black-Scholes'!$B$5*EXP(('Black-Scholes'!$B$8-'Black-Scholes'!$B$10-'Black-Scholes'!$B$9^2/2)*'Black-Scholes'!$B$7+'Black-Scholes'!$B$9*SQRT('Black-Scholes'!$B$7)*B3038)</f>
        <v>107.295238817483</v>
      </c>
      <c r="D3038" s="18" t="n">
        <f aca="false">'Black-Scholes'!$B$5*EXP(('Black-Scholes'!$B$8-'Black-Scholes'!$B$10-'Black-Scholes'!$B$9^2/2)*'Black-Scholes'!$B$7-'Black-Scholes'!$B$9*SQRT('Black-Scholes'!$B$7)*B3038)</f>
        <v>98.9639948843972</v>
      </c>
      <c r="E3038" s="18" t="n">
        <f aca="false">EXP(-'Black-Scholes'!$B$8*'Black-Scholes'!$B$7)*IF(LOWER('Black-Scholes'!$B$11)="put",MAX('Black-Scholes'!$B$6-C3038,0),MAX(C3038-'Black-Scholes'!$B$6,0))</f>
        <v>6.93944582194992</v>
      </c>
      <c r="F3038" s="18" t="n">
        <f aca="false">(E3038+G3038)/2</f>
        <v>3.46972291097496</v>
      </c>
      <c r="G3038" s="18" t="n">
        <f aca="false">EXP(-'Black-Scholes'!$B$8*'Black-Scholes'!$B$7)*IF(LOWER('Black-Scholes'!$B$11)="put",MAX('Black-Scholes'!$B$6-D3038,0),MAX(D3038-'Black-Scholes'!$B$6,0))</f>
        <v>0</v>
      </c>
    </row>
    <row r="3039" customFormat="false" ht="15" hidden="false" customHeight="false" outlineLevel="0" collapsed="false">
      <c r="A3039" s="0" t="n">
        <v>3028</v>
      </c>
      <c r="B3039" s="15" t="n">
        <v>0.491274051085427</v>
      </c>
      <c r="C3039" s="18" t="n">
        <f aca="false">'Black-Scholes'!$B$5*EXP(('Black-Scholes'!$B$8-'Black-Scholes'!$B$10-'Black-Scholes'!$B$9^2/2)*'Black-Scholes'!$B$7+'Black-Scholes'!$B$9*SQRT('Black-Scholes'!$B$7)*B3039)</f>
        <v>113.684264491474</v>
      </c>
      <c r="D3039" s="18" t="n">
        <f aca="false">'Black-Scholes'!$B$5*EXP(('Black-Scholes'!$B$8-'Black-Scholes'!$B$10-'Black-Scholes'!$B$9^2/2)*'Black-Scholes'!$B$7-'Black-Scholes'!$B$9*SQRT('Black-Scholes'!$B$7)*B3039)</f>
        <v>93.4022444790498</v>
      </c>
      <c r="E3039" s="18" t="n">
        <f aca="false">EXP(-'Black-Scholes'!$B$8*'Black-Scholes'!$B$7)*IF(LOWER('Black-Scholes'!$B$11)="put",MAX('Black-Scholes'!$B$6-C3039,0),MAX(C3039-'Black-Scholes'!$B$6,0))</f>
        <v>13.0168750369401</v>
      </c>
      <c r="F3039" s="18" t="n">
        <f aca="false">(E3039+G3039)/2</f>
        <v>6.50843751847007</v>
      </c>
      <c r="G3039" s="18" t="n">
        <f aca="false">EXP(-'Black-Scholes'!$B$8*'Black-Scholes'!$B$7)*IF(LOWER('Black-Scholes'!$B$11)="put",MAX('Black-Scholes'!$B$6-D3039,0),MAX(D3039-'Black-Scholes'!$B$6,0))</f>
        <v>0</v>
      </c>
    </row>
    <row r="3040" customFormat="false" ht="15" hidden="false" customHeight="false" outlineLevel="0" collapsed="false">
      <c r="A3040" s="0" t="n">
        <v>3029</v>
      </c>
      <c r="B3040" s="15" t="n">
        <v>-1.4638428280487</v>
      </c>
      <c r="C3040" s="18" t="n">
        <f aca="false">'Black-Scholes'!$B$5*EXP(('Black-Scholes'!$B$8-'Black-Scholes'!$B$10-'Black-Scholes'!$B$9^2/2)*'Black-Scholes'!$B$7+'Black-Scholes'!$B$9*SQRT('Black-Scholes'!$B$7)*B3040)</f>
        <v>76.8919831212649</v>
      </c>
      <c r="D3040" s="18" t="n">
        <f aca="false">'Black-Scholes'!$B$5*EXP(('Black-Scholes'!$B$8-'Black-Scholes'!$B$10-'Black-Scholes'!$B$9^2/2)*'Black-Scholes'!$B$7-'Black-Scholes'!$B$9*SQRT('Black-Scholes'!$B$7)*B3040)</f>
        <v>138.094571559009</v>
      </c>
      <c r="E3040" s="18" t="n">
        <f aca="false">EXP(-'Black-Scholes'!$B$8*'Black-Scholes'!$B$7)*IF(LOWER('Black-Scholes'!$B$11)="put",MAX('Black-Scholes'!$B$6-C3040,0),MAX(C3040-'Black-Scholes'!$B$6,0))</f>
        <v>0</v>
      </c>
      <c r="F3040" s="18" t="n">
        <f aca="false">(E3040+G3040)/2</f>
        <v>18.1183386903385</v>
      </c>
      <c r="G3040" s="18" t="n">
        <f aca="false">EXP(-'Black-Scholes'!$B$8*'Black-Scholes'!$B$7)*IF(LOWER('Black-Scholes'!$B$11)="put",MAX('Black-Scholes'!$B$6-D3040,0),MAX(D3040-'Black-Scholes'!$B$6,0))</f>
        <v>36.2366773806769</v>
      </c>
    </row>
    <row r="3041" customFormat="false" ht="15" hidden="false" customHeight="false" outlineLevel="0" collapsed="false">
      <c r="A3041" s="0" t="n">
        <v>3030</v>
      </c>
      <c r="B3041" s="15" t="n">
        <v>0.416939582153181</v>
      </c>
      <c r="C3041" s="18" t="n">
        <f aca="false">'Black-Scholes'!$B$5*EXP(('Black-Scholes'!$B$8-'Black-Scholes'!$B$10-'Black-Scholes'!$B$9^2/2)*'Black-Scholes'!$B$7+'Black-Scholes'!$B$9*SQRT('Black-Scholes'!$B$7)*B3041)</f>
        <v>112.006634082317</v>
      </c>
      <c r="D3041" s="18" t="n">
        <f aca="false">'Black-Scholes'!$B$5*EXP(('Black-Scholes'!$B$8-'Black-Scholes'!$B$10-'Black-Scholes'!$B$9^2/2)*'Black-Scholes'!$B$7-'Black-Scholes'!$B$9*SQRT('Black-Scholes'!$B$7)*B3041)</f>
        <v>94.8012191639456</v>
      </c>
      <c r="E3041" s="18" t="n">
        <f aca="false">EXP(-'Black-Scholes'!$B$8*'Black-Scholes'!$B$7)*IF(LOWER('Black-Scholes'!$B$11)="put",MAX('Black-Scholes'!$B$6-C3041,0),MAX(C3041-'Black-Scholes'!$B$6,0))</f>
        <v>11.4210636283131</v>
      </c>
      <c r="F3041" s="18" t="n">
        <f aca="false">(E3041+G3041)/2</f>
        <v>5.71053181415655</v>
      </c>
      <c r="G3041" s="18" t="n">
        <f aca="false">EXP(-'Black-Scholes'!$B$8*'Black-Scholes'!$B$7)*IF(LOWER('Black-Scholes'!$B$11)="put",MAX('Black-Scholes'!$B$6-D3041,0),MAX(D3041-'Black-Scholes'!$B$6,0))</f>
        <v>0</v>
      </c>
    </row>
    <row r="3042" customFormat="false" ht="15" hidden="false" customHeight="false" outlineLevel="0" collapsed="false">
      <c r="A3042" s="0" t="n">
        <v>3031</v>
      </c>
      <c r="B3042" s="15" t="n">
        <v>-0.378863010195497</v>
      </c>
      <c r="C3042" s="18" t="n">
        <f aca="false">'Black-Scholes'!$B$5*EXP(('Black-Scholes'!$B$8-'Black-Scholes'!$B$10-'Black-Scholes'!$B$9^2/2)*'Black-Scholes'!$B$7+'Black-Scholes'!$B$9*SQRT('Black-Scholes'!$B$7)*B3042)</f>
        <v>95.5259161479893</v>
      </c>
      <c r="D3042" s="18" t="n">
        <f aca="false">'Black-Scholes'!$B$5*EXP(('Black-Scholes'!$B$8-'Black-Scholes'!$B$10-'Black-Scholes'!$B$9^2/2)*'Black-Scholes'!$B$7-'Black-Scholes'!$B$9*SQRT('Black-Scholes'!$B$7)*B3042)</f>
        <v>111.156907922281</v>
      </c>
      <c r="E3042" s="18" t="n">
        <f aca="false">EXP(-'Black-Scholes'!$B$8*'Black-Scholes'!$B$7)*IF(LOWER('Black-Scholes'!$B$11)="put",MAX('Black-Scholes'!$B$6-C3042,0),MAX(C3042-'Black-Scholes'!$B$6,0))</f>
        <v>0</v>
      </c>
      <c r="F3042" s="18" t="n">
        <f aca="false">(E3042+G3042)/2</f>
        <v>5.30638955105948</v>
      </c>
      <c r="G3042" s="18" t="n">
        <f aca="false">EXP(-'Black-Scholes'!$B$8*'Black-Scholes'!$B$7)*IF(LOWER('Black-Scholes'!$B$11)="put",MAX('Black-Scholes'!$B$6-D3042,0),MAX(D3042-'Black-Scholes'!$B$6,0))</f>
        <v>10.612779102119</v>
      </c>
    </row>
    <row r="3043" customFormat="false" ht="15" hidden="false" customHeight="false" outlineLevel="0" collapsed="false">
      <c r="A3043" s="0" t="n">
        <v>3032</v>
      </c>
      <c r="B3043" s="15" t="n">
        <v>1.03840832119714</v>
      </c>
      <c r="C3043" s="18" t="n">
        <f aca="false">'Black-Scholes'!$B$5*EXP(('Black-Scholes'!$B$8-'Black-Scholes'!$B$10-'Black-Scholes'!$B$9^2/2)*'Black-Scholes'!$B$7+'Black-Scholes'!$B$9*SQRT('Black-Scholes'!$B$7)*B3043)</f>
        <v>126.830538159626</v>
      </c>
      <c r="D3043" s="18" t="n">
        <f aca="false">'Black-Scholes'!$B$5*EXP(('Black-Scholes'!$B$8-'Black-Scholes'!$B$10-'Black-Scholes'!$B$9^2/2)*'Black-Scholes'!$B$7-'Black-Scholes'!$B$9*SQRT('Black-Scholes'!$B$7)*B3043)</f>
        <v>83.7208894603097</v>
      </c>
      <c r="E3043" s="18" t="n">
        <f aca="false">EXP(-'Black-Scholes'!$B$8*'Black-Scholes'!$B$7)*IF(LOWER('Black-Scholes'!$B$11)="put",MAX('Black-Scholes'!$B$6-C3043,0),MAX(C3043-'Black-Scholes'!$B$6,0))</f>
        <v>25.5219973726251</v>
      </c>
      <c r="F3043" s="18" t="n">
        <f aca="false">(E3043+G3043)/2</f>
        <v>12.7609986863125</v>
      </c>
      <c r="G3043" s="18" t="n">
        <f aca="false">EXP(-'Black-Scholes'!$B$8*'Black-Scholes'!$B$7)*IF(LOWER('Black-Scholes'!$B$11)="put",MAX('Black-Scholes'!$B$6-D3043,0),MAX(D3043-'Black-Scholes'!$B$6,0))</f>
        <v>0</v>
      </c>
    </row>
    <row r="3044" customFormat="false" ht="15" hidden="false" customHeight="false" outlineLevel="0" collapsed="false">
      <c r="A3044" s="0" t="n">
        <v>3033</v>
      </c>
      <c r="B3044" s="15" t="n">
        <v>-0.163160850870521</v>
      </c>
      <c r="C3044" s="18" t="n">
        <f aca="false">'Black-Scholes'!$B$5*EXP(('Black-Scholes'!$B$8-'Black-Scholes'!$B$10-'Black-Scholes'!$B$9^2/2)*'Black-Scholes'!$B$7+'Black-Scholes'!$B$9*SQRT('Black-Scholes'!$B$7)*B3044)</f>
        <v>99.7371290948388</v>
      </c>
      <c r="D3044" s="18" t="n">
        <f aca="false">'Black-Scholes'!$B$5*EXP(('Black-Scholes'!$B$8-'Black-Scholes'!$B$10-'Black-Scholes'!$B$9^2/2)*'Black-Scholes'!$B$7-'Black-Scholes'!$B$9*SQRT('Black-Scholes'!$B$7)*B3044)</f>
        <v>106.463516263404</v>
      </c>
      <c r="E3044" s="18" t="n">
        <f aca="false">EXP(-'Black-Scholes'!$B$8*'Black-Scholes'!$B$7)*IF(LOWER('Black-Scholes'!$B$11)="put",MAX('Black-Scholes'!$B$6-C3044,0),MAX(C3044-'Black-Scholes'!$B$6,0))</f>
        <v>0</v>
      </c>
      <c r="F3044" s="18" t="n">
        <f aca="false">(E3044+G3044)/2</f>
        <v>3.0741434277444</v>
      </c>
      <c r="G3044" s="18" t="n">
        <f aca="false">EXP(-'Black-Scholes'!$B$8*'Black-Scholes'!$B$7)*IF(LOWER('Black-Scholes'!$B$11)="put",MAX('Black-Scholes'!$B$6-D3044,0),MAX(D3044-'Black-Scholes'!$B$6,0))</f>
        <v>6.14828685548881</v>
      </c>
    </row>
    <row r="3045" customFormat="false" ht="15" hidden="false" customHeight="false" outlineLevel="0" collapsed="false">
      <c r="A3045" s="0" t="n">
        <v>3034</v>
      </c>
      <c r="B3045" s="15" t="n">
        <v>0.589813721497317</v>
      </c>
      <c r="C3045" s="18" t="n">
        <f aca="false">'Black-Scholes'!$B$5*EXP(('Black-Scholes'!$B$8-'Black-Scholes'!$B$10-'Black-Scholes'!$B$9^2/2)*'Black-Scholes'!$B$7+'Black-Scholes'!$B$9*SQRT('Black-Scholes'!$B$7)*B3045)</f>
        <v>115.946969870242</v>
      </c>
      <c r="D3045" s="18" t="n">
        <f aca="false">'Black-Scholes'!$B$5*EXP(('Black-Scholes'!$B$8-'Black-Scholes'!$B$10-'Black-Scholes'!$B$9^2/2)*'Black-Scholes'!$B$7-'Black-Scholes'!$B$9*SQRT('Black-Scholes'!$B$7)*B3045)</f>
        <v>91.5794994671852</v>
      </c>
      <c r="E3045" s="18" t="n">
        <f aca="false">EXP(-'Black-Scholes'!$B$8*'Black-Scholes'!$B$7)*IF(LOWER('Black-Scholes'!$B$11)="put",MAX('Black-Scholes'!$B$6-C3045,0),MAX(C3045-'Black-Scholes'!$B$6,0))</f>
        <v>15.1692269722008</v>
      </c>
      <c r="F3045" s="18" t="n">
        <f aca="false">(E3045+G3045)/2</f>
        <v>7.58461348610041</v>
      </c>
      <c r="G3045" s="18" t="n">
        <f aca="false">EXP(-'Black-Scholes'!$B$8*'Black-Scholes'!$B$7)*IF(LOWER('Black-Scholes'!$B$11)="put",MAX('Black-Scholes'!$B$6-D3045,0),MAX(D3045-'Black-Scholes'!$B$6,0))</f>
        <v>0</v>
      </c>
    </row>
    <row r="3046" customFormat="false" ht="15" hidden="false" customHeight="false" outlineLevel="0" collapsed="false">
      <c r="A3046" s="0" t="n">
        <v>3035</v>
      </c>
      <c r="B3046" s="15" t="n">
        <v>1.30884796130157</v>
      </c>
      <c r="C3046" s="18" t="n">
        <f aca="false">'Black-Scholes'!$B$5*EXP(('Black-Scholes'!$B$8-'Black-Scholes'!$B$10-'Black-Scholes'!$B$9^2/2)*'Black-Scholes'!$B$7+'Black-Scholes'!$B$9*SQRT('Black-Scholes'!$B$7)*B3046)</f>
        <v>133.879451348203</v>
      </c>
      <c r="D3046" s="18" t="n">
        <f aca="false">'Black-Scholes'!$B$5*EXP(('Black-Scholes'!$B$8-'Black-Scholes'!$B$10-'Black-Scholes'!$B$9^2/2)*'Black-Scholes'!$B$7-'Black-Scholes'!$B$9*SQRT('Black-Scholes'!$B$7)*B3046)</f>
        <v>79.3128845280118</v>
      </c>
      <c r="E3046" s="18" t="n">
        <f aca="false">EXP(-'Black-Scholes'!$B$8*'Black-Scholes'!$B$7)*IF(LOWER('Black-Scholes'!$B$11)="put",MAX('Black-Scholes'!$B$6-C3046,0),MAX(C3046-'Black-Scholes'!$B$6,0))</f>
        <v>32.2271310083511</v>
      </c>
      <c r="F3046" s="18" t="n">
        <f aca="false">(E3046+G3046)/2</f>
        <v>16.1135655041756</v>
      </c>
      <c r="G3046" s="18" t="n">
        <f aca="false">EXP(-'Black-Scholes'!$B$8*'Black-Scholes'!$B$7)*IF(LOWER('Black-Scholes'!$B$11)="put",MAX('Black-Scholes'!$B$6-D3046,0),MAX(D3046-'Black-Scholes'!$B$6,0))</f>
        <v>0</v>
      </c>
    </row>
    <row r="3047" customFormat="false" ht="15" hidden="false" customHeight="false" outlineLevel="0" collapsed="false">
      <c r="A3047" s="0" t="n">
        <v>3036</v>
      </c>
      <c r="B3047" s="15" t="n">
        <v>1.27097426671089</v>
      </c>
      <c r="C3047" s="18" t="n">
        <f aca="false">'Black-Scholes'!$B$5*EXP(('Black-Scholes'!$B$8-'Black-Scholes'!$B$10-'Black-Scholes'!$B$9^2/2)*'Black-Scholes'!$B$7+'Black-Scholes'!$B$9*SQRT('Black-Scholes'!$B$7)*B3047)</f>
        <v>132.86918055697</v>
      </c>
      <c r="D3047" s="18" t="n">
        <f aca="false">'Black-Scholes'!$B$5*EXP(('Black-Scholes'!$B$8-'Black-Scholes'!$B$10-'Black-Scholes'!$B$9^2/2)*'Black-Scholes'!$B$7-'Black-Scholes'!$B$9*SQRT('Black-Scholes'!$B$7)*B3047)</f>
        <v>79.9159400317122</v>
      </c>
      <c r="E3047" s="18" t="n">
        <f aca="false">EXP(-'Black-Scholes'!$B$8*'Black-Scholes'!$B$7)*IF(LOWER('Black-Scholes'!$B$11)="put",MAX('Black-Scholes'!$B$6-C3047,0),MAX(C3047-'Black-Scholes'!$B$6,0))</f>
        <v>31.266131705017</v>
      </c>
      <c r="F3047" s="18" t="n">
        <f aca="false">(E3047+G3047)/2</f>
        <v>15.6330658525085</v>
      </c>
      <c r="G3047" s="18" t="n">
        <f aca="false">EXP(-'Black-Scholes'!$B$8*'Black-Scholes'!$B$7)*IF(LOWER('Black-Scholes'!$B$11)="put",MAX('Black-Scholes'!$B$6-D3047,0),MAX(D3047-'Black-Scholes'!$B$6,0))</f>
        <v>0</v>
      </c>
    </row>
    <row r="3048" customFormat="false" ht="15" hidden="false" customHeight="false" outlineLevel="0" collapsed="false">
      <c r="A3048" s="0" t="n">
        <v>3037</v>
      </c>
      <c r="B3048" s="15" t="n">
        <v>-1.18772402185069</v>
      </c>
      <c r="C3048" s="18" t="n">
        <f aca="false">'Black-Scholes'!$B$5*EXP(('Black-Scholes'!$B$8-'Black-Scholes'!$B$10-'Black-Scholes'!$B$9^2/2)*'Black-Scholes'!$B$7+'Black-Scholes'!$B$9*SQRT('Black-Scholes'!$B$7)*B3048)</f>
        <v>81.2576833964255</v>
      </c>
      <c r="D3048" s="18" t="n">
        <f aca="false">'Black-Scholes'!$B$5*EXP(('Black-Scholes'!$B$8-'Black-Scholes'!$B$10-'Black-Scholes'!$B$9^2/2)*'Black-Scholes'!$B$7-'Black-Scholes'!$B$9*SQRT('Black-Scholes'!$B$7)*B3048)</f>
        <v>130.67521767327</v>
      </c>
      <c r="E3048" s="18" t="n">
        <f aca="false">EXP(-'Black-Scholes'!$B$8*'Black-Scholes'!$B$7)*IF(LOWER('Black-Scholes'!$B$11)="put",MAX('Black-Scholes'!$B$6-C3048,0),MAX(C3048-'Black-Scholes'!$B$6,0))</f>
        <v>0</v>
      </c>
      <c r="F3048" s="18" t="n">
        <f aca="false">(E3048+G3048)/2</f>
        <v>14.5895848268896</v>
      </c>
      <c r="G3048" s="18" t="n">
        <f aca="false">EXP(-'Black-Scholes'!$B$8*'Black-Scholes'!$B$7)*IF(LOWER('Black-Scholes'!$B$11)="put",MAX('Black-Scholes'!$B$6-D3048,0),MAX(D3048-'Black-Scholes'!$B$6,0))</f>
        <v>29.1791696537792</v>
      </c>
    </row>
    <row r="3049" customFormat="false" ht="15" hidden="false" customHeight="false" outlineLevel="0" collapsed="false">
      <c r="A3049" s="0" t="n">
        <v>3038</v>
      </c>
      <c r="B3049" s="15" t="n">
        <v>0.232364551954595</v>
      </c>
      <c r="C3049" s="18" t="n">
        <f aca="false">'Black-Scholes'!$B$5*EXP(('Black-Scholes'!$B$8-'Black-Scholes'!$B$10-'Black-Scholes'!$B$9^2/2)*'Black-Scholes'!$B$7+'Black-Scholes'!$B$9*SQRT('Black-Scholes'!$B$7)*B3049)</f>
        <v>107.947294744092</v>
      </c>
      <c r="D3049" s="18" t="n">
        <f aca="false">'Black-Scholes'!$B$5*EXP(('Black-Scholes'!$B$8-'Black-Scholes'!$B$10-'Black-Scholes'!$B$9^2/2)*'Black-Scholes'!$B$7-'Black-Scholes'!$B$9*SQRT('Black-Scholes'!$B$7)*B3049)</f>
        <v>98.3662026049501</v>
      </c>
      <c r="E3049" s="18" t="n">
        <f aca="false">EXP(-'Black-Scholes'!$B$8*'Black-Scholes'!$B$7)*IF(LOWER('Black-Scholes'!$B$11)="put",MAX('Black-Scholes'!$B$6-C3049,0),MAX(C3049-'Black-Scholes'!$B$6,0))</f>
        <v>7.55970060576001</v>
      </c>
      <c r="F3049" s="18" t="n">
        <f aca="false">(E3049+G3049)/2</f>
        <v>3.77985030288001</v>
      </c>
      <c r="G3049" s="18" t="n">
        <f aca="false">EXP(-'Black-Scholes'!$B$8*'Black-Scholes'!$B$7)*IF(LOWER('Black-Scholes'!$B$11)="put",MAX('Black-Scholes'!$B$6-D3049,0),MAX(D3049-'Black-Scholes'!$B$6,0))</f>
        <v>0</v>
      </c>
    </row>
    <row r="3050" customFormat="false" ht="15" hidden="false" customHeight="false" outlineLevel="0" collapsed="false">
      <c r="A3050" s="0" t="n">
        <v>3039</v>
      </c>
      <c r="B3050" s="15" t="n">
        <v>-0.113441453912232</v>
      </c>
      <c r="C3050" s="18" t="n">
        <f aca="false">'Black-Scholes'!$B$5*EXP(('Black-Scholes'!$B$8-'Black-Scholes'!$B$10-'Black-Scholes'!$B$9^2/2)*'Black-Scholes'!$B$7+'Black-Scholes'!$B$9*SQRT('Black-Scholes'!$B$7)*B3050)</f>
        <v>100.733850503132</v>
      </c>
      <c r="D3050" s="18" t="n">
        <f aca="false">'Black-Scholes'!$B$5*EXP(('Black-Scholes'!$B$8-'Black-Scholes'!$B$10-'Black-Scholes'!$B$9^2/2)*'Black-Scholes'!$B$7-'Black-Scholes'!$B$9*SQRT('Black-Scholes'!$B$7)*B3050)</f>
        <v>105.410102089997</v>
      </c>
      <c r="E3050" s="18" t="n">
        <f aca="false">EXP(-'Black-Scholes'!$B$8*'Black-Scholes'!$B$7)*IF(LOWER('Black-Scholes'!$B$11)="put",MAX('Black-Scholes'!$B$6-C3050,0),MAX(C3050-'Black-Scholes'!$B$6,0))</f>
        <v>0.698060191763383</v>
      </c>
      <c r="F3050" s="18" t="n">
        <f aca="false">(E3050+G3050)/2</f>
        <v>2.92215424466069</v>
      </c>
      <c r="G3050" s="18" t="n">
        <f aca="false">EXP(-'Black-Scholes'!$B$8*'Black-Scholes'!$B$7)*IF(LOWER('Black-Scholes'!$B$11)="put",MAX('Black-Scholes'!$B$6-D3050,0),MAX(D3050-'Black-Scholes'!$B$6,0))</f>
        <v>5.14624829755799</v>
      </c>
    </row>
    <row r="3051" customFormat="false" ht="15" hidden="false" customHeight="false" outlineLevel="0" collapsed="false">
      <c r="A3051" s="0" t="n">
        <v>3040</v>
      </c>
      <c r="B3051" s="15" t="n">
        <v>0.351386920289814</v>
      </c>
      <c r="C3051" s="18" t="n">
        <f aca="false">'Black-Scholes'!$B$5*EXP(('Black-Scholes'!$B$8-'Black-Scholes'!$B$10-'Black-Scholes'!$B$9^2/2)*'Black-Scholes'!$B$7+'Black-Scholes'!$B$9*SQRT('Black-Scholes'!$B$7)*B3051)</f>
        <v>110.547751739056</v>
      </c>
      <c r="D3051" s="18" t="n">
        <f aca="false">'Black-Scholes'!$B$5*EXP(('Black-Scholes'!$B$8-'Black-Scholes'!$B$10-'Black-Scholes'!$B$9^2/2)*'Black-Scholes'!$B$7-'Black-Scholes'!$B$9*SQRT('Black-Scholes'!$B$7)*B3051)</f>
        <v>96.0522968437916</v>
      </c>
      <c r="E3051" s="18" t="n">
        <f aca="false">EXP(-'Black-Scholes'!$B$8*'Black-Scholes'!$B$7)*IF(LOWER('Black-Scholes'!$B$11)="put",MAX('Black-Scholes'!$B$6-C3051,0),MAX(C3051-'Black-Scholes'!$B$6,0))</f>
        <v>10.0333318165188</v>
      </c>
      <c r="F3051" s="18" t="n">
        <f aca="false">(E3051+G3051)/2</f>
        <v>5.01666590825938</v>
      </c>
      <c r="G3051" s="18" t="n">
        <f aca="false">EXP(-'Black-Scholes'!$B$8*'Black-Scholes'!$B$7)*IF(LOWER('Black-Scholes'!$B$11)="put",MAX('Black-Scholes'!$B$6-D3051,0),MAX(D3051-'Black-Scholes'!$B$6,0))</f>
        <v>0</v>
      </c>
    </row>
    <row r="3052" customFormat="false" ht="15" hidden="false" customHeight="false" outlineLevel="0" collapsed="false">
      <c r="A3052" s="0" t="n">
        <v>3041</v>
      </c>
      <c r="B3052" s="15" t="n">
        <v>-0.803914125167325</v>
      </c>
      <c r="C3052" s="18" t="n">
        <f aca="false">'Black-Scholes'!$B$5*EXP(('Black-Scholes'!$B$8-'Black-Scholes'!$B$10-'Black-Scholes'!$B$9^2/2)*'Black-Scholes'!$B$7+'Black-Scholes'!$B$9*SQRT('Black-Scholes'!$B$7)*B3052)</f>
        <v>87.7408304820312</v>
      </c>
      <c r="D3052" s="18" t="n">
        <f aca="false">'Black-Scholes'!$B$5*EXP(('Black-Scholes'!$B$8-'Black-Scholes'!$B$10-'Black-Scholes'!$B$9^2/2)*'Black-Scholes'!$B$7-'Black-Scholes'!$B$9*SQRT('Black-Scholes'!$B$7)*B3052)</f>
        <v>121.019659913387</v>
      </c>
      <c r="E3052" s="18" t="n">
        <f aca="false">EXP(-'Black-Scholes'!$B$8*'Black-Scholes'!$B$7)*IF(LOWER('Black-Scholes'!$B$11)="put",MAX('Black-Scholes'!$B$6-C3052,0),MAX(C3052-'Black-Scholes'!$B$6,0))</f>
        <v>0</v>
      </c>
      <c r="F3052" s="18" t="n">
        <f aca="false">(E3052+G3052)/2</f>
        <v>9.99725950130615</v>
      </c>
      <c r="G3052" s="18" t="n">
        <f aca="false">EXP(-'Black-Scholes'!$B$8*'Black-Scholes'!$B$7)*IF(LOWER('Black-Scholes'!$B$11)="put",MAX('Black-Scholes'!$B$6-D3052,0),MAX(D3052-'Black-Scholes'!$B$6,0))</f>
        <v>19.9945190026123</v>
      </c>
    </row>
    <row r="3053" customFormat="false" ht="15" hidden="false" customHeight="false" outlineLevel="0" collapsed="false">
      <c r="A3053" s="0" t="n">
        <v>3042</v>
      </c>
      <c r="B3053" s="15" t="n">
        <v>1.90605045531708</v>
      </c>
      <c r="C3053" s="18" t="n">
        <f aca="false">'Black-Scholes'!$B$5*EXP(('Black-Scholes'!$B$8-'Black-Scholes'!$B$10-'Black-Scholes'!$B$9^2/2)*'Black-Scholes'!$B$7+'Black-Scholes'!$B$9*SQRT('Black-Scholes'!$B$7)*B3053)</f>
        <v>150.864227552595</v>
      </c>
      <c r="D3053" s="18" t="n">
        <f aca="false">'Black-Scholes'!$B$5*EXP(('Black-Scholes'!$B$8-'Black-Scholes'!$B$10-'Black-Scholes'!$B$9^2/2)*'Black-Scholes'!$B$7-'Black-Scholes'!$B$9*SQRT('Black-Scholes'!$B$7)*B3053)</f>
        <v>70.3835868695365</v>
      </c>
      <c r="E3053" s="18" t="n">
        <f aca="false">EXP(-'Black-Scholes'!$B$8*'Black-Scholes'!$B$7)*IF(LOWER('Black-Scholes'!$B$11)="put",MAX('Black-Scholes'!$B$6-C3053,0),MAX(C3053-'Black-Scholes'!$B$6,0))</f>
        <v>48.3835499025284</v>
      </c>
      <c r="F3053" s="18" t="n">
        <f aca="false">(E3053+G3053)/2</f>
        <v>24.1917749512642</v>
      </c>
      <c r="G3053" s="18" t="n">
        <f aca="false">EXP(-'Black-Scholes'!$B$8*'Black-Scholes'!$B$7)*IF(LOWER('Black-Scholes'!$B$11)="put",MAX('Black-Scholes'!$B$6-D3053,0),MAX(D3053-'Black-Scholes'!$B$6,0))</f>
        <v>0</v>
      </c>
    </row>
    <row r="3054" customFormat="false" ht="15" hidden="false" customHeight="false" outlineLevel="0" collapsed="false">
      <c r="A3054" s="0" t="n">
        <v>3043</v>
      </c>
      <c r="B3054" s="15" t="n">
        <v>0.285148937536614</v>
      </c>
      <c r="C3054" s="18" t="n">
        <f aca="false">'Black-Scholes'!$B$5*EXP(('Black-Scholes'!$B$8-'Black-Scholes'!$B$10-'Black-Scholes'!$B$9^2/2)*'Black-Scholes'!$B$7+'Black-Scholes'!$B$9*SQRT('Black-Scholes'!$B$7)*B3054)</f>
        <v>109.092917529509</v>
      </c>
      <c r="D3054" s="18" t="n">
        <f aca="false">'Black-Scholes'!$B$5*EXP(('Black-Scholes'!$B$8-'Black-Scholes'!$B$10-'Black-Scholes'!$B$9^2/2)*'Black-Scholes'!$B$7-'Black-Scholes'!$B$9*SQRT('Black-Scholes'!$B$7)*B3054)</f>
        <v>97.3332247951052</v>
      </c>
      <c r="E3054" s="18" t="n">
        <f aca="false">EXP(-'Black-Scholes'!$B$8*'Black-Scholes'!$B$7)*IF(LOWER('Black-Scholes'!$B$11)="put",MAX('Black-Scholes'!$B$6-C3054,0),MAX(C3054-'Black-Scholes'!$B$6,0))</f>
        <v>8.6494507086275</v>
      </c>
      <c r="F3054" s="18" t="n">
        <f aca="false">(E3054+G3054)/2</f>
        <v>4.32472535431375</v>
      </c>
      <c r="G3054" s="18" t="n">
        <f aca="false">EXP(-'Black-Scholes'!$B$8*'Black-Scholes'!$B$7)*IF(LOWER('Black-Scholes'!$B$11)="put",MAX('Black-Scholes'!$B$6-D3054,0),MAX(D3054-'Black-Scholes'!$B$6,0))</f>
        <v>0</v>
      </c>
    </row>
    <row r="3055" customFormat="false" ht="15" hidden="false" customHeight="false" outlineLevel="0" collapsed="false">
      <c r="A3055" s="0" t="n">
        <v>3044</v>
      </c>
      <c r="B3055" s="15" t="n">
        <v>0.510915330046247</v>
      </c>
      <c r="C3055" s="18" t="n">
        <f aca="false">'Black-Scholes'!$B$5*EXP(('Black-Scholes'!$B$8-'Black-Scholes'!$B$10-'Black-Scholes'!$B$9^2/2)*'Black-Scholes'!$B$7+'Black-Scholes'!$B$9*SQRT('Black-Scholes'!$B$7)*B3055)</f>
        <v>114.131723653561</v>
      </c>
      <c r="D3055" s="18" t="n">
        <f aca="false">'Black-Scholes'!$B$5*EXP(('Black-Scholes'!$B$8-'Black-Scholes'!$B$10-'Black-Scholes'!$B$9^2/2)*'Black-Scholes'!$B$7-'Black-Scholes'!$B$9*SQRT('Black-Scholes'!$B$7)*B3055)</f>
        <v>93.0360562825192</v>
      </c>
      <c r="E3055" s="18" t="n">
        <f aca="false">EXP(-'Black-Scholes'!$B$8*'Black-Scholes'!$B$7)*IF(LOWER('Black-Scholes'!$B$11)="put",MAX('Black-Scholes'!$B$6-C3055,0),MAX(C3055-'Black-Scholes'!$B$6,0))</f>
        <v>13.4425113581796</v>
      </c>
      <c r="F3055" s="18" t="n">
        <f aca="false">(E3055+G3055)/2</f>
        <v>6.72125567908981</v>
      </c>
      <c r="G3055" s="18" t="n">
        <f aca="false">EXP(-'Black-Scholes'!$B$8*'Black-Scholes'!$B$7)*IF(LOWER('Black-Scholes'!$B$11)="put",MAX('Black-Scholes'!$B$6-D3055,0),MAX(D3055-'Black-Scholes'!$B$6,0))</f>
        <v>0</v>
      </c>
    </row>
    <row r="3056" customFormat="false" ht="15" hidden="false" customHeight="false" outlineLevel="0" collapsed="false">
      <c r="A3056" s="0" t="n">
        <v>3045</v>
      </c>
      <c r="B3056" s="15" t="n">
        <v>-0.181550659796777</v>
      </c>
      <c r="C3056" s="18" t="n">
        <f aca="false">'Black-Scholes'!$B$5*EXP(('Black-Scholes'!$B$8-'Black-Scholes'!$B$10-'Black-Scholes'!$B$9^2/2)*'Black-Scholes'!$B$7+'Black-Scholes'!$B$9*SQRT('Black-Scholes'!$B$7)*B3056)</f>
        <v>99.3709735113402</v>
      </c>
      <c r="D3056" s="18" t="n">
        <f aca="false">'Black-Scholes'!$B$5*EXP(('Black-Scholes'!$B$8-'Black-Scholes'!$B$10-'Black-Scholes'!$B$9^2/2)*'Black-Scholes'!$B$7-'Black-Scholes'!$B$9*SQRT('Black-Scholes'!$B$7)*B3056)</f>
        <v>106.855805978814</v>
      </c>
      <c r="E3056" s="18" t="n">
        <f aca="false">EXP(-'Black-Scholes'!$B$8*'Black-Scholes'!$B$7)*IF(LOWER('Black-Scholes'!$B$11)="put",MAX('Black-Scholes'!$B$6-C3056,0),MAX(C3056-'Black-Scholes'!$B$6,0))</f>
        <v>0</v>
      </c>
      <c r="F3056" s="18" t="n">
        <f aca="false">(E3056+G3056)/2</f>
        <v>3.26072218785772</v>
      </c>
      <c r="G3056" s="18" t="n">
        <f aca="false">EXP(-'Black-Scholes'!$B$8*'Black-Scholes'!$B$7)*IF(LOWER('Black-Scholes'!$B$11)="put",MAX('Black-Scholes'!$B$6-D3056,0),MAX(D3056-'Black-Scholes'!$B$6,0))</f>
        <v>6.52144437571545</v>
      </c>
    </row>
    <row r="3057" customFormat="false" ht="15" hidden="false" customHeight="false" outlineLevel="0" collapsed="false">
      <c r="A3057" s="0" t="n">
        <v>3046</v>
      </c>
      <c r="B3057" s="15" t="n">
        <v>-1.52251492242241</v>
      </c>
      <c r="C3057" s="18" t="n">
        <f aca="false">'Black-Scholes'!$B$5*EXP(('Black-Scholes'!$B$8-'Black-Scholes'!$B$10-'Black-Scholes'!$B$9^2/2)*'Black-Scholes'!$B$7+'Black-Scholes'!$B$9*SQRT('Black-Scholes'!$B$7)*B3057)</f>
        <v>75.9949736187343</v>
      </c>
      <c r="D3057" s="18" t="n">
        <f aca="false">'Black-Scholes'!$B$5*EXP(('Black-Scholes'!$B$8-'Black-Scholes'!$B$10-'Black-Scholes'!$B$9^2/2)*'Black-Scholes'!$B$7-'Black-Scholes'!$B$9*SQRT('Black-Scholes'!$B$7)*B3057)</f>
        <v>139.724575979535</v>
      </c>
      <c r="E3057" s="18" t="n">
        <f aca="false">EXP(-'Black-Scholes'!$B$8*'Black-Scholes'!$B$7)*IF(LOWER('Black-Scholes'!$B$11)="put",MAX('Black-Scholes'!$B$6-C3057,0),MAX(C3057-'Black-Scholes'!$B$6,0))</f>
        <v>0</v>
      </c>
      <c r="F3057" s="18" t="n">
        <f aca="false">(E3057+G3057)/2</f>
        <v>18.893592773774</v>
      </c>
      <c r="G3057" s="18" t="n">
        <f aca="false">EXP(-'Black-Scholes'!$B$8*'Black-Scholes'!$B$7)*IF(LOWER('Black-Scholes'!$B$11)="put",MAX('Black-Scholes'!$B$6-D3057,0),MAX(D3057-'Black-Scholes'!$B$6,0))</f>
        <v>37.7871855475479</v>
      </c>
    </row>
    <row r="3058" customFormat="false" ht="15" hidden="false" customHeight="false" outlineLevel="0" collapsed="false">
      <c r="A3058" s="0" t="n">
        <v>3047</v>
      </c>
      <c r="B3058" s="15" t="n">
        <v>0.7854701662224</v>
      </c>
      <c r="C3058" s="18" t="n">
        <f aca="false">'Black-Scholes'!$B$5*EXP(('Black-Scholes'!$B$8-'Black-Scholes'!$B$10-'Black-Scholes'!$B$9^2/2)*'Black-Scholes'!$B$7+'Black-Scholes'!$B$9*SQRT('Black-Scholes'!$B$7)*B3058)</f>
        <v>120.574065942557</v>
      </c>
      <c r="D3058" s="18" t="n">
        <f aca="false">'Black-Scholes'!$B$5*EXP(('Black-Scholes'!$B$8-'Black-Scholes'!$B$10-'Black-Scholes'!$B$9^2/2)*'Black-Scholes'!$B$7-'Black-Scholes'!$B$9*SQRT('Black-Scholes'!$B$7)*B3058)</f>
        <v>88.0650858246112</v>
      </c>
      <c r="E3058" s="18" t="n">
        <f aca="false">EXP(-'Black-Scholes'!$B$8*'Black-Scholes'!$B$7)*IF(LOWER('Black-Scholes'!$B$11)="put",MAX('Black-Scholes'!$B$6-C3058,0),MAX(C3058-'Black-Scholes'!$B$6,0))</f>
        <v>19.5706569061781</v>
      </c>
      <c r="F3058" s="18" t="n">
        <f aca="false">(E3058+G3058)/2</f>
        <v>9.78532845308903</v>
      </c>
      <c r="G3058" s="18" t="n">
        <f aca="false">EXP(-'Black-Scholes'!$B$8*'Black-Scholes'!$B$7)*IF(LOWER('Black-Scholes'!$B$11)="put",MAX('Black-Scholes'!$B$6-D3058,0),MAX(D3058-'Black-Scholes'!$B$6,0))</f>
        <v>0</v>
      </c>
    </row>
    <row r="3059" customFormat="false" ht="15" hidden="false" customHeight="false" outlineLevel="0" collapsed="false">
      <c r="A3059" s="0" t="n">
        <v>3048</v>
      </c>
      <c r="B3059" s="15" t="n">
        <v>-0.143173008398487</v>
      </c>
      <c r="C3059" s="18" t="n">
        <f aca="false">'Black-Scholes'!$B$5*EXP(('Black-Scholes'!$B$8-'Black-Scholes'!$B$10-'Black-Scholes'!$B$9^2/2)*'Black-Scholes'!$B$7+'Black-Scholes'!$B$9*SQRT('Black-Scholes'!$B$7)*B3059)</f>
        <v>100.136633090099</v>
      </c>
      <c r="D3059" s="18" t="n">
        <f aca="false">'Black-Scholes'!$B$5*EXP(('Black-Scholes'!$B$8-'Black-Scholes'!$B$10-'Black-Scholes'!$B$9^2/2)*'Black-Scholes'!$B$7-'Black-Scholes'!$B$9*SQRT('Black-Scholes'!$B$7)*B3059)</f>
        <v>106.038770605555</v>
      </c>
      <c r="E3059" s="18" t="n">
        <f aca="false">EXP(-'Black-Scholes'!$B$8*'Black-Scholes'!$B$7)*IF(LOWER('Black-Scholes'!$B$11)="put",MAX('Black-Scholes'!$B$6-C3059,0),MAX(C3059-'Black-Scholes'!$B$6,0))</f>
        <v>0.129969415662515</v>
      </c>
      <c r="F3059" s="18" t="n">
        <f aca="false">(E3059+G3059)/2</f>
        <v>2.93711285173809</v>
      </c>
      <c r="G3059" s="18" t="n">
        <f aca="false">EXP(-'Black-Scholes'!$B$8*'Black-Scholes'!$B$7)*IF(LOWER('Black-Scholes'!$B$11)="put",MAX('Black-Scholes'!$B$6-D3059,0),MAX(D3059-'Black-Scholes'!$B$6,0))</f>
        <v>5.74425628781366</v>
      </c>
    </row>
    <row r="3060" customFormat="false" ht="15" hidden="false" customHeight="false" outlineLevel="0" collapsed="false">
      <c r="A3060" s="0" t="n">
        <v>3049</v>
      </c>
      <c r="B3060" s="15" t="n">
        <v>-0.495351701309295</v>
      </c>
      <c r="C3060" s="18" t="n">
        <f aca="false">'Black-Scholes'!$B$5*EXP(('Black-Scholes'!$B$8-'Black-Scholes'!$B$10-'Black-Scholes'!$B$9^2/2)*'Black-Scholes'!$B$7+'Black-Scholes'!$B$9*SQRT('Black-Scholes'!$B$7)*B3060)</f>
        <v>93.3261031944006</v>
      </c>
      <c r="D3060" s="18" t="n">
        <f aca="false">'Black-Scholes'!$B$5*EXP(('Black-Scholes'!$B$8-'Black-Scholes'!$B$10-'Black-Scholes'!$B$9^2/2)*'Black-Scholes'!$B$7-'Black-Scholes'!$B$9*SQRT('Black-Scholes'!$B$7)*B3060)</f>
        <v>113.777015240155</v>
      </c>
      <c r="E3060" s="18" t="n">
        <f aca="false">EXP(-'Black-Scholes'!$B$8*'Black-Scholes'!$B$7)*IF(LOWER('Black-Scholes'!$B$11)="put",MAX('Black-Scholes'!$B$6-C3060,0),MAX(C3060-'Black-Scholes'!$B$6,0))</f>
        <v>0</v>
      </c>
      <c r="F3060" s="18" t="n">
        <f aca="false">(E3060+G3060)/2</f>
        <v>6.55255113911512</v>
      </c>
      <c r="G3060" s="18" t="n">
        <f aca="false">EXP(-'Black-Scholes'!$B$8*'Black-Scholes'!$B$7)*IF(LOWER('Black-Scholes'!$B$11)="put",MAX('Black-Scholes'!$B$6-D3060,0),MAX(D3060-'Black-Scholes'!$B$6,0))</f>
        <v>13.1051022782302</v>
      </c>
    </row>
    <row r="3061" customFormat="false" ht="15" hidden="false" customHeight="false" outlineLevel="0" collapsed="false">
      <c r="A3061" s="0" t="n">
        <v>3050</v>
      </c>
      <c r="B3061" s="15" t="n">
        <v>1.27432110039298</v>
      </c>
      <c r="C3061" s="18" t="n">
        <f aca="false">'Black-Scholes'!$B$5*EXP(('Black-Scholes'!$B$8-'Black-Scholes'!$B$10-'Black-Scholes'!$B$9^2/2)*'Black-Scholes'!$B$7+'Black-Scholes'!$B$9*SQRT('Black-Scholes'!$B$7)*B3061)</f>
        <v>132.958148539513</v>
      </c>
      <c r="D3061" s="18" t="n">
        <f aca="false">'Black-Scholes'!$B$5*EXP(('Black-Scholes'!$B$8-'Black-Scholes'!$B$10-'Black-Scholes'!$B$9^2/2)*'Black-Scholes'!$B$7-'Black-Scholes'!$B$9*SQRT('Black-Scholes'!$B$7)*B3061)</f>
        <v>79.862464858993</v>
      </c>
      <c r="E3061" s="18" t="n">
        <f aca="false">EXP(-'Black-Scholes'!$B$8*'Black-Scholes'!$B$7)*IF(LOWER('Black-Scholes'!$B$11)="put",MAX('Black-Scholes'!$B$6-C3061,0),MAX(C3061-'Black-Scholes'!$B$6,0))</f>
        <v>31.3507606678496</v>
      </c>
      <c r="F3061" s="18" t="n">
        <f aca="false">(E3061+G3061)/2</f>
        <v>15.6753803339248</v>
      </c>
      <c r="G3061" s="18" t="n">
        <f aca="false">EXP(-'Black-Scholes'!$B$8*'Black-Scholes'!$B$7)*IF(LOWER('Black-Scholes'!$B$11)="put",MAX('Black-Scholes'!$B$6-D3061,0),MAX(D3061-'Black-Scholes'!$B$6,0))</f>
        <v>0</v>
      </c>
    </row>
    <row r="3062" customFormat="false" ht="15" hidden="false" customHeight="false" outlineLevel="0" collapsed="false">
      <c r="A3062" s="0" t="n">
        <v>3051</v>
      </c>
      <c r="B3062" s="15" t="n">
        <v>1.49175486185083</v>
      </c>
      <c r="C3062" s="18" t="n">
        <f aca="false">'Black-Scholes'!$B$5*EXP(('Black-Scholes'!$B$8-'Black-Scholes'!$B$10-'Black-Scholes'!$B$9^2/2)*'Black-Scholes'!$B$7+'Black-Scholes'!$B$9*SQRT('Black-Scholes'!$B$7)*B3062)</f>
        <v>138.867627377293</v>
      </c>
      <c r="D3062" s="18" t="n">
        <f aca="false">'Black-Scholes'!$B$5*EXP(('Black-Scholes'!$B$8-'Black-Scholes'!$B$10-'Black-Scholes'!$B$9^2/2)*'Black-Scholes'!$B$7-'Black-Scholes'!$B$9*SQRT('Black-Scholes'!$B$7)*B3062)</f>
        <v>76.4639366711745</v>
      </c>
      <c r="E3062" s="18" t="n">
        <f aca="false">EXP(-'Black-Scholes'!$B$8*'Black-Scholes'!$B$7)*IF(LOWER('Black-Scholes'!$B$11)="put",MAX('Black-Scholes'!$B$6-C3062,0),MAX(C3062-'Black-Scholes'!$B$6,0))</f>
        <v>36.9720308218107</v>
      </c>
      <c r="F3062" s="18" t="n">
        <f aca="false">(E3062+G3062)/2</f>
        <v>18.4860154109053</v>
      </c>
      <c r="G3062" s="18" t="n">
        <f aca="false">EXP(-'Black-Scholes'!$B$8*'Black-Scholes'!$B$7)*IF(LOWER('Black-Scholes'!$B$11)="put",MAX('Black-Scholes'!$B$6-D3062,0),MAX(D3062-'Black-Scholes'!$B$6,0))</f>
        <v>0</v>
      </c>
    </row>
    <row r="3063" customFormat="false" ht="15" hidden="false" customHeight="false" outlineLevel="0" collapsed="false">
      <c r="A3063" s="0" t="n">
        <v>3052</v>
      </c>
      <c r="B3063" s="15" t="n">
        <v>-1.37129870335813</v>
      </c>
      <c r="C3063" s="18" t="n">
        <f aca="false">'Black-Scholes'!$B$5*EXP(('Black-Scholes'!$B$8-'Black-Scholes'!$B$10-'Black-Scholes'!$B$9^2/2)*'Black-Scholes'!$B$7+'Black-Scholes'!$B$9*SQRT('Black-Scholes'!$B$7)*B3063)</f>
        <v>78.3284157085321</v>
      </c>
      <c r="D3063" s="18" t="n">
        <f aca="false">'Black-Scholes'!$B$5*EXP(('Black-Scholes'!$B$8-'Black-Scholes'!$B$10-'Black-Scholes'!$B$9^2/2)*'Black-Scholes'!$B$7-'Black-Scholes'!$B$9*SQRT('Black-Scholes'!$B$7)*B3063)</f>
        <v>135.562112030525</v>
      </c>
      <c r="E3063" s="18" t="n">
        <f aca="false">EXP(-'Black-Scholes'!$B$8*'Black-Scholes'!$B$7)*IF(LOWER('Black-Scholes'!$B$11)="put",MAX('Black-Scholes'!$B$6-C3063,0),MAX(C3063-'Black-Scholes'!$B$6,0))</f>
        <v>0</v>
      </c>
      <c r="F3063" s="18" t="n">
        <f aca="false">(E3063+G3063)/2</f>
        <v>16.9138636804133</v>
      </c>
      <c r="G3063" s="18" t="n">
        <f aca="false">EXP(-'Black-Scholes'!$B$8*'Black-Scholes'!$B$7)*IF(LOWER('Black-Scholes'!$B$11)="put",MAX('Black-Scholes'!$B$6-D3063,0),MAX(D3063-'Black-Scholes'!$B$6,0))</f>
        <v>33.8277273608266</v>
      </c>
    </row>
    <row r="3064" customFormat="false" ht="15" hidden="false" customHeight="false" outlineLevel="0" collapsed="false">
      <c r="A3064" s="0" t="n">
        <v>3053</v>
      </c>
      <c r="B3064" s="15" t="n">
        <v>-1.88983351163679</v>
      </c>
      <c r="C3064" s="18" t="n">
        <f aca="false">'Black-Scholes'!$B$5*EXP(('Black-Scholes'!$B$8-'Black-Scholes'!$B$10-'Black-Scholes'!$B$9^2/2)*'Black-Scholes'!$B$7+'Black-Scholes'!$B$9*SQRT('Black-Scholes'!$B$7)*B3064)</f>
        <v>70.612238805506</v>
      </c>
      <c r="D3064" s="18" t="n">
        <f aca="false">'Black-Scholes'!$B$5*EXP(('Black-Scholes'!$B$8-'Black-Scholes'!$B$10-'Black-Scholes'!$B$9^2/2)*'Black-Scholes'!$B$7-'Black-Scholes'!$B$9*SQRT('Black-Scholes'!$B$7)*B3064)</f>
        <v>150.37570887252</v>
      </c>
      <c r="E3064" s="18" t="n">
        <f aca="false">EXP(-'Black-Scholes'!$B$8*'Black-Scholes'!$B$7)*IF(LOWER('Black-Scholes'!$B$11)="put",MAX('Black-Scholes'!$B$6-C3064,0),MAX(C3064-'Black-Scholes'!$B$6,0))</f>
        <v>0</v>
      </c>
      <c r="F3064" s="18" t="n">
        <f aca="false">(E3064+G3064)/2</f>
        <v>23.9594282798112</v>
      </c>
      <c r="G3064" s="18" t="n">
        <f aca="false">EXP(-'Black-Scholes'!$B$8*'Black-Scholes'!$B$7)*IF(LOWER('Black-Scholes'!$B$11)="put",MAX('Black-Scholes'!$B$6-D3064,0),MAX(D3064-'Black-Scholes'!$B$6,0))</f>
        <v>47.9188565596223</v>
      </c>
    </row>
    <row r="3065" customFormat="false" ht="15" hidden="false" customHeight="false" outlineLevel="0" collapsed="false">
      <c r="A3065" s="0" t="n">
        <v>3054</v>
      </c>
      <c r="B3065" s="15" t="n">
        <v>-1.00440777794144</v>
      </c>
      <c r="C3065" s="18" t="n">
        <f aca="false">'Black-Scholes'!$B$5*EXP(('Black-Scholes'!$B$8-'Black-Scholes'!$B$10-'Black-Scholes'!$B$9^2/2)*'Black-Scholes'!$B$7+'Black-Scholes'!$B$9*SQRT('Black-Scholes'!$B$7)*B3065)</f>
        <v>84.2921406889306</v>
      </c>
      <c r="D3065" s="18" t="n">
        <f aca="false">'Black-Scholes'!$B$5*EXP(('Black-Scholes'!$B$8-'Black-Scholes'!$B$10-'Black-Scholes'!$B$9^2/2)*'Black-Scholes'!$B$7-'Black-Scholes'!$B$9*SQRT('Black-Scholes'!$B$7)*B3065)</f>
        <v>125.971002499976</v>
      </c>
      <c r="E3065" s="18" t="n">
        <f aca="false">EXP(-'Black-Scholes'!$B$8*'Black-Scholes'!$B$7)*IF(LOWER('Black-Scholes'!$B$11)="put",MAX('Black-Scholes'!$B$6-C3065,0),MAX(C3065-'Black-Scholes'!$B$6,0))</f>
        <v>0</v>
      </c>
      <c r="F3065" s="18" t="n">
        <f aca="false">(E3065+G3065)/2</f>
        <v>12.3521908808793</v>
      </c>
      <c r="G3065" s="18" t="n">
        <f aca="false">EXP(-'Black-Scholes'!$B$8*'Black-Scholes'!$B$7)*IF(LOWER('Black-Scholes'!$B$11)="put",MAX('Black-Scholes'!$B$6-D3065,0),MAX(D3065-'Black-Scholes'!$B$6,0))</f>
        <v>24.7043817617586</v>
      </c>
    </row>
    <row r="3066" customFormat="false" ht="15" hidden="false" customHeight="false" outlineLevel="0" collapsed="false">
      <c r="A3066" s="0" t="n">
        <v>3055</v>
      </c>
      <c r="B3066" s="15" t="n">
        <v>-1.88573269955845</v>
      </c>
      <c r="C3066" s="18" t="n">
        <f aca="false">'Black-Scholes'!$B$5*EXP(('Black-Scholes'!$B$8-'Black-Scholes'!$B$10-'Black-Scholes'!$B$9^2/2)*'Black-Scholes'!$B$7+'Black-Scholes'!$B$9*SQRT('Black-Scholes'!$B$7)*B3066)</f>
        <v>70.6701760655944</v>
      </c>
      <c r="D3066" s="18" t="n">
        <f aca="false">'Black-Scholes'!$B$5*EXP(('Black-Scholes'!$B$8-'Black-Scholes'!$B$10-'Black-Scholes'!$B$9^2/2)*'Black-Scholes'!$B$7-'Black-Scholes'!$B$9*SQRT('Black-Scholes'!$B$7)*B3066)</f>
        <v>150.252426930391</v>
      </c>
      <c r="E3066" s="18" t="n">
        <f aca="false">EXP(-'Black-Scholes'!$B$8*'Black-Scholes'!$B$7)*IF(LOWER('Black-Scholes'!$B$11)="put",MAX('Black-Scholes'!$B$6-C3066,0),MAX(C3066-'Black-Scholes'!$B$6,0))</f>
        <v>0</v>
      </c>
      <c r="F3066" s="18" t="n">
        <f aca="false">(E3066+G3066)/2</f>
        <v>23.9007935743801</v>
      </c>
      <c r="G3066" s="18" t="n">
        <f aca="false">EXP(-'Black-Scholes'!$B$8*'Black-Scholes'!$B$7)*IF(LOWER('Black-Scholes'!$B$11)="put",MAX('Black-Scholes'!$B$6-D3066,0),MAX(D3066-'Black-Scholes'!$B$6,0))</f>
        <v>47.8015871487601</v>
      </c>
    </row>
    <row r="3067" customFormat="false" ht="15" hidden="false" customHeight="false" outlineLevel="0" collapsed="false">
      <c r="A3067" s="0" t="n">
        <v>3056</v>
      </c>
      <c r="B3067" s="15" t="n">
        <v>-0.800934908397959</v>
      </c>
      <c r="C3067" s="18" t="n">
        <f aca="false">'Black-Scholes'!$B$5*EXP(('Black-Scholes'!$B$8-'Black-Scholes'!$B$10-'Black-Scholes'!$B$9^2/2)*'Black-Scholes'!$B$7+'Black-Scholes'!$B$9*SQRT('Black-Scholes'!$B$7)*B3067)</f>
        <v>87.7931258511141</v>
      </c>
      <c r="D3067" s="18" t="n">
        <f aca="false">'Black-Scholes'!$B$5*EXP(('Black-Scholes'!$B$8-'Black-Scholes'!$B$10-'Black-Scholes'!$B$9^2/2)*'Black-Scholes'!$B$7-'Black-Scholes'!$B$9*SQRT('Black-Scholes'!$B$7)*B3067)</f>
        <v>120.947572631837</v>
      </c>
      <c r="E3067" s="18" t="n">
        <f aca="false">EXP(-'Black-Scholes'!$B$8*'Black-Scholes'!$B$7)*IF(LOWER('Black-Scholes'!$B$11)="put",MAX('Black-Scholes'!$B$6-C3067,0),MAX(C3067-'Black-Scholes'!$B$6,0))</f>
        <v>0</v>
      </c>
      <c r="F3067" s="18" t="n">
        <f aca="false">(E3067+G3067)/2</f>
        <v>9.96297372963446</v>
      </c>
      <c r="G3067" s="18" t="n">
        <f aca="false">EXP(-'Black-Scholes'!$B$8*'Black-Scholes'!$B$7)*IF(LOWER('Black-Scholes'!$B$11)="put",MAX('Black-Scholes'!$B$6-D3067,0),MAX(D3067-'Black-Scholes'!$B$6,0))</f>
        <v>19.9259474592689</v>
      </c>
    </row>
    <row r="3068" customFormat="false" ht="15" hidden="false" customHeight="false" outlineLevel="0" collapsed="false">
      <c r="A3068" s="0" t="n">
        <v>3057</v>
      </c>
      <c r="B3068" s="15" t="n">
        <v>0.485815156255524</v>
      </c>
      <c r="C3068" s="18" t="n">
        <f aca="false">'Black-Scholes'!$B$5*EXP(('Black-Scholes'!$B$8-'Black-Scholes'!$B$10-'Black-Scholes'!$B$9^2/2)*'Black-Scholes'!$B$7+'Black-Scholes'!$B$9*SQRT('Black-Scholes'!$B$7)*B3068)</f>
        <v>113.560214132847</v>
      </c>
      <c r="D3068" s="18" t="n">
        <f aca="false">'Black-Scholes'!$B$5*EXP(('Black-Scholes'!$B$8-'Black-Scholes'!$B$10-'Black-Scholes'!$B$9^2/2)*'Black-Scholes'!$B$7-'Black-Scholes'!$B$9*SQRT('Black-Scholes'!$B$7)*B3068)</f>
        <v>93.5042747720765</v>
      </c>
      <c r="E3068" s="18" t="n">
        <f aca="false">EXP(-'Black-Scholes'!$B$8*'Black-Scholes'!$B$7)*IF(LOWER('Black-Scholes'!$B$11)="put",MAX('Black-Scholes'!$B$6-C3068,0),MAX(C3068-'Black-Scholes'!$B$6,0))</f>
        <v>12.8988746856948</v>
      </c>
      <c r="F3068" s="18" t="n">
        <f aca="false">(E3068+G3068)/2</f>
        <v>6.44943734284738</v>
      </c>
      <c r="G3068" s="18" t="n">
        <f aca="false">EXP(-'Black-Scholes'!$B$8*'Black-Scholes'!$B$7)*IF(LOWER('Black-Scholes'!$B$11)="put",MAX('Black-Scholes'!$B$6-D3068,0),MAX(D3068-'Black-Scholes'!$B$6,0))</f>
        <v>0</v>
      </c>
    </row>
    <row r="3069" customFormat="false" ht="15" hidden="false" customHeight="false" outlineLevel="0" collapsed="false">
      <c r="A3069" s="0" t="n">
        <v>3058</v>
      </c>
      <c r="B3069" s="15" t="n">
        <v>-0.350800278466238</v>
      </c>
      <c r="C3069" s="18" t="n">
        <f aca="false">'Black-Scholes'!$B$5*EXP(('Black-Scholes'!$B$8-'Black-Scholes'!$B$10-'Black-Scholes'!$B$9^2/2)*'Black-Scholes'!$B$7+'Black-Scholes'!$B$9*SQRT('Black-Scholes'!$B$7)*B3069)</f>
        <v>96.0635671638586</v>
      </c>
      <c r="D3069" s="18" t="n">
        <f aca="false">'Black-Scholes'!$B$5*EXP(('Black-Scholes'!$B$8-'Black-Scholes'!$B$10-'Black-Scholes'!$B$9^2/2)*'Black-Scholes'!$B$7-'Black-Scholes'!$B$9*SQRT('Black-Scholes'!$B$7)*B3069)</f>
        <v>110.534782112989</v>
      </c>
      <c r="E3069" s="18" t="n">
        <f aca="false">EXP(-'Black-Scholes'!$B$8*'Black-Scholes'!$B$7)*IF(LOWER('Black-Scholes'!$B$11)="put",MAX('Black-Scholes'!$B$6-C3069,0),MAX(C3069-'Black-Scholes'!$B$6,0))</f>
        <v>0</v>
      </c>
      <c r="F3069" s="18" t="n">
        <f aca="false">(E3069+G3069)/2</f>
        <v>5.01049736328948</v>
      </c>
      <c r="G3069" s="18" t="n">
        <f aca="false">EXP(-'Black-Scholes'!$B$8*'Black-Scholes'!$B$7)*IF(LOWER('Black-Scholes'!$B$11)="put",MAX('Black-Scholes'!$B$6-D3069,0),MAX(D3069-'Black-Scholes'!$B$6,0))</f>
        <v>10.020994726579</v>
      </c>
    </row>
    <row r="3070" customFormat="false" ht="15" hidden="false" customHeight="false" outlineLevel="0" collapsed="false">
      <c r="A3070" s="0" t="n">
        <v>3059</v>
      </c>
      <c r="B3070" s="15" t="n">
        <v>-0.694934178397962</v>
      </c>
      <c r="C3070" s="18" t="n">
        <f aca="false">'Black-Scholes'!$B$5*EXP(('Black-Scholes'!$B$8-'Black-Scholes'!$B$10-'Black-Scholes'!$B$9^2/2)*'Black-Scholes'!$B$7+'Black-Scholes'!$B$9*SQRT('Black-Scholes'!$B$7)*B3070)</f>
        <v>89.6742222422473</v>
      </c>
      <c r="D3070" s="18" t="n">
        <f aca="false">'Black-Scholes'!$B$5*EXP(('Black-Scholes'!$B$8-'Black-Scholes'!$B$10-'Black-Scholes'!$B$9^2/2)*'Black-Scholes'!$B$7-'Black-Scholes'!$B$9*SQRT('Black-Scholes'!$B$7)*B3070)</f>
        <v>118.410455088966</v>
      </c>
      <c r="E3070" s="18" t="n">
        <f aca="false">EXP(-'Black-Scholes'!$B$8*'Black-Scholes'!$B$7)*IF(LOWER('Black-Scholes'!$B$11)="put",MAX('Black-Scholes'!$B$6-C3070,0),MAX(C3070-'Black-Scholes'!$B$6,0))</f>
        <v>0</v>
      </c>
      <c r="F3070" s="18" t="n">
        <f aca="false">(E3070+G3070)/2</f>
        <v>8.75628329953681</v>
      </c>
      <c r="G3070" s="18" t="n">
        <f aca="false">EXP(-'Black-Scholes'!$B$8*'Black-Scholes'!$B$7)*IF(LOWER('Black-Scholes'!$B$11)="put",MAX('Black-Scholes'!$B$6-D3070,0),MAX(D3070-'Black-Scholes'!$B$6,0))</f>
        <v>17.5125665990736</v>
      </c>
    </row>
    <row r="3071" customFormat="false" ht="15" hidden="false" customHeight="false" outlineLevel="0" collapsed="false">
      <c r="A3071" s="0" t="n">
        <v>3060</v>
      </c>
      <c r="B3071" s="15" t="n">
        <v>1.27467506939996</v>
      </c>
      <c r="C3071" s="18" t="n">
        <f aca="false">'Black-Scholes'!$B$5*EXP(('Black-Scholes'!$B$8-'Black-Scholes'!$B$10-'Black-Scholes'!$B$9^2/2)*'Black-Scholes'!$B$7+'Black-Scholes'!$B$9*SQRT('Black-Scholes'!$B$7)*B3071)</f>
        <v>132.967561485459</v>
      </c>
      <c r="D3071" s="18" t="n">
        <f aca="false">'Black-Scholes'!$B$5*EXP(('Black-Scholes'!$B$8-'Black-Scholes'!$B$10-'Black-Scholes'!$B$9^2/2)*'Black-Scholes'!$B$7-'Black-Scholes'!$B$9*SQRT('Black-Scholes'!$B$7)*B3071)</f>
        <v>79.8568112916379</v>
      </c>
      <c r="E3071" s="18" t="n">
        <f aca="false">EXP(-'Black-Scholes'!$B$8*'Black-Scholes'!$B$7)*IF(LOWER('Black-Scholes'!$B$11)="put",MAX('Black-Scholes'!$B$6-C3071,0),MAX(C3071-'Black-Scholes'!$B$6,0))</f>
        <v>31.3597145390055</v>
      </c>
      <c r="F3071" s="18" t="n">
        <f aca="false">(E3071+G3071)/2</f>
        <v>15.6798572695027</v>
      </c>
      <c r="G3071" s="18" t="n">
        <f aca="false">EXP(-'Black-Scholes'!$B$8*'Black-Scholes'!$B$7)*IF(LOWER('Black-Scholes'!$B$11)="put",MAX('Black-Scholes'!$B$6-D3071,0),MAX(D3071-'Black-Scholes'!$B$6,0))</f>
        <v>0</v>
      </c>
    </row>
    <row r="3072" customFormat="false" ht="15" hidden="false" customHeight="false" outlineLevel="0" collapsed="false">
      <c r="A3072" s="0" t="n">
        <v>3061</v>
      </c>
      <c r="B3072" s="15" t="n">
        <v>0.541459222230877</v>
      </c>
      <c r="C3072" s="18" t="n">
        <f aca="false">'Black-Scholes'!$B$5*EXP(('Black-Scholes'!$B$8-'Black-Scholes'!$B$10-'Black-Scholes'!$B$9^2/2)*'Black-Scholes'!$B$7+'Black-Scholes'!$B$9*SQRT('Black-Scholes'!$B$7)*B3072)</f>
        <v>114.831062945599</v>
      </c>
      <c r="D3072" s="18" t="n">
        <f aca="false">'Black-Scholes'!$B$5*EXP(('Black-Scholes'!$B$8-'Black-Scholes'!$B$10-'Black-Scholes'!$B$9^2/2)*'Black-Scholes'!$B$7-'Black-Scholes'!$B$9*SQRT('Black-Scholes'!$B$7)*B3072)</f>
        <v>92.4694520199992</v>
      </c>
      <c r="E3072" s="18" t="n">
        <f aca="false">EXP(-'Black-Scholes'!$B$8*'Black-Scholes'!$B$7)*IF(LOWER('Black-Scholes'!$B$11)="put",MAX('Black-Scholes'!$B$6-C3072,0),MAX(C3072-'Black-Scholes'!$B$6,0))</f>
        <v>14.1077434704762</v>
      </c>
      <c r="F3072" s="18" t="n">
        <f aca="false">(E3072+G3072)/2</f>
        <v>7.0538717352381</v>
      </c>
      <c r="G3072" s="18" t="n">
        <f aca="false">EXP(-'Black-Scholes'!$B$8*'Black-Scholes'!$B$7)*IF(LOWER('Black-Scholes'!$B$11)="put",MAX('Black-Scholes'!$B$6-D3072,0),MAX(D3072-'Black-Scholes'!$B$6,0))</f>
        <v>0</v>
      </c>
    </row>
    <row r="3073" customFormat="false" ht="15" hidden="false" customHeight="false" outlineLevel="0" collapsed="false">
      <c r="A3073" s="0" t="n">
        <v>3062</v>
      </c>
      <c r="B3073" s="15" t="n">
        <v>-2.60447561915908</v>
      </c>
      <c r="C3073" s="18" t="n">
        <f aca="false">'Black-Scholes'!$B$5*EXP(('Black-Scholes'!$B$8-'Black-Scholes'!$B$10-'Black-Scholes'!$B$9^2/2)*'Black-Scholes'!$B$7+'Black-Scholes'!$B$9*SQRT('Black-Scholes'!$B$7)*B3073)</f>
        <v>61.2078263058198</v>
      </c>
      <c r="D3073" s="18" t="n">
        <f aca="false">'Black-Scholes'!$B$5*EXP(('Black-Scholes'!$B$8-'Black-Scholes'!$B$10-'Black-Scholes'!$B$9^2/2)*'Black-Scholes'!$B$7-'Black-Scholes'!$B$9*SQRT('Black-Scholes'!$B$7)*B3073)</f>
        <v>173.48051885391</v>
      </c>
      <c r="E3073" s="18" t="n">
        <f aca="false">EXP(-'Black-Scholes'!$B$8*'Black-Scholes'!$B$7)*IF(LOWER('Black-Scholes'!$B$11)="put",MAX('Black-Scholes'!$B$6-C3073,0),MAX(C3073-'Black-Scholes'!$B$6,0))</f>
        <v>0</v>
      </c>
      <c r="F3073" s="18" t="n">
        <f aca="false">(E3073+G3073)/2</f>
        <v>34.9484158307092</v>
      </c>
      <c r="G3073" s="18" t="n">
        <f aca="false">EXP(-'Black-Scholes'!$B$8*'Black-Scholes'!$B$7)*IF(LOWER('Black-Scholes'!$B$11)="put",MAX('Black-Scholes'!$B$6-D3073,0),MAX(D3073-'Black-Scholes'!$B$6,0))</f>
        <v>69.8968316614183</v>
      </c>
    </row>
    <row r="3074" customFormat="false" ht="15" hidden="false" customHeight="false" outlineLevel="0" collapsed="false">
      <c r="A3074" s="0" t="n">
        <v>3063</v>
      </c>
      <c r="B3074" s="15" t="n">
        <v>0.20184282483545</v>
      </c>
      <c r="C3074" s="18" t="n">
        <f aca="false">'Black-Scholes'!$B$5*EXP(('Black-Scholes'!$B$8-'Black-Scholes'!$B$10-'Black-Scholes'!$B$9^2/2)*'Black-Scholes'!$B$7+'Black-Scholes'!$B$9*SQRT('Black-Scholes'!$B$7)*B3074)</f>
        <v>107.290354305052</v>
      </c>
      <c r="D3074" s="18" t="n">
        <f aca="false">'Black-Scholes'!$B$5*EXP(('Black-Scholes'!$B$8-'Black-Scholes'!$B$10-'Black-Scholes'!$B$9^2/2)*'Black-Scholes'!$B$7-'Black-Scholes'!$B$9*SQRT('Black-Scholes'!$B$7)*B3074)</f>
        <v>98.9685003300766</v>
      </c>
      <c r="E3074" s="18" t="n">
        <f aca="false">EXP(-'Black-Scholes'!$B$8*'Black-Scholes'!$B$7)*IF(LOWER('Black-Scholes'!$B$11)="put",MAX('Black-Scholes'!$B$6-C3074,0),MAX(C3074-'Black-Scholes'!$B$6,0))</f>
        <v>6.93479953000115</v>
      </c>
      <c r="F3074" s="18" t="n">
        <f aca="false">(E3074+G3074)/2</f>
        <v>3.46739976500058</v>
      </c>
      <c r="G3074" s="18" t="n">
        <f aca="false">EXP(-'Black-Scholes'!$B$8*'Black-Scholes'!$B$7)*IF(LOWER('Black-Scholes'!$B$11)="put",MAX('Black-Scholes'!$B$6-D3074,0),MAX(D3074-'Black-Scholes'!$B$6,0))</f>
        <v>0</v>
      </c>
    </row>
    <row r="3075" customFormat="false" ht="15" hidden="false" customHeight="false" outlineLevel="0" collapsed="false">
      <c r="A3075" s="0" t="n">
        <v>3064</v>
      </c>
      <c r="B3075" s="15" t="n">
        <v>-1.24642563533218</v>
      </c>
      <c r="C3075" s="18" t="n">
        <f aca="false">'Black-Scholes'!$B$5*EXP(('Black-Scholes'!$B$8-'Black-Scholes'!$B$10-'Black-Scholes'!$B$9^2/2)*'Black-Scholes'!$B$7+'Black-Scholes'!$B$9*SQRT('Black-Scholes'!$B$7)*B3075)</f>
        <v>80.3092702039623</v>
      </c>
      <c r="D3075" s="18" t="n">
        <f aca="false">'Black-Scholes'!$B$5*EXP(('Black-Scholes'!$B$8-'Black-Scholes'!$B$10-'Black-Scholes'!$B$9^2/2)*'Black-Scholes'!$B$7-'Black-Scholes'!$B$9*SQRT('Black-Scholes'!$B$7)*B3075)</f>
        <v>132.218428065478</v>
      </c>
      <c r="E3075" s="18" t="n">
        <f aca="false">EXP(-'Black-Scholes'!$B$8*'Black-Scholes'!$B$7)*IF(LOWER('Black-Scholes'!$B$11)="put",MAX('Black-Scholes'!$B$6-C3075,0),MAX(C3075-'Black-Scholes'!$B$6,0))</f>
        <v>0</v>
      </c>
      <c r="F3075" s="18" t="n">
        <f aca="false">(E3075+G3075)/2</f>
        <v>15.323558393521</v>
      </c>
      <c r="G3075" s="18" t="n">
        <f aca="false">EXP(-'Black-Scholes'!$B$8*'Black-Scholes'!$B$7)*IF(LOWER('Black-Scholes'!$B$11)="put",MAX('Black-Scholes'!$B$6-D3075,0),MAX(D3075-'Black-Scholes'!$B$6,0))</f>
        <v>30.647116787042</v>
      </c>
    </row>
    <row r="3076" customFormat="false" ht="15" hidden="false" customHeight="false" outlineLevel="0" collapsed="false">
      <c r="A3076" s="0" t="n">
        <v>3065</v>
      </c>
      <c r="B3076" s="15" t="n">
        <v>0.0336239017540219</v>
      </c>
      <c r="C3076" s="18" t="n">
        <f aca="false">'Black-Scholes'!$B$5*EXP(('Black-Scholes'!$B$8-'Black-Scholes'!$B$10-'Black-Scholes'!$B$9^2/2)*'Black-Scholes'!$B$7+'Black-Scholes'!$B$9*SQRT('Black-Scholes'!$B$7)*B3076)</f>
        <v>103.740746662586</v>
      </c>
      <c r="D3076" s="18" t="n">
        <f aca="false">'Black-Scholes'!$B$5*EXP(('Black-Scholes'!$B$8-'Black-Scholes'!$B$10-'Black-Scholes'!$B$9^2/2)*'Black-Scholes'!$B$7-'Black-Scholes'!$B$9*SQRT('Black-Scholes'!$B$7)*B3076)</f>
        <v>102.354820136292</v>
      </c>
      <c r="E3076" s="18" t="n">
        <f aca="false">EXP(-'Black-Scholes'!$B$8*'Black-Scholes'!$B$7)*IF(LOWER('Black-Scholes'!$B$11)="put",MAX('Black-Scholes'!$B$6-C3076,0),MAX(C3076-'Black-Scholes'!$B$6,0))</f>
        <v>3.55830829505434</v>
      </c>
      <c r="F3076" s="18" t="n">
        <f aca="false">(E3076+G3076)/2</f>
        <v>2.89914124905106</v>
      </c>
      <c r="G3076" s="18" t="n">
        <f aca="false">EXP(-'Black-Scholes'!$B$8*'Black-Scholes'!$B$7)*IF(LOWER('Black-Scholes'!$B$11)="put",MAX('Black-Scholes'!$B$6-D3076,0),MAX(D3076-'Black-Scholes'!$B$6,0))</f>
        <v>2.23997420304778</v>
      </c>
    </row>
    <row r="3077" customFormat="false" ht="15" hidden="false" customHeight="false" outlineLevel="0" collapsed="false">
      <c r="A3077" s="0" t="n">
        <v>3066</v>
      </c>
      <c r="B3077" s="15" t="n">
        <v>-1.58173586862777</v>
      </c>
      <c r="C3077" s="18" t="n">
        <f aca="false">'Black-Scholes'!$B$5*EXP(('Black-Scholes'!$B$8-'Black-Scholes'!$B$10-'Black-Scholes'!$B$9^2/2)*'Black-Scholes'!$B$7+'Black-Scholes'!$B$9*SQRT('Black-Scholes'!$B$7)*B3077)</f>
        <v>75.1001842575089</v>
      </c>
      <c r="D3077" s="18" t="n">
        <f aca="false">'Black-Scholes'!$B$5*EXP(('Black-Scholes'!$B$8-'Black-Scholes'!$B$10-'Black-Scholes'!$B$9^2/2)*'Black-Scholes'!$B$7-'Black-Scholes'!$B$9*SQRT('Black-Scholes'!$B$7)*B3077)</f>
        <v>141.38933972578</v>
      </c>
      <c r="E3077" s="18" t="n">
        <f aca="false">EXP(-'Black-Scholes'!$B$8*'Black-Scholes'!$B$7)*IF(LOWER('Black-Scholes'!$B$11)="put",MAX('Black-Scholes'!$B$6-C3077,0),MAX(C3077-'Black-Scholes'!$B$6,0))</f>
        <v>0</v>
      </c>
      <c r="F3077" s="18" t="n">
        <f aca="false">(E3077+G3077)/2</f>
        <v>19.6853789039091</v>
      </c>
      <c r="G3077" s="18" t="n">
        <f aca="false">EXP(-'Black-Scholes'!$B$8*'Black-Scholes'!$B$7)*IF(LOWER('Black-Scholes'!$B$11)="put",MAX('Black-Scholes'!$B$6-D3077,0),MAX(D3077-'Black-Scholes'!$B$6,0))</f>
        <v>39.3707578078182</v>
      </c>
    </row>
    <row r="3078" customFormat="false" ht="15" hidden="false" customHeight="false" outlineLevel="0" collapsed="false">
      <c r="A3078" s="0" t="n">
        <v>3067</v>
      </c>
      <c r="B3078" s="15" t="n">
        <v>2.07381841677062</v>
      </c>
      <c r="C3078" s="18" t="n">
        <f aca="false">'Black-Scholes'!$B$5*EXP(('Black-Scholes'!$B$8-'Black-Scholes'!$B$10-'Black-Scholes'!$B$9^2/2)*'Black-Scholes'!$B$7+'Black-Scholes'!$B$9*SQRT('Black-Scholes'!$B$7)*B3078)</f>
        <v>156.012146959345</v>
      </c>
      <c r="D3078" s="18" t="n">
        <f aca="false">'Black-Scholes'!$B$5*EXP(('Black-Scholes'!$B$8-'Black-Scholes'!$B$10-'Black-Scholes'!$B$9^2/2)*'Black-Scholes'!$B$7-'Black-Scholes'!$B$9*SQRT('Black-Scholes'!$B$7)*B3078)</f>
        <v>68.061145701819</v>
      </c>
      <c r="E3078" s="18" t="n">
        <f aca="false">EXP(-'Black-Scholes'!$B$8*'Black-Scholes'!$B$7)*IF(LOWER('Black-Scholes'!$B$11)="put",MAX('Black-Scholes'!$B$6-C3078,0),MAX(C3078-'Black-Scholes'!$B$6,0))</f>
        <v>53.2804023171875</v>
      </c>
      <c r="F3078" s="18" t="n">
        <f aca="false">(E3078+G3078)/2</f>
        <v>26.6402011585938</v>
      </c>
      <c r="G3078" s="18" t="n">
        <f aca="false">EXP(-'Black-Scholes'!$B$8*'Black-Scholes'!$B$7)*IF(LOWER('Black-Scholes'!$B$11)="put",MAX('Black-Scholes'!$B$6-D3078,0),MAX(D3078-'Black-Scholes'!$B$6,0))</f>
        <v>0</v>
      </c>
    </row>
    <row r="3079" customFormat="false" ht="15" hidden="false" customHeight="false" outlineLevel="0" collapsed="false">
      <c r="A3079" s="0" t="n">
        <v>3068</v>
      </c>
      <c r="B3079" s="15" t="n">
        <v>-1.17963361422223</v>
      </c>
      <c r="C3079" s="18" t="n">
        <f aca="false">'Black-Scholes'!$B$5*EXP(('Black-Scholes'!$B$8-'Black-Scholes'!$B$10-'Black-Scholes'!$B$9^2/2)*'Black-Scholes'!$B$7+'Black-Scholes'!$B$9*SQRT('Black-Scholes'!$B$7)*B3079)</f>
        <v>81.3892713840855</v>
      </c>
      <c r="D3079" s="18" t="n">
        <f aca="false">'Black-Scholes'!$B$5*EXP(('Black-Scholes'!$B$8-'Black-Scholes'!$B$10-'Black-Scholes'!$B$9^2/2)*'Black-Scholes'!$B$7-'Black-Scholes'!$B$9*SQRT('Black-Scholes'!$B$7)*B3079)</f>
        <v>130.463945491591</v>
      </c>
      <c r="E3079" s="18" t="n">
        <f aca="false">EXP(-'Black-Scholes'!$B$8*'Black-Scholes'!$B$7)*IF(LOWER('Black-Scholes'!$B$11)="put",MAX('Black-Scholes'!$B$6-C3079,0),MAX(C3079-'Black-Scholes'!$B$6,0))</f>
        <v>0</v>
      </c>
      <c r="F3079" s="18" t="n">
        <f aca="false">(E3079+G3079)/2</f>
        <v>14.4891006689934</v>
      </c>
      <c r="G3079" s="18" t="n">
        <f aca="false">EXP(-'Black-Scholes'!$B$8*'Black-Scholes'!$B$7)*IF(LOWER('Black-Scholes'!$B$11)="put",MAX('Black-Scholes'!$B$6-D3079,0),MAX(D3079-'Black-Scholes'!$B$6,0))</f>
        <v>28.9782013379868</v>
      </c>
    </row>
    <row r="3080" customFormat="false" ht="15" hidden="false" customHeight="false" outlineLevel="0" collapsed="false">
      <c r="A3080" s="0" t="n">
        <v>3069</v>
      </c>
      <c r="B3080" s="15" t="n">
        <v>0.367202187603411</v>
      </c>
      <c r="C3080" s="18" t="n">
        <f aca="false">'Black-Scholes'!$B$5*EXP(('Black-Scholes'!$B$8-'Black-Scholes'!$B$10-'Black-Scholes'!$B$9^2/2)*'Black-Scholes'!$B$7+'Black-Scholes'!$B$9*SQRT('Black-Scholes'!$B$7)*B3080)</f>
        <v>110.897973781517</v>
      </c>
      <c r="D3080" s="18" t="n">
        <f aca="false">'Black-Scholes'!$B$5*EXP(('Black-Scholes'!$B$8-'Black-Scholes'!$B$10-'Black-Scholes'!$B$9^2/2)*'Black-Scholes'!$B$7-'Black-Scholes'!$B$9*SQRT('Black-Scholes'!$B$7)*B3080)</f>
        <v>95.7489582846038</v>
      </c>
      <c r="E3080" s="18" t="n">
        <f aca="false">EXP(-'Black-Scholes'!$B$8*'Black-Scholes'!$B$7)*IF(LOWER('Black-Scholes'!$B$11)="put",MAX('Black-Scholes'!$B$6-C3080,0),MAX(C3080-'Black-Scholes'!$B$6,0))</f>
        <v>10.3664733284166</v>
      </c>
      <c r="F3080" s="18" t="n">
        <f aca="false">(E3080+G3080)/2</f>
        <v>5.18323666420832</v>
      </c>
      <c r="G3080" s="18" t="n">
        <f aca="false">EXP(-'Black-Scholes'!$B$8*'Black-Scholes'!$B$7)*IF(LOWER('Black-Scholes'!$B$11)="put",MAX('Black-Scholes'!$B$6-D3080,0),MAX(D3080-'Black-Scholes'!$B$6,0))</f>
        <v>0</v>
      </c>
    </row>
    <row r="3081" customFormat="false" ht="15" hidden="false" customHeight="false" outlineLevel="0" collapsed="false">
      <c r="A3081" s="0" t="n">
        <v>3070</v>
      </c>
      <c r="B3081" s="15" t="n">
        <v>-0.899656023906584</v>
      </c>
      <c r="C3081" s="18" t="n">
        <f aca="false">'Black-Scholes'!$B$5*EXP(('Black-Scholes'!$B$8-'Black-Scholes'!$B$10-'Black-Scholes'!$B$9^2/2)*'Black-Scholes'!$B$7+'Black-Scholes'!$B$9*SQRT('Black-Scholes'!$B$7)*B3081)</f>
        <v>86.0767191055337</v>
      </c>
      <c r="D3081" s="18" t="n">
        <f aca="false">'Black-Scholes'!$B$5*EXP(('Black-Scholes'!$B$8-'Black-Scholes'!$B$10-'Black-Scholes'!$B$9^2/2)*'Black-Scholes'!$B$7-'Black-Scholes'!$B$9*SQRT('Black-Scholes'!$B$7)*B3081)</f>
        <v>123.359319172412</v>
      </c>
      <c r="E3081" s="18" t="n">
        <f aca="false">EXP(-'Black-Scholes'!$B$8*'Black-Scholes'!$B$7)*IF(LOWER('Black-Scholes'!$B$11)="put",MAX('Black-Scholes'!$B$6-C3081,0),MAX(C3081-'Black-Scholes'!$B$6,0))</f>
        <v>0</v>
      </c>
      <c r="F3081" s="18" t="n">
        <f aca="false">(E3081+G3081)/2</f>
        <v>11.1100358665511</v>
      </c>
      <c r="G3081" s="18" t="n">
        <f aca="false">EXP(-'Black-Scholes'!$B$8*'Black-Scholes'!$B$7)*IF(LOWER('Black-Scholes'!$B$11)="put",MAX('Black-Scholes'!$B$6-D3081,0),MAX(D3081-'Black-Scholes'!$B$6,0))</f>
        <v>22.2200717331021</v>
      </c>
    </row>
    <row r="3082" customFormat="false" ht="15" hidden="false" customHeight="false" outlineLevel="0" collapsed="false">
      <c r="A3082" s="0" t="n">
        <v>3071</v>
      </c>
      <c r="B3082" s="15" t="n">
        <v>-1.89224715879086</v>
      </c>
      <c r="C3082" s="18" t="n">
        <f aca="false">'Black-Scholes'!$B$5*EXP(('Black-Scholes'!$B$8-'Black-Scholes'!$B$10-'Black-Scholes'!$B$9^2/2)*'Black-Scholes'!$B$7+'Black-Scholes'!$B$9*SQRT('Black-Scholes'!$B$7)*B3082)</f>
        <v>70.5781604256392</v>
      </c>
      <c r="D3082" s="18" t="n">
        <f aca="false">'Black-Scholes'!$B$5*EXP(('Black-Scholes'!$B$8-'Black-Scholes'!$B$10-'Black-Scholes'!$B$9^2/2)*'Black-Scholes'!$B$7-'Black-Scholes'!$B$9*SQRT('Black-Scholes'!$B$7)*B3082)</f>
        <v>150.448317176544</v>
      </c>
      <c r="E3082" s="18" t="n">
        <f aca="false">EXP(-'Black-Scholes'!$B$8*'Black-Scholes'!$B$7)*IF(LOWER('Black-Scholes'!$B$11)="put",MAX('Black-Scholes'!$B$6-C3082,0),MAX(C3082-'Black-Scholes'!$B$6,0))</f>
        <v>0</v>
      </c>
      <c r="F3082" s="18" t="n">
        <f aca="false">(E3082+G3082)/2</f>
        <v>23.9939618574369</v>
      </c>
      <c r="G3082" s="18" t="n">
        <f aca="false">EXP(-'Black-Scholes'!$B$8*'Black-Scholes'!$B$7)*IF(LOWER('Black-Scholes'!$B$11)="put",MAX('Black-Scholes'!$B$6-D3082,0),MAX(D3082-'Black-Scholes'!$B$6,0))</f>
        <v>47.9879237148738</v>
      </c>
    </row>
    <row r="3083" customFormat="false" ht="15" hidden="false" customHeight="false" outlineLevel="0" collapsed="false">
      <c r="A3083" s="0" t="n">
        <v>3072</v>
      </c>
      <c r="B3083" s="15" t="n">
        <v>-0.330949725903121</v>
      </c>
      <c r="C3083" s="18" t="n">
        <f aca="false">'Black-Scholes'!$B$5*EXP(('Black-Scholes'!$B$8-'Black-Scholes'!$B$10-'Black-Scholes'!$B$9^2/2)*'Black-Scholes'!$B$7+'Black-Scholes'!$B$9*SQRT('Black-Scholes'!$B$7)*B3083)</f>
        <v>96.445708210895</v>
      </c>
      <c r="D3083" s="18" t="n">
        <f aca="false">'Black-Scholes'!$B$5*EXP(('Black-Scholes'!$B$8-'Black-Scholes'!$B$10-'Black-Scholes'!$B$9^2/2)*'Black-Scholes'!$B$7-'Black-Scholes'!$B$9*SQRT('Black-Scholes'!$B$7)*B3083)</f>
        <v>110.096816773171</v>
      </c>
      <c r="E3083" s="18" t="n">
        <f aca="false">EXP(-'Black-Scholes'!$B$8*'Black-Scholes'!$B$7)*IF(LOWER('Black-Scholes'!$B$11)="put",MAX('Black-Scholes'!$B$6-C3083,0),MAX(C3083-'Black-Scholes'!$B$6,0))</f>
        <v>0</v>
      </c>
      <c r="F3083" s="18" t="n">
        <f aca="false">(E3083+G3083)/2</f>
        <v>4.80219460421621</v>
      </c>
      <c r="G3083" s="18" t="n">
        <f aca="false">EXP(-'Black-Scholes'!$B$8*'Black-Scholes'!$B$7)*IF(LOWER('Black-Scholes'!$B$11)="put",MAX('Black-Scholes'!$B$6-D3083,0),MAX(D3083-'Black-Scholes'!$B$6,0))</f>
        <v>9.60438920843242</v>
      </c>
    </row>
    <row r="3084" customFormat="false" ht="15" hidden="false" customHeight="false" outlineLevel="0" collapsed="false">
      <c r="A3084" s="0" t="n">
        <v>3073</v>
      </c>
      <c r="B3084" s="15" t="n">
        <v>-0.86295336510709</v>
      </c>
      <c r="C3084" s="18" t="n">
        <f aca="false">'Black-Scholes'!$B$5*EXP(('Black-Scholes'!$B$8-'Black-Scholes'!$B$10-'Black-Scholes'!$B$9^2/2)*'Black-Scholes'!$B$7+'Black-Scholes'!$B$9*SQRT('Black-Scholes'!$B$7)*B3084)</f>
        <v>86.7108927341297</v>
      </c>
      <c r="D3084" s="18" t="n">
        <f aca="false">'Black-Scholes'!$B$5*EXP(('Black-Scholes'!$B$8-'Black-Scholes'!$B$10-'Black-Scholes'!$B$9^2/2)*'Black-Scholes'!$B$7-'Black-Scholes'!$B$9*SQRT('Black-Scholes'!$B$7)*B3084)</f>
        <v>122.45711156511</v>
      </c>
      <c r="E3084" s="18" t="n">
        <f aca="false">EXP(-'Black-Scholes'!$B$8*'Black-Scholes'!$B$7)*IF(LOWER('Black-Scholes'!$B$11)="put",MAX('Black-Scholes'!$B$6-C3084,0),MAX(C3084-'Black-Scholes'!$B$6,0))</f>
        <v>0</v>
      </c>
      <c r="F3084" s="18" t="n">
        <f aca="false">(E3084+G3084)/2</f>
        <v>10.6809326550139</v>
      </c>
      <c r="G3084" s="18" t="n">
        <f aca="false">EXP(-'Black-Scholes'!$B$8*'Black-Scholes'!$B$7)*IF(LOWER('Black-Scholes'!$B$11)="put",MAX('Black-Scholes'!$B$6-D3084,0),MAX(D3084-'Black-Scholes'!$B$6,0))</f>
        <v>21.3618653100278</v>
      </c>
    </row>
    <row r="3085" customFormat="false" ht="15" hidden="false" customHeight="false" outlineLevel="0" collapsed="false">
      <c r="A3085" s="0" t="n">
        <v>3074</v>
      </c>
      <c r="B3085" s="15" t="n">
        <v>0.905883053921141</v>
      </c>
      <c r="C3085" s="18" t="n">
        <f aca="false">'Black-Scholes'!$B$5*EXP(('Black-Scholes'!$B$8-'Black-Scholes'!$B$10-'Black-Scholes'!$B$9^2/2)*'Black-Scholes'!$B$7+'Black-Scholes'!$B$9*SQRT('Black-Scholes'!$B$7)*B3085)</f>
        <v>123.513047316131</v>
      </c>
      <c r="D3085" s="18" t="n">
        <f aca="false">'Black-Scholes'!$B$5*EXP(('Black-Scholes'!$B$8-'Black-Scholes'!$B$10-'Black-Scholes'!$B$9^2/2)*'Black-Scholes'!$B$7-'Black-Scholes'!$B$9*SQRT('Black-Scholes'!$B$7)*B3085)</f>
        <v>85.9695853691953</v>
      </c>
      <c r="E3085" s="18" t="n">
        <f aca="false">EXP(-'Black-Scholes'!$B$8*'Black-Scholes'!$B$7)*IF(LOWER('Black-Scholes'!$B$11)="put",MAX('Black-Scholes'!$B$6-C3085,0),MAX(C3085-'Black-Scholes'!$B$6,0))</f>
        <v>22.3663024667816</v>
      </c>
      <c r="F3085" s="18" t="n">
        <f aca="false">(E3085+G3085)/2</f>
        <v>11.1831512333908</v>
      </c>
      <c r="G3085" s="18" t="n">
        <f aca="false">EXP(-'Black-Scholes'!$B$8*'Black-Scholes'!$B$7)*IF(LOWER('Black-Scholes'!$B$11)="put",MAX('Black-Scholes'!$B$6-D3085,0),MAX(D3085-'Black-Scholes'!$B$6,0))</f>
        <v>0</v>
      </c>
    </row>
    <row r="3086" customFormat="false" ht="15" hidden="false" customHeight="false" outlineLevel="0" collapsed="false">
      <c r="A3086" s="0" t="n">
        <v>3075</v>
      </c>
      <c r="B3086" s="15" t="n">
        <v>1.03130297326506</v>
      </c>
      <c r="C3086" s="18" t="n">
        <f aca="false">'Black-Scholes'!$B$5*EXP(('Black-Scholes'!$B$8-'Black-Scholes'!$B$10-'Black-Scholes'!$B$9^2/2)*'Black-Scholes'!$B$7+'Black-Scholes'!$B$9*SQRT('Black-Scholes'!$B$7)*B3086)</f>
        <v>126.65043114183</v>
      </c>
      <c r="D3086" s="18" t="n">
        <f aca="false">'Black-Scholes'!$B$5*EXP(('Black-Scholes'!$B$8-'Black-Scholes'!$B$10-'Black-Scholes'!$B$9^2/2)*'Black-Scholes'!$B$7-'Black-Scholes'!$B$9*SQRT('Black-Scholes'!$B$7)*B3086)</f>
        <v>83.8399472447317</v>
      </c>
      <c r="E3086" s="18" t="n">
        <f aca="false">EXP(-'Black-Scholes'!$B$8*'Black-Scholes'!$B$7)*IF(LOWER('Black-Scholes'!$B$11)="put",MAX('Black-Scholes'!$B$6-C3086,0),MAX(C3086-'Black-Scholes'!$B$6,0))</f>
        <v>25.3506742777393</v>
      </c>
      <c r="F3086" s="18" t="n">
        <f aca="false">(E3086+G3086)/2</f>
        <v>12.6753371388697</v>
      </c>
      <c r="G3086" s="18" t="n">
        <f aca="false">EXP(-'Black-Scholes'!$B$8*'Black-Scholes'!$B$7)*IF(LOWER('Black-Scholes'!$B$11)="put",MAX('Black-Scholes'!$B$6-D3086,0),MAX(D3086-'Black-Scholes'!$B$6,0))</f>
        <v>0</v>
      </c>
    </row>
    <row r="3087" customFormat="false" ht="15" hidden="false" customHeight="false" outlineLevel="0" collapsed="false">
      <c r="A3087" s="0" t="n">
        <v>3076</v>
      </c>
      <c r="B3087" s="15" t="n">
        <v>1.53326533799191</v>
      </c>
      <c r="C3087" s="18" t="n">
        <f aca="false">'Black-Scholes'!$B$5*EXP(('Black-Scholes'!$B$8-'Black-Scholes'!$B$10-'Black-Scholes'!$B$9^2/2)*'Black-Scholes'!$B$7+'Black-Scholes'!$B$9*SQRT('Black-Scholes'!$B$7)*B3087)</f>
        <v>140.025318625931</v>
      </c>
      <c r="D3087" s="18" t="n">
        <f aca="false">'Black-Scholes'!$B$5*EXP(('Black-Scholes'!$B$8-'Black-Scholes'!$B$10-'Black-Scholes'!$B$9^2/2)*'Black-Scholes'!$B$7-'Black-Scholes'!$B$9*SQRT('Black-Scholes'!$B$7)*B3087)</f>
        <v>75.8317536403537</v>
      </c>
      <c r="E3087" s="18" t="n">
        <f aca="false">EXP(-'Black-Scholes'!$B$8*'Black-Scholes'!$B$7)*IF(LOWER('Black-Scholes'!$B$11)="put",MAX('Black-Scholes'!$B$6-C3087,0),MAX(C3087-'Black-Scholes'!$B$6,0))</f>
        <v>38.0732608020016</v>
      </c>
      <c r="F3087" s="18" t="n">
        <f aca="false">(E3087+G3087)/2</f>
        <v>19.0366304010008</v>
      </c>
      <c r="G3087" s="18" t="n">
        <f aca="false">EXP(-'Black-Scholes'!$B$8*'Black-Scholes'!$B$7)*IF(LOWER('Black-Scholes'!$B$11)="put",MAX('Black-Scholes'!$B$6-D3087,0),MAX(D3087-'Black-Scholes'!$B$6,0))</f>
        <v>0</v>
      </c>
    </row>
    <row r="3088" customFormat="false" ht="15" hidden="false" customHeight="false" outlineLevel="0" collapsed="false">
      <c r="A3088" s="0" t="n">
        <v>3077</v>
      </c>
      <c r="B3088" s="15" t="n">
        <v>-1.10714293394529</v>
      </c>
      <c r="C3088" s="18" t="n">
        <f aca="false">'Black-Scholes'!$B$5*EXP(('Black-Scholes'!$B$8-'Black-Scholes'!$B$10-'Black-Scholes'!$B$9^2/2)*'Black-Scholes'!$B$7+'Black-Scholes'!$B$9*SQRT('Black-Scholes'!$B$7)*B3088)</f>
        <v>82.5778594501822</v>
      </c>
      <c r="D3088" s="18" t="n">
        <f aca="false">'Black-Scholes'!$B$5*EXP(('Black-Scholes'!$B$8-'Black-Scholes'!$B$10-'Black-Scholes'!$B$9^2/2)*'Black-Scholes'!$B$7-'Black-Scholes'!$B$9*SQRT('Black-Scholes'!$B$7)*B3088)</f>
        <v>128.586106931719</v>
      </c>
      <c r="E3088" s="18" t="n">
        <f aca="false">EXP(-'Black-Scholes'!$B$8*'Black-Scholes'!$B$7)*IF(LOWER('Black-Scholes'!$B$11)="put",MAX('Black-Scholes'!$B$6-C3088,0),MAX(C3088-'Black-Scholes'!$B$6,0))</f>
        <v>0</v>
      </c>
      <c r="F3088" s="18" t="n">
        <f aca="false">(E3088+G3088)/2</f>
        <v>13.5959730226875</v>
      </c>
      <c r="G3088" s="18" t="n">
        <f aca="false">EXP(-'Black-Scholes'!$B$8*'Black-Scholes'!$B$7)*IF(LOWER('Black-Scholes'!$B$11)="put",MAX('Black-Scholes'!$B$6-D3088,0),MAX(D3088-'Black-Scholes'!$B$6,0))</f>
        <v>27.191946045375</v>
      </c>
    </row>
    <row r="3089" customFormat="false" ht="15" hidden="false" customHeight="false" outlineLevel="0" collapsed="false">
      <c r="A3089" s="0" t="n">
        <v>3078</v>
      </c>
      <c r="B3089" s="15" t="n">
        <v>-1.14517130853001</v>
      </c>
      <c r="C3089" s="18" t="n">
        <f aca="false">'Black-Scholes'!$B$5*EXP(('Black-Scholes'!$B$8-'Black-Scholes'!$B$10-'Black-Scholes'!$B$9^2/2)*'Black-Scholes'!$B$7+'Black-Scholes'!$B$9*SQRT('Black-Scholes'!$B$7)*B3089)</f>
        <v>81.9521814636441</v>
      </c>
      <c r="D3089" s="18" t="n">
        <f aca="false">'Black-Scholes'!$B$5*EXP(('Black-Scholes'!$B$8-'Black-Scholes'!$B$10-'Black-Scholes'!$B$9^2/2)*'Black-Scholes'!$B$7-'Black-Scholes'!$B$9*SQRT('Black-Scholes'!$B$7)*B3089)</f>
        <v>129.567819621301</v>
      </c>
      <c r="E3089" s="18" t="n">
        <f aca="false">EXP(-'Black-Scholes'!$B$8*'Black-Scholes'!$B$7)*IF(LOWER('Black-Scholes'!$B$11)="put",MAX('Black-Scholes'!$B$6-C3089,0),MAX(C3089-'Black-Scholes'!$B$6,0))</f>
        <v>0</v>
      </c>
      <c r="F3089" s="18" t="n">
        <f aca="false">(E3089+G3089)/2</f>
        <v>14.0628900210557</v>
      </c>
      <c r="G3089" s="18" t="n">
        <f aca="false">EXP(-'Black-Scholes'!$B$8*'Black-Scholes'!$B$7)*IF(LOWER('Black-Scholes'!$B$11)="put",MAX('Black-Scholes'!$B$6-D3089,0),MAX(D3089-'Black-Scholes'!$B$6,0))</f>
        <v>28.1257800421114</v>
      </c>
    </row>
    <row r="3090" customFormat="false" ht="15" hidden="false" customHeight="false" outlineLevel="0" collapsed="false">
      <c r="A3090" s="0" t="n">
        <v>3079</v>
      </c>
      <c r="B3090" s="15" t="n">
        <v>0.554955086532208</v>
      </c>
      <c r="C3090" s="18" t="n">
        <f aca="false">'Black-Scholes'!$B$5*EXP(('Black-Scholes'!$B$8-'Black-Scholes'!$B$10-'Black-Scholes'!$B$9^2/2)*'Black-Scholes'!$B$7+'Black-Scholes'!$B$9*SQRT('Black-Scholes'!$B$7)*B3090)</f>
        <v>115.141430513643</v>
      </c>
      <c r="D3090" s="18" t="n">
        <f aca="false">'Black-Scholes'!$B$5*EXP(('Black-Scholes'!$B$8-'Black-Scholes'!$B$10-'Black-Scholes'!$B$9^2/2)*'Black-Scholes'!$B$7-'Black-Scholes'!$B$9*SQRT('Black-Scholes'!$B$7)*B3090)</f>
        <v>92.2201975265145</v>
      </c>
      <c r="E3090" s="18" t="n">
        <f aca="false">EXP(-'Black-Scholes'!$B$8*'Black-Scholes'!$B$7)*IF(LOWER('Black-Scholes'!$B$11)="put",MAX('Black-Scholes'!$B$6-C3090,0),MAX(C3090-'Black-Scholes'!$B$6,0))</f>
        <v>14.4029742336101</v>
      </c>
      <c r="F3090" s="18" t="n">
        <f aca="false">(E3090+G3090)/2</f>
        <v>7.20148711680505</v>
      </c>
      <c r="G3090" s="18" t="n">
        <f aca="false">EXP(-'Black-Scholes'!$B$8*'Black-Scholes'!$B$7)*IF(LOWER('Black-Scholes'!$B$11)="put",MAX('Black-Scholes'!$B$6-D3090,0),MAX(D3090-'Black-Scholes'!$B$6,0))</f>
        <v>0</v>
      </c>
    </row>
    <row r="3091" customFormat="false" ht="15" hidden="false" customHeight="false" outlineLevel="0" collapsed="false">
      <c r="A3091" s="0" t="n">
        <v>3080</v>
      </c>
      <c r="B3091" s="15" t="n">
        <v>-0.680011827745071</v>
      </c>
      <c r="C3091" s="18" t="n">
        <f aca="false">'Black-Scholes'!$B$5*EXP(('Black-Scholes'!$B$8-'Black-Scholes'!$B$10-'Black-Scholes'!$B$9^2/2)*'Black-Scholes'!$B$7+'Black-Scholes'!$B$9*SQRT('Black-Scholes'!$B$7)*B3091)</f>
        <v>89.9422520445351</v>
      </c>
      <c r="D3091" s="18" t="n">
        <f aca="false">'Black-Scholes'!$B$5*EXP(('Black-Scholes'!$B$8-'Black-Scholes'!$B$10-'Black-Scholes'!$B$9^2/2)*'Black-Scholes'!$B$7-'Black-Scholes'!$B$9*SQRT('Black-Scholes'!$B$7)*B3091)</f>
        <v>118.057589443012</v>
      </c>
      <c r="E3091" s="18" t="n">
        <f aca="false">EXP(-'Black-Scholes'!$B$8*'Black-Scholes'!$B$7)*IF(LOWER('Black-Scholes'!$B$11)="put",MAX('Black-Scholes'!$B$6-C3091,0),MAX(C3091-'Black-Scholes'!$B$6,0))</f>
        <v>0</v>
      </c>
      <c r="F3091" s="18" t="n">
        <f aca="false">(E3091+G3091)/2</f>
        <v>8.58845520687305</v>
      </c>
      <c r="G3091" s="18" t="n">
        <f aca="false">EXP(-'Black-Scholes'!$B$8*'Black-Scholes'!$B$7)*IF(LOWER('Black-Scholes'!$B$11)="put",MAX('Black-Scholes'!$B$6-D3091,0),MAX(D3091-'Black-Scholes'!$B$6,0))</f>
        <v>17.1769104137461</v>
      </c>
    </row>
    <row r="3092" customFormat="false" ht="15" hidden="false" customHeight="false" outlineLevel="0" collapsed="false">
      <c r="A3092" s="0" t="n">
        <v>3081</v>
      </c>
      <c r="B3092" s="15" t="n">
        <v>0.668675165426986</v>
      </c>
      <c r="C3092" s="18" t="n">
        <f aca="false">'Black-Scholes'!$B$5*EXP(('Black-Scholes'!$B$8-'Black-Scholes'!$B$10-'Black-Scholes'!$B$9^2/2)*'Black-Scholes'!$B$7+'Black-Scholes'!$B$9*SQRT('Black-Scholes'!$B$7)*B3092)</f>
        <v>117.790216863698</v>
      </c>
      <c r="D3092" s="18" t="n">
        <f aca="false">'Black-Scholes'!$B$5*EXP(('Black-Scholes'!$B$8-'Black-Scholes'!$B$10-'Black-Scholes'!$B$9^2/2)*'Black-Scholes'!$B$7-'Black-Scholes'!$B$9*SQRT('Black-Scholes'!$B$7)*B3092)</f>
        <v>90.1464123946791</v>
      </c>
      <c r="E3092" s="18" t="n">
        <f aca="false">EXP(-'Black-Scholes'!$B$8*'Black-Scholes'!$B$7)*IF(LOWER('Black-Scholes'!$B$11)="put",MAX('Black-Scholes'!$B$6-C3092,0),MAX(C3092-'Black-Scholes'!$B$6,0))</f>
        <v>16.9225777489983</v>
      </c>
      <c r="F3092" s="18" t="n">
        <f aca="false">(E3092+G3092)/2</f>
        <v>8.46128887449913</v>
      </c>
      <c r="G3092" s="18" t="n">
        <f aca="false">EXP(-'Black-Scholes'!$B$8*'Black-Scholes'!$B$7)*IF(LOWER('Black-Scholes'!$B$11)="put",MAX('Black-Scholes'!$B$6-D3092,0),MAX(D3092-'Black-Scholes'!$B$6,0))</f>
        <v>0</v>
      </c>
    </row>
    <row r="3093" customFormat="false" ht="15" hidden="false" customHeight="false" outlineLevel="0" collapsed="false">
      <c r="A3093" s="0" t="n">
        <v>3082</v>
      </c>
      <c r="B3093" s="15" t="n">
        <v>1.75767856701757</v>
      </c>
      <c r="C3093" s="18" t="n">
        <f aca="false">'Black-Scholes'!$B$5*EXP(('Black-Scholes'!$B$8-'Black-Scholes'!$B$10-'Black-Scholes'!$B$9^2/2)*'Black-Scholes'!$B$7+'Black-Scholes'!$B$9*SQRT('Black-Scholes'!$B$7)*B3093)</f>
        <v>146.453196469844</v>
      </c>
      <c r="D3093" s="18" t="n">
        <f aca="false">'Black-Scholes'!$B$5*EXP(('Black-Scholes'!$B$8-'Black-Scholes'!$B$10-'Black-Scholes'!$B$9^2/2)*'Black-Scholes'!$B$7-'Black-Scholes'!$B$9*SQRT('Black-Scholes'!$B$7)*B3093)</f>
        <v>72.5034736106973</v>
      </c>
      <c r="E3093" s="18" t="n">
        <f aca="false">EXP(-'Black-Scholes'!$B$8*'Black-Scholes'!$B$7)*IF(LOWER('Black-Scholes'!$B$11)="put",MAX('Black-Scholes'!$B$6-C3093,0),MAX(C3093-'Black-Scholes'!$B$6,0))</f>
        <v>44.1876473442283</v>
      </c>
      <c r="F3093" s="18" t="n">
        <f aca="false">(E3093+G3093)/2</f>
        <v>22.0938236721142</v>
      </c>
      <c r="G3093" s="18" t="n">
        <f aca="false">EXP(-'Black-Scholes'!$B$8*'Black-Scholes'!$B$7)*IF(LOWER('Black-Scholes'!$B$11)="put",MAX('Black-Scholes'!$B$6-D3093,0),MAX(D3093-'Black-Scholes'!$B$6,0))</f>
        <v>0</v>
      </c>
    </row>
    <row r="3094" customFormat="false" ht="15" hidden="false" customHeight="false" outlineLevel="0" collapsed="false">
      <c r="A3094" s="0" t="n">
        <v>3083</v>
      </c>
      <c r="B3094" s="15" t="n">
        <v>0.0304303621877667</v>
      </c>
      <c r="C3094" s="18" t="n">
        <f aca="false">'Black-Scholes'!$B$5*EXP(('Black-Scholes'!$B$8-'Black-Scholes'!$B$10-'Black-Scholes'!$B$9^2/2)*'Black-Scholes'!$B$7+'Black-Scholes'!$B$9*SQRT('Black-Scholes'!$B$7)*B3094)</f>
        <v>103.674507782666</v>
      </c>
      <c r="D3094" s="18" t="n">
        <f aca="false">'Black-Scholes'!$B$5*EXP(('Black-Scholes'!$B$8-'Black-Scholes'!$B$10-'Black-Scholes'!$B$9^2/2)*'Black-Scholes'!$B$7-'Black-Scholes'!$B$9*SQRT('Black-Scholes'!$B$7)*B3094)</f>
        <v>102.42021585203</v>
      </c>
      <c r="E3094" s="18" t="n">
        <f aca="false">EXP(-'Black-Scholes'!$B$8*'Black-Scholes'!$B$7)*IF(LOWER('Black-Scholes'!$B$11)="put",MAX('Black-Scholes'!$B$6-C3094,0),MAX(C3094-'Black-Scholes'!$B$6,0))</f>
        <v>3.49529992342872</v>
      </c>
      <c r="F3094" s="18" t="n">
        <f aca="false">(E3094+G3094)/2</f>
        <v>2.8987402277613</v>
      </c>
      <c r="G3094" s="18" t="n">
        <f aca="false">EXP(-'Black-Scholes'!$B$8*'Black-Scholes'!$B$7)*IF(LOWER('Black-Scholes'!$B$11)="put",MAX('Black-Scholes'!$B$6-D3094,0),MAX(D3094-'Black-Scholes'!$B$6,0))</f>
        <v>2.30218053209388</v>
      </c>
    </row>
    <row r="3095" customFormat="false" ht="15" hidden="false" customHeight="false" outlineLevel="0" collapsed="false">
      <c r="A3095" s="0" t="n">
        <v>3084</v>
      </c>
      <c r="B3095" s="15" t="n">
        <v>-0.0653874039849241</v>
      </c>
      <c r="C3095" s="18" t="n">
        <f aca="false">'Black-Scholes'!$B$5*EXP(('Black-Scholes'!$B$8-'Black-Scholes'!$B$10-'Black-Scholes'!$B$9^2/2)*'Black-Scholes'!$B$7+'Black-Scholes'!$B$9*SQRT('Black-Scholes'!$B$7)*B3095)</f>
        <v>101.706651614804</v>
      </c>
      <c r="D3095" s="18" t="n">
        <f aca="false">'Black-Scholes'!$B$5*EXP(('Black-Scholes'!$B$8-'Black-Scholes'!$B$10-'Black-Scholes'!$B$9^2/2)*'Black-Scholes'!$B$7-'Black-Scholes'!$B$9*SQRT('Black-Scholes'!$B$7)*B3095)</f>
        <v>104.401878312431</v>
      </c>
      <c r="E3095" s="18" t="n">
        <f aca="false">EXP(-'Black-Scholes'!$B$8*'Black-Scholes'!$B$7)*IF(LOWER('Black-Scholes'!$B$11)="put",MAX('Black-Scholes'!$B$6-C3095,0),MAX(C3095-'Black-Scholes'!$B$6,0))</f>
        <v>1.6234172333732</v>
      </c>
      <c r="F3095" s="18" t="n">
        <f aca="false">(E3095+G3095)/2</f>
        <v>2.90530670361464</v>
      </c>
      <c r="G3095" s="18" t="n">
        <f aca="false">EXP(-'Black-Scholes'!$B$8*'Black-Scholes'!$B$7)*IF(LOWER('Black-Scholes'!$B$11)="put",MAX('Black-Scholes'!$B$6-D3095,0),MAX(D3095-'Black-Scholes'!$B$6,0))</f>
        <v>4.18719617385609</v>
      </c>
    </row>
    <row r="3096" customFormat="false" ht="15" hidden="false" customHeight="false" outlineLevel="0" collapsed="false">
      <c r="A3096" s="0" t="n">
        <v>3085</v>
      </c>
      <c r="B3096" s="15" t="n">
        <v>-1.00986905553837</v>
      </c>
      <c r="C3096" s="18" t="n">
        <f aca="false">'Black-Scholes'!$B$5*EXP(('Black-Scholes'!$B$8-'Black-Scholes'!$B$10-'Black-Scholes'!$B$9^2/2)*'Black-Scholes'!$B$7+'Black-Scholes'!$B$9*SQRT('Black-Scholes'!$B$7)*B3096)</f>
        <v>84.2001223959149</v>
      </c>
      <c r="D3096" s="18" t="n">
        <f aca="false">'Black-Scholes'!$B$5*EXP(('Black-Scholes'!$B$8-'Black-Scholes'!$B$10-'Black-Scholes'!$B$9^2/2)*'Black-Scholes'!$B$7-'Black-Scholes'!$B$9*SQRT('Black-Scholes'!$B$7)*B3096)</f>
        <v>126.108670193201</v>
      </c>
      <c r="E3096" s="18" t="n">
        <f aca="false">EXP(-'Black-Scholes'!$B$8*'Black-Scholes'!$B$7)*IF(LOWER('Black-Scholes'!$B$11)="put",MAX('Black-Scholes'!$B$6-C3096,0),MAX(C3096-'Black-Scholes'!$B$6,0))</f>
        <v>0</v>
      </c>
      <c r="F3096" s="18" t="n">
        <f aca="false">(E3096+G3096)/2</f>
        <v>12.4176676611788</v>
      </c>
      <c r="G3096" s="18" t="n">
        <f aca="false">EXP(-'Black-Scholes'!$B$8*'Black-Scholes'!$B$7)*IF(LOWER('Black-Scholes'!$B$11)="put",MAX('Black-Scholes'!$B$6-D3096,0),MAX(D3096-'Black-Scholes'!$B$6,0))</f>
        <v>24.8353353223577</v>
      </c>
    </row>
    <row r="3097" customFormat="false" ht="15" hidden="false" customHeight="false" outlineLevel="0" collapsed="false">
      <c r="A3097" s="0" t="n">
        <v>3086</v>
      </c>
      <c r="B3097" s="15" t="n">
        <v>0.365190255620288</v>
      </c>
      <c r="C3097" s="18" t="n">
        <f aca="false">'Black-Scholes'!$B$5*EXP(('Black-Scholes'!$B$8-'Black-Scholes'!$B$10-'Black-Scholes'!$B$9^2/2)*'Black-Scholes'!$B$7+'Black-Scholes'!$B$9*SQRT('Black-Scholes'!$B$7)*B3097)</f>
        <v>110.853358922263</v>
      </c>
      <c r="D3097" s="18" t="n">
        <f aca="false">'Black-Scholes'!$B$5*EXP(('Black-Scholes'!$B$8-'Black-Scholes'!$B$10-'Black-Scholes'!$B$9^2/2)*'Black-Scholes'!$B$7-'Black-Scholes'!$B$9*SQRT('Black-Scholes'!$B$7)*B3097)</f>
        <v>95.7874941155357</v>
      </c>
      <c r="E3097" s="18" t="n">
        <f aca="false">EXP(-'Black-Scholes'!$B$8*'Black-Scholes'!$B$7)*IF(LOWER('Black-Scholes'!$B$11)="put",MAX('Black-Scholes'!$B$6-C3097,0),MAX(C3097-'Black-Scholes'!$B$6,0))</f>
        <v>10.3240343615236</v>
      </c>
      <c r="F3097" s="18" t="n">
        <f aca="false">(E3097+G3097)/2</f>
        <v>5.16201718076181</v>
      </c>
      <c r="G3097" s="18" t="n">
        <f aca="false">EXP(-'Black-Scholes'!$B$8*'Black-Scholes'!$B$7)*IF(LOWER('Black-Scholes'!$B$11)="put",MAX('Black-Scholes'!$B$6-D3097,0),MAX(D3097-'Black-Scholes'!$B$6,0))</f>
        <v>0</v>
      </c>
    </row>
    <row r="3098" customFormat="false" ht="15" hidden="false" customHeight="false" outlineLevel="0" collapsed="false">
      <c r="A3098" s="0" t="n">
        <v>3087</v>
      </c>
      <c r="B3098" s="15" t="n">
        <v>-2.23342607788268</v>
      </c>
      <c r="C3098" s="18" t="n">
        <f aca="false">'Black-Scholes'!$B$5*EXP(('Black-Scholes'!$B$8-'Black-Scholes'!$B$10-'Black-Scholes'!$B$9^2/2)*'Black-Scholes'!$B$7+'Black-Scholes'!$B$9*SQRT('Black-Scholes'!$B$7)*B3098)</f>
        <v>65.9228402118821</v>
      </c>
      <c r="D3098" s="18" t="n">
        <f aca="false">'Black-Scholes'!$B$5*EXP(('Black-Scholes'!$B$8-'Black-Scholes'!$B$10-'Black-Scholes'!$B$9^2/2)*'Black-Scholes'!$B$7-'Black-Scholes'!$B$9*SQRT('Black-Scholes'!$B$7)*B3098)</f>
        <v>161.072633268306</v>
      </c>
      <c r="E3098" s="18" t="n">
        <f aca="false">EXP(-'Black-Scholes'!$B$8*'Black-Scholes'!$B$7)*IF(LOWER('Black-Scholes'!$B$11)="put",MAX('Black-Scholes'!$B$6-C3098,0),MAX(C3098-'Black-Scholes'!$B$6,0))</f>
        <v>0</v>
      </c>
      <c r="F3098" s="18" t="n">
        <f aca="false">(E3098+G3098)/2</f>
        <v>29.0470428982768</v>
      </c>
      <c r="G3098" s="18" t="n">
        <f aca="false">EXP(-'Black-Scholes'!$B$8*'Black-Scholes'!$B$7)*IF(LOWER('Black-Scholes'!$B$11)="put",MAX('Black-Scholes'!$B$6-D3098,0),MAX(D3098-'Black-Scholes'!$B$6,0))</f>
        <v>58.0940857965536</v>
      </c>
    </row>
    <row r="3099" customFormat="false" ht="15" hidden="false" customHeight="false" outlineLevel="0" collapsed="false">
      <c r="A3099" s="0" t="n">
        <v>3088</v>
      </c>
      <c r="B3099" s="15" t="n">
        <v>-1.00979651347554</v>
      </c>
      <c r="C3099" s="18" t="n">
        <f aca="false">'Black-Scholes'!$B$5*EXP(('Black-Scholes'!$B$8-'Black-Scholes'!$B$10-'Black-Scholes'!$B$9^2/2)*'Black-Scholes'!$B$7+'Black-Scholes'!$B$9*SQRT('Black-Scholes'!$B$7)*B3099)</f>
        <v>84.2013440148905</v>
      </c>
      <c r="D3099" s="18" t="n">
        <f aca="false">'Black-Scholes'!$B$5*EXP(('Black-Scholes'!$B$8-'Black-Scholes'!$B$10-'Black-Scholes'!$B$9^2/2)*'Black-Scholes'!$B$7-'Black-Scholes'!$B$9*SQRT('Black-Scholes'!$B$7)*B3099)</f>
        <v>126.106840569858</v>
      </c>
      <c r="E3099" s="18" t="n">
        <f aca="false">EXP(-'Black-Scholes'!$B$8*'Black-Scholes'!$B$7)*IF(LOWER('Black-Scholes'!$B$11)="put",MAX('Black-Scholes'!$B$6-C3099,0),MAX(C3099-'Black-Scholes'!$B$6,0))</f>
        <v>0</v>
      </c>
      <c r="F3099" s="18" t="n">
        <f aca="false">(E3099+G3099)/2</f>
        <v>12.4167974653991</v>
      </c>
      <c r="G3099" s="18" t="n">
        <f aca="false">EXP(-'Black-Scholes'!$B$8*'Black-Scholes'!$B$7)*IF(LOWER('Black-Scholes'!$B$11)="put",MAX('Black-Scholes'!$B$6-D3099,0),MAX(D3099-'Black-Scholes'!$B$6,0))</f>
        <v>24.8335949307983</v>
      </c>
    </row>
    <row r="3100" customFormat="false" ht="15" hidden="false" customHeight="false" outlineLevel="0" collapsed="false">
      <c r="A3100" s="0" t="n">
        <v>3089</v>
      </c>
      <c r="B3100" s="15" t="n">
        <v>-0.63769752752556</v>
      </c>
      <c r="C3100" s="18" t="n">
        <f aca="false">'Black-Scholes'!$B$5*EXP(('Black-Scholes'!$B$8-'Black-Scholes'!$B$10-'Black-Scholes'!$B$9^2/2)*'Black-Scholes'!$B$7+'Black-Scholes'!$B$9*SQRT('Black-Scholes'!$B$7)*B3100)</f>
        <v>90.7066506727451</v>
      </c>
      <c r="D3100" s="18" t="n">
        <f aca="false">'Black-Scholes'!$B$5*EXP(('Black-Scholes'!$B$8-'Black-Scholes'!$B$10-'Black-Scholes'!$B$9^2/2)*'Black-Scholes'!$B$7-'Black-Scholes'!$B$9*SQRT('Black-Scholes'!$B$7)*B3100)</f>
        <v>117.062700327928</v>
      </c>
      <c r="E3100" s="18" t="n">
        <f aca="false">EXP(-'Black-Scholes'!$B$8*'Black-Scholes'!$B$7)*IF(LOWER('Black-Scholes'!$B$11)="put",MAX('Black-Scholes'!$B$6-C3100,0),MAX(C3100-'Black-Scholes'!$B$6,0))</f>
        <v>0</v>
      </c>
      <c r="F3100" s="18" t="n">
        <f aca="false">(E3100+G3100)/2</f>
        <v>8.11527130668145</v>
      </c>
      <c r="G3100" s="18" t="n">
        <f aca="false">EXP(-'Black-Scholes'!$B$8*'Black-Scholes'!$B$7)*IF(LOWER('Black-Scholes'!$B$11)="put",MAX('Black-Scholes'!$B$6-D3100,0),MAX(D3100-'Black-Scholes'!$B$6,0))</f>
        <v>16.2305426133629</v>
      </c>
    </row>
    <row r="3101" customFormat="false" ht="15" hidden="false" customHeight="false" outlineLevel="0" collapsed="false">
      <c r="A3101" s="0" t="n">
        <v>3090</v>
      </c>
      <c r="B3101" s="15" t="n">
        <v>0.417150625751704</v>
      </c>
      <c r="C3101" s="18" t="n">
        <f aca="false">'Black-Scholes'!$B$5*EXP(('Black-Scholes'!$B$8-'Black-Scholes'!$B$10-'Black-Scholes'!$B$9^2/2)*'Black-Scholes'!$B$7+'Black-Scholes'!$B$9*SQRT('Black-Scholes'!$B$7)*B3101)</f>
        <v>112.011361838716</v>
      </c>
      <c r="D3101" s="18" t="n">
        <f aca="false">'Black-Scholes'!$B$5*EXP(('Black-Scholes'!$B$8-'Black-Scholes'!$B$10-'Black-Scholes'!$B$9^2/2)*'Black-Scholes'!$B$7-'Black-Scholes'!$B$9*SQRT('Black-Scholes'!$B$7)*B3101)</f>
        <v>94.7972178103049</v>
      </c>
      <c r="E3101" s="18" t="n">
        <f aca="false">EXP(-'Black-Scholes'!$B$8*'Black-Scholes'!$B$7)*IF(LOWER('Black-Scholes'!$B$11)="put",MAX('Black-Scholes'!$B$6-C3101,0),MAX(C3101-'Black-Scholes'!$B$6,0))</f>
        <v>11.4255608093113</v>
      </c>
      <c r="F3101" s="18" t="n">
        <f aca="false">(E3101+G3101)/2</f>
        <v>5.71278040465567</v>
      </c>
      <c r="G3101" s="18" t="n">
        <f aca="false">EXP(-'Black-Scholes'!$B$8*'Black-Scholes'!$B$7)*IF(LOWER('Black-Scholes'!$B$11)="put",MAX('Black-Scholes'!$B$6-D3101,0),MAX(D3101-'Black-Scholes'!$B$6,0))</f>
        <v>0</v>
      </c>
    </row>
    <row r="3102" customFormat="false" ht="15" hidden="false" customHeight="false" outlineLevel="0" collapsed="false">
      <c r="A3102" s="0" t="n">
        <v>3091</v>
      </c>
      <c r="B3102" s="15" t="n">
        <v>1.28075519357166</v>
      </c>
      <c r="C3102" s="18" t="n">
        <f aca="false">'Black-Scholes'!$B$5*EXP(('Black-Scholes'!$B$8-'Black-Scholes'!$B$10-'Black-Scholes'!$B$9^2/2)*'Black-Scholes'!$B$7+'Black-Scholes'!$B$9*SQRT('Black-Scholes'!$B$7)*B3102)</f>
        <v>133.129351692906</v>
      </c>
      <c r="D3102" s="18" t="n">
        <f aca="false">'Black-Scholes'!$B$5*EXP(('Black-Scholes'!$B$8-'Black-Scholes'!$B$10-'Black-Scholes'!$B$9^2/2)*'Black-Scholes'!$B$7-'Black-Scholes'!$B$9*SQRT('Black-Scholes'!$B$7)*B3102)</f>
        <v>79.759762444779</v>
      </c>
      <c r="E3102" s="18" t="n">
        <f aca="false">EXP(-'Black-Scholes'!$B$8*'Black-Scholes'!$B$7)*IF(LOWER('Black-Scholes'!$B$11)="put",MAX('Black-Scholes'!$B$6-C3102,0),MAX(C3102-'Black-Scholes'!$B$6,0))</f>
        <v>31.5136141449244</v>
      </c>
      <c r="F3102" s="18" t="n">
        <f aca="false">(E3102+G3102)/2</f>
        <v>15.7568070724622</v>
      </c>
      <c r="G3102" s="18" t="n">
        <f aca="false">EXP(-'Black-Scholes'!$B$8*'Black-Scholes'!$B$7)*IF(LOWER('Black-Scholes'!$B$11)="put",MAX('Black-Scholes'!$B$6-D3102,0),MAX(D3102-'Black-Scholes'!$B$6,0))</f>
        <v>0</v>
      </c>
    </row>
    <row r="3103" customFormat="false" ht="15" hidden="false" customHeight="false" outlineLevel="0" collapsed="false">
      <c r="A3103" s="0" t="n">
        <v>3092</v>
      </c>
      <c r="B3103" s="15" t="n">
        <v>-0.582279424254689</v>
      </c>
      <c r="C3103" s="18" t="n">
        <f aca="false">'Black-Scholes'!$B$5*EXP(('Black-Scholes'!$B$8-'Black-Scholes'!$B$10-'Black-Scholes'!$B$9^2/2)*'Black-Scholes'!$B$7+'Black-Scholes'!$B$9*SQRT('Black-Scholes'!$B$7)*B3103)</f>
        <v>91.7176009248604</v>
      </c>
      <c r="D3103" s="18" t="n">
        <f aca="false">'Black-Scholes'!$B$5*EXP(('Black-Scholes'!$B$8-'Black-Scholes'!$B$10-'Black-Scholes'!$B$9^2/2)*'Black-Scholes'!$B$7-'Black-Scholes'!$B$9*SQRT('Black-Scholes'!$B$7)*B3103)</f>
        <v>115.772385653139</v>
      </c>
      <c r="E3103" s="18" t="n">
        <f aca="false">EXP(-'Black-Scholes'!$B$8*'Black-Scholes'!$B$7)*IF(LOWER('Black-Scholes'!$B$11)="put",MAX('Black-Scholes'!$B$6-C3103,0),MAX(C3103-'Black-Scholes'!$B$6,0))</f>
        <v>0</v>
      </c>
      <c r="F3103" s="18" t="n">
        <f aca="false">(E3103+G3103)/2</f>
        <v>7.50157866391918</v>
      </c>
      <c r="G3103" s="18" t="n">
        <f aca="false">EXP(-'Black-Scholes'!$B$8*'Black-Scholes'!$B$7)*IF(LOWER('Black-Scholes'!$B$11)="put",MAX('Black-Scholes'!$B$6-D3103,0),MAX(D3103-'Black-Scholes'!$B$6,0))</f>
        <v>15.0031573278384</v>
      </c>
    </row>
    <row r="3104" customFormat="false" ht="15" hidden="false" customHeight="false" outlineLevel="0" collapsed="false">
      <c r="A3104" s="0" t="n">
        <v>3093</v>
      </c>
      <c r="B3104" s="15" t="n">
        <v>-0.277340541489912</v>
      </c>
      <c r="C3104" s="18" t="n">
        <f aca="false">'Black-Scholes'!$B$5*EXP(('Black-Scholes'!$B$8-'Black-Scholes'!$B$10-'Black-Scholes'!$B$9^2/2)*'Black-Scholes'!$B$7+'Black-Scholes'!$B$9*SQRT('Black-Scholes'!$B$7)*B3104)</f>
        <v>97.4853468206313</v>
      </c>
      <c r="D3104" s="18" t="n">
        <f aca="false">'Black-Scholes'!$B$5*EXP(('Black-Scholes'!$B$8-'Black-Scholes'!$B$10-'Black-Scholes'!$B$9^2/2)*'Black-Scholes'!$B$7-'Black-Scholes'!$B$9*SQRT('Black-Scholes'!$B$7)*B3104)</f>
        <v>108.922682349286</v>
      </c>
      <c r="E3104" s="18" t="n">
        <f aca="false">EXP(-'Black-Scholes'!$B$8*'Black-Scholes'!$B$7)*IF(LOWER('Black-Scholes'!$B$11)="put",MAX('Black-Scholes'!$B$6-C3104,0),MAX(C3104-'Black-Scholes'!$B$6,0))</f>
        <v>0</v>
      </c>
      <c r="F3104" s="18" t="n">
        <f aca="false">(E3104+G3104)/2</f>
        <v>4.24375899805698</v>
      </c>
      <c r="G3104" s="18" t="n">
        <f aca="false">EXP(-'Black-Scholes'!$B$8*'Black-Scholes'!$B$7)*IF(LOWER('Black-Scholes'!$B$11)="put",MAX('Black-Scholes'!$B$6-D3104,0),MAX(D3104-'Black-Scholes'!$B$6,0))</f>
        <v>8.48751799611395</v>
      </c>
    </row>
    <row r="3105" customFormat="false" ht="15" hidden="false" customHeight="false" outlineLevel="0" collapsed="false">
      <c r="A3105" s="0" t="n">
        <v>3094</v>
      </c>
      <c r="B3105" s="15" t="n">
        <v>-0.183828256675158</v>
      </c>
      <c r="C3105" s="18" t="n">
        <f aca="false">'Black-Scholes'!$B$5*EXP(('Black-Scholes'!$B$8-'Black-Scholes'!$B$10-'Black-Scholes'!$B$9^2/2)*'Black-Scholes'!$B$7+'Black-Scholes'!$B$9*SQRT('Black-Scholes'!$B$7)*B3105)</f>
        <v>99.325718415595</v>
      </c>
      <c r="D3105" s="18" t="n">
        <f aca="false">'Black-Scholes'!$B$5*EXP(('Black-Scholes'!$B$8-'Black-Scholes'!$B$10-'Black-Scholes'!$B$9^2/2)*'Black-Scholes'!$B$7-'Black-Scholes'!$B$9*SQRT('Black-Scholes'!$B$7)*B3105)</f>
        <v>106.904491956702</v>
      </c>
      <c r="E3105" s="18" t="n">
        <f aca="false">EXP(-'Black-Scholes'!$B$8*'Black-Scholes'!$B$7)*IF(LOWER('Black-Scholes'!$B$11)="put",MAX('Black-Scholes'!$B$6-C3105,0),MAX(C3105-'Black-Scholes'!$B$6,0))</f>
        <v>0</v>
      </c>
      <c r="F3105" s="18" t="n">
        <f aca="false">(E3105+G3105)/2</f>
        <v>3.28387795522161</v>
      </c>
      <c r="G3105" s="18" t="n">
        <f aca="false">EXP(-'Black-Scholes'!$B$8*'Black-Scholes'!$B$7)*IF(LOWER('Black-Scholes'!$B$11)="put",MAX('Black-Scholes'!$B$6-D3105,0),MAX(D3105-'Black-Scholes'!$B$6,0))</f>
        <v>6.56775591044321</v>
      </c>
    </row>
    <row r="3106" customFormat="false" ht="15" hidden="false" customHeight="false" outlineLevel="0" collapsed="false">
      <c r="A3106" s="0" t="n">
        <v>3095</v>
      </c>
      <c r="B3106" s="15" t="n">
        <v>0.281740129059439</v>
      </c>
      <c r="C3106" s="18" t="n">
        <f aca="false">'Black-Scholes'!$B$5*EXP(('Black-Scholes'!$B$8-'Black-Scholes'!$B$10-'Black-Scholes'!$B$9^2/2)*'Black-Scholes'!$B$7+'Black-Scholes'!$B$9*SQRT('Black-Scholes'!$B$7)*B3106)</f>
        <v>109.018567504474</v>
      </c>
      <c r="D3106" s="18" t="n">
        <f aca="false">'Black-Scholes'!$B$5*EXP(('Black-Scholes'!$B$8-'Black-Scholes'!$B$10-'Black-Scholes'!$B$9^2/2)*'Black-Scholes'!$B$7-'Black-Scholes'!$B$9*SQRT('Black-Scholes'!$B$7)*B3106)</f>
        <v>97.3996054847983</v>
      </c>
      <c r="E3106" s="18" t="n">
        <f aca="false">EXP(-'Black-Scholes'!$B$8*'Black-Scholes'!$B$7)*IF(LOWER('Black-Scholes'!$B$11)="put",MAX('Black-Scholes'!$B$6-C3106,0),MAX(C3106-'Black-Scholes'!$B$6,0))</f>
        <v>8.57872677710138</v>
      </c>
      <c r="F3106" s="18" t="n">
        <f aca="false">(E3106+G3106)/2</f>
        <v>4.28936338855069</v>
      </c>
      <c r="G3106" s="18" t="n">
        <f aca="false">EXP(-'Black-Scholes'!$B$8*'Black-Scholes'!$B$7)*IF(LOWER('Black-Scholes'!$B$11)="put",MAX('Black-Scholes'!$B$6-D3106,0),MAX(D3106-'Black-Scholes'!$B$6,0))</f>
        <v>0</v>
      </c>
    </row>
    <row r="3107" customFormat="false" ht="15" hidden="false" customHeight="false" outlineLevel="0" collapsed="false">
      <c r="A3107" s="0" t="n">
        <v>3096</v>
      </c>
      <c r="B3107" s="15" t="n">
        <v>-0.295643245342224</v>
      </c>
      <c r="C3107" s="18" t="n">
        <f aca="false">'Black-Scholes'!$B$5*EXP(('Black-Scholes'!$B$8-'Black-Scholes'!$B$10-'Black-Scholes'!$B$9^2/2)*'Black-Scholes'!$B$7+'Black-Scholes'!$B$9*SQRT('Black-Scholes'!$B$7)*B3107)</f>
        <v>97.1291500681789</v>
      </c>
      <c r="D3107" s="18" t="n">
        <f aca="false">'Black-Scholes'!$B$5*EXP(('Black-Scholes'!$B$8-'Black-Scholes'!$B$10-'Black-Scholes'!$B$9^2/2)*'Black-Scholes'!$B$7-'Black-Scholes'!$B$9*SQRT('Black-Scholes'!$B$7)*B3107)</f>
        <v>109.322128918045</v>
      </c>
      <c r="E3107" s="18" t="n">
        <f aca="false">EXP(-'Black-Scholes'!$B$8*'Black-Scholes'!$B$7)*IF(LOWER('Black-Scholes'!$B$11)="put",MAX('Black-Scholes'!$B$6-C3107,0),MAX(C3107-'Black-Scholes'!$B$6,0))</f>
        <v>0</v>
      </c>
      <c r="F3107" s="18" t="n">
        <f aca="false">(E3107+G3107)/2</f>
        <v>4.43374166291674</v>
      </c>
      <c r="G3107" s="18" t="n">
        <f aca="false">EXP(-'Black-Scholes'!$B$8*'Black-Scholes'!$B$7)*IF(LOWER('Black-Scholes'!$B$11)="put",MAX('Black-Scholes'!$B$6-D3107,0),MAX(D3107-'Black-Scholes'!$B$6,0))</f>
        <v>8.86748332583347</v>
      </c>
    </row>
    <row r="3108" customFormat="false" ht="15" hidden="false" customHeight="false" outlineLevel="0" collapsed="false">
      <c r="A3108" s="0" t="n">
        <v>3097</v>
      </c>
      <c r="B3108" s="15" t="n">
        <v>-0.64778971865463</v>
      </c>
      <c r="C3108" s="18" t="n">
        <f aca="false">'Black-Scholes'!$B$5*EXP(('Black-Scholes'!$B$8-'Black-Scholes'!$B$10-'Black-Scholes'!$B$9^2/2)*'Black-Scholes'!$B$7+'Black-Scholes'!$B$9*SQRT('Black-Scholes'!$B$7)*B3108)</f>
        <v>90.5237495510958</v>
      </c>
      <c r="D3108" s="18" t="n">
        <f aca="false">'Black-Scholes'!$B$5*EXP(('Black-Scholes'!$B$8-'Black-Scholes'!$B$10-'Black-Scholes'!$B$9^2/2)*'Black-Scholes'!$B$7-'Black-Scholes'!$B$9*SQRT('Black-Scholes'!$B$7)*B3108)</f>
        <v>117.299222779765</v>
      </c>
      <c r="E3108" s="18" t="n">
        <f aca="false">EXP(-'Black-Scholes'!$B$8*'Black-Scholes'!$B$7)*IF(LOWER('Black-Scholes'!$B$11)="put",MAX('Black-Scholes'!$B$6-C3108,0),MAX(C3108-'Black-Scholes'!$B$6,0))</f>
        <v>0</v>
      </c>
      <c r="F3108" s="18" t="n">
        <f aca="false">(E3108+G3108)/2</f>
        <v>8.22776486455254</v>
      </c>
      <c r="G3108" s="18" t="n">
        <f aca="false">EXP(-'Black-Scholes'!$B$8*'Black-Scholes'!$B$7)*IF(LOWER('Black-Scholes'!$B$11)="put",MAX('Black-Scholes'!$B$6-D3108,0),MAX(D3108-'Black-Scholes'!$B$6,0))</f>
        <v>16.4555297291051</v>
      </c>
    </row>
    <row r="3109" customFormat="false" ht="15" hidden="false" customHeight="false" outlineLevel="0" collapsed="false">
      <c r="A3109" s="0" t="n">
        <v>3098</v>
      </c>
      <c r="B3109" s="15" t="n">
        <v>1.57130744787448</v>
      </c>
      <c r="C3109" s="18" t="n">
        <f aca="false">'Black-Scholes'!$B$5*EXP(('Black-Scholes'!$B$8-'Black-Scholes'!$B$10-'Black-Scholes'!$B$9^2/2)*'Black-Scholes'!$B$7+'Black-Scholes'!$B$9*SQRT('Black-Scholes'!$B$7)*B3109)</f>
        <v>141.094753534506</v>
      </c>
      <c r="D3109" s="18" t="n">
        <f aca="false">'Black-Scholes'!$B$5*EXP(('Black-Scholes'!$B$8-'Black-Scholes'!$B$10-'Black-Scholes'!$B$9^2/2)*'Black-Scholes'!$B$7-'Black-Scholes'!$B$9*SQRT('Black-Scholes'!$B$7)*B3109)</f>
        <v>75.2569829809919</v>
      </c>
      <c r="E3109" s="18" t="n">
        <f aca="false">EXP(-'Black-Scholes'!$B$8*'Black-Scholes'!$B$7)*IF(LOWER('Black-Scholes'!$B$11)="put",MAX('Black-Scholes'!$B$6-C3109,0),MAX(C3109-'Black-Scholes'!$B$6,0))</f>
        <v>39.0905387546272</v>
      </c>
      <c r="F3109" s="18" t="n">
        <f aca="false">(E3109+G3109)/2</f>
        <v>19.5452693773136</v>
      </c>
      <c r="G3109" s="18" t="n">
        <f aca="false">EXP(-'Black-Scholes'!$B$8*'Black-Scholes'!$B$7)*IF(LOWER('Black-Scholes'!$B$11)="put",MAX('Black-Scholes'!$B$6-D3109,0),MAX(D3109-'Black-Scholes'!$B$6,0))</f>
        <v>0</v>
      </c>
    </row>
    <row r="3110" customFormat="false" ht="15" hidden="false" customHeight="false" outlineLevel="0" collapsed="false">
      <c r="A3110" s="0" t="n">
        <v>3099</v>
      </c>
      <c r="B3110" s="15" t="n">
        <v>-1.071801729046</v>
      </c>
      <c r="C3110" s="18" t="n">
        <f aca="false">'Black-Scholes'!$B$5*EXP(('Black-Scholes'!$B$8-'Black-Scholes'!$B$10-'Black-Scholes'!$B$9^2/2)*'Black-Scholes'!$B$7+'Black-Scholes'!$B$9*SQRT('Black-Scholes'!$B$7)*B3110)</f>
        <v>83.1636073252811</v>
      </c>
      <c r="D3110" s="18" t="n">
        <f aca="false">'Black-Scholes'!$B$5*EXP(('Black-Scholes'!$B$8-'Black-Scholes'!$B$10-'Black-Scholes'!$B$9^2/2)*'Black-Scholes'!$B$7-'Black-Scholes'!$B$9*SQRT('Black-Scholes'!$B$7)*B3110)</f>
        <v>127.680433869608</v>
      </c>
      <c r="E3110" s="18" t="n">
        <f aca="false">EXP(-'Black-Scholes'!$B$8*'Black-Scholes'!$B$7)*IF(LOWER('Black-Scholes'!$B$11)="put",MAX('Black-Scholes'!$B$6-C3110,0),MAX(C3110-'Black-Scholes'!$B$6,0))</f>
        <v>0</v>
      </c>
      <c r="F3110" s="18" t="n">
        <f aca="false">(E3110+G3110)/2</f>
        <v>13.1652215898586</v>
      </c>
      <c r="G3110" s="18" t="n">
        <f aca="false">EXP(-'Black-Scholes'!$B$8*'Black-Scholes'!$B$7)*IF(LOWER('Black-Scholes'!$B$11)="put",MAX('Black-Scholes'!$B$6-D3110,0),MAX(D3110-'Black-Scholes'!$B$6,0))</f>
        <v>26.3304431797172</v>
      </c>
    </row>
    <row r="3111" customFormat="false" ht="15" hidden="false" customHeight="false" outlineLevel="0" collapsed="false">
      <c r="A3111" s="0" t="n">
        <v>3100</v>
      </c>
      <c r="B3111" s="15" t="n">
        <v>-0.249320752463703</v>
      </c>
      <c r="C3111" s="18" t="n">
        <f aca="false">'Black-Scholes'!$B$5*EXP(('Black-Scholes'!$B$8-'Black-Scholes'!$B$10-'Black-Scholes'!$B$9^2/2)*'Black-Scholes'!$B$7+'Black-Scholes'!$B$9*SQRT('Black-Scholes'!$B$7)*B3111)</f>
        <v>98.0331841858777</v>
      </c>
      <c r="D3111" s="18" t="n">
        <f aca="false">'Black-Scholes'!$B$5*EXP(('Black-Scholes'!$B$8-'Black-Scholes'!$B$10-'Black-Scholes'!$B$9^2/2)*'Black-Scholes'!$B$7-'Black-Scholes'!$B$9*SQRT('Black-Scholes'!$B$7)*B3111)</f>
        <v>108.313991365622</v>
      </c>
      <c r="E3111" s="18" t="n">
        <f aca="false">EXP(-'Black-Scholes'!$B$8*'Black-Scholes'!$B$7)*IF(LOWER('Black-Scholes'!$B$11)="put",MAX('Black-Scholes'!$B$6-C3111,0),MAX(C3111-'Black-Scholes'!$B$6,0))</f>
        <v>0</v>
      </c>
      <c r="F3111" s="18" t="n">
        <f aca="false">(E3111+G3111)/2</f>
        <v>3.95425661101232</v>
      </c>
      <c r="G3111" s="18" t="n">
        <f aca="false">EXP(-'Black-Scholes'!$B$8*'Black-Scholes'!$B$7)*IF(LOWER('Black-Scholes'!$B$11)="put",MAX('Black-Scholes'!$B$6-D3111,0),MAX(D3111-'Black-Scholes'!$B$6,0))</f>
        <v>7.90851322202463</v>
      </c>
    </row>
    <row r="3112" customFormat="false" ht="15" hidden="false" customHeight="false" outlineLevel="0" collapsed="false">
      <c r="A3112" s="0" t="n">
        <v>3101</v>
      </c>
      <c r="B3112" s="15" t="n">
        <v>1.18690981494118</v>
      </c>
      <c r="C3112" s="18" t="n">
        <f aca="false">'Black-Scholes'!$B$5*EXP(('Black-Scholes'!$B$8-'Black-Scholes'!$B$10-'Black-Scholes'!$B$9^2/2)*'Black-Scholes'!$B$7+'Black-Scholes'!$B$9*SQRT('Black-Scholes'!$B$7)*B3112)</f>
        <v>130.653940072728</v>
      </c>
      <c r="D3112" s="18" t="n">
        <f aca="false">'Black-Scholes'!$B$5*EXP(('Black-Scholes'!$B$8-'Black-Scholes'!$B$10-'Black-Scholes'!$B$9^2/2)*'Black-Scholes'!$B$7-'Black-Scholes'!$B$9*SQRT('Black-Scholes'!$B$7)*B3112)</f>
        <v>81.2709165873063</v>
      </c>
      <c r="E3112" s="18" t="n">
        <f aca="false">EXP(-'Black-Scholes'!$B$8*'Black-Scholes'!$B$7)*IF(LOWER('Black-Scholes'!$B$11)="put",MAX('Black-Scholes'!$B$6-C3112,0),MAX(C3112-'Black-Scholes'!$B$6,0))</f>
        <v>29.1589297740605</v>
      </c>
      <c r="F3112" s="18" t="n">
        <f aca="false">(E3112+G3112)/2</f>
        <v>14.5794648870303</v>
      </c>
      <c r="G3112" s="18" t="n">
        <f aca="false">EXP(-'Black-Scholes'!$B$8*'Black-Scholes'!$B$7)*IF(LOWER('Black-Scholes'!$B$11)="put",MAX('Black-Scholes'!$B$6-D3112,0),MAX(D3112-'Black-Scholes'!$B$6,0))</f>
        <v>0</v>
      </c>
    </row>
    <row r="3113" customFormat="false" ht="15" hidden="false" customHeight="false" outlineLevel="0" collapsed="false">
      <c r="A3113" s="0" t="n">
        <v>3102</v>
      </c>
      <c r="B3113" s="15" t="n">
        <v>0.399877664659333</v>
      </c>
      <c r="C3113" s="18" t="n">
        <f aca="false">'Black-Scholes'!$B$5*EXP(('Black-Scholes'!$B$8-'Black-Scholes'!$B$10-'Black-Scholes'!$B$9^2/2)*'Black-Scholes'!$B$7+'Black-Scholes'!$B$9*SQRT('Black-Scholes'!$B$7)*B3113)</f>
        <v>111.625075874139</v>
      </c>
      <c r="D3113" s="18" t="n">
        <f aca="false">'Black-Scholes'!$B$5*EXP(('Black-Scholes'!$B$8-'Black-Scholes'!$B$10-'Black-Scholes'!$B$9^2/2)*'Black-Scholes'!$B$7-'Black-Scholes'!$B$9*SQRT('Black-Scholes'!$B$7)*B3113)</f>
        <v>95.1252698580577</v>
      </c>
      <c r="E3113" s="18" t="n">
        <f aca="false">EXP(-'Black-Scholes'!$B$8*'Black-Scholes'!$B$7)*IF(LOWER('Black-Scholes'!$B$11)="put",MAX('Black-Scholes'!$B$6-C3113,0),MAX(C3113-'Black-Scholes'!$B$6,0))</f>
        <v>11.058114233534</v>
      </c>
      <c r="F3113" s="18" t="n">
        <f aca="false">(E3113+G3113)/2</f>
        <v>5.52905711676699</v>
      </c>
      <c r="G3113" s="18" t="n">
        <f aca="false">EXP(-'Black-Scholes'!$B$8*'Black-Scholes'!$B$7)*IF(LOWER('Black-Scholes'!$B$11)="put",MAX('Black-Scholes'!$B$6-D3113,0),MAX(D3113-'Black-Scholes'!$B$6,0))</f>
        <v>0</v>
      </c>
    </row>
    <row r="3114" customFormat="false" ht="15" hidden="false" customHeight="false" outlineLevel="0" collapsed="false">
      <c r="A3114" s="0" t="n">
        <v>3103</v>
      </c>
      <c r="B3114" s="15" t="n">
        <v>-0.0530918610076064</v>
      </c>
      <c r="C3114" s="18" t="n">
        <f aca="false">'Black-Scholes'!$B$5*EXP(('Black-Scholes'!$B$8-'Black-Scholes'!$B$10-'Black-Scholes'!$B$9^2/2)*'Black-Scholes'!$B$7+'Black-Scholes'!$B$9*SQRT('Black-Scholes'!$B$7)*B3114)</f>
        <v>101.957067089236</v>
      </c>
      <c r="D3114" s="18" t="n">
        <f aca="false">'Black-Scholes'!$B$5*EXP(('Black-Scholes'!$B$8-'Black-Scholes'!$B$10-'Black-Scholes'!$B$9^2/2)*'Black-Scholes'!$B$7-'Black-Scholes'!$B$9*SQRT('Black-Scholes'!$B$7)*B3114)</f>
        <v>104.1454581678</v>
      </c>
      <c r="E3114" s="18" t="n">
        <f aca="false">EXP(-'Black-Scholes'!$B$8*'Black-Scholes'!$B$7)*IF(LOWER('Black-Scholes'!$B$11)="put",MAX('Black-Scholes'!$B$6-C3114,0),MAX(C3114-'Black-Scholes'!$B$6,0))</f>
        <v>1.86161980100282</v>
      </c>
      <c r="F3114" s="18" t="n">
        <f aca="false">(E3114+G3114)/2</f>
        <v>2.90245079412568</v>
      </c>
      <c r="G3114" s="18" t="n">
        <f aca="false">EXP(-'Black-Scholes'!$B$8*'Black-Scholes'!$B$7)*IF(LOWER('Black-Scholes'!$B$11)="put",MAX('Black-Scholes'!$B$6-D3114,0),MAX(D3114-'Black-Scholes'!$B$6,0))</f>
        <v>3.94328178724853</v>
      </c>
    </row>
    <row r="3115" customFormat="false" ht="15" hidden="false" customHeight="false" outlineLevel="0" collapsed="false">
      <c r="A3115" s="0" t="n">
        <v>3104</v>
      </c>
      <c r="B3115" s="15" t="n">
        <v>-0.629332980675673</v>
      </c>
      <c r="C3115" s="18" t="n">
        <f aca="false">'Black-Scholes'!$B$5*EXP(('Black-Scholes'!$B$8-'Black-Scholes'!$B$10-'Black-Scholes'!$B$9^2/2)*'Black-Scholes'!$B$7+'Black-Scholes'!$B$9*SQRT('Black-Scholes'!$B$7)*B3115)</f>
        <v>90.8585216763682</v>
      </c>
      <c r="D3115" s="18" t="n">
        <f aca="false">'Black-Scholes'!$B$5*EXP(('Black-Scholes'!$B$8-'Black-Scholes'!$B$10-'Black-Scholes'!$B$9^2/2)*'Black-Scholes'!$B$7-'Black-Scholes'!$B$9*SQRT('Black-Scholes'!$B$7)*B3115)</f>
        <v>116.867028755712</v>
      </c>
      <c r="E3115" s="18" t="n">
        <f aca="false">EXP(-'Black-Scholes'!$B$8*'Black-Scholes'!$B$7)*IF(LOWER('Black-Scholes'!$B$11)="put",MAX('Black-Scholes'!$B$6-C3115,0),MAX(C3115-'Black-Scholes'!$B$6,0))</f>
        <v>0</v>
      </c>
      <c r="F3115" s="18" t="n">
        <f aca="false">(E3115+G3115)/2</f>
        <v>8.02220702816644</v>
      </c>
      <c r="G3115" s="18" t="n">
        <f aca="false">EXP(-'Black-Scholes'!$B$8*'Black-Scholes'!$B$7)*IF(LOWER('Black-Scholes'!$B$11)="put",MAX('Black-Scholes'!$B$6-D3115,0),MAX(D3115-'Black-Scholes'!$B$6,0))</f>
        <v>16.0444140563329</v>
      </c>
    </row>
    <row r="3116" customFormat="false" ht="15" hidden="false" customHeight="false" outlineLevel="0" collapsed="false">
      <c r="A3116" s="0" t="n">
        <v>3105</v>
      </c>
      <c r="B3116" s="15" t="n">
        <v>0.440987898979539</v>
      </c>
      <c r="C3116" s="18" t="n">
        <f aca="false">'Black-Scholes'!$B$5*EXP(('Black-Scholes'!$B$8-'Black-Scholes'!$B$10-'Black-Scholes'!$B$9^2/2)*'Black-Scholes'!$B$7+'Black-Scholes'!$B$9*SQRT('Black-Scholes'!$B$7)*B3116)</f>
        <v>112.546645883417</v>
      </c>
      <c r="D3116" s="18" t="n">
        <f aca="false">'Black-Scholes'!$B$5*EXP(('Black-Scholes'!$B$8-'Black-Scholes'!$B$10-'Black-Scholes'!$B$9^2/2)*'Black-Scholes'!$B$7-'Black-Scholes'!$B$9*SQRT('Black-Scholes'!$B$7)*B3116)</f>
        <v>94.346351969056</v>
      </c>
      <c r="E3116" s="18" t="n">
        <f aca="false">EXP(-'Black-Scholes'!$B$8*'Black-Scholes'!$B$7)*IF(LOWER('Black-Scholes'!$B$11)="put",MAX('Black-Scholes'!$B$6-C3116,0),MAX(C3116-'Black-Scholes'!$B$6,0))</f>
        <v>11.9347387430973</v>
      </c>
      <c r="F3116" s="18" t="n">
        <f aca="false">(E3116+G3116)/2</f>
        <v>5.96736937154865</v>
      </c>
      <c r="G3116" s="18" t="n">
        <f aca="false">EXP(-'Black-Scholes'!$B$8*'Black-Scholes'!$B$7)*IF(LOWER('Black-Scholes'!$B$11)="put",MAX('Black-Scholes'!$B$6-D3116,0),MAX(D3116-'Black-Scholes'!$B$6,0))</f>
        <v>0</v>
      </c>
    </row>
    <row r="3117" customFormat="false" ht="15" hidden="false" customHeight="false" outlineLevel="0" collapsed="false">
      <c r="A3117" s="0" t="n">
        <v>3106</v>
      </c>
      <c r="B3117" s="15" t="n">
        <v>-0.237482902530937</v>
      </c>
      <c r="C3117" s="18" t="n">
        <f aca="false">'Black-Scholes'!$B$5*EXP(('Black-Scholes'!$B$8-'Black-Scholes'!$B$10-'Black-Scholes'!$B$9^2/2)*'Black-Scholes'!$B$7+'Black-Scholes'!$B$9*SQRT('Black-Scholes'!$B$7)*B3117)</f>
        <v>98.2655595844058</v>
      </c>
      <c r="D3117" s="18" t="n">
        <f aca="false">'Black-Scholes'!$B$5*EXP(('Black-Scholes'!$B$8-'Black-Scholes'!$B$10-'Black-Scholes'!$B$9^2/2)*'Black-Scholes'!$B$7-'Black-Scholes'!$B$9*SQRT('Black-Scholes'!$B$7)*B3117)</f>
        <v>108.057853742062</v>
      </c>
      <c r="E3117" s="18" t="n">
        <f aca="false">EXP(-'Black-Scholes'!$B$8*'Black-Scholes'!$B$7)*IF(LOWER('Black-Scholes'!$B$11)="put",MAX('Black-Scholes'!$B$6-C3117,0),MAX(C3117-'Black-Scholes'!$B$6,0))</f>
        <v>0</v>
      </c>
      <c r="F3117" s="18" t="n">
        <f aca="false">(E3117+G3117)/2</f>
        <v>3.83243378888626</v>
      </c>
      <c r="G3117" s="18" t="n">
        <f aca="false">EXP(-'Black-Scholes'!$B$8*'Black-Scholes'!$B$7)*IF(LOWER('Black-Scholes'!$B$11)="put",MAX('Black-Scholes'!$B$6-D3117,0),MAX(D3117-'Black-Scholes'!$B$6,0))</f>
        <v>7.66486757777253</v>
      </c>
    </row>
    <row r="3118" customFormat="false" ht="15" hidden="false" customHeight="false" outlineLevel="0" collapsed="false">
      <c r="A3118" s="0" t="n">
        <v>3107</v>
      </c>
      <c r="B3118" s="15" t="n">
        <v>1.18677754444739</v>
      </c>
      <c r="C3118" s="18" t="n">
        <f aca="false">'Black-Scholes'!$B$5*EXP(('Black-Scholes'!$B$8-'Black-Scholes'!$B$10-'Black-Scholes'!$B$9^2/2)*'Black-Scholes'!$B$7+'Black-Scholes'!$B$9*SQRT('Black-Scholes'!$B$7)*B3118)</f>
        <v>130.650483786211</v>
      </c>
      <c r="D3118" s="18" t="n">
        <f aca="false">'Black-Scholes'!$B$5*EXP(('Black-Scholes'!$B$8-'Black-Scholes'!$B$10-'Black-Scholes'!$B$9^2/2)*'Black-Scholes'!$B$7-'Black-Scholes'!$B$9*SQRT('Black-Scholes'!$B$7)*B3118)</f>
        <v>81.2730665645975</v>
      </c>
      <c r="E3118" s="18" t="n">
        <f aca="false">EXP(-'Black-Scholes'!$B$8*'Black-Scholes'!$B$7)*IF(LOWER('Black-Scholes'!$B$11)="put",MAX('Black-Scholes'!$B$6-C3118,0),MAX(C3118-'Black-Scholes'!$B$6,0))</f>
        <v>29.1556420526261</v>
      </c>
      <c r="F3118" s="18" t="n">
        <f aca="false">(E3118+G3118)/2</f>
        <v>14.577821026313</v>
      </c>
      <c r="G3118" s="18" t="n">
        <f aca="false">EXP(-'Black-Scholes'!$B$8*'Black-Scholes'!$B$7)*IF(LOWER('Black-Scholes'!$B$11)="put",MAX('Black-Scholes'!$B$6-D3118,0),MAX(D3118-'Black-Scholes'!$B$6,0))</f>
        <v>0</v>
      </c>
    </row>
    <row r="3119" customFormat="false" ht="15" hidden="false" customHeight="false" outlineLevel="0" collapsed="false">
      <c r="A3119" s="0" t="n">
        <v>3108</v>
      </c>
      <c r="B3119" s="15" t="n">
        <v>0.562706217016929</v>
      </c>
      <c r="C3119" s="18" t="n">
        <f aca="false">'Black-Scholes'!$B$5*EXP(('Black-Scholes'!$B$8-'Black-Scholes'!$B$10-'Black-Scholes'!$B$9^2/2)*'Black-Scholes'!$B$7+'Black-Scholes'!$B$9*SQRT('Black-Scholes'!$B$7)*B3119)</f>
        <v>115.320064189583</v>
      </c>
      <c r="D3119" s="18" t="n">
        <f aca="false">'Black-Scholes'!$B$5*EXP(('Black-Scholes'!$B$8-'Black-Scholes'!$B$10-'Black-Scholes'!$B$9^2/2)*'Black-Scholes'!$B$7-'Black-Scholes'!$B$9*SQRT('Black-Scholes'!$B$7)*B3119)</f>
        <v>92.0773461242379</v>
      </c>
      <c r="E3119" s="18" t="n">
        <f aca="false">EXP(-'Black-Scholes'!$B$8*'Black-Scholes'!$B$7)*IF(LOWER('Black-Scholes'!$B$11)="put",MAX('Black-Scholes'!$B$6-C3119,0),MAX(C3119-'Black-Scholes'!$B$6,0))</f>
        <v>14.5728958423714</v>
      </c>
      <c r="F3119" s="18" t="n">
        <f aca="false">(E3119+G3119)/2</f>
        <v>7.28644792118569</v>
      </c>
      <c r="G3119" s="18" t="n">
        <f aca="false">EXP(-'Black-Scholes'!$B$8*'Black-Scholes'!$B$7)*IF(LOWER('Black-Scholes'!$B$11)="put",MAX('Black-Scholes'!$B$6-D3119,0),MAX(D3119-'Black-Scholes'!$B$6,0))</f>
        <v>0</v>
      </c>
    </row>
    <row r="3120" customFormat="false" ht="15" hidden="false" customHeight="false" outlineLevel="0" collapsed="false">
      <c r="A3120" s="0" t="n">
        <v>3109</v>
      </c>
      <c r="B3120" s="15" t="n">
        <v>-0.784047442020285</v>
      </c>
      <c r="C3120" s="18" t="n">
        <f aca="false">'Black-Scholes'!$B$5*EXP(('Black-Scholes'!$B$8-'Black-Scholes'!$B$10-'Black-Scholes'!$B$9^2/2)*'Black-Scholes'!$B$7+'Black-Scholes'!$B$9*SQRT('Black-Scholes'!$B$7)*B3120)</f>
        <v>88.0901478558708</v>
      </c>
      <c r="D3120" s="18" t="n">
        <f aca="false">'Black-Scholes'!$B$5*EXP(('Black-Scholes'!$B$8-'Black-Scholes'!$B$10-'Black-Scholes'!$B$9^2/2)*'Black-Scholes'!$B$7-'Black-Scholes'!$B$9*SQRT('Black-Scholes'!$B$7)*B3120)</f>
        <v>120.539762094927</v>
      </c>
      <c r="E3120" s="18" t="n">
        <f aca="false">EXP(-'Black-Scholes'!$B$8*'Black-Scholes'!$B$7)*IF(LOWER('Black-Scholes'!$B$11)="put",MAX('Black-Scholes'!$B$6-C3120,0),MAX(C3120-'Black-Scholes'!$B$6,0))</f>
        <v>0</v>
      </c>
      <c r="F3120" s="18" t="n">
        <f aca="false">(E3120+G3120)/2</f>
        <v>9.76901303846945</v>
      </c>
      <c r="G3120" s="18" t="n">
        <f aca="false">EXP(-'Black-Scholes'!$B$8*'Black-Scholes'!$B$7)*IF(LOWER('Black-Scholes'!$B$11)="put",MAX('Black-Scholes'!$B$6-D3120,0),MAX(D3120-'Black-Scholes'!$B$6,0))</f>
        <v>19.5380260769389</v>
      </c>
    </row>
    <row r="3121" customFormat="false" ht="15" hidden="false" customHeight="false" outlineLevel="0" collapsed="false">
      <c r="A3121" s="0" t="n">
        <v>3110</v>
      </c>
      <c r="B3121" s="15" t="n">
        <v>1.01297556864411</v>
      </c>
      <c r="C3121" s="18" t="n">
        <f aca="false">'Black-Scholes'!$B$5*EXP(('Black-Scholes'!$B$8-'Black-Scholes'!$B$10-'Black-Scholes'!$B$9^2/2)*'Black-Scholes'!$B$7+'Black-Scholes'!$B$9*SQRT('Black-Scholes'!$B$7)*B3121)</f>
        <v>126.187046185625</v>
      </c>
      <c r="D3121" s="18" t="n">
        <f aca="false">'Black-Scholes'!$B$5*EXP(('Black-Scholes'!$B$8-'Black-Scholes'!$B$10-'Black-Scholes'!$B$9^2/2)*'Black-Scholes'!$B$7-'Black-Scholes'!$B$9*SQRT('Black-Scholes'!$B$7)*B3121)</f>
        <v>84.1478248871413</v>
      </c>
      <c r="E3121" s="18" t="n">
        <f aca="false">EXP(-'Black-Scholes'!$B$8*'Black-Scholes'!$B$7)*IF(LOWER('Black-Scholes'!$B$11)="put",MAX('Black-Scholes'!$B$6-C3121,0),MAX(C3121-'Black-Scholes'!$B$6,0))</f>
        <v>24.9098888725259</v>
      </c>
      <c r="F3121" s="18" t="n">
        <f aca="false">(E3121+G3121)/2</f>
        <v>12.4549444362629</v>
      </c>
      <c r="G3121" s="18" t="n">
        <f aca="false">EXP(-'Black-Scholes'!$B$8*'Black-Scholes'!$B$7)*IF(LOWER('Black-Scholes'!$B$11)="put",MAX('Black-Scholes'!$B$6-D3121,0),MAX(D3121-'Black-Scholes'!$B$6,0))</f>
        <v>0</v>
      </c>
    </row>
    <row r="3122" customFormat="false" ht="15" hidden="false" customHeight="false" outlineLevel="0" collapsed="false">
      <c r="A3122" s="0" t="n">
        <v>3111</v>
      </c>
      <c r="B3122" s="15" t="n">
        <v>0.992440694328144</v>
      </c>
      <c r="C3122" s="18" t="n">
        <f aca="false">'Black-Scholes'!$B$5*EXP(('Black-Scholes'!$B$8-'Black-Scholes'!$B$10-'Black-Scholes'!$B$9^2/2)*'Black-Scholes'!$B$7+'Black-Scholes'!$B$9*SQRT('Black-Scholes'!$B$7)*B3122)</f>
        <v>125.669861917231</v>
      </c>
      <c r="D3122" s="18" t="n">
        <f aca="false">'Black-Scholes'!$B$5*EXP(('Black-Scholes'!$B$8-'Black-Scholes'!$B$10-'Black-Scholes'!$B$9^2/2)*'Black-Scholes'!$B$7-'Black-Scholes'!$B$9*SQRT('Black-Scholes'!$B$7)*B3122)</f>
        <v>84.4941285321622</v>
      </c>
      <c r="E3122" s="18" t="n">
        <f aca="false">EXP(-'Black-Scholes'!$B$8*'Black-Scholes'!$B$7)*IF(LOWER('Black-Scholes'!$B$11)="put",MAX('Black-Scholes'!$B$6-C3122,0),MAX(C3122-'Black-Scholes'!$B$6,0))</f>
        <v>24.4179279785405</v>
      </c>
      <c r="F3122" s="18" t="n">
        <f aca="false">(E3122+G3122)/2</f>
        <v>12.2089639892703</v>
      </c>
      <c r="G3122" s="18" t="n">
        <f aca="false">EXP(-'Black-Scholes'!$B$8*'Black-Scholes'!$B$7)*IF(LOWER('Black-Scholes'!$B$11)="put",MAX('Black-Scholes'!$B$6-D3122,0),MAX(D3122-'Black-Scholes'!$B$6,0))</f>
        <v>0</v>
      </c>
    </row>
    <row r="3123" customFormat="false" ht="15" hidden="false" customHeight="false" outlineLevel="0" collapsed="false">
      <c r="A3123" s="0" t="n">
        <v>3112</v>
      </c>
      <c r="B3123" s="15" t="n">
        <v>-1.53268761667224</v>
      </c>
      <c r="C3123" s="18" t="n">
        <f aca="false">'Black-Scholes'!$B$5*EXP(('Black-Scholes'!$B$8-'Black-Scholes'!$B$10-'Black-Scholes'!$B$9^2/2)*'Black-Scholes'!$B$7+'Black-Scholes'!$B$9*SQRT('Black-Scholes'!$B$7)*B3123)</f>
        <v>75.8405160707254</v>
      </c>
      <c r="D3123" s="18" t="n">
        <f aca="false">'Black-Scholes'!$B$5*EXP(('Black-Scholes'!$B$8-'Black-Scholes'!$B$10-'Black-Scholes'!$B$9^2/2)*'Black-Scholes'!$B$7-'Black-Scholes'!$B$9*SQRT('Black-Scholes'!$B$7)*B3123)</f>
        <v>140.009140438224</v>
      </c>
      <c r="E3123" s="18" t="n">
        <f aca="false">EXP(-'Black-Scholes'!$B$8*'Black-Scholes'!$B$7)*IF(LOWER('Black-Scholes'!$B$11)="put",MAX('Black-Scholes'!$B$6-C3123,0),MAX(C3123-'Black-Scholes'!$B$6,0))</f>
        <v>0</v>
      </c>
      <c r="F3123" s="18" t="n">
        <f aca="false">(E3123+G3123)/2</f>
        <v>19.0289358169102</v>
      </c>
      <c r="G3123" s="18" t="n">
        <f aca="false">EXP(-'Black-Scholes'!$B$8*'Black-Scholes'!$B$7)*IF(LOWER('Black-Scholes'!$B$11)="put",MAX('Black-Scholes'!$B$6-D3123,0),MAX(D3123-'Black-Scholes'!$B$6,0))</f>
        <v>38.0578716338203</v>
      </c>
    </row>
    <row r="3124" customFormat="false" ht="15" hidden="false" customHeight="false" outlineLevel="0" collapsed="false">
      <c r="A3124" s="0" t="n">
        <v>3113</v>
      </c>
      <c r="B3124" s="15" t="n">
        <v>-1.00882257726357</v>
      </c>
      <c r="C3124" s="18" t="n">
        <f aca="false">'Black-Scholes'!$B$5*EXP(('Black-Scholes'!$B$8-'Black-Scholes'!$B$10-'Black-Scholes'!$B$9^2/2)*'Black-Scholes'!$B$7+'Black-Scholes'!$B$9*SQRT('Black-Scholes'!$B$7)*B3124)</f>
        <v>84.2177469599874</v>
      </c>
      <c r="D3124" s="18" t="n">
        <f aca="false">'Black-Scholes'!$B$5*EXP(('Black-Scholes'!$B$8-'Black-Scholes'!$B$10-'Black-Scholes'!$B$9^2/2)*'Black-Scholes'!$B$7-'Black-Scholes'!$B$9*SQRT('Black-Scholes'!$B$7)*B3124)</f>
        <v>126.082278958359</v>
      </c>
      <c r="E3124" s="18" t="n">
        <f aca="false">EXP(-'Black-Scholes'!$B$8*'Black-Scholes'!$B$7)*IF(LOWER('Black-Scholes'!$B$11)="put",MAX('Black-Scholes'!$B$6-C3124,0),MAX(C3124-'Black-Scholes'!$B$6,0))</f>
        <v>0</v>
      </c>
      <c r="F3124" s="18" t="n">
        <f aca="false">(E3124+G3124)/2</f>
        <v>12.4051156016133</v>
      </c>
      <c r="G3124" s="18" t="n">
        <f aca="false">EXP(-'Black-Scholes'!$B$8*'Black-Scholes'!$B$7)*IF(LOWER('Black-Scholes'!$B$11)="put",MAX('Black-Scholes'!$B$6-D3124,0),MAX(D3124-'Black-Scholes'!$B$6,0))</f>
        <v>24.8102312032266</v>
      </c>
    </row>
    <row r="3125" customFormat="false" ht="15" hidden="false" customHeight="false" outlineLevel="0" collapsed="false">
      <c r="A3125" s="0" t="n">
        <v>3114</v>
      </c>
      <c r="B3125" s="15" t="n">
        <v>-0.93975651714153</v>
      </c>
      <c r="C3125" s="18" t="n">
        <f aca="false">'Black-Scholes'!$B$5*EXP(('Black-Scholes'!$B$8-'Black-Scholes'!$B$10-'Black-Scholes'!$B$9^2/2)*'Black-Scholes'!$B$7+'Black-Scholes'!$B$9*SQRT('Black-Scholes'!$B$7)*B3125)</f>
        <v>85.3891362538013</v>
      </c>
      <c r="D3125" s="18" t="n">
        <f aca="false">'Black-Scholes'!$B$5*EXP(('Black-Scholes'!$B$8-'Black-Scholes'!$B$10-'Black-Scholes'!$B$9^2/2)*'Black-Scholes'!$B$7-'Black-Scholes'!$B$9*SQRT('Black-Scholes'!$B$7)*B3125)</f>
        <v>124.352651066674</v>
      </c>
      <c r="E3125" s="18" t="n">
        <f aca="false">EXP(-'Black-Scholes'!$B$8*'Black-Scholes'!$B$7)*IF(LOWER('Black-Scholes'!$B$11)="put",MAX('Black-Scholes'!$B$6-C3125,0),MAX(C3125-'Black-Scholes'!$B$6,0))</f>
        <v>0</v>
      </c>
      <c r="F3125" s="18" t="n">
        <f aca="false">(E3125+G3125)/2</f>
        <v>11.5824791296093</v>
      </c>
      <c r="G3125" s="18" t="n">
        <f aca="false">EXP(-'Black-Scholes'!$B$8*'Black-Scholes'!$B$7)*IF(LOWER('Black-Scholes'!$B$11)="put",MAX('Black-Scholes'!$B$6-D3125,0),MAX(D3125-'Black-Scholes'!$B$6,0))</f>
        <v>23.1649582592186</v>
      </c>
    </row>
    <row r="3126" customFormat="false" ht="15" hidden="false" customHeight="false" outlineLevel="0" collapsed="false">
      <c r="A3126" s="0" t="n">
        <v>3115</v>
      </c>
      <c r="B3126" s="15" t="n">
        <v>0.765949372843319</v>
      </c>
      <c r="C3126" s="18" t="n">
        <f aca="false">'Black-Scholes'!$B$5*EXP(('Black-Scholes'!$B$8-'Black-Scholes'!$B$10-'Black-Scholes'!$B$9^2/2)*'Black-Scholes'!$B$7+'Black-Scholes'!$B$9*SQRT('Black-Scholes'!$B$7)*B3126)</f>
        <v>120.104243384607</v>
      </c>
      <c r="D3126" s="18" t="n">
        <f aca="false">'Black-Scholes'!$B$5*EXP(('Black-Scholes'!$B$8-'Black-Scholes'!$B$10-'Black-Scholes'!$B$9^2/2)*'Black-Scholes'!$B$7-'Black-Scholes'!$B$9*SQRT('Black-Scholes'!$B$7)*B3126)</f>
        <v>88.4095779318191</v>
      </c>
      <c r="E3126" s="18" t="n">
        <f aca="false">EXP(-'Black-Scholes'!$B$8*'Black-Scholes'!$B$7)*IF(LOWER('Black-Scholes'!$B$11)="put",MAX('Black-Scholes'!$B$6-C3126,0),MAX(C3126-'Black-Scholes'!$B$6,0))</f>
        <v>19.1237478647622</v>
      </c>
      <c r="F3126" s="18" t="n">
        <f aca="false">(E3126+G3126)/2</f>
        <v>9.5618739323811</v>
      </c>
      <c r="G3126" s="18" t="n">
        <f aca="false">EXP(-'Black-Scholes'!$B$8*'Black-Scholes'!$B$7)*IF(LOWER('Black-Scholes'!$B$11)="put",MAX('Black-Scholes'!$B$6-D3126,0),MAX(D3126-'Black-Scholes'!$B$6,0))</f>
        <v>0</v>
      </c>
    </row>
    <row r="3127" customFormat="false" ht="15" hidden="false" customHeight="false" outlineLevel="0" collapsed="false">
      <c r="A3127" s="0" t="n">
        <v>3116</v>
      </c>
      <c r="B3127" s="15" t="n">
        <v>0.51000298225286</v>
      </c>
      <c r="C3127" s="18" t="n">
        <f aca="false">'Black-Scholes'!$B$5*EXP(('Black-Scholes'!$B$8-'Black-Scholes'!$B$10-'Black-Scholes'!$B$9^2/2)*'Black-Scholes'!$B$7+'Black-Scholes'!$B$9*SQRT('Black-Scholes'!$B$7)*B3127)</f>
        <v>114.110899988215</v>
      </c>
      <c r="D3127" s="18" t="n">
        <f aca="false">'Black-Scholes'!$B$5*EXP(('Black-Scholes'!$B$8-'Black-Scholes'!$B$10-'Black-Scholes'!$B$9^2/2)*'Black-Scholes'!$B$7-'Black-Scholes'!$B$9*SQRT('Black-Scholes'!$B$7)*B3127)</f>
        <v>93.0530340795686</v>
      </c>
      <c r="E3127" s="18" t="n">
        <f aca="false">EXP(-'Black-Scholes'!$B$8*'Black-Scholes'!$B$7)*IF(LOWER('Black-Scholes'!$B$11)="put",MAX('Black-Scholes'!$B$6-C3127,0),MAX(C3127-'Black-Scholes'!$B$6,0))</f>
        <v>13.4227032749767</v>
      </c>
      <c r="F3127" s="18" t="n">
        <f aca="false">(E3127+G3127)/2</f>
        <v>6.71135163748834</v>
      </c>
      <c r="G3127" s="18" t="n">
        <f aca="false">EXP(-'Black-Scholes'!$B$8*'Black-Scholes'!$B$7)*IF(LOWER('Black-Scholes'!$B$11)="put",MAX('Black-Scholes'!$B$6-D3127,0),MAX(D3127-'Black-Scholes'!$B$6,0))</f>
        <v>0</v>
      </c>
    </row>
    <row r="3128" customFormat="false" ht="15" hidden="false" customHeight="false" outlineLevel="0" collapsed="false">
      <c r="A3128" s="0" t="n">
        <v>3117</v>
      </c>
      <c r="B3128" s="15" t="n">
        <v>-1.26916036645149</v>
      </c>
      <c r="C3128" s="18" t="n">
        <f aca="false">'Black-Scholes'!$B$5*EXP(('Black-Scholes'!$B$8-'Black-Scholes'!$B$10-'Black-Scholes'!$B$9^2/2)*'Black-Scholes'!$B$7+'Black-Scholes'!$B$9*SQRT('Black-Scholes'!$B$7)*B3128)</f>
        <v>79.9449372000621</v>
      </c>
      <c r="D3128" s="18" t="n">
        <f aca="false">'Black-Scholes'!$B$5*EXP(('Black-Scholes'!$B$8-'Black-Scholes'!$B$10-'Black-Scholes'!$B$9^2/2)*'Black-Scholes'!$B$7-'Black-Scholes'!$B$9*SQRT('Black-Scholes'!$B$7)*B3128)</f>
        <v>132.820987011112</v>
      </c>
      <c r="E3128" s="18" t="n">
        <f aca="false">EXP(-'Black-Scholes'!$B$8*'Black-Scholes'!$B$7)*IF(LOWER('Black-Scholes'!$B$11)="put",MAX('Black-Scholes'!$B$6-C3128,0),MAX(C3128-'Black-Scholes'!$B$6,0))</f>
        <v>0</v>
      </c>
      <c r="F3128" s="18" t="n">
        <f aca="false">(E3128+G3128)/2</f>
        <v>15.6101442930626</v>
      </c>
      <c r="G3128" s="18" t="n">
        <f aca="false">EXP(-'Black-Scholes'!$B$8*'Black-Scholes'!$B$7)*IF(LOWER('Black-Scholes'!$B$11)="put",MAX('Black-Scholes'!$B$6-D3128,0),MAX(D3128-'Black-Scholes'!$B$6,0))</f>
        <v>31.2202885861252</v>
      </c>
    </row>
    <row r="3129" customFormat="false" ht="15" hidden="false" customHeight="false" outlineLevel="0" collapsed="false">
      <c r="A3129" s="0" t="n">
        <v>3118</v>
      </c>
      <c r="B3129" s="15" t="n">
        <v>-0.113453016320674</v>
      </c>
      <c r="C3129" s="18" t="n">
        <f aca="false">'Black-Scholes'!$B$5*EXP(('Black-Scholes'!$B$8-'Black-Scholes'!$B$10-'Black-Scholes'!$B$9^2/2)*'Black-Scholes'!$B$7+'Black-Scholes'!$B$9*SQRT('Black-Scholes'!$B$7)*B3129)</f>
        <v>100.733617558216</v>
      </c>
      <c r="D3129" s="18" t="n">
        <f aca="false">'Black-Scholes'!$B$5*EXP(('Black-Scholes'!$B$8-'Black-Scholes'!$B$10-'Black-Scholes'!$B$9^2/2)*'Black-Scholes'!$B$7-'Black-Scholes'!$B$9*SQRT('Black-Scholes'!$B$7)*B3129)</f>
        <v>105.41034584921</v>
      </c>
      <c r="E3129" s="18" t="n">
        <f aca="false">EXP(-'Black-Scholes'!$B$8*'Black-Scholes'!$B$7)*IF(LOWER('Black-Scholes'!$B$11)="put",MAX('Black-Scholes'!$B$6-C3129,0),MAX(C3129-'Black-Scholes'!$B$6,0))</f>
        <v>0.697838607705624</v>
      </c>
      <c r="F3129" s="18" t="n">
        <f aca="false">(E3129+G3129)/2</f>
        <v>2.92215938809962</v>
      </c>
      <c r="G3129" s="18" t="n">
        <f aca="false">EXP(-'Black-Scholes'!$B$8*'Black-Scholes'!$B$7)*IF(LOWER('Black-Scholes'!$B$11)="put",MAX('Black-Scholes'!$B$6-D3129,0),MAX(D3129-'Black-Scholes'!$B$6,0))</f>
        <v>5.14648016849362</v>
      </c>
    </row>
    <row r="3130" customFormat="false" ht="15" hidden="false" customHeight="false" outlineLevel="0" collapsed="false">
      <c r="A3130" s="0" t="n">
        <v>3119</v>
      </c>
      <c r="B3130" s="15" t="n">
        <v>0.017928115935294</v>
      </c>
      <c r="C3130" s="18" t="n">
        <f aca="false">'Black-Scholes'!$B$5*EXP(('Black-Scholes'!$B$8-'Black-Scholes'!$B$10-'Black-Scholes'!$B$9^2/2)*'Black-Scholes'!$B$7+'Black-Scholes'!$B$9*SQRT('Black-Scholes'!$B$7)*B3130)</f>
        <v>103.41559876671</v>
      </c>
      <c r="D3130" s="18" t="n">
        <f aca="false">'Black-Scholes'!$B$5*EXP(('Black-Scholes'!$B$8-'Black-Scholes'!$B$10-'Black-Scholes'!$B$9^2/2)*'Black-Scholes'!$B$7-'Black-Scholes'!$B$9*SQRT('Black-Scholes'!$B$7)*B3130)</f>
        <v>102.676632849238</v>
      </c>
      <c r="E3130" s="18" t="n">
        <f aca="false">EXP(-'Black-Scholes'!$B$8*'Black-Scholes'!$B$7)*IF(LOWER('Black-Scholes'!$B$11)="put",MAX('Black-Scholes'!$B$6-C3130,0),MAX(C3130-'Black-Scholes'!$B$6,0))</f>
        <v>3.24901804918264</v>
      </c>
      <c r="F3130" s="18" t="n">
        <f aca="false">(E3130+G3130)/2</f>
        <v>2.89755498698165</v>
      </c>
      <c r="G3130" s="18" t="n">
        <f aca="false">EXP(-'Black-Scholes'!$B$8*'Black-Scholes'!$B$7)*IF(LOWER('Black-Scholes'!$B$11)="put",MAX('Black-Scholes'!$B$6-D3130,0),MAX(D3130-'Black-Scholes'!$B$6,0))</f>
        <v>2.54609192478067</v>
      </c>
    </row>
    <row r="3131" customFormat="false" ht="15" hidden="false" customHeight="false" outlineLevel="0" collapsed="false">
      <c r="A3131" s="0" t="n">
        <v>3120</v>
      </c>
      <c r="B3131" s="15" t="n">
        <v>1.39859536286129</v>
      </c>
      <c r="C3131" s="18" t="n">
        <f aca="false">'Black-Scholes'!$B$5*EXP(('Black-Scholes'!$B$8-'Black-Scholes'!$B$10-'Black-Scholes'!$B$9^2/2)*'Black-Scholes'!$B$7+'Black-Scholes'!$B$9*SQRT('Black-Scholes'!$B$7)*B3131)</f>
        <v>136.304214441781</v>
      </c>
      <c r="D3131" s="18" t="n">
        <f aca="false">'Black-Scholes'!$B$5*EXP(('Black-Scholes'!$B$8-'Black-Scholes'!$B$10-'Black-Scholes'!$B$9^2/2)*'Black-Scholes'!$B$7-'Black-Scholes'!$B$9*SQRT('Black-Scholes'!$B$7)*B3131)</f>
        <v>77.9019600306559</v>
      </c>
      <c r="E3131" s="18" t="n">
        <f aca="false">EXP(-'Black-Scholes'!$B$8*'Black-Scholes'!$B$7)*IF(LOWER('Black-Scholes'!$B$11)="put",MAX('Black-Scholes'!$B$6-C3131,0),MAX(C3131-'Black-Scholes'!$B$6,0))</f>
        <v>34.5336370104062</v>
      </c>
      <c r="F3131" s="18" t="n">
        <f aca="false">(E3131+G3131)/2</f>
        <v>17.2668185052031</v>
      </c>
      <c r="G3131" s="18" t="n">
        <f aca="false">EXP(-'Black-Scholes'!$B$8*'Black-Scholes'!$B$7)*IF(LOWER('Black-Scholes'!$B$11)="put",MAX('Black-Scholes'!$B$6-D3131,0),MAX(D3131-'Black-Scholes'!$B$6,0))</f>
        <v>0</v>
      </c>
    </row>
    <row r="3132" customFormat="false" ht="15" hidden="false" customHeight="false" outlineLevel="0" collapsed="false">
      <c r="A3132" s="0" t="n">
        <v>3121</v>
      </c>
      <c r="B3132" s="15" t="n">
        <v>0.934354108496314</v>
      </c>
      <c r="C3132" s="18" t="n">
        <f aca="false">'Black-Scholes'!$B$5*EXP(('Black-Scholes'!$B$8-'Black-Scholes'!$B$10-'Black-Scholes'!$B$9^2/2)*'Black-Scholes'!$B$7+'Black-Scholes'!$B$9*SQRT('Black-Scholes'!$B$7)*B3132)</f>
        <v>124.218362860279</v>
      </c>
      <c r="D3132" s="18" t="n">
        <f aca="false">'Black-Scholes'!$B$5*EXP(('Black-Scholes'!$B$8-'Black-Scholes'!$B$10-'Black-Scholes'!$B$9^2/2)*'Black-Scholes'!$B$7-'Black-Scholes'!$B$9*SQRT('Black-Scholes'!$B$7)*B3132)</f>
        <v>85.4814475167181</v>
      </c>
      <c r="E3132" s="18" t="n">
        <f aca="false">EXP(-'Black-Scholes'!$B$8*'Black-Scholes'!$B$7)*IF(LOWER('Black-Scholes'!$B$11)="put",MAX('Black-Scholes'!$B$6-C3132,0),MAX(C3132-'Black-Scholes'!$B$6,0))</f>
        <v>23.0372193659328</v>
      </c>
      <c r="F3132" s="18" t="n">
        <f aca="false">(E3132+G3132)/2</f>
        <v>11.5186096829664</v>
      </c>
      <c r="G3132" s="18" t="n">
        <f aca="false">EXP(-'Black-Scholes'!$B$8*'Black-Scholes'!$B$7)*IF(LOWER('Black-Scholes'!$B$11)="put",MAX('Black-Scholes'!$B$6-D3132,0),MAX(D3132-'Black-Scholes'!$B$6,0))</f>
        <v>0</v>
      </c>
    </row>
    <row r="3133" customFormat="false" ht="15" hidden="false" customHeight="false" outlineLevel="0" collapsed="false">
      <c r="A3133" s="0" t="n">
        <v>3122</v>
      </c>
      <c r="B3133" s="15" t="n">
        <v>-1.55002896392555</v>
      </c>
      <c r="C3133" s="18" t="n">
        <f aca="false">'Black-Scholes'!$B$5*EXP(('Black-Scholes'!$B$8-'Black-Scholes'!$B$10-'Black-Scholes'!$B$9^2/2)*'Black-Scholes'!$B$7+'Black-Scholes'!$B$9*SQRT('Black-Scholes'!$B$7)*B3133)</f>
        <v>75.5779363375603</v>
      </c>
      <c r="D3133" s="18" t="n">
        <f aca="false">'Black-Scholes'!$B$5*EXP(('Black-Scholes'!$B$8-'Black-Scholes'!$B$10-'Black-Scholes'!$B$9^2/2)*'Black-Scholes'!$B$7-'Black-Scholes'!$B$9*SQRT('Black-Scholes'!$B$7)*B3133)</f>
        <v>140.495572914665</v>
      </c>
      <c r="E3133" s="18" t="n">
        <f aca="false">EXP(-'Black-Scholes'!$B$8*'Black-Scholes'!$B$7)*IF(LOWER('Black-Scholes'!$B$11)="put",MAX('Black-Scholes'!$B$6-C3133,0),MAX(C3133-'Black-Scholes'!$B$6,0))</f>
        <v>0</v>
      </c>
      <c r="F3133" s="18" t="n">
        <f aca="false">(E3133+G3133)/2</f>
        <v>19.2602902592217</v>
      </c>
      <c r="G3133" s="18" t="n">
        <f aca="false">EXP(-'Black-Scholes'!$B$8*'Black-Scholes'!$B$7)*IF(LOWER('Black-Scholes'!$B$11)="put",MAX('Black-Scholes'!$B$6-D3133,0),MAX(D3133-'Black-Scholes'!$B$6,0))</f>
        <v>38.5205805184434</v>
      </c>
    </row>
    <row r="3134" customFormat="false" ht="15" hidden="false" customHeight="false" outlineLevel="0" collapsed="false">
      <c r="A3134" s="0" t="n">
        <v>3123</v>
      </c>
      <c r="B3134" s="15" t="n">
        <v>0.523766986383262</v>
      </c>
      <c r="C3134" s="18" t="n">
        <f aca="false">'Black-Scholes'!$B$5*EXP(('Black-Scholes'!$B$8-'Black-Scholes'!$B$10-'Black-Scholes'!$B$9^2/2)*'Black-Scholes'!$B$7+'Black-Scholes'!$B$9*SQRT('Black-Scholes'!$B$7)*B3134)</f>
        <v>114.425457326176</v>
      </c>
      <c r="D3134" s="18" t="n">
        <f aca="false">'Black-Scholes'!$B$5*EXP(('Black-Scholes'!$B$8-'Black-Scholes'!$B$10-'Black-Scholes'!$B$9^2/2)*'Black-Scholes'!$B$7-'Black-Scholes'!$B$9*SQRT('Black-Scholes'!$B$7)*B3134)</f>
        <v>92.7972298610556</v>
      </c>
      <c r="E3134" s="18" t="n">
        <f aca="false">EXP(-'Black-Scholes'!$B$8*'Black-Scholes'!$B$7)*IF(LOWER('Black-Scholes'!$B$11)="put",MAX('Black-Scholes'!$B$6-C3134,0),MAX(C3134-'Black-Scholes'!$B$6,0))</f>
        <v>13.7219194705384</v>
      </c>
      <c r="F3134" s="18" t="n">
        <f aca="false">(E3134+G3134)/2</f>
        <v>6.86095973526918</v>
      </c>
      <c r="G3134" s="18" t="n">
        <f aca="false">EXP(-'Black-Scholes'!$B$8*'Black-Scholes'!$B$7)*IF(LOWER('Black-Scholes'!$B$11)="put",MAX('Black-Scholes'!$B$6-D3134,0),MAX(D3134-'Black-Scholes'!$B$6,0))</f>
        <v>0</v>
      </c>
    </row>
    <row r="3135" customFormat="false" ht="15" hidden="false" customHeight="false" outlineLevel="0" collapsed="false">
      <c r="A3135" s="0" t="n">
        <v>3124</v>
      </c>
      <c r="B3135" s="15" t="n">
        <v>0.254678294446375</v>
      </c>
      <c r="C3135" s="18" t="n">
        <f aca="false">'Black-Scholes'!$B$5*EXP(('Black-Scholes'!$B$8-'Black-Scholes'!$B$10-'Black-Scholes'!$B$9^2/2)*'Black-Scholes'!$B$7+'Black-Scholes'!$B$9*SQRT('Black-Scholes'!$B$7)*B3135)</f>
        <v>108.430112918332</v>
      </c>
      <c r="D3135" s="18" t="n">
        <f aca="false">'Black-Scholes'!$B$5*EXP(('Black-Scholes'!$B$8-'Black-Scholes'!$B$10-'Black-Scholes'!$B$9^2/2)*'Black-Scholes'!$B$7-'Black-Scholes'!$B$9*SQRT('Black-Scholes'!$B$7)*B3135)</f>
        <v>97.9281970632201</v>
      </c>
      <c r="E3135" s="18" t="n">
        <f aca="false">EXP(-'Black-Scholes'!$B$8*'Black-Scholes'!$B$7)*IF(LOWER('Black-Scholes'!$B$11)="put",MAX('Black-Scholes'!$B$6-C3135,0),MAX(C3135-'Black-Scholes'!$B$6,0))</f>
        <v>8.01897145978069</v>
      </c>
      <c r="F3135" s="18" t="n">
        <f aca="false">(E3135+G3135)/2</f>
        <v>4.00948572989034</v>
      </c>
      <c r="G3135" s="18" t="n">
        <f aca="false">EXP(-'Black-Scholes'!$B$8*'Black-Scholes'!$B$7)*IF(LOWER('Black-Scholes'!$B$11)="put",MAX('Black-Scholes'!$B$6-D3135,0),MAX(D3135-'Black-Scholes'!$B$6,0))</f>
        <v>0</v>
      </c>
    </row>
    <row r="3136" customFormat="false" ht="15" hidden="false" customHeight="false" outlineLevel="0" collapsed="false">
      <c r="A3136" s="0" t="n">
        <v>3125</v>
      </c>
      <c r="B3136" s="15" t="n">
        <v>-0.323295917397509</v>
      </c>
      <c r="C3136" s="18" t="n">
        <f aca="false">'Black-Scholes'!$B$5*EXP(('Black-Scholes'!$B$8-'Black-Scholes'!$B$10-'Black-Scholes'!$B$9^2/2)*'Black-Scholes'!$B$7+'Black-Scholes'!$B$9*SQRT('Black-Scholes'!$B$7)*B3136)</f>
        <v>96.5934566622465</v>
      </c>
      <c r="D3136" s="18" t="n">
        <f aca="false">'Black-Scholes'!$B$5*EXP(('Black-Scholes'!$B$8-'Black-Scholes'!$B$10-'Black-Scholes'!$B$9^2/2)*'Black-Scholes'!$B$7-'Black-Scholes'!$B$9*SQRT('Black-Scholes'!$B$7)*B3136)</f>
        <v>109.928413708004</v>
      </c>
      <c r="E3136" s="18" t="n">
        <f aca="false">EXP(-'Black-Scholes'!$B$8*'Black-Scholes'!$B$7)*IF(LOWER('Black-Scholes'!$B$11)="put",MAX('Black-Scholes'!$B$6-C3136,0),MAX(C3136-'Black-Scholes'!$B$6,0))</f>
        <v>0</v>
      </c>
      <c r="F3136" s="18" t="n">
        <f aca="false">(E3136+G3136)/2</f>
        <v>4.72209962883489</v>
      </c>
      <c r="G3136" s="18" t="n">
        <f aca="false">EXP(-'Black-Scholes'!$B$8*'Black-Scholes'!$B$7)*IF(LOWER('Black-Scholes'!$B$11)="put",MAX('Black-Scholes'!$B$6-D3136,0),MAX(D3136-'Black-Scholes'!$B$6,0))</f>
        <v>9.44419925766978</v>
      </c>
    </row>
    <row r="3137" customFormat="false" ht="15" hidden="false" customHeight="false" outlineLevel="0" collapsed="false">
      <c r="A3137" s="0" t="n">
        <v>3126</v>
      </c>
      <c r="B3137" s="15" t="n">
        <v>1.13476825684051</v>
      </c>
      <c r="C3137" s="18" t="n">
        <f aca="false">'Black-Scholes'!$B$5*EXP(('Black-Scholes'!$B$8-'Black-Scholes'!$B$10-'Black-Scholes'!$B$9^2/2)*'Black-Scholes'!$B$7+'Black-Scholes'!$B$9*SQRT('Black-Scholes'!$B$7)*B3137)</f>
        <v>129.298519727558</v>
      </c>
      <c r="D3137" s="18" t="n">
        <f aca="false">'Black-Scholes'!$B$5*EXP(('Black-Scholes'!$B$8-'Black-Scholes'!$B$10-'Black-Scholes'!$B$9^2/2)*'Black-Scholes'!$B$7-'Black-Scholes'!$B$9*SQRT('Black-Scholes'!$B$7)*B3137)</f>
        <v>82.1228695257092</v>
      </c>
      <c r="E3137" s="18" t="n">
        <f aca="false">EXP(-'Black-Scholes'!$B$8*'Black-Scholes'!$B$7)*IF(LOWER('Black-Scholes'!$B$11)="put",MAX('Black-Scholes'!$B$6-C3137,0),MAX(C3137-'Black-Scholes'!$B$6,0))</f>
        <v>27.869614059168</v>
      </c>
      <c r="F3137" s="18" t="n">
        <f aca="false">(E3137+G3137)/2</f>
        <v>13.934807029584</v>
      </c>
      <c r="G3137" s="18" t="n">
        <f aca="false">EXP(-'Black-Scholes'!$B$8*'Black-Scholes'!$B$7)*IF(LOWER('Black-Scholes'!$B$11)="put",MAX('Black-Scholes'!$B$6-D3137,0),MAX(D3137-'Black-Scholes'!$B$6,0))</f>
        <v>0</v>
      </c>
    </row>
    <row r="3138" customFormat="false" ht="15" hidden="false" customHeight="false" outlineLevel="0" collapsed="false">
      <c r="A3138" s="0" t="n">
        <v>3127</v>
      </c>
      <c r="B3138" s="15" t="n">
        <v>0.940420596154979</v>
      </c>
      <c r="C3138" s="18" t="n">
        <f aca="false">'Black-Scholes'!$B$5*EXP(('Black-Scholes'!$B$8-'Black-Scholes'!$B$10-'Black-Scholes'!$B$9^2/2)*'Black-Scholes'!$B$7+'Black-Scholes'!$B$9*SQRT('Black-Scholes'!$B$7)*B3138)</f>
        <v>124.369168160683</v>
      </c>
      <c r="D3138" s="18" t="n">
        <f aca="false">'Black-Scholes'!$B$5*EXP(('Black-Scholes'!$B$8-'Black-Scholes'!$B$10-'Black-Scholes'!$B$9^2/2)*'Black-Scholes'!$B$7-'Black-Scholes'!$B$9*SQRT('Black-Scholes'!$B$7)*B3138)</f>
        <v>85.3777959802292</v>
      </c>
      <c r="E3138" s="18" t="n">
        <f aca="false">EXP(-'Black-Scholes'!$B$8*'Black-Scholes'!$B$7)*IF(LOWER('Black-Scholes'!$B$11)="put",MAX('Black-Scholes'!$B$6-C3138,0),MAX(C3138-'Black-Scholes'!$B$6,0))</f>
        <v>23.1806698050475</v>
      </c>
      <c r="F3138" s="18" t="n">
        <f aca="false">(E3138+G3138)/2</f>
        <v>11.5903349025238</v>
      </c>
      <c r="G3138" s="18" t="n">
        <f aca="false">EXP(-'Black-Scholes'!$B$8*'Black-Scholes'!$B$7)*IF(LOWER('Black-Scholes'!$B$11)="put",MAX('Black-Scholes'!$B$6-D3138,0),MAX(D3138-'Black-Scholes'!$B$6,0))</f>
        <v>0</v>
      </c>
    </row>
    <row r="3139" customFormat="false" ht="15" hidden="false" customHeight="false" outlineLevel="0" collapsed="false">
      <c r="A3139" s="0" t="n">
        <v>3128</v>
      </c>
      <c r="B3139" s="15" t="n">
        <v>-2.09035849979607</v>
      </c>
      <c r="C3139" s="18" t="n">
        <f aca="false">'Black-Scholes'!$B$5*EXP(('Black-Scholes'!$B$8-'Black-Scholes'!$B$10-'Black-Scholes'!$B$9^2/2)*'Black-Scholes'!$B$7+'Black-Scholes'!$B$9*SQRT('Black-Scholes'!$B$7)*B3139)</f>
        <v>67.836370287054</v>
      </c>
      <c r="D3139" s="18" t="n">
        <f aca="false">'Black-Scholes'!$B$5*EXP(('Black-Scholes'!$B$8-'Black-Scholes'!$B$10-'Black-Scholes'!$B$9^2/2)*'Black-Scholes'!$B$7-'Black-Scholes'!$B$9*SQRT('Black-Scholes'!$B$7)*B3139)</f>
        <v>156.529092292546</v>
      </c>
      <c r="E3139" s="18" t="n">
        <f aca="false">EXP(-'Black-Scholes'!$B$8*'Black-Scholes'!$B$7)*IF(LOWER('Black-Scholes'!$B$11)="put",MAX('Black-Scholes'!$B$6-C3139,0),MAX(C3139-'Black-Scholes'!$B$6,0))</f>
        <v>0</v>
      </c>
      <c r="F3139" s="18" t="n">
        <f aca="false">(E3139+G3139)/2</f>
        <v>26.8860679644932</v>
      </c>
      <c r="G3139" s="18" t="n">
        <f aca="false">EXP(-'Black-Scholes'!$B$8*'Black-Scholes'!$B$7)*IF(LOWER('Black-Scholes'!$B$11)="put",MAX('Black-Scholes'!$B$6-D3139,0),MAX(D3139-'Black-Scholes'!$B$6,0))</f>
        <v>53.7721359289863</v>
      </c>
    </row>
    <row r="3140" customFormat="false" ht="15" hidden="false" customHeight="false" outlineLevel="0" collapsed="false">
      <c r="A3140" s="0" t="n">
        <v>3129</v>
      </c>
      <c r="B3140" s="15" t="n">
        <v>0.172026919303656</v>
      </c>
      <c r="C3140" s="18" t="n">
        <f aca="false">'Black-Scholes'!$B$5*EXP(('Black-Scholes'!$B$8-'Black-Scholes'!$B$10-'Black-Scholes'!$B$9^2/2)*'Black-Scholes'!$B$7+'Black-Scholes'!$B$9*SQRT('Black-Scholes'!$B$7)*B3140)</f>
        <v>106.652466302457</v>
      </c>
      <c r="D3140" s="18" t="n">
        <f aca="false">'Black-Scholes'!$B$5*EXP(('Black-Scholes'!$B$8-'Black-Scholes'!$B$10-'Black-Scholes'!$B$9^2/2)*'Black-Scholes'!$B$7-'Black-Scholes'!$B$9*SQRT('Black-Scholes'!$B$7)*B3140)</f>
        <v>99.5604305608916</v>
      </c>
      <c r="E3140" s="18" t="n">
        <f aca="false">EXP(-'Black-Scholes'!$B$8*'Black-Scholes'!$B$7)*IF(LOWER('Black-Scholes'!$B$11)="put",MAX('Black-Scholes'!$B$6-C3140,0),MAX(C3140-'Black-Scholes'!$B$6,0))</f>
        <v>6.32802169239651</v>
      </c>
      <c r="F3140" s="18" t="n">
        <f aca="false">(E3140+G3140)/2</f>
        <v>3.16401084619826</v>
      </c>
      <c r="G3140" s="18" t="n">
        <f aca="false">EXP(-'Black-Scholes'!$B$8*'Black-Scholes'!$B$7)*IF(LOWER('Black-Scholes'!$B$11)="put",MAX('Black-Scholes'!$B$6-D3140,0),MAX(D3140-'Black-Scholes'!$B$6,0))</f>
        <v>0</v>
      </c>
    </row>
    <row r="3141" customFormat="false" ht="15" hidden="false" customHeight="false" outlineLevel="0" collapsed="false">
      <c r="A3141" s="0" t="n">
        <v>3130</v>
      </c>
      <c r="B3141" s="15" t="n">
        <v>-0.501500954553222</v>
      </c>
      <c r="C3141" s="18" t="n">
        <f aca="false">'Black-Scholes'!$B$5*EXP(('Black-Scholes'!$B$8-'Black-Scholes'!$B$10-'Black-Scholes'!$B$9^2/2)*'Black-Scholes'!$B$7+'Black-Scholes'!$B$9*SQRT('Black-Scholes'!$B$7)*B3141)</f>
        <v>93.2113965763008</v>
      </c>
      <c r="D3141" s="18" t="n">
        <f aca="false">'Black-Scholes'!$B$5*EXP(('Black-Scholes'!$B$8-'Black-Scholes'!$B$10-'Black-Scholes'!$B$9^2/2)*'Black-Scholes'!$B$7-'Black-Scholes'!$B$9*SQRT('Black-Scholes'!$B$7)*B3141)</f>
        <v>113.917030057174</v>
      </c>
      <c r="E3141" s="18" t="n">
        <f aca="false">EXP(-'Black-Scholes'!$B$8*'Black-Scholes'!$B$7)*IF(LOWER('Black-Scholes'!$B$11)="put",MAX('Black-Scholes'!$B$6-C3141,0),MAX(C3141-'Black-Scholes'!$B$6,0))</f>
        <v>0</v>
      </c>
      <c r="F3141" s="18" t="n">
        <f aca="false">(E3141+G3141)/2</f>
        <v>6.61914424602224</v>
      </c>
      <c r="G3141" s="18" t="n">
        <f aca="false">EXP(-'Black-Scholes'!$B$8*'Black-Scholes'!$B$7)*IF(LOWER('Black-Scholes'!$B$11)="put",MAX('Black-Scholes'!$B$6-D3141,0),MAX(D3141-'Black-Scholes'!$B$6,0))</f>
        <v>13.2382884920445</v>
      </c>
    </row>
    <row r="3142" customFormat="false" ht="15" hidden="false" customHeight="false" outlineLevel="0" collapsed="false">
      <c r="A3142" s="0" t="n">
        <v>3131</v>
      </c>
      <c r="B3142" s="15" t="n">
        <v>0.822823411595566</v>
      </c>
      <c r="C3142" s="18" t="n">
        <f aca="false">'Black-Scholes'!$B$5*EXP(('Black-Scholes'!$B$8-'Black-Scholes'!$B$10-'Black-Scholes'!$B$9^2/2)*'Black-Scholes'!$B$7+'Black-Scholes'!$B$9*SQRT('Black-Scholes'!$B$7)*B3142)</f>
        <v>121.478205526445</v>
      </c>
      <c r="D3142" s="18" t="n">
        <f aca="false">'Black-Scholes'!$B$5*EXP(('Black-Scholes'!$B$8-'Black-Scholes'!$B$10-'Black-Scholes'!$B$9^2/2)*'Black-Scholes'!$B$7-'Black-Scholes'!$B$9*SQRT('Black-Scholes'!$B$7)*B3142)</f>
        <v>87.4096338469709</v>
      </c>
      <c r="E3142" s="18" t="n">
        <f aca="false">EXP(-'Black-Scholes'!$B$8*'Black-Scholes'!$B$7)*IF(LOWER('Black-Scholes'!$B$11)="put",MAX('Black-Scholes'!$B$6-C3142,0),MAX(C3142-'Black-Scholes'!$B$6,0))</f>
        <v>20.4307010822279</v>
      </c>
      <c r="F3142" s="18" t="n">
        <f aca="false">(E3142+G3142)/2</f>
        <v>10.215350541114</v>
      </c>
      <c r="G3142" s="18" t="n">
        <f aca="false">EXP(-'Black-Scholes'!$B$8*'Black-Scholes'!$B$7)*IF(LOWER('Black-Scholes'!$B$11)="put",MAX('Black-Scholes'!$B$6-D3142,0),MAX(D3142-'Black-Scholes'!$B$6,0))</f>
        <v>0</v>
      </c>
    </row>
    <row r="3143" customFormat="false" ht="15" hidden="false" customHeight="false" outlineLevel="0" collapsed="false">
      <c r="A3143" s="0" t="n">
        <v>3132</v>
      </c>
      <c r="B3143" s="15" t="n">
        <v>0.381794464004024</v>
      </c>
      <c r="C3143" s="18" t="n">
        <f aca="false">'Black-Scholes'!$B$5*EXP(('Black-Scholes'!$B$8-'Black-Scholes'!$B$10-'Black-Scholes'!$B$9^2/2)*'Black-Scholes'!$B$7+'Black-Scholes'!$B$9*SQRT('Black-Scholes'!$B$7)*B3143)</f>
        <v>111.222097298593</v>
      </c>
      <c r="D3143" s="18" t="n">
        <f aca="false">'Black-Scholes'!$B$5*EXP(('Black-Scholes'!$B$8-'Black-Scholes'!$B$10-'Black-Scholes'!$B$9^2/2)*'Black-Scholes'!$B$7-'Black-Scholes'!$B$9*SQRT('Black-Scholes'!$B$7)*B3143)</f>
        <v>95.4699266005293</v>
      </c>
      <c r="E3143" s="18" t="n">
        <f aca="false">EXP(-'Black-Scholes'!$B$8*'Black-Scholes'!$B$7)*IF(LOWER('Black-Scholes'!$B$11)="put",MAX('Black-Scholes'!$B$6-C3143,0),MAX(C3143-'Black-Scholes'!$B$6,0))</f>
        <v>10.6747891550316</v>
      </c>
      <c r="F3143" s="18" t="n">
        <f aca="false">(E3143+G3143)/2</f>
        <v>5.33739457751578</v>
      </c>
      <c r="G3143" s="18" t="n">
        <f aca="false">EXP(-'Black-Scholes'!$B$8*'Black-Scholes'!$B$7)*IF(LOWER('Black-Scholes'!$B$11)="put",MAX('Black-Scholes'!$B$6-D3143,0),MAX(D3143-'Black-Scholes'!$B$6,0))</f>
        <v>0</v>
      </c>
    </row>
    <row r="3144" customFormat="false" ht="15" hidden="false" customHeight="false" outlineLevel="0" collapsed="false">
      <c r="A3144" s="0" t="n">
        <v>3133</v>
      </c>
      <c r="B3144" s="15" t="n">
        <v>1.22545131015807</v>
      </c>
      <c r="C3144" s="18" t="n">
        <f aca="false">'Black-Scholes'!$B$5*EXP(('Black-Scholes'!$B$8-'Black-Scholes'!$B$10-'Black-Scholes'!$B$9^2/2)*'Black-Scholes'!$B$7+'Black-Scholes'!$B$9*SQRT('Black-Scholes'!$B$7)*B3144)</f>
        <v>131.664951296422</v>
      </c>
      <c r="D3144" s="18" t="n">
        <f aca="false">'Black-Scholes'!$B$5*EXP(('Black-Scholes'!$B$8-'Black-Scholes'!$B$10-'Black-Scholes'!$B$9^2/2)*'Black-Scholes'!$B$7-'Black-Scholes'!$B$9*SQRT('Black-Scholes'!$B$7)*B3144)</f>
        <v>80.6468643393798</v>
      </c>
      <c r="E3144" s="18" t="n">
        <f aca="false">EXP(-'Black-Scholes'!$B$8*'Black-Scholes'!$B$7)*IF(LOWER('Black-Scholes'!$B$11)="put",MAX('Black-Scholes'!$B$6-C3144,0),MAX(C3144-'Black-Scholes'!$B$6,0))</f>
        <v>30.1206333985386</v>
      </c>
      <c r="F3144" s="18" t="n">
        <f aca="false">(E3144+G3144)/2</f>
        <v>15.0603166992693</v>
      </c>
      <c r="G3144" s="18" t="n">
        <f aca="false">EXP(-'Black-Scholes'!$B$8*'Black-Scholes'!$B$7)*IF(LOWER('Black-Scholes'!$B$11)="put",MAX('Black-Scholes'!$B$6-D3144,0),MAX(D3144-'Black-Scholes'!$B$6,0))</f>
        <v>0</v>
      </c>
    </row>
    <row r="3145" customFormat="false" ht="15" hidden="false" customHeight="false" outlineLevel="0" collapsed="false">
      <c r="A3145" s="0" t="n">
        <v>3134</v>
      </c>
      <c r="B3145" s="15" t="n">
        <v>-0.670656263616854</v>
      </c>
      <c r="C3145" s="18" t="n">
        <f aca="false">'Black-Scholes'!$B$5*EXP(('Black-Scholes'!$B$8-'Black-Scholes'!$B$10-'Black-Scholes'!$B$9^2/2)*'Black-Scholes'!$B$7+'Black-Scholes'!$B$9*SQRT('Black-Scholes'!$B$7)*B3145)</f>
        <v>90.1107016909037</v>
      </c>
      <c r="D3145" s="18" t="n">
        <f aca="false">'Black-Scholes'!$B$5*EXP(('Black-Scholes'!$B$8-'Black-Scholes'!$B$10-'Black-Scholes'!$B$9^2/2)*'Black-Scholes'!$B$7-'Black-Scholes'!$B$9*SQRT('Black-Scholes'!$B$7)*B3145)</f>
        <v>117.836896907945</v>
      </c>
      <c r="E3145" s="18" t="n">
        <f aca="false">EXP(-'Black-Scholes'!$B$8*'Black-Scholes'!$B$7)*IF(LOWER('Black-Scholes'!$B$11)="put",MAX('Black-Scholes'!$B$6-C3145,0),MAX(C3145-'Black-Scholes'!$B$6,0))</f>
        <v>0</v>
      </c>
      <c r="F3145" s="18" t="n">
        <f aca="false">(E3145+G3145)/2</f>
        <v>8.4834905903115</v>
      </c>
      <c r="G3145" s="18" t="n">
        <f aca="false">EXP(-'Black-Scholes'!$B$8*'Black-Scholes'!$B$7)*IF(LOWER('Black-Scholes'!$B$11)="put",MAX('Black-Scholes'!$B$6-D3145,0),MAX(D3145-'Black-Scholes'!$B$6,0))</f>
        <v>16.966981180623</v>
      </c>
    </row>
    <row r="3146" customFormat="false" ht="15" hidden="false" customHeight="false" outlineLevel="0" collapsed="false">
      <c r="A3146" s="0" t="n">
        <v>3135</v>
      </c>
      <c r="B3146" s="15" t="n">
        <v>0.137909011844164</v>
      </c>
      <c r="C3146" s="18" t="n">
        <f aca="false">'Black-Scholes'!$B$5*EXP(('Black-Scholes'!$B$8-'Black-Scholes'!$B$10-'Black-Scholes'!$B$9^2/2)*'Black-Scholes'!$B$7+'Black-Scholes'!$B$9*SQRT('Black-Scholes'!$B$7)*B3146)</f>
        <v>105.927191806284</v>
      </c>
      <c r="D3146" s="18" t="n">
        <f aca="false">'Black-Scholes'!$B$5*EXP(('Black-Scholes'!$B$8-'Black-Scholes'!$B$10-'Black-Scholes'!$B$9^2/2)*'Black-Scholes'!$B$7-'Black-Scholes'!$B$9*SQRT('Black-Scholes'!$B$7)*B3146)</f>
        <v>100.242112382929</v>
      </c>
      <c r="E3146" s="18" t="n">
        <f aca="false">EXP(-'Black-Scholes'!$B$8*'Black-Scholes'!$B$7)*IF(LOWER('Black-Scholes'!$B$11)="put",MAX('Black-Scholes'!$B$6-C3146,0),MAX(C3146-'Black-Scholes'!$B$6,0))</f>
        <v>5.63811925079668</v>
      </c>
      <c r="F3146" s="18" t="n">
        <f aca="false">(E3146+G3146)/2</f>
        <v>2.93421183673745</v>
      </c>
      <c r="G3146" s="18" t="n">
        <f aca="false">EXP(-'Black-Scholes'!$B$8*'Black-Scholes'!$B$7)*IF(LOWER('Black-Scholes'!$B$11)="put",MAX('Black-Scholes'!$B$6-D3146,0),MAX(D3146-'Black-Scholes'!$B$6,0))</f>
        <v>0.230304422678233</v>
      </c>
    </row>
    <row r="3147" customFormat="false" ht="15" hidden="false" customHeight="false" outlineLevel="0" collapsed="false">
      <c r="A3147" s="0" t="n">
        <v>3136</v>
      </c>
      <c r="B3147" s="15" t="n">
        <v>-0.0227816986082249</v>
      </c>
      <c r="C3147" s="18" t="n">
        <f aca="false">'Black-Scholes'!$B$5*EXP(('Black-Scholes'!$B$8-'Black-Scholes'!$B$10-'Black-Scholes'!$B$9^2/2)*'Black-Scholes'!$B$7+'Black-Scholes'!$B$9*SQRT('Black-Scholes'!$B$7)*B3147)</f>
        <v>102.577011303979</v>
      </c>
      <c r="D3147" s="18" t="n">
        <f aca="false">'Black-Scholes'!$B$5*EXP(('Black-Scholes'!$B$8-'Black-Scholes'!$B$10-'Black-Scholes'!$B$9^2/2)*'Black-Scholes'!$B$7-'Black-Scholes'!$B$9*SQRT('Black-Scholes'!$B$7)*B3147)</f>
        <v>103.516034737909</v>
      </c>
      <c r="E3147" s="18" t="n">
        <f aca="false">EXP(-'Black-Scholes'!$B$8*'Black-Scholes'!$B$7)*IF(LOWER('Black-Scholes'!$B$11)="put",MAX('Black-Scholes'!$B$6-C3147,0),MAX(C3147-'Black-Scholes'!$B$6,0))</f>
        <v>2.45132897961597</v>
      </c>
      <c r="F3147" s="18" t="n">
        <f aca="false">(E3147+G3147)/2</f>
        <v>2.89794233994083</v>
      </c>
      <c r="G3147" s="18" t="n">
        <f aca="false">EXP(-'Black-Scholes'!$B$8*'Black-Scholes'!$B$7)*IF(LOWER('Black-Scholes'!$B$11)="put",MAX('Black-Scholes'!$B$6-D3147,0),MAX(D3147-'Black-Scholes'!$B$6,0))</f>
        <v>3.34455570026569</v>
      </c>
    </row>
    <row r="3148" customFormat="false" ht="15" hidden="false" customHeight="false" outlineLevel="0" collapsed="false">
      <c r="A3148" s="0" t="n">
        <v>3137</v>
      </c>
      <c r="B3148" s="15" t="n">
        <v>0.461059598706141</v>
      </c>
      <c r="C3148" s="18" t="n">
        <f aca="false">'Black-Scholes'!$B$5*EXP(('Black-Scholes'!$B$8-'Black-Scholes'!$B$10-'Black-Scholes'!$B$9^2/2)*'Black-Scholes'!$B$7+'Black-Scholes'!$B$9*SQRT('Black-Scholes'!$B$7)*B3148)</f>
        <v>112.999354434763</v>
      </c>
      <c r="D3148" s="18" t="n">
        <f aca="false">'Black-Scholes'!$B$5*EXP(('Black-Scholes'!$B$8-'Black-Scholes'!$B$10-'Black-Scholes'!$B$9^2/2)*'Black-Scholes'!$B$7-'Black-Scholes'!$B$9*SQRT('Black-Scholes'!$B$7)*B3148)</f>
        <v>93.9683728156504</v>
      </c>
      <c r="E3148" s="18" t="n">
        <f aca="false">EXP(-'Black-Scholes'!$B$8*'Black-Scholes'!$B$7)*IF(LOWER('Black-Scholes'!$B$11)="put",MAX('Black-Scholes'!$B$6-C3148,0),MAX(C3148-'Black-Scholes'!$B$6,0))</f>
        <v>12.3653684378601</v>
      </c>
      <c r="F3148" s="18" t="n">
        <f aca="false">(E3148+G3148)/2</f>
        <v>6.18268421893005</v>
      </c>
      <c r="G3148" s="18" t="n">
        <f aca="false">EXP(-'Black-Scholes'!$B$8*'Black-Scholes'!$B$7)*IF(LOWER('Black-Scholes'!$B$11)="put",MAX('Black-Scholes'!$B$6-D3148,0),MAX(D3148-'Black-Scholes'!$B$6,0))</f>
        <v>0</v>
      </c>
    </row>
    <row r="3149" customFormat="false" ht="15" hidden="false" customHeight="false" outlineLevel="0" collapsed="false">
      <c r="A3149" s="0" t="n">
        <v>3138</v>
      </c>
      <c r="B3149" s="15" t="n">
        <v>0.176945592912069</v>
      </c>
      <c r="C3149" s="18" t="n">
        <f aca="false">'Black-Scholes'!$B$5*EXP(('Black-Scholes'!$B$8-'Black-Scholes'!$B$10-'Black-Scholes'!$B$9^2/2)*'Black-Scholes'!$B$7+'Black-Scholes'!$B$9*SQRT('Black-Scholes'!$B$7)*B3149)</f>
        <v>106.757435659247</v>
      </c>
      <c r="D3149" s="18" t="n">
        <f aca="false">'Black-Scholes'!$B$5*EXP(('Black-Scholes'!$B$8-'Black-Scholes'!$B$10-'Black-Scholes'!$B$9^2/2)*'Black-Scholes'!$B$7-'Black-Scholes'!$B$9*SQRT('Black-Scholes'!$B$7)*B3149)</f>
        <v>99.4625376666572</v>
      </c>
      <c r="E3149" s="18" t="n">
        <f aca="false">EXP(-'Black-Scholes'!$B$8*'Black-Scholes'!$B$7)*IF(LOWER('Black-Scholes'!$B$11)="put",MAX('Black-Scholes'!$B$6-C3149,0),MAX(C3149-'Black-Scholes'!$B$6,0))</f>
        <v>6.42787163324619</v>
      </c>
      <c r="F3149" s="18" t="n">
        <f aca="false">(E3149+G3149)/2</f>
        <v>3.21393581662309</v>
      </c>
      <c r="G3149" s="18" t="n">
        <f aca="false">EXP(-'Black-Scholes'!$B$8*'Black-Scholes'!$B$7)*IF(LOWER('Black-Scholes'!$B$11)="put",MAX('Black-Scholes'!$B$6-D3149,0),MAX(D3149-'Black-Scholes'!$B$6,0))</f>
        <v>0</v>
      </c>
    </row>
    <row r="3150" customFormat="false" ht="15" hidden="false" customHeight="false" outlineLevel="0" collapsed="false">
      <c r="A3150" s="0" t="n">
        <v>3139</v>
      </c>
      <c r="B3150" s="15" t="n">
        <v>-0.235337326120795</v>
      </c>
      <c r="C3150" s="18" t="n">
        <f aca="false">'Black-Scholes'!$B$5*EXP(('Black-Scholes'!$B$8-'Black-Scholes'!$B$10-'Black-Scholes'!$B$9^2/2)*'Black-Scholes'!$B$7+'Black-Scholes'!$B$9*SQRT('Black-Scholes'!$B$7)*B3150)</f>
        <v>98.3077358863212</v>
      </c>
      <c r="D3150" s="18" t="n">
        <f aca="false">'Black-Scholes'!$B$5*EXP(('Black-Scholes'!$B$8-'Black-Scholes'!$B$10-'Black-Scholes'!$B$9^2/2)*'Black-Scholes'!$B$7-'Black-Scholes'!$B$9*SQRT('Black-Scholes'!$B$7)*B3150)</f>
        <v>108.011494413138</v>
      </c>
      <c r="E3150" s="18" t="n">
        <f aca="false">EXP(-'Black-Scholes'!$B$8*'Black-Scholes'!$B$7)*IF(LOWER('Black-Scholes'!$B$11)="put",MAX('Black-Scholes'!$B$6-C3150,0),MAX(C3150-'Black-Scholes'!$B$6,0))</f>
        <v>0</v>
      </c>
      <c r="F3150" s="18" t="n">
        <f aca="false">(E3150+G3150)/2</f>
        <v>3.81038460999982</v>
      </c>
      <c r="G3150" s="18" t="n">
        <f aca="false">EXP(-'Black-Scholes'!$B$8*'Black-Scholes'!$B$7)*IF(LOWER('Black-Scholes'!$B$11)="put",MAX('Black-Scholes'!$B$6-D3150,0),MAX(D3150-'Black-Scholes'!$B$6,0))</f>
        <v>7.62076921999964</v>
      </c>
    </row>
    <row r="3151" customFormat="false" ht="15" hidden="false" customHeight="false" outlineLevel="0" collapsed="false">
      <c r="A3151" s="0" t="n">
        <v>3140</v>
      </c>
      <c r="B3151" s="15" t="n">
        <v>-0.859281247351818</v>
      </c>
      <c r="C3151" s="18" t="n">
        <f aca="false">'Black-Scholes'!$B$5*EXP(('Black-Scholes'!$B$8-'Black-Scholes'!$B$10-'Black-Scholes'!$B$9^2/2)*'Black-Scholes'!$B$7+'Black-Scholes'!$B$9*SQRT('Black-Scholes'!$B$7)*B3151)</f>
        <v>86.7745986465843</v>
      </c>
      <c r="D3151" s="18" t="n">
        <f aca="false">'Black-Scholes'!$B$5*EXP(('Black-Scholes'!$B$8-'Black-Scholes'!$B$10-'Black-Scholes'!$B$9^2/2)*'Black-Scholes'!$B$7-'Black-Scholes'!$B$9*SQRT('Black-Scholes'!$B$7)*B3151)</f>
        <v>122.367209195632</v>
      </c>
      <c r="E3151" s="18" t="n">
        <f aca="false">EXP(-'Black-Scholes'!$B$8*'Black-Scholes'!$B$7)*IF(LOWER('Black-Scholes'!$B$11)="put",MAX('Black-Scholes'!$B$6-C3151,0),MAX(C3151-'Black-Scholes'!$B$6,0))</f>
        <v>0</v>
      </c>
      <c r="F3151" s="18" t="n">
        <f aca="false">(E3151+G3151)/2</f>
        <v>10.6381737654241</v>
      </c>
      <c r="G3151" s="18" t="n">
        <f aca="false">EXP(-'Black-Scholes'!$B$8*'Black-Scholes'!$B$7)*IF(LOWER('Black-Scholes'!$B$11)="put",MAX('Black-Scholes'!$B$6-D3151,0),MAX(D3151-'Black-Scholes'!$B$6,0))</f>
        <v>21.2763475308482</v>
      </c>
    </row>
    <row r="3152" customFormat="false" ht="15" hidden="false" customHeight="false" outlineLevel="0" collapsed="false">
      <c r="A3152" s="0" t="n">
        <v>3141</v>
      </c>
      <c r="B3152" s="15" t="n">
        <v>-0.0279139961939332</v>
      </c>
      <c r="C3152" s="18" t="n">
        <f aca="false">'Black-Scholes'!$B$5*EXP(('Black-Scholes'!$B$8-'Black-Scholes'!$B$10-'Black-Scholes'!$B$9^2/2)*'Black-Scholes'!$B$7+'Black-Scholes'!$B$9*SQRT('Black-Scholes'!$B$7)*B3152)</f>
        <v>102.471774174553</v>
      </c>
      <c r="D3152" s="18" t="n">
        <f aca="false">'Black-Scholes'!$B$5*EXP(('Black-Scholes'!$B$8-'Black-Scholes'!$B$10-'Black-Scholes'!$B$9^2/2)*'Black-Scholes'!$B$7-'Black-Scholes'!$B$9*SQRT('Black-Scholes'!$B$7)*B3152)</f>
        <v>103.622344308844</v>
      </c>
      <c r="E3152" s="18" t="n">
        <f aca="false">EXP(-'Black-Scholes'!$B$8*'Black-Scholes'!$B$7)*IF(LOWER('Black-Scholes'!$B$11)="put",MAX('Black-Scholes'!$B$6-C3152,0),MAX(C3152-'Black-Scholes'!$B$6,0))</f>
        <v>2.35122432555561</v>
      </c>
      <c r="F3152" s="18" t="n">
        <f aca="false">(E3152+G3152)/2</f>
        <v>2.89845240890025</v>
      </c>
      <c r="G3152" s="18" t="n">
        <f aca="false">EXP(-'Black-Scholes'!$B$8*'Black-Scholes'!$B$7)*IF(LOWER('Black-Scholes'!$B$11)="put",MAX('Black-Scholes'!$B$6-D3152,0),MAX(D3152-'Black-Scholes'!$B$6,0))</f>
        <v>3.44568049224489</v>
      </c>
    </row>
    <row r="3153" customFormat="false" ht="15" hidden="false" customHeight="false" outlineLevel="0" collapsed="false">
      <c r="A3153" s="0" t="n">
        <v>3142</v>
      </c>
      <c r="B3153" s="15" t="n">
        <v>-1.84938469505942</v>
      </c>
      <c r="C3153" s="18" t="n">
        <f aca="false">'Black-Scholes'!$B$5*EXP(('Black-Scholes'!$B$8-'Black-Scholes'!$B$10-'Black-Scholes'!$B$9^2/2)*'Black-Scholes'!$B$7+'Black-Scholes'!$B$9*SQRT('Black-Scholes'!$B$7)*B3153)</f>
        <v>71.1857919311588</v>
      </c>
      <c r="D3153" s="18" t="n">
        <f aca="false">'Black-Scholes'!$B$5*EXP(('Black-Scholes'!$B$8-'Black-Scholes'!$B$10-'Black-Scholes'!$B$9^2/2)*'Black-Scholes'!$B$7-'Black-Scholes'!$B$9*SQRT('Black-Scholes'!$B$7)*B3153)</f>
        <v>149.164112351552</v>
      </c>
      <c r="E3153" s="18" t="n">
        <f aca="false">EXP(-'Black-Scholes'!$B$8*'Black-Scholes'!$B$7)*IF(LOWER('Black-Scholes'!$B$11)="put",MAX('Black-Scholes'!$B$6-C3153,0),MAX(C3153-'Black-Scholes'!$B$6,0))</f>
        <v>0</v>
      </c>
      <c r="F3153" s="18" t="n">
        <f aca="false">(E3153+G3153)/2</f>
        <v>23.3831751491277</v>
      </c>
      <c r="G3153" s="18" t="n">
        <f aca="false">EXP(-'Black-Scholes'!$B$8*'Black-Scholes'!$B$7)*IF(LOWER('Black-Scholes'!$B$11)="put",MAX('Black-Scholes'!$B$6-D3153,0),MAX(D3153-'Black-Scholes'!$B$6,0))</f>
        <v>46.7663502982555</v>
      </c>
    </row>
    <row r="3154" customFormat="false" ht="15" hidden="false" customHeight="false" outlineLevel="0" collapsed="false">
      <c r="A3154" s="0" t="n">
        <v>3143</v>
      </c>
      <c r="B3154" s="15" t="n">
        <v>-0.362003530847719</v>
      </c>
      <c r="C3154" s="18" t="n">
        <f aca="false">'Black-Scholes'!$B$5*EXP(('Black-Scholes'!$B$8-'Black-Scholes'!$B$10-'Black-Scholes'!$B$9^2/2)*'Black-Scholes'!$B$7+'Black-Scholes'!$B$9*SQRT('Black-Scholes'!$B$7)*B3154)</f>
        <v>95.848563250601</v>
      </c>
      <c r="D3154" s="18" t="n">
        <f aca="false">'Black-Scholes'!$B$5*EXP(('Black-Scholes'!$B$8-'Black-Scholes'!$B$10-'Black-Scholes'!$B$9^2/2)*'Black-Scholes'!$B$7-'Black-Scholes'!$B$9*SQRT('Black-Scholes'!$B$7)*B3154)</f>
        <v>110.782729603274</v>
      </c>
      <c r="E3154" s="18" t="n">
        <f aca="false">EXP(-'Black-Scholes'!$B$8*'Black-Scholes'!$B$7)*IF(LOWER('Black-Scholes'!$B$11)="put",MAX('Black-Scholes'!$B$6-C3154,0),MAX(C3154-'Black-Scholes'!$B$6,0))</f>
        <v>0</v>
      </c>
      <c r="F3154" s="18" t="n">
        <f aca="false">(E3154+G3154)/2</f>
        <v>5.12842483753436</v>
      </c>
      <c r="G3154" s="18" t="n">
        <f aca="false">EXP(-'Black-Scholes'!$B$8*'Black-Scholes'!$B$7)*IF(LOWER('Black-Scholes'!$B$11)="put",MAX('Black-Scholes'!$B$6-D3154,0),MAX(D3154-'Black-Scholes'!$B$6,0))</f>
        <v>10.2568496750687</v>
      </c>
    </row>
    <row r="3155" customFormat="false" ht="15" hidden="false" customHeight="false" outlineLevel="0" collapsed="false">
      <c r="A3155" s="0" t="n">
        <v>3144</v>
      </c>
      <c r="B3155" s="15" t="n">
        <v>-1.18793071967001</v>
      </c>
      <c r="C3155" s="18" t="n">
        <f aca="false">'Black-Scholes'!$B$5*EXP(('Black-Scholes'!$B$8-'Black-Scholes'!$B$10-'Black-Scholes'!$B$9^2/2)*'Black-Scholes'!$B$7+'Black-Scholes'!$B$9*SQRT('Black-Scholes'!$B$7)*B3155)</f>
        <v>81.2543243086653</v>
      </c>
      <c r="D3155" s="18" t="n">
        <f aca="false">'Black-Scholes'!$B$5*EXP(('Black-Scholes'!$B$8-'Black-Scholes'!$B$10-'Black-Scholes'!$B$9^2/2)*'Black-Scholes'!$B$7-'Black-Scholes'!$B$9*SQRT('Black-Scholes'!$B$7)*B3155)</f>
        <v>130.680619841438</v>
      </c>
      <c r="E3155" s="18" t="n">
        <f aca="false">EXP(-'Black-Scholes'!$B$8*'Black-Scholes'!$B$7)*IF(LOWER('Black-Scholes'!$B$11)="put",MAX('Black-Scholes'!$B$6-C3155,0),MAX(C3155-'Black-Scholes'!$B$6,0))</f>
        <v>0</v>
      </c>
      <c r="F3155" s="18" t="n">
        <f aca="false">(E3155+G3155)/2</f>
        <v>14.5921541775481</v>
      </c>
      <c r="G3155" s="18" t="n">
        <f aca="false">EXP(-'Black-Scholes'!$B$8*'Black-Scholes'!$B$7)*IF(LOWER('Black-Scholes'!$B$11)="put",MAX('Black-Scholes'!$B$6-D3155,0),MAX(D3155-'Black-Scholes'!$B$6,0))</f>
        <v>29.1843083550961</v>
      </c>
    </row>
    <row r="3156" customFormat="false" ht="15" hidden="false" customHeight="false" outlineLevel="0" collapsed="false">
      <c r="A3156" s="0" t="n">
        <v>3145</v>
      </c>
      <c r="B3156" s="15" t="n">
        <v>1.14913662971108</v>
      </c>
      <c r="C3156" s="18" t="n">
        <f aca="false">'Black-Scholes'!$B$5*EXP(('Black-Scholes'!$B$8-'Black-Scholes'!$B$10-'Black-Scholes'!$B$9^2/2)*'Black-Scholes'!$B$7+'Black-Scholes'!$B$9*SQRT('Black-Scholes'!$B$7)*B3156)</f>
        <v>129.670615981878</v>
      </c>
      <c r="D3156" s="18" t="n">
        <f aca="false">'Black-Scholes'!$B$5*EXP(('Black-Scholes'!$B$8-'Black-Scholes'!$B$10-'Black-Scholes'!$B$9^2/2)*'Black-Scholes'!$B$7-'Black-Scholes'!$B$9*SQRT('Black-Scholes'!$B$7)*B3156)</f>
        <v>81.8872138845825</v>
      </c>
      <c r="E3156" s="18" t="n">
        <f aca="false">EXP(-'Black-Scholes'!$B$8*'Black-Scholes'!$B$7)*IF(LOWER('Black-Scholes'!$B$11)="put",MAX('Black-Scholes'!$B$6-C3156,0),MAX(C3156-'Black-Scholes'!$B$6,0))</f>
        <v>28.2235629650235</v>
      </c>
      <c r="F3156" s="18" t="n">
        <f aca="false">(E3156+G3156)/2</f>
        <v>14.1117814825117</v>
      </c>
      <c r="G3156" s="18" t="n">
        <f aca="false">EXP(-'Black-Scholes'!$B$8*'Black-Scholes'!$B$7)*IF(LOWER('Black-Scholes'!$B$11)="put",MAX('Black-Scholes'!$B$6-D3156,0),MAX(D3156-'Black-Scholes'!$B$6,0))</f>
        <v>0</v>
      </c>
    </row>
    <row r="3157" customFormat="false" ht="15" hidden="false" customHeight="false" outlineLevel="0" collapsed="false">
      <c r="A3157" s="0" t="n">
        <v>3146</v>
      </c>
      <c r="B3157" s="15" t="n">
        <v>-0.823798736398737</v>
      </c>
      <c r="C3157" s="18" t="n">
        <f aca="false">'Black-Scholes'!$B$5*EXP(('Black-Scholes'!$B$8-'Black-Scholes'!$B$10-'Black-Scholes'!$B$9^2/2)*'Black-Scholes'!$B$7+'Black-Scholes'!$B$9*SQRT('Black-Scholes'!$B$7)*B3157)</f>
        <v>87.3925849530605</v>
      </c>
      <c r="D3157" s="18" t="n">
        <f aca="false">'Black-Scholes'!$B$5*EXP(('Black-Scholes'!$B$8-'Black-Scholes'!$B$10-'Black-Scholes'!$B$9^2/2)*'Black-Scholes'!$B$7-'Black-Scholes'!$B$9*SQRT('Black-Scholes'!$B$7)*B3157)</f>
        <v>121.501903979117</v>
      </c>
      <c r="E3157" s="18" t="n">
        <f aca="false">EXP(-'Black-Scholes'!$B$8*'Black-Scholes'!$B$7)*IF(LOWER('Black-Scholes'!$B$11)="put",MAX('Black-Scholes'!$B$6-C3157,0),MAX(C3157-'Black-Scholes'!$B$6,0))</f>
        <v>0</v>
      </c>
      <c r="F3157" s="18" t="n">
        <f aca="false">(E3157+G3157)/2</f>
        <v>10.2266218738627</v>
      </c>
      <c r="G3157" s="18" t="n">
        <f aca="false">EXP(-'Black-Scholes'!$B$8*'Black-Scholes'!$B$7)*IF(LOWER('Black-Scholes'!$B$11)="put",MAX('Black-Scholes'!$B$6-D3157,0),MAX(D3157-'Black-Scholes'!$B$6,0))</f>
        <v>20.4532437477253</v>
      </c>
    </row>
    <row r="3158" customFormat="false" ht="15" hidden="false" customHeight="false" outlineLevel="0" collapsed="false">
      <c r="A3158" s="0" t="n">
        <v>3147</v>
      </c>
      <c r="B3158" s="15" t="n">
        <v>-0.153718928530582</v>
      </c>
      <c r="C3158" s="18" t="n">
        <f aca="false">'Black-Scholes'!$B$5*EXP(('Black-Scholes'!$B$8-'Black-Scholes'!$B$10-'Black-Scholes'!$B$9^2/2)*'Black-Scholes'!$B$7+'Black-Scholes'!$B$9*SQRT('Black-Scholes'!$B$7)*B3158)</f>
        <v>99.9256490833906</v>
      </c>
      <c r="D3158" s="18" t="n">
        <f aca="false">'Black-Scholes'!$B$5*EXP(('Black-Scholes'!$B$8-'Black-Scholes'!$B$10-'Black-Scholes'!$B$9^2/2)*'Black-Scholes'!$B$7-'Black-Scholes'!$B$9*SQRT('Black-Scholes'!$B$7)*B3158)</f>
        <v>106.262661917685</v>
      </c>
      <c r="E3158" s="18" t="n">
        <f aca="false">EXP(-'Black-Scholes'!$B$8*'Black-Scholes'!$B$7)*IF(LOWER('Black-Scholes'!$B$11)="put",MAX('Black-Scholes'!$B$6-C3158,0),MAX(C3158-'Black-Scholes'!$B$6,0))</f>
        <v>0</v>
      </c>
      <c r="F3158" s="18" t="n">
        <f aca="false">(E3158+G3158)/2</f>
        <v>2.97861414590119</v>
      </c>
      <c r="G3158" s="18" t="n">
        <f aca="false">EXP(-'Black-Scholes'!$B$8*'Black-Scholes'!$B$7)*IF(LOWER('Black-Scholes'!$B$11)="put",MAX('Black-Scholes'!$B$6-D3158,0),MAX(D3158-'Black-Scholes'!$B$6,0))</f>
        <v>5.95722829180239</v>
      </c>
    </row>
    <row r="3159" customFormat="false" ht="15" hidden="false" customHeight="false" outlineLevel="0" collapsed="false">
      <c r="A3159" s="0" t="n">
        <v>3148</v>
      </c>
      <c r="B3159" s="15" t="n">
        <v>-2.71743313808593</v>
      </c>
      <c r="C3159" s="18" t="n">
        <f aca="false">'Black-Scholes'!$B$5*EXP(('Black-Scholes'!$B$8-'Black-Scholes'!$B$10-'Black-Scholes'!$B$9^2/2)*'Black-Scholes'!$B$7+'Black-Scholes'!$B$9*SQRT('Black-Scholes'!$B$7)*B3159)</f>
        <v>59.8405520088743</v>
      </c>
      <c r="D3159" s="18" t="n">
        <f aca="false">'Black-Scholes'!$B$5*EXP(('Black-Scholes'!$B$8-'Black-Scholes'!$B$10-'Black-Scholes'!$B$9^2/2)*'Black-Scholes'!$B$7-'Black-Scholes'!$B$9*SQRT('Black-Scholes'!$B$7)*B3159)</f>
        <v>177.444310070517</v>
      </c>
      <c r="E3159" s="18" t="n">
        <f aca="false">EXP(-'Black-Scholes'!$B$8*'Black-Scholes'!$B$7)*IF(LOWER('Black-Scholes'!$B$11)="put",MAX('Black-Scholes'!$B$6-C3159,0),MAX(C3159-'Black-Scholes'!$B$6,0))</f>
        <v>0</v>
      </c>
      <c r="F3159" s="18" t="n">
        <f aca="false">(E3159+G3159)/2</f>
        <v>36.8336532496164</v>
      </c>
      <c r="G3159" s="18" t="n">
        <f aca="false">EXP(-'Black-Scholes'!$B$8*'Black-Scholes'!$B$7)*IF(LOWER('Black-Scholes'!$B$11)="put",MAX('Black-Scholes'!$B$6-D3159,0),MAX(D3159-'Black-Scholes'!$B$6,0))</f>
        <v>73.6673064992328</v>
      </c>
    </row>
    <row r="3160" customFormat="false" ht="15" hidden="false" customHeight="false" outlineLevel="0" collapsed="false">
      <c r="A3160" s="0" t="n">
        <v>3149</v>
      </c>
      <c r="B3160" s="15" t="n">
        <v>1.02464841115013</v>
      </c>
      <c r="C3160" s="18" t="n">
        <f aca="false">'Black-Scholes'!$B$5*EXP(('Black-Scholes'!$B$8-'Black-Scholes'!$B$10-'Black-Scholes'!$B$9^2/2)*'Black-Scholes'!$B$7+'Black-Scholes'!$B$9*SQRT('Black-Scholes'!$B$7)*B3160)</f>
        <v>126.481982629621</v>
      </c>
      <c r="D3160" s="18" t="n">
        <f aca="false">'Black-Scholes'!$B$5*EXP(('Black-Scholes'!$B$8-'Black-Scholes'!$B$10-'Black-Scholes'!$B$9^2/2)*'Black-Scholes'!$B$7-'Black-Scholes'!$B$9*SQRT('Black-Scholes'!$B$7)*B3160)</f>
        <v>83.951605159033</v>
      </c>
      <c r="E3160" s="18" t="n">
        <f aca="false">EXP(-'Black-Scholes'!$B$8*'Black-Scholes'!$B$7)*IF(LOWER('Black-Scholes'!$B$11)="put",MAX('Black-Scholes'!$B$6-C3160,0),MAX(C3160-'Black-Scholes'!$B$6,0))</f>
        <v>25.1904410964121</v>
      </c>
      <c r="F3160" s="18" t="n">
        <f aca="false">(E3160+G3160)/2</f>
        <v>12.595220548206</v>
      </c>
      <c r="G3160" s="18" t="n">
        <f aca="false">EXP(-'Black-Scholes'!$B$8*'Black-Scholes'!$B$7)*IF(LOWER('Black-Scholes'!$B$11)="put",MAX('Black-Scholes'!$B$6-D3160,0),MAX(D3160-'Black-Scholes'!$B$6,0))</f>
        <v>0</v>
      </c>
    </row>
    <row r="3161" customFormat="false" ht="15" hidden="false" customHeight="false" outlineLevel="0" collapsed="false">
      <c r="A3161" s="0" t="n">
        <v>3150</v>
      </c>
      <c r="B3161" s="15" t="n">
        <v>-0.0959250337307054</v>
      </c>
      <c r="C3161" s="18" t="n">
        <f aca="false">'Black-Scholes'!$B$5*EXP(('Black-Scholes'!$B$8-'Black-Scholes'!$B$10-'Black-Scholes'!$B$9^2/2)*'Black-Scholes'!$B$7+'Black-Scholes'!$B$9*SQRT('Black-Scholes'!$B$7)*B3161)</f>
        <v>101.087368669228</v>
      </c>
      <c r="D3161" s="18" t="n">
        <f aca="false">'Black-Scholes'!$B$5*EXP(('Black-Scholes'!$B$8-'Black-Scholes'!$B$10-'Black-Scholes'!$B$9^2/2)*'Black-Scholes'!$B$7-'Black-Scholes'!$B$9*SQRT('Black-Scholes'!$B$7)*B3161)</f>
        <v>105.041466656416</v>
      </c>
      <c r="E3161" s="18" t="n">
        <f aca="false">EXP(-'Black-Scholes'!$B$8*'Black-Scholes'!$B$7)*IF(LOWER('Black-Scholes'!$B$11)="put",MAX('Black-Scholes'!$B$6-C3161,0),MAX(C3161-'Black-Scholes'!$B$6,0))</f>
        <v>1.03433707344991</v>
      </c>
      <c r="F3161" s="18" t="n">
        <f aca="false">(E3161+G3161)/2</f>
        <v>2.91496424983625</v>
      </c>
      <c r="G3161" s="18" t="n">
        <f aca="false">EXP(-'Black-Scholes'!$B$8*'Black-Scholes'!$B$7)*IF(LOWER('Black-Scholes'!$B$11)="put",MAX('Black-Scholes'!$B$6-D3161,0),MAX(D3161-'Black-Scholes'!$B$6,0))</f>
        <v>4.79559142622258</v>
      </c>
    </row>
    <row r="3162" customFormat="false" ht="15" hidden="false" customHeight="false" outlineLevel="0" collapsed="false">
      <c r="A3162" s="0" t="n">
        <v>3151</v>
      </c>
      <c r="B3162" s="15" t="n">
        <v>1.22643705228227</v>
      </c>
      <c r="C3162" s="18" t="n">
        <f aca="false">'Black-Scholes'!$B$5*EXP(('Black-Scholes'!$B$8-'Black-Scholes'!$B$10-'Black-Scholes'!$B$9^2/2)*'Black-Scholes'!$B$7+'Black-Scholes'!$B$9*SQRT('Black-Scholes'!$B$7)*B3162)</f>
        <v>131.690911393089</v>
      </c>
      <c r="D3162" s="18" t="n">
        <f aca="false">'Black-Scholes'!$B$5*EXP(('Black-Scholes'!$B$8-'Black-Scholes'!$B$10-'Black-Scholes'!$B$9^2/2)*'Black-Scholes'!$B$7-'Black-Scholes'!$B$9*SQRT('Black-Scholes'!$B$7)*B3162)</f>
        <v>80.6309665042751</v>
      </c>
      <c r="E3162" s="18" t="n">
        <f aca="false">EXP(-'Black-Scholes'!$B$8*'Black-Scholes'!$B$7)*IF(LOWER('Black-Scholes'!$B$11)="put",MAX('Black-Scholes'!$B$6-C3162,0),MAX(C3162-'Black-Scholes'!$B$6,0))</f>
        <v>30.1453274063509</v>
      </c>
      <c r="F3162" s="18" t="n">
        <f aca="false">(E3162+G3162)/2</f>
        <v>15.0726637031755</v>
      </c>
      <c r="G3162" s="18" t="n">
        <f aca="false">EXP(-'Black-Scholes'!$B$8*'Black-Scholes'!$B$7)*IF(LOWER('Black-Scholes'!$B$11)="put",MAX('Black-Scholes'!$B$6-D3162,0),MAX(D3162-'Black-Scholes'!$B$6,0))</f>
        <v>0</v>
      </c>
    </row>
    <row r="3163" customFormat="false" ht="15" hidden="false" customHeight="false" outlineLevel="0" collapsed="false">
      <c r="A3163" s="0" t="n">
        <v>3152</v>
      </c>
      <c r="B3163" s="15" t="n">
        <v>0.758610760026889</v>
      </c>
      <c r="C3163" s="18" t="n">
        <f aca="false">'Black-Scholes'!$B$5*EXP(('Black-Scholes'!$B$8-'Black-Scholes'!$B$10-'Black-Scholes'!$B$9^2/2)*'Black-Scholes'!$B$7+'Black-Scholes'!$B$9*SQRT('Black-Scholes'!$B$7)*B3163)</f>
        <v>119.92809297823</v>
      </c>
      <c r="D3163" s="18" t="n">
        <f aca="false">'Black-Scholes'!$B$5*EXP(('Black-Scholes'!$B$8-'Black-Scholes'!$B$10-'Black-Scholes'!$B$9^2/2)*'Black-Scholes'!$B$7-'Black-Scholes'!$B$9*SQRT('Black-Scholes'!$B$7)*B3163)</f>
        <v>88.5394339371433</v>
      </c>
      <c r="E3163" s="18" t="n">
        <f aca="false">EXP(-'Black-Scholes'!$B$8*'Black-Scholes'!$B$7)*IF(LOWER('Black-Scholes'!$B$11)="put",MAX('Black-Scholes'!$B$6-C3163,0),MAX(C3163-'Black-Scholes'!$B$6,0))</f>
        <v>18.9561884150787</v>
      </c>
      <c r="F3163" s="18" t="n">
        <f aca="false">(E3163+G3163)/2</f>
        <v>9.47809420753937</v>
      </c>
      <c r="G3163" s="18" t="n">
        <f aca="false">EXP(-'Black-Scholes'!$B$8*'Black-Scholes'!$B$7)*IF(LOWER('Black-Scholes'!$B$11)="put",MAX('Black-Scholes'!$B$6-D3163,0),MAX(D3163-'Black-Scholes'!$B$6,0))</f>
        <v>0</v>
      </c>
    </row>
    <row r="3164" customFormat="false" ht="15" hidden="false" customHeight="false" outlineLevel="0" collapsed="false">
      <c r="A3164" s="0" t="n">
        <v>3153</v>
      </c>
      <c r="B3164" s="15" t="n">
        <v>0.254709326164787</v>
      </c>
      <c r="C3164" s="18" t="n">
        <f aca="false">'Black-Scholes'!$B$5*EXP(('Black-Scholes'!$B$8-'Black-Scholes'!$B$10-'Black-Scholes'!$B$9^2/2)*'Black-Scholes'!$B$7+'Black-Scholes'!$B$9*SQRT('Black-Scholes'!$B$7)*B3164)</f>
        <v>108.430785874966</v>
      </c>
      <c r="D3164" s="18" t="n">
        <f aca="false">'Black-Scholes'!$B$5*EXP(('Black-Scholes'!$B$8-'Black-Scholes'!$B$10-'Black-Scholes'!$B$9^2/2)*'Black-Scholes'!$B$7-'Black-Scholes'!$B$9*SQRT('Black-Scholes'!$B$7)*B3164)</f>
        <v>97.927589289059</v>
      </c>
      <c r="E3164" s="18" t="n">
        <f aca="false">EXP(-'Black-Scholes'!$B$8*'Black-Scholes'!$B$7)*IF(LOWER('Black-Scholes'!$B$11)="put",MAX('Black-Scholes'!$B$6-C3164,0),MAX(C3164-'Black-Scholes'!$B$6,0))</f>
        <v>8.01961159593293</v>
      </c>
      <c r="F3164" s="18" t="n">
        <f aca="false">(E3164+G3164)/2</f>
        <v>4.00980579796647</v>
      </c>
      <c r="G3164" s="18" t="n">
        <f aca="false">EXP(-'Black-Scholes'!$B$8*'Black-Scholes'!$B$7)*IF(LOWER('Black-Scholes'!$B$11)="put",MAX('Black-Scholes'!$B$6-D3164,0),MAX(D3164-'Black-Scholes'!$B$6,0))</f>
        <v>0</v>
      </c>
    </row>
    <row r="3165" customFormat="false" ht="15" hidden="false" customHeight="false" outlineLevel="0" collapsed="false">
      <c r="A3165" s="0" t="n">
        <v>3154</v>
      </c>
      <c r="B3165" s="15" t="n">
        <v>0.0992599383747628</v>
      </c>
      <c r="C3165" s="18" t="n">
        <f aca="false">'Black-Scholes'!$B$5*EXP(('Black-Scholes'!$B$8-'Black-Scholes'!$B$10-'Black-Scholes'!$B$9^2/2)*'Black-Scholes'!$B$7+'Black-Scholes'!$B$9*SQRT('Black-Scholes'!$B$7)*B3165)</f>
        <v>105.111550681166</v>
      </c>
      <c r="D3165" s="18" t="n">
        <f aca="false">'Black-Scholes'!$B$5*EXP(('Black-Scholes'!$B$8-'Black-Scholes'!$B$10-'Black-Scholes'!$B$9^2/2)*'Black-Scholes'!$B$7-'Black-Scholes'!$B$9*SQRT('Black-Scholes'!$B$7)*B3165)</f>
        <v>101.019967802227</v>
      </c>
      <c r="E3165" s="18" t="n">
        <f aca="false">EXP(-'Black-Scholes'!$B$8*'Black-Scholes'!$B$7)*IF(LOWER('Black-Scholes'!$B$11)="put",MAX('Black-Scholes'!$B$6-C3165,0),MAX(C3165-'Black-Scholes'!$B$6,0))</f>
        <v>4.86225741275224</v>
      </c>
      <c r="F3165" s="18" t="n">
        <f aca="false">(E3165+G3165)/2</f>
        <v>2.91624039913697</v>
      </c>
      <c r="G3165" s="18" t="n">
        <f aca="false">EXP(-'Black-Scholes'!$B$8*'Black-Scholes'!$B$7)*IF(LOWER('Black-Scholes'!$B$11)="put",MAX('Black-Scholes'!$B$6-D3165,0),MAX(D3165-'Black-Scholes'!$B$6,0))</f>
        <v>0.970223385521702</v>
      </c>
    </row>
    <row r="3166" customFormat="false" ht="15" hidden="false" customHeight="false" outlineLevel="0" collapsed="false">
      <c r="A3166" s="0" t="n">
        <v>3155</v>
      </c>
      <c r="B3166" s="15" t="n">
        <v>-0.144135822303738</v>
      </c>
      <c r="C3166" s="18" t="n">
        <f aca="false">'Black-Scholes'!$B$5*EXP(('Black-Scholes'!$B$8-'Black-Scholes'!$B$10-'Black-Scholes'!$B$9^2/2)*'Black-Scholes'!$B$7+'Black-Scholes'!$B$9*SQRT('Black-Scholes'!$B$7)*B3166)</f>
        <v>100.117352357981</v>
      </c>
      <c r="D3166" s="18" t="n">
        <f aca="false">'Black-Scholes'!$B$5*EXP(('Black-Scholes'!$B$8-'Black-Scholes'!$B$10-'Black-Scholes'!$B$9^2/2)*'Black-Scholes'!$B$7-'Black-Scholes'!$B$9*SQRT('Black-Scholes'!$B$7)*B3166)</f>
        <v>106.059191692229</v>
      </c>
      <c r="E3166" s="18" t="n">
        <f aca="false">EXP(-'Black-Scholes'!$B$8*'Black-Scholes'!$B$7)*IF(LOWER('Black-Scholes'!$B$11)="put",MAX('Black-Scholes'!$B$6-C3166,0),MAX(C3166-'Black-Scholes'!$B$6,0))</f>
        <v>0.111629015946384</v>
      </c>
      <c r="F3166" s="18" t="n">
        <f aca="false">(E3166+G3166)/2</f>
        <v>2.93765522114253</v>
      </c>
      <c r="G3166" s="18" t="n">
        <f aca="false">EXP(-'Black-Scholes'!$B$8*'Black-Scholes'!$B$7)*IF(LOWER('Black-Scholes'!$B$11)="put",MAX('Black-Scholes'!$B$6-D3166,0),MAX(D3166-'Black-Scholes'!$B$6,0))</f>
        <v>5.76368142633868</v>
      </c>
    </row>
    <row r="3167" customFormat="false" ht="15" hidden="false" customHeight="false" outlineLevel="0" collapsed="false">
      <c r="A3167" s="0" t="n">
        <v>3156</v>
      </c>
      <c r="B3167" s="15" t="n">
        <v>0.662514555271171</v>
      </c>
      <c r="C3167" s="18" t="n">
        <f aca="false">'Black-Scholes'!$B$5*EXP(('Black-Scholes'!$B$8-'Black-Scholes'!$B$10-'Black-Scholes'!$B$9^2/2)*'Black-Scholes'!$B$7+'Black-Scholes'!$B$9*SQRT('Black-Scholes'!$B$7)*B3167)</f>
        <v>117.645174315853</v>
      </c>
      <c r="D3167" s="18" t="n">
        <f aca="false">'Black-Scholes'!$B$5*EXP(('Black-Scholes'!$B$8-'Black-Scholes'!$B$10-'Black-Scholes'!$B$9^2/2)*'Black-Scholes'!$B$7-'Black-Scholes'!$B$9*SQRT('Black-Scholes'!$B$7)*B3167)</f>
        <v>90.2575522302805</v>
      </c>
      <c r="E3167" s="18" t="n">
        <f aca="false">EXP(-'Black-Scholes'!$B$8*'Black-Scholes'!$B$7)*IF(LOWER('Black-Scholes'!$B$11)="put",MAX('Black-Scholes'!$B$6-C3167,0),MAX(C3167-'Black-Scholes'!$B$6,0))</f>
        <v>16.784609009684</v>
      </c>
      <c r="F3167" s="18" t="n">
        <f aca="false">(E3167+G3167)/2</f>
        <v>8.392304504842</v>
      </c>
      <c r="G3167" s="18" t="n">
        <f aca="false">EXP(-'Black-Scholes'!$B$8*'Black-Scholes'!$B$7)*IF(LOWER('Black-Scholes'!$B$11)="put",MAX('Black-Scholes'!$B$6-D3167,0),MAX(D3167-'Black-Scholes'!$B$6,0))</f>
        <v>0</v>
      </c>
    </row>
    <row r="3168" customFormat="false" ht="15" hidden="false" customHeight="false" outlineLevel="0" collapsed="false">
      <c r="A3168" s="0" t="n">
        <v>3157</v>
      </c>
      <c r="B3168" s="15" t="n">
        <v>-0.855579402473288</v>
      </c>
      <c r="C3168" s="18" t="n">
        <f aca="false">'Black-Scholes'!$B$5*EXP(('Black-Scholes'!$B$8-'Black-Scholes'!$B$10-'Black-Scholes'!$B$9^2/2)*'Black-Scholes'!$B$7+'Black-Scholes'!$B$9*SQRT('Black-Scholes'!$B$7)*B3168)</f>
        <v>86.8388676557561</v>
      </c>
      <c r="D3168" s="18" t="n">
        <f aca="false">'Black-Scholes'!$B$5*EXP(('Black-Scholes'!$B$8-'Black-Scholes'!$B$10-'Black-Scholes'!$B$9^2/2)*'Black-Scholes'!$B$7-'Black-Scholes'!$B$9*SQRT('Black-Scholes'!$B$7)*B3168)</f>
        <v>122.276645839586</v>
      </c>
      <c r="E3168" s="18" t="n">
        <f aca="false">EXP(-'Black-Scholes'!$B$8*'Black-Scholes'!$B$7)*IF(LOWER('Black-Scholes'!$B$11)="put",MAX('Black-Scholes'!$B$6-C3168,0),MAX(C3168-'Black-Scholes'!$B$6,0))</f>
        <v>0</v>
      </c>
      <c r="F3168" s="18" t="n">
        <f aca="false">(E3168+G3168)/2</f>
        <v>10.595100500898</v>
      </c>
      <c r="G3168" s="18" t="n">
        <f aca="false">EXP(-'Black-Scholes'!$B$8*'Black-Scholes'!$B$7)*IF(LOWER('Black-Scholes'!$B$11)="put",MAX('Black-Scholes'!$B$6-D3168,0),MAX(D3168-'Black-Scholes'!$B$6,0))</f>
        <v>21.1902010017959</v>
      </c>
    </row>
    <row r="3169" customFormat="false" ht="15" hidden="false" customHeight="false" outlineLevel="0" collapsed="false">
      <c r="A3169" s="0" t="n">
        <v>3158</v>
      </c>
      <c r="B3169" s="15" t="n">
        <v>-0.33755001514579</v>
      </c>
      <c r="C3169" s="18" t="n">
        <f aca="false">'Black-Scholes'!$B$5*EXP(('Black-Scholes'!$B$8-'Black-Scholes'!$B$10-'Black-Scholes'!$B$9^2/2)*'Black-Scholes'!$B$7+'Black-Scholes'!$B$9*SQRT('Black-Scholes'!$B$7)*B3169)</f>
        <v>96.3184782907165</v>
      </c>
      <c r="D3169" s="18" t="n">
        <f aca="false">'Black-Scholes'!$B$5*EXP(('Black-Scholes'!$B$8-'Black-Scholes'!$B$10-'Black-Scholes'!$B$9^2/2)*'Black-Scholes'!$B$7-'Black-Scholes'!$B$9*SQRT('Black-Scholes'!$B$7)*B3169)</f>
        <v>110.242246907227</v>
      </c>
      <c r="E3169" s="18" t="n">
        <f aca="false">EXP(-'Black-Scholes'!$B$8*'Black-Scholes'!$B$7)*IF(LOWER('Black-Scholes'!$B$11)="put",MAX('Black-Scholes'!$B$6-C3169,0),MAX(C3169-'Black-Scholes'!$B$6,0))</f>
        <v>0</v>
      </c>
      <c r="F3169" s="18" t="n">
        <f aca="false">(E3169+G3169)/2</f>
        <v>4.87136331557809</v>
      </c>
      <c r="G3169" s="18" t="n">
        <f aca="false">EXP(-'Black-Scholes'!$B$8*'Black-Scholes'!$B$7)*IF(LOWER('Black-Scholes'!$B$11)="put",MAX('Black-Scholes'!$B$6-D3169,0),MAX(D3169-'Black-Scholes'!$B$6,0))</f>
        <v>9.74272663115618</v>
      </c>
    </row>
    <row r="3170" customFormat="false" ht="15" hidden="false" customHeight="false" outlineLevel="0" collapsed="false">
      <c r="A3170" s="0" t="n">
        <v>3159</v>
      </c>
      <c r="B3170" s="15" t="n">
        <v>1.14510399809262</v>
      </c>
      <c r="C3170" s="18" t="n">
        <f aca="false">'Black-Scholes'!$B$5*EXP(('Black-Scholes'!$B$8-'Black-Scholes'!$B$10-'Black-Scholes'!$B$9^2/2)*'Black-Scholes'!$B$7+'Black-Scholes'!$B$9*SQRT('Black-Scholes'!$B$7)*B3170)</f>
        <v>129.56607537972</v>
      </c>
      <c r="D3170" s="18" t="n">
        <f aca="false">'Black-Scholes'!$B$5*EXP(('Black-Scholes'!$B$8-'Black-Scholes'!$B$10-'Black-Scholes'!$B$9^2/2)*'Black-Scholes'!$B$7-'Black-Scholes'!$B$9*SQRT('Black-Scholes'!$B$7)*B3170)</f>
        <v>81.953284718506</v>
      </c>
      <c r="E3170" s="18" t="n">
        <f aca="false">EXP(-'Black-Scholes'!$B$8*'Black-Scholes'!$B$7)*IF(LOWER('Black-Scholes'!$B$11)="put",MAX('Black-Scholes'!$B$6-C3170,0),MAX(C3170-'Black-Scholes'!$B$6,0))</f>
        <v>28.1241208681957</v>
      </c>
      <c r="F3170" s="18" t="n">
        <f aca="false">(E3170+G3170)/2</f>
        <v>14.0620604340978</v>
      </c>
      <c r="G3170" s="18" t="n">
        <f aca="false">EXP(-'Black-Scholes'!$B$8*'Black-Scholes'!$B$7)*IF(LOWER('Black-Scholes'!$B$11)="put",MAX('Black-Scholes'!$B$6-D3170,0),MAX(D3170-'Black-Scholes'!$B$6,0))</f>
        <v>0</v>
      </c>
    </row>
    <row r="3171" customFormat="false" ht="15" hidden="false" customHeight="false" outlineLevel="0" collapsed="false">
      <c r="A3171" s="0" t="n">
        <v>3160</v>
      </c>
      <c r="B3171" s="15" t="n">
        <v>-0.600338750893344</v>
      </c>
      <c r="C3171" s="18" t="n">
        <f aca="false">'Black-Scholes'!$B$5*EXP(('Black-Scholes'!$B$8-'Black-Scholes'!$B$10-'Black-Scholes'!$B$9^2/2)*'Black-Scholes'!$B$7+'Black-Scholes'!$B$9*SQRT('Black-Scholes'!$B$7)*B3171)</f>
        <v>91.38692683676</v>
      </c>
      <c r="D3171" s="18" t="n">
        <f aca="false">'Black-Scholes'!$B$5*EXP(('Black-Scholes'!$B$8-'Black-Scholes'!$B$10-'Black-Scholes'!$B$9^2/2)*'Black-Scholes'!$B$7-'Black-Scholes'!$B$9*SQRT('Black-Scholes'!$B$7)*B3171)</f>
        <v>116.191295987233</v>
      </c>
      <c r="E3171" s="18" t="n">
        <f aca="false">EXP(-'Black-Scholes'!$B$8*'Black-Scholes'!$B$7)*IF(LOWER('Black-Scholes'!$B$11)="put",MAX('Black-Scholes'!$B$6-C3171,0),MAX(C3171-'Black-Scholes'!$B$6,0))</f>
        <v>0</v>
      </c>
      <c r="F3171" s="18" t="n">
        <f aca="false">(E3171+G3171)/2</f>
        <v>7.70081858192826</v>
      </c>
      <c r="G3171" s="18" t="n">
        <f aca="false">EXP(-'Black-Scholes'!$B$8*'Black-Scholes'!$B$7)*IF(LOWER('Black-Scholes'!$B$11)="put",MAX('Black-Scholes'!$B$6-D3171,0),MAX(D3171-'Black-Scholes'!$B$6,0))</f>
        <v>15.4016371638565</v>
      </c>
    </row>
    <row r="3172" customFormat="false" ht="15" hidden="false" customHeight="false" outlineLevel="0" collapsed="false">
      <c r="A3172" s="0" t="n">
        <v>3161</v>
      </c>
      <c r="B3172" s="15" t="n">
        <v>0.678989391116211</v>
      </c>
      <c r="C3172" s="18" t="n">
        <f aca="false">'Black-Scholes'!$B$5*EXP(('Black-Scholes'!$B$8-'Black-Scholes'!$B$10-'Black-Scholes'!$B$9^2/2)*'Black-Scholes'!$B$7+'Black-Scholes'!$B$9*SQRT('Black-Scholes'!$B$7)*B3172)</f>
        <v>118.033450630384</v>
      </c>
      <c r="D3172" s="18" t="n">
        <f aca="false">'Black-Scholes'!$B$5*EXP(('Black-Scholes'!$B$8-'Black-Scholes'!$B$10-'Black-Scholes'!$B$9^2/2)*'Black-Scholes'!$B$7-'Black-Scholes'!$B$9*SQRT('Black-Scholes'!$B$7)*B3172)</f>
        <v>89.9606459757284</v>
      </c>
      <c r="E3172" s="18" t="n">
        <f aca="false">EXP(-'Black-Scholes'!$B$8*'Black-Scholes'!$B$7)*IF(LOWER('Black-Scholes'!$B$11)="put",MAX('Black-Scholes'!$B$6-C3172,0),MAX(C3172-'Black-Scholes'!$B$6,0))</f>
        <v>17.1539488649022</v>
      </c>
      <c r="F3172" s="18" t="n">
        <f aca="false">(E3172+G3172)/2</f>
        <v>8.57697443245112</v>
      </c>
      <c r="G3172" s="18" t="n">
        <f aca="false">EXP(-'Black-Scholes'!$B$8*'Black-Scholes'!$B$7)*IF(LOWER('Black-Scholes'!$B$11)="put",MAX('Black-Scholes'!$B$6-D3172,0),MAX(D3172-'Black-Scholes'!$B$6,0))</f>
        <v>0</v>
      </c>
    </row>
    <row r="3173" customFormat="false" ht="15" hidden="false" customHeight="false" outlineLevel="0" collapsed="false">
      <c r="A3173" s="0" t="n">
        <v>3162</v>
      </c>
      <c r="B3173" s="15" t="n">
        <v>0.186874314501324</v>
      </c>
      <c r="C3173" s="18" t="n">
        <f aca="false">'Black-Scholes'!$B$5*EXP(('Black-Scholes'!$B$8-'Black-Scholes'!$B$10-'Black-Scholes'!$B$9^2/2)*'Black-Scholes'!$B$7+'Black-Scholes'!$B$9*SQRT('Black-Scholes'!$B$7)*B3173)</f>
        <v>106.969639251805</v>
      </c>
      <c r="D3173" s="18" t="n">
        <f aca="false">'Black-Scholes'!$B$5*EXP(('Black-Scholes'!$B$8-'Black-Scholes'!$B$10-'Black-Scholes'!$B$9^2/2)*'Black-Scholes'!$B$7-'Black-Scholes'!$B$9*SQRT('Black-Scholes'!$B$7)*B3173)</f>
        <v>99.2652264672793</v>
      </c>
      <c r="E3173" s="18" t="n">
        <f aca="false">EXP(-'Black-Scholes'!$B$8*'Black-Scholes'!$B$7)*IF(LOWER('Black-Scholes'!$B$11)="put",MAX('Black-Scholes'!$B$6-C3173,0),MAX(C3173-'Black-Scholes'!$B$6,0))</f>
        <v>6.62972593447213</v>
      </c>
      <c r="F3173" s="18" t="n">
        <f aca="false">(E3173+G3173)/2</f>
        <v>3.31486296723607</v>
      </c>
      <c r="G3173" s="18" t="n">
        <f aca="false">EXP(-'Black-Scholes'!$B$8*'Black-Scholes'!$B$7)*IF(LOWER('Black-Scholes'!$B$11)="put",MAX('Black-Scholes'!$B$6-D3173,0),MAX(D3173-'Black-Scholes'!$B$6,0))</f>
        <v>0</v>
      </c>
    </row>
    <row r="3174" customFormat="false" ht="15" hidden="false" customHeight="false" outlineLevel="0" collapsed="false">
      <c r="A3174" s="0" t="n">
        <v>3163</v>
      </c>
      <c r="B3174" s="15" t="n">
        <v>0.0137590759654402</v>
      </c>
      <c r="C3174" s="18" t="n">
        <f aca="false">'Black-Scholes'!$B$5*EXP(('Black-Scholes'!$B$8-'Black-Scholes'!$B$10-'Black-Scholes'!$B$9^2/2)*'Black-Scholes'!$B$7+'Black-Scholes'!$B$9*SQRT('Black-Scholes'!$B$7)*B3174)</f>
        <v>103.329405952879</v>
      </c>
      <c r="D3174" s="18" t="n">
        <f aca="false">'Black-Scholes'!$B$5*EXP(('Black-Scholes'!$B$8-'Black-Scholes'!$B$10-'Black-Scholes'!$B$9^2/2)*'Black-Scholes'!$B$7-'Black-Scholes'!$B$9*SQRT('Black-Scholes'!$B$7)*B3174)</f>
        <v>102.762281148658</v>
      </c>
      <c r="E3174" s="18" t="n">
        <f aca="false">EXP(-'Black-Scholes'!$B$8*'Black-Scholes'!$B$7)*IF(LOWER('Black-Scholes'!$B$11)="put",MAX('Black-Scholes'!$B$6-C3174,0),MAX(C3174-'Black-Scholes'!$B$6,0))</f>
        <v>3.1670289084864</v>
      </c>
      <c r="F3174" s="18" t="n">
        <f aca="false">(E3174+G3174)/2</f>
        <v>2.89729600791686</v>
      </c>
      <c r="G3174" s="18" t="n">
        <f aca="false">EXP(-'Black-Scholes'!$B$8*'Black-Scholes'!$B$7)*IF(LOWER('Black-Scholes'!$B$11)="put",MAX('Black-Scholes'!$B$6-D3174,0),MAX(D3174-'Black-Scholes'!$B$6,0))</f>
        <v>2.62756310734733</v>
      </c>
    </row>
    <row r="3175" customFormat="false" ht="15" hidden="false" customHeight="false" outlineLevel="0" collapsed="false">
      <c r="A3175" s="0" t="n">
        <v>3164</v>
      </c>
      <c r="B3175" s="15" t="n">
        <v>-0.847969532447995</v>
      </c>
      <c r="C3175" s="18" t="n">
        <f aca="false">'Black-Scholes'!$B$5*EXP(('Black-Scholes'!$B$8-'Black-Scholes'!$B$10-'Black-Scholes'!$B$9^2/2)*'Black-Scholes'!$B$7+'Black-Scholes'!$B$9*SQRT('Black-Scholes'!$B$7)*B3175)</f>
        <v>86.9711347829896</v>
      </c>
      <c r="D3175" s="18" t="n">
        <f aca="false">'Black-Scholes'!$B$5*EXP(('Black-Scholes'!$B$8-'Black-Scholes'!$B$10-'Black-Scholes'!$B$9^2/2)*'Black-Scholes'!$B$7-'Black-Scholes'!$B$9*SQRT('Black-Scholes'!$B$7)*B3175)</f>
        <v>122.090685512481</v>
      </c>
      <c r="E3175" s="18" t="n">
        <f aca="false">EXP(-'Black-Scholes'!$B$8*'Black-Scholes'!$B$7)*IF(LOWER('Black-Scholes'!$B$11)="put",MAX('Black-Scholes'!$B$6-C3175,0),MAX(C3175-'Black-Scholes'!$B$6,0))</f>
        <v>0</v>
      </c>
      <c r="F3175" s="18" t="n">
        <f aca="false">(E3175+G3175)/2</f>
        <v>10.5066550334319</v>
      </c>
      <c r="G3175" s="18" t="n">
        <f aca="false">EXP(-'Black-Scholes'!$B$8*'Black-Scholes'!$B$7)*IF(LOWER('Black-Scholes'!$B$11)="put",MAX('Black-Scholes'!$B$6-D3175,0),MAX(D3175-'Black-Scholes'!$B$6,0))</f>
        <v>21.0133100668638</v>
      </c>
    </row>
    <row r="3176" customFormat="false" ht="15" hidden="false" customHeight="false" outlineLevel="0" collapsed="false">
      <c r="A3176" s="0" t="n">
        <v>3165</v>
      </c>
      <c r="B3176" s="15" t="n">
        <v>0.378589963121017</v>
      </c>
      <c r="C3176" s="18" t="n">
        <f aca="false">'Black-Scholes'!$B$5*EXP(('Black-Scholes'!$B$8-'Black-Scholes'!$B$10-'Black-Scholes'!$B$9^2/2)*'Black-Scholes'!$B$7+'Black-Scholes'!$B$9*SQRT('Black-Scholes'!$B$7)*B3176)</f>
        <v>111.15083787432</v>
      </c>
      <c r="D3176" s="18" t="n">
        <f aca="false">'Black-Scholes'!$B$5*EXP(('Black-Scholes'!$B$8-'Black-Scholes'!$B$10-'Black-Scholes'!$B$9^2/2)*'Black-Scholes'!$B$7-'Black-Scholes'!$B$9*SQRT('Black-Scholes'!$B$7)*B3176)</f>
        <v>95.5311329048183</v>
      </c>
      <c r="E3176" s="18" t="n">
        <f aca="false">EXP(-'Black-Scholes'!$B$8*'Black-Scholes'!$B$7)*IF(LOWER('Black-Scholes'!$B$11)="put",MAX('Black-Scholes'!$B$6-C3176,0),MAX(C3176-'Black-Scholes'!$B$6,0))</f>
        <v>10.6070050938904</v>
      </c>
      <c r="F3176" s="18" t="n">
        <f aca="false">(E3176+G3176)/2</f>
        <v>5.30350254694521</v>
      </c>
      <c r="G3176" s="18" t="n">
        <f aca="false">EXP(-'Black-Scholes'!$B$8*'Black-Scholes'!$B$7)*IF(LOWER('Black-Scholes'!$B$11)="put",MAX('Black-Scholes'!$B$6-D3176,0),MAX(D3176-'Black-Scholes'!$B$6,0))</f>
        <v>0</v>
      </c>
    </row>
    <row r="3177" customFormat="false" ht="15" hidden="false" customHeight="false" outlineLevel="0" collapsed="false">
      <c r="A3177" s="0" t="n">
        <v>3166</v>
      </c>
      <c r="B3177" s="15" t="n">
        <v>-0.502661390058255</v>
      </c>
      <c r="C3177" s="18" t="n">
        <f aca="false">'Black-Scholes'!$B$5*EXP(('Black-Scholes'!$B$8-'Black-Scholes'!$B$10-'Black-Scholes'!$B$9^2/2)*'Black-Scholes'!$B$7+'Black-Scholes'!$B$9*SQRT('Black-Scholes'!$B$7)*B3177)</f>
        <v>93.1897659236835</v>
      </c>
      <c r="D3177" s="18" t="n">
        <f aca="false">'Black-Scholes'!$B$5*EXP(('Black-Scholes'!$B$8-'Black-Scholes'!$B$10-'Black-Scholes'!$B$9^2/2)*'Black-Scholes'!$B$7-'Black-Scholes'!$B$9*SQRT('Black-Scholes'!$B$7)*B3177)</f>
        <v>113.94347179871</v>
      </c>
      <c r="E3177" s="18" t="n">
        <f aca="false">EXP(-'Black-Scholes'!$B$8*'Black-Scholes'!$B$7)*IF(LOWER('Black-Scholes'!$B$11)="put",MAX('Black-Scholes'!$B$6-C3177,0),MAX(C3177-'Black-Scholes'!$B$6,0))</f>
        <v>0</v>
      </c>
      <c r="F3177" s="18" t="n">
        <f aca="false">(E3177+G3177)/2</f>
        <v>6.63172032731434</v>
      </c>
      <c r="G3177" s="18" t="n">
        <f aca="false">EXP(-'Black-Scholes'!$B$8*'Black-Scholes'!$B$7)*IF(LOWER('Black-Scholes'!$B$11)="put",MAX('Black-Scholes'!$B$6-D3177,0),MAX(D3177-'Black-Scholes'!$B$6,0))</f>
        <v>13.2634406546287</v>
      </c>
    </row>
    <row r="3178" customFormat="false" ht="15" hidden="false" customHeight="false" outlineLevel="0" collapsed="false">
      <c r="A3178" s="0" t="n">
        <v>3167</v>
      </c>
      <c r="B3178" s="15" t="n">
        <v>1.03757864779516</v>
      </c>
      <c r="C3178" s="18" t="n">
        <f aca="false">'Black-Scholes'!$B$5*EXP(('Black-Scholes'!$B$8-'Black-Scholes'!$B$10-'Black-Scholes'!$B$9^2/2)*'Black-Scholes'!$B$7+'Black-Scholes'!$B$9*SQRT('Black-Scholes'!$B$7)*B3178)</f>
        <v>126.809494320811</v>
      </c>
      <c r="D3178" s="18" t="n">
        <f aca="false">'Black-Scholes'!$B$5*EXP(('Black-Scholes'!$B$8-'Black-Scholes'!$B$10-'Black-Scholes'!$B$9^2/2)*'Black-Scholes'!$B$7-'Black-Scholes'!$B$9*SQRT('Black-Scholes'!$B$7)*B3178)</f>
        <v>83.7347828120073</v>
      </c>
      <c r="E3178" s="18" t="n">
        <f aca="false">EXP(-'Black-Scholes'!$B$8*'Black-Scholes'!$B$7)*IF(LOWER('Black-Scholes'!$B$11)="put",MAX('Black-Scholes'!$B$6-C3178,0),MAX(C3178-'Black-Scholes'!$B$6,0))</f>
        <v>25.5019798539404</v>
      </c>
      <c r="F3178" s="18" t="n">
        <f aca="false">(E3178+G3178)/2</f>
        <v>12.7509899269702</v>
      </c>
      <c r="G3178" s="18" t="n">
        <f aca="false">EXP(-'Black-Scholes'!$B$8*'Black-Scholes'!$B$7)*IF(LOWER('Black-Scholes'!$B$11)="put",MAX('Black-Scholes'!$B$6-D3178,0),MAX(D3178-'Black-Scholes'!$B$6,0))</f>
        <v>0</v>
      </c>
    </row>
    <row r="3179" customFormat="false" ht="15" hidden="false" customHeight="false" outlineLevel="0" collapsed="false">
      <c r="A3179" s="0" t="n">
        <v>3168</v>
      </c>
      <c r="B3179" s="15" t="n">
        <v>-0.222931929291675</v>
      </c>
      <c r="C3179" s="18" t="n">
        <f aca="false">'Black-Scholes'!$B$5*EXP(('Black-Scholes'!$B$8-'Black-Scholes'!$B$10-'Black-Scholes'!$B$9^2/2)*'Black-Scholes'!$B$7+'Black-Scholes'!$B$9*SQRT('Black-Scholes'!$B$7)*B3179)</f>
        <v>98.5519480108854</v>
      </c>
      <c r="D3179" s="18" t="n">
        <f aca="false">'Black-Scholes'!$B$5*EXP(('Black-Scholes'!$B$8-'Black-Scholes'!$B$10-'Black-Scholes'!$B$9^2/2)*'Black-Scholes'!$B$7-'Black-Scholes'!$B$9*SQRT('Black-Scholes'!$B$7)*B3179)</f>
        <v>107.743841494445</v>
      </c>
      <c r="E3179" s="18" t="n">
        <f aca="false">EXP(-'Black-Scholes'!$B$8*'Black-Scholes'!$B$7)*IF(LOWER('Black-Scholes'!$B$11)="put",MAX('Black-Scholes'!$B$6-C3179,0),MAX(C3179-'Black-Scholes'!$B$6,0))</f>
        <v>0</v>
      </c>
      <c r="F3179" s="18" t="n">
        <f aca="false">(E3179+G3179)/2</f>
        <v>3.68308494409273</v>
      </c>
      <c r="G3179" s="18" t="n">
        <f aca="false">EXP(-'Black-Scholes'!$B$8*'Black-Scholes'!$B$7)*IF(LOWER('Black-Scholes'!$B$11)="put",MAX('Black-Scholes'!$B$6-D3179,0),MAX(D3179-'Black-Scholes'!$B$6,0))</f>
        <v>7.36616988818546</v>
      </c>
    </row>
    <row r="3180" customFormat="false" ht="15" hidden="false" customHeight="false" outlineLevel="0" collapsed="false">
      <c r="A3180" s="0" t="n">
        <v>3169</v>
      </c>
      <c r="B3180" s="15" t="n">
        <v>2.58190194320437</v>
      </c>
      <c r="C3180" s="18" t="n">
        <f aca="false">'Black-Scholes'!$B$5*EXP(('Black-Scholes'!$B$8-'Black-Scholes'!$B$10-'Black-Scholes'!$B$9^2/2)*'Black-Scholes'!$B$7+'Black-Scholes'!$B$9*SQRT('Black-Scholes'!$B$7)*B3180)</f>
        <v>172.69906560509</v>
      </c>
      <c r="D3180" s="18" t="n">
        <f aca="false">'Black-Scholes'!$B$5*EXP(('Black-Scholes'!$B$8-'Black-Scholes'!$B$10-'Black-Scholes'!$B$9^2/2)*'Black-Scholes'!$B$7-'Black-Scholes'!$B$9*SQRT('Black-Scholes'!$B$7)*B3180)</f>
        <v>61.4847881674967</v>
      </c>
      <c r="E3180" s="18" t="n">
        <f aca="false">EXP(-'Black-Scholes'!$B$8*'Black-Scholes'!$B$7)*IF(LOWER('Black-Scholes'!$B$11)="put",MAX('Black-Scholes'!$B$6-C3180,0),MAX(C3180-'Black-Scholes'!$B$6,0))</f>
        <v>69.1534903372698</v>
      </c>
      <c r="F3180" s="18" t="n">
        <f aca="false">(E3180+G3180)/2</f>
        <v>34.5767451686349</v>
      </c>
      <c r="G3180" s="18" t="n">
        <f aca="false">EXP(-'Black-Scholes'!$B$8*'Black-Scholes'!$B$7)*IF(LOWER('Black-Scholes'!$B$11)="put",MAX('Black-Scholes'!$B$6-D3180,0),MAX(D3180-'Black-Scholes'!$B$6,0))</f>
        <v>0</v>
      </c>
    </row>
    <row r="3181" customFormat="false" ht="15" hidden="false" customHeight="false" outlineLevel="0" collapsed="false">
      <c r="A3181" s="0" t="n">
        <v>3170</v>
      </c>
      <c r="B3181" s="15" t="n">
        <v>0.745376544413216</v>
      </c>
      <c r="C3181" s="18" t="n">
        <f aca="false">'Black-Scholes'!$B$5*EXP(('Black-Scholes'!$B$8-'Black-Scholes'!$B$10-'Black-Scholes'!$B$9^2/2)*'Black-Scholes'!$B$7+'Black-Scholes'!$B$9*SQRT('Black-Scholes'!$B$7)*B3181)</f>
        <v>119.61108185454</v>
      </c>
      <c r="D3181" s="18" t="n">
        <f aca="false">'Black-Scholes'!$B$5*EXP(('Black-Scholes'!$B$8-'Black-Scholes'!$B$10-'Black-Scholes'!$B$9^2/2)*'Black-Scholes'!$B$7-'Black-Scholes'!$B$9*SQRT('Black-Scholes'!$B$7)*B3181)</f>
        <v>88.7740943465979</v>
      </c>
      <c r="E3181" s="18" t="n">
        <f aca="false">EXP(-'Black-Scholes'!$B$8*'Black-Scholes'!$B$7)*IF(LOWER('Black-Scholes'!$B$11)="put",MAX('Black-Scholes'!$B$6-C3181,0),MAX(C3181-'Black-Scholes'!$B$6,0))</f>
        <v>18.6546381063307</v>
      </c>
      <c r="F3181" s="18" t="n">
        <f aca="false">(E3181+G3181)/2</f>
        <v>9.32731905316537</v>
      </c>
      <c r="G3181" s="18" t="n">
        <f aca="false">EXP(-'Black-Scholes'!$B$8*'Black-Scholes'!$B$7)*IF(LOWER('Black-Scholes'!$B$11)="put",MAX('Black-Scholes'!$B$6-D3181,0),MAX(D3181-'Black-Scholes'!$B$6,0))</f>
        <v>0</v>
      </c>
    </row>
    <row r="3182" customFormat="false" ht="15" hidden="false" customHeight="false" outlineLevel="0" collapsed="false">
      <c r="A3182" s="0" t="n">
        <v>3171</v>
      </c>
      <c r="B3182" s="15" t="n">
        <v>0.0397471597465914</v>
      </c>
      <c r="C3182" s="18" t="n">
        <f aca="false">'Black-Scholes'!$B$5*EXP(('Black-Scholes'!$B$8-'Black-Scholes'!$B$10-'Black-Scholes'!$B$9^2/2)*'Black-Scholes'!$B$7+'Black-Scholes'!$B$9*SQRT('Black-Scholes'!$B$7)*B3182)</f>
        <v>103.867870759293</v>
      </c>
      <c r="D3182" s="18" t="n">
        <f aca="false">'Black-Scholes'!$B$5*EXP(('Black-Scholes'!$B$8-'Black-Scholes'!$B$10-'Black-Scholes'!$B$9^2/2)*'Black-Scholes'!$B$7-'Black-Scholes'!$B$9*SQRT('Black-Scholes'!$B$7)*B3182)</f>
        <v>102.229547865297</v>
      </c>
      <c r="E3182" s="18" t="n">
        <f aca="false">EXP(-'Black-Scholes'!$B$8*'Black-Scholes'!$B$7)*IF(LOWER('Black-Scholes'!$B$11)="put",MAX('Black-Scholes'!$B$6-C3182,0),MAX(C3182-'Black-Scholes'!$B$6,0))</f>
        <v>3.67923247640549</v>
      </c>
      <c r="F3182" s="18" t="n">
        <f aca="false">(E3182+G3182)/2</f>
        <v>2.9000220046042</v>
      </c>
      <c r="G3182" s="18" t="n">
        <f aca="false">EXP(-'Black-Scholes'!$B$8*'Black-Scholes'!$B$7)*IF(LOWER('Black-Scholes'!$B$11)="put",MAX('Black-Scholes'!$B$6-D3182,0),MAX(D3182-'Black-Scholes'!$B$6,0))</f>
        <v>2.12081153280292</v>
      </c>
    </row>
    <row r="3183" customFormat="false" ht="15" hidden="false" customHeight="false" outlineLevel="0" collapsed="false">
      <c r="A3183" s="0" t="n">
        <v>3172</v>
      </c>
      <c r="B3183" s="15" t="n">
        <v>-0.0789425989176897</v>
      </c>
      <c r="C3183" s="18" t="n">
        <f aca="false">'Black-Scholes'!$B$5*EXP(('Black-Scholes'!$B$8-'Black-Scholes'!$B$10-'Black-Scholes'!$B$9^2/2)*'Black-Scholes'!$B$7+'Black-Scholes'!$B$9*SQRT('Black-Scholes'!$B$7)*B3183)</f>
        <v>101.431294337891</v>
      </c>
      <c r="D3183" s="18" t="n">
        <f aca="false">'Black-Scholes'!$B$5*EXP(('Black-Scholes'!$B$8-'Black-Scholes'!$B$10-'Black-Scholes'!$B$9^2/2)*'Black-Scholes'!$B$7-'Black-Scholes'!$B$9*SQRT('Black-Scholes'!$B$7)*B3183)</f>
        <v>104.685299884682</v>
      </c>
      <c r="E3183" s="18" t="n">
        <f aca="false">EXP(-'Black-Scholes'!$B$8*'Black-Scholes'!$B$7)*IF(LOWER('Black-Scholes'!$B$11)="put",MAX('Black-Scholes'!$B$6-C3183,0),MAX(C3183-'Black-Scholes'!$B$6,0))</f>
        <v>1.36148928932328</v>
      </c>
      <c r="F3183" s="18" t="n">
        <f aca="false">(E3183+G3183)/2</f>
        <v>2.90914220112139</v>
      </c>
      <c r="G3183" s="18" t="n">
        <f aca="false">EXP(-'Black-Scholes'!$B$8*'Black-Scholes'!$B$7)*IF(LOWER('Black-Scholes'!$B$11)="put",MAX('Black-Scholes'!$B$6-D3183,0),MAX(D3183-'Black-Scholes'!$B$6,0))</f>
        <v>4.45679511291949</v>
      </c>
    </row>
    <row r="3184" customFormat="false" ht="15" hidden="false" customHeight="false" outlineLevel="0" collapsed="false">
      <c r="A3184" s="0" t="n">
        <v>3173</v>
      </c>
      <c r="B3184" s="15" t="n">
        <v>-0.557225763462456</v>
      </c>
      <c r="C3184" s="18" t="n">
        <f aca="false">'Black-Scholes'!$B$5*EXP(('Black-Scholes'!$B$8-'Black-Scholes'!$B$10-'Black-Scholes'!$B$9^2/2)*'Black-Scholes'!$B$7+'Black-Scholes'!$B$9*SQRT('Black-Scholes'!$B$7)*B3184)</f>
        <v>92.1783265797682</v>
      </c>
      <c r="D3184" s="18" t="n">
        <f aca="false">'Black-Scholes'!$B$5*EXP(('Black-Scholes'!$B$8-'Black-Scholes'!$B$10-'Black-Scholes'!$B$9^2/2)*'Black-Scholes'!$B$7-'Black-Scholes'!$B$9*SQRT('Black-Scholes'!$B$7)*B3184)</f>
        <v>115.193732186761</v>
      </c>
      <c r="E3184" s="18" t="n">
        <f aca="false">EXP(-'Black-Scholes'!$B$8*'Black-Scholes'!$B$7)*IF(LOWER('Black-Scholes'!$B$11)="put",MAX('Black-Scholes'!$B$6-C3184,0),MAX(C3184-'Black-Scholes'!$B$6,0))</f>
        <v>0</v>
      </c>
      <c r="F3184" s="18" t="n">
        <f aca="false">(E3184+G3184)/2</f>
        <v>7.22636256201527</v>
      </c>
      <c r="G3184" s="18" t="n">
        <f aca="false">EXP(-'Black-Scholes'!$B$8*'Black-Scholes'!$B$7)*IF(LOWER('Black-Scholes'!$B$11)="put",MAX('Black-Scholes'!$B$6-D3184,0),MAX(D3184-'Black-Scholes'!$B$6,0))</f>
        <v>14.4527251240305</v>
      </c>
    </row>
    <row r="3185" customFormat="false" ht="15" hidden="false" customHeight="false" outlineLevel="0" collapsed="false">
      <c r="A3185" s="0" t="n">
        <v>3174</v>
      </c>
      <c r="B3185" s="15" t="n">
        <v>-0.95611569675076</v>
      </c>
      <c r="C3185" s="18" t="n">
        <f aca="false">'Black-Scholes'!$B$5*EXP(('Black-Scholes'!$B$8-'Black-Scholes'!$B$10-'Black-Scholes'!$B$9^2/2)*'Black-Scholes'!$B$7+'Black-Scholes'!$B$9*SQRT('Black-Scholes'!$B$7)*B3185)</f>
        <v>85.1102135539452</v>
      </c>
      <c r="D3185" s="18" t="n">
        <f aca="false">'Black-Scholes'!$B$5*EXP(('Black-Scholes'!$B$8-'Black-Scholes'!$B$10-'Black-Scholes'!$B$9^2/2)*'Black-Scholes'!$B$7-'Black-Scholes'!$B$9*SQRT('Black-Scholes'!$B$7)*B3185)</f>
        <v>124.760178855895</v>
      </c>
      <c r="E3185" s="18" t="n">
        <f aca="false">EXP(-'Black-Scholes'!$B$8*'Black-Scholes'!$B$7)*IF(LOWER('Black-Scholes'!$B$11)="put",MAX('Black-Scholes'!$B$6-C3185,0),MAX(C3185-'Black-Scholes'!$B$6,0))</f>
        <v>0</v>
      </c>
      <c r="F3185" s="18" t="n">
        <f aca="false">(E3185+G3185)/2</f>
        <v>11.7763053418137</v>
      </c>
      <c r="G3185" s="18" t="n">
        <f aca="false">EXP(-'Black-Scholes'!$B$8*'Black-Scholes'!$B$7)*IF(LOWER('Black-Scholes'!$B$11)="put",MAX('Black-Scholes'!$B$6-D3185,0),MAX(D3185-'Black-Scholes'!$B$6,0))</f>
        <v>23.5526106836274</v>
      </c>
    </row>
    <row r="3186" customFormat="false" ht="15" hidden="false" customHeight="false" outlineLevel="0" collapsed="false">
      <c r="A3186" s="0" t="n">
        <v>3175</v>
      </c>
      <c r="B3186" s="15" t="n">
        <v>0.363838344100056</v>
      </c>
      <c r="C3186" s="18" t="n">
        <f aca="false">'Black-Scholes'!$B$5*EXP(('Black-Scholes'!$B$8-'Black-Scholes'!$B$10-'Black-Scholes'!$B$9^2/2)*'Black-Scholes'!$B$7+'Black-Scholes'!$B$9*SQRT('Black-Scholes'!$B$7)*B3186)</f>
        <v>110.823390187356</v>
      </c>
      <c r="D3186" s="18" t="n">
        <f aca="false">'Black-Scholes'!$B$5*EXP(('Black-Scholes'!$B$8-'Black-Scholes'!$B$10-'Black-Scholes'!$B$9^2/2)*'Black-Scholes'!$B$7-'Black-Scholes'!$B$9*SQRT('Black-Scholes'!$B$7)*B3186)</f>
        <v>95.8133968605576</v>
      </c>
      <c r="E3186" s="18" t="n">
        <f aca="false">EXP(-'Black-Scholes'!$B$8*'Black-Scholes'!$B$7)*IF(LOWER('Black-Scholes'!$B$11)="put",MAX('Black-Scholes'!$B$6-C3186,0),MAX(C3186-'Black-Scholes'!$B$6,0))</f>
        <v>10.2955272190657</v>
      </c>
      <c r="F3186" s="18" t="n">
        <f aca="false">(E3186+G3186)/2</f>
        <v>5.14776360953284</v>
      </c>
      <c r="G3186" s="18" t="n">
        <f aca="false">EXP(-'Black-Scholes'!$B$8*'Black-Scholes'!$B$7)*IF(LOWER('Black-Scholes'!$B$11)="put",MAX('Black-Scholes'!$B$6-D3186,0),MAX(D3186-'Black-Scholes'!$B$6,0))</f>
        <v>0</v>
      </c>
    </row>
    <row r="3187" customFormat="false" ht="15" hidden="false" customHeight="false" outlineLevel="0" collapsed="false">
      <c r="A3187" s="0" t="n">
        <v>3176</v>
      </c>
      <c r="B3187" s="15" t="n">
        <v>-0.544159794700409</v>
      </c>
      <c r="C3187" s="18" t="n">
        <f aca="false">'Black-Scholes'!$B$5*EXP(('Black-Scholes'!$B$8-'Black-Scholes'!$B$10-'Black-Scholes'!$B$9^2/2)*'Black-Scholes'!$B$7+'Black-Scholes'!$B$9*SQRT('Black-Scholes'!$B$7)*B3187)</f>
        <v>92.4195214140554</v>
      </c>
      <c r="D3187" s="18" t="n">
        <f aca="false">'Black-Scholes'!$B$5*EXP(('Black-Scholes'!$B$8-'Black-Scholes'!$B$10-'Black-Scholes'!$B$9^2/2)*'Black-Scholes'!$B$7-'Black-Scholes'!$B$9*SQRT('Black-Scholes'!$B$7)*B3187)</f>
        <v>114.893101619532</v>
      </c>
      <c r="E3187" s="18" t="n">
        <f aca="false">EXP(-'Black-Scholes'!$B$8*'Black-Scholes'!$B$7)*IF(LOWER('Black-Scholes'!$B$11)="put",MAX('Black-Scholes'!$B$6-C3187,0),MAX(C3187-'Black-Scholes'!$B$6,0))</f>
        <v>0</v>
      </c>
      <c r="F3187" s="18" t="n">
        <f aca="false">(E3187+G3187)/2</f>
        <v>7.08337824128909</v>
      </c>
      <c r="G3187" s="18" t="n">
        <f aca="false">EXP(-'Black-Scholes'!$B$8*'Black-Scholes'!$B$7)*IF(LOWER('Black-Scholes'!$B$11)="put",MAX('Black-Scholes'!$B$6-D3187,0),MAX(D3187-'Black-Scholes'!$B$6,0))</f>
        <v>14.1667564825782</v>
      </c>
    </row>
    <row r="3188" customFormat="false" ht="15" hidden="false" customHeight="false" outlineLevel="0" collapsed="false">
      <c r="A3188" s="0" t="n">
        <v>3177</v>
      </c>
      <c r="B3188" s="15" t="n">
        <v>0.845146809054284</v>
      </c>
      <c r="C3188" s="18" t="n">
        <f aca="false">'Black-Scholes'!$B$5*EXP(('Black-Scholes'!$B$8-'Black-Scholes'!$B$10-'Black-Scholes'!$B$9^2/2)*'Black-Scholes'!$B$7+'Black-Scholes'!$B$9*SQRT('Black-Scholes'!$B$7)*B3188)</f>
        <v>122.021779317794</v>
      </c>
      <c r="D3188" s="18" t="n">
        <f aca="false">'Black-Scholes'!$B$5*EXP(('Black-Scholes'!$B$8-'Black-Scholes'!$B$10-'Black-Scholes'!$B$9^2/2)*'Black-Scholes'!$B$7-'Black-Scholes'!$B$9*SQRT('Black-Scholes'!$B$7)*B3188)</f>
        <v>87.0202477362593</v>
      </c>
      <c r="E3188" s="18" t="n">
        <f aca="false">EXP(-'Black-Scholes'!$B$8*'Black-Scholes'!$B$7)*IF(LOWER('Black-Scholes'!$B$11)="put",MAX('Black-Scholes'!$B$6-C3188,0),MAX(C3188-'Black-Scholes'!$B$6,0))</f>
        <v>20.947764466947</v>
      </c>
      <c r="F3188" s="18" t="n">
        <f aca="false">(E3188+G3188)/2</f>
        <v>10.4738822334735</v>
      </c>
      <c r="G3188" s="18" t="n">
        <f aca="false">EXP(-'Black-Scholes'!$B$8*'Black-Scholes'!$B$7)*IF(LOWER('Black-Scholes'!$B$11)="put",MAX('Black-Scholes'!$B$6-D3188,0),MAX(D3188-'Black-Scholes'!$B$6,0))</f>
        <v>0</v>
      </c>
    </row>
    <row r="3189" customFormat="false" ht="15" hidden="false" customHeight="false" outlineLevel="0" collapsed="false">
      <c r="A3189" s="0" t="n">
        <v>3178</v>
      </c>
      <c r="B3189" s="15" t="n">
        <v>-3.09601484436178</v>
      </c>
      <c r="C3189" s="18" t="n">
        <f aca="false">'Black-Scholes'!$B$5*EXP(('Black-Scholes'!$B$8-'Black-Scholes'!$B$10-'Black-Scholes'!$B$9^2/2)*'Black-Scholes'!$B$7+'Black-Scholes'!$B$9*SQRT('Black-Scholes'!$B$7)*B3189)</f>
        <v>55.4769276952723</v>
      </c>
      <c r="D3189" s="18" t="n">
        <f aca="false">'Black-Scholes'!$B$5*EXP(('Black-Scholes'!$B$8-'Black-Scholes'!$B$10-'Black-Scholes'!$B$9^2/2)*'Black-Scholes'!$B$7-'Black-Scholes'!$B$9*SQRT('Black-Scholes'!$B$7)*B3189)</f>
        <v>191.40146916172</v>
      </c>
      <c r="E3189" s="18" t="n">
        <f aca="false">EXP(-'Black-Scholes'!$B$8*'Black-Scholes'!$B$7)*IF(LOWER('Black-Scholes'!$B$11)="put",MAX('Black-Scholes'!$B$6-C3189,0),MAX(C3189-'Black-Scholes'!$B$6,0))</f>
        <v>0</v>
      </c>
      <c r="F3189" s="18" t="n">
        <f aca="false">(E3189+G3189)/2</f>
        <v>43.4718834546111</v>
      </c>
      <c r="G3189" s="18" t="n">
        <f aca="false">EXP(-'Black-Scholes'!$B$8*'Black-Scholes'!$B$7)*IF(LOWER('Black-Scholes'!$B$11)="put",MAX('Black-Scholes'!$B$6-D3189,0),MAX(D3189-'Black-Scholes'!$B$6,0))</f>
        <v>86.9437669092222</v>
      </c>
    </row>
    <row r="3190" customFormat="false" ht="15" hidden="false" customHeight="false" outlineLevel="0" collapsed="false">
      <c r="A3190" s="0" t="n">
        <v>3179</v>
      </c>
      <c r="B3190" s="15" t="n">
        <v>0.132533667067768</v>
      </c>
      <c r="C3190" s="18" t="n">
        <f aca="false">'Black-Scholes'!$B$5*EXP(('Black-Scholes'!$B$8-'Black-Scholes'!$B$10-'Black-Scholes'!$B$9^2/2)*'Black-Scholes'!$B$7+'Black-Scholes'!$B$9*SQRT('Black-Scholes'!$B$7)*B3190)</f>
        <v>105.81337396283</v>
      </c>
      <c r="D3190" s="18" t="n">
        <f aca="false">'Black-Scholes'!$B$5*EXP(('Black-Scholes'!$B$8-'Black-Scholes'!$B$10-'Black-Scholes'!$B$9^2/2)*'Black-Scholes'!$B$7-'Black-Scholes'!$B$9*SQRT('Black-Scholes'!$B$7)*B3190)</f>
        <v>100.349937515305</v>
      </c>
      <c r="E3190" s="18" t="n">
        <f aca="false">EXP(-'Black-Scholes'!$B$8*'Black-Scholes'!$B$7)*IF(LOWER('Black-Scholes'!$B$11)="put",MAX('Black-Scholes'!$B$6-C3190,0),MAX(C3190-'Black-Scholes'!$B$6,0))</f>
        <v>5.52985236907049</v>
      </c>
      <c r="F3190" s="18" t="n">
        <f aca="false">(E3190+G3190)/2</f>
        <v>2.93136161518253</v>
      </c>
      <c r="G3190" s="18" t="n">
        <f aca="false">EXP(-'Black-Scholes'!$B$8*'Black-Scholes'!$B$7)*IF(LOWER('Black-Scholes'!$B$11)="put",MAX('Black-Scholes'!$B$6-D3190,0),MAX(D3190-'Black-Scholes'!$B$6,0))</f>
        <v>0.332870861294583</v>
      </c>
    </row>
    <row r="3191" customFormat="false" ht="15" hidden="false" customHeight="false" outlineLevel="0" collapsed="false">
      <c r="A3191" s="0" t="n">
        <v>3180</v>
      </c>
      <c r="B3191" s="15" t="n">
        <v>-0.334287366114062</v>
      </c>
      <c r="C3191" s="18" t="n">
        <f aca="false">'Black-Scholes'!$B$5*EXP(('Black-Scholes'!$B$8-'Black-Scholes'!$B$10-'Black-Scholes'!$B$9^2/2)*'Black-Scholes'!$B$7+'Black-Scholes'!$B$9*SQRT('Black-Scholes'!$B$7)*B3191)</f>
        <v>96.3813494791344</v>
      </c>
      <c r="D3191" s="18" t="n">
        <f aca="false">'Black-Scholes'!$B$5*EXP(('Black-Scholes'!$B$8-'Black-Scholes'!$B$10-'Black-Scholes'!$B$9^2/2)*'Black-Scholes'!$B$7-'Black-Scholes'!$B$9*SQRT('Black-Scholes'!$B$7)*B3191)</f>
        <v>110.170334020405</v>
      </c>
      <c r="E3191" s="18" t="n">
        <f aca="false">EXP(-'Black-Scholes'!$B$8*'Black-Scholes'!$B$7)*IF(LOWER('Black-Scholes'!$B$11)="put",MAX('Black-Scholes'!$B$6-C3191,0),MAX(C3191-'Black-Scholes'!$B$6,0))</f>
        <v>0</v>
      </c>
      <c r="F3191" s="18" t="n">
        <f aca="false">(E3191+G3191)/2</f>
        <v>4.8371604886048</v>
      </c>
      <c r="G3191" s="18" t="n">
        <f aca="false">EXP(-'Black-Scholes'!$B$8*'Black-Scholes'!$B$7)*IF(LOWER('Black-Scholes'!$B$11)="put",MAX('Black-Scholes'!$B$6-D3191,0),MAX(D3191-'Black-Scholes'!$B$6,0))</f>
        <v>9.67432097720961</v>
      </c>
    </row>
    <row r="3192" customFormat="false" ht="15" hidden="false" customHeight="false" outlineLevel="0" collapsed="false">
      <c r="A3192" s="0" t="n">
        <v>3181</v>
      </c>
      <c r="B3192" s="15" t="n">
        <v>-1.25099026884262</v>
      </c>
      <c r="C3192" s="18" t="n">
        <f aca="false">'Black-Scholes'!$B$5*EXP(('Black-Scholes'!$B$8-'Black-Scholes'!$B$10-'Black-Scholes'!$B$9^2/2)*'Black-Scholes'!$B$7+'Black-Scholes'!$B$9*SQRT('Black-Scholes'!$B$7)*B3192)</f>
        <v>80.2359871828711</v>
      </c>
      <c r="D3192" s="18" t="n">
        <f aca="false">'Black-Scholes'!$B$5*EXP(('Black-Scholes'!$B$8-'Black-Scholes'!$B$10-'Black-Scholes'!$B$9^2/2)*'Black-Scholes'!$B$7-'Black-Scholes'!$B$9*SQRT('Black-Scholes'!$B$7)*B3192)</f>
        <v>132.339188913481</v>
      </c>
      <c r="E3192" s="18" t="n">
        <f aca="false">EXP(-'Black-Scholes'!$B$8*'Black-Scholes'!$B$7)*IF(LOWER('Black-Scholes'!$B$11)="put",MAX('Black-Scholes'!$B$6-C3192,0),MAX(C3192-'Black-Scholes'!$B$6,0))</f>
        <v>0</v>
      </c>
      <c r="F3192" s="18" t="n">
        <f aca="false">(E3192+G3192)/2</f>
        <v>15.3809940294951</v>
      </c>
      <c r="G3192" s="18" t="n">
        <f aca="false">EXP(-'Black-Scholes'!$B$8*'Black-Scholes'!$B$7)*IF(LOWER('Black-Scholes'!$B$11)="put",MAX('Black-Scholes'!$B$6-D3192,0),MAX(D3192-'Black-Scholes'!$B$6,0))</f>
        <v>30.7619880589902</v>
      </c>
    </row>
    <row r="3193" customFormat="false" ht="15" hidden="false" customHeight="false" outlineLevel="0" collapsed="false">
      <c r="A3193" s="0" t="n">
        <v>3182</v>
      </c>
      <c r="B3193" s="15" t="n">
        <v>-0.181869563191409</v>
      </c>
      <c r="C3193" s="18" t="n">
        <f aca="false">'Black-Scholes'!$B$5*EXP(('Black-Scholes'!$B$8-'Black-Scholes'!$B$10-'Black-Scholes'!$B$9^2/2)*'Black-Scholes'!$B$7+'Black-Scholes'!$B$9*SQRT('Black-Scholes'!$B$7)*B3193)</f>
        <v>99.3646357652991</v>
      </c>
      <c r="D3193" s="18" t="n">
        <f aca="false">'Black-Scholes'!$B$5*EXP(('Black-Scholes'!$B$8-'Black-Scholes'!$B$10-'Black-Scholes'!$B$9^2/2)*'Black-Scholes'!$B$7-'Black-Scholes'!$B$9*SQRT('Black-Scholes'!$B$7)*B3193)</f>
        <v>106.862621532014</v>
      </c>
      <c r="E3193" s="18" t="n">
        <f aca="false">EXP(-'Black-Scholes'!$B$8*'Black-Scholes'!$B$7)*IF(LOWER('Black-Scholes'!$B$11)="put",MAX('Black-Scholes'!$B$6-C3193,0),MAX(C3193-'Black-Scholes'!$B$6,0))</f>
        <v>0</v>
      </c>
      <c r="F3193" s="18" t="n">
        <f aca="false">(E3193+G3193)/2</f>
        <v>3.26396376523203</v>
      </c>
      <c r="G3193" s="18" t="n">
        <f aca="false">EXP(-'Black-Scholes'!$B$8*'Black-Scholes'!$B$7)*IF(LOWER('Black-Scholes'!$B$11)="put",MAX('Black-Scholes'!$B$6-D3193,0),MAX(D3193-'Black-Scholes'!$B$6,0))</f>
        <v>6.52792753046405</v>
      </c>
    </row>
    <row r="3194" customFormat="false" ht="15" hidden="false" customHeight="false" outlineLevel="0" collapsed="false">
      <c r="A3194" s="0" t="n">
        <v>3183</v>
      </c>
      <c r="B3194" s="15" t="n">
        <v>-2.13376998202104</v>
      </c>
      <c r="C3194" s="18" t="n">
        <f aca="false">'Black-Scholes'!$B$5*EXP(('Black-Scholes'!$B$8-'Black-Scholes'!$B$10-'Black-Scholes'!$B$9^2/2)*'Black-Scholes'!$B$7+'Black-Scholes'!$B$9*SQRT('Black-Scholes'!$B$7)*B3194)</f>
        <v>67.2499442566283</v>
      </c>
      <c r="D3194" s="18" t="n">
        <f aca="false">'Black-Scholes'!$B$5*EXP(('Black-Scholes'!$B$8-'Black-Scholes'!$B$10-'Black-Scholes'!$B$9^2/2)*'Black-Scholes'!$B$7-'Black-Scholes'!$B$9*SQRT('Black-Scholes'!$B$7)*B3194)</f>
        <v>157.894041144979</v>
      </c>
      <c r="E3194" s="18" t="n">
        <f aca="false">EXP(-'Black-Scholes'!$B$8*'Black-Scholes'!$B$7)*IF(LOWER('Black-Scholes'!$B$11)="put",MAX('Black-Scholes'!$B$6-C3194,0),MAX(C3194-'Black-Scholes'!$B$6,0))</f>
        <v>0</v>
      </c>
      <c r="F3194" s="18" t="n">
        <f aca="false">(E3194+G3194)/2</f>
        <v>27.5352577201794</v>
      </c>
      <c r="G3194" s="18" t="n">
        <f aca="false">EXP(-'Black-Scholes'!$B$8*'Black-Scholes'!$B$7)*IF(LOWER('Black-Scholes'!$B$11)="put",MAX('Black-Scholes'!$B$6-D3194,0),MAX(D3194-'Black-Scholes'!$B$6,0))</f>
        <v>55.0705154403589</v>
      </c>
    </row>
    <row r="3195" customFormat="false" ht="15" hidden="false" customHeight="false" outlineLevel="0" collapsed="false">
      <c r="A3195" s="0" t="n">
        <v>3184</v>
      </c>
      <c r="B3195" s="15" t="n">
        <v>-2.54016401048353</v>
      </c>
      <c r="C3195" s="18" t="n">
        <f aca="false">'Black-Scholes'!$B$5*EXP(('Black-Scholes'!$B$8-'Black-Scholes'!$B$10-'Black-Scholes'!$B$9^2/2)*'Black-Scholes'!$B$7+'Black-Scholes'!$B$9*SQRT('Black-Scholes'!$B$7)*B3195)</f>
        <v>62.0001859287491</v>
      </c>
      <c r="D3195" s="18" t="n">
        <f aca="false">'Black-Scholes'!$B$5*EXP(('Black-Scholes'!$B$8-'Black-Scholes'!$B$10-'Black-Scholes'!$B$9^2/2)*'Black-Scholes'!$B$7-'Black-Scholes'!$B$9*SQRT('Black-Scholes'!$B$7)*B3195)</f>
        <v>171.2634455267</v>
      </c>
      <c r="E3195" s="18" t="n">
        <f aca="false">EXP(-'Black-Scholes'!$B$8*'Black-Scholes'!$B$7)*IF(LOWER('Black-Scholes'!$B$11)="put",MAX('Black-Scholes'!$B$6-C3195,0),MAX(C3195-'Black-Scholes'!$B$6,0))</f>
        <v>0</v>
      </c>
      <c r="F3195" s="18" t="n">
        <f aca="false">(E3195+G3195)/2</f>
        <v>33.8939431381505</v>
      </c>
      <c r="G3195" s="18" t="n">
        <f aca="false">EXP(-'Black-Scholes'!$B$8*'Black-Scholes'!$B$7)*IF(LOWER('Black-Scholes'!$B$11)="put",MAX('Black-Scholes'!$B$6-D3195,0),MAX(D3195-'Black-Scholes'!$B$6,0))</f>
        <v>67.787886276301</v>
      </c>
    </row>
    <row r="3196" customFormat="false" ht="15" hidden="false" customHeight="false" outlineLevel="0" collapsed="false">
      <c r="A3196" s="0" t="n">
        <v>3185</v>
      </c>
      <c r="B3196" s="15" t="n">
        <v>0.946930028538687</v>
      </c>
      <c r="C3196" s="18" t="n">
        <f aca="false">'Black-Scholes'!$B$5*EXP(('Black-Scholes'!$B$8-'Black-Scholes'!$B$10-'Black-Scholes'!$B$9^2/2)*'Black-Scholes'!$B$7+'Black-Scholes'!$B$9*SQRT('Black-Scholes'!$B$7)*B3196)</f>
        <v>124.531188141762</v>
      </c>
      <c r="D3196" s="18" t="n">
        <f aca="false">'Black-Scholes'!$B$5*EXP(('Black-Scholes'!$B$8-'Black-Scholes'!$B$10-'Black-Scholes'!$B$9^2/2)*'Black-Scholes'!$B$7-'Black-Scholes'!$B$9*SQRT('Black-Scholes'!$B$7)*B3196)</f>
        <v>85.2667161046117</v>
      </c>
      <c r="E3196" s="18" t="n">
        <f aca="false">EXP(-'Black-Scholes'!$B$8*'Black-Scholes'!$B$7)*IF(LOWER('Black-Scholes'!$B$11)="put",MAX('Black-Scholes'!$B$6-C3196,0),MAX(C3196-'Black-Scholes'!$B$6,0))</f>
        <v>23.334787978407</v>
      </c>
      <c r="F3196" s="18" t="n">
        <f aca="false">(E3196+G3196)/2</f>
        <v>11.6673939892035</v>
      </c>
      <c r="G3196" s="18" t="n">
        <f aca="false">EXP(-'Black-Scholes'!$B$8*'Black-Scholes'!$B$7)*IF(LOWER('Black-Scholes'!$B$11)="put",MAX('Black-Scholes'!$B$6-D3196,0),MAX(D3196-'Black-Scholes'!$B$6,0))</f>
        <v>0</v>
      </c>
    </row>
    <row r="3197" customFormat="false" ht="15" hidden="false" customHeight="false" outlineLevel="0" collapsed="false">
      <c r="A3197" s="0" t="n">
        <v>3186</v>
      </c>
      <c r="B3197" s="15" t="n">
        <v>-0.746350350923971</v>
      </c>
      <c r="C3197" s="18" t="n">
        <f aca="false">'Black-Scholes'!$B$5*EXP(('Black-Scholes'!$B$8-'Black-Scholes'!$B$10-'Black-Scholes'!$B$9^2/2)*'Black-Scholes'!$B$7+'Black-Scholes'!$B$9*SQRT('Black-Scholes'!$B$7)*B3197)</f>
        <v>88.7568062719643</v>
      </c>
      <c r="D3197" s="18" t="n">
        <f aca="false">'Black-Scholes'!$B$5*EXP(('Black-Scholes'!$B$8-'Black-Scholes'!$B$10-'Black-Scholes'!$B$9^2/2)*'Black-Scholes'!$B$7-'Black-Scholes'!$B$9*SQRT('Black-Scholes'!$B$7)*B3197)</f>
        <v>119.634379733283</v>
      </c>
      <c r="E3197" s="18" t="n">
        <f aca="false">EXP(-'Black-Scholes'!$B$8*'Black-Scholes'!$B$7)*IF(LOWER('Black-Scholes'!$B$11)="put",MAX('Black-Scholes'!$B$6-C3197,0),MAX(C3197-'Black-Scholes'!$B$6,0))</f>
        <v>0</v>
      </c>
      <c r="F3197" s="18" t="n">
        <f aca="false">(E3197+G3197)/2</f>
        <v>9.33839986705959</v>
      </c>
      <c r="G3197" s="18" t="n">
        <f aca="false">EXP(-'Black-Scholes'!$B$8*'Black-Scholes'!$B$7)*IF(LOWER('Black-Scholes'!$B$11)="put",MAX('Black-Scholes'!$B$6-D3197,0),MAX(D3197-'Black-Scholes'!$B$6,0))</f>
        <v>18.6767997341192</v>
      </c>
    </row>
    <row r="3198" customFormat="false" ht="15" hidden="false" customHeight="false" outlineLevel="0" collapsed="false">
      <c r="A3198" s="0" t="n">
        <v>3187</v>
      </c>
      <c r="B3198" s="15" t="n">
        <v>0.978677001983118</v>
      </c>
      <c r="C3198" s="18" t="n">
        <f aca="false">'Black-Scholes'!$B$5*EXP(('Black-Scholes'!$B$8-'Black-Scholes'!$B$10-'Black-Scholes'!$B$9^2/2)*'Black-Scholes'!$B$7+'Black-Scholes'!$B$9*SQRT('Black-Scholes'!$B$7)*B3198)</f>
        <v>125.324401353375</v>
      </c>
      <c r="D3198" s="18" t="n">
        <f aca="false">'Black-Scholes'!$B$5*EXP(('Black-Scholes'!$B$8-'Black-Scholes'!$B$10-'Black-Scholes'!$B$9^2/2)*'Black-Scholes'!$B$7-'Black-Scholes'!$B$9*SQRT('Black-Scholes'!$B$7)*B3198)</f>
        <v>84.7270391941726</v>
      </c>
      <c r="E3198" s="18" t="n">
        <f aca="false">EXP(-'Black-Scholes'!$B$8*'Black-Scholes'!$B$7)*IF(LOWER('Black-Scholes'!$B$11)="put",MAX('Black-Scholes'!$B$6-C3198,0),MAX(C3198-'Black-Scholes'!$B$6,0))</f>
        <v>24.0893157251957</v>
      </c>
      <c r="F3198" s="18" t="n">
        <f aca="false">(E3198+G3198)/2</f>
        <v>12.0446578625979</v>
      </c>
      <c r="G3198" s="18" t="n">
        <f aca="false">EXP(-'Black-Scholes'!$B$8*'Black-Scholes'!$B$7)*IF(LOWER('Black-Scholes'!$B$11)="put",MAX('Black-Scholes'!$B$6-D3198,0),MAX(D3198-'Black-Scholes'!$B$6,0))</f>
        <v>0</v>
      </c>
    </row>
    <row r="3199" customFormat="false" ht="15" hidden="false" customHeight="false" outlineLevel="0" collapsed="false">
      <c r="A3199" s="0" t="n">
        <v>3188</v>
      </c>
      <c r="B3199" s="15" t="n">
        <v>0.213587608745449</v>
      </c>
      <c r="C3199" s="18" t="n">
        <f aca="false">'Black-Scholes'!$B$5*EXP(('Black-Scholes'!$B$8-'Black-Scholes'!$B$10-'Black-Scholes'!$B$9^2/2)*'Black-Scholes'!$B$7+'Black-Scholes'!$B$9*SQRT('Black-Scholes'!$B$7)*B3199)</f>
        <v>107.542670934855</v>
      </c>
      <c r="D3199" s="18" t="n">
        <f aca="false">'Black-Scholes'!$B$5*EXP(('Black-Scholes'!$B$8-'Black-Scholes'!$B$10-'Black-Scholes'!$B$9^2/2)*'Black-Scholes'!$B$7-'Black-Scholes'!$B$9*SQRT('Black-Scholes'!$B$7)*B3199)</f>
        <v>98.7363004205635</v>
      </c>
      <c r="E3199" s="18" t="n">
        <f aca="false">EXP(-'Black-Scholes'!$B$8*'Black-Scholes'!$B$7)*IF(LOWER('Black-Scholes'!$B$11)="put",MAX('Black-Scholes'!$B$6-C3199,0),MAX(C3199-'Black-Scholes'!$B$6,0))</f>
        <v>7.17481053255991</v>
      </c>
      <c r="F3199" s="18" t="n">
        <f aca="false">(E3199+G3199)/2</f>
        <v>3.58740526627995</v>
      </c>
      <c r="G3199" s="18" t="n">
        <f aca="false">EXP(-'Black-Scholes'!$B$8*'Black-Scholes'!$B$7)*IF(LOWER('Black-Scholes'!$B$11)="put",MAX('Black-Scholes'!$B$6-D3199,0),MAX(D3199-'Black-Scholes'!$B$6,0))</f>
        <v>0</v>
      </c>
    </row>
    <row r="3200" customFormat="false" ht="15" hidden="false" customHeight="false" outlineLevel="0" collapsed="false">
      <c r="A3200" s="0" t="n">
        <v>3189</v>
      </c>
      <c r="B3200" s="15" t="n">
        <v>-0.264393784079854</v>
      </c>
      <c r="C3200" s="18" t="n">
        <f aca="false">'Black-Scholes'!$B$5*EXP(('Black-Scholes'!$B$8-'Black-Scholes'!$B$10-'Black-Scholes'!$B$9^2/2)*'Black-Scholes'!$B$7+'Black-Scholes'!$B$9*SQRT('Black-Scholes'!$B$7)*B3200)</f>
        <v>97.7380977371568</v>
      </c>
      <c r="D3200" s="18" t="n">
        <f aca="false">'Black-Scholes'!$B$5*EXP(('Black-Scholes'!$B$8-'Black-Scholes'!$B$10-'Black-Scholes'!$B$9^2/2)*'Black-Scholes'!$B$7-'Black-Scholes'!$B$9*SQRT('Black-Scholes'!$B$7)*B3200)</f>
        <v>108.64100807455</v>
      </c>
      <c r="E3200" s="18" t="n">
        <f aca="false">EXP(-'Black-Scholes'!$B$8*'Black-Scholes'!$B$7)*IF(LOWER('Black-Scholes'!$B$11)="put",MAX('Black-Scholes'!$B$6-C3200,0),MAX(C3200-'Black-Scholes'!$B$6,0))</f>
        <v>0</v>
      </c>
      <c r="F3200" s="18" t="n">
        <f aca="false">(E3200+G3200)/2</f>
        <v>4.10979056893008</v>
      </c>
      <c r="G3200" s="18" t="n">
        <f aca="false">EXP(-'Black-Scholes'!$B$8*'Black-Scholes'!$B$7)*IF(LOWER('Black-Scholes'!$B$11)="put",MAX('Black-Scholes'!$B$6-D3200,0),MAX(D3200-'Black-Scholes'!$B$6,0))</f>
        <v>8.21958113786015</v>
      </c>
    </row>
    <row r="3201" customFormat="false" ht="15" hidden="false" customHeight="false" outlineLevel="0" collapsed="false">
      <c r="A3201" s="0" t="n">
        <v>3190</v>
      </c>
      <c r="B3201" s="15" t="n">
        <v>-0.604292269199927</v>
      </c>
      <c r="C3201" s="18" t="n">
        <f aca="false">'Black-Scholes'!$B$5*EXP(('Black-Scholes'!$B$8-'Black-Scholes'!$B$10-'Black-Scholes'!$B$9^2/2)*'Black-Scholes'!$B$7+'Black-Scholes'!$B$9*SQRT('Black-Scholes'!$B$7)*B3201)</f>
        <v>91.3146954196999</v>
      </c>
      <c r="D3201" s="18" t="n">
        <f aca="false">'Black-Scholes'!$B$5*EXP(('Black-Scholes'!$B$8-'Black-Scholes'!$B$10-'Black-Scholes'!$B$9^2/2)*'Black-Scholes'!$B$7-'Black-Scholes'!$B$9*SQRT('Black-Scholes'!$B$7)*B3201)</f>
        <v>116.283205202071</v>
      </c>
      <c r="E3201" s="18" t="n">
        <f aca="false">EXP(-'Black-Scholes'!$B$8*'Black-Scholes'!$B$7)*IF(LOWER('Black-Scholes'!$B$11)="put",MAX('Black-Scholes'!$B$6-C3201,0),MAX(C3201-'Black-Scholes'!$B$6,0))</f>
        <v>0</v>
      </c>
      <c r="F3201" s="18" t="n">
        <f aca="false">(E3201+G3201)/2</f>
        <v>7.74453195669659</v>
      </c>
      <c r="G3201" s="18" t="n">
        <f aca="false">EXP(-'Black-Scholes'!$B$8*'Black-Scholes'!$B$7)*IF(LOWER('Black-Scholes'!$B$11)="put",MAX('Black-Scholes'!$B$6-D3201,0),MAX(D3201-'Black-Scholes'!$B$6,0))</f>
        <v>15.4890639133932</v>
      </c>
    </row>
    <row r="3202" customFormat="false" ht="15" hidden="false" customHeight="false" outlineLevel="0" collapsed="false">
      <c r="A3202" s="0" t="n">
        <v>3191</v>
      </c>
      <c r="B3202" s="15" t="n">
        <v>1.11949773954257</v>
      </c>
      <c r="C3202" s="18" t="n">
        <f aca="false">'Black-Scholes'!$B$5*EXP(('Black-Scholes'!$B$8-'Black-Scholes'!$B$10-'Black-Scholes'!$B$9^2/2)*'Black-Scholes'!$B$7+'Black-Scholes'!$B$9*SQRT('Black-Scholes'!$B$7)*B3202)</f>
        <v>128.904231076784</v>
      </c>
      <c r="D3202" s="18" t="n">
        <f aca="false">'Black-Scholes'!$B$5*EXP(('Black-Scholes'!$B$8-'Black-Scholes'!$B$10-'Black-Scholes'!$B$9^2/2)*'Black-Scholes'!$B$7-'Black-Scholes'!$B$9*SQRT('Black-Scholes'!$B$7)*B3202)</f>
        <v>82.374064658348</v>
      </c>
      <c r="E3202" s="18" t="n">
        <f aca="false">EXP(-'Black-Scholes'!$B$8*'Black-Scholes'!$B$7)*IF(LOWER('Black-Scholes'!$B$11)="put",MAX('Black-Scholes'!$B$6-C3202,0),MAX(C3202-'Black-Scholes'!$B$6,0))</f>
        <v>27.4945550928044</v>
      </c>
      <c r="F3202" s="18" t="n">
        <f aca="false">(E3202+G3202)/2</f>
        <v>13.7472775464022</v>
      </c>
      <c r="G3202" s="18" t="n">
        <f aca="false">EXP(-'Black-Scholes'!$B$8*'Black-Scholes'!$B$7)*IF(LOWER('Black-Scholes'!$B$11)="put",MAX('Black-Scholes'!$B$6-D3202,0),MAX(D3202-'Black-Scholes'!$B$6,0))</f>
        <v>0</v>
      </c>
    </row>
    <row r="3203" customFormat="false" ht="15" hidden="false" customHeight="false" outlineLevel="0" collapsed="false">
      <c r="A3203" s="0" t="n">
        <v>3192</v>
      </c>
      <c r="B3203" s="15" t="n">
        <v>-0.660089695445521</v>
      </c>
      <c r="C3203" s="18" t="n">
        <f aca="false">'Black-Scholes'!$B$5*EXP(('Black-Scholes'!$B$8-'Black-Scholes'!$B$10-'Black-Scholes'!$B$9^2/2)*'Black-Scholes'!$B$7+'Black-Scholes'!$B$9*SQRT('Black-Scholes'!$B$7)*B3203)</f>
        <v>90.3013352286587</v>
      </c>
      <c r="D3203" s="18" t="n">
        <f aca="false">'Black-Scholes'!$B$5*EXP(('Black-Scholes'!$B$8-'Black-Scholes'!$B$10-'Black-Scholes'!$B$9^2/2)*'Black-Scholes'!$B$7-'Black-Scholes'!$B$9*SQRT('Black-Scholes'!$B$7)*B3203)</f>
        <v>117.588133537185</v>
      </c>
      <c r="E3203" s="18" t="n">
        <f aca="false">EXP(-'Black-Scholes'!$B$8*'Black-Scholes'!$B$7)*IF(LOWER('Black-Scholes'!$B$11)="put",MAX('Black-Scholes'!$B$6-C3203,0),MAX(C3203-'Black-Scholes'!$B$6,0))</f>
        <v>0</v>
      </c>
      <c r="F3203" s="18" t="n">
        <f aca="false">(E3203+G3203)/2</f>
        <v>8.36517507130892</v>
      </c>
      <c r="G3203" s="18" t="n">
        <f aca="false">EXP(-'Black-Scholes'!$B$8*'Black-Scholes'!$B$7)*IF(LOWER('Black-Scholes'!$B$11)="put",MAX('Black-Scholes'!$B$6-D3203,0),MAX(D3203-'Black-Scholes'!$B$6,0))</f>
        <v>16.7303501426178</v>
      </c>
    </row>
    <row r="3204" customFormat="false" ht="15" hidden="false" customHeight="false" outlineLevel="0" collapsed="false">
      <c r="A3204" s="0" t="n">
        <v>3193</v>
      </c>
      <c r="B3204" s="15" t="n">
        <v>-0.0660210613286695</v>
      </c>
      <c r="C3204" s="18" t="n">
        <f aca="false">'Black-Scholes'!$B$5*EXP(('Black-Scholes'!$B$8-'Black-Scholes'!$B$10-'Black-Scholes'!$B$9^2/2)*'Black-Scholes'!$B$7+'Black-Scholes'!$B$9*SQRT('Black-Scholes'!$B$7)*B3204)</f>
        <v>101.693762998177</v>
      </c>
      <c r="D3204" s="18" t="n">
        <f aca="false">'Black-Scholes'!$B$5*EXP(('Black-Scholes'!$B$8-'Black-Scholes'!$B$10-'Black-Scholes'!$B$9^2/2)*'Black-Scholes'!$B$7-'Black-Scholes'!$B$9*SQRT('Black-Scholes'!$B$7)*B3204)</f>
        <v>104.415110154238</v>
      </c>
      <c r="E3204" s="18" t="n">
        <f aca="false">EXP(-'Black-Scholes'!$B$8*'Black-Scholes'!$B$7)*IF(LOWER('Black-Scholes'!$B$11)="put",MAX('Black-Scholes'!$B$6-C3204,0),MAX(C3204-'Black-Scholes'!$B$6,0))</f>
        <v>1.61115720199668</v>
      </c>
      <c r="F3204" s="18" t="n">
        <f aca="false">(E3204+G3204)/2</f>
        <v>2.90546994655966</v>
      </c>
      <c r="G3204" s="18" t="n">
        <f aca="false">EXP(-'Black-Scholes'!$B$8*'Black-Scholes'!$B$7)*IF(LOWER('Black-Scholes'!$B$11)="put",MAX('Black-Scholes'!$B$6-D3204,0),MAX(D3204-'Black-Scholes'!$B$6,0))</f>
        <v>4.19978269112263</v>
      </c>
    </row>
    <row r="3205" customFormat="false" ht="15" hidden="false" customHeight="false" outlineLevel="0" collapsed="false">
      <c r="A3205" s="0" t="n">
        <v>3194</v>
      </c>
      <c r="B3205" s="15" t="n">
        <v>-0.556449613025384</v>
      </c>
      <c r="C3205" s="18" t="n">
        <f aca="false">'Black-Scholes'!$B$5*EXP(('Black-Scholes'!$B$8-'Black-Scholes'!$B$10-'Black-Scholes'!$B$9^2/2)*'Black-Scholes'!$B$7+'Black-Scholes'!$B$9*SQRT('Black-Scholes'!$B$7)*B3205)</f>
        <v>92.1926365401003</v>
      </c>
      <c r="D3205" s="18" t="n">
        <f aca="false">'Black-Scholes'!$B$5*EXP(('Black-Scholes'!$B$8-'Black-Scholes'!$B$10-'Black-Scholes'!$B$9^2/2)*'Black-Scholes'!$B$7-'Black-Scholes'!$B$9*SQRT('Black-Scholes'!$B$7)*B3205)</f>
        <v>115.175852041448</v>
      </c>
      <c r="E3205" s="18" t="n">
        <f aca="false">EXP(-'Black-Scholes'!$B$8*'Black-Scholes'!$B$7)*IF(LOWER('Black-Scholes'!$B$11)="put",MAX('Black-Scholes'!$B$6-C3205,0),MAX(C3205-'Black-Scholes'!$B$6,0))</f>
        <v>0</v>
      </c>
      <c r="F3205" s="18" t="n">
        <f aca="false">(E3205+G3205)/2</f>
        <v>7.21785850184734</v>
      </c>
      <c r="G3205" s="18" t="n">
        <f aca="false">EXP(-'Black-Scholes'!$B$8*'Black-Scholes'!$B$7)*IF(LOWER('Black-Scholes'!$B$11)="put",MAX('Black-Scholes'!$B$6-D3205,0),MAX(D3205-'Black-Scholes'!$B$6,0))</f>
        <v>14.4357170036947</v>
      </c>
    </row>
    <row r="3206" customFormat="false" ht="15" hidden="false" customHeight="false" outlineLevel="0" collapsed="false">
      <c r="A3206" s="0" t="n">
        <v>3195</v>
      </c>
      <c r="B3206" s="15" t="n">
        <v>0.312063929274805</v>
      </c>
      <c r="C3206" s="18" t="n">
        <f aca="false">'Black-Scholes'!$B$5*EXP(('Black-Scholes'!$B$8-'Black-Scholes'!$B$10-'Black-Scholes'!$B$9^2/2)*'Black-Scholes'!$B$7+'Black-Scholes'!$B$9*SQRT('Black-Scholes'!$B$7)*B3206)</f>
        <v>109.681747939009</v>
      </c>
      <c r="D3206" s="18" t="n">
        <f aca="false">'Black-Scholes'!$B$5*EXP(('Black-Scholes'!$B$8-'Black-Scholes'!$B$10-'Black-Scholes'!$B$9^2/2)*'Black-Scholes'!$B$7-'Black-Scholes'!$B$9*SQRT('Black-Scholes'!$B$7)*B3206)</f>
        <v>96.8106878763292</v>
      </c>
      <c r="E3206" s="18" t="n">
        <f aca="false">EXP(-'Black-Scholes'!$B$8*'Black-Scholes'!$B$7)*IF(LOWER('Black-Scholes'!$B$11)="put",MAX('Black-Scholes'!$B$6-C3206,0),MAX(C3206-'Black-Scholes'!$B$6,0))</f>
        <v>9.20956352018436</v>
      </c>
      <c r="F3206" s="18" t="n">
        <f aca="false">(E3206+G3206)/2</f>
        <v>4.60478176009218</v>
      </c>
      <c r="G3206" s="18" t="n">
        <f aca="false">EXP(-'Black-Scholes'!$B$8*'Black-Scholes'!$B$7)*IF(LOWER('Black-Scholes'!$B$11)="put",MAX('Black-Scholes'!$B$6-D3206,0),MAX(D3206-'Black-Scholes'!$B$6,0))</f>
        <v>0</v>
      </c>
    </row>
    <row r="3207" customFormat="false" ht="15" hidden="false" customHeight="false" outlineLevel="0" collapsed="false">
      <c r="A3207" s="0" t="n">
        <v>3196</v>
      </c>
      <c r="B3207" s="15" t="n">
        <v>-1.52557771302415</v>
      </c>
      <c r="C3207" s="18" t="n">
        <f aca="false">'Black-Scholes'!$B$5*EXP(('Black-Scholes'!$B$8-'Black-Scholes'!$B$10-'Black-Scholes'!$B$9^2/2)*'Black-Scholes'!$B$7+'Black-Scholes'!$B$9*SQRT('Black-Scholes'!$B$7)*B3207)</f>
        <v>75.9484365353279</v>
      </c>
      <c r="D3207" s="18" t="n">
        <f aca="false">'Black-Scholes'!$B$5*EXP(('Black-Scholes'!$B$8-'Black-Scholes'!$B$10-'Black-Scholes'!$B$9^2/2)*'Black-Scholes'!$B$7-'Black-Scholes'!$B$9*SQRT('Black-Scholes'!$B$7)*B3207)</f>
        <v>139.810191622765</v>
      </c>
      <c r="E3207" s="18" t="n">
        <f aca="false">EXP(-'Black-Scholes'!$B$8*'Black-Scholes'!$B$7)*IF(LOWER('Black-Scholes'!$B$11)="put",MAX('Black-Scholes'!$B$6-C3207,0),MAX(C3207-'Black-Scholes'!$B$6,0))</f>
        <v>0</v>
      </c>
      <c r="F3207" s="18" t="n">
        <f aca="false">(E3207+G3207)/2</f>
        <v>18.9343128332929</v>
      </c>
      <c r="G3207" s="18" t="n">
        <f aca="false">EXP(-'Black-Scholes'!$B$8*'Black-Scholes'!$B$7)*IF(LOWER('Black-Scholes'!$B$11)="put",MAX('Black-Scholes'!$B$6-D3207,0),MAX(D3207-'Black-Scholes'!$B$6,0))</f>
        <v>37.8686256665858</v>
      </c>
    </row>
    <row r="3208" customFormat="false" ht="15" hidden="false" customHeight="false" outlineLevel="0" collapsed="false">
      <c r="A3208" s="0" t="n">
        <v>3197</v>
      </c>
      <c r="B3208" s="15" t="n">
        <v>-1.38161686736492</v>
      </c>
      <c r="C3208" s="18" t="n">
        <f aca="false">'Black-Scholes'!$B$5*EXP(('Black-Scholes'!$B$8-'Black-Scholes'!$B$10-'Black-Scholes'!$B$9^2/2)*'Black-Scholes'!$B$7+'Black-Scholes'!$B$9*SQRT('Black-Scholes'!$B$7)*B3208)</f>
        <v>78.1669412898554</v>
      </c>
      <c r="D3208" s="18" t="n">
        <f aca="false">'Black-Scholes'!$B$5*EXP(('Black-Scholes'!$B$8-'Black-Scholes'!$B$10-'Black-Scholes'!$B$9^2/2)*'Black-Scholes'!$B$7-'Black-Scholes'!$B$9*SQRT('Black-Scholes'!$B$7)*B3208)</f>
        <v>135.842151301265</v>
      </c>
      <c r="E3208" s="18" t="n">
        <f aca="false">EXP(-'Black-Scholes'!$B$8*'Black-Scholes'!$B$7)*IF(LOWER('Black-Scholes'!$B$11)="put",MAX('Black-Scholes'!$B$6-C3208,0),MAX(C3208-'Black-Scholes'!$B$6,0))</f>
        <v>0</v>
      </c>
      <c r="F3208" s="18" t="n">
        <f aca="false">(E3208+G3208)/2</f>
        <v>17.0470544775847</v>
      </c>
      <c r="G3208" s="18" t="n">
        <f aca="false">EXP(-'Black-Scholes'!$B$8*'Black-Scholes'!$B$7)*IF(LOWER('Black-Scholes'!$B$11)="put",MAX('Black-Scholes'!$B$6-D3208,0),MAX(D3208-'Black-Scholes'!$B$6,0))</f>
        <v>34.0941089551694</v>
      </c>
    </row>
    <row r="3209" customFormat="false" ht="15" hidden="false" customHeight="false" outlineLevel="0" collapsed="false">
      <c r="A3209" s="0" t="n">
        <v>3198</v>
      </c>
      <c r="B3209" s="15" t="n">
        <v>-0.343953999560262</v>
      </c>
      <c r="C3209" s="18" t="n">
        <f aca="false">'Black-Scholes'!$B$5*EXP(('Black-Scholes'!$B$8-'Black-Scholes'!$B$10-'Black-Scholes'!$B$9^2/2)*'Black-Scholes'!$B$7+'Black-Scholes'!$B$9*SQRT('Black-Scholes'!$B$7)*B3209)</f>
        <v>96.1951928526126</v>
      </c>
      <c r="D3209" s="18" t="n">
        <f aca="false">'Black-Scholes'!$B$5*EXP(('Black-Scholes'!$B$8-'Black-Scholes'!$B$10-'Black-Scholes'!$B$9^2/2)*'Black-Scholes'!$B$7-'Black-Scholes'!$B$9*SQRT('Black-Scholes'!$B$7)*B3209)</f>
        <v>110.383535294978</v>
      </c>
      <c r="E3209" s="18" t="n">
        <f aca="false">EXP(-'Black-Scholes'!$B$8*'Black-Scholes'!$B$7)*IF(LOWER('Black-Scholes'!$B$11)="put",MAX('Black-Scholes'!$B$6-C3209,0),MAX(C3209-'Black-Scholes'!$B$6,0))</f>
        <v>0</v>
      </c>
      <c r="F3209" s="18" t="n">
        <f aca="false">(E3209+G3209)/2</f>
        <v>4.93856215146248</v>
      </c>
      <c r="G3209" s="18" t="n">
        <f aca="false">EXP(-'Black-Scholes'!$B$8*'Black-Scholes'!$B$7)*IF(LOWER('Black-Scholes'!$B$11)="put",MAX('Black-Scholes'!$B$6-D3209,0),MAX(D3209-'Black-Scholes'!$B$6,0))</f>
        <v>9.87712430292497</v>
      </c>
    </row>
    <row r="3210" customFormat="false" ht="15" hidden="false" customHeight="false" outlineLevel="0" collapsed="false">
      <c r="A3210" s="0" t="n">
        <v>3199</v>
      </c>
      <c r="B3210" s="15" t="n">
        <v>-0.321106919063398</v>
      </c>
      <c r="C3210" s="18" t="n">
        <f aca="false">'Black-Scholes'!$B$5*EXP(('Black-Scholes'!$B$8-'Black-Scholes'!$B$10-'Black-Scholes'!$B$9^2/2)*'Black-Scholes'!$B$7+'Black-Scholes'!$B$9*SQRT('Black-Scholes'!$B$7)*B3210)</f>
        <v>96.6357545037052</v>
      </c>
      <c r="D3210" s="18" t="n">
        <f aca="false">'Black-Scholes'!$B$5*EXP(('Black-Scholes'!$B$8-'Black-Scholes'!$B$10-'Black-Scholes'!$B$9^2/2)*'Black-Scholes'!$B$7-'Black-Scholes'!$B$9*SQRT('Black-Scholes'!$B$7)*B3210)</f>
        <v>109.880297618481</v>
      </c>
      <c r="E3210" s="18" t="n">
        <f aca="false">EXP(-'Black-Scholes'!$B$8*'Black-Scholes'!$B$7)*IF(LOWER('Black-Scholes'!$B$11)="put",MAX('Black-Scholes'!$B$6-C3210,0),MAX(C3210-'Black-Scholes'!$B$6,0))</f>
        <v>0</v>
      </c>
      <c r="F3210" s="18" t="n">
        <f aca="false">(E3210+G3210)/2</f>
        <v>4.69921490876173</v>
      </c>
      <c r="G3210" s="18" t="n">
        <f aca="false">EXP(-'Black-Scholes'!$B$8*'Black-Scholes'!$B$7)*IF(LOWER('Black-Scholes'!$B$11)="put",MAX('Black-Scholes'!$B$6-D3210,0),MAX(D3210-'Black-Scholes'!$B$6,0))</f>
        <v>9.39842981752345</v>
      </c>
    </row>
    <row r="3211" customFormat="false" ht="15" hidden="false" customHeight="false" outlineLevel="0" collapsed="false">
      <c r="A3211" s="0" t="n">
        <v>3200</v>
      </c>
      <c r="B3211" s="15" t="n">
        <v>-0.547268649652258</v>
      </c>
      <c r="C3211" s="18" t="n">
        <f aca="false">'Black-Scholes'!$B$5*EXP(('Black-Scholes'!$B$8-'Black-Scholes'!$B$10-'Black-Scholes'!$B$9^2/2)*'Black-Scholes'!$B$7+'Black-Scholes'!$B$9*SQRT('Black-Scholes'!$B$7)*B3211)</f>
        <v>92.3620754976492</v>
      </c>
      <c r="D3211" s="18" t="n">
        <f aca="false">'Black-Scholes'!$B$5*EXP(('Black-Scholes'!$B$8-'Black-Scholes'!$B$10-'Black-Scholes'!$B$9^2/2)*'Black-Scholes'!$B$7-'Black-Scholes'!$B$9*SQRT('Black-Scholes'!$B$7)*B3211)</f>
        <v>114.964561030505</v>
      </c>
      <c r="E3211" s="18" t="n">
        <f aca="false">EXP(-'Black-Scholes'!$B$8*'Black-Scholes'!$B$7)*IF(LOWER('Black-Scholes'!$B$11)="put",MAX('Black-Scholes'!$B$6-C3211,0),MAX(C3211-'Black-Scholes'!$B$6,0))</f>
        <v>0</v>
      </c>
      <c r="F3211" s="18" t="n">
        <f aca="false">(E3211+G3211)/2</f>
        <v>7.11736538847651</v>
      </c>
      <c r="G3211" s="18" t="n">
        <f aca="false">EXP(-'Black-Scholes'!$B$8*'Black-Scholes'!$B$7)*IF(LOWER('Black-Scholes'!$B$11)="put",MAX('Black-Scholes'!$B$6-D3211,0),MAX(D3211-'Black-Scholes'!$B$6,0))</f>
        <v>14.234730776953</v>
      </c>
    </row>
    <row r="3212" customFormat="false" ht="15" hidden="false" customHeight="false" outlineLevel="0" collapsed="false">
      <c r="A3212" s="0" t="n">
        <v>3201</v>
      </c>
      <c r="B3212" s="15" t="n">
        <v>-1.63424829408157</v>
      </c>
      <c r="C3212" s="18" t="n">
        <f aca="false">'Black-Scholes'!$B$5*EXP(('Black-Scholes'!$B$8-'Black-Scholes'!$B$10-'Black-Scholes'!$B$9^2/2)*'Black-Scholes'!$B$7+'Black-Scholes'!$B$9*SQRT('Black-Scholes'!$B$7)*B3212)</f>
        <v>74.3155730876026</v>
      </c>
      <c r="D3212" s="18" t="n">
        <f aca="false">'Black-Scholes'!$B$5*EXP(('Black-Scholes'!$B$8-'Black-Scholes'!$B$10-'Black-Scholes'!$B$9^2/2)*'Black-Scholes'!$B$7-'Black-Scholes'!$B$9*SQRT('Black-Scholes'!$B$7)*B3212)</f>
        <v>142.882104305873</v>
      </c>
      <c r="E3212" s="18" t="n">
        <f aca="false">EXP(-'Black-Scholes'!$B$8*'Black-Scholes'!$B$7)*IF(LOWER('Black-Scholes'!$B$11)="put",MAX('Black-Scholes'!$B$6-C3212,0),MAX(C3212-'Black-Scholes'!$B$6,0))</f>
        <v>0</v>
      </c>
      <c r="F3212" s="18" t="n">
        <f aca="false">(E3212+G3212)/2</f>
        <v>20.3953597001278</v>
      </c>
      <c r="G3212" s="18" t="n">
        <f aca="false">EXP(-'Black-Scholes'!$B$8*'Black-Scholes'!$B$7)*IF(LOWER('Black-Scholes'!$B$11)="put",MAX('Black-Scholes'!$B$6-D3212,0),MAX(D3212-'Black-Scholes'!$B$6,0))</f>
        <v>40.7907194002556</v>
      </c>
    </row>
    <row r="3213" customFormat="false" ht="15" hidden="false" customHeight="false" outlineLevel="0" collapsed="false">
      <c r="A3213" s="0" t="n">
        <v>3202</v>
      </c>
      <c r="B3213" s="15" t="n">
        <v>-0.533954872742709</v>
      </c>
      <c r="C3213" s="18" t="n">
        <f aca="false">'Black-Scholes'!$B$5*EXP(('Black-Scholes'!$B$8-'Black-Scholes'!$B$10-'Black-Scholes'!$B$9^2/2)*'Black-Scholes'!$B$7+'Black-Scholes'!$B$9*SQRT('Black-Scholes'!$B$7)*B3213)</f>
        <v>92.6083408379378</v>
      </c>
      <c r="D3213" s="18" t="n">
        <f aca="false">'Black-Scholes'!$B$5*EXP(('Black-Scholes'!$B$8-'Black-Scholes'!$B$10-'Black-Scholes'!$B$9^2/2)*'Black-Scholes'!$B$7-'Black-Scholes'!$B$9*SQRT('Black-Scholes'!$B$7)*B3213)</f>
        <v>114.658845730056</v>
      </c>
      <c r="E3213" s="18" t="n">
        <f aca="false">EXP(-'Black-Scholes'!$B$8*'Black-Scholes'!$B$7)*IF(LOWER('Black-Scholes'!$B$11)="put",MAX('Black-Scholes'!$B$6-C3213,0),MAX(C3213-'Black-Scholes'!$B$6,0))</f>
        <v>0</v>
      </c>
      <c r="F3213" s="18" t="n">
        <f aca="false">(E3213+G3213)/2</f>
        <v>6.97196269382316</v>
      </c>
      <c r="G3213" s="18" t="n">
        <f aca="false">EXP(-'Black-Scholes'!$B$8*'Black-Scholes'!$B$7)*IF(LOWER('Black-Scholes'!$B$11)="put",MAX('Black-Scholes'!$B$6-D3213,0),MAX(D3213-'Black-Scholes'!$B$6,0))</f>
        <v>13.9439253876463</v>
      </c>
    </row>
    <row r="3214" customFormat="false" ht="15" hidden="false" customHeight="false" outlineLevel="0" collapsed="false">
      <c r="A3214" s="0" t="n">
        <v>3203</v>
      </c>
      <c r="B3214" s="15" t="n">
        <v>-0.716734209163122</v>
      </c>
      <c r="C3214" s="18" t="n">
        <f aca="false">'Black-Scholes'!$B$5*EXP(('Black-Scholes'!$B$8-'Black-Scholes'!$B$10-'Black-Scholes'!$B$9^2/2)*'Black-Scholes'!$B$7+'Black-Scholes'!$B$9*SQRT('Black-Scholes'!$B$7)*B3214)</f>
        <v>89.2840931820721</v>
      </c>
      <c r="D3214" s="18" t="n">
        <f aca="false">'Black-Scholes'!$B$5*EXP(('Black-Scholes'!$B$8-'Black-Scholes'!$B$10-'Black-Scholes'!$B$9^2/2)*'Black-Scholes'!$B$7-'Black-Scholes'!$B$9*SQRT('Black-Scholes'!$B$7)*B3214)</f>
        <v>118.927852510079</v>
      </c>
      <c r="E3214" s="18" t="n">
        <f aca="false">EXP(-'Black-Scholes'!$B$8*'Black-Scholes'!$B$7)*IF(LOWER('Black-Scholes'!$B$11)="put",MAX('Black-Scholes'!$B$6-C3214,0),MAX(C3214-'Black-Scholes'!$B$6,0))</f>
        <v>0</v>
      </c>
      <c r="F3214" s="18" t="n">
        <f aca="false">(E3214+G3214)/2</f>
        <v>9.0023651250983</v>
      </c>
      <c r="G3214" s="18" t="n">
        <f aca="false">EXP(-'Black-Scholes'!$B$8*'Black-Scholes'!$B$7)*IF(LOWER('Black-Scholes'!$B$11)="put",MAX('Black-Scholes'!$B$6-D3214,0),MAX(D3214-'Black-Scholes'!$B$6,0))</f>
        <v>18.0047302501966</v>
      </c>
    </row>
    <row r="3215" customFormat="false" ht="15" hidden="false" customHeight="false" outlineLevel="0" collapsed="false">
      <c r="A3215" s="0" t="n">
        <v>3204</v>
      </c>
      <c r="B3215" s="15" t="n">
        <v>0.533366353405995</v>
      </c>
      <c r="C3215" s="18" t="n">
        <f aca="false">'Black-Scholes'!$B$5*EXP(('Black-Scholes'!$B$8-'Black-Scholes'!$B$10-'Black-Scholes'!$B$9^2/2)*'Black-Scholes'!$B$7+'Black-Scholes'!$B$9*SQRT('Black-Scholes'!$B$7)*B3215)</f>
        <v>114.645350734711</v>
      </c>
      <c r="D3215" s="18" t="n">
        <f aca="false">'Black-Scholes'!$B$5*EXP(('Black-Scholes'!$B$8-'Black-Scholes'!$B$10-'Black-Scholes'!$B$9^2/2)*'Black-Scholes'!$B$7-'Black-Scholes'!$B$9*SQRT('Black-Scholes'!$B$7)*B3215)</f>
        <v>92.6192418393351</v>
      </c>
      <c r="E3215" s="18" t="n">
        <f aca="false">EXP(-'Black-Scholes'!$B$8*'Black-Scholes'!$B$7)*IF(LOWER('Black-Scholes'!$B$11)="put",MAX('Black-Scholes'!$B$6-C3215,0),MAX(C3215-'Black-Scholes'!$B$6,0))</f>
        <v>13.9310885509903</v>
      </c>
      <c r="F3215" s="18" t="n">
        <f aca="false">(E3215+G3215)/2</f>
        <v>6.96554427549517</v>
      </c>
      <c r="G3215" s="18" t="n">
        <f aca="false">EXP(-'Black-Scholes'!$B$8*'Black-Scholes'!$B$7)*IF(LOWER('Black-Scholes'!$B$11)="put",MAX('Black-Scholes'!$B$6-D3215,0),MAX(D3215-'Black-Scholes'!$B$6,0))</f>
        <v>0</v>
      </c>
    </row>
    <row r="3216" customFormat="false" ht="15" hidden="false" customHeight="false" outlineLevel="0" collapsed="false">
      <c r="A3216" s="0" t="n">
        <v>3205</v>
      </c>
      <c r="B3216" s="15" t="n">
        <v>0.0511648606078625</v>
      </c>
      <c r="C3216" s="18" t="n">
        <f aca="false">'Black-Scholes'!$B$5*EXP(('Black-Scholes'!$B$8-'Black-Scholes'!$B$10-'Black-Scholes'!$B$9^2/2)*'Black-Scholes'!$B$7+'Black-Scholes'!$B$9*SQRT('Black-Scholes'!$B$7)*B3216)</f>
        <v>104.105328233433</v>
      </c>
      <c r="D3216" s="18" t="n">
        <f aca="false">'Black-Scholes'!$B$5*EXP(('Black-Scholes'!$B$8-'Black-Scholes'!$B$10-'Black-Scholes'!$B$9^2/2)*'Black-Scholes'!$B$7-'Black-Scholes'!$B$9*SQRT('Black-Scholes'!$B$7)*B3216)</f>
        <v>101.996368924022</v>
      </c>
      <c r="E3216" s="18" t="n">
        <f aca="false">EXP(-'Black-Scholes'!$B$8*'Black-Scholes'!$B$7)*IF(LOWER('Black-Scholes'!$B$11)="put",MAX('Black-Scholes'!$B$6-C3216,0),MAX(C3216-'Black-Scholes'!$B$6,0))</f>
        <v>3.90510901287487</v>
      </c>
      <c r="F3216" s="18" t="n">
        <f aca="false">(E3216+G3216)/2</f>
        <v>2.9020569377816</v>
      </c>
      <c r="G3216" s="18" t="n">
        <f aca="false">EXP(-'Black-Scholes'!$B$8*'Black-Scholes'!$B$7)*IF(LOWER('Black-Scholes'!$B$11)="put",MAX('Black-Scholes'!$B$6-D3216,0),MAX(D3216-'Black-Scholes'!$B$6,0))</f>
        <v>1.89900486268832</v>
      </c>
    </row>
    <row r="3217" customFormat="false" ht="15" hidden="false" customHeight="false" outlineLevel="0" collapsed="false">
      <c r="A3217" s="0" t="n">
        <v>3206</v>
      </c>
      <c r="B3217" s="15" t="n">
        <v>-0.663810813705778</v>
      </c>
      <c r="C3217" s="18" t="n">
        <f aca="false">'Black-Scholes'!$B$5*EXP(('Black-Scholes'!$B$8-'Black-Scholes'!$B$10-'Black-Scholes'!$B$9^2/2)*'Black-Scholes'!$B$7+'Black-Scholes'!$B$9*SQRT('Black-Scholes'!$B$7)*B3217)</f>
        <v>90.2341558405152</v>
      </c>
      <c r="D3217" s="18" t="n">
        <f aca="false">'Black-Scholes'!$B$5*EXP(('Black-Scholes'!$B$8-'Black-Scholes'!$B$10-'Black-Scholes'!$B$9^2/2)*'Black-Scholes'!$B$7-'Black-Scholes'!$B$9*SQRT('Black-Scholes'!$B$7)*B3217)</f>
        <v>117.675677979645</v>
      </c>
      <c r="E3217" s="18" t="n">
        <f aca="false">EXP(-'Black-Scholes'!$B$8*'Black-Scholes'!$B$7)*IF(LOWER('Black-Scholes'!$B$11)="put",MAX('Black-Scholes'!$B$6-C3217,0),MAX(C3217-'Black-Scholes'!$B$6,0))</f>
        <v>0</v>
      </c>
      <c r="F3217" s="18" t="n">
        <f aca="false">(E3217+G3217)/2</f>
        <v>8.40681249611894</v>
      </c>
      <c r="G3217" s="18" t="n">
        <f aca="false">EXP(-'Black-Scholes'!$B$8*'Black-Scholes'!$B$7)*IF(LOWER('Black-Scholes'!$B$11)="put",MAX('Black-Scholes'!$B$6-D3217,0),MAX(D3217-'Black-Scholes'!$B$6,0))</f>
        <v>16.8136249922379</v>
      </c>
    </row>
    <row r="3218" customFormat="false" ht="15" hidden="false" customHeight="false" outlineLevel="0" collapsed="false">
      <c r="A3218" s="0" t="n">
        <v>3207</v>
      </c>
      <c r="B3218" s="15" t="n">
        <v>0.505840251544301</v>
      </c>
      <c r="C3218" s="18" t="n">
        <f aca="false">'Black-Scholes'!$B$5*EXP(('Black-Scholes'!$B$8-'Black-Scholes'!$B$10-'Black-Scholes'!$B$9^2/2)*'Black-Scholes'!$B$7+'Black-Scholes'!$B$9*SQRT('Black-Scholes'!$B$7)*B3218)</f>
        <v>114.015936934749</v>
      </c>
      <c r="D3218" s="18" t="n">
        <f aca="false">'Black-Scholes'!$B$5*EXP(('Black-Scholes'!$B$8-'Black-Scholes'!$B$10-'Black-Scholes'!$B$9^2/2)*'Black-Scholes'!$B$7-'Black-Scholes'!$B$9*SQRT('Black-Scholes'!$B$7)*B3218)</f>
        <v>93.1305372820856</v>
      </c>
      <c r="E3218" s="18" t="n">
        <f aca="false">EXP(-'Black-Scholes'!$B$8*'Black-Scholes'!$B$7)*IF(LOWER('Black-Scholes'!$B$11)="put",MAX('Black-Scholes'!$B$6-C3218,0),MAX(C3218-'Black-Scholes'!$B$6,0))</f>
        <v>13.33237162428</v>
      </c>
      <c r="F3218" s="18" t="n">
        <f aca="false">(E3218+G3218)/2</f>
        <v>6.66618581213998</v>
      </c>
      <c r="G3218" s="18" t="n">
        <f aca="false">EXP(-'Black-Scholes'!$B$8*'Black-Scholes'!$B$7)*IF(LOWER('Black-Scholes'!$B$11)="put",MAX('Black-Scholes'!$B$6-D3218,0),MAX(D3218-'Black-Scholes'!$B$6,0))</f>
        <v>0</v>
      </c>
    </row>
    <row r="3219" customFormat="false" ht="15" hidden="false" customHeight="false" outlineLevel="0" collapsed="false">
      <c r="A3219" s="0" t="n">
        <v>3208</v>
      </c>
      <c r="B3219" s="15" t="n">
        <v>-0.925208251425661</v>
      </c>
      <c r="C3219" s="18" t="n">
        <f aca="false">'Black-Scholes'!$B$5*EXP(('Black-Scholes'!$B$8-'Black-Scholes'!$B$10-'Black-Scholes'!$B$9^2/2)*'Black-Scholes'!$B$7+'Black-Scholes'!$B$9*SQRT('Black-Scholes'!$B$7)*B3219)</f>
        <v>85.6379508290101</v>
      </c>
      <c r="D3219" s="18" t="n">
        <f aca="false">'Black-Scholes'!$B$5*EXP(('Black-Scholes'!$B$8-'Black-Scholes'!$B$10-'Black-Scholes'!$B$9^2/2)*'Black-Scholes'!$B$7-'Black-Scholes'!$B$9*SQRT('Black-Scholes'!$B$7)*B3219)</f>
        <v>123.991353864303</v>
      </c>
      <c r="E3219" s="18" t="n">
        <f aca="false">EXP(-'Black-Scholes'!$B$8*'Black-Scholes'!$B$7)*IF(LOWER('Black-Scholes'!$B$11)="put",MAX('Black-Scholes'!$B$6-C3219,0),MAX(C3219-'Black-Scholes'!$B$6,0))</f>
        <v>0</v>
      </c>
      <c r="F3219" s="18" t="n">
        <f aca="false">(E3219+G3219)/2</f>
        <v>11.4106408646671</v>
      </c>
      <c r="G3219" s="18" t="n">
        <f aca="false">EXP(-'Black-Scholes'!$B$8*'Black-Scholes'!$B$7)*IF(LOWER('Black-Scholes'!$B$11)="put",MAX('Black-Scholes'!$B$6-D3219,0),MAX(D3219-'Black-Scholes'!$B$6,0))</f>
        <v>22.8212817293342</v>
      </c>
    </row>
    <row r="3220" customFormat="false" ht="15" hidden="false" customHeight="false" outlineLevel="0" collapsed="false">
      <c r="A3220" s="0" t="n">
        <v>3209</v>
      </c>
      <c r="B3220" s="15" t="n">
        <v>-0.46140740439593</v>
      </c>
      <c r="C3220" s="18" t="n">
        <f aca="false">'Black-Scholes'!$B$5*EXP(('Black-Scholes'!$B$8-'Black-Scholes'!$B$10-'Black-Scholes'!$B$9^2/2)*'Black-Scholes'!$B$7+'Black-Scholes'!$B$9*SQRT('Black-Scholes'!$B$7)*B3220)</f>
        <v>93.9618364960449</v>
      </c>
      <c r="D3220" s="18" t="n">
        <f aca="false">'Black-Scholes'!$B$5*EXP(('Black-Scholes'!$B$8-'Black-Scholes'!$B$10-'Black-Scholes'!$B$9^2/2)*'Black-Scholes'!$B$7-'Black-Scholes'!$B$9*SQRT('Black-Scholes'!$B$7)*B3220)</f>
        <v>113.00721507184</v>
      </c>
      <c r="E3220" s="18" t="n">
        <f aca="false">EXP(-'Black-Scholes'!$B$8*'Black-Scholes'!$B$7)*IF(LOWER('Black-Scholes'!$B$11)="put",MAX('Black-Scholes'!$B$6-C3220,0),MAX(C3220-'Black-Scholes'!$B$6,0))</f>
        <v>0</v>
      </c>
      <c r="F3220" s="18" t="n">
        <f aca="false">(E3220+G3220)/2</f>
        <v>6.18642285357165</v>
      </c>
      <c r="G3220" s="18" t="n">
        <f aca="false">EXP(-'Black-Scholes'!$B$8*'Black-Scholes'!$B$7)*IF(LOWER('Black-Scholes'!$B$11)="put",MAX('Black-Scholes'!$B$6-D3220,0),MAX(D3220-'Black-Scholes'!$B$6,0))</f>
        <v>12.3728457071433</v>
      </c>
    </row>
    <row r="3221" customFormat="false" ht="15" hidden="false" customHeight="false" outlineLevel="0" collapsed="false">
      <c r="A3221" s="0" t="n">
        <v>3210</v>
      </c>
      <c r="B3221" s="15" t="n">
        <v>1.89096338327521</v>
      </c>
      <c r="C3221" s="18" t="n">
        <f aca="false">'Black-Scholes'!$B$5*EXP(('Black-Scholes'!$B$8-'Black-Scholes'!$B$10-'Black-Scholes'!$B$9^2/2)*'Black-Scholes'!$B$7+'Black-Scholes'!$B$9*SQRT('Black-Scholes'!$B$7)*B3221)</f>
        <v>150.409693761944</v>
      </c>
      <c r="D3221" s="18" t="n">
        <f aca="false">'Black-Scholes'!$B$5*EXP(('Black-Scholes'!$B$8-'Black-Scholes'!$B$10-'Black-Scholes'!$B$9^2/2)*'Black-Scholes'!$B$7-'Black-Scholes'!$B$9*SQRT('Black-Scholes'!$B$7)*B3221)</f>
        <v>70.5962840550656</v>
      </c>
      <c r="E3221" s="18" t="n">
        <f aca="false">EXP(-'Black-Scholes'!$B$8*'Black-Scholes'!$B$7)*IF(LOWER('Black-Scholes'!$B$11)="put",MAX('Black-Scholes'!$B$6-C3221,0),MAX(C3221-'Black-Scholes'!$B$6,0))</f>
        <v>47.9511839864309</v>
      </c>
      <c r="F3221" s="18" t="n">
        <f aca="false">(E3221+G3221)/2</f>
        <v>23.9755919932154</v>
      </c>
      <c r="G3221" s="18" t="n">
        <f aca="false">EXP(-'Black-Scholes'!$B$8*'Black-Scholes'!$B$7)*IF(LOWER('Black-Scholes'!$B$11)="put",MAX('Black-Scholes'!$B$6-D3221,0),MAX(D3221-'Black-Scholes'!$B$6,0))</f>
        <v>0</v>
      </c>
    </row>
    <row r="3222" customFormat="false" ht="15" hidden="false" customHeight="false" outlineLevel="0" collapsed="false">
      <c r="A3222" s="0" t="n">
        <v>3211</v>
      </c>
      <c r="B3222" s="15" t="n">
        <v>-1.04863143472065</v>
      </c>
      <c r="C3222" s="18" t="n">
        <f aca="false">'Black-Scholes'!$B$5*EXP(('Black-Scholes'!$B$8-'Black-Scholes'!$B$10-'Black-Scholes'!$B$9^2/2)*'Black-Scholes'!$B$7+'Black-Scholes'!$B$9*SQRT('Black-Scholes'!$B$7)*B3222)</f>
        <v>83.5498867064906</v>
      </c>
      <c r="D3222" s="18" t="n">
        <f aca="false">'Black-Scholes'!$B$5*EXP(('Black-Scholes'!$B$8-'Black-Scholes'!$B$10-'Black-Scholes'!$B$9^2/2)*'Black-Scholes'!$B$7-'Black-Scholes'!$B$9*SQRT('Black-Scholes'!$B$7)*B3222)</f>
        <v>127.090124044761</v>
      </c>
      <c r="E3222" s="18" t="n">
        <f aca="false">EXP(-'Black-Scholes'!$B$8*'Black-Scholes'!$B$7)*IF(LOWER('Black-Scholes'!$B$11)="put",MAX('Black-Scholes'!$B$6-C3222,0),MAX(C3222-'Black-Scholes'!$B$6,0))</f>
        <v>0</v>
      </c>
      <c r="F3222" s="18" t="n">
        <f aca="false">(E3222+G3222)/2</f>
        <v>12.8844615523754</v>
      </c>
      <c r="G3222" s="18" t="n">
        <f aca="false">EXP(-'Black-Scholes'!$B$8*'Black-Scholes'!$B$7)*IF(LOWER('Black-Scholes'!$B$11)="put",MAX('Black-Scholes'!$B$6-D3222,0),MAX(D3222-'Black-Scholes'!$B$6,0))</f>
        <v>25.7689231047507</v>
      </c>
    </row>
    <row r="3223" customFormat="false" ht="15" hidden="false" customHeight="false" outlineLevel="0" collapsed="false">
      <c r="A3223" s="0" t="n">
        <v>3212</v>
      </c>
      <c r="B3223" s="15" t="n">
        <v>0.987704692071584</v>
      </c>
      <c r="C3223" s="18" t="n">
        <f aca="false">'Black-Scholes'!$B$5*EXP(('Black-Scholes'!$B$8-'Black-Scholes'!$B$10-'Black-Scholes'!$B$9^2/2)*'Black-Scholes'!$B$7+'Black-Scholes'!$B$9*SQRT('Black-Scholes'!$B$7)*B3223)</f>
        <v>125.550883724301</v>
      </c>
      <c r="D3223" s="18" t="n">
        <f aca="false">'Black-Scholes'!$B$5*EXP(('Black-Scholes'!$B$8-'Black-Scholes'!$B$10-'Black-Scholes'!$B$9^2/2)*'Black-Scholes'!$B$7-'Black-Scholes'!$B$9*SQRT('Black-Scholes'!$B$7)*B3223)</f>
        <v>84.5741993243998</v>
      </c>
      <c r="E3223" s="18" t="n">
        <f aca="false">EXP(-'Black-Scholes'!$B$8*'Black-Scholes'!$B$7)*IF(LOWER('Black-Scholes'!$B$11)="put",MAX('Black-Scholes'!$B$6-C3223,0),MAX(C3223-'Black-Scholes'!$B$6,0))</f>
        <v>24.3047524205518</v>
      </c>
      <c r="F3223" s="18" t="n">
        <f aca="false">(E3223+G3223)/2</f>
        <v>12.1523762102759</v>
      </c>
      <c r="G3223" s="18" t="n">
        <f aca="false">EXP(-'Black-Scholes'!$B$8*'Black-Scholes'!$B$7)*IF(LOWER('Black-Scholes'!$B$11)="put",MAX('Black-Scholes'!$B$6-D3223,0),MAX(D3223-'Black-Scholes'!$B$6,0))</f>
        <v>0</v>
      </c>
    </row>
    <row r="3224" customFormat="false" ht="15" hidden="false" customHeight="false" outlineLevel="0" collapsed="false">
      <c r="A3224" s="0" t="n">
        <v>3213</v>
      </c>
      <c r="B3224" s="15" t="n">
        <v>0.372237796211109</v>
      </c>
      <c r="C3224" s="18" t="n">
        <f aca="false">'Black-Scholes'!$B$5*EXP(('Black-Scholes'!$B$8-'Black-Scholes'!$B$10-'Black-Scholes'!$B$9^2/2)*'Black-Scholes'!$B$7+'Black-Scholes'!$B$9*SQRT('Black-Scholes'!$B$7)*B3224)</f>
        <v>111.009717800257</v>
      </c>
      <c r="D3224" s="18" t="n">
        <f aca="false">'Black-Scholes'!$B$5*EXP(('Black-Scholes'!$B$8-'Black-Scholes'!$B$10-'Black-Scholes'!$B$9^2/2)*'Black-Scholes'!$B$7-'Black-Scholes'!$B$9*SQRT('Black-Scholes'!$B$7)*B3224)</f>
        <v>95.6525759714079</v>
      </c>
      <c r="E3224" s="18" t="n">
        <f aca="false">EXP(-'Black-Scholes'!$B$8*'Black-Scholes'!$B$7)*IF(LOWER('Black-Scholes'!$B$11)="put",MAX('Black-Scholes'!$B$6-C3224,0),MAX(C3224-'Black-Scholes'!$B$6,0))</f>
        <v>10.4727675270534</v>
      </c>
      <c r="F3224" s="18" t="n">
        <f aca="false">(E3224+G3224)/2</f>
        <v>5.23638376352668</v>
      </c>
      <c r="G3224" s="18" t="n">
        <f aca="false">EXP(-'Black-Scholes'!$B$8*'Black-Scholes'!$B$7)*IF(LOWER('Black-Scholes'!$B$11)="put",MAX('Black-Scholes'!$B$6-D3224,0),MAX(D3224-'Black-Scholes'!$B$6,0))</f>
        <v>0</v>
      </c>
    </row>
    <row r="3225" customFormat="false" ht="15" hidden="false" customHeight="false" outlineLevel="0" collapsed="false">
      <c r="A3225" s="0" t="n">
        <v>3214</v>
      </c>
      <c r="B3225" s="15" t="n">
        <v>1.28111513057056</v>
      </c>
      <c r="C3225" s="18" t="n">
        <f aca="false">'Black-Scholes'!$B$5*EXP(('Black-Scholes'!$B$8-'Black-Scholes'!$B$10-'Black-Scholes'!$B$9^2/2)*'Black-Scholes'!$B$7+'Black-Scholes'!$B$9*SQRT('Black-Scholes'!$B$7)*B3225)</f>
        <v>133.138935673727</v>
      </c>
      <c r="D3225" s="18" t="n">
        <f aca="false">'Black-Scholes'!$B$5*EXP(('Black-Scholes'!$B$8-'Black-Scholes'!$B$10-'Black-Scholes'!$B$9^2/2)*'Black-Scholes'!$B$7-'Black-Scholes'!$B$9*SQRT('Black-Scholes'!$B$7)*B3225)</f>
        <v>79.7540209535335</v>
      </c>
      <c r="E3225" s="18" t="n">
        <f aca="false">EXP(-'Black-Scholes'!$B$8*'Black-Scholes'!$B$7)*IF(LOWER('Black-Scholes'!$B$11)="put",MAX('Black-Scholes'!$B$6-C3225,0),MAX(C3225-'Black-Scholes'!$B$6,0))</f>
        <v>31.5227307094858</v>
      </c>
      <c r="F3225" s="18" t="n">
        <f aca="false">(E3225+G3225)/2</f>
        <v>15.7613653547429</v>
      </c>
      <c r="G3225" s="18" t="n">
        <f aca="false">EXP(-'Black-Scholes'!$B$8*'Black-Scholes'!$B$7)*IF(LOWER('Black-Scholes'!$B$11)="put",MAX('Black-Scholes'!$B$6-D3225,0),MAX(D3225-'Black-Scholes'!$B$6,0))</f>
        <v>0</v>
      </c>
    </row>
    <row r="3226" customFormat="false" ht="15" hidden="false" customHeight="false" outlineLevel="0" collapsed="false">
      <c r="A3226" s="0" t="n">
        <v>3215</v>
      </c>
      <c r="B3226" s="15" t="n">
        <v>-0.946548353090791</v>
      </c>
      <c r="C3226" s="18" t="n">
        <f aca="false">'Black-Scholes'!$B$5*EXP(('Black-Scholes'!$B$8-'Black-Scholes'!$B$10-'Black-Scholes'!$B$9^2/2)*'Black-Scholes'!$B$7+'Black-Scholes'!$B$9*SQRT('Black-Scholes'!$B$7)*B3226)</f>
        <v>85.2732251954565</v>
      </c>
      <c r="D3226" s="18" t="n">
        <f aca="false">'Black-Scholes'!$B$5*EXP(('Black-Scholes'!$B$8-'Black-Scholes'!$B$10-'Black-Scholes'!$B$9^2/2)*'Black-Scholes'!$B$7-'Black-Scholes'!$B$9*SQRT('Black-Scholes'!$B$7)*B3226)</f>
        <v>124.521682405175</v>
      </c>
      <c r="E3226" s="18" t="n">
        <f aca="false">EXP(-'Black-Scholes'!$B$8*'Black-Scholes'!$B$7)*IF(LOWER('Black-Scholes'!$B$11)="put",MAX('Black-Scholes'!$B$6-C3226,0),MAX(C3226-'Black-Scholes'!$B$6,0))</f>
        <v>0</v>
      </c>
      <c r="F3226" s="18" t="n">
        <f aca="false">(E3226+G3226)/2</f>
        <v>11.6628729210319</v>
      </c>
      <c r="G3226" s="18" t="n">
        <f aca="false">EXP(-'Black-Scholes'!$B$8*'Black-Scholes'!$B$7)*IF(LOWER('Black-Scholes'!$B$11)="put",MAX('Black-Scholes'!$B$6-D3226,0),MAX(D3226-'Black-Scholes'!$B$6,0))</f>
        <v>23.3257458420639</v>
      </c>
    </row>
    <row r="3227" customFormat="false" ht="15" hidden="false" customHeight="false" outlineLevel="0" collapsed="false">
      <c r="A3227" s="0" t="n">
        <v>3216</v>
      </c>
      <c r="B3227" s="15" t="n">
        <v>0.546093335607522</v>
      </c>
      <c r="C3227" s="18" t="n">
        <f aca="false">'Black-Scholes'!$B$5*EXP(('Black-Scholes'!$B$8-'Black-Scholes'!$B$10-'Black-Scholes'!$B$9^2/2)*'Black-Scholes'!$B$7+'Black-Scholes'!$B$9*SQRT('Black-Scholes'!$B$7)*B3227)</f>
        <v>114.937540313767</v>
      </c>
      <c r="D3227" s="18" t="n">
        <f aca="false">'Black-Scholes'!$B$5*EXP(('Black-Scholes'!$B$8-'Black-Scholes'!$B$10-'Black-Scholes'!$B$9^2/2)*'Black-Scholes'!$B$7-'Black-Scholes'!$B$9*SQRT('Black-Scholes'!$B$7)*B3227)</f>
        <v>92.3837889384671</v>
      </c>
      <c r="E3227" s="18" t="n">
        <f aca="false">EXP(-'Black-Scholes'!$B$8*'Black-Scholes'!$B$7)*IF(LOWER('Black-Scholes'!$B$11)="put",MAX('Black-Scholes'!$B$6-C3227,0),MAX(C3227-'Black-Scholes'!$B$6,0))</f>
        <v>14.2090278761207</v>
      </c>
      <c r="F3227" s="18" t="n">
        <f aca="false">(E3227+G3227)/2</f>
        <v>7.10451393806037</v>
      </c>
      <c r="G3227" s="18" t="n">
        <f aca="false">EXP(-'Black-Scholes'!$B$8*'Black-Scholes'!$B$7)*IF(LOWER('Black-Scholes'!$B$11)="put",MAX('Black-Scholes'!$B$6-D3227,0),MAX(D3227-'Black-Scholes'!$B$6,0))</f>
        <v>0</v>
      </c>
    </row>
    <row r="3228" customFormat="false" ht="15" hidden="false" customHeight="false" outlineLevel="0" collapsed="false">
      <c r="A3228" s="0" t="n">
        <v>3217</v>
      </c>
      <c r="B3228" s="15" t="n">
        <v>0.511761048782821</v>
      </c>
      <c r="C3228" s="18" t="n">
        <f aca="false">'Black-Scholes'!$B$5*EXP(('Black-Scholes'!$B$8-'Black-Scholes'!$B$10-'Black-Scholes'!$B$9^2/2)*'Black-Scholes'!$B$7+'Black-Scholes'!$B$9*SQRT('Black-Scholes'!$B$7)*B3228)</f>
        <v>114.151029953711</v>
      </c>
      <c r="D3228" s="18" t="n">
        <f aca="false">'Black-Scholes'!$B$5*EXP(('Black-Scholes'!$B$8-'Black-Scholes'!$B$10-'Black-Scholes'!$B$9^2/2)*'Black-Scholes'!$B$7-'Black-Scholes'!$B$9*SQRT('Black-Scholes'!$B$7)*B3228)</f>
        <v>93.0203211461117</v>
      </c>
      <c r="E3228" s="18" t="n">
        <f aca="false">EXP(-'Black-Scholes'!$B$8*'Black-Scholes'!$B$7)*IF(LOWER('Black-Scholes'!$B$11)="put",MAX('Black-Scholes'!$B$6-C3228,0),MAX(C3228-'Black-Scholes'!$B$6,0))</f>
        <v>13.4608760789607</v>
      </c>
      <c r="F3228" s="18" t="n">
        <f aca="false">(E3228+G3228)/2</f>
        <v>6.73043803948037</v>
      </c>
      <c r="G3228" s="18" t="n">
        <f aca="false">EXP(-'Black-Scholes'!$B$8*'Black-Scholes'!$B$7)*IF(LOWER('Black-Scholes'!$B$11)="put",MAX('Black-Scholes'!$B$6-D3228,0),MAX(D3228-'Black-Scholes'!$B$6,0))</f>
        <v>0</v>
      </c>
    </row>
    <row r="3229" customFormat="false" ht="15" hidden="false" customHeight="false" outlineLevel="0" collapsed="false">
      <c r="A3229" s="0" t="n">
        <v>3218</v>
      </c>
      <c r="B3229" s="15" t="n">
        <v>-0.406834696038721</v>
      </c>
      <c r="C3229" s="18" t="n">
        <f aca="false">'Black-Scholes'!$B$5*EXP(('Black-Scholes'!$B$8-'Black-Scholes'!$B$10-'Black-Scholes'!$B$9^2/2)*'Black-Scholes'!$B$7+'Black-Scholes'!$B$9*SQRT('Black-Scholes'!$B$7)*B3229)</f>
        <v>94.9930039996944</v>
      </c>
      <c r="D3229" s="18" t="n">
        <f aca="false">'Black-Scholes'!$B$5*EXP(('Black-Scholes'!$B$8-'Black-Scholes'!$B$10-'Black-Scholes'!$B$9^2/2)*'Black-Scholes'!$B$7-'Black-Scholes'!$B$9*SQRT('Black-Scholes'!$B$7)*B3229)</f>
        <v>111.780499809099</v>
      </c>
      <c r="E3229" s="18" t="n">
        <f aca="false">EXP(-'Black-Scholes'!$B$8*'Black-Scholes'!$B$7)*IF(LOWER('Black-Scholes'!$B$11)="put",MAX('Black-Scholes'!$B$6-C3229,0),MAX(C3229-'Black-Scholes'!$B$6,0))</f>
        <v>0</v>
      </c>
      <c r="F3229" s="18" t="n">
        <f aca="false">(E3229+G3229)/2</f>
        <v>5.60297902687011</v>
      </c>
      <c r="G3229" s="18" t="n">
        <f aca="false">EXP(-'Black-Scholes'!$B$8*'Black-Scholes'!$B$7)*IF(LOWER('Black-Scholes'!$B$11)="put",MAX('Black-Scholes'!$B$6-D3229,0),MAX(D3229-'Black-Scholes'!$B$6,0))</f>
        <v>11.2059580537402</v>
      </c>
    </row>
    <row r="3230" customFormat="false" ht="15" hidden="false" customHeight="false" outlineLevel="0" collapsed="false">
      <c r="A3230" s="0" t="n">
        <v>3219</v>
      </c>
      <c r="B3230" s="15" t="n">
        <v>-0.136171557672421</v>
      </c>
      <c r="C3230" s="18" t="n">
        <f aca="false">'Black-Scholes'!$B$5*EXP(('Black-Scholes'!$B$8-'Black-Scholes'!$B$10-'Black-Scholes'!$B$9^2/2)*'Black-Scholes'!$B$7+'Black-Scholes'!$B$9*SQRT('Black-Scholes'!$B$7)*B3230)</f>
        <v>100.276951651011</v>
      </c>
      <c r="D3230" s="18" t="n">
        <f aca="false">'Black-Scholes'!$B$5*EXP(('Black-Scholes'!$B$8-'Black-Scholes'!$B$10-'Black-Scholes'!$B$9^2/2)*'Black-Scholes'!$B$7-'Black-Scholes'!$B$9*SQRT('Black-Scholes'!$B$7)*B3230)</f>
        <v>105.89038947263</v>
      </c>
      <c r="E3230" s="18" t="n">
        <f aca="false">EXP(-'Black-Scholes'!$B$8*'Black-Scholes'!$B$7)*IF(LOWER('Black-Scholes'!$B$11)="put",MAX('Black-Scholes'!$B$6-C3230,0),MAX(C3230-'Black-Scholes'!$B$6,0))</f>
        <v>0.263444559605341</v>
      </c>
      <c r="F3230" s="18" t="n">
        <f aca="false">(E3230+G3230)/2</f>
        <v>2.9332781738701</v>
      </c>
      <c r="G3230" s="18" t="n">
        <f aca="false">EXP(-'Black-Scholes'!$B$8*'Black-Scholes'!$B$7)*IF(LOWER('Black-Scholes'!$B$11)="put",MAX('Black-Scholes'!$B$6-D3230,0),MAX(D3230-'Black-Scholes'!$B$6,0))</f>
        <v>5.60311178813485</v>
      </c>
    </row>
    <row r="3231" customFormat="false" ht="15" hidden="false" customHeight="false" outlineLevel="0" collapsed="false">
      <c r="A3231" s="0" t="n">
        <v>3220</v>
      </c>
      <c r="B3231" s="15" t="n">
        <v>0.0232753926909342</v>
      </c>
      <c r="C3231" s="18" t="n">
        <f aca="false">'Black-Scholes'!$B$5*EXP(('Black-Scholes'!$B$8-'Black-Scholes'!$B$10-'Black-Scholes'!$B$9^2/2)*'Black-Scholes'!$B$7+'Black-Scholes'!$B$9*SQRT('Black-Scholes'!$B$7)*B3231)</f>
        <v>103.526256293296</v>
      </c>
      <c r="D3231" s="18" t="n">
        <f aca="false">'Black-Scholes'!$B$5*EXP(('Black-Scholes'!$B$8-'Black-Scholes'!$B$10-'Black-Scholes'!$B$9^2/2)*'Black-Scholes'!$B$7-'Black-Scholes'!$B$9*SQRT('Black-Scholes'!$B$7)*B3231)</f>
        <v>102.566883471292</v>
      </c>
      <c r="E3231" s="18" t="n">
        <f aca="false">EXP(-'Black-Scholes'!$B$8*'Black-Scholes'!$B$7)*IF(LOWER('Black-Scholes'!$B$11)="put",MAX('Black-Scholes'!$B$6-C3231,0),MAX(C3231-'Black-Scholes'!$B$6,0))</f>
        <v>3.35427874451395</v>
      </c>
      <c r="F3231" s="18" t="n">
        <f aca="false">(E3231+G3231)/2</f>
        <v>2.89798691583571</v>
      </c>
      <c r="G3231" s="18" t="n">
        <f aca="false">EXP(-'Black-Scholes'!$B$8*'Black-Scholes'!$B$7)*IF(LOWER('Black-Scholes'!$B$11)="put",MAX('Black-Scholes'!$B$6-D3231,0),MAX(D3231-'Black-Scholes'!$B$6,0))</f>
        <v>2.44169508715747</v>
      </c>
    </row>
    <row r="3232" customFormat="false" ht="15" hidden="false" customHeight="false" outlineLevel="0" collapsed="false">
      <c r="A3232" s="0" t="n">
        <v>3221</v>
      </c>
      <c r="B3232" s="15" t="n">
        <v>-0.359820504054474</v>
      </c>
      <c r="C3232" s="18" t="n">
        <f aca="false">'Black-Scholes'!$B$5*EXP(('Black-Scholes'!$B$8-'Black-Scholes'!$B$10-'Black-Scholes'!$B$9^2/2)*'Black-Scholes'!$B$7+'Black-Scholes'!$B$9*SQRT('Black-Scholes'!$B$7)*B3232)</f>
        <v>95.8904203837945</v>
      </c>
      <c r="D3232" s="18" t="n">
        <f aca="false">'Black-Scholes'!$B$5*EXP(('Black-Scholes'!$B$8-'Black-Scholes'!$B$10-'Black-Scholes'!$B$9^2/2)*'Black-Scholes'!$B$7-'Black-Scholes'!$B$9*SQRT('Black-Scholes'!$B$7)*B3232)</f>
        <v>110.734371827283</v>
      </c>
      <c r="E3232" s="18" t="n">
        <f aca="false">EXP(-'Black-Scholes'!$B$8*'Black-Scholes'!$B$7)*IF(LOWER('Black-Scholes'!$B$11)="put",MAX('Black-Scholes'!$B$6-C3232,0),MAX(C3232-'Black-Scholes'!$B$6,0))</f>
        <v>0</v>
      </c>
      <c r="F3232" s="18" t="n">
        <f aca="false">(E3232+G3232)/2</f>
        <v>5.10542516782166</v>
      </c>
      <c r="G3232" s="18" t="n">
        <f aca="false">EXP(-'Black-Scholes'!$B$8*'Black-Scholes'!$B$7)*IF(LOWER('Black-Scholes'!$B$11)="put",MAX('Black-Scholes'!$B$6-D3232,0),MAX(D3232-'Black-Scholes'!$B$6,0))</f>
        <v>10.2108503356433</v>
      </c>
    </row>
    <row r="3233" customFormat="false" ht="15" hidden="false" customHeight="false" outlineLevel="0" collapsed="false">
      <c r="A3233" s="0" t="n">
        <v>3222</v>
      </c>
      <c r="B3233" s="15" t="n">
        <v>0.267912698418753</v>
      </c>
      <c r="C3233" s="18" t="n">
        <f aca="false">'Black-Scholes'!$B$5*EXP(('Black-Scholes'!$B$8-'Black-Scholes'!$B$10-'Black-Scholes'!$B$9^2/2)*'Black-Scholes'!$B$7+'Black-Scholes'!$B$9*SQRT('Black-Scholes'!$B$7)*B3233)</f>
        <v>108.717494666591</v>
      </c>
      <c r="D3233" s="18" t="n">
        <f aca="false">'Black-Scholes'!$B$5*EXP(('Black-Scholes'!$B$8-'Black-Scholes'!$B$10-'Black-Scholes'!$B$9^2/2)*'Black-Scholes'!$B$7-'Black-Scholes'!$B$9*SQRT('Black-Scholes'!$B$7)*B3233)</f>
        <v>97.669335538107</v>
      </c>
      <c r="E3233" s="18" t="n">
        <f aca="false">EXP(-'Black-Scholes'!$B$8*'Black-Scholes'!$B$7)*IF(LOWER('Black-Scholes'!$B$11)="put",MAX('Black-Scholes'!$B$6-C3233,0),MAX(C3233-'Black-Scholes'!$B$6,0))</f>
        <v>8.29233743478904</v>
      </c>
      <c r="F3233" s="18" t="n">
        <f aca="false">(E3233+G3233)/2</f>
        <v>4.14616871739452</v>
      </c>
      <c r="G3233" s="18" t="n">
        <f aca="false">EXP(-'Black-Scholes'!$B$8*'Black-Scholes'!$B$7)*IF(LOWER('Black-Scholes'!$B$11)="put",MAX('Black-Scholes'!$B$6-D3233,0),MAX(D3233-'Black-Scholes'!$B$6,0))</f>
        <v>0</v>
      </c>
    </row>
    <row r="3234" customFormat="false" ht="15" hidden="false" customHeight="false" outlineLevel="0" collapsed="false">
      <c r="A3234" s="0" t="n">
        <v>3223</v>
      </c>
      <c r="B3234" s="15" t="n">
        <v>-1.00170444015755</v>
      </c>
      <c r="C3234" s="18" t="n">
        <f aca="false">'Black-Scholes'!$B$5*EXP(('Black-Scholes'!$B$8-'Black-Scholes'!$B$10-'Black-Scholes'!$B$9^2/2)*'Black-Scholes'!$B$7+'Black-Scholes'!$B$9*SQRT('Black-Scholes'!$B$7)*B3234)</f>
        <v>84.3377270371117</v>
      </c>
      <c r="D3234" s="18" t="n">
        <f aca="false">'Black-Scholes'!$B$5*EXP(('Black-Scholes'!$B$8-'Black-Scholes'!$B$10-'Black-Scholes'!$B$9^2/2)*'Black-Scholes'!$B$7-'Black-Scholes'!$B$9*SQRT('Black-Scholes'!$B$7)*B3234)</f>
        <v>125.902912474522</v>
      </c>
      <c r="E3234" s="18" t="n">
        <f aca="false">EXP(-'Black-Scholes'!$B$8*'Black-Scholes'!$B$7)*IF(LOWER('Black-Scholes'!$B$11)="put",MAX('Black-Scholes'!$B$6-C3234,0),MAX(C3234-'Black-Scholes'!$B$6,0))</f>
        <v>0</v>
      </c>
      <c r="F3234" s="18" t="n">
        <f aca="false">(E3234+G3234)/2</f>
        <v>12.3198062630159</v>
      </c>
      <c r="G3234" s="18" t="n">
        <f aca="false">EXP(-'Black-Scholes'!$B$8*'Black-Scholes'!$B$7)*IF(LOWER('Black-Scholes'!$B$11)="put",MAX('Black-Scholes'!$B$6-D3234,0),MAX(D3234-'Black-Scholes'!$B$6,0))</f>
        <v>24.6396125260319</v>
      </c>
    </row>
    <row r="3235" customFormat="false" ht="15" hidden="false" customHeight="false" outlineLevel="0" collapsed="false">
      <c r="A3235" s="0" t="n">
        <v>3224</v>
      </c>
      <c r="B3235" s="15" t="n">
        <v>-0.418648630628239</v>
      </c>
      <c r="C3235" s="18" t="n">
        <f aca="false">'Black-Scholes'!$B$5*EXP(('Black-Scholes'!$B$8-'Black-Scholes'!$B$10-'Black-Scholes'!$B$9^2/2)*'Black-Scholes'!$B$7+'Black-Scholes'!$B$9*SQRT('Black-Scholes'!$B$7)*B3235)</f>
        <v>94.7688207255021</v>
      </c>
      <c r="D3235" s="18" t="n">
        <f aca="false">'Black-Scholes'!$B$5*EXP(('Black-Scholes'!$B$8-'Black-Scholes'!$B$10-'Black-Scholes'!$B$9^2/2)*'Black-Scholes'!$B$7-'Black-Scholes'!$B$9*SQRT('Black-Scholes'!$B$7)*B3235)</f>
        <v>112.044925579582</v>
      </c>
      <c r="E3235" s="18" t="n">
        <f aca="false">EXP(-'Black-Scholes'!$B$8*'Black-Scholes'!$B$7)*IF(LOWER('Black-Scholes'!$B$11)="put",MAX('Black-Scholes'!$B$6-C3235,0),MAX(C3235-'Black-Scholes'!$B$6,0))</f>
        <v>0</v>
      </c>
      <c r="F3235" s="18" t="n">
        <f aca="false">(E3235+G3235)/2</f>
        <v>5.7287438136097</v>
      </c>
      <c r="G3235" s="18" t="n">
        <f aca="false">EXP(-'Black-Scholes'!$B$8*'Black-Scholes'!$B$7)*IF(LOWER('Black-Scholes'!$B$11)="put",MAX('Black-Scholes'!$B$6-D3235,0),MAX(D3235-'Black-Scholes'!$B$6,0))</f>
        <v>11.4574876272194</v>
      </c>
    </row>
    <row r="3236" customFormat="false" ht="15" hidden="false" customHeight="false" outlineLevel="0" collapsed="false">
      <c r="A3236" s="0" t="n">
        <v>3225</v>
      </c>
      <c r="B3236" s="15" t="n">
        <v>-0.611426892637504</v>
      </c>
      <c r="C3236" s="18" t="n">
        <f aca="false">'Black-Scholes'!$B$5*EXP(('Black-Scholes'!$B$8-'Black-Scholes'!$B$10-'Black-Scholes'!$B$9^2/2)*'Black-Scholes'!$B$7+'Black-Scholes'!$B$9*SQRT('Black-Scholes'!$B$7)*B3236)</f>
        <v>91.1844891458388</v>
      </c>
      <c r="D3236" s="18" t="n">
        <f aca="false">'Black-Scholes'!$B$5*EXP(('Black-Scholes'!$B$8-'Black-Scholes'!$B$10-'Black-Scholes'!$B$9^2/2)*'Black-Scholes'!$B$7-'Black-Scholes'!$B$9*SQRT('Black-Scholes'!$B$7)*B3236)</f>
        <v>116.44925101758</v>
      </c>
      <c r="E3236" s="18" t="n">
        <f aca="false">EXP(-'Black-Scholes'!$B$8*'Black-Scholes'!$B$7)*IF(LOWER('Black-Scholes'!$B$11)="put",MAX('Black-Scholes'!$B$6-C3236,0),MAX(C3236-'Black-Scholes'!$B$6,0))</f>
        <v>0</v>
      </c>
      <c r="F3236" s="18" t="n">
        <f aca="false">(E3236+G3236)/2</f>
        <v>7.82350578946026</v>
      </c>
      <c r="G3236" s="18" t="n">
        <f aca="false">EXP(-'Black-Scholes'!$B$8*'Black-Scholes'!$B$7)*IF(LOWER('Black-Scholes'!$B$11)="put",MAX('Black-Scholes'!$B$6-D3236,0),MAX(D3236-'Black-Scholes'!$B$6,0))</f>
        <v>15.6470115789205</v>
      </c>
    </row>
    <row r="3237" customFormat="false" ht="15" hidden="false" customHeight="false" outlineLevel="0" collapsed="false">
      <c r="A3237" s="0" t="n">
        <v>3226</v>
      </c>
      <c r="B3237" s="15" t="n">
        <v>-0.8994719362844</v>
      </c>
      <c r="C3237" s="18" t="n">
        <f aca="false">'Black-Scholes'!$B$5*EXP(('Black-Scholes'!$B$8-'Black-Scholes'!$B$10-'Black-Scholes'!$B$9^2/2)*'Black-Scholes'!$B$7+'Black-Scholes'!$B$9*SQRT('Black-Scholes'!$B$7)*B3237)</f>
        <v>86.0798882955833</v>
      </c>
      <c r="D3237" s="18" t="n">
        <f aca="false">'Black-Scholes'!$B$5*EXP(('Black-Scholes'!$B$8-'Black-Scholes'!$B$10-'Black-Scholes'!$B$9^2/2)*'Black-Scholes'!$B$7-'Black-Scholes'!$B$9*SQRT('Black-Scholes'!$B$7)*B3237)</f>
        <v>123.354777471272</v>
      </c>
      <c r="E3237" s="18" t="n">
        <f aca="false">EXP(-'Black-Scholes'!$B$8*'Black-Scholes'!$B$7)*IF(LOWER('Black-Scholes'!$B$11)="put",MAX('Black-Scholes'!$B$6-C3237,0),MAX(C3237-'Black-Scholes'!$B$6,0))</f>
        <v>0</v>
      </c>
      <c r="F3237" s="18" t="n">
        <f aca="false">(E3237+G3237)/2</f>
        <v>11.10787576667</v>
      </c>
      <c r="G3237" s="18" t="n">
        <f aca="false">EXP(-'Black-Scholes'!$B$8*'Black-Scholes'!$B$7)*IF(LOWER('Black-Scholes'!$B$11)="put",MAX('Black-Scholes'!$B$6-D3237,0),MAX(D3237-'Black-Scholes'!$B$6,0))</f>
        <v>22.21575153334</v>
      </c>
    </row>
    <row r="3238" customFormat="false" ht="15" hidden="false" customHeight="false" outlineLevel="0" collapsed="false">
      <c r="A3238" s="0" t="n">
        <v>3227</v>
      </c>
      <c r="B3238" s="15" t="n">
        <v>0.827409573705564</v>
      </c>
      <c r="C3238" s="18" t="n">
        <f aca="false">'Black-Scholes'!$B$5*EXP(('Black-Scholes'!$B$8-'Black-Scholes'!$B$10-'Black-Scholes'!$B$9^2/2)*'Black-Scholes'!$B$7+'Black-Scholes'!$B$9*SQRT('Black-Scholes'!$B$7)*B3238)</f>
        <v>121.589680391485</v>
      </c>
      <c r="D3238" s="18" t="n">
        <f aca="false">'Black-Scholes'!$B$5*EXP(('Black-Scholes'!$B$8-'Black-Scholes'!$B$10-'Black-Scholes'!$B$9^2/2)*'Black-Scholes'!$B$7-'Black-Scholes'!$B$9*SQRT('Black-Scholes'!$B$7)*B3238)</f>
        <v>87.3294956551037</v>
      </c>
      <c r="E3238" s="18" t="n">
        <f aca="false">EXP(-'Black-Scholes'!$B$8*'Black-Scholes'!$B$7)*IF(LOWER('Black-Scholes'!$B$11)="put",MAX('Black-Scholes'!$B$6-C3238,0),MAX(C3238-'Black-Scholes'!$B$6,0))</f>
        <v>20.5367392539462</v>
      </c>
      <c r="F3238" s="18" t="n">
        <f aca="false">(E3238+G3238)/2</f>
        <v>10.2683696269731</v>
      </c>
      <c r="G3238" s="18" t="n">
        <f aca="false">EXP(-'Black-Scholes'!$B$8*'Black-Scholes'!$B$7)*IF(LOWER('Black-Scholes'!$B$11)="put",MAX('Black-Scholes'!$B$6-D3238,0),MAX(D3238-'Black-Scholes'!$B$6,0))</f>
        <v>0</v>
      </c>
    </row>
    <row r="3239" customFormat="false" ht="15" hidden="false" customHeight="false" outlineLevel="0" collapsed="false">
      <c r="A3239" s="0" t="n">
        <v>3228</v>
      </c>
      <c r="B3239" s="15" t="n">
        <v>0.290496275360929</v>
      </c>
      <c r="C3239" s="18" t="n">
        <f aca="false">'Black-Scholes'!$B$5*EXP(('Black-Scholes'!$B$8-'Black-Scholes'!$B$10-'Black-Scholes'!$B$9^2/2)*'Black-Scholes'!$B$7+'Black-Scholes'!$B$9*SQRT('Black-Scholes'!$B$7)*B3239)</f>
        <v>109.209651276715</v>
      </c>
      <c r="D3239" s="18" t="n">
        <f aca="false">'Black-Scholes'!$B$5*EXP(('Black-Scholes'!$B$8-'Black-Scholes'!$B$10-'Black-Scholes'!$B$9^2/2)*'Black-Scholes'!$B$7-'Black-Scholes'!$B$9*SQRT('Black-Scholes'!$B$7)*B3239)</f>
        <v>97.2291857113325</v>
      </c>
      <c r="E3239" s="18" t="n">
        <f aca="false">EXP(-'Black-Scholes'!$B$8*'Black-Scholes'!$B$7)*IF(LOWER('Black-Scholes'!$B$11)="put",MAX('Black-Scholes'!$B$6-C3239,0),MAX(C3239-'Black-Scholes'!$B$6,0))</f>
        <v>8.76049128380203</v>
      </c>
      <c r="F3239" s="18" t="n">
        <f aca="false">(E3239+G3239)/2</f>
        <v>4.38024564190102</v>
      </c>
      <c r="G3239" s="18" t="n">
        <f aca="false">EXP(-'Black-Scholes'!$B$8*'Black-Scholes'!$B$7)*IF(LOWER('Black-Scholes'!$B$11)="put",MAX('Black-Scholes'!$B$6-D3239,0),MAX(D3239-'Black-Scholes'!$B$6,0))</f>
        <v>0</v>
      </c>
    </row>
    <row r="3240" customFormat="false" ht="15" hidden="false" customHeight="false" outlineLevel="0" collapsed="false">
      <c r="A3240" s="0" t="n">
        <v>3229</v>
      </c>
      <c r="B3240" s="15" t="n">
        <v>-0.76622803703655</v>
      </c>
      <c r="C3240" s="18" t="n">
        <f aca="false">'Black-Scholes'!$B$5*EXP(('Black-Scholes'!$B$8-'Black-Scholes'!$B$10-'Black-Scholes'!$B$9^2/2)*'Black-Scholes'!$B$7+'Black-Scholes'!$B$9*SQRT('Black-Scholes'!$B$7)*B3240)</f>
        <v>88.4046507523815</v>
      </c>
      <c r="D3240" s="18" t="n">
        <f aca="false">'Black-Scholes'!$B$5*EXP(('Black-Scholes'!$B$8-'Black-Scholes'!$B$10-'Black-Scholes'!$B$9^2/2)*'Black-Scholes'!$B$7-'Black-Scholes'!$B$9*SQRT('Black-Scholes'!$B$7)*B3240)</f>
        <v>120.110937321559</v>
      </c>
      <c r="E3240" s="18" t="n">
        <f aca="false">EXP(-'Black-Scholes'!$B$8*'Black-Scholes'!$B$7)*IF(LOWER('Black-Scholes'!$B$11)="put",MAX('Black-Scholes'!$B$6-C3240,0),MAX(C3240-'Black-Scholes'!$B$6,0))</f>
        <v>0</v>
      </c>
      <c r="F3240" s="18" t="n">
        <f aca="false">(E3240+G3240)/2</f>
        <v>9.56505766727817</v>
      </c>
      <c r="G3240" s="18" t="n">
        <f aca="false">EXP(-'Black-Scholes'!$B$8*'Black-Scholes'!$B$7)*IF(LOWER('Black-Scholes'!$B$11)="put",MAX('Black-Scholes'!$B$6-D3240,0),MAX(D3240-'Black-Scholes'!$B$6,0))</f>
        <v>19.1301153345563</v>
      </c>
    </row>
    <row r="3241" customFormat="false" ht="15" hidden="false" customHeight="false" outlineLevel="0" collapsed="false">
      <c r="A3241" s="0" t="n">
        <v>3230</v>
      </c>
      <c r="B3241" s="15" t="n">
        <v>-1.12778689478549</v>
      </c>
      <c r="C3241" s="18" t="n">
        <f aca="false">'Black-Scholes'!$B$5*EXP(('Black-Scholes'!$B$8-'Black-Scholes'!$B$10-'Black-Scholes'!$B$9^2/2)*'Black-Scholes'!$B$7+'Black-Scholes'!$B$9*SQRT('Black-Scholes'!$B$7)*B3241)</f>
        <v>82.237615512426</v>
      </c>
      <c r="D3241" s="18" t="n">
        <f aca="false">'Black-Scholes'!$B$5*EXP(('Black-Scholes'!$B$8-'Black-Scholes'!$B$10-'Black-Scholes'!$B$9^2/2)*'Black-Scholes'!$B$7-'Black-Scholes'!$B$9*SQRT('Black-Scholes'!$B$7)*B3241)</f>
        <v>129.118109751725</v>
      </c>
      <c r="E3241" s="18" t="n">
        <f aca="false">EXP(-'Black-Scholes'!$B$8*'Black-Scholes'!$B$7)*IF(LOWER('Black-Scholes'!$B$11)="put",MAX('Black-Scholes'!$B$6-C3241,0),MAX(C3241-'Black-Scholes'!$B$6,0))</f>
        <v>0</v>
      </c>
      <c r="F3241" s="18" t="n">
        <f aca="false">(E3241+G3241)/2</f>
        <v>13.8490013908411</v>
      </c>
      <c r="G3241" s="18" t="n">
        <f aca="false">EXP(-'Black-Scholes'!$B$8*'Black-Scholes'!$B$7)*IF(LOWER('Black-Scholes'!$B$11)="put",MAX('Black-Scholes'!$B$6-D3241,0),MAX(D3241-'Black-Scholes'!$B$6,0))</f>
        <v>27.6980027816821</v>
      </c>
    </row>
    <row r="3242" customFormat="false" ht="15" hidden="false" customHeight="false" outlineLevel="0" collapsed="false">
      <c r="A3242" s="0" t="n">
        <v>3231</v>
      </c>
      <c r="B3242" s="15" t="n">
        <v>-1.48927541996802</v>
      </c>
      <c r="C3242" s="18" t="n">
        <f aca="false">'Black-Scholes'!$B$5*EXP(('Black-Scholes'!$B$8-'Black-Scholes'!$B$10-'Black-Scholes'!$B$9^2/2)*'Black-Scholes'!$B$7+'Black-Scholes'!$B$9*SQRT('Black-Scholes'!$B$7)*B3242)</f>
        <v>76.5018636515931</v>
      </c>
      <c r="D3242" s="18" t="n">
        <f aca="false">'Black-Scholes'!$B$5*EXP(('Black-Scholes'!$B$8-'Black-Scholes'!$B$10-'Black-Scholes'!$B$9^2/2)*'Black-Scholes'!$B$7-'Black-Scholes'!$B$9*SQRT('Black-Scholes'!$B$7)*B3242)</f>
        <v>138.798781606316</v>
      </c>
      <c r="E3242" s="18" t="n">
        <f aca="false">EXP(-'Black-Scholes'!$B$8*'Black-Scholes'!$B$7)*IF(LOWER('Black-Scholes'!$B$11)="put",MAX('Black-Scholes'!$B$6-C3242,0),MAX(C3242-'Black-Scholes'!$B$6,0))</f>
        <v>0</v>
      </c>
      <c r="F3242" s="18" t="n">
        <f aca="false">(E3242+G3242)/2</f>
        <v>18.4532713493522</v>
      </c>
      <c r="G3242" s="18" t="n">
        <f aca="false">EXP(-'Black-Scholes'!$B$8*'Black-Scholes'!$B$7)*IF(LOWER('Black-Scholes'!$B$11)="put",MAX('Black-Scholes'!$B$6-D3242,0),MAX(D3242-'Black-Scholes'!$B$6,0))</f>
        <v>36.9065426987045</v>
      </c>
    </row>
    <row r="3243" customFormat="false" ht="15" hidden="false" customHeight="false" outlineLevel="0" collapsed="false">
      <c r="A3243" s="0" t="n">
        <v>3232</v>
      </c>
      <c r="B3243" s="15" t="n">
        <v>-1.02729016977418</v>
      </c>
      <c r="C3243" s="18" t="n">
        <f aca="false">'Black-Scholes'!$B$5*EXP(('Black-Scholes'!$B$8-'Black-Scholes'!$B$10-'Black-Scholes'!$B$9^2/2)*'Black-Scholes'!$B$7+'Black-Scholes'!$B$9*SQRT('Black-Scholes'!$B$7)*B3243)</f>
        <v>83.9072608993614</v>
      </c>
      <c r="D3243" s="18" t="n">
        <f aca="false">'Black-Scholes'!$B$5*EXP(('Black-Scholes'!$B$8-'Black-Scholes'!$B$10-'Black-Scholes'!$B$9^2/2)*'Black-Scholes'!$B$7-'Black-Scholes'!$B$9*SQRT('Black-Scholes'!$B$7)*B3243)</f>
        <v>126.548827260483</v>
      </c>
      <c r="E3243" s="18" t="n">
        <f aca="false">EXP(-'Black-Scholes'!$B$8*'Black-Scholes'!$B$7)*IF(LOWER('Black-Scholes'!$B$11)="put",MAX('Black-Scholes'!$B$6-C3243,0),MAX(C3243-'Black-Scholes'!$B$6,0))</f>
        <v>0</v>
      </c>
      <c r="F3243" s="18" t="n">
        <f aca="false">(E3243+G3243)/2</f>
        <v>12.6270128380792</v>
      </c>
      <c r="G3243" s="18" t="n">
        <f aca="false">EXP(-'Black-Scholes'!$B$8*'Black-Scholes'!$B$7)*IF(LOWER('Black-Scholes'!$B$11)="put",MAX('Black-Scholes'!$B$6-D3243,0),MAX(D3243-'Black-Scholes'!$B$6,0))</f>
        <v>25.2540256761585</v>
      </c>
    </row>
    <row r="3244" customFormat="false" ht="15" hidden="false" customHeight="false" outlineLevel="0" collapsed="false">
      <c r="A3244" s="0" t="n">
        <v>3233</v>
      </c>
      <c r="B3244" s="15" t="n">
        <v>1.55368454031634</v>
      </c>
      <c r="C3244" s="18" t="n">
        <f aca="false">'Black-Scholes'!$B$5*EXP(('Black-Scholes'!$B$8-'Black-Scholes'!$B$10-'Black-Scholes'!$B$9^2/2)*'Black-Scholes'!$B$7+'Black-Scholes'!$B$9*SQRT('Black-Scholes'!$B$7)*B3244)</f>
        <v>140.598328933207</v>
      </c>
      <c r="D3244" s="18" t="n">
        <f aca="false">'Black-Scholes'!$B$5*EXP(('Black-Scholes'!$B$8-'Black-Scholes'!$B$10-'Black-Scholes'!$B$9^2/2)*'Black-Scholes'!$B$7-'Black-Scholes'!$B$9*SQRT('Black-Scholes'!$B$7)*B3244)</f>
        <v>75.5227003480105</v>
      </c>
      <c r="E3244" s="18" t="n">
        <f aca="false">EXP(-'Black-Scholes'!$B$8*'Black-Scholes'!$B$7)*IF(LOWER('Black-Scholes'!$B$11)="put",MAX('Black-Scholes'!$B$6-C3244,0),MAX(C3244-'Black-Scholes'!$B$6,0))</f>
        <v>38.618325066825</v>
      </c>
      <c r="F3244" s="18" t="n">
        <f aca="false">(E3244+G3244)/2</f>
        <v>19.3091625334125</v>
      </c>
      <c r="G3244" s="18" t="n">
        <f aca="false">EXP(-'Black-Scholes'!$B$8*'Black-Scholes'!$B$7)*IF(LOWER('Black-Scholes'!$B$11)="put",MAX('Black-Scholes'!$B$6-D3244,0),MAX(D3244-'Black-Scholes'!$B$6,0))</f>
        <v>0</v>
      </c>
    </row>
    <row r="3245" customFormat="false" ht="15" hidden="false" customHeight="false" outlineLevel="0" collapsed="false">
      <c r="A3245" s="0" t="n">
        <v>3234</v>
      </c>
      <c r="B3245" s="15" t="n">
        <v>-0.682175307709049</v>
      </c>
      <c r="C3245" s="18" t="n">
        <f aca="false">'Black-Scholes'!$B$5*EXP(('Black-Scholes'!$B$8-'Black-Scholes'!$B$10-'Black-Scholes'!$B$9^2/2)*'Black-Scholes'!$B$7+'Black-Scholes'!$B$9*SQRT('Black-Scholes'!$B$7)*B3245)</f>
        <v>89.9033428110342</v>
      </c>
      <c r="D3245" s="18" t="n">
        <f aca="false">'Black-Scholes'!$B$5*EXP(('Black-Scholes'!$B$8-'Black-Scholes'!$B$10-'Black-Scholes'!$B$9^2/2)*'Black-Scholes'!$B$7-'Black-Scholes'!$B$9*SQRT('Black-Scholes'!$B$7)*B3245)</f>
        <v>118.108683542192</v>
      </c>
      <c r="E3245" s="18" t="n">
        <f aca="false">EXP(-'Black-Scholes'!$B$8*'Black-Scholes'!$B$7)*IF(LOWER('Black-Scholes'!$B$11)="put",MAX('Black-Scholes'!$B$6-C3245,0),MAX(C3245-'Black-Scholes'!$B$6,0))</f>
        <v>0</v>
      </c>
      <c r="F3245" s="18" t="n">
        <f aca="false">(E3245+G3245)/2</f>
        <v>8.6127563121522</v>
      </c>
      <c r="G3245" s="18" t="n">
        <f aca="false">EXP(-'Black-Scholes'!$B$8*'Black-Scholes'!$B$7)*IF(LOWER('Black-Scholes'!$B$11)="put",MAX('Black-Scholes'!$B$6-D3245,0),MAX(D3245-'Black-Scholes'!$B$6,0))</f>
        <v>17.2255126243044</v>
      </c>
    </row>
    <row r="3246" customFormat="false" ht="15" hidden="false" customHeight="false" outlineLevel="0" collapsed="false">
      <c r="A3246" s="0" t="n">
        <v>3235</v>
      </c>
      <c r="B3246" s="15" t="n">
        <v>-0.0588572364015705</v>
      </c>
      <c r="C3246" s="18" t="n">
        <f aca="false">'Black-Scholes'!$B$5*EXP(('Black-Scholes'!$B$8-'Black-Scholes'!$B$10-'Black-Scholes'!$B$9^2/2)*'Black-Scholes'!$B$7+'Black-Scholes'!$B$9*SQRT('Black-Scholes'!$B$7)*B3246)</f>
        <v>101.839570690171</v>
      </c>
      <c r="D3246" s="18" t="n">
        <f aca="false">'Black-Scholes'!$B$5*EXP(('Black-Scholes'!$B$8-'Black-Scholes'!$B$10-'Black-Scholes'!$B$9^2/2)*'Black-Scholes'!$B$7-'Black-Scholes'!$B$9*SQRT('Black-Scholes'!$B$7)*B3246)</f>
        <v>104.265614961772</v>
      </c>
      <c r="E3246" s="18" t="n">
        <f aca="false">EXP(-'Black-Scholes'!$B$8*'Black-Scholes'!$B$7)*IF(LOWER('Black-Scholes'!$B$11)="put",MAX('Black-Scholes'!$B$6-C3246,0),MAX(C3246-'Black-Scholes'!$B$6,0))</f>
        <v>1.74985376894009</v>
      </c>
      <c r="F3246" s="18" t="n">
        <f aca="false">(E3246+G3246)/2</f>
        <v>2.90371611708417</v>
      </c>
      <c r="G3246" s="18" t="n">
        <f aca="false">EXP(-'Black-Scholes'!$B$8*'Black-Scholes'!$B$7)*IF(LOWER('Black-Scholes'!$B$11)="put",MAX('Black-Scholes'!$B$6-D3246,0),MAX(D3246-'Black-Scholes'!$B$6,0))</f>
        <v>4.05757846522825</v>
      </c>
    </row>
    <row r="3247" customFormat="false" ht="15" hidden="false" customHeight="false" outlineLevel="0" collapsed="false">
      <c r="A3247" s="0" t="n">
        <v>3236</v>
      </c>
      <c r="B3247" s="15" t="n">
        <v>-0.186297494293375</v>
      </c>
      <c r="C3247" s="18" t="n">
        <f aca="false">'Black-Scholes'!$B$5*EXP(('Black-Scholes'!$B$8-'Black-Scholes'!$B$10-'Black-Scholes'!$B$9^2/2)*'Black-Scholes'!$B$7+'Black-Scholes'!$B$9*SQRT('Black-Scholes'!$B$7)*B3247)</f>
        <v>99.2766787655729</v>
      </c>
      <c r="D3247" s="18" t="n">
        <f aca="false">'Black-Scholes'!$B$5*EXP(('Black-Scholes'!$B$8-'Black-Scholes'!$B$10-'Black-Scholes'!$B$9^2/2)*'Black-Scholes'!$B$7-'Black-Scholes'!$B$9*SQRT('Black-Scholes'!$B$7)*B3247)</f>
        <v>106.957299513688</v>
      </c>
      <c r="E3247" s="18" t="n">
        <f aca="false">EXP(-'Black-Scholes'!$B$8*'Black-Scholes'!$B$7)*IF(LOWER('Black-Scholes'!$B$11)="put",MAX('Black-Scholes'!$B$6-C3247,0),MAX(C3247-'Black-Scholes'!$B$6,0))</f>
        <v>0</v>
      </c>
      <c r="F3247" s="18" t="n">
        <f aca="false">(E3247+G3247)/2</f>
        <v>3.30899400624242</v>
      </c>
      <c r="G3247" s="18" t="n">
        <f aca="false">EXP(-'Black-Scholes'!$B$8*'Black-Scholes'!$B$7)*IF(LOWER('Black-Scholes'!$B$11)="put",MAX('Black-Scholes'!$B$6-D3247,0),MAX(D3247-'Black-Scholes'!$B$6,0))</f>
        <v>6.61798801248483</v>
      </c>
    </row>
    <row r="3248" customFormat="false" ht="15" hidden="false" customHeight="false" outlineLevel="0" collapsed="false">
      <c r="A3248" s="0" t="n">
        <v>3237</v>
      </c>
      <c r="B3248" s="15" t="n">
        <v>0.48219585568991</v>
      </c>
      <c r="C3248" s="18" t="n">
        <f aca="false">'Black-Scholes'!$B$5*EXP(('Black-Scholes'!$B$8-'Black-Scholes'!$B$10-'Black-Scholes'!$B$9^2/2)*'Black-Scholes'!$B$7+'Black-Scholes'!$B$9*SQRT('Black-Scholes'!$B$7)*B3248)</f>
        <v>113.478042167491</v>
      </c>
      <c r="D3248" s="18" t="n">
        <f aca="false">'Black-Scholes'!$B$5*EXP(('Black-Scholes'!$B$8-'Black-Scholes'!$B$10-'Black-Scholes'!$B$9^2/2)*'Black-Scholes'!$B$7-'Black-Scholes'!$B$9*SQRT('Black-Scholes'!$B$7)*B3248)</f>
        <v>93.5719832897817</v>
      </c>
      <c r="E3248" s="18" t="n">
        <f aca="false">EXP(-'Black-Scholes'!$B$8*'Black-Scholes'!$B$7)*IF(LOWER('Black-Scholes'!$B$11)="put",MAX('Black-Scholes'!$B$6-C3248,0),MAX(C3248-'Black-Scholes'!$B$6,0))</f>
        <v>12.8207102943787</v>
      </c>
      <c r="F3248" s="18" t="n">
        <f aca="false">(E3248+G3248)/2</f>
        <v>6.41035514718936</v>
      </c>
      <c r="G3248" s="18" t="n">
        <f aca="false">EXP(-'Black-Scholes'!$B$8*'Black-Scholes'!$B$7)*IF(LOWER('Black-Scholes'!$B$11)="put",MAX('Black-Scholes'!$B$6-D3248,0),MAX(D3248-'Black-Scholes'!$B$6,0))</f>
        <v>0</v>
      </c>
    </row>
    <row r="3249" customFormat="false" ht="15" hidden="false" customHeight="false" outlineLevel="0" collapsed="false">
      <c r="A3249" s="0" t="n">
        <v>3238</v>
      </c>
      <c r="B3249" s="15" t="n">
        <v>-0.620971956176729</v>
      </c>
      <c r="C3249" s="18" t="n">
        <f aca="false">'Black-Scholes'!$B$5*EXP(('Black-Scholes'!$B$8-'Black-Scholes'!$B$10-'Black-Scholes'!$B$9^2/2)*'Black-Scholes'!$B$7+'Black-Scholes'!$B$9*SQRT('Black-Scholes'!$B$7)*B3249)</f>
        <v>91.0105828447848</v>
      </c>
      <c r="D3249" s="18" t="n">
        <f aca="false">'Black-Scholes'!$B$5*EXP(('Black-Scholes'!$B$8-'Black-Scholes'!$B$10-'Black-Scholes'!$B$9^2/2)*'Black-Scholes'!$B$7-'Black-Scholes'!$B$9*SQRT('Black-Scholes'!$B$7)*B3249)</f>
        <v>116.671766442402</v>
      </c>
      <c r="E3249" s="18" t="n">
        <f aca="false">EXP(-'Black-Scholes'!$B$8*'Black-Scholes'!$B$7)*IF(LOWER('Black-Scholes'!$B$11)="put",MAX('Black-Scholes'!$B$6-C3249,0),MAX(C3249-'Black-Scholes'!$B$6,0))</f>
        <v>0</v>
      </c>
      <c r="F3249" s="18" t="n">
        <f aca="false">(E3249+G3249)/2</f>
        <v>7.92933739920815</v>
      </c>
      <c r="G3249" s="18" t="n">
        <f aca="false">EXP(-'Black-Scholes'!$B$8*'Black-Scholes'!$B$7)*IF(LOWER('Black-Scholes'!$B$11)="put",MAX('Black-Scholes'!$B$6-D3249,0),MAX(D3249-'Black-Scholes'!$B$6,0))</f>
        <v>15.8586747984163</v>
      </c>
    </row>
    <row r="3250" customFormat="false" ht="15" hidden="false" customHeight="false" outlineLevel="0" collapsed="false">
      <c r="A3250" s="0" t="n">
        <v>3239</v>
      </c>
      <c r="B3250" s="15" t="n">
        <v>-1.71102196165452</v>
      </c>
      <c r="C3250" s="18" t="n">
        <f aca="false">'Black-Scholes'!$B$5*EXP(('Black-Scholes'!$B$8-'Black-Scholes'!$B$10-'Black-Scholes'!$B$9^2/2)*'Black-Scholes'!$B$7+'Black-Scholes'!$B$9*SQRT('Black-Scholes'!$B$7)*B3250)</f>
        <v>73.1831932106251</v>
      </c>
      <c r="D3250" s="18" t="n">
        <f aca="false">'Black-Scholes'!$B$5*EXP(('Black-Scholes'!$B$8-'Black-Scholes'!$B$10-'Black-Scholes'!$B$9^2/2)*'Black-Scholes'!$B$7-'Black-Scholes'!$B$9*SQRT('Black-Scholes'!$B$7)*B3250)</f>
        <v>145.092950985254</v>
      </c>
      <c r="E3250" s="18" t="n">
        <f aca="false">EXP(-'Black-Scholes'!$B$8*'Black-Scholes'!$B$7)*IF(LOWER('Black-Scholes'!$B$11)="put",MAX('Black-Scholes'!$B$6-C3250,0),MAX(C3250-'Black-Scholes'!$B$6,0))</f>
        <v>0</v>
      </c>
      <c r="F3250" s="18" t="n">
        <f aca="false">(E3250+G3250)/2</f>
        <v>21.446870907371</v>
      </c>
      <c r="G3250" s="18" t="n">
        <f aca="false">EXP(-'Black-Scholes'!$B$8*'Black-Scholes'!$B$7)*IF(LOWER('Black-Scholes'!$B$11)="put",MAX('Black-Scholes'!$B$6-D3250,0),MAX(D3250-'Black-Scholes'!$B$6,0))</f>
        <v>42.893741814742</v>
      </c>
    </row>
    <row r="3251" customFormat="false" ht="15" hidden="false" customHeight="false" outlineLevel="0" collapsed="false">
      <c r="A3251" s="0" t="n">
        <v>3240</v>
      </c>
      <c r="B3251" s="15" t="n">
        <v>2.59813925441206</v>
      </c>
      <c r="C3251" s="18" t="n">
        <f aca="false">'Black-Scholes'!$B$5*EXP(('Black-Scholes'!$B$8-'Black-Scholes'!$B$10-'Black-Scholes'!$B$9^2/2)*'Black-Scholes'!$B$7+'Black-Scholes'!$B$9*SQRT('Black-Scholes'!$B$7)*B3251)</f>
        <v>173.260810929476</v>
      </c>
      <c r="D3251" s="18" t="n">
        <f aca="false">'Black-Scholes'!$B$5*EXP(('Black-Scholes'!$B$8-'Black-Scholes'!$B$10-'Black-Scholes'!$B$9^2/2)*'Black-Scholes'!$B$7-'Black-Scholes'!$B$9*SQRT('Black-Scholes'!$B$7)*B3251)</f>
        <v>61.2854424984522</v>
      </c>
      <c r="E3251" s="18" t="n">
        <f aca="false">EXP(-'Black-Scholes'!$B$8*'Black-Scholes'!$B$7)*IF(LOWER('Black-Scholes'!$B$11)="put",MAX('Black-Scholes'!$B$6-C3251,0),MAX(C3251-'Black-Scholes'!$B$6,0))</f>
        <v>69.687839018901</v>
      </c>
      <c r="F3251" s="18" t="n">
        <f aca="false">(E3251+G3251)/2</f>
        <v>34.8439195094505</v>
      </c>
      <c r="G3251" s="18" t="n">
        <f aca="false">EXP(-'Black-Scholes'!$B$8*'Black-Scholes'!$B$7)*IF(LOWER('Black-Scholes'!$B$11)="put",MAX('Black-Scholes'!$B$6-D3251,0),MAX(D3251-'Black-Scholes'!$B$6,0))</f>
        <v>0</v>
      </c>
    </row>
    <row r="3252" customFormat="false" ht="15" hidden="false" customHeight="false" outlineLevel="0" collapsed="false">
      <c r="A3252" s="0" t="n">
        <v>3241</v>
      </c>
      <c r="B3252" s="15" t="n">
        <v>-1.56813003784537</v>
      </c>
      <c r="C3252" s="18" t="n">
        <f aca="false">'Black-Scholes'!$B$5*EXP(('Black-Scholes'!$B$8-'Black-Scholes'!$B$10-'Black-Scholes'!$B$9^2/2)*'Black-Scholes'!$B$7+'Black-Scholes'!$B$9*SQRT('Black-Scholes'!$B$7)*B3252)</f>
        <v>75.3048226384997</v>
      </c>
      <c r="D3252" s="18" t="n">
        <f aca="false">'Black-Scholes'!$B$5*EXP(('Black-Scholes'!$B$8-'Black-Scholes'!$B$10-'Black-Scholes'!$B$9^2/2)*'Black-Scholes'!$B$7-'Black-Scholes'!$B$9*SQRT('Black-Scholes'!$B$7)*B3252)</f>
        <v>141.005118841153</v>
      </c>
      <c r="E3252" s="18" t="n">
        <f aca="false">EXP(-'Black-Scholes'!$B$8*'Black-Scholes'!$B$7)*IF(LOWER('Black-Scholes'!$B$11)="put",MAX('Black-Scholes'!$B$6-C3252,0),MAX(C3252-'Black-Scholes'!$B$6,0))</f>
        <v>0</v>
      </c>
      <c r="F3252" s="18" t="n">
        <f aca="false">(E3252+G3252)/2</f>
        <v>19.5026377984267</v>
      </c>
      <c r="G3252" s="18" t="n">
        <f aca="false">EXP(-'Black-Scholes'!$B$8*'Black-Scholes'!$B$7)*IF(LOWER('Black-Scholes'!$B$11)="put",MAX('Black-Scholes'!$B$6-D3252,0),MAX(D3252-'Black-Scholes'!$B$6,0))</f>
        <v>39.0052755968534</v>
      </c>
    </row>
    <row r="3253" customFormat="false" ht="15" hidden="false" customHeight="false" outlineLevel="0" collapsed="false">
      <c r="A3253" s="0" t="n">
        <v>3242</v>
      </c>
      <c r="B3253" s="15" t="n">
        <v>0.625802721454453</v>
      </c>
      <c r="C3253" s="18" t="n">
        <f aca="false">'Black-Scholes'!$B$5*EXP(('Black-Scholes'!$B$8-'Black-Scholes'!$B$10-'Black-Scholes'!$B$9^2/2)*'Black-Scholes'!$B$7+'Black-Scholes'!$B$9*SQRT('Black-Scholes'!$B$7)*B3253)</f>
        <v>116.784543697318</v>
      </c>
      <c r="D3253" s="18" t="n">
        <f aca="false">'Black-Scholes'!$B$5*EXP(('Black-Scholes'!$B$8-'Black-Scholes'!$B$10-'Black-Scholes'!$B$9^2/2)*'Black-Scholes'!$B$7-'Black-Scholes'!$B$9*SQRT('Black-Scholes'!$B$7)*B3253)</f>
        <v>90.9226951553987</v>
      </c>
      <c r="E3253" s="18" t="n">
        <f aca="false">EXP(-'Black-Scholes'!$B$8*'Black-Scholes'!$B$7)*IF(LOWER('Black-Scholes'!$B$11)="put",MAX('Black-Scholes'!$B$6-C3253,0),MAX(C3253-'Black-Scholes'!$B$6,0))</f>
        <v>15.965951841707</v>
      </c>
      <c r="F3253" s="18" t="n">
        <f aca="false">(E3253+G3253)/2</f>
        <v>7.98297592085349</v>
      </c>
      <c r="G3253" s="18" t="n">
        <f aca="false">EXP(-'Black-Scholes'!$B$8*'Black-Scholes'!$B$7)*IF(LOWER('Black-Scholes'!$B$11)="put",MAX('Black-Scholes'!$B$6-D3253,0),MAX(D3253-'Black-Scholes'!$B$6,0))</f>
        <v>0</v>
      </c>
    </row>
    <row r="3254" customFormat="false" ht="15" hidden="false" customHeight="false" outlineLevel="0" collapsed="false">
      <c r="A3254" s="0" t="n">
        <v>3243</v>
      </c>
      <c r="B3254" s="15" t="n">
        <v>0.571597270875153</v>
      </c>
      <c r="C3254" s="18" t="n">
        <f aca="false">'Black-Scholes'!$B$5*EXP(('Black-Scholes'!$B$8-'Black-Scholes'!$B$10-'Black-Scholes'!$B$9^2/2)*'Black-Scholes'!$B$7+'Black-Scholes'!$B$9*SQRT('Black-Scholes'!$B$7)*B3254)</f>
        <v>115.525310000986</v>
      </c>
      <c r="D3254" s="18" t="n">
        <f aca="false">'Black-Scholes'!$B$5*EXP(('Black-Scholes'!$B$8-'Black-Scholes'!$B$10-'Black-Scholes'!$B$9^2/2)*'Black-Scholes'!$B$7-'Black-Scholes'!$B$9*SQRT('Black-Scholes'!$B$7)*B3254)</f>
        <v>91.9137586851142</v>
      </c>
      <c r="E3254" s="18" t="n">
        <f aca="false">EXP(-'Black-Scholes'!$B$8*'Black-Scholes'!$B$7)*IF(LOWER('Black-Scholes'!$B$11)="put",MAX('Black-Scholes'!$B$6-C3254,0),MAX(C3254-'Black-Scholes'!$B$6,0))</f>
        <v>14.7681316974327</v>
      </c>
      <c r="F3254" s="18" t="n">
        <f aca="false">(E3254+G3254)/2</f>
        <v>7.38406584871634</v>
      </c>
      <c r="G3254" s="18" t="n">
        <f aca="false">EXP(-'Black-Scholes'!$B$8*'Black-Scholes'!$B$7)*IF(LOWER('Black-Scholes'!$B$11)="put",MAX('Black-Scholes'!$B$6-D3254,0),MAX(D3254-'Black-Scholes'!$B$6,0))</f>
        <v>0</v>
      </c>
    </row>
    <row r="3255" customFormat="false" ht="15" hidden="false" customHeight="false" outlineLevel="0" collapsed="false">
      <c r="A3255" s="0" t="n">
        <v>3244</v>
      </c>
      <c r="B3255" s="15" t="n">
        <v>1.14066699523607</v>
      </c>
      <c r="C3255" s="18" t="n">
        <f aca="false">'Black-Scholes'!$B$5*EXP(('Black-Scholes'!$B$8-'Black-Scholes'!$B$10-'Black-Scholes'!$B$9^2/2)*'Black-Scholes'!$B$7+'Black-Scholes'!$B$9*SQRT('Black-Scholes'!$B$7)*B3255)</f>
        <v>129.45114937065</v>
      </c>
      <c r="D3255" s="18" t="n">
        <f aca="false">'Black-Scholes'!$B$5*EXP(('Black-Scholes'!$B$8-'Black-Scholes'!$B$10-'Black-Scholes'!$B$9^2/2)*'Black-Scholes'!$B$7-'Black-Scholes'!$B$9*SQRT('Black-Scholes'!$B$7)*B3255)</f>
        <v>82.0260423880101</v>
      </c>
      <c r="E3255" s="18" t="n">
        <f aca="false">EXP(-'Black-Scholes'!$B$8*'Black-Scholes'!$B$7)*IF(LOWER('Black-Scholes'!$B$11)="put",MAX('Black-Scholes'!$B$6-C3255,0),MAX(C3255-'Black-Scholes'!$B$6,0))</f>
        <v>28.0147998667284</v>
      </c>
      <c r="F3255" s="18" t="n">
        <f aca="false">(E3255+G3255)/2</f>
        <v>14.0073999333642</v>
      </c>
      <c r="G3255" s="18" t="n">
        <f aca="false">EXP(-'Black-Scholes'!$B$8*'Black-Scholes'!$B$7)*IF(LOWER('Black-Scholes'!$B$11)="put",MAX('Black-Scholes'!$B$6-D3255,0),MAX(D3255-'Black-Scholes'!$B$6,0))</f>
        <v>0</v>
      </c>
    </row>
    <row r="3256" customFormat="false" ht="15" hidden="false" customHeight="false" outlineLevel="0" collapsed="false">
      <c r="A3256" s="0" t="n">
        <v>3245</v>
      </c>
      <c r="B3256" s="15" t="n">
        <v>0.31885157954226</v>
      </c>
      <c r="C3256" s="18" t="n">
        <f aca="false">'Black-Scholes'!$B$5*EXP(('Black-Scholes'!$B$8-'Black-Scholes'!$B$10-'Black-Scholes'!$B$9^2/2)*'Black-Scholes'!$B$7+'Black-Scholes'!$B$9*SQRT('Black-Scholes'!$B$7)*B3256)</f>
        <v>109.830745319484</v>
      </c>
      <c r="D3256" s="18" t="n">
        <f aca="false">'Black-Scholes'!$B$5*EXP(('Black-Scholes'!$B$8-'Black-Scholes'!$B$10-'Black-Scholes'!$B$9^2/2)*'Black-Scholes'!$B$7-'Black-Scholes'!$B$9*SQRT('Black-Scholes'!$B$7)*B3256)</f>
        <v>96.6793536233052</v>
      </c>
      <c r="E3256" s="18" t="n">
        <f aca="false">EXP(-'Black-Scholes'!$B$8*'Black-Scholes'!$B$7)*IF(LOWER('Black-Scholes'!$B$11)="put",MAX('Black-Scholes'!$B$6-C3256,0),MAX(C3256-'Black-Scholes'!$B$6,0))</f>
        <v>9.35129421266613</v>
      </c>
      <c r="F3256" s="18" t="n">
        <f aca="false">(E3256+G3256)/2</f>
        <v>4.67564710633307</v>
      </c>
      <c r="G3256" s="18" t="n">
        <f aca="false">EXP(-'Black-Scholes'!$B$8*'Black-Scholes'!$B$7)*IF(LOWER('Black-Scholes'!$B$11)="put",MAX('Black-Scholes'!$B$6-D3256,0),MAX(D3256-'Black-Scholes'!$B$6,0))</f>
        <v>0</v>
      </c>
    </row>
    <row r="3257" customFormat="false" ht="15" hidden="false" customHeight="false" outlineLevel="0" collapsed="false">
      <c r="A3257" s="0" t="n">
        <v>3246</v>
      </c>
      <c r="B3257" s="15" t="n">
        <v>1.42116306842842</v>
      </c>
      <c r="C3257" s="18" t="n">
        <f aca="false">'Black-Scholes'!$B$5*EXP(('Black-Scholes'!$B$8-'Black-Scholes'!$B$10-'Black-Scholes'!$B$9^2/2)*'Black-Scholes'!$B$7+'Black-Scholes'!$B$9*SQRT('Black-Scholes'!$B$7)*B3257)</f>
        <v>136.920819607187</v>
      </c>
      <c r="D3257" s="18" t="n">
        <f aca="false">'Black-Scholes'!$B$5*EXP(('Black-Scholes'!$B$8-'Black-Scholes'!$B$10-'Black-Scholes'!$B$9^2/2)*'Black-Scholes'!$B$7-'Black-Scholes'!$B$9*SQRT('Black-Scholes'!$B$7)*B3257)</f>
        <v>77.5511386501823</v>
      </c>
      <c r="E3257" s="18" t="n">
        <f aca="false">EXP(-'Black-Scholes'!$B$8*'Black-Scholes'!$B$7)*IF(LOWER('Black-Scholes'!$B$11)="put",MAX('Black-Scholes'!$B$6-C3257,0),MAX(C3257-'Black-Scholes'!$B$6,0))</f>
        <v>35.1201699870396</v>
      </c>
      <c r="F3257" s="18" t="n">
        <f aca="false">(E3257+G3257)/2</f>
        <v>17.5600849935198</v>
      </c>
      <c r="G3257" s="18" t="n">
        <f aca="false">EXP(-'Black-Scholes'!$B$8*'Black-Scholes'!$B$7)*IF(LOWER('Black-Scholes'!$B$11)="put",MAX('Black-Scholes'!$B$6-D3257,0),MAX(D3257-'Black-Scholes'!$B$6,0))</f>
        <v>0</v>
      </c>
    </row>
    <row r="3258" customFormat="false" ht="15" hidden="false" customHeight="false" outlineLevel="0" collapsed="false">
      <c r="A3258" s="0" t="n">
        <v>3247</v>
      </c>
      <c r="B3258" s="15" t="n">
        <v>0.0346271365626944</v>
      </c>
      <c r="C3258" s="18" t="n">
        <f aca="false">'Black-Scholes'!$B$5*EXP(('Black-Scholes'!$B$8-'Black-Scholes'!$B$10-'Black-Scholes'!$B$9^2/2)*'Black-Scholes'!$B$7+'Black-Scholes'!$B$9*SQRT('Black-Scholes'!$B$7)*B3258)</f>
        <v>103.761564016611</v>
      </c>
      <c r="D3258" s="18" t="n">
        <f aca="false">'Black-Scholes'!$B$5*EXP(('Black-Scholes'!$B$8-'Black-Scholes'!$B$10-'Black-Scholes'!$B$9^2/2)*'Black-Scholes'!$B$7-'Black-Scholes'!$B$9*SQRT('Black-Scholes'!$B$7)*B3258)</f>
        <v>102.334285012837</v>
      </c>
      <c r="E3258" s="18" t="n">
        <f aca="false">EXP(-'Black-Scholes'!$B$8*'Black-Scholes'!$B$7)*IF(LOWER('Black-Scholes'!$B$11)="put",MAX('Black-Scholes'!$B$6-C3258,0),MAX(C3258-'Black-Scholes'!$B$6,0))</f>
        <v>3.57811037474363</v>
      </c>
      <c r="F3258" s="18" t="n">
        <f aca="false">(E3258+G3258)/2</f>
        <v>2.8992754820625</v>
      </c>
      <c r="G3258" s="18" t="n">
        <f aca="false">EXP(-'Black-Scholes'!$B$8*'Black-Scholes'!$B$7)*IF(LOWER('Black-Scholes'!$B$11)="put",MAX('Black-Scholes'!$B$6-D3258,0),MAX(D3258-'Black-Scholes'!$B$6,0))</f>
        <v>2.22044058938137</v>
      </c>
    </row>
    <row r="3259" customFormat="false" ht="15" hidden="false" customHeight="false" outlineLevel="0" collapsed="false">
      <c r="A3259" s="0" t="n">
        <v>3248</v>
      </c>
      <c r="B3259" s="15" t="n">
        <v>-0.105893751099894</v>
      </c>
      <c r="C3259" s="18" t="n">
        <f aca="false">'Black-Scholes'!$B$5*EXP(('Black-Scholes'!$B$8-'Black-Scholes'!$B$10-'Black-Scholes'!$B$9^2/2)*'Black-Scholes'!$B$7+'Black-Scholes'!$B$9*SQRT('Black-Scholes'!$B$7)*B3259)</f>
        <v>100.886027166005</v>
      </c>
      <c r="D3259" s="18" t="n">
        <f aca="false">'Black-Scholes'!$B$5*EXP(('Black-Scholes'!$B$8-'Black-Scholes'!$B$10-'Black-Scholes'!$B$9^2/2)*'Black-Scholes'!$B$7-'Black-Scholes'!$B$9*SQRT('Black-Scholes'!$B$7)*B3259)</f>
        <v>105.251101304459</v>
      </c>
      <c r="E3259" s="18" t="n">
        <f aca="false">EXP(-'Black-Scholes'!$B$8*'Black-Scholes'!$B$7)*IF(LOWER('Black-Scholes'!$B$11)="put",MAX('Black-Scholes'!$B$6-C3259,0),MAX(C3259-'Black-Scholes'!$B$6,0))</f>
        <v>0.842815111210901</v>
      </c>
      <c r="F3259" s="18" t="n">
        <f aca="false">(E3259+G3259)/2</f>
        <v>2.91890859152322</v>
      </c>
      <c r="G3259" s="18" t="n">
        <f aca="false">EXP(-'Black-Scholes'!$B$8*'Black-Scholes'!$B$7)*IF(LOWER('Black-Scholes'!$B$11)="put",MAX('Black-Scholes'!$B$6-D3259,0),MAX(D3259-'Black-Scholes'!$B$6,0))</f>
        <v>4.99500207183554</v>
      </c>
    </row>
    <row r="3260" customFormat="false" ht="15" hidden="false" customHeight="false" outlineLevel="0" collapsed="false">
      <c r="A3260" s="0" t="n">
        <v>3249</v>
      </c>
      <c r="B3260" s="15" t="n">
        <v>0.882812037041708</v>
      </c>
      <c r="C3260" s="18" t="n">
        <f aca="false">'Black-Scholes'!$B$5*EXP(('Black-Scholes'!$B$8-'Black-Scholes'!$B$10-'Black-Scholes'!$B$9^2/2)*'Black-Scholes'!$B$7+'Black-Scholes'!$B$9*SQRT('Black-Scholes'!$B$7)*B3260)</f>
        <v>122.94444582653</v>
      </c>
      <c r="D3260" s="18" t="n">
        <f aca="false">'Black-Scholes'!$B$5*EXP(('Black-Scholes'!$B$8-'Black-Scholes'!$B$10-'Black-Scholes'!$B$9^2/2)*'Black-Scholes'!$B$7-'Black-Scholes'!$B$9*SQRT('Black-Scholes'!$B$7)*B3260)</f>
        <v>86.3671831132224</v>
      </c>
      <c r="E3260" s="18" t="n">
        <f aca="false">EXP(-'Black-Scholes'!$B$8*'Black-Scholes'!$B$7)*IF(LOWER('Black-Scholes'!$B$11)="put",MAX('Black-Scholes'!$B$6-C3260,0),MAX(C3260-'Black-Scholes'!$B$6,0))</f>
        <v>21.8254319990583</v>
      </c>
      <c r="F3260" s="18" t="n">
        <f aca="false">(E3260+G3260)/2</f>
        <v>10.9127159995291</v>
      </c>
      <c r="G3260" s="18" t="n">
        <f aca="false">EXP(-'Black-Scholes'!$B$8*'Black-Scholes'!$B$7)*IF(LOWER('Black-Scholes'!$B$11)="put",MAX('Black-Scholes'!$B$6-D3260,0),MAX(D3260-'Black-Scholes'!$B$6,0))</f>
        <v>0</v>
      </c>
    </row>
    <row r="3261" customFormat="false" ht="15" hidden="false" customHeight="false" outlineLevel="0" collapsed="false">
      <c r="A3261" s="0" t="n">
        <v>3250</v>
      </c>
      <c r="B3261" s="15" t="n">
        <v>2.69627456302129</v>
      </c>
      <c r="C3261" s="18" t="n">
        <f aca="false">'Black-Scholes'!$B$5*EXP(('Black-Scholes'!$B$8-'Black-Scholes'!$B$10-'Black-Scholes'!$B$9^2/2)*'Black-Scholes'!$B$7+'Black-Scholes'!$B$9*SQRT('Black-Scholes'!$B$7)*B3261)</f>
        <v>176.695002865087</v>
      </c>
      <c r="D3261" s="18" t="n">
        <f aca="false">'Black-Scholes'!$B$5*EXP(('Black-Scholes'!$B$8-'Black-Scholes'!$B$10-'Black-Scholes'!$B$9^2/2)*'Black-Scholes'!$B$7-'Black-Scholes'!$B$9*SQRT('Black-Scholes'!$B$7)*B3261)</f>
        <v>60.0943167224774</v>
      </c>
      <c r="E3261" s="18" t="n">
        <f aca="false">EXP(-'Black-Scholes'!$B$8*'Black-Scholes'!$B$7)*IF(LOWER('Black-Scholes'!$B$11)="put",MAX('Black-Scholes'!$B$6-C3261,0),MAX(C3261-'Black-Scholes'!$B$6,0))</f>
        <v>72.9545434374375</v>
      </c>
      <c r="F3261" s="18" t="n">
        <f aca="false">(E3261+G3261)/2</f>
        <v>36.4772717187187</v>
      </c>
      <c r="G3261" s="18" t="n">
        <f aca="false">EXP(-'Black-Scholes'!$B$8*'Black-Scholes'!$B$7)*IF(LOWER('Black-Scholes'!$B$11)="put",MAX('Black-Scholes'!$B$6-D3261,0),MAX(D3261-'Black-Scholes'!$B$6,0))</f>
        <v>0</v>
      </c>
    </row>
    <row r="3262" customFormat="false" ht="15" hidden="false" customHeight="false" outlineLevel="0" collapsed="false">
      <c r="A3262" s="0" t="n">
        <v>3251</v>
      </c>
      <c r="B3262" s="15" t="n">
        <v>-1.13086690512636</v>
      </c>
      <c r="C3262" s="18" t="n">
        <f aca="false">'Black-Scholes'!$B$5*EXP(('Black-Scholes'!$B$8-'Black-Scholes'!$B$10-'Black-Scholes'!$B$9^2/2)*'Black-Scholes'!$B$7+'Black-Scholes'!$B$9*SQRT('Black-Scholes'!$B$7)*B3262)</f>
        <v>82.1869725708684</v>
      </c>
      <c r="D3262" s="18" t="n">
        <f aca="false">'Black-Scholes'!$B$5*EXP(('Black-Scholes'!$B$8-'Black-Scholes'!$B$10-'Black-Scholes'!$B$9^2/2)*'Black-Scholes'!$B$7-'Black-Scholes'!$B$9*SQRT('Black-Scholes'!$B$7)*B3262)</f>
        <v>129.197671276887</v>
      </c>
      <c r="E3262" s="18" t="n">
        <f aca="false">EXP(-'Black-Scholes'!$B$8*'Black-Scholes'!$B$7)*IF(LOWER('Black-Scholes'!$B$11)="put",MAX('Black-Scholes'!$B$6-C3262,0),MAX(C3262-'Black-Scholes'!$B$6,0))</f>
        <v>0</v>
      </c>
      <c r="F3262" s="18" t="n">
        <f aca="false">(E3262+G3262)/2</f>
        <v>13.8868420227372</v>
      </c>
      <c r="G3262" s="18" t="n">
        <f aca="false">EXP(-'Black-Scholes'!$B$8*'Black-Scholes'!$B$7)*IF(LOWER('Black-Scholes'!$B$11)="put",MAX('Black-Scholes'!$B$6-D3262,0),MAX(D3262-'Black-Scholes'!$B$6,0))</f>
        <v>27.7736840454744</v>
      </c>
    </row>
    <row r="3263" customFormat="false" ht="15" hidden="false" customHeight="false" outlineLevel="0" collapsed="false">
      <c r="A3263" s="0" t="n">
        <v>3252</v>
      </c>
      <c r="B3263" s="15" t="n">
        <v>-1.97572001192167</v>
      </c>
      <c r="C3263" s="18" t="n">
        <f aca="false">'Black-Scholes'!$B$5*EXP(('Black-Scholes'!$B$8-'Black-Scholes'!$B$10-'Black-Scholes'!$B$9^2/2)*'Black-Scholes'!$B$7+'Black-Scholes'!$B$9*SQRT('Black-Scholes'!$B$7)*B3263)</f>
        <v>69.4096692102379</v>
      </c>
      <c r="D3263" s="18" t="n">
        <f aca="false">'Black-Scholes'!$B$5*EXP(('Black-Scholes'!$B$8-'Black-Scholes'!$B$10-'Black-Scholes'!$B$9^2/2)*'Black-Scholes'!$B$7-'Black-Scholes'!$B$9*SQRT('Black-Scholes'!$B$7)*B3263)</f>
        <v>152.981070019095</v>
      </c>
      <c r="E3263" s="18" t="n">
        <f aca="false">EXP(-'Black-Scholes'!$B$8*'Black-Scholes'!$B$7)*IF(LOWER('Black-Scholes'!$B$11)="put",MAX('Black-Scholes'!$B$6-C3263,0),MAX(C3263-'Black-Scholes'!$B$6,0))</f>
        <v>0</v>
      </c>
      <c r="F3263" s="18" t="n">
        <f aca="false">(E3263+G3263)/2</f>
        <v>25.1985763718476</v>
      </c>
      <c r="G3263" s="18" t="n">
        <f aca="false">EXP(-'Black-Scholes'!$B$8*'Black-Scholes'!$B$7)*IF(LOWER('Black-Scholes'!$B$11)="put",MAX('Black-Scholes'!$B$6-D3263,0),MAX(D3263-'Black-Scholes'!$B$6,0))</f>
        <v>50.3971527436953</v>
      </c>
    </row>
    <row r="3264" customFormat="false" ht="15" hidden="false" customHeight="false" outlineLevel="0" collapsed="false">
      <c r="A3264" s="0" t="n">
        <v>3253</v>
      </c>
      <c r="B3264" s="15" t="n">
        <v>0.0708603701603959</v>
      </c>
      <c r="C3264" s="18" t="n">
        <f aca="false">'Black-Scholes'!$B$5*EXP(('Black-Scholes'!$B$8-'Black-Scholes'!$B$10-'Black-Scholes'!$B$9^2/2)*'Black-Scholes'!$B$7+'Black-Scholes'!$B$9*SQRT('Black-Scholes'!$B$7)*B3264)</f>
        <v>104.516218468728</v>
      </c>
      <c r="D3264" s="18" t="n">
        <f aca="false">'Black-Scholes'!$B$5*EXP(('Black-Scholes'!$B$8-'Black-Scholes'!$B$10-'Black-Scholes'!$B$9^2/2)*'Black-Scholes'!$B$7-'Black-Scholes'!$B$9*SQRT('Black-Scholes'!$B$7)*B3264)</f>
        <v>101.595385108874</v>
      </c>
      <c r="E3264" s="18" t="n">
        <f aca="false">EXP(-'Black-Scholes'!$B$8*'Black-Scholes'!$B$7)*IF(LOWER('Black-Scholes'!$B$11)="put",MAX('Black-Scholes'!$B$6-C3264,0),MAX(C3264-'Black-Scholes'!$B$6,0))</f>
        <v>4.29595989492731</v>
      </c>
      <c r="F3264" s="18" t="n">
        <f aca="false">(E3264+G3264)/2</f>
        <v>2.90676857694926</v>
      </c>
      <c r="G3264" s="18" t="n">
        <f aca="false">EXP(-'Black-Scholes'!$B$8*'Black-Scholes'!$B$7)*IF(LOWER('Black-Scholes'!$B$11)="put",MAX('Black-Scholes'!$B$6-D3264,0),MAX(D3264-'Black-Scholes'!$B$6,0))</f>
        <v>1.51757725897122</v>
      </c>
    </row>
    <row r="3265" customFormat="false" ht="15" hidden="false" customHeight="false" outlineLevel="0" collapsed="false">
      <c r="A3265" s="0" t="n">
        <v>3254</v>
      </c>
      <c r="B3265" s="15" t="n">
        <v>-0.313978136146328</v>
      </c>
      <c r="C3265" s="18" t="n">
        <f aca="false">'Black-Scholes'!$B$5*EXP(('Black-Scholes'!$B$8-'Black-Scholes'!$B$10-'Black-Scholes'!$B$9^2/2)*'Black-Scholes'!$B$7+'Black-Scholes'!$B$9*SQRT('Black-Scholes'!$B$7)*B3265)</f>
        <v>96.773631833281</v>
      </c>
      <c r="D3265" s="18" t="n">
        <f aca="false">'Black-Scholes'!$B$5*EXP(('Black-Scholes'!$B$8-'Black-Scholes'!$B$10-'Black-Scholes'!$B$9^2/2)*'Black-Scholes'!$B$7-'Black-Scholes'!$B$9*SQRT('Black-Scholes'!$B$7)*B3265)</f>
        <v>109.723746689043</v>
      </c>
      <c r="E3265" s="18" t="n">
        <f aca="false">EXP(-'Black-Scholes'!$B$8*'Black-Scholes'!$B$7)*IF(LOWER('Black-Scholes'!$B$11)="put",MAX('Black-Scholes'!$B$6-C3265,0),MAX(C3265-'Black-Scholes'!$B$6,0))</f>
        <v>0</v>
      </c>
      <c r="F3265" s="18" t="n">
        <f aca="false">(E3265+G3265)/2</f>
        <v>4.62475698350435</v>
      </c>
      <c r="G3265" s="18" t="n">
        <f aca="false">EXP(-'Black-Scholes'!$B$8*'Black-Scholes'!$B$7)*IF(LOWER('Black-Scholes'!$B$11)="put",MAX('Black-Scholes'!$B$6-D3265,0),MAX(D3265-'Black-Scholes'!$B$6,0))</f>
        <v>9.2495139670087</v>
      </c>
    </row>
    <row r="3266" customFormat="false" ht="15" hidden="false" customHeight="false" outlineLevel="0" collapsed="false">
      <c r="A3266" s="0" t="n">
        <v>3255</v>
      </c>
      <c r="B3266" s="15" t="n">
        <v>0.479961606740753</v>
      </c>
      <c r="C3266" s="18" t="n">
        <f aca="false">'Black-Scholes'!$B$5*EXP(('Black-Scholes'!$B$8-'Black-Scholes'!$B$10-'Black-Scholes'!$B$9^2/2)*'Black-Scholes'!$B$7+'Black-Scholes'!$B$9*SQRT('Black-Scholes'!$B$7)*B3266)</f>
        <v>113.42734585586</v>
      </c>
      <c r="D3266" s="18" t="n">
        <f aca="false">'Black-Scholes'!$B$5*EXP(('Black-Scholes'!$B$8-'Black-Scholes'!$B$10-'Black-Scholes'!$B$9^2/2)*'Black-Scholes'!$B$7-'Black-Scholes'!$B$9*SQRT('Black-Scholes'!$B$7)*B3266)</f>
        <v>93.6138052542209</v>
      </c>
      <c r="E3266" s="18" t="n">
        <f aca="false">EXP(-'Black-Scholes'!$B$8*'Black-Scholes'!$B$7)*IF(LOWER('Black-Scholes'!$B$11)="put",MAX('Black-Scholes'!$B$6-C3266,0),MAX(C3266-'Black-Scholes'!$B$6,0))</f>
        <v>12.7724864710413</v>
      </c>
      <c r="F3266" s="18" t="n">
        <f aca="false">(E3266+G3266)/2</f>
        <v>6.38624323552065</v>
      </c>
      <c r="G3266" s="18" t="n">
        <f aca="false">EXP(-'Black-Scholes'!$B$8*'Black-Scholes'!$B$7)*IF(LOWER('Black-Scholes'!$B$11)="put",MAX('Black-Scholes'!$B$6-D3266,0),MAX(D3266-'Black-Scholes'!$B$6,0))</f>
        <v>0</v>
      </c>
    </row>
    <row r="3267" customFormat="false" ht="15" hidden="false" customHeight="false" outlineLevel="0" collapsed="false">
      <c r="A3267" s="0" t="n">
        <v>3256</v>
      </c>
      <c r="B3267" s="15" t="n">
        <v>-1.17371429847535</v>
      </c>
      <c r="C3267" s="18" t="n">
        <f aca="false">'Black-Scholes'!$B$5*EXP(('Black-Scholes'!$B$8-'Black-Scholes'!$B$10-'Black-Scholes'!$B$9^2/2)*'Black-Scholes'!$B$7+'Black-Scholes'!$B$9*SQRT('Black-Scholes'!$B$7)*B3267)</f>
        <v>81.485682200578</v>
      </c>
      <c r="D3267" s="18" t="n">
        <f aca="false">'Black-Scholes'!$B$5*EXP(('Black-Scholes'!$B$8-'Black-Scholes'!$B$10-'Black-Scholes'!$B$9^2/2)*'Black-Scholes'!$B$7-'Black-Scholes'!$B$9*SQRT('Black-Scholes'!$B$7)*B3267)</f>
        <v>130.309585422828</v>
      </c>
      <c r="E3267" s="18" t="n">
        <f aca="false">EXP(-'Black-Scholes'!$B$8*'Black-Scholes'!$B$7)*IF(LOWER('Black-Scholes'!$B$11)="put",MAX('Black-Scholes'!$B$6-C3267,0),MAX(C3267-'Black-Scholes'!$B$6,0))</f>
        <v>0</v>
      </c>
      <c r="F3267" s="18" t="n">
        <f aca="false">(E3267+G3267)/2</f>
        <v>14.4156847493058</v>
      </c>
      <c r="G3267" s="18" t="n">
        <f aca="false">EXP(-'Black-Scholes'!$B$8*'Black-Scholes'!$B$7)*IF(LOWER('Black-Scholes'!$B$11)="put",MAX('Black-Scholes'!$B$6-D3267,0),MAX(D3267-'Black-Scholes'!$B$6,0))</f>
        <v>28.8313694986115</v>
      </c>
    </row>
    <row r="3268" customFormat="false" ht="15" hidden="false" customHeight="false" outlineLevel="0" collapsed="false">
      <c r="A3268" s="0" t="n">
        <v>3257</v>
      </c>
      <c r="B3268" s="15" t="n">
        <v>0.181498455311574</v>
      </c>
      <c r="C3268" s="18" t="n">
        <f aca="false">'Black-Scholes'!$B$5*EXP(('Black-Scholes'!$B$8-'Black-Scholes'!$B$10-'Black-Scholes'!$B$9^2/2)*'Black-Scholes'!$B$7+'Black-Scholes'!$B$9*SQRT('Black-Scholes'!$B$7)*B3268)</f>
        <v>106.85469031417</v>
      </c>
      <c r="D3268" s="18" t="n">
        <f aca="false">'Black-Scholes'!$B$5*EXP(('Black-Scholes'!$B$8-'Black-Scholes'!$B$10-'Black-Scholes'!$B$9^2/2)*'Black-Scholes'!$B$7-'Black-Scholes'!$B$9*SQRT('Black-Scholes'!$B$7)*B3268)</f>
        <v>99.3720110388598</v>
      </c>
      <c r="E3268" s="18" t="n">
        <f aca="false">EXP(-'Black-Scholes'!$B$8*'Black-Scholes'!$B$7)*IF(LOWER('Black-Scholes'!$B$11)="put",MAX('Black-Scholes'!$B$6-C3268,0),MAX(C3268-'Black-Scholes'!$B$6,0))</f>
        <v>6.52038312267808</v>
      </c>
      <c r="F3268" s="18" t="n">
        <f aca="false">(E3268+G3268)/2</f>
        <v>3.26019156133904</v>
      </c>
      <c r="G3268" s="18" t="n">
        <f aca="false">EXP(-'Black-Scholes'!$B$8*'Black-Scholes'!$B$7)*IF(LOWER('Black-Scholes'!$B$11)="put",MAX('Black-Scholes'!$B$6-D3268,0),MAX(D3268-'Black-Scholes'!$B$6,0))</f>
        <v>0</v>
      </c>
    </row>
    <row r="3269" customFormat="false" ht="15" hidden="false" customHeight="false" outlineLevel="0" collapsed="false">
      <c r="A3269" s="0" t="n">
        <v>3258</v>
      </c>
      <c r="B3269" s="15" t="n">
        <v>-1.28401796713416</v>
      </c>
      <c r="C3269" s="18" t="n">
        <f aca="false">'Black-Scholes'!$B$5*EXP(('Black-Scholes'!$B$8-'Black-Scholes'!$B$10-'Black-Scholes'!$B$9^2/2)*'Black-Scholes'!$B$7+'Black-Scholes'!$B$9*SQRT('Black-Scholes'!$B$7)*B3269)</f>
        <v>79.7077318141907</v>
      </c>
      <c r="D3269" s="18" t="n">
        <f aca="false">'Black-Scholes'!$B$5*EXP(('Black-Scholes'!$B$8-'Black-Scholes'!$B$10-'Black-Scholes'!$B$9^2/2)*'Black-Scholes'!$B$7-'Black-Scholes'!$B$9*SQRT('Black-Scholes'!$B$7)*B3269)</f>
        <v>133.216254229971</v>
      </c>
      <c r="E3269" s="18" t="n">
        <f aca="false">EXP(-'Black-Scholes'!$B$8*'Black-Scholes'!$B$7)*IF(LOWER('Black-Scholes'!$B$11)="put",MAX('Black-Scholes'!$B$6-C3269,0),MAX(C3269-'Black-Scholes'!$B$6,0))</f>
        <v>0</v>
      </c>
      <c r="F3269" s="18" t="n">
        <f aca="false">(E3269+G3269)/2</f>
        <v>15.7981391976225</v>
      </c>
      <c r="G3269" s="18" t="n">
        <f aca="false">EXP(-'Black-Scholes'!$B$8*'Black-Scholes'!$B$7)*IF(LOWER('Black-Scholes'!$B$11)="put",MAX('Black-Scholes'!$B$6-D3269,0),MAX(D3269-'Black-Scholes'!$B$6,0))</f>
        <v>31.596278395245</v>
      </c>
    </row>
    <row r="3270" customFormat="false" ht="15" hidden="false" customHeight="false" outlineLevel="0" collapsed="false">
      <c r="A3270" s="0" t="n">
        <v>3259</v>
      </c>
      <c r="B3270" s="15" t="n">
        <v>-0.896384045525815</v>
      </c>
      <c r="C3270" s="18" t="n">
        <f aca="false">'Black-Scholes'!$B$5*EXP(('Black-Scholes'!$B$8-'Black-Scholes'!$B$10-'Black-Scholes'!$B$9^2/2)*'Black-Scholes'!$B$7+'Black-Scholes'!$B$9*SQRT('Black-Scholes'!$B$7)*B3270)</f>
        <v>86.1330657728308</v>
      </c>
      <c r="D3270" s="18" t="n">
        <f aca="false">'Black-Scholes'!$B$5*EXP(('Black-Scholes'!$B$8-'Black-Scholes'!$B$10-'Black-Scholes'!$B$9^2/2)*'Black-Scholes'!$B$7-'Black-Scholes'!$B$9*SQRT('Black-Scholes'!$B$7)*B3270)</f>
        <v>123.278619774881</v>
      </c>
      <c r="E3270" s="18" t="n">
        <f aca="false">EXP(-'Black-Scholes'!$B$8*'Black-Scholes'!$B$7)*IF(LOWER('Black-Scholes'!$B$11)="put",MAX('Black-Scholes'!$B$6-C3270,0),MAX(C3270-'Black-Scholes'!$B$6,0))</f>
        <v>0</v>
      </c>
      <c r="F3270" s="18" t="n">
        <f aca="false">(E3270+G3270)/2</f>
        <v>11.0716540458154</v>
      </c>
      <c r="G3270" s="18" t="n">
        <f aca="false">EXP(-'Black-Scholes'!$B$8*'Black-Scholes'!$B$7)*IF(LOWER('Black-Scholes'!$B$11)="put",MAX('Black-Scholes'!$B$6-D3270,0),MAX(D3270-'Black-Scholes'!$B$6,0))</f>
        <v>22.1433080916307</v>
      </c>
    </row>
    <row r="3271" customFormat="false" ht="15" hidden="false" customHeight="false" outlineLevel="0" collapsed="false">
      <c r="A3271" s="0" t="n">
        <v>3260</v>
      </c>
      <c r="B3271" s="15" t="n">
        <v>-0.119709284854661</v>
      </c>
      <c r="C3271" s="18" t="n">
        <f aca="false">'Black-Scholes'!$B$5*EXP(('Black-Scholes'!$B$8-'Black-Scholes'!$B$10-'Black-Scholes'!$B$9^2/2)*'Black-Scholes'!$B$7+'Black-Scholes'!$B$9*SQRT('Black-Scholes'!$B$7)*B3271)</f>
        <v>100.607653069049</v>
      </c>
      <c r="D3271" s="18" t="n">
        <f aca="false">'Black-Scholes'!$B$5*EXP(('Black-Scholes'!$B$8-'Black-Scholes'!$B$10-'Black-Scholes'!$B$9^2/2)*'Black-Scholes'!$B$7-'Black-Scholes'!$B$9*SQRT('Black-Scholes'!$B$7)*B3271)</f>
        <v>105.542323486723</v>
      </c>
      <c r="E3271" s="18" t="n">
        <f aca="false">EXP(-'Black-Scholes'!$B$8*'Black-Scholes'!$B$7)*IF(LOWER('Black-Scholes'!$B$11)="put",MAX('Black-Scholes'!$B$6-C3271,0),MAX(C3271-'Black-Scholes'!$B$6,0))</f>
        <v>0.578017479167485</v>
      </c>
      <c r="F3271" s="18" t="n">
        <f aca="false">(E3271+G3271)/2</f>
        <v>2.92501932992007</v>
      </c>
      <c r="G3271" s="18" t="n">
        <f aca="false">EXP(-'Black-Scholes'!$B$8*'Black-Scholes'!$B$7)*IF(LOWER('Black-Scholes'!$B$11)="put",MAX('Black-Scholes'!$B$6-D3271,0),MAX(D3271-'Black-Scholes'!$B$6,0))</f>
        <v>5.27202118067265</v>
      </c>
    </row>
    <row r="3272" customFormat="false" ht="15" hidden="false" customHeight="false" outlineLevel="0" collapsed="false">
      <c r="A3272" s="0" t="n">
        <v>3261</v>
      </c>
      <c r="B3272" s="15" t="n">
        <v>0.082588366054956</v>
      </c>
      <c r="C3272" s="18" t="n">
        <f aca="false">'Black-Scholes'!$B$5*EXP(('Black-Scholes'!$B$8-'Black-Scholes'!$B$10-'Black-Scholes'!$B$9^2/2)*'Black-Scholes'!$B$7+'Black-Scholes'!$B$9*SQRT('Black-Scholes'!$B$7)*B3272)</f>
        <v>104.761659365402</v>
      </c>
      <c r="D3272" s="18" t="n">
        <f aca="false">'Black-Scholes'!$B$5*EXP(('Black-Scholes'!$B$8-'Black-Scholes'!$B$10-'Black-Scholes'!$B$9^2/2)*'Black-Scholes'!$B$7-'Black-Scholes'!$B$9*SQRT('Black-Scholes'!$B$7)*B3272)</f>
        <v>101.357362319142</v>
      </c>
      <c r="E3272" s="18" t="n">
        <f aca="false">EXP(-'Black-Scholes'!$B$8*'Black-Scholes'!$B$7)*IF(LOWER('Black-Scholes'!$B$11)="put",MAX('Black-Scholes'!$B$6-C3272,0),MAX(C3272-'Black-Scholes'!$B$6,0))</f>
        <v>4.52943049782022</v>
      </c>
      <c r="F3272" s="18" t="n">
        <f aca="false">(E3272+G3272)/2</f>
        <v>2.91029673774813</v>
      </c>
      <c r="G3272" s="18" t="n">
        <f aca="false">EXP(-'Black-Scholes'!$B$8*'Black-Scholes'!$B$7)*IF(LOWER('Black-Scholes'!$B$11)="put",MAX('Black-Scholes'!$B$6-D3272,0),MAX(D3272-'Black-Scholes'!$B$6,0))</f>
        <v>1.29116297767605</v>
      </c>
    </row>
    <row r="3273" customFormat="false" ht="15" hidden="false" customHeight="false" outlineLevel="0" collapsed="false">
      <c r="A3273" s="0" t="n">
        <v>3262</v>
      </c>
      <c r="B3273" s="15" t="n">
        <v>-1.44374227878362</v>
      </c>
      <c r="C3273" s="18" t="n">
        <f aca="false">'Black-Scholes'!$B$5*EXP(('Black-Scholes'!$B$8-'Black-Scholes'!$B$10-'Black-Scholes'!$B$9^2/2)*'Black-Scholes'!$B$7+'Black-Scholes'!$B$9*SQRT('Black-Scholes'!$B$7)*B3273)</f>
        <v>77.2017195102386</v>
      </c>
      <c r="D3273" s="18" t="n">
        <f aca="false">'Black-Scholes'!$B$5*EXP(('Black-Scholes'!$B$8-'Black-Scholes'!$B$10-'Black-Scholes'!$B$9^2/2)*'Black-Scholes'!$B$7-'Black-Scholes'!$B$9*SQRT('Black-Scholes'!$B$7)*B3273)</f>
        <v>137.540530610142</v>
      </c>
      <c r="E3273" s="18" t="n">
        <f aca="false">EXP(-'Black-Scholes'!$B$8*'Black-Scholes'!$B$7)*IF(LOWER('Black-Scholes'!$B$11)="put",MAX('Black-Scholes'!$B$6-C3273,0),MAX(C3273-'Black-Scholes'!$B$6,0))</f>
        <v>0</v>
      </c>
      <c r="F3273" s="18" t="n">
        <f aca="false">(E3273+G3273)/2</f>
        <v>17.8548286638686</v>
      </c>
      <c r="G3273" s="18" t="n">
        <f aca="false">EXP(-'Black-Scholes'!$B$8*'Black-Scholes'!$B$7)*IF(LOWER('Black-Scholes'!$B$11)="put",MAX('Black-Scholes'!$B$6-D3273,0),MAX(D3273-'Black-Scholes'!$B$6,0))</f>
        <v>35.7096573277372</v>
      </c>
    </row>
    <row r="3274" customFormat="false" ht="15" hidden="false" customHeight="false" outlineLevel="0" collapsed="false">
      <c r="A3274" s="0" t="n">
        <v>3263</v>
      </c>
      <c r="B3274" s="15" t="n">
        <v>-1.45826710758922</v>
      </c>
      <c r="C3274" s="18" t="n">
        <f aca="false">'Black-Scholes'!$B$5*EXP(('Black-Scholes'!$B$8-'Black-Scholes'!$B$10-'Black-Scholes'!$B$9^2/2)*'Black-Scholes'!$B$7+'Black-Scholes'!$B$9*SQRT('Black-Scholes'!$B$7)*B3274)</f>
        <v>76.9777765891055</v>
      </c>
      <c r="D3274" s="18" t="n">
        <f aca="false">'Black-Scholes'!$B$5*EXP(('Black-Scholes'!$B$8-'Black-Scholes'!$B$10-'Black-Scholes'!$B$9^2/2)*'Black-Scholes'!$B$7-'Black-Scholes'!$B$9*SQRT('Black-Scholes'!$B$7)*B3274)</f>
        <v>137.940662045004</v>
      </c>
      <c r="E3274" s="18" t="n">
        <f aca="false">EXP(-'Black-Scholes'!$B$8*'Black-Scholes'!$B$7)*IF(LOWER('Black-Scholes'!$B$11)="put",MAX('Black-Scholes'!$B$6-C3274,0),MAX(C3274-'Black-Scholes'!$B$6,0))</f>
        <v>0</v>
      </c>
      <c r="F3274" s="18" t="n">
        <f aca="false">(E3274+G3274)/2</f>
        <v>18.0451370611225</v>
      </c>
      <c r="G3274" s="18" t="n">
        <f aca="false">EXP(-'Black-Scholes'!$B$8*'Black-Scholes'!$B$7)*IF(LOWER('Black-Scholes'!$B$11)="put",MAX('Black-Scholes'!$B$6-D3274,0),MAX(D3274-'Black-Scholes'!$B$6,0))</f>
        <v>36.090274122245</v>
      </c>
    </row>
    <row r="3275" customFormat="false" ht="15" hidden="false" customHeight="false" outlineLevel="0" collapsed="false">
      <c r="A3275" s="0" t="n">
        <v>3264</v>
      </c>
      <c r="B3275" s="15" t="n">
        <v>0.777393230551102</v>
      </c>
      <c r="C3275" s="18" t="n">
        <f aca="false">'Black-Scholes'!$B$5*EXP(('Black-Scholes'!$B$8-'Black-Scholes'!$B$10-'Black-Scholes'!$B$9^2/2)*'Black-Scholes'!$B$7+'Black-Scholes'!$B$9*SQRT('Black-Scholes'!$B$7)*B3275)</f>
        <v>120.379449380574</v>
      </c>
      <c r="D3275" s="18" t="n">
        <f aca="false">'Black-Scholes'!$B$5*EXP(('Black-Scholes'!$B$8-'Black-Scholes'!$B$10-'Black-Scholes'!$B$9^2/2)*'Black-Scholes'!$B$7-'Black-Scholes'!$B$9*SQRT('Black-Scholes'!$B$7)*B3275)</f>
        <v>88.2074599949711</v>
      </c>
      <c r="E3275" s="18" t="n">
        <f aca="false">EXP(-'Black-Scholes'!$B$8*'Black-Scholes'!$B$7)*IF(LOWER('Black-Scholes'!$B$11)="put",MAX('Black-Scholes'!$B$6-C3275,0),MAX(C3275-'Black-Scholes'!$B$6,0))</f>
        <v>19.3855319059245</v>
      </c>
      <c r="F3275" s="18" t="n">
        <f aca="false">(E3275+G3275)/2</f>
        <v>9.69276595296224</v>
      </c>
      <c r="G3275" s="18" t="n">
        <f aca="false">EXP(-'Black-Scholes'!$B$8*'Black-Scholes'!$B$7)*IF(LOWER('Black-Scholes'!$B$11)="put",MAX('Black-Scholes'!$B$6-D3275,0),MAX(D3275-'Black-Scholes'!$B$6,0))</f>
        <v>0</v>
      </c>
    </row>
    <row r="3276" customFormat="false" ht="15" hidden="false" customHeight="false" outlineLevel="0" collapsed="false">
      <c r="A3276" s="0" t="n">
        <v>3265</v>
      </c>
      <c r="B3276" s="15" t="n">
        <v>1.00218170694726</v>
      </c>
      <c r="C3276" s="18" t="n">
        <f aca="false">'Black-Scholes'!$B$5*EXP(('Black-Scholes'!$B$8-'Black-Scholes'!$B$10-'Black-Scholes'!$B$9^2/2)*'Black-Scholes'!$B$7+'Black-Scholes'!$B$9*SQRT('Black-Scholes'!$B$7)*B3276)</f>
        <v>125.914930903883</v>
      </c>
      <c r="D3276" s="18" t="n">
        <f aca="false">'Black-Scholes'!$B$5*EXP(('Black-Scholes'!$B$8-'Black-Scholes'!$B$10-'Black-Scholes'!$B$9^2/2)*'Black-Scholes'!$B$7-'Black-Scholes'!$B$9*SQRT('Black-Scholes'!$B$7)*B3276)</f>
        <v>84.3296771020676</v>
      </c>
      <c r="E3276" s="18" t="n">
        <f aca="false">EXP(-'Black-Scholes'!$B$8*'Black-Scholes'!$B$7)*IF(LOWER('Black-Scholes'!$B$11)="put",MAX('Black-Scholes'!$B$6-C3276,0),MAX(C3276-'Black-Scholes'!$B$6,0))</f>
        <v>24.6510448096762</v>
      </c>
      <c r="F3276" s="18" t="n">
        <f aca="false">(E3276+G3276)/2</f>
        <v>12.3255224048381</v>
      </c>
      <c r="G3276" s="18" t="n">
        <f aca="false">EXP(-'Black-Scholes'!$B$8*'Black-Scholes'!$B$7)*IF(LOWER('Black-Scholes'!$B$11)="put",MAX('Black-Scholes'!$B$6-D3276,0),MAX(D3276-'Black-Scholes'!$B$6,0))</f>
        <v>0</v>
      </c>
    </row>
    <row r="3277" customFormat="false" ht="15" hidden="false" customHeight="false" outlineLevel="0" collapsed="false">
      <c r="A3277" s="0" t="n">
        <v>3266</v>
      </c>
      <c r="B3277" s="15" t="n">
        <v>-0.170702758292299</v>
      </c>
      <c r="C3277" s="18" t="n">
        <f aca="false">'Black-Scholes'!$B$5*EXP(('Black-Scholes'!$B$8-'Black-Scholes'!$B$10-'Black-Scholes'!$B$9^2/2)*'Black-Scholes'!$B$7+'Black-Scholes'!$B$9*SQRT('Black-Scholes'!$B$7)*B3277)</f>
        <v>99.5868008606743</v>
      </c>
      <c r="D3277" s="18" t="n">
        <f aca="false">'Black-Scholes'!$B$5*EXP(('Black-Scholes'!$B$8-'Black-Scholes'!$B$10-'Black-Scholes'!$B$9^2/2)*'Black-Scholes'!$B$7-'Black-Scholes'!$B$9*SQRT('Black-Scholes'!$B$7)*B3277)</f>
        <v>106.624225034692</v>
      </c>
      <c r="E3277" s="18" t="n">
        <f aca="false">EXP(-'Black-Scholes'!$B$8*'Black-Scholes'!$B$7)*IF(LOWER('Black-Scholes'!$B$11)="put",MAX('Black-Scholes'!$B$6-C3277,0),MAX(C3277-'Black-Scholes'!$B$6,0))</f>
        <v>0</v>
      </c>
      <c r="F3277" s="18" t="n">
        <f aca="false">(E3277+G3277)/2</f>
        <v>3.15057888375666</v>
      </c>
      <c r="G3277" s="18" t="n">
        <f aca="false">EXP(-'Black-Scholes'!$B$8*'Black-Scholes'!$B$7)*IF(LOWER('Black-Scholes'!$B$11)="put",MAX('Black-Scholes'!$B$6-D3277,0),MAX(D3277-'Black-Scholes'!$B$6,0))</f>
        <v>6.30115776751331</v>
      </c>
    </row>
    <row r="3278" customFormat="false" ht="15" hidden="false" customHeight="false" outlineLevel="0" collapsed="false">
      <c r="A3278" s="0" t="n">
        <v>3267</v>
      </c>
      <c r="B3278" s="15" t="n">
        <v>1.74472000003181</v>
      </c>
      <c r="C3278" s="18" t="n">
        <f aca="false">'Black-Scholes'!$B$5*EXP(('Black-Scholes'!$B$8-'Black-Scholes'!$B$10-'Black-Scholes'!$B$9^2/2)*'Black-Scholes'!$B$7+'Black-Scholes'!$B$9*SQRT('Black-Scholes'!$B$7)*B3278)</f>
        <v>146.074123195325</v>
      </c>
      <c r="D3278" s="18" t="n">
        <f aca="false">'Black-Scholes'!$B$5*EXP(('Black-Scholes'!$B$8-'Black-Scholes'!$B$10-'Black-Scholes'!$B$9^2/2)*'Black-Scholes'!$B$7-'Black-Scholes'!$B$9*SQRT('Black-Scholes'!$B$7)*B3278)</f>
        <v>72.6916255472237</v>
      </c>
      <c r="E3278" s="18" t="n">
        <f aca="false">EXP(-'Black-Scholes'!$B$8*'Black-Scholes'!$B$7)*IF(LOWER('Black-Scholes'!$B$11)="put",MAX('Black-Scholes'!$B$6-C3278,0),MAX(C3278-'Black-Scholes'!$B$6,0))</f>
        <v>43.8270616914641</v>
      </c>
      <c r="F3278" s="18" t="n">
        <f aca="false">(E3278+G3278)/2</f>
        <v>21.9135308457321</v>
      </c>
      <c r="G3278" s="18" t="n">
        <f aca="false">EXP(-'Black-Scholes'!$B$8*'Black-Scholes'!$B$7)*IF(LOWER('Black-Scholes'!$B$11)="put",MAX('Black-Scholes'!$B$6-D3278,0),MAX(D3278-'Black-Scholes'!$B$6,0))</f>
        <v>0</v>
      </c>
    </row>
    <row r="3279" customFormat="false" ht="15" hidden="false" customHeight="false" outlineLevel="0" collapsed="false">
      <c r="A3279" s="0" t="n">
        <v>3268</v>
      </c>
      <c r="B3279" s="15" t="n">
        <v>1.04787259246972</v>
      </c>
      <c r="C3279" s="18" t="n">
        <f aca="false">'Black-Scholes'!$B$5*EXP(('Black-Scholes'!$B$8-'Black-Scholes'!$B$10-'Black-Scholes'!$B$9^2/2)*'Black-Scholes'!$B$7+'Black-Scholes'!$B$9*SQRT('Black-Scholes'!$B$7)*B3279)</f>
        <v>127.070837237202</v>
      </c>
      <c r="D3279" s="18" t="n">
        <f aca="false">'Black-Scholes'!$B$5*EXP(('Black-Scholes'!$B$8-'Black-Scholes'!$B$10-'Black-Scholes'!$B$9^2/2)*'Black-Scholes'!$B$7-'Black-Scholes'!$B$9*SQRT('Black-Scholes'!$B$7)*B3279)</f>
        <v>83.5625679055879</v>
      </c>
      <c r="E3279" s="18" t="n">
        <f aca="false">EXP(-'Black-Scholes'!$B$8*'Black-Scholes'!$B$7)*IF(LOWER('Black-Scholes'!$B$11)="put",MAX('Black-Scholes'!$B$6-C3279,0),MAX(C3279-'Black-Scholes'!$B$6,0))</f>
        <v>25.7505769258961</v>
      </c>
      <c r="F3279" s="18" t="n">
        <f aca="false">(E3279+G3279)/2</f>
        <v>12.8752884629481</v>
      </c>
      <c r="G3279" s="18" t="n">
        <f aca="false">EXP(-'Black-Scholes'!$B$8*'Black-Scholes'!$B$7)*IF(LOWER('Black-Scholes'!$B$11)="put",MAX('Black-Scholes'!$B$6-D3279,0),MAX(D3279-'Black-Scholes'!$B$6,0))</f>
        <v>0</v>
      </c>
    </row>
    <row r="3280" customFormat="false" ht="15" hidden="false" customHeight="false" outlineLevel="0" collapsed="false">
      <c r="A3280" s="0" t="n">
        <v>3269</v>
      </c>
      <c r="B3280" s="15" t="n">
        <v>0.102526922378145</v>
      </c>
      <c r="C3280" s="18" t="n">
        <f aca="false">'Black-Scholes'!$B$5*EXP(('Black-Scholes'!$B$8-'Black-Scholes'!$B$10-'Black-Scholes'!$B$9^2/2)*'Black-Scholes'!$B$7+'Black-Scholes'!$B$9*SQRT('Black-Scholes'!$B$7)*B3280)</f>
        <v>105.180252674483</v>
      </c>
      <c r="D3280" s="18" t="n">
        <f aca="false">'Black-Scholes'!$B$5*EXP(('Black-Scholes'!$B$8-'Black-Scholes'!$B$10-'Black-Scholes'!$B$9^2/2)*'Black-Scholes'!$B$7-'Black-Scholes'!$B$9*SQRT('Black-Scholes'!$B$7)*B3280)</f>
        <v>100.95398323786</v>
      </c>
      <c r="E3280" s="18" t="n">
        <f aca="false">EXP(-'Black-Scholes'!$B$8*'Black-Scholes'!$B$7)*IF(LOWER('Black-Scholes'!$B$11)="put",MAX('Black-Scholes'!$B$6-C3280,0),MAX(C3280-'Black-Scholes'!$B$6,0))</f>
        <v>4.92760877031655</v>
      </c>
      <c r="F3280" s="18" t="n">
        <f aca="false">(E3280+G3280)/2</f>
        <v>2.91753284832464</v>
      </c>
      <c r="G3280" s="18" t="n">
        <f aca="false">EXP(-'Black-Scholes'!$B$8*'Black-Scholes'!$B$7)*IF(LOWER('Black-Scholes'!$B$11)="put",MAX('Black-Scholes'!$B$6-D3280,0),MAX(D3280-'Black-Scholes'!$B$6,0))</f>
        <v>0.907456926332734</v>
      </c>
    </row>
    <row r="3281" customFormat="false" ht="15" hidden="false" customHeight="false" outlineLevel="0" collapsed="false">
      <c r="A3281" s="0" t="n">
        <v>3270</v>
      </c>
      <c r="B3281" s="15" t="n">
        <v>-1.53933809387105</v>
      </c>
      <c r="C3281" s="18" t="n">
        <f aca="false">'Black-Scholes'!$B$5*EXP(('Black-Scholes'!$B$8-'Black-Scholes'!$B$10-'Black-Scholes'!$B$9^2/2)*'Black-Scholes'!$B$7+'Black-Scholes'!$B$9*SQRT('Black-Scholes'!$B$7)*B3281)</f>
        <v>75.739708003188</v>
      </c>
      <c r="D3281" s="18" t="n">
        <f aca="false">'Black-Scholes'!$B$5*EXP(('Black-Scholes'!$B$8-'Black-Scholes'!$B$10-'Black-Scholes'!$B$9^2/2)*'Black-Scholes'!$B$7-'Black-Scholes'!$B$9*SQRT('Black-Scholes'!$B$7)*B3281)</f>
        <v>140.195489861232</v>
      </c>
      <c r="E3281" s="18" t="n">
        <f aca="false">EXP(-'Black-Scholes'!$B$8*'Black-Scholes'!$B$7)*IF(LOWER('Black-Scholes'!$B$11)="put",MAX('Black-Scholes'!$B$6-C3281,0),MAX(C3281-'Black-Scholes'!$B$6,0))</f>
        <v>0</v>
      </c>
      <c r="F3281" s="18" t="n">
        <f aca="false">(E3281+G3281)/2</f>
        <v>19.1175663441119</v>
      </c>
      <c r="G3281" s="18" t="n">
        <f aca="false">EXP(-'Black-Scholes'!$B$8*'Black-Scholes'!$B$7)*IF(LOWER('Black-Scholes'!$B$11)="put",MAX('Black-Scholes'!$B$6-D3281,0),MAX(D3281-'Black-Scholes'!$B$6,0))</f>
        <v>38.2351326882237</v>
      </c>
    </row>
    <row r="3282" customFormat="false" ht="15" hidden="false" customHeight="false" outlineLevel="0" collapsed="false">
      <c r="A3282" s="0" t="n">
        <v>3271</v>
      </c>
      <c r="B3282" s="15" t="n">
        <v>0.824390881563855</v>
      </c>
      <c r="C3282" s="18" t="n">
        <f aca="false">'Black-Scholes'!$B$5*EXP(('Black-Scholes'!$B$8-'Black-Scholes'!$B$10-'Black-Scholes'!$B$9^2/2)*'Black-Scholes'!$B$7+'Black-Scholes'!$B$9*SQRT('Black-Scholes'!$B$7)*B3282)</f>
        <v>121.516294184208</v>
      </c>
      <c r="D3282" s="18" t="n">
        <f aca="false">'Black-Scholes'!$B$5*EXP(('Black-Scholes'!$B$8-'Black-Scholes'!$B$10-'Black-Scholes'!$B$9^2/2)*'Black-Scholes'!$B$7-'Black-Scholes'!$B$9*SQRT('Black-Scholes'!$B$7)*B3282)</f>
        <v>87.3822357465664</v>
      </c>
      <c r="E3282" s="18" t="n">
        <f aca="false">EXP(-'Black-Scholes'!$B$8*'Black-Scholes'!$B$7)*IF(LOWER('Black-Scholes'!$B$11)="put",MAX('Black-Scholes'!$B$6-C3282,0),MAX(C3282-'Black-Scholes'!$B$6,0))</f>
        <v>20.4669321342325</v>
      </c>
      <c r="F3282" s="18" t="n">
        <f aca="false">(E3282+G3282)/2</f>
        <v>10.2334660671162</v>
      </c>
      <c r="G3282" s="18" t="n">
        <f aca="false">EXP(-'Black-Scholes'!$B$8*'Black-Scholes'!$B$7)*IF(LOWER('Black-Scholes'!$B$11)="put",MAX('Black-Scholes'!$B$6-D3282,0),MAX(D3282-'Black-Scholes'!$B$6,0))</f>
        <v>0</v>
      </c>
    </row>
    <row r="3283" customFormat="false" ht="15" hidden="false" customHeight="false" outlineLevel="0" collapsed="false">
      <c r="A3283" s="0" t="n">
        <v>3272</v>
      </c>
      <c r="B3283" s="15" t="n">
        <v>2.36968789227333</v>
      </c>
      <c r="C3283" s="18" t="n">
        <f aca="false">'Black-Scholes'!$B$5*EXP(('Black-Scholes'!$B$8-'Black-Scholes'!$B$10-'Black-Scholes'!$B$9^2/2)*'Black-Scholes'!$B$7+'Black-Scholes'!$B$9*SQRT('Black-Scholes'!$B$7)*B3283)</f>
        <v>165.522603816506</v>
      </c>
      <c r="D3283" s="18" t="n">
        <f aca="false">'Black-Scholes'!$B$5*EXP(('Black-Scholes'!$B$8-'Black-Scholes'!$B$10-'Black-Scholes'!$B$9^2/2)*'Black-Scholes'!$B$7-'Black-Scholes'!$B$9*SQRT('Black-Scholes'!$B$7)*B3283)</f>
        <v>64.1505463339911</v>
      </c>
      <c r="E3283" s="18" t="n">
        <f aca="false">EXP(-'Black-Scholes'!$B$8*'Black-Scholes'!$B$7)*IF(LOWER('Black-Scholes'!$B$11)="put",MAX('Black-Scholes'!$B$6-C3283,0),MAX(C3283-'Black-Scholes'!$B$6,0))</f>
        <v>62.327028720163</v>
      </c>
      <c r="F3283" s="18" t="n">
        <f aca="false">(E3283+G3283)/2</f>
        <v>31.1635143600815</v>
      </c>
      <c r="G3283" s="18" t="n">
        <f aca="false">EXP(-'Black-Scholes'!$B$8*'Black-Scholes'!$B$7)*IF(LOWER('Black-Scholes'!$B$11)="put",MAX('Black-Scholes'!$B$6-D3283,0),MAX(D3283-'Black-Scholes'!$B$6,0))</f>
        <v>0</v>
      </c>
    </row>
    <row r="3284" customFormat="false" ht="15" hidden="false" customHeight="false" outlineLevel="0" collapsed="false">
      <c r="A3284" s="0" t="n">
        <v>3273</v>
      </c>
      <c r="B3284" s="15" t="n">
        <v>-0.0784678318225268</v>
      </c>
      <c r="C3284" s="18" t="n">
        <f aca="false">'Black-Scholes'!$B$5*EXP(('Black-Scholes'!$B$8-'Black-Scholes'!$B$10-'Black-Scholes'!$B$9^2/2)*'Black-Scholes'!$B$7+'Black-Scholes'!$B$9*SQRT('Black-Scholes'!$B$7)*B3284)</f>
        <v>101.44092604336</v>
      </c>
      <c r="D3284" s="18" t="n">
        <f aca="false">'Black-Scholes'!$B$5*EXP(('Black-Scholes'!$B$8-'Black-Scholes'!$B$10-'Black-Scholes'!$B$9^2/2)*'Black-Scholes'!$B$7-'Black-Scholes'!$B$9*SQRT('Black-Scholes'!$B$7)*B3284)</f>
        <v>104.67536012945</v>
      </c>
      <c r="E3284" s="18" t="n">
        <f aca="false">EXP(-'Black-Scholes'!$B$8*'Black-Scholes'!$B$7)*IF(LOWER('Black-Scholes'!$B$11)="put",MAX('Black-Scholes'!$B$6-C3284,0),MAX(C3284-'Black-Scholes'!$B$6,0))</f>
        <v>1.37065125097327</v>
      </c>
      <c r="F3284" s="18" t="n">
        <f aca="false">(E3284+G3284)/2</f>
        <v>2.9089956881218</v>
      </c>
      <c r="G3284" s="18" t="n">
        <f aca="false">EXP(-'Black-Scholes'!$B$8*'Black-Scholes'!$B$7)*IF(LOWER('Black-Scholes'!$B$11)="put",MAX('Black-Scholes'!$B$6-D3284,0),MAX(D3284-'Black-Scholes'!$B$6,0))</f>
        <v>4.44734012527033</v>
      </c>
    </row>
    <row r="3285" customFormat="false" ht="15" hidden="false" customHeight="false" outlineLevel="0" collapsed="false">
      <c r="A3285" s="0" t="n">
        <v>3274</v>
      </c>
      <c r="B3285" s="15" t="n">
        <v>0.0204392076195213</v>
      </c>
      <c r="C3285" s="18" t="n">
        <f aca="false">'Black-Scholes'!$B$5*EXP(('Black-Scholes'!$B$8-'Black-Scholes'!$B$10-'Black-Scholes'!$B$9^2/2)*'Black-Scholes'!$B$7+'Black-Scholes'!$B$9*SQRT('Black-Scholes'!$B$7)*B3285)</f>
        <v>103.467549020819</v>
      </c>
      <c r="D3285" s="18" t="n">
        <f aca="false">'Black-Scholes'!$B$5*EXP(('Black-Scholes'!$B$8-'Black-Scholes'!$B$10-'Black-Scholes'!$B$9^2/2)*'Black-Scholes'!$B$7-'Black-Scholes'!$B$9*SQRT('Black-Scholes'!$B$7)*B3285)</f>
        <v>102.625079708006</v>
      </c>
      <c r="E3285" s="18" t="n">
        <f aca="false">EXP(-'Black-Scholes'!$B$8*'Black-Scholes'!$B$7)*IF(LOWER('Black-Scholes'!$B$11)="put",MAX('Black-Scholes'!$B$6-C3285,0),MAX(C3285-'Black-Scholes'!$B$6,0))</f>
        <v>3.29843465950206</v>
      </c>
      <c r="F3285" s="18" t="n">
        <f aca="false">(E3285+G3285)/2</f>
        <v>2.89774385970849</v>
      </c>
      <c r="G3285" s="18" t="n">
        <f aca="false">EXP(-'Black-Scholes'!$B$8*'Black-Scholes'!$B$7)*IF(LOWER('Black-Scholes'!$B$11)="put",MAX('Black-Scholes'!$B$6-D3285,0),MAX(D3285-'Black-Scholes'!$B$6,0))</f>
        <v>2.49705305991493</v>
      </c>
    </row>
    <row r="3286" customFormat="false" ht="15" hidden="false" customHeight="false" outlineLevel="0" collapsed="false">
      <c r="A3286" s="0" t="n">
        <v>3275</v>
      </c>
      <c r="B3286" s="15" t="n">
        <v>-0.745767856181446</v>
      </c>
      <c r="C3286" s="18" t="n">
        <f aca="false">'Black-Scholes'!$B$5*EXP(('Black-Scholes'!$B$8-'Black-Scholes'!$B$10-'Black-Scholes'!$B$9^2/2)*'Black-Scholes'!$B$7+'Black-Scholes'!$B$9*SQRT('Black-Scholes'!$B$7)*B3286)</f>
        <v>88.7671469488949</v>
      </c>
      <c r="D3286" s="18" t="n">
        <f aca="false">'Black-Scholes'!$B$5*EXP(('Black-Scholes'!$B$8-'Black-Scholes'!$B$10-'Black-Scholes'!$B$9^2/2)*'Black-Scholes'!$B$7-'Black-Scholes'!$B$9*SQRT('Black-Scholes'!$B$7)*B3286)</f>
        <v>119.620443265647</v>
      </c>
      <c r="E3286" s="18" t="n">
        <f aca="false">EXP(-'Black-Scholes'!$B$8*'Black-Scholes'!$B$7)*IF(LOWER('Black-Scholes'!$B$11)="put",MAX('Black-Scholes'!$B$6-C3286,0),MAX(C3286-'Black-Scholes'!$B$6,0))</f>
        <v>0</v>
      </c>
      <c r="F3286" s="18" t="n">
        <f aca="false">(E3286+G3286)/2</f>
        <v>9.33177147801496</v>
      </c>
      <c r="G3286" s="18" t="n">
        <f aca="false">EXP(-'Black-Scholes'!$B$8*'Black-Scholes'!$B$7)*IF(LOWER('Black-Scholes'!$B$11)="put",MAX('Black-Scholes'!$B$6-D3286,0),MAX(D3286-'Black-Scholes'!$B$6,0))</f>
        <v>18.6635429560299</v>
      </c>
    </row>
    <row r="3287" customFormat="false" ht="15" hidden="false" customHeight="false" outlineLevel="0" collapsed="false">
      <c r="A3287" s="0" t="n">
        <v>3276</v>
      </c>
      <c r="B3287" s="15" t="n">
        <v>-1.85404694785777</v>
      </c>
      <c r="C3287" s="18" t="n">
        <f aca="false">'Black-Scholes'!$B$5*EXP(('Black-Scholes'!$B$8-'Black-Scholes'!$B$10-'Black-Scholes'!$B$9^2/2)*'Black-Scholes'!$B$7+'Black-Scholes'!$B$9*SQRT('Black-Scholes'!$B$7)*B3287)</f>
        <v>71.1194456367589</v>
      </c>
      <c r="D3287" s="18" t="n">
        <f aca="false">'Black-Scholes'!$B$5*EXP(('Black-Scholes'!$B$8-'Black-Scholes'!$B$10-'Black-Scholes'!$B$9^2/2)*'Black-Scholes'!$B$7-'Black-Scholes'!$B$9*SQRT('Black-Scholes'!$B$7)*B3287)</f>
        <v>149.303265378173</v>
      </c>
      <c r="E3287" s="18" t="n">
        <f aca="false">EXP(-'Black-Scholes'!$B$8*'Black-Scholes'!$B$7)*IF(LOWER('Black-Scholes'!$B$11)="put",MAX('Black-Scholes'!$B$6-C3287,0),MAX(C3287-'Black-Scholes'!$B$6,0))</f>
        <v>0</v>
      </c>
      <c r="F3287" s="18" t="n">
        <f aca="false">(E3287+G3287)/2</f>
        <v>23.449358375843</v>
      </c>
      <c r="G3287" s="18" t="n">
        <f aca="false">EXP(-'Black-Scholes'!$B$8*'Black-Scholes'!$B$7)*IF(LOWER('Black-Scholes'!$B$11)="put",MAX('Black-Scholes'!$B$6-D3287,0),MAX(D3287-'Black-Scholes'!$B$6,0))</f>
        <v>46.8987167516859</v>
      </c>
    </row>
    <row r="3288" customFormat="false" ht="15" hidden="false" customHeight="false" outlineLevel="0" collapsed="false">
      <c r="A3288" s="0" t="n">
        <v>3277</v>
      </c>
      <c r="B3288" s="15" t="n">
        <v>-0.55250926909923</v>
      </c>
      <c r="C3288" s="18" t="n">
        <f aca="false">'Black-Scholes'!$B$5*EXP(('Black-Scholes'!$B$8-'Black-Scholes'!$B$10-'Black-Scholes'!$B$9^2/2)*'Black-Scholes'!$B$7+'Black-Scholes'!$B$9*SQRT('Black-Scholes'!$B$7)*B3288)</f>
        <v>92.2653193149371</v>
      </c>
      <c r="D3288" s="18" t="n">
        <f aca="false">'Black-Scholes'!$B$5*EXP(('Black-Scholes'!$B$8-'Black-Scholes'!$B$10-'Black-Scholes'!$B$9^2/2)*'Black-Scholes'!$B$7-'Black-Scholes'!$B$9*SQRT('Black-Scholes'!$B$7)*B3288)</f>
        <v>115.085121303369</v>
      </c>
      <c r="E3288" s="18" t="n">
        <f aca="false">EXP(-'Black-Scholes'!$B$8*'Black-Scholes'!$B$7)*IF(LOWER('Black-Scholes'!$B$11)="put",MAX('Black-Scholes'!$B$6-C3288,0),MAX(C3288-'Black-Scholes'!$B$6,0))</f>
        <v>0</v>
      </c>
      <c r="F3288" s="18" t="n">
        <f aca="false">(E3288+G3288)/2</f>
        <v>7.17470562796351</v>
      </c>
      <c r="G3288" s="18" t="n">
        <f aca="false">EXP(-'Black-Scholes'!$B$8*'Black-Scholes'!$B$7)*IF(LOWER('Black-Scholes'!$B$11)="put",MAX('Black-Scholes'!$B$6-D3288,0),MAX(D3288-'Black-Scholes'!$B$6,0))</f>
        <v>14.349411255927</v>
      </c>
    </row>
    <row r="3289" customFormat="false" ht="15" hidden="false" customHeight="false" outlineLevel="0" collapsed="false">
      <c r="A3289" s="0" t="n">
        <v>3278</v>
      </c>
      <c r="B3289" s="15" t="n">
        <v>-1.18388520058821</v>
      </c>
      <c r="C3289" s="18" t="n">
        <f aca="false">'Black-Scholes'!$B$5*EXP(('Black-Scholes'!$B$8-'Black-Scholes'!$B$10-'Black-Scholes'!$B$9^2/2)*'Black-Scholes'!$B$7+'Black-Scholes'!$B$9*SQRT('Black-Scholes'!$B$7)*B3289)</f>
        <v>81.3200940962644</v>
      </c>
      <c r="D3289" s="18" t="n">
        <f aca="false">'Black-Scholes'!$B$5*EXP(('Black-Scholes'!$B$8-'Black-Scholes'!$B$10-'Black-Scholes'!$B$9^2/2)*'Black-Scholes'!$B$7-'Black-Scholes'!$B$9*SQRT('Black-Scholes'!$B$7)*B3289)</f>
        <v>130.574928416633</v>
      </c>
      <c r="E3289" s="18" t="n">
        <f aca="false">EXP(-'Black-Scholes'!$B$8*'Black-Scholes'!$B$7)*IF(LOWER('Black-Scholes'!$B$11)="put",MAX('Black-Scholes'!$B$6-C3289,0),MAX(C3289-'Black-Scholes'!$B$6,0))</f>
        <v>0</v>
      </c>
      <c r="F3289" s="18" t="n">
        <f aca="false">(E3289+G3289)/2</f>
        <v>14.5418857809522</v>
      </c>
      <c r="G3289" s="18" t="n">
        <f aca="false">EXP(-'Black-Scholes'!$B$8*'Black-Scholes'!$B$7)*IF(LOWER('Black-Scholes'!$B$11)="put",MAX('Black-Scholes'!$B$6-D3289,0),MAX(D3289-'Black-Scholes'!$B$6,0))</f>
        <v>29.0837715619045</v>
      </c>
    </row>
    <row r="3290" customFormat="false" ht="15" hidden="false" customHeight="false" outlineLevel="0" collapsed="false">
      <c r="A3290" s="0" t="n">
        <v>3279</v>
      </c>
      <c r="B3290" s="15" t="n">
        <v>1.58156327307384</v>
      </c>
      <c r="C3290" s="18" t="n">
        <f aca="false">'Black-Scholes'!$B$5*EXP(('Black-Scholes'!$B$8-'Black-Scholes'!$B$10-'Black-Scholes'!$B$9^2/2)*'Black-Scholes'!$B$7+'Black-Scholes'!$B$9*SQRT('Black-Scholes'!$B$7)*B3290)</f>
        <v>141.384459175735</v>
      </c>
      <c r="D3290" s="18" t="n">
        <f aca="false">'Black-Scholes'!$B$5*EXP(('Black-Scholes'!$B$8-'Black-Scholes'!$B$10-'Black-Scholes'!$B$9^2/2)*'Black-Scholes'!$B$7-'Black-Scholes'!$B$9*SQRT('Black-Scholes'!$B$7)*B3290)</f>
        <v>75.1027766938334</v>
      </c>
      <c r="E3290" s="18" t="n">
        <f aca="false">EXP(-'Black-Scholes'!$B$8*'Black-Scholes'!$B$7)*IF(LOWER('Black-Scholes'!$B$11)="put",MAX('Black-Scholes'!$B$6-C3290,0),MAX(C3290-'Black-Scholes'!$B$6,0))</f>
        <v>39.3661152850072</v>
      </c>
      <c r="F3290" s="18" t="n">
        <f aca="false">(E3290+G3290)/2</f>
        <v>19.6830576425036</v>
      </c>
      <c r="G3290" s="18" t="n">
        <f aca="false">EXP(-'Black-Scholes'!$B$8*'Black-Scholes'!$B$7)*IF(LOWER('Black-Scholes'!$B$11)="put",MAX('Black-Scholes'!$B$6-D3290,0),MAX(D3290-'Black-Scholes'!$B$6,0))</f>
        <v>0</v>
      </c>
    </row>
    <row r="3291" customFormat="false" ht="15" hidden="false" customHeight="false" outlineLevel="0" collapsed="false">
      <c r="A3291" s="0" t="n">
        <v>3280</v>
      </c>
      <c r="B3291" s="15" t="n">
        <v>0.770454315777382</v>
      </c>
      <c r="C3291" s="18" t="n">
        <f aca="false">'Black-Scholes'!$B$5*EXP(('Black-Scholes'!$B$8-'Black-Scholes'!$B$10-'Black-Scholes'!$B$9^2/2)*'Black-Scholes'!$B$7+'Black-Scholes'!$B$9*SQRT('Black-Scholes'!$B$7)*B3291)</f>
        <v>120.212504700906</v>
      </c>
      <c r="D3291" s="18" t="n">
        <f aca="false">'Black-Scholes'!$B$5*EXP(('Black-Scholes'!$B$8-'Black-Scholes'!$B$10-'Black-Scholes'!$B$9^2/2)*'Black-Scholes'!$B$7-'Black-Scholes'!$B$9*SQRT('Black-Scholes'!$B$7)*B3291)</f>
        <v>88.3299577849456</v>
      </c>
      <c r="E3291" s="18" t="n">
        <f aca="false">EXP(-'Black-Scholes'!$B$8*'Black-Scholes'!$B$7)*IF(LOWER('Black-Scholes'!$B$11)="put",MAX('Black-Scholes'!$B$6-C3291,0),MAX(C3291-'Black-Scholes'!$B$6,0))</f>
        <v>19.2267292143608</v>
      </c>
      <c r="F3291" s="18" t="n">
        <f aca="false">(E3291+G3291)/2</f>
        <v>9.6133646071804</v>
      </c>
      <c r="G3291" s="18" t="n">
        <f aca="false">EXP(-'Black-Scholes'!$B$8*'Black-Scholes'!$B$7)*IF(LOWER('Black-Scholes'!$B$11)="put",MAX('Black-Scholes'!$B$6-D3291,0),MAX(D3291-'Black-Scholes'!$B$6,0))</f>
        <v>0</v>
      </c>
    </row>
    <row r="3292" customFormat="false" ht="15" hidden="false" customHeight="false" outlineLevel="0" collapsed="false">
      <c r="A3292" s="0" t="n">
        <v>3281</v>
      </c>
      <c r="B3292" s="15" t="n">
        <v>1.09135265983315</v>
      </c>
      <c r="C3292" s="18" t="n">
        <f aca="false">'Black-Scholes'!$B$5*EXP(('Black-Scholes'!$B$8-'Black-Scholes'!$B$10-'Black-Scholes'!$B$9^2/2)*'Black-Scholes'!$B$7+'Black-Scholes'!$B$9*SQRT('Black-Scholes'!$B$7)*B3292)</f>
        <v>128.180665496732</v>
      </c>
      <c r="D3292" s="18" t="n">
        <f aca="false">'Black-Scholes'!$B$5*EXP(('Black-Scholes'!$B$8-'Black-Scholes'!$B$10-'Black-Scholes'!$B$9^2/2)*'Black-Scholes'!$B$7-'Black-Scholes'!$B$9*SQRT('Black-Scholes'!$B$7)*B3292)</f>
        <v>82.8390570785758</v>
      </c>
      <c r="E3292" s="18" t="n">
        <f aca="false">EXP(-'Black-Scholes'!$B$8*'Black-Scholes'!$B$7)*IF(LOWER('Black-Scholes'!$B$11)="put",MAX('Black-Scholes'!$B$6-C3292,0),MAX(C3292-'Black-Scholes'!$B$6,0))</f>
        <v>26.8062782225034</v>
      </c>
      <c r="F3292" s="18" t="n">
        <f aca="false">(E3292+G3292)/2</f>
        <v>13.4031391112517</v>
      </c>
      <c r="G3292" s="18" t="n">
        <f aca="false">EXP(-'Black-Scholes'!$B$8*'Black-Scholes'!$B$7)*IF(LOWER('Black-Scholes'!$B$11)="put",MAX('Black-Scholes'!$B$6-D3292,0),MAX(D3292-'Black-Scholes'!$B$6,0))</f>
        <v>0</v>
      </c>
    </row>
    <row r="3293" customFormat="false" ht="15" hidden="false" customHeight="false" outlineLevel="0" collapsed="false">
      <c r="A3293" s="0" t="n">
        <v>3282</v>
      </c>
      <c r="B3293" s="15" t="n">
        <v>1.93732428289304</v>
      </c>
      <c r="C3293" s="18" t="n">
        <f aca="false">'Black-Scholes'!$B$5*EXP(('Black-Scholes'!$B$8-'Black-Scholes'!$B$10-'Black-Scholes'!$B$9^2/2)*'Black-Scholes'!$B$7+'Black-Scholes'!$B$9*SQRT('Black-Scholes'!$B$7)*B3293)</f>
        <v>151.810805145002</v>
      </c>
      <c r="D3293" s="18" t="n">
        <f aca="false">'Black-Scholes'!$B$5*EXP(('Black-Scholes'!$B$8-'Black-Scholes'!$B$10-'Black-Scholes'!$B$9^2/2)*'Black-Scholes'!$B$7-'Black-Scholes'!$B$9*SQRT('Black-Scholes'!$B$7)*B3293)</f>
        <v>69.9447279481289</v>
      </c>
      <c r="E3293" s="18" t="n">
        <f aca="false">EXP(-'Black-Scholes'!$B$8*'Black-Scholes'!$B$7)*IF(LOWER('Black-Scholes'!$B$11)="put",MAX('Black-Scholes'!$B$6-C3293,0),MAX(C3293-'Black-Scholes'!$B$6,0))</f>
        <v>49.2839623609991</v>
      </c>
      <c r="F3293" s="18" t="n">
        <f aca="false">(E3293+G3293)/2</f>
        <v>24.6419811804996</v>
      </c>
      <c r="G3293" s="18" t="n">
        <f aca="false">EXP(-'Black-Scholes'!$B$8*'Black-Scholes'!$B$7)*IF(LOWER('Black-Scholes'!$B$11)="put",MAX('Black-Scholes'!$B$6-D3293,0),MAX(D3293-'Black-Scholes'!$B$6,0))</f>
        <v>0</v>
      </c>
    </row>
    <row r="3294" customFormat="false" ht="15" hidden="false" customHeight="false" outlineLevel="0" collapsed="false">
      <c r="A3294" s="0" t="n">
        <v>3283</v>
      </c>
      <c r="B3294" s="15" t="n">
        <v>0.998239227065033</v>
      </c>
      <c r="C3294" s="18" t="n">
        <f aca="false">'Black-Scholes'!$B$5*EXP(('Black-Scholes'!$B$8-'Black-Scholes'!$B$10-'Black-Scholes'!$B$9^2/2)*'Black-Scholes'!$B$7+'Black-Scholes'!$B$9*SQRT('Black-Scholes'!$B$7)*B3294)</f>
        <v>125.815686619492</v>
      </c>
      <c r="D3294" s="18" t="n">
        <f aca="false">'Black-Scholes'!$B$5*EXP(('Black-Scholes'!$B$8-'Black-Scholes'!$B$10-'Black-Scholes'!$B$9^2/2)*'Black-Scholes'!$B$7-'Black-Scholes'!$B$9*SQRT('Black-Scholes'!$B$7)*B3294)</f>
        <v>84.3961969350215</v>
      </c>
      <c r="E3294" s="18" t="n">
        <f aca="false">EXP(-'Black-Scholes'!$B$8*'Black-Scholes'!$B$7)*IF(LOWER('Black-Scholes'!$B$11)="put",MAX('Black-Scholes'!$B$6-C3294,0),MAX(C3294-'Black-Scholes'!$B$6,0))</f>
        <v>24.5566407261502</v>
      </c>
      <c r="F3294" s="18" t="n">
        <f aca="false">(E3294+G3294)/2</f>
        <v>12.2783203630751</v>
      </c>
      <c r="G3294" s="18" t="n">
        <f aca="false">EXP(-'Black-Scholes'!$B$8*'Black-Scholes'!$B$7)*IF(LOWER('Black-Scholes'!$B$11)="put",MAX('Black-Scholes'!$B$6-D3294,0),MAX(D3294-'Black-Scholes'!$B$6,0))</f>
        <v>0</v>
      </c>
    </row>
    <row r="3295" customFormat="false" ht="15" hidden="false" customHeight="false" outlineLevel="0" collapsed="false">
      <c r="A3295" s="0" t="n">
        <v>3284</v>
      </c>
      <c r="B3295" s="15" t="n">
        <v>0.0952884276988881</v>
      </c>
      <c r="C3295" s="18" t="n">
        <f aca="false">'Black-Scholes'!$B$5*EXP(('Black-Scholes'!$B$8-'Black-Scholes'!$B$10-'Black-Scholes'!$B$9^2/2)*'Black-Scholes'!$B$7+'Black-Scholes'!$B$9*SQRT('Black-Scholes'!$B$7)*B3295)</f>
        <v>105.028093501525</v>
      </c>
      <c r="D3295" s="18" t="n">
        <f aca="false">'Black-Scholes'!$B$5*EXP(('Black-Scholes'!$B$8-'Black-Scholes'!$B$10-'Black-Scholes'!$B$9^2/2)*'Black-Scholes'!$B$7-'Black-Scholes'!$B$9*SQRT('Black-Scholes'!$B$7)*B3295)</f>
        <v>101.100240054338</v>
      </c>
      <c r="E3295" s="18" t="n">
        <f aca="false">EXP(-'Black-Scholes'!$B$8*'Black-Scholes'!$B$7)*IF(LOWER('Black-Scholes'!$B$11)="put",MAX('Black-Scholes'!$B$6-C3295,0),MAX(C3295-'Black-Scholes'!$B$6,0))</f>
        <v>4.78287048779117</v>
      </c>
      <c r="F3295" s="18" t="n">
        <f aca="false">(E3295+G3295)/2</f>
        <v>2.9147256007458</v>
      </c>
      <c r="G3295" s="18" t="n">
        <f aca="false">EXP(-'Black-Scholes'!$B$8*'Black-Scholes'!$B$7)*IF(LOWER('Black-Scholes'!$B$11)="put",MAX('Black-Scholes'!$B$6-D3295,0),MAX(D3295-'Black-Scholes'!$B$6,0))</f>
        <v>1.04658071370044</v>
      </c>
    </row>
    <row r="3296" customFormat="false" ht="15" hidden="false" customHeight="false" outlineLevel="0" collapsed="false">
      <c r="A3296" s="0" t="n">
        <v>3285</v>
      </c>
      <c r="B3296" s="15" t="n">
        <v>-0.0219426984845406</v>
      </c>
      <c r="C3296" s="18" t="n">
        <f aca="false">'Black-Scholes'!$B$5*EXP(('Black-Scholes'!$B$8-'Black-Scholes'!$B$10-'Black-Scholes'!$B$9^2/2)*'Black-Scholes'!$B$7+'Black-Scholes'!$B$9*SQRT('Black-Scholes'!$B$7)*B3296)</f>
        <v>102.594225173217</v>
      </c>
      <c r="D3296" s="18" t="n">
        <f aca="false">'Black-Scholes'!$B$5*EXP(('Black-Scholes'!$B$8-'Black-Scholes'!$B$10-'Black-Scholes'!$B$9^2/2)*'Black-Scholes'!$B$7-'Black-Scholes'!$B$9*SQRT('Black-Scholes'!$B$7)*B3296)</f>
        <v>103.49866620198</v>
      </c>
      <c r="E3296" s="18" t="n">
        <f aca="false">EXP(-'Black-Scholes'!$B$8*'Black-Scholes'!$B$7)*IF(LOWER('Black-Scholes'!$B$11)="put",MAX('Black-Scholes'!$B$6-C3296,0),MAX(C3296-'Black-Scholes'!$B$6,0))</f>
        <v>2.46770331854438</v>
      </c>
      <c r="F3296" s="18" t="n">
        <f aca="false">(E3296+G3296)/2</f>
        <v>2.89786877818717</v>
      </c>
      <c r="G3296" s="18" t="n">
        <f aca="false">EXP(-'Black-Scholes'!$B$8*'Black-Scholes'!$B$7)*IF(LOWER('Black-Scholes'!$B$11)="put",MAX('Black-Scholes'!$B$6-D3296,0),MAX(D3296-'Black-Scholes'!$B$6,0))</f>
        <v>3.32803423782997</v>
      </c>
    </row>
    <row r="3297" customFormat="false" ht="15" hidden="false" customHeight="false" outlineLevel="0" collapsed="false">
      <c r="A3297" s="0" t="n">
        <v>3286</v>
      </c>
      <c r="B3297" s="15" t="n">
        <v>-1.2355496529351</v>
      </c>
      <c r="C3297" s="18" t="n">
        <f aca="false">'Black-Scholes'!$B$5*EXP(('Black-Scholes'!$B$8-'Black-Scholes'!$B$10-'Black-Scholes'!$B$9^2/2)*'Black-Scholes'!$B$7+'Black-Scholes'!$B$9*SQRT('Black-Scholes'!$B$7)*B3297)</f>
        <v>80.484148774447</v>
      </c>
      <c r="D3297" s="18" t="n">
        <f aca="false">'Black-Scholes'!$B$5*EXP(('Black-Scholes'!$B$8-'Black-Scholes'!$B$10-'Black-Scholes'!$B$9^2/2)*'Black-Scholes'!$B$7-'Black-Scholes'!$B$9*SQRT('Black-Scholes'!$B$7)*B3297)</f>
        <v>131.931139573968</v>
      </c>
      <c r="E3297" s="18" t="n">
        <f aca="false">EXP(-'Black-Scholes'!$B$8*'Black-Scholes'!$B$7)*IF(LOWER('Black-Scholes'!$B$11)="put",MAX('Black-Scholes'!$B$6-C3297,0),MAX(C3297-'Black-Scholes'!$B$6,0))</f>
        <v>0</v>
      </c>
      <c r="F3297" s="18" t="n">
        <f aca="false">(E3297+G3297)/2</f>
        <v>15.186919760299</v>
      </c>
      <c r="G3297" s="18" t="n">
        <f aca="false">EXP(-'Black-Scholes'!$B$8*'Black-Scholes'!$B$7)*IF(LOWER('Black-Scholes'!$B$11)="put",MAX('Black-Scholes'!$B$6-D3297,0),MAX(D3297-'Black-Scholes'!$B$6,0))</f>
        <v>30.3738395205979</v>
      </c>
    </row>
    <row r="3298" customFormat="false" ht="15" hidden="false" customHeight="false" outlineLevel="0" collapsed="false">
      <c r="A3298" s="0" t="n">
        <v>3287</v>
      </c>
      <c r="B3298" s="15" t="n">
        <v>0.667814754372173</v>
      </c>
      <c r="C3298" s="18" t="n">
        <f aca="false">'Black-Scholes'!$B$5*EXP(('Black-Scholes'!$B$8-'Black-Scholes'!$B$10-'Black-Scholes'!$B$9^2/2)*'Black-Scholes'!$B$7+'Black-Scholes'!$B$9*SQRT('Black-Scholes'!$B$7)*B3298)</f>
        <v>117.769949006669</v>
      </c>
      <c r="D3298" s="18" t="n">
        <f aca="false">'Black-Scholes'!$B$5*EXP(('Black-Scholes'!$B$8-'Black-Scholes'!$B$10-'Black-Scholes'!$B$9^2/2)*'Black-Scholes'!$B$7-'Black-Scholes'!$B$9*SQRT('Black-Scholes'!$B$7)*B3298)</f>
        <v>90.1619263234316</v>
      </c>
      <c r="E3298" s="18" t="n">
        <f aca="false">EXP(-'Black-Scholes'!$B$8*'Black-Scholes'!$B$7)*IF(LOWER('Black-Scholes'!$B$11)="put",MAX('Black-Scholes'!$B$6-C3298,0),MAX(C3298-'Black-Scholes'!$B$6,0))</f>
        <v>16.9032983670209</v>
      </c>
      <c r="F3298" s="18" t="n">
        <f aca="false">(E3298+G3298)/2</f>
        <v>8.45164918351043</v>
      </c>
      <c r="G3298" s="18" t="n">
        <f aca="false">EXP(-'Black-Scholes'!$B$8*'Black-Scholes'!$B$7)*IF(LOWER('Black-Scholes'!$B$11)="put",MAX('Black-Scholes'!$B$6-D3298,0),MAX(D3298-'Black-Scholes'!$B$6,0))</f>
        <v>0</v>
      </c>
    </row>
    <row r="3299" customFormat="false" ht="15" hidden="false" customHeight="false" outlineLevel="0" collapsed="false">
      <c r="A3299" s="0" t="n">
        <v>3288</v>
      </c>
      <c r="B3299" s="15" t="n">
        <v>2.56374088480514</v>
      </c>
      <c r="C3299" s="18" t="n">
        <f aca="false">'Black-Scholes'!$B$5*EXP(('Black-Scholes'!$B$8-'Black-Scholes'!$B$10-'Black-Scholes'!$B$9^2/2)*'Black-Scholes'!$B$7+'Black-Scholes'!$B$9*SQRT('Black-Scholes'!$B$7)*B3299)</f>
        <v>172.072923869952</v>
      </c>
      <c r="D3299" s="18" t="n">
        <f aca="false">'Black-Scholes'!$B$5*EXP(('Black-Scholes'!$B$8-'Black-Scholes'!$B$10-'Black-Scholes'!$B$9^2/2)*'Black-Scholes'!$B$7-'Black-Scholes'!$B$9*SQRT('Black-Scholes'!$B$7)*B3299)</f>
        <v>61.7085200079398</v>
      </c>
      <c r="E3299" s="18" t="n">
        <f aca="false">EXP(-'Black-Scholes'!$B$8*'Black-Scholes'!$B$7)*IF(LOWER('Black-Scholes'!$B$11)="put",MAX('Black-Scholes'!$B$6-C3299,0),MAX(C3299-'Black-Scholes'!$B$6,0))</f>
        <v>68.5578858948978</v>
      </c>
      <c r="F3299" s="18" t="n">
        <f aca="false">(E3299+G3299)/2</f>
        <v>34.2789429474489</v>
      </c>
      <c r="G3299" s="18" t="n">
        <f aca="false">EXP(-'Black-Scholes'!$B$8*'Black-Scholes'!$B$7)*IF(LOWER('Black-Scholes'!$B$11)="put",MAX('Black-Scholes'!$B$6-D3299,0),MAX(D3299-'Black-Scholes'!$B$6,0))</f>
        <v>0</v>
      </c>
    </row>
    <row r="3300" customFormat="false" ht="15" hidden="false" customHeight="false" outlineLevel="0" collapsed="false">
      <c r="A3300" s="0" t="n">
        <v>3289</v>
      </c>
      <c r="B3300" s="15" t="n">
        <v>0.173355487285382</v>
      </c>
      <c r="C3300" s="18" t="n">
        <f aca="false">'Black-Scholes'!$B$5*EXP(('Black-Scholes'!$B$8-'Black-Scholes'!$B$10-'Black-Scholes'!$B$9^2/2)*'Black-Scholes'!$B$7+'Black-Scholes'!$B$9*SQRT('Black-Scholes'!$B$7)*B3300)</f>
        <v>106.680809078201</v>
      </c>
      <c r="D3300" s="18" t="n">
        <f aca="false">'Black-Scholes'!$B$5*EXP(('Black-Scholes'!$B$8-'Black-Scholes'!$B$10-'Black-Scholes'!$B$9^2/2)*'Black-Scholes'!$B$7-'Black-Scholes'!$B$9*SQRT('Black-Scholes'!$B$7)*B3300)</f>
        <v>99.5339795151905</v>
      </c>
      <c r="E3300" s="18" t="n">
        <f aca="false">EXP(-'Black-Scholes'!$B$8*'Black-Scholes'!$B$7)*IF(LOWER('Black-Scholes'!$B$11)="put",MAX('Black-Scholes'!$B$6-C3300,0),MAX(C3300-'Black-Scholes'!$B$6,0))</f>
        <v>6.35498217465624</v>
      </c>
      <c r="F3300" s="18" t="n">
        <f aca="false">(E3300+G3300)/2</f>
        <v>3.17749108732812</v>
      </c>
      <c r="G3300" s="18" t="n">
        <f aca="false">EXP(-'Black-Scholes'!$B$8*'Black-Scholes'!$B$7)*IF(LOWER('Black-Scholes'!$B$11)="put",MAX('Black-Scholes'!$B$6-D3300,0),MAX(D3300-'Black-Scholes'!$B$6,0))</f>
        <v>0</v>
      </c>
    </row>
    <row r="3301" customFormat="false" ht="15" hidden="false" customHeight="false" outlineLevel="0" collapsed="false">
      <c r="A3301" s="0" t="n">
        <v>3290</v>
      </c>
      <c r="B3301" s="15" t="n">
        <v>-0.218414963417481</v>
      </c>
      <c r="C3301" s="18" t="n">
        <f aca="false">'Black-Scholes'!$B$5*EXP(('Black-Scholes'!$B$8-'Black-Scholes'!$B$10-'Black-Scholes'!$B$9^2/2)*'Black-Scholes'!$B$7+'Black-Scholes'!$B$9*SQRT('Black-Scholes'!$B$7)*B3301)</f>
        <v>98.6410193952681</v>
      </c>
      <c r="D3301" s="18" t="n">
        <f aca="false">'Black-Scholes'!$B$5*EXP(('Black-Scholes'!$B$8-'Black-Scholes'!$B$10-'Black-Scholes'!$B$9^2/2)*'Black-Scholes'!$B$7-'Black-Scholes'!$B$9*SQRT('Black-Scholes'!$B$7)*B3301)</f>
        <v>107.646550396082</v>
      </c>
      <c r="E3301" s="18" t="n">
        <f aca="false">EXP(-'Black-Scholes'!$B$8*'Black-Scholes'!$B$7)*IF(LOWER('Black-Scholes'!$B$11)="put",MAX('Black-Scholes'!$B$6-C3301,0),MAX(C3301-'Black-Scholes'!$B$6,0))</f>
        <v>0</v>
      </c>
      <c r="F3301" s="18" t="n">
        <f aca="false">(E3301+G3301)/2</f>
        <v>3.63681186634023</v>
      </c>
      <c r="G3301" s="18" t="n">
        <f aca="false">EXP(-'Black-Scholes'!$B$8*'Black-Scholes'!$B$7)*IF(LOWER('Black-Scholes'!$B$11)="put",MAX('Black-Scholes'!$B$6-D3301,0),MAX(D3301-'Black-Scholes'!$B$6,0))</f>
        <v>7.27362373268047</v>
      </c>
    </row>
    <row r="3302" customFormat="false" ht="15" hidden="false" customHeight="false" outlineLevel="0" collapsed="false">
      <c r="A3302" s="0" t="n">
        <v>3291</v>
      </c>
      <c r="B3302" s="15" t="n">
        <v>-0.408104710301618</v>
      </c>
      <c r="C3302" s="18" t="n">
        <f aca="false">'Black-Scholes'!$B$5*EXP(('Black-Scholes'!$B$8-'Black-Scholes'!$B$10-'Black-Scholes'!$B$9^2/2)*'Black-Scholes'!$B$7+'Black-Scholes'!$B$9*SQRT('Black-Scholes'!$B$7)*B3302)</f>
        <v>94.9688785697971</v>
      </c>
      <c r="D3302" s="18" t="n">
        <f aca="false">'Black-Scholes'!$B$5*EXP(('Black-Scholes'!$B$8-'Black-Scholes'!$B$10-'Black-Scholes'!$B$9^2/2)*'Black-Scholes'!$B$7-'Black-Scholes'!$B$9*SQRT('Black-Scholes'!$B$7)*B3302)</f>
        <v>111.808895981115</v>
      </c>
      <c r="E3302" s="18" t="n">
        <f aca="false">EXP(-'Black-Scholes'!$B$8*'Black-Scholes'!$B$7)*IF(LOWER('Black-Scholes'!$B$11)="put",MAX('Black-Scholes'!$B$6-C3302,0),MAX(C3302-'Black-Scholes'!$B$6,0))</f>
        <v>0</v>
      </c>
      <c r="F3302" s="18" t="n">
        <f aca="false">(E3302+G3302)/2</f>
        <v>5.61648466405249</v>
      </c>
      <c r="G3302" s="18" t="n">
        <f aca="false">EXP(-'Black-Scholes'!$B$8*'Black-Scholes'!$B$7)*IF(LOWER('Black-Scholes'!$B$11)="put",MAX('Black-Scholes'!$B$6-D3302,0),MAX(D3302-'Black-Scholes'!$B$6,0))</f>
        <v>11.232969328105</v>
      </c>
    </row>
    <row r="3303" customFormat="false" ht="15" hidden="false" customHeight="false" outlineLevel="0" collapsed="false">
      <c r="A3303" s="0" t="n">
        <v>3292</v>
      </c>
      <c r="B3303" s="15" t="n">
        <v>0.597270554603101</v>
      </c>
      <c r="C3303" s="18" t="n">
        <f aca="false">'Black-Scholes'!$B$5*EXP(('Black-Scholes'!$B$8-'Black-Scholes'!$B$10-'Black-Scholes'!$B$9^2/2)*'Black-Scholes'!$B$7+'Black-Scholes'!$B$9*SQRT('Black-Scholes'!$B$7)*B3303)</f>
        <v>116.120018318196</v>
      </c>
      <c r="D3303" s="18" t="n">
        <f aca="false">'Black-Scholes'!$B$5*EXP(('Black-Scholes'!$B$8-'Black-Scholes'!$B$10-'Black-Scholes'!$B$9^2/2)*'Black-Scholes'!$B$7-'Black-Scholes'!$B$9*SQRT('Black-Scholes'!$B$7)*B3303)</f>
        <v>91.4430226522764</v>
      </c>
      <c r="E3303" s="18" t="n">
        <f aca="false">EXP(-'Black-Scholes'!$B$8*'Black-Scholes'!$B$7)*IF(LOWER('Black-Scholes'!$B$11)="put",MAX('Black-Scholes'!$B$6-C3303,0),MAX(C3303-'Black-Scholes'!$B$6,0))</f>
        <v>15.333835747759</v>
      </c>
      <c r="F3303" s="18" t="n">
        <f aca="false">(E3303+G3303)/2</f>
        <v>7.6669178738795</v>
      </c>
      <c r="G3303" s="18" t="n">
        <f aca="false">EXP(-'Black-Scholes'!$B$8*'Black-Scholes'!$B$7)*IF(LOWER('Black-Scholes'!$B$11)="put",MAX('Black-Scholes'!$B$6-D3303,0),MAX(D3303-'Black-Scholes'!$B$6,0))</f>
        <v>0</v>
      </c>
    </row>
    <row r="3304" customFormat="false" ht="15" hidden="false" customHeight="false" outlineLevel="0" collapsed="false">
      <c r="A3304" s="0" t="n">
        <v>3293</v>
      </c>
      <c r="B3304" s="15" t="n">
        <v>-1.34038616003417</v>
      </c>
      <c r="C3304" s="18" t="n">
        <f aca="false">'Black-Scholes'!$B$5*EXP(('Black-Scholes'!$B$8-'Black-Scholes'!$B$10-'Black-Scholes'!$B$9^2/2)*'Black-Scholes'!$B$7+'Black-Scholes'!$B$9*SQRT('Black-Scholes'!$B$7)*B3304)</f>
        <v>78.8141818968813</v>
      </c>
      <c r="D3304" s="18" t="n">
        <f aca="false">'Black-Scholes'!$B$5*EXP(('Black-Scholes'!$B$8-'Black-Scholes'!$B$10-'Black-Scholes'!$B$9^2/2)*'Black-Scholes'!$B$7-'Black-Scholes'!$B$9*SQRT('Black-Scholes'!$B$7)*B3304)</f>
        <v>134.726583590583</v>
      </c>
      <c r="E3304" s="18" t="n">
        <f aca="false">EXP(-'Black-Scholes'!$B$8*'Black-Scholes'!$B$7)*IF(LOWER('Black-Scholes'!$B$11)="put",MAX('Black-Scholes'!$B$6-C3304,0),MAX(C3304-'Black-Scholes'!$B$6,0))</f>
        <v>0</v>
      </c>
      <c r="F3304" s="18" t="n">
        <f aca="false">(E3304+G3304)/2</f>
        <v>16.5164740618731</v>
      </c>
      <c r="G3304" s="18" t="n">
        <f aca="false">EXP(-'Black-Scholes'!$B$8*'Black-Scholes'!$B$7)*IF(LOWER('Black-Scholes'!$B$11)="put",MAX('Black-Scholes'!$B$6-D3304,0),MAX(D3304-'Black-Scholes'!$B$6,0))</f>
        <v>33.0329481237462</v>
      </c>
    </row>
    <row r="3305" customFormat="false" ht="15" hidden="false" customHeight="false" outlineLevel="0" collapsed="false">
      <c r="A3305" s="0" t="n">
        <v>3294</v>
      </c>
      <c r="B3305" s="15" t="n">
        <v>0.276925065384133</v>
      </c>
      <c r="C3305" s="18" t="n">
        <f aca="false">'Black-Scholes'!$B$5*EXP(('Black-Scholes'!$B$8-'Black-Scholes'!$B$10-'Black-Scholes'!$B$9^2/2)*'Black-Scholes'!$B$7+'Black-Scholes'!$B$9*SQRT('Black-Scholes'!$B$7)*B3305)</f>
        <v>108.913631770942</v>
      </c>
      <c r="D3305" s="18" t="n">
        <f aca="false">'Black-Scholes'!$B$5*EXP(('Black-Scholes'!$B$8-'Black-Scholes'!$B$10-'Black-Scholes'!$B$9^2/2)*'Black-Scholes'!$B$7-'Black-Scholes'!$B$9*SQRT('Black-Scholes'!$B$7)*B3305)</f>
        <v>97.4934477236533</v>
      </c>
      <c r="E3305" s="18" t="n">
        <f aca="false">EXP(-'Black-Scholes'!$B$8*'Black-Scholes'!$B$7)*IF(LOWER('Black-Scholes'!$B$11)="put",MAX('Black-Scholes'!$B$6-C3305,0),MAX(C3305-'Black-Scholes'!$B$6,0))</f>
        <v>8.47890881968479</v>
      </c>
      <c r="F3305" s="18" t="n">
        <f aca="false">(E3305+G3305)/2</f>
        <v>4.2394544098424</v>
      </c>
      <c r="G3305" s="18" t="n">
        <f aca="false">EXP(-'Black-Scholes'!$B$8*'Black-Scholes'!$B$7)*IF(LOWER('Black-Scholes'!$B$11)="put",MAX('Black-Scholes'!$B$6-D3305,0),MAX(D3305-'Black-Scholes'!$B$6,0))</f>
        <v>0</v>
      </c>
    </row>
    <row r="3306" customFormat="false" ht="15" hidden="false" customHeight="false" outlineLevel="0" collapsed="false">
      <c r="A3306" s="0" t="n">
        <v>3295</v>
      </c>
      <c r="B3306" s="15" t="n">
        <v>0.969017955596566</v>
      </c>
      <c r="C3306" s="18" t="n">
        <f aca="false">'Black-Scholes'!$B$5*EXP(('Black-Scholes'!$B$8-'Black-Scholes'!$B$10-'Black-Scholes'!$B$9^2/2)*'Black-Scholes'!$B$7+'Black-Scholes'!$B$9*SQRT('Black-Scholes'!$B$7)*B3306)</f>
        <v>125.082532209914</v>
      </c>
      <c r="D3306" s="18" t="n">
        <f aca="false">'Black-Scholes'!$B$5*EXP(('Black-Scholes'!$B$8-'Black-Scholes'!$B$10-'Black-Scholes'!$B$9^2/2)*'Black-Scholes'!$B$7-'Black-Scholes'!$B$9*SQRT('Black-Scholes'!$B$7)*B3306)</f>
        <v>84.8908738722514</v>
      </c>
      <c r="E3306" s="18" t="n">
        <f aca="false">EXP(-'Black-Scholes'!$B$8*'Black-Scholes'!$B$7)*IF(LOWER('Black-Scholes'!$B$11)="put",MAX('Black-Scholes'!$B$6-C3306,0),MAX(C3306-'Black-Scholes'!$B$6,0))</f>
        <v>23.8592426790567</v>
      </c>
      <c r="F3306" s="18" t="n">
        <f aca="false">(E3306+G3306)/2</f>
        <v>11.9296213395283</v>
      </c>
      <c r="G3306" s="18" t="n">
        <f aca="false">EXP(-'Black-Scholes'!$B$8*'Black-Scholes'!$B$7)*IF(LOWER('Black-Scholes'!$B$11)="put",MAX('Black-Scholes'!$B$6-D3306,0),MAX(D3306-'Black-Scholes'!$B$6,0))</f>
        <v>0</v>
      </c>
    </row>
    <row r="3307" customFormat="false" ht="15" hidden="false" customHeight="false" outlineLevel="0" collapsed="false">
      <c r="A3307" s="0" t="n">
        <v>3296</v>
      </c>
      <c r="B3307" s="15" t="n">
        <v>0.796595522427506</v>
      </c>
      <c r="C3307" s="18" t="n">
        <f aca="false">'Black-Scholes'!$B$5*EXP(('Black-Scholes'!$B$8-'Black-Scholes'!$B$10-'Black-Scholes'!$B$9^2/2)*'Black-Scholes'!$B$7+'Black-Scholes'!$B$9*SQRT('Black-Scholes'!$B$7)*B3307)</f>
        <v>120.842650528205</v>
      </c>
      <c r="D3307" s="18" t="n">
        <f aca="false">'Black-Scholes'!$B$5*EXP(('Black-Scholes'!$B$8-'Black-Scholes'!$B$10-'Black-Scholes'!$B$9^2/2)*'Black-Scholes'!$B$7-'Black-Scholes'!$B$9*SQRT('Black-Scholes'!$B$7)*B3307)</f>
        <v>87.8693525757716</v>
      </c>
      <c r="E3307" s="18" t="n">
        <f aca="false">EXP(-'Black-Scholes'!$B$8*'Black-Scholes'!$B$7)*IF(LOWER('Black-Scholes'!$B$11)="put",MAX('Black-Scholes'!$B$6-C3307,0),MAX(C3307-'Black-Scholes'!$B$6,0))</f>
        <v>19.826142467014</v>
      </c>
      <c r="F3307" s="18" t="n">
        <f aca="false">(E3307+G3307)/2</f>
        <v>9.91307123350698</v>
      </c>
      <c r="G3307" s="18" t="n">
        <f aca="false">EXP(-'Black-Scholes'!$B$8*'Black-Scholes'!$B$7)*IF(LOWER('Black-Scholes'!$B$11)="put",MAX('Black-Scholes'!$B$6-D3307,0),MAX(D3307-'Black-Scholes'!$B$6,0))</f>
        <v>0</v>
      </c>
    </row>
    <row r="3308" customFormat="false" ht="15" hidden="false" customHeight="false" outlineLevel="0" collapsed="false">
      <c r="A3308" s="0" t="n">
        <v>3297</v>
      </c>
      <c r="B3308" s="15" t="n">
        <v>-0.217639916883224</v>
      </c>
      <c r="C3308" s="18" t="n">
        <f aca="false">'Black-Scholes'!$B$5*EXP(('Black-Scholes'!$B$8-'Black-Scholes'!$B$10-'Black-Scholes'!$B$9^2/2)*'Black-Scholes'!$B$7+'Black-Scholes'!$B$9*SQRT('Black-Scholes'!$B$7)*B3308)</f>
        <v>98.6563108564405</v>
      </c>
      <c r="D3308" s="18" t="n">
        <f aca="false">'Black-Scholes'!$B$5*EXP(('Black-Scholes'!$B$8-'Black-Scholes'!$B$10-'Black-Scholes'!$B$9^2/2)*'Black-Scholes'!$B$7-'Black-Scholes'!$B$9*SQRT('Black-Scholes'!$B$7)*B3308)</f>
        <v>107.629865472112</v>
      </c>
      <c r="E3308" s="18" t="n">
        <f aca="false">EXP(-'Black-Scholes'!$B$8*'Black-Scholes'!$B$7)*IF(LOWER('Black-Scholes'!$B$11)="put",MAX('Black-Scholes'!$B$6-C3308,0),MAX(C3308-'Black-Scholes'!$B$6,0))</f>
        <v>0</v>
      </c>
      <c r="F3308" s="18" t="n">
        <f aca="false">(E3308+G3308)/2</f>
        <v>3.6288762710277</v>
      </c>
      <c r="G3308" s="18" t="n">
        <f aca="false">EXP(-'Black-Scholes'!$B$8*'Black-Scholes'!$B$7)*IF(LOWER('Black-Scholes'!$B$11)="put",MAX('Black-Scholes'!$B$6-D3308,0),MAX(D3308-'Black-Scholes'!$B$6,0))</f>
        <v>7.2577525420554</v>
      </c>
    </row>
    <row r="3309" customFormat="false" ht="15" hidden="false" customHeight="false" outlineLevel="0" collapsed="false">
      <c r="A3309" s="0" t="n">
        <v>3298</v>
      </c>
      <c r="B3309" s="15" t="n">
        <v>-0.189864871052257</v>
      </c>
      <c r="C3309" s="18" t="n">
        <f aca="false">'Black-Scholes'!$B$5*EXP(('Black-Scholes'!$B$8-'Black-Scholes'!$B$10-'Black-Scholes'!$B$9^2/2)*'Black-Scholes'!$B$7+'Black-Scholes'!$B$9*SQRT('Black-Scholes'!$B$7)*B3309)</f>
        <v>99.2058725645106</v>
      </c>
      <c r="D3309" s="18" t="n">
        <f aca="false">'Black-Scholes'!$B$5*EXP(('Black-Scholes'!$B$8-'Black-Scholes'!$B$10-'Black-Scholes'!$B$9^2/2)*'Black-Scholes'!$B$7-'Black-Scholes'!$B$9*SQRT('Black-Scholes'!$B$7)*B3309)</f>
        <v>107.03363814021</v>
      </c>
      <c r="E3309" s="18" t="n">
        <f aca="false">EXP(-'Black-Scholes'!$B$8*'Black-Scholes'!$B$7)*IF(LOWER('Black-Scholes'!$B$11)="put",MAX('Black-Scholes'!$B$6-C3309,0),MAX(C3309-'Black-Scholes'!$B$6,0))</f>
        <v>0</v>
      </c>
      <c r="F3309" s="18" t="n">
        <f aca="false">(E3309+G3309)/2</f>
        <v>3.345301780129</v>
      </c>
      <c r="G3309" s="18" t="n">
        <f aca="false">EXP(-'Black-Scholes'!$B$8*'Black-Scholes'!$B$7)*IF(LOWER('Black-Scholes'!$B$11)="put",MAX('Black-Scholes'!$B$6-D3309,0),MAX(D3309-'Black-Scholes'!$B$6,0))</f>
        <v>6.690603560258</v>
      </c>
    </row>
    <row r="3310" customFormat="false" ht="15" hidden="false" customHeight="false" outlineLevel="0" collapsed="false">
      <c r="A3310" s="0" t="n">
        <v>3299</v>
      </c>
      <c r="B3310" s="15" t="n">
        <v>0.121929906904447</v>
      </c>
      <c r="C3310" s="18" t="n">
        <f aca="false">'Black-Scholes'!$B$5*EXP(('Black-Scholes'!$B$8-'Black-Scholes'!$B$10-'Black-Scholes'!$B$9^2/2)*'Black-Scholes'!$B$7+'Black-Scholes'!$B$9*SQRT('Black-Scholes'!$B$7)*B3310)</f>
        <v>105.589207819335</v>
      </c>
      <c r="D3310" s="18" t="n">
        <f aca="false">'Black-Scholes'!$B$5*EXP(('Black-Scholes'!$B$8-'Black-Scholes'!$B$10-'Black-Scholes'!$B$9^2/2)*'Black-Scholes'!$B$7-'Black-Scholes'!$B$9*SQRT('Black-Scholes'!$B$7)*B3310)</f>
        <v>100.562980675277</v>
      </c>
      <c r="E3310" s="18" t="n">
        <f aca="false">EXP(-'Black-Scholes'!$B$8*'Black-Scholes'!$B$7)*IF(LOWER('Black-Scholes'!$B$11)="put",MAX('Black-Scholes'!$B$6-C3310,0),MAX(C3310-'Black-Scholes'!$B$6,0))</f>
        <v>5.31661893740098</v>
      </c>
      <c r="F3310" s="18" t="n">
        <f aca="false">(E3310+G3310)/2</f>
        <v>2.92607136057486</v>
      </c>
      <c r="G3310" s="18" t="n">
        <f aca="false">EXP(-'Black-Scholes'!$B$8*'Black-Scholes'!$B$7)*IF(LOWER('Black-Scholes'!$B$11)="put",MAX('Black-Scholes'!$B$6-D3310,0),MAX(D3310-'Black-Scholes'!$B$6,0))</f>
        <v>0.535523783748741</v>
      </c>
    </row>
    <row r="3311" customFormat="false" ht="15" hidden="false" customHeight="false" outlineLevel="0" collapsed="false">
      <c r="A3311" s="0" t="n">
        <v>3300</v>
      </c>
      <c r="B3311" s="15" t="n">
        <v>1.82300853989545</v>
      </c>
      <c r="C3311" s="18" t="n">
        <f aca="false">'Black-Scholes'!$B$5*EXP(('Black-Scholes'!$B$8-'Black-Scholes'!$B$10-'Black-Scholes'!$B$9^2/2)*'Black-Scholes'!$B$7+'Black-Scholes'!$B$9*SQRT('Black-Scholes'!$B$7)*B3311)</f>
        <v>148.379309026486</v>
      </c>
      <c r="D3311" s="18" t="n">
        <f aca="false">'Black-Scholes'!$B$5*EXP(('Black-Scholes'!$B$8-'Black-Scholes'!$B$10-'Black-Scholes'!$B$9^2/2)*'Black-Scholes'!$B$7-'Black-Scholes'!$B$9*SQRT('Black-Scholes'!$B$7)*B3311)</f>
        <v>71.5623056551519</v>
      </c>
      <c r="E3311" s="18" t="n">
        <f aca="false">EXP(-'Black-Scholes'!$B$8*'Black-Scholes'!$B$7)*IF(LOWER('Black-Scholes'!$B$11)="put",MAX('Black-Scholes'!$B$6-C3311,0),MAX(C3311-'Black-Scholes'!$B$6,0))</f>
        <v>46.0198222830061</v>
      </c>
      <c r="F3311" s="18" t="n">
        <f aca="false">(E3311+G3311)/2</f>
        <v>23.0099111415031</v>
      </c>
      <c r="G3311" s="18" t="n">
        <f aca="false">EXP(-'Black-Scholes'!$B$8*'Black-Scholes'!$B$7)*IF(LOWER('Black-Scholes'!$B$11)="put",MAX('Black-Scholes'!$B$6-D3311,0),MAX(D3311-'Black-Scholes'!$B$6,0))</f>
        <v>0</v>
      </c>
    </row>
    <row r="3312" customFormat="false" ht="15" hidden="false" customHeight="false" outlineLevel="0" collapsed="false">
      <c r="A3312" s="0" t="n">
        <v>3301</v>
      </c>
      <c r="B3312" s="15" t="n">
        <v>0.742152105439934</v>
      </c>
      <c r="C3312" s="18" t="n">
        <f aca="false">'Black-Scholes'!$B$5*EXP(('Black-Scholes'!$B$8-'Black-Scholes'!$B$10-'Black-Scholes'!$B$9^2/2)*'Black-Scholes'!$B$7+'Black-Scholes'!$B$9*SQRT('Black-Scholes'!$B$7)*B3312)</f>
        <v>119.533970994345</v>
      </c>
      <c r="D3312" s="18" t="n">
        <f aca="false">'Black-Scholes'!$B$5*EXP(('Black-Scholes'!$B$8-'Black-Scholes'!$B$10-'Black-Scholes'!$B$9^2/2)*'Black-Scholes'!$B$7-'Black-Scholes'!$B$9*SQRT('Black-Scholes'!$B$7)*B3312)</f>
        <v>88.8313621401895</v>
      </c>
      <c r="E3312" s="18" t="n">
        <f aca="false">EXP(-'Black-Scholes'!$B$8*'Black-Scholes'!$B$7)*IF(LOWER('Black-Scholes'!$B$11)="put",MAX('Black-Scholes'!$B$6-C3312,0),MAX(C3312-'Black-Scholes'!$B$6,0))</f>
        <v>18.5812879871647</v>
      </c>
      <c r="F3312" s="18" t="n">
        <f aca="false">(E3312+G3312)/2</f>
        <v>9.29064399358236</v>
      </c>
      <c r="G3312" s="18" t="n">
        <f aca="false">EXP(-'Black-Scholes'!$B$8*'Black-Scholes'!$B$7)*IF(LOWER('Black-Scholes'!$B$11)="put",MAX('Black-Scholes'!$B$6-D3312,0),MAX(D3312-'Black-Scholes'!$B$6,0))</f>
        <v>0</v>
      </c>
    </row>
    <row r="3313" customFormat="false" ht="15" hidden="false" customHeight="false" outlineLevel="0" collapsed="false">
      <c r="A3313" s="0" t="n">
        <v>3302</v>
      </c>
      <c r="B3313" s="15" t="n">
        <v>-0.861956849092848</v>
      </c>
      <c r="C3313" s="18" t="n">
        <f aca="false">'Black-Scholes'!$B$5*EXP(('Black-Scholes'!$B$8-'Black-Scholes'!$B$10-'Black-Scholes'!$B$9^2/2)*'Black-Scholes'!$B$7+'Black-Scholes'!$B$9*SQRT('Black-Scholes'!$B$7)*B3313)</f>
        <v>86.7281762150428</v>
      </c>
      <c r="D3313" s="18" t="n">
        <f aca="false">'Black-Scholes'!$B$5*EXP(('Black-Scholes'!$B$8-'Black-Scholes'!$B$10-'Black-Scholes'!$B$9^2/2)*'Black-Scholes'!$B$7-'Black-Scholes'!$B$9*SQRT('Black-Scholes'!$B$7)*B3313)</f>
        <v>122.432707902508</v>
      </c>
      <c r="E3313" s="18" t="n">
        <f aca="false">EXP(-'Black-Scholes'!$B$8*'Black-Scholes'!$B$7)*IF(LOWER('Black-Scholes'!$B$11)="put",MAX('Black-Scholes'!$B$6-C3313,0),MAX(C3313-'Black-Scholes'!$B$6,0))</f>
        <v>0</v>
      </c>
      <c r="F3313" s="18" t="n">
        <f aca="false">(E3313+G3313)/2</f>
        <v>10.6693259140478</v>
      </c>
      <c r="G3313" s="18" t="n">
        <f aca="false">EXP(-'Black-Scholes'!$B$8*'Black-Scholes'!$B$7)*IF(LOWER('Black-Scholes'!$B$11)="put",MAX('Black-Scholes'!$B$6-D3313,0),MAX(D3313-'Black-Scholes'!$B$6,0))</f>
        <v>21.3386518280956</v>
      </c>
    </row>
    <row r="3314" customFormat="false" ht="15" hidden="false" customHeight="false" outlineLevel="0" collapsed="false">
      <c r="A3314" s="0" t="n">
        <v>3303</v>
      </c>
      <c r="B3314" s="15" t="n">
        <v>2.37582370734049</v>
      </c>
      <c r="C3314" s="18" t="n">
        <f aca="false">'Black-Scholes'!$B$5*EXP(('Black-Scholes'!$B$8-'Black-Scholes'!$B$10-'Black-Scholes'!$B$9^2/2)*'Black-Scholes'!$B$7+'Black-Scholes'!$B$9*SQRT('Black-Scholes'!$B$7)*B3314)</f>
        <v>165.725851717443</v>
      </c>
      <c r="D3314" s="18" t="n">
        <f aca="false">'Black-Scholes'!$B$5*EXP(('Black-Scholes'!$B$8-'Black-Scholes'!$B$10-'Black-Scholes'!$B$9^2/2)*'Black-Scholes'!$B$7-'Black-Scholes'!$B$9*SQRT('Black-Scholes'!$B$7)*B3314)</f>
        <v>64.0718714395721</v>
      </c>
      <c r="E3314" s="18" t="n">
        <f aca="false">EXP(-'Black-Scholes'!$B$8*'Black-Scholes'!$B$7)*IF(LOWER('Black-Scholes'!$B$11)="put",MAX('Black-Scholes'!$B$6-C3314,0),MAX(C3314-'Black-Scholes'!$B$6,0))</f>
        <v>62.5203641040026</v>
      </c>
      <c r="F3314" s="18" t="n">
        <f aca="false">(E3314+G3314)/2</f>
        <v>31.2601820520013</v>
      </c>
      <c r="G3314" s="18" t="n">
        <f aca="false">EXP(-'Black-Scholes'!$B$8*'Black-Scholes'!$B$7)*IF(LOWER('Black-Scholes'!$B$11)="put",MAX('Black-Scholes'!$B$6-D3314,0),MAX(D3314-'Black-Scholes'!$B$6,0))</f>
        <v>0</v>
      </c>
    </row>
    <row r="3315" customFormat="false" ht="15" hidden="false" customHeight="false" outlineLevel="0" collapsed="false">
      <c r="A3315" s="0" t="n">
        <v>3304</v>
      </c>
      <c r="B3315" s="15" t="n">
        <v>0.686333020371926</v>
      </c>
      <c r="C3315" s="18" t="n">
        <f aca="false">'Black-Scholes'!$B$5*EXP(('Black-Scholes'!$B$8-'Black-Scholes'!$B$10-'Black-Scholes'!$B$9^2/2)*'Black-Scholes'!$B$7+'Black-Scholes'!$B$9*SQRT('Black-Scholes'!$B$7)*B3315)</f>
        <v>118.206936781235</v>
      </c>
      <c r="D3315" s="18" t="n">
        <f aca="false">'Black-Scholes'!$B$5*EXP(('Black-Scholes'!$B$8-'Black-Scholes'!$B$10-'Black-Scholes'!$B$9^2/2)*'Black-Scholes'!$B$7-'Black-Scholes'!$B$9*SQRT('Black-Scholes'!$B$7)*B3315)</f>
        <v>89.8286154314693</v>
      </c>
      <c r="E3315" s="18" t="n">
        <f aca="false">EXP(-'Black-Scholes'!$B$8*'Black-Scholes'!$B$7)*IF(LOWER('Black-Scholes'!$B$11)="put",MAX('Black-Scholes'!$B$6-C3315,0),MAX(C3315-'Black-Scholes'!$B$6,0))</f>
        <v>17.3189739963354</v>
      </c>
      <c r="F3315" s="18" t="n">
        <f aca="false">(E3315+G3315)/2</f>
        <v>8.65948699816772</v>
      </c>
      <c r="G3315" s="18" t="n">
        <f aca="false">EXP(-'Black-Scholes'!$B$8*'Black-Scholes'!$B$7)*IF(LOWER('Black-Scholes'!$B$11)="put",MAX('Black-Scholes'!$B$6-D3315,0),MAX(D3315-'Black-Scholes'!$B$6,0))</f>
        <v>0</v>
      </c>
    </row>
    <row r="3316" customFormat="false" ht="15" hidden="false" customHeight="false" outlineLevel="0" collapsed="false">
      <c r="A3316" s="0" t="n">
        <v>3305</v>
      </c>
      <c r="B3316" s="15" t="n">
        <v>0.0176219961434428</v>
      </c>
      <c r="C3316" s="18" t="n">
        <f aca="false">'Black-Scholes'!$B$5*EXP(('Black-Scholes'!$B$8-'Black-Scholes'!$B$10-'Black-Scholes'!$B$9^2/2)*'Black-Scholes'!$B$7+'Black-Scholes'!$B$9*SQRT('Black-Scholes'!$B$7)*B3316)</f>
        <v>103.409267448212</v>
      </c>
      <c r="D3316" s="18" t="n">
        <f aca="false">'Black-Scholes'!$B$5*EXP(('Black-Scholes'!$B$8-'Black-Scholes'!$B$10-'Black-Scholes'!$B$9^2/2)*'Black-Scholes'!$B$7-'Black-Scholes'!$B$9*SQRT('Black-Scholes'!$B$7)*B3316)</f>
        <v>102.682919311573</v>
      </c>
      <c r="E3316" s="18" t="n">
        <f aca="false">EXP(-'Black-Scholes'!$B$8*'Black-Scholes'!$B$7)*IF(LOWER('Black-Scholes'!$B$11)="put",MAX('Black-Scholes'!$B$6-C3316,0),MAX(C3316-'Black-Scholes'!$B$6,0))</f>
        <v>3.24299551273189</v>
      </c>
      <c r="F3316" s="18" t="n">
        <f aca="false">(E3316+G3316)/2</f>
        <v>2.89753365273045</v>
      </c>
      <c r="G3316" s="18" t="n">
        <f aca="false">EXP(-'Black-Scholes'!$B$8*'Black-Scholes'!$B$7)*IF(LOWER('Black-Scholes'!$B$11)="put",MAX('Black-Scholes'!$B$6-D3316,0),MAX(D3316-'Black-Scholes'!$B$6,0))</f>
        <v>2.55207179272902</v>
      </c>
    </row>
    <row r="3317" customFormat="false" ht="15" hidden="false" customHeight="false" outlineLevel="0" collapsed="false">
      <c r="A3317" s="0" t="n">
        <v>3306</v>
      </c>
      <c r="B3317" s="15" t="n">
        <v>-1.71448904754105</v>
      </c>
      <c r="C3317" s="18" t="n">
        <f aca="false">'Black-Scholes'!$B$5*EXP(('Black-Scholes'!$B$8-'Black-Scholes'!$B$10-'Black-Scholes'!$B$9^2/2)*'Black-Scholes'!$B$7+'Black-Scholes'!$B$9*SQRT('Black-Scholes'!$B$7)*B3317)</f>
        <v>73.1324643175382</v>
      </c>
      <c r="D3317" s="18" t="n">
        <f aca="false">'Black-Scholes'!$B$5*EXP(('Black-Scholes'!$B$8-'Black-Scholes'!$B$10-'Black-Scholes'!$B$9^2/2)*'Black-Scholes'!$B$7-'Black-Scholes'!$B$9*SQRT('Black-Scholes'!$B$7)*B3317)</f>
        <v>145.193595820169</v>
      </c>
      <c r="E3317" s="18" t="n">
        <f aca="false">EXP(-'Black-Scholes'!$B$8*'Black-Scholes'!$B$7)*IF(LOWER('Black-Scholes'!$B$11)="put",MAX('Black-Scholes'!$B$6-C3317,0),MAX(C3317-'Black-Scholes'!$B$6,0))</f>
        <v>0</v>
      </c>
      <c r="F3317" s="18" t="n">
        <f aca="false">(E3317+G3317)/2</f>
        <v>21.4947390715688</v>
      </c>
      <c r="G3317" s="18" t="n">
        <f aca="false">EXP(-'Black-Scholes'!$B$8*'Black-Scholes'!$B$7)*IF(LOWER('Black-Scholes'!$B$11)="put",MAX('Black-Scholes'!$B$6-D3317,0),MAX(D3317-'Black-Scholes'!$B$6,0))</f>
        <v>42.9894781431375</v>
      </c>
    </row>
    <row r="3318" customFormat="false" ht="15" hidden="false" customHeight="false" outlineLevel="0" collapsed="false">
      <c r="A3318" s="0" t="n">
        <v>3307</v>
      </c>
      <c r="B3318" s="15" t="n">
        <v>2.51273840996022</v>
      </c>
      <c r="C3318" s="18" t="n">
        <f aca="false">'Black-Scholes'!$B$5*EXP(('Black-Scholes'!$B$8-'Black-Scholes'!$B$10-'Black-Scholes'!$B$9^2/2)*'Black-Scholes'!$B$7+'Black-Scholes'!$B$9*SQRT('Black-Scholes'!$B$7)*B3318)</f>
        <v>170.32661661682</v>
      </c>
      <c r="D3318" s="18" t="n">
        <f aca="false">'Black-Scholes'!$B$5*EXP(('Black-Scholes'!$B$8-'Black-Scholes'!$B$10-'Black-Scholes'!$B$9^2/2)*'Black-Scholes'!$B$7-'Black-Scholes'!$B$9*SQRT('Black-Scholes'!$B$7)*B3318)</f>
        <v>62.3411987883346</v>
      </c>
      <c r="E3318" s="18" t="n">
        <f aca="false">EXP(-'Black-Scholes'!$B$8*'Black-Scholes'!$B$7)*IF(LOWER('Black-Scholes'!$B$11)="put",MAX('Black-Scholes'!$B$6-C3318,0),MAX(C3318-'Black-Scholes'!$B$6,0))</f>
        <v>66.8967470514997</v>
      </c>
      <c r="F3318" s="18" t="n">
        <f aca="false">(E3318+G3318)/2</f>
        <v>33.4483735257498</v>
      </c>
      <c r="G3318" s="18" t="n">
        <f aca="false">EXP(-'Black-Scholes'!$B$8*'Black-Scholes'!$B$7)*IF(LOWER('Black-Scholes'!$B$11)="put",MAX('Black-Scholes'!$B$6-D3318,0),MAX(D3318-'Black-Scholes'!$B$6,0))</f>
        <v>0</v>
      </c>
    </row>
    <row r="3319" customFormat="false" ht="15" hidden="false" customHeight="false" outlineLevel="0" collapsed="false">
      <c r="A3319" s="0" t="n">
        <v>3308</v>
      </c>
      <c r="B3319" s="15" t="n">
        <v>-0.569042162008535</v>
      </c>
      <c r="C3319" s="18" t="n">
        <f aca="false">'Black-Scholes'!$B$5*EXP(('Black-Scholes'!$B$8-'Black-Scholes'!$B$10-'Black-Scholes'!$B$9^2/2)*'Black-Scholes'!$B$7+'Black-Scholes'!$B$9*SQRT('Black-Scholes'!$B$7)*B3319)</f>
        <v>91.9607406204438</v>
      </c>
      <c r="D3319" s="18" t="n">
        <f aca="false">'Black-Scholes'!$B$5*EXP(('Black-Scholes'!$B$8-'Black-Scholes'!$B$10-'Black-Scholes'!$B$9^2/2)*'Black-Scholes'!$B$7-'Black-Scholes'!$B$9*SQRT('Black-Scholes'!$B$7)*B3319)</f>
        <v>115.466289133964</v>
      </c>
      <c r="E3319" s="18" t="n">
        <f aca="false">EXP(-'Black-Scholes'!$B$8*'Black-Scholes'!$B$7)*IF(LOWER('Black-Scholes'!$B$11)="put",MAX('Black-Scholes'!$B$6-C3319,0),MAX(C3319-'Black-Scholes'!$B$6,0))</f>
        <v>0</v>
      </c>
      <c r="F3319" s="18" t="n">
        <f aca="false">(E3319+G3319)/2</f>
        <v>7.3559946560309</v>
      </c>
      <c r="G3319" s="18" t="n">
        <f aca="false">EXP(-'Black-Scholes'!$B$8*'Black-Scholes'!$B$7)*IF(LOWER('Black-Scholes'!$B$11)="put",MAX('Black-Scholes'!$B$6-D3319,0),MAX(D3319-'Black-Scholes'!$B$6,0))</f>
        <v>14.7119893120618</v>
      </c>
    </row>
    <row r="3320" customFormat="false" ht="15" hidden="false" customHeight="false" outlineLevel="0" collapsed="false">
      <c r="A3320" s="0" t="n">
        <v>3309</v>
      </c>
      <c r="B3320" s="15" t="n">
        <v>0.103223630224169</v>
      </c>
      <c r="C3320" s="18" t="n">
        <f aca="false">'Black-Scholes'!$B$5*EXP(('Black-Scholes'!$B$8-'Black-Scholes'!$B$10-'Black-Scholes'!$B$9^2/2)*'Black-Scholes'!$B$7+'Black-Scholes'!$B$9*SQRT('Black-Scholes'!$B$7)*B3320)</f>
        <v>105.194909677081</v>
      </c>
      <c r="D3320" s="18" t="n">
        <f aca="false">'Black-Scholes'!$B$5*EXP(('Black-Scholes'!$B$8-'Black-Scholes'!$B$10-'Black-Scholes'!$B$9^2/2)*'Black-Scholes'!$B$7-'Black-Scholes'!$B$9*SQRT('Black-Scholes'!$B$7)*B3320)</f>
        <v>100.939917131437</v>
      </c>
      <c r="E3320" s="18" t="n">
        <f aca="false">EXP(-'Black-Scholes'!$B$8*'Black-Scholes'!$B$7)*IF(LOWER('Black-Scholes'!$B$11)="put",MAX('Black-Scholes'!$B$6-C3320,0),MAX(C3320-'Black-Scholes'!$B$6,0))</f>
        <v>4.94155094246294</v>
      </c>
      <c r="F3320" s="18" t="n">
        <f aca="false">(E3320+G3320)/2</f>
        <v>2.91781388723925</v>
      </c>
      <c r="G3320" s="18" t="n">
        <f aca="false">EXP(-'Black-Scholes'!$B$8*'Black-Scholes'!$B$7)*IF(LOWER('Black-Scholes'!$B$11)="put",MAX('Black-Scholes'!$B$6-D3320,0),MAX(D3320-'Black-Scholes'!$B$6,0))</f>
        <v>0.894076832015557</v>
      </c>
    </row>
    <row r="3321" customFormat="false" ht="15" hidden="false" customHeight="false" outlineLevel="0" collapsed="false">
      <c r="A3321" s="0" t="n">
        <v>3310</v>
      </c>
      <c r="B3321" s="15" t="n">
        <v>1.27331446786278</v>
      </c>
      <c r="C3321" s="18" t="n">
        <f aca="false">'Black-Scholes'!$B$5*EXP(('Black-Scholes'!$B$8-'Black-Scholes'!$B$10-'Black-Scholes'!$B$9^2/2)*'Black-Scholes'!$B$7+'Black-Scholes'!$B$9*SQRT('Black-Scholes'!$B$7)*B3321)</f>
        <v>132.931383234391</v>
      </c>
      <c r="D3321" s="18" t="n">
        <f aca="false">'Black-Scholes'!$B$5*EXP(('Black-Scholes'!$B$8-'Black-Scholes'!$B$10-'Black-Scholes'!$B$9^2/2)*'Black-Scholes'!$B$7-'Black-Scholes'!$B$9*SQRT('Black-Scholes'!$B$7)*B3321)</f>
        <v>79.8785449086227</v>
      </c>
      <c r="E3321" s="18" t="n">
        <f aca="false">EXP(-'Black-Scholes'!$B$8*'Black-Scholes'!$B$7)*IF(LOWER('Black-Scholes'!$B$11)="put",MAX('Black-Scholes'!$B$6-C3321,0),MAX(C3321-'Black-Scholes'!$B$6,0))</f>
        <v>31.3253007220618</v>
      </c>
      <c r="F3321" s="18" t="n">
        <f aca="false">(E3321+G3321)/2</f>
        <v>15.6626503610309</v>
      </c>
      <c r="G3321" s="18" t="n">
        <f aca="false">EXP(-'Black-Scholes'!$B$8*'Black-Scholes'!$B$7)*IF(LOWER('Black-Scholes'!$B$11)="put",MAX('Black-Scholes'!$B$6-D3321,0),MAX(D3321-'Black-Scholes'!$B$6,0))</f>
        <v>0</v>
      </c>
    </row>
    <row r="3322" customFormat="false" ht="15" hidden="false" customHeight="false" outlineLevel="0" collapsed="false">
      <c r="A3322" s="0" t="n">
        <v>3311</v>
      </c>
      <c r="B3322" s="15" t="n">
        <v>0.370877480786284</v>
      </c>
      <c r="C3322" s="18" t="n">
        <f aca="false">'Black-Scholes'!$B$5*EXP(('Black-Scholes'!$B$8-'Black-Scholes'!$B$10-'Black-Scholes'!$B$9^2/2)*'Black-Scholes'!$B$7+'Black-Scholes'!$B$9*SQRT('Black-Scholes'!$B$7)*B3322)</f>
        <v>110.979520261975</v>
      </c>
      <c r="D3322" s="18" t="n">
        <f aca="false">'Black-Scholes'!$B$5*EXP(('Black-Scholes'!$B$8-'Black-Scholes'!$B$10-'Black-Scholes'!$B$9^2/2)*'Black-Scholes'!$B$7-'Black-Scholes'!$B$9*SQRT('Black-Scholes'!$B$7)*B3322)</f>
        <v>95.6786030466542</v>
      </c>
      <c r="E3322" s="18" t="n">
        <f aca="false">EXP(-'Black-Scholes'!$B$8*'Black-Scholes'!$B$7)*IF(LOWER('Black-Scholes'!$B$11)="put",MAX('Black-Scholes'!$B$6-C3322,0),MAX(C3322-'Black-Scholes'!$B$6,0))</f>
        <v>10.4440427400922</v>
      </c>
      <c r="F3322" s="18" t="n">
        <f aca="false">(E3322+G3322)/2</f>
        <v>5.2220213700461</v>
      </c>
      <c r="G3322" s="18" t="n">
        <f aca="false">EXP(-'Black-Scholes'!$B$8*'Black-Scholes'!$B$7)*IF(LOWER('Black-Scholes'!$B$11)="put",MAX('Black-Scholes'!$B$6-D3322,0),MAX(D3322-'Black-Scholes'!$B$6,0))</f>
        <v>0</v>
      </c>
    </row>
    <row r="3323" customFormat="false" ht="15" hidden="false" customHeight="false" outlineLevel="0" collapsed="false">
      <c r="A3323" s="0" t="n">
        <v>3312</v>
      </c>
      <c r="B3323" s="15" t="n">
        <v>0.991073924656391</v>
      </c>
      <c r="C3323" s="18" t="n">
        <f aca="false">'Black-Scholes'!$B$5*EXP(('Black-Scholes'!$B$8-'Black-Scholes'!$B$10-'Black-Scholes'!$B$9^2/2)*'Black-Scholes'!$B$7+'Black-Scholes'!$B$9*SQRT('Black-Scholes'!$B$7)*B3323)</f>
        <v>125.635514260794</v>
      </c>
      <c r="D3323" s="18" t="n">
        <f aca="false">'Black-Scholes'!$B$5*EXP(('Black-Scholes'!$B$8-'Black-Scholes'!$B$10-'Black-Scholes'!$B$9^2/2)*'Black-Scholes'!$B$7-'Black-Scholes'!$B$9*SQRT('Black-Scholes'!$B$7)*B3323)</f>
        <v>84.5172284917145</v>
      </c>
      <c r="E3323" s="18" t="n">
        <f aca="false">EXP(-'Black-Scholes'!$B$8*'Black-Scholes'!$B$7)*IF(LOWER('Black-Scholes'!$B$11)="put",MAX('Black-Scholes'!$B$6-C3323,0),MAX(C3323-'Black-Scholes'!$B$6,0))</f>
        <v>24.385255477075</v>
      </c>
      <c r="F3323" s="18" t="n">
        <f aca="false">(E3323+G3323)/2</f>
        <v>12.1926277385375</v>
      </c>
      <c r="G3323" s="18" t="n">
        <f aca="false">EXP(-'Black-Scholes'!$B$8*'Black-Scholes'!$B$7)*IF(LOWER('Black-Scholes'!$B$11)="put",MAX('Black-Scholes'!$B$6-D3323,0),MAX(D3323-'Black-Scholes'!$B$6,0))</f>
        <v>0</v>
      </c>
    </row>
    <row r="3324" customFormat="false" ht="15" hidden="false" customHeight="false" outlineLevel="0" collapsed="false">
      <c r="A3324" s="0" t="n">
        <v>3313</v>
      </c>
      <c r="B3324" s="15" t="n">
        <v>0.359144602951534</v>
      </c>
      <c r="C3324" s="18" t="n">
        <f aca="false">'Black-Scholes'!$B$5*EXP(('Black-Scholes'!$B$8-'Black-Scholes'!$B$10-'Black-Scholes'!$B$9^2/2)*'Black-Scholes'!$B$7+'Black-Scholes'!$B$9*SQRT('Black-Scholes'!$B$7)*B3324)</f>
        <v>110.71940374219</v>
      </c>
      <c r="D3324" s="18" t="n">
        <f aca="false">'Black-Scholes'!$B$5*EXP(('Black-Scholes'!$B$8-'Black-Scholes'!$B$10-'Black-Scholes'!$B$9^2/2)*'Black-Scholes'!$B$7-'Black-Scholes'!$B$9*SQRT('Black-Scholes'!$B$7)*B3324)</f>
        <v>95.9033837481497</v>
      </c>
      <c r="E3324" s="18" t="n">
        <f aca="false">EXP(-'Black-Scholes'!$B$8*'Black-Scholes'!$B$7)*IF(LOWER('Black-Scholes'!$B$11)="put",MAX('Black-Scholes'!$B$6-C3324,0),MAX(C3324-'Black-Scholes'!$B$6,0))</f>
        <v>10.1966122526745</v>
      </c>
      <c r="F3324" s="18" t="n">
        <f aca="false">(E3324+G3324)/2</f>
        <v>5.09830612633724</v>
      </c>
      <c r="G3324" s="18" t="n">
        <f aca="false">EXP(-'Black-Scholes'!$B$8*'Black-Scholes'!$B$7)*IF(LOWER('Black-Scholes'!$B$11)="put",MAX('Black-Scholes'!$B$6-D3324,0),MAX(D3324-'Black-Scholes'!$B$6,0))</f>
        <v>0</v>
      </c>
    </row>
    <row r="3325" customFormat="false" ht="15" hidden="false" customHeight="false" outlineLevel="0" collapsed="false">
      <c r="A3325" s="0" t="n">
        <v>3314</v>
      </c>
      <c r="B3325" s="15" t="n">
        <v>0.98971226208252</v>
      </c>
      <c r="C3325" s="18" t="n">
        <f aca="false">'Black-Scholes'!$B$5*EXP(('Black-Scholes'!$B$8-'Black-Scholes'!$B$10-'Black-Scholes'!$B$9^2/2)*'Black-Scholes'!$B$7+'Black-Scholes'!$B$9*SQRT('Black-Scholes'!$B$7)*B3325)</f>
        <v>125.601304283706</v>
      </c>
      <c r="D3325" s="18" t="n">
        <f aca="false">'Black-Scholes'!$B$5*EXP(('Black-Scholes'!$B$8-'Black-Scholes'!$B$10-'Black-Scholes'!$B$9^2/2)*'Black-Scholes'!$B$7-'Black-Scholes'!$B$9*SQRT('Black-Scholes'!$B$7)*B3325)</f>
        <v>84.540248415486</v>
      </c>
      <c r="E3325" s="18" t="n">
        <f aca="false">EXP(-'Black-Scholes'!$B$8*'Black-Scholes'!$B$7)*IF(LOWER('Black-Scholes'!$B$11)="put",MAX('Black-Scholes'!$B$6-C3325,0),MAX(C3325-'Black-Scholes'!$B$6,0))</f>
        <v>24.3527139402578</v>
      </c>
      <c r="F3325" s="18" t="n">
        <f aca="false">(E3325+G3325)/2</f>
        <v>12.1763569701289</v>
      </c>
      <c r="G3325" s="18" t="n">
        <f aca="false">EXP(-'Black-Scholes'!$B$8*'Black-Scholes'!$B$7)*IF(LOWER('Black-Scholes'!$B$11)="put",MAX('Black-Scholes'!$B$6-D3325,0),MAX(D3325-'Black-Scholes'!$B$6,0))</f>
        <v>0</v>
      </c>
    </row>
    <row r="3326" customFormat="false" ht="15" hidden="false" customHeight="false" outlineLevel="0" collapsed="false">
      <c r="A3326" s="0" t="n">
        <v>3315</v>
      </c>
      <c r="B3326" s="15" t="n">
        <v>0.348982350773265</v>
      </c>
      <c r="C3326" s="18" t="n">
        <f aca="false">'Black-Scholes'!$B$5*EXP(('Black-Scholes'!$B$8-'Black-Scholes'!$B$10-'Black-Scholes'!$B$9^2/2)*'Black-Scholes'!$B$7+'Black-Scholes'!$B$9*SQRT('Black-Scholes'!$B$7)*B3326)</f>
        <v>110.494600569858</v>
      </c>
      <c r="D3326" s="18" t="n">
        <f aca="false">'Black-Scholes'!$B$5*EXP(('Black-Scholes'!$B$8-'Black-Scholes'!$B$10-'Black-Scholes'!$B$9^2/2)*'Black-Scholes'!$B$7-'Black-Scholes'!$B$9*SQRT('Black-Scholes'!$B$7)*B3326)</f>
        <v>96.0985008379697</v>
      </c>
      <c r="E3326" s="18" t="n">
        <f aca="false">EXP(-'Black-Scholes'!$B$8*'Black-Scholes'!$B$7)*IF(LOWER('Black-Scholes'!$B$11)="put",MAX('Black-Scholes'!$B$6-C3326,0),MAX(C3326-'Black-Scholes'!$B$6,0))</f>
        <v>9.98277286043057</v>
      </c>
      <c r="F3326" s="18" t="n">
        <f aca="false">(E3326+G3326)/2</f>
        <v>4.99138643021529</v>
      </c>
      <c r="G3326" s="18" t="n">
        <f aca="false">EXP(-'Black-Scholes'!$B$8*'Black-Scholes'!$B$7)*IF(LOWER('Black-Scholes'!$B$11)="put",MAX('Black-Scholes'!$B$6-D3326,0),MAX(D3326-'Black-Scholes'!$B$6,0))</f>
        <v>0</v>
      </c>
    </row>
    <row r="3327" customFormat="false" ht="15" hidden="false" customHeight="false" outlineLevel="0" collapsed="false">
      <c r="A3327" s="0" t="n">
        <v>3316</v>
      </c>
      <c r="B3327" s="15" t="n">
        <v>-0.617324063465169</v>
      </c>
      <c r="C3327" s="18" t="n">
        <f aca="false">'Black-Scholes'!$B$5*EXP(('Black-Scholes'!$B$8-'Black-Scholes'!$B$10-'Black-Scholes'!$B$9^2/2)*'Black-Scholes'!$B$7+'Black-Scholes'!$B$9*SQRT('Black-Scholes'!$B$7)*B3327)</f>
        <v>91.0770064408204</v>
      </c>
      <c r="D3327" s="18" t="n">
        <f aca="false">'Black-Scholes'!$B$5*EXP(('Black-Scholes'!$B$8-'Black-Scholes'!$B$10-'Black-Scholes'!$B$9^2/2)*'Black-Scholes'!$B$7-'Black-Scholes'!$B$9*SQRT('Black-Scholes'!$B$7)*B3327)</f>
        <v>116.586676268869</v>
      </c>
      <c r="E3327" s="18" t="n">
        <f aca="false">EXP(-'Black-Scholes'!$B$8*'Black-Scholes'!$B$7)*IF(LOWER('Black-Scholes'!$B$11)="put",MAX('Black-Scholes'!$B$6-C3327,0),MAX(C3327-'Black-Scholes'!$B$6,0))</f>
        <v>0</v>
      </c>
      <c r="F3327" s="18" t="n">
        <f aca="false">(E3327+G3327)/2</f>
        <v>7.88886726080779</v>
      </c>
      <c r="G3327" s="18" t="n">
        <f aca="false">EXP(-'Black-Scholes'!$B$8*'Black-Scholes'!$B$7)*IF(LOWER('Black-Scholes'!$B$11)="put",MAX('Black-Scholes'!$B$6-D3327,0),MAX(D3327-'Black-Scholes'!$B$6,0))</f>
        <v>15.7777345216156</v>
      </c>
    </row>
    <row r="3328" customFormat="false" ht="15" hidden="false" customHeight="false" outlineLevel="0" collapsed="false">
      <c r="A3328" s="0" t="n">
        <v>3317</v>
      </c>
      <c r="B3328" s="15" t="n">
        <v>-0.558217771095302</v>
      </c>
      <c r="C3328" s="18" t="n">
        <f aca="false">'Black-Scholes'!$B$5*EXP(('Black-Scholes'!$B$8-'Black-Scholes'!$B$10-'Black-Scholes'!$B$9^2/2)*'Black-Scholes'!$B$7+'Black-Scholes'!$B$9*SQRT('Black-Scholes'!$B$7)*B3328)</f>
        <v>92.1600400731535</v>
      </c>
      <c r="D3328" s="18" t="n">
        <f aca="false">'Black-Scholes'!$B$5*EXP(('Black-Scholes'!$B$8-'Black-Scholes'!$B$10-'Black-Scholes'!$B$9^2/2)*'Black-Scholes'!$B$7-'Black-Scholes'!$B$9*SQRT('Black-Scholes'!$B$7)*B3328)</f>
        <v>115.216589066423</v>
      </c>
      <c r="E3328" s="18" t="n">
        <f aca="false">EXP(-'Black-Scholes'!$B$8*'Black-Scholes'!$B$7)*IF(LOWER('Black-Scholes'!$B$11)="put",MAX('Black-Scholes'!$B$6-C3328,0),MAX(C3328-'Black-Scholes'!$B$6,0))</f>
        <v>0</v>
      </c>
      <c r="F3328" s="18" t="n">
        <f aca="false">(E3328+G3328)/2</f>
        <v>7.23723363025864</v>
      </c>
      <c r="G3328" s="18" t="n">
        <f aca="false">EXP(-'Black-Scholes'!$B$8*'Black-Scholes'!$B$7)*IF(LOWER('Black-Scholes'!$B$11)="put",MAX('Black-Scholes'!$B$6-D3328,0),MAX(D3328-'Black-Scholes'!$B$6,0))</f>
        <v>14.4744672605173</v>
      </c>
    </row>
    <row r="3329" customFormat="false" ht="15" hidden="false" customHeight="false" outlineLevel="0" collapsed="false">
      <c r="A3329" s="0" t="n">
        <v>3318</v>
      </c>
      <c r="B3329" s="15" t="n">
        <v>-0.738910782483302</v>
      </c>
      <c r="C3329" s="18" t="n">
        <f aca="false">'Black-Scholes'!$B$5*EXP(('Black-Scholes'!$B$8-'Black-Scholes'!$B$10-'Black-Scholes'!$B$9^2/2)*'Black-Scholes'!$B$7+'Black-Scholes'!$B$9*SQRT('Black-Scholes'!$B$7)*B3329)</f>
        <v>88.8889670364542</v>
      </c>
      <c r="D3329" s="18" t="n">
        <f aca="false">'Black-Scholes'!$B$5*EXP(('Black-Scholes'!$B$8-'Black-Scholes'!$B$10-'Black-Scholes'!$B$9^2/2)*'Black-Scholes'!$B$7-'Black-Scholes'!$B$9*SQRT('Black-Scholes'!$B$7)*B3329)</f>
        <v>119.456506464958</v>
      </c>
      <c r="E3329" s="18" t="n">
        <f aca="false">EXP(-'Black-Scholes'!$B$8*'Black-Scholes'!$B$7)*IF(LOWER('Black-Scholes'!$B$11)="put",MAX('Black-Scholes'!$B$6-C3329,0),MAX(C3329-'Black-Scholes'!$B$6,0))</f>
        <v>0</v>
      </c>
      <c r="F3329" s="18" t="n">
        <f aca="false">(E3329+G3329)/2</f>
        <v>9.25380072372804</v>
      </c>
      <c r="G3329" s="18" t="n">
        <f aca="false">EXP(-'Black-Scholes'!$B$8*'Black-Scholes'!$B$7)*IF(LOWER('Black-Scholes'!$B$11)="put",MAX('Black-Scholes'!$B$6-D3329,0),MAX(D3329-'Black-Scholes'!$B$6,0))</f>
        <v>18.5076014474561</v>
      </c>
    </row>
    <row r="3330" customFormat="false" ht="15" hidden="false" customHeight="false" outlineLevel="0" collapsed="false">
      <c r="A3330" s="0" t="n">
        <v>3319</v>
      </c>
      <c r="B3330" s="15" t="n">
        <v>-1.29581789404963</v>
      </c>
      <c r="C3330" s="18" t="n">
        <f aca="false">'Black-Scholes'!$B$5*EXP(('Black-Scholes'!$B$8-'Black-Scholes'!$B$10-'Black-Scholes'!$B$9^2/2)*'Black-Scholes'!$B$7+'Black-Scholes'!$B$9*SQRT('Black-Scholes'!$B$7)*B3330)</f>
        <v>79.5198445250215</v>
      </c>
      <c r="D3330" s="18" t="n">
        <f aca="false">'Black-Scholes'!$B$5*EXP(('Black-Scholes'!$B$8-'Black-Scholes'!$B$10-'Black-Scholes'!$B$9^2/2)*'Black-Scholes'!$B$7-'Black-Scholes'!$B$9*SQRT('Black-Scholes'!$B$7)*B3330)</f>
        <v>133.531013910779</v>
      </c>
      <c r="E3330" s="18" t="n">
        <f aca="false">EXP(-'Black-Scholes'!$B$8*'Black-Scholes'!$B$7)*IF(LOWER('Black-Scholes'!$B$11)="put",MAX('Black-Scholes'!$B$6-C3330,0),MAX(C3330-'Black-Scholes'!$B$6,0))</f>
        <v>0</v>
      </c>
      <c r="F3330" s="18" t="n">
        <f aca="false">(E3330+G3330)/2</f>
        <v>15.9478435326377</v>
      </c>
      <c r="G3330" s="18" t="n">
        <f aca="false">EXP(-'Black-Scholes'!$B$8*'Black-Scholes'!$B$7)*IF(LOWER('Black-Scholes'!$B$11)="put",MAX('Black-Scholes'!$B$6-D3330,0),MAX(D3330-'Black-Scholes'!$B$6,0))</f>
        <v>31.8956870652754</v>
      </c>
    </row>
    <row r="3331" customFormat="false" ht="15" hidden="false" customHeight="false" outlineLevel="0" collapsed="false">
      <c r="A3331" s="0" t="n">
        <v>3320</v>
      </c>
      <c r="B3331" s="15" t="n">
        <v>0.591871422376348</v>
      </c>
      <c r="C3331" s="18" t="n">
        <f aca="false">'Black-Scholes'!$B$5*EXP(('Black-Scholes'!$B$8-'Black-Scholes'!$B$10-'Black-Scholes'!$B$9^2/2)*'Black-Scholes'!$B$7+'Black-Scholes'!$B$9*SQRT('Black-Scholes'!$B$7)*B3331)</f>
        <v>115.994696526652</v>
      </c>
      <c r="D3331" s="18" t="n">
        <f aca="false">'Black-Scholes'!$B$5*EXP(('Black-Scholes'!$B$8-'Black-Scholes'!$B$10-'Black-Scholes'!$B$9^2/2)*'Black-Scholes'!$B$7-'Black-Scholes'!$B$9*SQRT('Black-Scholes'!$B$7)*B3331)</f>
        <v>91.5418185780059</v>
      </c>
      <c r="E3331" s="18" t="n">
        <f aca="false">EXP(-'Black-Scholes'!$B$8*'Black-Scholes'!$B$7)*IF(LOWER('Black-Scholes'!$B$11)="put",MAX('Black-Scholes'!$B$6-C3331,0),MAX(C3331-'Black-Scholes'!$B$6,0))</f>
        <v>15.2146259721104</v>
      </c>
      <c r="F3331" s="18" t="n">
        <f aca="false">(E3331+G3331)/2</f>
        <v>7.60731298605518</v>
      </c>
      <c r="G3331" s="18" t="n">
        <f aca="false">EXP(-'Black-Scholes'!$B$8*'Black-Scholes'!$B$7)*IF(LOWER('Black-Scholes'!$B$11)="put",MAX('Black-Scholes'!$B$6-D3331,0),MAX(D3331-'Black-Scholes'!$B$6,0))</f>
        <v>0</v>
      </c>
    </row>
    <row r="3332" customFormat="false" ht="15" hidden="false" customHeight="false" outlineLevel="0" collapsed="false">
      <c r="A3332" s="0" t="n">
        <v>3321</v>
      </c>
      <c r="B3332" s="15" t="n">
        <v>-0.821785584974408</v>
      </c>
      <c r="C3332" s="18" t="n">
        <f aca="false">'Black-Scholes'!$B$5*EXP(('Black-Scholes'!$B$8-'Black-Scholes'!$B$10-'Black-Scholes'!$B$9^2/2)*'Black-Scholes'!$B$7+'Black-Scholes'!$B$9*SQRT('Black-Scholes'!$B$7)*B3332)</f>
        <v>87.4277789390421</v>
      </c>
      <c r="D3332" s="18" t="n">
        <f aca="false">'Black-Scholes'!$B$5*EXP(('Black-Scholes'!$B$8-'Black-Scholes'!$B$10-'Black-Scholes'!$B$9^2/2)*'Black-Scholes'!$B$7-'Black-Scholes'!$B$9*SQRT('Black-Scholes'!$B$7)*B3332)</f>
        <v>121.452993479991</v>
      </c>
      <c r="E3332" s="18" t="n">
        <f aca="false">EXP(-'Black-Scholes'!$B$8*'Black-Scholes'!$B$7)*IF(LOWER('Black-Scholes'!$B$11)="put",MAX('Black-Scholes'!$B$6-C3332,0),MAX(C3332-'Black-Scholes'!$B$6,0))</f>
        <v>0</v>
      </c>
      <c r="F3332" s="18" t="n">
        <f aca="false">(E3332+G3332)/2</f>
        <v>10.2033593208948</v>
      </c>
      <c r="G3332" s="18" t="n">
        <f aca="false">EXP(-'Black-Scholes'!$B$8*'Black-Scholes'!$B$7)*IF(LOWER('Black-Scholes'!$B$11)="put",MAX('Black-Scholes'!$B$6-D3332,0),MAX(D3332-'Black-Scholes'!$B$6,0))</f>
        <v>20.4067186417896</v>
      </c>
    </row>
    <row r="3333" customFormat="false" ht="15" hidden="false" customHeight="false" outlineLevel="0" collapsed="false">
      <c r="A3333" s="0" t="n">
        <v>3322</v>
      </c>
      <c r="B3333" s="15" t="n">
        <v>0.0804516439470813</v>
      </c>
      <c r="C3333" s="18" t="n">
        <f aca="false">'Black-Scholes'!$B$5*EXP(('Black-Scholes'!$B$8-'Black-Scholes'!$B$10-'Black-Scholes'!$B$9^2/2)*'Black-Scholes'!$B$7+'Black-Scholes'!$B$9*SQRT('Black-Scholes'!$B$7)*B3333)</f>
        <v>104.716899619273</v>
      </c>
      <c r="D3333" s="18" t="n">
        <f aca="false">'Black-Scholes'!$B$5*EXP(('Black-Scholes'!$B$8-'Black-Scholes'!$B$10-'Black-Scholes'!$B$9^2/2)*'Black-Scholes'!$B$7-'Black-Scholes'!$B$9*SQRT('Black-Scholes'!$B$7)*B3333)</f>
        <v>101.400686078938</v>
      </c>
      <c r="E3333" s="18" t="n">
        <f aca="false">EXP(-'Black-Scholes'!$B$8*'Black-Scholes'!$B$7)*IF(LOWER('Black-Scholes'!$B$11)="put",MAX('Black-Scholes'!$B$6-C3333,0),MAX(C3333-'Black-Scholes'!$B$6,0))</f>
        <v>4.48685371026853</v>
      </c>
      <c r="F3333" s="18" t="n">
        <f aca="false">(E3333+G3333)/2</f>
        <v>2.90961376152167</v>
      </c>
      <c r="G3333" s="18" t="n">
        <f aca="false">EXP(-'Black-Scholes'!$B$8*'Black-Scholes'!$B$7)*IF(LOWER('Black-Scholes'!$B$11)="put",MAX('Black-Scholes'!$B$6-D3333,0),MAX(D3333-'Black-Scholes'!$B$6,0))</f>
        <v>1.33237381277482</v>
      </c>
    </row>
    <row r="3334" customFormat="false" ht="15" hidden="false" customHeight="false" outlineLevel="0" collapsed="false">
      <c r="A3334" s="0" t="n">
        <v>3323</v>
      </c>
      <c r="B3334" s="15" t="n">
        <v>0.782479074731826</v>
      </c>
      <c r="C3334" s="18" t="n">
        <f aca="false">'Black-Scholes'!$B$5*EXP(('Black-Scholes'!$B$8-'Black-Scholes'!$B$10-'Black-Scholes'!$B$9^2/2)*'Black-Scholes'!$B$7+'Black-Scholes'!$B$9*SQRT('Black-Scholes'!$B$7)*B3334)</f>
        <v>120.501957900357</v>
      </c>
      <c r="D3334" s="18" t="n">
        <f aca="false">'Black-Scholes'!$B$5*EXP(('Black-Scholes'!$B$8-'Black-Scholes'!$B$10-'Black-Scholes'!$B$9^2/2)*'Black-Scholes'!$B$7-'Black-Scholes'!$B$9*SQRT('Black-Scholes'!$B$7)*B3334)</f>
        <v>88.117783731231</v>
      </c>
      <c r="E3334" s="18" t="n">
        <f aca="false">EXP(-'Black-Scholes'!$B$8*'Black-Scholes'!$B$7)*IF(LOWER('Black-Scholes'!$B$11)="put",MAX('Black-Scholes'!$B$6-C3334,0),MAX(C3334-'Black-Scholes'!$B$6,0))</f>
        <v>19.5020656146949</v>
      </c>
      <c r="F3334" s="18" t="n">
        <f aca="false">(E3334+G3334)/2</f>
        <v>9.75103280734744</v>
      </c>
      <c r="G3334" s="18" t="n">
        <f aca="false">EXP(-'Black-Scholes'!$B$8*'Black-Scholes'!$B$7)*IF(LOWER('Black-Scholes'!$B$11)="put",MAX('Black-Scholes'!$B$6-D3334,0),MAX(D3334-'Black-Scholes'!$B$6,0))</f>
        <v>0</v>
      </c>
    </row>
    <row r="3335" customFormat="false" ht="15" hidden="false" customHeight="false" outlineLevel="0" collapsed="false">
      <c r="A3335" s="0" t="n">
        <v>3324</v>
      </c>
      <c r="B3335" s="15" t="n">
        <v>-0.971417322878317</v>
      </c>
      <c r="C3335" s="18" t="n">
        <f aca="false">'Black-Scholes'!$B$5*EXP(('Black-Scholes'!$B$8-'Black-Scholes'!$B$10-'Black-Scholes'!$B$9^2/2)*'Black-Scholes'!$B$7+'Black-Scholes'!$B$9*SQRT('Black-Scholes'!$B$7)*B3335)</f>
        <v>84.8501467679035</v>
      </c>
      <c r="D3335" s="18" t="n">
        <f aca="false">'Black-Scholes'!$B$5*EXP(('Black-Scholes'!$B$8-'Black-Scholes'!$B$10-'Black-Scholes'!$B$9^2/2)*'Black-Scholes'!$B$7-'Black-Scholes'!$B$9*SQRT('Black-Scholes'!$B$7)*B3335)</f>
        <v>125.142570401189</v>
      </c>
      <c r="E3335" s="18" t="n">
        <f aca="false">EXP(-'Black-Scholes'!$B$8*'Black-Scholes'!$B$7)*IF(LOWER('Black-Scholes'!$B$11)="put",MAX('Black-Scholes'!$B$6-C3335,0),MAX(C3335-'Black-Scholes'!$B$6,0))</f>
        <v>0</v>
      </c>
      <c r="F3335" s="18" t="n">
        <f aca="false">(E3335+G3335)/2</f>
        <v>11.9581763865959</v>
      </c>
      <c r="G3335" s="18" t="n">
        <f aca="false">EXP(-'Black-Scholes'!$B$8*'Black-Scholes'!$B$7)*IF(LOWER('Black-Scholes'!$B$11)="put",MAX('Black-Scholes'!$B$6-D3335,0),MAX(D3335-'Black-Scholes'!$B$6,0))</f>
        <v>23.9163527731919</v>
      </c>
    </row>
    <row r="3336" customFormat="false" ht="15" hidden="false" customHeight="false" outlineLevel="0" collapsed="false">
      <c r="A3336" s="0" t="n">
        <v>3325</v>
      </c>
      <c r="B3336" s="15" t="n">
        <v>0.994658449105967</v>
      </c>
      <c r="C3336" s="18" t="n">
        <f aca="false">'Black-Scholes'!$B$5*EXP(('Black-Scholes'!$B$8-'Black-Scholes'!$B$10-'Black-Scholes'!$B$9^2/2)*'Black-Scholes'!$B$7+'Black-Scholes'!$B$9*SQRT('Black-Scholes'!$B$7)*B3336)</f>
        <v>125.725615268382</v>
      </c>
      <c r="D3336" s="18" t="n">
        <f aca="false">'Black-Scholes'!$B$5*EXP(('Black-Scholes'!$B$8-'Black-Scholes'!$B$10-'Black-Scholes'!$B$9^2/2)*'Black-Scholes'!$B$7-'Black-Scholes'!$B$9*SQRT('Black-Scholes'!$B$7)*B3336)</f>
        <v>84.4566593910631</v>
      </c>
      <c r="E3336" s="18" t="n">
        <f aca="false">EXP(-'Black-Scholes'!$B$8*'Black-Scholes'!$B$7)*IF(LOWER('Black-Scholes'!$B$11)="put",MAX('Black-Scholes'!$B$6-C3336,0),MAX(C3336-'Black-Scholes'!$B$6,0))</f>
        <v>24.47096220667</v>
      </c>
      <c r="F3336" s="18" t="n">
        <f aca="false">(E3336+G3336)/2</f>
        <v>12.235481103335</v>
      </c>
      <c r="G3336" s="18" t="n">
        <f aca="false">EXP(-'Black-Scholes'!$B$8*'Black-Scholes'!$B$7)*IF(LOWER('Black-Scholes'!$B$11)="put",MAX('Black-Scholes'!$B$6-D3336,0),MAX(D3336-'Black-Scholes'!$B$6,0))</f>
        <v>0</v>
      </c>
    </row>
    <row r="3337" customFormat="false" ht="15" hidden="false" customHeight="false" outlineLevel="0" collapsed="false">
      <c r="A3337" s="0" t="n">
        <v>3326</v>
      </c>
      <c r="B3337" s="15" t="n">
        <v>0.299114462669592</v>
      </c>
      <c r="C3337" s="18" t="n">
        <f aca="false">'Black-Scholes'!$B$5*EXP(('Black-Scholes'!$B$8-'Black-Scholes'!$B$10-'Black-Scholes'!$B$9^2/2)*'Black-Scholes'!$B$7+'Black-Scholes'!$B$9*SQRT('Black-Scholes'!$B$7)*B3337)</f>
        <v>109.398051442987</v>
      </c>
      <c r="D3337" s="18" t="n">
        <f aca="false">'Black-Scholes'!$B$5*EXP(('Black-Scholes'!$B$8-'Black-Scholes'!$B$10-'Black-Scholes'!$B$9^2/2)*'Black-Scholes'!$B$7-'Black-Scholes'!$B$9*SQRT('Black-Scholes'!$B$7)*B3337)</f>
        <v>97.0617421918833</v>
      </c>
      <c r="E3337" s="18" t="n">
        <f aca="false">EXP(-'Black-Scholes'!$B$8*'Black-Scholes'!$B$7)*IF(LOWER('Black-Scholes'!$B$11)="put",MAX('Black-Scholes'!$B$6-C3337,0),MAX(C3337-'Black-Scholes'!$B$6,0))</f>
        <v>8.93970306554071</v>
      </c>
      <c r="F3337" s="18" t="n">
        <f aca="false">(E3337+G3337)/2</f>
        <v>4.46985153277035</v>
      </c>
      <c r="G3337" s="18" t="n">
        <f aca="false">EXP(-'Black-Scholes'!$B$8*'Black-Scholes'!$B$7)*IF(LOWER('Black-Scholes'!$B$11)="put",MAX('Black-Scholes'!$B$6-D3337,0),MAX(D3337-'Black-Scholes'!$B$6,0))</f>
        <v>0</v>
      </c>
    </row>
    <row r="3338" customFormat="false" ht="15" hidden="false" customHeight="false" outlineLevel="0" collapsed="false">
      <c r="A3338" s="0" t="n">
        <v>3327</v>
      </c>
      <c r="B3338" s="15" t="n">
        <v>0.506533987144371</v>
      </c>
      <c r="C3338" s="18" t="n">
        <f aca="false">'Black-Scholes'!$B$5*EXP(('Black-Scholes'!$B$8-'Black-Scholes'!$B$10-'Black-Scholes'!$B$9^2/2)*'Black-Scholes'!$B$7+'Black-Scholes'!$B$9*SQRT('Black-Scholes'!$B$7)*B3338)</f>
        <v>114.031757415132</v>
      </c>
      <c r="D3338" s="18" t="n">
        <f aca="false">'Black-Scholes'!$B$5*EXP(('Black-Scholes'!$B$8-'Black-Scholes'!$B$10-'Black-Scholes'!$B$9^2/2)*'Black-Scholes'!$B$7-'Black-Scholes'!$B$9*SQRT('Black-Scholes'!$B$7)*B3338)</f>
        <v>93.1176165846279</v>
      </c>
      <c r="E3338" s="18" t="n">
        <f aca="false">EXP(-'Black-Scholes'!$B$8*'Black-Scholes'!$B$7)*IF(LOWER('Black-Scholes'!$B$11)="put",MAX('Black-Scholes'!$B$6-C3338,0),MAX(C3338-'Black-Scholes'!$B$6,0))</f>
        <v>13.3474205307301</v>
      </c>
      <c r="F3338" s="18" t="n">
        <f aca="false">(E3338+G3338)/2</f>
        <v>6.67371026536503</v>
      </c>
      <c r="G3338" s="18" t="n">
        <f aca="false">EXP(-'Black-Scholes'!$B$8*'Black-Scholes'!$B$7)*IF(LOWER('Black-Scholes'!$B$11)="put",MAX('Black-Scholes'!$B$6-D3338,0),MAX(D3338-'Black-Scholes'!$B$6,0))</f>
        <v>0</v>
      </c>
    </row>
    <row r="3339" customFormat="false" ht="15" hidden="false" customHeight="false" outlineLevel="0" collapsed="false">
      <c r="A3339" s="0" t="n">
        <v>3328</v>
      </c>
      <c r="B3339" s="15" t="n">
        <v>0.221474243770126</v>
      </c>
      <c r="C3339" s="18" t="n">
        <f aca="false">'Black-Scholes'!$B$5*EXP(('Black-Scholes'!$B$8-'Black-Scholes'!$B$10-'Black-Scholes'!$B$9^2/2)*'Black-Scholes'!$B$7+'Black-Scholes'!$B$9*SQRT('Black-Scholes'!$B$7)*B3339)</f>
        <v>107.712434745227</v>
      </c>
      <c r="D3339" s="18" t="n">
        <f aca="false">'Black-Scholes'!$B$5*EXP(('Black-Scholes'!$B$8-'Black-Scholes'!$B$10-'Black-Scholes'!$B$9^2/2)*'Black-Scholes'!$B$7-'Black-Scholes'!$B$9*SQRT('Black-Scholes'!$B$7)*B3339)</f>
        <v>98.580683748996</v>
      </c>
      <c r="E3339" s="18" t="n">
        <f aca="false">EXP(-'Black-Scholes'!$B$8*'Black-Scholes'!$B$7)*IF(LOWER('Black-Scholes'!$B$11)="put",MAX('Black-Scholes'!$B$6-C3339,0),MAX(C3339-'Black-Scholes'!$B$6,0))</f>
        <v>7.33629486420167</v>
      </c>
      <c r="F3339" s="18" t="n">
        <f aca="false">(E3339+G3339)/2</f>
        <v>3.66814743210084</v>
      </c>
      <c r="G3339" s="18" t="n">
        <f aca="false">EXP(-'Black-Scholes'!$B$8*'Black-Scholes'!$B$7)*IF(LOWER('Black-Scholes'!$B$11)="put",MAX('Black-Scholes'!$B$6-D3339,0),MAX(D3339-'Black-Scholes'!$B$6,0))</f>
        <v>0</v>
      </c>
    </row>
    <row r="3340" customFormat="false" ht="15" hidden="false" customHeight="false" outlineLevel="0" collapsed="false">
      <c r="A3340" s="0" t="n">
        <v>3329</v>
      </c>
      <c r="B3340" s="15" t="n">
        <v>0.359630787329864</v>
      </c>
      <c r="C3340" s="18" t="n">
        <f aca="false">'Black-Scholes'!$B$5*EXP(('Black-Scholes'!$B$8-'Black-Scholes'!$B$10-'Black-Scholes'!$B$9^2/2)*'Black-Scholes'!$B$7+'Black-Scholes'!$B$9*SQRT('Black-Scholes'!$B$7)*B3340)</f>
        <v>110.730170274529</v>
      </c>
      <c r="D3340" s="18" t="n">
        <f aca="false">'Black-Scholes'!$B$5*EXP(('Black-Scholes'!$B$8-'Black-Scholes'!$B$10-'Black-Scholes'!$B$9^2/2)*'Black-Scholes'!$B$7-'Black-Scholes'!$B$9*SQRT('Black-Scholes'!$B$7)*B3340)</f>
        <v>95.8940588561173</v>
      </c>
      <c r="E3340" s="18" t="n">
        <f aca="false">EXP(-'Black-Scholes'!$B$8*'Black-Scholes'!$B$7)*IF(LOWER('Black-Scholes'!$B$11)="put",MAX('Black-Scholes'!$B$6-C3340,0),MAX(C3340-'Black-Scholes'!$B$6,0))</f>
        <v>10.2068536950351</v>
      </c>
      <c r="F3340" s="18" t="n">
        <f aca="false">(E3340+G3340)/2</f>
        <v>5.10342684751757</v>
      </c>
      <c r="G3340" s="18" t="n">
        <f aca="false">EXP(-'Black-Scholes'!$B$8*'Black-Scholes'!$B$7)*IF(LOWER('Black-Scholes'!$B$11)="put",MAX('Black-Scholes'!$B$6-D3340,0),MAX(D3340-'Black-Scholes'!$B$6,0))</f>
        <v>0</v>
      </c>
    </row>
    <row r="3341" customFormat="false" ht="15" hidden="false" customHeight="false" outlineLevel="0" collapsed="false">
      <c r="A3341" s="0" t="n">
        <v>3330</v>
      </c>
      <c r="B3341" s="15" t="n">
        <v>0.730130126236473</v>
      </c>
      <c r="C3341" s="18" t="n">
        <f aca="false">'Black-Scholes'!$B$5*EXP(('Black-Scholes'!$B$8-'Black-Scholes'!$B$10-'Black-Scholes'!$B$9^2/2)*'Black-Scholes'!$B$7+'Black-Scholes'!$B$9*SQRT('Black-Scholes'!$B$7)*B3341)</f>
        <v>119.246909254986</v>
      </c>
      <c r="D3341" s="18" t="n">
        <f aca="false">'Black-Scholes'!$B$5*EXP(('Black-Scholes'!$B$8-'Black-Scholes'!$B$10-'Black-Scholes'!$B$9^2/2)*'Black-Scholes'!$B$7-'Black-Scholes'!$B$9*SQRT('Black-Scholes'!$B$7)*B3341)</f>
        <v>89.0452048761139</v>
      </c>
      <c r="E3341" s="18" t="n">
        <f aca="false">EXP(-'Black-Scholes'!$B$8*'Black-Scholes'!$B$7)*IF(LOWER('Black-Scholes'!$B$11)="put",MAX('Black-Scholes'!$B$6-C3341,0),MAX(C3341-'Black-Scholes'!$B$6,0))</f>
        <v>18.3082264140378</v>
      </c>
      <c r="F3341" s="18" t="n">
        <f aca="false">(E3341+G3341)/2</f>
        <v>9.1541132070189</v>
      </c>
      <c r="G3341" s="18" t="n">
        <f aca="false">EXP(-'Black-Scholes'!$B$8*'Black-Scholes'!$B$7)*IF(LOWER('Black-Scholes'!$B$11)="put",MAX('Black-Scholes'!$B$6-D3341,0),MAX(D3341-'Black-Scholes'!$B$6,0))</f>
        <v>0</v>
      </c>
    </row>
    <row r="3342" customFormat="false" ht="15" hidden="false" customHeight="false" outlineLevel="0" collapsed="false">
      <c r="A3342" s="0" t="n">
        <v>3331</v>
      </c>
      <c r="B3342" s="15" t="n">
        <v>-0.636547346847441</v>
      </c>
      <c r="C3342" s="18" t="n">
        <f aca="false">'Black-Scholes'!$B$5*EXP(('Black-Scholes'!$B$8-'Black-Scholes'!$B$10-'Black-Scholes'!$B$9^2/2)*'Black-Scholes'!$B$7+'Black-Scholes'!$B$9*SQRT('Black-Scholes'!$B$7)*B3342)</f>
        <v>90.7275188802702</v>
      </c>
      <c r="D3342" s="18" t="n">
        <f aca="false">'Black-Scholes'!$B$5*EXP(('Black-Scholes'!$B$8-'Black-Scholes'!$B$10-'Black-Scholes'!$B$9^2/2)*'Black-Scholes'!$B$7-'Black-Scholes'!$B$9*SQRT('Black-Scholes'!$B$7)*B3342)</f>
        <v>117.035774773763</v>
      </c>
      <c r="E3342" s="18" t="n">
        <f aca="false">EXP(-'Black-Scholes'!$B$8*'Black-Scholes'!$B$7)*IF(LOWER('Black-Scholes'!$B$11)="put",MAX('Black-Scholes'!$B$6-C3342,0),MAX(C3342-'Black-Scholes'!$B$6,0))</f>
        <v>0</v>
      </c>
      <c r="F3342" s="18" t="n">
        <f aca="false">(E3342+G3342)/2</f>
        <v>8.10246511698501</v>
      </c>
      <c r="G3342" s="18" t="n">
        <f aca="false">EXP(-'Black-Scholes'!$B$8*'Black-Scholes'!$B$7)*IF(LOWER('Black-Scholes'!$B$11)="put",MAX('Black-Scholes'!$B$6-D3342,0),MAX(D3342-'Black-Scholes'!$B$6,0))</f>
        <v>16.20493023397</v>
      </c>
    </row>
    <row r="3343" customFormat="false" ht="15" hidden="false" customHeight="false" outlineLevel="0" collapsed="false">
      <c r="A3343" s="0" t="n">
        <v>3332</v>
      </c>
      <c r="B3343" s="15" t="n">
        <v>1.79432489320266</v>
      </c>
      <c r="C3343" s="18" t="n">
        <f aca="false">'Black-Scholes'!$B$5*EXP(('Black-Scholes'!$B$8-'Black-Scholes'!$B$10-'Black-Scholes'!$B$9^2/2)*'Black-Scholes'!$B$7+'Black-Scholes'!$B$9*SQRT('Black-Scholes'!$B$7)*B3343)</f>
        <v>147.530534015182</v>
      </c>
      <c r="D3343" s="18" t="n">
        <f aca="false">'Black-Scholes'!$B$5*EXP(('Black-Scholes'!$B$8-'Black-Scholes'!$B$10-'Black-Scholes'!$B$9^2/2)*'Black-Scholes'!$B$7-'Black-Scholes'!$B$9*SQRT('Black-Scholes'!$B$7)*B3343)</f>
        <v>71.9740190485645</v>
      </c>
      <c r="E3343" s="18" t="n">
        <f aca="false">EXP(-'Black-Scholes'!$B$8*'Black-Scholes'!$B$7)*IF(LOWER('Black-Scholes'!$B$11)="put",MAX('Black-Scholes'!$B$6-C3343,0),MAX(C3343-'Black-Scholes'!$B$6,0))</f>
        <v>45.2124425174731</v>
      </c>
      <c r="F3343" s="18" t="n">
        <f aca="false">(E3343+G3343)/2</f>
        <v>22.6062212587365</v>
      </c>
      <c r="G3343" s="18" t="n">
        <f aca="false">EXP(-'Black-Scholes'!$B$8*'Black-Scholes'!$B$7)*IF(LOWER('Black-Scholes'!$B$11)="put",MAX('Black-Scholes'!$B$6-D3343,0),MAX(D3343-'Black-Scholes'!$B$6,0))</f>
        <v>0</v>
      </c>
    </row>
    <row r="3344" customFormat="false" ht="15" hidden="false" customHeight="false" outlineLevel="0" collapsed="false">
      <c r="A3344" s="0" t="n">
        <v>3333</v>
      </c>
      <c r="B3344" s="15" t="n">
        <v>-0.722090668090441</v>
      </c>
      <c r="C3344" s="18" t="n">
        <f aca="false">'Black-Scholes'!$B$5*EXP(('Black-Scholes'!$B$8-'Black-Scholes'!$B$10-'Black-Scholes'!$B$9^2/2)*'Black-Scholes'!$B$7+'Black-Scholes'!$B$9*SQRT('Black-Scholes'!$B$7)*B3344)</f>
        <v>89.1884950823459</v>
      </c>
      <c r="D3344" s="18" t="n">
        <f aca="false">'Black-Scholes'!$B$5*EXP(('Black-Scholes'!$B$8-'Black-Scholes'!$B$10-'Black-Scholes'!$B$9^2/2)*'Black-Scholes'!$B$7-'Black-Scholes'!$B$9*SQRT('Black-Scholes'!$B$7)*B3344)</f>
        <v>119.055327210644</v>
      </c>
      <c r="E3344" s="18" t="n">
        <f aca="false">EXP(-'Black-Scholes'!$B$8*'Black-Scholes'!$B$7)*IF(LOWER('Black-Scholes'!$B$11)="put",MAX('Black-Scholes'!$B$6-C3344,0),MAX(C3344-'Black-Scholes'!$B$6,0))</f>
        <v>0</v>
      </c>
      <c r="F3344" s="18" t="n">
        <f aca="false">(E3344+G3344)/2</f>
        <v>9.06299396812679</v>
      </c>
      <c r="G3344" s="18" t="n">
        <f aca="false">EXP(-'Black-Scholes'!$B$8*'Black-Scholes'!$B$7)*IF(LOWER('Black-Scholes'!$B$11)="put",MAX('Black-Scholes'!$B$6-D3344,0),MAX(D3344-'Black-Scholes'!$B$6,0))</f>
        <v>18.1259879362536</v>
      </c>
    </row>
    <row r="3345" customFormat="false" ht="15" hidden="false" customHeight="false" outlineLevel="0" collapsed="false">
      <c r="A3345" s="0" t="n">
        <v>3334</v>
      </c>
      <c r="B3345" s="15" t="n">
        <v>1.34631446956783</v>
      </c>
      <c r="C3345" s="18" t="n">
        <f aca="false">'Black-Scholes'!$B$5*EXP(('Black-Scholes'!$B$8-'Black-Scholes'!$B$10-'Black-Scholes'!$B$9^2/2)*'Black-Scholes'!$B$7+'Black-Scholes'!$B$9*SQRT('Black-Scholes'!$B$7)*B3345)</f>
        <v>134.886418504931</v>
      </c>
      <c r="D3345" s="18" t="n">
        <f aca="false">'Black-Scholes'!$B$5*EXP(('Black-Scholes'!$B$8-'Black-Scholes'!$B$10-'Black-Scholes'!$B$9^2/2)*'Black-Scholes'!$B$7-'Black-Scholes'!$B$9*SQRT('Black-Scholes'!$B$7)*B3345)</f>
        <v>78.7207903000661</v>
      </c>
      <c r="E3345" s="18" t="n">
        <f aca="false">EXP(-'Black-Scholes'!$B$8*'Black-Scholes'!$B$7)*IF(LOWER('Black-Scholes'!$B$11)="put",MAX('Black-Scholes'!$B$6-C3345,0),MAX(C3345-'Black-Scholes'!$B$6,0))</f>
        <v>33.1849877973361</v>
      </c>
      <c r="F3345" s="18" t="n">
        <f aca="false">(E3345+G3345)/2</f>
        <v>16.5924938986681</v>
      </c>
      <c r="G3345" s="18" t="n">
        <f aca="false">EXP(-'Black-Scholes'!$B$8*'Black-Scholes'!$B$7)*IF(LOWER('Black-Scholes'!$B$11)="put",MAX('Black-Scholes'!$B$6-D3345,0),MAX(D3345-'Black-Scholes'!$B$6,0))</f>
        <v>0</v>
      </c>
    </row>
    <row r="3346" customFormat="false" ht="15" hidden="false" customHeight="false" outlineLevel="0" collapsed="false">
      <c r="A3346" s="0" t="n">
        <v>3335</v>
      </c>
      <c r="B3346" s="15" t="n">
        <v>-1.34861378915788</v>
      </c>
      <c r="C3346" s="18" t="n">
        <f aca="false">'Black-Scholes'!$B$5*EXP(('Black-Scholes'!$B$8-'Black-Scholes'!$B$10-'Black-Scholes'!$B$9^2/2)*'Black-Scholes'!$B$7+'Black-Scholes'!$B$9*SQRT('Black-Scholes'!$B$7)*B3346)</f>
        <v>78.6845977714668</v>
      </c>
      <c r="D3346" s="18" t="n">
        <f aca="false">'Black-Scholes'!$B$5*EXP(('Black-Scholes'!$B$8-'Black-Scholes'!$B$10-'Black-Scholes'!$B$9^2/2)*'Black-Scholes'!$B$7-'Black-Scholes'!$B$9*SQRT('Black-Scholes'!$B$7)*B3346)</f>
        <v>134.948462166558</v>
      </c>
      <c r="E3346" s="18" t="n">
        <f aca="false">EXP(-'Black-Scholes'!$B$8*'Black-Scholes'!$B$7)*IF(LOWER('Black-Scholes'!$B$11)="put",MAX('Black-Scholes'!$B$6-C3346,0),MAX(C3346-'Black-Scholes'!$B$6,0))</f>
        <v>0</v>
      </c>
      <c r="F3346" s="18" t="n">
        <f aca="false">(E3346+G3346)/2</f>
        <v>16.6220027769398</v>
      </c>
      <c r="G3346" s="18" t="n">
        <f aca="false">EXP(-'Black-Scholes'!$B$8*'Black-Scholes'!$B$7)*IF(LOWER('Black-Scholes'!$B$11)="put",MAX('Black-Scholes'!$B$6-D3346,0),MAX(D3346-'Black-Scholes'!$B$6,0))</f>
        <v>33.2440055538796</v>
      </c>
    </row>
    <row r="3347" customFormat="false" ht="15" hidden="false" customHeight="false" outlineLevel="0" collapsed="false">
      <c r="A3347" s="0" t="n">
        <v>3336</v>
      </c>
      <c r="B3347" s="15" t="n">
        <v>-2.36186405098707</v>
      </c>
      <c r="C3347" s="18" t="n">
        <f aca="false">'Black-Scholes'!$B$5*EXP(('Black-Scholes'!$B$8-'Black-Scholes'!$B$10-'Black-Scholes'!$B$9^2/2)*'Black-Scholes'!$B$7+'Black-Scholes'!$B$9*SQRT('Black-Scholes'!$B$7)*B3347)</f>
        <v>64.2510056498564</v>
      </c>
      <c r="D3347" s="18" t="n">
        <f aca="false">'Black-Scholes'!$B$5*EXP(('Black-Scholes'!$B$8-'Black-Scholes'!$B$10-'Black-Scholes'!$B$9^2/2)*'Black-Scholes'!$B$7-'Black-Scholes'!$B$9*SQRT('Black-Scholes'!$B$7)*B3347)</f>
        <v>165.263801835564</v>
      </c>
      <c r="E3347" s="18" t="n">
        <f aca="false">EXP(-'Black-Scholes'!$B$8*'Black-Scholes'!$B$7)*IF(LOWER('Black-Scholes'!$B$11)="put",MAX('Black-Scholes'!$B$6-C3347,0),MAX(C3347-'Black-Scholes'!$B$6,0))</f>
        <v>0</v>
      </c>
      <c r="F3347" s="18" t="n">
        <f aca="false">(E3347+G3347)/2</f>
        <v>31.0404243303863</v>
      </c>
      <c r="G3347" s="18" t="n">
        <f aca="false">EXP(-'Black-Scholes'!$B$8*'Black-Scholes'!$B$7)*IF(LOWER('Black-Scholes'!$B$11)="put",MAX('Black-Scholes'!$B$6-D3347,0),MAX(D3347-'Black-Scholes'!$B$6,0))</f>
        <v>62.0808486607726</v>
      </c>
    </row>
    <row r="3348" customFormat="false" ht="15" hidden="false" customHeight="false" outlineLevel="0" collapsed="false">
      <c r="A3348" s="0" t="n">
        <v>3337</v>
      </c>
      <c r="B3348" s="15" t="n">
        <v>1.43873315330966</v>
      </c>
      <c r="C3348" s="18" t="n">
        <f aca="false">'Black-Scholes'!$B$5*EXP(('Black-Scholes'!$B$8-'Black-Scholes'!$B$10-'Black-Scholes'!$B$9^2/2)*'Black-Scholes'!$B$7+'Black-Scholes'!$B$9*SQRT('Black-Scholes'!$B$7)*B3348)</f>
        <v>137.402808053502</v>
      </c>
      <c r="D3348" s="18" t="n">
        <f aca="false">'Black-Scholes'!$B$5*EXP(('Black-Scholes'!$B$8-'Black-Scholes'!$B$10-'Black-Scholes'!$B$9^2/2)*'Black-Scholes'!$B$7-'Black-Scholes'!$B$9*SQRT('Black-Scholes'!$B$7)*B3348)</f>
        <v>77.2791008850346</v>
      </c>
      <c r="E3348" s="18" t="n">
        <f aca="false">EXP(-'Black-Scholes'!$B$8*'Black-Scholes'!$B$7)*IF(LOWER('Black-Scholes'!$B$11)="put",MAX('Black-Scholes'!$B$6-C3348,0),MAX(C3348-'Black-Scholes'!$B$6,0))</f>
        <v>35.578651579443</v>
      </c>
      <c r="F3348" s="18" t="n">
        <f aca="false">(E3348+G3348)/2</f>
        <v>17.7893257897215</v>
      </c>
      <c r="G3348" s="18" t="n">
        <f aca="false">EXP(-'Black-Scholes'!$B$8*'Black-Scholes'!$B$7)*IF(LOWER('Black-Scholes'!$B$11)="put",MAX('Black-Scholes'!$B$6-D3348,0),MAX(D3348-'Black-Scholes'!$B$6,0))</f>
        <v>0</v>
      </c>
    </row>
    <row r="3349" customFormat="false" ht="15" hidden="false" customHeight="false" outlineLevel="0" collapsed="false">
      <c r="A3349" s="0" t="n">
        <v>3338</v>
      </c>
      <c r="B3349" s="15" t="n">
        <v>-0.7889863690437</v>
      </c>
      <c r="C3349" s="18" t="n">
        <f aca="false">'Black-Scholes'!$B$5*EXP(('Black-Scholes'!$B$8-'Black-Scholes'!$B$10-'Black-Scholes'!$B$9^2/2)*'Black-Scholes'!$B$7+'Black-Scholes'!$B$9*SQRT('Black-Scholes'!$B$7)*B3349)</f>
        <v>88.0031766550354</v>
      </c>
      <c r="D3349" s="18" t="n">
        <f aca="false">'Black-Scholes'!$B$5*EXP(('Black-Scholes'!$B$8-'Black-Scholes'!$B$10-'Black-Scholes'!$B$9^2/2)*'Black-Scholes'!$B$7-'Black-Scholes'!$B$9*SQRT('Black-Scholes'!$B$7)*B3349)</f>
        <v>120.658888338504</v>
      </c>
      <c r="E3349" s="18" t="n">
        <f aca="false">EXP(-'Black-Scholes'!$B$8*'Black-Scholes'!$B$7)*IF(LOWER('Black-Scholes'!$B$11)="put",MAX('Black-Scholes'!$B$6-C3349,0),MAX(C3349-'Black-Scholes'!$B$6,0))</f>
        <v>0</v>
      </c>
      <c r="F3349" s="18" t="n">
        <f aca="false">(E3349+G3349)/2</f>
        <v>9.82567123253005</v>
      </c>
      <c r="G3349" s="18" t="n">
        <f aca="false">EXP(-'Black-Scholes'!$B$8*'Black-Scholes'!$B$7)*IF(LOWER('Black-Scholes'!$B$11)="put",MAX('Black-Scholes'!$B$6-D3349,0),MAX(D3349-'Black-Scholes'!$B$6,0))</f>
        <v>19.6513424650601</v>
      </c>
    </row>
    <row r="3350" customFormat="false" ht="15" hidden="false" customHeight="false" outlineLevel="0" collapsed="false">
      <c r="A3350" s="0" t="n">
        <v>3339</v>
      </c>
      <c r="B3350" s="15" t="n">
        <v>2.21674133422557</v>
      </c>
      <c r="C3350" s="18" t="n">
        <f aca="false">'Black-Scholes'!$B$5*EXP(('Black-Scholes'!$B$8-'Black-Scholes'!$B$10-'Black-Scholes'!$B$9^2/2)*'Black-Scholes'!$B$7+'Black-Scholes'!$B$9*SQRT('Black-Scholes'!$B$7)*B3350)</f>
        <v>160.536037942526</v>
      </c>
      <c r="D3350" s="18" t="n">
        <f aca="false">'Black-Scholes'!$B$5*EXP(('Black-Scholes'!$B$8-'Black-Scholes'!$B$10-'Black-Scholes'!$B$9^2/2)*'Black-Scholes'!$B$7-'Black-Scholes'!$B$9*SQRT('Black-Scholes'!$B$7)*B3350)</f>
        <v>66.143188791386</v>
      </c>
      <c r="E3350" s="18" t="n">
        <f aca="false">EXP(-'Black-Scholes'!$B$8*'Black-Scholes'!$B$7)*IF(LOWER('Black-Scholes'!$B$11)="put",MAX('Black-Scholes'!$B$6-C3350,0),MAX(C3350-'Black-Scholes'!$B$6,0))</f>
        <v>57.5836605336222</v>
      </c>
      <c r="F3350" s="18" t="n">
        <f aca="false">(E3350+G3350)/2</f>
        <v>28.7918302668111</v>
      </c>
      <c r="G3350" s="18" t="n">
        <f aca="false">EXP(-'Black-Scholes'!$B$8*'Black-Scholes'!$B$7)*IF(LOWER('Black-Scholes'!$B$11)="put",MAX('Black-Scholes'!$B$6-D3350,0),MAX(D3350-'Black-Scholes'!$B$6,0))</f>
        <v>0</v>
      </c>
    </row>
    <row r="3351" customFormat="false" ht="15" hidden="false" customHeight="false" outlineLevel="0" collapsed="false">
      <c r="A3351" s="0" t="n">
        <v>3340</v>
      </c>
      <c r="B3351" s="15" t="n">
        <v>0.237674739665749</v>
      </c>
      <c r="C3351" s="18" t="n">
        <f aca="false">'Black-Scholes'!$B$5*EXP(('Black-Scholes'!$B$8-'Black-Scholes'!$B$10-'Black-Scholes'!$B$9^2/2)*'Black-Scholes'!$B$7+'Black-Scholes'!$B$9*SQRT('Black-Scholes'!$B$7)*B3351)</f>
        <v>108.061999723408</v>
      </c>
      <c r="D3351" s="18" t="n">
        <f aca="false">'Black-Scholes'!$B$5*EXP(('Black-Scholes'!$B$8-'Black-Scholes'!$B$10-'Black-Scholes'!$B$9^2/2)*'Black-Scholes'!$B$7-'Black-Scholes'!$B$9*SQRT('Black-Scholes'!$B$7)*B3351)</f>
        <v>98.261789460051</v>
      </c>
      <c r="E3351" s="18" t="n">
        <f aca="false">EXP(-'Black-Scholes'!$B$8*'Black-Scholes'!$B$7)*IF(LOWER('Black-Scholes'!$B$11)="put",MAX('Black-Scholes'!$B$6-C3351,0),MAX(C3351-'Black-Scholes'!$B$6,0))</f>
        <v>7.66881135722222</v>
      </c>
      <c r="F3351" s="18" t="n">
        <f aca="false">(E3351+G3351)/2</f>
        <v>3.83440567861111</v>
      </c>
      <c r="G3351" s="18" t="n">
        <f aca="false">EXP(-'Black-Scholes'!$B$8*'Black-Scholes'!$B$7)*IF(LOWER('Black-Scholes'!$B$11)="put",MAX('Black-Scholes'!$B$6-D3351,0),MAX(D3351-'Black-Scholes'!$B$6,0))</f>
        <v>0</v>
      </c>
    </row>
    <row r="3352" customFormat="false" ht="15" hidden="false" customHeight="false" outlineLevel="0" collapsed="false">
      <c r="A3352" s="0" t="n">
        <v>3341</v>
      </c>
      <c r="B3352" s="15" t="n">
        <v>0.879460670796389</v>
      </c>
      <c r="C3352" s="18" t="n">
        <f aca="false">'Black-Scholes'!$B$5*EXP(('Black-Scholes'!$B$8-'Black-Scholes'!$B$10-'Black-Scholes'!$B$9^2/2)*'Black-Scholes'!$B$7+'Black-Scholes'!$B$9*SQRT('Black-Scholes'!$B$7)*B3352)</f>
        <v>122.862067064596</v>
      </c>
      <c r="D3352" s="18" t="n">
        <f aca="false">'Black-Scholes'!$B$5*EXP(('Black-Scholes'!$B$8-'Black-Scholes'!$B$10-'Black-Scholes'!$B$9^2/2)*'Black-Scholes'!$B$7-'Black-Scholes'!$B$9*SQRT('Black-Scholes'!$B$7)*B3352)</f>
        <v>86.4250921309249</v>
      </c>
      <c r="E3352" s="18" t="n">
        <f aca="false">EXP(-'Black-Scholes'!$B$8*'Black-Scholes'!$B$7)*IF(LOWER('Black-Scholes'!$B$11)="put",MAX('Black-Scholes'!$B$6-C3352,0),MAX(C3352-'Black-Scholes'!$B$6,0))</f>
        <v>21.7470708967526</v>
      </c>
      <c r="F3352" s="18" t="n">
        <f aca="false">(E3352+G3352)/2</f>
        <v>10.8735354483763</v>
      </c>
      <c r="G3352" s="18" t="n">
        <f aca="false">EXP(-'Black-Scholes'!$B$8*'Black-Scholes'!$B$7)*IF(LOWER('Black-Scholes'!$B$11)="put",MAX('Black-Scholes'!$B$6-D3352,0),MAX(D3352-'Black-Scholes'!$B$6,0))</f>
        <v>0</v>
      </c>
    </row>
    <row r="3353" customFormat="false" ht="15" hidden="false" customHeight="false" outlineLevel="0" collapsed="false">
      <c r="A3353" s="0" t="n">
        <v>3342</v>
      </c>
      <c r="B3353" s="15" t="n">
        <v>-0.780961420058537</v>
      </c>
      <c r="C3353" s="18" t="n">
        <f aca="false">'Black-Scholes'!$B$5*EXP(('Black-Scholes'!$B$8-'Black-Scholes'!$B$10-'Black-Scholes'!$B$9^2/2)*'Black-Scholes'!$B$7+'Black-Scholes'!$B$9*SQRT('Black-Scholes'!$B$7)*B3353)</f>
        <v>88.1445342640886</v>
      </c>
      <c r="D3353" s="18" t="n">
        <f aca="false">'Black-Scholes'!$B$5*EXP(('Black-Scholes'!$B$8-'Black-Scholes'!$B$10-'Black-Scholes'!$B$9^2/2)*'Black-Scholes'!$B$7-'Black-Scholes'!$B$9*SQRT('Black-Scholes'!$B$7)*B3353)</f>
        <v>120.465387378871</v>
      </c>
      <c r="E3353" s="18" t="n">
        <f aca="false">EXP(-'Black-Scholes'!$B$8*'Black-Scholes'!$B$7)*IF(LOWER('Black-Scholes'!$B$11)="put",MAX('Black-Scholes'!$B$6-C3353,0),MAX(C3353-'Black-Scholes'!$B$6,0))</f>
        <v>0</v>
      </c>
      <c r="F3353" s="18" t="n">
        <f aca="false">(E3353+G3353)/2</f>
        <v>9.73363932929378</v>
      </c>
      <c r="G3353" s="18" t="n">
        <f aca="false">EXP(-'Black-Scholes'!$B$8*'Black-Scholes'!$B$7)*IF(LOWER('Black-Scholes'!$B$11)="put",MAX('Black-Scholes'!$B$6-D3353,0),MAX(D3353-'Black-Scholes'!$B$6,0))</f>
        <v>19.4672786585876</v>
      </c>
    </row>
    <row r="3354" customFormat="false" ht="15" hidden="false" customHeight="false" outlineLevel="0" collapsed="false">
      <c r="A3354" s="0" t="n">
        <v>3343</v>
      </c>
      <c r="B3354" s="15" t="n">
        <v>-0.636144684427508</v>
      </c>
      <c r="C3354" s="18" t="n">
        <f aca="false">'Black-Scholes'!$B$5*EXP(('Black-Scholes'!$B$8-'Black-Scholes'!$B$10-'Black-Scholes'!$B$9^2/2)*'Black-Scholes'!$B$7+'Black-Scholes'!$B$9*SQRT('Black-Scholes'!$B$7)*B3354)</f>
        <v>90.7348256869452</v>
      </c>
      <c r="D3354" s="18" t="n">
        <f aca="false">'Black-Scholes'!$B$5*EXP(('Black-Scholes'!$B$8-'Black-Scholes'!$B$10-'Black-Scholes'!$B$9^2/2)*'Black-Scholes'!$B$7-'Black-Scholes'!$B$9*SQRT('Black-Scholes'!$B$7)*B3354)</f>
        <v>117.026349971611</v>
      </c>
      <c r="E3354" s="18" t="n">
        <f aca="false">EXP(-'Black-Scholes'!$B$8*'Black-Scholes'!$B$7)*IF(LOWER('Black-Scholes'!$B$11)="put",MAX('Black-Scholes'!$B$6-C3354,0),MAX(C3354-'Black-Scholes'!$B$6,0))</f>
        <v>0</v>
      </c>
      <c r="F3354" s="18" t="n">
        <f aca="false">(E3354+G3354)/2</f>
        <v>8.09798254242177</v>
      </c>
      <c r="G3354" s="18" t="n">
        <f aca="false">EXP(-'Black-Scholes'!$B$8*'Black-Scholes'!$B$7)*IF(LOWER('Black-Scholes'!$B$11)="put",MAX('Black-Scholes'!$B$6-D3354,0),MAX(D3354-'Black-Scholes'!$B$6,0))</f>
        <v>16.1959650848435</v>
      </c>
    </row>
    <row r="3355" customFormat="false" ht="15" hidden="false" customHeight="false" outlineLevel="0" collapsed="false">
      <c r="A3355" s="0" t="n">
        <v>3344</v>
      </c>
      <c r="B3355" s="15" t="n">
        <v>1.49724153421624</v>
      </c>
      <c r="C3355" s="18" t="n">
        <f aca="false">'Black-Scholes'!$B$5*EXP(('Black-Scholes'!$B$8-'Black-Scholes'!$B$10-'Black-Scholes'!$B$9^2/2)*'Black-Scholes'!$B$7+'Black-Scholes'!$B$9*SQRT('Black-Scholes'!$B$7)*B3355)</f>
        <v>139.020095250837</v>
      </c>
      <c r="D3355" s="18" t="n">
        <f aca="false">'Black-Scholes'!$B$5*EXP(('Black-Scholes'!$B$8-'Black-Scholes'!$B$10-'Black-Scholes'!$B$9^2/2)*'Black-Scholes'!$B$7-'Black-Scholes'!$B$9*SQRT('Black-Scholes'!$B$7)*B3355)</f>
        <v>76.380076177438</v>
      </c>
      <c r="E3355" s="18" t="n">
        <f aca="false">EXP(-'Black-Scholes'!$B$8*'Black-Scholes'!$B$7)*IF(LOWER('Black-Scholes'!$B$11)="put",MAX('Black-Scholes'!$B$6-C3355,0),MAX(C3355-'Black-Scholes'!$B$6,0))</f>
        <v>37.1170627494165</v>
      </c>
      <c r="F3355" s="18" t="n">
        <f aca="false">(E3355+G3355)/2</f>
        <v>18.5585313747083</v>
      </c>
      <c r="G3355" s="18" t="n">
        <f aca="false">EXP(-'Black-Scholes'!$B$8*'Black-Scholes'!$B$7)*IF(LOWER('Black-Scholes'!$B$11)="put",MAX('Black-Scholes'!$B$6-D3355,0),MAX(D3355-'Black-Scholes'!$B$6,0))</f>
        <v>0</v>
      </c>
    </row>
    <row r="3356" customFormat="false" ht="15" hidden="false" customHeight="false" outlineLevel="0" collapsed="false">
      <c r="A3356" s="0" t="n">
        <v>3345</v>
      </c>
      <c r="B3356" s="15" t="n">
        <v>0.303464041492907</v>
      </c>
      <c r="C3356" s="18" t="n">
        <f aca="false">'Black-Scholes'!$B$5*EXP(('Black-Scholes'!$B$8-'Black-Scholes'!$B$10-'Black-Scholes'!$B$9^2/2)*'Black-Scholes'!$B$7+'Black-Scholes'!$B$9*SQRT('Black-Scholes'!$B$7)*B3356)</f>
        <v>109.493259938242</v>
      </c>
      <c r="D3356" s="18" t="n">
        <f aca="false">'Black-Scholes'!$B$5*EXP(('Black-Scholes'!$B$8-'Black-Scholes'!$B$10-'Black-Scholes'!$B$9^2/2)*'Black-Scholes'!$B$7-'Black-Scholes'!$B$9*SQRT('Black-Scholes'!$B$7)*B3356)</f>
        <v>96.9773433674613</v>
      </c>
      <c r="E3356" s="18" t="n">
        <f aca="false">EXP(-'Black-Scholes'!$B$8*'Black-Scholes'!$B$7)*IF(LOWER('Black-Scholes'!$B$11)="put",MAX('Black-Scholes'!$B$6-C3356,0),MAX(C3356-'Black-Scholes'!$B$6,0))</f>
        <v>9.03026818768972</v>
      </c>
      <c r="F3356" s="18" t="n">
        <f aca="false">(E3356+G3356)/2</f>
        <v>4.51513409384486</v>
      </c>
      <c r="G3356" s="18" t="n">
        <f aca="false">EXP(-'Black-Scholes'!$B$8*'Black-Scholes'!$B$7)*IF(LOWER('Black-Scholes'!$B$11)="put",MAX('Black-Scholes'!$B$6-D3356,0),MAX(D3356-'Black-Scholes'!$B$6,0))</f>
        <v>0</v>
      </c>
    </row>
    <row r="3357" customFormat="false" ht="15" hidden="false" customHeight="false" outlineLevel="0" collapsed="false">
      <c r="A3357" s="0" t="n">
        <v>3346</v>
      </c>
      <c r="B3357" s="15" t="n">
        <v>-0.556732466480514</v>
      </c>
      <c r="C3357" s="18" t="n">
        <f aca="false">'Black-Scholes'!$B$5*EXP(('Black-Scholes'!$B$8-'Black-Scholes'!$B$10-'Black-Scholes'!$B$9^2/2)*'Black-Scholes'!$B$7+'Black-Scholes'!$B$9*SQRT('Black-Scholes'!$B$7)*B3357)</f>
        <v>92.1874212864604</v>
      </c>
      <c r="D3357" s="18" t="n">
        <f aca="false">'Black-Scholes'!$B$5*EXP(('Black-Scholes'!$B$8-'Black-Scholes'!$B$10-'Black-Scholes'!$B$9^2/2)*'Black-Scholes'!$B$7-'Black-Scholes'!$B$9*SQRT('Black-Scholes'!$B$7)*B3357)</f>
        <v>115.182367803286</v>
      </c>
      <c r="E3357" s="18" t="n">
        <f aca="false">EXP(-'Black-Scholes'!$B$8*'Black-Scholes'!$B$7)*IF(LOWER('Black-Scholes'!$B$11)="put",MAX('Black-Scholes'!$B$6-C3357,0),MAX(C3357-'Black-Scholes'!$B$6,0))</f>
        <v>0</v>
      </c>
      <c r="F3357" s="18" t="n">
        <f aca="false">(E3357+G3357)/2</f>
        <v>7.22095749403917</v>
      </c>
      <c r="G3357" s="18" t="n">
        <f aca="false">EXP(-'Black-Scholes'!$B$8*'Black-Scholes'!$B$7)*IF(LOWER('Black-Scholes'!$B$11)="put",MAX('Black-Scholes'!$B$6-D3357,0),MAX(D3357-'Black-Scholes'!$B$6,0))</f>
        <v>14.4419149880783</v>
      </c>
    </row>
    <row r="3358" customFormat="false" ht="15" hidden="false" customHeight="false" outlineLevel="0" collapsed="false">
      <c r="A3358" s="0" t="n">
        <v>3347</v>
      </c>
      <c r="B3358" s="15" t="n">
        <v>-0.982329524064821</v>
      </c>
      <c r="C3358" s="18" t="n">
        <f aca="false">'Black-Scholes'!$B$5*EXP(('Black-Scholes'!$B$8-'Black-Scholes'!$B$10-'Black-Scholes'!$B$9^2/2)*'Black-Scholes'!$B$7+'Black-Scholes'!$B$9*SQRT('Black-Scholes'!$B$7)*B3358)</f>
        <v>84.6651683190829</v>
      </c>
      <c r="D3358" s="18" t="n">
        <f aca="false">'Black-Scholes'!$B$5*EXP(('Black-Scholes'!$B$8-'Black-Scholes'!$B$10-'Black-Scholes'!$B$9^2/2)*'Black-Scholes'!$B$7-'Black-Scholes'!$B$9*SQRT('Black-Scholes'!$B$7)*B3358)</f>
        <v>125.415984829033</v>
      </c>
      <c r="E3358" s="18" t="n">
        <f aca="false">EXP(-'Black-Scholes'!$B$8*'Black-Scholes'!$B$7)*IF(LOWER('Black-Scholes'!$B$11)="put",MAX('Black-Scholes'!$B$6-C3358,0),MAX(C3358-'Black-Scholes'!$B$6,0))</f>
        <v>0</v>
      </c>
      <c r="F3358" s="18" t="n">
        <f aca="false">(E3358+G3358)/2</f>
        <v>12.0882163110198</v>
      </c>
      <c r="G3358" s="18" t="n">
        <f aca="false">EXP(-'Black-Scholes'!$B$8*'Black-Scholes'!$B$7)*IF(LOWER('Black-Scholes'!$B$11)="put",MAX('Black-Scholes'!$B$6-D3358,0),MAX(D3358-'Black-Scholes'!$B$6,0))</f>
        <v>24.1764326220396</v>
      </c>
    </row>
    <row r="3359" customFormat="false" ht="15" hidden="false" customHeight="false" outlineLevel="0" collapsed="false">
      <c r="A3359" s="0" t="n">
        <v>3348</v>
      </c>
      <c r="B3359" s="15" t="n">
        <v>0.669735919063044</v>
      </c>
      <c r="C3359" s="18" t="n">
        <f aca="false">'Black-Scholes'!$B$5*EXP(('Black-Scholes'!$B$8-'Black-Scholes'!$B$10-'Black-Scholes'!$B$9^2/2)*'Black-Scholes'!$B$7+'Black-Scholes'!$B$9*SQRT('Black-Scholes'!$B$7)*B3359)</f>
        <v>117.815208794798</v>
      </c>
      <c r="D3359" s="18" t="n">
        <f aca="false">'Black-Scholes'!$B$5*EXP(('Black-Scholes'!$B$8-'Black-Scholes'!$B$10-'Black-Scholes'!$B$9^2/2)*'Black-Scholes'!$B$7-'Black-Scholes'!$B$9*SQRT('Black-Scholes'!$B$7)*B3359)</f>
        <v>90.1272897962424</v>
      </c>
      <c r="E3359" s="18" t="n">
        <f aca="false">EXP(-'Black-Scholes'!$B$8*'Black-Scholes'!$B$7)*IF(LOWER('Black-Scholes'!$B$11)="put",MAX('Black-Scholes'!$B$6-C3359,0),MAX(C3359-'Black-Scholes'!$B$6,0))</f>
        <v>16.9463508092361</v>
      </c>
      <c r="F3359" s="18" t="n">
        <f aca="false">(E3359+G3359)/2</f>
        <v>8.47317540461807</v>
      </c>
      <c r="G3359" s="18" t="n">
        <f aca="false">EXP(-'Black-Scholes'!$B$8*'Black-Scholes'!$B$7)*IF(LOWER('Black-Scholes'!$B$11)="put",MAX('Black-Scholes'!$B$6-D3359,0),MAX(D3359-'Black-Scholes'!$B$6,0))</f>
        <v>0</v>
      </c>
    </row>
    <row r="3360" customFormat="false" ht="15" hidden="false" customHeight="false" outlineLevel="0" collapsed="false">
      <c r="A3360" s="0" t="n">
        <v>3349</v>
      </c>
      <c r="B3360" s="15" t="n">
        <v>-0.474758837999931</v>
      </c>
      <c r="C3360" s="18" t="n">
        <f aca="false">'Black-Scholes'!$B$5*EXP(('Black-Scholes'!$B$8-'Black-Scholes'!$B$10-'Black-Scholes'!$B$9^2/2)*'Black-Scholes'!$B$7+'Black-Scholes'!$B$9*SQRT('Black-Scholes'!$B$7)*B3360)</f>
        <v>93.7112661480135</v>
      </c>
      <c r="D3360" s="18" t="n">
        <f aca="false">'Black-Scholes'!$B$5*EXP(('Black-Scholes'!$B$8-'Black-Scholes'!$B$10-'Black-Scholes'!$B$9^2/2)*'Black-Scholes'!$B$7-'Black-Scholes'!$B$9*SQRT('Black-Scholes'!$B$7)*B3360)</f>
        <v>113.30937999154</v>
      </c>
      <c r="E3360" s="18" t="n">
        <f aca="false">EXP(-'Black-Scholes'!$B$8*'Black-Scholes'!$B$7)*IF(LOWER('Black-Scholes'!$B$11)="put",MAX('Black-Scholes'!$B$6-C3360,0),MAX(C3360-'Black-Scholes'!$B$6,0))</f>
        <v>0</v>
      </c>
      <c r="F3360" s="18" t="n">
        <f aca="false">(E3360+G3360)/2</f>
        <v>6.33013693490695</v>
      </c>
      <c r="G3360" s="18" t="n">
        <f aca="false">EXP(-'Black-Scholes'!$B$8*'Black-Scholes'!$B$7)*IF(LOWER('Black-Scholes'!$B$11)="put",MAX('Black-Scholes'!$B$6-D3360,0),MAX(D3360-'Black-Scholes'!$B$6,0))</f>
        <v>12.6602738698139</v>
      </c>
    </row>
    <row r="3361" customFormat="false" ht="15" hidden="false" customHeight="false" outlineLevel="0" collapsed="false">
      <c r="A3361" s="0" t="n">
        <v>3350</v>
      </c>
      <c r="B3361" s="15" t="n">
        <v>-0.735901823028812</v>
      </c>
      <c r="C3361" s="18" t="n">
        <f aca="false">'Black-Scholes'!$B$5*EXP(('Black-Scholes'!$B$8-'Black-Scholes'!$B$10-'Black-Scholes'!$B$9^2/2)*'Black-Scholes'!$B$7+'Black-Scholes'!$B$9*SQRT('Black-Scholes'!$B$7)*B3361)</f>
        <v>88.9424757949606</v>
      </c>
      <c r="D3361" s="18" t="n">
        <f aca="false">'Black-Scholes'!$B$5*EXP(('Black-Scholes'!$B$8-'Black-Scholes'!$B$10-'Black-Scholes'!$B$9^2/2)*'Black-Scholes'!$B$7-'Black-Scholes'!$B$9*SQRT('Black-Scholes'!$B$7)*B3361)</f>
        <v>119.384640134508</v>
      </c>
      <c r="E3361" s="18" t="n">
        <f aca="false">EXP(-'Black-Scholes'!$B$8*'Black-Scholes'!$B$7)*IF(LOWER('Black-Scholes'!$B$11)="put",MAX('Black-Scholes'!$B$6-C3361,0),MAX(C3361-'Black-Scholes'!$B$6,0))</f>
        <v>0</v>
      </c>
      <c r="F3361" s="18" t="n">
        <f aca="false">(E3361+G3361)/2</f>
        <v>9.21962003965091</v>
      </c>
      <c r="G3361" s="18" t="n">
        <f aca="false">EXP(-'Black-Scholes'!$B$8*'Black-Scholes'!$B$7)*IF(LOWER('Black-Scholes'!$B$11)="put",MAX('Black-Scholes'!$B$6-D3361,0),MAX(D3361-'Black-Scholes'!$B$6,0))</f>
        <v>18.4392400793018</v>
      </c>
    </row>
    <row r="3362" customFormat="false" ht="15" hidden="false" customHeight="false" outlineLevel="0" collapsed="false">
      <c r="A3362" s="0" t="n">
        <v>3351</v>
      </c>
      <c r="B3362" s="15" t="n">
        <v>-0.894821526976906</v>
      </c>
      <c r="C3362" s="18" t="n">
        <f aca="false">'Black-Scholes'!$B$5*EXP(('Black-Scholes'!$B$8-'Black-Scholes'!$B$10-'Black-Scholes'!$B$9^2/2)*'Black-Scholes'!$B$7+'Black-Scholes'!$B$9*SQRT('Black-Scholes'!$B$7)*B3362)</f>
        <v>86.1599868816738</v>
      </c>
      <c r="D3362" s="18" t="n">
        <f aca="false">'Black-Scholes'!$B$5*EXP(('Black-Scholes'!$B$8-'Black-Scholes'!$B$10-'Black-Scholes'!$B$9^2/2)*'Black-Scholes'!$B$7-'Black-Scholes'!$B$9*SQRT('Black-Scholes'!$B$7)*B3362)</f>
        <v>123.240100767844</v>
      </c>
      <c r="E3362" s="18" t="n">
        <f aca="false">EXP(-'Black-Scholes'!$B$8*'Black-Scholes'!$B$7)*IF(LOWER('Black-Scholes'!$B$11)="put",MAX('Black-Scholes'!$B$6-C3362,0),MAX(C3362-'Black-Scholes'!$B$6,0))</f>
        <v>0</v>
      </c>
      <c r="F3362" s="18" t="n">
        <f aca="false">(E3362+G3362)/2</f>
        <v>11.0533338393675</v>
      </c>
      <c r="G3362" s="18" t="n">
        <f aca="false">EXP(-'Black-Scholes'!$B$8*'Black-Scholes'!$B$7)*IF(LOWER('Black-Scholes'!$B$11)="put",MAX('Black-Scholes'!$B$6-D3362,0),MAX(D3362-'Black-Scholes'!$B$6,0))</f>
        <v>22.1066676787349</v>
      </c>
    </row>
    <row r="3363" customFormat="false" ht="15" hidden="false" customHeight="false" outlineLevel="0" collapsed="false">
      <c r="A3363" s="0" t="n">
        <v>3352</v>
      </c>
      <c r="B3363" s="15" t="n">
        <v>0.887015092693679</v>
      </c>
      <c r="C3363" s="18" t="n">
        <f aca="false">'Black-Scholes'!$B$5*EXP(('Black-Scholes'!$B$8-'Black-Scholes'!$B$10-'Black-Scholes'!$B$9^2/2)*'Black-Scholes'!$B$7+'Black-Scholes'!$B$9*SQRT('Black-Scholes'!$B$7)*B3363)</f>
        <v>123.047837746223</v>
      </c>
      <c r="D3363" s="18" t="n">
        <f aca="false">'Black-Scholes'!$B$5*EXP(('Black-Scholes'!$B$8-'Black-Scholes'!$B$10-'Black-Scholes'!$B$9^2/2)*'Black-Scholes'!$B$7-'Black-Scholes'!$B$9*SQRT('Black-Scholes'!$B$7)*B3363)</f>
        <v>86.294612403943</v>
      </c>
      <c r="E3363" s="18" t="n">
        <f aca="false">EXP(-'Black-Scholes'!$B$8*'Black-Scholes'!$B$7)*IF(LOWER('Black-Scholes'!$B$11)="put",MAX('Black-Scholes'!$B$6-C3363,0),MAX(C3363-'Black-Scholes'!$B$6,0))</f>
        <v>21.9237814353257</v>
      </c>
      <c r="F3363" s="18" t="n">
        <f aca="false">(E3363+G3363)/2</f>
        <v>10.9618907176629</v>
      </c>
      <c r="G3363" s="18" t="n">
        <f aca="false">EXP(-'Black-Scholes'!$B$8*'Black-Scholes'!$B$7)*IF(LOWER('Black-Scholes'!$B$11)="put",MAX('Black-Scholes'!$B$6-D3363,0),MAX(D3363-'Black-Scholes'!$B$6,0))</f>
        <v>0</v>
      </c>
    </row>
    <row r="3364" customFormat="false" ht="15" hidden="false" customHeight="false" outlineLevel="0" collapsed="false">
      <c r="A3364" s="0" t="n">
        <v>3353</v>
      </c>
      <c r="B3364" s="15" t="n">
        <v>0.0101892715056239</v>
      </c>
      <c r="C3364" s="18" t="n">
        <f aca="false">'Black-Scholes'!$B$5*EXP(('Black-Scholes'!$B$8-'Black-Scholes'!$B$10-'Black-Scholes'!$B$9^2/2)*'Black-Scholes'!$B$7+'Black-Scholes'!$B$9*SQRT('Black-Scholes'!$B$7)*B3364)</f>
        <v>103.255659127346</v>
      </c>
      <c r="D3364" s="18" t="n">
        <f aca="false">'Black-Scholes'!$B$5*EXP(('Black-Scholes'!$B$8-'Black-Scholes'!$B$10-'Black-Scholes'!$B$9^2/2)*'Black-Scholes'!$B$7-'Black-Scholes'!$B$9*SQRT('Black-Scholes'!$B$7)*B3364)</f>
        <v>102.835675595832</v>
      </c>
      <c r="E3364" s="18" t="n">
        <f aca="false">EXP(-'Black-Scholes'!$B$8*'Black-Scholes'!$B$7)*IF(LOWER('Black-Scholes'!$B$11)="put",MAX('Black-Scholes'!$B$6-C3364,0),MAX(C3364-'Black-Scholes'!$B$6,0))</f>
        <v>3.09687875807604</v>
      </c>
      <c r="F3364" s="18" t="n">
        <f aca="false">(E3364+G3364)/2</f>
        <v>2.89712841158507</v>
      </c>
      <c r="G3364" s="18" t="n">
        <f aca="false">EXP(-'Black-Scholes'!$B$8*'Black-Scholes'!$B$7)*IF(LOWER('Black-Scholes'!$B$11)="put",MAX('Black-Scholes'!$B$6-D3364,0),MAX(D3364-'Black-Scholes'!$B$6,0))</f>
        <v>2.6973780650941</v>
      </c>
    </row>
    <row r="3365" customFormat="false" ht="15" hidden="false" customHeight="false" outlineLevel="0" collapsed="false">
      <c r="A3365" s="0" t="n">
        <v>3354</v>
      </c>
      <c r="B3365" s="15" t="n">
        <v>0.259448794974897</v>
      </c>
      <c r="C3365" s="18" t="n">
        <f aca="false">'Black-Scholes'!$B$5*EXP(('Black-Scholes'!$B$8-'Black-Scholes'!$B$10-'Black-Scholes'!$B$9^2/2)*'Black-Scholes'!$B$7+'Black-Scholes'!$B$9*SQRT('Black-Scholes'!$B$7)*B3365)</f>
        <v>108.533615468574</v>
      </c>
      <c r="D3365" s="18" t="n">
        <f aca="false">'Black-Scholes'!$B$5*EXP(('Black-Scholes'!$B$8-'Black-Scholes'!$B$10-'Black-Scholes'!$B$9^2/2)*'Black-Scholes'!$B$7-'Black-Scholes'!$B$9*SQRT('Black-Scholes'!$B$7)*B3365)</f>
        <v>97.8348083182408</v>
      </c>
      <c r="E3365" s="18" t="n">
        <f aca="false">EXP(-'Black-Scholes'!$B$8*'Black-Scholes'!$B$7)*IF(LOWER('Black-Scholes'!$B$11)="put",MAX('Black-Scholes'!$B$6-C3365,0),MAX(C3365-'Black-Scholes'!$B$6,0))</f>
        <v>8.1174261310821</v>
      </c>
      <c r="F3365" s="18" t="n">
        <f aca="false">(E3365+G3365)/2</f>
        <v>4.05871306554105</v>
      </c>
      <c r="G3365" s="18" t="n">
        <f aca="false">EXP(-'Black-Scholes'!$B$8*'Black-Scholes'!$B$7)*IF(LOWER('Black-Scholes'!$B$11)="put",MAX('Black-Scholes'!$B$6-D3365,0),MAX(D3365-'Black-Scholes'!$B$6,0))</f>
        <v>0</v>
      </c>
    </row>
    <row r="3366" customFormat="false" ht="15" hidden="false" customHeight="false" outlineLevel="0" collapsed="false">
      <c r="A3366" s="0" t="n">
        <v>3355</v>
      </c>
      <c r="B3366" s="15" t="n">
        <v>-2.02297406606435</v>
      </c>
      <c r="C3366" s="18" t="n">
        <f aca="false">'Black-Scholes'!$B$5*EXP(('Black-Scholes'!$B$8-'Black-Scholes'!$B$10-'Black-Scholes'!$B$9^2/2)*'Black-Scholes'!$B$7+'Black-Scholes'!$B$9*SQRT('Black-Scholes'!$B$7)*B3366)</f>
        <v>68.7567815751612</v>
      </c>
      <c r="D3366" s="18" t="n">
        <f aca="false">'Black-Scholes'!$B$5*EXP(('Black-Scholes'!$B$8-'Black-Scholes'!$B$10-'Black-Scholes'!$B$9^2/2)*'Black-Scholes'!$B$7-'Black-Scholes'!$B$9*SQRT('Black-Scholes'!$B$7)*B3366)</f>
        <v>154.433718713931</v>
      </c>
      <c r="E3366" s="18" t="n">
        <f aca="false">EXP(-'Black-Scholes'!$B$8*'Black-Scholes'!$B$7)*IF(LOWER('Black-Scholes'!$B$11)="put",MAX('Black-Scholes'!$B$6-C3366,0),MAX(C3366-'Black-Scholes'!$B$6,0))</f>
        <v>0</v>
      </c>
      <c r="F3366" s="18" t="n">
        <f aca="false">(E3366+G3366)/2</f>
        <v>25.8894774628429</v>
      </c>
      <c r="G3366" s="18" t="n">
        <f aca="false">EXP(-'Black-Scholes'!$B$8*'Black-Scholes'!$B$7)*IF(LOWER('Black-Scholes'!$B$11)="put",MAX('Black-Scholes'!$B$6-D3366,0),MAX(D3366-'Black-Scholes'!$B$6,0))</f>
        <v>51.7789549256858</v>
      </c>
    </row>
    <row r="3367" customFormat="false" ht="15" hidden="false" customHeight="false" outlineLevel="0" collapsed="false">
      <c r="A3367" s="0" t="n">
        <v>3356</v>
      </c>
      <c r="B3367" s="15" t="n">
        <v>1.309686686705</v>
      </c>
      <c r="C3367" s="18" t="n">
        <f aca="false">'Black-Scholes'!$B$5*EXP(('Black-Scholes'!$B$8-'Black-Scholes'!$B$10-'Black-Scholes'!$B$9^2/2)*'Black-Scholes'!$B$7+'Black-Scholes'!$B$9*SQRT('Black-Scholes'!$B$7)*B3367)</f>
        <v>133.901910851254</v>
      </c>
      <c r="D3367" s="18" t="n">
        <f aca="false">'Black-Scholes'!$B$5*EXP(('Black-Scholes'!$B$8-'Black-Scholes'!$B$10-'Black-Scholes'!$B$9^2/2)*'Black-Scholes'!$B$7-'Black-Scholes'!$B$9*SQRT('Black-Scholes'!$B$7)*B3367)</f>
        <v>79.2995812976041</v>
      </c>
      <c r="E3367" s="18" t="n">
        <f aca="false">EXP(-'Black-Scholes'!$B$8*'Black-Scholes'!$B$7)*IF(LOWER('Black-Scholes'!$B$11)="put",MAX('Black-Scholes'!$B$6-C3367,0),MAX(C3367-'Black-Scholes'!$B$6,0))</f>
        <v>32.2484951485133</v>
      </c>
      <c r="F3367" s="18" t="n">
        <f aca="false">(E3367+G3367)/2</f>
        <v>16.1242475742567</v>
      </c>
      <c r="G3367" s="18" t="n">
        <f aca="false">EXP(-'Black-Scholes'!$B$8*'Black-Scholes'!$B$7)*IF(LOWER('Black-Scholes'!$B$11)="put",MAX('Black-Scholes'!$B$6-D3367,0),MAX(D3367-'Black-Scholes'!$B$6,0))</f>
        <v>0</v>
      </c>
    </row>
    <row r="3368" customFormat="false" ht="15" hidden="false" customHeight="false" outlineLevel="0" collapsed="false">
      <c r="A3368" s="0" t="n">
        <v>3357</v>
      </c>
      <c r="B3368" s="15" t="n">
        <v>-1.76965383616345</v>
      </c>
      <c r="C3368" s="18" t="n">
        <f aca="false">'Black-Scholes'!$B$5*EXP(('Black-Scholes'!$B$8-'Black-Scholes'!$B$10-'Black-Scholes'!$B$9^2/2)*'Black-Scholes'!$B$7+'Black-Scholes'!$B$9*SQRT('Black-Scholes'!$B$7)*B3368)</f>
        <v>72.3300316728954</v>
      </c>
      <c r="D3368" s="18" t="n">
        <f aca="false">'Black-Scholes'!$B$5*EXP(('Black-Scholes'!$B$8-'Black-Scholes'!$B$10-'Black-Scholes'!$B$9^2/2)*'Black-Scholes'!$B$7-'Black-Scholes'!$B$9*SQRT('Black-Scholes'!$B$7)*B3368)</f>
        <v>146.804380142871</v>
      </c>
      <c r="E3368" s="18" t="n">
        <f aca="false">EXP(-'Black-Scholes'!$B$8*'Black-Scholes'!$B$7)*IF(LOWER('Black-Scholes'!$B$11)="put",MAX('Black-Scholes'!$B$6-C3368,0),MAX(C3368-'Black-Scholes'!$B$6,0))</f>
        <v>0</v>
      </c>
      <c r="F3368" s="18" t="n">
        <f aca="false">(E3368+G3368)/2</f>
        <v>22.2608517937077</v>
      </c>
      <c r="G3368" s="18" t="n">
        <f aca="false">EXP(-'Black-Scholes'!$B$8*'Black-Scholes'!$B$7)*IF(LOWER('Black-Scholes'!$B$11)="put",MAX('Black-Scholes'!$B$6-D3368,0),MAX(D3368-'Black-Scholes'!$B$6,0))</f>
        <v>44.5217035874154</v>
      </c>
    </row>
    <row r="3369" customFormat="false" ht="15" hidden="false" customHeight="false" outlineLevel="0" collapsed="false">
      <c r="A3369" s="0" t="n">
        <v>3358</v>
      </c>
      <c r="B3369" s="15" t="n">
        <v>-0.117740475135222</v>
      </c>
      <c r="C3369" s="18" t="n">
        <f aca="false">'Black-Scholes'!$B$5*EXP(('Black-Scholes'!$B$8-'Black-Scholes'!$B$10-'Black-Scholes'!$B$9^2/2)*'Black-Scholes'!$B$7+'Black-Scholes'!$B$9*SQRT('Black-Scholes'!$B$7)*B3369)</f>
        <v>100.647276334646</v>
      </c>
      <c r="D3369" s="18" t="n">
        <f aca="false">'Black-Scholes'!$B$5*EXP(('Black-Scholes'!$B$8-'Black-Scholes'!$B$10-'Black-Scholes'!$B$9^2/2)*'Black-Scholes'!$B$7-'Black-Scholes'!$B$9*SQRT('Black-Scholes'!$B$7)*B3369)</f>
        <v>105.500773117279</v>
      </c>
      <c r="E3369" s="18" t="n">
        <f aca="false">EXP(-'Black-Scholes'!$B$8*'Black-Scholes'!$B$7)*IF(LOWER('Black-Scholes'!$B$11)="put",MAX('Black-Scholes'!$B$6-C3369,0),MAX(C3369-'Black-Scholes'!$B$6,0))</f>
        <v>0.615708295298673</v>
      </c>
      <c r="F3369" s="18" t="n">
        <f aca="false">(E3369+G3369)/2</f>
        <v>2.92410277097838</v>
      </c>
      <c r="G3369" s="18" t="n">
        <f aca="false">EXP(-'Black-Scholes'!$B$8*'Black-Scholes'!$B$7)*IF(LOWER('Black-Scholes'!$B$11)="put",MAX('Black-Scholes'!$B$6-D3369,0),MAX(D3369-'Black-Scholes'!$B$6,0))</f>
        <v>5.23249724665808</v>
      </c>
    </row>
    <row r="3370" customFormat="false" ht="15" hidden="false" customHeight="false" outlineLevel="0" collapsed="false">
      <c r="A3370" s="0" t="n">
        <v>3359</v>
      </c>
      <c r="B3370" s="15" t="n">
        <v>-0.0667695373981195</v>
      </c>
      <c r="C3370" s="18" t="n">
        <f aca="false">'Black-Scholes'!$B$5*EXP(('Black-Scholes'!$B$8-'Black-Scholes'!$B$10-'Black-Scholes'!$B$9^2/2)*'Black-Scholes'!$B$7+'Black-Scholes'!$B$9*SQRT('Black-Scholes'!$B$7)*B3370)</f>
        <v>101.678541067927</v>
      </c>
      <c r="D3370" s="18" t="n">
        <f aca="false">'Black-Scholes'!$B$5*EXP(('Black-Scholes'!$B$8-'Black-Scholes'!$B$10-'Black-Scholes'!$B$9^2/2)*'Black-Scholes'!$B$7-'Black-Scholes'!$B$9*SQRT('Black-Scholes'!$B$7)*B3370)</f>
        <v>104.430741766445</v>
      </c>
      <c r="E3370" s="18" t="n">
        <f aca="false">EXP(-'Black-Scholes'!$B$8*'Black-Scholes'!$B$7)*IF(LOWER('Black-Scholes'!$B$11)="put",MAX('Black-Scholes'!$B$6-C3370,0),MAX(C3370-'Black-Scholes'!$B$6,0))</f>
        <v>1.59667765404537</v>
      </c>
      <c r="F3370" s="18" t="n">
        <f aca="false">(E3370+G3370)/2</f>
        <v>2.90566479732606</v>
      </c>
      <c r="G3370" s="18" t="n">
        <f aca="false">EXP(-'Black-Scholes'!$B$8*'Black-Scholes'!$B$7)*IF(LOWER('Black-Scholes'!$B$11)="put",MAX('Black-Scholes'!$B$6-D3370,0),MAX(D3370-'Black-Scholes'!$B$6,0))</f>
        <v>4.21465194060675</v>
      </c>
    </row>
    <row r="3371" customFormat="false" ht="15" hidden="false" customHeight="false" outlineLevel="0" collapsed="false">
      <c r="A3371" s="0" t="n">
        <v>3360</v>
      </c>
      <c r="B3371" s="15" t="n">
        <v>0.0567203962080078</v>
      </c>
      <c r="C3371" s="18" t="n">
        <f aca="false">'Black-Scholes'!$B$5*EXP(('Black-Scholes'!$B$8-'Black-Scholes'!$B$10-'Black-Scholes'!$B$9^2/2)*'Black-Scholes'!$B$7+'Black-Scholes'!$B$9*SQRT('Black-Scholes'!$B$7)*B3371)</f>
        <v>104.22106469076</v>
      </c>
      <c r="D3371" s="18" t="n">
        <f aca="false">'Black-Scholes'!$B$5*EXP(('Black-Scholes'!$B$8-'Black-Scholes'!$B$10-'Black-Scholes'!$B$9^2/2)*'Black-Scholes'!$B$7-'Black-Scholes'!$B$9*SQRT('Black-Scholes'!$B$7)*B3371)</f>
        <v>101.88310296925</v>
      </c>
      <c r="E3371" s="18" t="n">
        <f aca="false">EXP(-'Black-Scholes'!$B$8*'Black-Scholes'!$B$7)*IF(LOWER('Black-Scholes'!$B$11)="put",MAX('Black-Scholes'!$B$6-C3371,0),MAX(C3371-'Black-Scholes'!$B$6,0))</f>
        <v>4.01520093657185</v>
      </c>
      <c r="F3371" s="18" t="n">
        <f aca="false">(E3371+G3371)/2</f>
        <v>2.90323194514373</v>
      </c>
      <c r="G3371" s="18" t="n">
        <f aca="false">EXP(-'Black-Scholes'!$B$8*'Black-Scholes'!$B$7)*IF(LOWER('Black-Scholes'!$B$11)="put",MAX('Black-Scholes'!$B$6-D3371,0),MAX(D3371-'Black-Scholes'!$B$6,0))</f>
        <v>1.7912629537156</v>
      </c>
    </row>
    <row r="3372" customFormat="false" ht="15" hidden="false" customHeight="false" outlineLevel="0" collapsed="false">
      <c r="A3372" s="0" t="n">
        <v>3361</v>
      </c>
      <c r="B3372" s="15" t="n">
        <v>-0.242442977576103</v>
      </c>
      <c r="C3372" s="18" t="n">
        <f aca="false">'Black-Scholes'!$B$5*EXP(('Black-Scholes'!$B$8-'Black-Scholes'!$B$10-'Black-Scholes'!$B$9^2/2)*'Black-Scholes'!$B$7+'Black-Scholes'!$B$9*SQRT('Black-Scholes'!$B$7)*B3372)</f>
        <v>98.1681270097055</v>
      </c>
      <c r="D3372" s="18" t="n">
        <f aca="false">'Black-Scholes'!$B$5*EXP(('Black-Scholes'!$B$8-'Black-Scholes'!$B$10-'Black-Scholes'!$B$9^2/2)*'Black-Scholes'!$B$7-'Black-Scholes'!$B$9*SQRT('Black-Scholes'!$B$7)*B3372)</f>
        <v>108.165101941935</v>
      </c>
      <c r="E3372" s="18" t="n">
        <f aca="false">EXP(-'Black-Scholes'!$B$8*'Black-Scholes'!$B$7)*IF(LOWER('Black-Scholes'!$B$11)="put",MAX('Black-Scholes'!$B$6-C3372,0),MAX(C3372-'Black-Scholes'!$B$6,0))</f>
        <v>0</v>
      </c>
      <c r="F3372" s="18" t="n">
        <f aca="false">(E3372+G3372)/2</f>
        <v>3.88344261060814</v>
      </c>
      <c r="G3372" s="18" t="n">
        <f aca="false">EXP(-'Black-Scholes'!$B$8*'Black-Scholes'!$B$7)*IF(LOWER('Black-Scholes'!$B$11)="put",MAX('Black-Scholes'!$B$6-D3372,0),MAX(D3372-'Black-Scholes'!$B$6,0))</f>
        <v>7.76688522121628</v>
      </c>
    </row>
    <row r="3373" customFormat="false" ht="15" hidden="false" customHeight="false" outlineLevel="0" collapsed="false">
      <c r="A3373" s="0" t="n">
        <v>3362</v>
      </c>
      <c r="B3373" s="15" t="n">
        <v>-0.115689101047501</v>
      </c>
      <c r="C3373" s="18" t="n">
        <f aca="false">'Black-Scholes'!$B$5*EXP(('Black-Scholes'!$B$8-'Black-Scholes'!$B$10-'Black-Scholes'!$B$9^2/2)*'Black-Scholes'!$B$7+'Black-Scholes'!$B$9*SQRT('Black-Scholes'!$B$7)*B3373)</f>
        <v>100.688577849487</v>
      </c>
      <c r="D3373" s="18" t="n">
        <f aca="false">'Black-Scholes'!$B$5*EXP(('Black-Scholes'!$B$8-'Black-Scholes'!$B$10-'Black-Scholes'!$B$9^2/2)*'Black-Scholes'!$B$7-'Black-Scholes'!$B$9*SQRT('Black-Scholes'!$B$7)*B3373)</f>
        <v>105.457497684854</v>
      </c>
      <c r="E3373" s="18" t="n">
        <f aca="false">EXP(-'Black-Scholes'!$B$8*'Black-Scholes'!$B$7)*IF(LOWER('Black-Scholes'!$B$11)="put",MAX('Black-Scholes'!$B$6-C3373,0),MAX(C3373-'Black-Scholes'!$B$6,0))</f>
        <v>0.654995511491786</v>
      </c>
      <c r="F3373" s="18" t="n">
        <f aca="false">(E3373+G3373)/2</f>
        <v>2.92316394673492</v>
      </c>
      <c r="G3373" s="18" t="n">
        <f aca="false">EXP(-'Black-Scholes'!$B$8*'Black-Scholes'!$B$7)*IF(LOWER('Black-Scholes'!$B$11)="put",MAX('Black-Scholes'!$B$6-D3373,0),MAX(D3373-'Black-Scholes'!$B$6,0))</f>
        <v>5.19133238197805</v>
      </c>
    </row>
    <row r="3374" customFormat="false" ht="15" hidden="false" customHeight="false" outlineLevel="0" collapsed="false">
      <c r="A3374" s="0" t="n">
        <v>3363</v>
      </c>
      <c r="B3374" s="15" t="n">
        <v>1.01659632003666</v>
      </c>
      <c r="C3374" s="18" t="n">
        <f aca="false">'Black-Scholes'!$B$5*EXP(('Black-Scholes'!$B$8-'Black-Scholes'!$B$10-'Black-Scholes'!$B$9^2/2)*'Black-Scholes'!$B$7+'Black-Scholes'!$B$9*SQRT('Black-Scholes'!$B$7)*B3374)</f>
        <v>126.278457664094</v>
      </c>
      <c r="D3374" s="18" t="n">
        <f aca="false">'Black-Scholes'!$B$5*EXP(('Black-Scholes'!$B$8-'Black-Scholes'!$B$10-'Black-Scholes'!$B$9^2/2)*'Black-Scholes'!$B$7-'Black-Scholes'!$B$9*SQRT('Black-Scholes'!$B$7)*B3374)</f>
        <v>84.08691127428</v>
      </c>
      <c r="E3374" s="18" t="n">
        <f aca="false">EXP(-'Black-Scholes'!$B$8*'Black-Scholes'!$B$7)*IF(LOWER('Black-Scholes'!$B$11)="put",MAX('Black-Scholes'!$B$6-C3374,0),MAX(C3374-'Black-Scholes'!$B$6,0))</f>
        <v>24.9968421605825</v>
      </c>
      <c r="F3374" s="18" t="n">
        <f aca="false">(E3374+G3374)/2</f>
        <v>12.4984210802913</v>
      </c>
      <c r="G3374" s="18" t="n">
        <f aca="false">EXP(-'Black-Scholes'!$B$8*'Black-Scholes'!$B$7)*IF(LOWER('Black-Scholes'!$B$11)="put",MAX('Black-Scholes'!$B$6-D3374,0),MAX(D3374-'Black-Scholes'!$B$6,0))</f>
        <v>0</v>
      </c>
    </row>
    <row r="3375" customFormat="false" ht="15" hidden="false" customHeight="false" outlineLevel="0" collapsed="false">
      <c r="A3375" s="0" t="n">
        <v>3364</v>
      </c>
      <c r="B3375" s="15" t="n">
        <v>0.63164615092828</v>
      </c>
      <c r="C3375" s="18" t="n">
        <f aca="false">'Black-Scholes'!$B$5*EXP(('Black-Scholes'!$B$8-'Black-Scholes'!$B$10-'Black-Scholes'!$B$9^2/2)*'Black-Scholes'!$B$7+'Black-Scholes'!$B$9*SQRT('Black-Scholes'!$B$7)*B3375)</f>
        <v>116.921107931067</v>
      </c>
      <c r="D3375" s="18" t="n">
        <f aca="false">'Black-Scholes'!$B$5*EXP(('Black-Scholes'!$B$8-'Black-Scholes'!$B$10-'Black-Scholes'!$B$9^2/2)*'Black-Scholes'!$B$7-'Black-Scholes'!$B$9*SQRT('Black-Scholes'!$B$7)*B3375)</f>
        <v>90.8164971521981</v>
      </c>
      <c r="E3375" s="18" t="n">
        <f aca="false">EXP(-'Black-Scholes'!$B$8*'Black-Scholes'!$B$7)*IF(LOWER('Black-Scholes'!$B$11)="put",MAX('Black-Scholes'!$B$6-C3375,0),MAX(C3375-'Black-Scholes'!$B$6,0))</f>
        <v>16.0958557591834</v>
      </c>
      <c r="F3375" s="18" t="n">
        <f aca="false">(E3375+G3375)/2</f>
        <v>8.04792787959168</v>
      </c>
      <c r="G3375" s="18" t="n">
        <f aca="false">EXP(-'Black-Scholes'!$B$8*'Black-Scholes'!$B$7)*IF(LOWER('Black-Scholes'!$B$11)="put",MAX('Black-Scholes'!$B$6-D3375,0),MAX(D3375-'Black-Scholes'!$B$6,0))</f>
        <v>0</v>
      </c>
    </row>
    <row r="3376" customFormat="false" ht="15" hidden="false" customHeight="false" outlineLevel="0" collapsed="false">
      <c r="A3376" s="0" t="n">
        <v>3365</v>
      </c>
      <c r="B3376" s="15" t="n">
        <v>1.18352516636462</v>
      </c>
      <c r="C3376" s="18" t="n">
        <f aca="false">'Black-Scholes'!$B$5*EXP(('Black-Scholes'!$B$8-'Black-Scholes'!$B$10-'Black-Scholes'!$B$9^2/2)*'Black-Scholes'!$B$7+'Black-Scholes'!$B$9*SQRT('Black-Scholes'!$B$7)*B3376)</f>
        <v>130.565526466545</v>
      </c>
      <c r="D3376" s="18" t="n">
        <f aca="false">'Black-Scholes'!$B$5*EXP(('Black-Scholes'!$B$8-'Black-Scholes'!$B$10-'Black-Scholes'!$B$9^2/2)*'Black-Scholes'!$B$7-'Black-Scholes'!$B$9*SQRT('Black-Scholes'!$B$7)*B3376)</f>
        <v>81.3259499104792</v>
      </c>
      <c r="E3376" s="18" t="n">
        <f aca="false">EXP(-'Black-Scholes'!$B$8*'Black-Scholes'!$B$7)*IF(LOWER('Black-Scholes'!$B$11)="put",MAX('Black-Scholes'!$B$6-C3376,0),MAX(C3376-'Black-Scholes'!$B$6,0))</f>
        <v>29.0748281503331</v>
      </c>
      <c r="F3376" s="18" t="n">
        <f aca="false">(E3376+G3376)/2</f>
        <v>14.5374140751665</v>
      </c>
      <c r="G3376" s="18" t="n">
        <f aca="false">EXP(-'Black-Scholes'!$B$8*'Black-Scholes'!$B$7)*IF(LOWER('Black-Scholes'!$B$11)="put",MAX('Black-Scholes'!$B$6-D3376,0),MAX(D3376-'Black-Scholes'!$B$6,0))</f>
        <v>0</v>
      </c>
    </row>
    <row r="3377" customFormat="false" ht="15" hidden="false" customHeight="false" outlineLevel="0" collapsed="false">
      <c r="A3377" s="0" t="n">
        <v>3366</v>
      </c>
      <c r="B3377" s="15" t="n">
        <v>0.3893606047909</v>
      </c>
      <c r="C3377" s="18" t="n">
        <f aca="false">'Black-Scholes'!$B$5*EXP(('Black-Scholes'!$B$8-'Black-Scholes'!$B$10-'Black-Scholes'!$B$9^2/2)*'Black-Scholes'!$B$7+'Black-Scholes'!$B$9*SQRT('Black-Scholes'!$B$7)*B3377)</f>
        <v>111.39052911369</v>
      </c>
      <c r="D3377" s="18" t="n">
        <f aca="false">'Black-Scholes'!$B$5*EXP(('Black-Scholes'!$B$8-'Black-Scholes'!$B$10-'Black-Scholes'!$B$9^2/2)*'Black-Scholes'!$B$7-'Black-Scholes'!$B$9*SQRT('Black-Scholes'!$B$7)*B3377)</f>
        <v>95.3255680706577</v>
      </c>
      <c r="E3377" s="18" t="n">
        <f aca="false">EXP(-'Black-Scholes'!$B$8*'Black-Scholes'!$B$7)*IF(LOWER('Black-Scholes'!$B$11)="put",MAX('Black-Scholes'!$B$6-C3377,0),MAX(C3377-'Black-Scholes'!$B$6,0))</f>
        <v>10.8350064535736</v>
      </c>
      <c r="F3377" s="18" t="n">
        <f aca="false">(E3377+G3377)/2</f>
        <v>5.41750322678682</v>
      </c>
      <c r="G3377" s="18" t="n">
        <f aca="false">EXP(-'Black-Scholes'!$B$8*'Black-Scholes'!$B$7)*IF(LOWER('Black-Scholes'!$B$11)="put",MAX('Black-Scholes'!$B$6-D3377,0),MAX(D3377-'Black-Scholes'!$B$6,0))</f>
        <v>0</v>
      </c>
    </row>
    <row r="3378" customFormat="false" ht="15" hidden="false" customHeight="false" outlineLevel="0" collapsed="false">
      <c r="A3378" s="0" t="n">
        <v>3367</v>
      </c>
      <c r="B3378" s="15" t="n">
        <v>0.0674604803635027</v>
      </c>
      <c r="C3378" s="18" t="n">
        <f aca="false">'Black-Scholes'!$B$5*EXP(('Black-Scholes'!$B$8-'Black-Scholes'!$B$10-'Black-Scholes'!$B$9^2/2)*'Black-Scholes'!$B$7+'Black-Scholes'!$B$9*SQRT('Black-Scholes'!$B$7)*B3378)</f>
        <v>104.445173900879</v>
      </c>
      <c r="D3378" s="18" t="n">
        <f aca="false">'Black-Scholes'!$B$5*EXP(('Black-Scholes'!$B$8-'Black-Scholes'!$B$10-'Black-Scholes'!$B$9^2/2)*'Black-Scholes'!$B$7-'Black-Scholes'!$B$9*SQRT('Black-Scholes'!$B$7)*B3378)</f>
        <v>101.664491224178</v>
      </c>
      <c r="E3378" s="18" t="n">
        <f aca="false">EXP(-'Black-Scholes'!$B$8*'Black-Scholes'!$B$7)*IF(LOWER('Black-Scholes'!$B$11)="put",MAX('Black-Scholes'!$B$6-C3378,0),MAX(C3378-'Black-Scholes'!$B$6,0))</f>
        <v>4.22838021153859</v>
      </c>
      <c r="F3378" s="18" t="n">
        <f aca="false">(E3378+G3378)/2</f>
        <v>2.90584662039974</v>
      </c>
      <c r="G3378" s="18" t="n">
        <f aca="false">EXP(-'Black-Scholes'!$B$8*'Black-Scholes'!$B$7)*IF(LOWER('Black-Scholes'!$B$11)="put",MAX('Black-Scholes'!$B$6-D3378,0),MAX(D3378-'Black-Scholes'!$B$6,0))</f>
        <v>1.58331302926089</v>
      </c>
    </row>
    <row r="3379" customFormat="false" ht="15" hidden="false" customHeight="false" outlineLevel="0" collapsed="false">
      <c r="A3379" s="0" t="n">
        <v>3368</v>
      </c>
      <c r="B3379" s="15" t="n">
        <v>0.2121280716636</v>
      </c>
      <c r="C3379" s="18" t="n">
        <f aca="false">'Black-Scholes'!$B$5*EXP(('Black-Scholes'!$B$8-'Black-Scholes'!$B$10-'Black-Scholes'!$B$9^2/2)*'Black-Scholes'!$B$7+'Black-Scholes'!$B$9*SQRT('Black-Scholes'!$B$7)*B3379)</f>
        <v>107.511283013039</v>
      </c>
      <c r="D3379" s="18" t="n">
        <f aca="false">'Black-Scholes'!$B$5*EXP(('Black-Scholes'!$B$8-'Black-Scholes'!$B$10-'Black-Scholes'!$B$9^2/2)*'Black-Scholes'!$B$7-'Black-Scholes'!$B$9*SQRT('Black-Scholes'!$B$7)*B3379)</f>
        <v>98.7651264859876</v>
      </c>
      <c r="E3379" s="18" t="n">
        <f aca="false">EXP(-'Black-Scholes'!$B$8*'Black-Scholes'!$B$7)*IF(LOWER('Black-Scholes'!$B$11)="put",MAX('Black-Scholes'!$B$6-C3379,0),MAX(C3379-'Black-Scholes'!$B$6,0))</f>
        <v>7.14495341775496</v>
      </c>
      <c r="F3379" s="18" t="n">
        <f aca="false">(E3379+G3379)/2</f>
        <v>3.57247670887748</v>
      </c>
      <c r="G3379" s="18" t="n">
        <f aca="false">EXP(-'Black-Scholes'!$B$8*'Black-Scholes'!$B$7)*IF(LOWER('Black-Scholes'!$B$11)="put",MAX('Black-Scholes'!$B$6-D3379,0),MAX(D3379-'Black-Scholes'!$B$6,0))</f>
        <v>0</v>
      </c>
    </row>
    <row r="3380" customFormat="false" ht="15" hidden="false" customHeight="false" outlineLevel="0" collapsed="false">
      <c r="A3380" s="0" t="n">
        <v>3369</v>
      </c>
      <c r="B3380" s="15" t="n">
        <v>-1.4899693476728</v>
      </c>
      <c r="C3380" s="18" t="n">
        <f aca="false">'Black-Scholes'!$B$5*EXP(('Black-Scholes'!$B$8-'Black-Scholes'!$B$10-'Black-Scholes'!$B$9^2/2)*'Black-Scholes'!$B$7+'Black-Scholes'!$B$9*SQRT('Black-Scholes'!$B$7)*B3380)</f>
        <v>76.4912470357954</v>
      </c>
      <c r="D3380" s="18" t="n">
        <f aca="false">'Black-Scholes'!$B$5*EXP(('Black-Scholes'!$B$8-'Black-Scholes'!$B$10-'Black-Scholes'!$B$9^2/2)*'Black-Scholes'!$B$7-'Black-Scholes'!$B$9*SQRT('Black-Scholes'!$B$7)*B3380)</f>
        <v>138.818046207098</v>
      </c>
      <c r="E3380" s="18" t="n">
        <f aca="false">EXP(-'Black-Scholes'!$B$8*'Black-Scholes'!$B$7)*IF(LOWER('Black-Scholes'!$B$11)="put",MAX('Black-Scholes'!$B$6-C3380,0),MAX(C3380-'Black-Scholes'!$B$6,0))</f>
        <v>0</v>
      </c>
      <c r="F3380" s="18" t="n">
        <f aca="false">(E3380+G3380)/2</f>
        <v>18.46243387691</v>
      </c>
      <c r="G3380" s="18" t="n">
        <f aca="false">EXP(-'Black-Scholes'!$B$8*'Black-Scholes'!$B$7)*IF(LOWER('Black-Scholes'!$B$11)="put",MAX('Black-Scholes'!$B$6-D3380,0),MAX(D3380-'Black-Scholes'!$B$6,0))</f>
        <v>36.92486775382</v>
      </c>
    </row>
    <row r="3381" customFormat="false" ht="15" hidden="false" customHeight="false" outlineLevel="0" collapsed="false">
      <c r="A3381" s="0" t="n">
        <v>3370</v>
      </c>
      <c r="B3381" s="15" t="n">
        <v>0.420484871541647</v>
      </c>
      <c r="C3381" s="18" t="n">
        <f aca="false">'Black-Scholes'!$B$5*EXP(('Black-Scholes'!$B$8-'Black-Scholes'!$B$10-'Black-Scholes'!$B$9^2/2)*'Black-Scholes'!$B$7+'Black-Scholes'!$B$9*SQRT('Black-Scholes'!$B$7)*B3381)</f>
        <v>112.086081431623</v>
      </c>
      <c r="D3381" s="18" t="n">
        <f aca="false">'Black-Scholes'!$B$5*EXP(('Black-Scholes'!$B$8-'Black-Scholes'!$B$10-'Black-Scholes'!$B$9^2/2)*'Black-Scholes'!$B$7-'Black-Scholes'!$B$9*SQRT('Black-Scholes'!$B$7)*B3381)</f>
        <v>94.7340234383271</v>
      </c>
      <c r="E3381" s="18" t="n">
        <f aca="false">EXP(-'Black-Scholes'!$B$8*'Black-Scholes'!$B$7)*IF(LOWER('Black-Scholes'!$B$11)="put",MAX('Black-Scholes'!$B$6-C3381,0),MAX(C3381-'Black-Scholes'!$B$6,0))</f>
        <v>11.4966362846714</v>
      </c>
      <c r="F3381" s="18" t="n">
        <f aca="false">(E3381+G3381)/2</f>
        <v>5.74831814233568</v>
      </c>
      <c r="G3381" s="18" t="n">
        <f aca="false">EXP(-'Black-Scholes'!$B$8*'Black-Scholes'!$B$7)*IF(LOWER('Black-Scholes'!$B$11)="put",MAX('Black-Scholes'!$B$6-D3381,0),MAX(D3381-'Black-Scholes'!$B$6,0))</f>
        <v>0</v>
      </c>
    </row>
    <row r="3382" customFormat="false" ht="15" hidden="false" customHeight="false" outlineLevel="0" collapsed="false">
      <c r="A3382" s="0" t="n">
        <v>3371</v>
      </c>
      <c r="B3382" s="15" t="n">
        <v>0.0271241225708468</v>
      </c>
      <c r="C3382" s="18" t="n">
        <f aca="false">'Black-Scholes'!$B$5*EXP(('Black-Scholes'!$B$8-'Black-Scholes'!$B$10-'Black-Scholes'!$B$9^2/2)*'Black-Scholes'!$B$7+'Black-Scholes'!$B$9*SQRT('Black-Scholes'!$B$7)*B3382)</f>
        <v>103.60597589047</v>
      </c>
      <c r="D3382" s="18" t="n">
        <f aca="false">'Black-Scholes'!$B$5*EXP(('Black-Scholes'!$B$8-'Black-Scholes'!$B$10-'Black-Scholes'!$B$9^2/2)*'Black-Scholes'!$B$7-'Black-Scholes'!$B$9*SQRT('Black-Scholes'!$B$7)*B3382)</f>
        <v>102.48796340357</v>
      </c>
      <c r="E3382" s="18" t="n">
        <f aca="false">EXP(-'Black-Scholes'!$B$8*'Black-Scholes'!$B$7)*IF(LOWER('Black-Scholes'!$B$11)="put",MAX('Black-Scholes'!$B$6-C3382,0),MAX(C3382-'Black-Scholes'!$B$6,0))</f>
        <v>3.43011037105486</v>
      </c>
      <c r="F3382" s="18" t="n">
        <f aca="false">(E3382+G3382)/2</f>
        <v>2.89836718380575</v>
      </c>
      <c r="G3382" s="18" t="n">
        <f aca="false">EXP(-'Black-Scholes'!$B$8*'Black-Scholes'!$B$7)*IF(LOWER('Black-Scholes'!$B$11)="put",MAX('Black-Scholes'!$B$6-D3382,0),MAX(D3382-'Black-Scholes'!$B$6,0))</f>
        <v>2.36662399655665</v>
      </c>
    </row>
    <row r="3383" customFormat="false" ht="15" hidden="false" customHeight="false" outlineLevel="0" collapsed="false">
      <c r="A3383" s="0" t="n">
        <v>3372</v>
      </c>
      <c r="B3383" s="15" t="n">
        <v>1.52437339898151</v>
      </c>
      <c r="C3383" s="18" t="n">
        <f aca="false">'Black-Scholes'!$B$5*EXP(('Black-Scholes'!$B$8-'Black-Scholes'!$B$10-'Black-Scholes'!$B$9^2/2)*'Black-Scholes'!$B$7+'Black-Scholes'!$B$9*SQRT('Black-Scholes'!$B$7)*B3383)</f>
        <v>139.776520602561</v>
      </c>
      <c r="D3383" s="18" t="n">
        <f aca="false">'Black-Scholes'!$B$5*EXP(('Black-Scholes'!$B$8-'Black-Scholes'!$B$10-'Black-Scholes'!$B$9^2/2)*'Black-Scholes'!$B$7-'Black-Scholes'!$B$9*SQRT('Black-Scholes'!$B$7)*B3383)</f>
        <v>75.9667318923022</v>
      </c>
      <c r="E3383" s="18" t="n">
        <f aca="false">EXP(-'Black-Scholes'!$B$8*'Black-Scholes'!$B$7)*IF(LOWER('Black-Scholes'!$B$11)="put",MAX('Black-Scholes'!$B$6-C3383,0),MAX(C3383-'Black-Scholes'!$B$6,0))</f>
        <v>37.8365968014148</v>
      </c>
      <c r="F3383" s="18" t="n">
        <f aca="false">(E3383+G3383)/2</f>
        <v>18.9182984007074</v>
      </c>
      <c r="G3383" s="18" t="n">
        <f aca="false">EXP(-'Black-Scholes'!$B$8*'Black-Scholes'!$B$7)*IF(LOWER('Black-Scholes'!$B$11)="put",MAX('Black-Scholes'!$B$6-D3383,0),MAX(D3383-'Black-Scholes'!$B$6,0))</f>
        <v>0</v>
      </c>
    </row>
    <row r="3384" customFormat="false" ht="15" hidden="false" customHeight="false" outlineLevel="0" collapsed="false">
      <c r="A3384" s="0" t="n">
        <v>3373</v>
      </c>
      <c r="B3384" s="15" t="n">
        <v>-0.492635556186558</v>
      </c>
      <c r="C3384" s="18" t="n">
        <f aca="false">'Black-Scholes'!$B$5*EXP(('Black-Scholes'!$B$8-'Black-Scholes'!$B$10-'Black-Scholes'!$B$9^2/2)*'Black-Scholes'!$B$7+'Black-Scholes'!$B$9*SQRT('Black-Scholes'!$B$7)*B3384)</f>
        <v>93.3768144150601</v>
      </c>
      <c r="D3384" s="18" t="n">
        <f aca="false">'Black-Scholes'!$B$5*EXP(('Black-Scholes'!$B$8-'Black-Scholes'!$B$10-'Black-Scholes'!$B$9^2/2)*'Black-Scholes'!$B$7-'Black-Scholes'!$B$9*SQRT('Black-Scholes'!$B$7)*B3384)</f>
        <v>113.715225047783</v>
      </c>
      <c r="E3384" s="18" t="n">
        <f aca="false">EXP(-'Black-Scholes'!$B$8*'Black-Scholes'!$B$7)*IF(LOWER('Black-Scholes'!$B$11)="put",MAX('Black-Scholes'!$B$6-C3384,0),MAX(C3384-'Black-Scholes'!$B$6,0))</f>
        <v>0</v>
      </c>
      <c r="F3384" s="18" t="n">
        <f aca="false">(E3384+G3384)/2</f>
        <v>6.52316281455005</v>
      </c>
      <c r="G3384" s="18" t="n">
        <f aca="false">EXP(-'Black-Scholes'!$B$8*'Black-Scholes'!$B$7)*IF(LOWER('Black-Scholes'!$B$11)="put",MAX('Black-Scholes'!$B$6-D3384,0),MAX(D3384-'Black-Scholes'!$B$6,0))</f>
        <v>13.0463256291001</v>
      </c>
    </row>
    <row r="3385" customFormat="false" ht="15" hidden="false" customHeight="false" outlineLevel="0" collapsed="false">
      <c r="A3385" s="0" t="n">
        <v>3374</v>
      </c>
      <c r="B3385" s="15" t="n">
        <v>0.529474398921573</v>
      </c>
      <c r="C3385" s="18" t="n">
        <f aca="false">'Black-Scholes'!$B$5*EXP(('Black-Scholes'!$B$8-'Black-Scholes'!$B$10-'Black-Scholes'!$B$9^2/2)*'Black-Scholes'!$B$7+'Black-Scholes'!$B$9*SQRT('Black-Scholes'!$B$7)*B3385)</f>
        <v>114.556146559692</v>
      </c>
      <c r="D3385" s="18" t="n">
        <f aca="false">'Black-Scholes'!$B$5*EXP(('Black-Scholes'!$B$8-'Black-Scholes'!$B$10-'Black-Scholes'!$B$9^2/2)*'Black-Scholes'!$B$7-'Black-Scholes'!$B$9*SQRT('Black-Scholes'!$B$7)*B3385)</f>
        <v>92.6913638799876</v>
      </c>
      <c r="E3385" s="18" t="n">
        <f aca="false">EXP(-'Black-Scholes'!$B$8*'Black-Scholes'!$B$7)*IF(LOWER('Black-Scholes'!$B$11)="put",MAX('Black-Scholes'!$B$6-C3385,0),MAX(C3385-'Black-Scholes'!$B$6,0))</f>
        <v>13.8462349149238</v>
      </c>
      <c r="F3385" s="18" t="n">
        <f aca="false">(E3385+G3385)/2</f>
        <v>6.92311745746192</v>
      </c>
      <c r="G3385" s="18" t="n">
        <f aca="false">EXP(-'Black-Scholes'!$B$8*'Black-Scholes'!$B$7)*IF(LOWER('Black-Scholes'!$B$11)="put",MAX('Black-Scholes'!$B$6-D3385,0),MAX(D3385-'Black-Scholes'!$B$6,0))</f>
        <v>0</v>
      </c>
    </row>
    <row r="3386" customFormat="false" ht="15" hidden="false" customHeight="false" outlineLevel="0" collapsed="false">
      <c r="A3386" s="0" t="n">
        <v>3375</v>
      </c>
      <c r="B3386" s="15" t="n">
        <v>-1.57488447906539</v>
      </c>
      <c r="C3386" s="18" t="n">
        <f aca="false">'Black-Scholes'!$B$5*EXP(('Black-Scholes'!$B$8-'Black-Scholes'!$B$10-'Black-Scholes'!$B$9^2/2)*'Black-Scholes'!$B$7+'Black-Scholes'!$B$9*SQRT('Black-Scholes'!$B$7)*B3386)</f>
        <v>75.2031629197998</v>
      </c>
      <c r="D3386" s="18" t="n">
        <f aca="false">'Black-Scholes'!$B$5*EXP(('Black-Scholes'!$B$8-'Black-Scholes'!$B$10-'Black-Scholes'!$B$9^2/2)*'Black-Scholes'!$B$7-'Black-Scholes'!$B$9*SQRT('Black-Scholes'!$B$7)*B3386)</f>
        <v>141.195729716548</v>
      </c>
      <c r="E3386" s="18" t="n">
        <f aca="false">EXP(-'Black-Scholes'!$B$8*'Black-Scholes'!$B$7)*IF(LOWER('Black-Scholes'!$B$11)="put",MAX('Black-Scholes'!$B$6-C3386,0),MAX(C3386-'Black-Scholes'!$B$6,0))</f>
        <v>0</v>
      </c>
      <c r="F3386" s="18" t="n">
        <f aca="false">(E3386+G3386)/2</f>
        <v>19.5932951350796</v>
      </c>
      <c r="G3386" s="18" t="n">
        <f aca="false">EXP(-'Black-Scholes'!$B$8*'Black-Scholes'!$B$7)*IF(LOWER('Black-Scholes'!$B$11)="put",MAX('Black-Scholes'!$B$6-D3386,0),MAX(D3386-'Black-Scholes'!$B$6,0))</f>
        <v>39.1865902701592</v>
      </c>
    </row>
    <row r="3387" customFormat="false" ht="15" hidden="false" customHeight="false" outlineLevel="0" collapsed="false">
      <c r="A3387" s="0" t="n">
        <v>3376</v>
      </c>
      <c r="B3387" s="15" t="n">
        <v>0.997163775362849</v>
      </c>
      <c r="C3387" s="18" t="n">
        <f aca="false">'Black-Scholes'!$B$5*EXP(('Black-Scholes'!$B$8-'Black-Scholes'!$B$10-'Black-Scholes'!$B$9^2/2)*'Black-Scholes'!$B$7+'Black-Scholes'!$B$9*SQRT('Black-Scholes'!$B$7)*B3387)</f>
        <v>125.788627790775</v>
      </c>
      <c r="D3387" s="18" t="n">
        <f aca="false">'Black-Scholes'!$B$5*EXP(('Black-Scholes'!$B$8-'Black-Scholes'!$B$10-'Black-Scholes'!$B$9^2/2)*'Black-Scholes'!$B$7-'Black-Scholes'!$B$9*SQRT('Black-Scholes'!$B$7)*B3387)</f>
        <v>84.4143516941385</v>
      </c>
      <c r="E3387" s="18" t="n">
        <f aca="false">EXP(-'Black-Scholes'!$B$8*'Black-Scholes'!$B$7)*IF(LOWER('Black-Scholes'!$B$11)="put",MAX('Black-Scholes'!$B$6-C3387,0),MAX(C3387-'Black-Scholes'!$B$6,0))</f>
        <v>24.5309015720824</v>
      </c>
      <c r="F3387" s="18" t="n">
        <f aca="false">(E3387+G3387)/2</f>
        <v>12.2654507860412</v>
      </c>
      <c r="G3387" s="18" t="n">
        <f aca="false">EXP(-'Black-Scholes'!$B$8*'Black-Scholes'!$B$7)*IF(LOWER('Black-Scholes'!$B$11)="put",MAX('Black-Scholes'!$B$6-D3387,0),MAX(D3387-'Black-Scholes'!$B$6,0))</f>
        <v>0</v>
      </c>
    </row>
    <row r="3388" customFormat="false" ht="15" hidden="false" customHeight="false" outlineLevel="0" collapsed="false">
      <c r="A3388" s="0" t="n">
        <v>3377</v>
      </c>
      <c r="B3388" s="15" t="n">
        <v>1.00415471235968</v>
      </c>
      <c r="C3388" s="18" t="n">
        <f aca="false">'Black-Scholes'!$B$5*EXP(('Black-Scholes'!$B$8-'Black-Scholes'!$B$10-'Black-Scholes'!$B$9^2/2)*'Black-Scholes'!$B$7+'Black-Scholes'!$B$9*SQRT('Black-Scholes'!$B$7)*B3388)</f>
        <v>125.964626876316</v>
      </c>
      <c r="D3388" s="18" t="n">
        <f aca="false">'Black-Scholes'!$B$5*EXP(('Black-Scholes'!$B$8-'Black-Scholes'!$B$10-'Black-Scholes'!$B$9^2/2)*'Black-Scholes'!$B$7-'Black-Scholes'!$B$9*SQRT('Black-Scholes'!$B$7)*B3388)</f>
        <v>84.2964070848219</v>
      </c>
      <c r="E3388" s="18" t="n">
        <f aca="false">EXP(-'Black-Scholes'!$B$8*'Black-Scholes'!$B$7)*IF(LOWER('Black-Scholes'!$B$11)="put",MAX('Black-Scholes'!$B$6-C3388,0),MAX(C3388-'Black-Scholes'!$B$6,0))</f>
        <v>24.6983170809335</v>
      </c>
      <c r="F3388" s="18" t="n">
        <f aca="false">(E3388+G3388)/2</f>
        <v>12.3491585404668</v>
      </c>
      <c r="G3388" s="18" t="n">
        <f aca="false">EXP(-'Black-Scholes'!$B$8*'Black-Scholes'!$B$7)*IF(LOWER('Black-Scholes'!$B$11)="put",MAX('Black-Scholes'!$B$6-D3388,0),MAX(D3388-'Black-Scholes'!$B$6,0))</f>
        <v>0</v>
      </c>
    </row>
    <row r="3389" customFormat="false" ht="15" hidden="false" customHeight="false" outlineLevel="0" collapsed="false">
      <c r="A3389" s="0" t="n">
        <v>3378</v>
      </c>
      <c r="B3389" s="15" t="n">
        <v>-0.0200974057337887</v>
      </c>
      <c r="C3389" s="18" t="n">
        <f aca="false">'Black-Scholes'!$B$5*EXP(('Black-Scholes'!$B$8-'Black-Scholes'!$B$10-'Black-Scholes'!$B$9^2/2)*'Black-Scholes'!$B$7+'Black-Scholes'!$B$9*SQRT('Black-Scholes'!$B$7)*B3389)</f>
        <v>102.632095436956</v>
      </c>
      <c r="D3389" s="18" t="n">
        <f aca="false">'Black-Scholes'!$B$5*EXP(('Black-Scholes'!$B$8-'Black-Scholes'!$B$10-'Black-Scholes'!$B$9^2/2)*'Black-Scholes'!$B$7-'Black-Scholes'!$B$9*SQRT('Black-Scholes'!$B$7)*B3389)</f>
        <v>103.4604761819</v>
      </c>
      <c r="E3389" s="18" t="n">
        <f aca="false">EXP(-'Black-Scholes'!$B$8*'Black-Scholes'!$B$7)*IF(LOWER('Black-Scholes'!$B$11)="put",MAX('Black-Scholes'!$B$6-C3389,0),MAX(C3389-'Black-Scholes'!$B$6,0))</f>
        <v>2.50372662772625</v>
      </c>
      <c r="F3389" s="18" t="n">
        <f aca="false">(E3389+G3389)/2</f>
        <v>2.89771669736654</v>
      </c>
      <c r="G3389" s="18" t="n">
        <f aca="false">EXP(-'Black-Scholes'!$B$8*'Black-Scholes'!$B$7)*IF(LOWER('Black-Scholes'!$B$11)="put",MAX('Black-Scholes'!$B$6-D3389,0),MAX(D3389-'Black-Scholes'!$B$6,0))</f>
        <v>3.29170676700682</v>
      </c>
    </row>
    <row r="3390" customFormat="false" ht="15" hidden="false" customHeight="false" outlineLevel="0" collapsed="false">
      <c r="A3390" s="0" t="n">
        <v>3379</v>
      </c>
      <c r="B3390" s="15" t="n">
        <v>1.5901735344837</v>
      </c>
      <c r="C3390" s="18" t="n">
        <f aca="false">'Black-Scholes'!$B$5*EXP(('Black-Scholes'!$B$8-'Black-Scholes'!$B$10-'Black-Scholes'!$B$9^2/2)*'Black-Scholes'!$B$7+'Black-Scholes'!$B$9*SQRT('Black-Scholes'!$B$7)*B3390)</f>
        <v>141.628140361946</v>
      </c>
      <c r="D3390" s="18" t="n">
        <f aca="false">'Black-Scholes'!$B$5*EXP(('Black-Scholes'!$B$8-'Black-Scholes'!$B$10-'Black-Scholes'!$B$9^2/2)*'Black-Scholes'!$B$7-'Black-Scholes'!$B$9*SQRT('Black-Scholes'!$B$7)*B3390)</f>
        <v>74.9735570792444</v>
      </c>
      <c r="E3390" s="18" t="n">
        <f aca="false">EXP(-'Black-Scholes'!$B$8*'Black-Scholes'!$B$7)*IF(LOWER('Black-Scholes'!$B$11)="put",MAX('Black-Scholes'!$B$6-C3390,0),MAX(C3390-'Black-Scholes'!$B$6,0))</f>
        <v>39.5979119995289</v>
      </c>
      <c r="F3390" s="18" t="n">
        <f aca="false">(E3390+G3390)/2</f>
        <v>19.7989559997645</v>
      </c>
      <c r="G3390" s="18" t="n">
        <f aca="false">EXP(-'Black-Scholes'!$B$8*'Black-Scholes'!$B$7)*IF(LOWER('Black-Scholes'!$B$11)="put",MAX('Black-Scholes'!$B$6-D3390,0),MAX(D3390-'Black-Scholes'!$B$6,0))</f>
        <v>0</v>
      </c>
    </row>
    <row r="3391" customFormat="false" ht="15" hidden="false" customHeight="false" outlineLevel="0" collapsed="false">
      <c r="A3391" s="0" t="n">
        <v>3380</v>
      </c>
      <c r="B3391" s="15" t="n">
        <v>-0.458745951961183</v>
      </c>
      <c r="C3391" s="18" t="n">
        <f aca="false">'Black-Scholes'!$B$5*EXP(('Black-Scholes'!$B$8-'Black-Scholes'!$B$10-'Black-Scholes'!$B$9^2/2)*'Black-Scholes'!$B$7+'Black-Scholes'!$B$9*SQRT('Black-Scholes'!$B$7)*B3391)</f>
        <v>94.0118648013623</v>
      </c>
      <c r="D3391" s="18" t="n">
        <f aca="false">'Black-Scholes'!$B$5*EXP(('Black-Scholes'!$B$8-'Black-Scholes'!$B$10-'Black-Scholes'!$B$9^2/2)*'Black-Scholes'!$B$7-'Black-Scholes'!$B$9*SQRT('Black-Scholes'!$B$7)*B3391)</f>
        <v>112.947078412806</v>
      </c>
      <c r="E3391" s="18" t="n">
        <f aca="false">EXP(-'Black-Scholes'!$B$8*'Black-Scholes'!$B$7)*IF(LOWER('Black-Scholes'!$B$11)="put",MAX('Black-Scholes'!$B$6-C3391,0),MAX(C3391-'Black-Scholes'!$B$6,0))</f>
        <v>0</v>
      </c>
      <c r="F3391" s="18" t="n">
        <f aca="false">(E3391+G3391)/2</f>
        <v>6.15782097378962</v>
      </c>
      <c r="G3391" s="18" t="n">
        <f aca="false">EXP(-'Black-Scholes'!$B$8*'Black-Scholes'!$B$7)*IF(LOWER('Black-Scholes'!$B$11)="put",MAX('Black-Scholes'!$B$6-D3391,0),MAX(D3391-'Black-Scholes'!$B$6,0))</f>
        <v>12.3156419475792</v>
      </c>
    </row>
    <row r="3392" customFormat="false" ht="15" hidden="false" customHeight="false" outlineLevel="0" collapsed="false">
      <c r="A3392" s="0" t="n">
        <v>3381</v>
      </c>
      <c r="B3392" s="15" t="n">
        <v>-0.428993193206076</v>
      </c>
      <c r="C3392" s="18" t="n">
        <f aca="false">'Black-Scholes'!$B$5*EXP(('Black-Scholes'!$B$8-'Black-Scholes'!$B$10-'Black-Scholes'!$B$9^2/2)*'Black-Scholes'!$B$7+'Black-Scholes'!$B$9*SQRT('Black-Scholes'!$B$7)*B3392)</f>
        <v>94.5729550105973</v>
      </c>
      <c r="D3392" s="18" t="n">
        <f aca="false">'Black-Scholes'!$B$5*EXP(('Black-Scholes'!$B$8-'Black-Scholes'!$B$10-'Black-Scholes'!$B$9^2/2)*'Black-Scholes'!$B$7-'Black-Scholes'!$B$9*SQRT('Black-Scholes'!$B$7)*B3392)</f>
        <v>112.276976692372</v>
      </c>
      <c r="E3392" s="18" t="n">
        <f aca="false">EXP(-'Black-Scholes'!$B$8*'Black-Scholes'!$B$7)*IF(LOWER('Black-Scholes'!$B$11)="put",MAX('Black-Scholes'!$B$6-C3392,0),MAX(C3392-'Black-Scholes'!$B$6,0))</f>
        <v>0</v>
      </c>
      <c r="F3392" s="18" t="n">
        <f aca="false">(E3392+G3392)/2</f>
        <v>5.83911073684697</v>
      </c>
      <c r="G3392" s="18" t="n">
        <f aca="false">EXP(-'Black-Scholes'!$B$8*'Black-Scholes'!$B$7)*IF(LOWER('Black-Scholes'!$B$11)="put",MAX('Black-Scholes'!$B$6-D3392,0),MAX(D3392-'Black-Scholes'!$B$6,0))</f>
        <v>11.6782214736939</v>
      </c>
    </row>
    <row r="3393" customFormat="false" ht="15" hidden="false" customHeight="false" outlineLevel="0" collapsed="false">
      <c r="A3393" s="0" t="n">
        <v>3382</v>
      </c>
      <c r="B3393" s="15" t="n">
        <v>0.229558038050508</v>
      </c>
      <c r="C3393" s="18" t="n">
        <f aca="false">'Black-Scholes'!$B$5*EXP(('Black-Scholes'!$B$8-'Black-Scholes'!$B$10-'Black-Scholes'!$B$9^2/2)*'Black-Scholes'!$B$7+'Black-Scholes'!$B$9*SQRT('Black-Scholes'!$B$7)*B3393)</f>
        <v>107.88672062917</v>
      </c>
      <c r="D3393" s="18" t="n">
        <f aca="false">'Black-Scholes'!$B$5*EXP(('Black-Scholes'!$B$8-'Black-Scholes'!$B$10-'Black-Scholes'!$B$9^2/2)*'Black-Scholes'!$B$7-'Black-Scholes'!$B$9*SQRT('Black-Scholes'!$B$7)*B3393)</f>
        <v>98.4214313265781</v>
      </c>
      <c r="E3393" s="18" t="n">
        <f aca="false">EXP(-'Black-Scholes'!$B$8*'Black-Scholes'!$B$7)*IF(LOWER('Black-Scholes'!$B$11)="put",MAX('Black-Scholes'!$B$6-C3393,0),MAX(C3393-'Black-Scholes'!$B$6,0))</f>
        <v>7.50208072528349</v>
      </c>
      <c r="F3393" s="18" t="n">
        <f aca="false">(E3393+G3393)/2</f>
        <v>3.75104036264175</v>
      </c>
      <c r="G3393" s="18" t="n">
        <f aca="false">EXP(-'Black-Scholes'!$B$8*'Black-Scholes'!$B$7)*IF(LOWER('Black-Scholes'!$B$11)="put",MAX('Black-Scholes'!$B$6-D3393,0),MAX(D3393-'Black-Scholes'!$B$6,0))</f>
        <v>0</v>
      </c>
    </row>
    <row r="3394" customFormat="false" ht="15" hidden="false" customHeight="false" outlineLevel="0" collapsed="false">
      <c r="A3394" s="0" t="n">
        <v>3383</v>
      </c>
      <c r="B3394" s="15" t="n">
        <v>0.681801324727672</v>
      </c>
      <c r="C3394" s="18" t="n">
        <f aca="false">'Black-Scholes'!$B$5*EXP(('Black-Scholes'!$B$8-'Black-Scholes'!$B$10-'Black-Scholes'!$B$9^2/2)*'Black-Scholes'!$B$7+'Black-Scholes'!$B$9*SQRT('Black-Scholes'!$B$7)*B3394)</f>
        <v>118.099849745045</v>
      </c>
      <c r="D3394" s="18" t="n">
        <f aca="false">'Black-Scholes'!$B$5*EXP(('Black-Scholes'!$B$8-'Black-Scholes'!$B$10-'Black-Scholes'!$B$9^2/2)*'Black-Scholes'!$B$7-'Black-Scholes'!$B$9*SQRT('Black-Scholes'!$B$7)*B3394)</f>
        <v>89.91006752656</v>
      </c>
      <c r="E3394" s="18" t="n">
        <f aca="false">EXP(-'Black-Scholes'!$B$8*'Black-Scholes'!$B$7)*IF(LOWER('Black-Scholes'!$B$11)="put",MAX('Black-Scholes'!$B$6-C3394,0),MAX(C3394-'Black-Scholes'!$B$6,0))</f>
        <v>17.2171096565286</v>
      </c>
      <c r="F3394" s="18" t="n">
        <f aca="false">(E3394+G3394)/2</f>
        <v>8.60855482826431</v>
      </c>
      <c r="G3394" s="18" t="n">
        <f aca="false">EXP(-'Black-Scholes'!$B$8*'Black-Scholes'!$B$7)*IF(LOWER('Black-Scholes'!$B$11)="put",MAX('Black-Scholes'!$B$6-D3394,0),MAX(D3394-'Black-Scholes'!$B$6,0))</f>
        <v>0</v>
      </c>
    </row>
    <row r="3395" customFormat="false" ht="15" hidden="false" customHeight="false" outlineLevel="0" collapsed="false">
      <c r="A3395" s="0" t="n">
        <v>3384</v>
      </c>
      <c r="B3395" s="15" t="n">
        <v>-0.658842289186816</v>
      </c>
      <c r="C3395" s="18" t="n">
        <f aca="false">'Black-Scholes'!$B$5*EXP(('Black-Scholes'!$B$8-'Black-Scholes'!$B$10-'Black-Scholes'!$B$9^2/2)*'Black-Scholes'!$B$7+'Black-Scholes'!$B$9*SQRT('Black-Scholes'!$B$7)*B3395)</f>
        <v>90.3238665292571</v>
      </c>
      <c r="D3395" s="18" t="n">
        <f aca="false">'Black-Scholes'!$B$5*EXP(('Black-Scholes'!$B$8-'Black-Scholes'!$B$10-'Black-Scholes'!$B$9^2/2)*'Black-Scholes'!$B$7-'Black-Scholes'!$B$9*SQRT('Black-Scholes'!$B$7)*B3395)</f>
        <v>117.558801161531</v>
      </c>
      <c r="E3395" s="18" t="n">
        <f aca="false">EXP(-'Black-Scholes'!$B$8*'Black-Scholes'!$B$7)*IF(LOWER('Black-Scholes'!$B$11)="put",MAX('Black-Scholes'!$B$6-C3395,0),MAX(C3395-'Black-Scholes'!$B$6,0))</f>
        <v>0</v>
      </c>
      <c r="F3395" s="18" t="n">
        <f aca="false">(E3395+G3395)/2</f>
        <v>8.35122416190276</v>
      </c>
      <c r="G3395" s="18" t="n">
        <f aca="false">EXP(-'Black-Scholes'!$B$8*'Black-Scholes'!$B$7)*IF(LOWER('Black-Scholes'!$B$11)="put",MAX('Black-Scholes'!$B$6-D3395,0),MAX(D3395-'Black-Scholes'!$B$6,0))</f>
        <v>16.7024483238055</v>
      </c>
    </row>
    <row r="3396" customFormat="false" ht="15" hidden="false" customHeight="false" outlineLevel="0" collapsed="false">
      <c r="A3396" s="0" t="n">
        <v>3385</v>
      </c>
      <c r="B3396" s="15" t="n">
        <v>0.587913902393516</v>
      </c>
      <c r="C3396" s="18" t="n">
        <f aca="false">'Black-Scholes'!$B$5*EXP(('Black-Scholes'!$B$8-'Black-Scholes'!$B$10-'Black-Scholes'!$B$9^2/2)*'Black-Scholes'!$B$7+'Black-Scholes'!$B$9*SQRT('Black-Scholes'!$B$7)*B3396)</f>
        <v>115.902922585282</v>
      </c>
      <c r="D3396" s="18" t="n">
        <f aca="false">'Black-Scholes'!$B$5*EXP(('Black-Scholes'!$B$8-'Black-Scholes'!$B$10-'Black-Scholes'!$B$9^2/2)*'Black-Scholes'!$B$7-'Black-Scholes'!$B$9*SQRT('Black-Scholes'!$B$7)*B3396)</f>
        <v>91.6143029753243</v>
      </c>
      <c r="E3396" s="18" t="n">
        <f aca="false">EXP(-'Black-Scholes'!$B$8*'Black-Scholes'!$B$7)*IF(LOWER('Black-Scholes'!$B$11)="put",MAX('Black-Scholes'!$B$6-C3396,0),MAX(C3396-'Black-Scholes'!$B$6,0))</f>
        <v>15.1273278986773</v>
      </c>
      <c r="F3396" s="18" t="n">
        <f aca="false">(E3396+G3396)/2</f>
        <v>7.56366394933866</v>
      </c>
      <c r="G3396" s="18" t="n">
        <f aca="false">EXP(-'Black-Scholes'!$B$8*'Black-Scholes'!$B$7)*IF(LOWER('Black-Scholes'!$B$11)="put",MAX('Black-Scholes'!$B$6-D3396,0),MAX(D3396-'Black-Scholes'!$B$6,0))</f>
        <v>0</v>
      </c>
    </row>
    <row r="3397" customFormat="false" ht="15" hidden="false" customHeight="false" outlineLevel="0" collapsed="false">
      <c r="A3397" s="0" t="n">
        <v>3386</v>
      </c>
      <c r="B3397" s="15" t="n">
        <v>0.234803651593361</v>
      </c>
      <c r="C3397" s="18" t="n">
        <f aca="false">'Black-Scholes'!$B$5*EXP(('Black-Scholes'!$B$8-'Black-Scholes'!$B$10-'Black-Scholes'!$B$9^2/2)*'Black-Scholes'!$B$7+'Black-Scholes'!$B$9*SQRT('Black-Scholes'!$B$7)*B3397)</f>
        <v>107.99996643172</v>
      </c>
      <c r="D3397" s="18" t="n">
        <f aca="false">'Black-Scholes'!$B$5*EXP(('Black-Scholes'!$B$8-'Black-Scholes'!$B$10-'Black-Scholes'!$B$9^2/2)*'Black-Scholes'!$B$7-'Black-Scholes'!$B$9*SQRT('Black-Scholes'!$B$7)*B3397)</f>
        <v>98.3182293132172</v>
      </c>
      <c r="E3397" s="18" t="n">
        <f aca="false">EXP(-'Black-Scholes'!$B$8*'Black-Scholes'!$B$7)*IF(LOWER('Black-Scholes'!$B$11)="put",MAX('Black-Scholes'!$B$6-C3397,0),MAX(C3397-'Black-Scholes'!$B$6,0))</f>
        <v>7.60980346487002</v>
      </c>
      <c r="F3397" s="18" t="n">
        <f aca="false">(E3397+G3397)/2</f>
        <v>3.80490173243501</v>
      </c>
      <c r="G3397" s="18" t="n">
        <f aca="false">EXP(-'Black-Scholes'!$B$8*'Black-Scholes'!$B$7)*IF(LOWER('Black-Scholes'!$B$11)="put",MAX('Black-Scholes'!$B$6-D3397,0),MAX(D3397-'Black-Scholes'!$B$6,0))</f>
        <v>0</v>
      </c>
    </row>
    <row r="3398" customFormat="false" ht="15" hidden="false" customHeight="false" outlineLevel="0" collapsed="false">
      <c r="A3398" s="0" t="n">
        <v>3387</v>
      </c>
      <c r="B3398" s="15" t="n">
        <v>0.484702750309444</v>
      </c>
      <c r="C3398" s="18" t="n">
        <f aca="false">'Black-Scholes'!$B$5*EXP(('Black-Scholes'!$B$8-'Black-Scholes'!$B$10-'Black-Scholes'!$B$9^2/2)*'Black-Scholes'!$B$7+'Black-Scholes'!$B$9*SQRT('Black-Scholes'!$B$7)*B3398)</f>
        <v>113.534951931646</v>
      </c>
      <c r="D3398" s="18" t="n">
        <f aca="false">'Black-Scholes'!$B$5*EXP(('Black-Scholes'!$B$8-'Black-Scholes'!$B$10-'Black-Scholes'!$B$9^2/2)*'Black-Scholes'!$B$7-'Black-Scholes'!$B$9*SQRT('Black-Scholes'!$B$7)*B3398)</f>
        <v>93.5250800286279</v>
      </c>
      <c r="E3398" s="18" t="n">
        <f aca="false">EXP(-'Black-Scholes'!$B$8*'Black-Scholes'!$B$7)*IF(LOWER('Black-Scholes'!$B$11)="put",MAX('Black-Scholes'!$B$6-C3398,0),MAX(C3398-'Black-Scholes'!$B$6,0))</f>
        <v>12.8748445365843</v>
      </c>
      <c r="F3398" s="18" t="n">
        <f aca="false">(E3398+G3398)/2</f>
        <v>6.43742226829216</v>
      </c>
      <c r="G3398" s="18" t="n">
        <f aca="false">EXP(-'Black-Scholes'!$B$8*'Black-Scholes'!$B$7)*IF(LOWER('Black-Scholes'!$B$11)="put",MAX('Black-Scholes'!$B$6-D3398,0),MAX(D3398-'Black-Scholes'!$B$6,0))</f>
        <v>0</v>
      </c>
    </row>
    <row r="3399" customFormat="false" ht="15" hidden="false" customHeight="false" outlineLevel="0" collapsed="false">
      <c r="A3399" s="0" t="n">
        <v>3388</v>
      </c>
      <c r="B3399" s="15" t="n">
        <v>-0.569506016790086</v>
      </c>
      <c r="C3399" s="18" t="n">
        <f aca="false">'Black-Scholes'!$B$5*EXP(('Black-Scholes'!$B$8-'Black-Scholes'!$B$10-'Black-Scholes'!$B$9^2/2)*'Black-Scholes'!$B$7+'Black-Scholes'!$B$9*SQRT('Black-Scholes'!$B$7)*B3399)</f>
        <v>91.952209730309</v>
      </c>
      <c r="D3399" s="18" t="n">
        <f aca="false">'Black-Scholes'!$B$5*EXP(('Black-Scholes'!$B$8-'Black-Scholes'!$B$10-'Black-Scholes'!$B$9^2/2)*'Black-Scholes'!$B$7-'Black-Scholes'!$B$9*SQRT('Black-Scholes'!$B$7)*B3399)</f>
        <v>115.477001548921</v>
      </c>
      <c r="E3399" s="18" t="n">
        <f aca="false">EXP(-'Black-Scholes'!$B$8*'Black-Scholes'!$B$7)*IF(LOWER('Black-Scholes'!$B$11)="put",MAX('Black-Scholes'!$B$6-C3399,0),MAX(C3399-'Black-Scholes'!$B$6,0))</f>
        <v>0</v>
      </c>
      <c r="F3399" s="18" t="n">
        <f aca="false">(E3399+G3399)/2</f>
        <v>7.36108963818835</v>
      </c>
      <c r="G3399" s="18" t="n">
        <f aca="false">EXP(-'Black-Scholes'!$B$8*'Black-Scholes'!$B$7)*IF(LOWER('Black-Scholes'!$B$11)="put",MAX('Black-Scholes'!$B$6-D3399,0),MAX(D3399-'Black-Scholes'!$B$6,0))</f>
        <v>14.7221792763767</v>
      </c>
    </row>
    <row r="3400" customFormat="false" ht="15" hidden="false" customHeight="false" outlineLevel="0" collapsed="false">
      <c r="A3400" s="0" t="n">
        <v>3389</v>
      </c>
      <c r="B3400" s="15" t="n">
        <v>-1.40206611032627</v>
      </c>
      <c r="C3400" s="18" t="n">
        <f aca="false">'Black-Scholes'!$B$5*EXP(('Black-Scholes'!$B$8-'Black-Scholes'!$B$10-'Black-Scholes'!$B$9^2/2)*'Black-Scholes'!$B$7+'Black-Scholes'!$B$9*SQRT('Black-Scholes'!$B$7)*B3400)</f>
        <v>77.8479031885327</v>
      </c>
      <c r="D3400" s="18" t="n">
        <f aca="false">'Black-Scholes'!$B$5*EXP(('Black-Scholes'!$B$8-'Black-Scholes'!$B$10-'Black-Scholes'!$B$9^2/2)*'Black-Scholes'!$B$7-'Black-Scholes'!$B$9*SQRT('Black-Scholes'!$B$7)*B3400)</f>
        <v>136.39886278938</v>
      </c>
      <c r="E3400" s="18" t="n">
        <f aca="false">EXP(-'Black-Scholes'!$B$8*'Black-Scholes'!$B$7)*IF(LOWER('Black-Scholes'!$B$11)="put",MAX('Black-Scholes'!$B$6-C3400,0),MAX(C3400-'Black-Scholes'!$B$6,0))</f>
        <v>0</v>
      </c>
      <c r="F3400" s="18" t="n">
        <f aca="false">(E3400+G3400)/2</f>
        <v>17.3118346518112</v>
      </c>
      <c r="G3400" s="18" t="n">
        <f aca="false">EXP(-'Black-Scholes'!$B$8*'Black-Scholes'!$B$7)*IF(LOWER('Black-Scholes'!$B$11)="put",MAX('Black-Scholes'!$B$6-D3400,0),MAX(D3400-'Black-Scholes'!$B$6,0))</f>
        <v>34.6236693036223</v>
      </c>
    </row>
    <row r="3401" customFormat="false" ht="15" hidden="false" customHeight="false" outlineLevel="0" collapsed="false">
      <c r="A3401" s="0" t="n">
        <v>3390</v>
      </c>
      <c r="B3401" s="15" t="n">
        <v>1.78213380041504</v>
      </c>
      <c r="C3401" s="18" t="n">
        <f aca="false">'Black-Scholes'!$B$5*EXP(('Black-Scholes'!$B$8-'Black-Scholes'!$B$10-'Black-Scholes'!$B$9^2/2)*'Black-Scholes'!$B$7+'Black-Scholes'!$B$9*SQRT('Black-Scholes'!$B$7)*B3401)</f>
        <v>147.171260501007</v>
      </c>
      <c r="D3401" s="18" t="n">
        <f aca="false">'Black-Scholes'!$B$5*EXP(('Black-Scholes'!$B$8-'Black-Scholes'!$B$10-'Black-Scholes'!$B$9^2/2)*'Black-Scholes'!$B$7-'Black-Scholes'!$B$9*SQRT('Black-Scholes'!$B$7)*B3401)</f>
        <v>72.1497215509747</v>
      </c>
      <c r="E3401" s="18" t="n">
        <f aca="false">EXP(-'Black-Scholes'!$B$8*'Black-Scholes'!$B$7)*IF(LOWER('Black-Scholes'!$B$11)="put",MAX('Black-Scholes'!$B$6-C3401,0),MAX(C3401-'Black-Scholes'!$B$6,0))</f>
        <v>44.8706909793458</v>
      </c>
      <c r="F3401" s="18" t="n">
        <f aca="false">(E3401+G3401)/2</f>
        <v>22.4353454896729</v>
      </c>
      <c r="G3401" s="18" t="n">
        <f aca="false">EXP(-'Black-Scholes'!$B$8*'Black-Scholes'!$B$7)*IF(LOWER('Black-Scholes'!$B$11)="put",MAX('Black-Scholes'!$B$6-D3401,0),MAX(D3401-'Black-Scholes'!$B$6,0))</f>
        <v>0</v>
      </c>
    </row>
    <row r="3402" customFormat="false" ht="15" hidden="false" customHeight="false" outlineLevel="0" collapsed="false">
      <c r="A3402" s="0" t="n">
        <v>3391</v>
      </c>
      <c r="B3402" s="15" t="n">
        <v>-0.183538938159417</v>
      </c>
      <c r="C3402" s="18" t="n">
        <f aca="false">'Black-Scholes'!$B$5*EXP(('Black-Scholes'!$B$8-'Black-Scholes'!$B$10-'Black-Scholes'!$B$9^2/2)*'Black-Scholes'!$B$7+'Black-Scholes'!$B$9*SQRT('Black-Scholes'!$B$7)*B3402)</f>
        <v>99.3314659357652</v>
      </c>
      <c r="D3402" s="18" t="n">
        <f aca="false">'Black-Scholes'!$B$5*EXP(('Black-Scholes'!$B$8-'Black-Scholes'!$B$10-'Black-Scholes'!$B$9^2/2)*'Black-Scholes'!$B$7-'Black-Scholes'!$B$9*SQRT('Black-Scholes'!$B$7)*B3402)</f>
        <v>106.89830624588</v>
      </c>
      <c r="E3402" s="18" t="n">
        <f aca="false">EXP(-'Black-Scholes'!$B$8*'Black-Scholes'!$B$7)*IF(LOWER('Black-Scholes'!$B$11)="put",MAX('Black-Scholes'!$B$6-C3402,0),MAX(C3402-'Black-Scholes'!$B$6,0))</f>
        <v>0</v>
      </c>
      <c r="F3402" s="18" t="n">
        <f aca="false">(E3402+G3402)/2</f>
        <v>3.28093594014895</v>
      </c>
      <c r="G3402" s="18" t="n">
        <f aca="false">EXP(-'Black-Scholes'!$B$8*'Black-Scholes'!$B$7)*IF(LOWER('Black-Scholes'!$B$11)="put",MAX('Black-Scholes'!$B$6-D3402,0),MAX(D3402-'Black-Scholes'!$B$6,0))</f>
        <v>6.56187188029789</v>
      </c>
    </row>
    <row r="3403" customFormat="false" ht="15" hidden="false" customHeight="false" outlineLevel="0" collapsed="false">
      <c r="A3403" s="0" t="n">
        <v>3392</v>
      </c>
      <c r="B3403" s="15" t="n">
        <v>0.0674670261788562</v>
      </c>
      <c r="C3403" s="18" t="n">
        <f aca="false">'Black-Scholes'!$B$5*EXP(('Black-Scholes'!$B$8-'Black-Scholes'!$B$10-'Black-Scholes'!$B$9^2/2)*'Black-Scholes'!$B$7+'Black-Scholes'!$B$9*SQRT('Black-Scholes'!$B$7)*B3403)</f>
        <v>104.445310636733</v>
      </c>
      <c r="D3403" s="18" t="n">
        <f aca="false">'Black-Scholes'!$B$5*EXP(('Black-Scholes'!$B$8-'Black-Scholes'!$B$10-'Black-Scholes'!$B$9^2/2)*'Black-Scholes'!$B$7-'Black-Scholes'!$B$9*SQRT('Black-Scholes'!$B$7)*B3403)</f>
        <v>101.664358128867</v>
      </c>
      <c r="E3403" s="18" t="n">
        <f aca="false">EXP(-'Black-Scholes'!$B$8*'Black-Scholes'!$B$7)*IF(LOWER('Black-Scholes'!$B$11)="put",MAX('Black-Scholes'!$B$6-C3403,0),MAX(C3403-'Black-Scholes'!$B$6,0))</f>
        <v>4.22851027870638</v>
      </c>
      <c r="F3403" s="18" t="n">
        <f aca="false">(E3403+G3403)/2</f>
        <v>2.90584835189587</v>
      </c>
      <c r="G3403" s="18" t="n">
        <f aca="false">EXP(-'Black-Scholes'!$B$8*'Black-Scholes'!$B$7)*IF(LOWER('Black-Scholes'!$B$11)="put",MAX('Black-Scholes'!$B$6-D3403,0),MAX(D3403-'Black-Scholes'!$B$6,0))</f>
        <v>1.58318642508537</v>
      </c>
    </row>
    <row r="3404" customFormat="false" ht="15" hidden="false" customHeight="false" outlineLevel="0" collapsed="false">
      <c r="A3404" s="0" t="n">
        <v>3393</v>
      </c>
      <c r="B3404" s="15" t="n">
        <v>-1.97548217622535</v>
      </c>
      <c r="C3404" s="18" t="n">
        <f aca="false">'Black-Scholes'!$B$5*EXP(('Black-Scholes'!$B$8-'Black-Scholes'!$B$10-'Black-Scholes'!$B$9^2/2)*'Black-Scholes'!$B$7+'Black-Scholes'!$B$9*SQRT('Black-Scholes'!$B$7)*B3404)</f>
        <v>69.4129709081651</v>
      </c>
      <c r="D3404" s="18" t="n">
        <f aca="false">'Black-Scholes'!$B$5*EXP(('Black-Scholes'!$B$8-'Black-Scholes'!$B$10-'Black-Scholes'!$B$9^2/2)*'Black-Scholes'!$B$7-'Black-Scholes'!$B$9*SQRT('Black-Scholes'!$B$7)*B3404)</f>
        <v>152.973793320299</v>
      </c>
      <c r="E3404" s="18" t="n">
        <f aca="false">EXP(-'Black-Scholes'!$B$8*'Black-Scholes'!$B$7)*IF(LOWER('Black-Scholes'!$B$11)="put",MAX('Black-Scholes'!$B$6-C3404,0),MAX(C3404-'Black-Scholes'!$B$6,0))</f>
        <v>0</v>
      </c>
      <c r="F3404" s="18" t="n">
        <f aca="false">(E3404+G3404)/2</f>
        <v>25.1951154668441</v>
      </c>
      <c r="G3404" s="18" t="n">
        <f aca="false">EXP(-'Black-Scholes'!$B$8*'Black-Scholes'!$B$7)*IF(LOWER('Black-Scholes'!$B$11)="put",MAX('Black-Scholes'!$B$6-D3404,0),MAX(D3404-'Black-Scholes'!$B$6,0))</f>
        <v>50.3902309336882</v>
      </c>
    </row>
    <row r="3405" customFormat="false" ht="15" hidden="false" customHeight="false" outlineLevel="0" collapsed="false">
      <c r="A3405" s="0" t="n">
        <v>3394</v>
      </c>
      <c r="B3405" s="15" t="n">
        <v>0.862456712967291</v>
      </c>
      <c r="C3405" s="18" t="n">
        <f aca="false">'Black-Scholes'!$B$5*EXP(('Black-Scholes'!$B$8-'Black-Scholes'!$B$10-'Black-Scholes'!$B$9^2/2)*'Black-Scholes'!$B$7+'Black-Scholes'!$B$9*SQRT('Black-Scholes'!$B$7)*B3405)</f>
        <v>122.444948451905</v>
      </c>
      <c r="D3405" s="18" t="n">
        <f aca="false">'Black-Scholes'!$B$5*EXP(('Black-Scholes'!$B$8-'Black-Scholes'!$B$10-'Black-Scholes'!$B$9^2/2)*'Black-Scholes'!$B$7-'Black-Scholes'!$B$9*SQRT('Black-Scholes'!$B$7)*B3405)</f>
        <v>86.7195061919959</v>
      </c>
      <c r="E3405" s="18" t="n">
        <f aca="false">EXP(-'Black-Scholes'!$B$8*'Black-Scholes'!$B$7)*IF(LOWER('Black-Scholes'!$B$11)="put",MAX('Black-Scholes'!$B$6-C3405,0),MAX(C3405-'Black-Scholes'!$B$6,0))</f>
        <v>21.3502953988538</v>
      </c>
      <c r="F3405" s="18" t="n">
        <f aca="false">(E3405+G3405)/2</f>
        <v>10.6751476994269</v>
      </c>
      <c r="G3405" s="18" t="n">
        <f aca="false">EXP(-'Black-Scholes'!$B$8*'Black-Scholes'!$B$7)*IF(LOWER('Black-Scholes'!$B$11)="put",MAX('Black-Scholes'!$B$6-D3405,0),MAX(D3405-'Black-Scholes'!$B$6,0))</f>
        <v>0</v>
      </c>
    </row>
    <row r="3406" customFormat="false" ht="15" hidden="false" customHeight="false" outlineLevel="0" collapsed="false">
      <c r="A3406" s="0" t="n">
        <v>3395</v>
      </c>
      <c r="B3406" s="15" t="n">
        <v>0.428473091276114</v>
      </c>
      <c r="C3406" s="18" t="n">
        <f aca="false">'Black-Scholes'!$B$5*EXP(('Black-Scholes'!$B$8-'Black-Scholes'!$B$10-'Black-Scholes'!$B$9^2/2)*'Black-Scholes'!$B$7+'Black-Scholes'!$B$9*SQRT('Black-Scholes'!$B$7)*B3406)</f>
        <v>112.26529820533</v>
      </c>
      <c r="D3406" s="18" t="n">
        <f aca="false">'Black-Scholes'!$B$5*EXP(('Black-Scholes'!$B$8-'Black-Scholes'!$B$10-'Black-Scholes'!$B$9^2/2)*'Black-Scholes'!$B$7-'Black-Scholes'!$B$9*SQRT('Black-Scholes'!$B$7)*B3406)</f>
        <v>94.5827930375507</v>
      </c>
      <c r="E3406" s="18" t="n">
        <f aca="false">EXP(-'Black-Scholes'!$B$8*'Black-Scholes'!$B$7)*IF(LOWER('Black-Scholes'!$B$11)="put",MAX('Black-Scholes'!$B$6-C3406,0),MAX(C3406-'Black-Scholes'!$B$6,0))</f>
        <v>11.6671125531852</v>
      </c>
      <c r="F3406" s="18" t="n">
        <f aca="false">(E3406+G3406)/2</f>
        <v>5.83355627659262</v>
      </c>
      <c r="G3406" s="18" t="n">
        <f aca="false">EXP(-'Black-Scholes'!$B$8*'Black-Scholes'!$B$7)*IF(LOWER('Black-Scholes'!$B$11)="put",MAX('Black-Scholes'!$B$6-D3406,0),MAX(D3406-'Black-Scholes'!$B$6,0))</f>
        <v>0</v>
      </c>
    </row>
    <row r="3407" customFormat="false" ht="15" hidden="false" customHeight="false" outlineLevel="0" collapsed="false">
      <c r="A3407" s="0" t="n">
        <v>3396</v>
      </c>
      <c r="B3407" s="15" t="n">
        <v>0.97443856983324</v>
      </c>
      <c r="C3407" s="18" t="n">
        <f aca="false">'Black-Scholes'!$B$5*EXP(('Black-Scholes'!$B$8-'Black-Scholes'!$B$10-'Black-Scholes'!$B$9^2/2)*'Black-Scholes'!$B$7+'Black-Scholes'!$B$9*SQRT('Black-Scholes'!$B$7)*B3407)</f>
        <v>125.218210573603</v>
      </c>
      <c r="D3407" s="18" t="n">
        <f aca="false">'Black-Scholes'!$B$5*EXP(('Black-Scholes'!$B$8-'Black-Scholes'!$B$10-'Black-Scholes'!$B$9^2/2)*'Black-Scholes'!$B$7-'Black-Scholes'!$B$9*SQRT('Black-Scholes'!$B$7)*B3407)</f>
        <v>84.7988916054039</v>
      </c>
      <c r="E3407" s="18" t="n">
        <f aca="false">EXP(-'Black-Scholes'!$B$8*'Black-Scholes'!$B$7)*IF(LOWER('Black-Scholes'!$B$11)="put",MAX('Black-Scholes'!$B$6-C3407,0),MAX(C3407-'Black-Scholes'!$B$6,0))</f>
        <v>23.9883039308662</v>
      </c>
      <c r="F3407" s="18" t="n">
        <f aca="false">(E3407+G3407)/2</f>
        <v>11.9941519654331</v>
      </c>
      <c r="G3407" s="18" t="n">
        <f aca="false">EXP(-'Black-Scholes'!$B$8*'Black-Scholes'!$B$7)*IF(LOWER('Black-Scholes'!$B$11)="put",MAX('Black-Scholes'!$B$6-D3407,0),MAX(D3407-'Black-Scholes'!$B$6,0))</f>
        <v>0</v>
      </c>
    </row>
    <row r="3408" customFormat="false" ht="15" hidden="false" customHeight="false" outlineLevel="0" collapsed="false">
      <c r="A3408" s="0" t="n">
        <v>3397</v>
      </c>
      <c r="B3408" s="15" t="n">
        <v>-0.133939163272002</v>
      </c>
      <c r="C3408" s="18" t="n">
        <f aca="false">'Black-Scholes'!$B$5*EXP(('Black-Scholes'!$B$8-'Black-Scholes'!$B$10-'Black-Scholes'!$B$9^2/2)*'Black-Scholes'!$B$7+'Black-Scholes'!$B$9*SQRT('Black-Scholes'!$B$7)*B3408)</f>
        <v>100.321733188343</v>
      </c>
      <c r="D3408" s="18" t="n">
        <f aca="false">'Black-Scholes'!$B$5*EXP(('Black-Scholes'!$B$8-'Black-Scholes'!$B$10-'Black-Scholes'!$B$9^2/2)*'Black-Scholes'!$B$7-'Black-Scholes'!$B$9*SQRT('Black-Scholes'!$B$7)*B3408)</f>
        <v>105.843122202831</v>
      </c>
      <c r="E3408" s="18" t="n">
        <f aca="false">EXP(-'Black-Scholes'!$B$8*'Black-Scholes'!$B$7)*IF(LOWER('Black-Scholes'!$B$11)="put",MAX('Black-Scholes'!$B$6-C3408,0),MAX(C3408-'Black-Scholes'!$B$6,0))</f>
        <v>0.306042075590633</v>
      </c>
      <c r="F3408" s="18" t="n">
        <f aca="false">(E3408+G3408)/2</f>
        <v>2.93209592293828</v>
      </c>
      <c r="G3408" s="18" t="n">
        <f aca="false">EXP(-'Black-Scholes'!$B$8*'Black-Scholes'!$B$7)*IF(LOWER('Black-Scholes'!$B$11)="put",MAX('Black-Scholes'!$B$6-D3408,0),MAX(D3408-'Black-Scholes'!$B$6,0))</f>
        <v>5.55814977028592</v>
      </c>
    </row>
    <row r="3409" customFormat="false" ht="15" hidden="false" customHeight="false" outlineLevel="0" collapsed="false">
      <c r="A3409" s="0" t="n">
        <v>3398</v>
      </c>
      <c r="B3409" s="15" t="n">
        <v>-0.641601759755485</v>
      </c>
      <c r="C3409" s="18" t="n">
        <f aca="false">'Black-Scholes'!$B$5*EXP(('Black-Scholes'!$B$8-'Black-Scholes'!$B$10-'Black-Scholes'!$B$9^2/2)*'Black-Scholes'!$B$7+'Black-Scholes'!$B$9*SQRT('Black-Scholes'!$B$7)*B3409)</f>
        <v>90.6358503526267</v>
      </c>
      <c r="D3409" s="18" t="n">
        <f aca="false">'Black-Scholes'!$B$5*EXP(('Black-Scholes'!$B$8-'Black-Scholes'!$B$10-'Black-Scholes'!$B$9^2/2)*'Black-Scholes'!$B$7-'Black-Scholes'!$B$9*SQRT('Black-Scholes'!$B$7)*B3409)</f>
        <v>117.15414401853</v>
      </c>
      <c r="E3409" s="18" t="n">
        <f aca="false">EXP(-'Black-Scholes'!$B$8*'Black-Scholes'!$B$7)*IF(LOWER('Black-Scholes'!$B$11)="put",MAX('Black-Scholes'!$B$6-C3409,0),MAX(C3409-'Black-Scholes'!$B$6,0))</f>
        <v>0</v>
      </c>
      <c r="F3409" s="18" t="n">
        <f aca="false">(E3409+G3409)/2</f>
        <v>8.15876327127453</v>
      </c>
      <c r="G3409" s="18" t="n">
        <f aca="false">EXP(-'Black-Scholes'!$B$8*'Black-Scholes'!$B$7)*IF(LOWER('Black-Scholes'!$B$11)="put",MAX('Black-Scholes'!$B$6-D3409,0),MAX(D3409-'Black-Scholes'!$B$6,0))</f>
        <v>16.3175265425491</v>
      </c>
    </row>
    <row r="3410" customFormat="false" ht="15" hidden="false" customHeight="false" outlineLevel="0" collapsed="false">
      <c r="A3410" s="0" t="n">
        <v>3399</v>
      </c>
      <c r="B3410" s="15" t="n">
        <v>0.0621765865402109</v>
      </c>
      <c r="C3410" s="18" t="n">
        <f aca="false">'Black-Scholes'!$B$5*EXP(('Black-Scholes'!$B$8-'Black-Scholes'!$B$10-'Black-Scholes'!$B$9^2/2)*'Black-Scholes'!$B$7+'Black-Scholes'!$B$9*SQRT('Black-Scholes'!$B$7)*B3410)</f>
        <v>104.334856759702</v>
      </c>
      <c r="D3410" s="18" t="n">
        <f aca="false">'Black-Scholes'!$B$5*EXP(('Black-Scholes'!$B$8-'Black-Scholes'!$B$10-'Black-Scholes'!$B$9^2/2)*'Black-Scholes'!$B$7-'Black-Scholes'!$B$9*SQRT('Black-Scholes'!$B$7)*B3410)</f>
        <v>101.77198488813</v>
      </c>
      <c r="E3410" s="18" t="n">
        <f aca="false">EXP(-'Black-Scholes'!$B$8*'Black-Scholes'!$B$7)*IF(LOWER('Black-Scholes'!$B$11)="put",MAX('Black-Scholes'!$B$6-C3410,0),MAX(C3410-'Black-Scholes'!$B$6,0))</f>
        <v>4.12344330082449</v>
      </c>
      <c r="F3410" s="18" t="n">
        <f aca="false">(E3410+G3410)/2</f>
        <v>2.9045037330921</v>
      </c>
      <c r="G3410" s="18" t="n">
        <f aca="false">EXP(-'Black-Scholes'!$B$8*'Black-Scholes'!$B$7)*IF(LOWER('Black-Scholes'!$B$11)="put",MAX('Black-Scholes'!$B$6-D3410,0),MAX(D3410-'Black-Scholes'!$B$6,0))</f>
        <v>1.68556416535971</v>
      </c>
    </row>
    <row r="3411" customFormat="false" ht="15" hidden="false" customHeight="false" outlineLevel="0" collapsed="false">
      <c r="A3411" s="0" t="n">
        <v>3400</v>
      </c>
      <c r="B3411" s="15" t="n">
        <v>-0.524832860457523</v>
      </c>
      <c r="C3411" s="18" t="n">
        <f aca="false">'Black-Scholes'!$B$5*EXP(('Black-Scholes'!$B$8-'Black-Scholes'!$B$10-'Black-Scholes'!$B$9^2/2)*'Black-Scholes'!$B$7+'Black-Scholes'!$B$9*SQRT('Black-Scholes'!$B$7)*B3411)</f>
        <v>92.7774499371269</v>
      </c>
      <c r="D3411" s="18" t="n">
        <f aca="false">'Black-Scholes'!$B$5*EXP(('Black-Scholes'!$B$8-'Black-Scholes'!$B$10-'Black-Scholes'!$B$9^2/2)*'Black-Scholes'!$B$7-'Black-Scholes'!$B$9*SQRT('Black-Scholes'!$B$7)*B3411)</f>
        <v>114.449852551988</v>
      </c>
      <c r="E3411" s="18" t="n">
        <f aca="false">EXP(-'Black-Scholes'!$B$8*'Black-Scholes'!$B$7)*IF(LOWER('Black-Scholes'!$B$11)="put",MAX('Black-Scholes'!$B$6-C3411,0),MAX(C3411-'Black-Scholes'!$B$6,0))</f>
        <v>0</v>
      </c>
      <c r="F3411" s="18" t="n">
        <f aca="false">(E3411+G3411)/2</f>
        <v>6.87256246357374</v>
      </c>
      <c r="G3411" s="18" t="n">
        <f aca="false">EXP(-'Black-Scholes'!$B$8*'Black-Scholes'!$B$7)*IF(LOWER('Black-Scholes'!$B$11)="put",MAX('Black-Scholes'!$B$6-D3411,0),MAX(D3411-'Black-Scholes'!$B$6,0))</f>
        <v>13.7451249271475</v>
      </c>
    </row>
    <row r="3412" customFormat="false" ht="15" hidden="false" customHeight="false" outlineLevel="0" collapsed="false">
      <c r="A3412" s="0" t="n">
        <v>3401</v>
      </c>
      <c r="B3412" s="15" t="n">
        <v>0.175214542221759</v>
      </c>
      <c r="C3412" s="18" t="n">
        <f aca="false">'Black-Scholes'!$B$5*EXP(('Black-Scholes'!$B$8-'Black-Scholes'!$B$10-'Black-Scholes'!$B$9^2/2)*'Black-Scholes'!$B$7+'Black-Scholes'!$B$9*SQRT('Black-Scholes'!$B$7)*B3412)</f>
        <v>106.720481550021</v>
      </c>
      <c r="D3412" s="18" t="n">
        <f aca="false">'Black-Scholes'!$B$5*EXP(('Black-Scholes'!$B$8-'Black-Scholes'!$B$10-'Black-Scholes'!$B$9^2/2)*'Black-Scholes'!$B$7-'Black-Scholes'!$B$9*SQRT('Black-Scholes'!$B$7)*B3412)</f>
        <v>99.4969785671052</v>
      </c>
      <c r="E3412" s="18" t="n">
        <f aca="false">EXP(-'Black-Scholes'!$B$8*'Black-Scholes'!$B$7)*IF(LOWER('Black-Scholes'!$B$11)="put",MAX('Black-Scholes'!$B$6-C3412,0),MAX(C3412-'Black-Scholes'!$B$6,0))</f>
        <v>6.39271979719419</v>
      </c>
      <c r="F3412" s="18" t="n">
        <f aca="false">(E3412+G3412)/2</f>
        <v>3.19635989859709</v>
      </c>
      <c r="G3412" s="18" t="n">
        <f aca="false">EXP(-'Black-Scholes'!$B$8*'Black-Scholes'!$B$7)*IF(LOWER('Black-Scholes'!$B$11)="put",MAX('Black-Scholes'!$B$6-D3412,0),MAX(D3412-'Black-Scholes'!$B$6,0))</f>
        <v>0</v>
      </c>
    </row>
    <row r="3413" customFormat="false" ht="15" hidden="false" customHeight="false" outlineLevel="0" collapsed="false">
      <c r="A3413" s="0" t="n">
        <v>3402</v>
      </c>
      <c r="B3413" s="15" t="n">
        <v>-0.376519232585609</v>
      </c>
      <c r="C3413" s="18" t="n">
        <f aca="false">'Black-Scholes'!$B$5*EXP(('Black-Scholes'!$B$8-'Black-Scholes'!$B$10-'Black-Scholes'!$B$9^2/2)*'Black-Scholes'!$B$7+'Black-Scholes'!$B$9*SQRT('Black-Scholes'!$B$7)*B3413)</f>
        <v>95.5707049453536</v>
      </c>
      <c r="D3413" s="18" t="n">
        <f aca="false">'Black-Scholes'!$B$5*EXP(('Black-Scholes'!$B$8-'Black-Scholes'!$B$10-'Black-Scholes'!$B$9^2/2)*'Black-Scholes'!$B$7-'Black-Scholes'!$B$9*SQRT('Black-Scholes'!$B$7)*B3413)</f>
        <v>111.104814718329</v>
      </c>
      <c r="E3413" s="18" t="n">
        <f aca="false">EXP(-'Black-Scholes'!$B$8*'Black-Scholes'!$B$7)*IF(LOWER('Black-Scholes'!$B$11)="put",MAX('Black-Scholes'!$B$6-C3413,0),MAX(C3413-'Black-Scholes'!$B$6,0))</f>
        <v>0</v>
      </c>
      <c r="F3413" s="18" t="n">
        <f aca="false">(E3413+G3413)/2</f>
        <v>5.28161325685158</v>
      </c>
      <c r="G3413" s="18" t="n">
        <f aca="false">EXP(-'Black-Scholes'!$B$8*'Black-Scholes'!$B$7)*IF(LOWER('Black-Scholes'!$B$11)="put",MAX('Black-Scholes'!$B$6-D3413,0),MAX(D3413-'Black-Scholes'!$B$6,0))</f>
        <v>10.5632265137032</v>
      </c>
    </row>
    <row r="3414" customFormat="false" ht="15" hidden="false" customHeight="false" outlineLevel="0" collapsed="false">
      <c r="A3414" s="0" t="n">
        <v>3403</v>
      </c>
      <c r="B3414" s="15" t="n">
        <v>-0.780506432516063</v>
      </c>
      <c r="C3414" s="18" t="n">
        <f aca="false">'Black-Scholes'!$B$5*EXP(('Black-Scholes'!$B$8-'Black-Scholes'!$B$10-'Black-Scholes'!$B$9^2/2)*'Black-Scholes'!$B$7+'Black-Scholes'!$B$9*SQRT('Black-Scholes'!$B$7)*B3414)</f>
        <v>88.1525555620476</v>
      </c>
      <c r="D3414" s="18" t="n">
        <f aca="false">'Black-Scholes'!$B$5*EXP(('Black-Scholes'!$B$8-'Black-Scholes'!$B$10-'Black-Scholes'!$B$9^2/2)*'Black-Scholes'!$B$7-'Black-Scholes'!$B$9*SQRT('Black-Scholes'!$B$7)*B3414)</f>
        <v>120.454425827504</v>
      </c>
      <c r="E3414" s="18" t="n">
        <f aca="false">EXP(-'Black-Scholes'!$B$8*'Black-Scholes'!$B$7)*IF(LOWER('Black-Scholes'!$B$11)="put",MAX('Black-Scholes'!$B$6-C3414,0),MAX(C3414-'Black-Scholes'!$B$6,0))</f>
        <v>0</v>
      </c>
      <c r="F3414" s="18" t="n">
        <f aca="false">(E3414+G3414)/2</f>
        <v>9.72842585419462</v>
      </c>
      <c r="G3414" s="18" t="n">
        <f aca="false">EXP(-'Black-Scholes'!$B$8*'Black-Scholes'!$B$7)*IF(LOWER('Black-Scholes'!$B$11)="put",MAX('Black-Scholes'!$B$6-D3414,0),MAX(D3414-'Black-Scholes'!$B$6,0))</f>
        <v>19.4568517083892</v>
      </c>
    </row>
    <row r="3415" customFormat="false" ht="15" hidden="false" customHeight="false" outlineLevel="0" collapsed="false">
      <c r="A3415" s="0" t="n">
        <v>3404</v>
      </c>
      <c r="B3415" s="15" t="n">
        <v>0.9833923748085</v>
      </c>
      <c r="C3415" s="18" t="n">
        <f aca="false">'Black-Scholes'!$B$5*EXP(('Black-Scholes'!$B$8-'Black-Scholes'!$B$10-'Black-Scholes'!$B$9^2/2)*'Black-Scholes'!$B$7+'Black-Scholes'!$B$9*SQRT('Black-Scholes'!$B$7)*B3415)</f>
        <v>125.44264735731</v>
      </c>
      <c r="D3415" s="18" t="n">
        <f aca="false">'Black-Scholes'!$B$5*EXP(('Black-Scholes'!$B$8-'Black-Scholes'!$B$10-'Black-Scholes'!$B$9^2/2)*'Black-Scholes'!$B$7-'Black-Scholes'!$B$9*SQRT('Black-Scholes'!$B$7)*B3415)</f>
        <v>84.6471729443681</v>
      </c>
      <c r="E3415" s="18" t="n">
        <f aca="false">EXP(-'Black-Scholes'!$B$8*'Black-Scholes'!$B$7)*IF(LOWER('Black-Scholes'!$B$11)="put",MAX('Black-Scholes'!$B$6-C3415,0),MAX(C3415-'Black-Scholes'!$B$6,0))</f>
        <v>24.2017948034686</v>
      </c>
      <c r="F3415" s="18" t="n">
        <f aca="false">(E3415+G3415)/2</f>
        <v>12.1008974017343</v>
      </c>
      <c r="G3415" s="18" t="n">
        <f aca="false">EXP(-'Black-Scholes'!$B$8*'Black-Scholes'!$B$7)*IF(LOWER('Black-Scholes'!$B$11)="put",MAX('Black-Scholes'!$B$6-D3415,0),MAX(D3415-'Black-Scholes'!$B$6,0))</f>
        <v>0</v>
      </c>
    </row>
    <row r="3416" customFormat="false" ht="15" hidden="false" customHeight="false" outlineLevel="0" collapsed="false">
      <c r="A3416" s="0" t="n">
        <v>3405</v>
      </c>
      <c r="B3416" s="15" t="n">
        <v>-1.78038565235568</v>
      </c>
      <c r="C3416" s="18" t="n">
        <f aca="false">'Black-Scholes'!$B$5*EXP(('Black-Scholes'!$B$8-'Black-Scholes'!$B$10-'Black-Scholes'!$B$9^2/2)*'Black-Scholes'!$B$7+'Black-Scholes'!$B$9*SQRT('Black-Scholes'!$B$7)*B3416)</f>
        <v>72.1749516404534</v>
      </c>
      <c r="D3416" s="18" t="n">
        <f aca="false">'Black-Scholes'!$B$5*EXP(('Black-Scholes'!$B$8-'Black-Scholes'!$B$10-'Black-Scholes'!$B$9^2/2)*'Black-Scholes'!$B$7-'Black-Scholes'!$B$9*SQRT('Black-Scholes'!$B$7)*B3416)</f>
        <v>147.119814064442</v>
      </c>
      <c r="E3416" s="18" t="n">
        <f aca="false">EXP(-'Black-Scholes'!$B$8*'Black-Scholes'!$B$7)*IF(LOWER('Black-Scholes'!$B$11)="put",MAX('Black-Scholes'!$B$6-C3416,0),MAX(C3416-'Black-Scholes'!$B$6,0))</f>
        <v>0</v>
      </c>
      <c r="F3416" s="18" t="n">
        <f aca="false">(E3416+G3416)/2</f>
        <v>22.4108768075499</v>
      </c>
      <c r="G3416" s="18" t="n">
        <f aca="false">EXP(-'Black-Scholes'!$B$8*'Black-Scholes'!$B$7)*IF(LOWER('Black-Scholes'!$B$11)="put",MAX('Black-Scholes'!$B$6-D3416,0),MAX(D3416-'Black-Scholes'!$B$6,0))</f>
        <v>44.8217536150997</v>
      </c>
    </row>
    <row r="3417" customFormat="false" ht="15" hidden="false" customHeight="false" outlineLevel="0" collapsed="false">
      <c r="A3417" s="0" t="n">
        <v>3406</v>
      </c>
      <c r="B3417" s="15" t="n">
        <v>0.558640616630037</v>
      </c>
      <c r="C3417" s="18" t="n">
        <f aca="false">'Black-Scholes'!$B$5*EXP(('Black-Scholes'!$B$8-'Black-Scholes'!$B$10-'Black-Scholes'!$B$9^2/2)*'Black-Scholes'!$B$7+'Black-Scholes'!$B$9*SQRT('Black-Scholes'!$B$7)*B3417)</f>
        <v>115.226333242488</v>
      </c>
      <c r="D3417" s="18" t="n">
        <f aca="false">'Black-Scholes'!$B$5*EXP(('Black-Scholes'!$B$8-'Black-Scholes'!$B$10-'Black-Scholes'!$B$9^2/2)*'Black-Scholes'!$B$7-'Black-Scholes'!$B$9*SQRT('Black-Scholes'!$B$7)*B3417)</f>
        <v>92.1522465104203</v>
      </c>
      <c r="E3417" s="18" t="n">
        <f aca="false">EXP(-'Black-Scholes'!$B$8*'Black-Scholes'!$B$7)*IF(LOWER('Black-Scholes'!$B$11)="put",MAX('Black-Scholes'!$B$6-C3417,0),MAX(C3417-'Black-Scholes'!$B$6,0))</f>
        <v>14.483736207508</v>
      </c>
      <c r="F3417" s="18" t="n">
        <f aca="false">(E3417+G3417)/2</f>
        <v>7.24186810375399</v>
      </c>
      <c r="G3417" s="18" t="n">
        <f aca="false">EXP(-'Black-Scholes'!$B$8*'Black-Scholes'!$B$7)*IF(LOWER('Black-Scholes'!$B$11)="put",MAX('Black-Scholes'!$B$6-D3417,0),MAX(D3417-'Black-Scholes'!$B$6,0))</f>
        <v>0</v>
      </c>
    </row>
    <row r="3418" customFormat="false" ht="15" hidden="false" customHeight="false" outlineLevel="0" collapsed="false">
      <c r="A3418" s="0" t="n">
        <v>3407</v>
      </c>
      <c r="B3418" s="15" t="n">
        <v>-0.767820357174454</v>
      </c>
      <c r="C3418" s="18" t="n">
        <f aca="false">'Black-Scholes'!$B$5*EXP(('Black-Scholes'!$B$8-'Black-Scholes'!$B$10-'Black-Scholes'!$B$9^2/2)*'Black-Scholes'!$B$7+'Black-Scholes'!$B$9*SQRT('Black-Scholes'!$B$7)*B3418)</f>
        <v>88.3765015337407</v>
      </c>
      <c r="D3418" s="18" t="n">
        <f aca="false">'Black-Scholes'!$B$5*EXP(('Black-Scholes'!$B$8-'Black-Scholes'!$B$10-'Black-Scholes'!$B$9^2/2)*'Black-Scholes'!$B$7-'Black-Scholes'!$B$9*SQRT('Black-Scholes'!$B$7)*B3418)</f>
        <v>120.149194425847</v>
      </c>
      <c r="E3418" s="18" t="n">
        <f aca="false">EXP(-'Black-Scholes'!$B$8*'Black-Scholes'!$B$7)*IF(LOWER('Black-Scholes'!$B$11)="put",MAX('Black-Scholes'!$B$6-C3418,0),MAX(C3418-'Black-Scholes'!$B$6,0))</f>
        <v>0</v>
      </c>
      <c r="F3418" s="18" t="n">
        <f aca="false">(E3418+G3418)/2</f>
        <v>9.5832533089258</v>
      </c>
      <c r="G3418" s="18" t="n">
        <f aca="false">EXP(-'Black-Scholes'!$B$8*'Black-Scholes'!$B$7)*IF(LOWER('Black-Scholes'!$B$11)="put",MAX('Black-Scholes'!$B$6-D3418,0),MAX(D3418-'Black-Scholes'!$B$6,0))</f>
        <v>19.1665066178516</v>
      </c>
    </row>
    <row r="3419" customFormat="false" ht="15" hidden="false" customHeight="false" outlineLevel="0" collapsed="false">
      <c r="A3419" s="0" t="n">
        <v>3408</v>
      </c>
      <c r="B3419" s="15" t="n">
        <v>0.22700365336479</v>
      </c>
      <c r="C3419" s="18" t="n">
        <f aca="false">'Black-Scholes'!$B$5*EXP(('Black-Scholes'!$B$8-'Black-Scholes'!$B$10-'Black-Scholes'!$B$9^2/2)*'Black-Scholes'!$B$7+'Black-Scholes'!$B$9*SQRT('Black-Scholes'!$B$7)*B3419)</f>
        <v>107.83161786834</v>
      </c>
      <c r="D3419" s="18" t="n">
        <f aca="false">'Black-Scholes'!$B$5*EXP(('Black-Scholes'!$B$8-'Black-Scholes'!$B$10-'Black-Scholes'!$B$9^2/2)*'Black-Scholes'!$B$7-'Black-Scholes'!$B$9*SQRT('Black-Scholes'!$B$7)*B3419)</f>
        <v>98.4717254119138</v>
      </c>
      <c r="E3419" s="18" t="n">
        <f aca="false">EXP(-'Black-Scholes'!$B$8*'Black-Scholes'!$B$7)*IF(LOWER('Black-Scholes'!$B$11)="put",MAX('Black-Scholes'!$B$6-C3419,0),MAX(C3419-'Black-Scholes'!$B$6,0))</f>
        <v>7.44966535781058</v>
      </c>
      <c r="F3419" s="18" t="n">
        <f aca="false">(E3419+G3419)/2</f>
        <v>3.72483267890529</v>
      </c>
      <c r="G3419" s="18" t="n">
        <f aca="false">EXP(-'Black-Scholes'!$B$8*'Black-Scholes'!$B$7)*IF(LOWER('Black-Scholes'!$B$11)="put",MAX('Black-Scholes'!$B$6-D3419,0),MAX(D3419-'Black-Scholes'!$B$6,0))</f>
        <v>0</v>
      </c>
    </row>
    <row r="3420" customFormat="false" ht="15" hidden="false" customHeight="false" outlineLevel="0" collapsed="false">
      <c r="A3420" s="0" t="n">
        <v>3409</v>
      </c>
      <c r="B3420" s="15" t="n">
        <v>-1.32918497680588</v>
      </c>
      <c r="C3420" s="18" t="n">
        <f aca="false">'Black-Scholes'!$B$5*EXP(('Black-Scholes'!$B$8-'Black-Scholes'!$B$10-'Black-Scholes'!$B$9^2/2)*'Black-Scholes'!$B$7+'Black-Scholes'!$B$9*SQRT('Black-Scholes'!$B$7)*B3420)</f>
        <v>78.9909422339316</v>
      </c>
      <c r="D3420" s="18" t="n">
        <f aca="false">'Black-Scholes'!$B$5*EXP(('Black-Scholes'!$B$8-'Black-Scholes'!$B$10-'Black-Scholes'!$B$9^2/2)*'Black-Scholes'!$B$7-'Black-Scholes'!$B$9*SQRT('Black-Scholes'!$B$7)*B3420)</f>
        <v>134.425101982039</v>
      </c>
      <c r="E3420" s="18" t="n">
        <f aca="false">EXP(-'Black-Scholes'!$B$8*'Black-Scholes'!$B$7)*IF(LOWER('Black-Scholes'!$B$11)="put",MAX('Black-Scholes'!$B$6-C3420,0),MAX(C3420-'Black-Scholes'!$B$6,0))</f>
        <v>0</v>
      </c>
      <c r="F3420" s="18" t="n">
        <f aca="false">(E3420+G3420)/2</f>
        <v>16.3730849733766</v>
      </c>
      <c r="G3420" s="18" t="n">
        <f aca="false">EXP(-'Black-Scholes'!$B$8*'Black-Scholes'!$B$7)*IF(LOWER('Black-Scholes'!$B$11)="put",MAX('Black-Scholes'!$B$6-D3420,0),MAX(D3420-'Black-Scholes'!$B$6,0))</f>
        <v>32.7461699467532</v>
      </c>
    </row>
    <row r="3421" customFormat="false" ht="15" hidden="false" customHeight="false" outlineLevel="0" collapsed="false">
      <c r="A3421" s="0" t="n">
        <v>3410</v>
      </c>
      <c r="B3421" s="15" t="n">
        <v>0.231448750343448</v>
      </c>
      <c r="C3421" s="18" t="n">
        <f aca="false">'Black-Scholes'!$B$5*EXP(('Black-Scholes'!$B$8-'Black-Scholes'!$B$10-'Black-Scholes'!$B$9^2/2)*'Black-Scholes'!$B$7+'Black-Scholes'!$B$9*SQRT('Black-Scholes'!$B$7)*B3421)</f>
        <v>107.927524893384</v>
      </c>
      <c r="D3421" s="18" t="n">
        <f aca="false">'Black-Scholes'!$B$5*EXP(('Black-Scholes'!$B$8-'Black-Scholes'!$B$10-'Black-Scholes'!$B$9^2/2)*'Black-Scholes'!$B$7-'Black-Scholes'!$B$9*SQRT('Black-Scholes'!$B$7)*B3421)</f>
        <v>98.3842210403965</v>
      </c>
      <c r="E3421" s="18" t="n">
        <f aca="false">EXP(-'Black-Scholes'!$B$8*'Black-Scholes'!$B$7)*IF(LOWER('Black-Scholes'!$B$11)="put",MAX('Black-Scholes'!$B$6-C3421,0),MAX(C3421-'Black-Scholes'!$B$6,0))</f>
        <v>7.54089494204883</v>
      </c>
      <c r="F3421" s="18" t="n">
        <f aca="false">(E3421+G3421)/2</f>
        <v>3.77044747102442</v>
      </c>
      <c r="G3421" s="18" t="n">
        <f aca="false">EXP(-'Black-Scholes'!$B$8*'Black-Scholes'!$B$7)*IF(LOWER('Black-Scholes'!$B$11)="put",MAX('Black-Scholes'!$B$6-D3421,0),MAX(D3421-'Black-Scholes'!$B$6,0))</f>
        <v>0</v>
      </c>
    </row>
    <row r="3422" customFormat="false" ht="15" hidden="false" customHeight="false" outlineLevel="0" collapsed="false">
      <c r="A3422" s="0" t="n">
        <v>3411</v>
      </c>
      <c r="B3422" s="15" t="n">
        <v>-0.824335157797286</v>
      </c>
      <c r="C3422" s="18" t="n">
        <f aca="false">'Black-Scholes'!$B$5*EXP(('Black-Scholes'!$B$8-'Black-Scholes'!$B$10-'Black-Scholes'!$B$9^2/2)*'Black-Scholes'!$B$7+'Black-Scholes'!$B$9*SQRT('Black-Scholes'!$B$7)*B3422)</f>
        <v>87.3832096054545</v>
      </c>
      <c r="D3422" s="18" t="n">
        <f aca="false">'Black-Scholes'!$B$5*EXP(('Black-Scholes'!$B$8-'Black-Scholes'!$B$10-'Black-Scholes'!$B$9^2/2)*'Black-Scholes'!$B$7-'Black-Scholes'!$B$9*SQRT('Black-Scholes'!$B$7)*B3422)</f>
        <v>121.514939922632</v>
      </c>
      <c r="E3422" s="18" t="n">
        <f aca="false">EXP(-'Black-Scholes'!$B$8*'Black-Scholes'!$B$7)*IF(LOWER('Black-Scholes'!$B$11)="put",MAX('Black-Scholes'!$B$6-C3422,0),MAX(C3422-'Black-Scholes'!$B$6,0))</f>
        <v>0</v>
      </c>
      <c r="F3422" s="18" t="n">
        <f aca="false">(E3422+G3422)/2</f>
        <v>10.2328219603865</v>
      </c>
      <c r="G3422" s="18" t="n">
        <f aca="false">EXP(-'Black-Scholes'!$B$8*'Black-Scholes'!$B$7)*IF(LOWER('Black-Scholes'!$B$11)="put",MAX('Black-Scholes'!$B$6-D3422,0),MAX(D3422-'Black-Scholes'!$B$6,0))</f>
        <v>20.4656439207731</v>
      </c>
    </row>
    <row r="3423" customFormat="false" ht="15" hidden="false" customHeight="false" outlineLevel="0" collapsed="false">
      <c r="A3423" s="0" t="n">
        <v>3412</v>
      </c>
      <c r="B3423" s="15" t="n">
        <v>0.851160063989494</v>
      </c>
      <c r="C3423" s="18" t="n">
        <f aca="false">'Black-Scholes'!$B$5*EXP(('Black-Scholes'!$B$8-'Black-Scholes'!$B$10-'Black-Scholes'!$B$9^2/2)*'Black-Scholes'!$B$7+'Black-Scholes'!$B$9*SQRT('Black-Scholes'!$B$7)*B3423)</f>
        <v>122.168617210801</v>
      </c>
      <c r="D3423" s="18" t="n">
        <f aca="false">'Black-Scholes'!$B$5*EXP(('Black-Scholes'!$B$8-'Black-Scholes'!$B$10-'Black-Scholes'!$B$9^2/2)*'Black-Scholes'!$B$7-'Black-Scholes'!$B$9*SQRT('Black-Scholes'!$B$7)*B3423)</f>
        <v>86.9156556559175</v>
      </c>
      <c r="E3423" s="18" t="n">
        <f aca="false">EXP(-'Black-Scholes'!$B$8*'Black-Scholes'!$B$7)*IF(LOWER('Black-Scholes'!$B$11)="put",MAX('Black-Scholes'!$B$6-C3423,0),MAX(C3423-'Black-Scholes'!$B$6,0))</f>
        <v>21.0874409914071</v>
      </c>
      <c r="F3423" s="18" t="n">
        <f aca="false">(E3423+G3423)/2</f>
        <v>10.5437204957035</v>
      </c>
      <c r="G3423" s="18" t="n">
        <f aca="false">EXP(-'Black-Scholes'!$B$8*'Black-Scholes'!$B$7)*IF(LOWER('Black-Scholes'!$B$11)="put",MAX('Black-Scholes'!$B$6-D3423,0),MAX(D3423-'Black-Scholes'!$B$6,0))</f>
        <v>0</v>
      </c>
    </row>
    <row r="3424" customFormat="false" ht="15" hidden="false" customHeight="false" outlineLevel="0" collapsed="false">
      <c r="A3424" s="0" t="n">
        <v>3413</v>
      </c>
      <c r="B3424" s="15" t="n">
        <v>0.0437874544000103</v>
      </c>
      <c r="C3424" s="18" t="n">
        <f aca="false">'Black-Scholes'!$B$5*EXP(('Black-Scholes'!$B$8-'Black-Scholes'!$B$10-'Black-Scholes'!$B$9^2/2)*'Black-Scholes'!$B$7+'Black-Scholes'!$B$9*SQRT('Black-Scholes'!$B$7)*B3424)</f>
        <v>103.95183603975</v>
      </c>
      <c r="D3424" s="18" t="n">
        <f aca="false">'Black-Scholes'!$B$5*EXP(('Black-Scholes'!$B$8-'Black-Scholes'!$B$10-'Black-Scholes'!$B$9^2/2)*'Black-Scholes'!$B$7-'Black-Scholes'!$B$9*SQRT('Black-Scholes'!$B$7)*B3424)</f>
        <v>102.14697373304</v>
      </c>
      <c r="E3424" s="18" t="n">
        <f aca="false">EXP(-'Black-Scholes'!$B$8*'Black-Scholes'!$B$7)*IF(LOWER('Black-Scholes'!$B$11)="put",MAX('Black-Scholes'!$B$6-C3424,0),MAX(C3424-'Black-Scholes'!$B$6,0))</f>
        <v>3.75910272181236</v>
      </c>
      <c r="F3424" s="18" t="n">
        <f aca="false">(E3424+G3424)/2</f>
        <v>2.90068365515506</v>
      </c>
      <c r="G3424" s="18" t="n">
        <f aca="false">EXP(-'Black-Scholes'!$B$8*'Black-Scholes'!$B$7)*IF(LOWER('Black-Scholes'!$B$11)="put",MAX('Black-Scholes'!$B$6-D3424,0),MAX(D3424-'Black-Scholes'!$B$6,0))</f>
        <v>2.04226458849775</v>
      </c>
    </row>
    <row r="3425" customFormat="false" ht="15" hidden="false" customHeight="false" outlineLevel="0" collapsed="false">
      <c r="A3425" s="0" t="n">
        <v>3414</v>
      </c>
      <c r="B3425" s="15" t="n">
        <v>-0.566799447166811</v>
      </c>
      <c r="C3425" s="18" t="n">
        <f aca="false">'Black-Scholes'!$B$5*EXP(('Black-Scholes'!$B$8-'Black-Scholes'!$B$10-'Black-Scholes'!$B$9^2/2)*'Black-Scholes'!$B$7+'Black-Scholes'!$B$9*SQRT('Black-Scholes'!$B$7)*B3425)</f>
        <v>92.0019982162234</v>
      </c>
      <c r="D3425" s="18" t="n">
        <f aca="false">'Black-Scholes'!$B$5*EXP(('Black-Scholes'!$B$8-'Black-Scholes'!$B$10-'Black-Scholes'!$B$9^2/2)*'Black-Scholes'!$B$7-'Black-Scholes'!$B$9*SQRT('Black-Scholes'!$B$7)*B3425)</f>
        <v>115.414509155532</v>
      </c>
      <c r="E3425" s="18" t="n">
        <f aca="false">EXP(-'Black-Scholes'!$B$8*'Black-Scholes'!$B$7)*IF(LOWER('Black-Scholes'!$B$11)="put",MAX('Black-Scholes'!$B$6-C3425,0),MAX(C3425-'Black-Scholes'!$B$6,0))</f>
        <v>0</v>
      </c>
      <c r="F3425" s="18" t="n">
        <f aca="false">(E3425+G3425)/2</f>
        <v>7.33136733648904</v>
      </c>
      <c r="G3425" s="18" t="n">
        <f aca="false">EXP(-'Black-Scholes'!$B$8*'Black-Scholes'!$B$7)*IF(LOWER('Black-Scholes'!$B$11)="put",MAX('Black-Scholes'!$B$6-D3425,0),MAX(D3425-'Black-Scholes'!$B$6,0))</f>
        <v>14.6627346729781</v>
      </c>
    </row>
    <row r="3426" customFormat="false" ht="15" hidden="false" customHeight="false" outlineLevel="0" collapsed="false">
      <c r="A3426" s="0" t="n">
        <v>3415</v>
      </c>
      <c r="B3426" s="15" t="n">
        <v>0.998545362519039</v>
      </c>
      <c r="C3426" s="18" t="n">
        <f aca="false">'Black-Scholes'!$B$5*EXP(('Black-Scholes'!$B$8-'Black-Scholes'!$B$10-'Black-Scholes'!$B$9^2/2)*'Black-Scholes'!$B$7+'Black-Scholes'!$B$9*SQRT('Black-Scholes'!$B$7)*B3426)</f>
        <v>125.823390183792</v>
      </c>
      <c r="D3426" s="18" t="n">
        <f aca="false">'Black-Scholes'!$B$5*EXP(('Black-Scholes'!$B$8-'Black-Scholes'!$B$10-'Black-Scholes'!$B$9^2/2)*'Black-Scholes'!$B$7-'Black-Scholes'!$B$9*SQRT('Black-Scholes'!$B$7)*B3426)</f>
        <v>84.3910297595956</v>
      </c>
      <c r="E3426" s="18" t="n">
        <f aca="false">EXP(-'Black-Scholes'!$B$8*'Black-Scholes'!$B$7)*IF(LOWER('Black-Scholes'!$B$11)="put",MAX('Black-Scholes'!$B$6-C3426,0),MAX(C3426-'Black-Scholes'!$B$6,0))</f>
        <v>24.5639685831858</v>
      </c>
      <c r="F3426" s="18" t="n">
        <f aca="false">(E3426+G3426)/2</f>
        <v>12.2819842915929</v>
      </c>
      <c r="G3426" s="18" t="n">
        <f aca="false">EXP(-'Black-Scholes'!$B$8*'Black-Scholes'!$B$7)*IF(LOWER('Black-Scholes'!$B$11)="put",MAX('Black-Scholes'!$B$6-D3426,0),MAX(D3426-'Black-Scholes'!$B$6,0))</f>
        <v>0</v>
      </c>
    </row>
    <row r="3427" customFormat="false" ht="15" hidden="false" customHeight="false" outlineLevel="0" collapsed="false">
      <c r="A3427" s="0" t="n">
        <v>3416</v>
      </c>
      <c r="B3427" s="15" t="n">
        <v>-0.822112237030474</v>
      </c>
      <c r="C3427" s="18" t="n">
        <f aca="false">'Black-Scholes'!$B$5*EXP(('Black-Scholes'!$B$8-'Black-Scholes'!$B$10-'Black-Scholes'!$B$9^2/2)*'Black-Scholes'!$B$7+'Black-Scholes'!$B$9*SQRT('Black-Scholes'!$B$7)*B3427)</f>
        <v>87.4220674328621</v>
      </c>
      <c r="D3427" s="18" t="n">
        <f aca="false">'Black-Scholes'!$B$5*EXP(('Black-Scholes'!$B$8-'Black-Scholes'!$B$10-'Black-Scholes'!$B$9^2/2)*'Black-Scholes'!$B$7-'Black-Scholes'!$B$9*SQRT('Black-Scholes'!$B$7)*B3427)</f>
        <v>121.460928313188</v>
      </c>
      <c r="E3427" s="18" t="n">
        <f aca="false">EXP(-'Black-Scholes'!$B$8*'Black-Scholes'!$B$7)*IF(LOWER('Black-Scholes'!$B$11)="put",MAX('Black-Scholes'!$B$6-C3427,0),MAX(C3427-'Black-Scholes'!$B$6,0))</f>
        <v>0</v>
      </c>
      <c r="F3427" s="18" t="n">
        <f aca="false">(E3427+G3427)/2</f>
        <v>10.2071332443027</v>
      </c>
      <c r="G3427" s="18" t="n">
        <f aca="false">EXP(-'Black-Scholes'!$B$8*'Black-Scholes'!$B$7)*IF(LOWER('Black-Scholes'!$B$11)="put",MAX('Black-Scholes'!$B$6-D3427,0),MAX(D3427-'Black-Scholes'!$B$6,0))</f>
        <v>20.4142664886054</v>
      </c>
    </row>
    <row r="3428" customFormat="false" ht="15" hidden="false" customHeight="false" outlineLevel="0" collapsed="false">
      <c r="A3428" s="0" t="n">
        <v>3417</v>
      </c>
      <c r="B3428" s="15" t="n">
        <v>1.09089725986585</v>
      </c>
      <c r="C3428" s="18" t="n">
        <f aca="false">'Black-Scholes'!$B$5*EXP(('Black-Scholes'!$B$8-'Black-Scholes'!$B$10-'Black-Scholes'!$B$9^2/2)*'Black-Scholes'!$B$7+'Black-Scholes'!$B$9*SQRT('Black-Scholes'!$B$7)*B3428)</f>
        <v>128.168991334206</v>
      </c>
      <c r="D3428" s="18" t="n">
        <f aca="false">'Black-Scholes'!$B$5*EXP(('Black-Scholes'!$B$8-'Black-Scholes'!$B$10-'Black-Scholes'!$B$9^2/2)*'Black-Scholes'!$B$7-'Black-Scholes'!$B$9*SQRT('Black-Scholes'!$B$7)*B3428)</f>
        <v>82.8466024029617</v>
      </c>
      <c r="E3428" s="18" t="n">
        <f aca="false">EXP(-'Black-Scholes'!$B$8*'Black-Scholes'!$B$7)*IF(LOWER('Black-Scholes'!$B$11)="put",MAX('Black-Scholes'!$B$6-C3428,0),MAX(C3428-'Black-Scholes'!$B$6,0))</f>
        <v>26.7951734156023</v>
      </c>
      <c r="F3428" s="18" t="n">
        <f aca="false">(E3428+G3428)/2</f>
        <v>13.3975867078011</v>
      </c>
      <c r="G3428" s="18" t="n">
        <f aca="false">EXP(-'Black-Scholes'!$B$8*'Black-Scholes'!$B$7)*IF(LOWER('Black-Scholes'!$B$11)="put",MAX('Black-Scholes'!$B$6-D3428,0),MAX(D3428-'Black-Scholes'!$B$6,0))</f>
        <v>0</v>
      </c>
    </row>
    <row r="3429" customFormat="false" ht="15" hidden="false" customHeight="false" outlineLevel="0" collapsed="false">
      <c r="A3429" s="0" t="n">
        <v>3418</v>
      </c>
      <c r="B3429" s="15" t="n">
        <v>-0.114166746876579</v>
      </c>
      <c r="C3429" s="18" t="n">
        <f aca="false">'Black-Scholes'!$B$5*EXP(('Black-Scholes'!$B$8-'Black-Scholes'!$B$10-'Black-Scholes'!$B$9^2/2)*'Black-Scholes'!$B$7+'Black-Scholes'!$B$9*SQRT('Black-Scholes'!$B$7)*B3429)</f>
        <v>100.719239252293</v>
      </c>
      <c r="D3429" s="18" t="n">
        <f aca="false">'Black-Scholes'!$B$5*EXP(('Black-Scholes'!$B$8-'Black-Scholes'!$B$10-'Black-Scholes'!$B$9^2/2)*'Black-Scholes'!$B$7-'Black-Scholes'!$B$9*SQRT('Black-Scholes'!$B$7)*B3429)</f>
        <v>105.425393840154</v>
      </c>
      <c r="E3429" s="18" t="n">
        <f aca="false">EXP(-'Black-Scholes'!$B$8*'Black-Scholes'!$B$7)*IF(LOWER('Black-Scholes'!$B$11)="put",MAX('Black-Scholes'!$B$6-C3429,0),MAX(C3429-'Black-Scholes'!$B$6,0))</f>
        <v>0.68416154003661</v>
      </c>
      <c r="F3429" s="18" t="n">
        <f aca="false">(E3429+G3429)/2</f>
        <v>2.92247790014777</v>
      </c>
      <c r="G3429" s="18" t="n">
        <f aca="false">EXP(-'Black-Scholes'!$B$8*'Black-Scholes'!$B$7)*IF(LOWER('Black-Scholes'!$B$11)="put",MAX('Black-Scholes'!$B$6-D3429,0),MAX(D3429-'Black-Scholes'!$B$6,0))</f>
        <v>5.16079426025894</v>
      </c>
    </row>
    <row r="3430" customFormat="false" ht="15" hidden="false" customHeight="false" outlineLevel="0" collapsed="false">
      <c r="A3430" s="0" t="n">
        <v>3419</v>
      </c>
      <c r="B3430" s="15" t="n">
        <v>0.299802534950122</v>
      </c>
      <c r="C3430" s="18" t="n">
        <f aca="false">'Black-Scholes'!$B$5*EXP(('Black-Scholes'!$B$8-'Black-Scholes'!$B$10-'Black-Scholes'!$B$9^2/2)*'Black-Scholes'!$B$7+'Black-Scholes'!$B$9*SQRT('Black-Scholes'!$B$7)*B3430)</f>
        <v>109.413107232259</v>
      </c>
      <c r="D3430" s="18" t="n">
        <f aca="false">'Black-Scholes'!$B$5*EXP(('Black-Scholes'!$B$8-'Black-Scholes'!$B$10-'Black-Scholes'!$B$9^2/2)*'Black-Scholes'!$B$7-'Black-Scholes'!$B$9*SQRT('Black-Scholes'!$B$7)*B3430)</f>
        <v>97.0483860120456</v>
      </c>
      <c r="E3430" s="18" t="n">
        <f aca="false">EXP(-'Black-Scholes'!$B$8*'Black-Scholes'!$B$7)*IF(LOWER('Black-Scholes'!$B$11)="put",MAX('Black-Scholes'!$B$6-C3430,0),MAX(C3430-'Black-Scholes'!$B$6,0))</f>
        <v>8.95402457530508</v>
      </c>
      <c r="F3430" s="18" t="n">
        <f aca="false">(E3430+G3430)/2</f>
        <v>4.47701228765254</v>
      </c>
      <c r="G3430" s="18" t="n">
        <f aca="false">EXP(-'Black-Scholes'!$B$8*'Black-Scholes'!$B$7)*IF(LOWER('Black-Scholes'!$B$11)="put",MAX('Black-Scholes'!$B$6-D3430,0),MAX(D3430-'Black-Scholes'!$B$6,0))</f>
        <v>0</v>
      </c>
    </row>
    <row r="3431" customFormat="false" ht="15" hidden="false" customHeight="false" outlineLevel="0" collapsed="false">
      <c r="A3431" s="0" t="n">
        <v>3420</v>
      </c>
      <c r="B3431" s="15" t="n">
        <v>0.999428782068955</v>
      </c>
      <c r="C3431" s="18" t="n">
        <f aca="false">'Black-Scholes'!$B$5*EXP(('Black-Scholes'!$B$8-'Black-Scholes'!$B$10-'Black-Scholes'!$B$9^2/2)*'Black-Scholes'!$B$7+'Black-Scholes'!$B$9*SQRT('Black-Scholes'!$B$7)*B3431)</f>
        <v>125.84562311638</v>
      </c>
      <c r="D3431" s="18" t="n">
        <f aca="false">'Black-Scholes'!$B$5*EXP(('Black-Scholes'!$B$8-'Black-Scholes'!$B$10-'Black-Scholes'!$B$9^2/2)*'Black-Scholes'!$B$7-'Black-Scholes'!$B$9*SQRT('Black-Scholes'!$B$7)*B3431)</f>
        <v>84.3761205396386</v>
      </c>
      <c r="E3431" s="18" t="n">
        <f aca="false">EXP(-'Black-Scholes'!$B$8*'Black-Scholes'!$B$7)*IF(LOWER('Black-Scholes'!$B$11)="put",MAX('Black-Scholes'!$B$6-C3431,0),MAX(C3431-'Black-Scholes'!$B$6,0))</f>
        <v>24.5851172028563</v>
      </c>
      <c r="F3431" s="18" t="n">
        <f aca="false">(E3431+G3431)/2</f>
        <v>12.2925586014282</v>
      </c>
      <c r="G3431" s="18" t="n">
        <f aca="false">EXP(-'Black-Scholes'!$B$8*'Black-Scholes'!$B$7)*IF(LOWER('Black-Scholes'!$B$11)="put",MAX('Black-Scholes'!$B$6-D3431,0),MAX(D3431-'Black-Scholes'!$B$6,0))</f>
        <v>0</v>
      </c>
    </row>
    <row r="3432" customFormat="false" ht="15" hidden="false" customHeight="false" outlineLevel="0" collapsed="false">
      <c r="A3432" s="0" t="n">
        <v>3421</v>
      </c>
      <c r="B3432" s="15" t="n">
        <v>0.316414092278868</v>
      </c>
      <c r="C3432" s="18" t="n">
        <f aca="false">'Black-Scholes'!$B$5*EXP(('Black-Scholes'!$B$8-'Black-Scholes'!$B$10-'Black-Scholes'!$B$9^2/2)*'Black-Scholes'!$B$7+'Black-Scholes'!$B$9*SQRT('Black-Scholes'!$B$7)*B3432)</f>
        <v>109.77721615964</v>
      </c>
      <c r="D3432" s="18" t="n">
        <f aca="false">'Black-Scholes'!$B$5*EXP(('Black-Scholes'!$B$8-'Black-Scholes'!$B$10-'Black-Scholes'!$B$9^2/2)*'Black-Scholes'!$B$7-'Black-Scholes'!$B$9*SQRT('Black-Scholes'!$B$7)*B3432)</f>
        <v>96.7264960518965</v>
      </c>
      <c r="E3432" s="18" t="n">
        <f aca="false">EXP(-'Black-Scholes'!$B$8*'Black-Scholes'!$B$7)*IF(LOWER('Black-Scholes'!$B$11)="put",MAX('Black-Scholes'!$B$6-C3432,0),MAX(C3432-'Black-Scholes'!$B$6,0))</f>
        <v>9.30037570075338</v>
      </c>
      <c r="F3432" s="18" t="n">
        <f aca="false">(E3432+G3432)/2</f>
        <v>4.65018785037669</v>
      </c>
      <c r="G3432" s="18" t="n">
        <f aca="false">EXP(-'Black-Scholes'!$B$8*'Black-Scholes'!$B$7)*IF(LOWER('Black-Scholes'!$B$11)="put",MAX('Black-Scholes'!$B$6-D3432,0),MAX(D3432-'Black-Scholes'!$B$6,0))</f>
        <v>0</v>
      </c>
    </row>
    <row r="3433" customFormat="false" ht="15" hidden="false" customHeight="false" outlineLevel="0" collapsed="false">
      <c r="A3433" s="0" t="n">
        <v>3422</v>
      </c>
      <c r="B3433" s="15" t="n">
        <v>0.471459854926492</v>
      </c>
      <c r="C3433" s="18" t="n">
        <f aca="false">'Black-Scholes'!$B$5*EXP(('Black-Scholes'!$B$8-'Black-Scholes'!$B$10-'Black-Scholes'!$B$9^2/2)*'Black-Scholes'!$B$7+'Black-Scholes'!$B$9*SQRT('Black-Scholes'!$B$7)*B3433)</f>
        <v>113.234643504361</v>
      </c>
      <c r="D3433" s="18" t="n">
        <f aca="false">'Black-Scholes'!$B$5*EXP(('Black-Scholes'!$B$8-'Black-Scholes'!$B$10-'Black-Scholes'!$B$9^2/2)*'Black-Scholes'!$B$7-'Black-Scholes'!$B$9*SQRT('Black-Scholes'!$B$7)*B3433)</f>
        <v>93.7731169263993</v>
      </c>
      <c r="E3433" s="18" t="n">
        <f aca="false">EXP(-'Black-Scholes'!$B$8*'Black-Scholes'!$B$7)*IF(LOWER('Black-Scholes'!$B$11)="put",MAX('Black-Scholes'!$B$6-C3433,0),MAX(C3433-'Black-Scholes'!$B$6,0))</f>
        <v>12.5891823241255</v>
      </c>
      <c r="F3433" s="18" t="n">
        <f aca="false">(E3433+G3433)/2</f>
        <v>6.29459116206275</v>
      </c>
      <c r="G3433" s="18" t="n">
        <f aca="false">EXP(-'Black-Scholes'!$B$8*'Black-Scholes'!$B$7)*IF(LOWER('Black-Scholes'!$B$11)="put",MAX('Black-Scholes'!$B$6-D3433,0),MAX(D3433-'Black-Scholes'!$B$6,0))</f>
        <v>0</v>
      </c>
    </row>
    <row r="3434" customFormat="false" ht="15" hidden="false" customHeight="false" outlineLevel="0" collapsed="false">
      <c r="A3434" s="0" t="n">
        <v>3423</v>
      </c>
      <c r="B3434" s="15" t="n">
        <v>-1.41327315127091</v>
      </c>
      <c r="C3434" s="18" t="n">
        <f aca="false">'Black-Scholes'!$B$5*EXP(('Black-Scholes'!$B$8-'Black-Scholes'!$B$10-'Black-Scholes'!$B$9^2/2)*'Black-Scholes'!$B$7+'Black-Scholes'!$B$9*SQRT('Black-Scholes'!$B$7)*B3434)</f>
        <v>77.6736096652696</v>
      </c>
      <c r="D3434" s="18" t="n">
        <f aca="false">'Black-Scholes'!$B$5*EXP(('Black-Scholes'!$B$8-'Black-Scholes'!$B$10-'Black-Scholes'!$B$9^2/2)*'Black-Scholes'!$B$7-'Black-Scholes'!$B$9*SQRT('Black-Scholes'!$B$7)*B3434)</f>
        <v>136.704931201381</v>
      </c>
      <c r="E3434" s="18" t="n">
        <f aca="false">EXP(-'Black-Scholes'!$B$8*'Black-Scholes'!$B$7)*IF(LOWER('Black-Scholes'!$B$11)="put",MAX('Black-Scholes'!$B$6-C3434,0),MAX(C3434-'Black-Scholes'!$B$6,0))</f>
        <v>0</v>
      </c>
      <c r="F3434" s="18" t="n">
        <f aca="false">(E3434+G3434)/2</f>
        <v>17.4574052915139</v>
      </c>
      <c r="G3434" s="18" t="n">
        <f aca="false">EXP(-'Black-Scholes'!$B$8*'Black-Scholes'!$B$7)*IF(LOWER('Black-Scholes'!$B$11)="put",MAX('Black-Scholes'!$B$6-D3434,0),MAX(D3434-'Black-Scholes'!$B$6,0))</f>
        <v>34.9148105830279</v>
      </c>
    </row>
    <row r="3435" customFormat="false" ht="15" hidden="false" customHeight="false" outlineLevel="0" collapsed="false">
      <c r="A3435" s="0" t="n">
        <v>3424</v>
      </c>
      <c r="B3435" s="15" t="n">
        <v>-0.0875567676898342</v>
      </c>
      <c r="C3435" s="18" t="n">
        <f aca="false">'Black-Scholes'!$B$5*EXP(('Black-Scholes'!$B$8-'Black-Scholes'!$B$10-'Black-Scholes'!$B$9^2/2)*'Black-Scholes'!$B$7+'Black-Scholes'!$B$9*SQRT('Black-Scholes'!$B$7)*B3435)</f>
        <v>101.2566955258</v>
      </c>
      <c r="D3435" s="18" t="n">
        <f aca="false">'Black-Scholes'!$B$5*EXP(('Black-Scholes'!$B$8-'Black-Scholes'!$B$10-'Black-Scholes'!$B$9^2/2)*'Black-Scholes'!$B$7-'Black-Scholes'!$B$9*SQRT('Black-Scholes'!$B$7)*B3435)</f>
        <v>104.865810703333</v>
      </c>
      <c r="E3435" s="18" t="n">
        <f aca="false">EXP(-'Black-Scholes'!$B$8*'Black-Scholes'!$B$7)*IF(LOWER('Black-Scholes'!$B$11)="put",MAX('Black-Scholes'!$B$6-C3435,0),MAX(C3435-'Black-Scholes'!$B$6,0))</f>
        <v>1.19540576177958</v>
      </c>
      <c r="F3435" s="18" t="n">
        <f aca="false">(E3435+G3435)/2</f>
        <v>2.91195403842024</v>
      </c>
      <c r="G3435" s="18" t="n">
        <f aca="false">EXP(-'Black-Scholes'!$B$8*'Black-Scholes'!$B$7)*IF(LOWER('Black-Scholes'!$B$11)="put",MAX('Black-Scholes'!$B$6-D3435,0),MAX(D3435-'Black-Scholes'!$B$6,0))</f>
        <v>4.62850231506089</v>
      </c>
    </row>
    <row r="3436" customFormat="false" ht="15" hidden="false" customHeight="false" outlineLevel="0" collapsed="false">
      <c r="A3436" s="0" t="n">
        <v>3425</v>
      </c>
      <c r="B3436" s="15" t="n">
        <v>1.14357944427735</v>
      </c>
      <c r="C3436" s="18" t="n">
        <f aca="false">'Black-Scholes'!$B$5*EXP(('Black-Scholes'!$B$8-'Black-Scholes'!$B$10-'Black-Scholes'!$B$9^2/2)*'Black-Scholes'!$B$7+'Black-Scholes'!$B$9*SQRT('Black-Scholes'!$B$7)*B3436)</f>
        <v>129.526575311114</v>
      </c>
      <c r="D3436" s="18" t="n">
        <f aca="false">'Black-Scholes'!$B$5*EXP(('Black-Scholes'!$B$8-'Black-Scholes'!$B$10-'Black-Scholes'!$B$9^2/2)*'Black-Scholes'!$B$7-'Black-Scholes'!$B$9*SQRT('Black-Scholes'!$B$7)*B3436)</f>
        <v>81.9782769670935</v>
      </c>
      <c r="E3436" s="18" t="n">
        <f aca="false">EXP(-'Black-Scholes'!$B$8*'Black-Scholes'!$B$7)*IF(LOWER('Black-Scholes'!$B$11)="put",MAX('Black-Scholes'!$B$6-C3436,0),MAX(C3436-'Black-Scholes'!$B$6,0))</f>
        <v>28.0865472406679</v>
      </c>
      <c r="F3436" s="18" t="n">
        <f aca="false">(E3436+G3436)/2</f>
        <v>14.0432736203339</v>
      </c>
      <c r="G3436" s="18" t="n">
        <f aca="false">EXP(-'Black-Scholes'!$B$8*'Black-Scholes'!$B$7)*IF(LOWER('Black-Scholes'!$B$11)="put",MAX('Black-Scholes'!$B$6-D3436,0),MAX(D3436-'Black-Scholes'!$B$6,0))</f>
        <v>0</v>
      </c>
    </row>
    <row r="3437" customFormat="false" ht="15" hidden="false" customHeight="false" outlineLevel="0" collapsed="false">
      <c r="A3437" s="0" t="n">
        <v>3426</v>
      </c>
      <c r="B3437" s="15" t="n">
        <v>2.63202008626285</v>
      </c>
      <c r="C3437" s="18" t="n">
        <f aca="false">'Black-Scholes'!$B$5*EXP(('Black-Scholes'!$B$8-'Black-Scholes'!$B$10-'Black-Scholes'!$B$9^2/2)*'Black-Scholes'!$B$7+'Black-Scholes'!$B$9*SQRT('Black-Scholes'!$B$7)*B3437)</f>
        <v>174.438841768663</v>
      </c>
      <c r="D3437" s="18" t="n">
        <f aca="false">'Black-Scholes'!$B$5*EXP(('Black-Scholes'!$B$8-'Black-Scholes'!$B$10-'Black-Scholes'!$B$9^2/2)*'Black-Scholes'!$B$7-'Black-Scholes'!$B$9*SQRT('Black-Scholes'!$B$7)*B3437)</f>
        <v>60.8715659757444</v>
      </c>
      <c r="E3437" s="18" t="n">
        <f aca="false">EXP(-'Black-Scholes'!$B$8*'Black-Scholes'!$B$7)*IF(LOWER('Black-Scholes'!$B$11)="put",MAX('Black-Scholes'!$B$6-C3437,0),MAX(C3437-'Black-Scholes'!$B$6,0))</f>
        <v>70.808416616105</v>
      </c>
      <c r="F3437" s="18" t="n">
        <f aca="false">(E3437+G3437)/2</f>
        <v>35.4042083080525</v>
      </c>
      <c r="G3437" s="18" t="n">
        <f aca="false">EXP(-'Black-Scholes'!$B$8*'Black-Scholes'!$B$7)*IF(LOWER('Black-Scholes'!$B$11)="put",MAX('Black-Scholes'!$B$6-D3437,0),MAX(D3437-'Black-Scholes'!$B$6,0))</f>
        <v>0</v>
      </c>
    </row>
    <row r="3438" customFormat="false" ht="15" hidden="false" customHeight="false" outlineLevel="0" collapsed="false">
      <c r="A3438" s="0" t="n">
        <v>3427</v>
      </c>
      <c r="B3438" s="15" t="n">
        <v>0.530453991828834</v>
      </c>
      <c r="C3438" s="18" t="n">
        <f aca="false">'Black-Scholes'!$B$5*EXP(('Black-Scholes'!$B$8-'Black-Scholes'!$B$10-'Black-Scholes'!$B$9^2/2)*'Black-Scholes'!$B$7+'Black-Scholes'!$B$9*SQRT('Black-Scholes'!$B$7)*B3438)</f>
        <v>114.578592436133</v>
      </c>
      <c r="D3438" s="18" t="n">
        <f aca="false">'Black-Scholes'!$B$5*EXP(('Black-Scholes'!$B$8-'Black-Scholes'!$B$10-'Black-Scholes'!$B$9^2/2)*'Black-Scholes'!$B$7-'Black-Scholes'!$B$9*SQRT('Black-Scholes'!$B$7)*B3438)</f>
        <v>92.673205698284</v>
      </c>
      <c r="E3438" s="18" t="n">
        <f aca="false">EXP(-'Black-Scholes'!$B$8*'Black-Scholes'!$B$7)*IF(LOWER('Black-Scholes'!$B$11)="put",MAX('Black-Scholes'!$B$6-C3438,0),MAX(C3438-'Black-Scholes'!$B$6,0))</f>
        <v>13.8675860930532</v>
      </c>
      <c r="F3438" s="18" t="n">
        <f aca="false">(E3438+G3438)/2</f>
        <v>6.93379304652658</v>
      </c>
      <c r="G3438" s="18" t="n">
        <f aca="false">EXP(-'Black-Scholes'!$B$8*'Black-Scholes'!$B$7)*IF(LOWER('Black-Scholes'!$B$11)="put",MAX('Black-Scholes'!$B$6-D3438,0),MAX(D3438-'Black-Scholes'!$B$6,0))</f>
        <v>0</v>
      </c>
    </row>
    <row r="3439" customFormat="false" ht="15" hidden="false" customHeight="false" outlineLevel="0" collapsed="false">
      <c r="A3439" s="0" t="n">
        <v>3428</v>
      </c>
      <c r="B3439" s="15" t="n">
        <v>0.159920229661035</v>
      </c>
      <c r="C3439" s="18" t="n">
        <f aca="false">'Black-Scholes'!$B$5*EXP(('Black-Scholes'!$B$8-'Black-Scholes'!$B$10-'Black-Scholes'!$B$9^2/2)*'Black-Scholes'!$B$7+'Black-Scholes'!$B$9*SQRT('Black-Scholes'!$B$7)*B3439)</f>
        <v>106.394537033606</v>
      </c>
      <c r="D3439" s="18" t="n">
        <f aca="false">'Black-Scholes'!$B$5*EXP(('Black-Scholes'!$B$8-'Black-Scholes'!$B$10-'Black-Scholes'!$B$9^2/2)*'Black-Scholes'!$B$7-'Black-Scholes'!$B$9*SQRT('Black-Scholes'!$B$7)*B3439)</f>
        <v>99.801792098589</v>
      </c>
      <c r="E3439" s="18" t="n">
        <f aca="false">EXP(-'Black-Scholes'!$B$8*'Black-Scholes'!$B$7)*IF(LOWER('Black-Scholes'!$B$11)="put",MAX('Black-Scholes'!$B$6-C3439,0),MAX(C3439-'Black-Scholes'!$B$6,0))</f>
        <v>6.08267178242577</v>
      </c>
      <c r="F3439" s="18" t="n">
        <f aca="false">(E3439+G3439)/2</f>
        <v>3.04133589121288</v>
      </c>
      <c r="G3439" s="18" t="n">
        <f aca="false">EXP(-'Black-Scholes'!$B$8*'Black-Scholes'!$B$7)*IF(LOWER('Black-Scholes'!$B$11)="put",MAX('Black-Scholes'!$B$6-D3439,0),MAX(D3439-'Black-Scholes'!$B$6,0))</f>
        <v>0</v>
      </c>
    </row>
    <row r="3440" customFormat="false" ht="15" hidden="false" customHeight="false" outlineLevel="0" collapsed="false">
      <c r="A3440" s="0" t="n">
        <v>3429</v>
      </c>
      <c r="B3440" s="15" t="n">
        <v>0.669760097044391</v>
      </c>
      <c r="C3440" s="18" t="n">
        <f aca="false">'Black-Scholes'!$B$5*EXP(('Black-Scholes'!$B$8-'Black-Scholes'!$B$10-'Black-Scholes'!$B$9^2/2)*'Black-Scholes'!$B$7+'Black-Scholes'!$B$9*SQRT('Black-Scholes'!$B$7)*B3440)</f>
        <v>117.81577850296</v>
      </c>
      <c r="D3440" s="18" t="n">
        <f aca="false">'Black-Scholes'!$B$5*EXP(('Black-Scholes'!$B$8-'Black-Scholes'!$B$10-'Black-Scholes'!$B$9^2/2)*'Black-Scholes'!$B$7-'Black-Scholes'!$B$9*SQRT('Black-Scholes'!$B$7)*B3440)</f>
        <v>90.1268539781098</v>
      </c>
      <c r="E3440" s="18" t="n">
        <f aca="false">EXP(-'Black-Scholes'!$B$8*'Black-Scholes'!$B$7)*IF(LOWER('Black-Scholes'!$B$11)="put",MAX('Black-Scholes'!$B$6-C3440,0),MAX(C3440-'Black-Scholes'!$B$6,0))</f>
        <v>16.9468927324028</v>
      </c>
      <c r="F3440" s="18" t="n">
        <f aca="false">(E3440+G3440)/2</f>
        <v>8.47344636620139</v>
      </c>
      <c r="G3440" s="18" t="n">
        <f aca="false">EXP(-'Black-Scholes'!$B$8*'Black-Scholes'!$B$7)*IF(LOWER('Black-Scholes'!$B$11)="put",MAX('Black-Scholes'!$B$6-D3440,0),MAX(D3440-'Black-Scholes'!$B$6,0))</f>
        <v>0</v>
      </c>
    </row>
    <row r="3441" customFormat="false" ht="15" hidden="false" customHeight="false" outlineLevel="0" collapsed="false">
      <c r="A3441" s="0" t="n">
        <v>3430</v>
      </c>
      <c r="B3441" s="15" t="n">
        <v>0.206819712085301</v>
      </c>
      <c r="C3441" s="18" t="n">
        <f aca="false">'Black-Scholes'!$B$5*EXP(('Black-Scholes'!$B$8-'Black-Scholes'!$B$10-'Black-Scholes'!$B$9^2/2)*'Black-Scholes'!$B$7+'Black-Scholes'!$B$9*SQRT('Black-Scholes'!$B$7)*B3441)</f>
        <v>107.397201872335</v>
      </c>
      <c r="D3441" s="18" t="n">
        <f aca="false">'Black-Scholes'!$B$5*EXP(('Black-Scholes'!$B$8-'Black-Scholes'!$B$10-'Black-Scholes'!$B$9^2/2)*'Black-Scholes'!$B$7-'Black-Scholes'!$B$9*SQRT('Black-Scholes'!$B$7)*B3441)</f>
        <v>98.8700383281483</v>
      </c>
      <c r="E3441" s="18" t="n">
        <f aca="false">EXP(-'Black-Scholes'!$B$8*'Black-Scholes'!$B$7)*IF(LOWER('Black-Scholes'!$B$11)="put",MAX('Black-Scholes'!$B$6-C3441,0),MAX(C3441-'Black-Scholes'!$B$6,0))</f>
        <v>7.03643607993636</v>
      </c>
      <c r="F3441" s="18" t="n">
        <f aca="false">(E3441+G3441)/2</f>
        <v>3.51821803996818</v>
      </c>
      <c r="G3441" s="18" t="n">
        <f aca="false">EXP(-'Black-Scholes'!$B$8*'Black-Scholes'!$B$7)*IF(LOWER('Black-Scholes'!$B$11)="put",MAX('Black-Scholes'!$B$6-D3441,0),MAX(D3441-'Black-Scholes'!$B$6,0))</f>
        <v>0</v>
      </c>
    </row>
    <row r="3442" customFormat="false" ht="15" hidden="false" customHeight="false" outlineLevel="0" collapsed="false">
      <c r="A3442" s="0" t="n">
        <v>3431</v>
      </c>
      <c r="B3442" s="15" t="n">
        <v>0.226928524189413</v>
      </c>
      <c r="C3442" s="18" t="n">
        <f aca="false">'Black-Scholes'!$B$5*EXP(('Black-Scholes'!$B$8-'Black-Scholes'!$B$10-'Black-Scholes'!$B$9^2/2)*'Black-Scholes'!$B$7+'Black-Scholes'!$B$9*SQRT('Black-Scholes'!$B$7)*B3442)</f>
        <v>107.829997620407</v>
      </c>
      <c r="D3442" s="18" t="n">
        <f aca="false">'Black-Scholes'!$B$5*EXP(('Black-Scholes'!$B$8-'Black-Scholes'!$B$10-'Black-Scholes'!$B$9^2/2)*'Black-Scholes'!$B$7-'Black-Scholes'!$B$9*SQRT('Black-Scholes'!$B$7)*B3442)</f>
        <v>98.4732050429358</v>
      </c>
      <c r="E3442" s="18" t="n">
        <f aca="false">EXP(-'Black-Scholes'!$B$8*'Black-Scholes'!$B$7)*IF(LOWER('Black-Scholes'!$B$11)="put",MAX('Black-Scholes'!$B$6-C3442,0),MAX(C3442-'Black-Scholes'!$B$6,0))</f>
        <v>7.44812413030156</v>
      </c>
      <c r="F3442" s="18" t="n">
        <f aca="false">(E3442+G3442)/2</f>
        <v>3.72406206515078</v>
      </c>
      <c r="G3442" s="18" t="n">
        <f aca="false">EXP(-'Black-Scholes'!$B$8*'Black-Scholes'!$B$7)*IF(LOWER('Black-Scholes'!$B$11)="put",MAX('Black-Scholes'!$B$6-D3442,0),MAX(D3442-'Black-Scholes'!$B$6,0))</f>
        <v>0</v>
      </c>
    </row>
    <row r="3443" customFormat="false" ht="15" hidden="false" customHeight="false" outlineLevel="0" collapsed="false">
      <c r="A3443" s="0" t="n">
        <v>3432</v>
      </c>
      <c r="B3443" s="15" t="n">
        <v>1.26455919430008</v>
      </c>
      <c r="C3443" s="18" t="n">
        <f aca="false">'Black-Scholes'!$B$5*EXP(('Black-Scholes'!$B$8-'Black-Scholes'!$B$10-'Black-Scholes'!$B$9^2/2)*'Black-Scholes'!$B$7+'Black-Scholes'!$B$9*SQRT('Black-Scholes'!$B$7)*B3443)</f>
        <v>132.698816787045</v>
      </c>
      <c r="D3443" s="18" t="n">
        <f aca="false">'Black-Scholes'!$B$5*EXP(('Black-Scholes'!$B$8-'Black-Scholes'!$B$10-'Black-Scholes'!$B$9^2/2)*'Black-Scholes'!$B$7-'Black-Scholes'!$B$9*SQRT('Black-Scholes'!$B$7)*B3443)</f>
        <v>80.0185391441279</v>
      </c>
      <c r="E3443" s="18" t="n">
        <f aca="false">EXP(-'Black-Scholes'!$B$8*'Black-Scholes'!$B$7)*IF(LOWER('Black-Scholes'!$B$11)="put",MAX('Black-Scholes'!$B$6-C3443,0),MAX(C3443-'Black-Scholes'!$B$6,0))</f>
        <v>31.1040766741948</v>
      </c>
      <c r="F3443" s="18" t="n">
        <f aca="false">(E3443+G3443)/2</f>
        <v>15.5520383370974</v>
      </c>
      <c r="G3443" s="18" t="n">
        <f aca="false">EXP(-'Black-Scholes'!$B$8*'Black-Scholes'!$B$7)*IF(LOWER('Black-Scholes'!$B$11)="put",MAX('Black-Scholes'!$B$6-D3443,0),MAX(D3443-'Black-Scholes'!$B$6,0))</f>
        <v>0</v>
      </c>
    </row>
    <row r="3444" customFormat="false" ht="15" hidden="false" customHeight="false" outlineLevel="0" collapsed="false">
      <c r="A3444" s="0" t="n">
        <v>3433</v>
      </c>
      <c r="B3444" s="15" t="n">
        <v>-0.182294064156123</v>
      </c>
      <c r="C3444" s="18" t="n">
        <f aca="false">'Black-Scholes'!$B$5*EXP(('Black-Scholes'!$B$8-'Black-Scholes'!$B$10-'Black-Scholes'!$B$9^2/2)*'Black-Scholes'!$B$7+'Black-Scholes'!$B$9*SQRT('Black-Scholes'!$B$7)*B3444)</f>
        <v>99.356200046653</v>
      </c>
      <c r="D3444" s="18" t="n">
        <f aca="false">'Black-Scholes'!$B$5*EXP(('Black-Scholes'!$B$8-'Black-Scholes'!$B$10-'Black-Scholes'!$B$9^2/2)*'Black-Scholes'!$B$7-'Black-Scholes'!$B$9*SQRT('Black-Scholes'!$B$7)*B3444)</f>
        <v>106.871694574347</v>
      </c>
      <c r="E3444" s="18" t="n">
        <f aca="false">EXP(-'Black-Scholes'!$B$8*'Black-Scholes'!$B$7)*IF(LOWER('Black-Scholes'!$B$11)="put",MAX('Black-Scholes'!$B$6-C3444,0),MAX(C3444-'Black-Scholes'!$B$6,0))</f>
        <v>0</v>
      </c>
      <c r="F3444" s="18" t="n">
        <f aca="false">(E3444+G3444)/2</f>
        <v>3.26827903765025</v>
      </c>
      <c r="G3444" s="18" t="n">
        <f aca="false">EXP(-'Black-Scholes'!$B$8*'Black-Scholes'!$B$7)*IF(LOWER('Black-Scholes'!$B$11)="put",MAX('Black-Scholes'!$B$6-D3444,0),MAX(D3444-'Black-Scholes'!$B$6,0))</f>
        <v>6.5365580753005</v>
      </c>
    </row>
    <row r="3445" customFormat="false" ht="15" hidden="false" customHeight="false" outlineLevel="0" collapsed="false">
      <c r="A3445" s="0" t="n">
        <v>3434</v>
      </c>
      <c r="B3445" s="15" t="n">
        <v>0.34459421446771</v>
      </c>
      <c r="C3445" s="18" t="n">
        <f aca="false">'Black-Scholes'!$B$5*EXP(('Black-Scholes'!$B$8-'Black-Scholes'!$B$10-'Black-Scholes'!$B$9^2/2)*'Black-Scholes'!$B$7+'Black-Scholes'!$B$9*SQRT('Black-Scholes'!$B$7)*B3445)</f>
        <v>110.397670036853</v>
      </c>
      <c r="D3445" s="18" t="n">
        <f aca="false">'Black-Scholes'!$B$5*EXP(('Black-Scholes'!$B$8-'Black-Scholes'!$B$10-'Black-Scholes'!$B$9^2/2)*'Black-Scholes'!$B$7-'Black-Scholes'!$B$9*SQRT('Black-Scholes'!$B$7)*B3445)</f>
        <v>96.1828765218415</v>
      </c>
      <c r="E3445" s="18" t="n">
        <f aca="false">EXP(-'Black-Scholes'!$B$8*'Black-Scholes'!$B$7)*IF(LOWER('Black-Scholes'!$B$11)="put",MAX('Black-Scholes'!$B$6-C3445,0),MAX(C3445-'Black-Scholes'!$B$6,0))</f>
        <v>9.89056968530367</v>
      </c>
      <c r="F3445" s="18" t="n">
        <f aca="false">(E3445+G3445)/2</f>
        <v>4.94528484265184</v>
      </c>
      <c r="G3445" s="18" t="n">
        <f aca="false">EXP(-'Black-Scholes'!$B$8*'Black-Scholes'!$B$7)*IF(LOWER('Black-Scholes'!$B$11)="put",MAX('Black-Scholes'!$B$6-D3445,0),MAX(D3445-'Black-Scholes'!$B$6,0))</f>
        <v>0</v>
      </c>
    </row>
    <row r="3446" customFormat="false" ht="15" hidden="false" customHeight="false" outlineLevel="0" collapsed="false">
      <c r="A3446" s="0" t="n">
        <v>3435</v>
      </c>
      <c r="B3446" s="15" t="n">
        <v>-2.17790375747107</v>
      </c>
      <c r="C3446" s="18" t="n">
        <f aca="false">'Black-Scholes'!$B$5*EXP(('Black-Scholes'!$B$8-'Black-Scholes'!$B$10-'Black-Scholes'!$B$9^2/2)*'Black-Scholes'!$B$7+'Black-Scholes'!$B$9*SQRT('Black-Scholes'!$B$7)*B3446)</f>
        <v>66.6589575533593</v>
      </c>
      <c r="D3446" s="18" t="n">
        <f aca="false">'Black-Scholes'!$B$5*EXP(('Black-Scholes'!$B$8-'Black-Scholes'!$B$10-'Black-Scholes'!$B$9^2/2)*'Black-Scholes'!$B$7-'Black-Scholes'!$B$9*SQRT('Black-Scholes'!$B$7)*B3446)</f>
        <v>159.293902202923</v>
      </c>
      <c r="E3446" s="18" t="n">
        <f aca="false">EXP(-'Black-Scholes'!$B$8*'Black-Scholes'!$B$7)*IF(LOWER('Black-Scholes'!$B$11)="put",MAX('Black-Scholes'!$B$6-C3446,0),MAX(C3446-'Black-Scholes'!$B$6,0))</f>
        <v>0</v>
      </c>
      <c r="F3446" s="18" t="n">
        <f aca="false">(E3446+G3446)/2</f>
        <v>28.201052234444</v>
      </c>
      <c r="G3446" s="18" t="n">
        <f aca="false">EXP(-'Black-Scholes'!$B$8*'Black-Scholes'!$B$7)*IF(LOWER('Black-Scholes'!$B$11)="put",MAX('Black-Scholes'!$B$6-D3446,0),MAX(D3446-'Black-Scholes'!$B$6,0))</f>
        <v>56.4021044688879</v>
      </c>
    </row>
    <row r="3447" customFormat="false" ht="15" hidden="false" customHeight="false" outlineLevel="0" collapsed="false">
      <c r="A3447" s="0" t="n">
        <v>3436</v>
      </c>
      <c r="B3447" s="15" t="n">
        <v>0.0244612213241722</v>
      </c>
      <c r="C3447" s="18" t="n">
        <f aca="false">'Black-Scholes'!$B$5*EXP(('Black-Scholes'!$B$8-'Black-Scholes'!$B$10-'Black-Scholes'!$B$9^2/2)*'Black-Scholes'!$B$7+'Black-Scholes'!$B$9*SQRT('Black-Scholes'!$B$7)*B3447)</f>
        <v>103.550812084878</v>
      </c>
      <c r="D3447" s="18" t="n">
        <f aca="false">'Black-Scholes'!$B$5*EXP(('Black-Scholes'!$B$8-'Black-Scholes'!$B$10-'Black-Scholes'!$B$9^2/2)*'Black-Scholes'!$B$7-'Black-Scholes'!$B$9*SQRT('Black-Scholes'!$B$7)*B3447)</f>
        <v>102.542561006185</v>
      </c>
      <c r="E3447" s="18" t="n">
        <f aca="false">EXP(-'Black-Scholes'!$B$8*'Black-Scholes'!$B$7)*IF(LOWER('Black-Scholes'!$B$11)="put",MAX('Black-Scholes'!$B$6-C3447,0),MAX(C3447-'Black-Scholes'!$B$6,0))</f>
        <v>3.37763693600854</v>
      </c>
      <c r="F3447" s="18" t="n">
        <f aca="false">(E3447+G3447)/2</f>
        <v>2.89809788933998</v>
      </c>
      <c r="G3447" s="18" t="n">
        <f aca="false">EXP(-'Black-Scholes'!$B$8*'Black-Scholes'!$B$7)*IF(LOWER('Black-Scholes'!$B$11)="put",MAX('Black-Scholes'!$B$6-D3447,0),MAX(D3447-'Black-Scholes'!$B$6,0))</f>
        <v>2.41855884267142</v>
      </c>
    </row>
    <row r="3448" customFormat="false" ht="15" hidden="false" customHeight="false" outlineLevel="0" collapsed="false">
      <c r="A3448" s="0" t="n">
        <v>3437</v>
      </c>
      <c r="B3448" s="15" t="n">
        <v>1.57766650826615</v>
      </c>
      <c r="C3448" s="18" t="n">
        <f aca="false">'Black-Scholes'!$B$5*EXP(('Black-Scholes'!$B$8-'Black-Scholes'!$B$10-'Black-Scholes'!$B$9^2/2)*'Black-Scholes'!$B$7+'Black-Scholes'!$B$9*SQRT('Black-Scholes'!$B$7)*B3448)</f>
        <v>141.274313705435</v>
      </c>
      <c r="D3448" s="18" t="n">
        <f aca="false">'Black-Scholes'!$B$5*EXP(('Black-Scholes'!$B$8-'Black-Scholes'!$B$10-'Black-Scholes'!$B$9^2/2)*'Black-Scholes'!$B$7-'Black-Scholes'!$B$9*SQRT('Black-Scholes'!$B$7)*B3448)</f>
        <v>75.1613310795727</v>
      </c>
      <c r="E3448" s="18" t="n">
        <f aca="false">EXP(-'Black-Scholes'!$B$8*'Black-Scholes'!$B$7)*IF(LOWER('Black-Scholes'!$B$11)="put",MAX('Black-Scholes'!$B$6-C3448,0),MAX(C3448-'Black-Scholes'!$B$6,0))</f>
        <v>39.2613416726827</v>
      </c>
      <c r="F3448" s="18" t="n">
        <f aca="false">(E3448+G3448)/2</f>
        <v>19.6306708363414</v>
      </c>
      <c r="G3448" s="18" t="n">
        <f aca="false">EXP(-'Black-Scholes'!$B$8*'Black-Scholes'!$B$7)*IF(LOWER('Black-Scholes'!$B$11)="put",MAX('Black-Scholes'!$B$6-D3448,0),MAX(D3448-'Black-Scholes'!$B$6,0))</f>
        <v>0</v>
      </c>
    </row>
    <row r="3449" customFormat="false" ht="15" hidden="false" customHeight="false" outlineLevel="0" collapsed="false">
      <c r="A3449" s="0" t="n">
        <v>3438</v>
      </c>
      <c r="B3449" s="15" t="n">
        <v>-0.699746790191468</v>
      </c>
      <c r="C3449" s="18" t="n">
        <f aca="false">'Black-Scholes'!$B$5*EXP(('Black-Scholes'!$B$8-'Black-Scholes'!$B$10-'Black-Scholes'!$B$9^2/2)*'Black-Scholes'!$B$7+'Black-Scholes'!$B$9*SQRT('Black-Scholes'!$B$7)*B3449)</f>
        <v>89.5879503243254</v>
      </c>
      <c r="D3449" s="18" t="n">
        <f aca="false">'Black-Scholes'!$B$5*EXP(('Black-Scholes'!$B$8-'Black-Scholes'!$B$10-'Black-Scholes'!$B$9^2/2)*'Black-Scholes'!$B$7-'Black-Scholes'!$B$9*SQRT('Black-Scholes'!$B$7)*B3449)</f>
        <v>118.524482667737</v>
      </c>
      <c r="E3449" s="18" t="n">
        <f aca="false">EXP(-'Black-Scholes'!$B$8*'Black-Scholes'!$B$7)*IF(LOWER('Black-Scholes'!$B$11)="put",MAX('Black-Scholes'!$B$6-C3449,0),MAX(C3449-'Black-Scholes'!$B$6,0))</f>
        <v>0</v>
      </c>
      <c r="F3449" s="18" t="n">
        <f aca="false">(E3449+G3449)/2</f>
        <v>8.81051649360247</v>
      </c>
      <c r="G3449" s="18" t="n">
        <f aca="false">EXP(-'Black-Scholes'!$B$8*'Black-Scholes'!$B$7)*IF(LOWER('Black-Scholes'!$B$11)="put",MAX('Black-Scholes'!$B$6-D3449,0),MAX(D3449-'Black-Scholes'!$B$6,0))</f>
        <v>17.621032987205</v>
      </c>
    </row>
    <row r="3450" customFormat="false" ht="15" hidden="false" customHeight="false" outlineLevel="0" collapsed="false">
      <c r="A3450" s="0" t="n">
        <v>3439</v>
      </c>
      <c r="B3450" s="15" t="n">
        <v>-0.263239113003369</v>
      </c>
      <c r="C3450" s="18" t="n">
        <f aca="false">'Black-Scholes'!$B$5*EXP(('Black-Scholes'!$B$8-'Black-Scholes'!$B$10-'Black-Scholes'!$B$9^2/2)*'Black-Scholes'!$B$7+'Black-Scholes'!$B$9*SQRT('Black-Scholes'!$B$7)*B3450)</f>
        <v>97.7606714144792</v>
      </c>
      <c r="D3450" s="18" t="n">
        <f aca="false">'Black-Scholes'!$B$5*EXP(('Black-Scholes'!$B$8-'Black-Scholes'!$B$10-'Black-Scholes'!$B$9^2/2)*'Black-Scholes'!$B$7-'Black-Scholes'!$B$9*SQRT('Black-Scholes'!$B$7)*B3450)</f>
        <v>108.615922045324</v>
      </c>
      <c r="E3450" s="18" t="n">
        <f aca="false">EXP(-'Black-Scholes'!$B$8*'Black-Scholes'!$B$7)*IF(LOWER('Black-Scholes'!$B$11)="put",MAX('Black-Scholes'!$B$6-C3450,0),MAX(C3450-'Black-Scholes'!$B$6,0))</f>
        <v>0</v>
      </c>
      <c r="F3450" s="18" t="n">
        <f aca="false">(E3450+G3450)/2</f>
        <v>4.09785928435823</v>
      </c>
      <c r="G3450" s="18" t="n">
        <f aca="false">EXP(-'Black-Scholes'!$B$8*'Black-Scholes'!$B$7)*IF(LOWER('Black-Scholes'!$B$11)="put",MAX('Black-Scholes'!$B$6-D3450,0),MAX(D3450-'Black-Scholes'!$B$6,0))</f>
        <v>8.19571856871645</v>
      </c>
    </row>
    <row r="3451" customFormat="false" ht="15" hidden="false" customHeight="false" outlineLevel="0" collapsed="false">
      <c r="A3451" s="0" t="n">
        <v>3440</v>
      </c>
      <c r="B3451" s="15" t="n">
        <v>-0.110985765377117</v>
      </c>
      <c r="C3451" s="18" t="n">
        <f aca="false">'Black-Scholes'!$B$5*EXP(('Black-Scholes'!$B$8-'Black-Scholes'!$B$10-'Black-Scholes'!$B$9^2/2)*'Black-Scholes'!$B$7+'Black-Scholes'!$B$9*SQRT('Black-Scholes'!$B$7)*B3451)</f>
        <v>100.783336846797</v>
      </c>
      <c r="D3451" s="18" t="n">
        <f aca="false">'Black-Scholes'!$B$5*EXP(('Black-Scholes'!$B$8-'Black-Scholes'!$B$10-'Black-Scholes'!$B$9^2/2)*'Black-Scholes'!$B$7-'Black-Scholes'!$B$9*SQRT('Black-Scholes'!$B$7)*B3451)</f>
        <v>105.358343925393</v>
      </c>
      <c r="E3451" s="18" t="n">
        <f aca="false">EXP(-'Black-Scholes'!$B$8*'Black-Scholes'!$B$7)*IF(LOWER('Black-Scholes'!$B$11)="put",MAX('Black-Scholes'!$B$6-C3451,0),MAX(C3451-'Black-Scholes'!$B$6,0))</f>
        <v>0.745133057969089</v>
      </c>
      <c r="F3451" s="18" t="n">
        <f aca="false">(E3451+G3451)/2</f>
        <v>2.92107373319881</v>
      </c>
      <c r="G3451" s="18" t="n">
        <f aca="false">EXP(-'Black-Scholes'!$B$8*'Black-Scholes'!$B$7)*IF(LOWER('Black-Scholes'!$B$11)="put",MAX('Black-Scholes'!$B$6-D3451,0),MAX(D3451-'Black-Scholes'!$B$6,0))</f>
        <v>5.09701440842852</v>
      </c>
    </row>
    <row r="3452" customFormat="false" ht="15" hidden="false" customHeight="false" outlineLevel="0" collapsed="false">
      <c r="A3452" s="0" t="n">
        <v>3441</v>
      </c>
      <c r="B3452" s="15" t="n">
        <v>-0.230576334932435</v>
      </c>
      <c r="C3452" s="18" t="n">
        <f aca="false">'Black-Scholes'!$B$5*EXP(('Black-Scholes'!$B$8-'Black-Scholes'!$B$10-'Black-Scholes'!$B$9^2/2)*'Black-Scholes'!$B$7+'Black-Scholes'!$B$9*SQRT('Black-Scholes'!$B$7)*B3452)</f>
        <v>98.4013889202325</v>
      </c>
      <c r="D3452" s="18" t="n">
        <f aca="false">'Black-Scholes'!$B$5*EXP(('Black-Scholes'!$B$8-'Black-Scholes'!$B$10-'Black-Scholes'!$B$9^2/2)*'Black-Scholes'!$B$7-'Black-Scholes'!$B$9*SQRT('Black-Scholes'!$B$7)*B3452)</f>
        <v>107.908695008982</v>
      </c>
      <c r="E3452" s="18" t="n">
        <f aca="false">EXP(-'Black-Scholes'!$B$8*'Black-Scholes'!$B$7)*IF(LOWER('Black-Scholes'!$B$11)="put",MAX('Black-Scholes'!$B$6-C3452,0),MAX(C3452-'Black-Scholes'!$B$6,0))</f>
        <v>0</v>
      </c>
      <c r="F3452" s="18" t="n">
        <f aca="false">(E3452+G3452)/2</f>
        <v>3.76149170097286</v>
      </c>
      <c r="G3452" s="18" t="n">
        <f aca="false">EXP(-'Black-Scholes'!$B$8*'Black-Scholes'!$B$7)*IF(LOWER('Black-Scholes'!$B$11)="put",MAX('Black-Scholes'!$B$6-D3452,0),MAX(D3452-'Black-Scholes'!$B$6,0))</f>
        <v>7.52298340194572</v>
      </c>
    </row>
    <row r="3453" customFormat="false" ht="15" hidden="false" customHeight="false" outlineLevel="0" collapsed="false">
      <c r="A3453" s="0" t="n">
        <v>3442</v>
      </c>
      <c r="B3453" s="15" t="n">
        <v>0.650036755245016</v>
      </c>
      <c r="C3453" s="18" t="n">
        <f aca="false">'Black-Scholes'!$B$5*EXP(('Black-Scholes'!$B$8-'Black-Scholes'!$B$10-'Black-Scholes'!$B$9^2/2)*'Black-Scholes'!$B$7+'Black-Scholes'!$B$9*SQRT('Black-Scholes'!$B$7)*B3453)</f>
        <v>117.351949755944</v>
      </c>
      <c r="D3453" s="18" t="n">
        <f aca="false">'Black-Scholes'!$B$5*EXP(('Black-Scholes'!$B$8-'Black-Scholes'!$B$10-'Black-Scholes'!$B$9^2/2)*'Black-Scholes'!$B$7-'Black-Scholes'!$B$9*SQRT('Black-Scholes'!$B$7)*B3453)</f>
        <v>90.4830766556207</v>
      </c>
      <c r="E3453" s="18" t="n">
        <f aca="false">EXP(-'Black-Scholes'!$B$8*'Black-Scholes'!$B$7)*IF(LOWER('Black-Scholes'!$B$11)="put",MAX('Black-Scholes'!$B$6-C3453,0),MAX(C3453-'Black-Scholes'!$B$6,0))</f>
        <v>16.5056851803115</v>
      </c>
      <c r="F3453" s="18" t="n">
        <f aca="false">(E3453+G3453)/2</f>
        <v>8.25284259015576</v>
      </c>
      <c r="G3453" s="18" t="n">
        <f aca="false">EXP(-'Black-Scholes'!$B$8*'Black-Scholes'!$B$7)*IF(LOWER('Black-Scholes'!$B$11)="put",MAX('Black-Scholes'!$B$6-D3453,0),MAX(D3453-'Black-Scholes'!$B$6,0))</f>
        <v>0</v>
      </c>
    </row>
    <row r="3454" customFormat="false" ht="15" hidden="false" customHeight="false" outlineLevel="0" collapsed="false">
      <c r="A3454" s="0" t="n">
        <v>3443</v>
      </c>
      <c r="B3454" s="15" t="n">
        <v>-0.828228394633483</v>
      </c>
      <c r="C3454" s="18" t="n">
        <f aca="false">'Black-Scholes'!$B$5*EXP(('Black-Scholes'!$B$8-'Black-Scholes'!$B$10-'Black-Scholes'!$B$9^2/2)*'Black-Scholes'!$B$7+'Black-Scholes'!$B$9*SQRT('Black-Scholes'!$B$7)*B3454)</f>
        <v>87.3151953823385</v>
      </c>
      <c r="D3454" s="18" t="n">
        <f aca="false">'Black-Scholes'!$B$5*EXP(('Black-Scholes'!$B$8-'Black-Scholes'!$B$10-'Black-Scholes'!$B$9^2/2)*'Black-Scholes'!$B$7-'Black-Scholes'!$B$9*SQRT('Black-Scholes'!$B$7)*B3454)</f>
        <v>121.609594056997</v>
      </c>
      <c r="E3454" s="18" t="n">
        <f aca="false">EXP(-'Black-Scholes'!$B$8*'Black-Scholes'!$B$7)*IF(LOWER('Black-Scholes'!$B$11)="put",MAX('Black-Scholes'!$B$6-C3454,0),MAX(C3454-'Black-Scholes'!$B$6,0))</f>
        <v>0</v>
      </c>
      <c r="F3454" s="18" t="n">
        <f aca="false">(E3454+G3454)/2</f>
        <v>10.2778408592658</v>
      </c>
      <c r="G3454" s="18" t="n">
        <f aca="false">EXP(-'Black-Scholes'!$B$8*'Black-Scholes'!$B$7)*IF(LOWER('Black-Scholes'!$B$11)="put",MAX('Black-Scholes'!$B$6-D3454,0),MAX(D3454-'Black-Scholes'!$B$6,0))</f>
        <v>20.5556817185316</v>
      </c>
    </row>
    <row r="3455" customFormat="false" ht="15" hidden="false" customHeight="false" outlineLevel="0" collapsed="false">
      <c r="A3455" s="0" t="n">
        <v>3444</v>
      </c>
      <c r="B3455" s="15" t="n">
        <v>-1.37525532491237</v>
      </c>
      <c r="C3455" s="18" t="n">
        <f aca="false">'Black-Scholes'!$B$5*EXP(('Black-Scholes'!$B$8-'Black-Scholes'!$B$10-'Black-Scholes'!$B$9^2/2)*'Black-Scholes'!$B$7+'Black-Scholes'!$B$9*SQRT('Black-Scholes'!$B$7)*B3455)</f>
        <v>78.2664570468827</v>
      </c>
      <c r="D3455" s="18" t="n">
        <f aca="false">'Black-Scholes'!$B$5*EXP(('Black-Scholes'!$B$8-'Black-Scholes'!$B$10-'Black-Scholes'!$B$9^2/2)*'Black-Scholes'!$B$7-'Black-Scholes'!$B$9*SQRT('Black-Scholes'!$B$7)*B3455)</f>
        <v>135.669428080705</v>
      </c>
      <c r="E3455" s="18" t="n">
        <f aca="false">EXP(-'Black-Scholes'!$B$8*'Black-Scholes'!$B$7)*IF(LOWER('Black-Scholes'!$B$11)="put",MAX('Black-Scholes'!$B$6-C3455,0),MAX(C3455-'Black-Scholes'!$B$6,0))</f>
        <v>0</v>
      </c>
      <c r="F3455" s="18" t="n">
        <f aca="false">(E3455+G3455)/2</f>
        <v>16.9649047727391</v>
      </c>
      <c r="G3455" s="18" t="n">
        <f aca="false">EXP(-'Black-Scholes'!$B$8*'Black-Scholes'!$B$7)*IF(LOWER('Black-Scholes'!$B$11)="put",MAX('Black-Scholes'!$B$6-D3455,0),MAX(D3455-'Black-Scholes'!$B$6,0))</f>
        <v>33.9298095454782</v>
      </c>
    </row>
    <row r="3456" customFormat="false" ht="15" hidden="false" customHeight="false" outlineLevel="0" collapsed="false">
      <c r="A3456" s="0" t="n">
        <v>3445</v>
      </c>
      <c r="B3456" s="15" t="n">
        <v>0.92217449719573</v>
      </c>
      <c r="C3456" s="18" t="n">
        <f aca="false">'Black-Scholes'!$B$5*EXP(('Black-Scholes'!$B$8-'Black-Scholes'!$B$10-'Black-Scholes'!$B$9^2/2)*'Black-Scholes'!$B$7+'Black-Scholes'!$B$9*SQRT('Black-Scholes'!$B$7)*B3456)</f>
        <v>123.916144824333</v>
      </c>
      <c r="D3456" s="18" t="n">
        <f aca="false">'Black-Scholes'!$B$5*EXP(('Black-Scholes'!$B$8-'Black-Scholes'!$B$10-'Black-Scholes'!$B$9^2/2)*'Black-Scholes'!$B$7-'Black-Scholes'!$B$9*SQRT('Black-Scholes'!$B$7)*B3456)</f>
        <v>85.6899274949726</v>
      </c>
      <c r="E3456" s="18" t="n">
        <f aca="false">EXP(-'Black-Scholes'!$B$8*'Black-Scholes'!$B$7)*IF(LOWER('Black-Scholes'!$B$11)="put",MAX('Black-Scholes'!$B$6-C3456,0),MAX(C3456-'Black-Scholes'!$B$6,0))</f>
        <v>22.7497406775258</v>
      </c>
      <c r="F3456" s="18" t="n">
        <f aca="false">(E3456+G3456)/2</f>
        <v>11.3748703387629</v>
      </c>
      <c r="G3456" s="18" t="n">
        <f aca="false">EXP(-'Black-Scholes'!$B$8*'Black-Scholes'!$B$7)*IF(LOWER('Black-Scholes'!$B$11)="put",MAX('Black-Scholes'!$B$6-D3456,0),MAX(D3456-'Black-Scholes'!$B$6,0))</f>
        <v>0</v>
      </c>
    </row>
    <row r="3457" customFormat="false" ht="15" hidden="false" customHeight="false" outlineLevel="0" collapsed="false">
      <c r="A3457" s="0" t="n">
        <v>3446</v>
      </c>
      <c r="B3457" s="15" t="n">
        <v>0.21688285129181</v>
      </c>
      <c r="C3457" s="18" t="n">
        <f aca="false">'Black-Scholes'!$B$5*EXP(('Black-Scholes'!$B$8-'Black-Scholes'!$B$10-'Black-Scholes'!$B$9^2/2)*'Black-Scholes'!$B$7+'Black-Scholes'!$B$9*SQRT('Black-Scholes'!$B$7)*B3457)</f>
        <v>107.613570132256</v>
      </c>
      <c r="D3457" s="18" t="n">
        <f aca="false">'Black-Scholes'!$B$5*EXP(('Black-Scholes'!$B$8-'Black-Scholes'!$B$10-'Black-Scholes'!$B$9^2/2)*'Black-Scholes'!$B$7-'Black-Scholes'!$B$9*SQRT('Black-Scholes'!$B$7)*B3457)</f>
        <v>98.6712498470565</v>
      </c>
      <c r="E3457" s="18" t="n">
        <f aca="false">EXP(-'Black-Scholes'!$B$8*'Black-Scholes'!$B$7)*IF(LOWER('Black-Scholes'!$B$11)="put",MAX('Black-Scholes'!$B$6-C3457,0),MAX(C3457-'Black-Scholes'!$B$6,0))</f>
        <v>7.24225193530192</v>
      </c>
      <c r="F3457" s="18" t="n">
        <f aca="false">(E3457+G3457)/2</f>
        <v>3.62112596765096</v>
      </c>
      <c r="G3457" s="18" t="n">
        <f aca="false">EXP(-'Black-Scholes'!$B$8*'Black-Scholes'!$B$7)*IF(LOWER('Black-Scholes'!$B$11)="put",MAX('Black-Scholes'!$B$6-D3457,0),MAX(D3457-'Black-Scholes'!$B$6,0))</f>
        <v>0</v>
      </c>
    </row>
    <row r="3458" customFormat="false" ht="15" hidden="false" customHeight="false" outlineLevel="0" collapsed="false">
      <c r="A3458" s="0" t="n">
        <v>3447</v>
      </c>
      <c r="B3458" s="15" t="n">
        <v>0.883791609236063</v>
      </c>
      <c r="C3458" s="18" t="n">
        <f aca="false">'Black-Scholes'!$B$5*EXP(('Black-Scholes'!$B$8-'Black-Scholes'!$B$10-'Black-Scholes'!$B$9^2/2)*'Black-Scholes'!$B$7+'Black-Scholes'!$B$9*SQRT('Black-Scholes'!$B$7)*B3458)</f>
        <v>122.968534778256</v>
      </c>
      <c r="D3458" s="18" t="n">
        <f aca="false">'Black-Scholes'!$B$5*EXP(('Black-Scholes'!$B$8-'Black-Scholes'!$B$10-'Black-Scholes'!$B$9^2/2)*'Black-Scholes'!$B$7-'Black-Scholes'!$B$9*SQRT('Black-Scholes'!$B$7)*B3458)</f>
        <v>86.3502641923905</v>
      </c>
      <c r="E3458" s="18" t="n">
        <f aca="false">EXP(-'Black-Scholes'!$B$8*'Black-Scholes'!$B$7)*IF(LOWER('Black-Scholes'!$B$11)="put",MAX('Black-Scholes'!$B$6-C3458,0),MAX(C3458-'Black-Scholes'!$B$6,0))</f>
        <v>21.8483461187455</v>
      </c>
      <c r="F3458" s="18" t="n">
        <f aca="false">(E3458+G3458)/2</f>
        <v>10.9241730593727</v>
      </c>
      <c r="G3458" s="18" t="n">
        <f aca="false">EXP(-'Black-Scholes'!$B$8*'Black-Scholes'!$B$7)*IF(LOWER('Black-Scholes'!$B$11)="put",MAX('Black-Scholes'!$B$6-D3458,0),MAX(D3458-'Black-Scholes'!$B$6,0))</f>
        <v>0</v>
      </c>
    </row>
    <row r="3459" customFormat="false" ht="15" hidden="false" customHeight="false" outlineLevel="0" collapsed="false">
      <c r="A3459" s="0" t="n">
        <v>3448</v>
      </c>
      <c r="B3459" s="15" t="n">
        <v>-0.223871723022332</v>
      </c>
      <c r="C3459" s="18" t="n">
        <f aca="false">'Black-Scholes'!$B$5*EXP(('Black-Scholes'!$B$8-'Black-Scholes'!$B$10-'Black-Scholes'!$B$9^2/2)*'Black-Scholes'!$B$7+'Black-Scholes'!$B$9*SQRT('Black-Scholes'!$B$7)*B3459)</f>
        <v>98.5334260510452</v>
      </c>
      <c r="D3459" s="18" t="n">
        <f aca="false">'Black-Scholes'!$B$5*EXP(('Black-Scholes'!$B$8-'Black-Scholes'!$B$10-'Black-Scholes'!$B$9^2/2)*'Black-Scholes'!$B$7-'Black-Scholes'!$B$9*SQRT('Black-Scholes'!$B$7)*B3459)</f>
        <v>107.764094795128</v>
      </c>
      <c r="E3459" s="18" t="n">
        <f aca="false">EXP(-'Black-Scholes'!$B$8*'Black-Scholes'!$B$7)*IF(LOWER('Black-Scholes'!$B$11)="put",MAX('Black-Scholes'!$B$6-C3459,0),MAX(C3459-'Black-Scholes'!$B$6,0))</f>
        <v>0</v>
      </c>
      <c r="F3459" s="18" t="n">
        <f aca="false">(E3459+G3459)/2</f>
        <v>3.69271771186946</v>
      </c>
      <c r="G3459" s="18" t="n">
        <f aca="false">EXP(-'Black-Scholes'!$B$8*'Black-Scholes'!$B$7)*IF(LOWER('Black-Scholes'!$B$11)="put",MAX('Black-Scholes'!$B$6-D3459,0),MAX(D3459-'Black-Scholes'!$B$6,0))</f>
        <v>7.38543542373892</v>
      </c>
    </row>
    <row r="3460" customFormat="false" ht="15" hidden="false" customHeight="false" outlineLevel="0" collapsed="false">
      <c r="A3460" s="0" t="n">
        <v>3449</v>
      </c>
      <c r="B3460" s="15" t="n">
        <v>-0.755665440533047</v>
      </c>
      <c r="C3460" s="18" t="n">
        <f aca="false">'Black-Scholes'!$B$5*EXP(('Black-Scholes'!$B$8-'Black-Scholes'!$B$10-'Black-Scholes'!$B$9^2/2)*'Black-Scholes'!$B$7+'Black-Scholes'!$B$9*SQRT('Black-Scholes'!$B$7)*B3460)</f>
        <v>88.5916046857367</v>
      </c>
      <c r="D3460" s="18" t="n">
        <f aca="false">'Black-Scholes'!$B$5*EXP(('Black-Scholes'!$B$8-'Black-Scholes'!$B$10-'Black-Scholes'!$B$9^2/2)*'Black-Scholes'!$B$7-'Black-Scholes'!$B$9*SQRT('Black-Scholes'!$B$7)*B3460)</f>
        <v>119.857468471425</v>
      </c>
      <c r="E3460" s="18" t="n">
        <f aca="false">EXP(-'Black-Scholes'!$B$8*'Black-Scholes'!$B$7)*IF(LOWER('Black-Scholes'!$B$11)="put",MAX('Black-Scholes'!$B$6-C3460,0),MAX(C3460-'Black-Scholes'!$B$6,0))</f>
        <v>0</v>
      </c>
      <c r="F3460" s="18" t="n">
        <f aca="false">(E3460+G3460)/2</f>
        <v>9.44450415305713</v>
      </c>
      <c r="G3460" s="18" t="n">
        <f aca="false">EXP(-'Black-Scholes'!$B$8*'Black-Scholes'!$B$7)*IF(LOWER('Black-Scholes'!$B$11)="put",MAX('Black-Scholes'!$B$6-D3460,0),MAX(D3460-'Black-Scholes'!$B$6,0))</f>
        <v>18.8890083061143</v>
      </c>
    </row>
    <row r="3461" customFormat="false" ht="15" hidden="false" customHeight="false" outlineLevel="0" collapsed="false">
      <c r="A3461" s="0" t="n">
        <v>3450</v>
      </c>
      <c r="B3461" s="15" t="n">
        <v>0.721286255492438</v>
      </c>
      <c r="C3461" s="18" t="n">
        <f aca="false">'Black-Scholes'!$B$5*EXP(('Black-Scholes'!$B$8-'Black-Scholes'!$B$10-'Black-Scholes'!$B$9^2/2)*'Black-Scholes'!$B$7+'Black-Scholes'!$B$9*SQRT('Black-Scholes'!$B$7)*B3461)</f>
        <v>119.036174830313</v>
      </c>
      <c r="D3461" s="18" t="n">
        <f aca="false">'Black-Scholes'!$B$5*EXP(('Black-Scholes'!$B$8-'Black-Scholes'!$B$10-'Black-Scholes'!$B$9^2/2)*'Black-Scholes'!$B$7-'Black-Scholes'!$B$9*SQRT('Black-Scholes'!$B$7)*B3461)</f>
        <v>89.2028451064572</v>
      </c>
      <c r="E3461" s="18" t="n">
        <f aca="false">EXP(-'Black-Scholes'!$B$8*'Black-Scholes'!$B$7)*IF(LOWER('Black-Scholes'!$B$11)="put",MAX('Black-Scholes'!$B$6-C3461,0),MAX(C3461-'Black-Scholes'!$B$6,0))</f>
        <v>18.1077696285339</v>
      </c>
      <c r="F3461" s="18" t="n">
        <f aca="false">(E3461+G3461)/2</f>
        <v>9.05388481426694</v>
      </c>
      <c r="G3461" s="18" t="n">
        <f aca="false">EXP(-'Black-Scholes'!$B$8*'Black-Scholes'!$B$7)*IF(LOWER('Black-Scholes'!$B$11)="put",MAX('Black-Scholes'!$B$6-D3461,0),MAX(D3461-'Black-Scholes'!$B$6,0))</f>
        <v>0</v>
      </c>
    </row>
    <row r="3462" customFormat="false" ht="15" hidden="false" customHeight="false" outlineLevel="0" collapsed="false">
      <c r="A3462" s="0" t="n">
        <v>3451</v>
      </c>
      <c r="B3462" s="15" t="n">
        <v>1.30874397535692</v>
      </c>
      <c r="C3462" s="18" t="n">
        <f aca="false">'Black-Scholes'!$B$5*EXP(('Black-Scholes'!$B$8-'Black-Scholes'!$B$10-'Black-Scholes'!$B$9^2/2)*'Black-Scholes'!$B$7+'Black-Scholes'!$B$9*SQRT('Black-Scholes'!$B$7)*B3462)</f>
        <v>133.876667060912</v>
      </c>
      <c r="D3462" s="18" t="n">
        <f aca="false">'Black-Scholes'!$B$5*EXP(('Black-Scholes'!$B$8-'Black-Scholes'!$B$10-'Black-Scholes'!$B$9^2/2)*'Black-Scholes'!$B$7-'Black-Scholes'!$B$9*SQRT('Black-Scholes'!$B$7)*B3462)</f>
        <v>79.3145340302084</v>
      </c>
      <c r="E3462" s="18" t="n">
        <f aca="false">EXP(-'Black-Scholes'!$B$8*'Black-Scholes'!$B$7)*IF(LOWER('Black-Scholes'!$B$11)="put",MAX('Black-Scholes'!$B$6-C3462,0),MAX(C3462-'Black-Scholes'!$B$6,0))</f>
        <v>32.2244825123538</v>
      </c>
      <c r="F3462" s="18" t="n">
        <f aca="false">(E3462+G3462)/2</f>
        <v>16.1122412561769</v>
      </c>
      <c r="G3462" s="18" t="n">
        <f aca="false">EXP(-'Black-Scholes'!$B$8*'Black-Scholes'!$B$7)*IF(LOWER('Black-Scholes'!$B$11)="put",MAX('Black-Scholes'!$B$6-D3462,0),MAX(D3462-'Black-Scholes'!$B$6,0))</f>
        <v>0</v>
      </c>
    </row>
    <row r="3463" customFormat="false" ht="15" hidden="false" customHeight="false" outlineLevel="0" collapsed="false">
      <c r="A3463" s="0" t="n">
        <v>3452</v>
      </c>
      <c r="B3463" s="15" t="n">
        <v>2.40932367151083</v>
      </c>
      <c r="C3463" s="18" t="n">
        <f aca="false">'Black-Scholes'!$B$5*EXP(('Black-Scholes'!$B$8-'Black-Scholes'!$B$10-'Black-Scholes'!$B$9^2/2)*'Black-Scholes'!$B$7+'Black-Scholes'!$B$9*SQRT('Black-Scholes'!$B$7)*B3463)</f>
        <v>166.839941766429</v>
      </c>
      <c r="D3463" s="18" t="n">
        <f aca="false">'Black-Scholes'!$B$5*EXP(('Black-Scholes'!$B$8-'Black-Scholes'!$B$10-'Black-Scholes'!$B$9^2/2)*'Black-Scholes'!$B$7-'Black-Scholes'!$B$9*SQRT('Black-Scholes'!$B$7)*B3463)</f>
        <v>63.6440252437812</v>
      </c>
      <c r="E3463" s="18" t="n">
        <f aca="false">EXP(-'Black-Scholes'!$B$8*'Black-Scholes'!$B$7)*IF(LOWER('Black-Scholes'!$B$11)="put",MAX('Black-Scholes'!$B$6-C3463,0),MAX(C3463-'Black-Scholes'!$B$6,0))</f>
        <v>63.5801193401415</v>
      </c>
      <c r="F3463" s="18" t="n">
        <f aca="false">(E3463+G3463)/2</f>
        <v>31.7900596700708</v>
      </c>
      <c r="G3463" s="18" t="n">
        <f aca="false">EXP(-'Black-Scholes'!$B$8*'Black-Scholes'!$B$7)*IF(LOWER('Black-Scholes'!$B$11)="put",MAX('Black-Scholes'!$B$6-D3463,0),MAX(D3463-'Black-Scholes'!$B$6,0))</f>
        <v>0</v>
      </c>
    </row>
    <row r="3464" customFormat="false" ht="15" hidden="false" customHeight="false" outlineLevel="0" collapsed="false">
      <c r="A3464" s="0" t="n">
        <v>3453</v>
      </c>
      <c r="B3464" s="15" t="n">
        <v>0.420407779463062</v>
      </c>
      <c r="C3464" s="18" t="n">
        <f aca="false">'Black-Scholes'!$B$5*EXP(('Black-Scholes'!$B$8-'Black-Scholes'!$B$10-'Black-Scholes'!$B$9^2/2)*'Black-Scholes'!$B$7+'Black-Scholes'!$B$9*SQRT('Black-Scholes'!$B$7)*B3464)</f>
        <v>112.084353255146</v>
      </c>
      <c r="D3464" s="18" t="n">
        <f aca="false">'Black-Scholes'!$B$5*EXP(('Black-Scholes'!$B$8-'Black-Scholes'!$B$10-'Black-Scholes'!$B$9^2/2)*'Black-Scholes'!$B$7-'Black-Scholes'!$B$9*SQRT('Black-Scholes'!$B$7)*B3464)</f>
        <v>94.7354840981435</v>
      </c>
      <c r="E3464" s="18" t="n">
        <f aca="false">EXP(-'Black-Scholes'!$B$8*'Black-Scholes'!$B$7)*IF(LOWER('Black-Scholes'!$B$11)="put",MAX('Black-Scholes'!$B$6-C3464,0),MAX(C3464-'Black-Scholes'!$B$6,0))</f>
        <v>11.494992392356</v>
      </c>
      <c r="F3464" s="18" t="n">
        <f aca="false">(E3464+G3464)/2</f>
        <v>5.74749619617801</v>
      </c>
      <c r="G3464" s="18" t="n">
        <f aca="false">EXP(-'Black-Scholes'!$B$8*'Black-Scholes'!$B$7)*IF(LOWER('Black-Scholes'!$B$11)="put",MAX('Black-Scholes'!$B$6-D3464,0),MAX(D3464-'Black-Scholes'!$B$6,0))</f>
        <v>0</v>
      </c>
    </row>
    <row r="3465" customFormat="false" ht="15" hidden="false" customHeight="false" outlineLevel="0" collapsed="false">
      <c r="A3465" s="0" t="n">
        <v>3454</v>
      </c>
      <c r="B3465" s="15" t="n">
        <v>-3.56062203633527</v>
      </c>
      <c r="C3465" s="18" t="n">
        <f aca="false">'Black-Scholes'!$B$5*EXP(('Black-Scholes'!$B$8-'Black-Scholes'!$B$10-'Black-Scholes'!$B$9^2/2)*'Black-Scholes'!$B$7+'Black-Scholes'!$B$9*SQRT('Black-Scholes'!$B$7)*B3465)</f>
        <v>50.5541873944432</v>
      </c>
      <c r="D3465" s="18" t="n">
        <f aca="false">'Black-Scholes'!$B$5*EXP(('Black-Scholes'!$B$8-'Black-Scholes'!$B$10-'Black-Scholes'!$B$9^2/2)*'Black-Scholes'!$B$7-'Black-Scholes'!$B$9*SQRT('Black-Scholes'!$B$7)*B3465)</f>
        <v>210.039286807343</v>
      </c>
      <c r="E3465" s="18" t="n">
        <f aca="false">EXP(-'Black-Scholes'!$B$8*'Black-Scholes'!$B$7)*IF(LOWER('Black-Scholes'!$B$11)="put",MAX('Black-Scholes'!$B$6-C3465,0),MAX(C3465-'Black-Scholes'!$B$6,0))</f>
        <v>0</v>
      </c>
      <c r="F3465" s="18" t="n">
        <f aca="false">(E3465+G3465)/2</f>
        <v>52.3363037311087</v>
      </c>
      <c r="G3465" s="18" t="n">
        <f aca="false">EXP(-'Black-Scholes'!$B$8*'Black-Scholes'!$B$7)*IF(LOWER('Black-Scholes'!$B$11)="put",MAX('Black-Scholes'!$B$6-D3465,0),MAX(D3465-'Black-Scholes'!$B$6,0))</f>
        <v>104.672607462217</v>
      </c>
    </row>
    <row r="3466" customFormat="false" ht="15" hidden="false" customHeight="false" outlineLevel="0" collapsed="false">
      <c r="A3466" s="0" t="n">
        <v>3455</v>
      </c>
      <c r="B3466" s="15" t="n">
        <v>2.19774882829172</v>
      </c>
      <c r="C3466" s="18" t="n">
        <f aca="false">'Black-Scholes'!$B$5*EXP(('Black-Scholes'!$B$8-'Black-Scholes'!$B$10-'Black-Scholes'!$B$9^2/2)*'Black-Scholes'!$B$7+'Black-Scholes'!$B$9*SQRT('Black-Scholes'!$B$7)*B3466)</f>
        <v>159.927398302897</v>
      </c>
      <c r="D3466" s="18" t="n">
        <f aca="false">'Black-Scholes'!$B$5*EXP(('Black-Scholes'!$B$8-'Black-Scholes'!$B$10-'Black-Scholes'!$B$9^2/2)*'Black-Scholes'!$B$7-'Black-Scholes'!$B$9*SQRT('Black-Scholes'!$B$7)*B3466)</f>
        <v>66.3949115544466</v>
      </c>
      <c r="E3466" s="18" t="n">
        <f aca="false">EXP(-'Black-Scholes'!$B$8*'Black-Scholes'!$B$7)*IF(LOWER('Black-Scholes'!$B$11)="put",MAX('Black-Scholes'!$B$6-C3466,0),MAX(C3466-'Black-Scholes'!$B$6,0))</f>
        <v>57.0047045994897</v>
      </c>
      <c r="F3466" s="18" t="n">
        <f aca="false">(E3466+G3466)/2</f>
        <v>28.5023522997449</v>
      </c>
      <c r="G3466" s="18" t="n">
        <f aca="false">EXP(-'Black-Scholes'!$B$8*'Black-Scholes'!$B$7)*IF(LOWER('Black-Scholes'!$B$11)="put",MAX('Black-Scholes'!$B$6-D3466,0),MAX(D3466-'Black-Scholes'!$B$6,0))</f>
        <v>0</v>
      </c>
    </row>
    <row r="3467" customFormat="false" ht="15" hidden="false" customHeight="false" outlineLevel="0" collapsed="false">
      <c r="A3467" s="0" t="n">
        <v>3456</v>
      </c>
      <c r="B3467" s="15" t="n">
        <v>0.743549950524645</v>
      </c>
      <c r="C3467" s="18" t="n">
        <f aca="false">'Black-Scholes'!$B$5*EXP(('Black-Scholes'!$B$8-'Black-Scholes'!$B$10-'Black-Scholes'!$B$9^2/2)*'Black-Scholes'!$B$7+'Black-Scholes'!$B$9*SQRT('Black-Scholes'!$B$7)*B3467)</f>
        <v>119.567393660861</v>
      </c>
      <c r="D3467" s="18" t="n">
        <f aca="false">'Black-Scholes'!$B$5*EXP(('Black-Scholes'!$B$8-'Black-Scholes'!$B$10-'Black-Scholes'!$B$9^2/2)*'Black-Scholes'!$B$7-'Black-Scholes'!$B$9*SQRT('Black-Scholes'!$B$7)*B3467)</f>
        <v>88.8065311147567</v>
      </c>
      <c r="E3467" s="18" t="n">
        <f aca="false">EXP(-'Black-Scholes'!$B$8*'Black-Scholes'!$B$7)*IF(LOWER('Black-Scholes'!$B$11)="put",MAX('Black-Scholes'!$B$6-C3467,0),MAX(C3467-'Black-Scholes'!$B$6,0))</f>
        <v>18.6130806109995</v>
      </c>
      <c r="F3467" s="18" t="n">
        <f aca="false">(E3467+G3467)/2</f>
        <v>9.30654030549974</v>
      </c>
      <c r="G3467" s="18" t="n">
        <f aca="false">EXP(-'Black-Scholes'!$B$8*'Black-Scholes'!$B$7)*IF(LOWER('Black-Scholes'!$B$11)="put",MAX('Black-Scholes'!$B$6-D3467,0),MAX(D3467-'Black-Scholes'!$B$6,0))</f>
        <v>0</v>
      </c>
    </row>
    <row r="3468" customFormat="false" ht="15" hidden="false" customHeight="false" outlineLevel="0" collapsed="false">
      <c r="A3468" s="0" t="n">
        <v>3457</v>
      </c>
      <c r="B3468" s="15" t="n">
        <v>-0.0425140031904442</v>
      </c>
      <c r="C3468" s="18" t="n">
        <f aca="false">'Black-Scholes'!$B$5*EXP(('Black-Scholes'!$B$8-'Black-Scholes'!$B$10-'Black-Scholes'!$B$9^2/2)*'Black-Scholes'!$B$7+'Black-Scholes'!$B$9*SQRT('Black-Scholes'!$B$7)*B3468)</f>
        <v>102.172992883762</v>
      </c>
      <c r="D3468" s="18" t="n">
        <f aca="false">'Black-Scholes'!$B$5*EXP(('Black-Scholes'!$B$8-'Black-Scholes'!$B$10-'Black-Scholes'!$B$9^2/2)*'Black-Scholes'!$B$7-'Black-Scholes'!$B$9*SQRT('Black-Scholes'!$B$7)*B3468)</f>
        <v>103.925363892723</v>
      </c>
      <c r="E3468" s="18" t="n">
        <f aca="false">EXP(-'Black-Scholes'!$B$8*'Black-Scholes'!$B$7)*IF(LOWER('Black-Scholes'!$B$11)="put",MAX('Black-Scholes'!$B$6-C3468,0),MAX(C3468-'Black-Scholes'!$B$6,0))</f>
        <v>2.06701477026505</v>
      </c>
      <c r="F3468" s="18" t="n">
        <f aca="false">(E3468+G3468)/2</f>
        <v>2.90046820344809</v>
      </c>
      <c r="G3468" s="18" t="n">
        <f aca="false">EXP(-'Black-Scholes'!$B$8*'Black-Scholes'!$B$7)*IF(LOWER('Black-Scholes'!$B$11)="put",MAX('Black-Scholes'!$B$6-D3468,0),MAX(D3468-'Black-Scholes'!$B$6,0))</f>
        <v>3.73392163663112</v>
      </c>
    </row>
    <row r="3469" customFormat="false" ht="15" hidden="false" customHeight="false" outlineLevel="0" collapsed="false">
      <c r="A3469" s="0" t="n">
        <v>3458</v>
      </c>
      <c r="B3469" s="15" t="n">
        <v>0.433810642786079</v>
      </c>
      <c r="C3469" s="18" t="n">
        <f aca="false">'Black-Scholes'!$B$5*EXP(('Black-Scholes'!$B$8-'Black-Scholes'!$B$10-'Black-Scholes'!$B$9^2/2)*'Black-Scholes'!$B$7+'Black-Scholes'!$B$9*SQRT('Black-Scholes'!$B$7)*B3469)</f>
        <v>112.385206558034</v>
      </c>
      <c r="D3469" s="18" t="n">
        <f aca="false">'Black-Scholes'!$B$5*EXP(('Black-Scholes'!$B$8-'Black-Scholes'!$B$10-'Black-Scholes'!$B$9^2/2)*'Black-Scholes'!$B$7-'Black-Scholes'!$B$9*SQRT('Black-Scholes'!$B$7)*B3469)</f>
        <v>94.4818788046668</v>
      </c>
      <c r="E3469" s="18" t="n">
        <f aca="false">EXP(-'Black-Scholes'!$B$8*'Black-Scholes'!$B$7)*IF(LOWER('Black-Scholes'!$B$11)="put",MAX('Black-Scholes'!$B$6-C3469,0),MAX(C3469-'Black-Scholes'!$B$6,0))</f>
        <v>11.781172906521</v>
      </c>
      <c r="F3469" s="18" t="n">
        <f aca="false">(E3469+G3469)/2</f>
        <v>5.89058645326051</v>
      </c>
      <c r="G3469" s="18" t="n">
        <f aca="false">EXP(-'Black-Scholes'!$B$8*'Black-Scholes'!$B$7)*IF(LOWER('Black-Scholes'!$B$11)="put",MAX('Black-Scholes'!$B$6-D3469,0),MAX(D3469-'Black-Scholes'!$B$6,0))</f>
        <v>0</v>
      </c>
    </row>
    <row r="3470" customFormat="false" ht="15" hidden="false" customHeight="false" outlineLevel="0" collapsed="false">
      <c r="A3470" s="0" t="n">
        <v>3459</v>
      </c>
      <c r="B3470" s="15" t="n">
        <v>0.915526724989897</v>
      </c>
      <c r="C3470" s="18" t="n">
        <f aca="false">'Black-Scholes'!$B$5*EXP(('Black-Scholes'!$B$8-'Black-Scholes'!$B$10-'Black-Scholes'!$B$9^2/2)*'Black-Scholes'!$B$7+'Black-Scholes'!$B$9*SQRT('Black-Scholes'!$B$7)*B3470)</f>
        <v>123.751501039341</v>
      </c>
      <c r="D3470" s="18" t="n">
        <f aca="false">'Black-Scholes'!$B$5*EXP(('Black-Scholes'!$B$8-'Black-Scholes'!$B$10-'Black-Scholes'!$B$9^2/2)*'Black-Scholes'!$B$7-'Black-Scholes'!$B$9*SQRT('Black-Scholes'!$B$7)*B3470)</f>
        <v>85.8039326898993</v>
      </c>
      <c r="E3470" s="18" t="n">
        <f aca="false">EXP(-'Black-Scholes'!$B$8*'Black-Scholes'!$B$7)*IF(LOWER('Black-Scholes'!$B$11)="put",MAX('Black-Scholes'!$B$6-C3470,0),MAX(C3470-'Black-Scholes'!$B$6,0))</f>
        <v>22.5931266646802</v>
      </c>
      <c r="F3470" s="18" t="n">
        <f aca="false">(E3470+G3470)/2</f>
        <v>11.2965633323401</v>
      </c>
      <c r="G3470" s="18" t="n">
        <f aca="false">EXP(-'Black-Scholes'!$B$8*'Black-Scholes'!$B$7)*IF(LOWER('Black-Scholes'!$B$11)="put",MAX('Black-Scholes'!$B$6-D3470,0),MAX(D3470-'Black-Scholes'!$B$6,0))</f>
        <v>0</v>
      </c>
    </row>
    <row r="3471" customFormat="false" ht="15" hidden="false" customHeight="false" outlineLevel="0" collapsed="false">
      <c r="A3471" s="0" t="n">
        <v>3460</v>
      </c>
      <c r="B3471" s="15" t="n">
        <v>0.585261116932299</v>
      </c>
      <c r="C3471" s="18" t="n">
        <f aca="false">'Black-Scholes'!$B$5*EXP(('Black-Scholes'!$B$8-'Black-Scholes'!$B$10-'Black-Scholes'!$B$9^2/2)*'Black-Scholes'!$B$7+'Black-Scholes'!$B$9*SQRT('Black-Scholes'!$B$7)*B3471)</f>
        <v>115.841445777613</v>
      </c>
      <c r="D3471" s="18" t="n">
        <f aca="false">'Black-Scholes'!$B$5*EXP(('Black-Scholes'!$B$8-'Black-Scholes'!$B$10-'Black-Scholes'!$B$9^2/2)*'Black-Scholes'!$B$7-'Black-Scholes'!$B$9*SQRT('Black-Scholes'!$B$7)*B3471)</f>
        <v>91.6629224900925</v>
      </c>
      <c r="E3471" s="18" t="n">
        <f aca="false">EXP(-'Black-Scholes'!$B$8*'Black-Scholes'!$B$7)*IF(LOWER('Black-Scholes'!$B$11)="put",MAX('Black-Scholes'!$B$6-C3471,0),MAX(C3471-'Black-Scholes'!$B$6,0))</f>
        <v>15.0688493502981</v>
      </c>
      <c r="F3471" s="18" t="n">
        <f aca="false">(E3471+G3471)/2</f>
        <v>7.53442467514906</v>
      </c>
      <c r="G3471" s="18" t="n">
        <f aca="false">EXP(-'Black-Scholes'!$B$8*'Black-Scholes'!$B$7)*IF(LOWER('Black-Scholes'!$B$11)="put",MAX('Black-Scholes'!$B$6-D3471,0),MAX(D3471-'Black-Scholes'!$B$6,0))</f>
        <v>0</v>
      </c>
    </row>
    <row r="3472" customFormat="false" ht="15" hidden="false" customHeight="false" outlineLevel="0" collapsed="false">
      <c r="A3472" s="0" t="n">
        <v>3461</v>
      </c>
      <c r="B3472" s="15" t="n">
        <v>-0.872546056827393</v>
      </c>
      <c r="C3472" s="18" t="n">
        <f aca="false">'Black-Scholes'!$B$5*EXP(('Black-Scholes'!$B$8-'Black-Scholes'!$B$10-'Black-Scholes'!$B$9^2/2)*'Black-Scholes'!$B$7+'Black-Scholes'!$B$9*SQRT('Black-Scholes'!$B$7)*B3472)</f>
        <v>86.544694041832</v>
      </c>
      <c r="D3472" s="18" t="n">
        <f aca="false">'Black-Scholes'!$B$5*EXP(('Black-Scholes'!$B$8-'Black-Scholes'!$B$10-'Black-Scholes'!$B$9^2/2)*'Black-Scholes'!$B$7-'Black-Scholes'!$B$9*SQRT('Black-Scholes'!$B$7)*B3472)</f>
        <v>122.692275742764</v>
      </c>
      <c r="E3472" s="18" t="n">
        <f aca="false">EXP(-'Black-Scholes'!$B$8*'Black-Scholes'!$B$7)*IF(LOWER('Black-Scholes'!$B$11)="put",MAX('Black-Scholes'!$B$6-C3472,0),MAX(C3472-'Black-Scholes'!$B$6,0))</f>
        <v>0</v>
      </c>
      <c r="F3472" s="18" t="n">
        <f aca="false">(E3472+G3472)/2</f>
        <v>10.7927801977005</v>
      </c>
      <c r="G3472" s="18" t="n">
        <f aca="false">EXP(-'Black-Scholes'!$B$8*'Black-Scholes'!$B$7)*IF(LOWER('Black-Scholes'!$B$11)="put",MAX('Black-Scholes'!$B$6-D3472,0),MAX(D3472-'Black-Scholes'!$B$6,0))</f>
        <v>21.5855603954009</v>
      </c>
    </row>
    <row r="3473" customFormat="false" ht="15" hidden="false" customHeight="false" outlineLevel="0" collapsed="false">
      <c r="A3473" s="0" t="n">
        <v>3462</v>
      </c>
      <c r="B3473" s="15" t="n">
        <v>-0.890378769591699</v>
      </c>
      <c r="C3473" s="18" t="n">
        <f aca="false">'Black-Scholes'!$B$5*EXP(('Black-Scholes'!$B$8-'Black-Scholes'!$B$10-'Black-Scholes'!$B$9^2/2)*'Black-Scholes'!$B$7+'Black-Scholes'!$B$9*SQRT('Black-Scholes'!$B$7)*B3473)</f>
        <v>86.2365784880326</v>
      </c>
      <c r="D3473" s="18" t="n">
        <f aca="false">'Black-Scholes'!$B$5*EXP(('Black-Scholes'!$B$8-'Black-Scholes'!$B$10-'Black-Scholes'!$B$9^2/2)*'Black-Scholes'!$B$7-'Black-Scholes'!$B$9*SQRT('Black-Scholes'!$B$7)*B3473)</f>
        <v>123.130644230362</v>
      </c>
      <c r="E3473" s="18" t="n">
        <f aca="false">EXP(-'Black-Scholes'!$B$8*'Black-Scholes'!$B$7)*IF(LOWER('Black-Scholes'!$B$11)="put",MAX('Black-Scholes'!$B$6-C3473,0),MAX(C3473-'Black-Scholes'!$B$6,0))</f>
        <v>0</v>
      </c>
      <c r="F3473" s="18" t="n">
        <f aca="false">(E3473+G3473)/2</f>
        <v>11.0012746997888</v>
      </c>
      <c r="G3473" s="18" t="n">
        <f aca="false">EXP(-'Black-Scholes'!$B$8*'Black-Scholes'!$B$7)*IF(LOWER('Black-Scholes'!$B$11)="put",MAX('Black-Scholes'!$B$6-D3473,0),MAX(D3473-'Black-Scholes'!$B$6,0))</f>
        <v>22.0025493995777</v>
      </c>
    </row>
    <row r="3474" customFormat="false" ht="15" hidden="false" customHeight="false" outlineLevel="0" collapsed="false">
      <c r="A3474" s="0" t="n">
        <v>3463</v>
      </c>
      <c r="B3474" s="15" t="n">
        <v>-0.62348177056822</v>
      </c>
      <c r="C3474" s="18" t="n">
        <f aca="false">'Black-Scholes'!$B$5*EXP(('Black-Scholes'!$B$8-'Black-Scholes'!$B$10-'Black-Scholes'!$B$9^2/2)*'Black-Scholes'!$B$7+'Black-Scholes'!$B$9*SQRT('Black-Scholes'!$B$7)*B3474)</f>
        <v>90.9649103745657</v>
      </c>
      <c r="D3474" s="18" t="n">
        <f aca="false">'Black-Scholes'!$B$5*EXP(('Black-Scholes'!$B$8-'Black-Scholes'!$B$10-'Black-Scholes'!$B$9^2/2)*'Black-Scholes'!$B$7-'Black-Scholes'!$B$9*SQRT('Black-Scholes'!$B$7)*B3474)</f>
        <v>116.730346039263</v>
      </c>
      <c r="E3474" s="18" t="n">
        <f aca="false">EXP(-'Black-Scholes'!$B$8*'Black-Scholes'!$B$7)*IF(LOWER('Black-Scholes'!$B$11)="put",MAX('Black-Scholes'!$B$6-C3474,0),MAX(C3474-'Black-Scholes'!$B$6,0))</f>
        <v>0</v>
      </c>
      <c r="F3474" s="18" t="n">
        <f aca="false">(E3474+G3474)/2</f>
        <v>7.95719871731297</v>
      </c>
      <c r="G3474" s="18" t="n">
        <f aca="false">EXP(-'Black-Scholes'!$B$8*'Black-Scholes'!$B$7)*IF(LOWER('Black-Scholes'!$B$11)="put",MAX('Black-Scholes'!$B$6-D3474,0),MAX(D3474-'Black-Scholes'!$B$6,0))</f>
        <v>15.9143974346259</v>
      </c>
    </row>
    <row r="3475" customFormat="false" ht="15" hidden="false" customHeight="false" outlineLevel="0" collapsed="false">
      <c r="A3475" s="0" t="n">
        <v>3464</v>
      </c>
      <c r="B3475" s="15" t="n">
        <v>-0.0104879232944168</v>
      </c>
      <c r="C3475" s="18" t="n">
        <f aca="false">'Black-Scholes'!$B$5*EXP(('Black-Scholes'!$B$8-'Black-Scholes'!$B$10-'Black-Scholes'!$B$9^2/2)*'Black-Scholes'!$B$7+'Black-Scholes'!$B$9*SQRT('Black-Scholes'!$B$7)*B3475)</f>
        <v>102.829533367579</v>
      </c>
      <c r="D3475" s="18" t="n">
        <f aca="false">'Black-Scholes'!$B$5*EXP(('Black-Scholes'!$B$8-'Black-Scholes'!$B$10-'Black-Scholes'!$B$9^2/2)*'Black-Scholes'!$B$7-'Black-Scholes'!$B$9*SQRT('Black-Scholes'!$B$7)*B3475)</f>
        <v>103.261826809004</v>
      </c>
      <c r="E3475" s="18" t="n">
        <f aca="false">EXP(-'Black-Scholes'!$B$8*'Black-Scholes'!$B$7)*IF(LOWER('Black-Scholes'!$B$11)="put",MAX('Black-Scholes'!$B$6-C3475,0),MAX(C3475-'Black-Scholes'!$B$6,0))</f>
        <v>2.69153539684773</v>
      </c>
      <c r="F3475" s="18" t="n">
        <f aca="false">(E3475+G3475)/2</f>
        <v>2.8971405175986</v>
      </c>
      <c r="G3475" s="18" t="n">
        <f aca="false">EXP(-'Black-Scholes'!$B$8*'Black-Scholes'!$B$7)*IF(LOWER('Black-Scholes'!$B$11)="put",MAX('Black-Scholes'!$B$6-D3475,0),MAX(D3475-'Black-Scholes'!$B$6,0))</f>
        <v>3.10274563834948</v>
      </c>
    </row>
    <row r="3476" customFormat="false" ht="15" hidden="false" customHeight="false" outlineLevel="0" collapsed="false">
      <c r="A3476" s="0" t="n">
        <v>3465</v>
      </c>
      <c r="B3476" s="15" t="n">
        <v>0.394665234223992</v>
      </c>
      <c r="C3476" s="18" t="n">
        <f aca="false">'Black-Scholes'!$B$5*EXP(('Black-Scholes'!$B$8-'Black-Scholes'!$B$10-'Black-Scholes'!$B$9^2/2)*'Black-Scholes'!$B$7+'Black-Scholes'!$B$9*SQRT('Black-Scholes'!$B$7)*B3476)</f>
        <v>111.508768920296</v>
      </c>
      <c r="D3476" s="18" t="n">
        <f aca="false">'Black-Scholes'!$B$5*EXP(('Black-Scholes'!$B$8-'Black-Scholes'!$B$10-'Black-Scholes'!$B$9^2/2)*'Black-Scholes'!$B$7-'Black-Scholes'!$B$9*SQRT('Black-Scholes'!$B$7)*B3476)</f>
        <v>95.2244883363692</v>
      </c>
      <c r="E3476" s="18" t="n">
        <f aca="false">EXP(-'Black-Scholes'!$B$8*'Black-Scholes'!$B$7)*IF(LOWER('Black-Scholes'!$B$11)="put",MAX('Black-Scholes'!$B$6-C3476,0),MAX(C3476-'Black-Scholes'!$B$6,0))</f>
        <v>10.9474796367647</v>
      </c>
      <c r="F3476" s="18" t="n">
        <f aca="false">(E3476+G3476)/2</f>
        <v>5.47373981838233</v>
      </c>
      <c r="G3476" s="18" t="n">
        <f aca="false">EXP(-'Black-Scholes'!$B$8*'Black-Scholes'!$B$7)*IF(LOWER('Black-Scholes'!$B$11)="put",MAX('Black-Scholes'!$B$6-D3476,0),MAX(D3476-'Black-Scholes'!$B$6,0))</f>
        <v>0</v>
      </c>
    </row>
    <row r="3477" customFormat="false" ht="15" hidden="false" customHeight="false" outlineLevel="0" collapsed="false">
      <c r="A3477" s="0" t="n">
        <v>3466</v>
      </c>
      <c r="B3477" s="15" t="n">
        <v>0.537618749613017</v>
      </c>
      <c r="C3477" s="18" t="n">
        <f aca="false">'Black-Scholes'!$B$5*EXP(('Black-Scholes'!$B$8-'Black-Scholes'!$B$10-'Black-Scholes'!$B$9^2/2)*'Black-Scholes'!$B$7+'Black-Scholes'!$B$9*SQRT('Black-Scholes'!$B$7)*B3477)</f>
        <v>114.742895699739</v>
      </c>
      <c r="D3477" s="18" t="n">
        <f aca="false">'Black-Scholes'!$B$5*EXP(('Black-Scholes'!$B$8-'Black-Scholes'!$B$10-'Black-Scholes'!$B$9^2/2)*'Black-Scholes'!$B$7-'Black-Scholes'!$B$9*SQRT('Black-Scholes'!$B$7)*B3477)</f>
        <v>92.5405045837428</v>
      </c>
      <c r="E3477" s="18" t="n">
        <f aca="false">EXP(-'Black-Scholes'!$B$8*'Black-Scholes'!$B$7)*IF(LOWER('Black-Scholes'!$B$11)="put",MAX('Black-Scholes'!$B$6-C3477,0),MAX(C3477-'Black-Scholes'!$B$6,0))</f>
        <v>14.0238761919366</v>
      </c>
      <c r="F3477" s="18" t="n">
        <f aca="false">(E3477+G3477)/2</f>
        <v>7.01193809596828</v>
      </c>
      <c r="G3477" s="18" t="n">
        <f aca="false">EXP(-'Black-Scholes'!$B$8*'Black-Scholes'!$B$7)*IF(LOWER('Black-Scholes'!$B$11)="put",MAX('Black-Scholes'!$B$6-D3477,0),MAX(D3477-'Black-Scholes'!$B$6,0))</f>
        <v>0</v>
      </c>
    </row>
    <row r="3478" customFormat="false" ht="15" hidden="false" customHeight="false" outlineLevel="0" collapsed="false">
      <c r="A3478" s="0" t="n">
        <v>3467</v>
      </c>
      <c r="B3478" s="15" t="n">
        <v>0.219486762264486</v>
      </c>
      <c r="C3478" s="18" t="n">
        <f aca="false">'Black-Scholes'!$B$5*EXP(('Black-Scholes'!$B$8-'Black-Scholes'!$B$10-'Black-Scholes'!$B$9^2/2)*'Black-Scholes'!$B$7+'Black-Scholes'!$B$9*SQRT('Black-Scholes'!$B$7)*B3478)</f>
        <v>107.669627959164</v>
      </c>
      <c r="D3478" s="18" t="n">
        <f aca="false">'Black-Scholes'!$B$5*EXP(('Black-Scholes'!$B$8-'Black-Scholes'!$B$10-'Black-Scholes'!$B$9^2/2)*'Black-Scholes'!$B$7-'Black-Scholes'!$B$9*SQRT('Black-Scholes'!$B$7)*B3478)</f>
        <v>98.619876995218</v>
      </c>
      <c r="E3478" s="18" t="n">
        <f aca="false">EXP(-'Black-Scholes'!$B$8*'Black-Scholes'!$B$7)*IF(LOWER('Black-Scholes'!$B$11)="put",MAX('Black-Scholes'!$B$6-C3478,0),MAX(C3478-'Black-Scholes'!$B$6,0))</f>
        <v>7.29557578972973</v>
      </c>
      <c r="F3478" s="18" t="n">
        <f aca="false">(E3478+G3478)/2</f>
        <v>3.64778789486486</v>
      </c>
      <c r="G3478" s="18" t="n">
        <f aca="false">EXP(-'Black-Scholes'!$B$8*'Black-Scholes'!$B$7)*IF(LOWER('Black-Scholes'!$B$11)="put",MAX('Black-Scholes'!$B$6-D3478,0),MAX(D3478-'Black-Scholes'!$B$6,0))</f>
        <v>0</v>
      </c>
    </row>
    <row r="3479" customFormat="false" ht="15" hidden="false" customHeight="false" outlineLevel="0" collapsed="false">
      <c r="A3479" s="0" t="n">
        <v>3468</v>
      </c>
      <c r="B3479" s="15" t="n">
        <v>0.161266791520825</v>
      </c>
      <c r="C3479" s="18" t="n">
        <f aca="false">'Black-Scholes'!$B$5*EXP(('Black-Scholes'!$B$8-'Black-Scholes'!$B$10-'Black-Scholes'!$B$9^2/2)*'Black-Scholes'!$B$7+'Black-Scholes'!$B$9*SQRT('Black-Scholes'!$B$7)*B3479)</f>
        <v>106.423194257437</v>
      </c>
      <c r="D3479" s="18" t="n">
        <f aca="false">'Black-Scholes'!$B$5*EXP(('Black-Scholes'!$B$8-'Black-Scholes'!$B$10-'Black-Scholes'!$B$9^2/2)*'Black-Scholes'!$B$7-'Black-Scholes'!$B$9*SQRT('Black-Scholes'!$B$7)*B3479)</f>
        <v>99.7749178601781</v>
      </c>
      <c r="E3479" s="18" t="n">
        <f aca="false">EXP(-'Black-Scholes'!$B$8*'Black-Scholes'!$B$7)*IF(LOWER('Black-Scholes'!$B$11)="put",MAX('Black-Scholes'!$B$6-C3479,0),MAX(C3479-'Black-Scholes'!$B$6,0))</f>
        <v>6.10993137695846</v>
      </c>
      <c r="F3479" s="18" t="n">
        <f aca="false">(E3479+G3479)/2</f>
        <v>3.05496568847923</v>
      </c>
      <c r="G3479" s="18" t="n">
        <f aca="false">EXP(-'Black-Scholes'!$B$8*'Black-Scholes'!$B$7)*IF(LOWER('Black-Scholes'!$B$11)="put",MAX('Black-Scholes'!$B$6-D3479,0),MAX(D3479-'Black-Scholes'!$B$6,0))</f>
        <v>0</v>
      </c>
    </row>
    <row r="3480" customFormat="false" ht="15" hidden="false" customHeight="false" outlineLevel="0" collapsed="false">
      <c r="A3480" s="0" t="n">
        <v>3469</v>
      </c>
      <c r="B3480" s="15" t="n">
        <v>-1.47346083599047</v>
      </c>
      <c r="C3480" s="18" t="n">
        <f aca="false">'Black-Scholes'!$B$5*EXP(('Black-Scholes'!$B$8-'Black-Scholes'!$B$10-'Black-Scholes'!$B$9^2/2)*'Black-Scholes'!$B$7+'Black-Scholes'!$B$9*SQRT('Black-Scholes'!$B$7)*B3480)</f>
        <v>76.7442157487421</v>
      </c>
      <c r="D3480" s="18" t="n">
        <f aca="false">'Black-Scholes'!$B$5*EXP(('Black-Scholes'!$B$8-'Black-Scholes'!$B$10-'Black-Scholes'!$B$9^2/2)*'Black-Scholes'!$B$7-'Black-Scholes'!$B$9*SQRT('Black-Scholes'!$B$7)*B3480)</f>
        <v>138.360466151843</v>
      </c>
      <c r="E3480" s="18" t="n">
        <f aca="false">EXP(-'Black-Scholes'!$B$8*'Black-Scholes'!$B$7)*IF(LOWER('Black-Scholes'!$B$11)="put",MAX('Black-Scholes'!$B$6-C3480,0),MAX(C3480-'Black-Scholes'!$B$6,0))</f>
        <v>0</v>
      </c>
      <c r="F3480" s="18" t="n">
        <f aca="false">(E3480+G3480)/2</f>
        <v>18.2448020705986</v>
      </c>
      <c r="G3480" s="18" t="n">
        <f aca="false">EXP(-'Black-Scholes'!$B$8*'Black-Scholes'!$B$7)*IF(LOWER('Black-Scholes'!$B$11)="put",MAX('Black-Scholes'!$B$6-D3480,0),MAX(D3480-'Black-Scholes'!$B$6,0))</f>
        <v>36.4896041411972</v>
      </c>
    </row>
    <row r="3481" customFormat="false" ht="15" hidden="false" customHeight="false" outlineLevel="0" collapsed="false">
      <c r="A3481" s="0" t="n">
        <v>3470</v>
      </c>
      <c r="B3481" s="15" t="n">
        <v>0.905586413572152</v>
      </c>
      <c r="C3481" s="18" t="n">
        <f aca="false">'Black-Scholes'!$B$5*EXP(('Black-Scholes'!$B$8-'Black-Scholes'!$B$10-'Black-Scholes'!$B$9^2/2)*'Black-Scholes'!$B$7+'Black-Scholes'!$B$9*SQRT('Black-Scholes'!$B$7)*B3481)</f>
        <v>123.505719742807</v>
      </c>
      <c r="D3481" s="18" t="n">
        <f aca="false">'Black-Scholes'!$B$5*EXP(('Black-Scholes'!$B$8-'Black-Scholes'!$B$10-'Black-Scholes'!$B$9^2/2)*'Black-Scholes'!$B$7-'Black-Scholes'!$B$9*SQRT('Black-Scholes'!$B$7)*B3481)</f>
        <v>85.9746859300582</v>
      </c>
      <c r="E3481" s="18" t="n">
        <f aca="false">EXP(-'Black-Scholes'!$B$8*'Black-Scholes'!$B$7)*IF(LOWER('Black-Scholes'!$B$11)="put",MAX('Black-Scholes'!$B$6-C3481,0),MAX(C3481-'Black-Scholes'!$B$6,0))</f>
        <v>22.3593322634251</v>
      </c>
      <c r="F3481" s="18" t="n">
        <f aca="false">(E3481+G3481)/2</f>
        <v>11.1796661317125</v>
      </c>
      <c r="G3481" s="18" t="n">
        <f aca="false">EXP(-'Black-Scholes'!$B$8*'Black-Scholes'!$B$7)*IF(LOWER('Black-Scholes'!$B$11)="put",MAX('Black-Scholes'!$B$6-D3481,0),MAX(D3481-'Black-Scholes'!$B$6,0))</f>
        <v>0</v>
      </c>
    </row>
    <row r="3482" customFormat="false" ht="15" hidden="false" customHeight="false" outlineLevel="0" collapsed="false">
      <c r="A3482" s="0" t="n">
        <v>3471</v>
      </c>
      <c r="B3482" s="15" t="n">
        <v>0.205558492836209</v>
      </c>
      <c r="C3482" s="18" t="n">
        <f aca="false">'Black-Scholes'!$B$5*EXP(('Black-Scholes'!$B$8-'Black-Scholes'!$B$10-'Black-Scholes'!$B$9^2/2)*'Black-Scholes'!$B$7+'Black-Scholes'!$B$9*SQRT('Black-Scholes'!$B$7)*B3482)</f>
        <v>107.370115005066</v>
      </c>
      <c r="D3482" s="18" t="n">
        <f aca="false">'Black-Scholes'!$B$5*EXP(('Black-Scholes'!$B$8-'Black-Scholes'!$B$10-'Black-Scholes'!$B$9^2/2)*'Black-Scholes'!$B$7-'Black-Scholes'!$B$9*SQRT('Black-Scholes'!$B$7)*B3482)</f>
        <v>98.8949808329124</v>
      </c>
      <c r="E3482" s="18" t="n">
        <f aca="false">EXP(-'Black-Scholes'!$B$8*'Black-Scholes'!$B$7)*IF(LOWER('Black-Scholes'!$B$11)="put",MAX('Black-Scholes'!$B$6-C3482,0),MAX(C3482-'Black-Scholes'!$B$6,0))</f>
        <v>7.01067025477295</v>
      </c>
      <c r="F3482" s="18" t="n">
        <f aca="false">(E3482+G3482)/2</f>
        <v>3.50533512738648</v>
      </c>
      <c r="G3482" s="18" t="n">
        <f aca="false">EXP(-'Black-Scholes'!$B$8*'Black-Scholes'!$B$7)*IF(LOWER('Black-Scholes'!$B$11)="put",MAX('Black-Scholes'!$B$6-D3482,0),MAX(D3482-'Black-Scholes'!$B$6,0))</f>
        <v>0</v>
      </c>
    </row>
    <row r="3483" customFormat="false" ht="15" hidden="false" customHeight="false" outlineLevel="0" collapsed="false">
      <c r="A3483" s="0" t="n">
        <v>3472</v>
      </c>
      <c r="B3483" s="15" t="n">
        <v>-0.998960856832368</v>
      </c>
      <c r="C3483" s="18" t="n">
        <f aca="false">'Black-Scholes'!$B$5*EXP(('Black-Scholes'!$B$8-'Black-Scholes'!$B$10-'Black-Scholes'!$B$9^2/2)*'Black-Scholes'!$B$7+'Black-Scholes'!$B$9*SQRT('Black-Scholes'!$B$7)*B3483)</f>
        <v>84.3840172523731</v>
      </c>
      <c r="D3483" s="18" t="n">
        <f aca="false">'Black-Scholes'!$B$5*EXP(('Black-Scholes'!$B$8-'Black-Scholes'!$B$10-'Black-Scholes'!$B$9^2/2)*'Black-Scholes'!$B$7-'Black-Scholes'!$B$9*SQRT('Black-Scholes'!$B$7)*B3483)</f>
        <v>125.833846398857</v>
      </c>
      <c r="E3483" s="18" t="n">
        <f aca="false">EXP(-'Black-Scholes'!$B$8*'Black-Scholes'!$B$7)*IF(LOWER('Black-Scholes'!$B$11)="put",MAX('Black-Scholes'!$B$6-C3483,0),MAX(C3483-'Black-Scholes'!$B$6,0))</f>
        <v>0</v>
      </c>
      <c r="F3483" s="18" t="n">
        <f aca="false">(E3483+G3483)/2</f>
        <v>12.2869574213122</v>
      </c>
      <c r="G3483" s="18" t="n">
        <f aca="false">EXP(-'Black-Scholes'!$B$8*'Black-Scholes'!$B$7)*IF(LOWER('Black-Scholes'!$B$11)="put",MAX('Black-Scholes'!$B$6-D3483,0),MAX(D3483-'Black-Scholes'!$B$6,0))</f>
        <v>24.5739148426243</v>
      </c>
    </row>
    <row r="3484" customFormat="false" ht="15" hidden="false" customHeight="false" outlineLevel="0" collapsed="false">
      <c r="A3484" s="0" t="n">
        <v>3473</v>
      </c>
      <c r="B3484" s="15" t="n">
        <v>1.10038505407937</v>
      </c>
      <c r="C3484" s="18" t="n">
        <f aca="false">'Black-Scholes'!$B$5*EXP(('Black-Scholes'!$B$8-'Black-Scholes'!$B$10-'Black-Scholes'!$B$9^2/2)*'Black-Scholes'!$B$7+'Black-Scholes'!$B$9*SQRT('Black-Scholes'!$B$7)*B3484)</f>
        <v>128.412430434034</v>
      </c>
      <c r="D3484" s="18" t="n">
        <f aca="false">'Black-Scholes'!$B$5*EXP(('Black-Scholes'!$B$8-'Black-Scholes'!$B$10-'Black-Scholes'!$B$9^2/2)*'Black-Scholes'!$B$7-'Black-Scholes'!$B$9*SQRT('Black-Scholes'!$B$7)*B3484)</f>
        <v>82.6895451597909</v>
      </c>
      <c r="E3484" s="18" t="n">
        <f aca="false">EXP(-'Black-Scholes'!$B$8*'Black-Scholes'!$B$7)*IF(LOWER('Black-Scholes'!$B$11)="put",MAX('Black-Scholes'!$B$6-C3484,0),MAX(C3484-'Black-Scholes'!$B$6,0))</f>
        <v>27.0267398504331</v>
      </c>
      <c r="F3484" s="18" t="n">
        <f aca="false">(E3484+G3484)/2</f>
        <v>13.5133699252165</v>
      </c>
      <c r="G3484" s="18" t="n">
        <f aca="false">EXP(-'Black-Scholes'!$B$8*'Black-Scholes'!$B$7)*IF(LOWER('Black-Scholes'!$B$11)="put",MAX('Black-Scholes'!$B$6-D3484,0),MAX(D3484-'Black-Scholes'!$B$6,0))</f>
        <v>0</v>
      </c>
    </row>
    <row r="3485" customFormat="false" ht="15" hidden="false" customHeight="false" outlineLevel="0" collapsed="false">
      <c r="A3485" s="0" t="n">
        <v>3474</v>
      </c>
      <c r="B3485" s="15" t="n">
        <v>1.27204037129814</v>
      </c>
      <c r="C3485" s="18" t="n">
        <f aca="false">'Black-Scholes'!$B$5*EXP(('Black-Scholes'!$B$8-'Black-Scholes'!$B$10-'Black-Scholes'!$B$9^2/2)*'Black-Scholes'!$B$7+'Black-Scholes'!$B$9*SQRT('Black-Scholes'!$B$7)*B3485)</f>
        <v>132.897514066091</v>
      </c>
      <c r="D3485" s="18" t="n">
        <f aca="false">'Black-Scholes'!$B$5*EXP(('Black-Scholes'!$B$8-'Black-Scholes'!$B$10-'Black-Scholes'!$B$9^2/2)*'Black-Scholes'!$B$7-'Black-Scholes'!$B$9*SQRT('Black-Scholes'!$B$7)*B3485)</f>
        <v>79.8989020981463</v>
      </c>
      <c r="E3485" s="18" t="n">
        <f aca="false">EXP(-'Black-Scholes'!$B$8*'Black-Scholes'!$B$7)*IF(LOWER('Black-Scholes'!$B$11)="put",MAX('Black-Scholes'!$B$6-C3485,0),MAX(C3485-'Black-Scholes'!$B$6,0))</f>
        <v>31.2930833725915</v>
      </c>
      <c r="F3485" s="18" t="n">
        <f aca="false">(E3485+G3485)/2</f>
        <v>15.6465416862958</v>
      </c>
      <c r="G3485" s="18" t="n">
        <f aca="false">EXP(-'Black-Scholes'!$B$8*'Black-Scholes'!$B$7)*IF(LOWER('Black-Scholes'!$B$11)="put",MAX('Black-Scholes'!$B$6-D3485,0),MAX(D3485-'Black-Scholes'!$B$6,0))</f>
        <v>0</v>
      </c>
    </row>
    <row r="3486" customFormat="false" ht="15" hidden="false" customHeight="false" outlineLevel="0" collapsed="false">
      <c r="A3486" s="0" t="n">
        <v>3475</v>
      </c>
      <c r="B3486" s="15" t="n">
        <v>1.81903463112426</v>
      </c>
      <c r="C3486" s="18" t="n">
        <f aca="false">'Black-Scholes'!$B$5*EXP(('Black-Scholes'!$B$8-'Black-Scholes'!$B$10-'Black-Scholes'!$B$9^2/2)*'Black-Scholes'!$B$7+'Black-Scholes'!$B$9*SQRT('Black-Scholes'!$B$7)*B3486)</f>
        <v>148.261426710527</v>
      </c>
      <c r="D3486" s="18" t="n">
        <f aca="false">'Black-Scholes'!$B$5*EXP(('Black-Scholes'!$B$8-'Black-Scholes'!$B$10-'Black-Scholes'!$B$9^2/2)*'Black-Scholes'!$B$7-'Black-Scholes'!$B$9*SQRT('Black-Scholes'!$B$7)*B3486)</f>
        <v>71.6192046781353</v>
      </c>
      <c r="E3486" s="18" t="n">
        <f aca="false">EXP(-'Black-Scholes'!$B$8*'Black-Scholes'!$B$7)*IF(LOWER('Black-Scholes'!$B$11)="put",MAX('Black-Scholes'!$B$6-C3486,0),MAX(C3486-'Black-Scholes'!$B$6,0))</f>
        <v>45.9076891554382</v>
      </c>
      <c r="F3486" s="18" t="n">
        <f aca="false">(E3486+G3486)/2</f>
        <v>22.9538445777191</v>
      </c>
      <c r="G3486" s="18" t="n">
        <f aca="false">EXP(-'Black-Scholes'!$B$8*'Black-Scholes'!$B$7)*IF(LOWER('Black-Scholes'!$B$11)="put",MAX('Black-Scholes'!$B$6-D3486,0),MAX(D3486-'Black-Scholes'!$B$6,0))</f>
        <v>0</v>
      </c>
    </row>
    <row r="3487" customFormat="false" ht="15" hidden="false" customHeight="false" outlineLevel="0" collapsed="false">
      <c r="A3487" s="0" t="n">
        <v>3476</v>
      </c>
      <c r="B3487" s="15" t="n">
        <v>0.808109525958627</v>
      </c>
      <c r="C3487" s="18" t="n">
        <f aca="false">'Black-Scholes'!$B$5*EXP(('Black-Scholes'!$B$8-'Black-Scholes'!$B$10-'Black-Scholes'!$B$9^2/2)*'Black-Scholes'!$B$7+'Black-Scholes'!$B$9*SQRT('Black-Scholes'!$B$7)*B3487)</f>
        <v>121.121247722978</v>
      </c>
      <c r="D3487" s="18" t="n">
        <f aca="false">'Black-Scholes'!$B$5*EXP(('Black-Scholes'!$B$8-'Black-Scholes'!$B$10-'Black-Scholes'!$B$9^2/2)*'Black-Scholes'!$B$7-'Black-Scholes'!$B$9*SQRT('Black-Scholes'!$B$7)*B3487)</f>
        <v>87.6672397706749</v>
      </c>
      <c r="E3487" s="18" t="n">
        <f aca="false">EXP(-'Black-Scholes'!$B$8*'Black-Scholes'!$B$7)*IF(LOWER('Black-Scholes'!$B$11)="put",MAX('Black-Scholes'!$B$6-C3487,0),MAX(C3487-'Black-Scholes'!$B$6,0))</f>
        <v>20.091152316265</v>
      </c>
      <c r="F3487" s="18" t="n">
        <f aca="false">(E3487+G3487)/2</f>
        <v>10.0455761581325</v>
      </c>
      <c r="G3487" s="18" t="n">
        <f aca="false">EXP(-'Black-Scholes'!$B$8*'Black-Scholes'!$B$7)*IF(LOWER('Black-Scholes'!$B$11)="put",MAX('Black-Scholes'!$B$6-D3487,0),MAX(D3487-'Black-Scholes'!$B$6,0))</f>
        <v>0</v>
      </c>
    </row>
    <row r="3488" customFormat="false" ht="15" hidden="false" customHeight="false" outlineLevel="0" collapsed="false">
      <c r="A3488" s="0" t="n">
        <v>3477</v>
      </c>
      <c r="B3488" s="15" t="n">
        <v>-1.16128294037215</v>
      </c>
      <c r="C3488" s="18" t="n">
        <f aca="false">'Black-Scholes'!$B$5*EXP(('Black-Scholes'!$B$8-'Black-Scholes'!$B$10-'Black-Scholes'!$B$9^2/2)*'Black-Scholes'!$B$7+'Black-Scholes'!$B$9*SQRT('Black-Scholes'!$B$7)*B3488)</f>
        <v>81.6885298023468</v>
      </c>
      <c r="D3488" s="18" t="n">
        <f aca="false">'Black-Scholes'!$B$5*EXP(('Black-Scholes'!$B$8-'Black-Scholes'!$B$10-'Black-Scholes'!$B$9^2/2)*'Black-Scholes'!$B$7-'Black-Scholes'!$B$9*SQRT('Black-Scholes'!$B$7)*B3488)</f>
        <v>129.986002822498</v>
      </c>
      <c r="E3488" s="18" t="n">
        <f aca="false">EXP(-'Black-Scholes'!$B$8*'Black-Scholes'!$B$7)*IF(LOWER('Black-Scholes'!$B$11)="put",MAX('Black-Scholes'!$B$6-C3488,0),MAX(C3488-'Black-Scholes'!$B$6,0))</f>
        <v>0</v>
      </c>
      <c r="F3488" s="18" t="n">
        <f aca="false">(E3488+G3488)/2</f>
        <v>14.261784103961</v>
      </c>
      <c r="G3488" s="18" t="n">
        <f aca="false">EXP(-'Black-Scholes'!$B$8*'Black-Scholes'!$B$7)*IF(LOWER('Black-Scholes'!$B$11)="put",MAX('Black-Scholes'!$B$6-D3488,0),MAX(D3488-'Black-Scholes'!$B$6,0))</f>
        <v>28.523568207922</v>
      </c>
    </row>
    <row r="3489" customFormat="false" ht="15" hidden="false" customHeight="false" outlineLevel="0" collapsed="false">
      <c r="A3489" s="0" t="n">
        <v>3478</v>
      </c>
      <c r="B3489" s="15" t="n">
        <v>0.507906494780936</v>
      </c>
      <c r="C3489" s="18" t="n">
        <f aca="false">'Black-Scholes'!$B$5*EXP(('Black-Scholes'!$B$8-'Black-Scholes'!$B$10-'Black-Scholes'!$B$9^2/2)*'Black-Scholes'!$B$7+'Black-Scholes'!$B$9*SQRT('Black-Scholes'!$B$7)*B3489)</f>
        <v>114.063063603307</v>
      </c>
      <c r="D3489" s="18" t="n">
        <f aca="false">'Black-Scholes'!$B$5*EXP(('Black-Scholes'!$B$8-'Black-Scholes'!$B$10-'Black-Scholes'!$B$9^2/2)*'Black-Scholes'!$B$7-'Black-Scholes'!$B$9*SQRT('Black-Scholes'!$B$7)*B3489)</f>
        <v>93.0920591645915</v>
      </c>
      <c r="E3489" s="18" t="n">
        <f aca="false">EXP(-'Black-Scholes'!$B$8*'Black-Scholes'!$B$7)*IF(LOWER('Black-Scholes'!$B$11)="put",MAX('Black-Scholes'!$B$6-C3489,0),MAX(C3489-'Black-Scholes'!$B$6,0))</f>
        <v>13.3771998980904</v>
      </c>
      <c r="F3489" s="18" t="n">
        <f aca="false">(E3489+G3489)/2</f>
        <v>6.6885999490452</v>
      </c>
      <c r="G3489" s="18" t="n">
        <f aca="false">EXP(-'Black-Scholes'!$B$8*'Black-Scholes'!$B$7)*IF(LOWER('Black-Scholes'!$B$11)="put",MAX('Black-Scholes'!$B$6-D3489,0),MAX(D3489-'Black-Scholes'!$B$6,0))</f>
        <v>0</v>
      </c>
    </row>
    <row r="3490" customFormat="false" ht="15" hidden="false" customHeight="false" outlineLevel="0" collapsed="false">
      <c r="A3490" s="0" t="n">
        <v>3479</v>
      </c>
      <c r="B3490" s="15" t="n">
        <v>-2.03965655017018</v>
      </c>
      <c r="C3490" s="18" t="n">
        <f aca="false">'Black-Scholes'!$B$5*EXP(('Black-Scholes'!$B$8-'Black-Scholes'!$B$10-'Black-Scholes'!$B$9^2/2)*'Black-Scholes'!$B$7+'Black-Scholes'!$B$9*SQRT('Black-Scholes'!$B$7)*B3490)</f>
        <v>68.5277570742241</v>
      </c>
      <c r="D3490" s="18" t="n">
        <f aca="false">'Black-Scholes'!$B$5*EXP(('Black-Scholes'!$B$8-'Black-Scholes'!$B$10-'Black-Scholes'!$B$9^2/2)*'Black-Scholes'!$B$7-'Black-Scholes'!$B$9*SQRT('Black-Scholes'!$B$7)*B3490)</f>
        <v>154.949846876684</v>
      </c>
      <c r="E3490" s="18" t="n">
        <f aca="false">EXP(-'Black-Scholes'!$B$8*'Black-Scholes'!$B$7)*IF(LOWER('Black-Scholes'!$B$11)="put",MAX('Black-Scholes'!$B$6-C3490,0),MAX(C3490-'Black-Scholes'!$B$6,0))</f>
        <v>0</v>
      </c>
      <c r="F3490" s="18" t="n">
        <f aca="false">(E3490+G3490)/2</f>
        <v>26.1349556104551</v>
      </c>
      <c r="G3490" s="18" t="n">
        <f aca="false">EXP(-'Black-Scholes'!$B$8*'Black-Scholes'!$B$7)*IF(LOWER('Black-Scholes'!$B$11)="put",MAX('Black-Scholes'!$B$6-D3490,0),MAX(D3490-'Black-Scholes'!$B$6,0))</f>
        <v>52.2699112209102</v>
      </c>
    </row>
    <row r="3491" customFormat="false" ht="15" hidden="false" customHeight="false" outlineLevel="0" collapsed="false">
      <c r="A3491" s="0" t="n">
        <v>3480</v>
      </c>
      <c r="B3491" s="15" t="n">
        <v>-0.387683259938982</v>
      </c>
      <c r="C3491" s="18" t="n">
        <f aca="false">'Black-Scholes'!$B$5*EXP(('Black-Scholes'!$B$8-'Black-Scholes'!$B$10-'Black-Scholes'!$B$9^2/2)*'Black-Scholes'!$B$7+'Black-Scholes'!$B$9*SQRT('Black-Scholes'!$B$7)*B3491)</f>
        <v>95.357552205372</v>
      </c>
      <c r="D3491" s="18" t="n">
        <f aca="false">'Black-Scholes'!$B$5*EXP(('Black-Scholes'!$B$8-'Black-Scholes'!$B$10-'Black-Scholes'!$B$9^2/2)*'Black-Scholes'!$B$7-'Black-Scholes'!$B$9*SQRT('Black-Scholes'!$B$7)*B3491)</f>
        <v>111.35316731479</v>
      </c>
      <c r="E3491" s="18" t="n">
        <f aca="false">EXP(-'Black-Scholes'!$B$8*'Black-Scholes'!$B$7)*IF(LOWER('Black-Scholes'!$B$11)="put",MAX('Black-Scholes'!$B$6-C3491,0),MAX(C3491-'Black-Scholes'!$B$6,0))</f>
        <v>0</v>
      </c>
      <c r="F3491" s="18" t="n">
        <f aca="false">(E3491+G3491)/2</f>
        <v>5.39973340555395</v>
      </c>
      <c r="G3491" s="18" t="n">
        <f aca="false">EXP(-'Black-Scholes'!$B$8*'Black-Scholes'!$B$7)*IF(LOWER('Black-Scholes'!$B$11)="put",MAX('Black-Scholes'!$B$6-D3491,0),MAX(D3491-'Black-Scholes'!$B$6,0))</f>
        <v>10.7994668111079</v>
      </c>
    </row>
    <row r="3492" customFormat="false" ht="15" hidden="false" customHeight="false" outlineLevel="0" collapsed="false">
      <c r="A3492" s="0" t="n">
        <v>3481</v>
      </c>
      <c r="B3492" s="15" t="n">
        <v>-1.42238093445737</v>
      </c>
      <c r="C3492" s="18" t="n">
        <f aca="false">'Black-Scholes'!$B$5*EXP(('Black-Scholes'!$B$8-'Black-Scholes'!$B$10-'Black-Scholes'!$B$9^2/2)*'Black-Scholes'!$B$7+'Black-Scholes'!$B$9*SQRT('Black-Scholes'!$B$7)*B3492)</f>
        <v>77.5322515710151</v>
      </c>
      <c r="D3492" s="18" t="n">
        <f aca="false">'Black-Scholes'!$B$5*EXP(('Black-Scholes'!$B$8-'Black-Scholes'!$B$10-'Black-Scholes'!$B$9^2/2)*'Black-Scholes'!$B$7-'Black-Scholes'!$B$9*SQRT('Black-Scholes'!$B$7)*B3492)</f>
        <v>136.954173912101</v>
      </c>
      <c r="E3492" s="18" t="n">
        <f aca="false">EXP(-'Black-Scholes'!$B$8*'Black-Scholes'!$B$7)*IF(LOWER('Black-Scholes'!$B$11)="put",MAX('Black-Scholes'!$B$6-C3492,0),MAX(C3492-'Black-Scholes'!$B$6,0))</f>
        <v>0</v>
      </c>
      <c r="F3492" s="18" t="n">
        <f aca="false">(E3492+G3492)/2</f>
        <v>17.5759487916537</v>
      </c>
      <c r="G3492" s="18" t="n">
        <f aca="false">EXP(-'Black-Scholes'!$B$8*'Black-Scholes'!$B$7)*IF(LOWER('Black-Scholes'!$B$11)="put",MAX('Black-Scholes'!$B$6-D3492,0),MAX(D3492-'Black-Scholes'!$B$6,0))</f>
        <v>35.1518975833074</v>
      </c>
    </row>
    <row r="3493" customFormat="false" ht="15" hidden="false" customHeight="false" outlineLevel="0" collapsed="false">
      <c r="A3493" s="0" t="n">
        <v>3482</v>
      </c>
      <c r="B3493" s="15" t="n">
        <v>0.705362830464585</v>
      </c>
      <c r="C3493" s="18" t="n">
        <f aca="false">'Black-Scholes'!$B$5*EXP(('Black-Scholes'!$B$8-'Black-Scholes'!$B$10-'Black-Scholes'!$B$9^2/2)*'Black-Scholes'!$B$7+'Black-Scholes'!$B$9*SQRT('Black-Scholes'!$B$7)*B3493)</f>
        <v>118.657685114366</v>
      </c>
      <c r="D3493" s="18" t="n">
        <f aca="false">'Black-Scholes'!$B$5*EXP(('Black-Scholes'!$B$8-'Black-Scholes'!$B$10-'Black-Scholes'!$B$9^2/2)*'Black-Scholes'!$B$7-'Black-Scholes'!$B$9*SQRT('Black-Scholes'!$B$7)*B3493)</f>
        <v>89.4873809076865</v>
      </c>
      <c r="E3493" s="18" t="n">
        <f aca="false">EXP(-'Black-Scholes'!$B$8*'Black-Scholes'!$B$7)*IF(LOWER('Black-Scholes'!$B$11)="put",MAX('Black-Scholes'!$B$6-C3493,0),MAX(C3493-'Black-Scholes'!$B$6,0))</f>
        <v>17.7477390738539</v>
      </c>
      <c r="F3493" s="18" t="n">
        <f aca="false">(E3493+G3493)/2</f>
        <v>8.87386953692695</v>
      </c>
      <c r="G3493" s="18" t="n">
        <f aca="false">EXP(-'Black-Scholes'!$B$8*'Black-Scholes'!$B$7)*IF(LOWER('Black-Scholes'!$B$11)="put",MAX('Black-Scholes'!$B$6-D3493,0),MAX(D3493-'Black-Scholes'!$B$6,0))</f>
        <v>0</v>
      </c>
    </row>
    <row r="3494" customFormat="false" ht="15" hidden="false" customHeight="false" outlineLevel="0" collapsed="false">
      <c r="A3494" s="0" t="n">
        <v>3483</v>
      </c>
      <c r="B3494" s="15" t="n">
        <v>0.74123730574625</v>
      </c>
      <c r="C3494" s="18" t="n">
        <f aca="false">'Black-Scholes'!$B$5*EXP(('Black-Scholes'!$B$8-'Black-Scholes'!$B$10-'Black-Scholes'!$B$9^2/2)*'Black-Scholes'!$B$7+'Black-Scholes'!$B$9*SQRT('Black-Scholes'!$B$7)*B3494)</f>
        <v>119.512103066874</v>
      </c>
      <c r="D3494" s="18" t="n">
        <f aca="false">'Black-Scholes'!$B$5*EXP(('Black-Scholes'!$B$8-'Black-Scholes'!$B$10-'Black-Scholes'!$B$9^2/2)*'Black-Scholes'!$B$7-'Black-Scholes'!$B$9*SQRT('Black-Scholes'!$B$7)*B3494)</f>
        <v>88.8476162076408</v>
      </c>
      <c r="E3494" s="18" t="n">
        <f aca="false">EXP(-'Black-Scholes'!$B$8*'Black-Scholes'!$B$7)*IF(LOWER('Black-Scholes'!$B$11)="put",MAX('Black-Scholes'!$B$6-C3494,0),MAX(C3494-'Black-Scholes'!$B$6,0))</f>
        <v>18.5604865711008</v>
      </c>
      <c r="F3494" s="18" t="n">
        <f aca="false">(E3494+G3494)/2</f>
        <v>9.28024328555038</v>
      </c>
      <c r="G3494" s="18" t="n">
        <f aca="false">EXP(-'Black-Scholes'!$B$8*'Black-Scholes'!$B$7)*IF(LOWER('Black-Scholes'!$B$11)="put",MAX('Black-Scholes'!$B$6-D3494,0),MAX(D3494-'Black-Scholes'!$B$6,0))</f>
        <v>0</v>
      </c>
    </row>
    <row r="3495" customFormat="false" ht="15" hidden="false" customHeight="false" outlineLevel="0" collapsed="false">
      <c r="A3495" s="0" t="n">
        <v>3484</v>
      </c>
      <c r="B3495" s="15" t="n">
        <v>-1.76260347732507</v>
      </c>
      <c r="C3495" s="18" t="n">
        <f aca="false">'Black-Scholes'!$B$5*EXP(('Black-Scholes'!$B$8-'Black-Scholes'!$B$10-'Black-Scholes'!$B$9^2/2)*'Black-Scholes'!$B$7+'Black-Scholes'!$B$9*SQRT('Black-Scholes'!$B$7)*B3495)</f>
        <v>72.4320941493098</v>
      </c>
      <c r="D3495" s="18" t="n">
        <f aca="false">'Black-Scholes'!$B$5*EXP(('Black-Scholes'!$B$8-'Black-Scholes'!$B$10-'Black-Scholes'!$B$9^2/2)*'Black-Scholes'!$B$7-'Black-Scholes'!$B$9*SQRT('Black-Scholes'!$B$7)*B3495)</f>
        <v>146.597521308236</v>
      </c>
      <c r="E3495" s="18" t="n">
        <f aca="false">EXP(-'Black-Scholes'!$B$8*'Black-Scholes'!$B$7)*IF(LOWER('Black-Scholes'!$B$11)="put",MAX('Black-Scholes'!$B$6-C3495,0),MAX(C3495-'Black-Scholes'!$B$6,0))</f>
        <v>0</v>
      </c>
      <c r="F3495" s="18" t="n">
        <f aca="false">(E3495+G3495)/2</f>
        <v>22.1624666885966</v>
      </c>
      <c r="G3495" s="18" t="n">
        <f aca="false">EXP(-'Black-Scholes'!$B$8*'Black-Scholes'!$B$7)*IF(LOWER('Black-Scholes'!$B$11)="put",MAX('Black-Scholes'!$B$6-D3495,0),MAX(D3495-'Black-Scholes'!$B$6,0))</f>
        <v>44.3249333771931</v>
      </c>
    </row>
    <row r="3496" customFormat="false" ht="15" hidden="false" customHeight="false" outlineLevel="0" collapsed="false">
      <c r="A3496" s="0" t="n">
        <v>3485</v>
      </c>
      <c r="B3496" s="15" t="n">
        <v>0.627475167279258</v>
      </c>
      <c r="C3496" s="18" t="n">
        <f aca="false">'Black-Scholes'!$B$5*EXP(('Black-Scholes'!$B$8-'Black-Scholes'!$B$10-'Black-Scholes'!$B$9^2/2)*'Black-Scholes'!$B$7+'Black-Scholes'!$B$9*SQRT('Black-Scholes'!$B$7)*B3496)</f>
        <v>116.823613395651</v>
      </c>
      <c r="D3496" s="18" t="n">
        <f aca="false">'Black-Scholes'!$B$5*EXP(('Black-Scholes'!$B$8-'Black-Scholes'!$B$10-'Black-Scholes'!$B$9^2/2)*'Black-Scholes'!$B$7-'Black-Scholes'!$B$9*SQRT('Black-Scholes'!$B$7)*B3496)</f>
        <v>90.8922875848052</v>
      </c>
      <c r="E3496" s="18" t="n">
        <f aca="false">EXP(-'Black-Scholes'!$B$8*'Black-Scholes'!$B$7)*IF(LOWER('Black-Scholes'!$B$11)="put",MAX('Black-Scholes'!$B$6-C3496,0),MAX(C3496-'Black-Scholes'!$B$6,0))</f>
        <v>16.0031160883675</v>
      </c>
      <c r="F3496" s="18" t="n">
        <f aca="false">(E3496+G3496)/2</f>
        <v>8.00155804418374</v>
      </c>
      <c r="G3496" s="18" t="n">
        <f aca="false">EXP(-'Black-Scholes'!$B$8*'Black-Scholes'!$B$7)*IF(LOWER('Black-Scholes'!$B$11)="put",MAX('Black-Scholes'!$B$6-D3496,0),MAX(D3496-'Black-Scholes'!$B$6,0))</f>
        <v>0</v>
      </c>
    </row>
    <row r="3497" customFormat="false" ht="15" hidden="false" customHeight="false" outlineLevel="0" collapsed="false">
      <c r="A3497" s="0" t="n">
        <v>3486</v>
      </c>
      <c r="B3497" s="15" t="n">
        <v>0.417275864160919</v>
      </c>
      <c r="C3497" s="18" t="n">
        <f aca="false">'Black-Scholes'!$B$5*EXP(('Black-Scholes'!$B$8-'Black-Scholes'!$B$10-'Black-Scholes'!$B$9^2/2)*'Black-Scholes'!$B$7+'Black-Scholes'!$B$9*SQRT('Black-Scholes'!$B$7)*B3497)</f>
        <v>112.014167498807</v>
      </c>
      <c r="D3497" s="18" t="n">
        <f aca="false">'Black-Scholes'!$B$5*EXP(('Black-Scholes'!$B$8-'Black-Scholes'!$B$10-'Black-Scholes'!$B$9^2/2)*'Black-Scholes'!$B$7-'Black-Scholes'!$B$9*SQRT('Black-Scholes'!$B$7)*B3497)</f>
        <v>94.7948433894905</v>
      </c>
      <c r="E3497" s="18" t="n">
        <f aca="false">EXP(-'Black-Scholes'!$B$8*'Black-Scholes'!$B$7)*IF(LOWER('Black-Scholes'!$B$11)="put",MAX('Black-Scholes'!$B$6-C3497,0),MAX(C3497-'Black-Scholes'!$B$6,0))</f>
        <v>11.4282296357456</v>
      </c>
      <c r="F3497" s="18" t="n">
        <f aca="false">(E3497+G3497)/2</f>
        <v>5.71411481787282</v>
      </c>
      <c r="G3497" s="18" t="n">
        <f aca="false">EXP(-'Black-Scholes'!$B$8*'Black-Scholes'!$B$7)*IF(LOWER('Black-Scholes'!$B$11)="put",MAX('Black-Scholes'!$B$6-D3497,0),MAX(D3497-'Black-Scholes'!$B$6,0))</f>
        <v>0</v>
      </c>
    </row>
    <row r="3498" customFormat="false" ht="15" hidden="false" customHeight="false" outlineLevel="0" collapsed="false">
      <c r="A3498" s="0" t="n">
        <v>3487</v>
      </c>
      <c r="B3498" s="15" t="n">
        <v>0.764405176098948</v>
      </c>
      <c r="C3498" s="18" t="n">
        <f aca="false">'Black-Scholes'!$B$5*EXP(('Black-Scholes'!$B$8-'Black-Scholes'!$B$10-'Black-Scholes'!$B$9^2/2)*'Black-Scholes'!$B$7+'Black-Scholes'!$B$9*SQRT('Black-Scholes'!$B$7)*B3498)</f>
        <v>120.06715619557</v>
      </c>
      <c r="D3498" s="18" t="n">
        <f aca="false">'Black-Scholes'!$B$5*EXP(('Black-Scholes'!$B$8-'Black-Scholes'!$B$10-'Black-Scholes'!$B$9^2/2)*'Black-Scholes'!$B$7-'Black-Scholes'!$B$9*SQRT('Black-Scholes'!$B$7)*B3498)</f>
        <v>88.4368865050657</v>
      </c>
      <c r="E3498" s="18" t="n">
        <f aca="false">EXP(-'Black-Scholes'!$B$8*'Black-Scholes'!$B$7)*IF(LOWER('Black-Scholes'!$B$11)="put",MAX('Black-Scholes'!$B$6-C3498,0),MAX(C3498-'Black-Scholes'!$B$6,0))</f>
        <v>19.0884694392778</v>
      </c>
      <c r="F3498" s="18" t="n">
        <f aca="false">(E3498+G3498)/2</f>
        <v>9.54423471963888</v>
      </c>
      <c r="G3498" s="18" t="n">
        <f aca="false">EXP(-'Black-Scholes'!$B$8*'Black-Scholes'!$B$7)*IF(LOWER('Black-Scholes'!$B$11)="put",MAX('Black-Scholes'!$B$6-D3498,0),MAX(D3498-'Black-Scholes'!$B$6,0))</f>
        <v>0</v>
      </c>
    </row>
    <row r="3499" customFormat="false" ht="15" hidden="false" customHeight="false" outlineLevel="0" collapsed="false">
      <c r="A3499" s="0" t="n">
        <v>3488</v>
      </c>
      <c r="B3499" s="15" t="n">
        <v>-1.73966401159485</v>
      </c>
      <c r="C3499" s="18" t="n">
        <f aca="false">'Black-Scholes'!$B$5*EXP(('Black-Scholes'!$B$8-'Black-Scholes'!$B$10-'Black-Scholes'!$B$9^2/2)*'Black-Scholes'!$B$7+'Black-Scholes'!$B$9*SQRT('Black-Scholes'!$B$7)*B3499)</f>
        <v>72.7651683277481</v>
      </c>
      <c r="D3499" s="18" t="n">
        <f aca="false">'Black-Scholes'!$B$5*EXP(('Black-Scholes'!$B$8-'Black-Scholes'!$B$10-'Black-Scholes'!$B$9^2/2)*'Black-Scholes'!$B$7-'Black-Scholes'!$B$9*SQRT('Black-Scholes'!$B$7)*B3499)</f>
        <v>145.926488036508</v>
      </c>
      <c r="E3499" s="18" t="n">
        <f aca="false">EXP(-'Black-Scholes'!$B$8*'Black-Scholes'!$B$7)*IF(LOWER('Black-Scholes'!$B$11)="put",MAX('Black-Scholes'!$B$6-C3499,0),MAX(C3499-'Black-Scholes'!$B$6,0))</f>
        <v>0</v>
      </c>
      <c r="F3499" s="18" t="n">
        <f aca="false">(E3499+G3499)/2</f>
        <v>21.843313392153</v>
      </c>
      <c r="G3499" s="18" t="n">
        <f aca="false">EXP(-'Black-Scholes'!$B$8*'Black-Scholes'!$B$7)*IF(LOWER('Black-Scholes'!$B$11)="put",MAX('Black-Scholes'!$B$6-D3499,0),MAX(D3499-'Black-Scholes'!$B$6,0))</f>
        <v>43.6866267843061</v>
      </c>
    </row>
    <row r="3500" customFormat="false" ht="15" hidden="false" customHeight="false" outlineLevel="0" collapsed="false">
      <c r="A3500" s="0" t="n">
        <v>3489</v>
      </c>
      <c r="B3500" s="15" t="n">
        <v>-0.279254155597274</v>
      </c>
      <c r="C3500" s="18" t="n">
        <f aca="false">'Black-Scholes'!$B$5*EXP(('Black-Scholes'!$B$8-'Black-Scholes'!$B$10-'Black-Scholes'!$B$9^2/2)*'Black-Scholes'!$B$7+'Black-Scholes'!$B$9*SQRT('Black-Scholes'!$B$7)*B3500)</f>
        <v>97.4480440924019</v>
      </c>
      <c r="D3500" s="18" t="n">
        <f aca="false">'Black-Scholes'!$B$5*EXP(('Black-Scholes'!$B$8-'Black-Scholes'!$B$10-'Black-Scholes'!$B$9^2/2)*'Black-Scholes'!$B$7-'Black-Scholes'!$B$9*SQRT('Black-Scholes'!$B$7)*B3500)</f>
        <v>108.964377523936</v>
      </c>
      <c r="E3500" s="18" t="n">
        <f aca="false">EXP(-'Black-Scholes'!$B$8*'Black-Scholes'!$B$7)*IF(LOWER('Black-Scholes'!$B$11)="put",MAX('Black-Scholes'!$B$6-C3500,0),MAX(C3500-'Black-Scholes'!$B$6,0))</f>
        <v>0</v>
      </c>
      <c r="F3500" s="18" t="n">
        <f aca="false">(E3500+G3500)/2</f>
        <v>4.26358983655016</v>
      </c>
      <c r="G3500" s="18" t="n">
        <f aca="false">EXP(-'Black-Scholes'!$B$8*'Black-Scholes'!$B$7)*IF(LOWER('Black-Scholes'!$B$11)="put",MAX('Black-Scholes'!$B$6-D3500,0),MAX(D3500-'Black-Scholes'!$B$6,0))</f>
        <v>8.52717967310031</v>
      </c>
    </row>
    <row r="3501" customFormat="false" ht="15" hidden="false" customHeight="false" outlineLevel="0" collapsed="false">
      <c r="A3501" s="0" t="n">
        <v>3490</v>
      </c>
      <c r="B3501" s="15" t="n">
        <v>-0.102183765287855</v>
      </c>
      <c r="C3501" s="18" t="n">
        <f aca="false">'Black-Scholes'!$B$5*EXP(('Black-Scholes'!$B$8-'Black-Scholes'!$B$10-'Black-Scholes'!$B$9^2/2)*'Black-Scholes'!$B$7+'Black-Scholes'!$B$9*SQRT('Black-Scholes'!$B$7)*B3501)</f>
        <v>100.960912090654</v>
      </c>
      <c r="D3501" s="18" t="n">
        <f aca="false">'Black-Scholes'!$B$5*EXP(('Black-Scholes'!$B$8-'Black-Scholes'!$B$10-'Black-Scholes'!$B$9^2/2)*'Black-Scholes'!$B$7-'Black-Scholes'!$B$9*SQRT('Black-Scholes'!$B$7)*B3501)</f>
        <v>105.173034252298</v>
      </c>
      <c r="E3501" s="18" t="n">
        <f aca="false">EXP(-'Black-Scholes'!$B$8*'Black-Scholes'!$B$7)*IF(LOWER('Black-Scholes'!$B$11)="put",MAX('Black-Scholes'!$B$6-C3501,0),MAX(C3501-'Black-Scholes'!$B$6,0))</f>
        <v>0.914047854988399</v>
      </c>
      <c r="F3501" s="18" t="n">
        <f aca="false">(E3501+G3501)/2</f>
        <v>2.91739512486223</v>
      </c>
      <c r="G3501" s="18" t="n">
        <f aca="false">EXP(-'Black-Scholes'!$B$8*'Black-Scholes'!$B$7)*IF(LOWER('Black-Scholes'!$B$11)="put",MAX('Black-Scholes'!$B$6-D3501,0),MAX(D3501-'Black-Scholes'!$B$6,0))</f>
        <v>4.92074239473605</v>
      </c>
    </row>
    <row r="3502" customFormat="false" ht="15" hidden="false" customHeight="false" outlineLevel="0" collapsed="false">
      <c r="A3502" s="0" t="n">
        <v>3491</v>
      </c>
      <c r="B3502" s="15" t="n">
        <v>-2.73878003836068</v>
      </c>
      <c r="C3502" s="18" t="n">
        <f aca="false">'Black-Scholes'!$B$5*EXP(('Black-Scholes'!$B$8-'Black-Scholes'!$B$10-'Black-Scholes'!$B$9^2/2)*'Black-Scholes'!$B$7+'Black-Scholes'!$B$9*SQRT('Black-Scholes'!$B$7)*B3502)</f>
        <v>59.5856145493445</v>
      </c>
      <c r="D3502" s="18" t="n">
        <f aca="false">'Black-Scholes'!$B$5*EXP(('Black-Scholes'!$B$8-'Black-Scholes'!$B$10-'Black-Scholes'!$B$9^2/2)*'Black-Scholes'!$B$7-'Black-Scholes'!$B$9*SQRT('Black-Scholes'!$B$7)*B3502)</f>
        <v>178.203506765215</v>
      </c>
      <c r="E3502" s="18" t="n">
        <f aca="false">EXP(-'Black-Scholes'!$B$8*'Black-Scholes'!$B$7)*IF(LOWER('Black-Scholes'!$B$11)="put",MAX('Black-Scholes'!$B$6-C3502,0),MAX(C3502-'Black-Scholes'!$B$6,0))</f>
        <v>0</v>
      </c>
      <c r="F3502" s="18" t="n">
        <f aca="false">(E3502+G3502)/2</f>
        <v>37.1947383671065</v>
      </c>
      <c r="G3502" s="18" t="n">
        <f aca="false">EXP(-'Black-Scholes'!$B$8*'Black-Scholes'!$B$7)*IF(LOWER('Black-Scholes'!$B$11)="put",MAX('Black-Scholes'!$B$6-D3502,0),MAX(D3502-'Black-Scholes'!$B$6,0))</f>
        <v>74.389476734213</v>
      </c>
    </row>
    <row r="3503" customFormat="false" ht="15" hidden="false" customHeight="false" outlineLevel="0" collapsed="false">
      <c r="A3503" s="0" t="n">
        <v>3492</v>
      </c>
      <c r="B3503" s="15" t="n">
        <v>-0.452900760130776</v>
      </c>
      <c r="C3503" s="18" t="n">
        <f aca="false">'Black-Scholes'!$B$5*EXP(('Black-Scholes'!$B$8-'Black-Scholes'!$B$10-'Black-Scholes'!$B$9^2/2)*'Black-Scholes'!$B$7+'Black-Scholes'!$B$9*SQRT('Black-Scholes'!$B$7)*B3503)</f>
        <v>94.121832543913</v>
      </c>
      <c r="D3503" s="18" t="n">
        <f aca="false">'Black-Scholes'!$B$5*EXP(('Black-Scholes'!$B$8-'Black-Scholes'!$B$10-'Black-Scholes'!$B$9^2/2)*'Black-Scholes'!$B$7-'Black-Scholes'!$B$9*SQRT('Black-Scholes'!$B$7)*B3503)</f>
        <v>112.81511609434</v>
      </c>
      <c r="E3503" s="18" t="n">
        <f aca="false">EXP(-'Black-Scholes'!$B$8*'Black-Scholes'!$B$7)*IF(LOWER('Black-Scholes'!$B$11)="put",MAX('Black-Scholes'!$B$6-C3503,0),MAX(C3503-'Black-Scholes'!$B$6,0))</f>
        <v>0</v>
      </c>
      <c r="F3503" s="18" t="n">
        <f aca="false">(E3503+G3503)/2</f>
        <v>6.09505775366456</v>
      </c>
      <c r="G3503" s="18" t="n">
        <f aca="false">EXP(-'Black-Scholes'!$B$8*'Black-Scholes'!$B$7)*IF(LOWER('Black-Scholes'!$B$11)="put",MAX('Black-Scholes'!$B$6-D3503,0),MAX(D3503-'Black-Scholes'!$B$6,0))</f>
        <v>12.1901155073291</v>
      </c>
    </row>
    <row r="3504" customFormat="false" ht="15" hidden="false" customHeight="false" outlineLevel="0" collapsed="false">
      <c r="A3504" s="0" t="n">
        <v>3493</v>
      </c>
      <c r="B3504" s="15" t="n">
        <v>0.240513028393043</v>
      </c>
      <c r="C3504" s="18" t="n">
        <f aca="false">'Black-Scholes'!$B$5*EXP(('Black-Scholes'!$B$8-'Black-Scholes'!$B$10-'Black-Scholes'!$B$9^2/2)*'Black-Scholes'!$B$7+'Black-Scholes'!$B$9*SQRT('Black-Scholes'!$B$7)*B3504)</f>
        <v>108.123359368532</v>
      </c>
      <c r="D3504" s="18" t="n">
        <f aca="false">'Black-Scholes'!$B$5*EXP(('Black-Scholes'!$B$8-'Black-Scholes'!$B$10-'Black-Scholes'!$B$9^2/2)*'Black-Scholes'!$B$7-'Black-Scholes'!$B$9*SQRT('Black-Scholes'!$B$7)*B3504)</f>
        <v>98.2060262228955</v>
      </c>
      <c r="E3504" s="18" t="n">
        <f aca="false">EXP(-'Black-Scholes'!$B$8*'Black-Scholes'!$B$7)*IF(LOWER('Black-Scholes'!$B$11)="put",MAX('Black-Scholes'!$B$6-C3504,0),MAX(C3504-'Black-Scholes'!$B$6,0))</f>
        <v>7.72717845714109</v>
      </c>
      <c r="F3504" s="18" t="n">
        <f aca="false">(E3504+G3504)/2</f>
        <v>3.86358922857055</v>
      </c>
      <c r="G3504" s="18" t="n">
        <f aca="false">EXP(-'Black-Scholes'!$B$8*'Black-Scholes'!$B$7)*IF(LOWER('Black-Scholes'!$B$11)="put",MAX('Black-Scholes'!$B$6-D3504,0),MAX(D3504-'Black-Scholes'!$B$6,0))</f>
        <v>0</v>
      </c>
    </row>
    <row r="3505" customFormat="false" ht="15" hidden="false" customHeight="false" outlineLevel="0" collapsed="false">
      <c r="A3505" s="0" t="n">
        <v>3494</v>
      </c>
      <c r="B3505" s="15" t="n">
        <v>1.57941938369272</v>
      </c>
      <c r="C3505" s="18" t="n">
        <f aca="false">'Black-Scholes'!$B$5*EXP(('Black-Scholes'!$B$8-'Black-Scholes'!$B$10-'Black-Scholes'!$B$9^2/2)*'Black-Scholes'!$B$7+'Black-Scholes'!$B$9*SQRT('Black-Scholes'!$B$7)*B3505)</f>
        <v>141.32384964254</v>
      </c>
      <c r="D3505" s="18" t="n">
        <f aca="false">'Black-Scholes'!$B$5*EXP(('Black-Scholes'!$B$8-'Black-Scholes'!$B$10-'Black-Scholes'!$B$9^2/2)*'Black-Scholes'!$B$7-'Black-Scholes'!$B$9*SQRT('Black-Scholes'!$B$7)*B3505)</f>
        <v>75.1349860077498</v>
      </c>
      <c r="E3505" s="18" t="n">
        <f aca="false">EXP(-'Black-Scholes'!$B$8*'Black-Scholes'!$B$7)*IF(LOWER('Black-Scholes'!$B$11)="put",MAX('Black-Scholes'!$B$6-C3505,0),MAX(C3505-'Black-Scholes'!$B$6,0))</f>
        <v>39.3084617136275</v>
      </c>
      <c r="F3505" s="18" t="n">
        <f aca="false">(E3505+G3505)/2</f>
        <v>19.6542308568138</v>
      </c>
      <c r="G3505" s="18" t="n">
        <f aca="false">EXP(-'Black-Scholes'!$B$8*'Black-Scholes'!$B$7)*IF(LOWER('Black-Scholes'!$B$11)="put",MAX('Black-Scholes'!$B$6-D3505,0),MAX(D3505-'Black-Scholes'!$B$6,0))</f>
        <v>0</v>
      </c>
    </row>
    <row r="3506" customFormat="false" ht="15" hidden="false" customHeight="false" outlineLevel="0" collapsed="false">
      <c r="A3506" s="0" t="n">
        <v>3495</v>
      </c>
      <c r="B3506" s="15" t="n">
        <v>-1.62295437996297</v>
      </c>
      <c r="C3506" s="18" t="n">
        <f aca="false">'Black-Scholes'!$B$5*EXP(('Black-Scholes'!$B$8-'Black-Scholes'!$B$10-'Black-Scholes'!$B$9^2/2)*'Black-Scholes'!$B$7+'Black-Scholes'!$B$9*SQRT('Black-Scholes'!$B$7)*B3506)</f>
        <v>74.4836255531875</v>
      </c>
      <c r="D3506" s="18" t="n">
        <f aca="false">'Black-Scholes'!$B$5*EXP(('Black-Scholes'!$B$8-'Black-Scholes'!$B$10-'Black-Scholes'!$B$9^2/2)*'Black-Scholes'!$B$7-'Black-Scholes'!$B$9*SQRT('Black-Scholes'!$B$7)*B3506)</f>
        <v>142.559728887945</v>
      </c>
      <c r="E3506" s="18" t="n">
        <f aca="false">EXP(-'Black-Scholes'!$B$8*'Black-Scholes'!$B$7)*IF(LOWER('Black-Scholes'!$B$11)="put",MAX('Black-Scholes'!$B$6-C3506,0),MAX(C3506-'Black-Scholes'!$B$6,0))</f>
        <v>0</v>
      </c>
      <c r="F3506" s="18" t="n">
        <f aca="false">(E3506+G3506)/2</f>
        <v>20.242033208493</v>
      </c>
      <c r="G3506" s="18" t="n">
        <f aca="false">EXP(-'Black-Scholes'!$B$8*'Black-Scholes'!$B$7)*IF(LOWER('Black-Scholes'!$B$11)="put",MAX('Black-Scholes'!$B$6-D3506,0),MAX(D3506-'Black-Scholes'!$B$6,0))</f>
        <v>40.4840664169861</v>
      </c>
    </row>
    <row r="3507" customFormat="false" ht="15" hidden="false" customHeight="false" outlineLevel="0" collapsed="false">
      <c r="A3507" s="0" t="n">
        <v>3496</v>
      </c>
      <c r="B3507" s="15" t="n">
        <v>-0.366794361238944</v>
      </c>
      <c r="C3507" s="18" t="n">
        <f aca="false">'Black-Scholes'!$B$5*EXP(('Black-Scholes'!$B$8-'Black-Scholes'!$B$10-'Black-Scholes'!$B$9^2/2)*'Black-Scholes'!$B$7+'Black-Scholes'!$B$9*SQRT('Black-Scholes'!$B$7)*B3507)</f>
        <v>95.7567683930281</v>
      </c>
      <c r="D3507" s="18" t="n">
        <f aca="false">'Black-Scholes'!$B$5*EXP(('Black-Scholes'!$B$8-'Black-Scholes'!$B$10-'Black-Scholes'!$B$9^2/2)*'Black-Scholes'!$B$7-'Black-Scholes'!$B$9*SQRT('Black-Scholes'!$B$7)*B3507)</f>
        <v>110.888928726909</v>
      </c>
      <c r="E3507" s="18" t="n">
        <f aca="false">EXP(-'Black-Scholes'!$B$8*'Black-Scholes'!$B$7)*IF(LOWER('Black-Scholes'!$B$11)="put",MAX('Black-Scholes'!$B$6-C3507,0),MAX(C3507-'Black-Scholes'!$B$6,0))</f>
        <v>0</v>
      </c>
      <c r="F3507" s="18" t="n">
        <f aca="false">(E3507+G3507)/2</f>
        <v>5.17893470316335</v>
      </c>
      <c r="G3507" s="18" t="n">
        <f aca="false">EXP(-'Black-Scholes'!$B$8*'Black-Scholes'!$B$7)*IF(LOWER('Black-Scholes'!$B$11)="put",MAX('Black-Scholes'!$B$6-D3507,0),MAX(D3507-'Black-Scholes'!$B$6,0))</f>
        <v>10.3578694063267</v>
      </c>
    </row>
    <row r="3508" customFormat="false" ht="15" hidden="false" customHeight="false" outlineLevel="0" collapsed="false">
      <c r="A3508" s="0" t="n">
        <v>3497</v>
      </c>
      <c r="B3508" s="15" t="n">
        <v>1.41333639735944</v>
      </c>
      <c r="C3508" s="18" t="n">
        <f aca="false">'Black-Scholes'!$B$5*EXP(('Black-Scholes'!$B$8-'Black-Scholes'!$B$10-'Black-Scholes'!$B$9^2/2)*'Black-Scholes'!$B$7+'Black-Scholes'!$B$9*SQRT('Black-Scholes'!$B$7)*B3508)</f>
        <v>136.706660422754</v>
      </c>
      <c r="D3508" s="18" t="n">
        <f aca="false">'Black-Scholes'!$B$5*EXP(('Black-Scholes'!$B$8-'Black-Scholes'!$B$10-'Black-Scholes'!$B$9^2/2)*'Black-Scholes'!$B$7-'Black-Scholes'!$B$9*SQRT('Black-Scholes'!$B$7)*B3508)</f>
        <v>77.672627161085</v>
      </c>
      <c r="E3508" s="18" t="n">
        <f aca="false">EXP(-'Black-Scholes'!$B$8*'Black-Scholes'!$B$7)*IF(LOWER('Black-Scholes'!$B$11)="put",MAX('Black-Scholes'!$B$6-C3508,0),MAX(C3508-'Black-Scholes'!$B$6,0))</f>
        <v>34.9164554692791</v>
      </c>
      <c r="F3508" s="18" t="n">
        <f aca="false">(E3508+G3508)/2</f>
        <v>17.4582277346396</v>
      </c>
      <c r="G3508" s="18" t="n">
        <f aca="false">EXP(-'Black-Scholes'!$B$8*'Black-Scholes'!$B$7)*IF(LOWER('Black-Scholes'!$B$11)="put",MAX('Black-Scholes'!$B$6-D3508,0),MAX(D3508-'Black-Scholes'!$B$6,0))</f>
        <v>0</v>
      </c>
    </row>
    <row r="3509" customFormat="false" ht="15" hidden="false" customHeight="false" outlineLevel="0" collapsed="false">
      <c r="A3509" s="0" t="n">
        <v>3498</v>
      </c>
      <c r="B3509" s="15" t="n">
        <v>-0.784287539108486</v>
      </c>
      <c r="C3509" s="18" t="n">
        <f aca="false">'Black-Scholes'!$B$5*EXP(('Black-Scholes'!$B$8-'Black-Scholes'!$B$10-'Black-Scholes'!$B$9^2/2)*'Black-Scholes'!$B$7+'Black-Scholes'!$B$9*SQRT('Black-Scholes'!$B$7)*B3509)</f>
        <v>88.0859179198312</v>
      </c>
      <c r="D3509" s="18" t="n">
        <f aca="false">'Black-Scholes'!$B$5*EXP(('Black-Scholes'!$B$8-'Black-Scholes'!$B$10-'Black-Scholes'!$B$9^2/2)*'Black-Scholes'!$B$7-'Black-Scholes'!$B$9*SQRT('Black-Scholes'!$B$7)*B3509)</f>
        <v>120.545550483082</v>
      </c>
      <c r="E3509" s="18" t="n">
        <f aca="false">EXP(-'Black-Scholes'!$B$8*'Black-Scholes'!$B$7)*IF(LOWER('Black-Scholes'!$B$11)="put",MAX('Black-Scholes'!$B$6-C3509,0),MAX(C3509-'Black-Scholes'!$B$6,0))</f>
        <v>0</v>
      </c>
      <c r="F3509" s="18" t="n">
        <f aca="false">(E3509+G3509)/2</f>
        <v>9.77176608103605</v>
      </c>
      <c r="G3509" s="18" t="n">
        <f aca="false">EXP(-'Black-Scholes'!$B$8*'Black-Scholes'!$B$7)*IF(LOWER('Black-Scholes'!$B$11)="put",MAX('Black-Scholes'!$B$6-D3509,0),MAX(D3509-'Black-Scholes'!$B$6,0))</f>
        <v>19.5435321620721</v>
      </c>
    </row>
    <row r="3510" customFormat="false" ht="15" hidden="false" customHeight="false" outlineLevel="0" collapsed="false">
      <c r="A3510" s="0" t="n">
        <v>3499</v>
      </c>
      <c r="B3510" s="15" t="n">
        <v>0.118274895610802</v>
      </c>
      <c r="C3510" s="18" t="n">
        <f aca="false">'Black-Scholes'!$B$5*EXP(('Black-Scholes'!$B$8-'Black-Scholes'!$B$10-'Black-Scholes'!$B$9^2/2)*'Black-Scholes'!$B$7+'Black-Scholes'!$B$9*SQRT('Black-Scholes'!$B$7)*B3510)</f>
        <v>105.5120500746</v>
      </c>
      <c r="D3510" s="18" t="n">
        <f aca="false">'Black-Scholes'!$B$5*EXP(('Black-Scholes'!$B$8-'Black-Scholes'!$B$10-'Black-Scholes'!$B$9^2/2)*'Black-Scholes'!$B$7-'Black-Scholes'!$B$9*SQRT('Black-Scholes'!$B$7)*B3510)</f>
        <v>100.636519316477</v>
      </c>
      <c r="E3510" s="18" t="n">
        <f aca="false">EXP(-'Black-Scholes'!$B$8*'Black-Scholes'!$B$7)*IF(LOWER('Black-Scholes'!$B$11)="put",MAX('Black-Scholes'!$B$6-C3510,0),MAX(C3510-'Black-Scholes'!$B$6,0))</f>
        <v>5.24322422028127</v>
      </c>
      <c r="F3510" s="18" t="n">
        <f aca="false">(E3510+G3510)/2</f>
        <v>2.92435006168857</v>
      </c>
      <c r="G3510" s="18" t="n">
        <f aca="false">EXP(-'Black-Scholes'!$B$8*'Black-Scholes'!$B$7)*IF(LOWER('Black-Scholes'!$B$11)="put",MAX('Black-Scholes'!$B$6-D3510,0),MAX(D3510-'Black-Scholes'!$B$6,0))</f>
        <v>0.605475903095875</v>
      </c>
    </row>
    <row r="3511" customFormat="false" ht="15" hidden="false" customHeight="false" outlineLevel="0" collapsed="false">
      <c r="A3511" s="0" t="n">
        <v>3500</v>
      </c>
      <c r="B3511" s="15" t="n">
        <v>1.48878487377361</v>
      </c>
      <c r="C3511" s="18" t="n">
        <f aca="false">'Black-Scholes'!$B$5*EXP(('Black-Scholes'!$B$8-'Black-Scholes'!$B$10-'Black-Scholes'!$B$9^2/2)*'Black-Scholes'!$B$7+'Black-Scholes'!$B$9*SQRT('Black-Scholes'!$B$7)*B3511)</f>
        <v>138.785164831471</v>
      </c>
      <c r="D3511" s="18" t="n">
        <f aca="false">'Black-Scholes'!$B$5*EXP(('Black-Scholes'!$B$8-'Black-Scholes'!$B$10-'Black-Scholes'!$B$9^2/2)*'Black-Scholes'!$B$7-'Black-Scholes'!$B$9*SQRT('Black-Scholes'!$B$7)*B3511)</f>
        <v>76.5093695594024</v>
      </c>
      <c r="E3511" s="18" t="n">
        <f aca="false">EXP(-'Black-Scholes'!$B$8*'Black-Scholes'!$B$7)*IF(LOWER('Black-Scholes'!$B$11)="put",MAX('Black-Scholes'!$B$6-C3511,0),MAX(C3511-'Black-Scholes'!$B$6,0))</f>
        <v>36.8935900218056</v>
      </c>
      <c r="F3511" s="18" t="n">
        <f aca="false">(E3511+G3511)/2</f>
        <v>18.4467950109028</v>
      </c>
      <c r="G3511" s="18" t="n">
        <f aca="false">EXP(-'Black-Scholes'!$B$8*'Black-Scholes'!$B$7)*IF(LOWER('Black-Scholes'!$B$11)="put",MAX('Black-Scholes'!$B$6-D3511,0),MAX(D3511-'Black-Scholes'!$B$6,0))</f>
        <v>0</v>
      </c>
    </row>
    <row r="3512" customFormat="false" ht="15" hidden="false" customHeight="false" outlineLevel="0" collapsed="false">
      <c r="A3512" s="0" t="n">
        <v>3501</v>
      </c>
      <c r="B3512" s="15" t="n">
        <v>-1.77167397491677</v>
      </c>
      <c r="C3512" s="18" t="n">
        <f aca="false">'Black-Scholes'!$B$5*EXP(('Black-Scholes'!$B$8-'Black-Scholes'!$B$10-'Black-Scholes'!$B$9^2/2)*'Black-Scholes'!$B$7+'Black-Scholes'!$B$9*SQRT('Black-Scholes'!$B$7)*B3512)</f>
        <v>72.3008142356182</v>
      </c>
      <c r="D3512" s="18" t="n">
        <f aca="false">'Black-Scholes'!$B$5*EXP(('Black-Scholes'!$B$8-'Black-Scholes'!$B$10-'Black-Scholes'!$B$9^2/2)*'Black-Scholes'!$B$7-'Black-Scholes'!$B$9*SQRT('Black-Scholes'!$B$7)*B3512)</f>
        <v>146.863705170039</v>
      </c>
      <c r="E3512" s="18" t="n">
        <f aca="false">EXP(-'Black-Scholes'!$B$8*'Black-Scholes'!$B$7)*IF(LOWER('Black-Scholes'!$B$11)="put",MAX('Black-Scholes'!$B$6-C3512,0),MAX(C3512-'Black-Scholes'!$B$6,0))</f>
        <v>0</v>
      </c>
      <c r="F3512" s="18" t="n">
        <f aca="false">(E3512+G3512)/2</f>
        <v>22.2890676494338</v>
      </c>
      <c r="G3512" s="18" t="n">
        <f aca="false">EXP(-'Black-Scholes'!$B$8*'Black-Scholes'!$B$7)*IF(LOWER('Black-Scholes'!$B$11)="put",MAX('Black-Scholes'!$B$6-D3512,0),MAX(D3512-'Black-Scholes'!$B$6,0))</f>
        <v>44.5781352988675</v>
      </c>
    </row>
    <row r="3513" customFormat="false" ht="15" hidden="false" customHeight="false" outlineLevel="0" collapsed="false">
      <c r="A3513" s="0" t="n">
        <v>3502</v>
      </c>
      <c r="B3513" s="15" t="n">
        <v>2.04674558723869</v>
      </c>
      <c r="C3513" s="18" t="n">
        <f aca="false">'Black-Scholes'!$B$5*EXP(('Black-Scholes'!$B$8-'Black-Scholes'!$B$10-'Black-Scholes'!$B$9^2/2)*'Black-Scholes'!$B$7+'Black-Scholes'!$B$9*SQRT('Black-Scholes'!$B$7)*B3513)</f>
        <v>155.169691730342</v>
      </c>
      <c r="D3513" s="18" t="n">
        <f aca="false">'Black-Scholes'!$B$5*EXP(('Black-Scholes'!$B$8-'Black-Scholes'!$B$10-'Black-Scholes'!$B$9^2/2)*'Black-Scholes'!$B$7-'Black-Scholes'!$B$9*SQRT('Black-Scholes'!$B$7)*B3513)</f>
        <v>68.4306667561503</v>
      </c>
      <c r="E3513" s="18" t="n">
        <f aca="false">EXP(-'Black-Scholes'!$B$8*'Black-Scholes'!$B$7)*IF(LOWER('Black-Scholes'!$B$11)="put",MAX('Black-Scholes'!$B$6-C3513,0),MAX(C3513-'Black-Scholes'!$B$6,0))</f>
        <v>52.479034114535</v>
      </c>
      <c r="F3513" s="18" t="n">
        <f aca="false">(E3513+G3513)/2</f>
        <v>26.2395170572675</v>
      </c>
      <c r="G3513" s="18" t="n">
        <f aca="false">EXP(-'Black-Scholes'!$B$8*'Black-Scholes'!$B$7)*IF(LOWER('Black-Scholes'!$B$11)="put",MAX('Black-Scholes'!$B$6-D3513,0),MAX(D3513-'Black-Scholes'!$B$6,0))</f>
        <v>0</v>
      </c>
    </row>
    <row r="3514" customFormat="false" ht="15" hidden="false" customHeight="false" outlineLevel="0" collapsed="false">
      <c r="A3514" s="0" t="n">
        <v>3503</v>
      </c>
      <c r="B3514" s="15" t="n">
        <v>0.156737773551475</v>
      </c>
      <c r="C3514" s="18" t="n">
        <f aca="false">'Black-Scholes'!$B$5*EXP(('Black-Scholes'!$B$8-'Black-Scholes'!$B$10-'Black-Scholes'!$B$9^2/2)*'Black-Scholes'!$B$7+'Black-Scholes'!$B$9*SQRT('Black-Scholes'!$B$7)*B3514)</f>
        <v>106.326839391488</v>
      </c>
      <c r="D3514" s="18" t="n">
        <f aca="false">'Black-Scholes'!$B$5*EXP(('Black-Scholes'!$B$8-'Black-Scholes'!$B$10-'Black-Scholes'!$B$9^2/2)*'Black-Scholes'!$B$7-'Black-Scholes'!$B$9*SQRT('Black-Scholes'!$B$7)*B3514)</f>
        <v>99.8653352833853</v>
      </c>
      <c r="E3514" s="18" t="n">
        <f aca="false">EXP(-'Black-Scholes'!$B$8*'Black-Scholes'!$B$7)*IF(LOWER('Black-Scholes'!$B$11)="put",MAX('Black-Scholes'!$B$6-C3514,0),MAX(C3514-'Black-Scholes'!$B$6,0))</f>
        <v>6.01827579327349</v>
      </c>
      <c r="F3514" s="18" t="n">
        <f aca="false">(E3514+G3514)/2</f>
        <v>3.00913789663675</v>
      </c>
      <c r="G3514" s="18" t="n">
        <f aca="false">EXP(-'Black-Scholes'!$B$8*'Black-Scholes'!$B$7)*IF(LOWER('Black-Scholes'!$B$11)="put",MAX('Black-Scholes'!$B$6-D3514,0),MAX(D3514-'Black-Scholes'!$B$6,0))</f>
        <v>0</v>
      </c>
    </row>
    <row r="3515" customFormat="false" ht="15" hidden="false" customHeight="false" outlineLevel="0" collapsed="false">
      <c r="A3515" s="0" t="n">
        <v>3504</v>
      </c>
      <c r="B3515" s="15" t="n">
        <v>-0.271829596228898</v>
      </c>
      <c r="C3515" s="18" t="n">
        <f aca="false">'Black-Scholes'!$B$5*EXP(('Black-Scholes'!$B$8-'Black-Scholes'!$B$10-'Black-Scholes'!$B$9^2/2)*'Black-Scholes'!$B$7+'Black-Scholes'!$B$9*SQRT('Black-Scholes'!$B$7)*B3515)</f>
        <v>97.592853338017</v>
      </c>
      <c r="D3515" s="18" t="n">
        <f aca="false">'Black-Scholes'!$B$5*EXP(('Black-Scholes'!$B$8-'Black-Scholes'!$B$10-'Black-Scholes'!$B$9^2/2)*'Black-Scholes'!$B$7-'Black-Scholes'!$B$9*SQRT('Black-Scholes'!$B$7)*B3515)</f>
        <v>108.802695097728</v>
      </c>
      <c r="E3515" s="18" t="n">
        <f aca="false">EXP(-'Black-Scholes'!$B$8*'Black-Scholes'!$B$7)*IF(LOWER('Black-Scholes'!$B$11)="put",MAX('Black-Scholes'!$B$6-C3515,0),MAX(C3515-'Black-Scholes'!$B$6,0))</f>
        <v>0</v>
      </c>
      <c r="F3515" s="18" t="n">
        <f aca="false">(E3515+G3515)/2</f>
        <v>4.18669129593375</v>
      </c>
      <c r="G3515" s="18" t="n">
        <f aca="false">EXP(-'Black-Scholes'!$B$8*'Black-Scholes'!$B$7)*IF(LOWER('Black-Scholes'!$B$11)="put",MAX('Black-Scholes'!$B$6-D3515,0),MAX(D3515-'Black-Scholes'!$B$6,0))</f>
        <v>8.3733825918675</v>
      </c>
    </row>
    <row r="3516" customFormat="false" ht="15" hidden="false" customHeight="false" outlineLevel="0" collapsed="false">
      <c r="A3516" s="0" t="n">
        <v>3505</v>
      </c>
      <c r="B3516" s="15" t="n">
        <v>-1.68210143167037</v>
      </c>
      <c r="C3516" s="18" t="n">
        <f aca="false">'Black-Scholes'!$B$5*EXP(('Black-Scholes'!$B$8-'Black-Scholes'!$B$10-'Black-Scholes'!$B$9^2/2)*'Black-Scholes'!$B$7+'Black-Scholes'!$B$9*SQRT('Black-Scholes'!$B$7)*B3516)</f>
        <v>73.6077191252126</v>
      </c>
      <c r="D3516" s="18" t="n">
        <f aca="false">'Black-Scholes'!$B$5*EXP(('Black-Scholes'!$B$8-'Black-Scholes'!$B$10-'Black-Scholes'!$B$9^2/2)*'Black-Scholes'!$B$7-'Black-Scholes'!$B$9*SQRT('Black-Scholes'!$B$7)*B3516)</f>
        <v>144.256140410911</v>
      </c>
      <c r="E3516" s="18" t="n">
        <f aca="false">EXP(-'Black-Scholes'!$B$8*'Black-Scholes'!$B$7)*IF(LOWER('Black-Scholes'!$B$11)="put",MAX('Black-Scholes'!$B$6-C3516,0),MAX(C3516-'Black-Scholes'!$B$6,0))</f>
        <v>0</v>
      </c>
      <c r="F3516" s="18" t="n">
        <f aca="false">(E3516+G3516)/2</f>
        <v>21.048871486847</v>
      </c>
      <c r="G3516" s="18" t="n">
        <f aca="false">EXP(-'Black-Scholes'!$B$8*'Black-Scholes'!$B$7)*IF(LOWER('Black-Scholes'!$B$11)="put",MAX('Black-Scholes'!$B$6-D3516,0),MAX(D3516-'Black-Scholes'!$B$6,0))</f>
        <v>42.0977429736941</v>
      </c>
    </row>
    <row r="3517" customFormat="false" ht="15" hidden="false" customHeight="false" outlineLevel="0" collapsed="false">
      <c r="A3517" s="0" t="n">
        <v>3506</v>
      </c>
      <c r="B3517" s="15" t="n">
        <v>-1.26168132167758</v>
      </c>
      <c r="C3517" s="18" t="n">
        <f aca="false">'Black-Scholes'!$B$5*EXP(('Black-Scholes'!$B$8-'Black-Scholes'!$B$10-'Black-Scholes'!$B$9^2/2)*'Black-Scholes'!$B$7+'Black-Scholes'!$B$9*SQRT('Black-Scholes'!$B$7)*B3517)</f>
        <v>80.0646090338024</v>
      </c>
      <c r="D3517" s="18" t="n">
        <f aca="false">'Black-Scholes'!$B$5*EXP(('Black-Scholes'!$B$8-'Black-Scholes'!$B$10-'Black-Scholes'!$B$9^2/2)*'Black-Scholes'!$B$7-'Black-Scholes'!$B$9*SQRT('Black-Scholes'!$B$7)*B3517)</f>
        <v>132.622460705087</v>
      </c>
      <c r="E3517" s="18" t="n">
        <f aca="false">EXP(-'Black-Scholes'!$B$8*'Black-Scholes'!$B$7)*IF(LOWER('Black-Scholes'!$B$11)="put",MAX('Black-Scholes'!$B$6-C3517,0),MAX(C3517-'Black-Scholes'!$B$6,0))</f>
        <v>0</v>
      </c>
      <c r="F3517" s="18" t="n">
        <f aca="false">(E3517+G3517)/2</f>
        <v>15.5157222611484</v>
      </c>
      <c r="G3517" s="18" t="n">
        <f aca="false">EXP(-'Black-Scholes'!$B$8*'Black-Scholes'!$B$7)*IF(LOWER('Black-Scholes'!$B$11)="put",MAX('Black-Scholes'!$B$6-D3517,0),MAX(D3517-'Black-Scholes'!$B$6,0))</f>
        <v>31.0314445222968</v>
      </c>
    </row>
    <row r="3518" customFormat="false" ht="15" hidden="false" customHeight="false" outlineLevel="0" collapsed="false">
      <c r="A3518" s="0" t="n">
        <v>3507</v>
      </c>
      <c r="B3518" s="15" t="n">
        <v>-1.63091836109474</v>
      </c>
      <c r="C3518" s="18" t="n">
        <f aca="false">'Black-Scholes'!$B$5*EXP(('Black-Scholes'!$B$8-'Black-Scholes'!$B$10-'Black-Scholes'!$B$9^2/2)*'Black-Scholes'!$B$7+'Black-Scholes'!$B$9*SQRT('Black-Scholes'!$B$7)*B3518)</f>
        <v>74.3650827478095</v>
      </c>
      <c r="D3518" s="18" t="n">
        <f aca="false">'Black-Scholes'!$B$5*EXP(('Black-Scholes'!$B$8-'Black-Scholes'!$B$10-'Black-Scholes'!$B$9^2/2)*'Black-Scholes'!$B$7-'Black-Scholes'!$B$9*SQRT('Black-Scholes'!$B$7)*B3518)</f>
        <v>142.786978419201</v>
      </c>
      <c r="E3518" s="18" t="n">
        <f aca="false">EXP(-'Black-Scholes'!$B$8*'Black-Scholes'!$B$7)*IF(LOWER('Black-Scholes'!$B$11)="put",MAX('Black-Scholes'!$B$6-C3518,0),MAX(C3518-'Black-Scholes'!$B$6,0))</f>
        <v>0</v>
      </c>
      <c r="F3518" s="18" t="n">
        <f aca="false">(E3518+G3518)/2</f>
        <v>20.3501164289107</v>
      </c>
      <c r="G3518" s="18" t="n">
        <f aca="false">EXP(-'Black-Scholes'!$B$8*'Black-Scholes'!$B$7)*IF(LOWER('Black-Scholes'!$B$11)="put",MAX('Black-Scholes'!$B$6-D3518,0),MAX(D3518-'Black-Scholes'!$B$6,0))</f>
        <v>40.7002328578213</v>
      </c>
    </row>
    <row r="3519" customFormat="false" ht="15" hidden="false" customHeight="false" outlineLevel="0" collapsed="false">
      <c r="A3519" s="0" t="n">
        <v>3508</v>
      </c>
      <c r="B3519" s="15" t="n">
        <v>0.53544681613459</v>
      </c>
      <c r="C3519" s="18" t="n">
        <f aca="false">'Black-Scholes'!$B$5*EXP(('Black-Scholes'!$B$8-'Black-Scholes'!$B$10-'Black-Scholes'!$B$9^2/2)*'Black-Scholes'!$B$7+'Black-Scholes'!$B$9*SQRT('Black-Scholes'!$B$7)*B3519)</f>
        <v>114.693063736377</v>
      </c>
      <c r="D3519" s="18" t="n">
        <f aca="false">'Black-Scholes'!$B$5*EXP(('Black-Scholes'!$B$8-'Black-Scholes'!$B$10-'Black-Scholes'!$B$9^2/2)*'Black-Scholes'!$B$7-'Black-Scholes'!$B$9*SQRT('Black-Scholes'!$B$7)*B3519)</f>
        <v>92.5807116798276</v>
      </c>
      <c r="E3519" s="18" t="n">
        <f aca="false">EXP(-'Black-Scholes'!$B$8*'Black-Scholes'!$B$7)*IF(LOWER('Black-Scholes'!$B$11)="put",MAX('Black-Scholes'!$B$6-C3519,0),MAX(C3519-'Black-Scholes'!$B$6,0))</f>
        <v>13.9764745621061</v>
      </c>
      <c r="F3519" s="18" t="n">
        <f aca="false">(E3519+G3519)/2</f>
        <v>6.98823728105306</v>
      </c>
      <c r="G3519" s="18" t="n">
        <f aca="false">EXP(-'Black-Scholes'!$B$8*'Black-Scholes'!$B$7)*IF(LOWER('Black-Scholes'!$B$11)="put",MAX('Black-Scholes'!$B$6-D3519,0),MAX(D3519-'Black-Scholes'!$B$6,0))</f>
        <v>0</v>
      </c>
    </row>
    <row r="3520" customFormat="false" ht="15" hidden="false" customHeight="false" outlineLevel="0" collapsed="false">
      <c r="A3520" s="0" t="n">
        <v>3509</v>
      </c>
      <c r="B3520" s="15" t="n">
        <v>0.947944688600166</v>
      </c>
      <c r="C3520" s="18" t="n">
        <f aca="false">'Black-Scholes'!$B$5*EXP(('Black-Scholes'!$B$8-'Black-Scholes'!$B$10-'Black-Scholes'!$B$9^2/2)*'Black-Scholes'!$B$7+'Black-Scholes'!$B$9*SQRT('Black-Scholes'!$B$7)*B3520)</f>
        <v>124.556462070723</v>
      </c>
      <c r="D3520" s="18" t="n">
        <f aca="false">'Black-Scholes'!$B$5*EXP(('Black-Scholes'!$B$8-'Black-Scholes'!$B$10-'Black-Scholes'!$B$9^2/2)*'Black-Scholes'!$B$7-'Black-Scholes'!$B$9*SQRT('Black-Scholes'!$B$7)*B3520)</f>
        <v>85.2494145139134</v>
      </c>
      <c r="E3520" s="18" t="n">
        <f aca="false">EXP(-'Black-Scholes'!$B$8*'Black-Scholes'!$B$7)*IF(LOWER('Black-Scholes'!$B$11)="put",MAX('Black-Scholes'!$B$6-C3520,0),MAX(C3520-'Black-Scholes'!$B$6,0))</f>
        <v>23.3588292833075</v>
      </c>
      <c r="F3520" s="18" t="n">
        <f aca="false">(E3520+G3520)/2</f>
        <v>11.6794146416537</v>
      </c>
      <c r="G3520" s="18" t="n">
        <f aca="false">EXP(-'Black-Scholes'!$B$8*'Black-Scholes'!$B$7)*IF(LOWER('Black-Scholes'!$B$11)="put",MAX('Black-Scholes'!$B$6-D3520,0),MAX(D3520-'Black-Scholes'!$B$6,0))</f>
        <v>0</v>
      </c>
    </row>
    <row r="3521" customFormat="false" ht="15" hidden="false" customHeight="false" outlineLevel="0" collapsed="false">
      <c r="A3521" s="0" t="n">
        <v>3510</v>
      </c>
      <c r="B3521" s="15" t="n">
        <v>0.289600876543067</v>
      </c>
      <c r="C3521" s="18" t="n">
        <f aca="false">'Black-Scholes'!$B$5*EXP(('Black-Scholes'!$B$8-'Black-Scholes'!$B$10-'Black-Scholes'!$B$9^2/2)*'Black-Scholes'!$B$7+'Black-Scholes'!$B$9*SQRT('Black-Scholes'!$B$7)*B3521)</f>
        <v>109.190095789233</v>
      </c>
      <c r="D3521" s="18" t="n">
        <f aca="false">'Black-Scholes'!$B$5*EXP(('Black-Scholes'!$B$8-'Black-Scholes'!$B$10-'Black-Scholes'!$B$9^2/2)*'Black-Scholes'!$B$7-'Black-Scholes'!$B$9*SQRT('Black-Scholes'!$B$7)*B3521)</f>
        <v>97.2465990500637</v>
      </c>
      <c r="E3521" s="18" t="n">
        <f aca="false">EXP(-'Black-Scholes'!$B$8*'Black-Scholes'!$B$7)*IF(LOWER('Black-Scholes'!$B$11)="put",MAX('Black-Scholes'!$B$6-C3521,0),MAX(C3521-'Black-Scholes'!$B$6,0))</f>
        <v>8.74188952869857</v>
      </c>
      <c r="F3521" s="18" t="n">
        <f aca="false">(E3521+G3521)/2</f>
        <v>4.37094476434928</v>
      </c>
      <c r="G3521" s="18" t="n">
        <f aca="false">EXP(-'Black-Scholes'!$B$8*'Black-Scholes'!$B$7)*IF(LOWER('Black-Scholes'!$B$11)="put",MAX('Black-Scholes'!$B$6-D3521,0),MAX(D3521-'Black-Scholes'!$B$6,0))</f>
        <v>0</v>
      </c>
    </row>
    <row r="3522" customFormat="false" ht="15" hidden="false" customHeight="false" outlineLevel="0" collapsed="false">
      <c r="A3522" s="0" t="n">
        <v>3511</v>
      </c>
      <c r="B3522" s="15" t="n">
        <v>0.87297066496159</v>
      </c>
      <c r="C3522" s="18" t="n">
        <f aca="false">'Black-Scholes'!$B$5*EXP(('Black-Scholes'!$B$8-'Black-Scholes'!$B$10-'Black-Scholes'!$B$9^2/2)*'Black-Scholes'!$B$7+'Black-Scholes'!$B$9*SQRT('Black-Scholes'!$B$7)*B3522)</f>
        <v>122.702695412842</v>
      </c>
      <c r="D3522" s="18" t="n">
        <f aca="false">'Black-Scholes'!$B$5*EXP(('Black-Scholes'!$B$8-'Black-Scholes'!$B$10-'Black-Scholes'!$B$9^2/2)*'Black-Scholes'!$B$7-'Black-Scholes'!$B$9*SQRT('Black-Scholes'!$B$7)*B3522)</f>
        <v>86.5373448376773</v>
      </c>
      <c r="E3522" s="18" t="n">
        <f aca="false">EXP(-'Black-Scholes'!$B$8*'Black-Scholes'!$B$7)*IF(LOWER('Black-Scholes'!$B$11)="put",MAX('Black-Scholes'!$B$6-C3522,0),MAX(C3522-'Black-Scholes'!$B$6,0))</f>
        <v>21.5954718921728</v>
      </c>
      <c r="F3522" s="18" t="n">
        <f aca="false">(E3522+G3522)/2</f>
        <v>10.7977359460864</v>
      </c>
      <c r="G3522" s="18" t="n">
        <f aca="false">EXP(-'Black-Scholes'!$B$8*'Black-Scholes'!$B$7)*IF(LOWER('Black-Scholes'!$B$11)="put",MAX('Black-Scholes'!$B$6-D3522,0),MAX(D3522-'Black-Scholes'!$B$6,0))</f>
        <v>0</v>
      </c>
    </row>
    <row r="3523" customFormat="false" ht="15" hidden="false" customHeight="false" outlineLevel="0" collapsed="false">
      <c r="A3523" s="0" t="n">
        <v>3512</v>
      </c>
      <c r="B3523" s="15" t="n">
        <v>0.85752844367123</v>
      </c>
      <c r="C3523" s="18" t="n">
        <f aca="false">'Black-Scholes'!$B$5*EXP(('Black-Scholes'!$B$8-'Black-Scholes'!$B$10-'Black-Scholes'!$B$9^2/2)*'Black-Scholes'!$B$7+'Black-Scholes'!$B$9*SQRT('Black-Scholes'!$B$7)*B3523)</f>
        <v>122.324319574848</v>
      </c>
      <c r="D3523" s="18" t="n">
        <f aca="false">'Black-Scholes'!$B$5*EXP(('Black-Scholes'!$B$8-'Black-Scholes'!$B$10-'Black-Scholes'!$B$9^2/2)*'Black-Scholes'!$B$7-'Black-Scholes'!$B$9*SQRT('Black-Scholes'!$B$7)*B3523)</f>
        <v>86.8050237463733</v>
      </c>
      <c r="E3523" s="18" t="n">
        <f aca="false">EXP(-'Black-Scholes'!$B$8*'Black-Scholes'!$B$7)*IF(LOWER('Black-Scholes'!$B$11)="put",MAX('Black-Scholes'!$B$6-C3523,0),MAX(C3523-'Black-Scholes'!$B$6,0))</f>
        <v>21.2355496615523</v>
      </c>
      <c r="F3523" s="18" t="n">
        <f aca="false">(E3523+G3523)/2</f>
        <v>10.6177748307761</v>
      </c>
      <c r="G3523" s="18" t="n">
        <f aca="false">EXP(-'Black-Scholes'!$B$8*'Black-Scholes'!$B$7)*IF(LOWER('Black-Scholes'!$B$11)="put",MAX('Black-Scholes'!$B$6-D3523,0),MAX(D3523-'Black-Scholes'!$B$6,0))</f>
        <v>0</v>
      </c>
    </row>
    <row r="3524" customFormat="false" ht="15" hidden="false" customHeight="false" outlineLevel="0" collapsed="false">
      <c r="A3524" s="0" t="n">
        <v>3513</v>
      </c>
      <c r="B3524" s="15" t="n">
        <v>0.733459355543742</v>
      </c>
      <c r="C3524" s="18" t="n">
        <f aca="false">'Black-Scholes'!$B$5*EXP(('Black-Scholes'!$B$8-'Black-Scholes'!$B$10-'Black-Scholes'!$B$9^2/2)*'Black-Scholes'!$B$7+'Black-Scholes'!$B$9*SQRT('Black-Scholes'!$B$7)*B3524)</f>
        <v>119.326335755974</v>
      </c>
      <c r="D3524" s="18" t="n">
        <f aca="false">'Black-Scholes'!$B$5*EXP(('Black-Scholes'!$B$8-'Black-Scholes'!$B$10-'Black-Scholes'!$B$9^2/2)*'Black-Scholes'!$B$7-'Black-Scholes'!$B$9*SQRT('Black-Scholes'!$B$7)*B3524)</f>
        <v>88.985934229712</v>
      </c>
      <c r="E3524" s="18" t="n">
        <f aca="false">EXP(-'Black-Scholes'!$B$8*'Black-Scholes'!$B$7)*IF(LOWER('Black-Scholes'!$B$11)="put",MAX('Black-Scholes'!$B$6-C3524,0),MAX(C3524-'Black-Scholes'!$B$6,0))</f>
        <v>18.3837792388623</v>
      </c>
      <c r="F3524" s="18" t="n">
        <f aca="false">(E3524+G3524)/2</f>
        <v>9.19188961943117</v>
      </c>
      <c r="G3524" s="18" t="n">
        <f aca="false">EXP(-'Black-Scholes'!$B$8*'Black-Scholes'!$B$7)*IF(LOWER('Black-Scholes'!$B$11)="put",MAX('Black-Scholes'!$B$6-D3524,0),MAX(D3524-'Black-Scholes'!$B$6,0))</f>
        <v>0</v>
      </c>
    </row>
    <row r="3525" customFormat="false" ht="15" hidden="false" customHeight="false" outlineLevel="0" collapsed="false">
      <c r="A3525" s="0" t="n">
        <v>3514</v>
      </c>
      <c r="B3525" s="15" t="n">
        <v>-0.528634949916834</v>
      </c>
      <c r="C3525" s="18" t="n">
        <f aca="false">'Black-Scholes'!$B$5*EXP(('Black-Scholes'!$B$8-'Black-Scholes'!$B$10-'Black-Scholes'!$B$9^2/2)*'Black-Scholes'!$B$7+'Black-Scholes'!$B$9*SQRT('Black-Scholes'!$B$7)*B3525)</f>
        <v>92.7069271210371</v>
      </c>
      <c r="D3525" s="18" t="n">
        <f aca="false">'Black-Scholes'!$B$5*EXP(('Black-Scholes'!$B$8-'Black-Scholes'!$B$10-'Black-Scholes'!$B$9^2/2)*'Black-Scholes'!$B$7-'Black-Scholes'!$B$9*SQRT('Black-Scholes'!$B$7)*B3525)</f>
        <v>114.536915365455</v>
      </c>
      <c r="E3525" s="18" t="n">
        <f aca="false">EXP(-'Black-Scholes'!$B$8*'Black-Scholes'!$B$7)*IF(LOWER('Black-Scholes'!$B$11)="put",MAX('Black-Scholes'!$B$6-C3525,0),MAX(C3525-'Black-Scholes'!$B$6,0))</f>
        <v>0</v>
      </c>
      <c r="F3525" s="18" t="n">
        <f aca="false">(E3525+G3525)/2</f>
        <v>6.91397081854848</v>
      </c>
      <c r="G3525" s="18" t="n">
        <f aca="false">EXP(-'Black-Scholes'!$B$8*'Black-Scholes'!$B$7)*IF(LOWER('Black-Scholes'!$B$11)="put",MAX('Black-Scholes'!$B$6-D3525,0),MAX(D3525-'Black-Scholes'!$B$6,0))</f>
        <v>13.827941637097</v>
      </c>
    </row>
    <row r="3526" customFormat="false" ht="15" hidden="false" customHeight="false" outlineLevel="0" collapsed="false">
      <c r="A3526" s="0" t="n">
        <v>3515</v>
      </c>
      <c r="B3526" s="15" t="n">
        <v>-0.488912859546993</v>
      </c>
      <c r="C3526" s="18" t="n">
        <f aca="false">'Black-Scholes'!$B$5*EXP(('Black-Scholes'!$B$8-'Black-Scholes'!$B$10-'Black-Scholes'!$B$9^2/2)*'Black-Scholes'!$B$7+'Black-Scholes'!$B$9*SQRT('Black-Scholes'!$B$7)*B3526)</f>
        <v>93.4463630133278</v>
      </c>
      <c r="D3526" s="18" t="n">
        <f aca="false">'Black-Scholes'!$B$5*EXP(('Black-Scholes'!$B$8-'Black-Scholes'!$B$10-'Black-Scholes'!$B$9^2/2)*'Black-Scholes'!$B$7-'Black-Scholes'!$B$9*SQRT('Black-Scholes'!$B$7)*B3526)</f>
        <v>113.630591101113</v>
      </c>
      <c r="E3526" s="18" t="n">
        <f aca="false">EXP(-'Black-Scholes'!$B$8*'Black-Scholes'!$B$7)*IF(LOWER('Black-Scholes'!$B$11)="put",MAX('Black-Scholes'!$B$6-C3526,0),MAX(C3526-'Black-Scholes'!$B$6,0))</f>
        <v>0</v>
      </c>
      <c r="F3526" s="18" t="n">
        <f aca="false">(E3526+G3526)/2</f>
        <v>6.48290966435799</v>
      </c>
      <c r="G3526" s="18" t="n">
        <f aca="false">EXP(-'Black-Scholes'!$B$8*'Black-Scholes'!$B$7)*IF(LOWER('Black-Scholes'!$B$11)="put",MAX('Black-Scholes'!$B$6-D3526,0),MAX(D3526-'Black-Scholes'!$B$6,0))</f>
        <v>12.965819328716</v>
      </c>
    </row>
    <row r="3527" customFormat="false" ht="15" hidden="false" customHeight="false" outlineLevel="0" collapsed="false">
      <c r="A3527" s="0" t="n">
        <v>3516</v>
      </c>
      <c r="B3527" s="15" t="n">
        <v>-0.163377515904465</v>
      </c>
      <c r="C3527" s="18" t="n">
        <f aca="false">'Black-Scholes'!$B$5*EXP(('Black-Scholes'!$B$8-'Black-Scholes'!$B$10-'Black-Scholes'!$B$9^2/2)*'Black-Scholes'!$B$7+'Black-Scholes'!$B$9*SQRT('Black-Scholes'!$B$7)*B3527)</f>
        <v>99.732807278786</v>
      </c>
      <c r="D3527" s="18" t="n">
        <f aca="false">'Black-Scholes'!$B$5*EXP(('Black-Scholes'!$B$8-'Black-Scholes'!$B$10-'Black-Scholes'!$B$9^2/2)*'Black-Scholes'!$B$7-'Black-Scholes'!$B$9*SQRT('Black-Scholes'!$B$7)*B3527)</f>
        <v>106.468129747634</v>
      </c>
      <c r="E3527" s="18" t="n">
        <f aca="false">EXP(-'Black-Scholes'!$B$8*'Black-Scholes'!$B$7)*IF(LOWER('Black-Scholes'!$B$11)="put",MAX('Black-Scholes'!$B$6-C3527,0),MAX(C3527-'Black-Scholes'!$B$6,0))</f>
        <v>0</v>
      </c>
      <c r="F3527" s="18" t="n">
        <f aca="false">(E3527+G3527)/2</f>
        <v>3.07633766871909</v>
      </c>
      <c r="G3527" s="18" t="n">
        <f aca="false">EXP(-'Black-Scholes'!$B$8*'Black-Scholes'!$B$7)*IF(LOWER('Black-Scholes'!$B$11)="put",MAX('Black-Scholes'!$B$6-D3527,0),MAX(D3527-'Black-Scholes'!$B$6,0))</f>
        <v>6.15267533743817</v>
      </c>
    </row>
    <row r="3528" customFormat="false" ht="15" hidden="false" customHeight="false" outlineLevel="0" collapsed="false">
      <c r="A3528" s="0" t="n">
        <v>3517</v>
      </c>
      <c r="B3528" s="15" t="n">
        <v>-0.377080267384781</v>
      </c>
      <c r="C3528" s="18" t="n">
        <f aca="false">'Black-Scholes'!$B$5*EXP(('Black-Scholes'!$B$8-'Black-Scholes'!$B$10-'Black-Scholes'!$B$9^2/2)*'Black-Scholes'!$B$7+'Black-Scholes'!$B$9*SQRT('Black-Scholes'!$B$7)*B3528)</f>
        <v>95.5599818487167</v>
      </c>
      <c r="D3528" s="18" t="n">
        <f aca="false">'Black-Scholes'!$B$5*EXP(('Black-Scholes'!$B$8-'Black-Scholes'!$B$10-'Black-Scholes'!$B$9^2/2)*'Black-Scholes'!$B$7-'Black-Scholes'!$B$9*SQRT('Black-Scholes'!$B$7)*B3528)</f>
        <v>111.117282151265</v>
      </c>
      <c r="E3528" s="18" t="n">
        <f aca="false">EXP(-'Black-Scholes'!$B$8*'Black-Scholes'!$B$7)*IF(LOWER('Black-Scholes'!$B$11)="put",MAX('Black-Scholes'!$B$6-C3528,0),MAX(C3528-'Black-Scholes'!$B$6,0))</f>
        <v>0</v>
      </c>
      <c r="F3528" s="18" t="n">
        <f aca="false">(E3528+G3528)/2</f>
        <v>5.28754295137983</v>
      </c>
      <c r="G3528" s="18" t="n">
        <f aca="false">EXP(-'Black-Scholes'!$B$8*'Black-Scholes'!$B$7)*IF(LOWER('Black-Scholes'!$B$11)="put",MAX('Black-Scholes'!$B$6-D3528,0),MAX(D3528-'Black-Scholes'!$B$6,0))</f>
        <v>10.5750859027597</v>
      </c>
    </row>
    <row r="3529" customFormat="false" ht="15" hidden="false" customHeight="false" outlineLevel="0" collapsed="false">
      <c r="A3529" s="0" t="n">
        <v>3518</v>
      </c>
      <c r="B3529" s="15" t="n">
        <v>1.37856107705177</v>
      </c>
      <c r="C3529" s="18" t="n">
        <f aca="false">'Black-Scholes'!$B$5*EXP(('Black-Scholes'!$B$8-'Black-Scholes'!$B$10-'Black-Scholes'!$B$9^2/2)*'Black-Scholes'!$B$7+'Black-Scholes'!$B$9*SQRT('Black-Scholes'!$B$7)*B3529)</f>
        <v>135.759155639569</v>
      </c>
      <c r="D3529" s="18" t="n">
        <f aca="false">'Black-Scholes'!$B$5*EXP(('Black-Scholes'!$B$8-'Black-Scholes'!$B$10-'Black-Scholes'!$B$9^2/2)*'Black-Scholes'!$B$7-'Black-Scholes'!$B$9*SQRT('Black-Scholes'!$B$7)*B3529)</f>
        <v>78.2147282474607</v>
      </c>
      <c r="E3529" s="18" t="n">
        <f aca="false">EXP(-'Black-Scholes'!$B$8*'Black-Scholes'!$B$7)*IF(LOWER('Black-Scholes'!$B$11)="put",MAX('Black-Scholes'!$B$6-C3529,0),MAX(C3529-'Black-Scholes'!$B$6,0))</f>
        <v>34.0151610396586</v>
      </c>
      <c r="F3529" s="18" t="n">
        <f aca="false">(E3529+G3529)/2</f>
        <v>17.0075805198293</v>
      </c>
      <c r="G3529" s="18" t="n">
        <f aca="false">EXP(-'Black-Scholes'!$B$8*'Black-Scholes'!$B$7)*IF(LOWER('Black-Scholes'!$B$11)="put",MAX('Black-Scholes'!$B$6-D3529,0),MAX(D3529-'Black-Scholes'!$B$6,0))</f>
        <v>0</v>
      </c>
    </row>
    <row r="3530" customFormat="false" ht="15" hidden="false" customHeight="false" outlineLevel="0" collapsed="false">
      <c r="A3530" s="0" t="n">
        <v>3519</v>
      </c>
      <c r="B3530" s="15" t="n">
        <v>0.607943023690633</v>
      </c>
      <c r="C3530" s="18" t="n">
        <f aca="false">'Black-Scholes'!$B$5*EXP(('Black-Scholes'!$B$8-'Black-Scholes'!$B$10-'Black-Scholes'!$B$9^2/2)*'Black-Scholes'!$B$7+'Black-Scholes'!$B$9*SQRT('Black-Scholes'!$B$7)*B3530)</f>
        <v>116.368140492804</v>
      </c>
      <c r="D3530" s="18" t="n">
        <f aca="false">'Black-Scholes'!$B$5*EXP(('Black-Scholes'!$B$8-'Black-Scholes'!$B$10-'Black-Scholes'!$B$9^2/2)*'Black-Scholes'!$B$7-'Black-Scholes'!$B$9*SQRT('Black-Scholes'!$B$7)*B3530)</f>
        <v>91.2480462477631</v>
      </c>
      <c r="E3530" s="18" t="n">
        <f aca="false">EXP(-'Black-Scholes'!$B$8*'Black-Scholes'!$B$7)*IF(LOWER('Black-Scholes'!$B$11)="put",MAX('Black-Scholes'!$B$6-C3530,0),MAX(C3530-'Black-Scholes'!$B$6,0))</f>
        <v>15.569856861117</v>
      </c>
      <c r="F3530" s="18" t="n">
        <f aca="false">(E3530+G3530)/2</f>
        <v>7.78492843055849</v>
      </c>
      <c r="G3530" s="18" t="n">
        <f aca="false">EXP(-'Black-Scholes'!$B$8*'Black-Scholes'!$B$7)*IF(LOWER('Black-Scholes'!$B$11)="put",MAX('Black-Scholes'!$B$6-D3530,0),MAX(D3530-'Black-Scholes'!$B$6,0))</f>
        <v>0</v>
      </c>
    </row>
    <row r="3531" customFormat="false" ht="15" hidden="false" customHeight="false" outlineLevel="0" collapsed="false">
      <c r="A3531" s="0" t="n">
        <v>3520</v>
      </c>
      <c r="B3531" s="15" t="n">
        <v>0.769255216905746</v>
      </c>
      <c r="C3531" s="18" t="n">
        <f aca="false">'Black-Scholes'!$B$5*EXP(('Black-Scholes'!$B$8-'Black-Scholes'!$B$10-'Black-Scholes'!$B$9^2/2)*'Black-Scholes'!$B$7+'Black-Scholes'!$B$9*SQRT('Black-Scholes'!$B$7)*B3531)</f>
        <v>120.183678821803</v>
      </c>
      <c r="D3531" s="18" t="n">
        <f aca="false">'Black-Scholes'!$B$5*EXP(('Black-Scholes'!$B$8-'Black-Scholes'!$B$10-'Black-Scholes'!$B$9^2/2)*'Black-Scholes'!$B$7-'Black-Scholes'!$B$9*SQRT('Black-Scholes'!$B$7)*B3531)</f>
        <v>88.3511435957745</v>
      </c>
      <c r="E3531" s="18" t="n">
        <f aca="false">EXP(-'Black-Scholes'!$B$8*'Black-Scholes'!$B$7)*IF(LOWER('Black-Scholes'!$B$11)="put",MAX('Black-Scholes'!$B$6-C3531,0),MAX(C3531-'Black-Scholes'!$B$6,0))</f>
        <v>19.1993091899713</v>
      </c>
      <c r="F3531" s="18" t="n">
        <f aca="false">(E3531+G3531)/2</f>
        <v>9.59965459498564</v>
      </c>
      <c r="G3531" s="18" t="n">
        <f aca="false">EXP(-'Black-Scholes'!$B$8*'Black-Scholes'!$B$7)*IF(LOWER('Black-Scholes'!$B$11)="put",MAX('Black-Scholes'!$B$6-D3531,0),MAX(D3531-'Black-Scholes'!$B$6,0))</f>
        <v>0</v>
      </c>
    </row>
    <row r="3532" customFormat="false" ht="15" hidden="false" customHeight="false" outlineLevel="0" collapsed="false">
      <c r="A3532" s="0" t="n">
        <v>3521</v>
      </c>
      <c r="B3532" s="15" t="n">
        <v>-1.51941566990936</v>
      </c>
      <c r="C3532" s="18" t="n">
        <f aca="false">'Black-Scholes'!$B$5*EXP(('Black-Scholes'!$B$8-'Black-Scholes'!$B$10-'Black-Scholes'!$B$9^2/2)*'Black-Scholes'!$B$7+'Black-Scholes'!$B$9*SQRT('Black-Scholes'!$B$7)*B3532)</f>
        <v>76.0420937435356</v>
      </c>
      <c r="D3532" s="18" t="n">
        <f aca="false">'Black-Scholes'!$B$5*EXP(('Black-Scholes'!$B$8-'Black-Scholes'!$B$10-'Black-Scholes'!$B$9^2/2)*'Black-Scholes'!$B$7-'Black-Scholes'!$B$9*SQRT('Black-Scholes'!$B$7)*B3532)</f>
        <v>139.637994467456</v>
      </c>
      <c r="E3532" s="18" t="n">
        <f aca="false">EXP(-'Black-Scholes'!$B$8*'Black-Scholes'!$B$7)*IF(LOWER('Black-Scholes'!$B$11)="put",MAX('Black-Scholes'!$B$6-C3532,0),MAX(C3532-'Black-Scholes'!$B$6,0))</f>
        <v>0</v>
      </c>
      <c r="F3532" s="18" t="n">
        <f aca="false">(E3532+G3532)/2</f>
        <v>18.8524133328204</v>
      </c>
      <c r="G3532" s="18" t="n">
        <f aca="false">EXP(-'Black-Scholes'!$B$8*'Black-Scholes'!$B$7)*IF(LOWER('Black-Scholes'!$B$11)="put",MAX('Black-Scholes'!$B$6-D3532,0),MAX(D3532-'Black-Scholes'!$B$6,0))</f>
        <v>37.7048266656407</v>
      </c>
    </row>
    <row r="3533" customFormat="false" ht="15" hidden="false" customHeight="false" outlineLevel="0" collapsed="false">
      <c r="A3533" s="0" t="n">
        <v>3522</v>
      </c>
      <c r="B3533" s="15" t="n">
        <v>0.490259822413017</v>
      </c>
      <c r="C3533" s="18" t="n">
        <f aca="false">'Black-Scholes'!$B$5*EXP(('Black-Scholes'!$B$8-'Black-Scholes'!$B$10-'Black-Scholes'!$B$9^2/2)*'Black-Scholes'!$B$7+'Black-Scholes'!$B$9*SQRT('Black-Scholes'!$B$7)*B3533)</f>
        <v>113.661206462034</v>
      </c>
      <c r="D3533" s="18" t="n">
        <f aca="false">'Black-Scholes'!$B$5*EXP(('Black-Scholes'!$B$8-'Black-Scholes'!$B$10-'Black-Scholes'!$B$9^2/2)*'Black-Scholes'!$B$7-'Black-Scholes'!$B$9*SQRT('Black-Scholes'!$B$7)*B3533)</f>
        <v>93.4211926476461</v>
      </c>
      <c r="E3533" s="18" t="n">
        <f aca="false">EXP(-'Black-Scholes'!$B$8*'Black-Scholes'!$B$7)*IF(LOWER('Black-Scholes'!$B$11)="put",MAX('Black-Scholes'!$B$6-C3533,0),MAX(C3533-'Black-Scholes'!$B$6,0))</f>
        <v>12.9949415608665</v>
      </c>
      <c r="F3533" s="18" t="n">
        <f aca="false">(E3533+G3533)/2</f>
        <v>6.49747078043324</v>
      </c>
      <c r="G3533" s="18" t="n">
        <f aca="false">EXP(-'Black-Scholes'!$B$8*'Black-Scholes'!$B$7)*IF(LOWER('Black-Scholes'!$B$11)="put",MAX('Black-Scholes'!$B$6-D3533,0),MAX(D3533-'Black-Scholes'!$B$6,0))</f>
        <v>0</v>
      </c>
    </row>
    <row r="3534" customFormat="false" ht="15" hidden="false" customHeight="false" outlineLevel="0" collapsed="false">
      <c r="A3534" s="0" t="n">
        <v>3523</v>
      </c>
      <c r="B3534" s="15" t="n">
        <v>0.783388666222196</v>
      </c>
      <c r="C3534" s="18" t="n">
        <f aca="false">'Black-Scholes'!$B$5*EXP(('Black-Scholes'!$B$8-'Black-Scholes'!$B$10-'Black-Scholes'!$B$9^2/2)*'Black-Scholes'!$B$7+'Black-Scholes'!$B$9*SQRT('Black-Scholes'!$B$7)*B3534)</f>
        <v>120.523881405536</v>
      </c>
      <c r="D3534" s="18" t="n">
        <f aca="false">'Black-Scholes'!$B$5*EXP(('Black-Scholes'!$B$8-'Black-Scholes'!$B$10-'Black-Scholes'!$B$9^2/2)*'Black-Scholes'!$B$7-'Black-Scholes'!$B$9*SQRT('Black-Scholes'!$B$7)*B3534)</f>
        <v>88.1017549519929</v>
      </c>
      <c r="E3534" s="18" t="n">
        <f aca="false">EXP(-'Black-Scholes'!$B$8*'Black-Scholes'!$B$7)*IF(LOWER('Black-Scholes'!$B$11)="put",MAX('Black-Scholes'!$B$6-C3534,0),MAX(C3534-'Black-Scholes'!$B$6,0))</f>
        <v>19.5229198979091</v>
      </c>
      <c r="F3534" s="18" t="n">
        <f aca="false">(E3534+G3534)/2</f>
        <v>9.76145994895453</v>
      </c>
      <c r="G3534" s="18" t="n">
        <f aca="false">EXP(-'Black-Scholes'!$B$8*'Black-Scholes'!$B$7)*IF(LOWER('Black-Scholes'!$B$11)="put",MAX('Black-Scholes'!$B$6-D3534,0),MAX(D3534-'Black-Scholes'!$B$6,0))</f>
        <v>0</v>
      </c>
    </row>
    <row r="3535" customFormat="false" ht="15" hidden="false" customHeight="false" outlineLevel="0" collapsed="false">
      <c r="A3535" s="0" t="n">
        <v>3524</v>
      </c>
      <c r="B3535" s="15" t="n">
        <v>-0.0232010389952874</v>
      </c>
      <c r="C3535" s="18" t="n">
        <f aca="false">'Black-Scholes'!$B$5*EXP(('Black-Scholes'!$B$8-'Black-Scholes'!$B$10-'Black-Scholes'!$B$9^2/2)*'Black-Scholes'!$B$7+'Black-Scholes'!$B$9*SQRT('Black-Scholes'!$B$7)*B3535)</f>
        <v>102.568408728</v>
      </c>
      <c r="D3535" s="18" t="n">
        <f aca="false">'Black-Scholes'!$B$5*EXP(('Black-Scholes'!$B$8-'Black-Scholes'!$B$10-'Black-Scholes'!$B$9^2/2)*'Black-Scholes'!$B$7-'Black-Scholes'!$B$9*SQRT('Black-Scholes'!$B$7)*B3535)</f>
        <v>103.524716792792</v>
      </c>
      <c r="E3535" s="18" t="n">
        <f aca="false">EXP(-'Black-Scholes'!$B$8*'Black-Scholes'!$B$7)*IF(LOWER('Black-Scholes'!$B$11)="put",MAX('Black-Scholes'!$B$6-C3535,0),MAX(C3535-'Black-Scholes'!$B$6,0))</f>
        <v>2.44314595621826</v>
      </c>
      <c r="F3535" s="18" t="n">
        <f aca="false">(E3535+G3535)/2</f>
        <v>2.89798014127707</v>
      </c>
      <c r="G3535" s="18" t="n">
        <f aca="false">EXP(-'Black-Scholes'!$B$8*'Black-Scholes'!$B$7)*IF(LOWER('Black-Scholes'!$B$11)="put",MAX('Black-Scholes'!$B$6-D3535,0),MAX(D3535-'Black-Scholes'!$B$6,0))</f>
        <v>3.35281432633588</v>
      </c>
    </row>
    <row r="3536" customFormat="false" ht="15" hidden="false" customHeight="false" outlineLevel="0" collapsed="false">
      <c r="A3536" s="0" t="n">
        <v>3525</v>
      </c>
      <c r="B3536" s="15" t="n">
        <v>0.0291233612024524</v>
      </c>
      <c r="C3536" s="18" t="n">
        <f aca="false">'Black-Scholes'!$B$5*EXP(('Black-Scholes'!$B$8-'Black-Scholes'!$B$10-'Black-Scholes'!$B$9^2/2)*'Black-Scholes'!$B$7+'Black-Scholes'!$B$9*SQRT('Black-Scholes'!$B$7)*B3536)</f>
        <v>103.647410787635</v>
      </c>
      <c r="D3536" s="18" t="n">
        <f aca="false">'Black-Scholes'!$B$5*EXP(('Black-Scholes'!$B$8-'Black-Scholes'!$B$10-'Black-Scholes'!$B$9^2/2)*'Black-Scholes'!$B$7-'Black-Scholes'!$B$9*SQRT('Black-Scholes'!$B$7)*B3536)</f>
        <v>102.446992016132</v>
      </c>
      <c r="E3536" s="18" t="n">
        <f aca="false">EXP(-'Black-Scholes'!$B$8*'Black-Scholes'!$B$7)*IF(LOWER('Black-Scholes'!$B$11)="put",MAX('Black-Scholes'!$B$6-C3536,0),MAX(C3536-'Black-Scholes'!$B$6,0))</f>
        <v>3.4695244644401</v>
      </c>
      <c r="F3536" s="18" t="n">
        <f aca="false">(E3536+G3536)/2</f>
        <v>2.89858763585142</v>
      </c>
      <c r="G3536" s="18" t="n">
        <f aca="false">EXP(-'Black-Scholes'!$B$8*'Black-Scholes'!$B$7)*IF(LOWER('Black-Scholes'!$B$11)="put",MAX('Black-Scholes'!$B$6-D3536,0),MAX(D3536-'Black-Scholes'!$B$6,0))</f>
        <v>2.32765080726273</v>
      </c>
    </row>
    <row r="3537" customFormat="false" ht="15" hidden="false" customHeight="false" outlineLevel="0" collapsed="false">
      <c r="A3537" s="0" t="n">
        <v>3526</v>
      </c>
      <c r="B3537" s="15" t="n">
        <v>-0.514842582802073</v>
      </c>
      <c r="C3537" s="18" t="n">
        <f aca="false">'Black-Scholes'!$B$5*EXP(('Black-Scholes'!$B$8-'Black-Scholes'!$B$10-'Black-Scholes'!$B$9^2/2)*'Black-Scholes'!$B$7+'Black-Scholes'!$B$9*SQRT('Black-Scholes'!$B$7)*B3537)</f>
        <v>92.9630097518082</v>
      </c>
      <c r="D3537" s="18" t="n">
        <f aca="false">'Black-Scholes'!$B$5*EXP(('Black-Scholes'!$B$8-'Black-Scholes'!$B$10-'Black-Scholes'!$B$9^2/2)*'Black-Scholes'!$B$7-'Black-Scholes'!$B$9*SQRT('Black-Scholes'!$B$7)*B3537)</f>
        <v>114.221403693818</v>
      </c>
      <c r="E3537" s="18" t="n">
        <f aca="false">EXP(-'Black-Scholes'!$B$8*'Black-Scholes'!$B$7)*IF(LOWER('Black-Scholes'!$B$11)="put",MAX('Black-Scholes'!$B$6-C3537,0),MAX(C3537-'Black-Scholes'!$B$6,0))</f>
        <v>0</v>
      </c>
      <c r="F3537" s="18" t="n">
        <f aca="false">(E3537+G3537)/2</f>
        <v>6.76390882563129</v>
      </c>
      <c r="G3537" s="18" t="n">
        <f aca="false">EXP(-'Black-Scholes'!$B$8*'Black-Scholes'!$B$7)*IF(LOWER('Black-Scholes'!$B$11)="put",MAX('Black-Scholes'!$B$6-D3537,0),MAX(D3537-'Black-Scholes'!$B$6,0))</f>
        <v>13.5278176512626</v>
      </c>
    </row>
    <row r="3538" customFormat="false" ht="15" hidden="false" customHeight="false" outlineLevel="0" collapsed="false">
      <c r="A3538" s="0" t="n">
        <v>3527</v>
      </c>
      <c r="B3538" s="15" t="n">
        <v>-0.356502519731381</v>
      </c>
      <c r="C3538" s="18" t="n">
        <f aca="false">'Black-Scholes'!$B$5*EXP(('Black-Scholes'!$B$8-'Black-Scholes'!$B$10-'Black-Scholes'!$B$9^2/2)*'Black-Scholes'!$B$7+'Black-Scholes'!$B$9*SQRT('Black-Scholes'!$B$7)*B3538)</f>
        <v>95.9540740839701</v>
      </c>
      <c r="D3538" s="18" t="n">
        <f aca="false">'Black-Scholes'!$B$5*EXP(('Black-Scholes'!$B$8-'Black-Scholes'!$B$10-'Black-Scholes'!$B$9^2/2)*'Black-Scholes'!$B$7-'Black-Scholes'!$B$9*SQRT('Black-Scholes'!$B$7)*B3538)</f>
        <v>110.660913221479</v>
      </c>
      <c r="E3538" s="18" t="n">
        <f aca="false">EXP(-'Black-Scholes'!$B$8*'Black-Scholes'!$B$7)*IF(LOWER('Black-Scholes'!$B$11)="put",MAX('Black-Scholes'!$B$6-C3538,0),MAX(C3538-'Black-Scholes'!$B$6,0))</f>
        <v>0</v>
      </c>
      <c r="F3538" s="18" t="n">
        <f aca="false">(E3538+G3538)/2</f>
        <v>5.07048717415981</v>
      </c>
      <c r="G3538" s="18" t="n">
        <f aca="false">EXP(-'Black-Scholes'!$B$8*'Black-Scholes'!$B$7)*IF(LOWER('Black-Scholes'!$B$11)="put",MAX('Black-Scholes'!$B$6-D3538,0),MAX(D3538-'Black-Scholes'!$B$6,0))</f>
        <v>10.1409743483196</v>
      </c>
    </row>
    <row r="3539" customFormat="false" ht="15" hidden="false" customHeight="false" outlineLevel="0" collapsed="false">
      <c r="A3539" s="0" t="n">
        <v>3528</v>
      </c>
      <c r="B3539" s="15" t="n">
        <v>0.115255847996943</v>
      </c>
      <c r="C3539" s="18" t="n">
        <f aca="false">'Black-Scholes'!$B$5*EXP(('Black-Scholes'!$B$8-'Black-Scholes'!$B$10-'Black-Scholes'!$B$9^2/2)*'Black-Scholes'!$B$7+'Black-Scholes'!$B$9*SQRT('Black-Scholes'!$B$7)*B3539)</f>
        <v>105.448360124233</v>
      </c>
      <c r="D3539" s="18" t="n">
        <f aca="false">'Black-Scholes'!$B$5*EXP(('Black-Scholes'!$B$8-'Black-Scholes'!$B$10-'Black-Scholes'!$B$9^2/2)*'Black-Scholes'!$B$7-'Black-Scholes'!$B$9*SQRT('Black-Scholes'!$B$7)*B3539)</f>
        <v>100.697302954202</v>
      </c>
      <c r="E3539" s="18" t="n">
        <f aca="false">EXP(-'Black-Scholes'!$B$8*'Black-Scholes'!$B$7)*IF(LOWER('Black-Scholes'!$B$11)="put",MAX('Black-Scholes'!$B$6-C3539,0),MAX(C3539-'Black-Scholes'!$B$6,0))</f>
        <v>5.18264046544633</v>
      </c>
      <c r="F3539" s="18" t="n">
        <f aca="false">(E3539+G3539)/2</f>
        <v>2.9229677766371</v>
      </c>
      <c r="G3539" s="18" t="n">
        <f aca="false">EXP(-'Black-Scholes'!$B$8*'Black-Scholes'!$B$7)*IF(LOWER('Black-Scholes'!$B$11)="put",MAX('Black-Scholes'!$B$6-D3539,0),MAX(D3539-'Black-Scholes'!$B$6,0))</f>
        <v>0.66329508782788</v>
      </c>
    </row>
    <row r="3540" customFormat="false" ht="15" hidden="false" customHeight="false" outlineLevel="0" collapsed="false">
      <c r="A3540" s="0" t="n">
        <v>3529</v>
      </c>
      <c r="B3540" s="15" t="n">
        <v>0.410645928827193</v>
      </c>
      <c r="C3540" s="18" t="n">
        <f aca="false">'Black-Scholes'!$B$5*EXP(('Black-Scholes'!$B$8-'Black-Scholes'!$B$10-'Black-Scholes'!$B$9^2/2)*'Black-Scholes'!$B$7+'Black-Scholes'!$B$9*SQRT('Black-Scholes'!$B$7)*B3540)</f>
        <v>111.865736591891</v>
      </c>
      <c r="D3540" s="18" t="n">
        <f aca="false">'Black-Scholes'!$B$5*EXP(('Black-Scholes'!$B$8-'Black-Scholes'!$B$10-'Black-Scholes'!$B$9^2/2)*'Black-Scholes'!$B$7-'Black-Scholes'!$B$9*SQRT('Black-Scholes'!$B$7)*B3540)</f>
        <v>94.9206234987889</v>
      </c>
      <c r="E3540" s="18" t="n">
        <f aca="false">EXP(-'Black-Scholes'!$B$8*'Black-Scholes'!$B$7)*IF(LOWER('Black-Scholes'!$B$11)="put",MAX('Black-Scholes'!$B$6-C3540,0),MAX(C3540-'Black-Scholes'!$B$6,0))</f>
        <v>11.2870377895817</v>
      </c>
      <c r="F3540" s="18" t="n">
        <f aca="false">(E3540+G3540)/2</f>
        <v>5.64351889479086</v>
      </c>
      <c r="G3540" s="18" t="n">
        <f aca="false">EXP(-'Black-Scholes'!$B$8*'Black-Scholes'!$B$7)*IF(LOWER('Black-Scholes'!$B$11)="put",MAX('Black-Scholes'!$B$6-D3540,0),MAX(D3540-'Black-Scholes'!$B$6,0))</f>
        <v>0</v>
      </c>
    </row>
    <row r="3541" customFormat="false" ht="15" hidden="false" customHeight="false" outlineLevel="0" collapsed="false">
      <c r="A3541" s="0" t="n">
        <v>3530</v>
      </c>
      <c r="B3541" s="15" t="n">
        <v>0.370240938264325</v>
      </c>
      <c r="C3541" s="18" t="n">
        <f aca="false">'Black-Scholes'!$B$5*EXP(('Black-Scholes'!$B$8-'Black-Scholes'!$B$10-'Black-Scholes'!$B$9^2/2)*'Black-Scholes'!$B$7+'Black-Scholes'!$B$9*SQRT('Black-Scholes'!$B$7)*B3541)</f>
        <v>110.965392524542</v>
      </c>
      <c r="D3541" s="18" t="n">
        <f aca="false">'Black-Scholes'!$B$5*EXP(('Black-Scholes'!$B$8-'Black-Scholes'!$B$10-'Black-Scholes'!$B$9^2/2)*'Black-Scholes'!$B$7-'Black-Scholes'!$B$9*SQRT('Black-Scholes'!$B$7)*B3541)</f>
        <v>95.6907845218966</v>
      </c>
      <c r="E3541" s="18" t="n">
        <f aca="false">EXP(-'Black-Scholes'!$B$8*'Black-Scholes'!$B$7)*IF(LOWER('Black-Scholes'!$B$11)="put",MAX('Black-Scholes'!$B$6-C3541,0),MAX(C3541-'Black-Scholes'!$B$6,0))</f>
        <v>10.4306040205443</v>
      </c>
      <c r="F3541" s="18" t="n">
        <f aca="false">(E3541+G3541)/2</f>
        <v>5.21530201027214</v>
      </c>
      <c r="G3541" s="18" t="n">
        <f aca="false">EXP(-'Black-Scholes'!$B$8*'Black-Scholes'!$B$7)*IF(LOWER('Black-Scholes'!$B$11)="put",MAX('Black-Scholes'!$B$6-D3541,0),MAX(D3541-'Black-Scholes'!$B$6,0))</f>
        <v>0</v>
      </c>
    </row>
    <row r="3542" customFormat="false" ht="15" hidden="false" customHeight="false" outlineLevel="0" collapsed="false">
      <c r="A3542" s="0" t="n">
        <v>3531</v>
      </c>
      <c r="B3542" s="15" t="n">
        <v>1.10610087992078</v>
      </c>
      <c r="C3542" s="18" t="n">
        <f aca="false">'Black-Scholes'!$B$5*EXP(('Black-Scholes'!$B$8-'Black-Scholes'!$B$10-'Black-Scholes'!$B$9^2/2)*'Black-Scholes'!$B$7+'Black-Scholes'!$B$9*SQRT('Black-Scholes'!$B$7)*B3542)</f>
        <v>128.559310990053</v>
      </c>
      <c r="D3542" s="18" t="n">
        <f aca="false">'Black-Scholes'!$B$5*EXP(('Black-Scholes'!$B$8-'Black-Scholes'!$B$10-'Black-Scholes'!$B$9^2/2)*'Black-Scholes'!$B$7-'Black-Scholes'!$B$9*SQRT('Black-Scholes'!$B$7)*B3542)</f>
        <v>82.5950713618492</v>
      </c>
      <c r="E3542" s="18" t="n">
        <f aca="false">EXP(-'Black-Scholes'!$B$8*'Black-Scholes'!$B$7)*IF(LOWER('Black-Scholes'!$B$11)="put",MAX('Black-Scholes'!$B$6-C3542,0),MAX(C3542-'Black-Scholes'!$B$6,0))</f>
        <v>27.1664569572051</v>
      </c>
      <c r="F3542" s="18" t="n">
        <f aca="false">(E3542+G3542)/2</f>
        <v>13.5832284786026</v>
      </c>
      <c r="G3542" s="18" t="n">
        <f aca="false">EXP(-'Black-Scholes'!$B$8*'Black-Scholes'!$B$7)*IF(LOWER('Black-Scholes'!$B$11)="put",MAX('Black-Scholes'!$B$6-D3542,0),MAX(D3542-'Black-Scholes'!$B$6,0))</f>
        <v>0</v>
      </c>
    </row>
    <row r="3543" customFormat="false" ht="15" hidden="false" customHeight="false" outlineLevel="0" collapsed="false">
      <c r="A3543" s="0" t="n">
        <v>3532</v>
      </c>
      <c r="B3543" s="15" t="n">
        <v>1.75329822741439</v>
      </c>
      <c r="C3543" s="18" t="n">
        <f aca="false">'Black-Scholes'!$B$5*EXP(('Black-Scholes'!$B$8-'Black-Scholes'!$B$10-'Black-Scholes'!$B$9^2/2)*'Black-Scholes'!$B$7+'Black-Scholes'!$B$9*SQRT('Black-Scholes'!$B$7)*B3543)</f>
        <v>146.324949707182</v>
      </c>
      <c r="D3543" s="18" t="n">
        <f aca="false">'Black-Scholes'!$B$5*EXP(('Black-Scholes'!$B$8-'Black-Scholes'!$B$10-'Black-Scholes'!$B$9^2/2)*'Black-Scholes'!$B$7-'Black-Scholes'!$B$9*SQRT('Black-Scholes'!$B$7)*B3543)</f>
        <v>72.5670194092157</v>
      </c>
      <c r="E3543" s="18" t="n">
        <f aca="false">EXP(-'Black-Scholes'!$B$8*'Black-Scholes'!$B$7)*IF(LOWER('Black-Scholes'!$B$11)="put",MAX('Black-Scholes'!$B$6-C3543,0),MAX(C3543-'Black-Scholes'!$B$6,0))</f>
        <v>44.0656552499874</v>
      </c>
      <c r="F3543" s="18" t="n">
        <f aca="false">(E3543+G3543)/2</f>
        <v>22.0328276249937</v>
      </c>
      <c r="G3543" s="18" t="n">
        <f aca="false">EXP(-'Black-Scholes'!$B$8*'Black-Scholes'!$B$7)*IF(LOWER('Black-Scholes'!$B$11)="put",MAX('Black-Scholes'!$B$6-D3543,0),MAX(D3543-'Black-Scholes'!$B$6,0))</f>
        <v>0</v>
      </c>
    </row>
    <row r="3544" customFormat="false" ht="15" hidden="false" customHeight="false" outlineLevel="0" collapsed="false">
      <c r="A3544" s="0" t="n">
        <v>3533</v>
      </c>
      <c r="B3544" s="15" t="n">
        <v>1.51428234374435</v>
      </c>
      <c r="C3544" s="18" t="n">
        <f aca="false">'Black-Scholes'!$B$5*EXP(('Black-Scholes'!$B$8-'Black-Scholes'!$B$10-'Black-Scholes'!$B$9^2/2)*'Black-Scholes'!$B$7+'Black-Scholes'!$B$9*SQRT('Black-Scholes'!$B$7)*B3544)</f>
        <v>139.494706560272</v>
      </c>
      <c r="D3544" s="18" t="n">
        <f aca="false">'Black-Scholes'!$B$5*EXP(('Black-Scholes'!$B$8-'Black-Scholes'!$B$10-'Black-Scholes'!$B$9^2/2)*'Black-Scholes'!$B$7-'Black-Scholes'!$B$9*SQRT('Black-Scholes'!$B$7)*B3544)</f>
        <v>76.1202036069064</v>
      </c>
      <c r="E3544" s="18" t="n">
        <f aca="false">EXP(-'Black-Scholes'!$B$8*'Black-Scholes'!$B$7)*IF(LOWER('Black-Scholes'!$B$11)="put",MAX('Black-Scholes'!$B$6-C3544,0),MAX(C3544-'Black-Scholes'!$B$6,0))</f>
        <v>37.5685269921524</v>
      </c>
      <c r="F3544" s="18" t="n">
        <f aca="false">(E3544+G3544)/2</f>
        <v>18.7842634960762</v>
      </c>
      <c r="G3544" s="18" t="n">
        <f aca="false">EXP(-'Black-Scholes'!$B$8*'Black-Scholes'!$B$7)*IF(LOWER('Black-Scholes'!$B$11)="put",MAX('Black-Scholes'!$B$6-D3544,0),MAX(D3544-'Black-Scholes'!$B$6,0))</f>
        <v>0</v>
      </c>
    </row>
    <row r="3545" customFormat="false" ht="15" hidden="false" customHeight="false" outlineLevel="0" collapsed="false">
      <c r="A3545" s="0" t="n">
        <v>3534</v>
      </c>
      <c r="B3545" s="15" t="n">
        <v>0.0836758937802769</v>
      </c>
      <c r="C3545" s="18" t="n">
        <f aca="false">'Black-Scholes'!$B$5*EXP(('Black-Scholes'!$B$8-'Black-Scholes'!$B$10-'Black-Scholes'!$B$9^2/2)*'Black-Scholes'!$B$7+'Black-Scholes'!$B$9*SQRT('Black-Scholes'!$B$7)*B3545)</f>
        <v>104.784448085471</v>
      </c>
      <c r="D3545" s="18" t="n">
        <f aca="false">'Black-Scholes'!$B$5*EXP(('Black-Scholes'!$B$8-'Black-Scholes'!$B$10-'Black-Scholes'!$B$9^2/2)*'Black-Scholes'!$B$7-'Black-Scholes'!$B$9*SQRT('Black-Scholes'!$B$7)*B3545)</f>
        <v>101.335318928171</v>
      </c>
      <c r="E3545" s="18" t="n">
        <f aca="false">EXP(-'Black-Scholes'!$B$8*'Black-Scholes'!$B$7)*IF(LOWER('Black-Scholes'!$B$11)="put",MAX('Black-Scholes'!$B$6-C3545,0),MAX(C3545-'Black-Scholes'!$B$6,0))</f>
        <v>4.55110779889634</v>
      </c>
      <c r="F3545" s="18" t="n">
        <f aca="false">(E3545+G3545)/2</f>
        <v>2.91065122723264</v>
      </c>
      <c r="G3545" s="18" t="n">
        <f aca="false">EXP(-'Black-Scholes'!$B$8*'Black-Scholes'!$B$7)*IF(LOWER('Black-Scholes'!$B$11)="put",MAX('Black-Scholes'!$B$6-D3545,0),MAX(D3545-'Black-Scholes'!$B$6,0))</f>
        <v>1.27019465556895</v>
      </c>
    </row>
    <row r="3546" customFormat="false" ht="15" hidden="false" customHeight="false" outlineLevel="0" collapsed="false">
      <c r="A3546" s="0" t="n">
        <v>3535</v>
      </c>
      <c r="B3546" s="15" t="n">
        <v>0.0306844929903998</v>
      </c>
      <c r="C3546" s="18" t="n">
        <f aca="false">'Black-Scholes'!$B$5*EXP(('Black-Scholes'!$B$8-'Black-Scholes'!$B$10-'Black-Scholes'!$B$9^2/2)*'Black-Scholes'!$B$7+'Black-Scholes'!$B$9*SQRT('Black-Scholes'!$B$7)*B3546)</f>
        <v>103.679777293754</v>
      </c>
      <c r="D3546" s="18" t="n">
        <f aca="false">'Black-Scholes'!$B$5*EXP(('Black-Scholes'!$B$8-'Black-Scholes'!$B$10-'Black-Scholes'!$B$9^2/2)*'Black-Scholes'!$B$7-'Black-Scholes'!$B$9*SQRT('Black-Scholes'!$B$7)*B3546)</f>
        <v>102.415010357987</v>
      </c>
      <c r="E3546" s="18" t="n">
        <f aca="false">EXP(-'Black-Scholes'!$B$8*'Black-Scholes'!$B$7)*IF(LOWER('Black-Scholes'!$B$11)="put",MAX('Black-Scholes'!$B$6-C3546,0),MAX(C3546-'Black-Scholes'!$B$6,0))</f>
        <v>3.50031243742879</v>
      </c>
      <c r="F3546" s="18" t="n">
        <f aca="false">(E3546+G3546)/2</f>
        <v>2.89877067520981</v>
      </c>
      <c r="G3546" s="18" t="n">
        <f aca="false">EXP(-'Black-Scholes'!$B$8*'Black-Scholes'!$B$7)*IF(LOWER('Black-Scholes'!$B$11)="put",MAX('Black-Scholes'!$B$6-D3546,0),MAX(D3546-'Black-Scholes'!$B$6,0))</f>
        <v>2.29722891299083</v>
      </c>
    </row>
    <row r="3547" customFormat="false" ht="15" hidden="false" customHeight="false" outlineLevel="0" collapsed="false">
      <c r="A3547" s="0" t="n">
        <v>3536</v>
      </c>
      <c r="B3547" s="15" t="n">
        <v>-1.13599753522656</v>
      </c>
      <c r="C3547" s="18" t="n">
        <f aca="false">'Black-Scholes'!$B$5*EXP(('Black-Scholes'!$B$8-'Black-Scholes'!$B$10-'Black-Scholes'!$B$9^2/2)*'Black-Scholes'!$B$7+'Black-Scholes'!$B$9*SQRT('Black-Scholes'!$B$7)*B3547)</f>
        <v>82.1026816337631</v>
      </c>
      <c r="D3547" s="18" t="n">
        <f aca="false">'Black-Scholes'!$B$5*EXP(('Black-Scholes'!$B$8-'Black-Scholes'!$B$10-'Black-Scholes'!$B$9^2/2)*'Black-Scholes'!$B$7-'Black-Scholes'!$B$9*SQRT('Black-Scholes'!$B$7)*B3547)</f>
        <v>129.330312410734</v>
      </c>
      <c r="E3547" s="18" t="n">
        <f aca="false">EXP(-'Black-Scholes'!$B$8*'Black-Scholes'!$B$7)*IF(LOWER('Black-Scholes'!$B$11)="put",MAX('Black-Scholes'!$B$6-C3547,0),MAX(C3547-'Black-Scholes'!$B$6,0))</f>
        <v>0</v>
      </c>
      <c r="F3547" s="18" t="n">
        <f aca="false">(E3547+G3547)/2</f>
        <v>13.9499280974442</v>
      </c>
      <c r="G3547" s="18" t="n">
        <f aca="false">EXP(-'Black-Scholes'!$B$8*'Black-Scholes'!$B$7)*IF(LOWER('Black-Scholes'!$B$11)="put",MAX('Black-Scholes'!$B$6-D3547,0),MAX(D3547-'Black-Scholes'!$B$6,0))</f>
        <v>27.8998561948885</v>
      </c>
    </row>
    <row r="3548" customFormat="false" ht="15" hidden="false" customHeight="false" outlineLevel="0" collapsed="false">
      <c r="A3548" s="0" t="n">
        <v>3537</v>
      </c>
      <c r="B3548" s="15" t="n">
        <v>0.127865143034797</v>
      </c>
      <c r="C3548" s="18" t="n">
        <f aca="false">'Black-Scholes'!$B$5*EXP(('Black-Scholes'!$B$8-'Black-Scholes'!$B$10-'Black-Scholes'!$B$9^2/2)*'Black-Scholes'!$B$7+'Black-Scholes'!$B$9*SQRT('Black-Scholes'!$B$7)*B3548)</f>
        <v>105.714621616904</v>
      </c>
      <c r="D3548" s="18" t="n">
        <f aca="false">'Black-Scholes'!$B$5*EXP(('Black-Scholes'!$B$8-'Black-Scholes'!$B$10-'Black-Scholes'!$B$9^2/2)*'Black-Scholes'!$B$7-'Black-Scholes'!$B$9*SQRT('Black-Scholes'!$B$7)*B3548)</f>
        <v>100.443678490694</v>
      </c>
      <c r="E3548" s="18" t="n">
        <f aca="false">EXP(-'Black-Scholes'!$B$8*'Black-Scholes'!$B$7)*IF(LOWER('Black-Scholes'!$B$11)="put",MAX('Black-Scholes'!$B$6-C3548,0),MAX(C3548-'Black-Scholes'!$B$6,0))</f>
        <v>5.43591623188661</v>
      </c>
      <c r="F3548" s="18" t="n">
        <f aca="false">(E3548+G3548)/2</f>
        <v>2.9289781336262</v>
      </c>
      <c r="G3548" s="18" t="n">
        <f aca="false">EXP(-'Black-Scholes'!$B$8*'Black-Scholes'!$B$7)*IF(LOWER('Black-Scholes'!$B$11)="put",MAX('Black-Scholes'!$B$6-D3548,0),MAX(D3548-'Black-Scholes'!$B$6,0))</f>
        <v>0.422040035365791</v>
      </c>
    </row>
    <row r="3549" customFormat="false" ht="15" hidden="false" customHeight="false" outlineLevel="0" collapsed="false">
      <c r="A3549" s="0" t="n">
        <v>3538</v>
      </c>
      <c r="B3549" s="15" t="n">
        <v>1.05586700791769</v>
      </c>
      <c r="C3549" s="18" t="n">
        <f aca="false">'Black-Scholes'!$B$5*EXP(('Black-Scholes'!$B$8-'Black-Scholes'!$B$10-'Black-Scholes'!$B$9^2/2)*'Black-Scholes'!$B$7+'Black-Scholes'!$B$9*SQRT('Black-Scholes'!$B$7)*B3549)</f>
        <v>127.274171160309</v>
      </c>
      <c r="D3549" s="18" t="n">
        <f aca="false">'Black-Scholes'!$B$5*EXP(('Black-Scholes'!$B$8-'Black-Scholes'!$B$10-'Black-Scholes'!$B$9^2/2)*'Black-Scholes'!$B$7-'Black-Scholes'!$B$9*SQRT('Black-Scholes'!$B$7)*B3549)</f>
        <v>83.4290678827454</v>
      </c>
      <c r="E3549" s="18" t="n">
        <f aca="false">EXP(-'Black-Scholes'!$B$8*'Black-Scholes'!$B$7)*IF(LOWER('Black-Scholes'!$B$11)="put",MAX('Black-Scholes'!$B$6-C3549,0),MAX(C3549-'Black-Scholes'!$B$6,0))</f>
        <v>25.9439941365549</v>
      </c>
      <c r="F3549" s="18" t="n">
        <f aca="false">(E3549+G3549)/2</f>
        <v>12.9719970682775</v>
      </c>
      <c r="G3549" s="18" t="n">
        <f aca="false">EXP(-'Black-Scholes'!$B$8*'Black-Scholes'!$B$7)*IF(LOWER('Black-Scholes'!$B$11)="put",MAX('Black-Scholes'!$B$6-D3549,0),MAX(D3549-'Black-Scholes'!$B$6,0))</f>
        <v>0</v>
      </c>
    </row>
    <row r="3550" customFormat="false" ht="15" hidden="false" customHeight="false" outlineLevel="0" collapsed="false">
      <c r="A3550" s="0" t="n">
        <v>3539</v>
      </c>
      <c r="B3550" s="15" t="n">
        <v>1.44956840125988</v>
      </c>
      <c r="C3550" s="18" t="n">
        <f aca="false">'Black-Scholes'!$B$5*EXP(('Black-Scholes'!$B$8-'Black-Scholes'!$B$10-'Black-Scholes'!$B$9^2/2)*'Black-Scholes'!$B$7+'Black-Scholes'!$B$9*SQRT('Black-Scholes'!$B$7)*B3550)</f>
        <v>137.700889614475</v>
      </c>
      <c r="D3550" s="18" t="n">
        <f aca="false">'Black-Scholes'!$B$5*EXP(('Black-Scholes'!$B$8-'Black-Scholes'!$B$10-'Black-Scholes'!$B$9^2/2)*'Black-Scholes'!$B$7-'Black-Scholes'!$B$9*SQRT('Black-Scholes'!$B$7)*B3550)</f>
        <v>77.111814565484</v>
      </c>
      <c r="E3550" s="18" t="n">
        <f aca="false">EXP(-'Black-Scholes'!$B$8*'Black-Scholes'!$B$7)*IF(LOWER('Black-Scholes'!$B$11)="put",MAX('Black-Scholes'!$B$6-C3550,0),MAX(C3550-'Black-Scholes'!$B$6,0))</f>
        <v>35.8621955311422</v>
      </c>
      <c r="F3550" s="18" t="n">
        <f aca="false">(E3550+G3550)/2</f>
        <v>17.9310977655711</v>
      </c>
      <c r="G3550" s="18" t="n">
        <f aca="false">EXP(-'Black-Scholes'!$B$8*'Black-Scholes'!$B$7)*IF(LOWER('Black-Scholes'!$B$11)="put",MAX('Black-Scholes'!$B$6-D3550,0),MAX(D3550-'Black-Scholes'!$B$6,0))</f>
        <v>0</v>
      </c>
    </row>
    <row r="3551" customFormat="false" ht="15" hidden="false" customHeight="false" outlineLevel="0" collapsed="false">
      <c r="A3551" s="0" t="n">
        <v>3540</v>
      </c>
      <c r="B3551" s="15" t="n">
        <v>1.0479858680687</v>
      </c>
      <c r="C3551" s="18" t="n">
        <f aca="false">'Black-Scholes'!$B$5*EXP(('Black-Scholes'!$B$8-'Black-Scholes'!$B$10-'Black-Scholes'!$B$9^2/2)*'Black-Scholes'!$B$7+'Black-Scholes'!$B$9*SQRT('Black-Scholes'!$B$7)*B3551)</f>
        <v>127.073716074852</v>
      </c>
      <c r="D3551" s="18" t="n">
        <f aca="false">'Black-Scholes'!$B$5*EXP(('Black-Scholes'!$B$8-'Black-Scholes'!$B$10-'Black-Scholes'!$B$9^2/2)*'Black-Scholes'!$B$7-'Black-Scholes'!$B$9*SQRT('Black-Scholes'!$B$7)*B3551)</f>
        <v>83.5606748070457</v>
      </c>
      <c r="E3551" s="18" t="n">
        <f aca="false">EXP(-'Black-Scholes'!$B$8*'Black-Scholes'!$B$7)*IF(LOWER('Black-Scholes'!$B$11)="put",MAX('Black-Scholes'!$B$6-C3551,0),MAX(C3551-'Black-Scholes'!$B$6,0))</f>
        <v>25.7533153609775</v>
      </c>
      <c r="F3551" s="18" t="n">
        <f aca="false">(E3551+G3551)/2</f>
        <v>12.8766576804887</v>
      </c>
      <c r="G3551" s="18" t="n">
        <f aca="false">EXP(-'Black-Scholes'!$B$8*'Black-Scholes'!$B$7)*IF(LOWER('Black-Scholes'!$B$11)="put",MAX('Black-Scholes'!$B$6-D3551,0),MAX(D3551-'Black-Scholes'!$B$6,0))</f>
        <v>0</v>
      </c>
    </row>
    <row r="3552" customFormat="false" ht="15" hidden="false" customHeight="false" outlineLevel="0" collapsed="false">
      <c r="A3552" s="0" t="n">
        <v>3541</v>
      </c>
      <c r="B3552" s="15" t="n">
        <v>-0.140316543781998</v>
      </c>
      <c r="C3552" s="18" t="n">
        <f aca="false">'Black-Scholes'!$B$5*EXP(('Black-Scholes'!$B$8-'Black-Scholes'!$B$10-'Black-Scholes'!$B$9^2/2)*'Black-Scholes'!$B$7+'Black-Scholes'!$B$9*SQRT('Black-Scholes'!$B$7)*B3552)</f>
        <v>100.193856784135</v>
      </c>
      <c r="D3552" s="18" t="n">
        <f aca="false">'Black-Scholes'!$B$5*EXP(('Black-Scholes'!$B$8-'Black-Scholes'!$B$10-'Black-Scholes'!$B$9^2/2)*'Black-Scholes'!$B$7-'Black-Scholes'!$B$9*SQRT('Black-Scholes'!$B$7)*B3552)</f>
        <v>105.978208707252</v>
      </c>
      <c r="E3552" s="18" t="n">
        <f aca="false">EXP(-'Black-Scholes'!$B$8*'Black-Scholes'!$B$7)*IF(LOWER('Black-Scholes'!$B$11)="put",MAX('Black-Scholes'!$B$6-C3552,0),MAX(C3552-'Black-Scholes'!$B$6,0))</f>
        <v>0.184402277208749</v>
      </c>
      <c r="F3552" s="18" t="n">
        <f aca="false">(E3552+G3552)/2</f>
        <v>2.93552515267647</v>
      </c>
      <c r="G3552" s="18" t="n">
        <f aca="false">EXP(-'Black-Scholes'!$B$8*'Black-Scholes'!$B$7)*IF(LOWER('Black-Scholes'!$B$11)="put",MAX('Black-Scholes'!$B$6-D3552,0),MAX(D3552-'Black-Scholes'!$B$6,0))</f>
        <v>5.68664802814419</v>
      </c>
    </row>
    <row r="3553" customFormat="false" ht="15" hidden="false" customHeight="false" outlineLevel="0" collapsed="false">
      <c r="A3553" s="0" t="n">
        <v>3542</v>
      </c>
      <c r="B3553" s="15" t="n">
        <v>1.50003505320023</v>
      </c>
      <c r="C3553" s="18" t="n">
        <f aca="false">'Black-Scholes'!$B$5*EXP(('Black-Scholes'!$B$8-'Black-Scholes'!$B$10-'Black-Scholes'!$B$9^2/2)*'Black-Scholes'!$B$7+'Black-Scholes'!$B$9*SQRT('Black-Scholes'!$B$7)*B3553)</f>
        <v>139.097788007483</v>
      </c>
      <c r="D3553" s="18" t="n">
        <f aca="false">'Black-Scholes'!$B$5*EXP(('Black-Scholes'!$B$8-'Black-Scholes'!$B$10-'Black-Scholes'!$B$9^2/2)*'Black-Scholes'!$B$7-'Black-Scholes'!$B$9*SQRT('Black-Scholes'!$B$7)*B3553)</f>
        <v>76.337414257676</v>
      </c>
      <c r="E3553" s="18" t="n">
        <f aca="false">EXP(-'Black-Scholes'!$B$8*'Black-Scholes'!$B$7)*IF(LOWER('Black-Scholes'!$B$11)="put",MAX('Black-Scholes'!$B$6-C3553,0),MAX(C3553-'Black-Scholes'!$B$6,0))</f>
        <v>37.1909663856086</v>
      </c>
      <c r="F3553" s="18" t="n">
        <f aca="false">(E3553+G3553)/2</f>
        <v>18.5954831928043</v>
      </c>
      <c r="G3553" s="18" t="n">
        <f aca="false">EXP(-'Black-Scholes'!$B$8*'Black-Scholes'!$B$7)*IF(LOWER('Black-Scholes'!$B$11)="put",MAX('Black-Scholes'!$B$6-D3553,0),MAX(D3553-'Black-Scholes'!$B$6,0))</f>
        <v>0</v>
      </c>
    </row>
    <row r="3554" customFormat="false" ht="15" hidden="false" customHeight="false" outlineLevel="0" collapsed="false">
      <c r="A3554" s="0" t="n">
        <v>3543</v>
      </c>
      <c r="B3554" s="15" t="n">
        <v>2.57229585094841</v>
      </c>
      <c r="C3554" s="18" t="n">
        <f aca="false">'Black-Scholes'!$B$5*EXP(('Black-Scholes'!$B$8-'Black-Scholes'!$B$10-'Black-Scholes'!$B$9^2/2)*'Black-Scholes'!$B$7+'Black-Scholes'!$B$9*SQRT('Black-Scholes'!$B$7)*B3554)</f>
        <v>172.367591492795</v>
      </c>
      <c r="D3554" s="18" t="n">
        <f aca="false">'Black-Scholes'!$B$5*EXP(('Black-Scholes'!$B$8-'Black-Scholes'!$B$10-'Black-Scholes'!$B$9^2/2)*'Black-Scholes'!$B$7-'Black-Scholes'!$B$9*SQRT('Black-Scholes'!$B$7)*B3554)</f>
        <v>61.6030274223415</v>
      </c>
      <c r="E3554" s="18" t="n">
        <f aca="false">EXP(-'Black-Scholes'!$B$8*'Black-Scholes'!$B$7)*IF(LOWER('Black-Scholes'!$B$11)="put",MAX('Black-Scholes'!$B$6-C3554,0),MAX(C3554-'Black-Scholes'!$B$6,0))</f>
        <v>68.838182408194</v>
      </c>
      <c r="F3554" s="18" t="n">
        <f aca="false">(E3554+G3554)/2</f>
        <v>34.419091204097</v>
      </c>
      <c r="G3554" s="18" t="n">
        <f aca="false">EXP(-'Black-Scholes'!$B$8*'Black-Scholes'!$B$7)*IF(LOWER('Black-Scholes'!$B$11)="put",MAX('Black-Scholes'!$B$6-D3554,0),MAX(D3554-'Black-Scholes'!$B$6,0))</f>
        <v>0</v>
      </c>
    </row>
    <row r="3555" customFormat="false" ht="15" hidden="false" customHeight="false" outlineLevel="0" collapsed="false">
      <c r="A3555" s="0" t="n">
        <v>3544</v>
      </c>
      <c r="B3555" s="15" t="n">
        <v>-2.89064053263294</v>
      </c>
      <c r="C3555" s="18" t="n">
        <f aca="false">'Black-Scholes'!$B$5*EXP(('Black-Scholes'!$B$8-'Black-Scholes'!$B$10-'Black-Scholes'!$B$9^2/2)*'Black-Scholes'!$B$7+'Black-Scholes'!$B$9*SQRT('Black-Scholes'!$B$7)*B3555)</f>
        <v>57.8030810407822</v>
      </c>
      <c r="D3555" s="18" t="n">
        <f aca="false">'Black-Scholes'!$B$5*EXP(('Black-Scholes'!$B$8-'Black-Scholes'!$B$10-'Black-Scholes'!$B$9^2/2)*'Black-Scholes'!$B$7-'Black-Scholes'!$B$9*SQRT('Black-Scholes'!$B$7)*B3555)</f>
        <v>183.698952966918</v>
      </c>
      <c r="E3555" s="18" t="n">
        <f aca="false">EXP(-'Black-Scholes'!$B$8*'Black-Scholes'!$B$7)*IF(LOWER('Black-Scholes'!$B$11)="put",MAX('Black-Scholes'!$B$6-C3555,0),MAX(C3555-'Black-Scholes'!$B$6,0))</f>
        <v>0</v>
      </c>
      <c r="F3555" s="18" t="n">
        <f aca="false">(E3555+G3555)/2</f>
        <v>39.8084534310169</v>
      </c>
      <c r="G3555" s="18" t="n">
        <f aca="false">EXP(-'Black-Scholes'!$B$8*'Black-Scholes'!$B$7)*IF(LOWER('Black-Scholes'!$B$11)="put",MAX('Black-Scholes'!$B$6-D3555,0),MAX(D3555-'Black-Scholes'!$B$6,0))</f>
        <v>79.6169068620338</v>
      </c>
    </row>
    <row r="3556" customFormat="false" ht="15" hidden="false" customHeight="false" outlineLevel="0" collapsed="false">
      <c r="A3556" s="0" t="n">
        <v>3545</v>
      </c>
      <c r="B3556" s="15" t="n">
        <v>0.838900099748578</v>
      </c>
      <c r="C3556" s="18" t="n">
        <f aca="false">'Black-Scholes'!$B$5*EXP(('Black-Scholes'!$B$8-'Black-Scholes'!$B$10-'Black-Scholes'!$B$9^2/2)*'Black-Scholes'!$B$7+'Black-Scholes'!$B$9*SQRT('Black-Scholes'!$B$7)*B3556)</f>
        <v>121.869427590433</v>
      </c>
      <c r="D3556" s="18" t="n">
        <f aca="false">'Black-Scholes'!$B$5*EXP(('Black-Scholes'!$B$8-'Black-Scholes'!$B$10-'Black-Scholes'!$B$9^2/2)*'Black-Scholes'!$B$7-'Black-Scholes'!$B$9*SQRT('Black-Scholes'!$B$7)*B3556)</f>
        <v>87.1290337158122</v>
      </c>
      <c r="E3556" s="18" t="n">
        <f aca="false">EXP(-'Black-Scholes'!$B$8*'Black-Scholes'!$B$7)*IF(LOWER('Black-Scholes'!$B$11)="put",MAX('Black-Scholes'!$B$6-C3556,0),MAX(C3556-'Black-Scholes'!$B$6,0))</f>
        <v>20.8028430210079</v>
      </c>
      <c r="F3556" s="18" t="n">
        <f aca="false">(E3556+G3556)/2</f>
        <v>10.4014215105039</v>
      </c>
      <c r="G3556" s="18" t="n">
        <f aca="false">EXP(-'Black-Scholes'!$B$8*'Black-Scholes'!$B$7)*IF(LOWER('Black-Scholes'!$B$11)="put",MAX('Black-Scholes'!$B$6-D3556,0),MAX(D3556-'Black-Scholes'!$B$6,0))</f>
        <v>0</v>
      </c>
    </row>
    <row r="3557" customFormat="false" ht="15" hidden="false" customHeight="false" outlineLevel="0" collapsed="false">
      <c r="A3557" s="0" t="n">
        <v>3546</v>
      </c>
      <c r="B3557" s="15" t="n">
        <v>0.405458099118105</v>
      </c>
      <c r="C3557" s="18" t="n">
        <f aca="false">'Black-Scholes'!$B$5*EXP(('Black-Scholes'!$B$8-'Black-Scholes'!$B$10-'Black-Scholes'!$B$9^2/2)*'Black-Scholes'!$B$7+'Black-Scholes'!$B$9*SQRT('Black-Scholes'!$B$7)*B3557)</f>
        <v>111.74972870687</v>
      </c>
      <c r="D3557" s="18" t="n">
        <f aca="false">'Black-Scholes'!$B$5*EXP(('Black-Scholes'!$B$8-'Black-Scholes'!$B$10-'Black-Scholes'!$B$9^2/2)*'Black-Scholes'!$B$7-'Black-Scholes'!$B$9*SQRT('Black-Scholes'!$B$7)*B3557)</f>
        <v>95.0191610156531</v>
      </c>
      <c r="E3557" s="18" t="n">
        <f aca="false">EXP(-'Black-Scholes'!$B$8*'Black-Scholes'!$B$7)*IF(LOWER('Black-Scholes'!$B$11)="put",MAX('Black-Scholes'!$B$6-C3557,0),MAX(C3557-'Black-Scholes'!$B$6,0))</f>
        <v>11.1766876758751</v>
      </c>
      <c r="F3557" s="18" t="n">
        <f aca="false">(E3557+G3557)/2</f>
        <v>5.58834383793756</v>
      </c>
      <c r="G3557" s="18" t="n">
        <f aca="false">EXP(-'Black-Scholes'!$B$8*'Black-Scholes'!$B$7)*IF(LOWER('Black-Scholes'!$B$11)="put",MAX('Black-Scholes'!$B$6-D3557,0),MAX(D3557-'Black-Scholes'!$B$6,0))</f>
        <v>0</v>
      </c>
    </row>
    <row r="3558" customFormat="false" ht="15" hidden="false" customHeight="false" outlineLevel="0" collapsed="false">
      <c r="A3558" s="0" t="n">
        <v>3547</v>
      </c>
      <c r="B3558" s="15" t="n">
        <v>0.706559118811072</v>
      </c>
      <c r="C3558" s="18" t="n">
        <f aca="false">'Black-Scholes'!$B$5*EXP(('Black-Scholes'!$B$8-'Black-Scholes'!$B$10-'Black-Scholes'!$B$9^2/2)*'Black-Scholes'!$B$7+'Black-Scholes'!$B$9*SQRT('Black-Scholes'!$B$7)*B3558)</f>
        <v>118.686078272056</v>
      </c>
      <c r="D3558" s="18" t="n">
        <f aca="false">'Black-Scholes'!$B$5*EXP(('Black-Scholes'!$B$8-'Black-Scholes'!$B$10-'Black-Scholes'!$B$9^2/2)*'Black-Scholes'!$B$7-'Black-Scholes'!$B$9*SQRT('Black-Scholes'!$B$7)*B3558)</f>
        <v>89.465972926613</v>
      </c>
      <c r="E3558" s="18" t="n">
        <f aca="false">EXP(-'Black-Scholes'!$B$8*'Black-Scholes'!$B$7)*IF(LOWER('Black-Scholes'!$B$11)="put",MAX('Black-Scholes'!$B$6-C3558,0),MAX(C3558-'Black-Scholes'!$B$6,0))</f>
        <v>17.7747474809028</v>
      </c>
      <c r="F3558" s="18" t="n">
        <f aca="false">(E3558+G3558)/2</f>
        <v>8.88737374045138</v>
      </c>
      <c r="G3558" s="18" t="n">
        <f aca="false">EXP(-'Black-Scholes'!$B$8*'Black-Scholes'!$B$7)*IF(LOWER('Black-Scholes'!$B$11)="put",MAX('Black-Scholes'!$B$6-D3558,0),MAX(D3558-'Black-Scholes'!$B$6,0))</f>
        <v>0</v>
      </c>
    </row>
    <row r="3559" customFormat="false" ht="15" hidden="false" customHeight="false" outlineLevel="0" collapsed="false">
      <c r="A3559" s="0" t="n">
        <v>3548</v>
      </c>
      <c r="B3559" s="15" t="n">
        <v>1.0683851024368</v>
      </c>
      <c r="C3559" s="18" t="n">
        <f aca="false">'Black-Scholes'!$B$5*EXP(('Black-Scholes'!$B$8-'Black-Scholes'!$B$10-'Black-Scholes'!$B$9^2/2)*'Black-Scholes'!$B$7+'Black-Scholes'!$B$9*SQRT('Black-Scholes'!$B$7)*B3559)</f>
        <v>127.593216398388</v>
      </c>
      <c r="D3559" s="18" t="n">
        <f aca="false">'Black-Scholes'!$B$5*EXP(('Black-Scholes'!$B$8-'Black-Scholes'!$B$10-'Black-Scholes'!$B$9^2/2)*'Black-Scholes'!$B$7-'Black-Scholes'!$B$9*SQRT('Black-Scholes'!$B$7)*B3559)</f>
        <v>83.2204545443822</v>
      </c>
      <c r="E3559" s="18" t="n">
        <f aca="false">EXP(-'Black-Scholes'!$B$8*'Black-Scholes'!$B$7)*IF(LOWER('Black-Scholes'!$B$11)="put",MAX('Black-Scholes'!$B$6-C3559,0),MAX(C3559-'Black-Scholes'!$B$6,0))</f>
        <v>26.2474793547626</v>
      </c>
      <c r="F3559" s="18" t="n">
        <f aca="false">(E3559+G3559)/2</f>
        <v>13.1237396773813</v>
      </c>
      <c r="G3559" s="18" t="n">
        <f aca="false">EXP(-'Black-Scholes'!$B$8*'Black-Scholes'!$B$7)*IF(LOWER('Black-Scholes'!$B$11)="put",MAX('Black-Scholes'!$B$6-D3559,0),MAX(D3559-'Black-Scholes'!$B$6,0))</f>
        <v>0</v>
      </c>
    </row>
    <row r="3560" customFormat="false" ht="15" hidden="false" customHeight="false" outlineLevel="0" collapsed="false">
      <c r="A3560" s="0" t="n">
        <v>3549</v>
      </c>
      <c r="B3560" s="15" t="n">
        <v>1.36429927428381</v>
      </c>
      <c r="C3560" s="18" t="n">
        <f aca="false">'Black-Scholes'!$B$5*EXP(('Black-Scholes'!$B$8-'Black-Scholes'!$B$10-'Black-Scholes'!$B$9^2/2)*'Black-Scholes'!$B$7+'Black-Scholes'!$B$9*SQRT('Black-Scholes'!$B$7)*B3560)</f>
        <v>135.3724733201</v>
      </c>
      <c r="D3560" s="18" t="n">
        <f aca="false">'Black-Scholes'!$B$5*EXP(('Black-Scholes'!$B$8-'Black-Scholes'!$B$10-'Black-Scholes'!$B$9^2/2)*'Black-Scholes'!$B$7-'Black-Scholes'!$B$9*SQRT('Black-Scholes'!$B$7)*B3560)</f>
        <v>78.4381433317357</v>
      </c>
      <c r="E3560" s="18" t="n">
        <f aca="false">EXP(-'Black-Scholes'!$B$8*'Black-Scholes'!$B$7)*IF(LOWER('Black-Scholes'!$B$11)="put",MAX('Black-Scholes'!$B$6-C3560,0),MAX(C3560-'Black-Scholes'!$B$6,0))</f>
        <v>33.6473374394459</v>
      </c>
      <c r="F3560" s="18" t="n">
        <f aca="false">(E3560+G3560)/2</f>
        <v>16.823668719723</v>
      </c>
      <c r="G3560" s="18" t="n">
        <f aca="false">EXP(-'Black-Scholes'!$B$8*'Black-Scholes'!$B$7)*IF(LOWER('Black-Scholes'!$B$11)="put",MAX('Black-Scholes'!$B$6-D3560,0),MAX(D3560-'Black-Scholes'!$B$6,0))</f>
        <v>0</v>
      </c>
    </row>
    <row r="3561" customFormat="false" ht="15" hidden="false" customHeight="false" outlineLevel="0" collapsed="false">
      <c r="A3561" s="0" t="n">
        <v>3550</v>
      </c>
      <c r="B3561" s="15" t="n">
        <v>0.808507585205729</v>
      </c>
      <c r="C3561" s="18" t="n">
        <f aca="false">'Black-Scholes'!$B$5*EXP(('Black-Scholes'!$B$8-'Black-Scholes'!$B$10-'Black-Scholes'!$B$9^2/2)*'Black-Scholes'!$B$7+'Black-Scholes'!$B$9*SQRT('Black-Scholes'!$B$7)*B3561)</f>
        <v>121.130890793359</v>
      </c>
      <c r="D3561" s="18" t="n">
        <f aca="false">'Black-Scholes'!$B$5*EXP(('Black-Scholes'!$B$8-'Black-Scholes'!$B$10-'Black-Scholes'!$B$9^2/2)*'Black-Scholes'!$B$7-'Black-Scholes'!$B$9*SQRT('Black-Scholes'!$B$7)*B3561)</f>
        <v>87.6602606973954</v>
      </c>
      <c r="E3561" s="18" t="n">
        <f aca="false">EXP(-'Black-Scholes'!$B$8*'Black-Scholes'!$B$7)*IF(LOWER('Black-Scholes'!$B$11)="put",MAX('Black-Scholes'!$B$6-C3561,0),MAX(C3561-'Black-Scholes'!$B$6,0))</f>
        <v>20.1003250885545</v>
      </c>
      <c r="F3561" s="18" t="n">
        <f aca="false">(E3561+G3561)/2</f>
        <v>10.0501625442772</v>
      </c>
      <c r="G3561" s="18" t="n">
        <f aca="false">EXP(-'Black-Scholes'!$B$8*'Black-Scholes'!$B$7)*IF(LOWER('Black-Scholes'!$B$11)="put",MAX('Black-Scholes'!$B$6-D3561,0),MAX(D3561-'Black-Scholes'!$B$6,0))</f>
        <v>0</v>
      </c>
    </row>
    <row r="3562" customFormat="false" ht="15" hidden="false" customHeight="false" outlineLevel="0" collapsed="false">
      <c r="A3562" s="0" t="n">
        <v>3551</v>
      </c>
      <c r="B3562" s="15" t="n">
        <v>0.694759297929339</v>
      </c>
      <c r="C3562" s="18" t="n">
        <f aca="false">'Black-Scholes'!$B$5*EXP(('Black-Scholes'!$B$8-'Black-Scholes'!$B$10-'Black-Scholes'!$B$9^2/2)*'Black-Scholes'!$B$7+'Black-Scholes'!$B$9*SQRT('Black-Scholes'!$B$7)*B3562)</f>
        <v>118.406313626218</v>
      </c>
      <c r="D3562" s="18" t="n">
        <f aca="false">'Black-Scholes'!$B$5*EXP(('Black-Scholes'!$B$8-'Black-Scholes'!$B$10-'Black-Scholes'!$B$9^2/2)*'Black-Scholes'!$B$7-'Black-Scholes'!$B$9*SQRT('Black-Scholes'!$B$7)*B3562)</f>
        <v>89.6773587511002</v>
      </c>
      <c r="E3562" s="18" t="n">
        <f aca="false">EXP(-'Black-Scholes'!$B$8*'Black-Scholes'!$B$7)*IF(LOWER('Black-Scholes'!$B$11)="put",MAX('Black-Scholes'!$B$6-C3562,0),MAX(C3562-'Black-Scholes'!$B$6,0))</f>
        <v>17.5086271178466</v>
      </c>
      <c r="F3562" s="18" t="n">
        <f aca="false">(E3562+G3562)/2</f>
        <v>8.75431355892332</v>
      </c>
      <c r="G3562" s="18" t="n">
        <f aca="false">EXP(-'Black-Scholes'!$B$8*'Black-Scholes'!$B$7)*IF(LOWER('Black-Scholes'!$B$11)="put",MAX('Black-Scholes'!$B$6-D3562,0),MAX(D3562-'Black-Scholes'!$B$6,0))</f>
        <v>0</v>
      </c>
    </row>
    <row r="3563" customFormat="false" ht="15" hidden="false" customHeight="false" outlineLevel="0" collapsed="false">
      <c r="A3563" s="0" t="n">
        <v>3552</v>
      </c>
      <c r="B3563" s="15" t="n">
        <v>-0.674537861840291</v>
      </c>
      <c r="C3563" s="18" t="n">
        <f aca="false">'Black-Scholes'!$B$5*EXP(('Black-Scholes'!$B$8-'Black-Scholes'!$B$10-'Black-Scholes'!$B$9^2/2)*'Black-Scholes'!$B$7+'Black-Scholes'!$B$9*SQRT('Black-Scholes'!$B$7)*B3563)</f>
        <v>90.0407741295662</v>
      </c>
      <c r="D3563" s="18" t="n">
        <f aca="false">'Black-Scholes'!$B$5*EXP(('Black-Scholes'!$B$8-'Black-Scholes'!$B$10-'Black-Scholes'!$B$9^2/2)*'Black-Scholes'!$B$7-'Black-Scholes'!$B$9*SQRT('Black-Scholes'!$B$7)*B3563)</f>
        <v>117.928411523584</v>
      </c>
      <c r="E3563" s="18" t="n">
        <f aca="false">EXP(-'Black-Scholes'!$B$8*'Black-Scholes'!$B$7)*IF(LOWER('Black-Scholes'!$B$11)="put",MAX('Black-Scholes'!$B$6-C3563,0),MAX(C3563-'Black-Scholes'!$B$6,0))</f>
        <v>0</v>
      </c>
      <c r="F3563" s="18" t="n">
        <f aca="false">(E3563+G3563)/2</f>
        <v>8.52701628789557</v>
      </c>
      <c r="G3563" s="18" t="n">
        <f aca="false">EXP(-'Black-Scholes'!$B$8*'Black-Scholes'!$B$7)*IF(LOWER('Black-Scholes'!$B$11)="put",MAX('Black-Scholes'!$B$6-D3563,0),MAX(D3563-'Black-Scholes'!$B$6,0))</f>
        <v>17.0540325757911</v>
      </c>
    </row>
    <row r="3564" customFormat="false" ht="15" hidden="false" customHeight="false" outlineLevel="0" collapsed="false">
      <c r="A3564" s="0" t="n">
        <v>3553</v>
      </c>
      <c r="B3564" s="15" t="n">
        <v>1.66460947543067</v>
      </c>
      <c r="C3564" s="18" t="n">
        <f aca="false">'Black-Scholes'!$B$5*EXP(('Black-Scholes'!$B$8-'Black-Scholes'!$B$10-'Black-Scholes'!$B$9^2/2)*'Black-Scholes'!$B$7+'Black-Scholes'!$B$9*SQRT('Black-Scholes'!$B$7)*B3564)</f>
        <v>143.75235772012</v>
      </c>
      <c r="D3564" s="18" t="n">
        <f aca="false">'Black-Scholes'!$B$5*EXP(('Black-Scholes'!$B$8-'Black-Scholes'!$B$10-'Black-Scholes'!$B$9^2/2)*'Black-Scholes'!$B$7-'Black-Scholes'!$B$9*SQRT('Black-Scholes'!$B$7)*B3564)</f>
        <v>73.8656786842212</v>
      </c>
      <c r="E3564" s="18" t="n">
        <f aca="false">EXP(-'Black-Scholes'!$B$8*'Black-Scholes'!$B$7)*IF(LOWER('Black-Scholes'!$B$11)="put",MAX('Black-Scholes'!$B$6-C3564,0),MAX(C3564-'Black-Scholes'!$B$6,0))</f>
        <v>41.618530054659</v>
      </c>
      <c r="F3564" s="18" t="n">
        <f aca="false">(E3564+G3564)/2</f>
        <v>20.8092650273295</v>
      </c>
      <c r="G3564" s="18" t="n">
        <f aca="false">EXP(-'Black-Scholes'!$B$8*'Black-Scholes'!$B$7)*IF(LOWER('Black-Scholes'!$B$11)="put",MAX('Black-Scholes'!$B$6-D3564,0),MAX(D3564-'Black-Scholes'!$B$6,0))</f>
        <v>0</v>
      </c>
    </row>
    <row r="3565" customFormat="false" ht="15" hidden="false" customHeight="false" outlineLevel="0" collapsed="false">
      <c r="A3565" s="0" t="n">
        <v>3554</v>
      </c>
      <c r="B3565" s="15" t="n">
        <v>-1.48816228805638</v>
      </c>
      <c r="C3565" s="18" t="n">
        <f aca="false">'Black-Scholes'!$B$5*EXP(('Black-Scholes'!$B$8-'Black-Scholes'!$B$10-'Black-Scholes'!$B$9^2/2)*'Black-Scholes'!$B$7+'Black-Scholes'!$B$9*SQRT('Black-Scholes'!$B$7)*B3565)</f>
        <v>76.5188968806918</v>
      </c>
      <c r="D3565" s="18" t="n">
        <f aca="false">'Black-Scholes'!$B$5*EXP(('Black-Scholes'!$B$8-'Black-Scholes'!$B$10-'Black-Scholes'!$B$9^2/2)*'Black-Scholes'!$B$7-'Black-Scholes'!$B$9*SQRT('Black-Scholes'!$B$7)*B3565)</f>
        <v>138.767884775048</v>
      </c>
      <c r="E3565" s="18" t="n">
        <f aca="false">EXP(-'Black-Scholes'!$B$8*'Black-Scholes'!$B$7)*IF(LOWER('Black-Scholes'!$B$11)="put",MAX('Black-Scholes'!$B$6-C3565,0),MAX(C3565-'Black-Scholes'!$B$6,0))</f>
        <v>0</v>
      </c>
      <c r="F3565" s="18" t="n">
        <f aca="false">(E3565+G3565)/2</f>
        <v>18.4385763618393</v>
      </c>
      <c r="G3565" s="18" t="n">
        <f aca="false">EXP(-'Black-Scholes'!$B$8*'Black-Scholes'!$B$7)*IF(LOWER('Black-Scholes'!$B$11)="put",MAX('Black-Scholes'!$B$6-D3565,0),MAX(D3565-'Black-Scholes'!$B$6,0))</f>
        <v>36.8771527236785</v>
      </c>
    </row>
    <row r="3566" customFormat="false" ht="15" hidden="false" customHeight="false" outlineLevel="0" collapsed="false">
      <c r="A3566" s="0" t="n">
        <v>3555</v>
      </c>
      <c r="B3566" s="15" t="n">
        <v>-0.719171221544221</v>
      </c>
      <c r="C3566" s="18" t="n">
        <f aca="false">'Black-Scholes'!$B$5*EXP(('Black-Scholes'!$B$8-'Black-Scholes'!$B$10-'Black-Scholes'!$B$9^2/2)*'Black-Scholes'!$B$7+'Black-Scholes'!$B$9*SQRT('Black-Scholes'!$B$7)*B3566)</f>
        <v>89.2405864974623</v>
      </c>
      <c r="D3566" s="18" t="n">
        <f aca="false">'Black-Scholes'!$B$5*EXP(('Black-Scholes'!$B$8-'Black-Scholes'!$B$10-'Black-Scholes'!$B$9^2/2)*'Black-Scholes'!$B$7-'Black-Scholes'!$B$9*SQRT('Black-Scholes'!$B$7)*B3566)</f>
        <v>118.985832368499</v>
      </c>
      <c r="E3566" s="18" t="n">
        <f aca="false">EXP(-'Black-Scholes'!$B$8*'Black-Scholes'!$B$7)*IF(LOWER('Black-Scholes'!$B$11)="put",MAX('Black-Scholes'!$B$6-C3566,0),MAX(C3566-'Black-Scholes'!$B$6,0))</f>
        <v>0</v>
      </c>
      <c r="F3566" s="18" t="n">
        <f aca="false">(E3566+G3566)/2</f>
        <v>9.02994119877722</v>
      </c>
      <c r="G3566" s="18" t="n">
        <f aca="false">EXP(-'Black-Scholes'!$B$8*'Black-Scholes'!$B$7)*IF(LOWER('Black-Scholes'!$B$11)="put",MAX('Black-Scholes'!$B$6-D3566,0),MAX(D3566-'Black-Scholes'!$B$6,0))</f>
        <v>18.0598823975544</v>
      </c>
    </row>
    <row r="3567" customFormat="false" ht="15" hidden="false" customHeight="false" outlineLevel="0" collapsed="false">
      <c r="A3567" s="0" t="n">
        <v>3556</v>
      </c>
      <c r="B3567" s="15" t="n">
        <v>-0.446640772349764</v>
      </c>
      <c r="C3567" s="18" t="n">
        <f aca="false">'Black-Scholes'!$B$5*EXP(('Black-Scholes'!$B$8-'Black-Scholes'!$B$10-'Black-Scholes'!$B$9^2/2)*'Black-Scholes'!$B$7+'Black-Scholes'!$B$9*SQRT('Black-Scholes'!$B$7)*B3567)</f>
        <v>94.2397466469252</v>
      </c>
      <c r="D3567" s="18" t="n">
        <f aca="false">'Black-Scholes'!$B$5*EXP(('Black-Scholes'!$B$8-'Black-Scholes'!$B$10-'Black-Scholes'!$B$9^2/2)*'Black-Scholes'!$B$7-'Black-Scholes'!$B$9*SQRT('Black-Scholes'!$B$7)*B3567)</f>
        <v>112.673960226527</v>
      </c>
      <c r="E3567" s="18" t="n">
        <f aca="false">EXP(-'Black-Scholes'!$B$8*'Black-Scholes'!$B$7)*IF(LOWER('Black-Scholes'!$B$11)="put",MAX('Black-Scholes'!$B$6-C3567,0),MAX(C3567-'Black-Scholes'!$B$6,0))</f>
        <v>0</v>
      </c>
      <c r="F3567" s="18" t="n">
        <f aca="false">(E3567+G3567)/2</f>
        <v>6.02792194621196</v>
      </c>
      <c r="G3567" s="18" t="n">
        <f aca="false">EXP(-'Black-Scholes'!$B$8*'Black-Scholes'!$B$7)*IF(LOWER('Black-Scholes'!$B$11)="put",MAX('Black-Scholes'!$B$6-D3567,0),MAX(D3567-'Black-Scholes'!$B$6,0))</f>
        <v>12.0558438924239</v>
      </c>
    </row>
    <row r="3568" customFormat="false" ht="15" hidden="false" customHeight="false" outlineLevel="0" collapsed="false">
      <c r="A3568" s="0" t="n">
        <v>3557</v>
      </c>
      <c r="B3568" s="15" t="n">
        <v>1.80767905004125</v>
      </c>
      <c r="C3568" s="18" t="n">
        <f aca="false">'Black-Scholes'!$B$5*EXP(('Black-Scholes'!$B$8-'Black-Scholes'!$B$10-'Black-Scholes'!$B$9^2/2)*'Black-Scholes'!$B$7+'Black-Scholes'!$B$9*SQRT('Black-Scholes'!$B$7)*B3568)</f>
        <v>147.92508985464</v>
      </c>
      <c r="D3568" s="18" t="n">
        <f aca="false">'Black-Scholes'!$B$5*EXP(('Black-Scholes'!$B$8-'Black-Scholes'!$B$10-'Black-Scholes'!$B$9^2/2)*'Black-Scholes'!$B$7-'Black-Scholes'!$B$9*SQRT('Black-Scholes'!$B$7)*B3568)</f>
        <v>71.782045060022</v>
      </c>
      <c r="E3568" s="18" t="n">
        <f aca="false">EXP(-'Black-Scholes'!$B$8*'Black-Scholes'!$B$7)*IF(LOWER('Black-Scholes'!$B$11)="put",MAX('Black-Scholes'!$B$6-C3568,0),MAX(C3568-'Black-Scholes'!$B$6,0))</f>
        <v>45.5877556415745</v>
      </c>
      <c r="F3568" s="18" t="n">
        <f aca="false">(E3568+G3568)/2</f>
        <v>22.7938778207872</v>
      </c>
      <c r="G3568" s="18" t="n">
        <f aca="false">EXP(-'Black-Scholes'!$B$8*'Black-Scholes'!$B$7)*IF(LOWER('Black-Scholes'!$B$11)="put",MAX('Black-Scholes'!$B$6-D3568,0),MAX(D3568-'Black-Scholes'!$B$6,0))</f>
        <v>0</v>
      </c>
    </row>
    <row r="3569" customFormat="false" ht="15" hidden="false" customHeight="false" outlineLevel="0" collapsed="false">
      <c r="A3569" s="0" t="n">
        <v>3558</v>
      </c>
      <c r="B3569" s="15" t="n">
        <v>-1.10376417553124</v>
      </c>
      <c r="C3569" s="18" t="n">
        <f aca="false">'Black-Scholes'!$B$5*EXP(('Black-Scholes'!$B$8-'Black-Scholes'!$B$10-'Black-Scholes'!$B$9^2/2)*'Black-Scholes'!$B$7+'Black-Scholes'!$B$9*SQRT('Black-Scholes'!$B$7)*B3569)</f>
        <v>82.6336804361069</v>
      </c>
      <c r="D3569" s="18" t="n">
        <f aca="false">'Black-Scholes'!$B$5*EXP(('Black-Scholes'!$B$8-'Black-Scholes'!$B$10-'Black-Scholes'!$B$9^2/2)*'Black-Scholes'!$B$7-'Black-Scholes'!$B$9*SQRT('Black-Scholes'!$B$7)*B3569)</f>
        <v>128.499244005764</v>
      </c>
      <c r="E3569" s="18" t="n">
        <f aca="false">EXP(-'Black-Scholes'!$B$8*'Black-Scholes'!$B$7)*IF(LOWER('Black-Scholes'!$B$11)="put",MAX('Black-Scholes'!$B$6-C3569,0),MAX(C3569-'Black-Scholes'!$B$6,0))</f>
        <v>0</v>
      </c>
      <c r="F3569" s="18" t="n">
        <f aca="false">(E3569+G3569)/2</f>
        <v>13.5546597371539</v>
      </c>
      <c r="G3569" s="18" t="n">
        <f aca="false">EXP(-'Black-Scholes'!$B$8*'Black-Scholes'!$B$7)*IF(LOWER('Black-Scholes'!$B$11)="put",MAX('Black-Scholes'!$B$6-D3569,0),MAX(D3569-'Black-Scholes'!$B$6,0))</f>
        <v>27.1093194743079</v>
      </c>
    </row>
    <row r="3570" customFormat="false" ht="15" hidden="false" customHeight="false" outlineLevel="0" collapsed="false">
      <c r="A3570" s="0" t="n">
        <v>3559</v>
      </c>
      <c r="B3570" s="15" t="n">
        <v>-1.768944143079</v>
      </c>
      <c r="C3570" s="18" t="n">
        <f aca="false">'Black-Scholes'!$B$5*EXP(('Black-Scholes'!$B$8-'Black-Scholes'!$B$10-'Black-Scholes'!$B$9^2/2)*'Black-Scholes'!$B$7+'Black-Scholes'!$B$9*SQRT('Black-Scholes'!$B$7)*B3570)</f>
        <v>72.3402988261861</v>
      </c>
      <c r="D3570" s="18" t="n">
        <f aca="false">'Black-Scholes'!$B$5*EXP(('Black-Scholes'!$B$8-'Black-Scholes'!$B$10-'Black-Scholes'!$B$9^2/2)*'Black-Scholes'!$B$7-'Black-Scholes'!$B$9*SQRT('Black-Scholes'!$B$7)*B3570)</f>
        <v>146.783544410932</v>
      </c>
      <c r="E3570" s="18" t="n">
        <f aca="false">EXP(-'Black-Scholes'!$B$8*'Black-Scholes'!$B$7)*IF(LOWER('Black-Scholes'!$B$11)="put",MAX('Black-Scholes'!$B$6-C3570,0),MAX(C3570-'Black-Scholes'!$B$6,0))</f>
        <v>0</v>
      </c>
      <c r="F3570" s="18" t="n">
        <f aca="false">(E3570+G3570)/2</f>
        <v>22.2509420130573</v>
      </c>
      <c r="G3570" s="18" t="n">
        <f aca="false">EXP(-'Black-Scholes'!$B$8*'Black-Scholes'!$B$7)*IF(LOWER('Black-Scholes'!$B$11)="put",MAX('Black-Scholes'!$B$6-D3570,0),MAX(D3570-'Black-Scholes'!$B$6,0))</f>
        <v>44.5018840261147</v>
      </c>
    </row>
    <row r="3571" customFormat="false" ht="15" hidden="false" customHeight="false" outlineLevel="0" collapsed="false">
      <c r="A3571" s="0" t="n">
        <v>3560</v>
      </c>
      <c r="B3571" s="15" t="n">
        <v>0.702876568090789</v>
      </c>
      <c r="C3571" s="18" t="n">
        <f aca="false">'Black-Scholes'!$B$5*EXP(('Black-Scholes'!$B$8-'Black-Scholes'!$B$10-'Black-Scholes'!$B$9^2/2)*'Black-Scholes'!$B$7+'Black-Scholes'!$B$9*SQRT('Black-Scholes'!$B$7)*B3571)</f>
        <v>118.598696954013</v>
      </c>
      <c r="D3571" s="18" t="n">
        <f aca="false">'Black-Scholes'!$B$5*EXP(('Black-Scholes'!$B$8-'Black-Scholes'!$B$10-'Black-Scholes'!$B$9^2/2)*'Black-Scholes'!$B$7-'Black-Scholes'!$B$9*SQRT('Black-Scholes'!$B$7)*B3571)</f>
        <v>89.5318897944625</v>
      </c>
      <c r="E3571" s="18" t="n">
        <f aca="false">EXP(-'Black-Scholes'!$B$8*'Black-Scholes'!$B$7)*IF(LOWER('Black-Scholes'!$B$11)="put",MAX('Black-Scholes'!$B$6-C3571,0),MAX(C3571-'Black-Scholes'!$B$6,0))</f>
        <v>17.6916278000294</v>
      </c>
      <c r="F3571" s="18" t="n">
        <f aca="false">(E3571+G3571)/2</f>
        <v>8.84581390001471</v>
      </c>
      <c r="G3571" s="18" t="n">
        <f aca="false">EXP(-'Black-Scholes'!$B$8*'Black-Scholes'!$B$7)*IF(LOWER('Black-Scholes'!$B$11)="put",MAX('Black-Scholes'!$B$6-D3571,0),MAX(D3571-'Black-Scholes'!$B$6,0))</f>
        <v>0</v>
      </c>
    </row>
    <row r="3572" customFormat="false" ht="15" hidden="false" customHeight="false" outlineLevel="0" collapsed="false">
      <c r="A3572" s="0" t="n">
        <v>3561</v>
      </c>
      <c r="B3572" s="15" t="n">
        <v>-1.46191292165477</v>
      </c>
      <c r="C3572" s="18" t="n">
        <f aca="false">'Black-Scholes'!$B$5*EXP(('Black-Scholes'!$B$8-'Black-Scholes'!$B$10-'Black-Scholes'!$B$9^2/2)*'Black-Scholes'!$B$7+'Black-Scholes'!$B$9*SQRT('Black-Scholes'!$B$7)*B3572)</f>
        <v>76.9216677157188</v>
      </c>
      <c r="D3572" s="18" t="n">
        <f aca="false">'Black-Scholes'!$B$5*EXP(('Black-Scholes'!$B$8-'Black-Scholes'!$B$10-'Black-Scholes'!$B$9^2/2)*'Black-Scholes'!$B$7-'Black-Scholes'!$B$9*SQRT('Black-Scholes'!$B$7)*B3572)</f>
        <v>138.041279925133</v>
      </c>
      <c r="E3572" s="18" t="n">
        <f aca="false">EXP(-'Black-Scholes'!$B$8*'Black-Scholes'!$B$7)*IF(LOWER('Black-Scholes'!$B$11)="put",MAX('Black-Scholes'!$B$6-C3572,0),MAX(C3572-'Black-Scholes'!$B$6,0))</f>
        <v>0</v>
      </c>
      <c r="F3572" s="18" t="n">
        <f aca="false">(E3572+G3572)/2</f>
        <v>18.0929924052274</v>
      </c>
      <c r="G3572" s="18" t="n">
        <f aca="false">EXP(-'Black-Scholes'!$B$8*'Black-Scholes'!$B$7)*IF(LOWER('Black-Scholes'!$B$11)="put",MAX('Black-Scholes'!$B$6-D3572,0),MAX(D3572-'Black-Scholes'!$B$6,0))</f>
        <v>36.1859848104547</v>
      </c>
    </row>
    <row r="3573" customFormat="false" ht="15" hidden="false" customHeight="false" outlineLevel="0" collapsed="false">
      <c r="A3573" s="0" t="n">
        <v>3562</v>
      </c>
      <c r="B3573" s="15" t="n">
        <v>0.491711038144489</v>
      </c>
      <c r="C3573" s="18" t="n">
        <f aca="false">'Black-Scholes'!$B$5*EXP(('Black-Scholes'!$B$8-'Black-Scholes'!$B$10-'Black-Scholes'!$B$9^2/2)*'Black-Scholes'!$B$7+'Black-Scholes'!$B$9*SQRT('Black-Scholes'!$B$7)*B3573)</f>
        <v>113.694200636144</v>
      </c>
      <c r="D3573" s="18" t="n">
        <f aca="false">'Black-Scholes'!$B$5*EXP(('Black-Scholes'!$B$8-'Black-Scholes'!$B$10-'Black-Scholes'!$B$9^2/2)*'Black-Scholes'!$B$7-'Black-Scholes'!$B$9*SQRT('Black-Scholes'!$B$7)*B3573)</f>
        <v>93.394081721332</v>
      </c>
      <c r="E3573" s="18" t="n">
        <f aca="false">EXP(-'Black-Scholes'!$B$8*'Black-Scholes'!$B$7)*IF(LOWER('Black-Scholes'!$B$11)="put",MAX('Black-Scholes'!$B$6-C3573,0),MAX(C3573-'Black-Scholes'!$B$6,0))</f>
        <v>13.026326590117</v>
      </c>
      <c r="F3573" s="18" t="n">
        <f aca="false">(E3573+G3573)/2</f>
        <v>6.5131632950585</v>
      </c>
      <c r="G3573" s="18" t="n">
        <f aca="false">EXP(-'Black-Scholes'!$B$8*'Black-Scholes'!$B$7)*IF(LOWER('Black-Scholes'!$B$11)="put",MAX('Black-Scholes'!$B$6-D3573,0),MAX(D3573-'Black-Scholes'!$B$6,0))</f>
        <v>0</v>
      </c>
    </row>
    <row r="3574" customFormat="false" ht="15" hidden="false" customHeight="false" outlineLevel="0" collapsed="false">
      <c r="A3574" s="0" t="n">
        <v>3563</v>
      </c>
      <c r="B3574" s="15" t="n">
        <v>0.961064469543906</v>
      </c>
      <c r="C3574" s="18" t="n">
        <f aca="false">'Black-Scholes'!$B$5*EXP(('Black-Scholes'!$B$8-'Black-Scholes'!$B$10-'Black-Scholes'!$B$9^2/2)*'Black-Scholes'!$B$7+'Black-Scholes'!$B$9*SQRT('Black-Scholes'!$B$7)*B3574)</f>
        <v>124.883721940233</v>
      </c>
      <c r="D3574" s="18" t="n">
        <f aca="false">'Black-Scholes'!$B$5*EXP(('Black-Scholes'!$B$8-'Black-Scholes'!$B$10-'Black-Scholes'!$B$9^2/2)*'Black-Scholes'!$B$7-'Black-Scholes'!$B$9*SQRT('Black-Scholes'!$B$7)*B3574)</f>
        <v>85.0260170059263</v>
      </c>
      <c r="E3574" s="18" t="n">
        <f aca="false">EXP(-'Black-Scholes'!$B$8*'Black-Scholes'!$B$7)*IF(LOWER('Black-Scholes'!$B$11)="put",MAX('Black-Scholes'!$B$6-C3574,0),MAX(C3574-'Black-Scholes'!$B$6,0))</f>
        <v>23.6701285006434</v>
      </c>
      <c r="F3574" s="18" t="n">
        <f aca="false">(E3574+G3574)/2</f>
        <v>11.8350642503217</v>
      </c>
      <c r="G3574" s="18" t="n">
        <f aca="false">EXP(-'Black-Scholes'!$B$8*'Black-Scholes'!$B$7)*IF(LOWER('Black-Scholes'!$B$11)="put",MAX('Black-Scholes'!$B$6-D3574,0),MAX(D3574-'Black-Scholes'!$B$6,0))</f>
        <v>0</v>
      </c>
    </row>
    <row r="3575" customFormat="false" ht="15" hidden="false" customHeight="false" outlineLevel="0" collapsed="false">
      <c r="A3575" s="0" t="n">
        <v>3564</v>
      </c>
      <c r="B3575" s="15" t="n">
        <v>-1.99447821653644</v>
      </c>
      <c r="C3575" s="18" t="n">
        <f aca="false">'Black-Scholes'!$B$5*EXP(('Black-Scholes'!$B$8-'Black-Scholes'!$B$10-'Black-Scholes'!$B$9^2/2)*'Black-Scholes'!$B$7+'Black-Scholes'!$B$9*SQRT('Black-Scholes'!$B$7)*B3575)</f>
        <v>69.1497569084453</v>
      </c>
      <c r="D3575" s="18" t="n">
        <f aca="false">'Black-Scholes'!$B$5*EXP(('Black-Scholes'!$B$8-'Black-Scholes'!$B$10-'Black-Scholes'!$B$9^2/2)*'Black-Scholes'!$B$7-'Black-Scholes'!$B$9*SQRT('Black-Scholes'!$B$7)*B3575)</f>
        <v>153.556077999123</v>
      </c>
      <c r="E3575" s="18" t="n">
        <f aca="false">EXP(-'Black-Scholes'!$B$8*'Black-Scholes'!$B$7)*IF(LOWER('Black-Scholes'!$B$11)="put",MAX('Black-Scholes'!$B$6-C3575,0),MAX(C3575-'Black-Scholes'!$B$6,0))</f>
        <v>0</v>
      </c>
      <c r="F3575" s="18" t="n">
        <f aca="false">(E3575+G3575)/2</f>
        <v>25.4720586268104</v>
      </c>
      <c r="G3575" s="18" t="n">
        <f aca="false">EXP(-'Black-Scholes'!$B$8*'Black-Scholes'!$B$7)*IF(LOWER('Black-Scholes'!$B$11)="put",MAX('Black-Scholes'!$B$6-D3575,0),MAX(D3575-'Black-Scholes'!$B$6,0))</f>
        <v>50.9441172536209</v>
      </c>
    </row>
    <row r="3576" customFormat="false" ht="15" hidden="false" customHeight="false" outlineLevel="0" collapsed="false">
      <c r="A3576" s="0" t="n">
        <v>3565</v>
      </c>
      <c r="B3576" s="15" t="n">
        <v>0.745983034995316</v>
      </c>
      <c r="C3576" s="18" t="n">
        <f aca="false">'Black-Scholes'!$B$5*EXP(('Black-Scholes'!$B$8-'Black-Scholes'!$B$10-'Black-Scholes'!$B$9^2/2)*'Black-Scholes'!$B$7+'Black-Scholes'!$B$9*SQRT('Black-Scholes'!$B$7)*B3576)</f>
        <v>119.625591333441</v>
      </c>
      <c r="D3576" s="18" t="n">
        <f aca="false">'Black-Scholes'!$B$5*EXP(('Black-Scholes'!$B$8-'Black-Scholes'!$B$10-'Black-Scholes'!$B$9^2/2)*'Black-Scholes'!$B$7-'Black-Scholes'!$B$9*SQRT('Black-Scholes'!$B$7)*B3576)</f>
        <v>88.7633268692173</v>
      </c>
      <c r="E3576" s="18" t="n">
        <f aca="false">EXP(-'Black-Scholes'!$B$8*'Black-Scholes'!$B$7)*IF(LOWER('Black-Scholes'!$B$11)="put",MAX('Black-Scholes'!$B$6-C3576,0),MAX(C3576-'Black-Scholes'!$B$6,0))</f>
        <v>18.6684399495949</v>
      </c>
      <c r="F3576" s="18" t="n">
        <f aca="false">(E3576+G3576)/2</f>
        <v>9.33421997479747</v>
      </c>
      <c r="G3576" s="18" t="n">
        <f aca="false">EXP(-'Black-Scholes'!$B$8*'Black-Scholes'!$B$7)*IF(LOWER('Black-Scholes'!$B$11)="put",MAX('Black-Scholes'!$B$6-D3576,0),MAX(D3576-'Black-Scholes'!$B$6,0))</f>
        <v>0</v>
      </c>
    </row>
    <row r="3577" customFormat="false" ht="15" hidden="false" customHeight="false" outlineLevel="0" collapsed="false">
      <c r="A3577" s="0" t="n">
        <v>3566</v>
      </c>
      <c r="B3577" s="15" t="n">
        <v>-0.70905020138426</v>
      </c>
      <c r="C3577" s="18" t="n">
        <f aca="false">'Black-Scholes'!$B$5*EXP(('Black-Scholes'!$B$8-'Black-Scholes'!$B$10-'Black-Scholes'!$B$9^2/2)*'Black-Scholes'!$B$7+'Black-Scholes'!$B$9*SQRT('Black-Scholes'!$B$7)*B3577)</f>
        <v>89.4214106031674</v>
      </c>
      <c r="D3577" s="18" t="n">
        <f aca="false">'Black-Scholes'!$B$5*EXP(('Black-Scholes'!$B$8-'Black-Scholes'!$B$10-'Black-Scholes'!$B$9^2/2)*'Black-Scholes'!$B$7-'Black-Scholes'!$B$9*SQRT('Black-Scholes'!$B$7)*B3577)</f>
        <v>118.745224368866</v>
      </c>
      <c r="E3577" s="18" t="n">
        <f aca="false">EXP(-'Black-Scholes'!$B$8*'Black-Scholes'!$B$7)*IF(LOWER('Black-Scholes'!$B$11)="put",MAX('Black-Scholes'!$B$6-C3577,0),MAX(C3577-'Black-Scholes'!$B$6,0))</f>
        <v>0</v>
      </c>
      <c r="F3577" s="18" t="n">
        <f aca="false">(E3577+G3577)/2</f>
        <v>8.91550449426656</v>
      </c>
      <c r="G3577" s="18" t="n">
        <f aca="false">EXP(-'Black-Scholes'!$B$8*'Black-Scholes'!$B$7)*IF(LOWER('Black-Scholes'!$B$11)="put",MAX('Black-Scholes'!$B$6-D3577,0),MAX(D3577-'Black-Scholes'!$B$6,0))</f>
        <v>17.8310089885331</v>
      </c>
    </row>
    <row r="3578" customFormat="false" ht="15" hidden="false" customHeight="false" outlineLevel="0" collapsed="false">
      <c r="A3578" s="0" t="n">
        <v>3567</v>
      </c>
      <c r="B3578" s="15" t="n">
        <v>1.32412969414097</v>
      </c>
      <c r="C3578" s="18" t="n">
        <f aca="false">'Black-Scholes'!$B$5*EXP(('Black-Scholes'!$B$8-'Black-Scholes'!$B$10-'Black-Scholes'!$B$9^2/2)*'Black-Scholes'!$B$7+'Black-Scholes'!$B$9*SQRT('Black-Scholes'!$B$7)*B3578)</f>
        <v>134.289259288377</v>
      </c>
      <c r="D3578" s="18" t="n">
        <f aca="false">'Black-Scholes'!$B$5*EXP(('Black-Scholes'!$B$8-'Black-Scholes'!$B$10-'Black-Scholes'!$B$9^2/2)*'Black-Scholes'!$B$7-'Black-Scholes'!$B$9*SQRT('Black-Scholes'!$B$7)*B3578)</f>
        <v>79.070846929399</v>
      </c>
      <c r="E3578" s="18" t="n">
        <f aca="false">EXP(-'Black-Scholes'!$B$8*'Black-Scholes'!$B$7)*IF(LOWER('Black-Scholes'!$B$11)="put",MAX('Black-Scholes'!$B$6-C3578,0),MAX(C3578-'Black-Scholes'!$B$6,0))</f>
        <v>32.6169523794382</v>
      </c>
      <c r="F3578" s="18" t="n">
        <f aca="false">(E3578+G3578)/2</f>
        <v>16.3084761897191</v>
      </c>
      <c r="G3578" s="18" t="n">
        <f aca="false">EXP(-'Black-Scholes'!$B$8*'Black-Scholes'!$B$7)*IF(LOWER('Black-Scholes'!$B$11)="put",MAX('Black-Scholes'!$B$6-D3578,0),MAX(D3578-'Black-Scholes'!$B$6,0))</f>
        <v>0</v>
      </c>
    </row>
    <row r="3579" customFormat="false" ht="15" hidden="false" customHeight="false" outlineLevel="0" collapsed="false">
      <c r="A3579" s="0" t="n">
        <v>3568</v>
      </c>
      <c r="B3579" s="15" t="n">
        <v>0.150590375063771</v>
      </c>
      <c r="C3579" s="18" t="n">
        <f aca="false">'Black-Scholes'!$B$5*EXP(('Black-Scholes'!$B$8-'Black-Scholes'!$B$10-'Black-Scholes'!$B$9^2/2)*'Black-Scholes'!$B$7+'Black-Scholes'!$B$9*SQRT('Black-Scholes'!$B$7)*B3579)</f>
        <v>106.196193031134</v>
      </c>
      <c r="D3579" s="18" t="n">
        <f aca="false">'Black-Scholes'!$B$5*EXP(('Black-Scholes'!$B$8-'Black-Scholes'!$B$10-'Black-Scholes'!$B$9^2/2)*'Black-Scholes'!$B$7-'Black-Scholes'!$B$9*SQRT('Black-Scholes'!$B$7)*B3579)</f>
        <v>99.9881931957826</v>
      </c>
      <c r="E3579" s="18" t="n">
        <f aca="false">EXP(-'Black-Scholes'!$B$8*'Black-Scholes'!$B$7)*IF(LOWER('Black-Scholes'!$B$11)="put",MAX('Black-Scholes'!$B$6-C3579,0),MAX(C3579-'Black-Scholes'!$B$6,0))</f>
        <v>5.89400113110046</v>
      </c>
      <c r="F3579" s="18" t="n">
        <f aca="false">(E3579+G3579)/2</f>
        <v>2.94700056555023</v>
      </c>
      <c r="G3579" s="18" t="n">
        <f aca="false">EXP(-'Black-Scholes'!$B$8*'Black-Scholes'!$B$7)*IF(LOWER('Black-Scholes'!$B$11)="put",MAX('Black-Scholes'!$B$6-D3579,0),MAX(D3579-'Black-Scholes'!$B$6,0))</f>
        <v>0</v>
      </c>
    </row>
    <row r="3580" customFormat="false" ht="15" hidden="false" customHeight="false" outlineLevel="0" collapsed="false">
      <c r="A3580" s="0" t="n">
        <v>3569</v>
      </c>
      <c r="B3580" s="15" t="n">
        <v>1.09710345373468</v>
      </c>
      <c r="C3580" s="18" t="n">
        <f aca="false">'Black-Scholes'!$B$5*EXP(('Black-Scholes'!$B$8-'Black-Scholes'!$B$10-'Black-Scholes'!$B$9^2/2)*'Black-Scholes'!$B$7+'Black-Scholes'!$B$9*SQRT('Black-Scholes'!$B$7)*B3580)</f>
        <v>128.328178430004</v>
      </c>
      <c r="D3580" s="18" t="n">
        <f aca="false">'Black-Scholes'!$B$5*EXP(('Black-Scholes'!$B$8-'Black-Scholes'!$B$10-'Black-Scholes'!$B$9^2/2)*'Black-Scholes'!$B$7-'Black-Scholes'!$B$9*SQRT('Black-Scholes'!$B$7)*B3580)</f>
        <v>82.7438337811777</v>
      </c>
      <c r="E3580" s="18" t="n">
        <f aca="false">EXP(-'Black-Scholes'!$B$8*'Black-Scholes'!$B$7)*IF(LOWER('Black-Scholes'!$B$11)="put",MAX('Black-Scholes'!$B$6-C3580,0),MAX(C3580-'Black-Scholes'!$B$6,0))</f>
        <v>26.9465968651266</v>
      </c>
      <c r="F3580" s="18" t="n">
        <f aca="false">(E3580+G3580)/2</f>
        <v>13.4732984325633</v>
      </c>
      <c r="G3580" s="18" t="n">
        <f aca="false">EXP(-'Black-Scholes'!$B$8*'Black-Scholes'!$B$7)*IF(LOWER('Black-Scholes'!$B$11)="put",MAX('Black-Scholes'!$B$6-D3580,0),MAX(D3580-'Black-Scholes'!$B$6,0))</f>
        <v>0</v>
      </c>
    </row>
    <row r="3581" customFormat="false" ht="15" hidden="false" customHeight="false" outlineLevel="0" collapsed="false">
      <c r="A3581" s="0" t="n">
        <v>3570</v>
      </c>
      <c r="B3581" s="15" t="n">
        <v>2.70283399607087</v>
      </c>
      <c r="C3581" s="18" t="n">
        <f aca="false">'Black-Scholes'!$B$5*EXP(('Black-Scholes'!$B$8-'Black-Scholes'!$B$10-'Black-Scholes'!$B$9^2/2)*'Black-Scholes'!$B$7+'Black-Scholes'!$B$9*SQRT('Black-Scholes'!$B$7)*B3581)</f>
        <v>176.926958790054</v>
      </c>
      <c r="D3581" s="18" t="n">
        <f aca="false">'Black-Scholes'!$B$5*EXP(('Black-Scholes'!$B$8-'Black-Scholes'!$B$10-'Black-Scholes'!$B$9^2/2)*'Black-Scholes'!$B$7-'Black-Scholes'!$B$9*SQRT('Black-Scholes'!$B$7)*B3581)</f>
        <v>60.0155314829868</v>
      </c>
      <c r="E3581" s="18" t="n">
        <f aca="false">EXP(-'Black-Scholes'!$B$8*'Black-Scholes'!$B$7)*IF(LOWER('Black-Scholes'!$B$11)="put",MAX('Black-Scholes'!$B$6-C3581,0),MAX(C3581-'Black-Scholes'!$B$6,0))</f>
        <v>73.1751867384532</v>
      </c>
      <c r="F3581" s="18" t="n">
        <f aca="false">(E3581+G3581)/2</f>
        <v>36.5875933692266</v>
      </c>
      <c r="G3581" s="18" t="n">
        <f aca="false">EXP(-'Black-Scholes'!$B$8*'Black-Scholes'!$B$7)*IF(LOWER('Black-Scholes'!$B$11)="put",MAX('Black-Scholes'!$B$6-D3581,0),MAX(D3581-'Black-Scholes'!$B$6,0))</f>
        <v>0</v>
      </c>
    </row>
    <row r="3582" customFormat="false" ht="15" hidden="false" customHeight="false" outlineLevel="0" collapsed="false">
      <c r="A3582" s="0" t="n">
        <v>3571</v>
      </c>
      <c r="B3582" s="15" t="n">
        <v>0.069568426206566</v>
      </c>
      <c r="C3582" s="18" t="n">
        <f aca="false">'Black-Scholes'!$B$5*EXP(('Black-Scholes'!$B$8-'Black-Scholes'!$B$10-'Black-Scholes'!$B$9^2/2)*'Black-Scholes'!$B$7+'Black-Scholes'!$B$9*SQRT('Black-Scholes'!$B$7)*B3582)</f>
        <v>104.489216138122</v>
      </c>
      <c r="D3582" s="18" t="n">
        <f aca="false">'Black-Scholes'!$B$5*EXP(('Black-Scholes'!$B$8-'Black-Scholes'!$B$10-'Black-Scholes'!$B$9^2/2)*'Black-Scholes'!$B$7-'Black-Scholes'!$B$9*SQRT('Black-Scholes'!$B$7)*B3582)</f>
        <v>101.621639609368</v>
      </c>
      <c r="E3582" s="18" t="n">
        <f aca="false">EXP(-'Black-Scholes'!$B$8*'Black-Scholes'!$B$7)*IF(LOWER('Black-Scholes'!$B$11)="put",MAX('Black-Scholes'!$B$6-C3582,0),MAX(C3582-'Black-Scholes'!$B$6,0))</f>
        <v>4.27027448352521</v>
      </c>
      <c r="F3582" s="18" t="n">
        <f aca="false">(E3582+G3582)/2</f>
        <v>2.90641289794592</v>
      </c>
      <c r="G3582" s="18" t="n">
        <f aca="false">EXP(-'Black-Scholes'!$B$8*'Black-Scholes'!$B$7)*IF(LOWER('Black-Scholes'!$B$11)="put",MAX('Black-Scholes'!$B$6-D3582,0),MAX(D3582-'Black-Scholes'!$B$6,0))</f>
        <v>1.54255131236663</v>
      </c>
    </row>
    <row r="3583" customFormat="false" ht="15" hidden="false" customHeight="false" outlineLevel="0" collapsed="false">
      <c r="A3583" s="0" t="n">
        <v>3572</v>
      </c>
      <c r="B3583" s="15" t="n">
        <v>1.24518867177162</v>
      </c>
      <c r="C3583" s="18" t="n">
        <f aca="false">'Black-Scholes'!$B$5*EXP(('Black-Scholes'!$B$8-'Black-Scholes'!$B$10-'Black-Scholes'!$B$9^2/2)*'Black-Scholes'!$B$7+'Black-Scholes'!$B$9*SQRT('Black-Scholes'!$B$7)*B3583)</f>
        <v>132.185722235726</v>
      </c>
      <c r="D3583" s="18" t="n">
        <f aca="false">'Black-Scholes'!$B$5*EXP(('Black-Scholes'!$B$8-'Black-Scholes'!$B$10-'Black-Scholes'!$B$9^2/2)*'Black-Scholes'!$B$7-'Black-Scholes'!$B$9*SQRT('Black-Scholes'!$B$7)*B3583)</f>
        <v>80.3291405899189</v>
      </c>
      <c r="E3583" s="18" t="n">
        <f aca="false">EXP(-'Black-Scholes'!$B$8*'Black-Scholes'!$B$7)*IF(LOWER('Black-Scholes'!$B$11)="put",MAX('Black-Scholes'!$B$6-C3583,0),MAX(C3583-'Black-Scholes'!$B$6,0))</f>
        <v>30.6160060394295</v>
      </c>
      <c r="F3583" s="18" t="n">
        <f aca="false">(E3583+G3583)/2</f>
        <v>15.3080030197147</v>
      </c>
      <c r="G3583" s="18" t="n">
        <f aca="false">EXP(-'Black-Scholes'!$B$8*'Black-Scholes'!$B$7)*IF(LOWER('Black-Scholes'!$B$11)="put",MAX('Black-Scholes'!$B$6-D3583,0),MAX(D3583-'Black-Scholes'!$B$6,0))</f>
        <v>0</v>
      </c>
    </row>
    <row r="3584" customFormat="false" ht="15" hidden="false" customHeight="false" outlineLevel="0" collapsed="false">
      <c r="A3584" s="0" t="n">
        <v>3573</v>
      </c>
      <c r="B3584" s="15" t="n">
        <v>-1.22627689927943</v>
      </c>
      <c r="C3584" s="18" t="n">
        <f aca="false">'Black-Scholes'!$B$5*EXP(('Black-Scholes'!$B$8-'Black-Scholes'!$B$10-'Black-Scholes'!$B$9^2/2)*'Black-Scholes'!$B$7+'Black-Scholes'!$B$9*SQRT('Black-Scholes'!$B$7)*B3584)</f>
        <v>80.633549203919</v>
      </c>
      <c r="D3584" s="18" t="n">
        <f aca="false">'Black-Scholes'!$B$5*EXP(('Black-Scholes'!$B$8-'Black-Scholes'!$B$10-'Black-Scholes'!$B$9^2/2)*'Black-Scholes'!$B$7-'Black-Scholes'!$B$9*SQRT('Black-Scholes'!$B$7)*B3584)</f>
        <v>131.686693321662</v>
      </c>
      <c r="E3584" s="18" t="n">
        <f aca="false">EXP(-'Black-Scholes'!$B$8*'Black-Scholes'!$B$7)*IF(LOWER('Black-Scholes'!$B$11)="put",MAX('Black-Scholes'!$B$6-C3584,0),MAX(C3584-'Black-Scholes'!$B$6,0))</f>
        <v>0</v>
      </c>
      <c r="F3584" s="18" t="n">
        <f aca="false">(E3584+G3584)/2</f>
        <v>15.0706575263474</v>
      </c>
      <c r="G3584" s="18" t="n">
        <f aca="false">EXP(-'Black-Scholes'!$B$8*'Black-Scholes'!$B$7)*IF(LOWER('Black-Scholes'!$B$11)="put",MAX('Black-Scholes'!$B$6-D3584,0),MAX(D3584-'Black-Scholes'!$B$6,0))</f>
        <v>30.1413150526948</v>
      </c>
    </row>
    <row r="3585" customFormat="false" ht="15" hidden="false" customHeight="false" outlineLevel="0" collapsed="false">
      <c r="A3585" s="0" t="n">
        <v>3574</v>
      </c>
      <c r="B3585" s="15" t="n">
        <v>-0.351372712829954</v>
      </c>
      <c r="C3585" s="18" t="n">
        <f aca="false">'Black-Scholes'!$B$5*EXP(('Black-Scholes'!$B$8-'Black-Scholes'!$B$10-'Black-Scholes'!$B$9^2/2)*'Black-Scholes'!$B$7+'Black-Scholes'!$B$9*SQRT('Black-Scholes'!$B$7)*B3585)</f>
        <v>96.0525697760098</v>
      </c>
      <c r="D3585" s="18" t="n">
        <f aca="false">'Black-Scholes'!$B$5*EXP(('Black-Scholes'!$B$8-'Black-Scholes'!$B$10-'Black-Scholes'!$B$9^2/2)*'Black-Scholes'!$B$7-'Black-Scholes'!$B$9*SQRT('Black-Scholes'!$B$7)*B3585)</f>
        <v>110.547437618953</v>
      </c>
      <c r="E3585" s="18" t="n">
        <f aca="false">EXP(-'Black-Scholes'!$B$8*'Black-Scholes'!$B$7)*IF(LOWER('Black-Scholes'!$B$11)="put",MAX('Black-Scholes'!$B$6-C3585,0),MAX(C3585-'Black-Scholes'!$B$6,0))</f>
        <v>0</v>
      </c>
      <c r="F3585" s="18" t="n">
        <f aca="false">(E3585+G3585)/2</f>
        <v>5.01651650811706</v>
      </c>
      <c r="G3585" s="18" t="n">
        <f aca="false">EXP(-'Black-Scholes'!$B$8*'Black-Scholes'!$B$7)*IF(LOWER('Black-Scholes'!$B$11)="put",MAX('Black-Scholes'!$B$6-D3585,0),MAX(D3585-'Black-Scholes'!$B$6,0))</f>
        <v>10.0330330162341</v>
      </c>
    </row>
    <row r="3586" customFormat="false" ht="15" hidden="false" customHeight="false" outlineLevel="0" collapsed="false">
      <c r="A3586" s="0" t="n">
        <v>3575</v>
      </c>
      <c r="B3586" s="15" t="n">
        <v>-0.385532670605812</v>
      </c>
      <c r="C3586" s="18" t="n">
        <f aca="false">'Black-Scholes'!$B$5*EXP(('Black-Scholes'!$B$8-'Black-Scholes'!$B$10-'Black-Scholes'!$B$9^2/2)*'Black-Scholes'!$B$7+'Black-Scholes'!$B$9*SQRT('Black-Scholes'!$B$7)*B3586)</f>
        <v>95.3985760141981</v>
      </c>
      <c r="D3586" s="18" t="n">
        <f aca="false">'Black-Scholes'!$B$5*EXP(('Black-Scholes'!$B$8-'Black-Scholes'!$B$10-'Black-Scholes'!$B$9^2/2)*'Black-Scholes'!$B$7-'Black-Scholes'!$B$9*SQRT('Black-Scholes'!$B$7)*B3586)</f>
        <v>111.30528262679</v>
      </c>
      <c r="E3586" s="18" t="n">
        <f aca="false">EXP(-'Black-Scholes'!$B$8*'Black-Scholes'!$B$7)*IF(LOWER('Black-Scholes'!$B$11)="put",MAX('Black-Scholes'!$B$6-C3586,0),MAX(C3586-'Black-Scholes'!$B$6,0))</f>
        <v>0</v>
      </c>
      <c r="F3586" s="18" t="n">
        <f aca="false">(E3586+G3586)/2</f>
        <v>5.37695874344953</v>
      </c>
      <c r="G3586" s="18" t="n">
        <f aca="false">EXP(-'Black-Scholes'!$B$8*'Black-Scholes'!$B$7)*IF(LOWER('Black-Scholes'!$B$11)="put",MAX('Black-Scholes'!$B$6-D3586,0),MAX(D3586-'Black-Scholes'!$B$6,0))</f>
        <v>10.7539174868991</v>
      </c>
    </row>
    <row r="3587" customFormat="false" ht="15" hidden="false" customHeight="false" outlineLevel="0" collapsed="false">
      <c r="A3587" s="0" t="n">
        <v>3576</v>
      </c>
      <c r="B3587" s="15" t="n">
        <v>1.43424461273687</v>
      </c>
      <c r="C3587" s="18" t="n">
        <f aca="false">'Black-Scholes'!$B$5*EXP(('Black-Scholes'!$B$8-'Black-Scholes'!$B$10-'Black-Scholes'!$B$9^2/2)*'Black-Scholes'!$B$7+'Black-Scholes'!$B$9*SQRT('Black-Scholes'!$B$7)*B3587)</f>
        <v>137.279515786263</v>
      </c>
      <c r="D3587" s="18" t="n">
        <f aca="false">'Black-Scholes'!$B$5*EXP(('Black-Scholes'!$B$8-'Black-Scholes'!$B$10-'Black-Scholes'!$B$9^2/2)*'Black-Scholes'!$B$7-'Black-Scholes'!$B$9*SQRT('Black-Scholes'!$B$7)*B3587)</f>
        <v>77.3485061091403</v>
      </c>
      <c r="E3587" s="18" t="n">
        <f aca="false">EXP(-'Black-Scholes'!$B$8*'Black-Scholes'!$B$7)*IF(LOWER('Black-Scholes'!$B$11)="put",MAX('Black-Scholes'!$B$6-C3587,0),MAX(C3587-'Black-Scholes'!$B$6,0))</f>
        <v>35.4613723470323</v>
      </c>
      <c r="F3587" s="18" t="n">
        <f aca="false">(E3587+G3587)/2</f>
        <v>17.7306861735162</v>
      </c>
      <c r="G3587" s="18" t="n">
        <f aca="false">EXP(-'Black-Scholes'!$B$8*'Black-Scholes'!$B$7)*IF(LOWER('Black-Scholes'!$B$11)="put",MAX('Black-Scholes'!$B$6-D3587,0),MAX(D3587-'Black-Scholes'!$B$6,0))</f>
        <v>0</v>
      </c>
    </row>
    <row r="3588" customFormat="false" ht="15" hidden="false" customHeight="false" outlineLevel="0" collapsed="false">
      <c r="A3588" s="0" t="n">
        <v>3577</v>
      </c>
      <c r="B3588" s="15" t="n">
        <v>-0.235464896222025</v>
      </c>
      <c r="C3588" s="18" t="n">
        <f aca="false">'Black-Scholes'!$B$5*EXP(('Black-Scholes'!$B$8-'Black-Scholes'!$B$10-'Black-Scholes'!$B$9^2/2)*'Black-Scholes'!$B$7+'Black-Scholes'!$B$9*SQRT('Black-Scholes'!$B$7)*B3588)</f>
        <v>98.3052276927546</v>
      </c>
      <c r="D3588" s="18" t="n">
        <f aca="false">'Black-Scholes'!$B$5*EXP(('Black-Scholes'!$B$8-'Black-Scholes'!$B$10-'Black-Scholes'!$B$9^2/2)*'Black-Scholes'!$B$7-'Black-Scholes'!$B$9*SQRT('Black-Scholes'!$B$7)*B3588)</f>
        <v>108.014250255749</v>
      </c>
      <c r="E3588" s="18" t="n">
        <f aca="false">EXP(-'Black-Scholes'!$B$8*'Black-Scholes'!$B$7)*IF(LOWER('Black-Scholes'!$B$11)="put",MAX('Black-Scholes'!$B$6-C3588,0),MAX(C3588-'Black-Scholes'!$B$6,0))</f>
        <v>0</v>
      </c>
      <c r="F3588" s="18" t="n">
        <f aca="false">(E3588+G3588)/2</f>
        <v>3.81169532929045</v>
      </c>
      <c r="G3588" s="18" t="n">
        <f aca="false">EXP(-'Black-Scholes'!$B$8*'Black-Scholes'!$B$7)*IF(LOWER('Black-Scholes'!$B$11)="put",MAX('Black-Scholes'!$B$6-D3588,0),MAX(D3588-'Black-Scholes'!$B$6,0))</f>
        <v>7.62339065858091</v>
      </c>
    </row>
    <row r="3589" customFormat="false" ht="15" hidden="false" customHeight="false" outlineLevel="0" collapsed="false">
      <c r="A3589" s="0" t="n">
        <v>3578</v>
      </c>
      <c r="B3589" s="15" t="n">
        <v>1.80838979344461</v>
      </c>
      <c r="C3589" s="18" t="n">
        <f aca="false">'Black-Scholes'!$B$5*EXP(('Black-Scholes'!$B$8-'Black-Scholes'!$B$10-'Black-Scholes'!$B$9^2/2)*'Black-Scholes'!$B$7+'Black-Scholes'!$B$9*SQRT('Black-Scholes'!$B$7)*B3589)</f>
        <v>147.946118705578</v>
      </c>
      <c r="D3589" s="18" t="n">
        <f aca="false">'Black-Scholes'!$B$5*EXP(('Black-Scholes'!$B$8-'Black-Scholes'!$B$10-'Black-Scholes'!$B$9^2/2)*'Black-Scholes'!$B$7-'Black-Scholes'!$B$9*SQRT('Black-Scholes'!$B$7)*B3589)</f>
        <v>71.7718420622093</v>
      </c>
      <c r="E3589" s="18" t="n">
        <f aca="false">EXP(-'Black-Scholes'!$B$8*'Black-Scholes'!$B$7)*IF(LOWER('Black-Scholes'!$B$11)="put",MAX('Black-Scholes'!$B$6-C3589,0),MAX(C3589-'Black-Scholes'!$B$6,0))</f>
        <v>45.6077589033496</v>
      </c>
      <c r="F3589" s="18" t="n">
        <f aca="false">(E3589+G3589)/2</f>
        <v>22.8038794516748</v>
      </c>
      <c r="G3589" s="18" t="n">
        <f aca="false">EXP(-'Black-Scholes'!$B$8*'Black-Scholes'!$B$7)*IF(LOWER('Black-Scholes'!$B$11)="put",MAX('Black-Scholes'!$B$6-D3589,0),MAX(D3589-'Black-Scholes'!$B$6,0))</f>
        <v>0</v>
      </c>
    </row>
    <row r="3590" customFormat="false" ht="15" hidden="false" customHeight="false" outlineLevel="0" collapsed="false">
      <c r="A3590" s="0" t="n">
        <v>3579</v>
      </c>
      <c r="B3590" s="15" t="n">
        <v>-0.533701680205897</v>
      </c>
      <c r="C3590" s="18" t="n">
        <f aca="false">'Black-Scholes'!$B$5*EXP(('Black-Scholes'!$B$8-'Black-Scholes'!$B$10-'Black-Scholes'!$B$9^2/2)*'Black-Scholes'!$B$7+'Black-Scholes'!$B$9*SQRT('Black-Scholes'!$B$7)*B3590)</f>
        <v>92.613030504825</v>
      </c>
      <c r="D3590" s="18" t="n">
        <f aca="false">'Black-Scholes'!$B$5*EXP(('Black-Scholes'!$B$8-'Black-Scholes'!$B$10-'Black-Scholes'!$B$9^2/2)*'Black-Scholes'!$B$7-'Black-Scholes'!$B$9*SQRT('Black-Scholes'!$B$7)*B3590)</f>
        <v>114.653039724258</v>
      </c>
      <c r="E3590" s="18" t="n">
        <f aca="false">EXP(-'Black-Scholes'!$B$8*'Black-Scholes'!$B$7)*IF(LOWER('Black-Scholes'!$B$11)="put",MAX('Black-Scholes'!$B$6-C3590,0),MAX(C3590-'Black-Scholes'!$B$6,0))</f>
        <v>0</v>
      </c>
      <c r="F3590" s="18" t="n">
        <f aca="false">(E3590+G3590)/2</f>
        <v>6.96920127204589</v>
      </c>
      <c r="G3590" s="18" t="n">
        <f aca="false">EXP(-'Black-Scholes'!$B$8*'Black-Scholes'!$B$7)*IF(LOWER('Black-Scholes'!$B$11)="put",MAX('Black-Scholes'!$B$6-D3590,0),MAX(D3590-'Black-Scholes'!$B$6,0))</f>
        <v>13.9384025440918</v>
      </c>
    </row>
    <row r="3591" customFormat="false" ht="15" hidden="false" customHeight="false" outlineLevel="0" collapsed="false">
      <c r="A3591" s="0" t="n">
        <v>3580</v>
      </c>
      <c r="B3591" s="15" t="n">
        <v>0.864097942498172</v>
      </c>
      <c r="C3591" s="18" t="n">
        <f aca="false">'Black-Scholes'!$B$5*EXP(('Black-Scholes'!$B$8-'Black-Scholes'!$B$10-'Black-Scholes'!$B$9^2/2)*'Black-Scholes'!$B$7+'Black-Scholes'!$B$9*SQRT('Black-Scholes'!$B$7)*B3591)</f>
        <v>122.485147102127</v>
      </c>
      <c r="D3591" s="18" t="n">
        <f aca="false">'Black-Scholes'!$B$5*EXP(('Black-Scholes'!$B$8-'Black-Scholes'!$B$10-'Black-Scholes'!$B$9^2/2)*'Black-Scholes'!$B$7-'Black-Scholes'!$B$9*SQRT('Black-Scholes'!$B$7)*B3591)</f>
        <v>86.6910455404045</v>
      </c>
      <c r="E3591" s="18" t="n">
        <f aca="false">EXP(-'Black-Scholes'!$B$8*'Black-Scholes'!$B$7)*IF(LOWER('Black-Scholes'!$B$11)="put",MAX('Black-Scholes'!$B$6-C3591,0),MAX(C3591-'Black-Scholes'!$B$6,0))</f>
        <v>21.3885335377698</v>
      </c>
      <c r="F3591" s="18" t="n">
        <f aca="false">(E3591+G3591)/2</f>
        <v>10.6942667688849</v>
      </c>
      <c r="G3591" s="18" t="n">
        <f aca="false">EXP(-'Black-Scholes'!$B$8*'Black-Scholes'!$B$7)*IF(LOWER('Black-Scholes'!$B$11)="put",MAX('Black-Scholes'!$B$6-D3591,0),MAX(D3591-'Black-Scholes'!$B$6,0))</f>
        <v>0</v>
      </c>
    </row>
    <row r="3592" customFormat="false" ht="15" hidden="false" customHeight="false" outlineLevel="0" collapsed="false">
      <c r="A3592" s="0" t="n">
        <v>3581</v>
      </c>
      <c r="B3592" s="15" t="n">
        <v>0.991565151593406</v>
      </c>
      <c r="C3592" s="18" t="n">
        <f aca="false">'Black-Scholes'!$B$5*EXP(('Black-Scholes'!$B$8-'Black-Scholes'!$B$10-'Black-Scholes'!$B$9^2/2)*'Black-Scholes'!$B$7+'Black-Scholes'!$B$9*SQRT('Black-Scholes'!$B$7)*B3592)</f>
        <v>125.647857976911</v>
      </c>
      <c r="D3592" s="18" t="n">
        <f aca="false">'Black-Scholes'!$B$5*EXP(('Black-Scholes'!$B$8-'Black-Scholes'!$B$10-'Black-Scholes'!$B$9^2/2)*'Black-Scholes'!$B$7-'Black-Scholes'!$B$9*SQRT('Black-Scholes'!$B$7)*B3592)</f>
        <v>84.5089254717325</v>
      </c>
      <c r="E3592" s="18" t="n">
        <f aca="false">EXP(-'Black-Scholes'!$B$8*'Black-Scholes'!$B$7)*IF(LOWER('Black-Scholes'!$B$11)="put",MAX('Black-Scholes'!$B$6-C3592,0),MAX(C3592-'Black-Scholes'!$B$6,0))</f>
        <v>24.396997183053</v>
      </c>
      <c r="F3592" s="18" t="n">
        <f aca="false">(E3592+G3592)/2</f>
        <v>12.1984985915265</v>
      </c>
      <c r="G3592" s="18" t="n">
        <f aca="false">EXP(-'Black-Scholes'!$B$8*'Black-Scholes'!$B$7)*IF(LOWER('Black-Scholes'!$B$11)="put",MAX('Black-Scholes'!$B$6-D3592,0),MAX(D3592-'Black-Scholes'!$B$6,0))</f>
        <v>0</v>
      </c>
    </row>
    <row r="3593" customFormat="false" ht="15" hidden="false" customHeight="false" outlineLevel="0" collapsed="false">
      <c r="A3593" s="0" t="n">
        <v>3582</v>
      </c>
      <c r="B3593" s="15" t="n">
        <v>-1.29857982240004</v>
      </c>
      <c r="C3593" s="18" t="n">
        <f aca="false">'Black-Scholes'!$B$5*EXP(('Black-Scholes'!$B$8-'Black-Scholes'!$B$10-'Black-Scholes'!$B$9^2/2)*'Black-Scholes'!$B$7+'Black-Scholes'!$B$9*SQRT('Black-Scholes'!$B$7)*B3593)</f>
        <v>79.4759310321274</v>
      </c>
      <c r="D3593" s="18" t="n">
        <f aca="false">'Black-Scholes'!$B$5*EXP(('Black-Scholes'!$B$8-'Black-Scholes'!$B$10-'Black-Scholes'!$B$9^2/2)*'Black-Scholes'!$B$7-'Black-Scholes'!$B$9*SQRT('Black-Scholes'!$B$7)*B3593)</f>
        <v>133.60479490528</v>
      </c>
      <c r="E3593" s="18" t="n">
        <f aca="false">EXP(-'Black-Scholes'!$B$8*'Black-Scholes'!$B$7)*IF(LOWER('Black-Scholes'!$B$11)="put",MAX('Black-Scholes'!$B$6-C3593,0),MAX(C3593-'Black-Scholes'!$B$6,0))</f>
        <v>0</v>
      </c>
      <c r="F3593" s="18" t="n">
        <f aca="false">(E3593+G3593)/2</f>
        <v>15.9829348591072</v>
      </c>
      <c r="G3593" s="18" t="n">
        <f aca="false">EXP(-'Black-Scholes'!$B$8*'Black-Scholes'!$B$7)*IF(LOWER('Black-Scholes'!$B$11)="put",MAX('Black-Scholes'!$B$6-D3593,0),MAX(D3593-'Black-Scholes'!$B$6,0))</f>
        <v>31.9658697182144</v>
      </c>
    </row>
    <row r="3594" customFormat="false" ht="15" hidden="false" customHeight="false" outlineLevel="0" collapsed="false">
      <c r="A3594" s="0" t="n">
        <v>3583</v>
      </c>
      <c r="B3594" s="15" t="n">
        <v>1.19280684587072</v>
      </c>
      <c r="C3594" s="18" t="n">
        <f aca="false">'Black-Scholes'!$B$5*EXP(('Black-Scholes'!$B$8-'Black-Scholes'!$B$10-'Black-Scholes'!$B$9^2/2)*'Black-Scholes'!$B$7+'Black-Scholes'!$B$9*SQRT('Black-Scholes'!$B$7)*B3594)</f>
        <v>130.808125043345</v>
      </c>
      <c r="D3594" s="18" t="n">
        <f aca="false">'Black-Scholes'!$B$5*EXP(('Black-Scholes'!$B$8-'Black-Scholes'!$B$10-'Black-Scholes'!$B$9^2/2)*'Black-Scholes'!$B$7-'Black-Scholes'!$B$9*SQRT('Black-Scholes'!$B$7)*B3594)</f>
        <v>81.1751216672136</v>
      </c>
      <c r="E3594" s="18" t="n">
        <f aca="false">EXP(-'Black-Scholes'!$B$8*'Black-Scholes'!$B$7)*IF(LOWER('Black-Scholes'!$B$11)="put",MAX('Black-Scholes'!$B$6-C3594,0),MAX(C3594-'Black-Scholes'!$B$6,0))</f>
        <v>29.3055950549269</v>
      </c>
      <c r="F3594" s="18" t="n">
        <f aca="false">(E3594+G3594)/2</f>
        <v>14.6527975274634</v>
      </c>
      <c r="G3594" s="18" t="n">
        <f aca="false">EXP(-'Black-Scholes'!$B$8*'Black-Scholes'!$B$7)*IF(LOWER('Black-Scholes'!$B$11)="put",MAX('Black-Scholes'!$B$6-D3594,0),MAX(D3594-'Black-Scholes'!$B$6,0))</f>
        <v>0</v>
      </c>
    </row>
    <row r="3595" customFormat="false" ht="15" hidden="false" customHeight="false" outlineLevel="0" collapsed="false">
      <c r="A3595" s="0" t="n">
        <v>3584</v>
      </c>
      <c r="B3595" s="15" t="n">
        <v>-0.0288205889696108</v>
      </c>
      <c r="C3595" s="18" t="n">
        <f aca="false">'Black-Scholes'!$B$5*EXP(('Black-Scholes'!$B$8-'Black-Scholes'!$B$10-'Black-Scholes'!$B$9^2/2)*'Black-Scholes'!$B$7+'Black-Scholes'!$B$9*SQRT('Black-Scholes'!$B$7)*B3595)</f>
        <v>102.453195824868</v>
      </c>
      <c r="D3595" s="18" t="n">
        <f aca="false">'Black-Scholes'!$B$5*EXP(('Black-Scholes'!$B$8-'Black-Scholes'!$B$10-'Black-Scholes'!$B$9^2/2)*'Black-Scholes'!$B$7-'Black-Scholes'!$B$9*SQRT('Black-Scholes'!$B$7)*B3595)</f>
        <v>103.641134666062</v>
      </c>
      <c r="E3595" s="18" t="n">
        <f aca="false">EXP(-'Black-Scholes'!$B$8*'Black-Scholes'!$B$7)*IF(LOWER('Black-Scholes'!$B$11)="put",MAX('Black-Scholes'!$B$6-C3595,0),MAX(C3595-'Black-Scholes'!$B$6,0))</f>
        <v>2.33355205267671</v>
      </c>
      <c r="F3595" s="18" t="n">
        <f aca="false">(E3595+G3595)/2</f>
        <v>2.89855324280239</v>
      </c>
      <c r="G3595" s="18" t="n">
        <f aca="false">EXP(-'Black-Scholes'!$B$8*'Black-Scholes'!$B$7)*IF(LOWER('Black-Scholes'!$B$11)="put",MAX('Black-Scholes'!$B$6-D3595,0),MAX(D3595-'Black-Scholes'!$B$6,0))</f>
        <v>3.46355443292807</v>
      </c>
    </row>
    <row r="3596" customFormat="false" ht="15" hidden="false" customHeight="false" outlineLevel="0" collapsed="false">
      <c r="A3596" s="0" t="n">
        <v>3585</v>
      </c>
      <c r="B3596" s="15" t="n">
        <v>0.844209044409942</v>
      </c>
      <c r="C3596" s="18" t="n">
        <f aca="false">'Black-Scholes'!$B$5*EXP(('Black-Scholes'!$B$8-'Black-Scholes'!$B$10-'Black-Scholes'!$B$9^2/2)*'Black-Scholes'!$B$7+'Black-Scholes'!$B$9*SQRT('Black-Scholes'!$B$7)*B3596)</f>
        <v>121.998895921688</v>
      </c>
      <c r="D3596" s="18" t="n">
        <f aca="false">'Black-Scholes'!$B$5*EXP(('Black-Scholes'!$B$8-'Black-Scholes'!$B$10-'Black-Scholes'!$B$9^2/2)*'Black-Scholes'!$B$7-'Black-Scholes'!$B$9*SQRT('Black-Scholes'!$B$7)*B3596)</f>
        <v>87.0365701692053</v>
      </c>
      <c r="E3596" s="18" t="n">
        <f aca="false">EXP(-'Black-Scholes'!$B$8*'Black-Scholes'!$B$7)*IF(LOWER('Black-Scholes'!$B$11)="put",MAX('Black-Scholes'!$B$6-C3596,0),MAX(C3596-'Black-Scholes'!$B$6,0))</f>
        <v>20.9259971072387</v>
      </c>
      <c r="F3596" s="18" t="n">
        <f aca="false">(E3596+G3596)/2</f>
        <v>10.4629985536193</v>
      </c>
      <c r="G3596" s="18" t="n">
        <f aca="false">EXP(-'Black-Scholes'!$B$8*'Black-Scholes'!$B$7)*IF(LOWER('Black-Scholes'!$B$11)="put",MAX('Black-Scholes'!$B$6-D3596,0),MAX(D3596-'Black-Scholes'!$B$6,0))</f>
        <v>0</v>
      </c>
    </row>
    <row r="3597" customFormat="false" ht="15" hidden="false" customHeight="false" outlineLevel="0" collapsed="false">
      <c r="A3597" s="0" t="n">
        <v>3586</v>
      </c>
      <c r="B3597" s="15" t="n">
        <v>-0.1655638212129</v>
      </c>
      <c r="C3597" s="18" t="n">
        <f aca="false">'Black-Scholes'!$B$5*EXP(('Black-Scholes'!$B$8-'Black-Scholes'!$B$10-'Black-Scholes'!$B$9^2/2)*'Black-Scholes'!$B$7+'Black-Scholes'!$B$9*SQRT('Black-Scholes'!$B$7)*B3597)</f>
        <v>99.6892075385193</v>
      </c>
      <c r="D3597" s="18" t="n">
        <f aca="false">'Black-Scholes'!$B$5*EXP(('Black-Scholes'!$B$8-'Black-Scholes'!$B$10-'Black-Scholes'!$B$9^2/2)*'Black-Scholes'!$B$7-'Black-Scholes'!$B$9*SQRT('Black-Scholes'!$B$7)*B3597)</f>
        <v>106.514694294773</v>
      </c>
      <c r="E3597" s="18" t="n">
        <f aca="false">EXP(-'Black-Scholes'!$B$8*'Black-Scholes'!$B$7)*IF(LOWER('Black-Scholes'!$B$11)="put",MAX('Black-Scholes'!$B$6-C3597,0),MAX(C3597-'Black-Scholes'!$B$6,0))</f>
        <v>0</v>
      </c>
      <c r="F3597" s="18" t="n">
        <f aca="false">(E3597+G3597)/2</f>
        <v>3.09848445240768</v>
      </c>
      <c r="G3597" s="18" t="n">
        <f aca="false">EXP(-'Black-Scholes'!$B$8*'Black-Scholes'!$B$7)*IF(LOWER('Black-Scholes'!$B$11)="put",MAX('Black-Scholes'!$B$6-D3597,0),MAX(D3597-'Black-Scholes'!$B$6,0))</f>
        <v>6.19696890481537</v>
      </c>
    </row>
    <row r="3598" customFormat="false" ht="15" hidden="false" customHeight="false" outlineLevel="0" collapsed="false">
      <c r="A3598" s="0" t="n">
        <v>3587</v>
      </c>
      <c r="B3598" s="15" t="n">
        <v>-0.543860045148303</v>
      </c>
      <c r="C3598" s="18" t="n">
        <f aca="false">'Black-Scholes'!$B$5*EXP(('Black-Scholes'!$B$8-'Black-Scholes'!$B$10-'Black-Scholes'!$B$9^2/2)*'Black-Scholes'!$B$7+'Black-Scholes'!$B$9*SQRT('Black-Scholes'!$B$7)*B3598)</f>
        <v>92.4250621221662</v>
      </c>
      <c r="D3598" s="18" t="n">
        <f aca="false">'Black-Scholes'!$B$5*EXP(('Black-Scholes'!$B$8-'Black-Scholes'!$B$10-'Black-Scholes'!$B$9^2/2)*'Black-Scholes'!$B$7-'Black-Scholes'!$B$9*SQRT('Black-Scholes'!$B$7)*B3598)</f>
        <v>114.88621399484</v>
      </c>
      <c r="E3598" s="18" t="n">
        <f aca="false">EXP(-'Black-Scholes'!$B$8*'Black-Scholes'!$B$7)*IF(LOWER('Black-Scholes'!$B$11)="put",MAX('Black-Scholes'!$B$6-C3598,0),MAX(C3598-'Black-Scholes'!$B$6,0))</f>
        <v>0</v>
      </c>
      <c r="F3598" s="18" t="n">
        <f aca="false">(E3598+G3598)/2</f>
        <v>7.08010238565322</v>
      </c>
      <c r="G3598" s="18" t="n">
        <f aca="false">EXP(-'Black-Scholes'!$B$8*'Black-Scholes'!$B$7)*IF(LOWER('Black-Scholes'!$B$11)="put",MAX('Black-Scholes'!$B$6-D3598,0),MAX(D3598-'Black-Scholes'!$B$6,0))</f>
        <v>14.1602047713064</v>
      </c>
    </row>
    <row r="3599" customFormat="false" ht="15" hidden="false" customHeight="false" outlineLevel="0" collapsed="false">
      <c r="A3599" s="0" t="n">
        <v>3588</v>
      </c>
      <c r="B3599" s="15" t="n">
        <v>-0.0720670446196302</v>
      </c>
      <c r="C3599" s="18" t="n">
        <f aca="false">'Black-Scholes'!$B$5*EXP(('Black-Scholes'!$B$8-'Black-Scholes'!$B$10-'Black-Scholes'!$B$9^2/2)*'Black-Scholes'!$B$7+'Black-Scholes'!$B$9*SQRT('Black-Scholes'!$B$7)*B3599)</f>
        <v>101.570869555945</v>
      </c>
      <c r="D3599" s="18" t="n">
        <f aca="false">'Black-Scholes'!$B$5*EXP(('Black-Scholes'!$B$8-'Black-Scholes'!$B$10-'Black-Scholes'!$B$9^2/2)*'Black-Scholes'!$B$7-'Black-Scholes'!$B$9*SQRT('Black-Scholes'!$B$7)*B3599)</f>
        <v>104.541444922897</v>
      </c>
      <c r="E3599" s="18" t="n">
        <f aca="false">EXP(-'Black-Scholes'!$B$8*'Black-Scholes'!$B$7)*IF(LOWER('Black-Scholes'!$B$11)="put",MAX('Black-Scholes'!$B$6-C3599,0),MAX(C3599-'Black-Scholes'!$B$6,0))</f>
        <v>1.49425734366703</v>
      </c>
      <c r="F3599" s="18" t="n">
        <f aca="false">(E3599+G3599)/2</f>
        <v>2.90710669203821</v>
      </c>
      <c r="G3599" s="18" t="n">
        <f aca="false">EXP(-'Black-Scholes'!$B$8*'Black-Scholes'!$B$7)*IF(LOWER('Black-Scholes'!$B$11)="put",MAX('Black-Scholes'!$B$6-D3599,0),MAX(D3599-'Black-Scholes'!$B$6,0))</f>
        <v>4.31995604040939</v>
      </c>
    </row>
    <row r="3600" customFormat="false" ht="15" hidden="false" customHeight="false" outlineLevel="0" collapsed="false">
      <c r="A3600" s="0" t="n">
        <v>3589</v>
      </c>
      <c r="B3600" s="15" t="n">
        <v>0.464670447700994</v>
      </c>
      <c r="C3600" s="18" t="n">
        <f aca="false">'Black-Scholes'!$B$5*EXP(('Black-Scholes'!$B$8-'Black-Scholes'!$B$10-'Black-Scholes'!$B$9^2/2)*'Black-Scholes'!$B$7+'Black-Scholes'!$B$9*SQRT('Black-Scholes'!$B$7)*B3600)</f>
        <v>113.080988629166</v>
      </c>
      <c r="D3600" s="18" t="n">
        <f aca="false">'Black-Scholes'!$B$5*EXP(('Black-Scholes'!$B$8-'Black-Scholes'!$B$10-'Black-Scholes'!$B$9^2/2)*'Black-Scholes'!$B$7-'Black-Scholes'!$B$9*SQRT('Black-Scholes'!$B$7)*B3600)</f>
        <v>93.900536192473</v>
      </c>
      <c r="E3600" s="18" t="n">
        <f aca="false">EXP(-'Black-Scholes'!$B$8*'Black-Scholes'!$B$7)*IF(LOWER('Black-Scholes'!$B$11)="put",MAX('Black-Scholes'!$B$6-C3600,0),MAX(C3600-'Black-Scholes'!$B$6,0))</f>
        <v>12.4430212856216</v>
      </c>
      <c r="F3600" s="18" t="n">
        <f aca="false">(E3600+G3600)/2</f>
        <v>6.2215106428108</v>
      </c>
      <c r="G3600" s="18" t="n">
        <f aca="false">EXP(-'Black-Scholes'!$B$8*'Black-Scholes'!$B$7)*IF(LOWER('Black-Scholes'!$B$11)="put",MAX('Black-Scholes'!$B$6-D3600,0),MAX(D3600-'Black-Scholes'!$B$6,0))</f>
        <v>0</v>
      </c>
    </row>
    <row r="3601" customFormat="false" ht="15" hidden="false" customHeight="false" outlineLevel="0" collapsed="false">
      <c r="A3601" s="0" t="n">
        <v>3590</v>
      </c>
      <c r="B3601" s="15" t="n">
        <v>-0.657091605747423</v>
      </c>
      <c r="C3601" s="18" t="n">
        <f aca="false">'Black-Scholes'!$B$5*EXP(('Black-Scholes'!$B$8-'Black-Scholes'!$B$10-'Black-Scholes'!$B$9^2/2)*'Black-Scholes'!$B$7+'Black-Scholes'!$B$9*SQRT('Black-Scholes'!$B$7)*B3601)</f>
        <v>90.3554977660252</v>
      </c>
      <c r="D3601" s="18" t="n">
        <f aca="false">'Black-Scholes'!$B$5*EXP(('Black-Scholes'!$B$8-'Black-Scholes'!$B$10-'Black-Scholes'!$B$9^2/2)*'Black-Scholes'!$B$7-'Black-Scholes'!$B$9*SQRT('Black-Scholes'!$B$7)*B3601)</f>
        <v>117.517646717522</v>
      </c>
      <c r="E3601" s="18" t="n">
        <f aca="false">EXP(-'Black-Scholes'!$B$8*'Black-Scholes'!$B$7)*IF(LOWER('Black-Scholes'!$B$11)="put",MAX('Black-Scholes'!$B$6-C3601,0),MAX(C3601-'Black-Scholes'!$B$6,0))</f>
        <v>0</v>
      </c>
      <c r="F3601" s="18" t="n">
        <f aca="false">(E3601+G3601)/2</f>
        <v>8.33165050285765</v>
      </c>
      <c r="G3601" s="18" t="n">
        <f aca="false">EXP(-'Black-Scholes'!$B$8*'Black-Scholes'!$B$7)*IF(LOWER('Black-Scholes'!$B$11)="put",MAX('Black-Scholes'!$B$6-D3601,0),MAX(D3601-'Black-Scholes'!$B$6,0))</f>
        <v>16.6633010057153</v>
      </c>
    </row>
    <row r="3602" customFormat="false" ht="15" hidden="false" customHeight="false" outlineLevel="0" collapsed="false">
      <c r="A3602" s="0" t="n">
        <v>3591</v>
      </c>
      <c r="B3602" s="15" t="n">
        <v>-0.496291707915036</v>
      </c>
      <c r="C3602" s="18" t="n">
        <f aca="false">'Black-Scholes'!$B$5*EXP(('Black-Scholes'!$B$8-'Black-Scholes'!$B$10-'Black-Scholes'!$B$9^2/2)*'Black-Scholes'!$B$7+'Black-Scholes'!$B$9*SQRT('Black-Scholes'!$B$7)*B3602)</f>
        <v>93.3085594128811</v>
      </c>
      <c r="D3602" s="18" t="n">
        <f aca="false">'Black-Scholes'!$B$5*EXP(('Black-Scholes'!$B$8-'Black-Scholes'!$B$10-'Black-Scholes'!$B$9^2/2)*'Black-Scholes'!$B$7-'Black-Scholes'!$B$9*SQRT('Black-Scholes'!$B$7)*B3602)</f>
        <v>113.798407480158</v>
      </c>
      <c r="E3602" s="18" t="n">
        <f aca="false">EXP(-'Black-Scholes'!$B$8*'Black-Scholes'!$B$7)*IF(LOWER('Black-Scholes'!$B$11)="put",MAX('Black-Scholes'!$B$6-C3602,0),MAX(C3602-'Black-Scholes'!$B$6,0))</f>
        <v>0</v>
      </c>
      <c r="F3602" s="18" t="n">
        <f aca="false">(E3602+G3602)/2</f>
        <v>6.5627256031886</v>
      </c>
      <c r="G3602" s="18" t="n">
        <f aca="false">EXP(-'Black-Scholes'!$B$8*'Black-Scholes'!$B$7)*IF(LOWER('Black-Scholes'!$B$11)="put",MAX('Black-Scholes'!$B$6-D3602,0),MAX(D3602-'Black-Scholes'!$B$6,0))</f>
        <v>13.1254512063772</v>
      </c>
    </row>
    <row r="3603" customFormat="false" ht="15" hidden="false" customHeight="false" outlineLevel="0" collapsed="false">
      <c r="A3603" s="0" t="n">
        <v>3592</v>
      </c>
      <c r="B3603" s="15" t="n">
        <v>-0.425766881723861</v>
      </c>
      <c r="C3603" s="18" t="n">
        <f aca="false">'Black-Scholes'!$B$5*EXP(('Black-Scholes'!$B$8-'Black-Scholes'!$B$10-'Black-Scholes'!$B$9^2/2)*'Black-Scholes'!$B$7+'Black-Scholes'!$B$9*SQRT('Black-Scholes'!$B$7)*B3603)</f>
        <v>94.6339990653242</v>
      </c>
      <c r="D3603" s="18" t="n">
        <f aca="false">'Black-Scholes'!$B$5*EXP(('Black-Scholes'!$B$8-'Black-Scholes'!$B$10-'Black-Scholes'!$B$9^2/2)*'Black-Scholes'!$B$7-'Black-Scholes'!$B$9*SQRT('Black-Scholes'!$B$7)*B3603)</f>
        <v>112.204551961541</v>
      </c>
      <c r="E3603" s="18" t="n">
        <f aca="false">EXP(-'Black-Scholes'!$B$8*'Black-Scholes'!$B$7)*IF(LOWER('Black-Scholes'!$B$11)="put",MAX('Black-Scholes'!$B$6-C3603,0),MAX(C3603-'Black-Scholes'!$B$6,0))</f>
        <v>0</v>
      </c>
      <c r="F3603" s="18" t="n">
        <f aca="false">(E3603+G3603)/2</f>
        <v>5.80466446933287</v>
      </c>
      <c r="G3603" s="18" t="n">
        <f aca="false">EXP(-'Black-Scholes'!$B$8*'Black-Scholes'!$B$7)*IF(LOWER('Black-Scholes'!$B$11)="put",MAX('Black-Scholes'!$B$6-D3603,0),MAX(D3603-'Black-Scholes'!$B$6,0))</f>
        <v>11.6093289386657</v>
      </c>
    </row>
    <row r="3604" customFormat="false" ht="15" hidden="false" customHeight="false" outlineLevel="0" collapsed="false">
      <c r="A3604" s="0" t="n">
        <v>3593</v>
      </c>
      <c r="B3604" s="15" t="n">
        <v>0.2789565129866</v>
      </c>
      <c r="C3604" s="18" t="n">
        <f aca="false">'Black-Scholes'!$B$5*EXP(('Black-Scholes'!$B$8-'Black-Scholes'!$B$10-'Black-Scholes'!$B$9^2/2)*'Black-Scholes'!$B$7+'Black-Scholes'!$B$9*SQRT('Black-Scholes'!$B$7)*B3604)</f>
        <v>108.957891228638</v>
      </c>
      <c r="D3604" s="18" t="n">
        <f aca="false">'Black-Scholes'!$B$5*EXP(('Black-Scholes'!$B$8-'Black-Scholes'!$B$10-'Black-Scholes'!$B$9^2/2)*'Black-Scholes'!$B$7-'Black-Scholes'!$B$9*SQRT('Black-Scholes'!$B$7)*B3604)</f>
        <v>97.4538452031157</v>
      </c>
      <c r="E3604" s="18" t="n">
        <f aca="false">EXP(-'Black-Scholes'!$B$8*'Black-Scholes'!$B$7)*IF(LOWER('Black-Scholes'!$B$11)="put",MAX('Black-Scholes'!$B$6-C3604,0),MAX(C3604-'Black-Scholes'!$B$6,0))</f>
        <v>8.5210097181572</v>
      </c>
      <c r="F3604" s="18" t="n">
        <f aca="false">(E3604+G3604)/2</f>
        <v>4.2605048590786</v>
      </c>
      <c r="G3604" s="18" t="n">
        <f aca="false">EXP(-'Black-Scholes'!$B$8*'Black-Scholes'!$B$7)*IF(LOWER('Black-Scholes'!$B$11)="put",MAX('Black-Scholes'!$B$6-D3604,0),MAX(D3604-'Black-Scholes'!$B$6,0))</f>
        <v>0</v>
      </c>
    </row>
    <row r="3605" customFormat="false" ht="15" hidden="false" customHeight="false" outlineLevel="0" collapsed="false">
      <c r="A3605" s="0" t="n">
        <v>3594</v>
      </c>
      <c r="B3605" s="15" t="n">
        <v>-0.560806316517181</v>
      </c>
      <c r="C3605" s="18" t="n">
        <f aca="false">'Black-Scholes'!$B$5*EXP(('Black-Scholes'!$B$8-'Black-Scholes'!$B$10-'Black-Scholes'!$B$9^2/2)*'Black-Scholes'!$B$7+'Black-Scholes'!$B$9*SQRT('Black-Scholes'!$B$7)*B3605)</f>
        <v>92.1123403315514</v>
      </c>
      <c r="D3605" s="18" t="n">
        <f aca="false">'Black-Scholes'!$B$5*EXP(('Black-Scholes'!$B$8-'Black-Scholes'!$B$10-'Black-Scholes'!$B$9^2/2)*'Black-Scholes'!$B$7-'Black-Scholes'!$B$9*SQRT('Black-Scholes'!$B$7)*B3605)</f>
        <v>115.276253184249</v>
      </c>
      <c r="E3605" s="18" t="n">
        <f aca="false">EXP(-'Black-Scholes'!$B$8*'Black-Scholes'!$B$7)*IF(LOWER('Black-Scholes'!$B$11)="put",MAX('Black-Scholes'!$B$6-C3605,0),MAX(C3605-'Black-Scholes'!$B$6,0))</f>
        <v>0</v>
      </c>
      <c r="F3605" s="18" t="n">
        <f aca="false">(E3605+G3605)/2</f>
        <v>7.26561076249003</v>
      </c>
      <c r="G3605" s="18" t="n">
        <f aca="false">EXP(-'Black-Scholes'!$B$8*'Black-Scholes'!$B$7)*IF(LOWER('Black-Scholes'!$B$11)="put",MAX('Black-Scholes'!$B$6-D3605,0),MAX(D3605-'Black-Scholes'!$B$6,0))</f>
        <v>14.5312215249801</v>
      </c>
    </row>
    <row r="3606" customFormat="false" ht="15" hidden="false" customHeight="false" outlineLevel="0" collapsed="false">
      <c r="A3606" s="0" t="n">
        <v>3595</v>
      </c>
      <c r="B3606" s="15" t="n">
        <v>1.47537044482592</v>
      </c>
      <c r="C3606" s="18" t="n">
        <f aca="false">'Black-Scholes'!$B$5*EXP(('Black-Scholes'!$B$8-'Black-Scholes'!$B$10-'Black-Scholes'!$B$9^2/2)*'Black-Scholes'!$B$7+'Black-Scholes'!$B$9*SQRT('Black-Scholes'!$B$7)*B3606)</f>
        <v>138.413319117778</v>
      </c>
      <c r="D3606" s="18" t="n">
        <f aca="false">'Black-Scholes'!$B$5*EXP(('Black-Scholes'!$B$8-'Black-Scholes'!$B$10-'Black-Scholes'!$B$9^2/2)*'Black-Scholes'!$B$7-'Black-Scholes'!$B$9*SQRT('Black-Scholes'!$B$7)*B3606)</f>
        <v>76.7149110586551</v>
      </c>
      <c r="E3606" s="18" t="n">
        <f aca="false">EXP(-'Black-Scholes'!$B$8*'Black-Scholes'!$B$7)*IF(LOWER('Black-Scholes'!$B$11)="put",MAX('Black-Scholes'!$B$6-C3606,0),MAX(C3606-'Black-Scholes'!$B$6,0))</f>
        <v>36.5398794375664</v>
      </c>
      <c r="F3606" s="18" t="n">
        <f aca="false">(E3606+G3606)/2</f>
        <v>18.2699397187832</v>
      </c>
      <c r="G3606" s="18" t="n">
        <f aca="false">EXP(-'Black-Scholes'!$B$8*'Black-Scholes'!$B$7)*IF(LOWER('Black-Scholes'!$B$11)="put",MAX('Black-Scholes'!$B$6-D3606,0),MAX(D3606-'Black-Scholes'!$B$6,0))</f>
        <v>0</v>
      </c>
    </row>
    <row r="3607" customFormat="false" ht="15" hidden="false" customHeight="false" outlineLevel="0" collapsed="false">
      <c r="A3607" s="0" t="n">
        <v>3596</v>
      </c>
      <c r="B3607" s="15" t="n">
        <v>-0.288039896032078</v>
      </c>
      <c r="C3607" s="18" t="n">
        <f aca="false">'Black-Scholes'!$B$5*EXP(('Black-Scholes'!$B$8-'Black-Scholes'!$B$10-'Black-Scholes'!$B$9^2/2)*'Black-Scholes'!$B$7+'Black-Scholes'!$B$9*SQRT('Black-Scholes'!$B$7)*B3607)</f>
        <v>97.2769637988706</v>
      </c>
      <c r="D3607" s="18" t="n">
        <f aca="false">'Black-Scholes'!$B$5*EXP(('Black-Scholes'!$B$8-'Black-Scholes'!$B$10-'Black-Scholes'!$B$9^2/2)*'Black-Scholes'!$B$7-'Black-Scholes'!$B$9*SQRT('Black-Scholes'!$B$7)*B3607)</f>
        <v>109.156012387558</v>
      </c>
      <c r="E3607" s="18" t="n">
        <f aca="false">EXP(-'Black-Scholes'!$B$8*'Black-Scholes'!$B$7)*IF(LOWER('Black-Scholes'!$B$11)="put",MAX('Black-Scholes'!$B$6-C3607,0),MAX(C3607-'Black-Scholes'!$B$6,0))</f>
        <v>0</v>
      </c>
      <c r="F3607" s="18" t="n">
        <f aca="false">(E3607+G3607)/2</f>
        <v>4.3547341970693</v>
      </c>
      <c r="G3607" s="18" t="n">
        <f aca="false">EXP(-'Black-Scholes'!$B$8*'Black-Scholes'!$B$7)*IF(LOWER('Black-Scholes'!$B$11)="put",MAX('Black-Scholes'!$B$6-D3607,0),MAX(D3607-'Black-Scholes'!$B$6,0))</f>
        <v>8.70946839413859</v>
      </c>
    </row>
    <row r="3608" customFormat="false" ht="15" hidden="false" customHeight="false" outlineLevel="0" collapsed="false">
      <c r="A3608" s="0" t="n">
        <v>3597</v>
      </c>
      <c r="B3608" s="15" t="n">
        <v>-0.82656142141972</v>
      </c>
      <c r="C3608" s="18" t="n">
        <f aca="false">'Black-Scholes'!$B$5*EXP(('Black-Scholes'!$B$8-'Black-Scholes'!$B$10-'Black-Scholes'!$B$9^2/2)*'Black-Scholes'!$B$7+'Black-Scholes'!$B$9*SQRT('Black-Scholes'!$B$7)*B3608)</f>
        <v>87.344310653878</v>
      </c>
      <c r="D3608" s="18" t="n">
        <f aca="false">'Black-Scholes'!$B$5*EXP(('Black-Scholes'!$B$8-'Black-Scholes'!$B$10-'Black-Scholes'!$B$9^2/2)*'Black-Scholes'!$B$7-'Black-Scholes'!$B$9*SQRT('Black-Scholes'!$B$7)*B3608)</f>
        <v>121.569056827654</v>
      </c>
      <c r="E3608" s="18" t="n">
        <f aca="false">EXP(-'Black-Scholes'!$B$8*'Black-Scholes'!$B$7)*IF(LOWER('Black-Scholes'!$B$11)="put",MAX('Black-Scholes'!$B$6-C3608,0),MAX(C3608-'Black-Scholes'!$B$6,0))</f>
        <v>0</v>
      </c>
      <c r="F3608" s="18" t="n">
        <f aca="false">(E3608+G3608)/2</f>
        <v>10.2585607565965</v>
      </c>
      <c r="G3608" s="18" t="n">
        <f aca="false">EXP(-'Black-Scholes'!$B$8*'Black-Scholes'!$B$7)*IF(LOWER('Black-Scholes'!$B$11)="put",MAX('Black-Scholes'!$B$6-D3608,0),MAX(D3608-'Black-Scholes'!$B$6,0))</f>
        <v>20.5171215131929</v>
      </c>
    </row>
    <row r="3609" customFormat="false" ht="15" hidden="false" customHeight="false" outlineLevel="0" collapsed="false">
      <c r="A3609" s="0" t="n">
        <v>3598</v>
      </c>
      <c r="B3609" s="15" t="n">
        <v>-0.284675280804458</v>
      </c>
      <c r="C3609" s="18" t="n">
        <f aca="false">'Black-Scholes'!$B$5*EXP(('Black-Scholes'!$B$8-'Black-Scholes'!$B$10-'Black-Scholes'!$B$9^2/2)*'Black-Scholes'!$B$7+'Black-Scholes'!$B$9*SQRT('Black-Scholes'!$B$7)*B3609)</f>
        <v>97.3424457392919</v>
      </c>
      <c r="D3609" s="18" t="n">
        <f aca="false">'Black-Scholes'!$B$5*EXP(('Black-Scholes'!$B$8-'Black-Scholes'!$B$10-'Black-Scholes'!$B$9^2/2)*'Black-Scholes'!$B$7-'Black-Scholes'!$B$9*SQRT('Black-Scholes'!$B$7)*B3609)</f>
        <v>109.082583500032</v>
      </c>
      <c r="E3609" s="18" t="n">
        <f aca="false">EXP(-'Black-Scholes'!$B$8*'Black-Scholes'!$B$7)*IF(LOWER('Black-Scholes'!$B$11)="put",MAX('Black-Scholes'!$B$6-C3609,0),MAX(C3609-'Black-Scholes'!$B$6,0))</f>
        <v>0</v>
      </c>
      <c r="F3609" s="18" t="n">
        <f aca="false">(E3609+G3609)/2</f>
        <v>4.31981033785732</v>
      </c>
      <c r="G3609" s="18" t="n">
        <f aca="false">EXP(-'Black-Scholes'!$B$8*'Black-Scholes'!$B$7)*IF(LOWER('Black-Scholes'!$B$11)="put",MAX('Black-Scholes'!$B$6-D3609,0),MAX(D3609-'Black-Scholes'!$B$6,0))</f>
        <v>8.63962067571465</v>
      </c>
    </row>
    <row r="3610" customFormat="false" ht="15" hidden="false" customHeight="false" outlineLevel="0" collapsed="false">
      <c r="A3610" s="0" t="n">
        <v>3599</v>
      </c>
      <c r="B3610" s="15" t="n">
        <v>-0.0679424682235318</v>
      </c>
      <c r="C3610" s="18" t="n">
        <f aca="false">'Black-Scholes'!$B$5*EXP(('Black-Scholes'!$B$8-'Black-Scholes'!$B$10-'Black-Scholes'!$B$9^2/2)*'Black-Scholes'!$B$7+'Black-Scholes'!$B$9*SQRT('Black-Scholes'!$B$7)*B3610)</f>
        <v>101.654691486407</v>
      </c>
      <c r="D3610" s="18" t="n">
        <f aca="false">'Black-Scholes'!$B$5*EXP(('Black-Scholes'!$B$8-'Black-Scholes'!$B$10-'Black-Scholes'!$B$9^2/2)*'Black-Scholes'!$B$7-'Black-Scholes'!$B$9*SQRT('Black-Scholes'!$B$7)*B3610)</f>
        <v>104.455242647344</v>
      </c>
      <c r="E3610" s="18" t="n">
        <f aca="false">EXP(-'Black-Scholes'!$B$8*'Black-Scholes'!$B$7)*IF(LOWER('Black-Scholes'!$B$11)="put",MAX('Black-Scholes'!$B$6-C3610,0),MAX(C3610-'Black-Scholes'!$B$6,0))</f>
        <v>1.57399123034152</v>
      </c>
      <c r="F3610" s="18" t="n">
        <f aca="false">(E3610+G3610)/2</f>
        <v>2.90597456489289</v>
      </c>
      <c r="G3610" s="18" t="n">
        <f aca="false">EXP(-'Black-Scholes'!$B$8*'Black-Scholes'!$B$7)*IF(LOWER('Black-Scholes'!$B$11)="put",MAX('Black-Scholes'!$B$6-D3610,0),MAX(D3610-'Black-Scholes'!$B$6,0))</f>
        <v>4.23795789944427</v>
      </c>
    </row>
    <row r="3611" customFormat="false" ht="15" hidden="false" customHeight="false" outlineLevel="0" collapsed="false">
      <c r="A3611" s="0" t="n">
        <v>3600</v>
      </c>
      <c r="B3611" s="15" t="n">
        <v>0.441738165311612</v>
      </c>
      <c r="C3611" s="18" t="n">
        <f aca="false">'Black-Scholes'!$B$5*EXP(('Black-Scholes'!$B$8-'Black-Scholes'!$B$10-'Black-Scholes'!$B$9^2/2)*'Black-Scholes'!$B$7+'Black-Scholes'!$B$9*SQRT('Black-Scholes'!$B$7)*B3611)</f>
        <v>112.563535142369</v>
      </c>
      <c r="D3611" s="18" t="n">
        <f aca="false">'Black-Scholes'!$B$5*EXP(('Black-Scholes'!$B$8-'Black-Scholes'!$B$10-'Black-Scholes'!$B$9^2/2)*'Black-Scholes'!$B$7-'Black-Scholes'!$B$9*SQRT('Black-Scholes'!$B$7)*B3611)</f>
        <v>94.3321960528661</v>
      </c>
      <c r="E3611" s="18" t="n">
        <f aca="false">EXP(-'Black-Scholes'!$B$8*'Black-Scholes'!$B$7)*IF(LOWER('Black-Scholes'!$B$11)="put",MAX('Black-Scholes'!$B$6-C3611,0),MAX(C3611-'Black-Scholes'!$B$6,0))</f>
        <v>11.9508043031698</v>
      </c>
      <c r="F3611" s="18" t="n">
        <f aca="false">(E3611+G3611)/2</f>
        <v>5.97540215158491</v>
      </c>
      <c r="G3611" s="18" t="n">
        <f aca="false">EXP(-'Black-Scholes'!$B$8*'Black-Scholes'!$B$7)*IF(LOWER('Black-Scholes'!$B$11)="put",MAX('Black-Scholes'!$B$6-D3611,0),MAX(D3611-'Black-Scholes'!$B$6,0))</f>
        <v>0</v>
      </c>
    </row>
    <row r="3612" customFormat="false" ht="15" hidden="false" customHeight="false" outlineLevel="0" collapsed="false">
      <c r="A3612" s="0" t="n">
        <v>3601</v>
      </c>
      <c r="B3612" s="15" t="n">
        <v>-1.66592428641797</v>
      </c>
      <c r="C3612" s="18" t="n">
        <f aca="false">'Black-Scholes'!$B$5*EXP(('Black-Scholes'!$B$8-'Black-Scholes'!$B$10-'Black-Scholes'!$B$9^2/2)*'Black-Scholes'!$B$7+'Black-Scholes'!$B$9*SQRT('Black-Scholes'!$B$7)*B3612)</f>
        <v>73.8462573566869</v>
      </c>
      <c r="D3612" s="18" t="n">
        <f aca="false">'Black-Scholes'!$B$5*EXP(('Black-Scholes'!$B$8-'Black-Scholes'!$B$10-'Black-Scholes'!$B$9^2/2)*'Black-Scholes'!$B$7-'Black-Scholes'!$B$9*SQRT('Black-Scholes'!$B$7)*B3612)</f>
        <v>143.790164126606</v>
      </c>
      <c r="E3612" s="18" t="n">
        <f aca="false">EXP(-'Black-Scholes'!$B$8*'Black-Scholes'!$B$7)*IF(LOWER('Black-Scholes'!$B$11)="put",MAX('Black-Scholes'!$B$6-C3612,0),MAX(C3612-'Black-Scholes'!$B$6,0))</f>
        <v>0</v>
      </c>
      <c r="F3612" s="18" t="n">
        <f aca="false">(E3612+G3612)/2</f>
        <v>20.8272463104716</v>
      </c>
      <c r="G3612" s="18" t="n">
        <f aca="false">EXP(-'Black-Scholes'!$B$8*'Black-Scholes'!$B$7)*IF(LOWER('Black-Scholes'!$B$11)="put",MAX('Black-Scholes'!$B$6-D3612,0),MAX(D3612-'Black-Scholes'!$B$6,0))</f>
        <v>41.6544926209433</v>
      </c>
    </row>
    <row r="3613" customFormat="false" ht="15" hidden="false" customHeight="false" outlineLevel="0" collapsed="false">
      <c r="A3613" s="0" t="n">
        <v>3602</v>
      </c>
      <c r="B3613" s="15" t="n">
        <v>0.377162053928654</v>
      </c>
      <c r="C3613" s="18" t="n">
        <f aca="false">'Black-Scholes'!$B$5*EXP(('Black-Scholes'!$B$8-'Black-Scholes'!$B$10-'Black-Scholes'!$B$9^2/2)*'Black-Scholes'!$B$7+'Black-Scholes'!$B$9*SQRT('Black-Scholes'!$B$7)*B3613)</f>
        <v>111.119099745825</v>
      </c>
      <c r="D3613" s="18" t="n">
        <f aca="false">'Black-Scholes'!$B$5*EXP(('Black-Scholes'!$B$8-'Black-Scholes'!$B$10-'Black-Scholes'!$B$9^2/2)*'Black-Scholes'!$B$7-'Black-Scholes'!$B$9*SQRT('Black-Scholes'!$B$7)*B3613)</f>
        <v>95.5584187573711</v>
      </c>
      <c r="E3613" s="18" t="n">
        <f aca="false">EXP(-'Black-Scholes'!$B$8*'Black-Scholes'!$B$7)*IF(LOWER('Black-Scholes'!$B$11)="put",MAX('Black-Scholes'!$B$6-C3613,0),MAX(C3613-'Black-Scholes'!$B$6,0))</f>
        <v>10.5768148521867</v>
      </c>
      <c r="F3613" s="18" t="n">
        <f aca="false">(E3613+G3613)/2</f>
        <v>5.28840742609337</v>
      </c>
      <c r="G3613" s="18" t="n">
        <f aca="false">EXP(-'Black-Scholes'!$B$8*'Black-Scholes'!$B$7)*IF(LOWER('Black-Scholes'!$B$11)="put",MAX('Black-Scholes'!$B$6-D3613,0),MAX(D3613-'Black-Scholes'!$B$6,0))</f>
        <v>0</v>
      </c>
    </row>
    <row r="3614" customFormat="false" ht="15" hidden="false" customHeight="false" outlineLevel="0" collapsed="false">
      <c r="A3614" s="0" t="n">
        <v>3603</v>
      </c>
      <c r="B3614" s="15" t="n">
        <v>-0.0917697928729267</v>
      </c>
      <c r="C3614" s="18" t="n">
        <f aca="false">'Black-Scholes'!$B$5*EXP(('Black-Scholes'!$B$8-'Black-Scholes'!$B$10-'Black-Scholes'!$B$9^2/2)*'Black-Scholes'!$B$7+'Black-Scholes'!$B$9*SQRT('Black-Scholes'!$B$7)*B3614)</f>
        <v>101.171412059344</v>
      </c>
      <c r="D3614" s="18" t="n">
        <f aca="false">'Black-Scholes'!$B$5*EXP(('Black-Scholes'!$B$8-'Black-Scholes'!$B$10-'Black-Scholes'!$B$9^2/2)*'Black-Scholes'!$B$7-'Black-Scholes'!$B$9*SQRT('Black-Scholes'!$B$7)*B3614)</f>
        <v>104.954208400543</v>
      </c>
      <c r="E3614" s="18" t="n">
        <f aca="false">EXP(-'Black-Scholes'!$B$8*'Black-Scholes'!$B$7)*IF(LOWER('Black-Scholes'!$B$11)="put",MAX('Black-Scholes'!$B$6-C3614,0),MAX(C3614-'Black-Scholes'!$B$6,0))</f>
        <v>1.11428161906285</v>
      </c>
      <c r="F3614" s="18" t="n">
        <f aca="false">(E3614+G3614)/2</f>
        <v>2.91343521238404</v>
      </c>
      <c r="G3614" s="18" t="n">
        <f aca="false">EXP(-'Black-Scholes'!$B$8*'Black-Scholes'!$B$7)*IF(LOWER('Black-Scholes'!$B$11)="put",MAX('Black-Scholes'!$B$6-D3614,0),MAX(D3614-'Black-Scholes'!$B$6,0))</f>
        <v>4.71258880570524</v>
      </c>
    </row>
    <row r="3615" customFormat="false" ht="15" hidden="false" customHeight="false" outlineLevel="0" collapsed="false">
      <c r="A3615" s="0" t="n">
        <v>3604</v>
      </c>
      <c r="B3615" s="15" t="n">
        <v>-1.16103997779073</v>
      </c>
      <c r="C3615" s="18" t="n">
        <f aca="false">'Black-Scholes'!$B$5*EXP(('Black-Scholes'!$B$8-'Black-Scholes'!$B$10-'Black-Scholes'!$B$9^2/2)*'Black-Scholes'!$B$7+'Black-Scholes'!$B$9*SQRT('Black-Scholes'!$B$7)*B3615)</f>
        <v>81.6924993500059</v>
      </c>
      <c r="D3615" s="18" t="n">
        <f aca="false">'Black-Scholes'!$B$5*EXP(('Black-Scholes'!$B$8-'Black-Scholes'!$B$10-'Black-Scholes'!$B$9^2/2)*'Black-Scholes'!$B$7-'Black-Scholes'!$B$9*SQRT('Black-Scholes'!$B$7)*B3615)</f>
        <v>129.979686629001</v>
      </c>
      <c r="E3615" s="18" t="n">
        <f aca="false">EXP(-'Black-Scholes'!$B$8*'Black-Scholes'!$B$7)*IF(LOWER('Black-Scholes'!$B$11)="put",MAX('Black-Scholes'!$B$6-C3615,0),MAX(C3615-'Black-Scholes'!$B$6,0))</f>
        <v>0</v>
      </c>
      <c r="F3615" s="18" t="n">
        <f aca="false">(E3615+G3615)/2</f>
        <v>14.258780029408</v>
      </c>
      <c r="G3615" s="18" t="n">
        <f aca="false">EXP(-'Black-Scholes'!$B$8*'Black-Scholes'!$B$7)*IF(LOWER('Black-Scholes'!$B$11)="put",MAX('Black-Scholes'!$B$6-D3615,0),MAX(D3615-'Black-Scholes'!$B$6,0))</f>
        <v>28.517560058816</v>
      </c>
    </row>
    <row r="3616" customFormat="false" ht="15" hidden="false" customHeight="false" outlineLevel="0" collapsed="false">
      <c r="A3616" s="0" t="n">
        <v>3605</v>
      </c>
      <c r="B3616" s="15" t="n">
        <v>0.431086750969105</v>
      </c>
      <c r="C3616" s="18" t="n">
        <f aca="false">'Black-Scholes'!$B$5*EXP(('Black-Scholes'!$B$8-'Black-Scholes'!$B$10-'Black-Scholes'!$B$9^2/2)*'Black-Scholes'!$B$7+'Black-Scholes'!$B$9*SQRT('Black-Scholes'!$B$7)*B3616)</f>
        <v>112.323998203143</v>
      </c>
      <c r="D3616" s="18" t="n">
        <f aca="false">'Black-Scholes'!$B$5*EXP(('Black-Scholes'!$B$8-'Black-Scholes'!$B$10-'Black-Scholes'!$B$9^2/2)*'Black-Scholes'!$B$7-'Black-Scholes'!$B$9*SQRT('Black-Scholes'!$B$7)*B3616)</f>
        <v>94.5333645108485</v>
      </c>
      <c r="E3616" s="18" t="n">
        <f aca="false">EXP(-'Black-Scholes'!$B$8*'Black-Scholes'!$B$7)*IF(LOWER('Black-Scholes'!$B$11)="put",MAX('Black-Scholes'!$B$6-C3616,0),MAX(C3616-'Black-Scholes'!$B$6,0))</f>
        <v>11.7229497183234</v>
      </c>
      <c r="F3616" s="18" t="n">
        <f aca="false">(E3616+G3616)/2</f>
        <v>5.86147485916172</v>
      </c>
      <c r="G3616" s="18" t="n">
        <f aca="false">EXP(-'Black-Scholes'!$B$8*'Black-Scholes'!$B$7)*IF(LOWER('Black-Scholes'!$B$11)="put",MAX('Black-Scholes'!$B$6-D3616,0),MAX(D3616-'Black-Scholes'!$B$6,0))</f>
        <v>0</v>
      </c>
    </row>
    <row r="3617" customFormat="false" ht="15" hidden="false" customHeight="false" outlineLevel="0" collapsed="false">
      <c r="A3617" s="0" t="n">
        <v>3606</v>
      </c>
      <c r="B3617" s="15" t="n">
        <v>0.97265109018486</v>
      </c>
      <c r="C3617" s="18" t="n">
        <f aca="false">'Black-Scholes'!$B$5*EXP(('Black-Scholes'!$B$8-'Black-Scholes'!$B$10-'Black-Scholes'!$B$9^2/2)*'Black-Scholes'!$B$7+'Black-Scholes'!$B$9*SQRT('Black-Scholes'!$B$7)*B3617)</f>
        <v>125.173453573701</v>
      </c>
      <c r="D3617" s="18" t="n">
        <f aca="false">'Black-Scholes'!$B$5*EXP(('Black-Scholes'!$B$8-'Black-Scholes'!$B$10-'Black-Scholes'!$B$9^2/2)*'Black-Scholes'!$B$7-'Black-Scholes'!$B$9*SQRT('Black-Scholes'!$B$7)*B3617)</f>
        <v>84.8292122834304</v>
      </c>
      <c r="E3617" s="18" t="n">
        <f aca="false">EXP(-'Black-Scholes'!$B$8*'Black-Scholes'!$B$7)*IF(LOWER('Black-Scholes'!$B$11)="put",MAX('Black-Scholes'!$B$6-C3617,0),MAX(C3617-'Black-Scholes'!$B$6,0))</f>
        <v>23.9457297556069</v>
      </c>
      <c r="F3617" s="18" t="n">
        <f aca="false">(E3617+G3617)/2</f>
        <v>11.9728648778035</v>
      </c>
      <c r="G3617" s="18" t="n">
        <f aca="false">EXP(-'Black-Scholes'!$B$8*'Black-Scholes'!$B$7)*IF(LOWER('Black-Scholes'!$B$11)="put",MAX('Black-Scholes'!$B$6-D3617,0),MAX(D3617-'Black-Scholes'!$B$6,0))</f>
        <v>0</v>
      </c>
    </row>
    <row r="3618" customFormat="false" ht="15" hidden="false" customHeight="false" outlineLevel="0" collapsed="false">
      <c r="A3618" s="0" t="n">
        <v>3607</v>
      </c>
      <c r="B3618" s="15" t="n">
        <v>0.00249782472030308</v>
      </c>
      <c r="C3618" s="18" t="n">
        <f aca="false">'Black-Scholes'!$B$5*EXP(('Black-Scholes'!$B$8-'Black-Scholes'!$B$10-'Black-Scholes'!$B$9^2/2)*'Black-Scholes'!$B$7+'Black-Scholes'!$B$9*SQRT('Black-Scholes'!$B$7)*B3618)</f>
        <v>103.09694415193</v>
      </c>
      <c r="D3618" s="18" t="n">
        <f aca="false">'Black-Scholes'!$B$5*EXP(('Black-Scholes'!$B$8-'Black-Scholes'!$B$10-'Black-Scholes'!$B$9^2/2)*'Black-Scholes'!$B$7-'Black-Scholes'!$B$9*SQRT('Black-Scholes'!$B$7)*B3618)</f>
        <v>102.993988355326</v>
      </c>
      <c r="E3618" s="18" t="n">
        <f aca="false">EXP(-'Black-Scholes'!$B$8*'Black-Scholes'!$B$7)*IF(LOWER('Black-Scholes'!$B$11)="put",MAX('Black-Scholes'!$B$6-C3618,0),MAX(C3618-'Black-Scholes'!$B$6,0))</f>
        <v>2.94590440335165</v>
      </c>
      <c r="F3618" s="18" t="n">
        <f aca="false">(E3618+G3618)/2</f>
        <v>2.89693711177502</v>
      </c>
      <c r="G3618" s="18" t="n">
        <f aca="false">EXP(-'Black-Scholes'!$B$8*'Black-Scholes'!$B$7)*IF(LOWER('Black-Scholes'!$B$11)="put",MAX('Black-Scholes'!$B$6-D3618,0),MAX(D3618-'Black-Scholes'!$B$6,0))</f>
        <v>2.84796982019838</v>
      </c>
    </row>
    <row r="3619" customFormat="false" ht="15" hidden="false" customHeight="false" outlineLevel="0" collapsed="false">
      <c r="A3619" s="0" t="n">
        <v>3608</v>
      </c>
      <c r="B3619" s="15" t="n">
        <v>0.441257636403428</v>
      </c>
      <c r="C3619" s="18" t="n">
        <f aca="false">'Black-Scholes'!$B$5*EXP(('Black-Scholes'!$B$8-'Black-Scholes'!$B$10-'Black-Scholes'!$B$9^2/2)*'Black-Scholes'!$B$7+'Black-Scholes'!$B$9*SQRT('Black-Scholes'!$B$7)*B3619)</f>
        <v>112.55271765566</v>
      </c>
      <c r="D3619" s="18" t="n">
        <f aca="false">'Black-Scholes'!$B$5*EXP(('Black-Scholes'!$B$8-'Black-Scholes'!$B$10-'Black-Scholes'!$B$9^2/2)*'Black-Scholes'!$B$7-'Black-Scholes'!$B$9*SQRT('Black-Scholes'!$B$7)*B3619)</f>
        <v>94.3412623579564</v>
      </c>
      <c r="E3619" s="18" t="n">
        <f aca="false">EXP(-'Black-Scholes'!$B$8*'Black-Scholes'!$B$7)*IF(LOWER('Black-Scholes'!$B$11)="put",MAX('Black-Scholes'!$B$6-C3619,0),MAX(C3619-'Black-Scholes'!$B$6,0))</f>
        <v>11.9405143915132</v>
      </c>
      <c r="F3619" s="18" t="n">
        <f aca="false">(E3619+G3619)/2</f>
        <v>5.97025719575662</v>
      </c>
      <c r="G3619" s="18" t="n">
        <f aca="false">EXP(-'Black-Scholes'!$B$8*'Black-Scholes'!$B$7)*IF(LOWER('Black-Scholes'!$B$11)="put",MAX('Black-Scholes'!$B$6-D3619,0),MAX(D3619-'Black-Scholes'!$B$6,0))</f>
        <v>0</v>
      </c>
    </row>
    <row r="3620" customFormat="false" ht="15" hidden="false" customHeight="false" outlineLevel="0" collapsed="false">
      <c r="A3620" s="0" t="n">
        <v>3609</v>
      </c>
      <c r="B3620" s="15" t="n">
        <v>-0.215629324909934</v>
      </c>
      <c r="C3620" s="18" t="n">
        <f aca="false">'Black-Scholes'!$B$5*EXP(('Black-Scholes'!$B$8-'Black-Scholes'!$B$10-'Black-Scholes'!$B$9^2/2)*'Black-Scholes'!$B$7+'Black-Scholes'!$B$9*SQRT('Black-Scholes'!$B$7)*B3620)</f>
        <v>98.6959903511776</v>
      </c>
      <c r="D3620" s="18" t="n">
        <f aca="false">'Black-Scholes'!$B$5*EXP(('Black-Scholes'!$B$8-'Black-Scholes'!$B$10-'Black-Scholes'!$B$9^2/2)*'Black-Scholes'!$B$7-'Black-Scholes'!$B$9*SQRT('Black-Scholes'!$B$7)*B3620)</f>
        <v>107.586594224057</v>
      </c>
      <c r="E3620" s="18" t="n">
        <f aca="false">EXP(-'Black-Scholes'!$B$8*'Black-Scholes'!$B$7)*IF(LOWER('Black-Scholes'!$B$11)="put",MAX('Black-Scholes'!$B$6-C3620,0),MAX(C3620-'Black-Scholes'!$B$6,0))</f>
        <v>0</v>
      </c>
      <c r="F3620" s="18" t="n">
        <f aca="false">(E3620+G3620)/2</f>
        <v>3.60829582883512</v>
      </c>
      <c r="G3620" s="18" t="n">
        <f aca="false">EXP(-'Black-Scholes'!$B$8*'Black-Scholes'!$B$7)*IF(LOWER('Black-Scholes'!$B$11)="put",MAX('Black-Scholes'!$B$6-D3620,0),MAX(D3620-'Black-Scholes'!$B$6,0))</f>
        <v>7.21659165767023</v>
      </c>
    </row>
    <row r="3621" customFormat="false" ht="15" hidden="false" customHeight="false" outlineLevel="0" collapsed="false">
      <c r="A3621" s="0" t="n">
        <v>3610</v>
      </c>
      <c r="B3621" s="15" t="n">
        <v>0.17125445303071</v>
      </c>
      <c r="C3621" s="18" t="n">
        <f aca="false">'Black-Scholes'!$B$5*EXP(('Black-Scholes'!$B$8-'Black-Scholes'!$B$10-'Black-Scholes'!$B$9^2/2)*'Black-Scholes'!$B$7+'Black-Scholes'!$B$9*SQRT('Black-Scholes'!$B$7)*B3621)</f>
        <v>106.635990488562</v>
      </c>
      <c r="D3621" s="18" t="n">
        <f aca="false">'Black-Scholes'!$B$5*EXP(('Black-Scholes'!$B$8-'Black-Scholes'!$B$10-'Black-Scholes'!$B$9^2/2)*'Black-Scholes'!$B$7-'Black-Scholes'!$B$9*SQRT('Black-Scholes'!$B$7)*B3621)</f>
        <v>99.5758131640609</v>
      </c>
      <c r="E3621" s="18" t="n">
        <f aca="false">EXP(-'Black-Scholes'!$B$8*'Black-Scholes'!$B$7)*IF(LOWER('Black-Scholes'!$B$11)="put",MAX('Black-Scholes'!$B$6-C3621,0),MAX(C3621-'Black-Scholes'!$B$6,0))</f>
        <v>6.31234941342679</v>
      </c>
      <c r="F3621" s="18" t="n">
        <f aca="false">(E3621+G3621)/2</f>
        <v>3.15617470671339</v>
      </c>
      <c r="G3621" s="18" t="n">
        <f aca="false">EXP(-'Black-Scholes'!$B$8*'Black-Scholes'!$B$7)*IF(LOWER('Black-Scholes'!$B$11)="put",MAX('Black-Scholes'!$B$6-D3621,0),MAX(D3621-'Black-Scholes'!$B$6,0))</f>
        <v>0</v>
      </c>
    </row>
    <row r="3622" customFormat="false" ht="15" hidden="false" customHeight="false" outlineLevel="0" collapsed="false">
      <c r="A3622" s="0" t="n">
        <v>3611</v>
      </c>
      <c r="B3622" s="15" t="n">
        <v>-0.0429258093829092</v>
      </c>
      <c r="C3622" s="18" t="n">
        <f aca="false">'Black-Scholes'!$B$5*EXP(('Black-Scholes'!$B$8-'Black-Scholes'!$B$10-'Black-Scholes'!$B$9^2/2)*'Black-Scholes'!$B$7+'Black-Scholes'!$B$9*SQRT('Black-Scholes'!$B$7)*B3622)</f>
        <v>102.164578136057</v>
      </c>
      <c r="D3622" s="18" t="n">
        <f aca="false">'Black-Scholes'!$B$5*EXP(('Black-Scholes'!$B$8-'Black-Scholes'!$B$10-'Black-Scholes'!$B$9^2/2)*'Black-Scholes'!$B$7-'Black-Scholes'!$B$9*SQRT('Black-Scholes'!$B$7)*B3622)</f>
        <v>103.933923666896</v>
      </c>
      <c r="E3622" s="18" t="n">
        <f aca="false">EXP(-'Black-Scholes'!$B$8*'Black-Scholes'!$B$7)*IF(LOWER('Black-Scholes'!$B$11)="put",MAX('Black-Scholes'!$B$6-C3622,0),MAX(C3622-'Black-Scholes'!$B$6,0))</f>
        <v>2.05901041464816</v>
      </c>
      <c r="F3622" s="18" t="n">
        <f aca="false">(E3622+G3622)/2</f>
        <v>2.90053718016986</v>
      </c>
      <c r="G3622" s="18" t="n">
        <f aca="false">EXP(-'Black-Scholes'!$B$8*'Black-Scholes'!$B$7)*IF(LOWER('Black-Scholes'!$B$11)="put",MAX('Black-Scholes'!$B$6-D3622,0),MAX(D3622-'Black-Scholes'!$B$6,0))</f>
        <v>3.74206394569157</v>
      </c>
    </row>
    <row r="3623" customFormat="false" ht="15" hidden="false" customHeight="false" outlineLevel="0" collapsed="false">
      <c r="A3623" s="0" t="n">
        <v>3612</v>
      </c>
      <c r="B3623" s="15" t="n">
        <v>-0.820831154116479</v>
      </c>
      <c r="C3623" s="18" t="n">
        <f aca="false">'Black-Scholes'!$B$5*EXP(('Black-Scholes'!$B$8-'Black-Scholes'!$B$10-'Black-Scholes'!$B$9^2/2)*'Black-Scholes'!$B$7+'Black-Scholes'!$B$9*SQRT('Black-Scholes'!$B$7)*B3623)</f>
        <v>87.4444692859816</v>
      </c>
      <c r="D3623" s="18" t="n">
        <f aca="false">'Black-Scholes'!$B$5*EXP(('Black-Scholes'!$B$8-'Black-Scholes'!$B$10-'Black-Scholes'!$B$9^2/2)*'Black-Scholes'!$B$7-'Black-Scholes'!$B$9*SQRT('Black-Scholes'!$B$7)*B3623)</f>
        <v>121.429811995621</v>
      </c>
      <c r="E3623" s="18" t="n">
        <f aca="false">EXP(-'Black-Scholes'!$B$8*'Black-Scholes'!$B$7)*IF(LOWER('Black-Scholes'!$B$11)="put",MAX('Black-Scholes'!$B$6-C3623,0),MAX(C3623-'Black-Scholes'!$B$6,0))</f>
        <v>0</v>
      </c>
      <c r="F3623" s="18" t="n">
        <f aca="false">(E3623+G3623)/2</f>
        <v>10.1923338658765</v>
      </c>
      <c r="G3623" s="18" t="n">
        <f aca="false">EXP(-'Black-Scholes'!$B$8*'Black-Scholes'!$B$7)*IF(LOWER('Black-Scholes'!$B$11)="put",MAX('Black-Scholes'!$B$6-D3623,0),MAX(D3623-'Black-Scholes'!$B$6,0))</f>
        <v>20.3846677317531</v>
      </c>
    </row>
    <row r="3624" customFormat="false" ht="15" hidden="false" customHeight="false" outlineLevel="0" collapsed="false">
      <c r="A3624" s="0" t="n">
        <v>3613</v>
      </c>
      <c r="B3624" s="15" t="n">
        <v>0.984038026153497</v>
      </c>
      <c r="C3624" s="18" t="n">
        <f aca="false">'Black-Scholes'!$B$5*EXP(('Black-Scholes'!$B$8-'Black-Scholes'!$B$10-'Black-Scholes'!$B$9^2/2)*'Black-Scholes'!$B$7+'Black-Scholes'!$B$9*SQRT('Black-Scholes'!$B$7)*B3624)</f>
        <v>125.458846846007</v>
      </c>
      <c r="D3624" s="18" t="n">
        <f aca="false">'Black-Scholes'!$B$5*EXP(('Black-Scholes'!$B$8-'Black-Scholes'!$B$10-'Black-Scholes'!$B$9^2/2)*'Black-Scholes'!$B$7-'Black-Scholes'!$B$9*SQRT('Black-Scholes'!$B$7)*B3624)</f>
        <v>84.6362431378554</v>
      </c>
      <c r="E3624" s="18" t="n">
        <f aca="false">EXP(-'Black-Scholes'!$B$8*'Black-Scholes'!$B$7)*IF(LOWER('Black-Scholes'!$B$11)="put",MAX('Black-Scholes'!$B$6-C3624,0),MAX(C3624-'Black-Scholes'!$B$6,0))</f>
        <v>24.2172042337789</v>
      </c>
      <c r="F3624" s="18" t="n">
        <f aca="false">(E3624+G3624)/2</f>
        <v>12.1086021168895</v>
      </c>
      <c r="G3624" s="18" t="n">
        <f aca="false">EXP(-'Black-Scholes'!$B$8*'Black-Scholes'!$B$7)*IF(LOWER('Black-Scholes'!$B$11)="put",MAX('Black-Scholes'!$B$6-D3624,0),MAX(D3624-'Black-Scholes'!$B$6,0))</f>
        <v>0</v>
      </c>
    </row>
    <row r="3625" customFormat="false" ht="15" hidden="false" customHeight="false" outlineLevel="0" collapsed="false">
      <c r="A3625" s="0" t="n">
        <v>3614</v>
      </c>
      <c r="B3625" s="15" t="n">
        <v>-0.228718656857599</v>
      </c>
      <c r="C3625" s="18" t="n">
        <f aca="false">'Black-Scholes'!$B$5*EXP(('Black-Scholes'!$B$8-'Black-Scholes'!$B$10-'Black-Scholes'!$B$9^2/2)*'Black-Scholes'!$B$7+'Black-Scholes'!$B$9*SQRT('Black-Scholes'!$B$7)*B3625)</f>
        <v>98.4379553332203</v>
      </c>
      <c r="D3625" s="18" t="n">
        <f aca="false">'Black-Scholes'!$B$5*EXP(('Black-Scholes'!$B$8-'Black-Scholes'!$B$10-'Black-Scholes'!$B$9^2/2)*'Black-Scholes'!$B$7-'Black-Scholes'!$B$9*SQRT('Black-Scholes'!$B$7)*B3625)</f>
        <v>107.868610532488</v>
      </c>
      <c r="E3625" s="18" t="n">
        <f aca="false">EXP(-'Black-Scholes'!$B$8*'Black-Scholes'!$B$7)*IF(LOWER('Black-Scholes'!$B$11)="put",MAX('Black-Scholes'!$B$6-C3625,0),MAX(C3625-'Black-Scholes'!$B$6,0))</f>
        <v>0</v>
      </c>
      <c r="F3625" s="18" t="n">
        <f aca="false">(E3625+G3625)/2</f>
        <v>3.74242693421943</v>
      </c>
      <c r="G3625" s="18" t="n">
        <f aca="false">EXP(-'Black-Scholes'!$B$8*'Black-Scholes'!$B$7)*IF(LOWER('Black-Scholes'!$B$11)="put",MAX('Black-Scholes'!$B$6-D3625,0),MAX(D3625-'Black-Scholes'!$B$6,0))</f>
        <v>7.48485386843885</v>
      </c>
    </row>
    <row r="3626" customFormat="false" ht="15" hidden="false" customHeight="false" outlineLevel="0" collapsed="false">
      <c r="A3626" s="0" t="n">
        <v>3615</v>
      </c>
      <c r="B3626" s="15" t="n">
        <v>2.46813252739146</v>
      </c>
      <c r="C3626" s="18" t="n">
        <f aca="false">'Black-Scholes'!$B$5*EXP(('Black-Scholes'!$B$8-'Black-Scholes'!$B$10-'Black-Scholes'!$B$9^2/2)*'Black-Scholes'!$B$7+'Black-Scholes'!$B$9*SQRT('Black-Scholes'!$B$7)*B3626)</f>
        <v>168.813860619639</v>
      </c>
      <c r="D3626" s="18" t="n">
        <f aca="false">'Black-Scholes'!$B$5*EXP(('Black-Scholes'!$B$8-'Black-Scholes'!$B$10-'Black-Scholes'!$B$9^2/2)*'Black-Scholes'!$B$7-'Black-Scholes'!$B$9*SQRT('Black-Scholes'!$B$7)*B3626)</f>
        <v>62.8998438071281</v>
      </c>
      <c r="E3626" s="18" t="n">
        <f aca="false">EXP(-'Black-Scholes'!$B$8*'Black-Scholes'!$B$7)*IF(LOWER('Black-Scholes'!$B$11)="put",MAX('Black-Scholes'!$B$6-C3626,0),MAX(C3626-'Black-Scholes'!$B$6,0))</f>
        <v>65.4577690348917</v>
      </c>
      <c r="F3626" s="18" t="n">
        <f aca="false">(E3626+G3626)/2</f>
        <v>32.7288845174459</v>
      </c>
      <c r="G3626" s="18" t="n">
        <f aca="false">EXP(-'Black-Scholes'!$B$8*'Black-Scholes'!$B$7)*IF(LOWER('Black-Scholes'!$B$11)="put",MAX('Black-Scholes'!$B$6-D3626,0),MAX(D3626-'Black-Scholes'!$B$6,0))</f>
        <v>0</v>
      </c>
    </row>
    <row r="3627" customFormat="false" ht="15" hidden="false" customHeight="false" outlineLevel="0" collapsed="false">
      <c r="A3627" s="0" t="n">
        <v>3616</v>
      </c>
      <c r="B3627" s="15" t="n">
        <v>1.59444389476608</v>
      </c>
      <c r="C3627" s="18" t="n">
        <f aca="false">'Black-Scholes'!$B$5*EXP(('Black-Scholes'!$B$8-'Black-Scholes'!$B$10-'Black-Scholes'!$B$9^2/2)*'Black-Scholes'!$B$7+'Black-Scholes'!$B$9*SQRT('Black-Scholes'!$B$7)*B3627)</f>
        <v>141.749152668299</v>
      </c>
      <c r="D3627" s="18" t="n">
        <f aca="false">'Black-Scholes'!$B$5*EXP(('Black-Scholes'!$B$8-'Black-Scholes'!$B$10-'Black-Scholes'!$B$9^2/2)*'Black-Scholes'!$B$7-'Black-Scholes'!$B$9*SQRT('Black-Scholes'!$B$7)*B3627)</f>
        <v>74.9095515957066</v>
      </c>
      <c r="E3627" s="18" t="n">
        <f aca="false">EXP(-'Black-Scholes'!$B$8*'Black-Scholes'!$B$7)*IF(LOWER('Black-Scholes'!$B$11)="put",MAX('Black-Scholes'!$B$6-C3627,0),MAX(C3627-'Black-Scholes'!$B$6,0))</f>
        <v>39.7130224660581</v>
      </c>
      <c r="F3627" s="18" t="n">
        <f aca="false">(E3627+G3627)/2</f>
        <v>19.856511233029</v>
      </c>
      <c r="G3627" s="18" t="n">
        <f aca="false">EXP(-'Black-Scholes'!$B$8*'Black-Scholes'!$B$7)*IF(LOWER('Black-Scholes'!$B$11)="put",MAX('Black-Scholes'!$B$6-D3627,0),MAX(D3627-'Black-Scholes'!$B$6,0))</f>
        <v>0</v>
      </c>
    </row>
    <row r="3628" customFormat="false" ht="15" hidden="false" customHeight="false" outlineLevel="0" collapsed="false">
      <c r="A3628" s="0" t="n">
        <v>3617</v>
      </c>
      <c r="B3628" s="15" t="n">
        <v>0.0189812992956293</v>
      </c>
      <c r="C3628" s="18" t="n">
        <f aca="false">'Black-Scholes'!$B$5*EXP(('Black-Scholes'!$B$8-'Black-Scholes'!$B$10-'Black-Scholes'!$B$9^2/2)*'Black-Scholes'!$B$7+'Black-Scholes'!$B$9*SQRT('Black-Scholes'!$B$7)*B3628)</f>
        <v>103.437384178597</v>
      </c>
      <c r="D3628" s="18" t="n">
        <f aca="false">'Black-Scholes'!$B$5*EXP(('Black-Scholes'!$B$8-'Black-Scholes'!$B$10-'Black-Scholes'!$B$9^2/2)*'Black-Scholes'!$B$7-'Black-Scholes'!$B$9*SQRT('Black-Scholes'!$B$7)*B3628)</f>
        <v>102.655007662605</v>
      </c>
      <c r="E3628" s="18" t="n">
        <f aca="false">EXP(-'Black-Scholes'!$B$8*'Black-Scholes'!$B$7)*IF(LOWER('Black-Scholes'!$B$11)="put",MAX('Black-Scholes'!$B$6-C3628,0),MAX(C3628-'Black-Scholes'!$B$6,0))</f>
        <v>3.26974097399424</v>
      </c>
      <c r="F3628" s="18" t="n">
        <f aca="false">(E3628+G3628)/2</f>
        <v>2.89763119246926</v>
      </c>
      <c r="G3628" s="18" t="n">
        <f aca="false">EXP(-'Black-Scholes'!$B$8*'Black-Scholes'!$B$7)*IF(LOWER('Black-Scholes'!$B$11)="put",MAX('Black-Scholes'!$B$6-D3628,0),MAX(D3628-'Black-Scholes'!$B$6,0))</f>
        <v>2.52552141094428</v>
      </c>
    </row>
    <row r="3629" customFormat="false" ht="15" hidden="false" customHeight="false" outlineLevel="0" collapsed="false">
      <c r="A3629" s="0" t="n">
        <v>3618</v>
      </c>
      <c r="B3629" s="15" t="n">
        <v>0.142929440545037</v>
      </c>
      <c r="C3629" s="18" t="n">
        <f aca="false">'Black-Scholes'!$B$5*EXP(('Black-Scholes'!$B$8-'Black-Scholes'!$B$10-'Black-Scholes'!$B$9^2/2)*'Black-Scholes'!$B$7+'Black-Scholes'!$B$9*SQRT('Black-Scholes'!$B$7)*B3629)</f>
        <v>106.033605204221</v>
      </c>
      <c r="D3629" s="18" t="n">
        <f aca="false">'Black-Scholes'!$B$5*EXP(('Black-Scholes'!$B$8-'Black-Scholes'!$B$10-'Black-Scholes'!$B$9^2/2)*'Black-Scholes'!$B$7-'Black-Scholes'!$B$9*SQRT('Black-Scholes'!$B$7)*B3629)</f>
        <v>100.141511221868</v>
      </c>
      <c r="E3629" s="18" t="n">
        <f aca="false">EXP(-'Black-Scholes'!$B$8*'Black-Scholes'!$B$7)*IF(LOWER('Black-Scholes'!$B$11)="put",MAX('Black-Scholes'!$B$6-C3629,0),MAX(C3629-'Black-Scholes'!$B$6,0))</f>
        <v>5.73934280607521</v>
      </c>
      <c r="F3629" s="18" t="n">
        <f aca="false">(E3629+G3629)/2</f>
        <v>2.93697622210665</v>
      </c>
      <c r="G3629" s="18" t="n">
        <f aca="false">EXP(-'Black-Scholes'!$B$8*'Black-Scholes'!$B$7)*IF(LOWER('Black-Scholes'!$B$11)="put",MAX('Black-Scholes'!$B$6-D3629,0),MAX(D3629-'Black-Scholes'!$B$6,0))</f>
        <v>0.134609638138081</v>
      </c>
    </row>
    <row r="3630" customFormat="false" ht="15" hidden="false" customHeight="false" outlineLevel="0" collapsed="false">
      <c r="A3630" s="0" t="n">
        <v>3619</v>
      </c>
      <c r="B3630" s="15" t="n">
        <v>-0.0319497896276287</v>
      </c>
      <c r="C3630" s="18" t="n">
        <f aca="false">'Black-Scholes'!$B$5*EXP(('Black-Scholes'!$B$8-'Black-Scholes'!$B$10-'Black-Scholes'!$B$9^2/2)*'Black-Scholes'!$B$7+'Black-Scholes'!$B$9*SQRT('Black-Scholes'!$B$7)*B3630)</f>
        <v>102.389096563347</v>
      </c>
      <c r="D3630" s="18" t="n">
        <f aca="false">'Black-Scholes'!$B$5*EXP(('Black-Scholes'!$B$8-'Black-Scholes'!$B$10-'Black-Scholes'!$B$9^2/2)*'Black-Scholes'!$B$7-'Black-Scholes'!$B$9*SQRT('Black-Scholes'!$B$7)*B3630)</f>
        <v>103.706017748522</v>
      </c>
      <c r="E3630" s="18" t="n">
        <f aca="false">EXP(-'Black-Scholes'!$B$8*'Black-Scholes'!$B$7)*IF(LOWER('Black-Scholes'!$B$11)="put",MAX('Black-Scholes'!$B$6-C3630,0),MAX(C3630-'Black-Scholes'!$B$6,0))</f>
        <v>2.27257894902925</v>
      </c>
      <c r="F3630" s="18" t="n">
        <f aca="false">(E3630+G3630)/2</f>
        <v>2.89892603957261</v>
      </c>
      <c r="G3630" s="18" t="n">
        <f aca="false">EXP(-'Black-Scholes'!$B$8*'Black-Scholes'!$B$7)*IF(LOWER('Black-Scholes'!$B$11)="put",MAX('Black-Scholes'!$B$6-D3630,0),MAX(D3630-'Black-Scholes'!$B$6,0))</f>
        <v>3.52527313011596</v>
      </c>
    </row>
    <row r="3631" customFormat="false" ht="15" hidden="false" customHeight="false" outlineLevel="0" collapsed="false">
      <c r="A3631" s="0" t="n">
        <v>3620</v>
      </c>
      <c r="B3631" s="15" t="n">
        <v>0.586376150048271</v>
      </c>
      <c r="C3631" s="18" t="n">
        <f aca="false">'Black-Scholes'!$B$5*EXP(('Black-Scholes'!$B$8-'Black-Scholes'!$B$10-'Black-Scholes'!$B$9^2/2)*'Black-Scholes'!$B$7+'Black-Scholes'!$B$9*SQRT('Black-Scholes'!$B$7)*B3631)</f>
        <v>115.867282067987</v>
      </c>
      <c r="D3631" s="18" t="n">
        <f aca="false">'Black-Scholes'!$B$5*EXP(('Black-Scholes'!$B$8-'Black-Scholes'!$B$10-'Black-Scholes'!$B$9^2/2)*'Black-Scholes'!$B$7-'Black-Scholes'!$B$9*SQRT('Black-Scholes'!$B$7)*B3631)</f>
        <v>91.6424833303946</v>
      </c>
      <c r="E3631" s="18" t="n">
        <f aca="false">EXP(-'Black-Scholes'!$B$8*'Black-Scholes'!$B$7)*IF(LOWER('Black-Scholes'!$B$11)="put",MAX('Black-Scholes'!$B$6-C3631,0),MAX(C3631-'Black-Scholes'!$B$6,0))</f>
        <v>15.0934255899215</v>
      </c>
      <c r="F3631" s="18" t="n">
        <f aca="false">(E3631+G3631)/2</f>
        <v>7.54671279496075</v>
      </c>
      <c r="G3631" s="18" t="n">
        <f aca="false">EXP(-'Black-Scholes'!$B$8*'Black-Scholes'!$B$7)*IF(LOWER('Black-Scholes'!$B$11)="put",MAX('Black-Scholes'!$B$6-D3631,0),MAX(D3631-'Black-Scholes'!$B$6,0))</f>
        <v>0</v>
      </c>
    </row>
    <row r="3632" customFormat="false" ht="15" hidden="false" customHeight="false" outlineLevel="0" collapsed="false">
      <c r="A3632" s="0" t="n">
        <v>3621</v>
      </c>
      <c r="B3632" s="15" t="n">
        <v>0.900929803493093</v>
      </c>
      <c r="C3632" s="18" t="n">
        <f aca="false">'Black-Scholes'!$B$5*EXP(('Black-Scholes'!$B$8-'Black-Scholes'!$B$10-'Black-Scholes'!$B$9^2/2)*'Black-Scholes'!$B$7+'Black-Scholes'!$B$9*SQRT('Black-Scholes'!$B$7)*B3632)</f>
        <v>123.390749692311</v>
      </c>
      <c r="D3632" s="18" t="n">
        <f aca="false">'Black-Scholes'!$B$5*EXP(('Black-Scholes'!$B$8-'Black-Scholes'!$B$10-'Black-Scholes'!$B$9^2/2)*'Black-Scholes'!$B$7-'Black-Scholes'!$B$9*SQRT('Black-Scholes'!$B$7)*B3632)</f>
        <v>86.0547933449768</v>
      </c>
      <c r="E3632" s="18" t="n">
        <f aca="false">EXP(-'Black-Scholes'!$B$8*'Black-Scholes'!$B$7)*IF(LOWER('Black-Scholes'!$B$11)="put",MAX('Black-Scholes'!$B$6-C3632,0),MAX(C3632-'Black-Scholes'!$B$6,0))</f>
        <v>22.2499693684574</v>
      </c>
      <c r="F3632" s="18" t="n">
        <f aca="false">(E3632+G3632)/2</f>
        <v>11.1249846842287</v>
      </c>
      <c r="G3632" s="18" t="n">
        <f aca="false">EXP(-'Black-Scholes'!$B$8*'Black-Scholes'!$B$7)*IF(LOWER('Black-Scholes'!$B$11)="put",MAX('Black-Scholes'!$B$6-D3632,0),MAX(D3632-'Black-Scholes'!$B$6,0))</f>
        <v>0</v>
      </c>
    </row>
    <row r="3633" customFormat="false" ht="15" hidden="false" customHeight="false" outlineLevel="0" collapsed="false">
      <c r="A3633" s="0" t="n">
        <v>3622</v>
      </c>
      <c r="B3633" s="15" t="n">
        <v>0.375860416148365</v>
      </c>
      <c r="C3633" s="18" t="n">
        <f aca="false">'Black-Scholes'!$B$5*EXP(('Black-Scholes'!$B$8-'Black-Scholes'!$B$10-'Black-Scholes'!$B$9^2/2)*'Black-Scholes'!$B$7+'Black-Scholes'!$B$9*SQRT('Black-Scholes'!$B$7)*B3633)</f>
        <v>111.090176147125</v>
      </c>
      <c r="D3633" s="18" t="n">
        <f aca="false">'Black-Scholes'!$B$5*EXP(('Black-Scholes'!$B$8-'Black-Scholes'!$B$10-'Black-Scholes'!$B$9^2/2)*'Black-Scholes'!$B$7-'Black-Scholes'!$B$9*SQRT('Black-Scholes'!$B$7)*B3633)</f>
        <v>95.5832984852859</v>
      </c>
      <c r="E3633" s="18" t="n">
        <f aca="false">EXP(-'Black-Scholes'!$B$8*'Black-Scholes'!$B$7)*IF(LOWER('Black-Scholes'!$B$11)="put",MAX('Black-Scholes'!$B$6-C3633,0),MAX(C3633-'Black-Scholes'!$B$6,0))</f>
        <v>10.5493018740409</v>
      </c>
      <c r="F3633" s="18" t="n">
        <f aca="false">(E3633+G3633)/2</f>
        <v>5.27465093702046</v>
      </c>
      <c r="G3633" s="18" t="n">
        <f aca="false">EXP(-'Black-Scholes'!$B$8*'Black-Scholes'!$B$7)*IF(LOWER('Black-Scholes'!$B$11)="put",MAX('Black-Scholes'!$B$6-D3633,0),MAX(D3633-'Black-Scholes'!$B$6,0))</f>
        <v>0</v>
      </c>
    </row>
    <row r="3634" customFormat="false" ht="15" hidden="false" customHeight="false" outlineLevel="0" collapsed="false">
      <c r="A3634" s="0" t="n">
        <v>3623</v>
      </c>
      <c r="B3634" s="15" t="n">
        <v>-0.997087284397356</v>
      </c>
      <c r="C3634" s="18" t="n">
        <f aca="false">'Black-Scholes'!$B$5*EXP(('Black-Scholes'!$B$8-'Black-Scholes'!$B$10-'Black-Scholes'!$B$9^2/2)*'Black-Scholes'!$B$7+'Black-Scholes'!$B$9*SQRT('Black-Scholes'!$B$7)*B3634)</f>
        <v>84.415643091069</v>
      </c>
      <c r="D3634" s="18" t="n">
        <f aca="false">'Black-Scholes'!$B$5*EXP(('Black-Scholes'!$B$8-'Black-Scholes'!$B$10-'Black-Scholes'!$B$9^2/2)*'Black-Scholes'!$B$7-'Black-Scholes'!$B$9*SQRT('Black-Scholes'!$B$7)*B3634)</f>
        <v>125.786703466777</v>
      </c>
      <c r="E3634" s="18" t="n">
        <f aca="false">EXP(-'Black-Scholes'!$B$8*'Black-Scholes'!$B$7)*IF(LOWER('Black-Scholes'!$B$11)="put",MAX('Black-Scholes'!$B$6-C3634,0),MAX(C3634-'Black-Scholes'!$B$6,0))</f>
        <v>0</v>
      </c>
      <c r="F3634" s="18" t="n">
        <f aca="false">(E3634+G3634)/2</f>
        <v>12.2645355492365</v>
      </c>
      <c r="G3634" s="18" t="n">
        <f aca="false">EXP(-'Black-Scholes'!$B$8*'Black-Scholes'!$B$7)*IF(LOWER('Black-Scholes'!$B$11)="put",MAX('Black-Scholes'!$B$6-D3634,0),MAX(D3634-'Black-Scholes'!$B$6,0))</f>
        <v>24.5290710984731</v>
      </c>
    </row>
    <row r="3635" customFormat="false" ht="15" hidden="false" customHeight="false" outlineLevel="0" collapsed="false">
      <c r="A3635" s="0" t="n">
        <v>3624</v>
      </c>
      <c r="B3635" s="15" t="n">
        <v>-1.67057379208797</v>
      </c>
      <c r="C3635" s="18" t="n">
        <f aca="false">'Black-Scholes'!$B$5*EXP(('Black-Scholes'!$B$8-'Black-Scholes'!$B$10-'Black-Scholes'!$B$9^2/2)*'Black-Scholes'!$B$7+'Black-Scholes'!$B$9*SQRT('Black-Scholes'!$B$7)*B3635)</f>
        <v>73.7776195563594</v>
      </c>
      <c r="D3635" s="18" t="n">
        <f aca="false">'Black-Scholes'!$B$5*EXP(('Black-Scholes'!$B$8-'Black-Scholes'!$B$10-'Black-Scholes'!$B$9^2/2)*'Black-Scholes'!$B$7-'Black-Scholes'!$B$9*SQRT('Black-Scholes'!$B$7)*B3635)</f>
        <v>143.923936951397</v>
      </c>
      <c r="E3635" s="18" t="n">
        <f aca="false">EXP(-'Black-Scholes'!$B$8*'Black-Scholes'!$B$7)*IF(LOWER('Black-Scholes'!$B$11)="put",MAX('Black-Scholes'!$B$6-C3635,0),MAX(C3635-'Black-Scholes'!$B$6,0))</f>
        <v>0</v>
      </c>
      <c r="F3635" s="18" t="n">
        <f aca="false">(E3635+G3635)/2</f>
        <v>20.8908706340413</v>
      </c>
      <c r="G3635" s="18" t="n">
        <f aca="false">EXP(-'Black-Scholes'!$B$8*'Black-Scholes'!$B$7)*IF(LOWER('Black-Scholes'!$B$11)="put",MAX('Black-Scholes'!$B$6-D3635,0),MAX(D3635-'Black-Scholes'!$B$6,0))</f>
        <v>41.7817412680826</v>
      </c>
    </row>
    <row r="3636" customFormat="false" ht="15" hidden="false" customHeight="false" outlineLevel="0" collapsed="false">
      <c r="A3636" s="0" t="n">
        <v>3625</v>
      </c>
      <c r="B3636" s="15" t="n">
        <v>1.93617863309405</v>
      </c>
      <c r="C3636" s="18" t="n">
        <f aca="false">'Black-Scholes'!$B$5*EXP(('Black-Scholes'!$B$8-'Black-Scholes'!$B$10-'Black-Scholes'!$B$9^2/2)*'Black-Scholes'!$B$7+'Black-Scholes'!$B$9*SQRT('Black-Scholes'!$B$7)*B3636)</f>
        <v>151.776024726093</v>
      </c>
      <c r="D3636" s="18" t="n">
        <f aca="false">'Black-Scholes'!$B$5*EXP(('Black-Scholes'!$B$8-'Black-Scholes'!$B$10-'Black-Scholes'!$B$9^2/2)*'Black-Scholes'!$B$7-'Black-Scholes'!$B$9*SQRT('Black-Scholes'!$B$7)*B3636)</f>
        <v>69.9607562170399</v>
      </c>
      <c r="E3636" s="18" t="n">
        <f aca="false">EXP(-'Black-Scholes'!$B$8*'Black-Scholes'!$B$7)*IF(LOWER('Black-Scholes'!$B$11)="put",MAX('Black-Scholes'!$B$6-C3636,0),MAX(C3636-'Black-Scholes'!$B$6,0))</f>
        <v>49.250878203136</v>
      </c>
      <c r="F3636" s="18" t="n">
        <f aca="false">(E3636+G3636)/2</f>
        <v>24.625439101568</v>
      </c>
      <c r="G3636" s="18" t="n">
        <f aca="false">EXP(-'Black-Scholes'!$B$8*'Black-Scholes'!$B$7)*IF(LOWER('Black-Scholes'!$B$11)="put",MAX('Black-Scholes'!$B$6-D3636,0),MAX(D3636-'Black-Scholes'!$B$6,0))</f>
        <v>0</v>
      </c>
    </row>
    <row r="3637" customFormat="false" ht="15" hidden="false" customHeight="false" outlineLevel="0" collapsed="false">
      <c r="A3637" s="0" t="n">
        <v>3626</v>
      </c>
      <c r="B3637" s="15" t="n">
        <v>-1.56513159291883</v>
      </c>
      <c r="C3637" s="18" t="n">
        <f aca="false">'Black-Scholes'!$B$5*EXP(('Black-Scholes'!$B$8-'Black-Scholes'!$B$10-'Black-Scholes'!$B$9^2/2)*'Black-Scholes'!$B$7+'Black-Scholes'!$B$9*SQRT('Black-Scholes'!$B$7)*B3637)</f>
        <v>75.3499956547028</v>
      </c>
      <c r="D3637" s="18" t="n">
        <f aca="false">'Black-Scholes'!$B$5*EXP(('Black-Scholes'!$B$8-'Black-Scholes'!$B$10-'Black-Scholes'!$B$9^2/2)*'Black-Scholes'!$B$7-'Black-Scholes'!$B$9*SQRT('Black-Scholes'!$B$7)*B3637)</f>
        <v>140.92058497406</v>
      </c>
      <c r="E3637" s="18" t="n">
        <f aca="false">EXP(-'Black-Scholes'!$B$8*'Black-Scholes'!$B$7)*IF(LOWER('Black-Scholes'!$B$11)="put",MAX('Black-Scholes'!$B$6-C3637,0),MAX(C3637-'Black-Scholes'!$B$6,0))</f>
        <v>0</v>
      </c>
      <c r="F3637" s="18" t="n">
        <f aca="false">(E3637+G3637)/2</f>
        <v>19.4624322475538</v>
      </c>
      <c r="G3637" s="18" t="n">
        <f aca="false">EXP(-'Black-Scholes'!$B$8*'Black-Scholes'!$B$7)*IF(LOWER('Black-Scholes'!$B$11)="put",MAX('Black-Scholes'!$B$6-D3637,0),MAX(D3637-'Black-Scholes'!$B$6,0))</f>
        <v>38.9248644951076</v>
      </c>
    </row>
    <row r="3638" customFormat="false" ht="15" hidden="false" customHeight="false" outlineLevel="0" collapsed="false">
      <c r="A3638" s="0" t="n">
        <v>3627</v>
      </c>
      <c r="B3638" s="15" t="n">
        <v>-0.350689110264036</v>
      </c>
      <c r="C3638" s="18" t="n">
        <f aca="false">'Black-Scholes'!$B$5*EXP(('Black-Scholes'!$B$8-'Black-Scholes'!$B$10-'Black-Scholes'!$B$9^2/2)*'Black-Scholes'!$B$7+'Black-Scholes'!$B$9*SQRT('Black-Scholes'!$B$7)*B3638)</f>
        <v>96.0657030304143</v>
      </c>
      <c r="D3638" s="18" t="n">
        <f aca="false">'Black-Scholes'!$B$5*EXP(('Black-Scholes'!$B$8-'Black-Scholes'!$B$10-'Black-Scholes'!$B$9^2/2)*'Black-Scholes'!$B$7-'Black-Scholes'!$B$9*SQRT('Black-Scholes'!$B$7)*B3638)</f>
        <v>110.532324549708</v>
      </c>
      <c r="E3638" s="18" t="n">
        <f aca="false">EXP(-'Black-Scholes'!$B$8*'Black-Scholes'!$B$7)*IF(LOWER('Black-Scholes'!$B$11)="put",MAX('Black-Scholes'!$B$6-C3638,0),MAX(C3638-'Black-Scholes'!$B$6,0))</f>
        <v>0</v>
      </c>
      <c r="F3638" s="18" t="n">
        <f aca="false">(E3638+G3638)/2</f>
        <v>5.00932851003663</v>
      </c>
      <c r="G3638" s="18" t="n">
        <f aca="false">EXP(-'Black-Scholes'!$B$8*'Black-Scholes'!$B$7)*IF(LOWER('Black-Scholes'!$B$11)="put",MAX('Black-Scholes'!$B$6-D3638,0),MAX(D3638-'Black-Scholes'!$B$6,0))</f>
        <v>10.0186570200733</v>
      </c>
    </row>
    <row r="3639" customFormat="false" ht="15" hidden="false" customHeight="false" outlineLevel="0" collapsed="false">
      <c r="A3639" s="0" t="n">
        <v>3628</v>
      </c>
      <c r="B3639" s="15" t="n">
        <v>0.255970316845644</v>
      </c>
      <c r="C3639" s="18" t="n">
        <f aca="false">'Black-Scholes'!$B$5*EXP(('Black-Scholes'!$B$8-'Black-Scholes'!$B$10-'Black-Scholes'!$B$9^2/2)*'Black-Scholes'!$B$7+'Black-Scholes'!$B$9*SQRT('Black-Scholes'!$B$7)*B3639)</f>
        <v>108.458135365668</v>
      </c>
      <c r="D3639" s="18" t="n">
        <f aca="false">'Black-Scholes'!$B$5*EXP(('Black-Scholes'!$B$8-'Black-Scholes'!$B$10-'Black-Scholes'!$B$9^2/2)*'Black-Scholes'!$B$7-'Black-Scholes'!$B$9*SQRT('Black-Scholes'!$B$7)*B3639)</f>
        <v>97.902895247587</v>
      </c>
      <c r="E3639" s="18" t="n">
        <f aca="false">EXP(-'Black-Scholes'!$B$8*'Black-Scholes'!$B$7)*IF(LOWER('Black-Scholes'!$B$11)="put",MAX('Black-Scholes'!$B$6-C3639,0),MAX(C3639-'Black-Scholes'!$B$6,0))</f>
        <v>8.0456272362334</v>
      </c>
      <c r="F3639" s="18" t="n">
        <f aca="false">(E3639+G3639)/2</f>
        <v>4.0228136181167</v>
      </c>
      <c r="G3639" s="18" t="n">
        <f aca="false">EXP(-'Black-Scholes'!$B$8*'Black-Scholes'!$B$7)*IF(LOWER('Black-Scholes'!$B$11)="put",MAX('Black-Scholes'!$B$6-D3639,0),MAX(D3639-'Black-Scholes'!$B$6,0))</f>
        <v>0</v>
      </c>
    </row>
    <row r="3640" customFormat="false" ht="15" hidden="false" customHeight="false" outlineLevel="0" collapsed="false">
      <c r="A3640" s="0" t="n">
        <v>3629</v>
      </c>
      <c r="B3640" s="15" t="n">
        <v>0.775726369308794</v>
      </c>
      <c r="C3640" s="18" t="n">
        <f aca="false">'Black-Scholes'!$B$5*EXP(('Black-Scholes'!$B$8-'Black-Scholes'!$B$10-'Black-Scholes'!$B$9^2/2)*'Black-Scholes'!$B$7+'Black-Scholes'!$B$9*SQRT('Black-Scholes'!$B$7)*B3640)</f>
        <v>120.339324901431</v>
      </c>
      <c r="D3640" s="18" t="n">
        <f aca="false">'Black-Scholes'!$B$5*EXP(('Black-Scholes'!$B$8-'Black-Scholes'!$B$10-'Black-Scholes'!$B$9^2/2)*'Black-Scholes'!$B$7-'Black-Scholes'!$B$9*SQRT('Black-Scholes'!$B$7)*B3640)</f>
        <v>88.2368708163442</v>
      </c>
      <c r="E3640" s="18" t="n">
        <f aca="false">EXP(-'Black-Scholes'!$B$8*'Black-Scholes'!$B$7)*IF(LOWER('Black-Scholes'!$B$11)="put",MAX('Black-Scholes'!$B$6-C3640,0),MAX(C3640-'Black-Scholes'!$B$6,0))</f>
        <v>19.3473643207208</v>
      </c>
      <c r="F3640" s="18" t="n">
        <f aca="false">(E3640+G3640)/2</f>
        <v>9.67368216036042</v>
      </c>
      <c r="G3640" s="18" t="n">
        <f aca="false">EXP(-'Black-Scholes'!$B$8*'Black-Scholes'!$B$7)*IF(LOWER('Black-Scholes'!$B$11)="put",MAX('Black-Scholes'!$B$6-D3640,0),MAX(D3640-'Black-Scholes'!$B$6,0))</f>
        <v>0</v>
      </c>
    </row>
    <row r="3641" customFormat="false" ht="15" hidden="false" customHeight="false" outlineLevel="0" collapsed="false">
      <c r="A3641" s="0" t="n">
        <v>3630</v>
      </c>
      <c r="B3641" s="15" t="n">
        <v>0.026846812464223</v>
      </c>
      <c r="C3641" s="18" t="n">
        <f aca="false">'Black-Scholes'!$B$5*EXP(('Black-Scholes'!$B$8-'Black-Scholes'!$B$10-'Black-Scholes'!$B$9^2/2)*'Black-Scholes'!$B$7+'Black-Scholes'!$B$9*SQRT('Black-Scholes'!$B$7)*B3641)</f>
        <v>103.60022985297</v>
      </c>
      <c r="D3641" s="18" t="n">
        <f aca="false">'Black-Scholes'!$B$5*EXP(('Black-Scholes'!$B$8-'Black-Scholes'!$B$10-'Black-Scholes'!$B$9^2/2)*'Black-Scholes'!$B$7-'Black-Scholes'!$B$9*SQRT('Black-Scholes'!$B$7)*B3641)</f>
        <v>102.493647750813</v>
      </c>
      <c r="E3641" s="18" t="n">
        <f aca="false">EXP(-'Black-Scholes'!$B$8*'Black-Scholes'!$B$7)*IF(LOWER('Black-Scholes'!$B$11)="put",MAX('Black-Scholes'!$B$6-C3641,0),MAX(C3641-'Black-Scholes'!$B$6,0))</f>
        <v>3.42464457111123</v>
      </c>
      <c r="F3641" s="18" t="n">
        <f aca="false">(E3641+G3641)/2</f>
        <v>2.89833784301228</v>
      </c>
      <c r="G3641" s="18" t="n">
        <f aca="false">EXP(-'Black-Scholes'!$B$8*'Black-Scholes'!$B$7)*IF(LOWER('Black-Scholes'!$B$11)="put",MAX('Black-Scholes'!$B$6-D3641,0),MAX(D3641-'Black-Scholes'!$B$6,0))</f>
        <v>2.37203111491333</v>
      </c>
    </row>
    <row r="3642" customFormat="false" ht="15" hidden="false" customHeight="false" outlineLevel="0" collapsed="false">
      <c r="A3642" s="0" t="n">
        <v>3631</v>
      </c>
      <c r="B3642" s="15" t="n">
        <v>0.270161981572521</v>
      </c>
      <c r="C3642" s="18" t="n">
        <f aca="false">'Black-Scholes'!$B$5*EXP(('Black-Scholes'!$B$8-'Black-Scholes'!$B$10-'Black-Scholes'!$B$9^2/2)*'Black-Scholes'!$B$7+'Black-Scholes'!$B$9*SQRT('Black-Scholes'!$B$7)*B3642)</f>
        <v>108.766412954728</v>
      </c>
      <c r="D3642" s="18" t="n">
        <f aca="false">'Black-Scholes'!$B$5*EXP(('Black-Scholes'!$B$8-'Black-Scholes'!$B$10-'Black-Scholes'!$B$9^2/2)*'Black-Scholes'!$B$7-'Black-Scholes'!$B$9*SQRT('Black-Scholes'!$B$7)*B3642)</f>
        <v>97.6254082211321</v>
      </c>
      <c r="E3642" s="18" t="n">
        <f aca="false">EXP(-'Black-Scholes'!$B$8*'Black-Scholes'!$B$7)*IF(LOWER('Black-Scholes'!$B$11)="put",MAX('Black-Scholes'!$B$6-C3642,0),MAX(C3642-'Black-Scholes'!$B$6,0))</f>
        <v>8.33886994986198</v>
      </c>
      <c r="F3642" s="18" t="n">
        <f aca="false">(E3642+G3642)/2</f>
        <v>4.16943497493099</v>
      </c>
      <c r="G3642" s="18" t="n">
        <f aca="false">EXP(-'Black-Scholes'!$B$8*'Black-Scholes'!$B$7)*IF(LOWER('Black-Scholes'!$B$11)="put",MAX('Black-Scholes'!$B$6-D3642,0),MAX(D3642-'Black-Scholes'!$B$6,0))</f>
        <v>0</v>
      </c>
    </row>
    <row r="3643" customFormat="false" ht="15" hidden="false" customHeight="false" outlineLevel="0" collapsed="false">
      <c r="A3643" s="0" t="n">
        <v>3632</v>
      </c>
      <c r="B3643" s="15" t="n">
        <v>-0.183752924979522</v>
      </c>
      <c r="C3643" s="18" t="n">
        <f aca="false">'Black-Scholes'!$B$5*EXP(('Black-Scholes'!$B$8-'Black-Scholes'!$B$10-'Black-Scholes'!$B$9^2/2)*'Black-Scholes'!$B$7+'Black-Scholes'!$B$9*SQRT('Black-Scholes'!$B$7)*B3643)</f>
        <v>99.3272149018259</v>
      </c>
      <c r="D3643" s="18" t="n">
        <f aca="false">'Black-Scholes'!$B$5*EXP(('Black-Scholes'!$B$8-'Black-Scholes'!$B$10-'Black-Scholes'!$B$9^2/2)*'Black-Scholes'!$B$7-'Black-Scholes'!$B$9*SQRT('Black-Scholes'!$B$7)*B3643)</f>
        <v>106.902881309505</v>
      </c>
      <c r="E3643" s="18" t="n">
        <f aca="false">EXP(-'Black-Scholes'!$B$8*'Black-Scholes'!$B$7)*IF(LOWER('Black-Scholes'!$B$11)="put",MAX('Black-Scholes'!$B$6-C3643,0),MAX(C3643-'Black-Scholes'!$B$6,0))</f>
        <v>0</v>
      </c>
      <c r="F3643" s="18" t="n">
        <f aca="false">(E3643+G3643)/2</f>
        <v>3.2831119077186</v>
      </c>
      <c r="G3643" s="18" t="n">
        <f aca="false">EXP(-'Black-Scholes'!$B$8*'Black-Scholes'!$B$7)*IF(LOWER('Black-Scholes'!$B$11)="put",MAX('Black-Scholes'!$B$6-D3643,0),MAX(D3643-'Black-Scholes'!$B$6,0))</f>
        <v>6.56622381543721</v>
      </c>
    </row>
    <row r="3644" customFormat="false" ht="15" hidden="false" customHeight="false" outlineLevel="0" collapsed="false">
      <c r="A3644" s="0" t="n">
        <v>3633</v>
      </c>
      <c r="B3644" s="15" t="n">
        <v>0.663255649434441</v>
      </c>
      <c r="C3644" s="18" t="n">
        <f aca="false">'Black-Scholes'!$B$5*EXP(('Black-Scholes'!$B$8-'Black-Scholes'!$B$10-'Black-Scholes'!$B$9^2/2)*'Black-Scholes'!$B$7+'Black-Scholes'!$B$9*SQRT('Black-Scholes'!$B$7)*B3644)</f>
        <v>117.662612838585</v>
      </c>
      <c r="D3644" s="18" t="n">
        <f aca="false">'Black-Scholes'!$B$5*EXP(('Black-Scholes'!$B$8-'Black-Scholes'!$B$10-'Black-Scholes'!$B$9^2/2)*'Black-Scholes'!$B$7-'Black-Scholes'!$B$9*SQRT('Black-Scholes'!$B$7)*B3644)</f>
        <v>90.2441753526279</v>
      </c>
      <c r="E3644" s="18" t="n">
        <f aca="false">EXP(-'Black-Scholes'!$B$8*'Black-Scholes'!$B$7)*IF(LOWER('Black-Scholes'!$B$11)="put",MAX('Black-Scholes'!$B$6-C3644,0),MAX(C3644-'Black-Scholes'!$B$6,0))</f>
        <v>16.8011970456258</v>
      </c>
      <c r="F3644" s="18" t="n">
        <f aca="false">(E3644+G3644)/2</f>
        <v>8.40059852281291</v>
      </c>
      <c r="G3644" s="18" t="n">
        <f aca="false">EXP(-'Black-Scholes'!$B$8*'Black-Scholes'!$B$7)*IF(LOWER('Black-Scholes'!$B$11)="put",MAX('Black-Scholes'!$B$6-D3644,0),MAX(D3644-'Black-Scholes'!$B$6,0))</f>
        <v>0</v>
      </c>
    </row>
    <row r="3645" customFormat="false" ht="15" hidden="false" customHeight="false" outlineLevel="0" collapsed="false">
      <c r="A3645" s="0" t="n">
        <v>3634</v>
      </c>
      <c r="B3645" s="15" t="n">
        <v>-0.763121072575486</v>
      </c>
      <c r="C3645" s="18" t="n">
        <f aca="false">'Black-Scholes'!$B$5*EXP(('Black-Scholes'!$B$8-'Black-Scholes'!$B$10-'Black-Scholes'!$B$9^2/2)*'Black-Scholes'!$B$7+'Black-Scholes'!$B$9*SQRT('Black-Scholes'!$B$7)*B3645)</f>
        <v>88.4596018453387</v>
      </c>
      <c r="D3645" s="18" t="n">
        <f aca="false">'Black-Scholes'!$B$5*EXP(('Black-Scholes'!$B$8-'Black-Scholes'!$B$10-'Black-Scholes'!$B$9^2/2)*'Black-Scholes'!$B$7-'Black-Scholes'!$B$9*SQRT('Black-Scholes'!$B$7)*B3645)</f>
        <v>120.036324423193</v>
      </c>
      <c r="E3645" s="18" t="n">
        <f aca="false">EXP(-'Black-Scholes'!$B$8*'Black-Scholes'!$B$7)*IF(LOWER('Black-Scholes'!$B$11)="put",MAX('Black-Scholes'!$B$6-C3645,0),MAX(C3645-'Black-Scholes'!$B$6,0))</f>
        <v>0</v>
      </c>
      <c r="F3645" s="18" t="n">
        <f aca="false">(E3645+G3645)/2</f>
        <v>9.52957067509193</v>
      </c>
      <c r="G3645" s="18" t="n">
        <f aca="false">EXP(-'Black-Scholes'!$B$8*'Black-Scholes'!$B$7)*IF(LOWER('Black-Scholes'!$B$11)="put",MAX('Black-Scholes'!$B$6-D3645,0),MAX(D3645-'Black-Scholes'!$B$6,0))</f>
        <v>19.0591413501839</v>
      </c>
    </row>
    <row r="3646" customFormat="false" ht="15" hidden="false" customHeight="false" outlineLevel="0" collapsed="false">
      <c r="A3646" s="0" t="n">
        <v>3635</v>
      </c>
      <c r="B3646" s="15" t="n">
        <v>0.956933848781347</v>
      </c>
      <c r="C3646" s="18" t="n">
        <f aca="false">'Black-Scholes'!$B$5*EXP(('Black-Scholes'!$B$8-'Black-Scholes'!$B$10-'Black-Scholes'!$B$9^2/2)*'Black-Scholes'!$B$7+'Black-Scholes'!$B$9*SQRT('Black-Scholes'!$B$7)*B3646)</f>
        <v>124.78059508494</v>
      </c>
      <c r="D3646" s="18" t="n">
        <f aca="false">'Black-Scholes'!$B$5*EXP(('Black-Scholes'!$B$8-'Black-Scholes'!$B$10-'Black-Scholes'!$B$9^2/2)*'Black-Scholes'!$B$7-'Black-Scholes'!$B$9*SQRT('Black-Scholes'!$B$7)*B3646)</f>
        <v>85.0962880744837</v>
      </c>
      <c r="E3646" s="18" t="n">
        <f aca="false">EXP(-'Black-Scholes'!$B$8*'Black-Scholes'!$B$7)*IF(LOWER('Black-Scholes'!$B$11)="put",MAX('Black-Scholes'!$B$6-C3646,0),MAX(C3646-'Black-Scholes'!$B$6,0))</f>
        <v>23.5720312014332</v>
      </c>
      <c r="F3646" s="18" t="n">
        <f aca="false">(E3646+G3646)/2</f>
        <v>11.7860156007166</v>
      </c>
      <c r="G3646" s="18" t="n">
        <f aca="false">EXP(-'Black-Scholes'!$B$8*'Black-Scholes'!$B$7)*IF(LOWER('Black-Scholes'!$B$11)="put",MAX('Black-Scholes'!$B$6-D3646,0),MAX(D3646-'Black-Scholes'!$B$6,0))</f>
        <v>0</v>
      </c>
    </row>
    <row r="3647" customFormat="false" ht="15" hidden="false" customHeight="false" outlineLevel="0" collapsed="false">
      <c r="A3647" s="0" t="n">
        <v>3636</v>
      </c>
      <c r="B3647" s="15" t="n">
        <v>1.84494631462839</v>
      </c>
      <c r="C3647" s="18" t="n">
        <f aca="false">'Black-Scholes'!$B$5*EXP(('Black-Scholes'!$B$8-'Black-Scholes'!$B$10-'Black-Scholes'!$B$9^2/2)*'Black-Scholes'!$B$7+'Black-Scholes'!$B$9*SQRT('Black-Scholes'!$B$7)*B3647)</f>
        <v>149.031761687048</v>
      </c>
      <c r="D3647" s="18" t="n">
        <f aca="false">'Black-Scholes'!$B$5*EXP(('Black-Scholes'!$B$8-'Black-Scholes'!$B$10-'Black-Scholes'!$B$9^2/2)*'Black-Scholes'!$B$7-'Black-Scholes'!$B$9*SQRT('Black-Scholes'!$B$7)*B3647)</f>
        <v>71.249009910727</v>
      </c>
      <c r="E3647" s="18" t="n">
        <f aca="false">EXP(-'Black-Scholes'!$B$8*'Black-Scholes'!$B$7)*IF(LOWER('Black-Scholes'!$B$11)="put",MAX('Black-Scholes'!$B$6-C3647,0),MAX(C3647-'Black-Scholes'!$B$6,0))</f>
        <v>46.6404544518271</v>
      </c>
      <c r="F3647" s="18" t="n">
        <f aca="false">(E3647+G3647)/2</f>
        <v>23.3202272259135</v>
      </c>
      <c r="G3647" s="18" t="n">
        <f aca="false">EXP(-'Black-Scholes'!$B$8*'Black-Scholes'!$B$7)*IF(LOWER('Black-Scholes'!$B$11)="put",MAX('Black-Scholes'!$B$6-D3647,0),MAX(D3647-'Black-Scholes'!$B$6,0))</f>
        <v>0</v>
      </c>
    </row>
    <row r="3648" customFormat="false" ht="15" hidden="false" customHeight="false" outlineLevel="0" collapsed="false">
      <c r="A3648" s="0" t="n">
        <v>3637</v>
      </c>
      <c r="B3648" s="15" t="n">
        <v>-1.82255829593012</v>
      </c>
      <c r="C3648" s="18" t="n">
        <f aca="false">'Black-Scholes'!$B$5*EXP(('Black-Scholes'!$B$8-'Black-Scholes'!$B$10-'Black-Scholes'!$B$9^2/2)*'Black-Scholes'!$B$7+'Black-Scholes'!$B$9*SQRT('Black-Scholes'!$B$7)*B3648)</f>
        <v>71.5687500445555</v>
      </c>
      <c r="D3648" s="18" t="n">
        <f aca="false">'Black-Scholes'!$B$5*EXP(('Black-Scholes'!$B$8-'Black-Scholes'!$B$10-'Black-Scholes'!$B$9^2/2)*'Black-Scholes'!$B$7-'Black-Scholes'!$B$9*SQRT('Black-Scholes'!$B$7)*B3648)</f>
        <v>148.365948250362</v>
      </c>
      <c r="E3648" s="18" t="n">
        <f aca="false">EXP(-'Black-Scholes'!$B$8*'Black-Scholes'!$B$7)*IF(LOWER('Black-Scholes'!$B$11)="put",MAX('Black-Scholes'!$B$6-C3648,0),MAX(C3648-'Black-Scholes'!$B$6,0))</f>
        <v>0</v>
      </c>
      <c r="F3648" s="18" t="n">
        <f aca="false">(E3648+G3648)/2</f>
        <v>23.0035565598115</v>
      </c>
      <c r="G3648" s="18" t="n">
        <f aca="false">EXP(-'Black-Scholes'!$B$8*'Black-Scholes'!$B$7)*IF(LOWER('Black-Scholes'!$B$11)="put",MAX('Black-Scholes'!$B$6-D3648,0),MAX(D3648-'Black-Scholes'!$B$6,0))</f>
        <v>46.007113119623</v>
      </c>
    </row>
    <row r="3649" customFormat="false" ht="15" hidden="false" customHeight="false" outlineLevel="0" collapsed="false">
      <c r="A3649" s="0" t="n">
        <v>3638</v>
      </c>
      <c r="B3649" s="15" t="n">
        <v>0.521176912594618</v>
      </c>
      <c r="C3649" s="18" t="n">
        <f aca="false">'Black-Scholes'!$B$5*EXP(('Black-Scholes'!$B$8-'Black-Scholes'!$B$10-'Black-Scholes'!$B$9^2/2)*'Black-Scholes'!$B$7+'Black-Scholes'!$B$9*SQRT('Black-Scholes'!$B$7)*B3649)</f>
        <v>114.366198600394</v>
      </c>
      <c r="D3649" s="18" t="n">
        <f aca="false">'Black-Scholes'!$B$5*EXP(('Black-Scholes'!$B$8-'Black-Scholes'!$B$10-'Black-Scholes'!$B$9^2/2)*'Black-Scholes'!$B$7-'Black-Scholes'!$B$9*SQRT('Black-Scholes'!$B$7)*B3649)</f>
        <v>92.8453126483215</v>
      </c>
      <c r="E3649" s="18" t="n">
        <f aca="false">EXP(-'Black-Scholes'!$B$8*'Black-Scholes'!$B$7)*IF(LOWER('Black-Scholes'!$B$11)="put",MAX('Black-Scholes'!$B$6-C3649,0),MAX(C3649-'Black-Scholes'!$B$6,0))</f>
        <v>13.6655508269157</v>
      </c>
      <c r="F3649" s="18" t="n">
        <f aca="false">(E3649+G3649)/2</f>
        <v>6.83277541345783</v>
      </c>
      <c r="G3649" s="18" t="n">
        <f aca="false">EXP(-'Black-Scholes'!$B$8*'Black-Scholes'!$B$7)*IF(LOWER('Black-Scholes'!$B$11)="put",MAX('Black-Scholes'!$B$6-D3649,0),MAX(D3649-'Black-Scholes'!$B$6,0))</f>
        <v>0</v>
      </c>
    </row>
    <row r="3650" customFormat="false" ht="15" hidden="false" customHeight="false" outlineLevel="0" collapsed="false">
      <c r="A3650" s="0" t="n">
        <v>3639</v>
      </c>
      <c r="B3650" s="15" t="n">
        <v>-0.25871549281423</v>
      </c>
      <c r="C3650" s="18" t="n">
        <f aca="false">'Black-Scholes'!$B$5*EXP(('Black-Scholes'!$B$8-'Black-Scholes'!$B$10-'Black-Scholes'!$B$9^2/2)*'Black-Scholes'!$B$7+'Black-Scholes'!$B$9*SQRT('Black-Scholes'!$B$7)*B3650)</f>
        <v>97.8491578657361</v>
      </c>
      <c r="D3650" s="18" t="n">
        <f aca="false">'Black-Scholes'!$B$5*EXP(('Black-Scholes'!$B$8-'Black-Scholes'!$B$10-'Black-Scholes'!$B$9^2/2)*'Black-Scholes'!$B$7-'Black-Scholes'!$B$9*SQRT('Black-Scholes'!$B$7)*B3650)</f>
        <v>108.517699048812</v>
      </c>
      <c r="E3650" s="18" t="n">
        <f aca="false">EXP(-'Black-Scholes'!$B$8*'Black-Scholes'!$B$7)*IF(LOWER('Black-Scholes'!$B$11)="put",MAX('Black-Scholes'!$B$6-C3650,0),MAX(C3650-'Black-Scholes'!$B$6,0))</f>
        <v>0</v>
      </c>
      <c r="F3650" s="18" t="n">
        <f aca="false">(E3650+G3650)/2</f>
        <v>4.05114298213562</v>
      </c>
      <c r="G3650" s="18" t="n">
        <f aca="false">EXP(-'Black-Scholes'!$B$8*'Black-Scholes'!$B$7)*IF(LOWER('Black-Scholes'!$B$11)="put",MAX('Black-Scholes'!$B$6-D3650,0),MAX(D3650-'Black-Scholes'!$B$6,0))</f>
        <v>8.10228596427124</v>
      </c>
    </row>
    <row r="3651" customFormat="false" ht="15" hidden="false" customHeight="false" outlineLevel="0" collapsed="false">
      <c r="A3651" s="0" t="n">
        <v>3640</v>
      </c>
      <c r="B3651" s="15" t="n">
        <v>-0.433851910467131</v>
      </c>
      <c r="C3651" s="18" t="n">
        <f aca="false">'Black-Scholes'!$B$5*EXP(('Black-Scholes'!$B$8-'Black-Scholes'!$B$10-'Black-Scholes'!$B$9^2/2)*'Black-Scholes'!$B$7+'Black-Scholes'!$B$9*SQRT('Black-Scholes'!$B$7)*B3651)</f>
        <v>94.4810989982769</v>
      </c>
      <c r="D3651" s="18" t="n">
        <f aca="false">'Black-Scholes'!$B$5*EXP(('Black-Scholes'!$B$8-'Black-Scholes'!$B$10-'Black-Scholes'!$B$9^2/2)*'Black-Scholes'!$B$7-'Black-Scholes'!$B$9*SQRT('Black-Scholes'!$B$7)*B3651)</f>
        <v>112.386134137234</v>
      </c>
      <c r="E3651" s="18" t="n">
        <f aca="false">EXP(-'Black-Scholes'!$B$8*'Black-Scholes'!$B$7)*IF(LOWER('Black-Scholes'!$B$11)="put",MAX('Black-Scholes'!$B$6-C3651,0),MAX(C3651-'Black-Scholes'!$B$6,0))</f>
        <v>0</v>
      </c>
      <c r="F3651" s="18" t="n">
        <f aca="false">(E3651+G3651)/2</f>
        <v>5.89102762357468</v>
      </c>
      <c r="G3651" s="18" t="n">
        <f aca="false">EXP(-'Black-Scholes'!$B$8*'Black-Scholes'!$B$7)*IF(LOWER('Black-Scholes'!$B$11)="put",MAX('Black-Scholes'!$B$6-D3651,0),MAX(D3651-'Black-Scholes'!$B$6,0))</f>
        <v>11.7820552471494</v>
      </c>
    </row>
    <row r="3652" customFormat="false" ht="15" hidden="false" customHeight="false" outlineLevel="0" collapsed="false">
      <c r="A3652" s="0" t="n">
        <v>3641</v>
      </c>
      <c r="B3652" s="15" t="n">
        <v>-2.31143495797468</v>
      </c>
      <c r="C3652" s="18" t="n">
        <f aca="false">'Black-Scholes'!$B$5*EXP(('Black-Scholes'!$B$8-'Black-Scholes'!$B$10-'Black-Scholes'!$B$9^2/2)*'Black-Scholes'!$B$7+'Black-Scholes'!$B$9*SQRT('Black-Scholes'!$B$7)*B3652)</f>
        <v>64.9023085783926</v>
      </c>
      <c r="D3652" s="18" t="n">
        <f aca="false">'Black-Scholes'!$B$5*EXP(('Black-Scholes'!$B$8-'Black-Scholes'!$B$10-'Black-Scholes'!$B$9^2/2)*'Black-Scholes'!$B$7-'Black-Scholes'!$B$9*SQRT('Black-Scholes'!$B$7)*B3652)</f>
        <v>163.605358546347</v>
      </c>
      <c r="E3652" s="18" t="n">
        <f aca="false">EXP(-'Black-Scholes'!$B$8*'Black-Scholes'!$B$7)*IF(LOWER('Black-Scholes'!$B$11)="put",MAX('Black-Scholes'!$B$6-C3652,0),MAX(C3652-'Black-Scholes'!$B$6,0))</f>
        <v>0</v>
      </c>
      <c r="F3652" s="18" t="n">
        <f aca="false">(E3652+G3652)/2</f>
        <v>30.2516443026018</v>
      </c>
      <c r="G3652" s="18" t="n">
        <f aca="false">EXP(-'Black-Scholes'!$B$8*'Black-Scholes'!$B$7)*IF(LOWER('Black-Scholes'!$B$11)="put",MAX('Black-Scholes'!$B$6-D3652,0),MAX(D3652-'Black-Scholes'!$B$6,0))</f>
        <v>60.5032886052037</v>
      </c>
    </row>
    <row r="3653" customFormat="false" ht="15" hidden="false" customHeight="false" outlineLevel="0" collapsed="false">
      <c r="A3653" s="0" t="n">
        <v>3642</v>
      </c>
      <c r="B3653" s="15" t="n">
        <v>1.09257889464691</v>
      </c>
      <c r="C3653" s="18" t="n">
        <f aca="false">'Black-Scholes'!$B$5*EXP(('Black-Scholes'!$B$8-'Black-Scholes'!$B$10-'Black-Scholes'!$B$9^2/2)*'Black-Scholes'!$B$7+'Black-Scholes'!$B$9*SQRT('Black-Scholes'!$B$7)*B3653)</f>
        <v>128.212105270725</v>
      </c>
      <c r="D3653" s="18" t="n">
        <f aca="false">'Black-Scholes'!$B$5*EXP(('Black-Scholes'!$B$8-'Black-Scholes'!$B$10-'Black-Scholes'!$B$9^2/2)*'Black-Scholes'!$B$7-'Black-Scholes'!$B$9*SQRT('Black-Scholes'!$B$7)*B3653)</f>
        <v>82.8187435424483</v>
      </c>
      <c r="E3653" s="18" t="n">
        <f aca="false">EXP(-'Black-Scholes'!$B$8*'Black-Scholes'!$B$7)*IF(LOWER('Black-Scholes'!$B$11)="put",MAX('Black-Scholes'!$B$6-C3653,0),MAX(C3653-'Black-Scholes'!$B$6,0))</f>
        <v>26.8361846606257</v>
      </c>
      <c r="F3653" s="18" t="n">
        <f aca="false">(E3653+G3653)/2</f>
        <v>13.4180923303128</v>
      </c>
      <c r="G3653" s="18" t="n">
        <f aca="false">EXP(-'Black-Scholes'!$B$8*'Black-Scholes'!$B$7)*IF(LOWER('Black-Scholes'!$B$11)="put",MAX('Black-Scholes'!$B$6-D3653,0),MAX(D3653-'Black-Scholes'!$B$6,0))</f>
        <v>0</v>
      </c>
    </row>
    <row r="3654" customFormat="false" ht="15" hidden="false" customHeight="false" outlineLevel="0" collapsed="false">
      <c r="A3654" s="0" t="n">
        <v>3643</v>
      </c>
      <c r="B3654" s="15" t="n">
        <v>-0.608002282393585</v>
      </c>
      <c r="C3654" s="18" t="n">
        <f aca="false">'Black-Scholes'!$B$5*EXP(('Black-Scholes'!$B$8-'Black-Scholes'!$B$10-'Black-Scholes'!$B$9^2/2)*'Black-Scholes'!$B$7+'Black-Scholes'!$B$9*SQRT('Black-Scholes'!$B$7)*B3654)</f>
        <v>91.2469648059981</v>
      </c>
      <c r="D3654" s="18" t="n">
        <f aca="false">'Black-Scholes'!$B$5*EXP(('Black-Scholes'!$B$8-'Black-Scholes'!$B$10-'Black-Scholes'!$B$9^2/2)*'Black-Scholes'!$B$7-'Black-Scholes'!$B$9*SQRT('Black-Scholes'!$B$7)*B3654)</f>
        <v>116.369519665991</v>
      </c>
      <c r="E3654" s="18" t="n">
        <f aca="false">EXP(-'Black-Scholes'!$B$8*'Black-Scholes'!$B$7)*IF(LOWER('Black-Scholes'!$B$11)="put",MAX('Black-Scholes'!$B$6-C3654,0),MAX(C3654-'Black-Scholes'!$B$6,0))</f>
        <v>0</v>
      </c>
      <c r="F3654" s="18" t="n">
        <f aca="false">(E3654+G3654)/2</f>
        <v>7.78558438561693</v>
      </c>
      <c r="G3654" s="18" t="n">
        <f aca="false">EXP(-'Black-Scholes'!$B$8*'Black-Scholes'!$B$7)*IF(LOWER('Black-Scholes'!$B$11)="put",MAX('Black-Scholes'!$B$6-D3654,0),MAX(D3654-'Black-Scholes'!$B$6,0))</f>
        <v>15.5711687712339</v>
      </c>
    </row>
    <row r="3655" customFormat="false" ht="15" hidden="false" customHeight="false" outlineLevel="0" collapsed="false">
      <c r="A3655" s="0" t="n">
        <v>3644</v>
      </c>
      <c r="B3655" s="15" t="n">
        <v>-0.83346586290288</v>
      </c>
      <c r="C3655" s="18" t="n">
        <f aca="false">'Black-Scholes'!$B$5*EXP(('Black-Scholes'!$B$8-'Black-Scholes'!$B$10-'Black-Scholes'!$B$9^2/2)*'Black-Scholes'!$B$7+'Black-Scholes'!$B$9*SQRT('Black-Scholes'!$B$7)*B3655)</f>
        <v>87.2237811555581</v>
      </c>
      <c r="D3655" s="18" t="n">
        <f aca="false">'Black-Scholes'!$B$5*EXP(('Black-Scholes'!$B$8-'Black-Scholes'!$B$10-'Black-Scholes'!$B$9^2/2)*'Black-Scholes'!$B$7-'Black-Scholes'!$B$9*SQRT('Black-Scholes'!$B$7)*B3655)</f>
        <v>121.73704607596</v>
      </c>
      <c r="E3655" s="18" t="n">
        <f aca="false">EXP(-'Black-Scholes'!$B$8*'Black-Scholes'!$B$7)*IF(LOWER('Black-Scholes'!$B$11)="put",MAX('Black-Scholes'!$B$6-C3655,0),MAX(C3655-'Black-Scholes'!$B$6,0))</f>
        <v>0</v>
      </c>
      <c r="F3655" s="18" t="n">
        <f aca="false">(E3655+G3655)/2</f>
        <v>10.3384589145903</v>
      </c>
      <c r="G3655" s="18" t="n">
        <f aca="false">EXP(-'Black-Scholes'!$B$8*'Black-Scholes'!$B$7)*IF(LOWER('Black-Scholes'!$B$11)="put",MAX('Black-Scholes'!$B$6-D3655,0),MAX(D3655-'Black-Scholes'!$B$6,0))</f>
        <v>20.6769178291805</v>
      </c>
    </row>
    <row r="3656" customFormat="false" ht="15" hidden="false" customHeight="false" outlineLevel="0" collapsed="false">
      <c r="A3656" s="0" t="n">
        <v>3645</v>
      </c>
      <c r="B3656" s="15" t="n">
        <v>-0.249553896007817</v>
      </c>
      <c r="C3656" s="18" t="n">
        <f aca="false">'Black-Scholes'!$B$5*EXP(('Black-Scholes'!$B$8-'Black-Scholes'!$B$10-'Black-Scholes'!$B$9^2/2)*'Black-Scholes'!$B$7+'Black-Scholes'!$B$9*SQRT('Black-Scholes'!$B$7)*B3656)</f>
        <v>98.0286131316493</v>
      </c>
      <c r="D3656" s="18" t="n">
        <f aca="false">'Black-Scholes'!$B$5*EXP(('Black-Scholes'!$B$8-'Black-Scholes'!$B$10-'Black-Scholes'!$B$9^2/2)*'Black-Scholes'!$B$7-'Black-Scholes'!$B$9*SQRT('Black-Scholes'!$B$7)*B3656)</f>
        <v>108.319042024939</v>
      </c>
      <c r="E3656" s="18" t="n">
        <f aca="false">EXP(-'Black-Scholes'!$B$8*'Black-Scholes'!$B$7)*IF(LOWER('Black-Scholes'!$B$11)="put",MAX('Black-Scholes'!$B$6-C3656,0),MAX(C3656-'Black-Scholes'!$B$6,0))</f>
        <v>0</v>
      </c>
      <c r="F3656" s="18" t="n">
        <f aca="false">(E3656+G3656)/2</f>
        <v>3.95665877888994</v>
      </c>
      <c r="G3656" s="18" t="n">
        <f aca="false">EXP(-'Black-Scholes'!$B$8*'Black-Scholes'!$B$7)*IF(LOWER('Black-Scholes'!$B$11)="put",MAX('Black-Scholes'!$B$6-D3656,0),MAX(D3656-'Black-Scholes'!$B$6,0))</f>
        <v>7.91331755777988</v>
      </c>
    </row>
    <row r="3657" customFormat="false" ht="15" hidden="false" customHeight="false" outlineLevel="0" collapsed="false">
      <c r="A3657" s="0" t="n">
        <v>3646</v>
      </c>
      <c r="B3657" s="15" t="n">
        <v>-1.63667255982271</v>
      </c>
      <c r="C3657" s="18" t="n">
        <f aca="false">'Black-Scholes'!$B$5*EXP(('Black-Scholes'!$B$8-'Black-Scholes'!$B$10-'Black-Scholes'!$B$9^2/2)*'Black-Scholes'!$B$7+'Black-Scholes'!$B$9*SQRT('Black-Scholes'!$B$7)*B3657)</f>
        <v>74.2795496817653</v>
      </c>
      <c r="D3657" s="18" t="n">
        <f aca="false">'Black-Scholes'!$B$5*EXP(('Black-Scholes'!$B$8-'Black-Scholes'!$B$10-'Black-Scholes'!$B$9^2/2)*'Black-Scholes'!$B$7-'Black-Scholes'!$B$9*SQRT('Black-Scholes'!$B$7)*B3657)</f>
        <v>142.951397941233</v>
      </c>
      <c r="E3657" s="18" t="n">
        <f aca="false">EXP(-'Black-Scholes'!$B$8*'Black-Scholes'!$B$7)*IF(LOWER('Black-Scholes'!$B$11)="put",MAX('Black-Scholes'!$B$6-C3657,0),MAX(C3657-'Black-Scholes'!$B$6,0))</f>
        <v>0</v>
      </c>
      <c r="F3657" s="18" t="n">
        <f aca="false">(E3657+G3657)/2</f>
        <v>20.42831677257</v>
      </c>
      <c r="G3657" s="18" t="n">
        <f aca="false">EXP(-'Black-Scholes'!$B$8*'Black-Scholes'!$B$7)*IF(LOWER('Black-Scholes'!$B$11)="put",MAX('Black-Scholes'!$B$6-D3657,0),MAX(D3657-'Black-Scholes'!$B$6,0))</f>
        <v>40.85663354514</v>
      </c>
    </row>
    <row r="3658" customFormat="false" ht="15" hidden="false" customHeight="false" outlineLevel="0" collapsed="false">
      <c r="A3658" s="0" t="n">
        <v>3647</v>
      </c>
      <c r="B3658" s="15" t="n">
        <v>1.06552202027266</v>
      </c>
      <c r="C3658" s="18" t="n">
        <f aca="false">'Black-Scholes'!$B$5*EXP(('Black-Scholes'!$B$8-'Black-Scholes'!$B$10-'Black-Scholes'!$B$9^2/2)*'Black-Scholes'!$B$7+'Black-Scholes'!$B$9*SQRT('Black-Scholes'!$B$7)*B3658)</f>
        <v>127.520175340212</v>
      </c>
      <c r="D3658" s="18" t="n">
        <f aca="false">'Black-Scholes'!$B$5*EXP(('Black-Scholes'!$B$8-'Black-Scholes'!$B$10-'Black-Scholes'!$B$9^2/2)*'Black-Scholes'!$B$7-'Black-Scholes'!$B$9*SQRT('Black-Scholes'!$B$7)*B3658)</f>
        <v>83.2681215903662</v>
      </c>
      <c r="E3658" s="18" t="n">
        <f aca="false">EXP(-'Black-Scholes'!$B$8*'Black-Scholes'!$B$7)*IF(LOWER('Black-Scholes'!$B$11)="put",MAX('Black-Scholes'!$B$6-C3658,0),MAX(C3658-'Black-Scholes'!$B$6,0))</f>
        <v>26.1780005510287</v>
      </c>
      <c r="F3658" s="18" t="n">
        <f aca="false">(E3658+G3658)/2</f>
        <v>13.0890002755144</v>
      </c>
      <c r="G3658" s="18" t="n">
        <f aca="false">EXP(-'Black-Scholes'!$B$8*'Black-Scholes'!$B$7)*IF(LOWER('Black-Scholes'!$B$11)="put",MAX('Black-Scholes'!$B$6-D3658,0),MAX(D3658-'Black-Scholes'!$B$6,0))</f>
        <v>0</v>
      </c>
    </row>
    <row r="3659" customFormat="false" ht="15" hidden="false" customHeight="false" outlineLevel="0" collapsed="false">
      <c r="A3659" s="0" t="n">
        <v>3648</v>
      </c>
      <c r="B3659" s="15" t="n">
        <v>1.0548399332922</v>
      </c>
      <c r="C3659" s="18" t="n">
        <f aca="false">'Black-Scholes'!$B$5*EXP(('Black-Scholes'!$B$8-'Black-Scholes'!$B$10-'Black-Scholes'!$B$9^2/2)*'Black-Scholes'!$B$7+'Black-Scholes'!$B$9*SQRT('Black-Scholes'!$B$7)*B3659)</f>
        <v>127.248029830975</v>
      </c>
      <c r="D3659" s="18" t="n">
        <f aca="false">'Black-Scholes'!$B$5*EXP(('Black-Scholes'!$B$8-'Black-Scholes'!$B$10-'Black-Scholes'!$B$9^2/2)*'Black-Scholes'!$B$7-'Black-Scholes'!$B$9*SQRT('Black-Scholes'!$B$7)*B3659)</f>
        <v>83.446207218753</v>
      </c>
      <c r="E3659" s="18" t="n">
        <f aca="false">EXP(-'Black-Scholes'!$B$8*'Black-Scholes'!$B$7)*IF(LOWER('Black-Scholes'!$B$11)="put",MAX('Black-Scholes'!$B$6-C3659,0),MAX(C3659-'Black-Scholes'!$B$6,0))</f>
        <v>25.9191277348966</v>
      </c>
      <c r="F3659" s="18" t="n">
        <f aca="false">(E3659+G3659)/2</f>
        <v>12.9595638674483</v>
      </c>
      <c r="G3659" s="18" t="n">
        <f aca="false">EXP(-'Black-Scholes'!$B$8*'Black-Scholes'!$B$7)*IF(LOWER('Black-Scholes'!$B$11)="put",MAX('Black-Scholes'!$B$6-D3659,0),MAX(D3659-'Black-Scholes'!$B$6,0))</f>
        <v>0</v>
      </c>
    </row>
    <row r="3660" customFormat="false" ht="15" hidden="false" customHeight="false" outlineLevel="0" collapsed="false">
      <c r="A3660" s="0" t="n">
        <v>3649</v>
      </c>
      <c r="B3660" s="15" t="n">
        <v>1.11128758038247</v>
      </c>
      <c r="C3660" s="18" t="n">
        <f aca="false">'Black-Scholes'!$B$5*EXP(('Black-Scholes'!$B$8-'Black-Scholes'!$B$10-'Black-Scholes'!$B$9^2/2)*'Black-Scholes'!$B$7+'Black-Scholes'!$B$9*SQRT('Black-Scholes'!$B$7)*B3660)</f>
        <v>128.692739911206</v>
      </c>
      <c r="D3660" s="18" t="n">
        <f aca="false">'Black-Scholes'!$B$5*EXP(('Black-Scholes'!$B$8-'Black-Scholes'!$B$10-'Black-Scholes'!$B$9^2/2)*'Black-Scholes'!$B$7-'Black-Scholes'!$B$9*SQRT('Black-Scholes'!$B$7)*B3660)</f>
        <v>82.5094366067574</v>
      </c>
      <c r="E3660" s="18" t="n">
        <f aca="false">EXP(-'Black-Scholes'!$B$8*'Black-Scholes'!$B$7)*IF(LOWER('Black-Scholes'!$B$11)="put",MAX('Black-Scholes'!$B$6-C3660,0),MAX(C3660-'Black-Scholes'!$B$6,0))</f>
        <v>27.2933784730855</v>
      </c>
      <c r="F3660" s="18" t="n">
        <f aca="false">(E3660+G3660)/2</f>
        <v>13.6466892365427</v>
      </c>
      <c r="G3660" s="18" t="n">
        <f aca="false">EXP(-'Black-Scholes'!$B$8*'Black-Scholes'!$B$7)*IF(LOWER('Black-Scholes'!$B$11)="put",MAX('Black-Scholes'!$B$6-D3660,0),MAX(D3660-'Black-Scholes'!$B$6,0))</f>
        <v>0</v>
      </c>
    </row>
    <row r="3661" customFormat="false" ht="15" hidden="false" customHeight="false" outlineLevel="0" collapsed="false">
      <c r="A3661" s="0" t="n">
        <v>3650</v>
      </c>
      <c r="B3661" s="15" t="n">
        <v>-0.641049449889066</v>
      </c>
      <c r="C3661" s="18" t="n">
        <f aca="false">'Black-Scholes'!$B$5*EXP(('Black-Scholes'!$B$8-'Black-Scholes'!$B$10-'Black-Scholes'!$B$9^2/2)*'Black-Scholes'!$B$7+'Black-Scholes'!$B$9*SQRT('Black-Scholes'!$B$7)*B3661)</f>
        <v>90.6458627204897</v>
      </c>
      <c r="D3661" s="18" t="n">
        <f aca="false">'Black-Scholes'!$B$5*EXP(('Black-Scholes'!$B$8-'Black-Scholes'!$B$10-'Black-Scholes'!$B$9^2/2)*'Black-Scholes'!$B$7-'Black-Scholes'!$B$9*SQRT('Black-Scholes'!$B$7)*B3661)</f>
        <v>117.141203655326</v>
      </c>
      <c r="E3661" s="18" t="n">
        <f aca="false">EXP(-'Black-Scholes'!$B$8*'Black-Scholes'!$B$7)*IF(LOWER('Black-Scholes'!$B$11)="put",MAX('Black-Scholes'!$B$6-C3661,0),MAX(C3661-'Black-Scholes'!$B$6,0))</f>
        <v>0</v>
      </c>
      <c r="F3661" s="18" t="n">
        <f aca="false">(E3661+G3661)/2</f>
        <v>8.15260864415262</v>
      </c>
      <c r="G3661" s="18" t="n">
        <f aca="false">EXP(-'Black-Scholes'!$B$8*'Black-Scholes'!$B$7)*IF(LOWER('Black-Scholes'!$B$11)="put",MAX('Black-Scholes'!$B$6-D3661,0),MAX(D3661-'Black-Scholes'!$B$6,0))</f>
        <v>16.3052172883052</v>
      </c>
    </row>
    <row r="3662" customFormat="false" ht="15" hidden="false" customHeight="false" outlineLevel="0" collapsed="false">
      <c r="A3662" s="0" t="n">
        <v>3651</v>
      </c>
      <c r="B3662" s="15" t="n">
        <v>-0.00115307183705444</v>
      </c>
      <c r="C3662" s="18" t="n">
        <f aca="false">'Black-Scholes'!$B$5*EXP(('Black-Scholes'!$B$8-'Black-Scholes'!$B$10-'Black-Scholes'!$B$9^2/2)*'Black-Scholes'!$B$7+'Black-Scholes'!$B$9*SQRT('Black-Scholes'!$B$7)*B3662)</f>
        <v>103.021692373224</v>
      </c>
      <c r="D3662" s="18" t="n">
        <f aca="false">'Black-Scholes'!$B$5*EXP(('Black-Scholes'!$B$8-'Black-Scholes'!$B$10-'Black-Scholes'!$B$9^2/2)*'Black-Scholes'!$B$7-'Black-Scholes'!$B$9*SQRT('Black-Scholes'!$B$7)*B3662)</f>
        <v>103.069219897744</v>
      </c>
      <c r="E3662" s="18" t="n">
        <f aca="false">EXP(-'Black-Scholes'!$B$8*'Black-Scholes'!$B$7)*IF(LOWER('Black-Scholes'!$B$11)="put",MAX('Black-Scholes'!$B$6-C3662,0),MAX(C3662-'Black-Scholes'!$B$6,0))</f>
        <v>2.87432269720025</v>
      </c>
      <c r="F3662" s="18" t="n">
        <f aca="false">(E3662+G3662)/2</f>
        <v>2.89692748709879</v>
      </c>
      <c r="G3662" s="18" t="n">
        <f aca="false">EXP(-'Black-Scholes'!$B$8*'Black-Scholes'!$B$7)*IF(LOWER('Black-Scholes'!$B$11)="put",MAX('Black-Scholes'!$B$6-D3662,0),MAX(D3662-'Black-Scholes'!$B$6,0))</f>
        <v>2.91953227699732</v>
      </c>
    </row>
    <row r="3663" customFormat="false" ht="15" hidden="false" customHeight="false" outlineLevel="0" collapsed="false">
      <c r="A3663" s="0" t="n">
        <v>3652</v>
      </c>
      <c r="B3663" s="15" t="n">
        <v>0.204892534069404</v>
      </c>
      <c r="C3663" s="18" t="n">
        <f aca="false">'Black-Scholes'!$B$5*EXP(('Black-Scholes'!$B$8-'Black-Scholes'!$B$10-'Black-Scholes'!$B$9^2/2)*'Black-Scholes'!$B$7+'Black-Scholes'!$B$9*SQRT('Black-Scholes'!$B$7)*B3663)</f>
        <v>107.355815143523</v>
      </c>
      <c r="D3663" s="18" t="n">
        <f aca="false">'Black-Scholes'!$B$5*EXP(('Black-Scholes'!$B$8-'Black-Scholes'!$B$10-'Black-Scholes'!$B$9^2/2)*'Black-Scholes'!$B$7-'Black-Scholes'!$B$9*SQRT('Black-Scholes'!$B$7)*B3663)</f>
        <v>98.9081537060477</v>
      </c>
      <c r="E3663" s="18" t="n">
        <f aca="false">EXP(-'Black-Scholes'!$B$8*'Black-Scholes'!$B$7)*IF(LOWER('Black-Scholes'!$B$11)="put",MAX('Black-Scholes'!$B$6-C3663,0),MAX(C3663-'Black-Scholes'!$B$6,0))</f>
        <v>6.99706780570685</v>
      </c>
      <c r="F3663" s="18" t="n">
        <f aca="false">(E3663+G3663)/2</f>
        <v>3.49853390285342</v>
      </c>
      <c r="G3663" s="18" t="n">
        <f aca="false">EXP(-'Black-Scholes'!$B$8*'Black-Scholes'!$B$7)*IF(LOWER('Black-Scholes'!$B$11)="put",MAX('Black-Scholes'!$B$6-D3663,0),MAX(D3663-'Black-Scholes'!$B$6,0))</f>
        <v>0</v>
      </c>
    </row>
    <row r="3664" customFormat="false" ht="15" hidden="false" customHeight="false" outlineLevel="0" collapsed="false">
      <c r="A3664" s="0" t="n">
        <v>3653</v>
      </c>
      <c r="B3664" s="15" t="n">
        <v>-1.42686735267199</v>
      </c>
      <c r="C3664" s="18" t="n">
        <f aca="false">'Black-Scholes'!$B$5*EXP(('Black-Scholes'!$B$8-'Black-Scholes'!$B$10-'Black-Scholes'!$B$9^2/2)*'Black-Scholes'!$B$7+'Black-Scholes'!$B$9*SQRT('Black-Scholes'!$B$7)*B3664)</f>
        <v>77.4627143518517</v>
      </c>
      <c r="D3664" s="18" t="n">
        <f aca="false">'Black-Scholes'!$B$5*EXP(('Black-Scholes'!$B$8-'Black-Scholes'!$B$10-'Black-Scholes'!$B$9^2/2)*'Black-Scholes'!$B$7-'Black-Scholes'!$B$9*SQRT('Black-Scholes'!$B$7)*B3664)</f>
        <v>137.077115800807</v>
      </c>
      <c r="E3664" s="18" t="n">
        <f aca="false">EXP(-'Black-Scholes'!$B$8*'Black-Scholes'!$B$7)*IF(LOWER('Black-Scholes'!$B$11)="put",MAX('Black-Scholes'!$B$6-C3664,0),MAX(C3664-'Black-Scholes'!$B$6,0))</f>
        <v>0</v>
      </c>
      <c r="F3664" s="18" t="n">
        <f aca="false">(E3664+G3664)/2</f>
        <v>17.6344217626739</v>
      </c>
      <c r="G3664" s="18" t="n">
        <f aca="false">EXP(-'Black-Scholes'!$B$8*'Black-Scholes'!$B$7)*IF(LOWER('Black-Scholes'!$B$11)="put",MAX('Black-Scholes'!$B$6-D3664,0),MAX(D3664-'Black-Scholes'!$B$6,0))</f>
        <v>35.2688435253479</v>
      </c>
    </row>
    <row r="3665" customFormat="false" ht="15" hidden="false" customHeight="false" outlineLevel="0" collapsed="false">
      <c r="A3665" s="0" t="n">
        <v>3654</v>
      </c>
      <c r="B3665" s="15" t="n">
        <v>0.87747751460055</v>
      </c>
      <c r="C3665" s="18" t="n">
        <f aca="false">'Black-Scholes'!$B$5*EXP(('Black-Scholes'!$B$8-'Black-Scholes'!$B$10-'Black-Scholes'!$B$9^2/2)*'Black-Scholes'!$B$7+'Black-Scholes'!$B$9*SQRT('Black-Scholes'!$B$7)*B3665)</f>
        <v>122.813345793517</v>
      </c>
      <c r="D3665" s="18" t="n">
        <f aca="false">'Black-Scholes'!$B$5*EXP(('Black-Scholes'!$B$8-'Black-Scholes'!$B$10-'Black-Scholes'!$B$9^2/2)*'Black-Scholes'!$B$7-'Black-Scholes'!$B$9*SQRT('Black-Scholes'!$B$7)*B3665)</f>
        <v>86.4593778212504</v>
      </c>
      <c r="E3665" s="18" t="n">
        <f aca="false">EXP(-'Black-Scholes'!$B$8*'Black-Scholes'!$B$7)*IF(LOWER('Black-Scholes'!$B$11)="put",MAX('Black-Scholes'!$B$6-C3665,0),MAX(C3665-'Black-Scholes'!$B$6,0))</f>
        <v>21.7007257901034</v>
      </c>
      <c r="F3665" s="18" t="n">
        <f aca="false">(E3665+G3665)/2</f>
        <v>10.8503628950517</v>
      </c>
      <c r="G3665" s="18" t="n">
        <f aca="false">EXP(-'Black-Scholes'!$B$8*'Black-Scholes'!$B$7)*IF(LOWER('Black-Scholes'!$B$11)="put",MAX('Black-Scholes'!$B$6-D3665,0),MAX(D3665-'Black-Scholes'!$B$6,0))</f>
        <v>0</v>
      </c>
    </row>
    <row r="3666" customFormat="false" ht="15" hidden="false" customHeight="false" outlineLevel="0" collapsed="false">
      <c r="A3666" s="0" t="n">
        <v>3655</v>
      </c>
      <c r="B3666" s="15" t="n">
        <v>0.728243988177317</v>
      </c>
      <c r="C3666" s="18" t="n">
        <f aca="false">'Black-Scholes'!$B$5*EXP(('Black-Scholes'!$B$8-'Black-Scholes'!$B$10-'Black-Scholes'!$B$9^2/2)*'Black-Scholes'!$B$7+'Black-Scholes'!$B$9*SQRT('Black-Scholes'!$B$7)*B3666)</f>
        <v>119.20193451158</v>
      </c>
      <c r="D3666" s="18" t="n">
        <f aca="false">'Black-Scholes'!$B$5*EXP(('Black-Scholes'!$B$8-'Black-Scholes'!$B$10-'Black-Scholes'!$B$9^2/2)*'Black-Scholes'!$B$7-'Black-Scholes'!$B$9*SQRT('Black-Scholes'!$B$7)*B3666)</f>
        <v>89.0788015224873</v>
      </c>
      <c r="E3666" s="18" t="n">
        <f aca="false">EXP(-'Black-Scholes'!$B$8*'Black-Scholes'!$B$7)*IF(LOWER('Black-Scholes'!$B$11)="put",MAX('Black-Scholes'!$B$6-C3666,0),MAX(C3666-'Black-Scholes'!$B$6,0))</f>
        <v>18.265445114751</v>
      </c>
      <c r="F3666" s="18" t="n">
        <f aca="false">(E3666+G3666)/2</f>
        <v>9.13272255737549</v>
      </c>
      <c r="G3666" s="18" t="n">
        <f aca="false">EXP(-'Black-Scholes'!$B$8*'Black-Scholes'!$B$7)*IF(LOWER('Black-Scholes'!$B$11)="put",MAX('Black-Scholes'!$B$6-D3666,0),MAX(D3666-'Black-Scholes'!$B$6,0))</f>
        <v>0</v>
      </c>
    </row>
    <row r="3667" customFormat="false" ht="15" hidden="false" customHeight="false" outlineLevel="0" collapsed="false">
      <c r="A3667" s="0" t="n">
        <v>3656</v>
      </c>
      <c r="B3667" s="15" t="n">
        <v>-1.39107366610397</v>
      </c>
      <c r="C3667" s="18" t="n">
        <f aca="false">'Black-Scholes'!$B$5*EXP(('Black-Scholes'!$B$8-'Black-Scholes'!$B$10-'Black-Scholes'!$B$9^2/2)*'Black-Scholes'!$B$7+'Black-Scholes'!$B$9*SQRT('Black-Scholes'!$B$7)*B3667)</f>
        <v>78.0192392064085</v>
      </c>
      <c r="D3667" s="18" t="n">
        <f aca="false">'Black-Scholes'!$B$5*EXP(('Black-Scholes'!$B$8-'Black-Scholes'!$B$10-'Black-Scholes'!$B$9^2/2)*'Black-Scholes'!$B$7-'Black-Scholes'!$B$9*SQRT('Black-Scholes'!$B$7)*B3667)</f>
        <v>136.099320801649</v>
      </c>
      <c r="E3667" s="18" t="n">
        <f aca="false">EXP(-'Black-Scholes'!$B$8*'Black-Scholes'!$B$7)*IF(LOWER('Black-Scholes'!$B$11)="put",MAX('Black-Scholes'!$B$6-C3667,0),MAX(C3667-'Black-Scholes'!$B$6,0))</f>
        <v>0</v>
      </c>
      <c r="F3667" s="18" t="n">
        <f aca="false">(E3667+G3667)/2</f>
        <v>17.1693680755097</v>
      </c>
      <c r="G3667" s="18" t="n">
        <f aca="false">EXP(-'Black-Scholes'!$B$8*'Black-Scholes'!$B$7)*IF(LOWER('Black-Scholes'!$B$11)="put",MAX('Black-Scholes'!$B$6-D3667,0),MAX(D3667-'Black-Scholes'!$B$6,0))</f>
        <v>34.3387361510195</v>
      </c>
    </row>
    <row r="3668" customFormat="false" ht="15" hidden="false" customHeight="false" outlineLevel="0" collapsed="false">
      <c r="A3668" s="0" t="n">
        <v>3657</v>
      </c>
      <c r="B3668" s="15" t="n">
        <v>0.799733599356677</v>
      </c>
      <c r="C3668" s="18" t="n">
        <f aca="false">'Black-Scholes'!$B$5*EXP(('Black-Scholes'!$B$8-'Black-Scholes'!$B$10-'Black-Scholes'!$B$9^2/2)*'Black-Scholes'!$B$7+'Black-Scholes'!$B$9*SQRT('Black-Scholes'!$B$7)*B3668)</f>
        <v>120.918517039946</v>
      </c>
      <c r="D3668" s="18" t="n">
        <f aca="false">'Black-Scholes'!$B$5*EXP(('Black-Scholes'!$B$8-'Black-Scholes'!$B$10-'Black-Scholes'!$B$9^2/2)*'Black-Scholes'!$B$7-'Black-Scholes'!$B$9*SQRT('Black-Scholes'!$B$7)*B3668)</f>
        <v>87.8142217204479</v>
      </c>
      <c r="E3668" s="18" t="n">
        <f aca="false">EXP(-'Black-Scholes'!$B$8*'Black-Scholes'!$B$7)*IF(LOWER('Black-Scholes'!$B$11)="put",MAX('Black-Scholes'!$B$6-C3668,0),MAX(C3668-'Black-Scholes'!$B$6,0))</f>
        <v>19.8983089253164</v>
      </c>
      <c r="F3668" s="18" t="n">
        <f aca="false">(E3668+G3668)/2</f>
        <v>9.94915446265821</v>
      </c>
      <c r="G3668" s="18" t="n">
        <f aca="false">EXP(-'Black-Scholes'!$B$8*'Black-Scholes'!$B$7)*IF(LOWER('Black-Scholes'!$B$11)="put",MAX('Black-Scholes'!$B$6-D3668,0),MAX(D3668-'Black-Scholes'!$B$6,0))</f>
        <v>0</v>
      </c>
    </row>
    <row r="3669" customFormat="false" ht="15" hidden="false" customHeight="false" outlineLevel="0" collapsed="false">
      <c r="A3669" s="0" t="n">
        <v>3658</v>
      </c>
      <c r="B3669" s="15" t="n">
        <v>-0.303409498738971</v>
      </c>
      <c r="C3669" s="18" t="n">
        <f aca="false">'Black-Scholes'!$B$5*EXP(('Black-Scholes'!$B$8-'Black-Scholes'!$B$10-'Black-Scholes'!$B$9^2/2)*'Black-Scholes'!$B$7+'Black-Scholes'!$B$9*SQRT('Black-Scholes'!$B$7)*B3669)</f>
        <v>96.9784012555066</v>
      </c>
      <c r="D3669" s="18" t="n">
        <f aca="false">'Black-Scholes'!$B$5*EXP(('Black-Scholes'!$B$8-'Black-Scholes'!$B$10-'Black-Scholes'!$B$9^2/2)*'Black-Scholes'!$B$7-'Black-Scholes'!$B$9*SQRT('Black-Scholes'!$B$7)*B3669)</f>
        <v>109.49206553197</v>
      </c>
      <c r="E3669" s="18" t="n">
        <f aca="false">EXP(-'Black-Scholes'!$B$8*'Black-Scholes'!$B$7)*IF(LOWER('Black-Scholes'!$B$11)="put",MAX('Black-Scholes'!$B$6-C3669,0),MAX(C3669-'Black-Scholes'!$B$6,0))</f>
        <v>0</v>
      </c>
      <c r="F3669" s="18" t="n">
        <f aca="false">(E3669+G3669)/2</f>
        <v>4.51456601664938</v>
      </c>
      <c r="G3669" s="18" t="n">
        <f aca="false">EXP(-'Black-Scholes'!$B$8*'Black-Scholes'!$B$7)*IF(LOWER('Black-Scholes'!$B$11)="put",MAX('Black-Scholes'!$B$6-D3669,0),MAX(D3669-'Black-Scholes'!$B$6,0))</f>
        <v>9.02913203329875</v>
      </c>
    </row>
    <row r="3670" customFormat="false" ht="15" hidden="false" customHeight="false" outlineLevel="0" collapsed="false">
      <c r="A3670" s="0" t="n">
        <v>3659</v>
      </c>
      <c r="B3670" s="15" t="n">
        <v>0.0792667614775995</v>
      </c>
      <c r="C3670" s="18" t="n">
        <f aca="false">'Black-Scholes'!$B$5*EXP(('Black-Scholes'!$B$8-'Black-Scholes'!$B$10-'Black-Scholes'!$B$9^2/2)*'Black-Scholes'!$B$7+'Black-Scholes'!$B$9*SQRT('Black-Scholes'!$B$7)*B3670)</f>
        <v>104.692087115656</v>
      </c>
      <c r="D3670" s="18" t="n">
        <f aca="false">'Black-Scholes'!$B$5*EXP(('Black-Scholes'!$B$8-'Black-Scholes'!$B$10-'Black-Scholes'!$B$9^2/2)*'Black-Scholes'!$B$7-'Black-Scholes'!$B$9*SQRT('Black-Scholes'!$B$7)*B3670)</f>
        <v>101.424718505452</v>
      </c>
      <c r="E3670" s="18" t="n">
        <f aca="false">EXP(-'Black-Scholes'!$B$8*'Black-Scholes'!$B$7)*IF(LOWER('Black-Scholes'!$B$11)="put",MAX('Black-Scholes'!$B$6-C3670,0),MAX(C3670-'Black-Scholes'!$B$6,0))</f>
        <v>4.46325132673222</v>
      </c>
      <c r="F3670" s="18" t="n">
        <f aca="false">(E3670+G3670)/2</f>
        <v>2.90924274537431</v>
      </c>
      <c r="G3670" s="18" t="n">
        <f aca="false">EXP(-'Black-Scholes'!$B$8*'Black-Scholes'!$B$7)*IF(LOWER('Black-Scholes'!$B$11)="put",MAX('Black-Scholes'!$B$6-D3670,0),MAX(D3670-'Black-Scholes'!$B$6,0))</f>
        <v>1.3552341640164</v>
      </c>
    </row>
    <row r="3671" customFormat="false" ht="15" hidden="false" customHeight="false" outlineLevel="0" collapsed="false">
      <c r="A3671" s="0" t="n">
        <v>3660</v>
      </c>
      <c r="B3671" s="15" t="n">
        <v>-0.18146329589336</v>
      </c>
      <c r="C3671" s="18" t="n">
        <f aca="false">'Black-Scholes'!$B$5*EXP(('Black-Scholes'!$B$8-'Black-Scholes'!$B$10-'Black-Scholes'!$B$9^2/2)*'Black-Scholes'!$B$7+'Black-Scholes'!$B$9*SQRT('Black-Scholes'!$B$7)*B3671)</f>
        <v>99.3727098137356</v>
      </c>
      <c r="D3671" s="18" t="n">
        <f aca="false">'Black-Scholes'!$B$5*EXP(('Black-Scholes'!$B$8-'Black-Scholes'!$B$10-'Black-Scholes'!$B$9^2/2)*'Black-Scholes'!$B$7-'Black-Scholes'!$B$9*SQRT('Black-Scholes'!$B$7)*B3671)</f>
        <v>106.853938927062</v>
      </c>
      <c r="E3671" s="18" t="n">
        <f aca="false">EXP(-'Black-Scholes'!$B$8*'Black-Scholes'!$B$7)*IF(LOWER('Black-Scholes'!$B$11)="put",MAX('Black-Scholes'!$B$6-C3671,0),MAX(C3671-'Black-Scholes'!$B$6,0))</f>
        <v>0</v>
      </c>
      <c r="F3671" s="18" t="n">
        <f aca="false">(E3671+G3671)/2</f>
        <v>3.25983419057628</v>
      </c>
      <c r="G3671" s="18" t="n">
        <f aca="false">EXP(-'Black-Scholes'!$B$8*'Black-Scholes'!$B$7)*IF(LOWER('Black-Scholes'!$B$11)="put",MAX('Black-Scholes'!$B$6-D3671,0),MAX(D3671-'Black-Scholes'!$B$6,0))</f>
        <v>6.51966838115257</v>
      </c>
    </row>
    <row r="3672" customFormat="false" ht="15" hidden="false" customHeight="false" outlineLevel="0" collapsed="false">
      <c r="A3672" s="0" t="n">
        <v>3661</v>
      </c>
      <c r="B3672" s="15" t="n">
        <v>-1.0640733981816</v>
      </c>
      <c r="C3672" s="18" t="n">
        <f aca="false">'Black-Scholes'!$B$5*EXP(('Black-Scholes'!$B$8-'Black-Scholes'!$B$10-'Black-Scholes'!$B$9^2/2)*'Black-Scholes'!$B$7+'Black-Scholes'!$B$9*SQRT('Black-Scholes'!$B$7)*B3672)</f>
        <v>83.2922498935601</v>
      </c>
      <c r="D3672" s="18" t="n">
        <f aca="false">'Black-Scholes'!$B$5*EXP(('Black-Scholes'!$B$8-'Black-Scholes'!$B$10-'Black-Scholes'!$B$9^2/2)*'Black-Scholes'!$B$7-'Black-Scholes'!$B$9*SQRT('Black-Scholes'!$B$7)*B3672)</f>
        <v>127.483234983122</v>
      </c>
      <c r="E3672" s="18" t="n">
        <f aca="false">EXP(-'Black-Scholes'!$B$8*'Black-Scholes'!$B$7)*IF(LOWER('Black-Scholes'!$B$11)="put",MAX('Black-Scholes'!$B$6-C3672,0),MAX(C3672-'Black-Scholes'!$B$6,0))</f>
        <v>0</v>
      </c>
      <c r="F3672" s="18" t="n">
        <f aca="false">(E3672+G3672)/2</f>
        <v>13.0714308982063</v>
      </c>
      <c r="G3672" s="18" t="n">
        <f aca="false">EXP(-'Black-Scholes'!$B$8*'Black-Scholes'!$B$7)*IF(LOWER('Black-Scholes'!$B$11)="put",MAX('Black-Scholes'!$B$6-D3672,0),MAX(D3672-'Black-Scholes'!$B$6,0))</f>
        <v>26.1428617964126</v>
      </c>
    </row>
    <row r="3673" customFormat="false" ht="15" hidden="false" customHeight="false" outlineLevel="0" collapsed="false">
      <c r="A3673" s="0" t="n">
        <v>3662</v>
      </c>
      <c r="B3673" s="15" t="n">
        <v>0.128775795230536</v>
      </c>
      <c r="C3673" s="18" t="n">
        <f aca="false">'Black-Scholes'!$B$5*EXP(('Black-Scholes'!$B$8-'Black-Scholes'!$B$10-'Black-Scholes'!$B$9^2/2)*'Black-Scholes'!$B$7+'Black-Scholes'!$B$9*SQRT('Black-Scholes'!$B$7)*B3673)</f>
        <v>105.733877220826</v>
      </c>
      <c r="D3673" s="18" t="n">
        <f aca="false">'Black-Scholes'!$B$5*EXP(('Black-Scholes'!$B$8-'Black-Scholes'!$B$10-'Black-Scholes'!$B$9^2/2)*'Black-Scholes'!$B$7-'Black-Scholes'!$B$9*SQRT('Black-Scholes'!$B$7)*B3673)</f>
        <v>100.425386305253</v>
      </c>
      <c r="E3673" s="18" t="n">
        <f aca="false">EXP(-'Black-Scholes'!$B$8*'Black-Scholes'!$B$7)*IF(LOWER('Black-Scholes'!$B$11)="put",MAX('Black-Scholes'!$B$6-C3673,0),MAX(C3673-'Black-Scholes'!$B$6,0))</f>
        <v>5.45423272892375</v>
      </c>
      <c r="F3673" s="18" t="n">
        <f aca="false">(E3673+G3673)/2</f>
        <v>2.92943634962997</v>
      </c>
      <c r="G3673" s="18" t="n">
        <f aca="false">EXP(-'Black-Scholes'!$B$8*'Black-Scholes'!$B$7)*IF(LOWER('Black-Scholes'!$B$11)="put",MAX('Black-Scholes'!$B$6-D3673,0),MAX(D3673-'Black-Scholes'!$B$6,0))</f>
        <v>0.404639970336201</v>
      </c>
    </row>
    <row r="3674" customFormat="false" ht="15" hidden="false" customHeight="false" outlineLevel="0" collapsed="false">
      <c r="A3674" s="0" t="n">
        <v>3663</v>
      </c>
      <c r="B3674" s="15" t="n">
        <v>-0.834074738548715</v>
      </c>
      <c r="C3674" s="18" t="n">
        <f aca="false">'Black-Scholes'!$B$5*EXP(('Black-Scholes'!$B$8-'Black-Scholes'!$B$10-'Black-Scholes'!$B$9^2/2)*'Black-Scholes'!$B$7+'Black-Scholes'!$B$9*SQRT('Black-Scholes'!$B$7)*B3674)</f>
        <v>87.2131601150439</v>
      </c>
      <c r="D3674" s="18" t="n">
        <f aca="false">'Black-Scholes'!$B$5*EXP(('Black-Scholes'!$B$8-'Black-Scholes'!$B$10-'Black-Scholes'!$B$9^2/2)*'Black-Scholes'!$B$7-'Black-Scholes'!$B$9*SQRT('Black-Scholes'!$B$7)*B3674)</f>
        <v>121.751871523137</v>
      </c>
      <c r="E3674" s="18" t="n">
        <f aca="false">EXP(-'Black-Scholes'!$B$8*'Black-Scholes'!$B$7)*IF(LOWER('Black-Scholes'!$B$11)="put",MAX('Black-Scholes'!$B$6-C3674,0),MAX(C3674-'Black-Scholes'!$B$6,0))</f>
        <v>0</v>
      </c>
      <c r="F3674" s="18" t="n">
        <f aca="false">(E3674+G3674)/2</f>
        <v>10.3455101153835</v>
      </c>
      <c r="G3674" s="18" t="n">
        <f aca="false">EXP(-'Black-Scholes'!$B$8*'Black-Scholes'!$B$7)*IF(LOWER('Black-Scholes'!$B$11)="put",MAX('Black-Scholes'!$B$6-D3674,0),MAX(D3674-'Black-Scholes'!$B$6,0))</f>
        <v>20.691020230767</v>
      </c>
    </row>
    <row r="3675" customFormat="false" ht="15" hidden="false" customHeight="false" outlineLevel="0" collapsed="false">
      <c r="A3675" s="0" t="n">
        <v>3664</v>
      </c>
      <c r="B3675" s="15" t="n">
        <v>0.0171488056594376</v>
      </c>
      <c r="C3675" s="18" t="n">
        <f aca="false">'Black-Scholes'!$B$5*EXP(('Black-Scholes'!$B$8-'Black-Scholes'!$B$10-'Black-Scholes'!$B$9^2/2)*'Black-Scholes'!$B$7+'Black-Scholes'!$B$9*SQRT('Black-Scholes'!$B$7)*B3675)</f>
        <v>103.39948145502</v>
      </c>
      <c r="D3675" s="18" t="n">
        <f aca="false">'Black-Scholes'!$B$5*EXP(('Black-Scholes'!$B$8-'Black-Scholes'!$B$10-'Black-Scholes'!$B$9^2/2)*'Black-Scholes'!$B$7-'Black-Scholes'!$B$9*SQRT('Black-Scholes'!$B$7)*B3675)</f>
        <v>102.692637487478</v>
      </c>
      <c r="E3675" s="18" t="n">
        <f aca="false">EXP(-'Black-Scholes'!$B$8*'Black-Scholes'!$B$7)*IF(LOWER('Black-Scholes'!$B$11)="put",MAX('Black-Scholes'!$B$6-C3675,0),MAX(C3675-'Black-Scholes'!$B$6,0))</f>
        <v>3.23368678805997</v>
      </c>
      <c r="F3675" s="18" t="n">
        <f aca="false">(E3675+G3675)/2</f>
        <v>2.89750139783125</v>
      </c>
      <c r="G3675" s="18" t="n">
        <f aca="false">EXP(-'Black-Scholes'!$B$8*'Black-Scholes'!$B$7)*IF(LOWER('Black-Scholes'!$B$11)="put",MAX('Black-Scholes'!$B$6-D3675,0),MAX(D3675-'Black-Scholes'!$B$6,0))</f>
        <v>2.56131600760253</v>
      </c>
    </row>
    <row r="3676" customFormat="false" ht="15" hidden="false" customHeight="false" outlineLevel="0" collapsed="false">
      <c r="A3676" s="0" t="n">
        <v>3665</v>
      </c>
      <c r="B3676" s="15" t="n">
        <v>0.567590424860371</v>
      </c>
      <c r="C3676" s="18" t="n">
        <f aca="false">'Black-Scholes'!$B$5*EXP(('Black-Scholes'!$B$8-'Black-Scholes'!$B$10-'Black-Scholes'!$B$9^2/2)*'Black-Scholes'!$B$7+'Black-Scholes'!$B$9*SQRT('Black-Scholes'!$B$7)*B3676)</f>
        <v>115.432768660231</v>
      </c>
      <c r="D3676" s="18" t="n">
        <f aca="false">'Black-Scholes'!$B$5*EXP(('Black-Scholes'!$B$8-'Black-Scholes'!$B$10-'Black-Scholes'!$B$9^2/2)*'Black-Scholes'!$B$7-'Black-Scholes'!$B$9*SQRT('Black-Scholes'!$B$7)*B3676)</f>
        <v>91.9874450617054</v>
      </c>
      <c r="E3676" s="18" t="n">
        <f aca="false">EXP(-'Black-Scholes'!$B$8*'Black-Scholes'!$B$7)*IF(LOWER('Black-Scholes'!$B$11)="put",MAX('Black-Scholes'!$B$6-C3676,0),MAX(C3676-'Black-Scholes'!$B$6,0))</f>
        <v>14.6801036511246</v>
      </c>
      <c r="F3676" s="18" t="n">
        <f aca="false">(E3676+G3676)/2</f>
        <v>7.34005182556231</v>
      </c>
      <c r="G3676" s="18" t="n">
        <f aca="false">EXP(-'Black-Scholes'!$B$8*'Black-Scholes'!$B$7)*IF(LOWER('Black-Scholes'!$B$11)="put",MAX('Black-Scholes'!$B$6-D3676,0),MAX(D3676-'Black-Scholes'!$B$6,0))</f>
        <v>0</v>
      </c>
    </row>
    <row r="3677" customFormat="false" ht="15" hidden="false" customHeight="false" outlineLevel="0" collapsed="false">
      <c r="A3677" s="0" t="n">
        <v>3666</v>
      </c>
      <c r="B3677" s="15" t="n">
        <v>0.485285842500707</v>
      </c>
      <c r="C3677" s="18" t="n">
        <f aca="false">'Black-Scholes'!$B$5*EXP(('Black-Scholes'!$B$8-'Black-Scholes'!$B$10-'Black-Scholes'!$B$9^2/2)*'Black-Scholes'!$B$7+'Black-Scholes'!$B$9*SQRT('Black-Scholes'!$B$7)*B3677)</f>
        <v>113.548192972487</v>
      </c>
      <c r="D3677" s="18" t="n">
        <f aca="false">'Black-Scholes'!$B$5*EXP(('Black-Scholes'!$B$8-'Black-Scholes'!$B$10-'Black-Scholes'!$B$9^2/2)*'Black-Scholes'!$B$7-'Black-Scholes'!$B$9*SQRT('Black-Scholes'!$B$7)*B3677)</f>
        <v>93.5141739157968</v>
      </c>
      <c r="E3677" s="18" t="n">
        <f aca="false">EXP(-'Black-Scholes'!$B$8*'Black-Scholes'!$B$7)*IF(LOWER('Black-Scholes'!$B$11)="put",MAX('Black-Scholes'!$B$6-C3677,0),MAX(C3677-'Black-Scholes'!$B$6,0))</f>
        <v>12.8874398042434</v>
      </c>
      <c r="F3677" s="18" t="n">
        <f aca="false">(E3677+G3677)/2</f>
        <v>6.44371990212169</v>
      </c>
      <c r="G3677" s="18" t="n">
        <f aca="false">EXP(-'Black-Scholes'!$B$8*'Black-Scholes'!$B$7)*IF(LOWER('Black-Scholes'!$B$11)="put",MAX('Black-Scholes'!$B$6-D3677,0),MAX(D3677-'Black-Scholes'!$B$6,0))</f>
        <v>0</v>
      </c>
    </row>
    <row r="3678" customFormat="false" ht="15" hidden="false" customHeight="false" outlineLevel="0" collapsed="false">
      <c r="A3678" s="0" t="n">
        <v>3667</v>
      </c>
      <c r="B3678" s="15" t="n">
        <v>-0.669798386249772</v>
      </c>
      <c r="C3678" s="18" t="n">
        <f aca="false">'Black-Scholes'!$B$5*EXP(('Black-Scholes'!$B$8-'Black-Scholes'!$B$10-'Black-Scholes'!$B$9^2/2)*'Black-Scholes'!$B$7+'Black-Scholes'!$B$9*SQRT('Black-Scholes'!$B$7)*B3678)</f>
        <v>90.1261638036279</v>
      </c>
      <c r="D3678" s="18" t="n">
        <f aca="false">'Black-Scholes'!$B$5*EXP(('Black-Scholes'!$B$8-'Black-Scholes'!$B$10-'Black-Scholes'!$B$9^2/2)*'Black-Scholes'!$B$7-'Black-Scholes'!$B$9*SQRT('Black-Scholes'!$B$7)*B3678)</f>
        <v>117.816680720923</v>
      </c>
      <c r="E3678" s="18" t="n">
        <f aca="false">EXP(-'Black-Scholes'!$B$8*'Black-Scholes'!$B$7)*IF(LOWER('Black-Scholes'!$B$11)="put",MAX('Black-Scholes'!$B$6-C3678,0),MAX(C3678-'Black-Scholes'!$B$6,0))</f>
        <v>0</v>
      </c>
      <c r="F3678" s="18" t="n">
        <f aca="false">(E3678+G3678)/2</f>
        <v>8.47387547433804</v>
      </c>
      <c r="G3678" s="18" t="n">
        <f aca="false">EXP(-'Black-Scholes'!$B$8*'Black-Scholes'!$B$7)*IF(LOWER('Black-Scholes'!$B$11)="put",MAX('Black-Scholes'!$B$6-D3678,0),MAX(D3678-'Black-Scholes'!$B$6,0))</f>
        <v>16.9477509486761</v>
      </c>
    </row>
    <row r="3679" customFormat="false" ht="15" hidden="false" customHeight="false" outlineLevel="0" collapsed="false">
      <c r="A3679" s="0" t="n">
        <v>3668</v>
      </c>
      <c r="B3679" s="15" t="n">
        <v>0.274458478812792</v>
      </c>
      <c r="C3679" s="18" t="n">
        <f aca="false">'Black-Scholes'!$B$5*EXP(('Black-Scholes'!$B$8-'Black-Scholes'!$B$10-'Black-Scholes'!$B$9^2/2)*'Black-Scholes'!$B$7+'Black-Scholes'!$B$9*SQRT('Black-Scholes'!$B$7)*B3679)</f>
        <v>108.859916041169</v>
      </c>
      <c r="D3679" s="18" t="n">
        <f aca="false">'Black-Scholes'!$B$5*EXP(('Black-Scholes'!$B$8-'Black-Scholes'!$B$10-'Black-Scholes'!$B$9^2/2)*'Black-Scholes'!$B$7-'Black-Scholes'!$B$9*SQRT('Black-Scholes'!$B$7)*B3679)</f>
        <v>97.541554794493</v>
      </c>
      <c r="E3679" s="18" t="n">
        <f aca="false">EXP(-'Black-Scholes'!$B$8*'Black-Scholes'!$B$7)*IF(LOWER('Black-Scholes'!$B$11)="put",MAX('Black-Scholes'!$B$6-C3679,0),MAX(C3679-'Black-Scholes'!$B$6,0))</f>
        <v>8.4278128369659</v>
      </c>
      <c r="F3679" s="18" t="n">
        <f aca="false">(E3679+G3679)/2</f>
        <v>4.21390641848295</v>
      </c>
      <c r="G3679" s="18" t="n">
        <f aca="false">EXP(-'Black-Scholes'!$B$8*'Black-Scholes'!$B$7)*IF(LOWER('Black-Scholes'!$B$11)="put",MAX('Black-Scholes'!$B$6-D3679,0),MAX(D3679-'Black-Scholes'!$B$6,0))</f>
        <v>0</v>
      </c>
    </row>
    <row r="3680" customFormat="false" ht="15" hidden="false" customHeight="false" outlineLevel="0" collapsed="false">
      <c r="A3680" s="0" t="n">
        <v>3669</v>
      </c>
      <c r="B3680" s="15" t="n">
        <v>-0.2289095450632</v>
      </c>
      <c r="C3680" s="18" t="n">
        <f aca="false">'Black-Scholes'!$B$5*EXP(('Black-Scholes'!$B$8-'Black-Scholes'!$B$10-'Black-Scholes'!$B$9^2/2)*'Black-Scholes'!$B$7+'Black-Scholes'!$B$9*SQRT('Black-Scholes'!$B$7)*B3680)</f>
        <v>98.4341972760263</v>
      </c>
      <c r="D3680" s="18" t="n">
        <f aca="false">'Black-Scholes'!$B$5*EXP(('Black-Scholes'!$B$8-'Black-Scholes'!$B$10-'Black-Scholes'!$B$9^2/2)*'Black-Scholes'!$B$7-'Black-Scholes'!$B$9*SQRT('Black-Scholes'!$B$7)*B3680)</f>
        <v>107.872728780201</v>
      </c>
      <c r="E3680" s="18" t="n">
        <f aca="false">EXP(-'Black-Scholes'!$B$8*'Black-Scholes'!$B$7)*IF(LOWER('Black-Scholes'!$B$11)="put",MAX('Black-Scholes'!$B$6-C3680,0),MAX(C3680-'Black-Scholes'!$B$6,0))</f>
        <v>0</v>
      </c>
      <c r="F3680" s="18" t="n">
        <f aca="false">(E3680+G3680)/2</f>
        <v>3.74438563342044</v>
      </c>
      <c r="G3680" s="18" t="n">
        <f aca="false">EXP(-'Black-Scholes'!$B$8*'Black-Scholes'!$B$7)*IF(LOWER('Black-Scholes'!$B$11)="put",MAX('Black-Scholes'!$B$6-D3680,0),MAX(D3680-'Black-Scholes'!$B$6,0))</f>
        <v>7.48877126684087</v>
      </c>
    </row>
    <row r="3681" customFormat="false" ht="15" hidden="false" customHeight="false" outlineLevel="0" collapsed="false">
      <c r="A3681" s="0" t="n">
        <v>3670</v>
      </c>
      <c r="B3681" s="15" t="n">
        <v>-2.21499347489378</v>
      </c>
      <c r="C3681" s="18" t="n">
        <f aca="false">'Black-Scholes'!$B$5*EXP(('Black-Scholes'!$B$8-'Black-Scholes'!$B$10-'Black-Scholes'!$B$9^2/2)*'Black-Scholes'!$B$7+'Black-Scholes'!$B$9*SQRT('Black-Scholes'!$B$7)*B3681)</f>
        <v>66.1663146311748</v>
      </c>
      <c r="D3681" s="18" t="n">
        <f aca="false">'Black-Scholes'!$B$5*EXP(('Black-Scholes'!$B$8-'Black-Scholes'!$B$10-'Black-Scholes'!$B$9^2/2)*'Black-Scholes'!$B$7-'Black-Scholes'!$B$9*SQRT('Black-Scholes'!$B$7)*B3681)</f>
        <v>160.479928867773</v>
      </c>
      <c r="E3681" s="18" t="n">
        <f aca="false">EXP(-'Black-Scholes'!$B$8*'Black-Scholes'!$B$7)*IF(LOWER('Black-Scholes'!$B$11)="put",MAX('Black-Scholes'!$B$6-C3681,0),MAX(C3681-'Black-Scholes'!$B$6,0))</f>
        <v>0</v>
      </c>
      <c r="F3681" s="18" t="n">
        <f aca="false">(E3681+G3681)/2</f>
        <v>28.7651439653678</v>
      </c>
      <c r="G3681" s="18" t="n">
        <f aca="false">EXP(-'Black-Scholes'!$B$8*'Black-Scholes'!$B$7)*IF(LOWER('Black-Scholes'!$B$11)="put",MAX('Black-Scholes'!$B$6-D3681,0),MAX(D3681-'Black-Scholes'!$B$6,0))</f>
        <v>57.5302879307356</v>
      </c>
    </row>
    <row r="3682" customFormat="false" ht="15" hidden="false" customHeight="false" outlineLevel="0" collapsed="false">
      <c r="A3682" s="0" t="n">
        <v>3671</v>
      </c>
      <c r="B3682" s="15" t="n">
        <v>2.13954203478613</v>
      </c>
      <c r="C3682" s="18" t="n">
        <f aca="false">'Black-Scholes'!$B$5*EXP(('Black-Scholes'!$B$8-'Black-Scholes'!$B$10-'Black-Scholes'!$B$9^2/2)*'Black-Scholes'!$B$7+'Black-Scholes'!$B$9*SQRT('Black-Scholes'!$B$7)*B3682)</f>
        <v>158.076420942663</v>
      </c>
      <c r="D3682" s="18" t="n">
        <f aca="false">'Black-Scholes'!$B$5*EXP(('Black-Scholes'!$B$8-'Black-Scholes'!$B$10-'Black-Scholes'!$B$9^2/2)*'Black-Scholes'!$B$7-'Black-Scholes'!$B$9*SQRT('Black-Scholes'!$B$7)*B3682)</f>
        <v>67.1723550048307</v>
      </c>
      <c r="E3682" s="18" t="n">
        <f aca="false">EXP(-'Black-Scholes'!$B$8*'Black-Scholes'!$B$7)*IF(LOWER('Black-Scholes'!$B$11)="put",MAX('Black-Scholes'!$B$6-C3682,0),MAX(C3682-'Black-Scholes'!$B$6,0))</f>
        <v>55.2440004703503</v>
      </c>
      <c r="F3682" s="18" t="n">
        <f aca="false">(E3682+G3682)/2</f>
        <v>27.6220002351752</v>
      </c>
      <c r="G3682" s="18" t="n">
        <f aca="false">EXP(-'Black-Scholes'!$B$8*'Black-Scholes'!$B$7)*IF(LOWER('Black-Scholes'!$B$11)="put",MAX('Black-Scholes'!$B$6-D3682,0),MAX(D3682-'Black-Scholes'!$B$6,0))</f>
        <v>0</v>
      </c>
    </row>
    <row r="3683" customFormat="false" ht="15" hidden="false" customHeight="false" outlineLevel="0" collapsed="false">
      <c r="A3683" s="0" t="n">
        <v>3672</v>
      </c>
      <c r="B3683" s="15" t="n">
        <v>-0.566390721682153</v>
      </c>
      <c r="C3683" s="18" t="n">
        <f aca="false">'Black-Scholes'!$B$5*EXP(('Black-Scholes'!$B$8-'Black-Scholes'!$B$10-'Black-Scholes'!$B$9^2/2)*'Black-Scholes'!$B$7+'Black-Scholes'!$B$9*SQRT('Black-Scholes'!$B$7)*B3683)</f>
        <v>92.0095192358846</v>
      </c>
      <c r="D3683" s="18" t="n">
        <f aca="false">'Black-Scholes'!$B$5*EXP(('Black-Scholes'!$B$8-'Black-Scholes'!$B$10-'Black-Scholes'!$B$9^2/2)*'Black-Scholes'!$B$7-'Black-Scholes'!$B$9*SQRT('Black-Scholes'!$B$7)*B3683)</f>
        <v>115.405074970899</v>
      </c>
      <c r="E3683" s="18" t="n">
        <f aca="false">EXP(-'Black-Scholes'!$B$8*'Black-Scholes'!$B$7)*IF(LOWER('Black-Scholes'!$B$11)="put",MAX('Black-Scholes'!$B$6-C3683,0),MAX(C3683-'Black-Scholes'!$B$6,0))</f>
        <v>0</v>
      </c>
      <c r="F3683" s="18" t="n">
        <f aca="false">(E3683+G3683)/2</f>
        <v>7.32688029947913</v>
      </c>
      <c r="G3683" s="18" t="n">
        <f aca="false">EXP(-'Black-Scholes'!$B$8*'Black-Scholes'!$B$7)*IF(LOWER('Black-Scholes'!$B$11)="put",MAX('Black-Scholes'!$B$6-D3683,0),MAX(D3683-'Black-Scholes'!$B$6,0))</f>
        <v>14.6537605989583</v>
      </c>
    </row>
    <row r="3684" customFormat="false" ht="15" hidden="false" customHeight="false" outlineLevel="0" collapsed="false">
      <c r="A3684" s="0" t="n">
        <v>3673</v>
      </c>
      <c r="B3684" s="15" t="n">
        <v>-1.56769316532743</v>
      </c>
      <c r="C3684" s="18" t="n">
        <f aca="false">'Black-Scholes'!$B$5*EXP(('Black-Scholes'!$B$8-'Black-Scholes'!$B$10-'Black-Scholes'!$B$9^2/2)*'Black-Scholes'!$B$7+'Black-Scholes'!$B$9*SQRT('Black-Scholes'!$B$7)*B3684)</f>
        <v>75.3114026474538</v>
      </c>
      <c r="D3684" s="18" t="n">
        <f aca="false">'Black-Scholes'!$B$5*EXP(('Black-Scholes'!$B$8-'Black-Scholes'!$B$10-'Black-Scholes'!$B$9^2/2)*'Black-Scholes'!$B$7-'Black-Scholes'!$B$9*SQRT('Black-Scholes'!$B$7)*B3684)</f>
        <v>140.992799127113</v>
      </c>
      <c r="E3684" s="18" t="n">
        <f aca="false">EXP(-'Black-Scholes'!$B$8*'Black-Scholes'!$B$7)*IF(LOWER('Black-Scholes'!$B$11)="put",MAX('Black-Scholes'!$B$6-C3684,0),MAX(C3684-'Black-Scholes'!$B$6,0))</f>
        <v>0</v>
      </c>
      <c r="F3684" s="18" t="n">
        <f aca="false">(E3684+G3684)/2</f>
        <v>19.4967783611787</v>
      </c>
      <c r="G3684" s="18" t="n">
        <f aca="false">EXP(-'Black-Scholes'!$B$8*'Black-Scholes'!$B$7)*IF(LOWER('Black-Scholes'!$B$11)="put",MAX('Black-Scholes'!$B$6-D3684,0),MAX(D3684-'Black-Scholes'!$B$6,0))</f>
        <v>38.9935567223573</v>
      </c>
    </row>
    <row r="3685" customFormat="false" ht="15" hidden="false" customHeight="false" outlineLevel="0" collapsed="false">
      <c r="A3685" s="0" t="n">
        <v>3674</v>
      </c>
      <c r="B3685" s="15" t="n">
        <v>-0.78171444159494</v>
      </c>
      <c r="C3685" s="18" t="n">
        <f aca="false">'Black-Scholes'!$B$5*EXP(('Black-Scholes'!$B$8-'Black-Scholes'!$B$10-'Black-Scholes'!$B$9^2/2)*'Black-Scholes'!$B$7+'Black-Scholes'!$B$9*SQRT('Black-Scholes'!$B$7)*B3685)</f>
        <v>88.1312603171471</v>
      </c>
      <c r="D3685" s="18" t="n">
        <f aca="false">'Black-Scholes'!$B$5*EXP(('Black-Scholes'!$B$8-'Black-Scholes'!$B$10-'Black-Scholes'!$B$9^2/2)*'Black-Scholes'!$B$7-'Black-Scholes'!$B$9*SQRT('Black-Scholes'!$B$7)*B3685)</f>
        <v>120.483531351334</v>
      </c>
      <c r="E3685" s="18" t="n">
        <f aca="false">EXP(-'Black-Scholes'!$B$8*'Black-Scholes'!$B$7)*IF(LOWER('Black-Scholes'!$B$11)="put",MAX('Black-Scholes'!$B$6-C3685,0),MAX(C3685-'Black-Scholes'!$B$6,0))</f>
        <v>0</v>
      </c>
      <c r="F3685" s="18" t="n">
        <f aca="false">(E3685+G3685)/2</f>
        <v>9.74226886953603</v>
      </c>
      <c r="G3685" s="18" t="n">
        <f aca="false">EXP(-'Black-Scholes'!$B$8*'Black-Scholes'!$B$7)*IF(LOWER('Black-Scholes'!$B$11)="put",MAX('Black-Scholes'!$B$6-D3685,0),MAX(D3685-'Black-Scholes'!$B$6,0))</f>
        <v>19.4845377390721</v>
      </c>
    </row>
    <row r="3686" customFormat="false" ht="15" hidden="false" customHeight="false" outlineLevel="0" collapsed="false">
      <c r="A3686" s="0" t="n">
        <v>3675</v>
      </c>
      <c r="B3686" s="15" t="n">
        <v>1.05996267408675</v>
      </c>
      <c r="C3686" s="18" t="n">
        <f aca="false">'Black-Scholes'!$B$5*EXP(('Black-Scholes'!$B$8-'Black-Scholes'!$B$10-'Black-Scholes'!$B$9^2/2)*'Black-Scholes'!$B$7+'Black-Scholes'!$B$9*SQRT('Black-Scholes'!$B$7)*B3686)</f>
        <v>127.378468374538</v>
      </c>
      <c r="D3686" s="18" t="n">
        <f aca="false">'Black-Scholes'!$B$5*EXP(('Black-Scholes'!$B$8-'Black-Scholes'!$B$10-'Black-Scholes'!$B$9^2/2)*'Black-Scholes'!$B$7-'Black-Scholes'!$B$9*SQRT('Black-Scholes'!$B$7)*B3686)</f>
        <v>83.3607563425227</v>
      </c>
      <c r="E3686" s="18" t="n">
        <f aca="false">EXP(-'Black-Scholes'!$B$8*'Black-Scholes'!$B$7)*IF(LOWER('Black-Scholes'!$B$11)="put",MAX('Black-Scholes'!$B$6-C3686,0),MAX(C3686-'Black-Scholes'!$B$6,0))</f>
        <v>26.0432047156228</v>
      </c>
      <c r="F3686" s="18" t="n">
        <f aca="false">(E3686+G3686)/2</f>
        <v>13.0216023578114</v>
      </c>
      <c r="G3686" s="18" t="n">
        <f aca="false">EXP(-'Black-Scholes'!$B$8*'Black-Scholes'!$B$7)*IF(LOWER('Black-Scholes'!$B$11)="put",MAX('Black-Scholes'!$B$6-D3686,0),MAX(D3686-'Black-Scholes'!$B$6,0))</f>
        <v>0</v>
      </c>
    </row>
    <row r="3687" customFormat="false" ht="15" hidden="false" customHeight="false" outlineLevel="0" collapsed="false">
      <c r="A3687" s="0" t="n">
        <v>3676</v>
      </c>
      <c r="B3687" s="15" t="n">
        <v>-0.0307697154146432</v>
      </c>
      <c r="C3687" s="18" t="n">
        <f aca="false">'Black-Scholes'!$B$5*EXP(('Black-Scholes'!$B$8-'Black-Scholes'!$B$10-'Black-Scholes'!$B$9^2/2)*'Black-Scholes'!$B$7+'Black-Scholes'!$B$9*SQRT('Black-Scholes'!$B$7)*B3687)</f>
        <v>102.413264761771</v>
      </c>
      <c r="D3687" s="18" t="n">
        <f aca="false">'Black-Scholes'!$B$5*EXP(('Black-Scholes'!$B$8-'Black-Scholes'!$B$10-'Black-Scholes'!$B$9^2/2)*'Black-Scholes'!$B$7-'Black-Scholes'!$B$9*SQRT('Black-Scholes'!$B$7)*B3687)</f>
        <v>103.681544477208</v>
      </c>
      <c r="E3687" s="18" t="n">
        <f aca="false">EXP(-'Black-Scholes'!$B$8*'Black-Scholes'!$B$7)*IF(LOWER('Black-Scholes'!$B$11)="put",MAX('Black-Scholes'!$B$6-C3687,0),MAX(C3687-'Black-Scholes'!$B$6,0))</f>
        <v>2.29556845050697</v>
      </c>
      <c r="F3687" s="18" t="n">
        <f aca="false">(E3687+G3687)/2</f>
        <v>2.89878094241761</v>
      </c>
      <c r="G3687" s="18" t="n">
        <f aca="false">EXP(-'Black-Scholes'!$B$8*'Black-Scholes'!$B$7)*IF(LOWER('Black-Scholes'!$B$11)="put",MAX('Black-Scholes'!$B$6-D3687,0),MAX(D3687-'Black-Scholes'!$B$6,0))</f>
        <v>3.50199343432825</v>
      </c>
    </row>
    <row r="3688" customFormat="false" ht="15" hidden="false" customHeight="false" outlineLevel="0" collapsed="false">
      <c r="A3688" s="0" t="n">
        <v>3677</v>
      </c>
      <c r="B3688" s="15" t="n">
        <v>-0.645313711652252</v>
      </c>
      <c r="C3688" s="18" t="n">
        <f aca="false">'Black-Scholes'!$B$5*EXP(('Black-Scholes'!$B$8-'Black-Scholes'!$B$10-'Black-Scholes'!$B$9^2/2)*'Black-Scholes'!$B$7+'Black-Scholes'!$B$9*SQRT('Black-Scholes'!$B$7)*B3688)</f>
        <v>90.5685881397995</v>
      </c>
      <c r="D3688" s="18" t="n">
        <f aca="false">'Black-Scholes'!$B$5*EXP(('Black-Scholes'!$B$8-'Black-Scholes'!$B$10-'Black-Scholes'!$B$9^2/2)*'Black-Scholes'!$B$7-'Black-Scholes'!$B$9*SQRT('Black-Scholes'!$B$7)*B3688)</f>
        <v>117.241150420313</v>
      </c>
      <c r="E3688" s="18" t="n">
        <f aca="false">EXP(-'Black-Scholes'!$B$8*'Black-Scholes'!$B$7)*IF(LOWER('Black-Scholes'!$B$11)="put",MAX('Black-Scholes'!$B$6-C3688,0),MAX(C3688-'Black-Scholes'!$B$6,0))</f>
        <v>0</v>
      </c>
      <c r="F3688" s="18" t="n">
        <f aca="false">(E3688+G3688)/2</f>
        <v>8.20014479602224</v>
      </c>
      <c r="G3688" s="18" t="n">
        <f aca="false">EXP(-'Black-Scholes'!$B$8*'Black-Scholes'!$B$7)*IF(LOWER('Black-Scholes'!$B$11)="put",MAX('Black-Scholes'!$B$6-D3688,0),MAX(D3688-'Black-Scholes'!$B$6,0))</f>
        <v>16.4002895920445</v>
      </c>
    </row>
    <row r="3689" customFormat="false" ht="15" hidden="false" customHeight="false" outlineLevel="0" collapsed="false">
      <c r="A3689" s="0" t="n">
        <v>3678</v>
      </c>
      <c r="B3689" s="15" t="n">
        <v>-0.184796373099052</v>
      </c>
      <c r="C3689" s="18" t="n">
        <f aca="false">'Black-Scholes'!$B$5*EXP(('Black-Scholes'!$B$8-'Black-Scholes'!$B$10-'Black-Scholes'!$B$9^2/2)*'Black-Scholes'!$B$7+'Black-Scholes'!$B$9*SQRT('Black-Scholes'!$B$7)*B3689)</f>
        <v>99.3064885054716</v>
      </c>
      <c r="D3689" s="18" t="n">
        <f aca="false">'Black-Scholes'!$B$5*EXP(('Black-Scholes'!$B$8-'Black-Scholes'!$B$10-'Black-Scholes'!$B$9^2/2)*'Black-Scholes'!$B$7-'Black-Scholes'!$B$9*SQRT('Black-Scholes'!$B$7)*B3689)</f>
        <v>106.925193159645</v>
      </c>
      <c r="E3689" s="18" t="n">
        <f aca="false">EXP(-'Black-Scholes'!$B$8*'Black-Scholes'!$B$7)*IF(LOWER('Black-Scholes'!$B$11)="put",MAX('Black-Scholes'!$B$6-C3689,0),MAX(C3689-'Black-Scholes'!$B$6,0))</f>
        <v>0</v>
      </c>
      <c r="F3689" s="18" t="n">
        <f aca="false">(E3689+G3689)/2</f>
        <v>3.29372375190261</v>
      </c>
      <c r="G3689" s="18" t="n">
        <f aca="false">EXP(-'Black-Scholes'!$B$8*'Black-Scholes'!$B$7)*IF(LOWER('Black-Scholes'!$B$11)="put",MAX('Black-Scholes'!$B$6-D3689,0),MAX(D3689-'Black-Scholes'!$B$6,0))</f>
        <v>6.58744750380522</v>
      </c>
    </row>
    <row r="3690" customFormat="false" ht="15" hidden="false" customHeight="false" outlineLevel="0" collapsed="false">
      <c r="A3690" s="0" t="n">
        <v>3679</v>
      </c>
      <c r="B3690" s="15" t="n">
        <v>-0.371749141523887</v>
      </c>
      <c r="C3690" s="18" t="n">
        <f aca="false">'Black-Scholes'!$B$5*EXP(('Black-Scholes'!$B$8-'Black-Scholes'!$B$10-'Black-Scholes'!$B$9^2/2)*'Black-Scholes'!$B$7+'Black-Scholes'!$B$9*SQRT('Black-Scholes'!$B$7)*B3690)</f>
        <v>95.6619246441464</v>
      </c>
      <c r="D3690" s="18" t="n">
        <f aca="false">'Black-Scholes'!$B$5*EXP(('Black-Scholes'!$B$8-'Black-Scholes'!$B$10-'Black-Scholes'!$B$9^2/2)*'Black-Scholes'!$B$7-'Black-Scholes'!$B$9*SQRT('Black-Scholes'!$B$7)*B3690)</f>
        <v>110.998869246599</v>
      </c>
      <c r="E3690" s="18" t="n">
        <f aca="false">EXP(-'Black-Scholes'!$B$8*'Black-Scholes'!$B$7)*IF(LOWER('Black-Scholes'!$B$11)="put",MAX('Black-Scholes'!$B$6-C3690,0),MAX(C3690-'Black-Scholes'!$B$6,0))</f>
        <v>0</v>
      </c>
      <c r="F3690" s="18" t="n">
        <f aca="false">(E3690+G3690)/2</f>
        <v>5.23122403180042</v>
      </c>
      <c r="G3690" s="18" t="n">
        <f aca="false">EXP(-'Black-Scholes'!$B$8*'Black-Scholes'!$B$7)*IF(LOWER('Black-Scholes'!$B$11)="put",MAX('Black-Scholes'!$B$6-D3690,0),MAX(D3690-'Black-Scholes'!$B$6,0))</f>
        <v>10.4624480636008</v>
      </c>
    </row>
    <row r="3691" customFormat="false" ht="15" hidden="false" customHeight="false" outlineLevel="0" collapsed="false">
      <c r="A3691" s="0" t="n">
        <v>3680</v>
      </c>
      <c r="B3691" s="15" t="n">
        <v>-0.434124682521592</v>
      </c>
      <c r="C3691" s="18" t="n">
        <f aca="false">'Black-Scholes'!$B$5*EXP(('Black-Scholes'!$B$8-'Black-Scholes'!$B$10-'Black-Scholes'!$B$9^2/2)*'Black-Scholes'!$B$7+'Black-Scholes'!$B$9*SQRT('Black-Scholes'!$B$7)*B3691)</f>
        <v>94.4759447781746</v>
      </c>
      <c r="D3691" s="18" t="n">
        <f aca="false">'Black-Scholes'!$B$5*EXP(('Black-Scholes'!$B$8-'Black-Scholes'!$B$10-'Black-Scholes'!$B$9^2/2)*'Black-Scholes'!$B$7-'Black-Scholes'!$B$9*SQRT('Black-Scholes'!$B$7)*B3691)</f>
        <v>112.392265463818</v>
      </c>
      <c r="E3691" s="18" t="n">
        <f aca="false">EXP(-'Black-Scholes'!$B$8*'Black-Scholes'!$B$7)*IF(LOWER('Black-Scholes'!$B$11)="put",MAX('Black-Scholes'!$B$6-C3691,0),MAX(C3691-'Black-Scholes'!$B$6,0))</f>
        <v>0</v>
      </c>
      <c r="F3691" s="18" t="n">
        <f aca="false">(E3691+G3691)/2</f>
        <v>5.89394377270376</v>
      </c>
      <c r="G3691" s="18" t="n">
        <f aca="false">EXP(-'Black-Scholes'!$B$8*'Black-Scholes'!$B$7)*IF(LOWER('Black-Scholes'!$B$11)="put",MAX('Black-Scholes'!$B$6-D3691,0),MAX(D3691-'Black-Scholes'!$B$6,0))</f>
        <v>11.7878875454075</v>
      </c>
    </row>
    <row r="3692" customFormat="false" ht="15" hidden="false" customHeight="false" outlineLevel="0" collapsed="false">
      <c r="A3692" s="0" t="n">
        <v>3681</v>
      </c>
      <c r="B3692" s="15" t="n">
        <v>-1.13855217718696</v>
      </c>
      <c r="C3692" s="18" t="n">
        <f aca="false">'Black-Scholes'!$B$5*EXP(('Black-Scholes'!$B$8-'Black-Scholes'!$B$10-'Black-Scholes'!$B$9^2/2)*'Black-Scholes'!$B$7+'Black-Scholes'!$B$9*SQRT('Black-Scholes'!$B$7)*B3692)</f>
        <v>82.0607437571889</v>
      </c>
      <c r="D3692" s="18" t="n">
        <f aca="false">'Black-Scholes'!$B$5*EXP(('Black-Scholes'!$B$8-'Black-Scholes'!$B$10-'Black-Scholes'!$B$9^2/2)*'Black-Scholes'!$B$7-'Black-Scholes'!$B$9*SQRT('Black-Scholes'!$B$7)*B3692)</f>
        <v>129.396407822874</v>
      </c>
      <c r="E3692" s="18" t="n">
        <f aca="false">EXP(-'Black-Scholes'!$B$8*'Black-Scholes'!$B$7)*IF(LOWER('Black-Scholes'!$B$11)="put",MAX('Black-Scholes'!$B$6-C3692,0),MAX(C3692-'Black-Scholes'!$B$6,0))</f>
        <v>0</v>
      </c>
      <c r="F3692" s="18" t="n">
        <f aca="false">(E3692+G3692)/2</f>
        <v>13.9813640478705</v>
      </c>
      <c r="G3692" s="18" t="n">
        <f aca="false">EXP(-'Black-Scholes'!$B$8*'Black-Scholes'!$B$7)*IF(LOWER('Black-Scholes'!$B$11)="put",MAX('Black-Scholes'!$B$6-D3692,0),MAX(D3692-'Black-Scholes'!$B$6,0))</f>
        <v>27.962728095741</v>
      </c>
    </row>
    <row r="3693" customFormat="false" ht="15" hidden="false" customHeight="false" outlineLevel="0" collapsed="false">
      <c r="A3693" s="0" t="n">
        <v>3682</v>
      </c>
      <c r="B3693" s="15" t="n">
        <v>-1.52155254240799</v>
      </c>
      <c r="C3693" s="18" t="n">
        <f aca="false">'Black-Scholes'!$B$5*EXP(('Black-Scholes'!$B$8-'Black-Scholes'!$B$10-'Black-Scholes'!$B$9^2/2)*'Black-Scholes'!$B$7+'Black-Scholes'!$B$9*SQRT('Black-Scholes'!$B$7)*B3693)</f>
        <v>76.0096022352794</v>
      </c>
      <c r="D3693" s="18" t="n">
        <f aca="false">'Black-Scholes'!$B$5*EXP(('Black-Scholes'!$B$8-'Black-Scholes'!$B$10-'Black-Scholes'!$B$9^2/2)*'Black-Scholes'!$B$7-'Black-Scholes'!$B$9*SQRT('Black-Scholes'!$B$7)*B3693)</f>
        <v>139.697684939669</v>
      </c>
      <c r="E3693" s="18" t="n">
        <f aca="false">EXP(-'Black-Scholes'!$B$8*'Black-Scholes'!$B$7)*IF(LOWER('Black-Scholes'!$B$11)="put",MAX('Black-Scholes'!$B$6-C3693,0),MAX(C3693-'Black-Scholes'!$B$6,0))</f>
        <v>0</v>
      </c>
      <c r="F3693" s="18" t="n">
        <f aca="false">(E3693+G3693)/2</f>
        <v>18.8808029995858</v>
      </c>
      <c r="G3693" s="18" t="n">
        <f aca="false">EXP(-'Black-Scholes'!$B$8*'Black-Scholes'!$B$7)*IF(LOWER('Black-Scholes'!$B$11)="put",MAX('Black-Scholes'!$B$6-D3693,0),MAX(D3693-'Black-Scholes'!$B$6,0))</f>
        <v>37.7616059991716</v>
      </c>
    </row>
    <row r="3694" customFormat="false" ht="15" hidden="false" customHeight="false" outlineLevel="0" collapsed="false">
      <c r="A3694" s="0" t="n">
        <v>3683</v>
      </c>
      <c r="B3694" s="15" t="n">
        <v>-0.557228933433351</v>
      </c>
      <c r="C3694" s="18" t="n">
        <f aca="false">'Black-Scholes'!$B$5*EXP(('Black-Scholes'!$B$8-'Black-Scholes'!$B$10-'Black-Scholes'!$B$9^2/2)*'Black-Scholes'!$B$7+'Black-Scholes'!$B$9*SQRT('Black-Scholes'!$B$7)*B3694)</f>
        <v>92.1782681392642</v>
      </c>
      <c r="D3694" s="18" t="n">
        <f aca="false">'Black-Scholes'!$B$5*EXP(('Black-Scholes'!$B$8-'Black-Scholes'!$B$10-'Black-Scholes'!$B$9^2/2)*'Black-Scholes'!$B$7-'Black-Scholes'!$B$9*SQRT('Black-Scholes'!$B$7)*B3694)</f>
        <v>115.19380521894</v>
      </c>
      <c r="E3694" s="18" t="n">
        <f aca="false">EXP(-'Black-Scholes'!$B$8*'Black-Scholes'!$B$7)*IF(LOWER('Black-Scholes'!$B$11)="put",MAX('Black-Scholes'!$B$6-C3694,0),MAX(C3694-'Black-Scholes'!$B$6,0))</f>
        <v>0</v>
      </c>
      <c r="F3694" s="18" t="n">
        <f aca="false">(E3694+G3694)/2</f>
        <v>7.22639729719397</v>
      </c>
      <c r="G3694" s="18" t="n">
        <f aca="false">EXP(-'Black-Scholes'!$B$8*'Black-Scholes'!$B$7)*IF(LOWER('Black-Scholes'!$B$11)="put",MAX('Black-Scholes'!$B$6-D3694,0),MAX(D3694-'Black-Scholes'!$B$6,0))</f>
        <v>14.4527945943879</v>
      </c>
    </row>
    <row r="3695" customFormat="false" ht="15" hidden="false" customHeight="false" outlineLevel="0" collapsed="false">
      <c r="A3695" s="0" t="n">
        <v>3684</v>
      </c>
      <c r="B3695" s="15" t="n">
        <v>-0.247674232413688</v>
      </c>
      <c r="C3695" s="18" t="n">
        <f aca="false">'Black-Scholes'!$B$5*EXP(('Black-Scholes'!$B$8-'Black-Scholes'!$B$10-'Black-Scholes'!$B$9^2/2)*'Black-Scholes'!$B$7+'Black-Scholes'!$B$9*SQRT('Black-Scholes'!$B$7)*B3695)</f>
        <v>98.0654722225416</v>
      </c>
      <c r="D3695" s="18" t="n">
        <f aca="false">'Black-Scholes'!$B$5*EXP(('Black-Scholes'!$B$8-'Black-Scholes'!$B$10-'Black-Scholes'!$B$9^2/2)*'Black-Scholes'!$B$7-'Black-Scholes'!$B$9*SQRT('Black-Scholes'!$B$7)*B3695)</f>
        <v>108.278329006127</v>
      </c>
      <c r="E3695" s="18" t="n">
        <f aca="false">EXP(-'Black-Scholes'!$B$8*'Black-Scholes'!$B$7)*IF(LOWER('Black-Scholes'!$B$11)="put",MAX('Black-Scholes'!$B$6-C3695,0),MAX(C3695-'Black-Scholes'!$B$6,0))</f>
        <v>0</v>
      </c>
      <c r="F3695" s="18" t="n">
        <f aca="false">(E3695+G3695)/2</f>
        <v>3.937295068163</v>
      </c>
      <c r="G3695" s="18" t="n">
        <f aca="false">EXP(-'Black-Scholes'!$B$8*'Black-Scholes'!$B$7)*IF(LOWER('Black-Scholes'!$B$11)="put",MAX('Black-Scholes'!$B$6-D3695,0),MAX(D3695-'Black-Scholes'!$B$6,0))</f>
        <v>7.87459013632601</v>
      </c>
    </row>
    <row r="3696" customFormat="false" ht="15" hidden="false" customHeight="false" outlineLevel="0" collapsed="false">
      <c r="A3696" s="0" t="n">
        <v>3685</v>
      </c>
      <c r="B3696" s="15" t="n">
        <v>-0.571219204859791</v>
      </c>
      <c r="C3696" s="18" t="n">
        <f aca="false">'Black-Scholes'!$B$5*EXP(('Black-Scholes'!$B$8-'Black-Scholes'!$B$10-'Black-Scholes'!$B$9^2/2)*'Black-Scholes'!$B$7+'Black-Scholes'!$B$9*SQRT('Black-Scholes'!$B$7)*B3696)</f>
        <v>91.9207088415733</v>
      </c>
      <c r="D3696" s="18" t="n">
        <f aca="false">'Black-Scholes'!$B$5*EXP(('Black-Scholes'!$B$8-'Black-Scholes'!$B$10-'Black-Scholes'!$B$9^2/2)*'Black-Scholes'!$B$7-'Black-Scholes'!$B$9*SQRT('Black-Scholes'!$B$7)*B3696)</f>
        <v>115.516575092502</v>
      </c>
      <c r="E3696" s="18" t="n">
        <f aca="false">EXP(-'Black-Scholes'!$B$8*'Black-Scholes'!$B$7)*IF(LOWER('Black-Scholes'!$B$11)="put",MAX('Black-Scholes'!$B$6-C3696,0),MAX(C3696-'Black-Scholes'!$B$6,0))</f>
        <v>0</v>
      </c>
      <c r="F3696" s="18" t="n">
        <f aca="false">(E3696+G3696)/2</f>
        <v>7.37991139773131</v>
      </c>
      <c r="G3696" s="18" t="n">
        <f aca="false">EXP(-'Black-Scholes'!$B$8*'Black-Scholes'!$B$7)*IF(LOWER('Black-Scholes'!$B$11)="put",MAX('Black-Scholes'!$B$6-D3696,0),MAX(D3696-'Black-Scholes'!$B$6,0))</f>
        <v>14.7598227954626</v>
      </c>
    </row>
    <row r="3697" customFormat="false" ht="15" hidden="false" customHeight="false" outlineLevel="0" collapsed="false">
      <c r="A3697" s="0" t="n">
        <v>3686</v>
      </c>
      <c r="B3697" s="15" t="n">
        <v>0.7378551438005</v>
      </c>
      <c r="C3697" s="18" t="n">
        <f aca="false">'Black-Scholes'!$B$5*EXP(('Black-Scholes'!$B$8-'Black-Scholes'!$B$10-'Black-Scholes'!$B$9^2/2)*'Black-Scholes'!$B$7+'Black-Scholes'!$B$9*SQRT('Black-Scholes'!$B$7)*B3697)</f>
        <v>119.431288545325</v>
      </c>
      <c r="D3697" s="18" t="n">
        <f aca="false">'Black-Scholes'!$B$5*EXP(('Black-Scholes'!$B$8-'Black-Scholes'!$B$10-'Black-Scholes'!$B$9^2/2)*'Black-Scholes'!$B$7-'Black-Scholes'!$B$9*SQRT('Black-Scholes'!$B$7)*B3697)</f>
        <v>88.9077359441186</v>
      </c>
      <c r="E3697" s="18" t="n">
        <f aca="false">EXP(-'Black-Scholes'!$B$8*'Black-Scholes'!$B$7)*IF(LOWER('Black-Scholes'!$B$11)="put",MAX('Black-Scholes'!$B$6-C3697,0),MAX(C3697-'Black-Scholes'!$B$6,0))</f>
        <v>18.4836134202769</v>
      </c>
      <c r="F3697" s="18" t="n">
        <f aca="false">(E3697+G3697)/2</f>
        <v>9.24180671013846</v>
      </c>
      <c r="G3697" s="18" t="n">
        <f aca="false">EXP(-'Black-Scholes'!$B$8*'Black-Scholes'!$B$7)*IF(LOWER('Black-Scholes'!$B$11)="put",MAX('Black-Scholes'!$B$6-D3697,0),MAX(D3697-'Black-Scholes'!$B$6,0))</f>
        <v>0</v>
      </c>
    </row>
    <row r="3698" customFormat="false" ht="15" hidden="false" customHeight="false" outlineLevel="0" collapsed="false">
      <c r="A3698" s="0" t="n">
        <v>3687</v>
      </c>
      <c r="B3698" s="15" t="n">
        <v>0.308308173951613</v>
      </c>
      <c r="C3698" s="18" t="n">
        <f aca="false">'Black-Scholes'!$B$5*EXP(('Black-Scholes'!$B$8-'Black-Scholes'!$B$10-'Black-Scholes'!$B$9^2/2)*'Black-Scholes'!$B$7+'Black-Scholes'!$B$9*SQRT('Black-Scholes'!$B$7)*B3698)</f>
        <v>109.599391312279</v>
      </c>
      <c r="D3698" s="18" t="n">
        <f aca="false">'Black-Scholes'!$B$5*EXP(('Black-Scholes'!$B$8-'Black-Scholes'!$B$10-'Black-Scholes'!$B$9^2/2)*'Black-Scholes'!$B$7-'Black-Scholes'!$B$9*SQRT('Black-Scholes'!$B$7)*B3698)</f>
        <v>96.8834346460822</v>
      </c>
      <c r="E3698" s="18" t="n">
        <f aca="false">EXP(-'Black-Scholes'!$B$8*'Black-Scholes'!$B$7)*IF(LOWER('Black-Scholes'!$B$11)="put",MAX('Black-Scholes'!$B$6-C3698,0),MAX(C3698-'Black-Scholes'!$B$6,0))</f>
        <v>9.1312234735366</v>
      </c>
      <c r="F3698" s="18" t="n">
        <f aca="false">(E3698+G3698)/2</f>
        <v>4.5656117367683</v>
      </c>
      <c r="G3698" s="18" t="n">
        <f aca="false">EXP(-'Black-Scholes'!$B$8*'Black-Scholes'!$B$7)*IF(LOWER('Black-Scholes'!$B$11)="put",MAX('Black-Scholes'!$B$6-D3698,0),MAX(D3698-'Black-Scholes'!$B$6,0))</f>
        <v>0</v>
      </c>
    </row>
    <row r="3699" customFormat="false" ht="15" hidden="false" customHeight="false" outlineLevel="0" collapsed="false">
      <c r="A3699" s="0" t="n">
        <v>3688</v>
      </c>
      <c r="B3699" s="15" t="n">
        <v>-0.495680426392174</v>
      </c>
      <c r="C3699" s="18" t="n">
        <f aca="false">'Black-Scholes'!$B$5*EXP(('Black-Scholes'!$B$8-'Black-Scholes'!$B$10-'Black-Scholes'!$B$9^2/2)*'Black-Scholes'!$B$7+'Black-Scholes'!$B$9*SQRT('Black-Scholes'!$B$7)*B3699)</f>
        <v>93.3199676698914</v>
      </c>
      <c r="D3699" s="18" t="n">
        <f aca="false">'Black-Scholes'!$B$5*EXP(('Black-Scholes'!$B$8-'Black-Scholes'!$B$10-'Black-Scholes'!$B$9^2/2)*'Black-Scholes'!$B$7-'Black-Scholes'!$B$9*SQRT('Black-Scholes'!$B$7)*B3699)</f>
        <v>113.784495757809</v>
      </c>
      <c r="E3699" s="18" t="n">
        <f aca="false">EXP(-'Black-Scholes'!$B$8*'Black-Scholes'!$B$7)*IF(LOWER('Black-Scholes'!$B$11)="put",MAX('Black-Scholes'!$B$6-C3699,0),MAX(C3699-'Black-Scholes'!$B$6,0))</f>
        <v>0</v>
      </c>
      <c r="F3699" s="18" t="n">
        <f aca="false">(E3699+G3699)/2</f>
        <v>6.55610898336642</v>
      </c>
      <c r="G3699" s="18" t="n">
        <f aca="false">EXP(-'Black-Scholes'!$B$8*'Black-Scholes'!$B$7)*IF(LOWER('Black-Scholes'!$B$11)="put",MAX('Black-Scholes'!$B$6-D3699,0),MAX(D3699-'Black-Scholes'!$B$6,0))</f>
        <v>13.1122179667328</v>
      </c>
    </row>
    <row r="3700" customFormat="false" ht="15" hidden="false" customHeight="false" outlineLevel="0" collapsed="false">
      <c r="A3700" s="0" t="n">
        <v>3689</v>
      </c>
      <c r="B3700" s="15" t="n">
        <v>0.830573782706942</v>
      </c>
      <c r="C3700" s="18" t="n">
        <f aca="false">'Black-Scholes'!$B$5*EXP(('Black-Scholes'!$B$8-'Black-Scholes'!$B$10-'Black-Scholes'!$B$9^2/2)*'Black-Scholes'!$B$7+'Black-Scholes'!$B$9*SQRT('Black-Scholes'!$B$7)*B3700)</f>
        <v>121.666651776505</v>
      </c>
      <c r="D3700" s="18" t="n">
        <f aca="false">'Black-Scholes'!$B$5*EXP(('Black-Scholes'!$B$8-'Black-Scholes'!$B$10-'Black-Scholes'!$B$9^2/2)*'Black-Scholes'!$B$7-'Black-Scholes'!$B$9*SQRT('Black-Scholes'!$B$7)*B3700)</f>
        <v>87.2742473834079</v>
      </c>
      <c r="E3700" s="18" t="n">
        <f aca="false">EXP(-'Black-Scholes'!$B$8*'Black-Scholes'!$B$7)*IF(LOWER('Black-Scholes'!$B$11)="put",MAX('Black-Scholes'!$B$6-C3700,0),MAX(C3700-'Black-Scholes'!$B$6,0))</f>
        <v>20.6099567002218</v>
      </c>
      <c r="F3700" s="18" t="n">
        <f aca="false">(E3700+G3700)/2</f>
        <v>10.3049783501109</v>
      </c>
      <c r="G3700" s="18" t="n">
        <f aca="false">EXP(-'Black-Scholes'!$B$8*'Black-Scholes'!$B$7)*IF(LOWER('Black-Scholes'!$B$11)="put",MAX('Black-Scholes'!$B$6-D3700,0),MAX(D3700-'Black-Scholes'!$B$6,0))</f>
        <v>0</v>
      </c>
    </row>
    <row r="3701" customFormat="false" ht="15" hidden="false" customHeight="false" outlineLevel="0" collapsed="false">
      <c r="A3701" s="0" t="n">
        <v>3690</v>
      </c>
      <c r="B3701" s="15" t="n">
        <v>-0.96172202748535</v>
      </c>
      <c r="C3701" s="18" t="n">
        <f aca="false">'Black-Scholes'!$B$5*EXP(('Black-Scholes'!$B$8-'Black-Scholes'!$B$10-'Black-Scholes'!$B$9^2/2)*'Black-Scholes'!$B$7+'Black-Scholes'!$B$9*SQRT('Black-Scholes'!$B$7)*B3701)</f>
        <v>85.0148358346269</v>
      </c>
      <c r="D3701" s="18" t="n">
        <f aca="false">'Black-Scholes'!$B$5*EXP(('Black-Scholes'!$B$8-'Black-Scholes'!$B$10-'Black-Scholes'!$B$9^2/2)*'Black-Scholes'!$B$7-'Black-Scholes'!$B$9*SQRT('Black-Scholes'!$B$7)*B3701)</f>
        <v>124.900146676854</v>
      </c>
      <c r="E3701" s="18" t="n">
        <f aca="false">EXP(-'Black-Scholes'!$B$8*'Black-Scholes'!$B$7)*IF(LOWER('Black-Scholes'!$B$11)="put",MAX('Black-Scholes'!$B$6-C3701,0),MAX(C3701-'Black-Scholes'!$B$6,0))</f>
        <v>0</v>
      </c>
      <c r="F3701" s="18" t="n">
        <f aca="false">(E3701+G3701)/2</f>
        <v>11.8428760967038</v>
      </c>
      <c r="G3701" s="18" t="n">
        <f aca="false">EXP(-'Black-Scholes'!$B$8*'Black-Scholes'!$B$7)*IF(LOWER('Black-Scholes'!$B$11)="put",MAX('Black-Scholes'!$B$6-D3701,0),MAX(D3701-'Black-Scholes'!$B$6,0))</f>
        <v>23.6857521934076</v>
      </c>
    </row>
    <row r="3702" customFormat="false" ht="15" hidden="false" customHeight="false" outlineLevel="0" collapsed="false">
      <c r="A3702" s="0" t="n">
        <v>3691</v>
      </c>
      <c r="B3702" s="15" t="n">
        <v>-0.456052074941401</v>
      </c>
      <c r="C3702" s="18" t="n">
        <f aca="false">'Black-Scholes'!$B$5*EXP(('Black-Scholes'!$B$8-'Black-Scholes'!$B$10-'Black-Scholes'!$B$9^2/2)*'Black-Scholes'!$B$7+'Black-Scholes'!$B$9*SQRT('Black-Scholes'!$B$7)*B3702)</f>
        <v>94.0625297290802</v>
      </c>
      <c r="D3702" s="18" t="n">
        <f aca="false">'Black-Scholes'!$B$5*EXP(('Black-Scholes'!$B$8-'Black-Scholes'!$B$10-'Black-Scholes'!$B$9^2/2)*'Black-Scholes'!$B$7-'Black-Scholes'!$B$9*SQRT('Black-Scholes'!$B$7)*B3702)</f>
        <v>112.886241695144</v>
      </c>
      <c r="E3702" s="18" t="n">
        <f aca="false">EXP(-'Black-Scholes'!$B$8*'Black-Scholes'!$B$7)*IF(LOWER('Black-Scholes'!$B$11)="put",MAX('Black-Scholes'!$B$6-C3702,0),MAX(C3702-'Black-Scholes'!$B$6,0))</f>
        <v>0</v>
      </c>
      <c r="F3702" s="18" t="n">
        <f aca="false">(E3702+G3702)/2</f>
        <v>6.1288861358244</v>
      </c>
      <c r="G3702" s="18" t="n">
        <f aca="false">EXP(-'Black-Scholes'!$B$8*'Black-Scholes'!$B$7)*IF(LOWER('Black-Scholes'!$B$11)="put",MAX('Black-Scholes'!$B$6-D3702,0),MAX(D3702-'Black-Scholes'!$B$6,0))</f>
        <v>12.2577722716488</v>
      </c>
    </row>
    <row r="3703" customFormat="false" ht="15" hidden="false" customHeight="false" outlineLevel="0" collapsed="false">
      <c r="A3703" s="0" t="n">
        <v>3692</v>
      </c>
      <c r="B3703" s="15" t="n">
        <v>1.87612454561253</v>
      </c>
      <c r="C3703" s="18" t="n">
        <f aca="false">'Black-Scholes'!$B$5*EXP(('Black-Scholes'!$B$8-'Black-Scholes'!$B$10-'Black-Scholes'!$B$9^2/2)*'Black-Scholes'!$B$7+'Black-Scholes'!$B$9*SQRT('Black-Scholes'!$B$7)*B3703)</f>
        <v>149.963974478971</v>
      </c>
      <c r="D3703" s="18" t="n">
        <f aca="false">'Black-Scholes'!$B$5*EXP(('Black-Scholes'!$B$8-'Black-Scholes'!$B$10-'Black-Scholes'!$B$9^2/2)*'Black-Scholes'!$B$7-'Black-Scholes'!$B$9*SQRT('Black-Scholes'!$B$7)*B3703)</f>
        <v>70.8061086160568</v>
      </c>
      <c r="E3703" s="18" t="n">
        <f aca="false">EXP(-'Black-Scholes'!$B$8*'Black-Scholes'!$B$7)*IF(LOWER('Black-Scholes'!$B$11)="put",MAX('Black-Scholes'!$B$6-C3703,0),MAX(C3703-'Black-Scholes'!$B$6,0))</f>
        <v>47.5272026894002</v>
      </c>
      <c r="F3703" s="18" t="n">
        <f aca="false">(E3703+G3703)/2</f>
        <v>23.7636013447001</v>
      </c>
      <c r="G3703" s="18" t="n">
        <f aca="false">EXP(-'Black-Scholes'!$B$8*'Black-Scholes'!$B$7)*IF(LOWER('Black-Scholes'!$B$11)="put",MAX('Black-Scholes'!$B$6-D3703,0),MAX(D3703-'Black-Scholes'!$B$6,0))</f>
        <v>0</v>
      </c>
    </row>
    <row r="3704" customFormat="false" ht="15" hidden="false" customHeight="false" outlineLevel="0" collapsed="false">
      <c r="A3704" s="0" t="n">
        <v>3693</v>
      </c>
      <c r="B3704" s="15" t="n">
        <v>-0.911645629597952</v>
      </c>
      <c r="C3704" s="18" t="n">
        <f aca="false">'Black-Scholes'!$B$5*EXP(('Black-Scholes'!$B$8-'Black-Scholes'!$B$10-'Black-Scholes'!$B$9^2/2)*'Black-Scholes'!$B$7+'Black-Scholes'!$B$9*SQRT('Black-Scholes'!$B$7)*B3704)</f>
        <v>85.8705611952671</v>
      </c>
      <c r="D3704" s="18" t="n">
        <f aca="false">'Black-Scholes'!$B$5*EXP(('Black-Scholes'!$B$8-'Black-Scholes'!$B$10-'Black-Scholes'!$B$9^2/2)*'Black-Scholes'!$B$7-'Black-Scholes'!$B$9*SQRT('Black-Scholes'!$B$7)*B3704)</f>
        <v>123.655480034744</v>
      </c>
      <c r="E3704" s="18" t="n">
        <f aca="false">EXP(-'Black-Scholes'!$B$8*'Black-Scholes'!$B$7)*IF(LOWER('Black-Scholes'!$B$11)="put",MAX('Black-Scholes'!$B$6-C3704,0),MAX(C3704-'Black-Scholes'!$B$6,0))</f>
        <v>0</v>
      </c>
      <c r="F3704" s="18" t="n">
        <f aca="false">(E3704+G3704)/2</f>
        <v>11.2508943298687</v>
      </c>
      <c r="G3704" s="18" t="n">
        <f aca="false">EXP(-'Black-Scholes'!$B$8*'Black-Scholes'!$B$7)*IF(LOWER('Black-Scholes'!$B$11)="put",MAX('Black-Scholes'!$B$6-D3704,0),MAX(D3704-'Black-Scholes'!$B$6,0))</f>
        <v>22.5017886597374</v>
      </c>
    </row>
    <row r="3705" customFormat="false" ht="15" hidden="false" customHeight="false" outlineLevel="0" collapsed="false">
      <c r="A3705" s="0" t="n">
        <v>3694</v>
      </c>
      <c r="B3705" s="15" t="n">
        <v>0.116559154845225</v>
      </c>
      <c r="C3705" s="18" t="n">
        <f aca="false">'Black-Scholes'!$B$5*EXP(('Black-Scholes'!$B$8-'Black-Scholes'!$B$10-'Black-Scholes'!$B$9^2/2)*'Black-Scholes'!$B$7+'Black-Scholes'!$B$9*SQRT('Black-Scholes'!$B$7)*B3705)</f>
        <v>105.475850020832</v>
      </c>
      <c r="D3705" s="18" t="n">
        <f aca="false">'Black-Scholes'!$B$5*EXP(('Black-Scholes'!$B$8-'Black-Scholes'!$B$10-'Black-Scholes'!$B$9^2/2)*'Black-Scholes'!$B$7-'Black-Scholes'!$B$9*SQRT('Black-Scholes'!$B$7)*B3705)</f>
        <v>100.671058477902</v>
      </c>
      <c r="E3705" s="18" t="n">
        <f aca="false">EXP(-'Black-Scholes'!$B$8*'Black-Scholes'!$B$7)*IF(LOWER('Black-Scholes'!$B$11)="put",MAX('Black-Scholes'!$B$6-C3705,0),MAX(C3705-'Black-Scholes'!$B$6,0))</f>
        <v>5.20878966396816</v>
      </c>
      <c r="F3705" s="18" t="n">
        <f aca="false">(E3705+G3705)/2</f>
        <v>2.92356011685463</v>
      </c>
      <c r="G3705" s="18" t="n">
        <f aca="false">EXP(-'Black-Scholes'!$B$8*'Black-Scholes'!$B$7)*IF(LOWER('Black-Scholes'!$B$11)="put",MAX('Black-Scholes'!$B$6-D3705,0),MAX(D3705-'Black-Scholes'!$B$6,0))</f>
        <v>0.638330569741093</v>
      </c>
    </row>
    <row r="3706" customFormat="false" ht="15" hidden="false" customHeight="false" outlineLevel="0" collapsed="false">
      <c r="A3706" s="0" t="n">
        <v>3695</v>
      </c>
      <c r="B3706" s="15" t="n">
        <v>-0.84514991196001</v>
      </c>
      <c r="C3706" s="18" t="n">
        <f aca="false">'Black-Scholes'!$B$5*EXP(('Black-Scholes'!$B$8-'Black-Scholes'!$B$10-'Black-Scholes'!$B$9^2/2)*'Black-Scholes'!$B$7+'Black-Scholes'!$B$9*SQRT('Black-Scholes'!$B$7)*B3706)</f>
        <v>87.0201937331511</v>
      </c>
      <c r="D3706" s="18" t="n">
        <f aca="false">'Black-Scholes'!$B$5*EXP(('Black-Scholes'!$B$8-'Black-Scholes'!$B$10-'Black-Scholes'!$B$9^2/2)*'Black-Scholes'!$B$7-'Black-Scholes'!$B$9*SQRT('Black-Scholes'!$B$7)*B3706)</f>
        <v>122.021855042233</v>
      </c>
      <c r="E3706" s="18" t="n">
        <f aca="false">EXP(-'Black-Scholes'!$B$8*'Black-Scholes'!$B$7)*IF(LOWER('Black-Scholes'!$B$11)="put",MAX('Black-Scholes'!$B$6-C3706,0),MAX(C3706-'Black-Scholes'!$B$6,0))</f>
        <v>0</v>
      </c>
      <c r="F3706" s="18" t="n">
        <f aca="false">(E3706+G3706)/2</f>
        <v>10.4739182491308</v>
      </c>
      <c r="G3706" s="18" t="n">
        <f aca="false">EXP(-'Black-Scholes'!$B$8*'Black-Scholes'!$B$7)*IF(LOWER('Black-Scholes'!$B$11)="put",MAX('Black-Scholes'!$B$6-D3706,0),MAX(D3706-'Black-Scholes'!$B$6,0))</f>
        <v>20.9478364982615</v>
      </c>
    </row>
    <row r="3707" customFormat="false" ht="15" hidden="false" customHeight="false" outlineLevel="0" collapsed="false">
      <c r="A3707" s="0" t="n">
        <v>3696</v>
      </c>
      <c r="B3707" s="15" t="n">
        <v>-2.06245819094706</v>
      </c>
      <c r="C3707" s="18" t="n">
        <f aca="false">'Black-Scholes'!$B$5*EXP(('Black-Scholes'!$B$8-'Black-Scholes'!$B$10-'Black-Scholes'!$B$9^2/2)*'Black-Scholes'!$B$7+'Black-Scholes'!$B$9*SQRT('Black-Scholes'!$B$7)*B3707)</f>
        <v>68.2159595041929</v>
      </c>
      <c r="D3707" s="18" t="n">
        <f aca="false">'Black-Scholes'!$B$5*EXP(('Black-Scholes'!$B$8-'Black-Scholes'!$B$10-'Black-Scholes'!$B$9^2/2)*'Black-Scholes'!$B$7-'Black-Scholes'!$B$9*SQRT('Black-Scholes'!$B$7)*B3707)</f>
        <v>155.658082692525</v>
      </c>
      <c r="E3707" s="18" t="n">
        <f aca="false">EXP(-'Black-Scholes'!$B$8*'Black-Scholes'!$B$7)*IF(LOWER('Black-Scholes'!$B$11)="put",MAX('Black-Scholes'!$B$6-C3707,0),MAX(C3707-'Black-Scholes'!$B$6,0))</f>
        <v>0</v>
      </c>
      <c r="F3707" s="18" t="n">
        <f aca="false">(E3707+G3707)/2</f>
        <v>26.4718029842119</v>
      </c>
      <c r="G3707" s="18" t="n">
        <f aca="false">EXP(-'Black-Scholes'!$B$8*'Black-Scholes'!$B$7)*IF(LOWER('Black-Scholes'!$B$11)="put",MAX('Black-Scholes'!$B$6-D3707,0),MAX(D3707-'Black-Scholes'!$B$6,0))</f>
        <v>52.9436059684238</v>
      </c>
    </row>
    <row r="3708" customFormat="false" ht="15" hidden="false" customHeight="false" outlineLevel="0" collapsed="false">
      <c r="A3708" s="0" t="n">
        <v>3697</v>
      </c>
      <c r="B3708" s="15" t="n">
        <v>-0.366018079670099</v>
      </c>
      <c r="C3708" s="18" t="n">
        <f aca="false">'Black-Scholes'!$B$5*EXP(('Black-Scholes'!$B$8-'Black-Scholes'!$B$10-'Black-Scholes'!$B$9^2/2)*'Black-Scholes'!$B$7+'Black-Scholes'!$B$9*SQRT('Black-Scholes'!$B$7)*B3708)</f>
        <v>95.7716363900525</v>
      </c>
      <c r="D3708" s="18" t="n">
        <f aca="false">'Black-Scholes'!$B$5*EXP(('Black-Scholes'!$B$8-'Black-Scholes'!$B$10-'Black-Scholes'!$B$9^2/2)*'Black-Scholes'!$B$7-'Black-Scholes'!$B$9*SQRT('Black-Scholes'!$B$7)*B3708)</f>
        <v>110.87171385699</v>
      </c>
      <c r="E3708" s="18" t="n">
        <f aca="false">EXP(-'Black-Scholes'!$B$8*'Black-Scholes'!$B$7)*IF(LOWER('Black-Scholes'!$B$11)="put",MAX('Black-Scholes'!$B$6-C3708,0),MAX(C3708-'Black-Scholes'!$B$6,0))</f>
        <v>0</v>
      </c>
      <c r="F3708" s="18" t="n">
        <f aca="false">(E3708+G3708)/2</f>
        <v>5.17074705776052</v>
      </c>
      <c r="G3708" s="18" t="n">
        <f aca="false">EXP(-'Black-Scholes'!$B$8*'Black-Scholes'!$B$7)*IF(LOWER('Black-Scholes'!$B$11)="put",MAX('Black-Scholes'!$B$6-D3708,0),MAX(D3708-'Black-Scholes'!$B$6,0))</f>
        <v>10.341494115521</v>
      </c>
    </row>
    <row r="3709" customFormat="false" ht="15" hidden="false" customHeight="false" outlineLevel="0" collapsed="false">
      <c r="A3709" s="0" t="n">
        <v>3698</v>
      </c>
      <c r="B3709" s="15" t="n">
        <v>0.8870873941568</v>
      </c>
      <c r="C3709" s="18" t="n">
        <f aca="false">'Black-Scholes'!$B$5*EXP(('Black-Scholes'!$B$8-'Black-Scholes'!$B$10-'Black-Scholes'!$B$9^2/2)*'Black-Scholes'!$B$7+'Black-Scholes'!$B$9*SQRT('Black-Scholes'!$B$7)*B3709)</f>
        <v>123.049617066828</v>
      </c>
      <c r="D3709" s="18" t="n">
        <f aca="false">'Black-Scholes'!$B$5*EXP(('Black-Scholes'!$B$8-'Black-Scholes'!$B$10-'Black-Scholes'!$B$9^2/2)*'Black-Scholes'!$B$7-'Black-Scholes'!$B$9*SQRT('Black-Scholes'!$B$7)*B3709)</f>
        <v>86.2933645676178</v>
      </c>
      <c r="E3709" s="18" t="n">
        <f aca="false">EXP(-'Black-Scholes'!$B$8*'Black-Scholes'!$B$7)*IF(LOWER('Black-Scholes'!$B$11)="put",MAX('Black-Scholes'!$B$6-C3709,0),MAX(C3709-'Black-Scholes'!$B$6,0))</f>
        <v>21.9254739774411</v>
      </c>
      <c r="F3709" s="18" t="n">
        <f aca="false">(E3709+G3709)/2</f>
        <v>10.9627369887206</v>
      </c>
      <c r="G3709" s="18" t="n">
        <f aca="false">EXP(-'Black-Scholes'!$B$8*'Black-Scholes'!$B$7)*IF(LOWER('Black-Scholes'!$B$11)="put",MAX('Black-Scholes'!$B$6-D3709,0),MAX(D3709-'Black-Scholes'!$B$6,0))</f>
        <v>0</v>
      </c>
    </row>
    <row r="3710" customFormat="false" ht="15" hidden="false" customHeight="false" outlineLevel="0" collapsed="false">
      <c r="A3710" s="0" t="n">
        <v>3699</v>
      </c>
      <c r="B3710" s="15" t="n">
        <v>-0.700895147166521</v>
      </c>
      <c r="C3710" s="18" t="n">
        <f aca="false">'Black-Scholes'!$B$5*EXP(('Black-Scholes'!$B$8-'Black-Scholes'!$B$10-'Black-Scholes'!$B$9^2/2)*'Black-Scholes'!$B$7+'Black-Scholes'!$B$9*SQRT('Black-Scholes'!$B$7)*B3710)</f>
        <v>89.5673768974526</v>
      </c>
      <c r="D3710" s="18" t="n">
        <f aca="false">'Black-Scholes'!$B$5*EXP(('Black-Scholes'!$B$8-'Black-Scholes'!$B$10-'Black-Scholes'!$B$9^2/2)*'Black-Scholes'!$B$7-'Black-Scholes'!$B$9*SQRT('Black-Scholes'!$B$7)*B3710)</f>
        <v>118.551707477275</v>
      </c>
      <c r="E3710" s="18" t="n">
        <f aca="false">EXP(-'Black-Scholes'!$B$8*'Black-Scholes'!$B$7)*IF(LOWER('Black-Scholes'!$B$11)="put",MAX('Black-Scholes'!$B$6-C3710,0),MAX(C3710-'Black-Scholes'!$B$6,0))</f>
        <v>0</v>
      </c>
      <c r="F3710" s="18" t="n">
        <f aca="false">(E3710+G3710)/2</f>
        <v>8.82346501355673</v>
      </c>
      <c r="G3710" s="18" t="n">
        <f aca="false">EXP(-'Black-Scholes'!$B$8*'Black-Scholes'!$B$7)*IF(LOWER('Black-Scholes'!$B$11)="put",MAX('Black-Scholes'!$B$6-D3710,0),MAX(D3710-'Black-Scholes'!$B$6,0))</f>
        <v>17.6469300271135</v>
      </c>
    </row>
    <row r="3711" customFormat="false" ht="15" hidden="false" customHeight="false" outlineLevel="0" collapsed="false">
      <c r="A3711" s="0" t="n">
        <v>3700</v>
      </c>
      <c r="B3711" s="15" t="n">
        <v>-0.386858805492443</v>
      </c>
      <c r="C3711" s="18" t="n">
        <f aca="false">'Black-Scholes'!$B$5*EXP(('Black-Scholes'!$B$8-'Black-Scholes'!$B$10-'Black-Scholes'!$B$9^2/2)*'Black-Scholes'!$B$7+'Black-Scholes'!$B$9*SQRT('Black-Scholes'!$B$7)*B3711)</f>
        <v>95.3732770933671</v>
      </c>
      <c r="D3711" s="18" t="n">
        <f aca="false">'Black-Scholes'!$B$5*EXP(('Black-Scholes'!$B$8-'Black-Scholes'!$B$10-'Black-Scholes'!$B$9^2/2)*'Black-Scholes'!$B$7-'Black-Scholes'!$B$9*SQRT('Black-Scholes'!$B$7)*B3711)</f>
        <v>111.334807705712</v>
      </c>
      <c r="E3711" s="18" t="n">
        <f aca="false">EXP(-'Black-Scholes'!$B$8*'Black-Scholes'!$B$7)*IF(LOWER('Black-Scholes'!$B$11)="put",MAX('Black-Scholes'!$B$6-C3711,0),MAX(C3711-'Black-Scholes'!$B$6,0))</f>
        <v>0</v>
      </c>
      <c r="F3711" s="18" t="n">
        <f aca="false">(E3711+G3711)/2</f>
        <v>5.39100130536527</v>
      </c>
      <c r="G3711" s="18" t="n">
        <f aca="false">EXP(-'Black-Scholes'!$B$8*'Black-Scholes'!$B$7)*IF(LOWER('Black-Scholes'!$B$11)="put",MAX('Black-Scholes'!$B$6-D3711,0),MAX(D3711-'Black-Scholes'!$B$6,0))</f>
        <v>10.7820026107305</v>
      </c>
    </row>
    <row r="3712" customFormat="false" ht="15" hidden="false" customHeight="false" outlineLevel="0" collapsed="false">
      <c r="A3712" s="0" t="n">
        <v>3701</v>
      </c>
      <c r="B3712" s="15" t="n">
        <v>-1.12805447854506</v>
      </c>
      <c r="C3712" s="18" t="n">
        <f aca="false">'Black-Scholes'!$B$5*EXP(('Black-Scholes'!$B$8-'Black-Scholes'!$B$10-'Black-Scholes'!$B$9^2/2)*'Black-Scholes'!$B$7+'Black-Scholes'!$B$9*SQRT('Black-Scholes'!$B$7)*B3712)</f>
        <v>82.2332145401227</v>
      </c>
      <c r="D3712" s="18" t="n">
        <f aca="false">'Black-Scholes'!$B$5*EXP(('Black-Scholes'!$B$8-'Black-Scholes'!$B$10-'Black-Scholes'!$B$9^2/2)*'Black-Scholes'!$B$7-'Black-Scholes'!$B$9*SQRT('Black-Scholes'!$B$7)*B3712)</f>
        <v>129.125019918475</v>
      </c>
      <c r="E3712" s="18" t="n">
        <f aca="false">EXP(-'Black-Scholes'!$B$8*'Black-Scholes'!$B$7)*IF(LOWER('Black-Scholes'!$B$11)="put",MAX('Black-Scholes'!$B$6-C3712,0),MAX(C3712-'Black-Scholes'!$B$6,0))</f>
        <v>0</v>
      </c>
      <c r="F3712" s="18" t="n">
        <f aca="false">(E3712+G3712)/2</f>
        <v>13.8522879678116</v>
      </c>
      <c r="G3712" s="18" t="n">
        <f aca="false">EXP(-'Black-Scholes'!$B$8*'Black-Scholes'!$B$7)*IF(LOWER('Black-Scholes'!$B$11)="put",MAX('Black-Scholes'!$B$6-D3712,0),MAX(D3712-'Black-Scholes'!$B$6,0))</f>
        <v>27.7045759356232</v>
      </c>
    </row>
    <row r="3713" customFormat="false" ht="15" hidden="false" customHeight="false" outlineLevel="0" collapsed="false">
      <c r="A3713" s="0" t="n">
        <v>3702</v>
      </c>
      <c r="B3713" s="15" t="n">
        <v>-0.905689149434573</v>
      </c>
      <c r="C3713" s="18" t="n">
        <f aca="false">'Black-Scholes'!$B$5*EXP(('Black-Scholes'!$B$8-'Black-Scholes'!$B$10-'Black-Scholes'!$B$9^2/2)*'Black-Scholes'!$B$7+'Black-Scholes'!$B$9*SQRT('Black-Scholes'!$B$7)*B3713)</f>
        <v>85.9729194115057</v>
      </c>
      <c r="D3713" s="18" t="n">
        <f aca="false">'Black-Scholes'!$B$5*EXP(('Black-Scholes'!$B$8-'Black-Scholes'!$B$10-'Black-Scholes'!$B$9^2/2)*'Black-Scholes'!$B$7-'Black-Scholes'!$B$9*SQRT('Black-Scholes'!$B$7)*B3713)</f>
        <v>123.508257462204</v>
      </c>
      <c r="E3713" s="18" t="n">
        <f aca="false">EXP(-'Black-Scholes'!$B$8*'Black-Scholes'!$B$7)*IF(LOWER('Black-Scholes'!$B$11)="put",MAX('Black-Scholes'!$B$6-C3713,0),MAX(C3713-'Black-Scholes'!$B$6,0))</f>
        <v>0</v>
      </c>
      <c r="F3713" s="18" t="n">
        <f aca="false">(E3713+G3713)/2</f>
        <v>11.1808731083937</v>
      </c>
      <c r="G3713" s="18" t="n">
        <f aca="false">EXP(-'Black-Scholes'!$B$8*'Black-Scholes'!$B$7)*IF(LOWER('Black-Scholes'!$B$11)="put",MAX('Black-Scholes'!$B$6-D3713,0),MAX(D3713-'Black-Scholes'!$B$6,0))</f>
        <v>22.3617462167873</v>
      </c>
    </row>
    <row r="3714" customFormat="false" ht="15" hidden="false" customHeight="false" outlineLevel="0" collapsed="false">
      <c r="A3714" s="0" t="n">
        <v>3703</v>
      </c>
      <c r="B3714" s="15" t="n">
        <v>0.694848409928424</v>
      </c>
      <c r="C3714" s="18" t="n">
        <f aca="false">'Black-Scholes'!$B$5*EXP(('Black-Scholes'!$B$8-'Black-Scholes'!$B$10-'Black-Scholes'!$B$9^2/2)*'Black-Scholes'!$B$7+'Black-Scholes'!$B$9*SQRT('Black-Scholes'!$B$7)*B3714)</f>
        <v>118.408423929685</v>
      </c>
      <c r="D3714" s="18" t="n">
        <f aca="false">'Black-Scholes'!$B$5*EXP(('Black-Scholes'!$B$8-'Black-Scholes'!$B$10-'Black-Scholes'!$B$9^2/2)*'Black-Scholes'!$B$7-'Black-Scholes'!$B$9*SQRT('Black-Scholes'!$B$7)*B3714)</f>
        <v>89.6757604996003</v>
      </c>
      <c r="E3714" s="18" t="n">
        <f aca="false">EXP(-'Black-Scholes'!$B$8*'Black-Scholes'!$B$7)*IF(LOWER('Black-Scholes'!$B$11)="put",MAX('Black-Scholes'!$B$6-C3714,0),MAX(C3714-'Black-Scholes'!$B$6,0))</f>
        <v>17.5106345005996</v>
      </c>
      <c r="F3714" s="18" t="n">
        <f aca="false">(E3714+G3714)/2</f>
        <v>8.75531725029981</v>
      </c>
      <c r="G3714" s="18" t="n">
        <f aca="false">EXP(-'Black-Scholes'!$B$8*'Black-Scholes'!$B$7)*IF(LOWER('Black-Scholes'!$B$11)="put",MAX('Black-Scholes'!$B$6-D3714,0),MAX(D3714-'Black-Scholes'!$B$6,0))</f>
        <v>0</v>
      </c>
    </row>
    <row r="3715" customFormat="false" ht="15" hidden="false" customHeight="false" outlineLevel="0" collapsed="false">
      <c r="A3715" s="0" t="n">
        <v>3704</v>
      </c>
      <c r="B3715" s="15" t="n">
        <v>-0.739234795887497</v>
      </c>
      <c r="C3715" s="18" t="n">
        <f aca="false">'Black-Scholes'!$B$5*EXP(('Black-Scholes'!$B$8-'Black-Scholes'!$B$10-'Black-Scholes'!$B$9^2/2)*'Black-Scholes'!$B$7+'Black-Scholes'!$B$9*SQRT('Black-Scholes'!$B$7)*B3715)</f>
        <v>88.8832069797288</v>
      </c>
      <c r="D3715" s="18" t="n">
        <f aca="false">'Black-Scholes'!$B$5*EXP(('Black-Scholes'!$B$8-'Black-Scholes'!$B$10-'Black-Scholes'!$B$9^2/2)*'Black-Scholes'!$B$7-'Black-Scholes'!$B$9*SQRT('Black-Scholes'!$B$7)*B3715)</f>
        <v>119.464247817648</v>
      </c>
      <c r="E3715" s="18" t="n">
        <f aca="false">EXP(-'Black-Scholes'!$B$8*'Black-Scholes'!$B$7)*IF(LOWER('Black-Scholes'!$B$11)="put",MAX('Black-Scholes'!$B$6-C3715,0),MAX(C3715-'Black-Scholes'!$B$6,0))</f>
        <v>0</v>
      </c>
      <c r="F3715" s="18" t="n">
        <f aca="false">(E3715+G3715)/2</f>
        <v>9.25748262496017</v>
      </c>
      <c r="G3715" s="18" t="n">
        <f aca="false">EXP(-'Black-Scholes'!$B$8*'Black-Scholes'!$B$7)*IF(LOWER('Black-Scholes'!$B$11)="put",MAX('Black-Scholes'!$B$6-D3715,0),MAX(D3715-'Black-Scholes'!$B$6,0))</f>
        <v>18.5149652499203</v>
      </c>
    </row>
    <row r="3716" customFormat="false" ht="15" hidden="false" customHeight="false" outlineLevel="0" collapsed="false">
      <c r="A3716" s="0" t="n">
        <v>3705</v>
      </c>
      <c r="B3716" s="15" t="n">
        <v>-2.36448655406221</v>
      </c>
      <c r="C3716" s="18" t="n">
        <f aca="false">'Black-Scholes'!$B$5*EXP(('Black-Scholes'!$B$8-'Black-Scholes'!$B$10-'Black-Scholes'!$B$9^2/2)*'Black-Scholes'!$B$7+'Black-Scholes'!$B$9*SQRT('Black-Scholes'!$B$7)*B3716)</f>
        <v>64.2173147940864</v>
      </c>
      <c r="D3716" s="18" t="n">
        <f aca="false">'Black-Scholes'!$B$5*EXP(('Black-Scholes'!$B$8-'Black-Scholes'!$B$10-'Black-Scholes'!$B$9^2/2)*'Black-Scholes'!$B$7-'Black-Scholes'!$B$9*SQRT('Black-Scholes'!$B$7)*B3716)</f>
        <v>165.350505537354</v>
      </c>
      <c r="E3716" s="18" t="n">
        <f aca="false">EXP(-'Black-Scholes'!$B$8*'Black-Scholes'!$B$7)*IF(LOWER('Black-Scholes'!$B$11)="put",MAX('Black-Scholes'!$B$6-C3716,0),MAX(C3716-'Black-Scholes'!$B$6,0))</f>
        <v>0</v>
      </c>
      <c r="F3716" s="18" t="n">
        <f aca="false">(E3716+G3716)/2</f>
        <v>31.081661886564</v>
      </c>
      <c r="G3716" s="18" t="n">
        <f aca="false">EXP(-'Black-Scholes'!$B$8*'Black-Scholes'!$B$7)*IF(LOWER('Black-Scholes'!$B$11)="put",MAX('Black-Scholes'!$B$6-D3716,0),MAX(D3716-'Black-Scholes'!$B$6,0))</f>
        <v>62.163323773128</v>
      </c>
    </row>
    <row r="3717" customFormat="false" ht="15" hidden="false" customHeight="false" outlineLevel="0" collapsed="false">
      <c r="A3717" s="0" t="n">
        <v>3706</v>
      </c>
      <c r="B3717" s="15" t="n">
        <v>-0.0740262940365573</v>
      </c>
      <c r="C3717" s="18" t="n">
        <f aca="false">'Black-Scholes'!$B$5*EXP(('Black-Scholes'!$B$8-'Black-Scholes'!$B$10-'Black-Scholes'!$B$9^2/2)*'Black-Scholes'!$B$7+'Black-Scholes'!$B$9*SQRT('Black-Scholes'!$B$7)*B3717)</f>
        <v>101.531076819453</v>
      </c>
      <c r="D3717" s="18" t="n">
        <f aca="false">'Black-Scholes'!$B$5*EXP(('Black-Scholes'!$B$8-'Black-Scholes'!$B$10-'Black-Scholes'!$B$9^2/2)*'Black-Scholes'!$B$7-'Black-Scholes'!$B$9*SQRT('Black-Scholes'!$B$7)*B3717)</f>
        <v>104.582417502925</v>
      </c>
      <c r="E3717" s="18" t="n">
        <f aca="false">EXP(-'Black-Scholes'!$B$8*'Black-Scholes'!$B$7)*IF(LOWER('Black-Scholes'!$B$11)="put",MAX('Black-Scholes'!$B$6-C3717,0),MAX(C3717-'Black-Scholes'!$B$6,0))</f>
        <v>1.45640532183434</v>
      </c>
      <c r="F3717" s="18" t="n">
        <f aca="false">(E3717+G3717)/2</f>
        <v>2.90766784298207</v>
      </c>
      <c r="G3717" s="18" t="n">
        <f aca="false">EXP(-'Black-Scholes'!$B$8*'Black-Scholes'!$B$7)*IF(LOWER('Black-Scholes'!$B$11)="put",MAX('Black-Scholes'!$B$6-D3717,0),MAX(D3717-'Black-Scholes'!$B$6,0))</f>
        <v>4.35893036412979</v>
      </c>
    </row>
    <row r="3718" customFormat="false" ht="15" hidden="false" customHeight="false" outlineLevel="0" collapsed="false">
      <c r="A3718" s="0" t="n">
        <v>3707</v>
      </c>
      <c r="B3718" s="15" t="n">
        <v>-0.556966291362012</v>
      </c>
      <c r="C3718" s="18" t="n">
        <f aca="false">'Black-Scholes'!$B$5*EXP(('Black-Scholes'!$B$8-'Black-Scholes'!$B$10-'Black-Scholes'!$B$9^2/2)*'Black-Scholes'!$B$7+'Black-Scholes'!$B$9*SQRT('Black-Scholes'!$B$7)*B3718)</f>
        <v>92.1831102446924</v>
      </c>
      <c r="D3718" s="18" t="n">
        <f aca="false">'Black-Scholes'!$B$5*EXP(('Black-Scholes'!$B$8-'Black-Scholes'!$B$10-'Black-Scholes'!$B$9^2/2)*'Black-Scholes'!$B$7-'Black-Scholes'!$B$9*SQRT('Black-Scholes'!$B$7)*B3718)</f>
        <v>115.187754429939</v>
      </c>
      <c r="E3718" s="18" t="n">
        <f aca="false">EXP(-'Black-Scholes'!$B$8*'Black-Scholes'!$B$7)*IF(LOWER('Black-Scholes'!$B$11)="put",MAX('Black-Scholes'!$B$6-C3718,0),MAX(C3718-'Black-Scholes'!$B$6,0))</f>
        <v>0</v>
      </c>
      <c r="F3718" s="18" t="n">
        <f aca="false">(E3718+G3718)/2</f>
        <v>7.22351945292436</v>
      </c>
      <c r="G3718" s="18" t="n">
        <f aca="false">EXP(-'Black-Scholes'!$B$8*'Black-Scholes'!$B$7)*IF(LOWER('Black-Scholes'!$B$11)="put",MAX('Black-Scholes'!$B$6-D3718,0),MAX(D3718-'Black-Scholes'!$B$6,0))</f>
        <v>14.4470389058487</v>
      </c>
    </row>
    <row r="3719" customFormat="false" ht="15" hidden="false" customHeight="false" outlineLevel="0" collapsed="false">
      <c r="A3719" s="0" t="n">
        <v>3708</v>
      </c>
      <c r="B3719" s="15" t="n">
        <v>-0.489960869915573</v>
      </c>
      <c r="C3719" s="18" t="n">
        <f aca="false">'Black-Scholes'!$B$5*EXP(('Black-Scholes'!$B$8-'Black-Scholes'!$B$10-'Black-Scholes'!$B$9^2/2)*'Black-Scholes'!$B$7+'Black-Scholes'!$B$9*SQRT('Black-Scholes'!$B$7)*B3719)</f>
        <v>93.4267785144065</v>
      </c>
      <c r="D3719" s="18" t="n">
        <f aca="false">'Black-Scholes'!$B$5*EXP(('Black-Scholes'!$B$8-'Black-Scholes'!$B$10-'Black-Scholes'!$B$9^2/2)*'Black-Scholes'!$B$7-'Black-Scholes'!$B$9*SQRT('Black-Scholes'!$B$7)*B3719)</f>
        <v>113.654410804887</v>
      </c>
      <c r="E3719" s="18" t="n">
        <f aca="false">EXP(-'Black-Scholes'!$B$8*'Black-Scholes'!$B$7)*IF(LOWER('Black-Scholes'!$B$11)="put",MAX('Black-Scholes'!$B$6-C3719,0),MAX(C3719-'Black-Scholes'!$B$6,0))</f>
        <v>0</v>
      </c>
      <c r="F3719" s="18" t="n">
        <f aca="false">(E3719+G3719)/2</f>
        <v>6.49423866591472</v>
      </c>
      <c r="G3719" s="18" t="n">
        <f aca="false">EXP(-'Black-Scholes'!$B$8*'Black-Scholes'!$B$7)*IF(LOWER('Black-Scholes'!$B$11)="put",MAX('Black-Scholes'!$B$6-D3719,0),MAX(D3719-'Black-Scholes'!$B$6,0))</f>
        <v>12.9884773318294</v>
      </c>
    </row>
    <row r="3720" customFormat="false" ht="15" hidden="false" customHeight="false" outlineLevel="0" collapsed="false">
      <c r="A3720" s="0" t="n">
        <v>3709</v>
      </c>
      <c r="B3720" s="15" t="n">
        <v>1.16073720342675</v>
      </c>
      <c r="C3720" s="18" t="n">
        <f aca="false">'Black-Scholes'!$B$5*EXP(('Black-Scholes'!$B$8-'Black-Scholes'!$B$10-'Black-Scholes'!$B$9^2/2)*'Black-Scholes'!$B$7+'Black-Scholes'!$B$9*SQRT('Black-Scholes'!$B$7)*B3720)</f>
        <v>129.971815963917</v>
      </c>
      <c r="D3720" s="18" t="n">
        <f aca="false">'Black-Scholes'!$B$5*EXP(('Black-Scholes'!$B$8-'Black-Scholes'!$B$10-'Black-Scholes'!$B$9^2/2)*'Black-Scholes'!$B$7-'Black-Scholes'!$B$9*SQRT('Black-Scholes'!$B$7)*B3720)</f>
        <v>81.6974463786942</v>
      </c>
      <c r="E3720" s="18" t="n">
        <f aca="false">EXP(-'Black-Scholes'!$B$8*'Black-Scholes'!$B$7)*IF(LOWER('Black-Scholes'!$B$11)="put",MAX('Black-Scholes'!$B$6-C3720,0),MAX(C3720-'Black-Scholes'!$B$6,0))</f>
        <v>28.5100732505978</v>
      </c>
      <c r="F3720" s="18" t="n">
        <f aca="false">(E3720+G3720)/2</f>
        <v>14.2550366252989</v>
      </c>
      <c r="G3720" s="18" t="n">
        <f aca="false">EXP(-'Black-Scholes'!$B$8*'Black-Scholes'!$B$7)*IF(LOWER('Black-Scholes'!$B$11)="put",MAX('Black-Scholes'!$B$6-D3720,0),MAX(D3720-'Black-Scholes'!$B$6,0))</f>
        <v>0</v>
      </c>
    </row>
    <row r="3721" customFormat="false" ht="15" hidden="false" customHeight="false" outlineLevel="0" collapsed="false">
      <c r="A3721" s="0" t="n">
        <v>3710</v>
      </c>
      <c r="B3721" s="15" t="n">
        <v>-0.128459264912773</v>
      </c>
      <c r="C3721" s="18" t="n">
        <f aca="false">'Black-Scholes'!$B$5*EXP(('Black-Scholes'!$B$8-'Black-Scholes'!$B$10-'Black-Scholes'!$B$9^2/2)*'Black-Scholes'!$B$7+'Black-Scholes'!$B$9*SQRT('Black-Scholes'!$B$7)*B3721)</f>
        <v>100.43174404238</v>
      </c>
      <c r="D3721" s="18" t="n">
        <f aca="false">'Black-Scholes'!$B$5*EXP(('Black-Scholes'!$B$8-'Black-Scholes'!$B$10-'Black-Scholes'!$B$9^2/2)*'Black-Scholes'!$B$7-'Black-Scholes'!$B$9*SQRT('Black-Scholes'!$B$7)*B3721)</f>
        <v>105.727183837143</v>
      </c>
      <c r="E3721" s="18" t="n">
        <f aca="false">EXP(-'Black-Scholes'!$B$8*'Black-Scholes'!$B$7)*IF(LOWER('Black-Scholes'!$B$11)="put",MAX('Black-Scholes'!$B$6-C3721,0),MAX(C3721-'Black-Scholes'!$B$6,0))</f>
        <v>0.410687636964891</v>
      </c>
      <c r="F3721" s="18" t="n">
        <f aca="false">(E3721+G3721)/2</f>
        <v>2.92927671119</v>
      </c>
      <c r="G3721" s="18" t="n">
        <f aca="false">EXP(-'Black-Scholes'!$B$8*'Black-Scholes'!$B$7)*IF(LOWER('Black-Scholes'!$B$11)="put",MAX('Black-Scholes'!$B$6-D3721,0),MAX(D3721-'Black-Scholes'!$B$6,0))</f>
        <v>5.44786578541511</v>
      </c>
    </row>
    <row r="3722" customFormat="false" ht="15" hidden="false" customHeight="false" outlineLevel="0" collapsed="false">
      <c r="A3722" s="0" t="n">
        <v>3711</v>
      </c>
      <c r="B3722" s="15" t="n">
        <v>-0.0436550190810245</v>
      </c>
      <c r="C3722" s="18" t="n">
        <f aca="false">'Black-Scholes'!$B$5*EXP(('Black-Scholes'!$B$8-'Black-Scholes'!$B$10-'Black-Scholes'!$B$9^2/2)*'Black-Scholes'!$B$7+'Black-Scholes'!$B$9*SQRT('Black-Scholes'!$B$7)*B3722)</f>
        <v>102.149679342282</v>
      </c>
      <c r="D3722" s="18" t="n">
        <f aca="false">'Black-Scholes'!$B$5*EXP(('Black-Scholes'!$B$8-'Black-Scholes'!$B$10-'Black-Scholes'!$B$9^2/2)*'Black-Scholes'!$B$7-'Black-Scholes'!$B$9*SQRT('Black-Scholes'!$B$7)*B3722)</f>
        <v>103.949082697301</v>
      </c>
      <c r="E3722" s="18" t="n">
        <f aca="false">EXP(-'Black-Scholes'!$B$8*'Black-Scholes'!$B$7)*IF(LOWER('Black-Scholes'!$B$11)="put",MAX('Black-Scholes'!$B$6-C3722,0),MAX(C3722-'Black-Scholes'!$B$6,0))</f>
        <v>2.04483824361959</v>
      </c>
      <c r="F3722" s="18" t="n">
        <f aca="false">(E3722+G3722)/2</f>
        <v>2.90066095253942</v>
      </c>
      <c r="G3722" s="18" t="n">
        <f aca="false">EXP(-'Black-Scholes'!$B$8*'Black-Scholes'!$B$7)*IF(LOWER('Black-Scholes'!$B$11)="put",MAX('Black-Scholes'!$B$6-D3722,0),MAX(D3722-'Black-Scholes'!$B$6,0))</f>
        <v>3.75648366145926</v>
      </c>
    </row>
    <row r="3723" customFormat="false" ht="15" hidden="false" customHeight="false" outlineLevel="0" collapsed="false">
      <c r="A3723" s="0" t="n">
        <v>3712</v>
      </c>
      <c r="B3723" s="15" t="n">
        <v>0.298187429348827</v>
      </c>
      <c r="C3723" s="18" t="n">
        <f aca="false">'Black-Scholes'!$B$5*EXP(('Black-Scholes'!$B$8-'Black-Scholes'!$B$10-'Black-Scholes'!$B$9^2/2)*'Black-Scholes'!$B$7+'Black-Scholes'!$B$9*SQRT('Black-Scholes'!$B$7)*B3723)</f>
        <v>109.377770195402</v>
      </c>
      <c r="D3723" s="18" t="n">
        <f aca="false">'Black-Scholes'!$B$5*EXP(('Black-Scholes'!$B$8-'Black-Scholes'!$B$10-'Black-Scholes'!$B$9^2/2)*'Black-Scholes'!$B$7-'Black-Scholes'!$B$9*SQRT('Black-Scholes'!$B$7)*B3723)</f>
        <v>97.0797397541024</v>
      </c>
      <c r="E3723" s="18" t="n">
        <f aca="false">EXP(-'Black-Scholes'!$B$8*'Black-Scholes'!$B$7)*IF(LOWER('Black-Scholes'!$B$11)="put",MAX('Black-Scholes'!$B$6-C3723,0),MAX(C3723-'Black-Scholes'!$B$6,0))</f>
        <v>8.92041094607173</v>
      </c>
      <c r="F3723" s="18" t="n">
        <f aca="false">(E3723+G3723)/2</f>
        <v>4.46020547303586</v>
      </c>
      <c r="G3723" s="18" t="n">
        <f aca="false">EXP(-'Black-Scholes'!$B$8*'Black-Scholes'!$B$7)*IF(LOWER('Black-Scholes'!$B$11)="put",MAX('Black-Scholes'!$B$6-D3723,0),MAX(D3723-'Black-Scholes'!$B$6,0))</f>
        <v>0</v>
      </c>
    </row>
    <row r="3724" customFormat="false" ht="15" hidden="false" customHeight="false" outlineLevel="0" collapsed="false">
      <c r="A3724" s="0" t="n">
        <v>3713</v>
      </c>
      <c r="B3724" s="15" t="n">
        <v>0.475573400666959</v>
      </c>
      <c r="C3724" s="18" t="n">
        <f aca="false">'Black-Scholes'!$B$5*EXP(('Black-Scholes'!$B$8-'Black-Scholes'!$B$10-'Black-Scholes'!$B$9^2/2)*'Black-Scholes'!$B$7+'Black-Scholes'!$B$9*SQRT('Black-Scholes'!$B$7)*B3724)</f>
        <v>113.327841013418</v>
      </c>
      <c r="D3724" s="18" t="n">
        <f aca="false">'Black-Scholes'!$B$5*EXP(('Black-Scholes'!$B$8-'Black-Scholes'!$B$10-'Black-Scholes'!$B$9^2/2)*'Black-Scholes'!$B$7-'Black-Scholes'!$B$9*SQRT('Black-Scholes'!$B$7)*B3724)</f>
        <v>93.6960006517408</v>
      </c>
      <c r="E3724" s="18" t="n">
        <f aca="false">EXP(-'Black-Scholes'!$B$8*'Black-Scholes'!$B$7)*IF(LOWER('Black-Scholes'!$B$11)="put",MAX('Black-Scholes'!$B$6-C3724,0),MAX(C3724-'Black-Scholes'!$B$6,0))</f>
        <v>12.6778345370307</v>
      </c>
      <c r="F3724" s="18" t="n">
        <f aca="false">(E3724+G3724)/2</f>
        <v>6.33891726851537</v>
      </c>
      <c r="G3724" s="18" t="n">
        <f aca="false">EXP(-'Black-Scholes'!$B$8*'Black-Scholes'!$B$7)*IF(LOWER('Black-Scholes'!$B$11)="put",MAX('Black-Scholes'!$B$6-D3724,0),MAX(D3724-'Black-Scholes'!$B$6,0))</f>
        <v>0</v>
      </c>
    </row>
    <row r="3725" customFormat="false" ht="15" hidden="false" customHeight="false" outlineLevel="0" collapsed="false">
      <c r="A3725" s="0" t="n">
        <v>3714</v>
      </c>
      <c r="B3725" s="15" t="n">
        <v>1.45063687522789</v>
      </c>
      <c r="C3725" s="18" t="n">
        <f aca="false">'Black-Scholes'!$B$5*EXP(('Black-Scholes'!$B$8-'Black-Scholes'!$B$10-'Black-Scholes'!$B$9^2/2)*'Black-Scholes'!$B$7+'Black-Scholes'!$B$9*SQRT('Black-Scholes'!$B$7)*B3725)</f>
        <v>137.730318721972</v>
      </c>
      <c r="D3725" s="18" t="n">
        <f aca="false">'Black-Scholes'!$B$5*EXP(('Black-Scholes'!$B$8-'Black-Scholes'!$B$10-'Black-Scholes'!$B$9^2/2)*'Black-Scholes'!$B$7-'Black-Scholes'!$B$9*SQRT('Black-Scholes'!$B$7)*B3725)</f>
        <v>77.0953379327341</v>
      </c>
      <c r="E3725" s="18" t="n">
        <f aca="false">EXP(-'Black-Scholes'!$B$8*'Black-Scholes'!$B$7)*IF(LOWER('Black-Scholes'!$B$11)="put",MAX('Black-Scholes'!$B$6-C3725,0),MAX(C3725-'Black-Scholes'!$B$6,0))</f>
        <v>35.8901893641298</v>
      </c>
      <c r="F3725" s="18" t="n">
        <f aca="false">(E3725+G3725)/2</f>
        <v>17.9450946820649</v>
      </c>
      <c r="G3725" s="18" t="n">
        <f aca="false">EXP(-'Black-Scholes'!$B$8*'Black-Scholes'!$B$7)*IF(LOWER('Black-Scholes'!$B$11)="put",MAX('Black-Scholes'!$B$6-D3725,0),MAX(D3725-'Black-Scholes'!$B$6,0))</f>
        <v>0</v>
      </c>
    </row>
    <row r="3726" customFormat="false" ht="15" hidden="false" customHeight="false" outlineLevel="0" collapsed="false">
      <c r="A3726" s="0" t="n">
        <v>3715</v>
      </c>
      <c r="B3726" s="15" t="n">
        <v>-1.21512017448399</v>
      </c>
      <c r="C3726" s="18" t="n">
        <f aca="false">'Black-Scholes'!$B$5*EXP(('Black-Scholes'!$B$8-'Black-Scholes'!$B$10-'Black-Scholes'!$B$9^2/2)*'Black-Scholes'!$B$7+'Black-Scholes'!$B$9*SQRT('Black-Scholes'!$B$7)*B3726)</f>
        <v>80.8136713500558</v>
      </c>
      <c r="D3726" s="18" t="n">
        <f aca="false">'Black-Scholes'!$B$5*EXP(('Black-Scholes'!$B$8-'Black-Scholes'!$B$10-'Black-Scholes'!$B$9^2/2)*'Black-Scholes'!$B$7-'Black-Scholes'!$B$9*SQRT('Black-Scholes'!$B$7)*B3726)</f>
        <v>131.393182466103</v>
      </c>
      <c r="E3726" s="18" t="n">
        <f aca="false">EXP(-'Black-Scholes'!$B$8*'Black-Scholes'!$B$7)*IF(LOWER('Black-Scholes'!$B$11)="put",MAX('Black-Scholes'!$B$6-C3726,0),MAX(C3726-'Black-Scholes'!$B$6,0))</f>
        <v>0</v>
      </c>
      <c r="F3726" s="18" t="n">
        <f aca="false">(E3726+G3726)/2</f>
        <v>14.9310594452387</v>
      </c>
      <c r="G3726" s="18" t="n">
        <f aca="false">EXP(-'Black-Scholes'!$B$8*'Black-Scholes'!$B$7)*IF(LOWER('Black-Scholes'!$B$11)="put",MAX('Black-Scholes'!$B$6-D3726,0),MAX(D3726-'Black-Scholes'!$B$6,0))</f>
        <v>29.8621188904774</v>
      </c>
    </row>
    <row r="3727" customFormat="false" ht="15" hidden="false" customHeight="false" outlineLevel="0" collapsed="false">
      <c r="A3727" s="0" t="n">
        <v>3716</v>
      </c>
      <c r="B3727" s="15" t="n">
        <v>3.48037953090271</v>
      </c>
      <c r="C3727" s="18" t="n">
        <f aca="false">'Black-Scholes'!$B$5*EXP(('Black-Scholes'!$B$8-'Black-Scholes'!$B$10-'Black-Scholes'!$B$9^2/2)*'Black-Scholes'!$B$7+'Black-Scholes'!$B$9*SQRT('Black-Scholes'!$B$7)*B3727)</f>
        <v>206.695375238643</v>
      </c>
      <c r="D3727" s="18" t="n">
        <f aca="false">'Black-Scholes'!$B$5*EXP(('Black-Scholes'!$B$8-'Black-Scholes'!$B$10-'Black-Scholes'!$B$9^2/2)*'Black-Scholes'!$B$7-'Black-Scholes'!$B$9*SQRT('Black-Scholes'!$B$7)*B3727)</f>
        <v>51.3720515187823</v>
      </c>
      <c r="E3727" s="18" t="n">
        <f aca="false">EXP(-'Black-Scholes'!$B$8*'Black-Scholes'!$B$7)*IF(LOWER('Black-Scholes'!$B$11)="put",MAX('Black-Scholes'!$B$6-C3727,0),MAX(C3727-'Black-Scholes'!$B$6,0))</f>
        <v>101.491780385142</v>
      </c>
      <c r="F3727" s="18" t="n">
        <f aca="false">(E3727+G3727)/2</f>
        <v>50.745890192571</v>
      </c>
      <c r="G3727" s="18" t="n">
        <f aca="false">EXP(-'Black-Scholes'!$B$8*'Black-Scholes'!$B$7)*IF(LOWER('Black-Scholes'!$B$11)="put",MAX('Black-Scholes'!$B$6-D3727,0),MAX(D3727-'Black-Scholes'!$B$6,0))</f>
        <v>0</v>
      </c>
    </row>
    <row r="3728" customFormat="false" ht="15" hidden="false" customHeight="false" outlineLevel="0" collapsed="false">
      <c r="A3728" s="0" t="n">
        <v>3717</v>
      </c>
      <c r="B3728" s="15" t="n">
        <v>1.25399574286683</v>
      </c>
      <c r="C3728" s="18" t="n">
        <f aca="false">'Black-Scholes'!$B$5*EXP(('Black-Scholes'!$B$8-'Black-Scholes'!$B$10-'Black-Scholes'!$B$9^2/2)*'Black-Scholes'!$B$7+'Black-Scholes'!$B$9*SQRT('Black-Scholes'!$B$7)*B3728)</f>
        <v>132.41876122527</v>
      </c>
      <c r="D3728" s="18" t="n">
        <f aca="false">'Black-Scholes'!$B$5*EXP(('Black-Scholes'!$B$8-'Black-Scholes'!$B$10-'Black-Scholes'!$B$9^2/2)*'Black-Scholes'!$B$7-'Black-Scholes'!$B$9*SQRT('Black-Scholes'!$B$7)*B3728)</f>
        <v>80.1877722401415</v>
      </c>
      <c r="E3728" s="18" t="n">
        <f aca="false">EXP(-'Black-Scholes'!$B$8*'Black-Scholes'!$B$7)*IF(LOWER('Black-Scholes'!$B$11)="put",MAX('Black-Scholes'!$B$6-C3728,0),MAX(C3728-'Black-Scholes'!$B$6,0))</f>
        <v>30.8376795833392</v>
      </c>
      <c r="F3728" s="18" t="n">
        <f aca="false">(E3728+G3728)/2</f>
        <v>15.4188397916696</v>
      </c>
      <c r="G3728" s="18" t="n">
        <f aca="false">EXP(-'Black-Scholes'!$B$8*'Black-Scholes'!$B$7)*IF(LOWER('Black-Scholes'!$B$11)="put",MAX('Black-Scholes'!$B$6-D3728,0),MAX(D3728-'Black-Scholes'!$B$6,0))</f>
        <v>0</v>
      </c>
    </row>
    <row r="3729" customFormat="false" ht="15" hidden="false" customHeight="false" outlineLevel="0" collapsed="false">
      <c r="A3729" s="0" t="n">
        <v>3718</v>
      </c>
      <c r="B3729" s="15" t="n">
        <v>0.126585099281149</v>
      </c>
      <c r="C3729" s="18" t="n">
        <f aca="false">'Black-Scholes'!$B$5*EXP(('Black-Scholes'!$B$8-'Black-Scholes'!$B$10-'Black-Scholes'!$B$9^2/2)*'Black-Scholes'!$B$7+'Black-Scholes'!$B$9*SQRT('Black-Scholes'!$B$7)*B3729)</f>
        <v>105.687561212688</v>
      </c>
      <c r="D3729" s="18" t="n">
        <f aca="false">'Black-Scholes'!$B$5*EXP(('Black-Scholes'!$B$8-'Black-Scholes'!$B$10-'Black-Scholes'!$B$9^2/2)*'Black-Scholes'!$B$7-'Black-Scholes'!$B$9*SQRT('Black-Scholes'!$B$7)*B3729)</f>
        <v>100.469396243187</v>
      </c>
      <c r="E3729" s="18" t="n">
        <f aca="false">EXP(-'Black-Scholes'!$B$8*'Black-Scholes'!$B$7)*IF(LOWER('Black-Scholes'!$B$11)="put",MAX('Black-Scholes'!$B$6-C3729,0),MAX(C3729-'Black-Scholes'!$B$6,0))</f>
        <v>5.41017557915739</v>
      </c>
      <c r="F3729" s="18" t="n">
        <f aca="false">(E3729+G3729)/2</f>
        <v>2.9283395487135</v>
      </c>
      <c r="G3729" s="18" t="n">
        <f aca="false">EXP(-'Black-Scholes'!$B$8*'Black-Scholes'!$B$7)*IF(LOWER('Black-Scholes'!$B$11)="put",MAX('Black-Scholes'!$B$6-D3729,0),MAX(D3729-'Black-Scholes'!$B$6,0))</f>
        <v>0.446503518269614</v>
      </c>
    </row>
    <row r="3730" customFormat="false" ht="15" hidden="false" customHeight="false" outlineLevel="0" collapsed="false">
      <c r="A3730" s="0" t="n">
        <v>3719</v>
      </c>
      <c r="B3730" s="15" t="n">
        <v>-1.48395182252446</v>
      </c>
      <c r="C3730" s="18" t="n">
        <f aca="false">'Black-Scholes'!$B$5*EXP(('Black-Scholes'!$B$8-'Black-Scholes'!$B$10-'Black-Scholes'!$B$9^2/2)*'Black-Scholes'!$B$7+'Black-Scholes'!$B$9*SQRT('Black-Scholes'!$B$7)*B3730)</f>
        <v>76.583360054451</v>
      </c>
      <c r="D3730" s="18" t="n">
        <f aca="false">'Black-Scholes'!$B$5*EXP(('Black-Scholes'!$B$8-'Black-Scholes'!$B$10-'Black-Scholes'!$B$9^2/2)*'Black-Scholes'!$B$7-'Black-Scholes'!$B$9*SQRT('Black-Scholes'!$B$7)*B3730)</f>
        <v>138.65107848368</v>
      </c>
      <c r="E3730" s="18" t="n">
        <f aca="false">EXP(-'Black-Scholes'!$B$8*'Black-Scholes'!$B$7)*IF(LOWER('Black-Scholes'!$B$11)="put",MAX('Black-Scholes'!$B$6-C3730,0),MAX(C3730-'Black-Scholes'!$B$6,0))</f>
        <v>0</v>
      </c>
      <c r="F3730" s="18" t="n">
        <f aca="false">(E3730+G3730)/2</f>
        <v>18.3830215711814</v>
      </c>
      <c r="G3730" s="18" t="n">
        <f aca="false">EXP(-'Black-Scholes'!$B$8*'Black-Scholes'!$B$7)*IF(LOWER('Black-Scholes'!$B$11)="put",MAX('Black-Scholes'!$B$6-D3730,0),MAX(D3730-'Black-Scholes'!$B$6,0))</f>
        <v>36.7660431423627</v>
      </c>
    </row>
    <row r="3731" customFormat="false" ht="15" hidden="false" customHeight="false" outlineLevel="0" collapsed="false">
      <c r="A3731" s="0" t="n">
        <v>3720</v>
      </c>
      <c r="B3731" s="15" t="n">
        <v>-1.27507803450275</v>
      </c>
      <c r="C3731" s="18" t="n">
        <f aca="false">'Black-Scholes'!$B$5*EXP(('Black-Scholes'!$B$8-'Black-Scholes'!$B$10-'Black-Scholes'!$B$9^2/2)*'Black-Scholes'!$B$7+'Black-Scholes'!$B$9*SQRT('Black-Scholes'!$B$7)*B3731)</f>
        <v>79.8503756493413</v>
      </c>
      <c r="D3731" s="18" t="n">
        <f aca="false">'Black-Scholes'!$B$5*EXP(('Black-Scholes'!$B$8-'Black-Scholes'!$B$10-'Black-Scholes'!$B$9^2/2)*'Black-Scholes'!$B$7-'Black-Scholes'!$B$9*SQRT('Black-Scholes'!$B$7)*B3731)</f>
        <v>132.978278174715</v>
      </c>
      <c r="E3731" s="18" t="n">
        <f aca="false">EXP(-'Black-Scholes'!$B$8*'Black-Scholes'!$B$7)*IF(LOWER('Black-Scholes'!$B$11)="put",MAX('Black-Scholes'!$B$6-C3731,0),MAX(C3731-'Black-Scholes'!$B$6,0))</f>
        <v>0</v>
      </c>
      <c r="F3731" s="18" t="n">
        <f aca="false">(E3731+G3731)/2</f>
        <v>15.6849542845793</v>
      </c>
      <c r="G3731" s="18" t="n">
        <f aca="false">EXP(-'Black-Scholes'!$B$8*'Black-Scholes'!$B$7)*IF(LOWER('Black-Scholes'!$B$11)="put",MAX('Black-Scholes'!$B$6-D3731,0),MAX(D3731-'Black-Scholes'!$B$6,0))</f>
        <v>31.3699085691586</v>
      </c>
    </row>
    <row r="3732" customFormat="false" ht="15" hidden="false" customHeight="false" outlineLevel="0" collapsed="false">
      <c r="A3732" s="0" t="n">
        <v>3721</v>
      </c>
      <c r="B3732" s="15" t="n">
        <v>0.181252810234206</v>
      </c>
      <c r="C3732" s="18" t="n">
        <f aca="false">'Black-Scholes'!$B$5*EXP(('Black-Scholes'!$B$8-'Black-Scholes'!$B$10-'Black-Scholes'!$B$9^2/2)*'Black-Scholes'!$B$7+'Black-Scholes'!$B$9*SQRT('Black-Scholes'!$B$7)*B3732)</f>
        <v>106.849440777389</v>
      </c>
      <c r="D3732" s="18" t="n">
        <f aca="false">'Black-Scholes'!$B$5*EXP(('Black-Scholes'!$B$8-'Black-Scholes'!$B$10-'Black-Scholes'!$B$9^2/2)*'Black-Scholes'!$B$7-'Black-Scholes'!$B$9*SQRT('Black-Scholes'!$B$7)*B3732)</f>
        <v>99.3768932078549</v>
      </c>
      <c r="E3732" s="18" t="n">
        <f aca="false">EXP(-'Black-Scholes'!$B$8*'Black-Scholes'!$B$7)*IF(LOWER('Black-Scholes'!$B$11)="put",MAX('Black-Scholes'!$B$6-C3732,0),MAX(C3732-'Black-Scholes'!$B$6,0))</f>
        <v>6.51538960882743</v>
      </c>
      <c r="F3732" s="18" t="n">
        <f aca="false">(E3732+G3732)/2</f>
        <v>3.25769480441371</v>
      </c>
      <c r="G3732" s="18" t="n">
        <f aca="false">EXP(-'Black-Scholes'!$B$8*'Black-Scholes'!$B$7)*IF(LOWER('Black-Scholes'!$B$11)="put",MAX('Black-Scholes'!$B$6-D3732,0),MAX(D3732-'Black-Scholes'!$B$6,0))</f>
        <v>0</v>
      </c>
    </row>
    <row r="3733" customFormat="false" ht="15" hidden="false" customHeight="false" outlineLevel="0" collapsed="false">
      <c r="A3733" s="0" t="n">
        <v>3722</v>
      </c>
      <c r="B3733" s="15" t="n">
        <v>-0.209419726002282</v>
      </c>
      <c r="C3733" s="18" t="n">
        <f aca="false">'Black-Scholes'!$B$5*EXP(('Black-Scholes'!$B$8-'Black-Scholes'!$B$10-'Black-Scholes'!$B$9^2/2)*'Black-Scholes'!$B$7+'Black-Scholes'!$B$9*SQRT('Black-Scholes'!$B$7)*B3733)</f>
        <v>98.8186389980788</v>
      </c>
      <c r="D3733" s="18" t="n">
        <f aca="false">'Black-Scholes'!$B$5*EXP(('Black-Scholes'!$B$8-'Black-Scholes'!$B$10-'Black-Scholes'!$B$9^2/2)*'Black-Scholes'!$B$7-'Black-Scholes'!$B$9*SQRT('Black-Scholes'!$B$7)*B3733)</f>
        <v>107.453063239011</v>
      </c>
      <c r="E3733" s="18" t="n">
        <f aca="false">EXP(-'Black-Scholes'!$B$8*'Black-Scholes'!$B$7)*IF(LOWER('Black-Scholes'!$B$11)="put",MAX('Black-Scholes'!$B$6-C3733,0),MAX(C3733-'Black-Scholes'!$B$6,0))</f>
        <v>0</v>
      </c>
      <c r="F3733" s="18" t="n">
        <f aca="false">(E3733+G3733)/2</f>
        <v>3.54478652780611</v>
      </c>
      <c r="G3733" s="18" t="n">
        <f aca="false">EXP(-'Black-Scholes'!$B$8*'Black-Scholes'!$B$7)*IF(LOWER('Black-Scholes'!$B$11)="put",MAX('Black-Scholes'!$B$6-D3733,0),MAX(D3733-'Black-Scholes'!$B$6,0))</f>
        <v>7.08957305561223</v>
      </c>
    </row>
    <row r="3734" customFormat="false" ht="15" hidden="false" customHeight="false" outlineLevel="0" collapsed="false">
      <c r="A3734" s="0" t="n">
        <v>3723</v>
      </c>
      <c r="B3734" s="15" t="n">
        <v>-0.131119483844724</v>
      </c>
      <c r="C3734" s="18" t="n">
        <f aca="false">'Black-Scholes'!$B$5*EXP(('Black-Scholes'!$B$8-'Black-Scholes'!$B$10-'Black-Scholes'!$B$9^2/2)*'Black-Scholes'!$B$7+'Black-Scholes'!$B$9*SQRT('Black-Scholes'!$B$7)*B3734)</f>
        <v>100.378324169122</v>
      </c>
      <c r="D3734" s="18" t="n">
        <f aca="false">'Black-Scholes'!$B$5*EXP(('Black-Scholes'!$B$8-'Black-Scholes'!$B$10-'Black-Scholes'!$B$9^2/2)*'Black-Scholes'!$B$7-'Black-Scholes'!$B$9*SQRT('Black-Scholes'!$B$7)*B3734)</f>
        <v>105.783450295138</v>
      </c>
      <c r="E3734" s="18" t="n">
        <f aca="false">EXP(-'Black-Scholes'!$B$8*'Black-Scholes'!$B$7)*IF(LOWER('Black-Scholes'!$B$11)="put",MAX('Black-Scholes'!$B$6-C3734,0),MAX(C3734-'Black-Scholes'!$B$6,0))</f>
        <v>0.359873081668681</v>
      </c>
      <c r="F3734" s="18" t="n">
        <f aca="false">(E3734+G3734)/2</f>
        <v>2.93063058877076</v>
      </c>
      <c r="G3734" s="18" t="n">
        <f aca="false">EXP(-'Black-Scholes'!$B$8*'Black-Scholes'!$B$7)*IF(LOWER('Black-Scholes'!$B$11)="put",MAX('Black-Scholes'!$B$6-D3734,0),MAX(D3734-'Black-Scholes'!$B$6,0))</f>
        <v>5.50138809587284</v>
      </c>
    </row>
    <row r="3735" customFormat="false" ht="15" hidden="false" customHeight="false" outlineLevel="0" collapsed="false">
      <c r="A3735" s="0" t="n">
        <v>3724</v>
      </c>
      <c r="B3735" s="15" t="n">
        <v>0.36669411395886</v>
      </c>
      <c r="C3735" s="18" t="n">
        <f aca="false">'Black-Scholes'!$B$5*EXP(('Black-Scholes'!$B$8-'Black-Scholes'!$B$10-'Black-Scholes'!$B$9^2/2)*'Black-Scholes'!$B$7+'Black-Scholes'!$B$9*SQRT('Black-Scholes'!$B$7)*B3735)</f>
        <v>110.886705486497</v>
      </c>
      <c r="D3735" s="18" t="n">
        <f aca="false">'Black-Scholes'!$B$5*EXP(('Black-Scholes'!$B$8-'Black-Scholes'!$B$10-'Black-Scholes'!$B$9^2/2)*'Black-Scholes'!$B$7-'Black-Scholes'!$B$9*SQRT('Black-Scholes'!$B$7)*B3735)</f>
        <v>95.7586882833906</v>
      </c>
      <c r="E3735" s="18" t="n">
        <f aca="false">EXP(-'Black-Scholes'!$B$8*'Black-Scholes'!$B$7)*IF(LOWER('Black-Scholes'!$B$11)="put",MAX('Black-Scholes'!$B$6-C3735,0),MAX(C3735-'Black-Scholes'!$B$6,0))</f>
        <v>10.3557545946293</v>
      </c>
      <c r="F3735" s="18" t="n">
        <f aca="false">(E3735+G3735)/2</f>
        <v>5.17787729731463</v>
      </c>
      <c r="G3735" s="18" t="n">
        <f aca="false">EXP(-'Black-Scholes'!$B$8*'Black-Scholes'!$B$7)*IF(LOWER('Black-Scholes'!$B$11)="put",MAX('Black-Scholes'!$B$6-D3735,0),MAX(D3735-'Black-Scholes'!$B$6,0))</f>
        <v>0</v>
      </c>
    </row>
    <row r="3736" customFormat="false" ht="15" hidden="false" customHeight="false" outlineLevel="0" collapsed="false">
      <c r="A3736" s="0" t="n">
        <v>3725</v>
      </c>
      <c r="B3736" s="15" t="n">
        <v>0.858330656153299</v>
      </c>
      <c r="C3736" s="18" t="n">
        <f aca="false">'Black-Scholes'!$B$5*EXP(('Black-Scholes'!$B$8-'Black-Scholes'!$B$10-'Black-Scholes'!$B$9^2/2)*'Black-Scholes'!$B$7+'Black-Scholes'!$B$9*SQRT('Black-Scholes'!$B$7)*B3736)</f>
        <v>122.34394716856</v>
      </c>
      <c r="D3736" s="18" t="n">
        <f aca="false">'Black-Scholes'!$B$5*EXP(('Black-Scholes'!$B$8-'Black-Scholes'!$B$10-'Black-Scholes'!$B$9^2/2)*'Black-Scholes'!$B$7-'Black-Scholes'!$B$9*SQRT('Black-Scholes'!$B$7)*B3736)</f>
        <v>86.791097648861</v>
      </c>
      <c r="E3736" s="18" t="n">
        <f aca="false">EXP(-'Black-Scholes'!$B$8*'Black-Scholes'!$B$7)*IF(LOWER('Black-Scholes'!$B$11)="put",MAX('Black-Scholes'!$B$6-C3736,0),MAX(C3736-'Black-Scholes'!$B$6,0))</f>
        <v>21.2542200062239</v>
      </c>
      <c r="F3736" s="18" t="n">
        <f aca="false">(E3736+G3736)/2</f>
        <v>10.627110003112</v>
      </c>
      <c r="G3736" s="18" t="n">
        <f aca="false">EXP(-'Black-Scholes'!$B$8*'Black-Scholes'!$B$7)*IF(LOWER('Black-Scholes'!$B$11)="put",MAX('Black-Scholes'!$B$6-D3736,0),MAX(D3736-'Black-Scholes'!$B$6,0))</f>
        <v>0</v>
      </c>
    </row>
    <row r="3737" customFormat="false" ht="15" hidden="false" customHeight="false" outlineLevel="0" collapsed="false">
      <c r="A3737" s="0" t="n">
        <v>3726</v>
      </c>
      <c r="B3737" s="15" t="n">
        <v>2.05598870769725</v>
      </c>
      <c r="C3737" s="18" t="n">
        <f aca="false">'Black-Scholes'!$B$5*EXP(('Black-Scholes'!$B$8-'Black-Scholes'!$B$10-'Black-Scholes'!$B$9^2/2)*'Black-Scholes'!$B$7+'Black-Scholes'!$B$9*SQRT('Black-Scholes'!$B$7)*B3737)</f>
        <v>155.456807463543</v>
      </c>
      <c r="D3737" s="18" t="n">
        <f aca="false">'Black-Scholes'!$B$5*EXP(('Black-Scholes'!$B$8-'Black-Scholes'!$B$10-'Black-Scholes'!$B$9^2/2)*'Black-Scholes'!$B$7-'Black-Scholes'!$B$9*SQRT('Black-Scholes'!$B$7)*B3737)</f>
        <v>68.3042810328122</v>
      </c>
      <c r="E3737" s="18" t="n">
        <f aca="false">EXP(-'Black-Scholes'!$B$8*'Black-Scholes'!$B$7)*IF(LOWER('Black-Scholes'!$B$11)="put",MAX('Black-Scholes'!$B$6-C3737,0),MAX(C3737-'Black-Scholes'!$B$6,0))</f>
        <v>52.7521470481925</v>
      </c>
      <c r="F3737" s="18" t="n">
        <f aca="false">(E3737+G3737)/2</f>
        <v>26.3760735240963</v>
      </c>
      <c r="G3737" s="18" t="n">
        <f aca="false">EXP(-'Black-Scholes'!$B$8*'Black-Scholes'!$B$7)*IF(LOWER('Black-Scholes'!$B$11)="put",MAX('Black-Scholes'!$B$6-D3737,0),MAX(D3737-'Black-Scholes'!$B$6,0))</f>
        <v>0</v>
      </c>
    </row>
    <row r="3738" customFormat="false" ht="15" hidden="false" customHeight="false" outlineLevel="0" collapsed="false">
      <c r="A3738" s="0" t="n">
        <v>3727</v>
      </c>
      <c r="B3738" s="15" t="n">
        <v>0.183475452355958</v>
      </c>
      <c r="C3738" s="18" t="n">
        <f aca="false">'Black-Scholes'!$B$5*EXP(('Black-Scholes'!$B$8-'Black-Scholes'!$B$10-'Black-Scholes'!$B$9^2/2)*'Black-Scholes'!$B$7+'Black-Scholes'!$B$9*SQRT('Black-Scholes'!$B$7)*B3738)</f>
        <v>106.896948949525</v>
      </c>
      <c r="D3738" s="18" t="n">
        <f aca="false">'Black-Scholes'!$B$5*EXP(('Black-Scholes'!$B$8-'Black-Scholes'!$B$10-'Black-Scholes'!$B$9^2/2)*'Black-Scholes'!$B$7-'Black-Scholes'!$B$9*SQRT('Black-Scholes'!$B$7)*B3738)</f>
        <v>99.3327271713569</v>
      </c>
      <c r="E3738" s="18" t="n">
        <f aca="false">EXP(-'Black-Scholes'!$B$8*'Black-Scholes'!$B$7)*IF(LOWER('Black-Scholes'!$B$11)="put",MAX('Black-Scholes'!$B$6-C3738,0),MAX(C3738-'Black-Scholes'!$B$6,0))</f>
        <v>6.56058078006709</v>
      </c>
      <c r="F3738" s="18" t="n">
        <f aca="false">(E3738+G3738)/2</f>
        <v>3.28029039003354</v>
      </c>
      <c r="G3738" s="18" t="n">
        <f aca="false">EXP(-'Black-Scholes'!$B$8*'Black-Scholes'!$B$7)*IF(LOWER('Black-Scholes'!$B$11)="put",MAX('Black-Scholes'!$B$6-D3738,0),MAX(D3738-'Black-Scholes'!$B$6,0))</f>
        <v>0</v>
      </c>
    </row>
    <row r="3739" customFormat="false" ht="15" hidden="false" customHeight="false" outlineLevel="0" collapsed="false">
      <c r="A3739" s="0" t="n">
        <v>3728</v>
      </c>
      <c r="B3739" s="15" t="n">
        <v>0.209486617498531</v>
      </c>
      <c r="C3739" s="18" t="n">
        <f aca="false">'Black-Scholes'!$B$5*EXP(('Black-Scholes'!$B$8-'Black-Scholes'!$B$10-'Black-Scholes'!$B$9^2/2)*'Black-Scholes'!$B$7+'Black-Scholes'!$B$9*SQRT('Black-Scholes'!$B$7)*B3739)</f>
        <v>107.454500787863</v>
      </c>
      <c r="D3739" s="18" t="n">
        <f aca="false">'Black-Scholes'!$B$5*EXP(('Black-Scholes'!$B$8-'Black-Scholes'!$B$10-'Black-Scholes'!$B$9^2/2)*'Black-Scholes'!$B$7-'Black-Scholes'!$B$9*SQRT('Black-Scholes'!$B$7)*B3739)</f>
        <v>98.817316981598</v>
      </c>
      <c r="E3739" s="18" t="n">
        <f aca="false">EXP(-'Black-Scholes'!$B$8*'Black-Scholes'!$B$7)*IF(LOWER('Black-Scholes'!$B$11)="put",MAX('Black-Scholes'!$B$6-C3739,0),MAX(C3739-'Black-Scholes'!$B$6,0))</f>
        <v>7.09094049437873</v>
      </c>
      <c r="F3739" s="18" t="n">
        <f aca="false">(E3739+G3739)/2</f>
        <v>3.54547024718936</v>
      </c>
      <c r="G3739" s="18" t="n">
        <f aca="false">EXP(-'Black-Scholes'!$B$8*'Black-Scholes'!$B$7)*IF(LOWER('Black-Scholes'!$B$11)="put",MAX('Black-Scholes'!$B$6-D3739,0),MAX(D3739-'Black-Scholes'!$B$6,0))</f>
        <v>0</v>
      </c>
    </row>
    <row r="3740" customFormat="false" ht="15" hidden="false" customHeight="false" outlineLevel="0" collapsed="false">
      <c r="A3740" s="0" t="n">
        <v>3729</v>
      </c>
      <c r="B3740" s="15" t="n">
        <v>-0.112413078753551</v>
      </c>
      <c r="C3740" s="18" t="n">
        <f aca="false">'Black-Scholes'!$B$5*EXP(('Black-Scholes'!$B$8-'Black-Scholes'!$B$10-'Black-Scholes'!$B$9^2/2)*'Black-Scholes'!$B$7+'Black-Scholes'!$B$9*SQRT('Black-Scholes'!$B$7)*B3740)</f>
        <v>100.754571071809</v>
      </c>
      <c r="D3740" s="18" t="n">
        <f aca="false">'Black-Scholes'!$B$5*EXP(('Black-Scholes'!$B$8-'Black-Scholes'!$B$10-'Black-Scholes'!$B$9^2/2)*'Black-Scholes'!$B$7-'Black-Scholes'!$B$9*SQRT('Black-Scholes'!$B$7)*B3740)</f>
        <v>105.388424093292</v>
      </c>
      <c r="E3740" s="18" t="n">
        <f aca="false">EXP(-'Black-Scholes'!$B$8*'Black-Scholes'!$B$7)*IF(LOWER('Black-Scholes'!$B$11)="put",MAX('Black-Scholes'!$B$6-C3740,0),MAX(C3740-'Black-Scholes'!$B$6,0))</f>
        <v>0.717770206382218</v>
      </c>
      <c r="F3740" s="18" t="n">
        <f aca="false">(E3740+G3740)/2</f>
        <v>2.92169887780512</v>
      </c>
      <c r="G3740" s="18" t="n">
        <f aca="false">EXP(-'Black-Scholes'!$B$8*'Black-Scholes'!$B$7)*IF(LOWER('Black-Scholes'!$B$11)="put",MAX('Black-Scholes'!$B$6-D3740,0),MAX(D3740-'Black-Scholes'!$B$6,0))</f>
        <v>5.12562754922803</v>
      </c>
    </row>
    <row r="3741" customFormat="false" ht="15" hidden="false" customHeight="false" outlineLevel="0" collapsed="false">
      <c r="A3741" s="0" t="n">
        <v>3730</v>
      </c>
      <c r="B3741" s="15" t="n">
        <v>-0.0409432641438093</v>
      </c>
      <c r="C3741" s="18" t="n">
        <f aca="false">'Black-Scholes'!$B$5*EXP(('Black-Scholes'!$B$8-'Black-Scholes'!$B$10-'Black-Scholes'!$B$9^2/2)*'Black-Scholes'!$B$7+'Black-Scholes'!$B$9*SQRT('Black-Scholes'!$B$7)*B3741)</f>
        <v>102.205095347844</v>
      </c>
      <c r="D3741" s="18" t="n">
        <f aca="false">'Black-Scholes'!$B$5*EXP(('Black-Scholes'!$B$8-'Black-Scholes'!$B$10-'Black-Scholes'!$B$9^2/2)*'Black-Scholes'!$B$7-'Black-Scholes'!$B$9*SQRT('Black-Scholes'!$B$7)*B3741)</f>
        <v>103.892721094923</v>
      </c>
      <c r="E3741" s="18" t="n">
        <f aca="false">EXP(-'Black-Scholes'!$B$8*'Black-Scholes'!$B$7)*IF(LOWER('Black-Scholes'!$B$11)="put",MAX('Black-Scholes'!$B$6-C3741,0),MAX(C3741-'Black-Scholes'!$B$6,0))</f>
        <v>2.09755157869901</v>
      </c>
      <c r="F3741" s="18" t="n">
        <f aca="false">(E3741+G3741)/2</f>
        <v>2.90021121278224</v>
      </c>
      <c r="G3741" s="18" t="n">
        <f aca="false">EXP(-'Black-Scholes'!$B$8*'Black-Scholes'!$B$7)*IF(LOWER('Black-Scholes'!$B$11)="put",MAX('Black-Scholes'!$B$6-D3741,0),MAX(D3741-'Black-Scholes'!$B$6,0))</f>
        <v>3.70287084686548</v>
      </c>
    </row>
    <row r="3742" customFormat="false" ht="15" hidden="false" customHeight="false" outlineLevel="0" collapsed="false">
      <c r="A3742" s="0" t="n">
        <v>3731</v>
      </c>
      <c r="B3742" s="15" t="n">
        <v>0.268840756557203</v>
      </c>
      <c r="C3742" s="18" t="n">
        <f aca="false">'Black-Scholes'!$B$5*EXP(('Black-Scholes'!$B$8-'Black-Scholes'!$B$10-'Black-Scholes'!$B$9^2/2)*'Black-Scholes'!$B$7+'Black-Scholes'!$B$9*SQRT('Black-Scholes'!$B$7)*B3742)</f>
        <v>108.7376757706</v>
      </c>
      <c r="D3742" s="18" t="n">
        <f aca="false">'Black-Scholes'!$B$5*EXP(('Black-Scholes'!$B$8-'Black-Scholes'!$B$10-'Black-Scholes'!$B$9^2/2)*'Black-Scholes'!$B$7-'Black-Scholes'!$B$9*SQRT('Black-Scholes'!$B$7)*B3742)</f>
        <v>97.6512086560944</v>
      </c>
      <c r="E3742" s="18" t="n">
        <f aca="false">EXP(-'Black-Scholes'!$B$8*'Black-Scholes'!$B$7)*IF(LOWER('Black-Scholes'!$B$11)="put",MAX('Black-Scholes'!$B$6-C3742,0),MAX(C3742-'Black-Scholes'!$B$6,0))</f>
        <v>8.3115342947416</v>
      </c>
      <c r="F3742" s="18" t="n">
        <f aca="false">(E3742+G3742)/2</f>
        <v>4.1557671473708</v>
      </c>
      <c r="G3742" s="18" t="n">
        <f aca="false">EXP(-'Black-Scholes'!$B$8*'Black-Scholes'!$B$7)*IF(LOWER('Black-Scholes'!$B$11)="put",MAX('Black-Scholes'!$B$6-D3742,0),MAX(D3742-'Black-Scholes'!$B$6,0))</f>
        <v>0</v>
      </c>
    </row>
    <row r="3743" customFormat="false" ht="15" hidden="false" customHeight="false" outlineLevel="0" collapsed="false">
      <c r="A3743" s="0" t="n">
        <v>3732</v>
      </c>
      <c r="B3743" s="15" t="n">
        <v>1.14832696394949</v>
      </c>
      <c r="C3743" s="18" t="n">
        <f aca="false">'Black-Scholes'!$B$5*EXP(('Black-Scholes'!$B$8-'Black-Scholes'!$B$10-'Black-Scholes'!$B$9^2/2)*'Black-Scholes'!$B$7+'Black-Scholes'!$B$9*SQRT('Black-Scholes'!$B$7)*B3743)</f>
        <v>129.649619710311</v>
      </c>
      <c r="D3743" s="18" t="n">
        <f aca="false">'Black-Scholes'!$B$5*EXP(('Black-Scholes'!$B$8-'Black-Scholes'!$B$10-'Black-Scholes'!$B$9^2/2)*'Black-Scholes'!$B$7-'Black-Scholes'!$B$9*SQRT('Black-Scholes'!$B$7)*B3743)</f>
        <v>81.9004752129567</v>
      </c>
      <c r="E3743" s="18" t="n">
        <f aca="false">EXP(-'Black-Scholes'!$B$8*'Black-Scholes'!$B$7)*IF(LOWER('Black-Scholes'!$B$11)="put",MAX('Black-Scholes'!$B$6-C3743,0),MAX(C3743-'Black-Scholes'!$B$6,0))</f>
        <v>28.2035906937043</v>
      </c>
      <c r="F3743" s="18" t="n">
        <f aca="false">(E3743+G3743)/2</f>
        <v>14.1017953468521</v>
      </c>
      <c r="G3743" s="18" t="n">
        <f aca="false">EXP(-'Black-Scholes'!$B$8*'Black-Scholes'!$B$7)*IF(LOWER('Black-Scholes'!$B$11)="put",MAX('Black-Scholes'!$B$6-D3743,0),MAX(D3743-'Black-Scholes'!$B$6,0))</f>
        <v>0</v>
      </c>
    </row>
    <row r="3744" customFormat="false" ht="15" hidden="false" customHeight="false" outlineLevel="0" collapsed="false">
      <c r="A3744" s="0" t="n">
        <v>3733</v>
      </c>
      <c r="B3744" s="15" t="n">
        <v>0.0279651440466431</v>
      </c>
      <c r="C3744" s="18" t="n">
        <f aca="false">'Black-Scholes'!$B$5*EXP(('Black-Scholes'!$B$8-'Black-Scholes'!$B$10-'Black-Scholes'!$B$9^2/2)*'Black-Scholes'!$B$7+'Black-Scholes'!$B$9*SQRT('Black-Scholes'!$B$7)*B3744)</f>
        <v>103.623404326346</v>
      </c>
      <c r="D3744" s="18" t="n">
        <f aca="false">'Black-Scholes'!$B$5*EXP(('Black-Scholes'!$B$8-'Black-Scholes'!$B$10-'Black-Scholes'!$B$9^2/2)*'Black-Scholes'!$B$7-'Black-Scholes'!$B$9*SQRT('Black-Scholes'!$B$7)*B3744)</f>
        <v>102.470725937672</v>
      </c>
      <c r="E3744" s="18" t="n">
        <f aca="false">EXP(-'Black-Scholes'!$B$8*'Black-Scholes'!$B$7)*IF(LOWER('Black-Scholes'!$B$11)="put",MAX('Black-Scholes'!$B$6-C3744,0),MAX(C3744-'Black-Scholes'!$B$6,0))</f>
        <v>3.44668881208385</v>
      </c>
      <c r="F3744" s="18" t="n">
        <f aca="false">(E3744+G3744)/2</f>
        <v>2.89845801193722</v>
      </c>
      <c r="G3744" s="18" t="n">
        <f aca="false">EXP(-'Black-Scholes'!$B$8*'Black-Scholes'!$B$7)*IF(LOWER('Black-Scholes'!$B$11)="put",MAX('Black-Scholes'!$B$6-D3744,0),MAX(D3744-'Black-Scholes'!$B$6,0))</f>
        <v>2.35022721179059</v>
      </c>
    </row>
    <row r="3745" customFormat="false" ht="15" hidden="false" customHeight="false" outlineLevel="0" collapsed="false">
      <c r="A3745" s="0" t="n">
        <v>3734</v>
      </c>
      <c r="B3745" s="15" t="n">
        <v>-0.472321972310147</v>
      </c>
      <c r="C3745" s="18" t="n">
        <f aca="false">'Black-Scholes'!$B$5*EXP(('Black-Scholes'!$B$8-'Black-Scholes'!$B$10-'Black-Scholes'!$B$9^2/2)*'Black-Scholes'!$B$7+'Black-Scholes'!$B$9*SQRT('Black-Scholes'!$B$7)*B3745)</f>
        <v>93.7569496334055</v>
      </c>
      <c r="D3745" s="18" t="n">
        <f aca="false">'Black-Scholes'!$B$5*EXP(('Black-Scholes'!$B$8-'Black-Scholes'!$B$10-'Black-Scholes'!$B$9^2/2)*'Black-Scholes'!$B$7-'Black-Scholes'!$B$9*SQRT('Black-Scholes'!$B$7)*B3745)</f>
        <v>113.254169498602</v>
      </c>
      <c r="E3745" s="18" t="n">
        <f aca="false">EXP(-'Black-Scholes'!$B$8*'Black-Scholes'!$B$7)*IF(LOWER('Black-Scholes'!$B$11)="put",MAX('Black-Scholes'!$B$6-C3745,0),MAX(C3745-'Black-Scholes'!$B$6,0))</f>
        <v>0</v>
      </c>
      <c r="F3745" s="18" t="n">
        <f aca="false">(E3745+G3745)/2</f>
        <v>6.30387801219505</v>
      </c>
      <c r="G3745" s="18" t="n">
        <f aca="false">EXP(-'Black-Scholes'!$B$8*'Black-Scholes'!$B$7)*IF(LOWER('Black-Scholes'!$B$11)="put",MAX('Black-Scholes'!$B$6-D3745,0),MAX(D3745-'Black-Scholes'!$B$6,0))</f>
        <v>12.6077560243901</v>
      </c>
    </row>
    <row r="3746" customFormat="false" ht="15" hidden="false" customHeight="false" outlineLevel="0" collapsed="false">
      <c r="A3746" s="0" t="n">
        <v>3735</v>
      </c>
      <c r="B3746" s="15" t="n">
        <v>1.03123650191468</v>
      </c>
      <c r="C3746" s="18" t="n">
        <f aca="false">'Black-Scholes'!$B$5*EXP(('Black-Scholes'!$B$8-'Black-Scholes'!$B$10-'Black-Scholes'!$B$9^2/2)*'Black-Scholes'!$B$7+'Black-Scholes'!$B$9*SQRT('Black-Scholes'!$B$7)*B3746)</f>
        <v>126.648747427986</v>
      </c>
      <c r="D3746" s="18" t="n">
        <f aca="false">'Black-Scholes'!$B$5*EXP(('Black-Scholes'!$B$8-'Black-Scholes'!$B$10-'Black-Scholes'!$B$9^2/2)*'Black-Scholes'!$B$7-'Black-Scholes'!$B$9*SQRT('Black-Scholes'!$B$7)*B3746)</f>
        <v>83.8410618430424</v>
      </c>
      <c r="E3746" s="18" t="n">
        <f aca="false">EXP(-'Black-Scholes'!$B$8*'Black-Scholes'!$B$7)*IF(LOWER('Black-Scholes'!$B$11)="put",MAX('Black-Scholes'!$B$6-C3746,0),MAX(C3746-'Black-Scholes'!$B$6,0))</f>
        <v>25.3490726795875</v>
      </c>
      <c r="F3746" s="18" t="n">
        <f aca="false">(E3746+G3746)/2</f>
        <v>12.6745363397938</v>
      </c>
      <c r="G3746" s="18" t="n">
        <f aca="false">EXP(-'Black-Scholes'!$B$8*'Black-Scholes'!$B$7)*IF(LOWER('Black-Scholes'!$B$11)="put",MAX('Black-Scholes'!$B$6-D3746,0),MAX(D3746-'Black-Scholes'!$B$6,0))</f>
        <v>0</v>
      </c>
    </row>
    <row r="3747" customFormat="false" ht="15" hidden="false" customHeight="false" outlineLevel="0" collapsed="false">
      <c r="A3747" s="0" t="n">
        <v>3736</v>
      </c>
      <c r="B3747" s="15" t="n">
        <v>-0.682849527209203</v>
      </c>
      <c r="C3747" s="18" t="n">
        <f aca="false">'Black-Scholes'!$B$5*EXP(('Black-Scholes'!$B$8-'Black-Scholes'!$B$10-'Black-Scholes'!$B$9^2/2)*'Black-Scholes'!$B$7+'Black-Scholes'!$B$9*SQRT('Black-Scholes'!$B$7)*B3747)</f>
        <v>89.8912207109777</v>
      </c>
      <c r="D3747" s="18" t="n">
        <f aca="false">'Black-Scholes'!$B$5*EXP(('Black-Scholes'!$B$8-'Black-Scholes'!$B$10-'Black-Scholes'!$B$9^2/2)*'Black-Scholes'!$B$7-'Black-Scholes'!$B$9*SQRT('Black-Scholes'!$B$7)*B3747)</f>
        <v>118.124610851534</v>
      </c>
      <c r="E3747" s="18" t="n">
        <f aca="false">EXP(-'Black-Scholes'!$B$8*'Black-Scholes'!$B$7)*IF(LOWER('Black-Scholes'!$B$11)="put",MAX('Black-Scholes'!$B$6-C3747,0),MAX(C3747-'Black-Scholes'!$B$6,0))</f>
        <v>0</v>
      </c>
      <c r="F3747" s="18" t="n">
        <f aca="false">(E3747+G3747)/2</f>
        <v>8.62033157480204</v>
      </c>
      <c r="G3747" s="18" t="n">
        <f aca="false">EXP(-'Black-Scholes'!$B$8*'Black-Scholes'!$B$7)*IF(LOWER('Black-Scholes'!$B$11)="put",MAX('Black-Scholes'!$B$6-D3747,0),MAX(D3747-'Black-Scholes'!$B$6,0))</f>
        <v>17.2406631496041</v>
      </c>
    </row>
    <row r="3748" customFormat="false" ht="15" hidden="false" customHeight="false" outlineLevel="0" collapsed="false">
      <c r="A3748" s="0" t="n">
        <v>3737</v>
      </c>
      <c r="B3748" s="15" t="n">
        <v>-1.11286527976364</v>
      </c>
      <c r="C3748" s="18" t="n">
        <f aca="false">'Black-Scholes'!$B$5*EXP(('Black-Scholes'!$B$8-'Black-Scholes'!$B$10-'Black-Scholes'!$B$9^2/2)*'Black-Scholes'!$B$7+'Black-Scholes'!$B$9*SQRT('Black-Scholes'!$B$7)*B3748)</f>
        <v>82.4834056964536</v>
      </c>
      <c r="D3748" s="18" t="n">
        <f aca="false">'Black-Scholes'!$B$5*EXP(('Black-Scholes'!$B$8-'Black-Scholes'!$B$10-'Black-Scholes'!$B$9^2/2)*'Black-Scholes'!$B$7-'Black-Scholes'!$B$9*SQRT('Black-Scholes'!$B$7)*B3748)</f>
        <v>128.733354009777</v>
      </c>
      <c r="E3748" s="18" t="n">
        <f aca="false">EXP(-'Black-Scholes'!$B$8*'Black-Scholes'!$B$7)*IF(LOWER('Black-Scholes'!$B$11)="put",MAX('Black-Scholes'!$B$6-C3748,0),MAX(C3748-'Black-Scholes'!$B$6,0))</f>
        <v>0</v>
      </c>
      <c r="F3748" s="18" t="n">
        <f aca="false">(E3748+G3748)/2</f>
        <v>13.6660058993476</v>
      </c>
      <c r="G3748" s="18" t="n">
        <f aca="false">EXP(-'Black-Scholes'!$B$8*'Black-Scholes'!$B$7)*IF(LOWER('Black-Scholes'!$B$11)="put",MAX('Black-Scholes'!$B$6-D3748,0),MAX(D3748-'Black-Scholes'!$B$6,0))</f>
        <v>27.3320117986953</v>
      </c>
    </row>
    <row r="3749" customFormat="false" ht="15" hidden="false" customHeight="false" outlineLevel="0" collapsed="false">
      <c r="A3749" s="0" t="n">
        <v>3738</v>
      </c>
      <c r="B3749" s="15" t="n">
        <v>-0.09655139685067</v>
      </c>
      <c r="C3749" s="18" t="n">
        <f aca="false">'Black-Scholes'!$B$5*EXP(('Black-Scholes'!$B$8-'Black-Scholes'!$B$10-'Black-Scholes'!$B$9^2/2)*'Black-Scholes'!$B$7+'Black-Scholes'!$B$9*SQRT('Black-Scholes'!$B$7)*B3749)</f>
        <v>101.074705982463</v>
      </c>
      <c r="D3749" s="18" t="n">
        <f aca="false">'Black-Scholes'!$B$5*EXP(('Black-Scholes'!$B$8-'Black-Scholes'!$B$10-'Black-Scholes'!$B$9^2/2)*'Black-Scholes'!$B$7-'Black-Scholes'!$B$9*SQRT('Black-Scholes'!$B$7)*B3749)</f>
        <v>105.054626300827</v>
      </c>
      <c r="E3749" s="18" t="n">
        <f aca="false">EXP(-'Black-Scholes'!$B$8*'Black-Scholes'!$B$7)*IF(LOWER('Black-Scholes'!$B$11)="put",MAX('Black-Scholes'!$B$6-C3749,0),MAX(C3749-'Black-Scholes'!$B$6,0))</f>
        <v>1.02229195320562</v>
      </c>
      <c r="F3749" s="18" t="n">
        <f aca="false">(E3749+G3749)/2</f>
        <v>2.91520061020371</v>
      </c>
      <c r="G3749" s="18" t="n">
        <f aca="false">EXP(-'Black-Scholes'!$B$8*'Black-Scholes'!$B$7)*IF(LOWER('Black-Scholes'!$B$11)="put",MAX('Black-Scholes'!$B$6-D3749,0),MAX(D3749-'Black-Scholes'!$B$6,0))</f>
        <v>4.8081092672018</v>
      </c>
    </row>
    <row r="3750" customFormat="false" ht="15" hidden="false" customHeight="false" outlineLevel="0" collapsed="false">
      <c r="A3750" s="0" t="n">
        <v>3739</v>
      </c>
      <c r="B3750" s="15" t="n">
        <v>-1.29715506515532</v>
      </c>
      <c r="C3750" s="18" t="n">
        <f aca="false">'Black-Scholes'!$B$5*EXP(('Black-Scholes'!$B$8-'Black-Scholes'!$B$10-'Black-Scholes'!$B$9^2/2)*'Black-Scholes'!$B$7+'Black-Scholes'!$B$9*SQRT('Black-Scholes'!$B$7)*B3750)</f>
        <v>79.4985810407542</v>
      </c>
      <c r="D3750" s="18" t="n">
        <f aca="false">'Black-Scholes'!$B$5*EXP(('Black-Scholes'!$B$8-'Black-Scholes'!$B$10-'Black-Scholes'!$B$9^2/2)*'Black-Scholes'!$B$7-'Black-Scholes'!$B$9*SQRT('Black-Scholes'!$B$7)*B3750)</f>
        <v>133.566729449047</v>
      </c>
      <c r="E3750" s="18" t="n">
        <f aca="false">EXP(-'Black-Scholes'!$B$8*'Black-Scholes'!$B$7)*IF(LOWER('Black-Scholes'!$B$11)="put",MAX('Black-Scholes'!$B$6-C3750,0),MAX(C3750-'Black-Scholes'!$B$6,0))</f>
        <v>0</v>
      </c>
      <c r="F3750" s="18" t="n">
        <f aca="false">(E3750+G3750)/2</f>
        <v>15.9648303680943</v>
      </c>
      <c r="G3750" s="18" t="n">
        <f aca="false">EXP(-'Black-Scholes'!$B$8*'Black-Scholes'!$B$7)*IF(LOWER('Black-Scholes'!$B$11)="put",MAX('Black-Scholes'!$B$6-D3750,0),MAX(D3750-'Black-Scholes'!$B$6,0))</f>
        <v>31.9296607361886</v>
      </c>
    </row>
    <row r="3751" customFormat="false" ht="15" hidden="false" customHeight="false" outlineLevel="0" collapsed="false">
      <c r="A3751" s="0" t="n">
        <v>3740</v>
      </c>
      <c r="B3751" s="15" t="n">
        <v>-0.116548975766093</v>
      </c>
      <c r="C3751" s="18" t="n">
        <f aca="false">'Black-Scholes'!$B$5*EXP(('Black-Scholes'!$B$8-'Black-Scholes'!$B$10-'Black-Scholes'!$B$9^2/2)*'Black-Scholes'!$B$7+'Black-Scholes'!$B$9*SQRT('Black-Scholes'!$B$7)*B3751)</f>
        <v>100.671263425845</v>
      </c>
      <c r="D3751" s="18" t="n">
        <f aca="false">'Black-Scholes'!$B$5*EXP(('Black-Scholes'!$B$8-'Black-Scholes'!$B$10-'Black-Scholes'!$B$9^2/2)*'Black-Scholes'!$B$7-'Black-Scholes'!$B$9*SQRT('Black-Scholes'!$B$7)*B3751)</f>
        <v>105.475635291646</v>
      </c>
      <c r="E3751" s="18" t="n">
        <f aca="false">EXP(-'Black-Scholes'!$B$8*'Black-Scholes'!$B$7)*IF(LOWER('Black-Scholes'!$B$11)="put",MAX('Black-Scholes'!$B$6-C3751,0),MAX(C3751-'Black-Scholes'!$B$6,0))</f>
        <v>0.638525522254726</v>
      </c>
      <c r="F3751" s="18" t="n">
        <f aca="false">(E3751+G3751)/2</f>
        <v>2.92355546475133</v>
      </c>
      <c r="G3751" s="18" t="n">
        <f aca="false">EXP(-'Black-Scholes'!$B$8*'Black-Scholes'!$B$7)*IF(LOWER('Black-Scholes'!$B$11)="put",MAX('Black-Scholes'!$B$6-D3751,0),MAX(D3751-'Black-Scholes'!$B$6,0))</f>
        <v>5.20858540724794</v>
      </c>
    </row>
    <row r="3752" customFormat="false" ht="15" hidden="false" customHeight="false" outlineLevel="0" collapsed="false">
      <c r="A3752" s="0" t="n">
        <v>3741</v>
      </c>
      <c r="B3752" s="15" t="n">
        <v>1.20503698652818</v>
      </c>
      <c r="C3752" s="18" t="n">
        <f aca="false">'Black-Scholes'!$B$5*EXP(('Black-Scholes'!$B$8-'Black-Scholes'!$B$10-'Black-Scholes'!$B$9^2/2)*'Black-Scholes'!$B$7+'Black-Scholes'!$B$9*SQRT('Black-Scholes'!$B$7)*B3752)</f>
        <v>131.128477032293</v>
      </c>
      <c r="D3752" s="18" t="n">
        <f aca="false">'Black-Scholes'!$B$5*EXP(('Black-Scholes'!$B$8-'Black-Scholes'!$B$10-'Black-Scholes'!$B$9^2/2)*'Black-Scholes'!$B$7-'Black-Scholes'!$B$9*SQRT('Black-Scholes'!$B$7)*B3752)</f>
        <v>80.9768076757164</v>
      </c>
      <c r="E3752" s="18" t="n">
        <f aca="false">EXP(-'Black-Scholes'!$B$8*'Black-Scholes'!$B$7)*IF(LOWER('Black-Scholes'!$B$11)="put",MAX('Black-Scholes'!$B$6-C3752,0),MAX(C3752-'Black-Scholes'!$B$6,0))</f>
        <v>29.610323293012</v>
      </c>
      <c r="F3752" s="18" t="n">
        <f aca="false">(E3752+G3752)/2</f>
        <v>14.805161646506</v>
      </c>
      <c r="G3752" s="18" t="n">
        <f aca="false">EXP(-'Black-Scholes'!$B$8*'Black-Scholes'!$B$7)*IF(LOWER('Black-Scholes'!$B$11)="put",MAX('Black-Scholes'!$B$6-D3752,0),MAX(D3752-'Black-Scholes'!$B$6,0))</f>
        <v>0</v>
      </c>
    </row>
    <row r="3753" customFormat="false" ht="15" hidden="false" customHeight="false" outlineLevel="0" collapsed="false">
      <c r="A3753" s="0" t="n">
        <v>3742</v>
      </c>
      <c r="B3753" s="15" t="n">
        <v>-0.769028337814967</v>
      </c>
      <c r="C3753" s="18" t="n">
        <f aca="false">'Black-Scholes'!$B$5*EXP(('Black-Scholes'!$B$8-'Black-Scholes'!$B$10-'Black-Scholes'!$B$9^2/2)*'Black-Scholes'!$B$7+'Black-Scholes'!$B$9*SQRT('Black-Scholes'!$B$7)*B3753)</f>
        <v>88.3551526921575</v>
      </c>
      <c r="D3753" s="18" t="n">
        <f aca="false">'Black-Scholes'!$B$5*EXP(('Black-Scholes'!$B$8-'Black-Scholes'!$B$10-'Black-Scholes'!$B$9^2/2)*'Black-Scholes'!$B$7-'Black-Scholes'!$B$9*SQRT('Black-Scholes'!$B$7)*B3753)</f>
        <v>120.178225512773</v>
      </c>
      <c r="E3753" s="18" t="n">
        <f aca="false">EXP(-'Black-Scholes'!$B$8*'Black-Scholes'!$B$7)*IF(LOWER('Black-Scholes'!$B$11)="put",MAX('Black-Scholes'!$B$6-C3753,0),MAX(C3753-'Black-Scholes'!$B$6,0))</f>
        <v>0</v>
      </c>
      <c r="F3753" s="18" t="n">
        <f aca="false">(E3753+G3753)/2</f>
        <v>9.59706092098034</v>
      </c>
      <c r="G3753" s="18" t="n">
        <f aca="false">EXP(-'Black-Scholes'!$B$8*'Black-Scholes'!$B$7)*IF(LOWER('Black-Scholes'!$B$11)="put",MAX('Black-Scholes'!$B$6-D3753,0),MAX(D3753-'Black-Scholes'!$B$6,0))</f>
        <v>19.1941218419607</v>
      </c>
    </row>
    <row r="3754" customFormat="false" ht="15" hidden="false" customHeight="false" outlineLevel="0" collapsed="false">
      <c r="A3754" s="0" t="n">
        <v>3743</v>
      </c>
      <c r="B3754" s="15" t="n">
        <v>-0.441797398074736</v>
      </c>
      <c r="C3754" s="18" t="n">
        <f aca="false">'Black-Scholes'!$B$5*EXP(('Black-Scholes'!$B$8-'Black-Scholes'!$B$10-'Black-Scholes'!$B$9^2/2)*'Black-Scholes'!$B$7+'Black-Scholes'!$B$9*SQRT('Black-Scholes'!$B$7)*B3754)</f>
        <v>94.3310785481606</v>
      </c>
      <c r="D3754" s="18" t="n">
        <f aca="false">'Black-Scholes'!$B$5*EXP(('Black-Scholes'!$B$8-'Black-Scholes'!$B$10-'Black-Scholes'!$B$9^2/2)*'Black-Scholes'!$B$7-'Black-Scholes'!$B$9*SQRT('Black-Scholes'!$B$7)*B3754)</f>
        <v>112.56486864011</v>
      </c>
      <c r="E3754" s="18" t="n">
        <f aca="false">EXP(-'Black-Scholes'!$B$8*'Black-Scholes'!$B$7)*IF(LOWER('Black-Scholes'!$B$11)="put",MAX('Black-Scholes'!$B$6-C3754,0),MAX(C3754-'Black-Scholes'!$B$6,0))</f>
        <v>0</v>
      </c>
      <c r="F3754" s="18" t="n">
        <f aca="false">(E3754+G3754)/2</f>
        <v>5.97603638272946</v>
      </c>
      <c r="G3754" s="18" t="n">
        <f aca="false">EXP(-'Black-Scholes'!$B$8*'Black-Scholes'!$B$7)*IF(LOWER('Black-Scholes'!$B$11)="put",MAX('Black-Scholes'!$B$6-D3754,0),MAX(D3754-'Black-Scholes'!$B$6,0))</f>
        <v>11.9520727654589</v>
      </c>
    </row>
    <row r="3755" customFormat="false" ht="15" hidden="false" customHeight="false" outlineLevel="0" collapsed="false">
      <c r="A3755" s="0" t="n">
        <v>3744</v>
      </c>
      <c r="B3755" s="15" t="n">
        <v>1.29323049567347</v>
      </c>
      <c r="C3755" s="18" t="n">
        <f aca="false">'Black-Scholes'!$B$5*EXP(('Black-Scholes'!$B$8-'Black-Scholes'!$B$10-'Black-Scholes'!$B$9^2/2)*'Black-Scholes'!$B$7+'Black-Scholes'!$B$9*SQRT('Black-Scholes'!$B$7)*B3755)</f>
        <v>133.461932200799</v>
      </c>
      <c r="D3755" s="18" t="n">
        <f aca="false">'Black-Scholes'!$B$5*EXP(('Black-Scholes'!$B$8-'Black-Scholes'!$B$10-'Black-Scholes'!$B$9^2/2)*'Black-Scholes'!$B$7-'Black-Scholes'!$B$9*SQRT('Black-Scholes'!$B$7)*B3755)</f>
        <v>79.5610050772967</v>
      </c>
      <c r="E3755" s="18" t="n">
        <f aca="false">EXP(-'Black-Scholes'!$B$8*'Black-Scholes'!$B$7)*IF(LOWER('Black-Scholes'!$B$11)="put",MAX('Black-Scholes'!$B$6-C3755,0),MAX(C3755-'Black-Scholes'!$B$6,0))</f>
        <v>31.8299745100478</v>
      </c>
      <c r="F3755" s="18" t="n">
        <f aca="false">(E3755+G3755)/2</f>
        <v>15.9149872550239</v>
      </c>
      <c r="G3755" s="18" t="n">
        <f aca="false">EXP(-'Black-Scholes'!$B$8*'Black-Scholes'!$B$7)*IF(LOWER('Black-Scholes'!$B$11)="put",MAX('Black-Scholes'!$B$6-D3755,0),MAX(D3755-'Black-Scholes'!$B$6,0))</f>
        <v>0</v>
      </c>
    </row>
    <row r="3756" customFormat="false" ht="15" hidden="false" customHeight="false" outlineLevel="0" collapsed="false">
      <c r="A3756" s="0" t="n">
        <v>3745</v>
      </c>
      <c r="B3756" s="15" t="n">
        <v>-0.964188473936472</v>
      </c>
      <c r="C3756" s="18" t="n">
        <f aca="false">'Black-Scholes'!$B$5*EXP(('Black-Scholes'!$B$8-'Black-Scholes'!$B$10-'Black-Scholes'!$B$9^2/2)*'Black-Scholes'!$B$7+'Black-Scholes'!$B$9*SQRT('Black-Scholes'!$B$7)*B3756)</f>
        <v>84.9729092684127</v>
      </c>
      <c r="D3756" s="18" t="n">
        <f aca="false">'Black-Scholes'!$B$5*EXP(('Black-Scholes'!$B$8-'Black-Scholes'!$B$10-'Black-Scholes'!$B$9^2/2)*'Black-Scholes'!$B$7-'Black-Scholes'!$B$9*SQRT('Black-Scholes'!$B$7)*B3756)</f>
        <v>124.961773780303</v>
      </c>
      <c r="E3756" s="18" t="n">
        <f aca="false">EXP(-'Black-Scholes'!$B$8*'Black-Scholes'!$B$7)*IF(LOWER('Black-Scholes'!$B$11)="put",MAX('Black-Scholes'!$B$6-C3756,0),MAX(C3756-'Black-Scholes'!$B$6,0))</f>
        <v>0</v>
      </c>
      <c r="F3756" s="18" t="n">
        <f aca="false">(E3756+G3756)/2</f>
        <v>11.8721868537773</v>
      </c>
      <c r="G3756" s="18" t="n">
        <f aca="false">EXP(-'Black-Scholes'!$B$8*'Black-Scholes'!$B$7)*IF(LOWER('Black-Scholes'!$B$11)="put",MAX('Black-Scholes'!$B$6-D3756,0),MAX(D3756-'Black-Scholes'!$B$6,0))</f>
        <v>23.7443737075546</v>
      </c>
    </row>
    <row r="3757" customFormat="false" ht="15" hidden="false" customHeight="false" outlineLevel="0" collapsed="false">
      <c r="A3757" s="0" t="n">
        <v>3746</v>
      </c>
      <c r="B3757" s="15" t="n">
        <v>0.781155782262766</v>
      </c>
      <c r="C3757" s="18" t="n">
        <f aca="false">'Black-Scholes'!$B$5*EXP(('Black-Scholes'!$B$8-'Black-Scholes'!$B$10-'Black-Scholes'!$B$9^2/2)*'Black-Scholes'!$B$7+'Black-Scholes'!$B$9*SQRT('Black-Scholes'!$B$7)*B3757)</f>
        <v>120.470070253533</v>
      </c>
      <c r="D3757" s="18" t="n">
        <f aca="false">'Black-Scholes'!$B$5*EXP(('Black-Scholes'!$B$8-'Black-Scholes'!$B$10-'Black-Scholes'!$B$9^2/2)*'Black-Scholes'!$B$7-'Black-Scholes'!$B$9*SQRT('Black-Scholes'!$B$7)*B3757)</f>
        <v>88.1411079374898</v>
      </c>
      <c r="E3757" s="18" t="n">
        <f aca="false">EXP(-'Black-Scholes'!$B$8*'Black-Scholes'!$B$7)*IF(LOWER('Black-Scholes'!$B$11)="put",MAX('Black-Scholes'!$B$6-C3757,0),MAX(C3757-'Black-Scholes'!$B$6,0))</f>
        <v>19.471733146757</v>
      </c>
      <c r="F3757" s="18" t="n">
        <f aca="false">(E3757+G3757)/2</f>
        <v>9.73586657337848</v>
      </c>
      <c r="G3757" s="18" t="n">
        <f aca="false">EXP(-'Black-Scholes'!$B$8*'Black-Scholes'!$B$7)*IF(LOWER('Black-Scholes'!$B$11)="put",MAX('Black-Scholes'!$B$6-D3757,0),MAX(D3757-'Black-Scholes'!$B$6,0))</f>
        <v>0</v>
      </c>
    </row>
    <row r="3758" customFormat="false" ht="15" hidden="false" customHeight="false" outlineLevel="0" collapsed="false">
      <c r="A3758" s="0" t="n">
        <v>3747</v>
      </c>
      <c r="B3758" s="15" t="n">
        <v>0.965287391777873</v>
      </c>
      <c r="C3758" s="18" t="n">
        <f aca="false">'Black-Scholes'!$B$5*EXP(('Black-Scholes'!$B$8-'Black-Scholes'!$B$10-'Black-Scholes'!$B$9^2/2)*'Black-Scholes'!$B$7+'Black-Scholes'!$B$9*SQRT('Black-Scholes'!$B$7)*B3758)</f>
        <v>124.989241343192</v>
      </c>
      <c r="D3758" s="18" t="n">
        <f aca="false">'Black-Scholes'!$B$5*EXP(('Black-Scholes'!$B$8-'Black-Scholes'!$B$10-'Black-Scholes'!$B$9^2/2)*'Black-Scholes'!$B$7-'Black-Scholes'!$B$9*SQRT('Black-Scholes'!$B$7)*B3758)</f>
        <v>84.9542356713566</v>
      </c>
      <c r="E3758" s="18" t="n">
        <f aca="false">EXP(-'Black-Scholes'!$B$8*'Black-Scholes'!$B$7)*IF(LOWER('Black-Scholes'!$B$11)="put",MAX('Black-Scholes'!$B$6-C3758,0),MAX(C3758-'Black-Scholes'!$B$6,0))</f>
        <v>23.7705016615939</v>
      </c>
      <c r="F3758" s="18" t="n">
        <f aca="false">(E3758+G3758)/2</f>
        <v>11.885250830797</v>
      </c>
      <c r="G3758" s="18" t="n">
        <f aca="false">EXP(-'Black-Scholes'!$B$8*'Black-Scholes'!$B$7)*IF(LOWER('Black-Scholes'!$B$11)="put",MAX('Black-Scholes'!$B$6-D3758,0),MAX(D3758-'Black-Scholes'!$B$6,0))</f>
        <v>0</v>
      </c>
    </row>
    <row r="3759" customFormat="false" ht="15" hidden="false" customHeight="false" outlineLevel="0" collapsed="false">
      <c r="A3759" s="0" t="n">
        <v>3748</v>
      </c>
      <c r="B3759" s="15" t="n">
        <v>-0.303124043542131</v>
      </c>
      <c r="C3759" s="18" t="n">
        <f aca="false">'Black-Scholes'!$B$5*EXP(('Black-Scholes'!$B$8-'Black-Scholes'!$B$10-'Black-Scholes'!$B$9^2/2)*'Black-Scholes'!$B$7+'Black-Scholes'!$B$9*SQRT('Black-Scholes'!$B$7)*B3759)</f>
        <v>96.9839380112786</v>
      </c>
      <c r="D3759" s="18" t="n">
        <f aca="false">'Black-Scholes'!$B$5*EXP(('Black-Scholes'!$B$8-'Black-Scholes'!$B$10-'Black-Scholes'!$B$9^2/2)*'Black-Scholes'!$B$7-'Black-Scholes'!$B$9*SQRT('Black-Scholes'!$B$7)*B3759)</f>
        <v>109.485814694581</v>
      </c>
      <c r="E3759" s="18" t="n">
        <f aca="false">EXP(-'Black-Scholes'!$B$8*'Black-Scholes'!$B$7)*IF(LOWER('Black-Scholes'!$B$11)="put",MAX('Black-Scholes'!$B$6-C3759,0),MAX(C3759-'Black-Scholes'!$B$6,0))</f>
        <v>0</v>
      </c>
      <c r="F3759" s="18" t="n">
        <f aca="false">(E3759+G3759)/2</f>
        <v>4.51159302642344</v>
      </c>
      <c r="G3759" s="18" t="n">
        <f aca="false">EXP(-'Black-Scholes'!$B$8*'Black-Scholes'!$B$7)*IF(LOWER('Black-Scholes'!$B$11)="put",MAX('Black-Scholes'!$B$6-D3759,0),MAX(D3759-'Black-Scholes'!$B$6,0))</f>
        <v>9.02318605284687</v>
      </c>
    </row>
    <row r="3760" customFormat="false" ht="15" hidden="false" customHeight="false" outlineLevel="0" collapsed="false">
      <c r="A3760" s="0" t="n">
        <v>3749</v>
      </c>
      <c r="B3760" s="15" t="n">
        <v>1.30783464633506</v>
      </c>
      <c r="C3760" s="18" t="n">
        <f aca="false">'Black-Scholes'!$B$5*EXP(('Black-Scholes'!$B$8-'Black-Scholes'!$B$10-'Black-Scholes'!$B$9^2/2)*'Black-Scholes'!$B$7+'Black-Scholes'!$B$9*SQRT('Black-Scholes'!$B$7)*B3760)</f>
        <v>133.852321687033</v>
      </c>
      <c r="D3760" s="18" t="n">
        <f aca="false">'Black-Scholes'!$B$5*EXP(('Black-Scholes'!$B$8-'Black-Scholes'!$B$10-'Black-Scholes'!$B$9^2/2)*'Black-Scholes'!$B$7-'Black-Scholes'!$B$9*SQRT('Black-Scholes'!$B$7)*B3760)</f>
        <v>79.3289599434886</v>
      </c>
      <c r="E3760" s="18" t="n">
        <f aca="false">EXP(-'Black-Scholes'!$B$8*'Black-Scholes'!$B$7)*IF(LOWER('Black-Scholes'!$B$11)="put",MAX('Black-Scholes'!$B$6-C3760,0),MAX(C3760-'Black-Scholes'!$B$6,0))</f>
        <v>32.2013244763696</v>
      </c>
      <c r="F3760" s="18" t="n">
        <f aca="false">(E3760+G3760)/2</f>
        <v>16.1006622381848</v>
      </c>
      <c r="G3760" s="18" t="n">
        <f aca="false">EXP(-'Black-Scholes'!$B$8*'Black-Scholes'!$B$7)*IF(LOWER('Black-Scholes'!$B$11)="put",MAX('Black-Scholes'!$B$6-D3760,0),MAX(D3760-'Black-Scholes'!$B$6,0))</f>
        <v>0</v>
      </c>
    </row>
    <row r="3761" customFormat="false" ht="15" hidden="false" customHeight="false" outlineLevel="0" collapsed="false">
      <c r="A3761" s="0" t="n">
        <v>3750</v>
      </c>
      <c r="B3761" s="15" t="n">
        <v>-1.02793786209819</v>
      </c>
      <c r="C3761" s="18" t="n">
        <f aca="false">'Black-Scholes'!$B$5*EXP(('Black-Scholes'!$B$8-'Black-Scholes'!$B$10-'Black-Scholes'!$B$9^2/2)*'Black-Scholes'!$B$7+'Black-Scholes'!$B$9*SQRT('Black-Scholes'!$B$7)*B3761)</f>
        <v>83.8963923855591</v>
      </c>
      <c r="D3761" s="18" t="n">
        <f aca="false">'Black-Scholes'!$B$5*EXP(('Black-Scholes'!$B$8-'Black-Scholes'!$B$10-'Black-Scholes'!$B$9^2/2)*'Black-Scholes'!$B$7-'Black-Scholes'!$B$9*SQRT('Black-Scholes'!$B$7)*B3761)</f>
        <v>126.565221263093</v>
      </c>
      <c r="E3761" s="18" t="n">
        <f aca="false">EXP(-'Black-Scholes'!$B$8*'Black-Scholes'!$B$7)*IF(LOWER('Black-Scholes'!$B$11)="put",MAX('Black-Scholes'!$B$6-C3761,0),MAX(C3761-'Black-Scholes'!$B$6,0))</f>
        <v>0</v>
      </c>
      <c r="F3761" s="18" t="n">
        <f aca="false">(E3761+G3761)/2</f>
        <v>12.6348100669132</v>
      </c>
      <c r="G3761" s="18" t="n">
        <f aca="false">EXP(-'Black-Scholes'!$B$8*'Black-Scholes'!$B$7)*IF(LOWER('Black-Scholes'!$B$11)="put",MAX('Black-Scholes'!$B$6-D3761,0),MAX(D3761-'Black-Scholes'!$B$6,0))</f>
        <v>25.2696201338265</v>
      </c>
    </row>
    <row r="3762" customFormat="false" ht="15" hidden="false" customHeight="false" outlineLevel="0" collapsed="false">
      <c r="A3762" s="0" t="n">
        <v>3751</v>
      </c>
      <c r="B3762" s="15" t="n">
        <v>0.469835250093882</v>
      </c>
      <c r="C3762" s="18" t="n">
        <f aca="false">'Black-Scholes'!$B$5*EXP(('Black-Scholes'!$B$8-'Black-Scholes'!$B$10-'Black-Scholes'!$B$9^2/2)*'Black-Scholes'!$B$7+'Black-Scholes'!$B$9*SQRT('Black-Scholes'!$B$7)*B3762)</f>
        <v>113.197857171199</v>
      </c>
      <c r="D3762" s="18" t="n">
        <f aca="false">'Black-Scholes'!$B$5*EXP(('Black-Scholes'!$B$8-'Black-Scholes'!$B$10-'Black-Scholes'!$B$9^2/2)*'Black-Scholes'!$B$7-'Black-Scholes'!$B$9*SQRT('Black-Scholes'!$B$7)*B3762)</f>
        <v>93.8035907287054</v>
      </c>
      <c r="E3762" s="18" t="n">
        <f aca="false">EXP(-'Black-Scholes'!$B$8*'Black-Scholes'!$B$7)*IF(LOWER('Black-Scholes'!$B$11)="put",MAX('Black-Scholes'!$B$6-C3762,0),MAX(C3762-'Black-Scholes'!$B$6,0))</f>
        <v>12.5541900816022</v>
      </c>
      <c r="F3762" s="18" t="n">
        <f aca="false">(E3762+G3762)/2</f>
        <v>6.27709504080111</v>
      </c>
      <c r="G3762" s="18" t="n">
        <f aca="false">EXP(-'Black-Scholes'!$B$8*'Black-Scholes'!$B$7)*IF(LOWER('Black-Scholes'!$B$11)="put",MAX('Black-Scholes'!$B$6-D3762,0),MAX(D3762-'Black-Scholes'!$B$6,0))</f>
        <v>0</v>
      </c>
    </row>
    <row r="3763" customFormat="false" ht="15" hidden="false" customHeight="false" outlineLevel="0" collapsed="false">
      <c r="A3763" s="0" t="n">
        <v>3752</v>
      </c>
      <c r="B3763" s="15" t="n">
        <v>-0.441514255245895</v>
      </c>
      <c r="C3763" s="18" t="n">
        <f aca="false">'Black-Scholes'!$B$5*EXP(('Black-Scholes'!$B$8-'Black-Scholes'!$B$10-'Black-Scholes'!$B$9^2/2)*'Black-Scholes'!$B$7+'Black-Scholes'!$B$9*SQRT('Black-Scholes'!$B$7)*B3763)</f>
        <v>94.3364205330992</v>
      </c>
      <c r="D3763" s="18" t="n">
        <f aca="false">'Black-Scholes'!$B$5*EXP(('Black-Scholes'!$B$8-'Black-Scholes'!$B$10-'Black-Scholes'!$B$9^2/2)*'Black-Scholes'!$B$7-'Black-Scholes'!$B$9*SQRT('Black-Scholes'!$B$7)*B3763)</f>
        <v>112.558494433526</v>
      </c>
      <c r="E3763" s="18" t="n">
        <f aca="false">EXP(-'Black-Scholes'!$B$8*'Black-Scholes'!$B$7)*IF(LOWER('Black-Scholes'!$B$11)="put",MAX('Black-Scholes'!$B$6-C3763,0),MAX(C3763-'Black-Scholes'!$B$6,0))</f>
        <v>0</v>
      </c>
      <c r="F3763" s="18" t="n">
        <f aca="false">(E3763+G3763)/2</f>
        <v>5.9730047162991</v>
      </c>
      <c r="G3763" s="18" t="n">
        <f aca="false">EXP(-'Black-Scholes'!$B$8*'Black-Scholes'!$B$7)*IF(LOWER('Black-Scholes'!$B$11)="put",MAX('Black-Scholes'!$B$6-D3763,0),MAX(D3763-'Black-Scholes'!$B$6,0))</f>
        <v>11.9460094325982</v>
      </c>
    </row>
    <row r="3764" customFormat="false" ht="15" hidden="false" customHeight="false" outlineLevel="0" collapsed="false">
      <c r="A3764" s="0" t="n">
        <v>3753</v>
      </c>
      <c r="B3764" s="15" t="n">
        <v>1.12575899271902</v>
      </c>
      <c r="C3764" s="18" t="n">
        <f aca="false">'Black-Scholes'!$B$5*EXP(('Black-Scholes'!$B$8-'Black-Scholes'!$B$10-'Black-Scholes'!$B$9^2/2)*'Black-Scholes'!$B$7+'Black-Scholes'!$B$9*SQRT('Black-Scholes'!$B$7)*B3764)</f>
        <v>129.065752593645</v>
      </c>
      <c r="D3764" s="18" t="n">
        <f aca="false">'Black-Scholes'!$B$5*EXP(('Black-Scholes'!$B$8-'Black-Scholes'!$B$10-'Black-Scholes'!$B$9^2/2)*'Black-Scholes'!$B$7-'Black-Scholes'!$B$9*SQRT('Black-Scholes'!$B$7)*B3764)</f>
        <v>82.270976243286</v>
      </c>
      <c r="E3764" s="18" t="n">
        <f aca="false">EXP(-'Black-Scholes'!$B$8*'Black-Scholes'!$B$7)*IF(LOWER('Black-Scholes'!$B$11)="put",MAX('Black-Scholes'!$B$6-C3764,0),MAX(C3764-'Black-Scholes'!$B$6,0))</f>
        <v>27.648199112333</v>
      </c>
      <c r="F3764" s="18" t="n">
        <f aca="false">(E3764+G3764)/2</f>
        <v>13.8240995561665</v>
      </c>
      <c r="G3764" s="18" t="n">
        <f aca="false">EXP(-'Black-Scholes'!$B$8*'Black-Scholes'!$B$7)*IF(LOWER('Black-Scholes'!$B$11)="put",MAX('Black-Scholes'!$B$6-D3764,0),MAX(D3764-'Black-Scholes'!$B$6,0))</f>
        <v>0</v>
      </c>
    </row>
    <row r="3765" customFormat="false" ht="15" hidden="false" customHeight="false" outlineLevel="0" collapsed="false">
      <c r="A3765" s="0" t="n">
        <v>3754</v>
      </c>
      <c r="B3765" s="15" t="n">
        <v>0.518269733150233</v>
      </c>
      <c r="C3765" s="18" t="n">
        <f aca="false">'Black-Scholes'!$B$5*EXP(('Black-Scholes'!$B$8-'Black-Scholes'!$B$10-'Black-Scholes'!$B$9^2/2)*'Black-Scholes'!$B$7+'Black-Scholes'!$B$9*SQRT('Black-Scholes'!$B$7)*B3765)</f>
        <v>114.299721316065</v>
      </c>
      <c r="D3765" s="18" t="n">
        <f aca="false">'Black-Scholes'!$B$5*EXP(('Black-Scholes'!$B$8-'Black-Scholes'!$B$10-'Black-Scholes'!$B$9^2/2)*'Black-Scholes'!$B$7-'Black-Scholes'!$B$9*SQRT('Black-Scholes'!$B$7)*B3765)</f>
        <v>92.8993119422516</v>
      </c>
      <c r="E3765" s="18" t="n">
        <f aca="false">EXP(-'Black-Scholes'!$B$8*'Black-Scholes'!$B$7)*IF(LOWER('Black-Scholes'!$B$11)="put",MAX('Black-Scholes'!$B$6-C3765,0),MAX(C3765-'Black-Scholes'!$B$6,0))</f>
        <v>13.6023156780016</v>
      </c>
      <c r="F3765" s="18" t="n">
        <f aca="false">(E3765+G3765)/2</f>
        <v>6.80115783900078</v>
      </c>
      <c r="G3765" s="18" t="n">
        <f aca="false">EXP(-'Black-Scholes'!$B$8*'Black-Scholes'!$B$7)*IF(LOWER('Black-Scholes'!$B$11)="put",MAX('Black-Scholes'!$B$6-D3765,0),MAX(D3765-'Black-Scholes'!$B$6,0))</f>
        <v>0</v>
      </c>
    </row>
    <row r="3766" customFormat="false" ht="15" hidden="false" customHeight="false" outlineLevel="0" collapsed="false">
      <c r="A3766" s="0" t="n">
        <v>3755</v>
      </c>
      <c r="B3766" s="15" t="n">
        <v>-0.912989711305625</v>
      </c>
      <c r="C3766" s="18" t="n">
        <f aca="false">'Black-Scholes'!$B$5*EXP(('Black-Scholes'!$B$8-'Black-Scholes'!$B$10-'Black-Scholes'!$B$9^2/2)*'Black-Scholes'!$B$7+'Black-Scholes'!$B$9*SQRT('Black-Scholes'!$B$7)*B3766)</f>
        <v>85.847480887482</v>
      </c>
      <c r="D3766" s="18" t="n">
        <f aca="false">'Black-Scholes'!$B$5*EXP(('Black-Scholes'!$B$8-'Black-Scholes'!$B$10-'Black-Scholes'!$B$9^2/2)*'Black-Scholes'!$B$7-'Black-Scholes'!$B$9*SQRT('Black-Scholes'!$B$7)*B3766)</f>
        <v>123.688725116708</v>
      </c>
      <c r="E3766" s="18" t="n">
        <f aca="false">EXP(-'Black-Scholes'!$B$8*'Black-Scholes'!$B$7)*IF(LOWER('Black-Scholes'!$B$11)="put",MAX('Black-Scholes'!$B$6-C3766,0),MAX(C3766-'Black-Scholes'!$B$6,0))</f>
        <v>0</v>
      </c>
      <c r="F3766" s="18" t="n">
        <f aca="false">(E3766+G3766)/2</f>
        <v>11.2667061799608</v>
      </c>
      <c r="G3766" s="18" t="n">
        <f aca="false">EXP(-'Black-Scholes'!$B$8*'Black-Scholes'!$B$7)*IF(LOWER('Black-Scholes'!$B$11)="put",MAX('Black-Scholes'!$B$6-D3766,0),MAX(D3766-'Black-Scholes'!$B$6,0))</f>
        <v>22.5334123599216</v>
      </c>
    </row>
    <row r="3767" customFormat="false" ht="15" hidden="false" customHeight="false" outlineLevel="0" collapsed="false">
      <c r="A3767" s="0" t="n">
        <v>3756</v>
      </c>
      <c r="B3767" s="15" t="n">
        <v>-0.922518513502113</v>
      </c>
      <c r="C3767" s="18" t="n">
        <f aca="false">'Black-Scholes'!$B$5*EXP(('Black-Scholes'!$B$8-'Black-Scholes'!$B$10-'Black-Scholes'!$B$9^2/2)*'Black-Scholes'!$B$7+'Black-Scholes'!$B$9*SQRT('Black-Scholes'!$B$7)*B3767)</f>
        <v>85.684031951321</v>
      </c>
      <c r="D3767" s="18" t="n">
        <f aca="false">'Black-Scholes'!$B$5*EXP(('Black-Scholes'!$B$8-'Black-Scholes'!$B$10-'Black-Scholes'!$B$9^2/2)*'Black-Scholes'!$B$7-'Black-Scholes'!$B$9*SQRT('Black-Scholes'!$B$7)*B3767)</f>
        <v>123.924670952531</v>
      </c>
      <c r="E3767" s="18" t="n">
        <f aca="false">EXP(-'Black-Scholes'!$B$8*'Black-Scholes'!$B$7)*IF(LOWER('Black-Scholes'!$B$11)="put",MAX('Black-Scholes'!$B$6-C3767,0),MAX(C3767-'Black-Scholes'!$B$6,0))</f>
        <v>0</v>
      </c>
      <c r="F3767" s="18" t="n">
        <f aca="false">(E3767+G3767)/2</f>
        <v>11.3789254907724</v>
      </c>
      <c r="G3767" s="18" t="n">
        <f aca="false">EXP(-'Black-Scholes'!$B$8*'Black-Scholes'!$B$7)*IF(LOWER('Black-Scholes'!$B$11)="put",MAX('Black-Scholes'!$B$6-D3767,0),MAX(D3767-'Black-Scholes'!$B$6,0))</f>
        <v>22.7578509815449</v>
      </c>
    </row>
    <row r="3768" customFormat="false" ht="15" hidden="false" customHeight="false" outlineLevel="0" collapsed="false">
      <c r="A3768" s="0" t="n">
        <v>3757</v>
      </c>
      <c r="B3768" s="15" t="n">
        <v>0.689718471148893</v>
      </c>
      <c r="C3768" s="18" t="n">
        <f aca="false">'Black-Scholes'!$B$5*EXP(('Black-Scholes'!$B$8-'Black-Scholes'!$B$10-'Black-Scholes'!$B$9^2/2)*'Black-Scholes'!$B$7+'Black-Scholes'!$B$9*SQRT('Black-Scholes'!$B$7)*B3768)</f>
        <v>118.287000636595</v>
      </c>
      <c r="D3768" s="18" t="n">
        <f aca="false">'Black-Scholes'!$B$5*EXP(('Black-Scholes'!$B$8-'Black-Scholes'!$B$10-'Black-Scholes'!$B$9^2/2)*'Black-Scholes'!$B$7-'Black-Scholes'!$B$9*SQRT('Black-Scholes'!$B$7)*B3768)</f>
        <v>89.7678139466543</v>
      </c>
      <c r="E3768" s="18" t="n">
        <f aca="false">EXP(-'Black-Scholes'!$B$8*'Black-Scholes'!$B$7)*IF(LOWER('Black-Scholes'!$B$11)="put",MAX('Black-Scholes'!$B$6-C3768,0),MAX(C3768-'Black-Scholes'!$B$6,0))</f>
        <v>17.395133091392</v>
      </c>
      <c r="F3768" s="18" t="n">
        <f aca="false">(E3768+G3768)/2</f>
        <v>8.69756654569602</v>
      </c>
      <c r="G3768" s="18" t="n">
        <f aca="false">EXP(-'Black-Scholes'!$B$8*'Black-Scholes'!$B$7)*IF(LOWER('Black-Scholes'!$B$11)="put",MAX('Black-Scholes'!$B$6-D3768,0),MAX(D3768-'Black-Scholes'!$B$6,0))</f>
        <v>0</v>
      </c>
    </row>
    <row r="3769" customFormat="false" ht="15" hidden="false" customHeight="false" outlineLevel="0" collapsed="false">
      <c r="A3769" s="0" t="n">
        <v>3758</v>
      </c>
      <c r="B3769" s="15" t="n">
        <v>-0.62784078900256</v>
      </c>
      <c r="C3769" s="18" t="n">
        <f aca="false">'Black-Scholes'!$B$5*EXP(('Black-Scholes'!$B$8-'Black-Scholes'!$B$10-'Black-Scholes'!$B$9^2/2)*'Black-Scholes'!$B$7+'Black-Scholes'!$B$9*SQRT('Black-Scholes'!$B$7)*B3769)</f>
        <v>90.8856413888432</v>
      </c>
      <c r="D3769" s="18" t="n">
        <f aca="false">'Black-Scholes'!$B$5*EXP(('Black-Scholes'!$B$8-'Black-Scholes'!$B$10-'Black-Scholes'!$B$9^2/2)*'Black-Scholes'!$B$7-'Black-Scholes'!$B$9*SQRT('Black-Scholes'!$B$7)*B3769)</f>
        <v>116.832156358167</v>
      </c>
      <c r="E3769" s="18" t="n">
        <f aca="false">EXP(-'Black-Scholes'!$B$8*'Black-Scholes'!$B$7)*IF(LOWER('Black-Scholes'!$B$11)="put",MAX('Black-Scholes'!$B$6-C3769,0),MAX(C3769-'Black-Scholes'!$B$6,0))</f>
        <v>0</v>
      </c>
      <c r="F3769" s="18" t="n">
        <f aca="false">(E3769+G3769)/2</f>
        <v>8.0056212028425</v>
      </c>
      <c r="G3769" s="18" t="n">
        <f aca="false">EXP(-'Black-Scholes'!$B$8*'Black-Scholes'!$B$7)*IF(LOWER('Black-Scholes'!$B$11)="put",MAX('Black-Scholes'!$B$6-D3769,0),MAX(D3769-'Black-Scholes'!$B$6,0))</f>
        <v>16.011242405685</v>
      </c>
    </row>
    <row r="3770" customFormat="false" ht="15" hidden="false" customHeight="false" outlineLevel="0" collapsed="false">
      <c r="A3770" s="0" t="n">
        <v>3759</v>
      </c>
      <c r="B3770" s="15" t="n">
        <v>-0.436329631890992</v>
      </c>
      <c r="C3770" s="18" t="n">
        <f aca="false">'Black-Scholes'!$B$5*EXP(('Black-Scholes'!$B$8-'Black-Scholes'!$B$10-'Black-Scholes'!$B$9^2/2)*'Black-Scholes'!$B$7+'Black-Scholes'!$B$9*SQRT('Black-Scholes'!$B$7)*B3770)</f>
        <v>94.4342910283182</v>
      </c>
      <c r="D3770" s="18" t="n">
        <f aca="false">'Black-Scholes'!$B$5*EXP(('Black-Scholes'!$B$8-'Black-Scholes'!$B$10-'Black-Scholes'!$B$9^2/2)*'Black-Scholes'!$B$7-'Black-Scholes'!$B$9*SQRT('Black-Scholes'!$B$7)*B3770)</f>
        <v>112.441840244975</v>
      </c>
      <c r="E3770" s="18" t="n">
        <f aca="false">EXP(-'Black-Scholes'!$B$8*'Black-Scholes'!$B$7)*IF(LOWER('Black-Scholes'!$B$11)="put",MAX('Black-Scholes'!$B$6-C3770,0),MAX(C3770-'Black-Scholes'!$B$6,0))</f>
        <v>0</v>
      </c>
      <c r="F3770" s="18" t="n">
        <f aca="false">(E3770+G3770)/2</f>
        <v>5.91752226797853</v>
      </c>
      <c r="G3770" s="18" t="n">
        <f aca="false">EXP(-'Black-Scholes'!$B$8*'Black-Scholes'!$B$7)*IF(LOWER('Black-Scholes'!$B$11)="put",MAX('Black-Scholes'!$B$6-D3770,0),MAX(D3770-'Black-Scholes'!$B$6,0))</f>
        <v>11.8350445359571</v>
      </c>
    </row>
    <row r="3771" customFormat="false" ht="15" hidden="false" customHeight="false" outlineLevel="0" collapsed="false">
      <c r="A3771" s="0" t="n">
        <v>3760</v>
      </c>
      <c r="B3771" s="15" t="n">
        <v>0.891284568959029</v>
      </c>
      <c r="C3771" s="18" t="n">
        <f aca="false">'Black-Scholes'!$B$5*EXP(('Black-Scholes'!$B$8-'Black-Scholes'!$B$10-'Black-Scholes'!$B$9^2/2)*'Black-Scholes'!$B$7+'Black-Scholes'!$B$9*SQRT('Black-Scholes'!$B$7)*B3771)</f>
        <v>123.152952582918</v>
      </c>
      <c r="D3771" s="18" t="n">
        <f aca="false">'Black-Scholes'!$B$5*EXP(('Black-Scholes'!$B$8-'Black-Scholes'!$B$10-'Black-Scholes'!$B$9^2/2)*'Black-Scholes'!$B$7-'Black-Scholes'!$B$9*SQRT('Black-Scholes'!$B$7)*B3771)</f>
        <v>86.2209572953949</v>
      </c>
      <c r="E3771" s="18" t="n">
        <f aca="false">EXP(-'Black-Scholes'!$B$8*'Black-Scholes'!$B$7)*IF(LOWER('Black-Scholes'!$B$11)="put",MAX('Black-Scholes'!$B$6-C3771,0),MAX(C3771-'Black-Scholes'!$B$6,0))</f>
        <v>22.0237697609417</v>
      </c>
      <c r="F3771" s="18" t="n">
        <f aca="false">(E3771+G3771)/2</f>
        <v>11.0118848804709</v>
      </c>
      <c r="G3771" s="18" t="n">
        <f aca="false">EXP(-'Black-Scholes'!$B$8*'Black-Scholes'!$B$7)*IF(LOWER('Black-Scholes'!$B$11)="put",MAX('Black-Scholes'!$B$6-D3771,0),MAX(D3771-'Black-Scholes'!$B$6,0))</f>
        <v>0</v>
      </c>
    </row>
    <row r="3772" customFormat="false" ht="15" hidden="false" customHeight="false" outlineLevel="0" collapsed="false">
      <c r="A3772" s="0" t="n">
        <v>3761</v>
      </c>
      <c r="B3772" s="15" t="n">
        <v>1.78453458867132</v>
      </c>
      <c r="C3772" s="18" t="n">
        <f aca="false">'Black-Scholes'!$B$5*EXP(('Black-Scholes'!$B$8-'Black-Scholes'!$B$10-'Black-Scholes'!$B$9^2/2)*'Black-Scholes'!$B$7+'Black-Scholes'!$B$9*SQRT('Black-Scholes'!$B$7)*B3772)</f>
        <v>147.241942875765</v>
      </c>
      <c r="D3772" s="18" t="n">
        <f aca="false">'Black-Scholes'!$B$5*EXP(('Black-Scholes'!$B$8-'Black-Scholes'!$B$10-'Black-Scholes'!$B$9^2/2)*'Black-Scholes'!$B$7-'Black-Scholes'!$B$9*SQRT('Black-Scholes'!$B$7)*B3772)</f>
        <v>72.1150866259136</v>
      </c>
      <c r="E3772" s="18" t="n">
        <f aca="false">EXP(-'Black-Scholes'!$B$8*'Black-Scholes'!$B$7)*IF(LOWER('Black-Scholes'!$B$11)="put",MAX('Black-Scholes'!$B$6-C3772,0),MAX(C3772-'Black-Scholes'!$B$6,0))</f>
        <v>44.9379261340093</v>
      </c>
      <c r="F3772" s="18" t="n">
        <f aca="false">(E3772+G3772)/2</f>
        <v>22.4689630670046</v>
      </c>
      <c r="G3772" s="18" t="n">
        <f aca="false">EXP(-'Black-Scholes'!$B$8*'Black-Scholes'!$B$7)*IF(LOWER('Black-Scholes'!$B$11)="put",MAX('Black-Scholes'!$B$6-D3772,0),MAX(D3772-'Black-Scholes'!$B$6,0))</f>
        <v>0</v>
      </c>
    </row>
    <row r="3773" customFormat="false" ht="15" hidden="false" customHeight="false" outlineLevel="0" collapsed="false">
      <c r="A3773" s="0" t="n">
        <v>3762</v>
      </c>
      <c r="B3773" s="15" t="n">
        <v>-0.585939951005358</v>
      </c>
      <c r="C3773" s="18" t="n">
        <f aca="false">'Black-Scholes'!$B$5*EXP(('Black-Scholes'!$B$8-'Black-Scholes'!$B$10-'Black-Scholes'!$B$9^2/2)*'Black-Scholes'!$B$7+'Black-Scholes'!$B$9*SQRT('Black-Scholes'!$B$7)*B3773)</f>
        <v>91.6504785518441</v>
      </c>
      <c r="D3773" s="18" t="n">
        <f aca="false">'Black-Scholes'!$B$5*EXP(('Black-Scholes'!$B$8-'Black-Scholes'!$B$10-'Black-Scholes'!$B$9^2/2)*'Black-Scholes'!$B$7-'Black-Scholes'!$B$9*SQRT('Black-Scholes'!$B$7)*B3773)</f>
        <v>115.857174269386</v>
      </c>
      <c r="E3773" s="18" t="n">
        <f aca="false">EXP(-'Black-Scholes'!$B$8*'Black-Scholes'!$B$7)*IF(LOWER('Black-Scholes'!$B$11)="put",MAX('Black-Scholes'!$B$6-C3773,0),MAX(C3773-'Black-Scholes'!$B$6,0))</f>
        <v>0</v>
      </c>
      <c r="F3773" s="18" t="n">
        <f aca="false">(E3773+G3773)/2</f>
        <v>7.54190537723766</v>
      </c>
      <c r="G3773" s="18" t="n">
        <f aca="false">EXP(-'Black-Scholes'!$B$8*'Black-Scholes'!$B$7)*IF(LOWER('Black-Scholes'!$B$11)="put",MAX('Black-Scholes'!$B$6-D3773,0),MAX(D3773-'Black-Scholes'!$B$6,0))</f>
        <v>15.0838107544753</v>
      </c>
    </row>
    <row r="3774" customFormat="false" ht="15" hidden="false" customHeight="false" outlineLevel="0" collapsed="false">
      <c r="A3774" s="0" t="n">
        <v>3763</v>
      </c>
      <c r="B3774" s="15" t="n">
        <v>-1.07755365854161</v>
      </c>
      <c r="C3774" s="18" t="n">
        <f aca="false">'Black-Scholes'!$B$5*EXP(('Black-Scholes'!$B$8-'Black-Scholes'!$B$10-'Black-Scholes'!$B$9^2/2)*'Black-Scholes'!$B$7+'Black-Scholes'!$B$9*SQRT('Black-Scholes'!$B$7)*B3774)</f>
        <v>83.0679920918467</v>
      </c>
      <c r="D3774" s="18" t="n">
        <f aca="false">'Black-Scholes'!$B$5*EXP(('Black-Scholes'!$B$8-'Black-Scholes'!$B$10-'Black-Scholes'!$B$9^2/2)*'Black-Scholes'!$B$7-'Black-Scholes'!$B$9*SQRT('Black-Scholes'!$B$7)*B3774)</f>
        <v>127.827400158091</v>
      </c>
      <c r="E3774" s="18" t="n">
        <f aca="false">EXP(-'Black-Scholes'!$B$8*'Black-Scholes'!$B$7)*IF(LOWER('Black-Scholes'!$B$11)="put",MAX('Black-Scholes'!$B$6-C3774,0),MAX(C3774-'Black-Scholes'!$B$6,0))</f>
        <v>0</v>
      </c>
      <c r="F3774" s="18" t="n">
        <f aca="false">(E3774+G3774)/2</f>
        <v>13.2351209188658</v>
      </c>
      <c r="G3774" s="18" t="n">
        <f aca="false">EXP(-'Black-Scholes'!$B$8*'Black-Scholes'!$B$7)*IF(LOWER('Black-Scholes'!$B$11)="put",MAX('Black-Scholes'!$B$6-D3774,0),MAX(D3774-'Black-Scholes'!$B$6,0))</f>
        <v>26.4702418377316</v>
      </c>
    </row>
    <row r="3775" customFormat="false" ht="15" hidden="false" customHeight="false" outlineLevel="0" collapsed="false">
      <c r="A3775" s="0" t="n">
        <v>3764</v>
      </c>
      <c r="B3775" s="15" t="n">
        <v>0.631021812947222</v>
      </c>
      <c r="C3775" s="18" t="n">
        <f aca="false">'Black-Scholes'!$B$5*EXP(('Black-Scholes'!$B$8-'Black-Scholes'!$B$10-'Black-Scholes'!$B$9^2/2)*'Black-Scholes'!$B$7+'Black-Scholes'!$B$9*SQRT('Black-Scholes'!$B$7)*B3775)</f>
        <v>116.906509184847</v>
      </c>
      <c r="D3775" s="18" t="n">
        <f aca="false">'Black-Scholes'!$B$5*EXP(('Black-Scholes'!$B$8-'Black-Scholes'!$B$10-'Black-Scholes'!$B$9^2/2)*'Black-Scholes'!$B$7-'Black-Scholes'!$B$9*SQRT('Black-Scholes'!$B$7)*B3775)</f>
        <v>90.827837897925</v>
      </c>
      <c r="E3775" s="18" t="n">
        <f aca="false">EXP(-'Black-Scholes'!$B$8*'Black-Scholes'!$B$7)*IF(LOWER('Black-Scholes'!$B$11)="put",MAX('Black-Scholes'!$B$6-C3775,0),MAX(C3775-'Black-Scholes'!$B$6,0))</f>
        <v>16.0819690022185</v>
      </c>
      <c r="F3775" s="18" t="n">
        <f aca="false">(E3775+G3775)/2</f>
        <v>8.04098450110923</v>
      </c>
      <c r="G3775" s="18" t="n">
        <f aca="false">EXP(-'Black-Scholes'!$B$8*'Black-Scholes'!$B$7)*IF(LOWER('Black-Scholes'!$B$11)="put",MAX('Black-Scholes'!$B$6-D3775,0),MAX(D3775-'Black-Scholes'!$B$6,0))</f>
        <v>0</v>
      </c>
    </row>
    <row r="3776" customFormat="false" ht="15" hidden="false" customHeight="false" outlineLevel="0" collapsed="false">
      <c r="A3776" s="0" t="n">
        <v>3765</v>
      </c>
      <c r="B3776" s="15" t="n">
        <v>-0.494314103756919</v>
      </c>
      <c r="C3776" s="18" t="n">
        <f aca="false">'Black-Scholes'!$B$5*EXP(('Black-Scholes'!$B$8-'Black-Scholes'!$B$10-'Black-Scholes'!$B$9^2/2)*'Black-Scholes'!$B$7+'Black-Scholes'!$B$9*SQRT('Black-Scholes'!$B$7)*B3776)</f>
        <v>93.3454721913029</v>
      </c>
      <c r="D3776" s="18" t="n">
        <f aca="false">'Black-Scholes'!$B$5*EXP(('Black-Scholes'!$B$8-'Black-Scholes'!$B$10-'Black-Scholes'!$B$9^2/2)*'Black-Scholes'!$B$7-'Black-Scholes'!$B$9*SQRT('Black-Scholes'!$B$7)*B3776)</f>
        <v>113.753406739346</v>
      </c>
      <c r="E3776" s="18" t="n">
        <f aca="false">EXP(-'Black-Scholes'!$B$8*'Black-Scholes'!$B$7)*IF(LOWER('Black-Scholes'!$B$11)="put",MAX('Black-Scholes'!$B$6-C3776,0),MAX(C3776-'Black-Scholes'!$B$6,0))</f>
        <v>0</v>
      </c>
      <c r="F3776" s="18" t="n">
        <f aca="false">(E3776+G3776)/2</f>
        <v>6.54132258879619</v>
      </c>
      <c r="G3776" s="18" t="n">
        <f aca="false">EXP(-'Black-Scholes'!$B$8*'Black-Scholes'!$B$7)*IF(LOWER('Black-Scholes'!$B$11)="put",MAX('Black-Scholes'!$B$6-D3776,0),MAX(D3776-'Black-Scholes'!$B$6,0))</f>
        <v>13.0826451775924</v>
      </c>
    </row>
    <row r="3777" customFormat="false" ht="15" hidden="false" customHeight="false" outlineLevel="0" collapsed="false">
      <c r="A3777" s="0" t="n">
        <v>3766</v>
      </c>
      <c r="B3777" s="15" t="n">
        <v>1.2892063995804</v>
      </c>
      <c r="C3777" s="18" t="n">
        <f aca="false">'Black-Scholes'!$B$5*EXP(('Black-Scholes'!$B$8-'Black-Scholes'!$B$10-'Black-Scholes'!$B$9^2/2)*'Black-Scholes'!$B$7+'Black-Scholes'!$B$9*SQRT('Black-Scholes'!$B$7)*B3777)</f>
        <v>133.354562685131</v>
      </c>
      <c r="D3777" s="18" t="n">
        <f aca="false">'Black-Scholes'!$B$5*EXP(('Black-Scholes'!$B$8-'Black-Scholes'!$B$10-'Black-Scholes'!$B$9^2/2)*'Black-Scholes'!$B$7-'Black-Scholes'!$B$9*SQRT('Black-Scholes'!$B$7)*B3777)</f>
        <v>79.6250630773323</v>
      </c>
      <c r="E3777" s="18" t="n">
        <f aca="false">EXP(-'Black-Scholes'!$B$8*'Black-Scholes'!$B$7)*IF(LOWER('Black-Scholes'!$B$11)="put",MAX('Black-Scholes'!$B$6-C3777,0),MAX(C3777-'Black-Scholes'!$B$6,0))</f>
        <v>31.7278414674498</v>
      </c>
      <c r="F3777" s="18" t="n">
        <f aca="false">(E3777+G3777)/2</f>
        <v>15.8639207337249</v>
      </c>
      <c r="G3777" s="18" t="n">
        <f aca="false">EXP(-'Black-Scholes'!$B$8*'Black-Scholes'!$B$7)*IF(LOWER('Black-Scholes'!$B$11)="put",MAX('Black-Scholes'!$B$6-D3777,0),MAX(D3777-'Black-Scholes'!$B$6,0))</f>
        <v>0</v>
      </c>
    </row>
    <row r="3778" customFormat="false" ht="15" hidden="false" customHeight="false" outlineLevel="0" collapsed="false">
      <c r="A3778" s="0" t="n">
        <v>3767</v>
      </c>
      <c r="B3778" s="15" t="n">
        <v>0.0863012597689183</v>
      </c>
      <c r="C3778" s="18" t="n">
        <f aca="false">'Black-Scholes'!$B$5*EXP(('Black-Scholes'!$B$8-'Black-Scholes'!$B$10-'Black-Scholes'!$B$9^2/2)*'Black-Scholes'!$B$7+'Black-Scholes'!$B$9*SQRT('Black-Scholes'!$B$7)*B3778)</f>
        <v>104.839482037862</v>
      </c>
      <c r="D3778" s="18" t="n">
        <f aca="false">'Black-Scholes'!$B$5*EXP(('Black-Scholes'!$B$8-'Black-Scholes'!$B$10-'Black-Scholes'!$B$9^2/2)*'Black-Scholes'!$B$7-'Black-Scholes'!$B$9*SQRT('Black-Scholes'!$B$7)*B3778)</f>
        <v>101.282124434942</v>
      </c>
      <c r="E3778" s="18" t="n">
        <f aca="false">EXP(-'Black-Scholes'!$B$8*'Black-Scholes'!$B$7)*IF(LOWER('Black-Scholes'!$B$11)="put",MAX('Black-Scholes'!$B$6-C3778,0),MAX(C3778-'Black-Scholes'!$B$6,0))</f>
        <v>4.60345771375694</v>
      </c>
      <c r="F3778" s="18" t="n">
        <f aca="false">(E3778+G3778)/2</f>
        <v>2.91152610107255</v>
      </c>
      <c r="G3778" s="18" t="n">
        <f aca="false">EXP(-'Black-Scholes'!$B$8*'Black-Scholes'!$B$7)*IF(LOWER('Black-Scholes'!$B$11)="put",MAX('Black-Scholes'!$B$6-D3778,0),MAX(D3778-'Black-Scholes'!$B$6,0))</f>
        <v>1.21959448838816</v>
      </c>
    </row>
    <row r="3779" customFormat="false" ht="15" hidden="false" customHeight="false" outlineLevel="0" collapsed="false">
      <c r="A3779" s="0" t="n">
        <v>3768</v>
      </c>
      <c r="B3779" s="15" t="n">
        <v>-0.215358727760236</v>
      </c>
      <c r="C3779" s="18" t="n">
        <f aca="false">'Black-Scholes'!$B$5*EXP(('Black-Scholes'!$B$8-'Black-Scholes'!$B$10-'Black-Scholes'!$B$9^2/2)*'Black-Scholes'!$B$7+'Black-Scholes'!$B$9*SQRT('Black-Scholes'!$B$7)*B3779)</f>
        <v>98.7013318664513</v>
      </c>
      <c r="D3779" s="18" t="n">
        <f aca="false">'Black-Scholes'!$B$5*EXP(('Black-Scholes'!$B$8-'Black-Scholes'!$B$10-'Black-Scholes'!$B$9^2/2)*'Black-Scholes'!$B$7-'Black-Scholes'!$B$9*SQRT('Black-Scholes'!$B$7)*B3779)</f>
        <v>107.580771856462</v>
      </c>
      <c r="E3779" s="18" t="n">
        <f aca="false">EXP(-'Black-Scholes'!$B$8*'Black-Scholes'!$B$7)*IF(LOWER('Black-Scholes'!$B$11)="put",MAX('Black-Scholes'!$B$6-C3779,0),MAX(C3779-'Black-Scholes'!$B$6,0))</f>
        <v>0</v>
      </c>
      <c r="F3779" s="18" t="n">
        <f aca="false">(E3779+G3779)/2</f>
        <v>3.60552662514656</v>
      </c>
      <c r="G3779" s="18" t="n">
        <f aca="false">EXP(-'Black-Scholes'!$B$8*'Black-Scholes'!$B$7)*IF(LOWER('Black-Scholes'!$B$11)="put",MAX('Black-Scholes'!$B$6-D3779,0),MAX(D3779-'Black-Scholes'!$B$6,0))</f>
        <v>7.21105325029312</v>
      </c>
    </row>
    <row r="3780" customFormat="false" ht="15" hidden="false" customHeight="false" outlineLevel="0" collapsed="false">
      <c r="A3780" s="0" t="n">
        <v>3769</v>
      </c>
      <c r="B3780" s="15" t="n">
        <v>-0.748636176132291</v>
      </c>
      <c r="C3780" s="18" t="n">
        <f aca="false">'Black-Scholes'!$B$5*EXP(('Black-Scholes'!$B$8-'Black-Scholes'!$B$10-'Black-Scholes'!$B$9^2/2)*'Black-Scholes'!$B$7+'Black-Scholes'!$B$9*SQRT('Black-Scholes'!$B$7)*B3780)</f>
        <v>88.7162390365944</v>
      </c>
      <c r="D3780" s="18" t="n">
        <f aca="false">'Black-Scholes'!$B$5*EXP(('Black-Scholes'!$B$8-'Black-Scholes'!$B$10-'Black-Scholes'!$B$9^2/2)*'Black-Scholes'!$B$7-'Black-Scholes'!$B$9*SQRT('Black-Scholes'!$B$7)*B3780)</f>
        <v>119.689084893169</v>
      </c>
      <c r="E3780" s="18" t="n">
        <f aca="false">EXP(-'Black-Scholes'!$B$8*'Black-Scholes'!$B$7)*IF(LOWER('Black-Scholes'!$B$11)="put",MAX('Black-Scholes'!$B$6-C3780,0),MAX(C3780-'Black-Scholes'!$B$6,0))</f>
        <v>0</v>
      </c>
      <c r="F3780" s="18" t="n">
        <f aca="false">(E3780+G3780)/2</f>
        <v>9.36441844593728</v>
      </c>
      <c r="G3780" s="18" t="n">
        <f aca="false">EXP(-'Black-Scholes'!$B$8*'Black-Scholes'!$B$7)*IF(LOWER('Black-Scholes'!$B$11)="put",MAX('Black-Scholes'!$B$6-D3780,0),MAX(D3780-'Black-Scholes'!$B$6,0))</f>
        <v>18.7288368918746</v>
      </c>
    </row>
    <row r="3781" customFormat="false" ht="15" hidden="false" customHeight="false" outlineLevel="0" collapsed="false">
      <c r="A3781" s="0" t="n">
        <v>3770</v>
      </c>
      <c r="B3781" s="15" t="n">
        <v>0.0240424342073108</v>
      </c>
      <c r="C3781" s="18" t="n">
        <f aca="false">'Black-Scholes'!$B$5*EXP(('Black-Scholes'!$B$8-'Black-Scholes'!$B$10-'Black-Scholes'!$B$9^2/2)*'Black-Scholes'!$B$7+'Black-Scholes'!$B$9*SQRT('Black-Scholes'!$B$7)*B3781)</f>
        <v>103.54213929888</v>
      </c>
      <c r="D3781" s="18" t="n">
        <f aca="false">'Black-Scholes'!$B$5*EXP(('Black-Scholes'!$B$8-'Black-Scholes'!$B$10-'Black-Scholes'!$B$9^2/2)*'Black-Scholes'!$B$7-'Black-Scholes'!$B$9*SQRT('Black-Scholes'!$B$7)*B3781)</f>
        <v>102.551150066575</v>
      </c>
      <c r="E3781" s="18" t="n">
        <f aca="false">EXP(-'Black-Scholes'!$B$8*'Black-Scholes'!$B$7)*IF(LOWER('Black-Scholes'!$B$11)="put",MAX('Black-Scholes'!$B$6-C3781,0),MAX(C3781-'Black-Scholes'!$B$6,0))</f>
        <v>3.36938712677468</v>
      </c>
      <c r="F3781" s="18" t="n">
        <f aca="false">(E3781+G3781)/2</f>
        <v>2.89805806820876</v>
      </c>
      <c r="G3781" s="18" t="n">
        <f aca="false">EXP(-'Black-Scholes'!$B$8*'Black-Scholes'!$B$7)*IF(LOWER('Black-Scholes'!$B$11)="put",MAX('Black-Scholes'!$B$6-D3781,0),MAX(D3781-'Black-Scholes'!$B$6,0))</f>
        <v>2.42672900964284</v>
      </c>
    </row>
    <row r="3782" customFormat="false" ht="15" hidden="false" customHeight="false" outlineLevel="0" collapsed="false">
      <c r="A3782" s="0" t="n">
        <v>3771</v>
      </c>
      <c r="B3782" s="15" t="n">
        <v>0.0743294838408258</v>
      </c>
      <c r="C3782" s="18" t="n">
        <f aca="false">'Black-Scholes'!$B$5*EXP(('Black-Scholes'!$B$8-'Black-Scholes'!$B$10-'Black-Scholes'!$B$9^2/2)*'Black-Scholes'!$B$7+'Black-Scholes'!$B$9*SQRT('Black-Scholes'!$B$7)*B3782)</f>
        <v>104.588759359741</v>
      </c>
      <c r="D3782" s="18" t="n">
        <f aca="false">'Black-Scholes'!$B$5*EXP(('Black-Scholes'!$B$8-'Black-Scholes'!$B$10-'Black-Scholes'!$B$9^2/2)*'Black-Scholes'!$B$7-'Black-Scholes'!$B$9*SQRT('Black-Scholes'!$B$7)*B3782)</f>
        <v>101.52492036865</v>
      </c>
      <c r="E3782" s="18" t="n">
        <f aca="false">EXP(-'Black-Scholes'!$B$8*'Black-Scholes'!$B$7)*IF(LOWER('Black-Scholes'!$B$11)="put",MAX('Black-Scholes'!$B$6-C3782,0),MAX(C3782-'Black-Scholes'!$B$6,0))</f>
        <v>4.36496292493842</v>
      </c>
      <c r="F3782" s="18" t="n">
        <f aca="false">(E3782+G3782)/2</f>
        <v>2.9077560248095</v>
      </c>
      <c r="G3782" s="18" t="n">
        <f aca="false">EXP(-'Black-Scholes'!$B$8*'Black-Scholes'!$B$7)*IF(LOWER('Black-Scholes'!$B$11)="put",MAX('Black-Scholes'!$B$6-D3782,0),MAX(D3782-'Black-Scholes'!$B$6,0))</f>
        <v>1.45054912468059</v>
      </c>
    </row>
    <row r="3783" customFormat="false" ht="15" hidden="false" customHeight="false" outlineLevel="0" collapsed="false">
      <c r="A3783" s="0" t="n">
        <v>3772</v>
      </c>
      <c r="B3783" s="15" t="n">
        <v>1.00649368153016</v>
      </c>
      <c r="C3783" s="18" t="n">
        <f aca="false">'Black-Scholes'!$B$5*EXP(('Black-Scholes'!$B$8-'Black-Scholes'!$B$10-'Black-Scholes'!$B$9^2/2)*'Black-Scholes'!$B$7+'Black-Scholes'!$B$9*SQRT('Black-Scholes'!$B$7)*B3783)</f>
        <v>126.023566136719</v>
      </c>
      <c r="D3783" s="18" t="n">
        <f aca="false">'Black-Scholes'!$B$5*EXP(('Black-Scholes'!$B$8-'Black-Scholes'!$B$10-'Black-Scholes'!$B$9^2/2)*'Black-Scholes'!$B$7-'Black-Scholes'!$B$9*SQRT('Black-Scholes'!$B$7)*B3783)</f>
        <v>84.2569829672496</v>
      </c>
      <c r="E3783" s="18" t="n">
        <f aca="false">EXP(-'Black-Scholes'!$B$8*'Black-Scholes'!$B$7)*IF(LOWER('Black-Scholes'!$B$11)="put",MAX('Black-Scholes'!$B$6-C3783,0),MAX(C3783-'Black-Scholes'!$B$6,0))</f>
        <v>24.7543818396876</v>
      </c>
      <c r="F3783" s="18" t="n">
        <f aca="false">(E3783+G3783)/2</f>
        <v>12.3771909198438</v>
      </c>
      <c r="G3783" s="18" t="n">
        <f aca="false">EXP(-'Black-Scholes'!$B$8*'Black-Scholes'!$B$7)*IF(LOWER('Black-Scholes'!$B$11)="put",MAX('Black-Scholes'!$B$6-D3783,0),MAX(D3783-'Black-Scholes'!$B$6,0))</f>
        <v>0</v>
      </c>
    </row>
    <row r="3784" customFormat="false" ht="15" hidden="false" customHeight="false" outlineLevel="0" collapsed="false">
      <c r="A3784" s="0" t="n">
        <v>3773</v>
      </c>
      <c r="B3784" s="15" t="n">
        <v>1.39282095625988</v>
      </c>
      <c r="C3784" s="18" t="n">
        <f aca="false">'Black-Scholes'!$B$5*EXP(('Black-Scholes'!$B$8-'Black-Scholes'!$B$10-'Black-Scholes'!$B$9^2/2)*'Black-Scholes'!$B$7+'Black-Scholes'!$B$9*SQRT('Black-Scholes'!$B$7)*B3784)</f>
        <v>136.146890113597</v>
      </c>
      <c r="D3784" s="18" t="n">
        <f aca="false">'Black-Scholes'!$B$5*EXP(('Black-Scholes'!$B$8-'Black-Scholes'!$B$10-'Black-Scholes'!$B$9^2/2)*'Black-Scholes'!$B$7-'Black-Scholes'!$B$9*SQRT('Black-Scholes'!$B$7)*B3784)</f>
        <v>77.9919795200167</v>
      </c>
      <c r="E3784" s="18" t="n">
        <f aca="false">EXP(-'Black-Scholes'!$B$8*'Black-Scholes'!$B$7)*IF(LOWER('Black-Scholes'!$B$11)="put",MAX('Black-Scholes'!$B$6-C3784,0),MAX(C3784-'Black-Scholes'!$B$6,0))</f>
        <v>34.3839854802471</v>
      </c>
      <c r="F3784" s="18" t="n">
        <f aca="false">(E3784+G3784)/2</f>
        <v>17.1919927401236</v>
      </c>
      <c r="G3784" s="18" t="n">
        <f aca="false">EXP(-'Black-Scholes'!$B$8*'Black-Scholes'!$B$7)*IF(LOWER('Black-Scholes'!$B$11)="put",MAX('Black-Scholes'!$B$6-D3784,0),MAX(D3784-'Black-Scholes'!$B$6,0))</f>
        <v>0</v>
      </c>
    </row>
    <row r="3785" customFormat="false" ht="15" hidden="false" customHeight="false" outlineLevel="0" collapsed="false">
      <c r="A3785" s="0" t="n">
        <v>3774</v>
      </c>
      <c r="B3785" s="15" t="n">
        <v>0.603259825704675</v>
      </c>
      <c r="C3785" s="18" t="n">
        <f aca="false">'Black-Scholes'!$B$5*EXP(('Black-Scholes'!$B$8-'Black-Scholes'!$B$10-'Black-Scholes'!$B$9^2/2)*'Black-Scholes'!$B$7+'Black-Scholes'!$B$9*SQRT('Black-Scholes'!$B$7)*B3785)</f>
        <v>116.259196513154</v>
      </c>
      <c r="D3785" s="18" t="n">
        <f aca="false">'Black-Scholes'!$B$5*EXP(('Black-Scholes'!$B$8-'Black-Scholes'!$B$10-'Black-Scholes'!$B$9^2/2)*'Black-Scholes'!$B$7-'Black-Scholes'!$B$9*SQRT('Black-Scholes'!$B$7)*B3785)</f>
        <v>91.3335528192143</v>
      </c>
      <c r="E3785" s="18" t="n">
        <f aca="false">EXP(-'Black-Scholes'!$B$8*'Black-Scholes'!$B$7)*IF(LOWER('Black-Scholes'!$B$11)="put",MAX('Black-Scholes'!$B$6-C3785,0),MAX(C3785-'Black-Scholes'!$B$6,0))</f>
        <v>15.4662261420518</v>
      </c>
      <c r="F3785" s="18" t="n">
        <f aca="false">(E3785+G3785)/2</f>
        <v>7.73311307102591</v>
      </c>
      <c r="G3785" s="18" t="n">
        <f aca="false">EXP(-'Black-Scholes'!$B$8*'Black-Scholes'!$B$7)*IF(LOWER('Black-Scholes'!$B$11)="put",MAX('Black-Scholes'!$B$6-D3785,0),MAX(D3785-'Black-Scholes'!$B$6,0))</f>
        <v>0</v>
      </c>
    </row>
    <row r="3786" customFormat="false" ht="15" hidden="false" customHeight="false" outlineLevel="0" collapsed="false">
      <c r="A3786" s="0" t="n">
        <v>3775</v>
      </c>
      <c r="B3786" s="15" t="n">
        <v>-1.07962968583371</v>
      </c>
      <c r="C3786" s="18" t="n">
        <f aca="false">'Black-Scholes'!$B$5*EXP(('Black-Scholes'!$B$8-'Black-Scholes'!$B$10-'Black-Scholes'!$B$9^2/2)*'Black-Scholes'!$B$7+'Black-Scholes'!$B$9*SQRT('Black-Scholes'!$B$7)*B3786)</f>
        <v>83.0335089673964</v>
      </c>
      <c r="D3786" s="18" t="n">
        <f aca="false">'Black-Scholes'!$B$5*EXP(('Black-Scholes'!$B$8-'Black-Scholes'!$B$10-'Black-Scholes'!$B$9^2/2)*'Black-Scholes'!$B$7-'Black-Scholes'!$B$9*SQRT('Black-Scholes'!$B$7)*B3786)</f>
        <v>127.880485812336</v>
      </c>
      <c r="E3786" s="18" t="n">
        <f aca="false">EXP(-'Black-Scholes'!$B$8*'Black-Scholes'!$B$7)*IF(LOWER('Black-Scholes'!$B$11)="put",MAX('Black-Scholes'!$B$6-C3786,0),MAX(C3786-'Black-Scholes'!$B$6,0))</f>
        <v>0</v>
      </c>
      <c r="F3786" s="18" t="n">
        <f aca="false">(E3786+G3786)/2</f>
        <v>13.2603692370343</v>
      </c>
      <c r="G3786" s="18" t="n">
        <f aca="false">EXP(-'Black-Scholes'!$B$8*'Black-Scholes'!$B$7)*IF(LOWER('Black-Scholes'!$B$11)="put",MAX('Black-Scholes'!$B$6-D3786,0),MAX(D3786-'Black-Scholes'!$B$6,0))</f>
        <v>26.5207384740685</v>
      </c>
    </row>
    <row r="3787" customFormat="false" ht="15" hidden="false" customHeight="false" outlineLevel="0" collapsed="false">
      <c r="A3787" s="0" t="n">
        <v>3776</v>
      </c>
      <c r="B3787" s="15" t="n">
        <v>-0.286133872417509</v>
      </c>
      <c r="C3787" s="18" t="n">
        <f aca="false">'Black-Scholes'!$B$5*EXP(('Black-Scholes'!$B$8-'Black-Scholes'!$B$10-'Black-Scholes'!$B$9^2/2)*'Black-Scholes'!$B$7+'Black-Scholes'!$B$9*SQRT('Black-Scholes'!$B$7)*B3787)</f>
        <v>97.3140533058</v>
      </c>
      <c r="D3787" s="18" t="n">
        <f aca="false">'Black-Scholes'!$B$5*EXP(('Black-Scholes'!$B$8-'Black-Scholes'!$B$10-'Black-Scholes'!$B$9^2/2)*'Black-Scholes'!$B$7-'Black-Scholes'!$B$9*SQRT('Black-Scholes'!$B$7)*B3787)</f>
        <v>109.114409530209</v>
      </c>
      <c r="E3787" s="18" t="n">
        <f aca="false">EXP(-'Black-Scholes'!$B$8*'Black-Scholes'!$B$7)*IF(LOWER('Black-Scholes'!$B$11)="put",MAX('Black-Scholes'!$B$6-C3787,0),MAX(C3787-'Black-Scholes'!$B$6,0))</f>
        <v>0</v>
      </c>
      <c r="F3787" s="18" t="n">
        <f aca="false">(E3787+G3787)/2</f>
        <v>4.33494726604203</v>
      </c>
      <c r="G3787" s="18" t="n">
        <f aca="false">EXP(-'Black-Scholes'!$B$8*'Black-Scholes'!$B$7)*IF(LOWER('Black-Scholes'!$B$11)="put",MAX('Black-Scholes'!$B$6-D3787,0),MAX(D3787-'Black-Scholes'!$B$6,0))</f>
        <v>8.66989453208406</v>
      </c>
    </row>
    <row r="3788" customFormat="false" ht="15" hidden="false" customHeight="false" outlineLevel="0" collapsed="false">
      <c r="A3788" s="0" t="n">
        <v>3777</v>
      </c>
      <c r="B3788" s="15" t="n">
        <v>-0.197319390478566</v>
      </c>
      <c r="C3788" s="18" t="n">
        <f aca="false">'Black-Scholes'!$B$5*EXP(('Black-Scholes'!$B$8-'Black-Scholes'!$B$10-'Black-Scholes'!$B$9^2/2)*'Black-Scholes'!$B$7+'Black-Scholes'!$B$9*SQRT('Black-Scholes'!$B$7)*B3788)</f>
        <v>99.0580763460183</v>
      </c>
      <c r="D3788" s="18" t="n">
        <f aca="false">'Black-Scholes'!$B$5*EXP(('Black-Scholes'!$B$8-'Black-Scholes'!$B$10-'Black-Scholes'!$B$9^2/2)*'Black-Scholes'!$B$7-'Black-Scholes'!$B$9*SQRT('Black-Scholes'!$B$7)*B3788)</f>
        <v>107.193334023192</v>
      </c>
      <c r="E3788" s="18" t="n">
        <f aca="false">EXP(-'Black-Scholes'!$B$8*'Black-Scholes'!$B$7)*IF(LOWER('Black-Scholes'!$B$11)="put",MAX('Black-Scholes'!$B$6-C3788,0),MAX(C3788-'Black-Scholes'!$B$6,0))</f>
        <v>0</v>
      </c>
      <c r="F3788" s="18" t="n">
        <f aca="false">(E3788+G3788)/2</f>
        <v>3.42125549156116</v>
      </c>
      <c r="G3788" s="18" t="n">
        <f aca="false">EXP(-'Black-Scholes'!$B$8*'Black-Scholes'!$B$7)*IF(LOWER('Black-Scholes'!$B$11)="put",MAX('Black-Scholes'!$B$6-D3788,0),MAX(D3788-'Black-Scholes'!$B$6,0))</f>
        <v>6.84251098312231</v>
      </c>
    </row>
    <row r="3789" customFormat="false" ht="15" hidden="false" customHeight="false" outlineLevel="0" collapsed="false">
      <c r="A3789" s="0" t="n">
        <v>3778</v>
      </c>
      <c r="B3789" s="15" t="n">
        <v>0.548251077330888</v>
      </c>
      <c r="C3789" s="18" t="n">
        <f aca="false">'Black-Scholes'!$B$5*EXP(('Black-Scholes'!$B$8-'Black-Scholes'!$B$10-'Black-Scholes'!$B$9^2/2)*'Black-Scholes'!$B$7+'Black-Scholes'!$B$9*SQRT('Black-Scholes'!$B$7)*B3789)</f>
        <v>114.987152123207</v>
      </c>
      <c r="D3789" s="18" t="n">
        <f aca="false">'Black-Scholes'!$B$5*EXP(('Black-Scholes'!$B$8-'Black-Scholes'!$B$10-'Black-Scholes'!$B$9^2/2)*'Black-Scholes'!$B$7-'Black-Scholes'!$B$9*SQRT('Black-Scholes'!$B$7)*B3789)</f>
        <v>92.3439294685388</v>
      </c>
      <c r="E3789" s="18" t="n">
        <f aca="false">EXP(-'Black-Scholes'!$B$8*'Black-Scholes'!$B$7)*IF(LOWER('Black-Scholes'!$B$11)="put",MAX('Black-Scholes'!$B$6-C3789,0),MAX(C3789-'Black-Scholes'!$B$6,0))</f>
        <v>14.2562200890632</v>
      </c>
      <c r="F3789" s="18" t="n">
        <f aca="false">(E3789+G3789)/2</f>
        <v>7.12811004453159</v>
      </c>
      <c r="G3789" s="18" t="n">
        <f aca="false">EXP(-'Black-Scholes'!$B$8*'Black-Scholes'!$B$7)*IF(LOWER('Black-Scholes'!$B$11)="put",MAX('Black-Scholes'!$B$6-D3789,0),MAX(D3789-'Black-Scholes'!$B$6,0))</f>
        <v>0</v>
      </c>
    </row>
    <row r="3790" customFormat="false" ht="15" hidden="false" customHeight="false" outlineLevel="0" collapsed="false">
      <c r="A3790" s="0" t="n">
        <v>3779</v>
      </c>
      <c r="B3790" s="15" t="n">
        <v>-1.96440991545778</v>
      </c>
      <c r="C3790" s="18" t="n">
        <f aca="false">'Black-Scholes'!$B$5*EXP(('Black-Scholes'!$B$8-'Black-Scholes'!$B$10-'Black-Scholes'!$B$9^2/2)*'Black-Scholes'!$B$7+'Black-Scholes'!$B$9*SQRT('Black-Scholes'!$B$7)*B3790)</f>
        <v>69.5668529303783</v>
      </c>
      <c r="D3790" s="18" t="n">
        <f aca="false">'Black-Scholes'!$B$5*EXP(('Black-Scholes'!$B$8-'Black-Scholes'!$B$10-'Black-Scholes'!$B$9^2/2)*'Black-Scholes'!$B$7-'Black-Scholes'!$B$9*SQRT('Black-Scholes'!$B$7)*B3790)</f>
        <v>152.635414973857</v>
      </c>
      <c r="E3790" s="18" t="n">
        <f aca="false">EXP(-'Black-Scholes'!$B$8*'Black-Scholes'!$B$7)*IF(LOWER('Black-Scholes'!$B$11)="put",MAX('Black-Scholes'!$B$6-C3790,0),MAX(C3790-'Black-Scholes'!$B$6,0))</f>
        <v>0</v>
      </c>
      <c r="F3790" s="18" t="n">
        <f aca="false">(E3790+G3790)/2</f>
        <v>25.0341777469693</v>
      </c>
      <c r="G3790" s="18" t="n">
        <f aca="false">EXP(-'Black-Scholes'!$B$8*'Black-Scholes'!$B$7)*IF(LOWER('Black-Scholes'!$B$11)="put",MAX('Black-Scholes'!$B$6-D3790,0),MAX(D3790-'Black-Scholes'!$B$6,0))</f>
        <v>50.0683554939386</v>
      </c>
    </row>
    <row r="3791" customFormat="false" ht="15" hidden="false" customHeight="false" outlineLevel="0" collapsed="false">
      <c r="A3791" s="0" t="n">
        <v>3780</v>
      </c>
      <c r="B3791" s="15" t="n">
        <v>-0.641689207541341</v>
      </c>
      <c r="C3791" s="18" t="n">
        <f aca="false">'Black-Scholes'!$B$5*EXP(('Black-Scholes'!$B$8-'Black-Scholes'!$B$10-'Black-Scholes'!$B$9^2/2)*'Black-Scholes'!$B$7+'Black-Scholes'!$B$9*SQRT('Black-Scholes'!$B$7)*B3791)</f>
        <v>90.6342651856022</v>
      </c>
      <c r="D3791" s="18" t="n">
        <f aca="false">'Black-Scholes'!$B$5*EXP(('Black-Scholes'!$B$8-'Black-Scholes'!$B$10-'Black-Scholes'!$B$9^2/2)*'Black-Scholes'!$B$7-'Black-Scholes'!$B$9*SQRT('Black-Scholes'!$B$7)*B3791)</f>
        <v>117.156193010548</v>
      </c>
      <c r="E3791" s="18" t="n">
        <f aca="false">EXP(-'Black-Scholes'!$B$8*'Black-Scholes'!$B$7)*IF(LOWER('Black-Scholes'!$B$11)="put",MAX('Black-Scholes'!$B$6-C3791,0),MAX(C3791-'Black-Scholes'!$B$6,0))</f>
        <v>0</v>
      </c>
      <c r="F3791" s="18" t="n">
        <f aca="false">(E3791+G3791)/2</f>
        <v>8.15973780202338</v>
      </c>
      <c r="G3791" s="18" t="n">
        <f aca="false">EXP(-'Black-Scholes'!$B$8*'Black-Scholes'!$B$7)*IF(LOWER('Black-Scholes'!$B$11)="put",MAX('Black-Scholes'!$B$6-D3791,0),MAX(D3791-'Black-Scholes'!$B$6,0))</f>
        <v>16.3194756040468</v>
      </c>
    </row>
    <row r="3792" customFormat="false" ht="15" hidden="false" customHeight="false" outlineLevel="0" collapsed="false">
      <c r="A3792" s="0" t="n">
        <v>3781</v>
      </c>
      <c r="B3792" s="15" t="n">
        <v>0.00860464705577286</v>
      </c>
      <c r="C3792" s="18" t="n">
        <f aca="false">'Black-Scholes'!$B$5*EXP(('Black-Scholes'!$B$8-'Black-Scholes'!$B$10-'Black-Scholes'!$B$9^2/2)*'Black-Scholes'!$B$7+'Black-Scholes'!$B$9*SQRT('Black-Scholes'!$B$7)*B3792)</f>
        <v>103.222940023961</v>
      </c>
      <c r="D3792" s="18" t="n">
        <f aca="false">'Black-Scholes'!$B$5*EXP(('Black-Scholes'!$B$8-'Black-Scholes'!$B$10-'Black-Scholes'!$B$9^2/2)*'Black-Scholes'!$B$7-'Black-Scholes'!$B$9*SQRT('Black-Scholes'!$B$7)*B3792)</f>
        <v>102.86827194603</v>
      </c>
      <c r="E3792" s="18" t="n">
        <f aca="false">EXP(-'Black-Scholes'!$B$8*'Black-Scholes'!$B$7)*IF(LOWER('Black-Scholes'!$B$11)="put",MAX('Black-Scholes'!$B$6-C3792,0),MAX(C3792-'Black-Scholes'!$B$6,0))</f>
        <v>3.06575538419317</v>
      </c>
      <c r="F3792" s="18" t="n">
        <f aca="false">(E3792+G3792)/2</f>
        <v>2.89707002836334</v>
      </c>
      <c r="G3792" s="18" t="n">
        <f aca="false">EXP(-'Black-Scholes'!$B$8*'Black-Scholes'!$B$7)*IF(LOWER('Black-Scholes'!$B$11)="put",MAX('Black-Scholes'!$B$6-D3792,0),MAX(D3792-'Black-Scholes'!$B$6,0))</f>
        <v>2.7283846725335</v>
      </c>
    </row>
    <row r="3793" customFormat="false" ht="15" hidden="false" customHeight="false" outlineLevel="0" collapsed="false">
      <c r="A3793" s="0" t="n">
        <v>3782</v>
      </c>
      <c r="B3793" s="15" t="n">
        <v>0.431520241213301</v>
      </c>
      <c r="C3793" s="18" t="n">
        <f aca="false">'Black-Scholes'!$B$5*EXP(('Black-Scholes'!$B$8-'Black-Scholes'!$B$10-'Black-Scholes'!$B$9^2/2)*'Black-Scholes'!$B$7+'Black-Scholes'!$B$9*SQRT('Black-Scholes'!$B$7)*B3793)</f>
        <v>112.333736896782</v>
      </c>
      <c r="D3793" s="18" t="n">
        <f aca="false">'Black-Scholes'!$B$5*EXP(('Black-Scholes'!$B$8-'Black-Scholes'!$B$10-'Black-Scholes'!$B$9^2/2)*'Black-Scholes'!$B$7-'Black-Scholes'!$B$9*SQRT('Black-Scholes'!$B$7)*B3793)</f>
        <v>94.5251690078674</v>
      </c>
      <c r="E3793" s="18" t="n">
        <f aca="false">EXP(-'Black-Scholes'!$B$8*'Black-Scholes'!$B$7)*IF(LOWER('Black-Scholes'!$B$11)="put",MAX('Black-Scholes'!$B$6-C3793,0),MAX(C3793-'Black-Scholes'!$B$6,0))</f>
        <v>11.7322134502689</v>
      </c>
      <c r="F3793" s="18" t="n">
        <f aca="false">(E3793+G3793)/2</f>
        <v>5.86610672513443</v>
      </c>
      <c r="G3793" s="18" t="n">
        <f aca="false">EXP(-'Black-Scholes'!$B$8*'Black-Scholes'!$B$7)*IF(LOWER('Black-Scholes'!$B$11)="put",MAX('Black-Scholes'!$B$6-D3793,0),MAX(D3793-'Black-Scholes'!$B$6,0))</f>
        <v>0</v>
      </c>
    </row>
    <row r="3794" customFormat="false" ht="15" hidden="false" customHeight="false" outlineLevel="0" collapsed="false">
      <c r="A3794" s="0" t="n">
        <v>3783</v>
      </c>
      <c r="B3794" s="15" t="n">
        <v>0.649538699383361</v>
      </c>
      <c r="C3794" s="18" t="n">
        <f aca="false">'Black-Scholes'!$B$5*EXP(('Black-Scholes'!$B$8-'Black-Scholes'!$B$10-'Black-Scholes'!$B$9^2/2)*'Black-Scholes'!$B$7+'Black-Scholes'!$B$9*SQRT('Black-Scholes'!$B$7)*B3794)</f>
        <v>117.340260772839</v>
      </c>
      <c r="D3794" s="18" t="n">
        <f aca="false">'Black-Scholes'!$B$5*EXP(('Black-Scholes'!$B$8-'Black-Scholes'!$B$10-'Black-Scholes'!$B$9^2/2)*'Black-Scholes'!$B$7-'Black-Scholes'!$B$9*SQRT('Black-Scholes'!$B$7)*B3794)</f>
        <v>90.4920902298814</v>
      </c>
      <c r="E3794" s="18" t="n">
        <f aca="false">EXP(-'Black-Scholes'!$B$8*'Black-Scholes'!$B$7)*IF(LOWER('Black-Scholes'!$B$11)="put",MAX('Black-Scholes'!$B$6-C3794,0),MAX(C3794-'Black-Scholes'!$B$6,0))</f>
        <v>16.4945662756403</v>
      </c>
      <c r="F3794" s="18" t="n">
        <f aca="false">(E3794+G3794)/2</f>
        <v>8.24728313782016</v>
      </c>
      <c r="G3794" s="18" t="n">
        <f aca="false">EXP(-'Black-Scholes'!$B$8*'Black-Scholes'!$B$7)*IF(LOWER('Black-Scholes'!$B$11)="put",MAX('Black-Scholes'!$B$6-D3794,0),MAX(D3794-'Black-Scholes'!$B$6,0))</f>
        <v>0</v>
      </c>
    </row>
    <row r="3795" customFormat="false" ht="15" hidden="false" customHeight="false" outlineLevel="0" collapsed="false">
      <c r="A3795" s="0" t="n">
        <v>3784</v>
      </c>
      <c r="B3795" s="15" t="n">
        <v>0.40729977642354</v>
      </c>
      <c r="C3795" s="18" t="n">
        <f aca="false">'Black-Scholes'!$B$5*EXP(('Black-Scholes'!$B$8-'Black-Scholes'!$B$10-'Black-Scholes'!$B$9^2/2)*'Black-Scholes'!$B$7+'Black-Scholes'!$B$9*SQRT('Black-Scholes'!$B$7)*B3795)</f>
        <v>111.790897676249</v>
      </c>
      <c r="D3795" s="18" t="n">
        <f aca="false">'Black-Scholes'!$B$5*EXP(('Black-Scholes'!$B$8-'Black-Scholes'!$B$10-'Black-Scholes'!$B$9^2/2)*'Black-Scholes'!$B$7-'Black-Scholes'!$B$9*SQRT('Black-Scholes'!$B$7)*B3795)</f>
        <v>94.9841685340498</v>
      </c>
      <c r="E3795" s="18" t="n">
        <f aca="false">EXP(-'Black-Scholes'!$B$8*'Black-Scholes'!$B$7)*IF(LOWER('Black-Scholes'!$B$11)="put",MAX('Black-Scholes'!$B$6-C3795,0),MAX(C3795-'Black-Scholes'!$B$6,0))</f>
        <v>11.2158488109256</v>
      </c>
      <c r="F3795" s="18" t="n">
        <f aca="false">(E3795+G3795)/2</f>
        <v>5.60792440546278</v>
      </c>
      <c r="G3795" s="18" t="n">
        <f aca="false">EXP(-'Black-Scholes'!$B$8*'Black-Scholes'!$B$7)*IF(LOWER('Black-Scholes'!$B$11)="put",MAX('Black-Scholes'!$B$6-D3795,0),MAX(D3795-'Black-Scholes'!$B$6,0))</f>
        <v>0</v>
      </c>
    </row>
    <row r="3796" customFormat="false" ht="15" hidden="false" customHeight="false" outlineLevel="0" collapsed="false">
      <c r="A3796" s="0" t="n">
        <v>3785</v>
      </c>
      <c r="B3796" s="15" t="n">
        <v>0.214761536423279</v>
      </c>
      <c r="C3796" s="18" t="n">
        <f aca="false">'Black-Scholes'!$B$5*EXP(('Black-Scholes'!$B$8-'Black-Scholes'!$B$10-'Black-Scholes'!$B$9^2/2)*'Black-Scholes'!$B$7+'Black-Scholes'!$B$9*SQRT('Black-Scholes'!$B$7)*B3796)</f>
        <v>107.567923362783</v>
      </c>
      <c r="D3796" s="18" t="n">
        <f aca="false">'Black-Scholes'!$B$5*EXP(('Black-Scholes'!$B$8-'Black-Scholes'!$B$10-'Black-Scholes'!$B$9^2/2)*'Black-Scholes'!$B$7-'Black-Scholes'!$B$9*SQRT('Black-Scholes'!$B$7)*B3796)</f>
        <v>98.7131212865586</v>
      </c>
      <c r="E3796" s="18" t="n">
        <f aca="false">EXP(-'Black-Scholes'!$B$8*'Black-Scholes'!$B$7)*IF(LOWER('Black-Scholes'!$B$11)="put",MAX('Black-Scholes'!$B$6-C3796,0),MAX(C3796-'Black-Scholes'!$B$6,0))</f>
        <v>7.19883138504515</v>
      </c>
      <c r="F3796" s="18" t="n">
        <f aca="false">(E3796+G3796)/2</f>
        <v>3.59941569252258</v>
      </c>
      <c r="G3796" s="18" t="n">
        <f aca="false">EXP(-'Black-Scholes'!$B$8*'Black-Scholes'!$B$7)*IF(LOWER('Black-Scholes'!$B$11)="put",MAX('Black-Scholes'!$B$6-D3796,0),MAX(D3796-'Black-Scholes'!$B$6,0))</f>
        <v>0</v>
      </c>
    </row>
    <row r="3797" customFormat="false" ht="15" hidden="false" customHeight="false" outlineLevel="0" collapsed="false">
      <c r="A3797" s="0" t="n">
        <v>3786</v>
      </c>
      <c r="B3797" s="15" t="n">
        <v>-0.654691583098321</v>
      </c>
      <c r="C3797" s="18" t="n">
        <f aca="false">'Black-Scholes'!$B$5*EXP(('Black-Scholes'!$B$8-'Black-Scholes'!$B$10-'Black-Scholes'!$B$9^2/2)*'Black-Scholes'!$B$7+'Black-Scholes'!$B$9*SQRT('Black-Scholes'!$B$7)*B3797)</f>
        <v>90.3988792250625</v>
      </c>
      <c r="D3797" s="18" t="n">
        <f aca="false">'Black-Scholes'!$B$5*EXP(('Black-Scholes'!$B$8-'Black-Scholes'!$B$10-'Black-Scholes'!$B$9^2/2)*'Black-Scholes'!$B$7-'Black-Scholes'!$B$9*SQRT('Black-Scholes'!$B$7)*B3797)</f>
        <v>117.461251250886</v>
      </c>
      <c r="E3797" s="18" t="n">
        <f aca="false">EXP(-'Black-Scholes'!$B$8*'Black-Scholes'!$B$7)*IF(LOWER('Black-Scholes'!$B$11)="put",MAX('Black-Scholes'!$B$6-C3797,0),MAX(C3797-'Black-Scholes'!$B$6,0))</f>
        <v>0</v>
      </c>
      <c r="F3797" s="18" t="n">
        <f aca="false">(E3797+G3797)/2</f>
        <v>8.30482798922149</v>
      </c>
      <c r="G3797" s="18" t="n">
        <f aca="false">EXP(-'Black-Scholes'!$B$8*'Black-Scholes'!$B$7)*IF(LOWER('Black-Scholes'!$B$11)="put",MAX('Black-Scholes'!$B$6-D3797,0),MAX(D3797-'Black-Scholes'!$B$6,0))</f>
        <v>16.609655978443</v>
      </c>
    </row>
    <row r="3798" customFormat="false" ht="15" hidden="false" customHeight="false" outlineLevel="0" collapsed="false">
      <c r="A3798" s="0" t="n">
        <v>3787</v>
      </c>
      <c r="B3798" s="15" t="n">
        <v>-0.569388221271792</v>
      </c>
      <c r="C3798" s="18" t="n">
        <f aca="false">'Black-Scholes'!$B$5*EXP(('Black-Scholes'!$B$8-'Black-Scholes'!$B$10-'Black-Scholes'!$B$9^2/2)*'Black-Scholes'!$B$7+'Black-Scholes'!$B$9*SQRT('Black-Scholes'!$B$7)*B3798)</f>
        <v>91.9543760674681</v>
      </c>
      <c r="D3798" s="18" t="n">
        <f aca="false">'Black-Scholes'!$B$5*EXP(('Black-Scholes'!$B$8-'Black-Scholes'!$B$10-'Black-Scholes'!$B$9^2/2)*'Black-Scholes'!$B$7-'Black-Scholes'!$B$9*SQRT('Black-Scholes'!$B$7)*B3798)</f>
        <v>115.474281046318</v>
      </c>
      <c r="E3798" s="18" t="n">
        <f aca="false">EXP(-'Black-Scholes'!$B$8*'Black-Scholes'!$B$7)*IF(LOWER('Black-Scholes'!$B$11)="put",MAX('Black-Scholes'!$B$6-C3798,0),MAX(C3798-'Black-Scholes'!$B$6,0))</f>
        <v>0</v>
      </c>
      <c r="F3798" s="18" t="n">
        <f aca="false">(E3798+G3798)/2</f>
        <v>7.35979572712553</v>
      </c>
      <c r="G3798" s="18" t="n">
        <f aca="false">EXP(-'Black-Scholes'!$B$8*'Black-Scholes'!$B$7)*IF(LOWER('Black-Scholes'!$B$11)="put",MAX('Black-Scholes'!$B$6-D3798,0),MAX(D3798-'Black-Scholes'!$B$6,0))</f>
        <v>14.7195914542511</v>
      </c>
    </row>
    <row r="3799" customFormat="false" ht="15" hidden="false" customHeight="false" outlineLevel="0" collapsed="false">
      <c r="A3799" s="0" t="n">
        <v>3788</v>
      </c>
      <c r="B3799" s="15" t="n">
        <v>0.792956314070335</v>
      </c>
      <c r="C3799" s="18" t="n">
        <f aca="false">'Black-Scholes'!$B$5*EXP(('Black-Scholes'!$B$8-'Black-Scholes'!$B$10-'Black-Scholes'!$B$9^2/2)*'Black-Scholes'!$B$7+'Black-Scholes'!$B$9*SQRT('Black-Scholes'!$B$7)*B3799)</f>
        <v>120.754728212108</v>
      </c>
      <c r="D3799" s="18" t="n">
        <f aca="false">'Black-Scholes'!$B$5*EXP(('Black-Scholes'!$B$8-'Black-Scholes'!$B$10-'Black-Scholes'!$B$9^2/2)*'Black-Scholes'!$B$7-'Black-Scholes'!$B$9*SQRT('Black-Scholes'!$B$7)*B3799)</f>
        <v>87.9333308324144</v>
      </c>
      <c r="E3799" s="18" t="n">
        <f aca="false">EXP(-'Black-Scholes'!$B$8*'Black-Scholes'!$B$7)*IF(LOWER('Black-Scholes'!$B$11)="put",MAX('Black-Scholes'!$B$6-C3799,0),MAX(C3799-'Black-Scholes'!$B$6,0))</f>
        <v>19.7425081728725</v>
      </c>
      <c r="F3799" s="18" t="n">
        <f aca="false">(E3799+G3799)/2</f>
        <v>9.87125408643623</v>
      </c>
      <c r="G3799" s="18" t="n">
        <f aca="false">EXP(-'Black-Scholes'!$B$8*'Black-Scholes'!$B$7)*IF(LOWER('Black-Scholes'!$B$11)="put",MAX('Black-Scholes'!$B$6-D3799,0),MAX(D3799-'Black-Scholes'!$B$6,0))</f>
        <v>0</v>
      </c>
    </row>
    <row r="3800" customFormat="false" ht="15" hidden="false" customHeight="false" outlineLevel="0" collapsed="false">
      <c r="A3800" s="0" t="n">
        <v>3789</v>
      </c>
      <c r="B3800" s="15" t="n">
        <v>0.367252614040749</v>
      </c>
      <c r="C3800" s="18" t="n">
        <f aca="false">'Black-Scholes'!$B$5*EXP(('Black-Scholes'!$B$8-'Black-Scholes'!$B$10-'Black-Scholes'!$B$9^2/2)*'Black-Scholes'!$B$7+'Black-Scholes'!$B$9*SQRT('Black-Scholes'!$B$7)*B3800)</f>
        <v>110.899092225102</v>
      </c>
      <c r="D3800" s="18" t="n">
        <f aca="false">'Black-Scholes'!$B$5*EXP(('Black-Scholes'!$B$8-'Black-Scholes'!$B$10-'Black-Scholes'!$B$9^2/2)*'Black-Scholes'!$B$7-'Black-Scholes'!$B$9*SQRT('Black-Scholes'!$B$7)*B3800)</f>
        <v>95.7479926337042</v>
      </c>
      <c r="E3800" s="18" t="n">
        <f aca="false">EXP(-'Black-Scholes'!$B$8*'Black-Scholes'!$B$7)*IF(LOWER('Black-Scholes'!$B$11)="put",MAX('Black-Scholes'!$B$6-C3800,0),MAX(C3800-'Black-Scholes'!$B$6,0))</f>
        <v>10.3675372248644</v>
      </c>
      <c r="F3800" s="18" t="n">
        <f aca="false">(E3800+G3800)/2</f>
        <v>5.1837686124322</v>
      </c>
      <c r="G3800" s="18" t="n">
        <f aca="false">EXP(-'Black-Scholes'!$B$8*'Black-Scholes'!$B$7)*IF(LOWER('Black-Scholes'!$B$11)="put",MAX('Black-Scholes'!$B$6-D3800,0),MAX(D3800-'Black-Scholes'!$B$6,0))</f>
        <v>0</v>
      </c>
    </row>
    <row r="3801" customFormat="false" ht="15" hidden="false" customHeight="false" outlineLevel="0" collapsed="false">
      <c r="A3801" s="0" t="n">
        <v>3790</v>
      </c>
      <c r="B3801" s="15" t="n">
        <v>-1.23139584850952</v>
      </c>
      <c r="C3801" s="18" t="n">
        <f aca="false">'Black-Scholes'!$B$5*EXP(('Black-Scholes'!$B$8-'Black-Scholes'!$B$10-'Black-Scholes'!$B$9^2/2)*'Black-Scholes'!$B$7+'Black-Scholes'!$B$9*SQRT('Black-Scholes'!$B$7)*B3801)</f>
        <v>80.5510396384302</v>
      </c>
      <c r="D3801" s="18" t="n">
        <f aca="false">'Black-Scholes'!$B$5*EXP(('Black-Scholes'!$B$8-'Black-Scholes'!$B$10-'Black-Scholes'!$B$9^2/2)*'Black-Scholes'!$B$7-'Black-Scholes'!$B$9*SQRT('Black-Scholes'!$B$7)*B3801)</f>
        <v>131.821581858115</v>
      </c>
      <c r="E3801" s="18" t="n">
        <f aca="false">EXP(-'Black-Scholes'!$B$8*'Black-Scholes'!$B$7)*IF(LOWER('Black-Scholes'!$B$11)="put",MAX('Black-Scholes'!$B$6-C3801,0),MAX(C3801-'Black-Scholes'!$B$6,0))</f>
        <v>0</v>
      </c>
      <c r="F3801" s="18" t="n">
        <f aca="false">(E3801+G3801)/2</f>
        <v>15.1348124987985</v>
      </c>
      <c r="G3801" s="18" t="n">
        <f aca="false">EXP(-'Black-Scholes'!$B$8*'Black-Scholes'!$B$7)*IF(LOWER('Black-Scholes'!$B$11)="put",MAX('Black-Scholes'!$B$6-D3801,0),MAX(D3801-'Black-Scholes'!$B$6,0))</f>
        <v>30.2696249975971</v>
      </c>
    </row>
    <row r="3802" customFormat="false" ht="15" hidden="false" customHeight="false" outlineLevel="0" collapsed="false">
      <c r="A3802" s="0" t="n">
        <v>3791</v>
      </c>
      <c r="B3802" s="15" t="n">
        <v>-0.925064115751758</v>
      </c>
      <c r="C3802" s="18" t="n">
        <f aca="false">'Black-Scholes'!$B$5*EXP(('Black-Scholes'!$B$8-'Black-Scholes'!$B$10-'Black-Scholes'!$B$9^2/2)*'Black-Scholes'!$B$7+'Black-Scholes'!$B$9*SQRT('Black-Scholes'!$B$7)*B3802)</f>
        <v>85.6404195613441</v>
      </c>
      <c r="D3802" s="18" t="n">
        <f aca="false">'Black-Scholes'!$B$5*EXP(('Black-Scholes'!$B$8-'Black-Scholes'!$B$10-'Black-Scholes'!$B$9^2/2)*'Black-Scholes'!$B$7-'Black-Scholes'!$B$9*SQRT('Black-Scholes'!$B$7)*B3802)</f>
        <v>123.987779600352</v>
      </c>
      <c r="E3802" s="18" t="n">
        <f aca="false">EXP(-'Black-Scholes'!$B$8*'Black-Scholes'!$B$7)*IF(LOWER('Black-Scholes'!$B$11)="put",MAX('Black-Scholes'!$B$6-C3802,0),MAX(C3802-'Black-Scholes'!$B$6,0))</f>
        <v>0</v>
      </c>
      <c r="F3802" s="18" t="n">
        <f aca="false">(E3802+G3802)/2</f>
        <v>11.4089408921464</v>
      </c>
      <c r="G3802" s="18" t="n">
        <f aca="false">EXP(-'Black-Scholes'!$B$8*'Black-Scholes'!$B$7)*IF(LOWER('Black-Scholes'!$B$11)="put",MAX('Black-Scholes'!$B$6-D3802,0),MAX(D3802-'Black-Scholes'!$B$6,0))</f>
        <v>22.8178817842927</v>
      </c>
    </row>
    <row r="3803" customFormat="false" ht="15" hidden="false" customHeight="false" outlineLevel="0" collapsed="false">
      <c r="A3803" s="0" t="n">
        <v>3792</v>
      </c>
      <c r="B3803" s="15" t="n">
        <v>-0.413381354951433</v>
      </c>
      <c r="C3803" s="18" t="n">
        <f aca="false">'Black-Scholes'!$B$5*EXP(('Black-Scholes'!$B$8-'Black-Scholes'!$B$10-'Black-Scholes'!$B$9^2/2)*'Black-Scholes'!$B$7+'Black-Scholes'!$B$9*SQRT('Black-Scholes'!$B$7)*B3803)</f>
        <v>94.8687080305271</v>
      </c>
      <c r="D3803" s="18" t="n">
        <f aca="false">'Black-Scholes'!$B$5*EXP(('Black-Scholes'!$B$8-'Black-Scholes'!$B$10-'Black-Scholes'!$B$9^2/2)*'Black-Scholes'!$B$7-'Black-Scholes'!$B$9*SQRT('Black-Scholes'!$B$7)*B3803)</f>
        <v>111.926953427434</v>
      </c>
      <c r="E3803" s="18" t="n">
        <f aca="false">EXP(-'Black-Scholes'!$B$8*'Black-Scholes'!$B$7)*IF(LOWER('Black-Scholes'!$B$11)="put",MAX('Black-Scholes'!$B$6-C3803,0),MAX(C3803-'Black-Scholes'!$B$6,0))</f>
        <v>0</v>
      </c>
      <c r="F3803" s="18" t="n">
        <f aca="false">(E3803+G3803)/2</f>
        <v>5.67263452241224</v>
      </c>
      <c r="G3803" s="18" t="n">
        <f aca="false">EXP(-'Black-Scholes'!$B$8*'Black-Scholes'!$B$7)*IF(LOWER('Black-Scholes'!$B$11)="put",MAX('Black-Scholes'!$B$6-D3803,0),MAX(D3803-'Black-Scholes'!$B$6,0))</f>
        <v>11.3452690448245</v>
      </c>
    </row>
    <row r="3804" customFormat="false" ht="15" hidden="false" customHeight="false" outlineLevel="0" collapsed="false">
      <c r="A3804" s="0" t="n">
        <v>3793</v>
      </c>
      <c r="B3804" s="15" t="n">
        <v>-1.00770077924597</v>
      </c>
      <c r="C3804" s="18" t="n">
        <f aca="false">'Black-Scholes'!$B$5*EXP(('Black-Scholes'!$B$8-'Black-Scholes'!$B$10-'Black-Scholes'!$B$9^2/2)*'Black-Scholes'!$B$7+'Black-Scholes'!$B$9*SQRT('Black-Scholes'!$B$7)*B3804)</f>
        <v>84.2366441401073</v>
      </c>
      <c r="D3804" s="18" t="n">
        <f aca="false">'Black-Scholes'!$B$5*EXP(('Black-Scholes'!$B$8-'Black-Scholes'!$B$10-'Black-Scholes'!$B$9^2/2)*'Black-Scholes'!$B$7-'Black-Scholes'!$B$9*SQRT('Black-Scholes'!$B$7)*B3804)</f>
        <v>126.05399436132</v>
      </c>
      <c r="E3804" s="18" t="n">
        <f aca="false">EXP(-'Black-Scholes'!$B$8*'Black-Scholes'!$B$7)*IF(LOWER('Black-Scholes'!$B$11)="put",MAX('Black-Scholes'!$B$6-C3804,0),MAX(C3804-'Black-Scholes'!$B$6,0))</f>
        <v>0</v>
      </c>
      <c r="F3804" s="18" t="n">
        <f aca="false">(E3804+G3804)/2</f>
        <v>12.3916630311316</v>
      </c>
      <c r="G3804" s="18" t="n">
        <f aca="false">EXP(-'Black-Scholes'!$B$8*'Black-Scholes'!$B$7)*IF(LOWER('Black-Scholes'!$B$11)="put",MAX('Black-Scholes'!$B$6-D3804,0),MAX(D3804-'Black-Scholes'!$B$6,0))</f>
        <v>24.7833260622631</v>
      </c>
    </row>
    <row r="3805" customFormat="false" ht="15" hidden="false" customHeight="false" outlineLevel="0" collapsed="false">
      <c r="A3805" s="0" t="n">
        <v>3794</v>
      </c>
      <c r="B3805" s="15" t="n">
        <v>1.03955345569179</v>
      </c>
      <c r="C3805" s="18" t="n">
        <f aca="false">'Black-Scholes'!$B$5*EXP(('Black-Scholes'!$B$8-'Black-Scholes'!$B$10-'Black-Scholes'!$B$9^2/2)*'Black-Scholes'!$B$7+'Black-Scholes'!$B$9*SQRT('Black-Scholes'!$B$7)*B3805)</f>
        <v>126.859589091065</v>
      </c>
      <c r="D3805" s="18" t="n">
        <f aca="false">'Black-Scholes'!$B$5*EXP(('Black-Scholes'!$B$8-'Black-Scholes'!$B$10-'Black-Scholes'!$B$9^2/2)*'Black-Scholes'!$B$7-'Black-Scholes'!$B$9*SQRT('Black-Scholes'!$B$7)*B3805)</f>
        <v>83.7017173201726</v>
      </c>
      <c r="E3805" s="18" t="n">
        <f aca="false">EXP(-'Black-Scholes'!$B$8*'Black-Scholes'!$B$7)*IF(LOWER('Black-Scholes'!$B$11)="put",MAX('Black-Scholes'!$B$6-C3805,0),MAX(C3805-'Black-Scholes'!$B$6,0))</f>
        <v>25.5496314734197</v>
      </c>
      <c r="F3805" s="18" t="n">
        <f aca="false">(E3805+G3805)/2</f>
        <v>12.7748157367099</v>
      </c>
      <c r="G3805" s="18" t="n">
        <f aca="false">EXP(-'Black-Scholes'!$B$8*'Black-Scholes'!$B$7)*IF(LOWER('Black-Scholes'!$B$11)="put",MAX('Black-Scholes'!$B$6-D3805,0),MAX(D3805-'Black-Scholes'!$B$6,0))</f>
        <v>0</v>
      </c>
    </row>
    <row r="3806" customFormat="false" ht="15" hidden="false" customHeight="false" outlineLevel="0" collapsed="false">
      <c r="A3806" s="0" t="n">
        <v>3795</v>
      </c>
      <c r="B3806" s="15" t="n">
        <v>-0.0318668664484038</v>
      </c>
      <c r="C3806" s="18" t="n">
        <f aca="false">'Black-Scholes'!$B$5*EXP(('Black-Scholes'!$B$8-'Black-Scholes'!$B$10-'Black-Scholes'!$B$9^2/2)*'Black-Scholes'!$B$7+'Black-Scholes'!$B$9*SQRT('Black-Scholes'!$B$7)*B3806)</f>
        <v>102.390794663309</v>
      </c>
      <c r="D3806" s="18" t="n">
        <f aca="false">'Black-Scholes'!$B$5*EXP(('Black-Scholes'!$B$8-'Black-Scholes'!$B$10-'Black-Scholes'!$B$9^2/2)*'Black-Scholes'!$B$7-'Black-Scholes'!$B$9*SQRT('Black-Scholes'!$B$7)*B3806)</f>
        <v>103.704297836245</v>
      </c>
      <c r="E3806" s="18" t="n">
        <f aca="false">EXP(-'Black-Scholes'!$B$8*'Black-Scholes'!$B$7)*IF(LOWER('Black-Scholes'!$B$11)="put",MAX('Black-Scholes'!$B$6-C3806,0),MAX(C3806-'Black-Scholes'!$B$6,0))</f>
        <v>2.27419423167897</v>
      </c>
      <c r="F3806" s="18" t="n">
        <f aca="false">(E3806+G3806)/2</f>
        <v>2.89891566531465</v>
      </c>
      <c r="G3806" s="18" t="n">
        <f aca="false">EXP(-'Black-Scholes'!$B$8*'Black-Scholes'!$B$7)*IF(LOWER('Black-Scholes'!$B$11)="put",MAX('Black-Scholes'!$B$6-D3806,0),MAX(D3806-'Black-Scholes'!$B$6,0))</f>
        <v>3.52363709895033</v>
      </c>
    </row>
    <row r="3807" customFormat="false" ht="15" hidden="false" customHeight="false" outlineLevel="0" collapsed="false">
      <c r="A3807" s="0" t="n">
        <v>3796</v>
      </c>
      <c r="B3807" s="15" t="n">
        <v>-1.68340672265426</v>
      </c>
      <c r="C3807" s="18" t="n">
        <f aca="false">'Black-Scholes'!$B$5*EXP(('Black-Scholes'!$B$8-'Black-Scholes'!$B$10-'Black-Scholes'!$B$9^2/2)*'Black-Scholes'!$B$7+'Black-Scholes'!$B$9*SQRT('Black-Scholes'!$B$7)*B3807)</f>
        <v>73.5885057348044</v>
      </c>
      <c r="D3807" s="18" t="n">
        <f aca="false">'Black-Scholes'!$B$5*EXP(('Black-Scholes'!$B$8-'Black-Scholes'!$B$10-'Black-Scholes'!$B$9^2/2)*'Black-Scholes'!$B$7-'Black-Scholes'!$B$9*SQRT('Black-Scholes'!$B$7)*B3807)</f>
        <v>144.293804574857</v>
      </c>
      <c r="E3807" s="18" t="n">
        <f aca="false">EXP(-'Black-Scholes'!$B$8*'Black-Scholes'!$B$7)*IF(LOWER('Black-Scholes'!$B$11)="put",MAX('Black-Scholes'!$B$6-C3807,0),MAX(C3807-'Black-Scholes'!$B$6,0))</f>
        <v>0</v>
      </c>
      <c r="F3807" s="18" t="n">
        <f aca="false">(E3807+G3807)/2</f>
        <v>21.066785117344</v>
      </c>
      <c r="G3807" s="18" t="n">
        <f aca="false">EXP(-'Black-Scholes'!$B$8*'Black-Scholes'!$B$7)*IF(LOWER('Black-Scholes'!$B$11)="put",MAX('Black-Scholes'!$B$6-D3807,0),MAX(D3807-'Black-Scholes'!$B$6,0))</f>
        <v>42.1335702346881</v>
      </c>
    </row>
    <row r="3808" customFormat="false" ht="15" hidden="false" customHeight="false" outlineLevel="0" collapsed="false">
      <c r="A3808" s="0" t="n">
        <v>3797</v>
      </c>
      <c r="B3808" s="15" t="n">
        <v>-0.743633941627696</v>
      </c>
      <c r="C3808" s="18" t="n">
        <f aca="false">'Black-Scholes'!$B$5*EXP(('Black-Scholes'!$B$8-'Black-Scholes'!$B$10-'Black-Scholes'!$B$9^2/2)*'Black-Scholes'!$B$7+'Black-Scholes'!$B$9*SQRT('Black-Scholes'!$B$7)*B3808)</f>
        <v>88.8050393355851</v>
      </c>
      <c r="D3808" s="18" t="n">
        <f aca="false">'Black-Scholes'!$B$5*EXP(('Black-Scholes'!$B$8-'Black-Scholes'!$B$10-'Black-Scholes'!$B$9^2/2)*'Black-Scholes'!$B$7-'Black-Scholes'!$B$9*SQRT('Black-Scholes'!$B$7)*B3808)</f>
        <v>119.569402197187</v>
      </c>
      <c r="E3808" s="18" t="n">
        <f aca="false">EXP(-'Black-Scholes'!$B$8*'Black-Scholes'!$B$7)*IF(LOWER('Black-Scholes'!$B$11)="put",MAX('Black-Scholes'!$B$6-C3808,0),MAX(C3808-'Black-Scholes'!$B$6,0))</f>
        <v>0</v>
      </c>
      <c r="F3808" s="18" t="n">
        <f aca="false">(E3808+G3808)/2</f>
        <v>9.30749559492666</v>
      </c>
      <c r="G3808" s="18" t="n">
        <f aca="false">EXP(-'Black-Scholes'!$B$8*'Black-Scholes'!$B$7)*IF(LOWER('Black-Scholes'!$B$11)="put",MAX('Black-Scholes'!$B$6-D3808,0),MAX(D3808-'Black-Scholes'!$B$6,0))</f>
        <v>18.6149911898533</v>
      </c>
    </row>
    <row r="3809" customFormat="false" ht="15" hidden="false" customHeight="false" outlineLevel="0" collapsed="false">
      <c r="A3809" s="0" t="n">
        <v>3798</v>
      </c>
      <c r="B3809" s="15" t="n">
        <v>0.240152225198503</v>
      </c>
      <c r="C3809" s="18" t="n">
        <f aca="false">'Black-Scholes'!$B$5*EXP(('Black-Scholes'!$B$8-'Black-Scholes'!$B$10-'Black-Scholes'!$B$9^2/2)*'Black-Scholes'!$B$7+'Black-Scholes'!$B$9*SQRT('Black-Scholes'!$B$7)*B3809)</f>
        <v>108.11555739934</v>
      </c>
      <c r="D3809" s="18" t="n">
        <f aca="false">'Black-Scholes'!$B$5*EXP(('Black-Scholes'!$B$8-'Black-Scholes'!$B$10-'Black-Scholes'!$B$9^2/2)*'Black-Scholes'!$B$7-'Black-Scholes'!$B$9*SQRT('Black-Scholes'!$B$7)*B3809)</f>
        <v>98.2131130881856</v>
      </c>
      <c r="E3809" s="18" t="n">
        <f aca="false">EXP(-'Black-Scholes'!$B$8*'Black-Scholes'!$B$7)*IF(LOWER('Black-Scholes'!$B$11)="put",MAX('Black-Scholes'!$B$6-C3809,0),MAX(C3809-'Black-Scholes'!$B$6,0))</f>
        <v>7.71975699447664</v>
      </c>
      <c r="F3809" s="18" t="n">
        <f aca="false">(E3809+G3809)/2</f>
        <v>3.85987849723832</v>
      </c>
      <c r="G3809" s="18" t="n">
        <f aca="false">EXP(-'Black-Scholes'!$B$8*'Black-Scholes'!$B$7)*IF(LOWER('Black-Scholes'!$B$11)="put",MAX('Black-Scholes'!$B$6-D3809,0),MAX(D3809-'Black-Scholes'!$B$6,0))</f>
        <v>0</v>
      </c>
    </row>
    <row r="3810" customFormat="false" ht="15" hidden="false" customHeight="false" outlineLevel="0" collapsed="false">
      <c r="A3810" s="0" t="n">
        <v>3799</v>
      </c>
      <c r="B3810" s="15" t="n">
        <v>1.12533910487221</v>
      </c>
      <c r="C3810" s="18" t="n">
        <f aca="false">'Black-Scholes'!$B$5*EXP(('Black-Scholes'!$B$8-'Black-Scholes'!$B$10-'Black-Scholes'!$B$9^2/2)*'Black-Scholes'!$B$7+'Black-Scholes'!$B$9*SQRT('Black-Scholes'!$B$7)*B3810)</f>
        <v>129.054914420542</v>
      </c>
      <c r="D3810" s="18" t="n">
        <f aca="false">'Black-Scholes'!$B$5*EXP(('Black-Scholes'!$B$8-'Black-Scholes'!$B$10-'Black-Scholes'!$B$9^2/2)*'Black-Scholes'!$B$7-'Black-Scholes'!$B$9*SQRT('Black-Scholes'!$B$7)*B3810)</f>
        <v>82.2778854500052</v>
      </c>
      <c r="E3810" s="18" t="n">
        <f aca="false">EXP(-'Black-Scholes'!$B$8*'Black-Scholes'!$B$7)*IF(LOWER('Black-Scholes'!$B$11)="put",MAX('Black-Scholes'!$B$6-C3810,0),MAX(C3810-'Black-Scholes'!$B$6,0))</f>
        <v>27.6378895231698</v>
      </c>
      <c r="F3810" s="18" t="n">
        <f aca="false">(E3810+G3810)/2</f>
        <v>13.8189447615849</v>
      </c>
      <c r="G3810" s="18" t="n">
        <f aca="false">EXP(-'Black-Scholes'!$B$8*'Black-Scholes'!$B$7)*IF(LOWER('Black-Scholes'!$B$11)="put",MAX('Black-Scholes'!$B$6-D3810,0),MAX(D3810-'Black-Scholes'!$B$6,0))</f>
        <v>0</v>
      </c>
    </row>
    <row r="3811" customFormat="false" ht="15" hidden="false" customHeight="false" outlineLevel="0" collapsed="false">
      <c r="A3811" s="0" t="n">
        <v>3800</v>
      </c>
      <c r="B3811" s="15" t="n">
        <v>0.312482078436534</v>
      </c>
      <c r="C3811" s="18" t="n">
        <f aca="false">'Black-Scholes'!$B$5*EXP(('Black-Scholes'!$B$8-'Black-Scholes'!$B$10-'Black-Scholes'!$B$9^2/2)*'Black-Scholes'!$B$7+'Black-Scholes'!$B$9*SQRT('Black-Scholes'!$B$7)*B3811)</f>
        <v>109.690920988765</v>
      </c>
      <c r="D3811" s="18" t="n">
        <f aca="false">'Black-Scholes'!$B$5*EXP(('Black-Scholes'!$B$8-'Black-Scholes'!$B$10-'Black-Scholes'!$B$9^2/2)*'Black-Scholes'!$B$7-'Black-Scholes'!$B$9*SQRT('Black-Scholes'!$B$7)*B3811)</f>
        <v>96.8025919532679</v>
      </c>
      <c r="E3811" s="18" t="n">
        <f aca="false">EXP(-'Black-Scholes'!$B$8*'Black-Scholes'!$B$7)*IF(LOWER('Black-Scholes'!$B$11)="put",MAX('Black-Scholes'!$B$6-C3811,0),MAX(C3811-'Black-Scholes'!$B$6,0))</f>
        <v>9.21828919502516</v>
      </c>
      <c r="F3811" s="18" t="n">
        <f aca="false">(E3811+G3811)/2</f>
        <v>4.60914459751258</v>
      </c>
      <c r="G3811" s="18" t="n">
        <f aca="false">EXP(-'Black-Scholes'!$B$8*'Black-Scholes'!$B$7)*IF(LOWER('Black-Scholes'!$B$11)="put",MAX('Black-Scholes'!$B$6-D3811,0),MAX(D3811-'Black-Scholes'!$B$6,0))</f>
        <v>0</v>
      </c>
    </row>
    <row r="3812" customFormat="false" ht="15" hidden="false" customHeight="false" outlineLevel="0" collapsed="false">
      <c r="A3812" s="0" t="n">
        <v>3801</v>
      </c>
      <c r="B3812" s="15" t="n">
        <v>0.361452600062007</v>
      </c>
      <c r="C3812" s="18" t="n">
        <f aca="false">'Black-Scholes'!$B$5*EXP(('Black-Scholes'!$B$8-'Black-Scholes'!$B$10-'Black-Scholes'!$B$9^2/2)*'Black-Scholes'!$B$7+'Black-Scholes'!$B$9*SQRT('Black-Scholes'!$B$7)*B3812)</f>
        <v>110.770523552502</v>
      </c>
      <c r="D3812" s="18" t="n">
        <f aca="false">'Black-Scholes'!$B$5*EXP(('Black-Scholes'!$B$8-'Black-Scholes'!$B$10-'Black-Scholes'!$B$9^2/2)*'Black-Scholes'!$B$7-'Black-Scholes'!$B$9*SQRT('Black-Scholes'!$B$7)*B3812)</f>
        <v>95.8591250173228</v>
      </c>
      <c r="E3812" s="18" t="n">
        <f aca="false">EXP(-'Black-Scholes'!$B$8*'Black-Scholes'!$B$7)*IF(LOWER('Black-Scholes'!$B$11)="put",MAX('Black-Scholes'!$B$6-C3812,0),MAX(C3812-'Black-Scholes'!$B$6,0))</f>
        <v>10.245238920418</v>
      </c>
      <c r="F3812" s="18" t="n">
        <f aca="false">(E3812+G3812)/2</f>
        <v>5.12261946020898</v>
      </c>
      <c r="G3812" s="18" t="n">
        <f aca="false">EXP(-'Black-Scholes'!$B$8*'Black-Scholes'!$B$7)*IF(LOWER('Black-Scholes'!$B$11)="put",MAX('Black-Scholes'!$B$6-D3812,0),MAX(D3812-'Black-Scholes'!$B$6,0))</f>
        <v>0</v>
      </c>
    </row>
    <row r="3813" customFormat="false" ht="15" hidden="false" customHeight="false" outlineLevel="0" collapsed="false">
      <c r="A3813" s="0" t="n">
        <v>3802</v>
      </c>
      <c r="B3813" s="15" t="n">
        <v>0.210769485067309</v>
      </c>
      <c r="C3813" s="18" t="n">
        <f aca="false">'Black-Scholes'!$B$5*EXP(('Black-Scholes'!$B$8-'Black-Scholes'!$B$10-'Black-Scholes'!$B$9^2/2)*'Black-Scholes'!$B$7+'Black-Scholes'!$B$9*SQRT('Black-Scholes'!$B$7)*B3813)</f>
        <v>107.482074303864</v>
      </c>
      <c r="D3813" s="18" t="n">
        <f aca="false">'Black-Scholes'!$B$5*EXP(('Black-Scholes'!$B$8-'Black-Scholes'!$B$10-'Black-Scholes'!$B$9^2/2)*'Black-Scholes'!$B$7-'Black-Scholes'!$B$9*SQRT('Black-Scholes'!$B$7)*B3813)</f>
        <v>98.7919663276524</v>
      </c>
      <c r="E3813" s="18" t="n">
        <f aca="false">EXP(-'Black-Scholes'!$B$8*'Black-Scholes'!$B$7)*IF(LOWER('Black-Scholes'!$B$11)="put",MAX('Black-Scholes'!$B$6-C3813,0),MAX(C3813-'Black-Scholes'!$B$6,0))</f>
        <v>7.11716923413648</v>
      </c>
      <c r="F3813" s="18" t="n">
        <f aca="false">(E3813+G3813)/2</f>
        <v>3.55858461706824</v>
      </c>
      <c r="G3813" s="18" t="n">
        <f aca="false">EXP(-'Black-Scholes'!$B$8*'Black-Scholes'!$B$7)*IF(LOWER('Black-Scholes'!$B$11)="put",MAX('Black-Scholes'!$B$6-D3813,0),MAX(D3813-'Black-Scholes'!$B$6,0))</f>
        <v>0</v>
      </c>
    </row>
    <row r="3814" customFormat="false" ht="15" hidden="false" customHeight="false" outlineLevel="0" collapsed="false">
      <c r="A3814" s="0" t="n">
        <v>3803</v>
      </c>
      <c r="B3814" s="15" t="n">
        <v>-0.189030060575555</v>
      </c>
      <c r="C3814" s="18" t="n">
        <f aca="false">'Black-Scholes'!$B$5*EXP(('Black-Scholes'!$B$8-'Black-Scholes'!$B$10-'Black-Scholes'!$B$9^2/2)*'Black-Scholes'!$B$7+'Black-Scholes'!$B$9*SQRT('Black-Scholes'!$B$7)*B3814)</f>
        <v>99.2224375676894</v>
      </c>
      <c r="D3814" s="18" t="n">
        <f aca="false">'Black-Scholes'!$B$5*EXP(('Black-Scholes'!$B$8-'Black-Scholes'!$B$10-'Black-Scholes'!$B$9^2/2)*'Black-Scholes'!$B$7-'Black-Scholes'!$B$9*SQRT('Black-Scholes'!$B$7)*B3814)</f>
        <v>107.015769071484</v>
      </c>
      <c r="E3814" s="18" t="n">
        <f aca="false">EXP(-'Black-Scholes'!$B$8*'Black-Scholes'!$B$7)*IF(LOWER('Black-Scholes'!$B$11)="put",MAX('Black-Scholes'!$B$6-C3814,0),MAX(C3814-'Black-Scholes'!$B$6,0))</f>
        <v>0</v>
      </c>
      <c r="F3814" s="18" t="n">
        <f aca="false">(E3814+G3814)/2</f>
        <v>3.33680298814884</v>
      </c>
      <c r="G3814" s="18" t="n">
        <f aca="false">EXP(-'Black-Scholes'!$B$8*'Black-Scholes'!$B$7)*IF(LOWER('Black-Scholes'!$B$11)="put",MAX('Black-Scholes'!$B$6-D3814,0),MAX(D3814-'Black-Scholes'!$B$6,0))</f>
        <v>6.67360597629768</v>
      </c>
    </row>
    <row r="3815" customFormat="false" ht="15" hidden="false" customHeight="false" outlineLevel="0" collapsed="false">
      <c r="A3815" s="0" t="n">
        <v>3804</v>
      </c>
      <c r="B3815" s="15" t="n">
        <v>0.675759085821416</v>
      </c>
      <c r="C3815" s="18" t="n">
        <f aca="false">'Black-Scholes'!$B$5*EXP(('Black-Scholes'!$B$8-'Black-Scholes'!$B$10-'Black-Scholes'!$B$9^2/2)*'Black-Scholes'!$B$7+'Black-Scholes'!$B$9*SQRT('Black-Scholes'!$B$7)*B3815)</f>
        <v>117.957218442253</v>
      </c>
      <c r="D3815" s="18" t="n">
        <f aca="false">'Black-Scholes'!$B$5*EXP(('Black-Scholes'!$B$8-'Black-Scholes'!$B$10-'Black-Scholes'!$B$9^2/2)*'Black-Scholes'!$B$7-'Black-Scholes'!$B$9*SQRT('Black-Scholes'!$B$7)*B3815)</f>
        <v>90.018784824533</v>
      </c>
      <c r="E3815" s="18" t="n">
        <f aca="false">EXP(-'Black-Scholes'!$B$8*'Black-Scholes'!$B$7)*IF(LOWER('Black-Scholes'!$B$11)="put",MAX('Black-Scholes'!$B$6-C3815,0),MAX(C3815-'Black-Scholes'!$B$6,0))</f>
        <v>17.0814345644578</v>
      </c>
      <c r="F3815" s="18" t="n">
        <f aca="false">(E3815+G3815)/2</f>
        <v>8.54071728222891</v>
      </c>
      <c r="G3815" s="18" t="n">
        <f aca="false">EXP(-'Black-Scholes'!$B$8*'Black-Scholes'!$B$7)*IF(LOWER('Black-Scholes'!$B$11)="put",MAX('Black-Scholes'!$B$6-D3815,0),MAX(D3815-'Black-Scholes'!$B$6,0))</f>
        <v>0</v>
      </c>
    </row>
    <row r="3816" customFormat="false" ht="15" hidden="false" customHeight="false" outlineLevel="0" collapsed="false">
      <c r="A3816" s="0" t="n">
        <v>3805</v>
      </c>
      <c r="B3816" s="15" t="n">
        <v>-0.561630009290672</v>
      </c>
      <c r="C3816" s="18" t="n">
        <f aca="false">'Black-Scholes'!$B$5*EXP(('Black-Scholes'!$B$8-'Black-Scholes'!$B$10-'Black-Scholes'!$B$9^2/2)*'Black-Scholes'!$B$7+'Black-Scholes'!$B$9*SQRT('Black-Scholes'!$B$7)*B3816)</f>
        <v>92.0971671275755</v>
      </c>
      <c r="D3816" s="18" t="n">
        <f aca="false">'Black-Scholes'!$B$5*EXP(('Black-Scholes'!$B$8-'Black-Scholes'!$B$10-'Black-Scholes'!$B$9^2/2)*'Black-Scholes'!$B$7-'Black-Scholes'!$B$9*SQRT('Black-Scholes'!$B$7)*B3816)</f>
        <v>115.295245191904</v>
      </c>
      <c r="E3816" s="18" t="n">
        <f aca="false">EXP(-'Black-Scholes'!$B$8*'Black-Scholes'!$B$7)*IF(LOWER('Black-Scholes'!$B$11)="put",MAX('Black-Scholes'!$B$6-C3816,0),MAX(C3816-'Black-Scholes'!$B$6,0))</f>
        <v>0</v>
      </c>
      <c r="F3816" s="18" t="n">
        <f aca="false">(E3816+G3816)/2</f>
        <v>7.27464364074619</v>
      </c>
      <c r="G3816" s="18" t="n">
        <f aca="false">EXP(-'Black-Scholes'!$B$8*'Black-Scholes'!$B$7)*IF(LOWER('Black-Scholes'!$B$11)="put",MAX('Black-Scholes'!$B$6-D3816,0),MAX(D3816-'Black-Scholes'!$B$6,0))</f>
        <v>14.5492872814924</v>
      </c>
    </row>
    <row r="3817" customFormat="false" ht="15" hidden="false" customHeight="false" outlineLevel="0" collapsed="false">
      <c r="A3817" s="0" t="n">
        <v>3806</v>
      </c>
      <c r="B3817" s="15" t="n">
        <v>-0.157871691701128</v>
      </c>
      <c r="C3817" s="18" t="n">
        <f aca="false">'Black-Scholes'!$B$5*EXP(('Black-Scholes'!$B$8-'Black-Scholes'!$B$10-'Black-Scholes'!$B$9^2/2)*'Black-Scholes'!$B$7+'Black-Scholes'!$B$9*SQRT('Black-Scholes'!$B$7)*B3817)</f>
        <v>99.8426900280291</v>
      </c>
      <c r="D3817" s="18" t="n">
        <f aca="false">'Black-Scholes'!$B$5*EXP(('Black-Scholes'!$B$8-'Black-Scholes'!$B$10-'Black-Scholes'!$B$9^2/2)*'Black-Scholes'!$B$7-'Black-Scholes'!$B$9*SQRT('Black-Scholes'!$B$7)*B3817)</f>
        <v>106.350955312529</v>
      </c>
      <c r="E3817" s="18" t="n">
        <f aca="false">EXP(-'Black-Scholes'!$B$8*'Black-Scholes'!$B$7)*IF(LOWER('Black-Scholes'!$B$11)="put",MAX('Black-Scholes'!$B$6-C3817,0),MAX(C3817-'Black-Scholes'!$B$6,0))</f>
        <v>0</v>
      </c>
      <c r="F3817" s="18" t="n">
        <f aca="false">(E3817+G3817)/2</f>
        <v>3.02060778348329</v>
      </c>
      <c r="G3817" s="18" t="n">
        <f aca="false">EXP(-'Black-Scholes'!$B$8*'Black-Scholes'!$B$7)*IF(LOWER('Black-Scholes'!$B$11)="put",MAX('Black-Scholes'!$B$6-D3817,0),MAX(D3817-'Black-Scholes'!$B$6,0))</f>
        <v>6.04121556696657</v>
      </c>
    </row>
    <row r="3818" customFormat="false" ht="15" hidden="false" customHeight="false" outlineLevel="0" collapsed="false">
      <c r="A3818" s="0" t="n">
        <v>3807</v>
      </c>
      <c r="B3818" s="15" t="n">
        <v>-1.88555543781063</v>
      </c>
      <c r="C3818" s="18" t="n">
        <f aca="false">'Black-Scholes'!$B$5*EXP(('Black-Scholes'!$B$8-'Black-Scholes'!$B$10-'Black-Scholes'!$B$9^2/2)*'Black-Scholes'!$B$7+'Black-Scholes'!$B$9*SQRT('Black-Scholes'!$B$7)*B3818)</f>
        <v>70.672681533792</v>
      </c>
      <c r="D3818" s="18" t="n">
        <f aca="false">'Black-Scholes'!$B$5*EXP(('Black-Scholes'!$B$8-'Black-Scholes'!$B$10-'Black-Scholes'!$B$9^2/2)*'Black-Scholes'!$B$7-'Black-Scholes'!$B$9*SQRT('Black-Scholes'!$B$7)*B3818)</f>
        <v>150.247100223252</v>
      </c>
      <c r="E3818" s="18" t="n">
        <f aca="false">EXP(-'Black-Scholes'!$B$8*'Black-Scholes'!$B$7)*IF(LOWER('Black-Scholes'!$B$11)="put",MAX('Black-Scholes'!$B$6-C3818,0),MAX(C3818-'Black-Scholes'!$B$6,0))</f>
        <v>0</v>
      </c>
      <c r="F3818" s="18" t="n">
        <f aca="false">(E3818+G3818)/2</f>
        <v>23.8982601140967</v>
      </c>
      <c r="G3818" s="18" t="n">
        <f aca="false">EXP(-'Black-Scholes'!$B$8*'Black-Scholes'!$B$7)*IF(LOWER('Black-Scholes'!$B$11)="put",MAX('Black-Scholes'!$B$6-D3818,0),MAX(D3818-'Black-Scholes'!$B$6,0))</f>
        <v>47.7965202281934</v>
      </c>
    </row>
    <row r="3819" customFormat="false" ht="15" hidden="false" customHeight="false" outlineLevel="0" collapsed="false">
      <c r="A3819" s="0" t="n">
        <v>3808</v>
      </c>
      <c r="B3819" s="15" t="n">
        <v>-2.09011055933954</v>
      </c>
      <c r="C3819" s="18" t="n">
        <f aca="false">'Black-Scholes'!$B$5*EXP(('Black-Scholes'!$B$8-'Black-Scholes'!$B$10-'Black-Scholes'!$B$9^2/2)*'Black-Scholes'!$B$7+'Black-Scholes'!$B$9*SQRT('Black-Scholes'!$B$7)*B3819)</f>
        <v>67.8397342465831</v>
      </c>
      <c r="D3819" s="18" t="n">
        <f aca="false">'Black-Scholes'!$B$5*EXP(('Black-Scholes'!$B$8-'Black-Scholes'!$B$10-'Black-Scholes'!$B$9^2/2)*'Black-Scholes'!$B$7-'Black-Scholes'!$B$9*SQRT('Black-Scholes'!$B$7)*B3819)</f>
        <v>156.521330506073</v>
      </c>
      <c r="E3819" s="18" t="n">
        <f aca="false">EXP(-'Black-Scholes'!$B$8*'Black-Scholes'!$B$7)*IF(LOWER('Black-Scholes'!$B$11)="put",MAX('Black-Scholes'!$B$6-C3819,0),MAX(C3819-'Black-Scholes'!$B$6,0))</f>
        <v>0</v>
      </c>
      <c r="F3819" s="18" t="n">
        <f aca="false">(E3819+G3819)/2</f>
        <v>26.8823763446533</v>
      </c>
      <c r="G3819" s="18" t="n">
        <f aca="false">EXP(-'Black-Scholes'!$B$8*'Black-Scholes'!$B$7)*IF(LOWER('Black-Scholes'!$B$11)="put",MAX('Black-Scholes'!$B$6-D3819,0),MAX(D3819-'Black-Scholes'!$B$6,0))</f>
        <v>53.7647526893066</v>
      </c>
    </row>
    <row r="3820" customFormat="false" ht="15" hidden="false" customHeight="false" outlineLevel="0" collapsed="false">
      <c r="A3820" s="0" t="n">
        <v>3809</v>
      </c>
      <c r="B3820" s="15" t="n">
        <v>-0.342791179617808</v>
      </c>
      <c r="C3820" s="18" t="n">
        <f aca="false">'Black-Scholes'!$B$5*EXP(('Black-Scholes'!$B$8-'Black-Scholes'!$B$10-'Black-Scholes'!$B$9^2/2)*'Black-Scholes'!$B$7+'Black-Scholes'!$B$9*SQRT('Black-Scholes'!$B$7)*B3820)</f>
        <v>96.2175669919447</v>
      </c>
      <c r="D3820" s="18" t="n">
        <f aca="false">'Black-Scholes'!$B$5*EXP(('Black-Scholes'!$B$8-'Black-Scholes'!$B$10-'Black-Scholes'!$B$9^2/2)*'Black-Scholes'!$B$7-'Black-Scholes'!$B$9*SQRT('Black-Scholes'!$B$7)*B3820)</f>
        <v>110.357867044617</v>
      </c>
      <c r="E3820" s="18" t="n">
        <f aca="false">EXP(-'Black-Scholes'!$B$8*'Black-Scholes'!$B$7)*IF(LOWER('Black-Scholes'!$B$11)="put",MAX('Black-Scholes'!$B$6-C3820,0),MAX(C3820-'Black-Scholes'!$B$6,0))</f>
        <v>0</v>
      </c>
      <c r="F3820" s="18" t="n">
        <f aca="false">(E3820+G3820)/2</f>
        <v>4.92635395395311</v>
      </c>
      <c r="G3820" s="18" t="n">
        <f aca="false">EXP(-'Black-Scholes'!$B$8*'Black-Scholes'!$B$7)*IF(LOWER('Black-Scholes'!$B$11)="put",MAX('Black-Scholes'!$B$6-D3820,0),MAX(D3820-'Black-Scholes'!$B$6,0))</f>
        <v>9.85270790790622</v>
      </c>
    </row>
    <row r="3821" customFormat="false" ht="15" hidden="false" customHeight="false" outlineLevel="0" collapsed="false">
      <c r="A3821" s="0" t="n">
        <v>3810</v>
      </c>
      <c r="B3821" s="15" t="n">
        <v>0.777457694702455</v>
      </c>
      <c r="C3821" s="18" t="n">
        <f aca="false">'Black-Scholes'!$B$5*EXP(('Black-Scholes'!$B$8-'Black-Scholes'!$B$10-'Black-Scholes'!$B$9^2/2)*'Black-Scholes'!$B$7+'Black-Scholes'!$B$9*SQRT('Black-Scholes'!$B$7)*B3821)</f>
        <v>120.381001422388</v>
      </c>
      <c r="D3821" s="18" t="n">
        <f aca="false">'Black-Scholes'!$B$5*EXP(('Black-Scholes'!$B$8-'Black-Scholes'!$B$10-'Black-Scholes'!$B$9^2/2)*'Black-Scholes'!$B$7-'Black-Scholes'!$B$9*SQRT('Black-Scholes'!$B$7)*B3821)</f>
        <v>88.2063227584919</v>
      </c>
      <c r="E3821" s="18" t="n">
        <f aca="false">EXP(-'Black-Scholes'!$B$8*'Black-Scholes'!$B$7)*IF(LOWER('Black-Scholes'!$B$11)="put",MAX('Black-Scholes'!$B$6-C3821,0),MAX(C3821-'Black-Scholes'!$B$6,0))</f>
        <v>19.387008253766</v>
      </c>
      <c r="F3821" s="18" t="n">
        <f aca="false">(E3821+G3821)/2</f>
        <v>9.69350412688302</v>
      </c>
      <c r="G3821" s="18" t="n">
        <f aca="false">EXP(-'Black-Scholes'!$B$8*'Black-Scholes'!$B$7)*IF(LOWER('Black-Scholes'!$B$11)="put",MAX('Black-Scholes'!$B$6-D3821,0),MAX(D3821-'Black-Scholes'!$B$6,0))</f>
        <v>0</v>
      </c>
    </row>
    <row r="3822" customFormat="false" ht="15" hidden="false" customHeight="false" outlineLevel="0" collapsed="false">
      <c r="A3822" s="0" t="n">
        <v>3811</v>
      </c>
      <c r="B3822" s="15" t="n">
        <v>1.56222373147857</v>
      </c>
      <c r="C3822" s="18" t="n">
        <f aca="false">'Black-Scholes'!$B$5*EXP(('Black-Scholes'!$B$8-'Black-Scholes'!$B$10-'Black-Scholes'!$B$9^2/2)*'Black-Scholes'!$B$7+'Black-Scholes'!$B$9*SQRT('Black-Scholes'!$B$7)*B3822)</f>
        <v>140.83865329393</v>
      </c>
      <c r="D3822" s="18" t="n">
        <f aca="false">'Black-Scholes'!$B$5*EXP(('Black-Scholes'!$B$8-'Black-Scholes'!$B$10-'Black-Scholes'!$B$9^2/2)*'Black-Scholes'!$B$7-'Black-Scholes'!$B$9*SQRT('Black-Scholes'!$B$7)*B3822)</f>
        <v>75.3938298692272</v>
      </c>
      <c r="E3822" s="18" t="n">
        <f aca="false">EXP(-'Black-Scholes'!$B$8*'Black-Scholes'!$B$7)*IF(LOWER('Black-Scholes'!$B$11)="put",MAX('Black-Scholes'!$B$6-C3822,0),MAX(C3822-'Black-Scholes'!$B$6,0))</f>
        <v>38.8469286701688</v>
      </c>
      <c r="F3822" s="18" t="n">
        <f aca="false">(E3822+G3822)/2</f>
        <v>19.4234643350844</v>
      </c>
      <c r="G3822" s="18" t="n">
        <f aca="false">EXP(-'Black-Scholes'!$B$8*'Black-Scholes'!$B$7)*IF(LOWER('Black-Scholes'!$B$11)="put",MAX('Black-Scholes'!$B$6-D3822,0),MAX(D3822-'Black-Scholes'!$B$6,0))</f>
        <v>0</v>
      </c>
    </row>
    <row r="3823" customFormat="false" ht="15" hidden="false" customHeight="false" outlineLevel="0" collapsed="false">
      <c r="A3823" s="0" t="n">
        <v>3812</v>
      </c>
      <c r="B3823" s="15" t="n">
        <v>1.06085876710009</v>
      </c>
      <c r="C3823" s="18" t="n">
        <f aca="false">'Black-Scholes'!$B$5*EXP(('Black-Scholes'!$B$8-'Black-Scholes'!$B$10-'Black-Scholes'!$B$9^2/2)*'Black-Scholes'!$B$7+'Black-Scholes'!$B$9*SQRT('Black-Scholes'!$B$7)*B3823)</f>
        <v>127.401299011426</v>
      </c>
      <c r="D3823" s="18" t="n">
        <f aca="false">'Black-Scholes'!$B$5*EXP(('Black-Scholes'!$B$8-'Black-Scholes'!$B$10-'Black-Scholes'!$B$9^2/2)*'Black-Scholes'!$B$7-'Black-Scholes'!$B$9*SQRT('Black-Scholes'!$B$7)*B3823)</f>
        <v>83.3458178829186</v>
      </c>
      <c r="E3823" s="18" t="n">
        <f aca="false">EXP(-'Black-Scholes'!$B$8*'Black-Scholes'!$B$7)*IF(LOWER('Black-Scholes'!$B$11)="put",MAX('Black-Scholes'!$B$6-C3823,0),MAX(C3823-'Black-Scholes'!$B$6,0))</f>
        <v>26.0649218892111</v>
      </c>
      <c r="F3823" s="18" t="n">
        <f aca="false">(E3823+G3823)/2</f>
        <v>13.0324609446055</v>
      </c>
      <c r="G3823" s="18" t="n">
        <f aca="false">EXP(-'Black-Scholes'!$B$8*'Black-Scholes'!$B$7)*IF(LOWER('Black-Scholes'!$B$11)="put",MAX('Black-Scholes'!$B$6-D3823,0),MAX(D3823-'Black-Scholes'!$B$6,0))</f>
        <v>0</v>
      </c>
    </row>
    <row r="3824" customFormat="false" ht="15" hidden="false" customHeight="false" outlineLevel="0" collapsed="false">
      <c r="A3824" s="0" t="n">
        <v>3813</v>
      </c>
      <c r="B3824" s="15" t="n">
        <v>-0.970702560050243</v>
      </c>
      <c r="C3824" s="18" t="n">
        <f aca="false">'Black-Scholes'!$B$5*EXP(('Black-Scholes'!$B$8-'Black-Scholes'!$B$10-'Black-Scholes'!$B$9^2/2)*'Black-Scholes'!$B$7+'Black-Scholes'!$B$9*SQRT('Black-Scholes'!$B$7)*B3824)</f>
        <v>84.8622771810929</v>
      </c>
      <c r="D3824" s="18" t="n">
        <f aca="false">'Black-Scholes'!$B$5*EXP(('Black-Scholes'!$B$8-'Black-Scholes'!$B$10-'Black-Scholes'!$B$9^2/2)*'Black-Scholes'!$B$7-'Black-Scholes'!$B$9*SQRT('Black-Scholes'!$B$7)*B3824)</f>
        <v>125.124682228293</v>
      </c>
      <c r="E3824" s="18" t="n">
        <f aca="false">EXP(-'Black-Scholes'!$B$8*'Black-Scholes'!$B$7)*IF(LOWER('Black-Scholes'!$B$11)="put",MAX('Black-Scholes'!$B$6-C3824,0),MAX(C3824-'Black-Scholes'!$B$6,0))</f>
        <v>0</v>
      </c>
      <c r="F3824" s="18" t="n">
        <f aca="false">(E3824+G3824)/2</f>
        <v>11.9496685083914</v>
      </c>
      <c r="G3824" s="18" t="n">
        <f aca="false">EXP(-'Black-Scholes'!$B$8*'Black-Scholes'!$B$7)*IF(LOWER('Black-Scholes'!$B$11)="put",MAX('Black-Scholes'!$B$6-D3824,0),MAX(D3824-'Black-Scholes'!$B$6,0))</f>
        <v>23.8993370167827</v>
      </c>
    </row>
    <row r="3825" customFormat="false" ht="15" hidden="false" customHeight="false" outlineLevel="0" collapsed="false">
      <c r="A3825" s="0" t="n">
        <v>3814</v>
      </c>
      <c r="B3825" s="15" t="n">
        <v>1.20916319710669</v>
      </c>
      <c r="C3825" s="18" t="n">
        <f aca="false">'Black-Scholes'!$B$5*EXP(('Black-Scholes'!$B$8-'Black-Scholes'!$B$10-'Black-Scholes'!$B$9^2/2)*'Black-Scholes'!$B$7+'Black-Scholes'!$B$9*SQRT('Black-Scholes'!$B$7)*B3825)</f>
        <v>131.236734437249</v>
      </c>
      <c r="D3825" s="18" t="n">
        <f aca="false">'Black-Scholes'!$B$5*EXP(('Black-Scholes'!$B$8-'Black-Scholes'!$B$10-'Black-Scholes'!$B$9^2/2)*'Black-Scholes'!$B$7-'Black-Scholes'!$B$9*SQRT('Black-Scholes'!$B$7)*B3825)</f>
        <v>80.9100097696407</v>
      </c>
      <c r="E3825" s="18" t="n">
        <f aca="false">EXP(-'Black-Scholes'!$B$8*'Black-Scholes'!$B$7)*IF(LOWER('Black-Scholes'!$B$11)="put",MAX('Black-Scholes'!$B$6-C3825,0),MAX(C3825-'Black-Scholes'!$B$6,0))</f>
        <v>29.7133009220264</v>
      </c>
      <c r="F3825" s="18" t="n">
        <f aca="false">(E3825+G3825)/2</f>
        <v>14.8566504610132</v>
      </c>
      <c r="G3825" s="18" t="n">
        <f aca="false">EXP(-'Black-Scholes'!$B$8*'Black-Scholes'!$B$7)*IF(LOWER('Black-Scholes'!$B$11)="put",MAX('Black-Scholes'!$B$6-D3825,0),MAX(D3825-'Black-Scholes'!$B$6,0))</f>
        <v>0</v>
      </c>
    </row>
    <row r="3826" customFormat="false" ht="15" hidden="false" customHeight="false" outlineLevel="0" collapsed="false">
      <c r="A3826" s="0" t="n">
        <v>3815</v>
      </c>
      <c r="B3826" s="15" t="n">
        <v>-0.216118054874698</v>
      </c>
      <c r="C3826" s="18" t="n">
        <f aca="false">'Black-Scholes'!$B$5*EXP(('Black-Scholes'!$B$8-'Black-Scholes'!$B$10-'Black-Scholes'!$B$9^2/2)*'Black-Scholes'!$B$7+'Black-Scholes'!$B$9*SQRT('Black-Scholes'!$B$7)*B3826)</f>
        <v>98.6863436850695</v>
      </c>
      <c r="D3826" s="18" t="n">
        <f aca="false">'Black-Scholes'!$B$5*EXP(('Black-Scholes'!$B$8-'Black-Scholes'!$B$10-'Black-Scholes'!$B$9^2/2)*'Black-Scholes'!$B$7-'Black-Scholes'!$B$9*SQRT('Black-Scholes'!$B$7)*B3826)</f>
        <v>107.597110896511</v>
      </c>
      <c r="E3826" s="18" t="n">
        <f aca="false">EXP(-'Black-Scholes'!$B$8*'Black-Scholes'!$B$7)*IF(LOWER('Black-Scholes'!$B$11)="put",MAX('Black-Scholes'!$B$6-C3826,0),MAX(C3826-'Black-Scholes'!$B$6,0))</f>
        <v>0</v>
      </c>
      <c r="F3826" s="18" t="n">
        <f aca="false">(E3826+G3826)/2</f>
        <v>3.61329771297804</v>
      </c>
      <c r="G3826" s="18" t="n">
        <f aca="false">EXP(-'Black-Scholes'!$B$8*'Black-Scholes'!$B$7)*IF(LOWER('Black-Scholes'!$B$11)="put",MAX('Black-Scholes'!$B$6-D3826,0),MAX(D3826-'Black-Scholes'!$B$6,0))</f>
        <v>7.22659542595607</v>
      </c>
    </row>
    <row r="3827" customFormat="false" ht="15" hidden="false" customHeight="false" outlineLevel="0" collapsed="false">
      <c r="A3827" s="0" t="n">
        <v>3816</v>
      </c>
      <c r="B3827" s="15" t="n">
        <v>0.0608187037147212</v>
      </c>
      <c r="C3827" s="18" t="n">
        <f aca="false">'Black-Scholes'!$B$5*EXP(('Black-Scholes'!$B$8-'Black-Scholes'!$B$10-'Black-Scholes'!$B$9^2/2)*'Black-Scholes'!$B$7+'Black-Scholes'!$B$9*SQRT('Black-Scholes'!$B$7)*B3827)</f>
        <v>104.306525704883</v>
      </c>
      <c r="D3827" s="18" t="n">
        <f aca="false">'Black-Scholes'!$B$5*EXP(('Black-Scholes'!$B$8-'Black-Scholes'!$B$10-'Black-Scholes'!$B$9^2/2)*'Black-Scholes'!$B$7-'Black-Scholes'!$B$9*SQRT('Black-Scholes'!$B$7)*B3827)</f>
        <v>101.799627527586</v>
      </c>
      <c r="E3827" s="18" t="n">
        <f aca="false">EXP(-'Black-Scholes'!$B$8*'Black-Scholes'!$B$7)*IF(LOWER('Black-Scholes'!$B$11)="put",MAX('Black-Scholes'!$B$6-C3827,0),MAX(C3827-'Black-Scholes'!$B$6,0))</f>
        <v>4.09649396785315</v>
      </c>
      <c r="F3827" s="18" t="n">
        <f aca="false">(E3827+G3827)/2</f>
        <v>2.90417631261702</v>
      </c>
      <c r="G3827" s="18" t="n">
        <f aca="false">EXP(-'Black-Scholes'!$B$8*'Black-Scholes'!$B$7)*IF(LOWER('Black-Scholes'!$B$11)="put",MAX('Black-Scholes'!$B$6-D3827,0),MAX(D3827-'Black-Scholes'!$B$6,0))</f>
        <v>1.71185865738089</v>
      </c>
    </row>
    <row r="3828" customFormat="false" ht="15" hidden="false" customHeight="false" outlineLevel="0" collapsed="false">
      <c r="A3828" s="0" t="n">
        <v>3817</v>
      </c>
      <c r="B3828" s="15" t="n">
        <v>1.22640680977867</v>
      </c>
      <c r="C3828" s="18" t="n">
        <f aca="false">'Black-Scholes'!$B$5*EXP(('Black-Scholes'!$B$8-'Black-Scholes'!$B$10-'Black-Scholes'!$B$9^2/2)*'Black-Scholes'!$B$7+'Black-Scholes'!$B$9*SQRT('Black-Scholes'!$B$7)*B3828)</f>
        <v>131.690114862925</v>
      </c>
      <c r="D3828" s="18" t="n">
        <f aca="false">'Black-Scholes'!$B$5*EXP(('Black-Scholes'!$B$8-'Black-Scholes'!$B$10-'Black-Scholes'!$B$9^2/2)*'Black-Scholes'!$B$7-'Black-Scholes'!$B$9*SQRT('Black-Scholes'!$B$7)*B3828)</f>
        <v>80.631454202209</v>
      </c>
      <c r="E3828" s="18" t="n">
        <f aca="false">EXP(-'Black-Scholes'!$B$8*'Black-Scholes'!$B$7)*IF(LOWER('Black-Scholes'!$B$11)="put",MAX('Black-Scholes'!$B$6-C3828,0),MAX(C3828-'Black-Scholes'!$B$6,0))</f>
        <v>30.1445697234219</v>
      </c>
      <c r="F3828" s="18" t="n">
        <f aca="false">(E3828+G3828)/2</f>
        <v>15.072284861711</v>
      </c>
      <c r="G3828" s="18" t="n">
        <f aca="false">EXP(-'Black-Scholes'!$B$8*'Black-Scholes'!$B$7)*IF(LOWER('Black-Scholes'!$B$11)="put",MAX('Black-Scholes'!$B$6-D3828,0),MAX(D3828-'Black-Scholes'!$B$6,0))</f>
        <v>0</v>
      </c>
    </row>
    <row r="3829" customFormat="false" ht="15" hidden="false" customHeight="false" outlineLevel="0" collapsed="false">
      <c r="A3829" s="0" t="n">
        <v>3818</v>
      </c>
      <c r="B3829" s="15" t="n">
        <v>-0.636774193878864</v>
      </c>
      <c r="C3829" s="18" t="n">
        <f aca="false">'Black-Scholes'!$B$5*EXP(('Black-Scholes'!$B$8-'Black-Scholes'!$B$10-'Black-Scholes'!$B$9^2/2)*'Black-Scholes'!$B$7+'Black-Scholes'!$B$9*SQRT('Black-Scholes'!$B$7)*B3829)</f>
        <v>90.7234027199795</v>
      </c>
      <c r="D3829" s="18" t="n">
        <f aca="false">'Black-Scholes'!$B$5*EXP(('Black-Scholes'!$B$8-'Black-Scholes'!$B$10-'Black-Scholes'!$B$9^2/2)*'Black-Scholes'!$B$7-'Black-Scholes'!$B$9*SQRT('Black-Scholes'!$B$7)*B3829)</f>
        <v>117.041084737832</v>
      </c>
      <c r="E3829" s="18" t="n">
        <f aca="false">EXP(-'Black-Scholes'!$B$8*'Black-Scholes'!$B$7)*IF(LOWER('Black-Scholes'!$B$11)="put",MAX('Black-Scholes'!$B$6-C3829,0),MAX(C3829-'Black-Scholes'!$B$6,0))</f>
        <v>0</v>
      </c>
      <c r="F3829" s="18" t="n">
        <f aca="false">(E3829+G3829)/2</f>
        <v>8.10499061401803</v>
      </c>
      <c r="G3829" s="18" t="n">
        <f aca="false">EXP(-'Black-Scholes'!$B$8*'Black-Scholes'!$B$7)*IF(LOWER('Black-Scholes'!$B$11)="put",MAX('Black-Scholes'!$B$6-D3829,0),MAX(D3829-'Black-Scholes'!$B$6,0))</f>
        <v>16.2099812280361</v>
      </c>
    </row>
    <row r="3830" customFormat="false" ht="15" hidden="false" customHeight="false" outlineLevel="0" collapsed="false">
      <c r="A3830" s="0" t="n">
        <v>3819</v>
      </c>
      <c r="B3830" s="15" t="n">
        <v>1.31059899255745</v>
      </c>
      <c r="C3830" s="18" t="n">
        <f aca="false">'Black-Scholes'!$B$5*EXP(('Black-Scholes'!$B$8-'Black-Scholes'!$B$10-'Black-Scholes'!$B$9^2/2)*'Black-Scholes'!$B$7+'Black-Scholes'!$B$9*SQRT('Black-Scholes'!$B$7)*B3830)</f>
        <v>133.926344979711</v>
      </c>
      <c r="D3830" s="18" t="n">
        <f aca="false">'Black-Scholes'!$B$5*EXP(('Black-Scholes'!$B$8-'Black-Scholes'!$B$10-'Black-Scholes'!$B$9^2/2)*'Black-Scholes'!$B$7-'Black-Scholes'!$B$9*SQRT('Black-Scholes'!$B$7)*B3830)</f>
        <v>79.2851135231248</v>
      </c>
      <c r="E3830" s="18" t="n">
        <f aca="false">EXP(-'Black-Scholes'!$B$8*'Black-Scholes'!$B$7)*IF(LOWER('Black-Scholes'!$B$11)="put",MAX('Black-Scholes'!$B$6-C3830,0),MAX(C3830-'Black-Scholes'!$B$6,0))</f>
        <v>32.2717376104636</v>
      </c>
      <c r="F3830" s="18" t="n">
        <f aca="false">(E3830+G3830)/2</f>
        <v>16.1358688052318</v>
      </c>
      <c r="G3830" s="18" t="n">
        <f aca="false">EXP(-'Black-Scholes'!$B$8*'Black-Scholes'!$B$7)*IF(LOWER('Black-Scholes'!$B$11)="put",MAX('Black-Scholes'!$B$6-D3830,0),MAX(D3830-'Black-Scholes'!$B$6,0))</f>
        <v>0</v>
      </c>
    </row>
    <row r="3831" customFormat="false" ht="15" hidden="false" customHeight="false" outlineLevel="0" collapsed="false">
      <c r="A3831" s="0" t="n">
        <v>3820</v>
      </c>
      <c r="B3831" s="15" t="n">
        <v>0.573069279063382</v>
      </c>
      <c r="C3831" s="18" t="n">
        <f aca="false">'Black-Scholes'!$B$5*EXP(('Black-Scholes'!$B$8-'Black-Scholes'!$B$10-'Black-Scholes'!$B$9^2/2)*'Black-Scholes'!$B$7+'Black-Scholes'!$B$9*SQRT('Black-Scholes'!$B$7)*B3831)</f>
        <v>115.559325848354</v>
      </c>
      <c r="D3831" s="18" t="n">
        <f aca="false">'Black-Scholes'!$B$5*EXP(('Black-Scholes'!$B$8-'Black-Scholes'!$B$10-'Black-Scholes'!$B$9^2/2)*'Black-Scholes'!$B$7-'Black-Scholes'!$B$9*SQRT('Black-Scholes'!$B$7)*B3831)</f>
        <v>91.8867031068338</v>
      </c>
      <c r="E3831" s="18" t="n">
        <f aca="false">EXP(-'Black-Scholes'!$B$8*'Black-Scholes'!$B$7)*IF(LOWER('Black-Scholes'!$B$11)="put",MAX('Black-Scholes'!$B$6-C3831,0),MAX(C3831-'Black-Scholes'!$B$6,0))</f>
        <v>14.8004885723491</v>
      </c>
      <c r="F3831" s="18" t="n">
        <f aca="false">(E3831+G3831)/2</f>
        <v>7.40024428617457</v>
      </c>
      <c r="G3831" s="18" t="n">
        <f aca="false">EXP(-'Black-Scholes'!$B$8*'Black-Scholes'!$B$7)*IF(LOWER('Black-Scholes'!$B$11)="put",MAX('Black-Scholes'!$B$6-D3831,0),MAX(D3831-'Black-Scholes'!$B$6,0))</f>
        <v>0</v>
      </c>
    </row>
    <row r="3832" customFormat="false" ht="15" hidden="false" customHeight="false" outlineLevel="0" collapsed="false">
      <c r="A3832" s="0" t="n">
        <v>3821</v>
      </c>
      <c r="B3832" s="15" t="n">
        <v>1.81574570380577</v>
      </c>
      <c r="C3832" s="18" t="n">
        <f aca="false">'Black-Scholes'!$B$5*EXP(('Black-Scholes'!$B$8-'Black-Scholes'!$B$10-'Black-Scholes'!$B$9^2/2)*'Black-Scholes'!$B$7+'Black-Scholes'!$B$9*SQRT('Black-Scholes'!$B$7)*B3832)</f>
        <v>148.163934567183</v>
      </c>
      <c r="D3832" s="18" t="n">
        <f aca="false">'Black-Scholes'!$B$5*EXP(('Black-Scholes'!$B$8-'Black-Scholes'!$B$10-'Black-Scholes'!$B$9^2/2)*'Black-Scholes'!$B$7-'Black-Scholes'!$B$9*SQRT('Black-Scholes'!$B$7)*B3832)</f>
        <v>71.6663302474521</v>
      </c>
      <c r="E3832" s="18" t="n">
        <f aca="false">EXP(-'Black-Scholes'!$B$8*'Black-Scholes'!$B$7)*IF(LOWER('Black-Scholes'!$B$11)="put",MAX('Black-Scholes'!$B$6-C3832,0),MAX(C3832-'Black-Scholes'!$B$6,0))</f>
        <v>45.8149517600312</v>
      </c>
      <c r="F3832" s="18" t="n">
        <f aca="false">(E3832+G3832)/2</f>
        <v>22.9074758800156</v>
      </c>
      <c r="G3832" s="18" t="n">
        <f aca="false">EXP(-'Black-Scholes'!$B$8*'Black-Scholes'!$B$7)*IF(LOWER('Black-Scholes'!$B$11)="put",MAX('Black-Scholes'!$B$6-D3832,0),MAX(D3832-'Black-Scholes'!$B$6,0))</f>
        <v>0</v>
      </c>
    </row>
    <row r="3833" customFormat="false" ht="15" hidden="false" customHeight="false" outlineLevel="0" collapsed="false">
      <c r="A3833" s="0" t="n">
        <v>3822</v>
      </c>
      <c r="B3833" s="15" t="n">
        <v>0.531941277761862</v>
      </c>
      <c r="C3833" s="18" t="n">
        <f aca="false">'Black-Scholes'!$B$5*EXP(('Black-Scholes'!$B$8-'Black-Scholes'!$B$10-'Black-Scholes'!$B$9^2/2)*'Black-Scholes'!$B$7+'Black-Scholes'!$B$9*SQRT('Black-Scholes'!$B$7)*B3833)</f>
        <v>114.612679731388</v>
      </c>
      <c r="D3833" s="18" t="n">
        <f aca="false">'Black-Scholes'!$B$5*EXP(('Black-Scholes'!$B$8-'Black-Scholes'!$B$10-'Black-Scholes'!$B$9^2/2)*'Black-Scholes'!$B$7-'Black-Scholes'!$B$9*SQRT('Black-Scholes'!$B$7)*B3833)</f>
        <v>92.6456434867355</v>
      </c>
      <c r="E3833" s="18" t="n">
        <f aca="false">EXP(-'Black-Scholes'!$B$8*'Black-Scholes'!$B$7)*IF(LOWER('Black-Scholes'!$B$11)="put",MAX('Black-Scholes'!$B$6-C3833,0),MAX(C3833-'Black-Scholes'!$B$6,0))</f>
        <v>13.9000109313018</v>
      </c>
      <c r="F3833" s="18" t="n">
        <f aca="false">(E3833+G3833)/2</f>
        <v>6.95000546565089</v>
      </c>
      <c r="G3833" s="18" t="n">
        <f aca="false">EXP(-'Black-Scholes'!$B$8*'Black-Scholes'!$B$7)*IF(LOWER('Black-Scholes'!$B$11)="put",MAX('Black-Scholes'!$B$6-D3833,0),MAX(D3833-'Black-Scholes'!$B$6,0))</f>
        <v>0</v>
      </c>
    </row>
    <row r="3834" customFormat="false" ht="15" hidden="false" customHeight="false" outlineLevel="0" collapsed="false">
      <c r="A3834" s="0" t="n">
        <v>3823</v>
      </c>
      <c r="B3834" s="15" t="n">
        <v>0.398075218563862</v>
      </c>
      <c r="C3834" s="18" t="n">
        <f aca="false">'Black-Scholes'!$B$5*EXP(('Black-Scholes'!$B$8-'Black-Scholes'!$B$10-'Black-Scholes'!$B$9^2/2)*'Black-Scholes'!$B$7+'Black-Scholes'!$B$9*SQRT('Black-Scholes'!$B$7)*B3834)</f>
        <v>111.584843489811</v>
      </c>
      <c r="D3834" s="18" t="n">
        <f aca="false">'Black-Scholes'!$B$5*EXP(('Black-Scholes'!$B$8-'Black-Scholes'!$B$10-'Black-Scholes'!$B$9^2/2)*'Black-Scholes'!$B$7-'Black-Scholes'!$B$9*SQRT('Black-Scholes'!$B$7)*B3834)</f>
        <v>95.15956767393</v>
      </c>
      <c r="E3834" s="18" t="n">
        <f aca="false">EXP(-'Black-Scholes'!$B$8*'Black-Scholes'!$B$7)*IF(LOWER('Black-Scholes'!$B$11)="put",MAX('Black-Scholes'!$B$6-C3834,0),MAX(C3834-'Black-Scholes'!$B$6,0))</f>
        <v>11.0198440057442</v>
      </c>
      <c r="F3834" s="18" t="n">
        <f aca="false">(E3834+G3834)/2</f>
        <v>5.5099220028721</v>
      </c>
      <c r="G3834" s="18" t="n">
        <f aca="false">EXP(-'Black-Scholes'!$B$8*'Black-Scholes'!$B$7)*IF(LOWER('Black-Scholes'!$B$11)="put",MAX('Black-Scholes'!$B$6-D3834,0),MAX(D3834-'Black-Scholes'!$B$6,0))</f>
        <v>0</v>
      </c>
    </row>
    <row r="3835" customFormat="false" ht="15" hidden="false" customHeight="false" outlineLevel="0" collapsed="false">
      <c r="A3835" s="0" t="n">
        <v>3824</v>
      </c>
      <c r="B3835" s="15" t="n">
        <v>-1.45587729927124</v>
      </c>
      <c r="C3835" s="18" t="n">
        <f aca="false">'Black-Scholes'!$B$5*EXP(('Black-Scholes'!$B$8-'Black-Scholes'!$B$10-'Black-Scholes'!$B$9^2/2)*'Black-Scholes'!$B$7+'Black-Scholes'!$B$9*SQRT('Black-Scholes'!$B$7)*B3835)</f>
        <v>77.0145778093496</v>
      </c>
      <c r="D3835" s="18" t="n">
        <f aca="false">'Black-Scholes'!$B$5*EXP(('Black-Scholes'!$B$8-'Black-Scholes'!$B$10-'Black-Scholes'!$B$9^2/2)*'Black-Scholes'!$B$7-'Black-Scholes'!$B$9*SQRT('Black-Scholes'!$B$7)*B3835)</f>
        <v>137.874747450275</v>
      </c>
      <c r="E3835" s="18" t="n">
        <f aca="false">EXP(-'Black-Scholes'!$B$8*'Black-Scholes'!$B$7)*IF(LOWER('Black-Scholes'!$B$11)="put",MAX('Black-Scholes'!$B$6-C3835,0),MAX(C3835-'Black-Scholes'!$B$6,0))</f>
        <v>0</v>
      </c>
      <c r="F3835" s="18" t="n">
        <f aca="false">(E3835+G3835)/2</f>
        <v>18.0137871101173</v>
      </c>
      <c r="G3835" s="18" t="n">
        <f aca="false">EXP(-'Black-Scholes'!$B$8*'Black-Scholes'!$B$7)*IF(LOWER('Black-Scholes'!$B$11)="put",MAX('Black-Scholes'!$B$6-D3835,0),MAX(D3835-'Black-Scholes'!$B$6,0))</f>
        <v>36.0275742202346</v>
      </c>
    </row>
    <row r="3836" customFormat="false" ht="15" hidden="false" customHeight="false" outlineLevel="0" collapsed="false">
      <c r="A3836" s="0" t="n">
        <v>3825</v>
      </c>
      <c r="B3836" s="15" t="n">
        <v>2.34944389862546</v>
      </c>
      <c r="C3836" s="18" t="n">
        <f aca="false">'Black-Scholes'!$B$5*EXP(('Black-Scholes'!$B$8-'Black-Scholes'!$B$10-'Black-Scholes'!$B$9^2/2)*'Black-Scholes'!$B$7+'Black-Scholes'!$B$9*SQRT('Black-Scholes'!$B$7)*B3836)</f>
        <v>164.853790966407</v>
      </c>
      <c r="D3836" s="18" t="n">
        <f aca="false">'Black-Scholes'!$B$5*EXP(('Black-Scholes'!$B$8-'Black-Scholes'!$B$10-'Black-Scholes'!$B$9^2/2)*'Black-Scholes'!$B$7-'Black-Scholes'!$B$9*SQRT('Black-Scholes'!$B$7)*B3836)</f>
        <v>64.4108054974442</v>
      </c>
      <c r="E3836" s="18" t="n">
        <f aca="false">EXP(-'Black-Scholes'!$B$8*'Black-Scholes'!$B$7)*IF(LOWER('Black-Scholes'!$B$11)="put",MAX('Black-Scholes'!$B$6-C3836,0),MAX(C3836-'Black-Scholes'!$B$6,0))</f>
        <v>61.6908342576654</v>
      </c>
      <c r="F3836" s="18" t="n">
        <f aca="false">(E3836+G3836)/2</f>
        <v>30.8454171288327</v>
      </c>
      <c r="G3836" s="18" t="n">
        <f aca="false">EXP(-'Black-Scholes'!$B$8*'Black-Scholes'!$B$7)*IF(LOWER('Black-Scholes'!$B$11)="put",MAX('Black-Scholes'!$B$6-D3836,0),MAX(D3836-'Black-Scholes'!$B$6,0))</f>
        <v>0</v>
      </c>
    </row>
    <row r="3837" customFormat="false" ht="15" hidden="false" customHeight="false" outlineLevel="0" collapsed="false">
      <c r="A3837" s="0" t="n">
        <v>3826</v>
      </c>
      <c r="B3837" s="15" t="n">
        <v>-0.631918133013869</v>
      </c>
      <c r="C3837" s="18" t="n">
        <f aca="false">'Black-Scholes'!$B$5*EXP(('Black-Scholes'!$B$8-'Black-Scholes'!$B$10-'Black-Scholes'!$B$9^2/2)*'Black-Scholes'!$B$7+'Black-Scholes'!$B$9*SQRT('Black-Scholes'!$B$7)*B3837)</f>
        <v>90.8115571944971</v>
      </c>
      <c r="D3837" s="18" t="n">
        <f aca="false">'Black-Scholes'!$B$5*EXP(('Black-Scholes'!$B$8-'Black-Scholes'!$B$10-'Black-Scholes'!$B$9^2/2)*'Black-Scholes'!$B$7-'Black-Scholes'!$B$9*SQRT('Black-Scholes'!$B$7)*B3837)</f>
        <v>116.92746819341</v>
      </c>
      <c r="E3837" s="18" t="n">
        <f aca="false">EXP(-'Black-Scholes'!$B$8*'Black-Scholes'!$B$7)*IF(LOWER('Black-Scholes'!$B$11)="put",MAX('Black-Scholes'!$B$6-C3837,0),MAX(C3837-'Black-Scholes'!$B$6,0))</f>
        <v>0</v>
      </c>
      <c r="F3837" s="18" t="n">
        <f aca="false">(E3837+G3837)/2</f>
        <v>8.05095291393581</v>
      </c>
      <c r="G3837" s="18" t="n">
        <f aca="false">EXP(-'Black-Scholes'!$B$8*'Black-Scholes'!$B$7)*IF(LOWER('Black-Scholes'!$B$11)="put",MAX('Black-Scholes'!$B$6-D3837,0),MAX(D3837-'Black-Scholes'!$B$6,0))</f>
        <v>16.1019058278716</v>
      </c>
    </row>
    <row r="3838" customFormat="false" ht="15" hidden="false" customHeight="false" outlineLevel="0" collapsed="false">
      <c r="A3838" s="0" t="n">
        <v>3827</v>
      </c>
      <c r="B3838" s="15" t="n">
        <v>-0.107789817099672</v>
      </c>
      <c r="C3838" s="18" t="n">
        <f aca="false">'Black-Scholes'!$B$5*EXP(('Black-Scholes'!$B$8-'Black-Scholes'!$B$10-'Black-Scholes'!$B$9^2/2)*'Black-Scholes'!$B$7+'Black-Scholes'!$B$9*SQRT('Black-Scholes'!$B$7)*B3838)</f>
        <v>100.847777105735</v>
      </c>
      <c r="D3838" s="18" t="n">
        <f aca="false">'Black-Scholes'!$B$5*EXP(('Black-Scholes'!$B$8-'Black-Scholes'!$B$10-'Black-Scholes'!$B$9^2/2)*'Black-Scholes'!$B$7-'Black-Scholes'!$B$9*SQRT('Black-Scholes'!$B$7)*B3838)</f>
        <v>105.291021480034</v>
      </c>
      <c r="E3838" s="18" t="n">
        <f aca="false">EXP(-'Black-Scholes'!$B$8*'Black-Scholes'!$B$7)*IF(LOWER('Black-Scholes'!$B$11)="put",MAX('Black-Scholes'!$B$6-C3838,0),MAX(C3838-'Black-Scholes'!$B$6,0))</f>
        <v>0.806430528392974</v>
      </c>
      <c r="F3838" s="18" t="n">
        <f aca="false">(E3838+G3838)/2</f>
        <v>2.91970292293328</v>
      </c>
      <c r="G3838" s="18" t="n">
        <f aca="false">EXP(-'Black-Scholes'!$B$8*'Black-Scholes'!$B$7)*IF(LOWER('Black-Scholes'!$B$11)="put",MAX('Black-Scholes'!$B$6-D3838,0),MAX(D3838-'Black-Scholes'!$B$6,0))</f>
        <v>5.03297531747359</v>
      </c>
    </row>
    <row r="3839" customFormat="false" ht="15" hidden="false" customHeight="false" outlineLevel="0" collapsed="false">
      <c r="A3839" s="0" t="n">
        <v>3828</v>
      </c>
      <c r="B3839" s="15" t="n">
        <v>-0.920278728288081</v>
      </c>
      <c r="C3839" s="18" t="n">
        <f aca="false">'Black-Scholes'!$B$5*EXP(('Black-Scholes'!$B$8-'Black-Scholes'!$B$10-'Black-Scholes'!$B$9^2/2)*'Black-Scholes'!$B$7+'Black-Scholes'!$B$9*SQRT('Black-Scholes'!$B$7)*B3839)</f>
        <v>85.7224233150886</v>
      </c>
      <c r="D3839" s="18" t="n">
        <f aca="false">'Black-Scholes'!$B$5*EXP(('Black-Scholes'!$B$8-'Black-Scholes'!$B$10-'Black-Scholes'!$B$9^2/2)*'Black-Scholes'!$B$7-'Black-Scholes'!$B$9*SQRT('Black-Scholes'!$B$7)*B3839)</f>
        <v>123.869170455248</v>
      </c>
      <c r="E3839" s="18" t="n">
        <f aca="false">EXP(-'Black-Scholes'!$B$8*'Black-Scholes'!$B$7)*IF(LOWER('Black-Scholes'!$B$11)="put",MAX('Black-Scholes'!$B$6-C3839,0),MAX(C3839-'Black-Scholes'!$B$6,0))</f>
        <v>0</v>
      </c>
      <c r="F3839" s="18" t="n">
        <f aca="false">(E3839+G3839)/2</f>
        <v>11.3525286377273</v>
      </c>
      <c r="G3839" s="18" t="n">
        <f aca="false">EXP(-'Black-Scholes'!$B$8*'Black-Scholes'!$B$7)*IF(LOWER('Black-Scholes'!$B$11)="put",MAX('Black-Scholes'!$B$6-D3839,0),MAX(D3839-'Black-Scholes'!$B$6,0))</f>
        <v>22.7050572754546</v>
      </c>
    </row>
    <row r="3840" customFormat="false" ht="15" hidden="false" customHeight="false" outlineLevel="0" collapsed="false">
      <c r="A3840" s="0" t="n">
        <v>3829</v>
      </c>
      <c r="B3840" s="15" t="n">
        <v>0.766397826791305</v>
      </c>
      <c r="C3840" s="18" t="n">
        <f aca="false">'Black-Scholes'!$B$5*EXP(('Black-Scholes'!$B$8-'Black-Scholes'!$B$10-'Black-Scholes'!$B$9^2/2)*'Black-Scholes'!$B$7+'Black-Scholes'!$B$9*SQRT('Black-Scholes'!$B$7)*B3840)</f>
        <v>120.11501611213</v>
      </c>
      <c r="D3840" s="18" t="n">
        <f aca="false">'Black-Scholes'!$B$5*EXP(('Black-Scholes'!$B$8-'Black-Scholes'!$B$10-'Black-Scholes'!$B$9^2/2)*'Black-Scholes'!$B$7-'Black-Scholes'!$B$9*SQRT('Black-Scholes'!$B$7)*B3840)</f>
        <v>88.4016487625584</v>
      </c>
      <c r="E3840" s="18" t="n">
        <f aca="false">EXP(-'Black-Scholes'!$B$8*'Black-Scholes'!$B$7)*IF(LOWER('Black-Scholes'!$B$11)="put",MAX('Black-Scholes'!$B$6-C3840,0),MAX(C3840-'Black-Scholes'!$B$6,0))</f>
        <v>19.1339952001644</v>
      </c>
      <c r="F3840" s="18" t="n">
        <f aca="false">(E3840+G3840)/2</f>
        <v>9.56699760008218</v>
      </c>
      <c r="G3840" s="18" t="n">
        <f aca="false">EXP(-'Black-Scholes'!$B$8*'Black-Scholes'!$B$7)*IF(LOWER('Black-Scholes'!$B$11)="put",MAX('Black-Scholes'!$B$6-D3840,0),MAX(D3840-'Black-Scholes'!$B$6,0))</f>
        <v>0</v>
      </c>
    </row>
    <row r="3841" customFormat="false" ht="15" hidden="false" customHeight="false" outlineLevel="0" collapsed="false">
      <c r="A3841" s="0" t="n">
        <v>3830</v>
      </c>
      <c r="B3841" s="15" t="n">
        <v>1.10908393876299</v>
      </c>
      <c r="C3841" s="18" t="n">
        <f aca="false">'Black-Scholes'!$B$5*EXP(('Black-Scholes'!$B$8-'Black-Scholes'!$B$10-'Black-Scholes'!$B$9^2/2)*'Black-Scholes'!$B$7+'Black-Scholes'!$B$9*SQRT('Black-Scholes'!$B$7)*B3841)</f>
        <v>128.636033872544</v>
      </c>
      <c r="D3841" s="18" t="n">
        <f aca="false">'Black-Scholes'!$B$5*EXP(('Black-Scholes'!$B$8-'Black-Scholes'!$B$10-'Black-Scholes'!$B$9^2/2)*'Black-Scholes'!$B$7-'Black-Scholes'!$B$9*SQRT('Black-Scholes'!$B$7)*B3841)</f>
        <v>82.5458088670127</v>
      </c>
      <c r="E3841" s="18" t="n">
        <f aca="false">EXP(-'Black-Scholes'!$B$8*'Black-Scholes'!$B$7)*IF(LOWER('Black-Scholes'!$B$11)="put",MAX('Black-Scholes'!$B$6-C3841,0),MAX(C3841-'Black-Scholes'!$B$6,0))</f>
        <v>27.2394380205631</v>
      </c>
      <c r="F3841" s="18" t="n">
        <f aca="false">(E3841+G3841)/2</f>
        <v>13.6197190102816</v>
      </c>
      <c r="G3841" s="18" t="n">
        <f aca="false">EXP(-'Black-Scholes'!$B$8*'Black-Scholes'!$B$7)*IF(LOWER('Black-Scholes'!$B$11)="put",MAX('Black-Scholes'!$B$6-D3841,0),MAX(D3841-'Black-Scholes'!$B$6,0))</f>
        <v>0</v>
      </c>
    </row>
    <row r="3842" customFormat="false" ht="15" hidden="false" customHeight="false" outlineLevel="0" collapsed="false">
      <c r="A3842" s="0" t="n">
        <v>3831</v>
      </c>
      <c r="B3842" s="15" t="n">
        <v>-0.604113862834787</v>
      </c>
      <c r="C3842" s="18" t="n">
        <f aca="false">'Black-Scholes'!$B$5*EXP(('Black-Scholes'!$B$8-'Black-Scholes'!$B$10-'Black-Scholes'!$B$9^2/2)*'Black-Scholes'!$B$7+'Black-Scholes'!$B$9*SQRT('Black-Scholes'!$B$7)*B3842)</f>
        <v>91.3179537024082</v>
      </c>
      <c r="D3842" s="18" t="n">
        <f aca="false">'Black-Scholes'!$B$5*EXP(('Black-Scholes'!$B$8-'Black-Scholes'!$B$10-'Black-Scholes'!$B$9^2/2)*'Black-Scholes'!$B$7-'Black-Scholes'!$B$9*SQRT('Black-Scholes'!$B$7)*B3842)</f>
        <v>116.2790561433</v>
      </c>
      <c r="E3842" s="18" t="n">
        <f aca="false">EXP(-'Black-Scholes'!$B$8*'Black-Scholes'!$B$7)*IF(LOWER('Black-Scholes'!$B$11)="put",MAX('Black-Scholes'!$B$6-C3842,0),MAX(C3842-'Black-Scholes'!$B$6,0))</f>
        <v>0</v>
      </c>
      <c r="F3842" s="18" t="n">
        <f aca="false">(E3842+G3842)/2</f>
        <v>7.74255860330307</v>
      </c>
      <c r="G3842" s="18" t="n">
        <f aca="false">EXP(-'Black-Scholes'!$B$8*'Black-Scholes'!$B$7)*IF(LOWER('Black-Scholes'!$B$11)="put",MAX('Black-Scholes'!$B$6-D3842,0),MAX(D3842-'Black-Scholes'!$B$6,0))</f>
        <v>15.4851172066061</v>
      </c>
    </row>
    <row r="3843" customFormat="false" ht="15" hidden="false" customHeight="false" outlineLevel="0" collapsed="false">
      <c r="A3843" s="0" t="n">
        <v>3832</v>
      </c>
      <c r="B3843" s="15" t="n">
        <v>0.881426609203066</v>
      </c>
      <c r="C3843" s="18" t="n">
        <f aca="false">'Black-Scholes'!$B$5*EXP(('Black-Scholes'!$B$8-'Black-Scholes'!$B$10-'Black-Scholes'!$B$9^2/2)*'Black-Scholes'!$B$7+'Black-Scholes'!$B$9*SQRT('Black-Scholes'!$B$7)*B3843)</f>
        <v>122.91038441414</v>
      </c>
      <c r="D3843" s="18" t="n">
        <f aca="false">'Black-Scholes'!$B$5*EXP(('Black-Scholes'!$B$8-'Black-Scholes'!$B$10-'Black-Scholes'!$B$9^2/2)*'Black-Scholes'!$B$7-'Black-Scholes'!$B$9*SQRT('Black-Scholes'!$B$7)*B3843)</f>
        <v>86.3911175289759</v>
      </c>
      <c r="E3843" s="18" t="n">
        <f aca="false">EXP(-'Black-Scholes'!$B$8*'Black-Scholes'!$B$7)*IF(LOWER('Black-Scholes'!$B$11)="put",MAX('Black-Scholes'!$B$6-C3843,0),MAX(C3843-'Black-Scholes'!$B$6,0))</f>
        <v>21.7930317813528</v>
      </c>
      <c r="F3843" s="18" t="n">
        <f aca="false">(E3843+G3843)/2</f>
        <v>10.8965158906764</v>
      </c>
      <c r="G3843" s="18" t="n">
        <f aca="false">EXP(-'Black-Scholes'!$B$8*'Black-Scholes'!$B$7)*IF(LOWER('Black-Scholes'!$B$11)="put",MAX('Black-Scholes'!$B$6-D3843,0),MAX(D3843-'Black-Scholes'!$B$6,0))</f>
        <v>0</v>
      </c>
    </row>
    <row r="3844" customFormat="false" ht="15" hidden="false" customHeight="false" outlineLevel="0" collapsed="false">
      <c r="A3844" s="0" t="n">
        <v>3833</v>
      </c>
      <c r="B3844" s="15" t="n">
        <v>0.825084028880405</v>
      </c>
      <c r="C3844" s="18" t="n">
        <f aca="false">'Black-Scholes'!$B$5*EXP(('Black-Scholes'!$B$8-'Black-Scholes'!$B$10-'Black-Scholes'!$B$9^2/2)*'Black-Scholes'!$B$7+'Black-Scholes'!$B$9*SQRT('Black-Scholes'!$B$7)*B3844)</f>
        <v>121.533141090566</v>
      </c>
      <c r="D3844" s="18" t="n">
        <f aca="false">'Black-Scholes'!$B$5*EXP(('Black-Scholes'!$B$8-'Black-Scholes'!$B$10-'Black-Scholes'!$B$9^2/2)*'Black-Scholes'!$B$7-'Black-Scholes'!$B$9*SQRT('Black-Scholes'!$B$7)*B3844)</f>
        <v>87.3701228337447</v>
      </c>
      <c r="E3844" s="18" t="n">
        <f aca="false">EXP(-'Black-Scholes'!$B$8*'Black-Scholes'!$B$7)*IF(LOWER('Black-Scholes'!$B$11)="put",MAX('Black-Scholes'!$B$6-C3844,0),MAX(C3844-'Black-Scholes'!$B$6,0))</f>
        <v>20.482957407272</v>
      </c>
      <c r="F3844" s="18" t="n">
        <f aca="false">(E3844+G3844)/2</f>
        <v>10.241478703636</v>
      </c>
      <c r="G3844" s="18" t="n">
        <f aca="false">EXP(-'Black-Scholes'!$B$8*'Black-Scholes'!$B$7)*IF(LOWER('Black-Scholes'!$B$11)="put",MAX('Black-Scholes'!$B$6-D3844,0),MAX(D3844-'Black-Scholes'!$B$6,0))</f>
        <v>0</v>
      </c>
    </row>
    <row r="3845" customFormat="false" ht="15" hidden="false" customHeight="false" outlineLevel="0" collapsed="false">
      <c r="A3845" s="0" t="n">
        <v>3834</v>
      </c>
      <c r="B3845" s="15" t="n">
        <v>1.43044600646916</v>
      </c>
      <c r="C3845" s="18" t="n">
        <f aca="false">'Black-Scholes'!$B$5*EXP(('Black-Scholes'!$B$8-'Black-Scholes'!$B$10-'Black-Scholes'!$B$9^2/2)*'Black-Scholes'!$B$7+'Black-Scholes'!$B$9*SQRT('Black-Scholes'!$B$7)*B3845)</f>
        <v>137.175261227661</v>
      </c>
      <c r="D3845" s="18" t="n">
        <f aca="false">'Black-Scholes'!$B$5*EXP(('Black-Scholes'!$B$8-'Black-Scholes'!$B$10-'Black-Scholes'!$B$9^2/2)*'Black-Scholes'!$B$7-'Black-Scholes'!$B$9*SQRT('Black-Scholes'!$B$7)*B3845)</f>
        <v>77.4072917406805</v>
      </c>
      <c r="E3845" s="18" t="n">
        <f aca="false">EXP(-'Black-Scholes'!$B$8*'Black-Scholes'!$B$7)*IF(LOWER('Black-Scholes'!$B$11)="put",MAX('Black-Scholes'!$B$6-C3845,0),MAX(C3845-'Black-Scholes'!$B$6,0))</f>
        <v>35.3622023432514</v>
      </c>
      <c r="F3845" s="18" t="n">
        <f aca="false">(E3845+G3845)/2</f>
        <v>17.6811011716257</v>
      </c>
      <c r="G3845" s="18" t="n">
        <f aca="false">EXP(-'Black-Scholes'!$B$8*'Black-Scholes'!$B$7)*IF(LOWER('Black-Scholes'!$B$11)="put",MAX('Black-Scholes'!$B$6-D3845,0),MAX(D3845-'Black-Scholes'!$B$6,0))</f>
        <v>0</v>
      </c>
    </row>
    <row r="3846" customFormat="false" ht="15" hidden="false" customHeight="false" outlineLevel="0" collapsed="false">
      <c r="A3846" s="0" t="n">
        <v>3835</v>
      </c>
      <c r="B3846" s="15" t="n">
        <v>0.0652391449407207</v>
      </c>
      <c r="C3846" s="18" t="n">
        <f aca="false">'Black-Scholes'!$B$5*EXP(('Black-Scholes'!$B$8-'Black-Scholes'!$B$10-'Black-Scholes'!$B$9^2/2)*'Black-Scholes'!$B$7+'Black-Scholes'!$B$9*SQRT('Black-Scholes'!$B$7)*B3846)</f>
        <v>104.398782653789</v>
      </c>
      <c r="D3846" s="18" t="n">
        <f aca="false">'Black-Scholes'!$B$5*EXP(('Black-Scholes'!$B$8-'Black-Scholes'!$B$10-'Black-Scholes'!$B$9^2/2)*'Black-Scholes'!$B$7-'Black-Scholes'!$B$9*SQRT('Black-Scholes'!$B$7)*B3846)</f>
        <v>101.709667445708</v>
      </c>
      <c r="E3846" s="18" t="n">
        <f aca="false">EXP(-'Black-Scholes'!$B$8*'Black-Scholes'!$B$7)*IF(LOWER('Black-Scholes'!$B$11)="put",MAX('Black-Scholes'!$B$6-C3846,0),MAX(C3846-'Black-Scholes'!$B$6,0))</f>
        <v>4.18425149226745</v>
      </c>
      <c r="F3846" s="18" t="n">
        <f aca="false">(E3846+G3846)/2</f>
        <v>2.90526873636778</v>
      </c>
      <c r="G3846" s="18" t="n">
        <f aca="false">EXP(-'Black-Scholes'!$B$8*'Black-Scholes'!$B$7)*IF(LOWER('Black-Scholes'!$B$11)="put",MAX('Black-Scholes'!$B$6-D3846,0),MAX(D3846-'Black-Scholes'!$B$6,0))</f>
        <v>1.62628598046812</v>
      </c>
    </row>
    <row r="3847" customFormat="false" ht="15" hidden="false" customHeight="false" outlineLevel="0" collapsed="false">
      <c r="A3847" s="0" t="n">
        <v>3836</v>
      </c>
      <c r="B3847" s="15" t="n">
        <v>1.29406388285802</v>
      </c>
      <c r="C3847" s="18" t="n">
        <f aca="false">'Black-Scholes'!$B$5*EXP(('Black-Scholes'!$B$8-'Black-Scholes'!$B$10-'Black-Scholes'!$B$9^2/2)*'Black-Scholes'!$B$7+'Black-Scholes'!$B$9*SQRT('Black-Scholes'!$B$7)*B3847)</f>
        <v>133.484179147564</v>
      </c>
      <c r="D3847" s="18" t="n">
        <f aca="false">'Black-Scholes'!$B$5*EXP(('Black-Scholes'!$B$8-'Black-Scholes'!$B$10-'Black-Scholes'!$B$9^2/2)*'Black-Scholes'!$B$7-'Black-Scholes'!$B$9*SQRT('Black-Scholes'!$B$7)*B3847)</f>
        <v>79.5477451579879</v>
      </c>
      <c r="E3847" s="18" t="n">
        <f aca="false">EXP(-'Black-Scholes'!$B$8*'Black-Scholes'!$B$7)*IF(LOWER('Black-Scholes'!$B$11)="put",MAX('Black-Scholes'!$B$6-C3847,0),MAX(C3847-'Black-Scholes'!$B$6,0))</f>
        <v>31.8511364604158</v>
      </c>
      <c r="F3847" s="18" t="n">
        <f aca="false">(E3847+G3847)/2</f>
        <v>15.9255682302079</v>
      </c>
      <c r="G3847" s="18" t="n">
        <f aca="false">EXP(-'Black-Scholes'!$B$8*'Black-Scholes'!$B$7)*IF(LOWER('Black-Scholes'!$B$11)="put",MAX('Black-Scholes'!$B$6-D3847,0),MAX(D3847-'Black-Scholes'!$B$6,0))</f>
        <v>0</v>
      </c>
    </row>
    <row r="3848" customFormat="false" ht="15" hidden="false" customHeight="false" outlineLevel="0" collapsed="false">
      <c r="A3848" s="0" t="n">
        <v>3837</v>
      </c>
      <c r="B3848" s="15" t="n">
        <v>1.87852168717992</v>
      </c>
      <c r="C3848" s="18" t="n">
        <f aca="false">'Black-Scholes'!$B$5*EXP(('Black-Scholes'!$B$8-'Black-Scholes'!$B$10-'Black-Scholes'!$B$9^2/2)*'Black-Scholes'!$B$7+'Black-Scholes'!$B$9*SQRT('Black-Scholes'!$B$7)*B3848)</f>
        <v>150.035888691816</v>
      </c>
      <c r="D3848" s="18" t="n">
        <f aca="false">'Black-Scholes'!$B$5*EXP(('Black-Scholes'!$B$8-'Black-Scholes'!$B$10-'Black-Scholes'!$B$9^2/2)*'Black-Scholes'!$B$7-'Black-Scholes'!$B$9*SQRT('Black-Scholes'!$B$7)*B3848)</f>
        <v>70.7721702989642</v>
      </c>
      <c r="E3848" s="18" t="n">
        <f aca="false">EXP(-'Black-Scholes'!$B$8*'Black-Scholes'!$B$7)*IF(LOWER('Black-Scholes'!$B$11)="put",MAX('Black-Scholes'!$B$6-C3848,0),MAX(C3848-'Black-Scholes'!$B$6,0))</f>
        <v>47.5956096046974</v>
      </c>
      <c r="F3848" s="18" t="n">
        <f aca="false">(E3848+G3848)/2</f>
        <v>23.7978048023487</v>
      </c>
      <c r="G3848" s="18" t="n">
        <f aca="false">EXP(-'Black-Scholes'!$B$8*'Black-Scholes'!$B$7)*IF(LOWER('Black-Scholes'!$B$11)="put",MAX('Black-Scholes'!$B$6-D3848,0),MAX(D3848-'Black-Scholes'!$B$6,0))</f>
        <v>0</v>
      </c>
    </row>
    <row r="3849" customFormat="false" ht="15" hidden="false" customHeight="false" outlineLevel="0" collapsed="false">
      <c r="A3849" s="0" t="n">
        <v>3838</v>
      </c>
      <c r="B3849" s="15" t="n">
        <v>1.45919092461019</v>
      </c>
      <c r="C3849" s="18" t="n">
        <f aca="false">'Black-Scholes'!$B$5*EXP(('Black-Scholes'!$B$8-'Black-Scholes'!$B$10-'Black-Scholes'!$B$9^2/2)*'Black-Scholes'!$B$7+'Black-Scholes'!$B$9*SQRT('Black-Scholes'!$B$7)*B3849)</f>
        <v>137.966150785921</v>
      </c>
      <c r="D3849" s="18" t="n">
        <f aca="false">'Black-Scholes'!$B$5*EXP(('Black-Scholes'!$B$8-'Black-Scholes'!$B$10-'Black-Scholes'!$B$9^2/2)*'Black-Scholes'!$B$7-'Black-Scholes'!$B$9*SQRT('Black-Scholes'!$B$7)*B3849)</f>
        <v>76.9635552268897</v>
      </c>
      <c r="E3849" s="18" t="n">
        <f aca="false">EXP(-'Black-Scholes'!$B$8*'Black-Scholes'!$B$7)*IF(LOWER('Black-Scholes'!$B$11)="put",MAX('Black-Scholes'!$B$6-C3849,0),MAX(C3849-'Black-Scholes'!$B$6,0))</f>
        <v>36.1145197625986</v>
      </c>
      <c r="F3849" s="18" t="n">
        <f aca="false">(E3849+G3849)/2</f>
        <v>18.0572598812993</v>
      </c>
      <c r="G3849" s="18" t="n">
        <f aca="false">EXP(-'Black-Scholes'!$B$8*'Black-Scholes'!$B$7)*IF(LOWER('Black-Scholes'!$B$11)="put",MAX('Black-Scholes'!$B$6-D3849,0),MAX(D3849-'Black-Scholes'!$B$6,0))</f>
        <v>0</v>
      </c>
    </row>
    <row r="3850" customFormat="false" ht="15" hidden="false" customHeight="false" outlineLevel="0" collapsed="false">
      <c r="A3850" s="0" t="n">
        <v>3839</v>
      </c>
      <c r="B3850" s="15" t="n">
        <v>1.72074658277942</v>
      </c>
      <c r="C3850" s="18" t="n">
        <f aca="false">'Black-Scholes'!$B$5*EXP(('Black-Scholes'!$B$8-'Black-Scholes'!$B$10-'Black-Scholes'!$B$9^2/2)*'Black-Scholes'!$B$7+'Black-Scholes'!$B$9*SQRT('Black-Scholes'!$B$7)*B3850)</f>
        <v>145.375420382243</v>
      </c>
      <c r="D3850" s="18" t="n">
        <f aca="false">'Black-Scholes'!$B$5*EXP(('Black-Scholes'!$B$8-'Black-Scholes'!$B$10-'Black-Scholes'!$B$9^2/2)*'Black-Scholes'!$B$7-'Black-Scholes'!$B$9*SQRT('Black-Scholes'!$B$7)*B3850)</f>
        <v>73.0409957717347</v>
      </c>
      <c r="E3850" s="18" t="n">
        <f aca="false">EXP(-'Black-Scholes'!$B$8*'Black-Scholes'!$B$7)*IF(LOWER('Black-Scholes'!$B$11)="put",MAX('Black-Scholes'!$B$6-C3850,0),MAX(C3850-'Black-Scholes'!$B$6,0))</f>
        <v>43.1624350166794</v>
      </c>
      <c r="F3850" s="18" t="n">
        <f aca="false">(E3850+G3850)/2</f>
        <v>21.5812175083397</v>
      </c>
      <c r="G3850" s="18" t="n">
        <f aca="false">EXP(-'Black-Scholes'!$B$8*'Black-Scholes'!$B$7)*IF(LOWER('Black-Scholes'!$B$11)="put",MAX('Black-Scholes'!$B$6-D3850,0),MAX(D3850-'Black-Scholes'!$B$6,0))</f>
        <v>0</v>
      </c>
    </row>
    <row r="3851" customFormat="false" ht="15" hidden="false" customHeight="false" outlineLevel="0" collapsed="false">
      <c r="A3851" s="0" t="n">
        <v>3840</v>
      </c>
      <c r="B3851" s="15" t="n">
        <v>0.324225232787101</v>
      </c>
      <c r="C3851" s="18" t="n">
        <f aca="false">'Black-Scholes'!$B$5*EXP(('Black-Scholes'!$B$8-'Black-Scholes'!$B$10-'Black-Scholes'!$B$9^2/2)*'Black-Scholes'!$B$7+'Black-Scholes'!$B$9*SQRT('Black-Scholes'!$B$7)*B3851)</f>
        <v>109.948847240187</v>
      </c>
      <c r="D3851" s="18" t="n">
        <f aca="false">'Black-Scholes'!$B$5*EXP(('Black-Scholes'!$B$8-'Black-Scholes'!$B$10-'Black-Scholes'!$B$9^2/2)*'Black-Scholes'!$B$7-'Black-Scholes'!$B$9*SQRT('Black-Scholes'!$B$7)*B3851)</f>
        <v>96.5755051733956</v>
      </c>
      <c r="E3851" s="18" t="n">
        <f aca="false">EXP(-'Black-Scholes'!$B$8*'Black-Scholes'!$B$7)*IF(LOWER('Black-Scholes'!$B$11)="put",MAX('Black-Scholes'!$B$6-C3851,0),MAX(C3851-'Black-Scholes'!$B$6,0))</f>
        <v>9.46363623472893</v>
      </c>
      <c r="F3851" s="18" t="n">
        <f aca="false">(E3851+G3851)/2</f>
        <v>4.73181811736446</v>
      </c>
      <c r="G3851" s="18" t="n">
        <f aca="false">EXP(-'Black-Scholes'!$B$8*'Black-Scholes'!$B$7)*IF(LOWER('Black-Scholes'!$B$11)="put",MAX('Black-Scholes'!$B$6-D3851,0),MAX(D3851-'Black-Scholes'!$B$6,0))</f>
        <v>0</v>
      </c>
    </row>
    <row r="3852" customFormat="false" ht="15" hidden="false" customHeight="false" outlineLevel="0" collapsed="false">
      <c r="A3852" s="0" t="n">
        <v>3841</v>
      </c>
      <c r="B3852" s="15" t="n">
        <v>-0.259524701802988</v>
      </c>
      <c r="C3852" s="18" t="n">
        <f aca="false">'Black-Scholes'!$B$5*EXP(('Black-Scholes'!$B$8-'Black-Scholes'!$B$10-'Black-Scholes'!$B$9^2/2)*'Black-Scholes'!$B$7+'Black-Scholes'!$B$9*SQRT('Black-Scholes'!$B$7)*B3852)</f>
        <v>97.8333230635196</v>
      </c>
      <c r="D3852" s="18" t="n">
        <f aca="false">'Black-Scholes'!$B$5*EXP(('Black-Scholes'!$B$8-'Black-Scholes'!$B$10-'Black-Scholes'!$B$9^2/2)*'Black-Scholes'!$B$7-'Black-Scholes'!$B$9*SQRT('Black-Scholes'!$B$7)*B3852)</f>
        <v>108.53526316958</v>
      </c>
      <c r="E3852" s="18" t="n">
        <f aca="false">EXP(-'Black-Scholes'!$B$8*'Black-Scholes'!$B$7)*IF(LOWER('Black-Scholes'!$B$11)="put",MAX('Black-Scholes'!$B$6-C3852,0),MAX(C3852-'Black-Scholes'!$B$6,0))</f>
        <v>0</v>
      </c>
      <c r="F3852" s="18" t="n">
        <f aca="false">(E3852+G3852)/2</f>
        <v>4.05949673638063</v>
      </c>
      <c r="G3852" s="18" t="n">
        <f aca="false">EXP(-'Black-Scholes'!$B$8*'Black-Scholes'!$B$7)*IF(LOWER('Black-Scholes'!$B$11)="put",MAX('Black-Scholes'!$B$6-D3852,0),MAX(D3852-'Black-Scholes'!$B$6,0))</f>
        <v>8.11899347276126</v>
      </c>
    </row>
    <row r="3853" customFormat="false" ht="15" hidden="false" customHeight="false" outlineLevel="0" collapsed="false">
      <c r="A3853" s="0" t="n">
        <v>3842</v>
      </c>
      <c r="B3853" s="15" t="n">
        <v>0.641515845921978</v>
      </c>
      <c r="C3853" s="18" t="n">
        <f aca="false">'Black-Scholes'!$B$5*EXP(('Black-Scholes'!$B$8-'Black-Scholes'!$B$10-'Black-Scholes'!$B$9^2/2)*'Black-Scholes'!$B$7+'Black-Scholes'!$B$9*SQRT('Black-Scholes'!$B$7)*B3853)</f>
        <v>117.1521310035</v>
      </c>
      <c r="D3853" s="18" t="n">
        <f aca="false">'Black-Scholes'!$B$5*EXP(('Black-Scholes'!$B$8-'Black-Scholes'!$B$10-'Black-Scholes'!$B$9^2/2)*'Black-Scholes'!$B$7-'Black-Scholes'!$B$9*SQRT('Black-Scholes'!$B$7)*B3853)</f>
        <v>90.6374077406781</v>
      </c>
      <c r="E3853" s="18" t="n">
        <f aca="false">EXP(-'Black-Scholes'!$B$8*'Black-Scholes'!$B$7)*IF(LOWER('Black-Scholes'!$B$11)="put",MAX('Black-Scholes'!$B$6-C3853,0),MAX(C3853-'Black-Scholes'!$B$6,0))</f>
        <v>16.3156117034204</v>
      </c>
      <c r="F3853" s="18" t="n">
        <f aca="false">(E3853+G3853)/2</f>
        <v>8.15780585171022</v>
      </c>
      <c r="G3853" s="18" t="n">
        <f aca="false">EXP(-'Black-Scholes'!$B$8*'Black-Scholes'!$B$7)*IF(LOWER('Black-Scholes'!$B$11)="put",MAX('Black-Scholes'!$B$6-D3853,0),MAX(D3853-'Black-Scholes'!$B$6,0))</f>
        <v>0</v>
      </c>
    </row>
    <row r="3854" customFormat="false" ht="15" hidden="false" customHeight="false" outlineLevel="0" collapsed="false">
      <c r="A3854" s="0" t="n">
        <v>3843</v>
      </c>
      <c r="B3854" s="15" t="n">
        <v>-1.74879862210593</v>
      </c>
      <c r="C3854" s="18" t="n">
        <f aca="false">'Black-Scholes'!$B$5*EXP(('Black-Scholes'!$B$8-'Black-Scholes'!$B$10-'Black-Scholes'!$B$9^2/2)*'Black-Scholes'!$B$7+'Black-Scholes'!$B$9*SQRT('Black-Scholes'!$B$7)*B3854)</f>
        <v>72.6323533916705</v>
      </c>
      <c r="D3854" s="18" t="n">
        <f aca="false">'Black-Scholes'!$B$5*EXP(('Black-Scholes'!$B$8-'Black-Scholes'!$B$10-'Black-Scholes'!$B$9^2/2)*'Black-Scholes'!$B$7-'Black-Scholes'!$B$9*SQRT('Black-Scholes'!$B$7)*B3854)</f>
        <v>146.193328036529</v>
      </c>
      <c r="E3854" s="18" t="n">
        <f aca="false">EXP(-'Black-Scholes'!$B$8*'Black-Scholes'!$B$7)*IF(LOWER('Black-Scholes'!$B$11)="put",MAX('Black-Scholes'!$B$6-C3854,0),MAX(C3854-'Black-Scholes'!$B$6,0))</f>
        <v>0</v>
      </c>
      <c r="F3854" s="18" t="n">
        <f aca="false">(E3854+G3854)/2</f>
        <v>21.9702264219802</v>
      </c>
      <c r="G3854" s="18" t="n">
        <f aca="false">EXP(-'Black-Scholes'!$B$8*'Black-Scholes'!$B$7)*IF(LOWER('Black-Scholes'!$B$11)="put",MAX('Black-Scholes'!$B$6-D3854,0),MAX(D3854-'Black-Scholes'!$B$6,0))</f>
        <v>43.9404528439604</v>
      </c>
    </row>
    <row r="3855" customFormat="false" ht="15" hidden="false" customHeight="false" outlineLevel="0" collapsed="false">
      <c r="A3855" s="0" t="n">
        <v>3844</v>
      </c>
      <c r="B3855" s="15" t="n">
        <v>-0.635435819955737</v>
      </c>
      <c r="C3855" s="18" t="n">
        <f aca="false">'Black-Scholes'!$B$5*EXP(('Black-Scholes'!$B$8-'Black-Scholes'!$B$10-'Black-Scholes'!$B$9^2/2)*'Black-Scholes'!$B$7+'Black-Scholes'!$B$9*SQRT('Black-Scholes'!$B$7)*B3855)</f>
        <v>90.7476903377094</v>
      </c>
      <c r="D3855" s="18" t="n">
        <f aca="false">'Black-Scholes'!$B$5*EXP(('Black-Scholes'!$B$8-'Black-Scholes'!$B$10-'Black-Scholes'!$B$9^2/2)*'Black-Scholes'!$B$7-'Black-Scholes'!$B$9*SQRT('Black-Scholes'!$B$7)*B3855)</f>
        <v>117.009759983293</v>
      </c>
      <c r="E3855" s="18" t="n">
        <f aca="false">EXP(-'Black-Scholes'!$B$8*'Black-Scholes'!$B$7)*IF(LOWER('Black-Scholes'!$B$11)="put",MAX('Black-Scholes'!$B$6-C3855,0),MAX(C3855-'Black-Scholes'!$B$6,0))</f>
        <v>0</v>
      </c>
      <c r="F3855" s="18" t="n">
        <f aca="false">(E3855+G3855)/2</f>
        <v>8.09009209990164</v>
      </c>
      <c r="G3855" s="18" t="n">
        <f aca="false">EXP(-'Black-Scholes'!$B$8*'Black-Scholes'!$B$7)*IF(LOWER('Black-Scholes'!$B$11)="put",MAX('Black-Scholes'!$B$6-D3855,0),MAX(D3855-'Black-Scholes'!$B$6,0))</f>
        <v>16.1801841998033</v>
      </c>
    </row>
    <row r="3856" customFormat="false" ht="15" hidden="false" customHeight="false" outlineLevel="0" collapsed="false">
      <c r="A3856" s="0" t="n">
        <v>3845</v>
      </c>
      <c r="B3856" s="15" t="n">
        <v>0.299908031669886</v>
      </c>
      <c r="C3856" s="18" t="n">
        <f aca="false">'Black-Scholes'!$B$5*EXP(('Black-Scholes'!$B$8-'Black-Scholes'!$B$10-'Black-Scholes'!$B$9^2/2)*'Black-Scholes'!$B$7+'Black-Scholes'!$B$9*SQRT('Black-Scholes'!$B$7)*B3856)</f>
        <v>109.415415801396</v>
      </c>
      <c r="D3856" s="18" t="n">
        <f aca="false">'Black-Scholes'!$B$5*EXP(('Black-Scholes'!$B$8-'Black-Scholes'!$B$10-'Black-Scholes'!$B$9^2/2)*'Black-Scholes'!$B$7-'Black-Scholes'!$B$9*SQRT('Black-Scholes'!$B$7)*B3856)</f>
        <v>97.0463383763711</v>
      </c>
      <c r="E3856" s="18" t="n">
        <f aca="false">EXP(-'Black-Scholes'!$B$8*'Black-Scholes'!$B$7)*IF(LOWER('Black-Scholes'!$B$11)="put",MAX('Black-Scholes'!$B$6-C3856,0),MAX(C3856-'Black-Scholes'!$B$6,0))</f>
        <v>8.95622055419668</v>
      </c>
      <c r="F3856" s="18" t="n">
        <f aca="false">(E3856+G3856)/2</f>
        <v>4.47811027709834</v>
      </c>
      <c r="G3856" s="18" t="n">
        <f aca="false">EXP(-'Black-Scholes'!$B$8*'Black-Scholes'!$B$7)*IF(LOWER('Black-Scholes'!$B$11)="put",MAX('Black-Scholes'!$B$6-D3856,0),MAX(D3856-'Black-Scholes'!$B$6,0))</f>
        <v>0</v>
      </c>
    </row>
    <row r="3857" customFormat="false" ht="15" hidden="false" customHeight="false" outlineLevel="0" collapsed="false">
      <c r="A3857" s="0" t="n">
        <v>3846</v>
      </c>
      <c r="B3857" s="15" t="n">
        <v>0.111369737336596</v>
      </c>
      <c r="C3857" s="18" t="n">
        <f aca="false">'Black-Scholes'!$B$5*EXP(('Black-Scholes'!$B$8-'Black-Scholes'!$B$10-'Black-Scholes'!$B$9^2/2)*'Black-Scholes'!$B$7+'Black-Scholes'!$B$9*SQRT('Black-Scholes'!$B$7)*B3857)</f>
        <v>105.366435166023</v>
      </c>
      <c r="D3857" s="18" t="n">
        <f aca="false">'Black-Scholes'!$B$5*EXP(('Black-Scholes'!$B$8-'Black-Scholes'!$B$10-'Black-Scholes'!$B$9^2/2)*'Black-Scholes'!$B$7-'Black-Scholes'!$B$9*SQRT('Black-Scholes'!$B$7)*B3857)</f>
        <v>100.775597548902</v>
      </c>
      <c r="E3857" s="18" t="n">
        <f aca="false">EXP(-'Black-Scholes'!$B$8*'Black-Scholes'!$B$7)*IF(LOWER('Black-Scholes'!$B$11)="put",MAX('Black-Scholes'!$B$6-C3857,0),MAX(C3857-'Black-Scholes'!$B$6,0))</f>
        <v>5.10471103459639</v>
      </c>
      <c r="F3857" s="18" t="n">
        <f aca="false">(E3857+G3857)/2</f>
        <v>2.92124112234128</v>
      </c>
      <c r="G3857" s="18" t="n">
        <f aca="false">EXP(-'Black-Scholes'!$B$8*'Black-Scholes'!$B$7)*IF(LOWER('Black-Scholes'!$B$11)="put",MAX('Black-Scholes'!$B$6-D3857,0),MAX(D3857-'Black-Scholes'!$B$6,0))</f>
        <v>0.737771210086172</v>
      </c>
    </row>
    <row r="3858" customFormat="false" ht="15" hidden="false" customHeight="false" outlineLevel="0" collapsed="false">
      <c r="A3858" s="0" t="n">
        <v>3847</v>
      </c>
      <c r="B3858" s="15" t="n">
        <v>1.62332142514858</v>
      </c>
      <c r="C3858" s="18" t="n">
        <f aca="false">'Black-Scholes'!$B$5*EXP(('Black-Scholes'!$B$8-'Black-Scholes'!$B$10-'Black-Scholes'!$B$9^2/2)*'Black-Scholes'!$B$7+'Black-Scholes'!$B$9*SQRT('Black-Scholes'!$B$7)*B3858)</f>
        <v>142.570194444503</v>
      </c>
      <c r="D3858" s="18" t="n">
        <f aca="false">'Black-Scholes'!$B$5*EXP(('Black-Scholes'!$B$8-'Black-Scholes'!$B$10-'Black-Scholes'!$B$9^2/2)*'Black-Scholes'!$B$7-'Black-Scholes'!$B$9*SQRT('Black-Scholes'!$B$7)*B3858)</f>
        <v>74.4781579826413</v>
      </c>
      <c r="E3858" s="18" t="n">
        <f aca="false">EXP(-'Black-Scholes'!$B$8*'Black-Scholes'!$B$7)*IF(LOWER('Black-Scholes'!$B$11)="put",MAX('Black-Scholes'!$B$6-C3858,0),MAX(C3858-'Black-Scholes'!$B$6,0))</f>
        <v>40.4940215623283</v>
      </c>
      <c r="F3858" s="18" t="n">
        <f aca="false">(E3858+G3858)/2</f>
        <v>20.2470107811642</v>
      </c>
      <c r="G3858" s="18" t="n">
        <f aca="false">EXP(-'Black-Scholes'!$B$8*'Black-Scholes'!$B$7)*IF(LOWER('Black-Scholes'!$B$11)="put",MAX('Black-Scholes'!$B$6-D3858,0),MAX(D3858-'Black-Scholes'!$B$6,0))</f>
        <v>0</v>
      </c>
    </row>
    <row r="3859" customFormat="false" ht="15" hidden="false" customHeight="false" outlineLevel="0" collapsed="false">
      <c r="A3859" s="0" t="n">
        <v>3848</v>
      </c>
      <c r="B3859" s="15" t="n">
        <v>-0.473947938259673</v>
      </c>
      <c r="C3859" s="18" t="n">
        <f aca="false">'Black-Scholes'!$B$5*EXP(('Black-Scholes'!$B$8-'Black-Scholes'!$B$10-'Black-Scholes'!$B$9^2/2)*'Black-Scholes'!$B$7+'Black-Scholes'!$B$9*SQRT('Black-Scholes'!$B$7)*B3859)</f>
        <v>93.7264654687684</v>
      </c>
      <c r="D3859" s="18" t="n">
        <f aca="false">'Black-Scholes'!$B$5*EXP(('Black-Scholes'!$B$8-'Black-Scholes'!$B$10-'Black-Scholes'!$B$9^2/2)*'Black-Scholes'!$B$7-'Black-Scholes'!$B$9*SQRT('Black-Scholes'!$B$7)*B3859)</f>
        <v>113.291004972249</v>
      </c>
      <c r="E3859" s="18" t="n">
        <f aca="false">EXP(-'Black-Scholes'!$B$8*'Black-Scholes'!$B$7)*IF(LOWER('Black-Scholes'!$B$11)="put",MAX('Black-Scholes'!$B$6-C3859,0),MAX(C3859-'Black-Scholes'!$B$6,0))</f>
        <v>0</v>
      </c>
      <c r="F3859" s="18" t="n">
        <f aca="false">(E3859+G3859)/2</f>
        <v>6.32139750539443</v>
      </c>
      <c r="G3859" s="18" t="n">
        <f aca="false">EXP(-'Black-Scholes'!$B$8*'Black-Scholes'!$B$7)*IF(LOWER('Black-Scholes'!$B$11)="put",MAX('Black-Scholes'!$B$6-D3859,0),MAX(D3859-'Black-Scholes'!$B$6,0))</f>
        <v>12.6427950107889</v>
      </c>
    </row>
    <row r="3860" customFormat="false" ht="15" hidden="false" customHeight="false" outlineLevel="0" collapsed="false">
      <c r="A3860" s="0" t="n">
        <v>3849</v>
      </c>
      <c r="B3860" s="15" t="n">
        <v>-1.22582037614879</v>
      </c>
      <c r="C3860" s="18" t="n">
        <f aca="false">'Black-Scholes'!$B$5*EXP(('Black-Scholes'!$B$8-'Black-Scholes'!$B$10-'Black-Scholes'!$B$9^2/2)*'Black-Scholes'!$B$7+'Black-Scholes'!$B$9*SQRT('Black-Scholes'!$B$7)*B3860)</f>
        <v>80.640911756095</v>
      </c>
      <c r="D3860" s="18" t="n">
        <f aca="false">'Black-Scholes'!$B$5*EXP(('Black-Scholes'!$B$8-'Black-Scholes'!$B$10-'Black-Scholes'!$B$9^2/2)*'Black-Scholes'!$B$7-'Black-Scholes'!$B$9*SQRT('Black-Scholes'!$B$7)*B3860)</f>
        <v>131.67467026625</v>
      </c>
      <c r="E3860" s="18" t="n">
        <f aca="false">EXP(-'Black-Scholes'!$B$8*'Black-Scholes'!$B$7)*IF(LOWER('Black-Scholes'!$B$11)="put",MAX('Black-Scholes'!$B$6-C3860,0),MAX(C3860-'Black-Scholes'!$B$6,0))</f>
        <v>0</v>
      </c>
      <c r="F3860" s="18" t="n">
        <f aca="false">(E3860+G3860)/2</f>
        <v>15.0649391843076</v>
      </c>
      <c r="G3860" s="18" t="n">
        <f aca="false">EXP(-'Black-Scholes'!$B$8*'Black-Scholes'!$B$7)*IF(LOWER('Black-Scholes'!$B$11)="put",MAX('Black-Scholes'!$B$6-D3860,0),MAX(D3860-'Black-Scholes'!$B$6,0))</f>
        <v>30.1298783686152</v>
      </c>
    </row>
    <row r="3861" customFormat="false" ht="15" hidden="false" customHeight="false" outlineLevel="0" collapsed="false">
      <c r="A3861" s="0" t="n">
        <v>3850</v>
      </c>
      <c r="B3861" s="15" t="n">
        <v>-0.612966425492315</v>
      </c>
      <c r="C3861" s="18" t="n">
        <f aca="false">'Black-Scholes'!$B$5*EXP(('Black-Scholes'!$B$8-'Black-Scholes'!$B$10-'Black-Scholes'!$B$9^2/2)*'Black-Scholes'!$B$7+'Black-Scholes'!$B$9*SQRT('Black-Scholes'!$B$7)*B3861)</f>
        <v>91.1564171644566</v>
      </c>
      <c r="D3861" s="18" t="n">
        <f aca="false">'Black-Scholes'!$B$5*EXP(('Black-Scholes'!$B$8-'Black-Scholes'!$B$10-'Black-Scholes'!$B$9^2/2)*'Black-Scholes'!$B$7-'Black-Scholes'!$B$9*SQRT('Black-Scholes'!$B$7)*B3861)</f>
        <v>116.485112027789</v>
      </c>
      <c r="E3861" s="18" t="n">
        <f aca="false">EXP(-'Black-Scholes'!$B$8*'Black-Scholes'!$B$7)*IF(LOWER('Black-Scholes'!$B$11)="put",MAX('Black-Scholes'!$B$6-C3861,0),MAX(C3861-'Black-Scholes'!$B$6,0))</f>
        <v>0</v>
      </c>
      <c r="F3861" s="18" t="n">
        <f aca="false">(E3861+G3861)/2</f>
        <v>7.84056181351179</v>
      </c>
      <c r="G3861" s="18" t="n">
        <f aca="false">EXP(-'Black-Scholes'!$B$8*'Black-Scholes'!$B$7)*IF(LOWER('Black-Scholes'!$B$11)="put",MAX('Black-Scholes'!$B$6-D3861,0),MAX(D3861-'Black-Scholes'!$B$6,0))</f>
        <v>15.6811236270236</v>
      </c>
    </row>
    <row r="3862" customFormat="false" ht="15" hidden="false" customHeight="false" outlineLevel="0" collapsed="false">
      <c r="A3862" s="0" t="n">
        <v>3851</v>
      </c>
      <c r="B3862" s="15" t="n">
        <v>1.56714470917244</v>
      </c>
      <c r="C3862" s="18" t="n">
        <f aca="false">'Black-Scholes'!$B$5*EXP(('Black-Scholes'!$B$8-'Black-Scholes'!$B$10-'Black-Scholes'!$B$9^2/2)*'Black-Scholes'!$B$7+'Black-Scholes'!$B$9*SQRT('Black-Scholes'!$B$7)*B3862)</f>
        <v>140.977334301609</v>
      </c>
      <c r="D3862" s="18" t="n">
        <f aca="false">'Black-Scholes'!$B$5*EXP(('Black-Scholes'!$B$8-'Black-Scholes'!$B$10-'Black-Scholes'!$B$9^2/2)*'Black-Scholes'!$B$7-'Black-Scholes'!$B$9*SQRT('Black-Scholes'!$B$7)*B3862)</f>
        <v>75.3196641010146</v>
      </c>
      <c r="E3862" s="18" t="n">
        <f aca="false">EXP(-'Black-Scholes'!$B$8*'Black-Scholes'!$B$7)*IF(LOWER('Black-Scholes'!$B$11)="put",MAX('Black-Scholes'!$B$6-C3862,0),MAX(C3862-'Black-Scholes'!$B$6,0))</f>
        <v>38.9788461252925</v>
      </c>
      <c r="F3862" s="18" t="n">
        <f aca="false">(E3862+G3862)/2</f>
        <v>19.4894230626462</v>
      </c>
      <c r="G3862" s="18" t="n">
        <f aca="false">EXP(-'Black-Scholes'!$B$8*'Black-Scholes'!$B$7)*IF(LOWER('Black-Scholes'!$B$11)="put",MAX('Black-Scholes'!$B$6-D3862,0),MAX(D3862-'Black-Scholes'!$B$6,0))</f>
        <v>0</v>
      </c>
    </row>
    <row r="3863" customFormat="false" ht="15" hidden="false" customHeight="false" outlineLevel="0" collapsed="false">
      <c r="A3863" s="0" t="n">
        <v>3852</v>
      </c>
      <c r="B3863" s="15" t="n">
        <v>-0.660313898278699</v>
      </c>
      <c r="C3863" s="18" t="n">
        <f aca="false">'Black-Scholes'!$B$5*EXP(('Black-Scholes'!$B$8-'Black-Scholes'!$B$10-'Black-Scholes'!$B$9^2/2)*'Black-Scholes'!$B$7+'Black-Scholes'!$B$9*SQRT('Black-Scholes'!$B$7)*B3863)</f>
        <v>90.2972861564011</v>
      </c>
      <c r="D3863" s="18" t="n">
        <f aca="false">'Black-Scholes'!$B$5*EXP(('Black-Scholes'!$B$8-'Black-Scholes'!$B$10-'Black-Scholes'!$B$9^2/2)*'Black-Scholes'!$B$7-'Black-Scholes'!$B$9*SQRT('Black-Scholes'!$B$7)*B3863)</f>
        <v>117.59340637394</v>
      </c>
      <c r="E3863" s="18" t="n">
        <f aca="false">EXP(-'Black-Scholes'!$B$8*'Black-Scholes'!$B$7)*IF(LOWER('Black-Scholes'!$B$11)="put",MAX('Black-Scholes'!$B$6-C3863,0),MAX(C3863-'Black-Scholes'!$B$6,0))</f>
        <v>0</v>
      </c>
      <c r="F3863" s="18" t="n">
        <f aca="false">(E3863+G3863)/2</f>
        <v>8.36768291004491</v>
      </c>
      <c r="G3863" s="18" t="n">
        <f aca="false">EXP(-'Black-Scholes'!$B$8*'Black-Scholes'!$B$7)*IF(LOWER('Black-Scholes'!$B$11)="put",MAX('Black-Scholes'!$B$6-D3863,0),MAX(D3863-'Black-Scholes'!$B$6,0))</f>
        <v>16.7353658200898</v>
      </c>
    </row>
    <row r="3864" customFormat="false" ht="15" hidden="false" customHeight="false" outlineLevel="0" collapsed="false">
      <c r="A3864" s="0" t="n">
        <v>3853</v>
      </c>
      <c r="B3864" s="15" t="n">
        <v>-1.07678609093992</v>
      </c>
      <c r="C3864" s="18" t="n">
        <f aca="false">'Black-Scholes'!$B$5*EXP(('Black-Scholes'!$B$8-'Black-Scholes'!$B$10-'Black-Scholes'!$B$9^2/2)*'Black-Scholes'!$B$7+'Black-Scholes'!$B$9*SQRT('Black-Scholes'!$B$7)*B3864)</f>
        <v>83.0807451305972</v>
      </c>
      <c r="D3864" s="18" t="n">
        <f aca="false">'Black-Scholes'!$B$5*EXP(('Black-Scholes'!$B$8-'Black-Scholes'!$B$10-'Black-Scholes'!$B$9^2/2)*'Black-Scholes'!$B$7-'Black-Scholes'!$B$9*SQRT('Black-Scholes'!$B$7)*B3864)</f>
        <v>127.807778430035</v>
      </c>
      <c r="E3864" s="18" t="n">
        <f aca="false">EXP(-'Black-Scholes'!$B$8*'Black-Scholes'!$B$7)*IF(LOWER('Black-Scholes'!$B$11)="put",MAX('Black-Scholes'!$B$6-C3864,0),MAX(C3864-'Black-Scholes'!$B$6,0))</f>
        <v>0</v>
      </c>
      <c r="F3864" s="18" t="n">
        <f aca="false">(E3864+G3864)/2</f>
        <v>13.2257885363229</v>
      </c>
      <c r="G3864" s="18" t="n">
        <f aca="false">EXP(-'Black-Scholes'!$B$8*'Black-Scholes'!$B$7)*IF(LOWER('Black-Scholes'!$B$11)="put",MAX('Black-Scholes'!$B$6-D3864,0),MAX(D3864-'Black-Scholes'!$B$6,0))</f>
        <v>26.4515770726459</v>
      </c>
    </row>
    <row r="3865" customFormat="false" ht="15" hidden="false" customHeight="false" outlineLevel="0" collapsed="false">
      <c r="A3865" s="0" t="n">
        <v>3854</v>
      </c>
      <c r="B3865" s="15" t="n">
        <v>-1.10201649925394</v>
      </c>
      <c r="C3865" s="18" t="n">
        <f aca="false">'Black-Scholes'!$B$5*EXP(('Black-Scholes'!$B$8-'Black-Scholes'!$B$10-'Black-Scholes'!$B$9^2/2)*'Black-Scholes'!$B$7+'Black-Scholes'!$B$9*SQRT('Black-Scholes'!$B$7)*B3865)</f>
        <v>82.6625688691765</v>
      </c>
      <c r="D3865" s="18" t="n">
        <f aca="false">'Black-Scholes'!$B$5*EXP(('Black-Scholes'!$B$8-'Black-Scholes'!$B$10-'Black-Scholes'!$B$9^2/2)*'Black-Scholes'!$B$7-'Black-Scholes'!$B$9*SQRT('Black-Scholes'!$B$7)*B3865)</f>
        <v>128.45433683846</v>
      </c>
      <c r="E3865" s="18" t="n">
        <f aca="false">EXP(-'Black-Scholes'!$B$8*'Black-Scholes'!$B$7)*IF(LOWER('Black-Scholes'!$B$11)="put",MAX('Black-Scholes'!$B$6-C3865,0),MAX(C3865-'Black-Scholes'!$B$6,0))</f>
        <v>0</v>
      </c>
      <c r="F3865" s="18" t="n">
        <f aca="false">(E3865+G3865)/2</f>
        <v>13.5333012276989</v>
      </c>
      <c r="G3865" s="18" t="n">
        <f aca="false">EXP(-'Black-Scholes'!$B$8*'Black-Scholes'!$B$7)*IF(LOWER('Black-Scholes'!$B$11)="put",MAX('Black-Scholes'!$B$6-D3865,0),MAX(D3865-'Black-Scholes'!$B$6,0))</f>
        <v>27.0666024553979</v>
      </c>
    </row>
    <row r="3866" customFormat="false" ht="15" hidden="false" customHeight="false" outlineLevel="0" collapsed="false">
      <c r="A3866" s="0" t="n">
        <v>3855</v>
      </c>
      <c r="B3866" s="15" t="n">
        <v>-1.18160336389206</v>
      </c>
      <c r="C3866" s="18" t="n">
        <f aca="false">'Black-Scholes'!$B$5*EXP(('Black-Scholes'!$B$8-'Black-Scholes'!$B$10-'Black-Scholes'!$B$9^2/2)*'Black-Scholes'!$B$7+'Black-Scholes'!$B$9*SQRT('Black-Scholes'!$B$7)*B3866)</f>
        <v>81.3572144008361</v>
      </c>
      <c r="D3866" s="18" t="n">
        <f aca="false">'Black-Scholes'!$B$5*EXP(('Black-Scholes'!$B$8-'Black-Scholes'!$B$10-'Black-Scholes'!$B$9^2/2)*'Black-Scholes'!$B$7-'Black-Scholes'!$B$9*SQRT('Black-Scholes'!$B$7)*B3866)</f>
        <v>130.515351879408</v>
      </c>
      <c r="E3866" s="18" t="n">
        <f aca="false">EXP(-'Black-Scholes'!$B$8*'Black-Scholes'!$B$7)*IF(LOWER('Black-Scholes'!$B$11)="put",MAX('Black-Scholes'!$B$6-C3866,0),MAX(C3866-'Black-Scholes'!$B$6,0))</f>
        <v>0</v>
      </c>
      <c r="F3866" s="18" t="n">
        <f aca="false">(E3866+G3866)/2</f>
        <v>14.5135503033432</v>
      </c>
      <c r="G3866" s="18" t="n">
        <f aca="false">EXP(-'Black-Scholes'!$B$8*'Black-Scholes'!$B$7)*IF(LOWER('Black-Scholes'!$B$11)="put",MAX('Black-Scholes'!$B$6-D3866,0),MAX(D3866-'Black-Scholes'!$B$6,0))</f>
        <v>29.0271006066864</v>
      </c>
    </row>
    <row r="3867" customFormat="false" ht="15" hidden="false" customHeight="false" outlineLevel="0" collapsed="false">
      <c r="A3867" s="0" t="n">
        <v>3856</v>
      </c>
      <c r="B3867" s="15" t="n">
        <v>0.363862303841392</v>
      </c>
      <c r="C3867" s="18" t="n">
        <f aca="false">'Black-Scholes'!$B$5*EXP(('Black-Scholes'!$B$8-'Black-Scholes'!$B$10-'Black-Scholes'!$B$9^2/2)*'Black-Scholes'!$B$7+'Black-Scholes'!$B$9*SQRT('Black-Scholes'!$B$7)*B3867)</f>
        <v>110.823921248581</v>
      </c>
      <c r="D3867" s="18" t="n">
        <f aca="false">'Black-Scholes'!$B$5*EXP(('Black-Scholes'!$B$8-'Black-Scholes'!$B$10-'Black-Scholes'!$B$9^2/2)*'Black-Scholes'!$B$7-'Black-Scholes'!$B$9*SQRT('Black-Scholes'!$B$7)*B3867)</f>
        <v>95.8129377288166</v>
      </c>
      <c r="E3867" s="18" t="n">
        <f aca="false">EXP(-'Black-Scholes'!$B$8*'Black-Scholes'!$B$7)*IF(LOWER('Black-Scholes'!$B$11)="put",MAX('Black-Scholes'!$B$6-C3867,0),MAX(C3867-'Black-Scholes'!$B$6,0))</f>
        <v>10.2960323801291</v>
      </c>
      <c r="F3867" s="18" t="n">
        <f aca="false">(E3867+G3867)/2</f>
        <v>5.14801619006454</v>
      </c>
      <c r="G3867" s="18" t="n">
        <f aca="false">EXP(-'Black-Scholes'!$B$8*'Black-Scholes'!$B$7)*IF(LOWER('Black-Scholes'!$B$11)="put",MAX('Black-Scholes'!$B$6-D3867,0),MAX(D3867-'Black-Scholes'!$B$6,0))</f>
        <v>0</v>
      </c>
    </row>
    <row r="3868" customFormat="false" ht="15" hidden="false" customHeight="false" outlineLevel="0" collapsed="false">
      <c r="A3868" s="0" t="n">
        <v>3857</v>
      </c>
      <c r="B3868" s="15" t="n">
        <v>-0.197533842444303</v>
      </c>
      <c r="C3868" s="18" t="n">
        <f aca="false">'Black-Scholes'!$B$5*EXP(('Black-Scholes'!$B$8-'Black-Scholes'!$B$10-'Black-Scholes'!$B$9^2/2)*'Black-Scholes'!$B$7+'Black-Scholes'!$B$9*SQRT('Black-Scholes'!$B$7)*B3868)</f>
        <v>99.053827797291</v>
      </c>
      <c r="D3868" s="18" t="n">
        <f aca="false">'Black-Scholes'!$B$5*EXP(('Black-Scholes'!$B$8-'Black-Scholes'!$B$10-'Black-Scholes'!$B$9^2/2)*'Black-Scholes'!$B$7-'Black-Scholes'!$B$9*SQRT('Black-Scholes'!$B$7)*B3868)</f>
        <v>107.197931686028</v>
      </c>
      <c r="E3868" s="18" t="n">
        <f aca="false">EXP(-'Black-Scholes'!$B$8*'Black-Scholes'!$B$7)*IF(LOWER('Black-Scholes'!$B$11)="put",MAX('Black-Scholes'!$B$6-C3868,0),MAX(C3868-'Black-Scholes'!$B$6,0))</f>
        <v>0</v>
      </c>
      <c r="F3868" s="18" t="n">
        <f aca="false">(E3868+G3868)/2</f>
        <v>3.42344220764797</v>
      </c>
      <c r="G3868" s="18" t="n">
        <f aca="false">EXP(-'Black-Scholes'!$B$8*'Black-Scholes'!$B$7)*IF(LOWER('Black-Scholes'!$B$11)="put",MAX('Black-Scholes'!$B$6-D3868,0),MAX(D3868-'Black-Scholes'!$B$6,0))</f>
        <v>6.84688441529595</v>
      </c>
    </row>
    <row r="3869" customFormat="false" ht="15" hidden="false" customHeight="false" outlineLevel="0" collapsed="false">
      <c r="A3869" s="0" t="n">
        <v>3858</v>
      </c>
      <c r="B3869" s="15" t="n">
        <v>-0.948012993198528</v>
      </c>
      <c r="C3869" s="18" t="n">
        <f aca="false">'Black-Scholes'!$B$5*EXP(('Black-Scholes'!$B$8-'Black-Scholes'!$B$10-'Black-Scholes'!$B$9^2/2)*'Black-Scholes'!$B$7+'Black-Scholes'!$B$9*SQRT('Black-Scholes'!$B$7)*B3869)</f>
        <v>85.2482499364642</v>
      </c>
      <c r="D3869" s="18" t="n">
        <f aca="false">'Black-Scholes'!$B$5*EXP(('Black-Scholes'!$B$8-'Black-Scholes'!$B$10-'Black-Scholes'!$B$9^2/2)*'Black-Scholes'!$B$7-'Black-Scholes'!$B$9*SQRT('Black-Scholes'!$B$7)*B3869)</f>
        <v>124.558163638169</v>
      </c>
      <c r="E3869" s="18" t="n">
        <f aca="false">EXP(-'Black-Scholes'!$B$8*'Black-Scholes'!$B$7)*IF(LOWER('Black-Scholes'!$B$11)="put",MAX('Black-Scholes'!$B$6-C3869,0),MAX(C3869-'Black-Scholes'!$B$6,0))</f>
        <v>0</v>
      </c>
      <c r="F3869" s="18" t="n">
        <f aca="false">(E3869+G3869)/2</f>
        <v>11.6802239321647</v>
      </c>
      <c r="G3869" s="18" t="n">
        <f aca="false">EXP(-'Black-Scholes'!$B$8*'Black-Scholes'!$B$7)*IF(LOWER('Black-Scholes'!$B$11)="put",MAX('Black-Scholes'!$B$6-D3869,0),MAX(D3869-'Black-Scholes'!$B$6,0))</f>
        <v>23.3604478643294</v>
      </c>
    </row>
    <row r="3870" customFormat="false" ht="15" hidden="false" customHeight="false" outlineLevel="0" collapsed="false">
      <c r="A3870" s="0" t="n">
        <v>3859</v>
      </c>
      <c r="B3870" s="15" t="n">
        <v>0.298685966237747</v>
      </c>
      <c r="C3870" s="18" t="n">
        <f aca="false">'Black-Scholes'!$B$5*EXP(('Black-Scholes'!$B$8-'Black-Scholes'!$B$10-'Black-Scholes'!$B$9^2/2)*'Black-Scholes'!$B$7+'Black-Scholes'!$B$9*SQRT('Black-Scholes'!$B$7)*B3870)</f>
        <v>109.388676509767</v>
      </c>
      <c r="D3870" s="18" t="n">
        <f aca="false">'Black-Scholes'!$B$5*EXP(('Black-Scholes'!$B$8-'Black-Scholes'!$B$10-'Black-Scholes'!$B$9^2/2)*'Black-Scholes'!$B$7-'Black-Scholes'!$B$9*SQRT('Black-Scholes'!$B$7)*B3870)</f>
        <v>97.0700606703616</v>
      </c>
      <c r="E3870" s="18" t="n">
        <f aca="false">EXP(-'Black-Scholes'!$B$8*'Black-Scholes'!$B$7)*IF(LOWER('Black-Scholes'!$B$11)="put",MAX('Black-Scholes'!$B$6-C3870,0),MAX(C3870-'Black-Scholes'!$B$6,0))</f>
        <v>8.93078535320861</v>
      </c>
      <c r="F3870" s="18" t="n">
        <f aca="false">(E3870+G3870)/2</f>
        <v>4.46539267660431</v>
      </c>
      <c r="G3870" s="18" t="n">
        <f aca="false">EXP(-'Black-Scholes'!$B$8*'Black-Scholes'!$B$7)*IF(LOWER('Black-Scholes'!$B$11)="put",MAX('Black-Scholes'!$B$6-D3870,0),MAX(D3870-'Black-Scholes'!$B$6,0))</f>
        <v>0</v>
      </c>
    </row>
    <row r="3871" customFormat="false" ht="15" hidden="false" customHeight="false" outlineLevel="0" collapsed="false">
      <c r="A3871" s="0" t="n">
        <v>3860</v>
      </c>
      <c r="B3871" s="15" t="n">
        <v>-0.563350785606479</v>
      </c>
      <c r="C3871" s="18" t="n">
        <f aca="false">'Black-Scholes'!$B$5*EXP(('Black-Scholes'!$B$8-'Black-Scholes'!$B$10-'Black-Scholes'!$B$9^2/2)*'Black-Scholes'!$B$7+'Black-Scholes'!$B$9*SQRT('Black-Scholes'!$B$7)*B3871)</f>
        <v>92.0654768562859</v>
      </c>
      <c r="D3871" s="18" t="n">
        <f aca="false">'Black-Scholes'!$B$5*EXP(('Black-Scholes'!$B$8-'Black-Scholes'!$B$10-'Black-Scholes'!$B$9^2/2)*'Black-Scholes'!$B$7-'Black-Scholes'!$B$9*SQRT('Black-Scholes'!$B$7)*B3871)</f>
        <v>115.334931486086</v>
      </c>
      <c r="E3871" s="18" t="n">
        <f aca="false">EXP(-'Black-Scholes'!$B$8*'Black-Scholes'!$B$7)*IF(LOWER('Black-Scholes'!$B$11)="put",MAX('Black-Scholes'!$B$6-C3871,0),MAX(C3871-'Black-Scholes'!$B$6,0))</f>
        <v>0</v>
      </c>
      <c r="F3871" s="18" t="n">
        <f aca="false">(E3871+G3871)/2</f>
        <v>7.29351902613388</v>
      </c>
      <c r="G3871" s="18" t="n">
        <f aca="false">EXP(-'Black-Scholes'!$B$8*'Black-Scholes'!$B$7)*IF(LOWER('Black-Scholes'!$B$11)="put",MAX('Black-Scholes'!$B$6-D3871,0),MAX(D3871-'Black-Scholes'!$B$6,0))</f>
        <v>14.5870380522678</v>
      </c>
    </row>
    <row r="3872" customFormat="false" ht="15" hidden="false" customHeight="false" outlineLevel="0" collapsed="false">
      <c r="A3872" s="0" t="n">
        <v>3861</v>
      </c>
      <c r="B3872" s="15" t="n">
        <v>1.05605402634012</v>
      </c>
      <c r="C3872" s="18" t="n">
        <f aca="false">'Black-Scholes'!$B$5*EXP(('Black-Scholes'!$B$8-'Black-Scholes'!$B$10-'Black-Scholes'!$B$9^2/2)*'Black-Scholes'!$B$7+'Black-Scholes'!$B$9*SQRT('Black-Scholes'!$B$7)*B3872)</f>
        <v>127.278931772282</v>
      </c>
      <c r="D3872" s="18" t="n">
        <f aca="false">'Black-Scholes'!$B$5*EXP(('Black-Scholes'!$B$8-'Black-Scholes'!$B$10-'Black-Scholes'!$B$9^2/2)*'Black-Scholes'!$B$7-'Black-Scholes'!$B$9*SQRT('Black-Scholes'!$B$7)*B3872)</f>
        <v>83.4259473865728</v>
      </c>
      <c r="E3872" s="18" t="n">
        <f aca="false">EXP(-'Black-Scholes'!$B$8*'Black-Scholes'!$B$7)*IF(LOWER('Black-Scholes'!$B$11)="put",MAX('Black-Scholes'!$B$6-C3872,0),MAX(C3872-'Black-Scholes'!$B$6,0))</f>
        <v>25.9485225707422</v>
      </c>
      <c r="F3872" s="18" t="n">
        <f aca="false">(E3872+G3872)/2</f>
        <v>12.9742612853711</v>
      </c>
      <c r="G3872" s="18" t="n">
        <f aca="false">EXP(-'Black-Scholes'!$B$8*'Black-Scholes'!$B$7)*IF(LOWER('Black-Scholes'!$B$11)="put",MAX('Black-Scholes'!$B$6-D3872,0),MAX(D3872-'Black-Scholes'!$B$6,0))</f>
        <v>0</v>
      </c>
    </row>
    <row r="3873" customFormat="false" ht="15" hidden="false" customHeight="false" outlineLevel="0" collapsed="false">
      <c r="A3873" s="0" t="n">
        <v>3862</v>
      </c>
      <c r="B3873" s="15" t="n">
        <v>1.02385367611908</v>
      </c>
      <c r="C3873" s="18" t="n">
        <f aca="false">'Black-Scholes'!$B$5*EXP(('Black-Scholes'!$B$8-'Black-Scholes'!$B$10-'Black-Scholes'!$B$9^2/2)*'Black-Scholes'!$B$7+'Black-Scholes'!$B$9*SQRT('Black-Scholes'!$B$7)*B3873)</f>
        <v>126.461880294788</v>
      </c>
      <c r="D3873" s="18" t="n">
        <f aca="false">'Black-Scholes'!$B$5*EXP(('Black-Scholes'!$B$8-'Black-Scholes'!$B$10-'Black-Scholes'!$B$9^2/2)*'Black-Scholes'!$B$7-'Black-Scholes'!$B$9*SQRT('Black-Scholes'!$B$7)*B3873)</f>
        <v>83.9649500758787</v>
      </c>
      <c r="E3873" s="18" t="n">
        <f aca="false">EXP(-'Black-Scholes'!$B$8*'Black-Scholes'!$B$7)*IF(LOWER('Black-Scholes'!$B$11)="put",MAX('Black-Scholes'!$B$6-C3873,0),MAX(C3873-'Black-Scholes'!$B$6,0))</f>
        <v>25.1713191640177</v>
      </c>
      <c r="F3873" s="18" t="n">
        <f aca="false">(E3873+G3873)/2</f>
        <v>12.5856595820088</v>
      </c>
      <c r="G3873" s="18" t="n">
        <f aca="false">EXP(-'Black-Scholes'!$B$8*'Black-Scholes'!$B$7)*IF(LOWER('Black-Scholes'!$B$11)="put",MAX('Black-Scholes'!$B$6-D3873,0),MAX(D3873-'Black-Scholes'!$B$6,0))</f>
        <v>0</v>
      </c>
    </row>
    <row r="3874" customFormat="false" ht="15" hidden="false" customHeight="false" outlineLevel="0" collapsed="false">
      <c r="A3874" s="0" t="n">
        <v>3863</v>
      </c>
      <c r="B3874" s="15" t="n">
        <v>0.289196014569007</v>
      </c>
      <c r="C3874" s="18" t="n">
        <f aca="false">'Black-Scholes'!$B$5*EXP(('Black-Scholes'!$B$8-'Black-Scholes'!$B$10-'Black-Scholes'!$B$9^2/2)*'Black-Scholes'!$B$7+'Black-Scholes'!$B$9*SQRT('Black-Scholes'!$B$7)*B3874)</f>
        <v>109.181254763632</v>
      </c>
      <c r="D3874" s="18" t="n">
        <f aca="false">'Black-Scholes'!$B$5*EXP(('Black-Scholes'!$B$8-'Black-Scholes'!$B$10-'Black-Scholes'!$B$9^2/2)*'Black-Scholes'!$B$7-'Black-Scholes'!$B$9*SQRT('Black-Scholes'!$B$7)*B3874)</f>
        <v>97.2544736588848</v>
      </c>
      <c r="E3874" s="18" t="n">
        <f aca="false">EXP(-'Black-Scholes'!$B$8*'Black-Scholes'!$B$7)*IF(LOWER('Black-Scholes'!$B$11)="put",MAX('Black-Scholes'!$B$6-C3874,0),MAX(C3874-'Black-Scholes'!$B$6,0))</f>
        <v>8.73347968500367</v>
      </c>
      <c r="F3874" s="18" t="n">
        <f aca="false">(E3874+G3874)/2</f>
        <v>4.36673984250184</v>
      </c>
      <c r="G3874" s="18" t="n">
        <f aca="false">EXP(-'Black-Scholes'!$B$8*'Black-Scholes'!$B$7)*IF(LOWER('Black-Scholes'!$B$11)="put",MAX('Black-Scholes'!$B$6-D3874,0),MAX(D3874-'Black-Scholes'!$B$6,0))</f>
        <v>0</v>
      </c>
    </row>
    <row r="3875" customFormat="false" ht="15" hidden="false" customHeight="false" outlineLevel="0" collapsed="false">
      <c r="A3875" s="0" t="n">
        <v>3864</v>
      </c>
      <c r="B3875" s="15" t="n">
        <v>0.975467824062182</v>
      </c>
      <c r="C3875" s="18" t="n">
        <f aca="false">'Black-Scholes'!$B$5*EXP(('Black-Scholes'!$B$8-'Black-Scholes'!$B$10-'Black-Scholes'!$B$9^2/2)*'Black-Scholes'!$B$7+'Black-Scholes'!$B$9*SQRT('Black-Scholes'!$B$7)*B3875)</f>
        <v>125.243989501374</v>
      </c>
      <c r="D3875" s="18" t="n">
        <f aca="false">'Black-Scholes'!$B$5*EXP(('Black-Scholes'!$B$8-'Black-Scholes'!$B$10-'Black-Scholes'!$B$9^2/2)*'Black-Scholes'!$B$7-'Black-Scholes'!$B$9*SQRT('Black-Scholes'!$B$7)*B3875)</f>
        <v>84.78143747838</v>
      </c>
      <c r="E3875" s="18" t="n">
        <f aca="false">EXP(-'Black-Scholes'!$B$8*'Black-Scholes'!$B$7)*IF(LOWER('Black-Scholes'!$B$11)="put",MAX('Black-Scholes'!$B$6-C3875,0),MAX(C3875-'Black-Scholes'!$B$6,0))</f>
        <v>24.0128256054937</v>
      </c>
      <c r="F3875" s="18" t="n">
        <f aca="false">(E3875+G3875)/2</f>
        <v>12.0064128027469</v>
      </c>
      <c r="G3875" s="18" t="n">
        <f aca="false">EXP(-'Black-Scholes'!$B$8*'Black-Scholes'!$B$7)*IF(LOWER('Black-Scholes'!$B$11)="put",MAX('Black-Scholes'!$B$6-D3875,0),MAX(D3875-'Black-Scholes'!$B$6,0))</f>
        <v>0</v>
      </c>
    </row>
    <row r="3876" customFormat="false" ht="15" hidden="false" customHeight="false" outlineLevel="0" collapsed="false">
      <c r="A3876" s="0" t="n">
        <v>3865</v>
      </c>
      <c r="B3876" s="15" t="n">
        <v>-1.41735542930626</v>
      </c>
      <c r="C3876" s="18" t="n">
        <f aca="false">'Black-Scholes'!$B$5*EXP(('Black-Scholes'!$B$8-'Black-Scholes'!$B$10-'Black-Scholes'!$B$9^2/2)*'Black-Scholes'!$B$7+'Black-Scholes'!$B$9*SQRT('Black-Scholes'!$B$7)*B3876)</f>
        <v>77.6102184926977</v>
      </c>
      <c r="D3876" s="18" t="n">
        <f aca="false">'Black-Scholes'!$B$5*EXP(('Black-Scholes'!$B$8-'Black-Scholes'!$B$10-'Black-Scholes'!$B$9^2/2)*'Black-Scholes'!$B$7-'Black-Scholes'!$B$9*SQRT('Black-Scholes'!$B$7)*B3876)</f>
        <v>136.816590285114</v>
      </c>
      <c r="E3876" s="18" t="n">
        <f aca="false">EXP(-'Black-Scholes'!$B$8*'Black-Scholes'!$B$7)*IF(LOWER('Black-Scholes'!$B$11)="put",MAX('Black-Scholes'!$B$6-C3876,0),MAX(C3876-'Black-Scholes'!$B$6,0))</f>
        <v>0</v>
      </c>
      <c r="F3876" s="18" t="n">
        <f aca="false">(E3876+G3876)/2</f>
        <v>17.5105119944938</v>
      </c>
      <c r="G3876" s="18" t="n">
        <f aca="false">EXP(-'Black-Scholes'!$B$8*'Black-Scholes'!$B$7)*IF(LOWER('Black-Scholes'!$B$11)="put",MAX('Black-Scholes'!$B$6-D3876,0),MAX(D3876-'Black-Scholes'!$B$6,0))</f>
        <v>35.0210239889876</v>
      </c>
    </row>
    <row r="3877" customFormat="false" ht="15" hidden="false" customHeight="false" outlineLevel="0" collapsed="false">
      <c r="A3877" s="0" t="n">
        <v>3866</v>
      </c>
      <c r="B3877" s="15" t="n">
        <v>0.867057439902768</v>
      </c>
      <c r="C3877" s="18" t="n">
        <f aca="false">'Black-Scholes'!$B$5*EXP(('Black-Scholes'!$B$8-'Black-Scholes'!$B$10-'Black-Scholes'!$B$9^2/2)*'Black-Scholes'!$B$7+'Black-Scholes'!$B$9*SQRT('Black-Scholes'!$B$7)*B3877)</f>
        <v>122.55766745738</v>
      </c>
      <c r="D3877" s="18" t="n">
        <f aca="false">'Black-Scholes'!$B$5*EXP(('Black-Scholes'!$B$8-'Black-Scholes'!$B$10-'Black-Scholes'!$B$9^2/2)*'Black-Scholes'!$B$7-'Black-Scholes'!$B$9*SQRT('Black-Scholes'!$B$7)*B3877)</f>
        <v>86.63974833844</v>
      </c>
      <c r="E3877" s="18" t="n">
        <f aca="false">EXP(-'Black-Scholes'!$B$8*'Black-Scholes'!$B$7)*IF(LOWER('Black-Scholes'!$B$11)="put",MAX('Black-Scholes'!$B$6-C3877,0),MAX(C3877-'Black-Scholes'!$B$6,0))</f>
        <v>21.4575170335618</v>
      </c>
      <c r="F3877" s="18" t="n">
        <f aca="false">(E3877+G3877)/2</f>
        <v>10.7287585167809</v>
      </c>
      <c r="G3877" s="18" t="n">
        <f aca="false">EXP(-'Black-Scholes'!$B$8*'Black-Scholes'!$B$7)*IF(LOWER('Black-Scholes'!$B$11)="put",MAX('Black-Scholes'!$B$6-D3877,0),MAX(D3877-'Black-Scholes'!$B$6,0))</f>
        <v>0</v>
      </c>
    </row>
    <row r="3878" customFormat="false" ht="15" hidden="false" customHeight="false" outlineLevel="0" collapsed="false">
      <c r="A3878" s="0" t="n">
        <v>3867</v>
      </c>
      <c r="B3878" s="15" t="n">
        <v>0.14291477180921</v>
      </c>
      <c r="C3878" s="18" t="n">
        <f aca="false">'Black-Scholes'!$B$5*EXP(('Black-Scholes'!$B$8-'Black-Scholes'!$B$10-'Black-Scholes'!$B$9^2/2)*'Black-Scholes'!$B$7+'Black-Scholes'!$B$9*SQRT('Black-Scholes'!$B$7)*B3878)</f>
        <v>106.033294128888</v>
      </c>
      <c r="D3878" s="18" t="n">
        <f aca="false">'Black-Scholes'!$B$5*EXP(('Black-Scholes'!$B$8-'Black-Scholes'!$B$10-'Black-Scholes'!$B$9^2/2)*'Black-Scholes'!$B$7-'Black-Scholes'!$B$9*SQRT('Black-Scholes'!$B$7)*B3878)</f>
        <v>100.141805012174</v>
      </c>
      <c r="E3878" s="18" t="n">
        <f aca="false">EXP(-'Black-Scholes'!$B$8*'Black-Scholes'!$B$7)*IF(LOWER('Black-Scholes'!$B$11)="put",MAX('Black-Scholes'!$B$6-C3878,0),MAX(C3878-'Black-Scholes'!$B$6,0))</f>
        <v>5.73904690206582</v>
      </c>
      <c r="F3878" s="18" t="n">
        <f aca="false">(E3878+G3878)/2</f>
        <v>2.93696800109364</v>
      </c>
      <c r="G3878" s="18" t="n">
        <f aca="false">EXP(-'Black-Scholes'!$B$8*'Black-Scholes'!$B$7)*IF(LOWER('Black-Scholes'!$B$11)="put",MAX('Black-Scholes'!$B$6-D3878,0),MAX(D3878-'Black-Scholes'!$B$6,0))</f>
        <v>0.134889100121459</v>
      </c>
    </row>
    <row r="3879" customFormat="false" ht="15" hidden="false" customHeight="false" outlineLevel="0" collapsed="false">
      <c r="A3879" s="0" t="n">
        <v>3868</v>
      </c>
      <c r="B3879" s="15" t="n">
        <v>0.33973780092679</v>
      </c>
      <c r="C3879" s="18" t="n">
        <f aca="false">'Black-Scholes'!$B$5*EXP(('Black-Scholes'!$B$8-'Black-Scholes'!$B$10-'Black-Scholes'!$B$9^2/2)*'Black-Scholes'!$B$7+'Black-Scholes'!$B$9*SQRT('Black-Scholes'!$B$7)*B3879)</f>
        <v>110.290494746101</v>
      </c>
      <c r="D3879" s="18" t="n">
        <f aca="false">'Black-Scholes'!$B$5*EXP(('Black-Scholes'!$B$8-'Black-Scholes'!$B$10-'Black-Scholes'!$B$9^2/2)*'Black-Scholes'!$B$7-'Black-Scholes'!$B$9*SQRT('Black-Scholes'!$B$7)*B3879)</f>
        <v>96.2763426703095</v>
      </c>
      <c r="E3879" s="18" t="n">
        <f aca="false">EXP(-'Black-Scholes'!$B$8*'Black-Scholes'!$B$7)*IF(LOWER('Black-Scholes'!$B$11)="put",MAX('Black-Scholes'!$B$6-C3879,0),MAX(C3879-'Black-Scholes'!$B$6,0))</f>
        <v>9.78862139516133</v>
      </c>
      <c r="F3879" s="18" t="n">
        <f aca="false">(E3879+G3879)/2</f>
        <v>4.89431069758067</v>
      </c>
      <c r="G3879" s="18" t="n">
        <f aca="false">EXP(-'Black-Scholes'!$B$8*'Black-Scholes'!$B$7)*IF(LOWER('Black-Scholes'!$B$11)="put",MAX('Black-Scholes'!$B$6-D3879,0),MAX(D3879-'Black-Scholes'!$B$6,0))</f>
        <v>0</v>
      </c>
    </row>
    <row r="3880" customFormat="false" ht="15" hidden="false" customHeight="false" outlineLevel="0" collapsed="false">
      <c r="A3880" s="0" t="n">
        <v>3869</v>
      </c>
      <c r="B3880" s="15" t="n">
        <v>0.345868797307599</v>
      </c>
      <c r="C3880" s="18" t="n">
        <f aca="false">'Black-Scholes'!$B$5*EXP(('Black-Scholes'!$B$8-'Black-Scholes'!$B$10-'Black-Scholes'!$B$9^2/2)*'Black-Scholes'!$B$7+'Black-Scholes'!$B$9*SQRT('Black-Scholes'!$B$7)*B3880)</f>
        <v>110.425815819272</v>
      </c>
      <c r="D3880" s="18" t="n">
        <f aca="false">'Black-Scholes'!$B$5*EXP(('Black-Scholes'!$B$8-'Black-Scholes'!$B$10-'Black-Scholes'!$B$9^2/2)*'Black-Scholes'!$B$7-'Black-Scholes'!$B$9*SQRT('Black-Scholes'!$B$7)*B3880)</f>
        <v>96.1583610378946</v>
      </c>
      <c r="E3880" s="18" t="n">
        <f aca="false">EXP(-'Black-Scholes'!$B$8*'Black-Scholes'!$B$7)*IF(LOWER('Black-Scholes'!$B$11)="put",MAX('Black-Scholes'!$B$6-C3880,0),MAX(C3880-'Black-Scholes'!$B$6,0))</f>
        <v>9.91734278171647</v>
      </c>
      <c r="F3880" s="18" t="n">
        <f aca="false">(E3880+G3880)/2</f>
        <v>4.95867139085823</v>
      </c>
      <c r="G3880" s="18" t="n">
        <f aca="false">EXP(-'Black-Scholes'!$B$8*'Black-Scholes'!$B$7)*IF(LOWER('Black-Scholes'!$B$11)="put",MAX('Black-Scholes'!$B$6-D3880,0),MAX(D3880-'Black-Scholes'!$B$6,0))</f>
        <v>0</v>
      </c>
    </row>
    <row r="3881" customFormat="false" ht="15" hidden="false" customHeight="false" outlineLevel="0" collapsed="false">
      <c r="A3881" s="0" t="n">
        <v>3870</v>
      </c>
      <c r="B3881" s="15" t="n">
        <v>-1.76906393533063</v>
      </c>
      <c r="C3881" s="18" t="n">
        <f aca="false">'Black-Scholes'!$B$5*EXP(('Black-Scholes'!$B$8-'Black-Scholes'!$B$10-'Black-Scholes'!$B$9^2/2)*'Black-Scholes'!$B$7+'Black-Scholes'!$B$9*SQRT('Black-Scholes'!$B$7)*B3881)</f>
        <v>72.3385656854919</v>
      </c>
      <c r="D3881" s="18" t="n">
        <f aca="false">'Black-Scholes'!$B$5*EXP(('Black-Scholes'!$B$8-'Black-Scholes'!$B$10-'Black-Scholes'!$B$9^2/2)*'Black-Scholes'!$B$7-'Black-Scholes'!$B$9*SQRT('Black-Scholes'!$B$7)*B3881)</f>
        <v>146.787061159318</v>
      </c>
      <c r="E3881" s="18" t="n">
        <f aca="false">EXP(-'Black-Scholes'!$B$8*'Black-Scholes'!$B$7)*IF(LOWER('Black-Scholes'!$B$11)="put",MAX('Black-Scholes'!$B$6-C3881,0),MAX(C3881-'Black-Scholes'!$B$6,0))</f>
        <v>0</v>
      </c>
      <c r="F3881" s="18" t="n">
        <f aca="false">(E3881+G3881)/2</f>
        <v>22.2526146303286</v>
      </c>
      <c r="G3881" s="18" t="n">
        <f aca="false">EXP(-'Black-Scholes'!$B$8*'Black-Scholes'!$B$7)*IF(LOWER('Black-Scholes'!$B$11)="put",MAX('Black-Scholes'!$B$6-D3881,0),MAX(D3881-'Black-Scholes'!$B$6,0))</f>
        <v>44.5052292606573</v>
      </c>
    </row>
    <row r="3882" customFormat="false" ht="15" hidden="false" customHeight="false" outlineLevel="0" collapsed="false">
      <c r="A3882" s="0" t="n">
        <v>3871</v>
      </c>
      <c r="B3882" s="15" t="n">
        <v>0.451888756855153</v>
      </c>
      <c r="C3882" s="18" t="n">
        <f aca="false">'Black-Scholes'!$B$5*EXP(('Black-Scholes'!$B$8-'Black-Scholes'!$B$10-'Black-Scholes'!$B$9^2/2)*'Black-Scholes'!$B$7+'Black-Scholes'!$B$9*SQRT('Black-Scholes'!$B$7)*B3882)</f>
        <v>112.792284551572</v>
      </c>
      <c r="D3882" s="18" t="n">
        <f aca="false">'Black-Scholes'!$B$5*EXP(('Black-Scholes'!$B$8-'Black-Scholes'!$B$10-'Black-Scholes'!$B$9^2/2)*'Black-Scholes'!$B$7-'Black-Scholes'!$B$9*SQRT('Black-Scholes'!$B$7)*B3882)</f>
        <v>94.1408847925102</v>
      </c>
      <c r="E3882" s="18" t="n">
        <f aca="false">EXP(-'Black-Scholes'!$B$8*'Black-Scholes'!$B$7)*IF(LOWER('Black-Scholes'!$B$11)="put",MAX('Black-Scholes'!$B$6-C3882,0),MAX(C3882-'Black-Scholes'!$B$6,0))</f>
        <v>12.1683974720415</v>
      </c>
      <c r="F3882" s="18" t="n">
        <f aca="false">(E3882+G3882)/2</f>
        <v>6.08419873602077</v>
      </c>
      <c r="G3882" s="18" t="n">
        <f aca="false">EXP(-'Black-Scholes'!$B$8*'Black-Scholes'!$B$7)*IF(LOWER('Black-Scholes'!$B$11)="put",MAX('Black-Scholes'!$B$6-D3882,0),MAX(D3882-'Black-Scholes'!$B$6,0))</f>
        <v>0</v>
      </c>
    </row>
    <row r="3883" customFormat="false" ht="15" hidden="false" customHeight="false" outlineLevel="0" collapsed="false">
      <c r="A3883" s="0" t="n">
        <v>3872</v>
      </c>
      <c r="B3883" s="15" t="n">
        <v>-0.509253624727348</v>
      </c>
      <c r="C3883" s="18" t="n">
        <f aca="false">'Black-Scholes'!$B$5*EXP(('Black-Scholes'!$B$8-'Black-Scholes'!$B$10-'Black-Scholes'!$B$9^2/2)*'Black-Scholes'!$B$7+'Black-Scholes'!$B$9*SQRT('Black-Scholes'!$B$7)*B3883)</f>
        <v>93.0669811229466</v>
      </c>
      <c r="D3883" s="18" t="n">
        <f aca="false">'Black-Scholes'!$B$5*EXP(('Black-Scholes'!$B$8-'Black-Scholes'!$B$10-'Black-Scholes'!$B$9^2/2)*'Black-Scholes'!$B$7-'Black-Scholes'!$B$9*SQRT('Black-Scholes'!$B$7)*B3883)</f>
        <v>114.09379929737</v>
      </c>
      <c r="E3883" s="18" t="n">
        <f aca="false">EXP(-'Black-Scholes'!$B$8*'Black-Scholes'!$B$7)*IF(LOWER('Black-Scholes'!$B$11)="put",MAX('Black-Scholes'!$B$6-C3883,0),MAX(C3883-'Black-Scholes'!$B$6,0))</f>
        <v>0</v>
      </c>
      <c r="F3883" s="18" t="n">
        <f aca="false">(E3883+G3883)/2</f>
        <v>6.70321829733296</v>
      </c>
      <c r="G3883" s="18" t="n">
        <f aca="false">EXP(-'Black-Scholes'!$B$8*'Black-Scholes'!$B$7)*IF(LOWER('Black-Scholes'!$B$11)="put",MAX('Black-Scholes'!$B$6-D3883,0),MAX(D3883-'Black-Scholes'!$B$6,0))</f>
        <v>13.4064365946659</v>
      </c>
    </row>
    <row r="3884" customFormat="false" ht="15" hidden="false" customHeight="false" outlineLevel="0" collapsed="false">
      <c r="A3884" s="0" t="n">
        <v>3873</v>
      </c>
      <c r="B3884" s="15" t="n">
        <v>1.86196805776455</v>
      </c>
      <c r="C3884" s="18" t="n">
        <f aca="false">'Black-Scholes'!$B$5*EXP(('Black-Scholes'!$B$8-'Black-Scholes'!$B$10-'Black-Scholes'!$B$9^2/2)*'Black-Scholes'!$B$7+'Black-Scholes'!$B$9*SQRT('Black-Scholes'!$B$7)*B3884)</f>
        <v>149.53998234968</v>
      </c>
      <c r="D3884" s="18" t="n">
        <f aca="false">'Black-Scholes'!$B$5*EXP(('Black-Scholes'!$B$8-'Black-Scholes'!$B$10-'Black-Scholes'!$B$9^2/2)*'Black-Scholes'!$B$7-'Black-Scholes'!$B$9*SQRT('Black-Scholes'!$B$7)*B3884)</f>
        <v>71.0068658469139</v>
      </c>
      <c r="E3884" s="18" t="n">
        <f aca="false">EXP(-'Black-Scholes'!$B$8*'Black-Scholes'!$B$7)*IF(LOWER('Black-Scholes'!$B$11)="put",MAX('Black-Scholes'!$B$6-C3884,0),MAX(C3884-'Black-Scholes'!$B$6,0))</f>
        <v>47.1238889002615</v>
      </c>
      <c r="F3884" s="18" t="n">
        <f aca="false">(E3884+G3884)/2</f>
        <v>23.5619444501308</v>
      </c>
      <c r="G3884" s="18" t="n">
        <f aca="false">EXP(-'Black-Scholes'!$B$8*'Black-Scholes'!$B$7)*IF(LOWER('Black-Scholes'!$B$11)="put",MAX('Black-Scholes'!$B$6-D3884,0),MAX(D3884-'Black-Scholes'!$B$6,0))</f>
        <v>0</v>
      </c>
    </row>
    <row r="3885" customFormat="false" ht="15" hidden="false" customHeight="false" outlineLevel="0" collapsed="false">
      <c r="A3885" s="0" t="n">
        <v>3874</v>
      </c>
      <c r="B3885" s="15" t="n">
        <v>1.40087017265865</v>
      </c>
      <c r="C3885" s="18" t="n">
        <f aca="false">'Black-Scholes'!$B$5*EXP(('Black-Scholes'!$B$8-'Black-Scholes'!$B$10-'Black-Scholes'!$B$9^2/2)*'Black-Scholes'!$B$7+'Black-Scholes'!$B$9*SQRT('Black-Scholes'!$B$7)*B3885)</f>
        <v>136.366241783238</v>
      </c>
      <c r="D3885" s="18" t="n">
        <f aca="false">'Black-Scholes'!$B$5*EXP(('Black-Scholes'!$B$8-'Black-Scholes'!$B$10-'Black-Scholes'!$B$9^2/2)*'Black-Scholes'!$B$7-'Black-Scholes'!$B$9*SQRT('Black-Scholes'!$B$7)*B3885)</f>
        <v>77.8665256635295</v>
      </c>
      <c r="E3885" s="18" t="n">
        <f aca="false">EXP(-'Black-Scholes'!$B$8*'Black-Scholes'!$B$7)*IF(LOWER('Black-Scholes'!$B$11)="put",MAX('Black-Scholes'!$B$6-C3885,0),MAX(C3885-'Black-Scholes'!$B$6,0))</f>
        <v>34.5926392427237</v>
      </c>
      <c r="F3885" s="18" t="n">
        <f aca="false">(E3885+G3885)/2</f>
        <v>17.2963196213618</v>
      </c>
      <c r="G3885" s="18" t="n">
        <f aca="false">EXP(-'Black-Scholes'!$B$8*'Black-Scholes'!$B$7)*IF(LOWER('Black-Scholes'!$B$11)="put",MAX('Black-Scholes'!$B$6-D3885,0),MAX(D3885-'Black-Scholes'!$B$6,0))</f>
        <v>0</v>
      </c>
    </row>
    <row r="3886" customFormat="false" ht="15" hidden="false" customHeight="false" outlineLevel="0" collapsed="false">
      <c r="A3886" s="0" t="n">
        <v>3875</v>
      </c>
      <c r="B3886" s="15" t="n">
        <v>0.95129782544296</v>
      </c>
      <c r="C3886" s="18" t="n">
        <f aca="false">'Black-Scholes'!$B$5*EXP(('Black-Scholes'!$B$8-'Black-Scholes'!$B$10-'Black-Scholes'!$B$9^2/2)*'Black-Scholes'!$B$7+'Black-Scholes'!$B$9*SQRT('Black-Scholes'!$B$7)*B3886)</f>
        <v>124.640021058459</v>
      </c>
      <c r="D3886" s="18" t="n">
        <f aca="false">'Black-Scholes'!$B$5*EXP(('Black-Scholes'!$B$8-'Black-Scholes'!$B$10-'Black-Scholes'!$B$9^2/2)*'Black-Scholes'!$B$7-'Black-Scholes'!$B$9*SQRT('Black-Scholes'!$B$7)*B3886)</f>
        <v>85.1922630891835</v>
      </c>
      <c r="E3886" s="18" t="n">
        <f aca="false">EXP(-'Black-Scholes'!$B$8*'Black-Scholes'!$B$7)*IF(LOWER('Black-Scholes'!$B$11)="put",MAX('Black-Scholes'!$B$6-C3886,0),MAX(C3886-'Black-Scholes'!$B$6,0))</f>
        <v>23.4383130511233</v>
      </c>
      <c r="F3886" s="18" t="n">
        <f aca="false">(E3886+G3886)/2</f>
        <v>11.7191565255617</v>
      </c>
      <c r="G3886" s="18" t="n">
        <f aca="false">EXP(-'Black-Scholes'!$B$8*'Black-Scholes'!$B$7)*IF(LOWER('Black-Scholes'!$B$11)="put",MAX('Black-Scholes'!$B$6-D3886,0),MAX(D3886-'Black-Scholes'!$B$6,0))</f>
        <v>0</v>
      </c>
    </row>
    <row r="3887" customFormat="false" ht="15" hidden="false" customHeight="false" outlineLevel="0" collapsed="false">
      <c r="A3887" s="0" t="n">
        <v>3876</v>
      </c>
      <c r="B3887" s="15" t="n">
        <v>0.756533162395457</v>
      </c>
      <c r="C3887" s="18" t="n">
        <f aca="false">'Black-Scholes'!$B$5*EXP(('Black-Scholes'!$B$8-'Black-Scholes'!$B$10-'Black-Scholes'!$B$9^2/2)*'Black-Scholes'!$B$7+'Black-Scholes'!$B$9*SQRT('Black-Scholes'!$B$7)*B3887)</f>
        <v>119.878270865595</v>
      </c>
      <c r="D3887" s="18" t="n">
        <f aca="false">'Black-Scholes'!$B$5*EXP(('Black-Scholes'!$B$8-'Black-Scholes'!$B$10-'Black-Scholes'!$B$9^2/2)*'Black-Scholes'!$B$7-'Black-Scholes'!$B$9*SQRT('Black-Scholes'!$B$7)*B3887)</f>
        <v>88.5762314453026</v>
      </c>
      <c r="E3887" s="18" t="n">
        <f aca="false">EXP(-'Black-Scholes'!$B$8*'Black-Scholes'!$B$7)*IF(LOWER('Black-Scholes'!$B$11)="put",MAX('Black-Scholes'!$B$6-C3887,0),MAX(C3887-'Black-Scholes'!$B$6,0))</f>
        <v>18.908796155549</v>
      </c>
      <c r="F3887" s="18" t="n">
        <f aca="false">(E3887+G3887)/2</f>
        <v>9.45439807777449</v>
      </c>
      <c r="G3887" s="18" t="n">
        <f aca="false">EXP(-'Black-Scholes'!$B$8*'Black-Scholes'!$B$7)*IF(LOWER('Black-Scholes'!$B$11)="put",MAX('Black-Scholes'!$B$6-D3887,0),MAX(D3887-'Black-Scholes'!$B$6,0))</f>
        <v>0</v>
      </c>
    </row>
    <row r="3888" customFormat="false" ht="15" hidden="false" customHeight="false" outlineLevel="0" collapsed="false">
      <c r="A3888" s="0" t="n">
        <v>3877</v>
      </c>
      <c r="B3888" s="15" t="n">
        <v>0.606593446465626</v>
      </c>
      <c r="C3888" s="18" t="n">
        <f aca="false">'Black-Scholes'!$B$5*EXP(('Black-Scholes'!$B$8-'Black-Scholes'!$B$10-'Black-Scholes'!$B$9^2/2)*'Black-Scholes'!$B$7+'Black-Scholes'!$B$9*SQRT('Black-Scholes'!$B$7)*B3888)</f>
        <v>116.33673517296</v>
      </c>
      <c r="D3888" s="18" t="n">
        <f aca="false">'Black-Scholes'!$B$5*EXP(('Black-Scholes'!$B$8-'Black-Scholes'!$B$10-'Black-Scholes'!$B$9^2/2)*'Black-Scholes'!$B$7-'Black-Scholes'!$B$9*SQRT('Black-Scholes'!$B$7)*B3888)</f>
        <v>91.2726788289791</v>
      </c>
      <c r="E3888" s="18" t="n">
        <f aca="false">EXP(-'Black-Scholes'!$B$8*'Black-Scholes'!$B$7)*IF(LOWER('Black-Scholes'!$B$11)="put",MAX('Black-Scholes'!$B$6-C3888,0),MAX(C3888-'Black-Scholes'!$B$6,0))</f>
        <v>15.5399831967955</v>
      </c>
      <c r="F3888" s="18" t="n">
        <f aca="false">(E3888+G3888)/2</f>
        <v>7.76999159839776</v>
      </c>
      <c r="G3888" s="18" t="n">
        <f aca="false">EXP(-'Black-Scholes'!$B$8*'Black-Scholes'!$B$7)*IF(LOWER('Black-Scholes'!$B$11)="put",MAX('Black-Scholes'!$B$6-D3888,0),MAX(D3888-'Black-Scholes'!$B$6,0))</f>
        <v>0</v>
      </c>
    </row>
    <row r="3889" customFormat="false" ht="15" hidden="false" customHeight="false" outlineLevel="0" collapsed="false">
      <c r="A3889" s="0" t="n">
        <v>3878</v>
      </c>
      <c r="B3889" s="15" t="n">
        <v>-0.659071932755378</v>
      </c>
      <c r="C3889" s="18" t="n">
        <f aca="false">'Black-Scholes'!$B$5*EXP(('Black-Scholes'!$B$8-'Black-Scholes'!$B$10-'Black-Scholes'!$B$9^2/2)*'Black-Scholes'!$B$7+'Black-Scholes'!$B$9*SQRT('Black-Scholes'!$B$7)*B3889)</f>
        <v>90.3197181655151</v>
      </c>
      <c r="D3889" s="18" t="n">
        <f aca="false">'Black-Scholes'!$B$5*EXP(('Black-Scholes'!$B$8-'Black-Scholes'!$B$10-'Black-Scholes'!$B$9^2/2)*'Black-Scholes'!$B$7-'Black-Scholes'!$B$9*SQRT('Black-Scholes'!$B$7)*B3889)</f>
        <v>117.564200610048</v>
      </c>
      <c r="E3889" s="18" t="n">
        <f aca="false">EXP(-'Black-Scholes'!$B$8*'Black-Scholes'!$B$7)*IF(LOWER('Black-Scholes'!$B$11)="put",MAX('Black-Scholes'!$B$6-C3889,0),MAX(C3889-'Black-Scholes'!$B$6,0))</f>
        <v>0</v>
      </c>
      <c r="F3889" s="18" t="n">
        <f aca="false">(E3889+G3889)/2</f>
        <v>8.35379221905541</v>
      </c>
      <c r="G3889" s="18" t="n">
        <f aca="false">EXP(-'Black-Scholes'!$B$8*'Black-Scholes'!$B$7)*IF(LOWER('Black-Scholes'!$B$11)="put",MAX('Black-Scholes'!$B$6-D3889,0),MAX(D3889-'Black-Scholes'!$B$6,0))</f>
        <v>16.7075844381108</v>
      </c>
    </row>
    <row r="3890" customFormat="false" ht="15" hidden="false" customHeight="false" outlineLevel="0" collapsed="false">
      <c r="A3890" s="0" t="n">
        <v>3879</v>
      </c>
      <c r="B3890" s="15" t="n">
        <v>0.450237485765955</v>
      </c>
      <c r="C3890" s="18" t="n">
        <f aca="false">'Black-Scholes'!$B$5*EXP(('Black-Scholes'!$B$8-'Black-Scholes'!$B$10-'Black-Scholes'!$B$9^2/2)*'Black-Scholes'!$B$7+'Black-Scholes'!$B$9*SQRT('Black-Scholes'!$B$7)*B3890)</f>
        <v>112.755040574188</v>
      </c>
      <c r="D3890" s="18" t="n">
        <f aca="false">'Black-Scholes'!$B$5*EXP(('Black-Scholes'!$B$8-'Black-Scholes'!$B$10-'Black-Scholes'!$B$9^2/2)*'Black-Scholes'!$B$7-'Black-Scholes'!$B$9*SQRT('Black-Scholes'!$B$7)*B3890)</f>
        <v>94.1719803512211</v>
      </c>
      <c r="E3890" s="18" t="n">
        <f aca="false">EXP(-'Black-Scholes'!$B$8*'Black-Scholes'!$B$7)*IF(LOWER('Black-Scholes'!$B$11)="put",MAX('Black-Scholes'!$B$6-C3890,0),MAX(C3890-'Black-Scholes'!$B$6,0))</f>
        <v>12.1329699048684</v>
      </c>
      <c r="F3890" s="18" t="n">
        <f aca="false">(E3890+G3890)/2</f>
        <v>6.06648495243418</v>
      </c>
      <c r="G3890" s="18" t="n">
        <f aca="false">EXP(-'Black-Scholes'!$B$8*'Black-Scholes'!$B$7)*IF(LOWER('Black-Scholes'!$B$11)="put",MAX('Black-Scholes'!$B$6-D3890,0),MAX(D3890-'Black-Scholes'!$B$6,0))</f>
        <v>0</v>
      </c>
    </row>
    <row r="3891" customFormat="false" ht="15" hidden="false" customHeight="false" outlineLevel="0" collapsed="false">
      <c r="A3891" s="0" t="n">
        <v>3880</v>
      </c>
      <c r="B3891" s="15" t="n">
        <v>-1.17576770060798</v>
      </c>
      <c r="C3891" s="18" t="n">
        <f aca="false">'Black-Scholes'!$B$5*EXP(('Black-Scholes'!$B$8-'Black-Scholes'!$B$10-'Black-Scholes'!$B$9^2/2)*'Black-Scholes'!$B$7+'Black-Scholes'!$B$9*SQRT('Black-Scholes'!$B$7)*B3891)</f>
        <v>81.4522244965384</v>
      </c>
      <c r="D3891" s="18" t="n">
        <f aca="false">'Black-Scholes'!$B$5*EXP(('Black-Scholes'!$B$8-'Black-Scholes'!$B$10-'Black-Scholes'!$B$9^2/2)*'Black-Scholes'!$B$7-'Black-Scholes'!$B$9*SQRT('Black-Scholes'!$B$7)*B3891)</f>
        <v>130.363112009358</v>
      </c>
      <c r="E3891" s="18" t="n">
        <f aca="false">EXP(-'Black-Scholes'!$B$8*'Black-Scholes'!$B$7)*IF(LOWER('Black-Scholes'!$B$11)="put",MAX('Black-Scholes'!$B$6-C3891,0),MAX(C3891-'Black-Scholes'!$B$6,0))</f>
        <v>0</v>
      </c>
      <c r="F3891" s="18" t="n">
        <f aca="false">(E3891+G3891)/2</f>
        <v>14.4411427813561</v>
      </c>
      <c r="G3891" s="18" t="n">
        <f aca="false">EXP(-'Black-Scholes'!$B$8*'Black-Scholes'!$B$7)*IF(LOWER('Black-Scholes'!$B$11)="put",MAX('Black-Scholes'!$B$6-D3891,0),MAX(D3891-'Black-Scholes'!$B$6,0))</f>
        <v>28.8822855627122</v>
      </c>
    </row>
    <row r="3892" customFormat="false" ht="15" hidden="false" customHeight="false" outlineLevel="0" collapsed="false">
      <c r="A3892" s="0" t="n">
        <v>3881</v>
      </c>
      <c r="B3892" s="15" t="n">
        <v>-1.38806823711424</v>
      </c>
      <c r="C3892" s="18" t="n">
        <f aca="false">'Black-Scholes'!$B$5*EXP(('Black-Scholes'!$B$8-'Black-Scholes'!$B$10-'Black-Scholes'!$B$9^2/2)*'Black-Scholes'!$B$7+'Black-Scholes'!$B$9*SQRT('Black-Scholes'!$B$7)*B3892)</f>
        <v>78.0661495602234</v>
      </c>
      <c r="D3892" s="18" t="n">
        <f aca="false">'Black-Scholes'!$B$5*EXP(('Black-Scholes'!$B$8-'Black-Scholes'!$B$10-'Black-Scholes'!$B$9^2/2)*'Black-Scholes'!$B$7-'Black-Scholes'!$B$9*SQRT('Black-Scholes'!$B$7)*B3892)</f>
        <v>136.017538014504</v>
      </c>
      <c r="E3892" s="18" t="n">
        <f aca="false">EXP(-'Black-Scholes'!$B$8*'Black-Scholes'!$B$7)*IF(LOWER('Black-Scholes'!$B$11)="put",MAX('Black-Scholes'!$B$6-C3892,0),MAX(C3892-'Black-Scholes'!$B$6,0))</f>
        <v>0</v>
      </c>
      <c r="F3892" s="18" t="n">
        <f aca="false">(E3892+G3892)/2</f>
        <v>17.1304709787344</v>
      </c>
      <c r="G3892" s="18" t="n">
        <f aca="false">EXP(-'Black-Scholes'!$B$8*'Black-Scholes'!$B$7)*IF(LOWER('Black-Scholes'!$B$11)="put",MAX('Black-Scholes'!$B$6-D3892,0),MAX(D3892-'Black-Scholes'!$B$6,0))</f>
        <v>34.2609419574688</v>
      </c>
    </row>
    <row r="3893" customFormat="false" ht="15" hidden="false" customHeight="false" outlineLevel="0" collapsed="false">
      <c r="A3893" s="0" t="n">
        <v>3882</v>
      </c>
      <c r="B3893" s="15" t="n">
        <v>-0.761410182331401</v>
      </c>
      <c r="C3893" s="18" t="n">
        <f aca="false">'Black-Scholes'!$B$5*EXP(('Black-Scholes'!$B$8-'Black-Scholes'!$B$10-'Black-Scholes'!$B$9^2/2)*'Black-Scholes'!$B$7+'Black-Scholes'!$B$9*SQRT('Black-Scholes'!$B$7)*B3893)</f>
        <v>88.4898759585704</v>
      </c>
      <c r="D3893" s="18" t="n">
        <f aca="false">'Black-Scholes'!$B$5*EXP(('Black-Scholes'!$B$8-'Black-Scholes'!$B$10-'Black-Scholes'!$B$9^2/2)*'Black-Scholes'!$B$7-'Black-Scholes'!$B$9*SQRT('Black-Scholes'!$B$7)*B3893)</f>
        <v>119.995257654389</v>
      </c>
      <c r="E3893" s="18" t="n">
        <f aca="false">EXP(-'Black-Scholes'!$B$8*'Black-Scholes'!$B$7)*IF(LOWER('Black-Scholes'!$B$11)="put",MAX('Black-Scholes'!$B$6-C3893,0),MAX(C3893-'Black-Scholes'!$B$6,0))</f>
        <v>0</v>
      </c>
      <c r="F3893" s="18" t="n">
        <f aca="false">(E3893+G3893)/2</f>
        <v>9.51003871566407</v>
      </c>
      <c r="G3893" s="18" t="n">
        <f aca="false">EXP(-'Black-Scholes'!$B$8*'Black-Scholes'!$B$7)*IF(LOWER('Black-Scholes'!$B$11)="put",MAX('Black-Scholes'!$B$6-D3893,0),MAX(D3893-'Black-Scholes'!$B$6,0))</f>
        <v>19.0200774313281</v>
      </c>
    </row>
    <row r="3894" customFormat="false" ht="15" hidden="false" customHeight="false" outlineLevel="0" collapsed="false">
      <c r="A3894" s="0" t="n">
        <v>3883</v>
      </c>
      <c r="B3894" s="15" t="n">
        <v>0.137376485899975</v>
      </c>
      <c r="C3894" s="18" t="n">
        <f aca="false">'Black-Scholes'!$B$5*EXP(('Black-Scholes'!$B$8-'Black-Scholes'!$B$10-'Black-Scholes'!$B$9^2/2)*'Black-Scholes'!$B$7+'Black-Scholes'!$B$9*SQRT('Black-Scholes'!$B$7)*B3894)</f>
        <v>105.915910611481</v>
      </c>
      <c r="D3894" s="18" t="n">
        <f aca="false">'Black-Scholes'!$B$5*EXP(('Black-Scholes'!$B$8-'Black-Scholes'!$B$10-'Black-Scholes'!$B$9^2/2)*'Black-Scholes'!$B$7-'Black-Scholes'!$B$9*SQRT('Black-Scholes'!$B$7)*B3894)</f>
        <v>100.252789256599</v>
      </c>
      <c r="E3894" s="18" t="n">
        <f aca="false">EXP(-'Black-Scholes'!$B$8*'Black-Scholes'!$B$7)*IF(LOWER('Black-Scholes'!$B$11)="put",MAX('Black-Scholes'!$B$6-C3894,0),MAX(C3894-'Black-Scholes'!$B$6,0))</f>
        <v>5.62738824635669</v>
      </c>
      <c r="F3894" s="18" t="n">
        <f aca="false">(E3894+G3894)/2</f>
        <v>2.93392441271574</v>
      </c>
      <c r="G3894" s="18" t="n">
        <f aca="false">EXP(-'Black-Scholes'!$B$8*'Black-Scholes'!$B$7)*IF(LOWER('Black-Scholes'!$B$11)="put",MAX('Black-Scholes'!$B$6-D3894,0),MAX(D3894-'Black-Scholes'!$B$6,0))</f>
        <v>0.240460579074794</v>
      </c>
    </row>
    <row r="3895" customFormat="false" ht="15" hidden="false" customHeight="false" outlineLevel="0" collapsed="false">
      <c r="A3895" s="0" t="n">
        <v>3884</v>
      </c>
      <c r="B3895" s="15" t="n">
        <v>-1.11100170939233</v>
      </c>
      <c r="C3895" s="18" t="n">
        <f aca="false">'Black-Scholes'!$B$5*EXP(('Black-Scholes'!$B$8-'Black-Scholes'!$B$10-'Black-Scholes'!$B$9^2/2)*'Black-Scholes'!$B$7+'Black-Scholes'!$B$9*SQRT('Black-Scholes'!$B$7)*B3895)</f>
        <v>82.5141541524848</v>
      </c>
      <c r="D3895" s="18" t="n">
        <f aca="false">'Black-Scholes'!$B$5*EXP(('Black-Scholes'!$B$8-'Black-Scholes'!$B$10-'Black-Scholes'!$B$9^2/2)*'Black-Scholes'!$B$7-'Black-Scholes'!$B$9*SQRT('Black-Scholes'!$B$7)*B3895)</f>
        <v>128.685382217347</v>
      </c>
      <c r="E3895" s="18" t="n">
        <f aca="false">EXP(-'Black-Scholes'!$B$8*'Black-Scholes'!$B$7)*IF(LOWER('Black-Scholes'!$B$11)="put",MAX('Black-Scholes'!$B$6-C3895,0),MAX(C3895-'Black-Scholes'!$B$6,0))</f>
        <v>0</v>
      </c>
      <c r="F3895" s="18" t="n">
        <f aca="false">(E3895+G3895)/2</f>
        <v>13.643189809095</v>
      </c>
      <c r="G3895" s="18" t="n">
        <f aca="false">EXP(-'Black-Scholes'!$B$8*'Black-Scholes'!$B$7)*IF(LOWER('Black-Scholes'!$B$11)="put",MAX('Black-Scholes'!$B$6-D3895,0),MAX(D3895-'Black-Scholes'!$B$6,0))</f>
        <v>27.28637961819</v>
      </c>
    </row>
    <row r="3896" customFormat="false" ht="15" hidden="false" customHeight="false" outlineLevel="0" collapsed="false">
      <c r="A3896" s="0" t="n">
        <v>3885</v>
      </c>
      <c r="B3896" s="15" t="n">
        <v>0.0948527344667196</v>
      </c>
      <c r="C3896" s="18" t="n">
        <f aca="false">'Black-Scholes'!$B$5*EXP(('Black-Scholes'!$B$8-'Black-Scholes'!$B$10-'Black-Scholes'!$B$9^2/2)*'Black-Scholes'!$B$7+'Black-Scholes'!$B$9*SQRT('Black-Scholes'!$B$7)*B3896)</f>
        <v>105.018941894355</v>
      </c>
      <c r="D3896" s="18" t="n">
        <f aca="false">'Black-Scholes'!$B$5*EXP(('Black-Scholes'!$B$8-'Black-Scholes'!$B$10-'Black-Scholes'!$B$9^2/2)*'Black-Scholes'!$B$7-'Black-Scholes'!$B$9*SQRT('Black-Scholes'!$B$7)*B3896)</f>
        <v>101.109050176256</v>
      </c>
      <c r="E3896" s="18" t="n">
        <f aca="false">EXP(-'Black-Scholes'!$B$8*'Black-Scholes'!$B$7)*IF(LOWER('Black-Scholes'!$B$11)="put",MAX('Black-Scholes'!$B$6-C3896,0),MAX(C3896-'Black-Scholes'!$B$6,0))</f>
        <v>4.77416520976949</v>
      </c>
      <c r="F3896" s="18" t="n">
        <f aca="false">(E3896+G3896)/2</f>
        <v>2.91456318533586</v>
      </c>
      <c r="G3896" s="18" t="n">
        <f aca="false">EXP(-'Black-Scholes'!$B$8*'Black-Scholes'!$B$7)*IF(LOWER('Black-Scholes'!$B$11)="put",MAX('Black-Scholes'!$B$6-D3896,0),MAX(D3896-'Black-Scholes'!$B$6,0))</f>
        <v>1.05496116090223</v>
      </c>
    </row>
    <row r="3897" customFormat="false" ht="15" hidden="false" customHeight="false" outlineLevel="0" collapsed="false">
      <c r="A3897" s="0" t="n">
        <v>3886</v>
      </c>
      <c r="B3897" s="15" t="n">
        <v>0.444236540500075</v>
      </c>
      <c r="C3897" s="18" t="n">
        <f aca="false">'Black-Scholes'!$B$5*EXP(('Black-Scholes'!$B$8-'Black-Scholes'!$B$10-'Black-Scholes'!$B$9^2/2)*'Black-Scholes'!$B$7+'Black-Scholes'!$B$9*SQRT('Black-Scholes'!$B$7)*B3897)</f>
        <v>112.619794385533</v>
      </c>
      <c r="D3897" s="18" t="n">
        <f aca="false">'Black-Scholes'!$B$5*EXP(('Black-Scholes'!$B$8-'Black-Scholes'!$B$10-'Black-Scholes'!$B$9^2/2)*'Black-Scholes'!$B$7-'Black-Scholes'!$B$9*SQRT('Black-Scholes'!$B$7)*B3897)</f>
        <v>94.2850723834888</v>
      </c>
      <c r="E3897" s="18" t="n">
        <f aca="false">EXP(-'Black-Scholes'!$B$8*'Black-Scholes'!$B$7)*IF(LOWER('Black-Scholes'!$B$11)="put",MAX('Black-Scholes'!$B$6-C3897,0),MAX(C3897-'Black-Scholes'!$B$6,0))</f>
        <v>12.0043197506678</v>
      </c>
      <c r="F3897" s="18" t="n">
        <f aca="false">(E3897+G3897)/2</f>
        <v>6.00215987533391</v>
      </c>
      <c r="G3897" s="18" t="n">
        <f aca="false">EXP(-'Black-Scholes'!$B$8*'Black-Scholes'!$B$7)*IF(LOWER('Black-Scholes'!$B$11)="put",MAX('Black-Scholes'!$B$6-D3897,0),MAX(D3897-'Black-Scholes'!$B$6,0))</f>
        <v>0</v>
      </c>
    </row>
    <row r="3898" customFormat="false" ht="15" hidden="false" customHeight="false" outlineLevel="0" collapsed="false">
      <c r="A3898" s="0" t="n">
        <v>3887</v>
      </c>
      <c r="B3898" s="15" t="n">
        <v>-2.46614353050506</v>
      </c>
      <c r="C3898" s="18" t="n">
        <f aca="false">'Black-Scholes'!$B$5*EXP(('Black-Scholes'!$B$8-'Black-Scholes'!$B$10-'Black-Scholes'!$B$9^2/2)*'Black-Scholes'!$B$7+'Black-Scholes'!$B$9*SQRT('Black-Scholes'!$B$7)*B3898)</f>
        <v>62.9248703032578</v>
      </c>
      <c r="D3898" s="18" t="n">
        <f aca="false">'Black-Scholes'!$B$5*EXP(('Black-Scholes'!$B$8-'Black-Scholes'!$B$10-'Black-Scholes'!$B$9^2/2)*'Black-Scholes'!$B$7-'Black-Scholes'!$B$9*SQRT('Black-Scholes'!$B$7)*B3898)</f>
        <v>168.746719926157</v>
      </c>
      <c r="E3898" s="18" t="n">
        <f aca="false">EXP(-'Black-Scholes'!$B$8*'Black-Scholes'!$B$7)*IF(LOWER('Black-Scholes'!$B$11)="put",MAX('Black-Scholes'!$B$6-C3898,0),MAX(C3898-'Black-Scholes'!$B$6,0))</f>
        <v>0</v>
      </c>
      <c r="F3898" s="18" t="n">
        <f aca="false">(E3898+G3898)/2</f>
        <v>32.6969514158351</v>
      </c>
      <c r="G3898" s="18" t="n">
        <f aca="false">EXP(-'Black-Scholes'!$B$8*'Black-Scholes'!$B$7)*IF(LOWER('Black-Scholes'!$B$11)="put",MAX('Black-Scholes'!$B$6-D3898,0),MAX(D3898-'Black-Scholes'!$B$6,0))</f>
        <v>65.3939028316701</v>
      </c>
    </row>
    <row r="3899" customFormat="false" ht="15" hidden="false" customHeight="false" outlineLevel="0" collapsed="false">
      <c r="A3899" s="0" t="n">
        <v>3888</v>
      </c>
      <c r="B3899" s="15" t="n">
        <v>-0.767722537063709</v>
      </c>
      <c r="C3899" s="18" t="n">
        <f aca="false">'Black-Scholes'!$B$5*EXP(('Black-Scholes'!$B$8-'Black-Scholes'!$B$10-'Black-Scholes'!$B$9^2/2)*'Black-Scholes'!$B$7+'Black-Scholes'!$B$9*SQRT('Black-Scholes'!$B$7)*B3899)</f>
        <v>88.3782305504874</v>
      </c>
      <c r="D3899" s="18" t="n">
        <f aca="false">'Black-Scholes'!$B$5*EXP(('Black-Scholes'!$B$8-'Black-Scholes'!$B$10-'Black-Scholes'!$B$9^2/2)*'Black-Scholes'!$B$7-'Black-Scholes'!$B$9*SQRT('Black-Scholes'!$B$7)*B3899)</f>
        <v>120.14684384734</v>
      </c>
      <c r="E3899" s="18" t="n">
        <f aca="false">EXP(-'Black-Scholes'!$B$8*'Black-Scholes'!$B$7)*IF(LOWER('Black-Scholes'!$B$11)="put",MAX('Black-Scholes'!$B$6-C3899,0),MAX(C3899-'Black-Scholes'!$B$6,0))</f>
        <v>0</v>
      </c>
      <c r="F3899" s="18" t="n">
        <f aca="false">(E3899+G3899)/2</f>
        <v>9.58213533920535</v>
      </c>
      <c r="G3899" s="18" t="n">
        <f aca="false">EXP(-'Black-Scholes'!$B$8*'Black-Scholes'!$B$7)*IF(LOWER('Black-Scholes'!$B$11)="put",MAX('Black-Scholes'!$B$6-D3899,0),MAX(D3899-'Black-Scholes'!$B$6,0))</f>
        <v>19.1642706784107</v>
      </c>
    </row>
    <row r="3900" customFormat="false" ht="15" hidden="false" customHeight="false" outlineLevel="0" collapsed="false">
      <c r="A3900" s="0" t="n">
        <v>3889</v>
      </c>
      <c r="B3900" s="15" t="n">
        <v>-0.660064703384057</v>
      </c>
      <c r="C3900" s="18" t="n">
        <f aca="false">'Black-Scholes'!$B$5*EXP(('Black-Scholes'!$B$8-'Black-Scholes'!$B$10-'Black-Scholes'!$B$9^2/2)*'Black-Scholes'!$B$7+'Black-Scholes'!$B$9*SQRT('Black-Scholes'!$B$7)*B3900)</f>
        <v>90.3017865930908</v>
      </c>
      <c r="D3900" s="18" t="n">
        <f aca="false">'Black-Scholes'!$B$5*EXP(('Black-Scholes'!$B$8-'Black-Scholes'!$B$10-'Black-Scholes'!$B$9^2/2)*'Black-Scholes'!$B$7-'Black-Scholes'!$B$9*SQRT('Black-Scholes'!$B$7)*B3900)</f>
        <v>117.587545784681</v>
      </c>
      <c r="E3900" s="18" t="n">
        <f aca="false">EXP(-'Black-Scholes'!$B$8*'Black-Scholes'!$B$7)*IF(LOWER('Black-Scholes'!$B$11)="put",MAX('Black-Scholes'!$B$6-C3900,0),MAX(C3900-'Black-Scholes'!$B$6,0))</f>
        <v>0</v>
      </c>
      <c r="F3900" s="18" t="n">
        <f aca="false">(E3900+G3900)/2</f>
        <v>8.36489552757121</v>
      </c>
      <c r="G3900" s="18" t="n">
        <f aca="false">EXP(-'Black-Scholes'!$B$8*'Black-Scholes'!$B$7)*IF(LOWER('Black-Scholes'!$B$11)="put",MAX('Black-Scholes'!$B$6-D3900,0),MAX(D3900-'Black-Scholes'!$B$6,0))</f>
        <v>16.7297910551424</v>
      </c>
    </row>
    <row r="3901" customFormat="false" ht="15" hidden="false" customHeight="false" outlineLevel="0" collapsed="false">
      <c r="A3901" s="0" t="n">
        <v>3890</v>
      </c>
      <c r="B3901" s="15" t="n">
        <v>0.380133131755735</v>
      </c>
      <c r="C3901" s="18" t="n">
        <f aca="false">'Black-Scholes'!$B$5*EXP(('Black-Scholes'!$B$8-'Black-Scholes'!$B$10-'Black-Scholes'!$B$9^2/2)*'Black-Scholes'!$B$7+'Black-Scholes'!$B$9*SQRT('Black-Scholes'!$B$7)*B3901)</f>
        <v>111.185148066035</v>
      </c>
      <c r="D3901" s="18" t="n">
        <f aca="false">'Black-Scholes'!$B$5*EXP(('Black-Scholes'!$B$8-'Black-Scholes'!$B$10-'Black-Scholes'!$B$9^2/2)*'Black-Scholes'!$B$7-'Black-Scholes'!$B$9*SQRT('Black-Scholes'!$B$7)*B3901)</f>
        <v>95.5016533246611</v>
      </c>
      <c r="E3901" s="18" t="n">
        <f aca="false">EXP(-'Black-Scholes'!$B$8*'Black-Scholes'!$B$7)*IF(LOWER('Black-Scholes'!$B$11)="put",MAX('Black-Scholes'!$B$6-C3901,0),MAX(C3901-'Black-Scholes'!$B$6,0))</f>
        <v>10.6396419578098</v>
      </c>
      <c r="F3901" s="18" t="n">
        <f aca="false">(E3901+G3901)/2</f>
        <v>5.31982097890492</v>
      </c>
      <c r="G3901" s="18" t="n">
        <f aca="false">EXP(-'Black-Scholes'!$B$8*'Black-Scholes'!$B$7)*IF(LOWER('Black-Scholes'!$B$11)="put",MAX('Black-Scholes'!$B$6-D3901,0),MAX(D3901-'Black-Scholes'!$B$6,0))</f>
        <v>0</v>
      </c>
    </row>
    <row r="3902" customFormat="false" ht="15" hidden="false" customHeight="false" outlineLevel="0" collapsed="false">
      <c r="A3902" s="0" t="n">
        <v>3891</v>
      </c>
      <c r="B3902" s="15" t="n">
        <v>0.731371932218232</v>
      </c>
      <c r="C3902" s="18" t="n">
        <f aca="false">'Black-Scholes'!$B$5*EXP(('Black-Scholes'!$B$8-'Black-Scholes'!$B$10-'Black-Scholes'!$B$9^2/2)*'Black-Scholes'!$B$7+'Black-Scholes'!$B$9*SQRT('Black-Scholes'!$B$7)*B3902)</f>
        <v>119.276529238105</v>
      </c>
      <c r="D3902" s="18" t="n">
        <f aca="false">'Black-Scholes'!$B$5*EXP(('Black-Scholes'!$B$8-'Black-Scholes'!$B$10-'Black-Scholes'!$B$9^2/2)*'Black-Scholes'!$B$7-'Black-Scholes'!$B$9*SQRT('Black-Scholes'!$B$7)*B3902)</f>
        <v>89.0230922485745</v>
      </c>
      <c r="E3902" s="18" t="n">
        <f aca="false">EXP(-'Black-Scholes'!$B$8*'Black-Scholes'!$B$7)*IF(LOWER('Black-Scholes'!$B$11)="put",MAX('Black-Scholes'!$B$6-C3902,0),MAX(C3902-'Black-Scholes'!$B$6,0))</f>
        <v>18.3364018135336</v>
      </c>
      <c r="F3902" s="18" t="n">
        <f aca="false">(E3902+G3902)/2</f>
        <v>9.1682009067668</v>
      </c>
      <c r="G3902" s="18" t="n">
        <f aca="false">EXP(-'Black-Scholes'!$B$8*'Black-Scholes'!$B$7)*IF(LOWER('Black-Scholes'!$B$11)="put",MAX('Black-Scholes'!$B$6-D3902,0),MAX(D3902-'Black-Scholes'!$B$6,0))</f>
        <v>0</v>
      </c>
    </row>
    <row r="3903" customFormat="false" ht="15" hidden="false" customHeight="false" outlineLevel="0" collapsed="false">
      <c r="A3903" s="0" t="n">
        <v>3892</v>
      </c>
      <c r="B3903" s="15" t="n">
        <v>0.361650649716352</v>
      </c>
      <c r="C3903" s="18" t="n">
        <f aca="false">'Black-Scholes'!$B$5*EXP(('Black-Scholes'!$B$8-'Black-Scholes'!$B$10-'Black-Scholes'!$B$9^2/2)*'Black-Scholes'!$B$7+'Black-Scholes'!$B$9*SQRT('Black-Scholes'!$B$7)*B3903)</f>
        <v>110.77491125218</v>
      </c>
      <c r="D3903" s="18" t="n">
        <f aca="false">'Black-Scholes'!$B$5*EXP(('Black-Scholes'!$B$8-'Black-Scholes'!$B$10-'Black-Scholes'!$B$9^2/2)*'Black-Scholes'!$B$7-'Black-Scholes'!$B$9*SQRT('Black-Scholes'!$B$7)*B3903)</f>
        <v>95.8553281192056</v>
      </c>
      <c r="E3903" s="18" t="n">
        <f aca="false">EXP(-'Black-Scholes'!$B$8*'Black-Scholes'!$B$7)*IF(LOWER('Black-Scholes'!$B$11)="put",MAX('Black-Scholes'!$B$6-C3903,0),MAX(C3903-'Black-Scholes'!$B$6,0))</f>
        <v>10.2494126294575</v>
      </c>
      <c r="F3903" s="18" t="n">
        <f aca="false">(E3903+G3903)/2</f>
        <v>5.12470631472873</v>
      </c>
      <c r="G3903" s="18" t="n">
        <f aca="false">EXP(-'Black-Scholes'!$B$8*'Black-Scholes'!$B$7)*IF(LOWER('Black-Scholes'!$B$11)="put",MAX('Black-Scholes'!$B$6-D3903,0),MAX(D3903-'Black-Scholes'!$B$6,0))</f>
        <v>0</v>
      </c>
    </row>
    <row r="3904" customFormat="false" ht="15" hidden="false" customHeight="false" outlineLevel="0" collapsed="false">
      <c r="A3904" s="0" t="n">
        <v>3893</v>
      </c>
      <c r="B3904" s="15" t="n">
        <v>0.0108338709029453</v>
      </c>
      <c r="C3904" s="18" t="n">
        <f aca="false">'Black-Scholes'!$B$5*EXP(('Black-Scholes'!$B$8-'Black-Scholes'!$B$10-'Black-Scholes'!$B$9^2/2)*'Black-Scholes'!$B$7+'Black-Scholes'!$B$9*SQRT('Black-Scholes'!$B$7)*B3904)</f>
        <v>103.268971692584</v>
      </c>
      <c r="D3904" s="18" t="n">
        <f aca="false">'Black-Scholes'!$B$5*EXP(('Black-Scholes'!$B$8-'Black-Scholes'!$B$10-'Black-Scholes'!$B$9^2/2)*'Black-Scholes'!$B$7-'Black-Scholes'!$B$9*SQRT('Black-Scholes'!$B$7)*B3904)</f>
        <v>102.822418887475</v>
      </c>
      <c r="E3904" s="18" t="n">
        <f aca="false">EXP(-'Black-Scholes'!$B$8*'Black-Scholes'!$B$7)*IF(LOWER('Black-Scholes'!$B$11)="put",MAX('Black-Scholes'!$B$6-C3904,0),MAX(C3904-'Black-Scholes'!$B$6,0))</f>
        <v>3.10954206184547</v>
      </c>
      <c r="F3904" s="18" t="n">
        <f aca="false">(E3904+G3904)/2</f>
        <v>2.89715497793897</v>
      </c>
      <c r="G3904" s="18" t="n">
        <f aca="false">EXP(-'Black-Scholes'!$B$8*'Black-Scholes'!$B$7)*IF(LOWER('Black-Scholes'!$B$11)="put",MAX('Black-Scholes'!$B$6-D3904,0),MAX(D3904-'Black-Scholes'!$B$6,0))</f>
        <v>2.68476789403246</v>
      </c>
    </row>
    <row r="3905" customFormat="false" ht="15" hidden="false" customHeight="false" outlineLevel="0" collapsed="false">
      <c r="A3905" s="0" t="n">
        <v>3894</v>
      </c>
      <c r="B3905" s="15" t="n">
        <v>1.28013670563712</v>
      </c>
      <c r="C3905" s="18" t="n">
        <f aca="false">'Black-Scholes'!$B$5*EXP(('Black-Scholes'!$B$8-'Black-Scholes'!$B$10-'Black-Scholes'!$B$9^2/2)*'Black-Scholes'!$B$7+'Black-Scholes'!$B$9*SQRT('Black-Scholes'!$B$7)*B3905)</f>
        <v>133.112884931825</v>
      </c>
      <c r="D3905" s="18" t="n">
        <f aca="false">'Black-Scholes'!$B$5*EXP(('Black-Scholes'!$B$8-'Black-Scholes'!$B$10-'Black-Scholes'!$B$9^2/2)*'Black-Scholes'!$B$7-'Black-Scholes'!$B$9*SQRT('Black-Scholes'!$B$7)*B3905)</f>
        <v>79.7696291451567</v>
      </c>
      <c r="E3905" s="18" t="n">
        <f aca="false">EXP(-'Black-Scholes'!$B$8*'Black-Scholes'!$B$7)*IF(LOWER('Black-Scholes'!$B$11)="put",MAX('Black-Scholes'!$B$6-C3905,0),MAX(C3905-'Black-Scholes'!$B$6,0))</f>
        <v>31.4979504772583</v>
      </c>
      <c r="F3905" s="18" t="n">
        <f aca="false">(E3905+G3905)/2</f>
        <v>15.7489752386291</v>
      </c>
      <c r="G3905" s="18" t="n">
        <f aca="false">EXP(-'Black-Scholes'!$B$8*'Black-Scholes'!$B$7)*IF(LOWER('Black-Scholes'!$B$11)="put",MAX('Black-Scholes'!$B$6-D3905,0),MAX(D3905-'Black-Scholes'!$B$6,0))</f>
        <v>0</v>
      </c>
    </row>
    <row r="3906" customFormat="false" ht="15" hidden="false" customHeight="false" outlineLevel="0" collapsed="false">
      <c r="A3906" s="0" t="n">
        <v>3895</v>
      </c>
      <c r="B3906" s="15" t="n">
        <v>-0.62927646585397</v>
      </c>
      <c r="C3906" s="18" t="n">
        <f aca="false">'Black-Scholes'!$B$5*EXP(('Black-Scholes'!$B$8-'Black-Scholes'!$B$10-'Black-Scholes'!$B$9^2/2)*'Black-Scholes'!$B$7+'Black-Scholes'!$B$9*SQRT('Black-Scholes'!$B$7)*B3906)</f>
        <v>90.8595486528026</v>
      </c>
      <c r="D3906" s="18" t="n">
        <f aca="false">'Black-Scholes'!$B$5*EXP(('Black-Scholes'!$B$8-'Black-Scholes'!$B$10-'Black-Scholes'!$B$9^2/2)*'Black-Scholes'!$B$7-'Black-Scholes'!$B$9*SQRT('Black-Scholes'!$B$7)*B3906)</f>
        <v>116.865707819319</v>
      </c>
      <c r="E3906" s="18" t="n">
        <f aca="false">EXP(-'Black-Scholes'!$B$8*'Black-Scholes'!$B$7)*IF(LOWER('Black-Scholes'!$B$11)="put",MAX('Black-Scholes'!$B$6-C3906,0),MAX(C3906-'Black-Scholes'!$B$6,0))</f>
        <v>0</v>
      </c>
      <c r="F3906" s="18" t="n">
        <f aca="false">(E3906+G3906)/2</f>
        <v>8.02157877138381</v>
      </c>
      <c r="G3906" s="18" t="n">
        <f aca="false">EXP(-'Black-Scholes'!$B$8*'Black-Scholes'!$B$7)*IF(LOWER('Black-Scholes'!$B$11)="put",MAX('Black-Scholes'!$B$6-D3906,0),MAX(D3906-'Black-Scholes'!$B$6,0))</f>
        <v>16.0431575427676</v>
      </c>
    </row>
    <row r="3907" customFormat="false" ht="15" hidden="false" customHeight="false" outlineLevel="0" collapsed="false">
      <c r="A3907" s="0" t="n">
        <v>3896</v>
      </c>
      <c r="B3907" s="15" t="n">
        <v>0.237534947759628</v>
      </c>
      <c r="C3907" s="18" t="n">
        <f aca="false">'Black-Scholes'!$B$5*EXP(('Black-Scholes'!$B$8-'Black-Scholes'!$B$10-'Black-Scholes'!$B$9^2/2)*'Black-Scholes'!$B$7+'Black-Scholes'!$B$9*SQRT('Black-Scholes'!$B$7)*B3907)</f>
        <v>108.058978527058</v>
      </c>
      <c r="D3907" s="18" t="n">
        <f aca="false">'Black-Scholes'!$B$5*EXP(('Black-Scholes'!$B$8-'Black-Scholes'!$B$10-'Black-Scholes'!$B$9^2/2)*'Black-Scholes'!$B$7-'Black-Scholes'!$B$9*SQRT('Black-Scholes'!$B$7)*B3907)</f>
        <v>98.264536739025</v>
      </c>
      <c r="E3907" s="18" t="n">
        <f aca="false">EXP(-'Black-Scholes'!$B$8*'Black-Scholes'!$B$7)*IF(LOWER('Black-Scholes'!$B$11)="put",MAX('Black-Scholes'!$B$6-C3907,0),MAX(C3907-'Black-Scholes'!$B$6,0))</f>
        <v>7.66593750635687</v>
      </c>
      <c r="F3907" s="18" t="n">
        <f aca="false">(E3907+G3907)/2</f>
        <v>3.83296875317844</v>
      </c>
      <c r="G3907" s="18" t="n">
        <f aca="false">EXP(-'Black-Scholes'!$B$8*'Black-Scholes'!$B$7)*IF(LOWER('Black-Scholes'!$B$11)="put",MAX('Black-Scholes'!$B$6-D3907,0),MAX(D3907-'Black-Scholes'!$B$6,0))</f>
        <v>0</v>
      </c>
    </row>
    <row r="3908" customFormat="false" ht="15" hidden="false" customHeight="false" outlineLevel="0" collapsed="false">
      <c r="A3908" s="0" t="n">
        <v>3897</v>
      </c>
      <c r="B3908" s="15" t="n">
        <v>-1.24990715276876</v>
      </c>
      <c r="C3908" s="18" t="n">
        <f aca="false">'Black-Scholes'!$B$5*EXP(('Black-Scholes'!$B$8-'Black-Scholes'!$B$10-'Black-Scholes'!$B$9^2/2)*'Black-Scholes'!$B$7+'Black-Scholes'!$B$9*SQRT('Black-Scholes'!$B$7)*B3908)</f>
        <v>80.2533700430525</v>
      </c>
      <c r="D3908" s="18" t="n">
        <f aca="false">'Black-Scholes'!$B$5*EXP(('Black-Scholes'!$B$8-'Black-Scholes'!$B$10-'Black-Scholes'!$B$9^2/2)*'Black-Scholes'!$B$7-'Black-Scholes'!$B$9*SQRT('Black-Scholes'!$B$7)*B3908)</f>
        <v>132.310524277763</v>
      </c>
      <c r="E3908" s="18" t="n">
        <f aca="false">EXP(-'Black-Scholes'!$B$8*'Black-Scholes'!$B$7)*IF(LOWER('Black-Scholes'!$B$11)="put",MAX('Black-Scholes'!$B$6-C3908,0),MAX(C3908-'Black-Scholes'!$B$6,0))</f>
        <v>0</v>
      </c>
      <c r="F3908" s="18" t="n">
        <f aca="false">(E3908+G3908)/2</f>
        <v>15.3673607070264</v>
      </c>
      <c r="G3908" s="18" t="n">
        <f aca="false">EXP(-'Black-Scholes'!$B$8*'Black-Scholes'!$B$7)*IF(LOWER('Black-Scholes'!$B$11)="put",MAX('Black-Scholes'!$B$6-D3908,0),MAX(D3908-'Black-Scholes'!$B$6,0))</f>
        <v>30.7347214140528</v>
      </c>
    </row>
    <row r="3909" customFormat="false" ht="15" hidden="false" customHeight="false" outlineLevel="0" collapsed="false">
      <c r="A3909" s="0" t="n">
        <v>3898</v>
      </c>
      <c r="B3909" s="15" t="n">
        <v>-0.682366495121982</v>
      </c>
      <c r="C3909" s="18" t="n">
        <f aca="false">'Black-Scholes'!$B$5*EXP(('Black-Scholes'!$B$8-'Black-Scholes'!$B$10-'Black-Scholes'!$B$9^2/2)*'Black-Scholes'!$B$7+'Black-Scholes'!$B$9*SQRT('Black-Scholes'!$B$7)*B3909)</f>
        <v>89.8999051992522</v>
      </c>
      <c r="D3909" s="18" t="n">
        <f aca="false">'Black-Scholes'!$B$5*EXP(('Black-Scholes'!$B$8-'Black-Scholes'!$B$10-'Black-Scholes'!$B$9^2/2)*'Black-Scholes'!$B$7-'Black-Scholes'!$B$9*SQRT('Black-Scholes'!$B$7)*B3909)</f>
        <v>118.113199807267</v>
      </c>
      <c r="E3909" s="18" t="n">
        <f aca="false">EXP(-'Black-Scholes'!$B$8*'Black-Scholes'!$B$7)*IF(LOWER('Black-Scholes'!$B$11)="put",MAX('Black-Scholes'!$B$6-C3909,0),MAX(C3909-'Black-Scholes'!$B$6,0))</f>
        <v>0</v>
      </c>
      <c r="F3909" s="18" t="n">
        <f aca="false">(E3909+G3909)/2</f>
        <v>8.61490431426631</v>
      </c>
      <c r="G3909" s="18" t="n">
        <f aca="false">EXP(-'Black-Scholes'!$B$8*'Black-Scholes'!$B$7)*IF(LOWER('Black-Scholes'!$B$11)="put",MAX('Black-Scholes'!$B$6-D3909,0),MAX(D3909-'Black-Scholes'!$B$6,0))</f>
        <v>17.2298086285326</v>
      </c>
    </row>
    <row r="3910" customFormat="false" ht="15" hidden="false" customHeight="false" outlineLevel="0" collapsed="false">
      <c r="A3910" s="0" t="n">
        <v>3899</v>
      </c>
      <c r="B3910" s="15" t="n">
        <v>0.541275386702821</v>
      </c>
      <c r="C3910" s="18" t="n">
        <f aca="false">'Black-Scholes'!$B$5*EXP(('Black-Scholes'!$B$8-'Black-Scholes'!$B$10-'Black-Scholes'!$B$9^2/2)*'Black-Scholes'!$B$7+'Black-Scholes'!$B$9*SQRT('Black-Scholes'!$B$7)*B3910)</f>
        <v>114.826841017395</v>
      </c>
      <c r="D3910" s="18" t="n">
        <f aca="false">'Black-Scholes'!$B$5*EXP(('Black-Scholes'!$B$8-'Black-Scholes'!$B$10-'Black-Scholes'!$B$9^2/2)*'Black-Scholes'!$B$7-'Black-Scholes'!$B$9*SQRT('Black-Scholes'!$B$7)*B3910)</f>
        <v>92.4728519166092</v>
      </c>
      <c r="E3910" s="18" t="n">
        <f aca="false">EXP(-'Black-Scholes'!$B$8*'Black-Scholes'!$B$7)*IF(LOWER('Black-Scholes'!$B$11)="put",MAX('Black-Scholes'!$B$6-C3910,0),MAX(C3910-'Black-Scholes'!$B$6,0))</f>
        <v>14.1037274481402</v>
      </c>
      <c r="F3910" s="18" t="n">
        <f aca="false">(E3910+G3910)/2</f>
        <v>7.0518637240701</v>
      </c>
      <c r="G3910" s="18" t="n">
        <f aca="false">EXP(-'Black-Scholes'!$B$8*'Black-Scholes'!$B$7)*IF(LOWER('Black-Scholes'!$B$11)="put",MAX('Black-Scholes'!$B$6-D3910,0),MAX(D3910-'Black-Scholes'!$B$6,0))</f>
        <v>0</v>
      </c>
    </row>
    <row r="3911" customFormat="false" ht="15" hidden="false" customHeight="false" outlineLevel="0" collapsed="false">
      <c r="A3911" s="0" t="n">
        <v>3900</v>
      </c>
      <c r="B3911" s="15" t="n">
        <v>-0.947310337312094</v>
      </c>
      <c r="C3911" s="18" t="n">
        <f aca="false">'Black-Scholes'!$B$5*EXP(('Black-Scholes'!$B$8-'Black-Scholes'!$B$10-'Black-Scholes'!$B$9^2/2)*'Black-Scholes'!$B$7+'Black-Scholes'!$B$9*SQRT('Black-Scholes'!$B$7)*B3911)</f>
        <v>85.2602308152132</v>
      </c>
      <c r="D3911" s="18" t="n">
        <f aca="false">'Black-Scholes'!$B$5*EXP(('Black-Scholes'!$B$8-'Black-Scholes'!$B$10-'Black-Scholes'!$B$9^2/2)*'Black-Scholes'!$B$7-'Black-Scholes'!$B$9*SQRT('Black-Scholes'!$B$7)*B3911)</f>
        <v>124.540660562685</v>
      </c>
      <c r="E3911" s="18" t="n">
        <f aca="false">EXP(-'Black-Scholes'!$B$8*'Black-Scholes'!$B$7)*IF(LOWER('Black-Scholes'!$B$11)="put",MAX('Black-Scholes'!$B$6-C3911,0),MAX(C3911-'Black-Scholes'!$B$6,0))</f>
        <v>0</v>
      </c>
      <c r="F3911" s="18" t="n">
        <f aca="false">(E3911+G3911)/2</f>
        <v>11.6718992119549</v>
      </c>
      <c r="G3911" s="18" t="n">
        <f aca="false">EXP(-'Black-Scholes'!$B$8*'Black-Scholes'!$B$7)*IF(LOWER('Black-Scholes'!$B$11)="put",MAX('Black-Scholes'!$B$6-D3911,0),MAX(D3911-'Black-Scholes'!$B$6,0))</f>
        <v>23.3437984239097</v>
      </c>
    </row>
    <row r="3912" customFormat="false" ht="15" hidden="false" customHeight="false" outlineLevel="0" collapsed="false">
      <c r="A3912" s="0" t="n">
        <v>3901</v>
      </c>
      <c r="B3912" s="15" t="n">
        <v>2.0494270098393</v>
      </c>
      <c r="C3912" s="18" t="n">
        <f aca="false">'Black-Scholes'!$B$5*EXP(('Black-Scholes'!$B$8-'Black-Scholes'!$B$10-'Black-Scholes'!$B$9^2/2)*'Black-Scholes'!$B$7+'Black-Scholes'!$B$9*SQRT('Black-Scholes'!$B$7)*B3912)</f>
        <v>155.252929151484</v>
      </c>
      <c r="D3912" s="18" t="n">
        <f aca="false">'Black-Scholes'!$B$5*EXP(('Black-Scholes'!$B$8-'Black-Scholes'!$B$10-'Black-Scholes'!$B$9^2/2)*'Black-Scholes'!$B$7-'Black-Scholes'!$B$9*SQRT('Black-Scholes'!$B$7)*B3912)</f>
        <v>68.3939782874756</v>
      </c>
      <c r="E3912" s="18" t="n">
        <f aca="false">EXP(-'Black-Scholes'!$B$8*'Black-Scholes'!$B$7)*IF(LOWER('Black-Scholes'!$B$11)="put",MAX('Black-Scholes'!$B$6-C3912,0),MAX(C3912-'Black-Scholes'!$B$6,0))</f>
        <v>52.5582119987451</v>
      </c>
      <c r="F3912" s="18" t="n">
        <f aca="false">(E3912+G3912)/2</f>
        <v>26.2791059993726</v>
      </c>
      <c r="G3912" s="18" t="n">
        <f aca="false">EXP(-'Black-Scholes'!$B$8*'Black-Scholes'!$B$7)*IF(LOWER('Black-Scholes'!$B$11)="put",MAX('Black-Scholes'!$B$6-D3912,0),MAX(D3912-'Black-Scholes'!$B$6,0))</f>
        <v>0</v>
      </c>
    </row>
    <row r="3913" customFormat="false" ht="15" hidden="false" customHeight="false" outlineLevel="0" collapsed="false">
      <c r="A3913" s="0" t="n">
        <v>3902</v>
      </c>
      <c r="B3913" s="15" t="n">
        <v>0.225699607150324</v>
      </c>
      <c r="C3913" s="18" t="n">
        <f aca="false">'Black-Scholes'!$B$5*EXP(('Black-Scholes'!$B$8-'Black-Scholes'!$B$10-'Black-Scholes'!$B$9^2/2)*'Black-Scholes'!$B$7+'Black-Scholes'!$B$9*SQRT('Black-Scholes'!$B$7)*B3913)</f>
        <v>107.803498052837</v>
      </c>
      <c r="D3913" s="18" t="n">
        <f aca="false">'Black-Scholes'!$B$5*EXP(('Black-Scholes'!$B$8-'Black-Scholes'!$B$10-'Black-Scholes'!$B$9^2/2)*'Black-Scholes'!$B$7-'Black-Scholes'!$B$9*SQRT('Black-Scholes'!$B$7)*B3913)</f>
        <v>98.4974110974514</v>
      </c>
      <c r="E3913" s="18" t="n">
        <f aca="false">EXP(-'Black-Scholes'!$B$8*'Black-Scholes'!$B$7)*IF(LOWER('Black-Scholes'!$B$11)="put",MAX('Black-Scholes'!$B$6-C3913,0),MAX(C3913-'Black-Scholes'!$B$6,0))</f>
        <v>7.42291696189269</v>
      </c>
      <c r="F3913" s="18" t="n">
        <f aca="false">(E3913+G3913)/2</f>
        <v>3.71145848094635</v>
      </c>
      <c r="G3913" s="18" t="n">
        <f aca="false">EXP(-'Black-Scholes'!$B$8*'Black-Scholes'!$B$7)*IF(LOWER('Black-Scholes'!$B$11)="put",MAX('Black-Scholes'!$B$6-D3913,0),MAX(D3913-'Black-Scholes'!$B$6,0))</f>
        <v>0</v>
      </c>
    </row>
    <row r="3914" customFormat="false" ht="15" hidden="false" customHeight="false" outlineLevel="0" collapsed="false">
      <c r="A3914" s="0" t="n">
        <v>3903</v>
      </c>
      <c r="B3914" s="15" t="n">
        <v>0.377676769738542</v>
      </c>
      <c r="C3914" s="18" t="n">
        <f aca="false">'Black-Scholes'!$B$5*EXP(('Black-Scholes'!$B$8-'Black-Scholes'!$B$10-'Black-Scholes'!$B$9^2/2)*'Black-Scholes'!$B$7+'Black-Scholes'!$B$9*SQRT('Black-Scholes'!$B$7)*B3914)</f>
        <v>111.13053928611</v>
      </c>
      <c r="D3914" s="18" t="n">
        <f aca="false">'Black-Scholes'!$B$5*EXP(('Black-Scholes'!$B$8-'Black-Scholes'!$B$10-'Black-Scholes'!$B$9^2/2)*'Black-Scholes'!$B$7-'Black-Scholes'!$B$9*SQRT('Black-Scholes'!$B$7)*B3914)</f>
        <v>95.5485821779037</v>
      </c>
      <c r="E3914" s="18" t="n">
        <f aca="false">EXP(-'Black-Scholes'!$B$8*'Black-Scholes'!$B$7)*IF(LOWER('Black-Scholes'!$B$11)="put",MAX('Black-Scholes'!$B$6-C3914,0),MAX(C3914-'Black-Scholes'!$B$6,0))</f>
        <v>10.5876964795087</v>
      </c>
      <c r="F3914" s="18" t="n">
        <f aca="false">(E3914+G3914)/2</f>
        <v>5.29384823975433</v>
      </c>
      <c r="G3914" s="18" t="n">
        <f aca="false">EXP(-'Black-Scholes'!$B$8*'Black-Scholes'!$B$7)*IF(LOWER('Black-Scholes'!$B$11)="put",MAX('Black-Scholes'!$B$6-D3914,0),MAX(D3914-'Black-Scholes'!$B$6,0))</f>
        <v>0</v>
      </c>
    </row>
    <row r="3915" customFormat="false" ht="15" hidden="false" customHeight="false" outlineLevel="0" collapsed="false">
      <c r="A3915" s="0" t="n">
        <v>3904</v>
      </c>
      <c r="B3915" s="15" t="n">
        <v>1.59909284897713</v>
      </c>
      <c r="C3915" s="18" t="n">
        <f aca="false">'Black-Scholes'!$B$5*EXP(('Black-Scholes'!$B$8-'Black-Scholes'!$B$10-'Black-Scholes'!$B$9^2/2)*'Black-Scholes'!$B$7+'Black-Scholes'!$B$9*SQRT('Black-Scholes'!$B$7)*B3915)</f>
        <v>141.881011023187</v>
      </c>
      <c r="D3915" s="18" t="n">
        <f aca="false">'Black-Scholes'!$B$5*EXP(('Black-Scholes'!$B$8-'Black-Scholes'!$B$10-'Black-Scholes'!$B$9^2/2)*'Black-Scholes'!$B$7-'Black-Scholes'!$B$9*SQRT('Black-Scholes'!$B$7)*B3915)</f>
        <v>74.8399337506716</v>
      </c>
      <c r="E3915" s="18" t="n">
        <f aca="false">EXP(-'Black-Scholes'!$B$8*'Black-Scholes'!$B$7)*IF(LOWER('Black-Scholes'!$B$11)="put",MAX('Black-Scholes'!$B$6-C3915,0),MAX(C3915-'Black-Scholes'!$B$6,0))</f>
        <v>39.8384500130939</v>
      </c>
      <c r="F3915" s="18" t="n">
        <f aca="false">(E3915+G3915)/2</f>
        <v>19.9192250065469</v>
      </c>
      <c r="G3915" s="18" t="n">
        <f aca="false">EXP(-'Black-Scholes'!$B$8*'Black-Scholes'!$B$7)*IF(LOWER('Black-Scholes'!$B$11)="put",MAX('Black-Scholes'!$B$6-D3915,0),MAX(D3915-'Black-Scholes'!$B$6,0))</f>
        <v>0</v>
      </c>
    </row>
    <row r="3916" customFormat="false" ht="15" hidden="false" customHeight="false" outlineLevel="0" collapsed="false">
      <c r="A3916" s="0" t="n">
        <v>3905</v>
      </c>
      <c r="B3916" s="15" t="n">
        <v>-1.33682266655858</v>
      </c>
      <c r="C3916" s="18" t="n">
        <f aca="false">'Black-Scholes'!$B$5*EXP(('Black-Scholes'!$B$8-'Black-Scholes'!$B$10-'Black-Scholes'!$B$9^2/2)*'Black-Scholes'!$B$7+'Black-Scholes'!$B$9*SQRT('Black-Scholes'!$B$7)*B3916)</f>
        <v>78.8703726826475</v>
      </c>
      <c r="D3916" s="18" t="n">
        <f aca="false">'Black-Scholes'!$B$5*EXP(('Black-Scholes'!$B$8-'Black-Scholes'!$B$10-'Black-Scholes'!$B$9^2/2)*'Black-Scholes'!$B$7-'Black-Scholes'!$B$9*SQRT('Black-Scholes'!$B$7)*B3916)</f>
        <v>134.630598338605</v>
      </c>
      <c r="E3916" s="18" t="n">
        <f aca="false">EXP(-'Black-Scholes'!$B$8*'Black-Scholes'!$B$7)*IF(LOWER('Black-Scholes'!$B$11)="put",MAX('Black-Scholes'!$B$6-C3916,0),MAX(C3916-'Black-Scholes'!$B$6,0))</f>
        <v>0</v>
      </c>
      <c r="F3916" s="18" t="n">
        <f aca="false">(E3916+G3916)/2</f>
        <v>16.4708220638733</v>
      </c>
      <c r="G3916" s="18" t="n">
        <f aca="false">EXP(-'Black-Scholes'!$B$8*'Black-Scholes'!$B$7)*IF(LOWER('Black-Scholes'!$B$11)="put",MAX('Black-Scholes'!$B$6-D3916,0),MAX(D3916-'Black-Scholes'!$B$6,0))</f>
        <v>32.9416441277466</v>
      </c>
    </row>
    <row r="3917" customFormat="false" ht="15" hidden="false" customHeight="false" outlineLevel="0" collapsed="false">
      <c r="A3917" s="0" t="n">
        <v>3906</v>
      </c>
      <c r="B3917" s="15" t="n">
        <v>-0.210565120374615</v>
      </c>
      <c r="C3917" s="18" t="n">
        <f aca="false">'Black-Scholes'!$B$5*EXP(('Black-Scholes'!$B$8-'Black-Scholes'!$B$10-'Black-Scholes'!$B$9^2/2)*'Black-Scholes'!$B$7+'Black-Scholes'!$B$9*SQRT('Black-Scholes'!$B$7)*B3917)</f>
        <v>98.7960043281421</v>
      </c>
      <c r="D3917" s="18" t="n">
        <f aca="false">'Black-Scholes'!$B$5*EXP(('Black-Scholes'!$B$8-'Black-Scholes'!$B$10-'Black-Scholes'!$B$9^2/2)*'Black-Scholes'!$B$7-'Black-Scholes'!$B$9*SQRT('Black-Scholes'!$B$7)*B3917)</f>
        <v>107.477681285426</v>
      </c>
      <c r="E3917" s="18" t="n">
        <f aca="false">EXP(-'Black-Scholes'!$B$8*'Black-Scholes'!$B$7)*IF(LOWER('Black-Scholes'!$B$11)="put",MAX('Black-Scholes'!$B$6-C3917,0),MAX(C3917-'Black-Scholes'!$B$6,0))</f>
        <v>0</v>
      </c>
      <c r="F3917" s="18" t="n">
        <f aca="false">(E3917+G3917)/2</f>
        <v>3.55649523286763</v>
      </c>
      <c r="G3917" s="18" t="n">
        <f aca="false">EXP(-'Black-Scholes'!$B$8*'Black-Scholes'!$B$7)*IF(LOWER('Black-Scholes'!$B$11)="put",MAX('Black-Scholes'!$B$6-D3917,0),MAX(D3917-'Black-Scholes'!$B$6,0))</f>
        <v>7.11299046573525</v>
      </c>
    </row>
    <row r="3918" customFormat="false" ht="15" hidden="false" customHeight="false" outlineLevel="0" collapsed="false">
      <c r="A3918" s="0" t="n">
        <v>3907</v>
      </c>
      <c r="B3918" s="15" t="n">
        <v>-1.19672171080315</v>
      </c>
      <c r="C3918" s="18" t="n">
        <f aca="false">'Black-Scholes'!$B$5*EXP(('Black-Scholes'!$B$8-'Black-Scholes'!$B$10-'Black-Scholes'!$B$9^2/2)*'Black-Scholes'!$B$7+'Black-Scholes'!$B$9*SQRT('Black-Scholes'!$B$7)*B3918)</f>
        <v>81.1115886153509</v>
      </c>
      <c r="D3918" s="18" t="n">
        <f aca="false">'Black-Scholes'!$B$5*EXP(('Black-Scholes'!$B$8-'Black-Scholes'!$B$10-'Black-Scholes'!$B$9^2/2)*'Black-Scholes'!$B$7-'Black-Scholes'!$B$9*SQRT('Black-Scholes'!$B$7)*B3918)</f>
        <v>130.910584377878</v>
      </c>
      <c r="E3918" s="18" t="n">
        <f aca="false">EXP(-'Black-Scholes'!$B$8*'Black-Scholes'!$B$7)*IF(LOWER('Black-Scholes'!$B$11)="put",MAX('Black-Scholes'!$B$6-C3918,0),MAX(C3918-'Black-Scholes'!$B$6,0))</f>
        <v>0</v>
      </c>
      <c r="F3918" s="18" t="n">
        <f aca="false">(E3918+G3918)/2</f>
        <v>14.7015286943747</v>
      </c>
      <c r="G3918" s="18" t="n">
        <f aca="false">EXP(-'Black-Scholes'!$B$8*'Black-Scholes'!$B$7)*IF(LOWER('Black-Scholes'!$B$11)="put",MAX('Black-Scholes'!$B$6-D3918,0),MAX(D3918-'Black-Scholes'!$B$6,0))</f>
        <v>29.4030573887493</v>
      </c>
    </row>
    <row r="3919" customFormat="false" ht="15" hidden="false" customHeight="false" outlineLevel="0" collapsed="false">
      <c r="A3919" s="0" t="n">
        <v>3908</v>
      </c>
      <c r="B3919" s="15" t="n">
        <v>0.269664429423603</v>
      </c>
      <c r="C3919" s="18" t="n">
        <f aca="false">'Black-Scholes'!$B$5*EXP(('Black-Scholes'!$B$8-'Black-Scholes'!$B$10-'Black-Scholes'!$B$9^2/2)*'Black-Scholes'!$B$7+'Black-Scholes'!$B$9*SQRT('Black-Scholes'!$B$7)*B3919)</f>
        <v>108.755590100732</v>
      </c>
      <c r="D3919" s="18" t="n">
        <f aca="false">'Black-Scholes'!$B$5*EXP(('Black-Scholes'!$B$8-'Black-Scholes'!$B$10-'Black-Scholes'!$B$9^2/2)*'Black-Scholes'!$B$7-'Black-Scholes'!$B$9*SQRT('Black-Scholes'!$B$7)*B3919)</f>
        <v>97.6351234508373</v>
      </c>
      <c r="E3919" s="18" t="n">
        <f aca="false">EXP(-'Black-Scholes'!$B$8*'Black-Scholes'!$B$7)*IF(LOWER('Black-Scholes'!$B$11)="put",MAX('Black-Scholes'!$B$6-C3919,0),MAX(C3919-'Black-Scholes'!$B$6,0))</f>
        <v>8.32857493268315</v>
      </c>
      <c r="F3919" s="18" t="n">
        <f aca="false">(E3919+G3919)/2</f>
        <v>4.16428746634157</v>
      </c>
      <c r="G3919" s="18" t="n">
        <f aca="false">EXP(-'Black-Scholes'!$B$8*'Black-Scholes'!$B$7)*IF(LOWER('Black-Scholes'!$B$11)="put",MAX('Black-Scholes'!$B$6-D3919,0),MAX(D3919-'Black-Scholes'!$B$6,0))</f>
        <v>0</v>
      </c>
    </row>
    <row r="3920" customFormat="false" ht="15" hidden="false" customHeight="false" outlineLevel="0" collapsed="false">
      <c r="A3920" s="0" t="n">
        <v>3909</v>
      </c>
      <c r="B3920" s="15" t="n">
        <v>-0.299763069322358</v>
      </c>
      <c r="C3920" s="18" t="n">
        <f aca="false">'Black-Scholes'!$B$5*EXP(('Black-Scholes'!$B$8-'Black-Scholes'!$B$10-'Black-Scholes'!$B$9^2/2)*'Black-Scholes'!$B$7+'Black-Scholes'!$B$9*SQRT('Black-Scholes'!$B$7)*B3920)</f>
        <v>97.0491520301643</v>
      </c>
      <c r="D3920" s="18" t="n">
        <f aca="false">'Black-Scholes'!$B$5*EXP(('Black-Scholes'!$B$8-'Black-Scholes'!$B$10-'Black-Scholes'!$B$9^2/2)*'Black-Scholes'!$B$7-'Black-Scholes'!$B$9*SQRT('Black-Scholes'!$B$7)*B3920)</f>
        <v>109.412243624275</v>
      </c>
      <c r="E3920" s="18" t="n">
        <f aca="false">EXP(-'Black-Scholes'!$B$8*'Black-Scholes'!$B$7)*IF(LOWER('Black-Scholes'!$B$11)="put",MAX('Black-Scholes'!$B$6-C3920,0),MAX(C3920-'Black-Scholes'!$B$6,0))</f>
        <v>0</v>
      </c>
      <c r="F3920" s="18" t="n">
        <f aca="false">(E3920+G3920)/2</f>
        <v>4.47660154298963</v>
      </c>
      <c r="G3920" s="18" t="n">
        <f aca="false">EXP(-'Black-Scholes'!$B$8*'Black-Scholes'!$B$7)*IF(LOWER('Black-Scholes'!$B$11)="put",MAX('Black-Scholes'!$B$6-D3920,0),MAX(D3920-'Black-Scholes'!$B$6,0))</f>
        <v>8.95320308597927</v>
      </c>
    </row>
    <row r="3921" customFormat="false" ht="15" hidden="false" customHeight="false" outlineLevel="0" collapsed="false">
      <c r="A3921" s="0" t="n">
        <v>3910</v>
      </c>
      <c r="B3921" s="15" t="n">
        <v>-0.626124984883131</v>
      </c>
      <c r="C3921" s="18" t="n">
        <f aca="false">'Black-Scholes'!$B$5*EXP(('Black-Scholes'!$B$8-'Black-Scholes'!$B$10-'Black-Scholes'!$B$9^2/2)*'Black-Scholes'!$B$7+'Black-Scholes'!$B$9*SQRT('Black-Scholes'!$B$7)*B3921)</f>
        <v>90.9168351323508</v>
      </c>
      <c r="D3921" s="18" t="n">
        <f aca="false">'Black-Scholes'!$B$5*EXP(('Black-Scholes'!$B$8-'Black-Scholes'!$B$10-'Black-Scholes'!$B$9^2/2)*'Black-Scholes'!$B$7-'Black-Scholes'!$B$9*SQRT('Black-Scholes'!$B$7)*B3921)</f>
        <v>116.792071017387</v>
      </c>
      <c r="E3921" s="18" t="n">
        <f aca="false">EXP(-'Black-Scholes'!$B$8*'Black-Scholes'!$B$7)*IF(LOWER('Black-Scholes'!$B$11)="put",MAX('Black-Scholes'!$B$6-C3921,0),MAX(C3921-'Black-Scholes'!$B$6,0))</f>
        <v>0</v>
      </c>
      <c r="F3921" s="18" t="n">
        <f aca="false">(E3921+G3921)/2</f>
        <v>7.98655602502216</v>
      </c>
      <c r="G3921" s="18" t="n">
        <f aca="false">EXP(-'Black-Scholes'!$B$8*'Black-Scholes'!$B$7)*IF(LOWER('Black-Scholes'!$B$11)="put",MAX('Black-Scholes'!$B$6-D3921,0),MAX(D3921-'Black-Scholes'!$B$6,0))</f>
        <v>15.9731120500443</v>
      </c>
    </row>
    <row r="3922" customFormat="false" ht="15" hidden="false" customHeight="false" outlineLevel="0" collapsed="false">
      <c r="A3922" s="0" t="n">
        <v>3911</v>
      </c>
      <c r="B3922" s="15" t="n">
        <v>0.732139123896243</v>
      </c>
      <c r="C3922" s="18" t="n">
        <f aca="false">'Black-Scholes'!$B$5*EXP(('Black-Scholes'!$B$8-'Black-Scholes'!$B$10-'Black-Scholes'!$B$9^2/2)*'Black-Scholes'!$B$7+'Black-Scholes'!$B$9*SQRT('Black-Scholes'!$B$7)*B3922)</f>
        <v>119.294832234382</v>
      </c>
      <c r="D3922" s="18" t="n">
        <f aca="false">'Black-Scholes'!$B$5*EXP(('Black-Scholes'!$B$8-'Black-Scholes'!$B$10-'Black-Scholes'!$B$9^2/2)*'Black-Scholes'!$B$7-'Black-Scholes'!$B$9*SQRT('Black-Scholes'!$B$7)*B3922)</f>
        <v>89.0094337413658</v>
      </c>
      <c r="E3922" s="18" t="n">
        <f aca="false">EXP(-'Black-Scholes'!$B$8*'Black-Scholes'!$B$7)*IF(LOWER('Black-Scholes'!$B$11)="put",MAX('Black-Scholes'!$B$6-C3922,0),MAX(C3922-'Black-Scholes'!$B$6,0))</f>
        <v>18.3538121621492</v>
      </c>
      <c r="F3922" s="18" t="n">
        <f aca="false">(E3922+G3922)/2</f>
        <v>9.17690608107462</v>
      </c>
      <c r="G3922" s="18" t="n">
        <f aca="false">EXP(-'Black-Scholes'!$B$8*'Black-Scholes'!$B$7)*IF(LOWER('Black-Scholes'!$B$11)="put",MAX('Black-Scholes'!$B$6-D3922,0),MAX(D3922-'Black-Scholes'!$B$6,0))</f>
        <v>0</v>
      </c>
    </row>
    <row r="3923" customFormat="false" ht="15" hidden="false" customHeight="false" outlineLevel="0" collapsed="false">
      <c r="A3923" s="0" t="n">
        <v>3912</v>
      </c>
      <c r="B3923" s="15" t="n">
        <v>1.90798619238065</v>
      </c>
      <c r="C3923" s="18" t="n">
        <f aca="false">'Black-Scholes'!$B$5*EXP(('Black-Scholes'!$B$8-'Black-Scholes'!$B$10-'Black-Scholes'!$B$9^2/2)*'Black-Scholes'!$B$7+'Black-Scholes'!$B$9*SQRT('Black-Scholes'!$B$7)*B3923)</f>
        <v>150.922645555423</v>
      </c>
      <c r="D3923" s="18" t="n">
        <f aca="false">'Black-Scholes'!$B$5*EXP(('Black-Scholes'!$B$8-'Black-Scholes'!$B$10-'Black-Scholes'!$B$9^2/2)*'Black-Scholes'!$B$7-'Black-Scholes'!$B$9*SQRT('Black-Scholes'!$B$7)*B3923)</f>
        <v>70.3563433199576</v>
      </c>
      <c r="E3923" s="18" t="n">
        <f aca="false">EXP(-'Black-Scholes'!$B$8*'Black-Scholes'!$B$7)*IF(LOWER('Black-Scholes'!$B$11)="put",MAX('Black-Scholes'!$B$6-C3923,0),MAX(C3923-'Black-Scholes'!$B$6,0))</f>
        <v>48.4391188257387</v>
      </c>
      <c r="F3923" s="18" t="n">
        <f aca="false">(E3923+G3923)/2</f>
        <v>24.2195594128693</v>
      </c>
      <c r="G3923" s="18" t="n">
        <f aca="false">EXP(-'Black-Scholes'!$B$8*'Black-Scholes'!$B$7)*IF(LOWER('Black-Scholes'!$B$11)="put",MAX('Black-Scholes'!$B$6-D3923,0),MAX(D3923-'Black-Scholes'!$B$6,0))</f>
        <v>0</v>
      </c>
    </row>
    <row r="3924" customFormat="false" ht="15" hidden="false" customHeight="false" outlineLevel="0" collapsed="false">
      <c r="A3924" s="0" t="n">
        <v>3913</v>
      </c>
      <c r="B3924" s="15" t="n">
        <v>-1.40356522237212</v>
      </c>
      <c r="C3924" s="18" t="n">
        <f aca="false">'Black-Scholes'!$B$5*EXP(('Black-Scholes'!$B$8-'Black-Scholes'!$B$10-'Black-Scholes'!$B$9^2/2)*'Black-Scholes'!$B$7+'Black-Scholes'!$B$9*SQRT('Black-Scholes'!$B$7)*B3924)</f>
        <v>77.8245661413095</v>
      </c>
      <c r="D3924" s="18" t="n">
        <f aca="false">'Black-Scholes'!$B$5*EXP(('Black-Scholes'!$B$8-'Black-Scholes'!$B$10-'Black-Scholes'!$B$9^2/2)*'Black-Scholes'!$B$7-'Black-Scholes'!$B$9*SQRT('Black-Scholes'!$B$7)*B3924)</f>
        <v>136.439764356326</v>
      </c>
      <c r="E3924" s="18" t="n">
        <f aca="false">EXP(-'Black-Scholes'!$B$8*'Black-Scholes'!$B$7)*IF(LOWER('Black-Scholes'!$B$11)="put",MAX('Black-Scholes'!$B$6-C3924,0),MAX(C3924-'Black-Scholes'!$B$6,0))</f>
        <v>0</v>
      </c>
      <c r="F3924" s="18" t="n">
        <f aca="false">(E3924+G3924)/2</f>
        <v>17.331288038805</v>
      </c>
      <c r="G3924" s="18" t="n">
        <f aca="false">EXP(-'Black-Scholes'!$B$8*'Black-Scholes'!$B$7)*IF(LOWER('Black-Scholes'!$B$11)="put",MAX('Black-Scholes'!$B$6-D3924,0),MAX(D3924-'Black-Scholes'!$B$6,0))</f>
        <v>34.6625760776099</v>
      </c>
    </row>
    <row r="3925" customFormat="false" ht="15" hidden="false" customHeight="false" outlineLevel="0" collapsed="false">
      <c r="A3925" s="0" t="n">
        <v>3914</v>
      </c>
      <c r="B3925" s="15" t="n">
        <v>1.36776432462094</v>
      </c>
      <c r="C3925" s="18" t="n">
        <f aca="false">'Black-Scholes'!$B$5*EXP(('Black-Scholes'!$B$8-'Black-Scholes'!$B$10-'Black-Scholes'!$B$9^2/2)*'Black-Scholes'!$B$7+'Black-Scholes'!$B$9*SQRT('Black-Scholes'!$B$7)*B3925)</f>
        <v>135.466320321666</v>
      </c>
      <c r="D3925" s="18" t="n">
        <f aca="false">'Black-Scholes'!$B$5*EXP(('Black-Scholes'!$B$8-'Black-Scholes'!$B$10-'Black-Scholes'!$B$9^2/2)*'Black-Scholes'!$B$7-'Black-Scholes'!$B$9*SQRT('Black-Scholes'!$B$7)*B3925)</f>
        <v>78.3838037398535</v>
      </c>
      <c r="E3925" s="18" t="n">
        <f aca="false">EXP(-'Black-Scholes'!$B$8*'Black-Scholes'!$B$7)*IF(LOWER('Black-Scholes'!$B$11)="put",MAX('Black-Scholes'!$B$6-C3925,0),MAX(C3925-'Black-Scholes'!$B$6,0))</f>
        <v>33.7366074687363</v>
      </c>
      <c r="F3925" s="18" t="n">
        <f aca="false">(E3925+G3925)/2</f>
        <v>16.8683037343681</v>
      </c>
      <c r="G3925" s="18" t="n">
        <f aca="false">EXP(-'Black-Scholes'!$B$8*'Black-Scholes'!$B$7)*IF(LOWER('Black-Scholes'!$B$11)="put",MAX('Black-Scholes'!$B$6-D3925,0),MAX(D3925-'Black-Scholes'!$B$6,0))</f>
        <v>0</v>
      </c>
    </row>
    <row r="3926" customFormat="false" ht="15" hidden="false" customHeight="false" outlineLevel="0" collapsed="false">
      <c r="A3926" s="0" t="n">
        <v>3915</v>
      </c>
      <c r="B3926" s="15" t="n">
        <v>-1.35159455442307</v>
      </c>
      <c r="C3926" s="18" t="n">
        <f aca="false">'Black-Scholes'!$B$5*EXP(('Black-Scholes'!$B$8-'Black-Scholes'!$B$10-'Black-Scholes'!$B$9^2/2)*'Black-Scholes'!$B$7+'Black-Scholes'!$B$9*SQRT('Black-Scholes'!$B$7)*B3926)</f>
        <v>78.6377036876926</v>
      </c>
      <c r="D3926" s="18" t="n">
        <f aca="false">'Black-Scholes'!$B$5*EXP(('Black-Scholes'!$B$8-'Black-Scholes'!$B$10-'Black-Scholes'!$B$9^2/2)*'Black-Scholes'!$B$7-'Black-Scholes'!$B$9*SQRT('Black-Scholes'!$B$7)*B3926)</f>
        <v>135.028936089285</v>
      </c>
      <c r="E3926" s="18" t="n">
        <f aca="false">EXP(-'Black-Scholes'!$B$8*'Black-Scholes'!$B$7)*IF(LOWER('Black-Scholes'!$B$11)="put",MAX('Black-Scholes'!$B$6-C3926,0),MAX(C3926-'Black-Scholes'!$B$6,0))</f>
        <v>0</v>
      </c>
      <c r="F3926" s="18" t="n">
        <f aca="false">(E3926+G3926)/2</f>
        <v>16.6602773585415</v>
      </c>
      <c r="G3926" s="18" t="n">
        <f aca="false">EXP(-'Black-Scholes'!$B$8*'Black-Scholes'!$B$7)*IF(LOWER('Black-Scholes'!$B$11)="put",MAX('Black-Scholes'!$B$6-D3926,0),MAX(D3926-'Black-Scholes'!$B$6,0))</f>
        <v>33.3205547170831</v>
      </c>
    </row>
    <row r="3927" customFormat="false" ht="15" hidden="false" customHeight="false" outlineLevel="0" collapsed="false">
      <c r="A3927" s="0" t="n">
        <v>3916</v>
      </c>
      <c r="B3927" s="15" t="n">
        <v>-0.268654847611368</v>
      </c>
      <c r="C3927" s="18" t="n">
        <f aca="false">'Black-Scholes'!$B$5*EXP(('Black-Scholes'!$B$8-'Black-Scholes'!$B$10-'Black-Scholes'!$B$9^2/2)*'Black-Scholes'!$B$7+'Black-Scholes'!$B$9*SQRT('Black-Scholes'!$B$7)*B3927)</f>
        <v>97.6548395702481</v>
      </c>
      <c r="D3927" s="18" t="n">
        <f aca="false">'Black-Scholes'!$B$5*EXP(('Black-Scholes'!$B$8-'Black-Scholes'!$B$10-'Black-Scholes'!$B$9^2/2)*'Black-Scholes'!$B$7-'Black-Scholes'!$B$9*SQRT('Black-Scholes'!$B$7)*B3927)</f>
        <v>108.733632784428</v>
      </c>
      <c r="E3927" s="18" t="n">
        <f aca="false">EXP(-'Black-Scholes'!$B$8*'Black-Scholes'!$B$7)*IF(LOWER('Black-Scholes'!$B$11)="put",MAX('Black-Scholes'!$B$6-C3927,0),MAX(C3927-'Black-Scholes'!$B$6,0))</f>
        <v>0</v>
      </c>
      <c r="F3927" s="18" t="n">
        <f aca="false">(E3927+G3927)/2</f>
        <v>4.15384424366605</v>
      </c>
      <c r="G3927" s="18" t="n">
        <f aca="false">EXP(-'Black-Scholes'!$B$8*'Black-Scholes'!$B$7)*IF(LOWER('Black-Scholes'!$B$11)="put",MAX('Black-Scholes'!$B$6-D3927,0),MAX(D3927-'Black-Scholes'!$B$6,0))</f>
        <v>8.30768848733211</v>
      </c>
    </row>
    <row r="3928" customFormat="false" ht="15" hidden="false" customHeight="false" outlineLevel="0" collapsed="false">
      <c r="A3928" s="0" t="n">
        <v>3917</v>
      </c>
      <c r="B3928" s="15" t="n">
        <v>0.354293093353346</v>
      </c>
      <c r="C3928" s="18" t="n">
        <f aca="false">'Black-Scholes'!$B$5*EXP(('Black-Scholes'!$B$8-'Black-Scholes'!$B$10-'Black-Scholes'!$B$9^2/2)*'Black-Scholes'!$B$7+'Black-Scholes'!$B$9*SQRT('Black-Scholes'!$B$7)*B3928)</f>
        <v>110.612024595719</v>
      </c>
      <c r="D3928" s="18" t="n">
        <f aca="false">'Black-Scholes'!$B$5*EXP(('Black-Scholes'!$B$8-'Black-Scholes'!$B$10-'Black-Scholes'!$B$9^2/2)*'Black-Scholes'!$B$7-'Black-Scholes'!$B$9*SQRT('Black-Scholes'!$B$7)*B3928)</f>
        <v>95.9964841459432</v>
      </c>
      <c r="E3928" s="18" t="n">
        <f aca="false">EXP(-'Black-Scholes'!$B$8*'Black-Scholes'!$B$7)*IF(LOWER('Black-Scholes'!$B$11)="put",MAX('Black-Scholes'!$B$6-C3928,0),MAX(C3928-'Black-Scholes'!$B$6,0))</f>
        <v>10.094470048973</v>
      </c>
      <c r="F3928" s="18" t="n">
        <f aca="false">(E3928+G3928)/2</f>
        <v>5.04723502448648</v>
      </c>
      <c r="G3928" s="18" t="n">
        <f aca="false">EXP(-'Black-Scholes'!$B$8*'Black-Scholes'!$B$7)*IF(LOWER('Black-Scholes'!$B$11)="put",MAX('Black-Scholes'!$B$6-D3928,0),MAX(D3928-'Black-Scholes'!$B$6,0))</f>
        <v>0</v>
      </c>
    </row>
    <row r="3929" customFormat="false" ht="15" hidden="false" customHeight="false" outlineLevel="0" collapsed="false">
      <c r="A3929" s="0" t="n">
        <v>3918</v>
      </c>
      <c r="B3929" s="15" t="n">
        <v>0.107994494726039</v>
      </c>
      <c r="C3929" s="18" t="n">
        <f aca="false">'Black-Scholes'!$B$5*EXP(('Black-Scholes'!$B$8-'Black-Scholes'!$B$10-'Black-Scholes'!$B$9^2/2)*'Black-Scholes'!$B$7+'Black-Scholes'!$B$9*SQRT('Black-Scholes'!$B$7)*B3929)</f>
        <v>105.295331711525</v>
      </c>
      <c r="D3929" s="18" t="n">
        <f aca="false">'Black-Scholes'!$B$5*EXP(('Black-Scholes'!$B$8-'Black-Scholes'!$B$10-'Black-Scholes'!$B$9^2/2)*'Black-Scholes'!$B$7-'Black-Scholes'!$B$9*SQRT('Black-Scholes'!$B$7)*B3929)</f>
        <v>100.843648933501</v>
      </c>
      <c r="E3929" s="18" t="n">
        <f aca="false">EXP(-'Black-Scholes'!$B$8*'Black-Scholes'!$B$7)*IF(LOWER('Black-Scholes'!$B$11)="put",MAX('Black-Scholes'!$B$6-C3929,0),MAX(C3929-'Black-Scholes'!$B$6,0))</f>
        <v>5.03707533649429</v>
      </c>
      <c r="F3929" s="18" t="n">
        <f aca="false">(E3929+G3929)/2</f>
        <v>2.9197895129947</v>
      </c>
      <c r="G3929" s="18" t="n">
        <f aca="false">EXP(-'Black-Scholes'!$B$8*'Black-Scholes'!$B$7)*IF(LOWER('Black-Scholes'!$B$11)="put",MAX('Black-Scholes'!$B$6-D3929,0),MAX(D3929-'Black-Scholes'!$B$6,0))</f>
        <v>0.802503689495109</v>
      </c>
    </row>
    <row r="3930" customFormat="false" ht="15" hidden="false" customHeight="false" outlineLevel="0" collapsed="false">
      <c r="A3930" s="0" t="n">
        <v>3919</v>
      </c>
      <c r="B3930" s="15" t="n">
        <v>-0.317058938701666</v>
      </c>
      <c r="C3930" s="18" t="n">
        <f aca="false">'Black-Scholes'!$B$5*EXP(('Black-Scholes'!$B$8-'Black-Scholes'!$B$10-'Black-Scholes'!$B$9^2/2)*'Black-Scholes'!$B$7+'Black-Scholes'!$B$9*SQRT('Black-Scholes'!$B$7)*B3930)</f>
        <v>96.7140221092977</v>
      </c>
      <c r="D3930" s="18" t="n">
        <f aca="false">'Black-Scholes'!$B$5*EXP(('Black-Scholes'!$B$8-'Black-Scholes'!$B$10-'Black-Scholes'!$B$9^2/2)*'Black-Scholes'!$B$7-'Black-Scholes'!$B$9*SQRT('Black-Scholes'!$B$7)*B3930)</f>
        <v>109.791374961675</v>
      </c>
      <c r="E3930" s="18" t="n">
        <f aca="false">EXP(-'Black-Scholes'!$B$8*'Black-Scholes'!$B$7)*IF(LOWER('Black-Scholes'!$B$11)="put",MAX('Black-Scholes'!$B$6-C3930,0),MAX(C3930-'Black-Scholes'!$B$6,0))</f>
        <v>0</v>
      </c>
      <c r="F3930" s="18" t="n">
        <f aca="false">(E3930+G3930)/2</f>
        <v>4.65692198493223</v>
      </c>
      <c r="G3930" s="18" t="n">
        <f aca="false">EXP(-'Black-Scholes'!$B$8*'Black-Scholes'!$B$7)*IF(LOWER('Black-Scholes'!$B$11)="put",MAX('Black-Scholes'!$B$6-D3930,0),MAX(D3930-'Black-Scholes'!$B$6,0))</f>
        <v>9.31384396986446</v>
      </c>
    </row>
    <row r="3931" customFormat="false" ht="15" hidden="false" customHeight="false" outlineLevel="0" collapsed="false">
      <c r="A3931" s="0" t="n">
        <v>3920</v>
      </c>
      <c r="B3931" s="15" t="n">
        <v>-0.355228518106868</v>
      </c>
      <c r="C3931" s="18" t="n">
        <f aca="false">'Black-Scholes'!$B$5*EXP(('Black-Scholes'!$B$8-'Black-Scholes'!$B$10-'Black-Scholes'!$B$9^2/2)*'Black-Scholes'!$B$7+'Black-Scholes'!$B$9*SQRT('Black-Scholes'!$B$7)*B3931)</f>
        <v>95.9785263283101</v>
      </c>
      <c r="D3931" s="18" t="n">
        <f aca="false">'Black-Scholes'!$B$5*EXP(('Black-Scholes'!$B$8-'Black-Scholes'!$B$10-'Black-Scholes'!$B$9^2/2)*'Black-Scholes'!$B$7-'Black-Scholes'!$B$9*SQRT('Black-Scholes'!$B$7)*B3931)</f>
        <v>110.632720376762</v>
      </c>
      <c r="E3931" s="18" t="n">
        <f aca="false">EXP(-'Black-Scholes'!$B$8*'Black-Scholes'!$B$7)*IF(LOWER('Black-Scholes'!$B$11)="put",MAX('Black-Scholes'!$B$6-C3931,0),MAX(C3931-'Black-Scholes'!$B$6,0))</f>
        <v>0</v>
      </c>
      <c r="F3931" s="18" t="n">
        <f aca="false">(E3931+G3931)/2</f>
        <v>5.05707824243206</v>
      </c>
      <c r="G3931" s="18" t="n">
        <f aca="false">EXP(-'Black-Scholes'!$B$8*'Black-Scholes'!$B$7)*IF(LOWER('Black-Scholes'!$B$11)="put",MAX('Black-Scholes'!$B$6-D3931,0),MAX(D3931-'Black-Scholes'!$B$6,0))</f>
        <v>10.1141564848641</v>
      </c>
    </row>
    <row r="3932" customFormat="false" ht="15" hidden="false" customHeight="false" outlineLevel="0" collapsed="false">
      <c r="A3932" s="0" t="n">
        <v>3921</v>
      </c>
      <c r="B3932" s="15" t="n">
        <v>0.62479255233088</v>
      </c>
      <c r="C3932" s="18" t="n">
        <f aca="false">'Black-Scholes'!$B$5*EXP(('Black-Scholes'!$B$8-'Black-Scholes'!$B$10-'Black-Scholes'!$B$9^2/2)*'Black-Scholes'!$B$7+'Black-Scholes'!$B$9*SQRT('Black-Scholes'!$B$7)*B3932)</f>
        <v>116.760951652563</v>
      </c>
      <c r="D3932" s="18" t="n">
        <f aca="false">'Black-Scholes'!$B$5*EXP(('Black-Scholes'!$B$8-'Black-Scholes'!$B$10-'Black-Scholes'!$B$9^2/2)*'Black-Scholes'!$B$7-'Black-Scholes'!$B$9*SQRT('Black-Scholes'!$B$7)*B3932)</f>
        <v>90.9410664710054</v>
      </c>
      <c r="E3932" s="18" t="n">
        <f aca="false">EXP(-'Black-Scholes'!$B$8*'Black-Scholes'!$B$7)*IF(LOWER('Black-Scholes'!$B$11)="put",MAX('Black-Scholes'!$B$6-C3932,0),MAX(C3932-'Black-Scholes'!$B$6,0))</f>
        <v>15.9435103945519</v>
      </c>
      <c r="F3932" s="18" t="n">
        <f aca="false">(E3932+G3932)/2</f>
        <v>7.97175519727597</v>
      </c>
      <c r="G3932" s="18" t="n">
        <f aca="false">EXP(-'Black-Scholes'!$B$8*'Black-Scholes'!$B$7)*IF(LOWER('Black-Scholes'!$B$11)="put",MAX('Black-Scholes'!$B$6-D3932,0),MAX(D3932-'Black-Scholes'!$B$6,0))</f>
        <v>0</v>
      </c>
    </row>
    <row r="3933" customFormat="false" ht="15" hidden="false" customHeight="false" outlineLevel="0" collapsed="false">
      <c r="A3933" s="0" t="n">
        <v>3922</v>
      </c>
      <c r="B3933" s="15" t="n">
        <v>1.33245245941855</v>
      </c>
      <c r="C3933" s="18" t="n">
        <f aca="false">'Black-Scholes'!$B$5*EXP(('Black-Scholes'!$B$8-'Black-Scholes'!$B$10-'Black-Scholes'!$B$9^2/2)*'Black-Scholes'!$B$7+'Black-Scholes'!$B$9*SQRT('Black-Scholes'!$B$7)*B3933)</f>
        <v>134.512977028617</v>
      </c>
      <c r="D3933" s="18" t="n">
        <f aca="false">'Black-Scholes'!$B$5*EXP(('Black-Scholes'!$B$8-'Black-Scholes'!$B$10-'Black-Scholes'!$B$9^2/2)*'Black-Scholes'!$B$7-'Black-Scholes'!$B$9*SQRT('Black-Scholes'!$B$7)*B3933)</f>
        <v>78.9393387910418</v>
      </c>
      <c r="E3933" s="18" t="n">
        <f aca="false">EXP(-'Black-Scholes'!$B$8*'Black-Scholes'!$B$7)*IF(LOWER('Black-Scholes'!$B$11)="put",MAX('Black-Scholes'!$B$6-C3933,0),MAX(C3933-'Black-Scholes'!$B$6,0))</f>
        <v>32.8297592767374</v>
      </c>
      <c r="F3933" s="18" t="n">
        <f aca="false">(E3933+G3933)/2</f>
        <v>16.4148796383687</v>
      </c>
      <c r="G3933" s="18" t="n">
        <f aca="false">EXP(-'Black-Scholes'!$B$8*'Black-Scholes'!$B$7)*IF(LOWER('Black-Scholes'!$B$11)="put",MAX('Black-Scholes'!$B$6-D3933,0),MAX(D3933-'Black-Scholes'!$B$6,0))</f>
        <v>0</v>
      </c>
    </row>
    <row r="3934" customFormat="false" ht="15" hidden="false" customHeight="false" outlineLevel="0" collapsed="false">
      <c r="A3934" s="0" t="n">
        <v>3923</v>
      </c>
      <c r="B3934" s="15" t="n">
        <v>0.0195522143721427</v>
      </c>
      <c r="C3934" s="18" t="n">
        <f aca="false">'Black-Scholes'!$B$5*EXP(('Black-Scholes'!$B$8-'Black-Scholes'!$B$10-'Black-Scholes'!$B$9^2/2)*'Black-Scholes'!$B$7+'Black-Scholes'!$B$9*SQRT('Black-Scholes'!$B$7)*B3934)</f>
        <v>103.449195645339</v>
      </c>
      <c r="D3934" s="18" t="n">
        <f aca="false">'Black-Scholes'!$B$5*EXP(('Black-Scholes'!$B$8-'Black-Scholes'!$B$10-'Black-Scholes'!$B$9^2/2)*'Black-Scholes'!$B$7-'Black-Scholes'!$B$9*SQRT('Black-Scholes'!$B$7)*B3934)</f>
        <v>102.643286873464</v>
      </c>
      <c r="E3934" s="18" t="n">
        <f aca="false">EXP(-'Black-Scholes'!$B$8*'Black-Scholes'!$B$7)*IF(LOWER('Black-Scholes'!$B$11)="put",MAX('Black-Scholes'!$B$6-C3934,0),MAX(C3934-'Black-Scholes'!$B$6,0))</f>
        <v>3.28097638870591</v>
      </c>
      <c r="F3934" s="18" t="n">
        <f aca="false">(E3934+G3934)/2</f>
        <v>2.89767432007065</v>
      </c>
      <c r="G3934" s="18" t="n">
        <f aca="false">EXP(-'Black-Scholes'!$B$8*'Black-Scholes'!$B$7)*IF(LOWER('Black-Scholes'!$B$11)="put",MAX('Black-Scholes'!$B$6-D3934,0),MAX(D3934-'Black-Scholes'!$B$6,0))</f>
        <v>2.51437225143539</v>
      </c>
    </row>
    <row r="3935" customFormat="false" ht="15" hidden="false" customHeight="false" outlineLevel="0" collapsed="false">
      <c r="A3935" s="0" t="n">
        <v>3924</v>
      </c>
      <c r="B3935" s="15" t="n">
        <v>0.332458047765947</v>
      </c>
      <c r="C3935" s="18" t="n">
        <f aca="false">'Black-Scholes'!$B$5*EXP(('Black-Scholes'!$B$8-'Black-Scholes'!$B$10-'Black-Scholes'!$B$9^2/2)*'Black-Scholes'!$B$7+'Black-Scholes'!$B$9*SQRT('Black-Scholes'!$B$7)*B3935)</f>
        <v>110.13003407031</v>
      </c>
      <c r="D3935" s="18" t="n">
        <f aca="false">'Black-Scholes'!$B$5*EXP(('Black-Scholes'!$B$8-'Black-Scholes'!$B$10-'Black-Scholes'!$B$9^2/2)*'Black-Scholes'!$B$7-'Black-Scholes'!$B$9*SQRT('Black-Scholes'!$B$7)*B3935)</f>
        <v>96.4166183647466</v>
      </c>
      <c r="E3935" s="18" t="n">
        <f aca="false">EXP(-'Black-Scholes'!$B$8*'Black-Scholes'!$B$7)*IF(LOWER('Black-Scholes'!$B$11)="put",MAX('Black-Scholes'!$B$6-C3935,0),MAX(C3935-'Black-Scholes'!$B$6,0))</f>
        <v>9.63598647887334</v>
      </c>
      <c r="F3935" s="18" t="n">
        <f aca="false">(E3935+G3935)/2</f>
        <v>4.81799323943667</v>
      </c>
      <c r="G3935" s="18" t="n">
        <f aca="false">EXP(-'Black-Scholes'!$B$8*'Black-Scholes'!$B$7)*IF(LOWER('Black-Scholes'!$B$11)="put",MAX('Black-Scholes'!$B$6-D3935,0),MAX(D3935-'Black-Scholes'!$B$6,0))</f>
        <v>0</v>
      </c>
    </row>
    <row r="3936" customFormat="false" ht="15" hidden="false" customHeight="false" outlineLevel="0" collapsed="false">
      <c r="A3936" s="0" t="n">
        <v>3925</v>
      </c>
      <c r="B3936" s="15" t="n">
        <v>0.374024188508997</v>
      </c>
      <c r="C3936" s="18" t="n">
        <f aca="false">'Black-Scholes'!$B$5*EXP(('Black-Scholes'!$B$8-'Black-Scholes'!$B$10-'Black-Scholes'!$B$9^2/2)*'Black-Scholes'!$B$7+'Black-Scholes'!$B$9*SQRT('Black-Scholes'!$B$7)*B3936)</f>
        <v>111.049386267153</v>
      </c>
      <c r="D3936" s="18" t="n">
        <f aca="false">'Black-Scholes'!$B$5*EXP(('Black-Scholes'!$B$8-'Black-Scholes'!$B$10-'Black-Scholes'!$B$9^2/2)*'Black-Scholes'!$B$7-'Black-Scholes'!$B$9*SQRT('Black-Scholes'!$B$7)*B3936)</f>
        <v>95.6184074706083</v>
      </c>
      <c r="E3936" s="18" t="n">
        <f aca="false">EXP(-'Black-Scholes'!$B$8*'Black-Scholes'!$B$7)*IF(LOWER('Black-Scholes'!$B$11)="put",MAX('Black-Scholes'!$B$6-C3936,0),MAX(C3936-'Black-Scholes'!$B$6,0))</f>
        <v>10.5105013399899</v>
      </c>
      <c r="F3936" s="18" t="n">
        <f aca="false">(E3936+G3936)/2</f>
        <v>5.25525066999495</v>
      </c>
      <c r="G3936" s="18" t="n">
        <f aca="false">EXP(-'Black-Scholes'!$B$8*'Black-Scholes'!$B$7)*IF(LOWER('Black-Scholes'!$B$11)="put",MAX('Black-Scholes'!$B$6-D3936,0),MAX(D3936-'Black-Scholes'!$B$6,0))</f>
        <v>0</v>
      </c>
    </row>
    <row r="3937" customFormat="false" ht="15" hidden="false" customHeight="false" outlineLevel="0" collapsed="false">
      <c r="A3937" s="0" t="n">
        <v>3926</v>
      </c>
      <c r="B3937" s="15" t="n">
        <v>-0.60793374575061</v>
      </c>
      <c r="C3937" s="18" t="n">
        <f aca="false">'Black-Scholes'!$B$5*EXP(('Black-Scholes'!$B$8-'Black-Scholes'!$B$10-'Black-Scholes'!$B$9^2/2)*'Black-Scholes'!$B$7+'Black-Scholes'!$B$9*SQRT('Black-Scholes'!$B$7)*B3937)</f>
        <v>91.2482155667003</v>
      </c>
      <c r="D3937" s="18" t="n">
        <f aca="false">'Black-Scholes'!$B$5*EXP(('Black-Scholes'!$B$8-'Black-Scholes'!$B$10-'Black-Scholes'!$B$9^2/2)*'Black-Scholes'!$B$7-'Black-Scholes'!$B$9*SQRT('Black-Scholes'!$B$7)*B3937)</f>
        <v>116.367924561679</v>
      </c>
      <c r="E3937" s="18" t="n">
        <f aca="false">EXP(-'Black-Scholes'!$B$8*'Black-Scholes'!$B$7)*IF(LOWER('Black-Scholes'!$B$11)="put",MAX('Black-Scholes'!$B$6-C3937,0),MAX(C3937-'Black-Scholes'!$B$6,0))</f>
        <v>0</v>
      </c>
      <c r="F3937" s="18" t="n">
        <f aca="false">(E3937+G3937)/2</f>
        <v>7.78482573053848</v>
      </c>
      <c r="G3937" s="18" t="n">
        <f aca="false">EXP(-'Black-Scholes'!$B$8*'Black-Scholes'!$B$7)*IF(LOWER('Black-Scholes'!$B$11)="put",MAX('Black-Scholes'!$B$6-D3937,0),MAX(D3937-'Black-Scholes'!$B$6,0))</f>
        <v>15.569651461077</v>
      </c>
    </row>
    <row r="3938" customFormat="false" ht="15" hidden="false" customHeight="false" outlineLevel="0" collapsed="false">
      <c r="A3938" s="0" t="n">
        <v>3927</v>
      </c>
      <c r="B3938" s="15" t="n">
        <v>0.478821595384263</v>
      </c>
      <c r="C3938" s="18" t="n">
        <f aca="false">'Black-Scholes'!$B$5*EXP(('Black-Scholes'!$B$8-'Black-Scholes'!$B$10-'Black-Scholes'!$B$9^2/2)*'Black-Scholes'!$B$7+'Black-Scholes'!$B$9*SQRT('Black-Scholes'!$B$7)*B3938)</f>
        <v>113.401487111415</v>
      </c>
      <c r="D3938" s="18" t="n">
        <f aca="false">'Black-Scholes'!$B$5*EXP(('Black-Scholes'!$B$8-'Black-Scholes'!$B$10-'Black-Scholes'!$B$9^2/2)*'Black-Scholes'!$B$7-'Black-Scholes'!$B$9*SQRT('Black-Scholes'!$B$7)*B3938)</f>
        <v>93.6351518478872</v>
      </c>
      <c r="E3938" s="18" t="n">
        <f aca="false">EXP(-'Black-Scholes'!$B$8*'Black-Scholes'!$B$7)*IF(LOWER('Black-Scholes'!$B$11)="put",MAX('Black-Scholes'!$B$6-C3938,0),MAX(C3938-'Black-Scholes'!$B$6,0))</f>
        <v>12.7478888724453</v>
      </c>
      <c r="F3938" s="18" t="n">
        <f aca="false">(E3938+G3938)/2</f>
        <v>6.37394443622267</v>
      </c>
      <c r="G3938" s="18" t="n">
        <f aca="false">EXP(-'Black-Scholes'!$B$8*'Black-Scholes'!$B$7)*IF(LOWER('Black-Scholes'!$B$11)="put",MAX('Black-Scholes'!$B$6-D3938,0),MAX(D3938-'Black-Scholes'!$B$6,0))</f>
        <v>0</v>
      </c>
    </row>
    <row r="3939" customFormat="false" ht="15" hidden="false" customHeight="false" outlineLevel="0" collapsed="false">
      <c r="A3939" s="0" t="n">
        <v>3928</v>
      </c>
      <c r="B3939" s="15" t="n">
        <v>0.919934503234898</v>
      </c>
      <c r="C3939" s="18" t="n">
        <f aca="false">'Black-Scholes'!$B$5*EXP(('Black-Scholes'!$B$8-'Black-Scholes'!$B$10-'Black-Scholes'!$B$9^2/2)*'Black-Scholes'!$B$7+'Black-Scholes'!$B$9*SQRT('Black-Scholes'!$B$7)*B3939)</f>
        <v>123.860642974431</v>
      </c>
      <c r="D3939" s="18" t="n">
        <f aca="false">'Black-Scholes'!$B$5*EXP(('Black-Scholes'!$B$8-'Black-Scholes'!$B$10-'Black-Scholes'!$B$9^2/2)*'Black-Scholes'!$B$7-'Black-Scholes'!$B$9*SQRT('Black-Scholes'!$B$7)*B3939)</f>
        <v>85.7283250793846</v>
      </c>
      <c r="E3939" s="18" t="n">
        <f aca="false">EXP(-'Black-Scholes'!$B$8*'Black-Scholes'!$B$7)*IF(LOWER('Black-Scholes'!$B$11)="put",MAX('Black-Scholes'!$B$6-C3939,0),MAX(C3939-'Black-Scholes'!$B$6,0))</f>
        <v>22.6969456847847</v>
      </c>
      <c r="F3939" s="18" t="n">
        <f aca="false">(E3939+G3939)/2</f>
        <v>11.3484728423924</v>
      </c>
      <c r="G3939" s="18" t="n">
        <f aca="false">EXP(-'Black-Scholes'!$B$8*'Black-Scholes'!$B$7)*IF(LOWER('Black-Scholes'!$B$11)="put",MAX('Black-Scholes'!$B$6-D3939,0),MAX(D3939-'Black-Scholes'!$B$6,0))</f>
        <v>0</v>
      </c>
    </row>
    <row r="3940" customFormat="false" ht="15" hidden="false" customHeight="false" outlineLevel="0" collapsed="false">
      <c r="A3940" s="0" t="n">
        <v>3929</v>
      </c>
      <c r="B3940" s="15" t="n">
        <v>-0.179332050065471</v>
      </c>
      <c r="C3940" s="18" t="n">
        <f aca="false">'Black-Scholes'!$B$5*EXP(('Black-Scholes'!$B$8-'Black-Scholes'!$B$10-'Black-Scholes'!$B$9^2/2)*'Black-Scholes'!$B$7+'Black-Scholes'!$B$9*SQRT('Black-Scholes'!$B$7)*B3940)</f>
        <v>99.4150763770896</v>
      </c>
      <c r="D3940" s="18" t="n">
        <f aca="false">'Black-Scholes'!$B$5*EXP(('Black-Scholes'!$B$8-'Black-Scholes'!$B$10-'Black-Scholes'!$B$9^2/2)*'Black-Scholes'!$B$7-'Black-Scholes'!$B$9*SQRT('Black-Scholes'!$B$7)*B3940)</f>
        <v>106.808402230435</v>
      </c>
      <c r="E3940" s="18" t="n">
        <f aca="false">EXP(-'Black-Scholes'!$B$8*'Black-Scholes'!$B$7)*IF(LOWER('Black-Scholes'!$B$11)="put",MAX('Black-Scholes'!$B$6-C3940,0),MAX(C3940-'Black-Scholes'!$B$6,0))</f>
        <v>0</v>
      </c>
      <c r="F3940" s="18" t="n">
        <f aca="false">(E3940+G3940)/2</f>
        <v>3.23817626771299</v>
      </c>
      <c r="G3940" s="18" t="n">
        <f aca="false">EXP(-'Black-Scholes'!$B$8*'Black-Scholes'!$B$7)*IF(LOWER('Black-Scholes'!$B$11)="put",MAX('Black-Scholes'!$B$6-D3940,0),MAX(D3940-'Black-Scholes'!$B$6,0))</f>
        <v>6.47635253542599</v>
      </c>
    </row>
    <row r="3941" customFormat="false" ht="15" hidden="false" customHeight="false" outlineLevel="0" collapsed="false">
      <c r="A3941" s="0" t="n">
        <v>3930</v>
      </c>
      <c r="B3941" s="15" t="n">
        <v>1.50231161119644</v>
      </c>
      <c r="C3941" s="18" t="n">
        <f aca="false">'Black-Scholes'!$B$5*EXP(('Black-Scholes'!$B$8-'Black-Scholes'!$B$10-'Black-Scholes'!$B$9^2/2)*'Black-Scholes'!$B$7+'Black-Scholes'!$B$9*SQRT('Black-Scholes'!$B$7)*B3941)</f>
        <v>139.161135264067</v>
      </c>
      <c r="D3941" s="18" t="n">
        <f aca="false">'Black-Scholes'!$B$5*EXP(('Black-Scholes'!$B$8-'Black-Scholes'!$B$10-'Black-Scholes'!$B$9^2/2)*'Black-Scholes'!$B$7-'Black-Scholes'!$B$9*SQRT('Black-Scholes'!$B$7)*B3941)</f>
        <v>76.3026648590108</v>
      </c>
      <c r="E3941" s="18" t="n">
        <f aca="false">EXP(-'Black-Scholes'!$B$8*'Black-Scholes'!$B$7)*IF(LOWER('Black-Scholes'!$B$11)="put",MAX('Black-Scholes'!$B$6-C3941,0),MAX(C3941-'Black-Scholes'!$B$6,0))</f>
        <v>37.2512241600333</v>
      </c>
      <c r="F3941" s="18" t="n">
        <f aca="false">(E3941+G3941)/2</f>
        <v>18.6256120800167</v>
      </c>
      <c r="G3941" s="18" t="n">
        <f aca="false">EXP(-'Black-Scholes'!$B$8*'Black-Scholes'!$B$7)*IF(LOWER('Black-Scholes'!$B$11)="put",MAX('Black-Scholes'!$B$6-D3941,0),MAX(D3941-'Black-Scholes'!$B$6,0))</f>
        <v>0</v>
      </c>
    </row>
    <row r="3942" customFormat="false" ht="15" hidden="false" customHeight="false" outlineLevel="0" collapsed="false">
      <c r="A3942" s="0" t="n">
        <v>3931</v>
      </c>
      <c r="B3942" s="15" t="n">
        <v>0.267954810130235</v>
      </c>
      <c r="C3942" s="18" t="n">
        <f aca="false">'Black-Scholes'!$B$5*EXP(('Black-Scholes'!$B$8-'Black-Scholes'!$B$10-'Black-Scholes'!$B$9^2/2)*'Black-Scholes'!$B$7+'Black-Scholes'!$B$9*SQRT('Black-Scholes'!$B$7)*B3942)</f>
        <v>108.7184103264</v>
      </c>
      <c r="D3942" s="18" t="n">
        <f aca="false">'Black-Scholes'!$B$5*EXP(('Black-Scholes'!$B$8-'Black-Scholes'!$B$10-'Black-Scholes'!$B$9^2/2)*'Black-Scholes'!$B$7-'Black-Scholes'!$B$9*SQRT('Black-Scholes'!$B$7)*B3942)</f>
        <v>97.6685129369953</v>
      </c>
      <c r="E3942" s="18" t="n">
        <f aca="false">EXP(-'Black-Scholes'!$B$8*'Black-Scholes'!$B$7)*IF(LOWER('Black-Scholes'!$B$11)="put",MAX('Black-Scholes'!$B$6-C3942,0),MAX(C3942-'Black-Scholes'!$B$6,0))</f>
        <v>8.29320843734284</v>
      </c>
      <c r="F3942" s="18" t="n">
        <f aca="false">(E3942+G3942)/2</f>
        <v>4.14660421867142</v>
      </c>
      <c r="G3942" s="18" t="n">
        <f aca="false">EXP(-'Black-Scholes'!$B$8*'Black-Scholes'!$B$7)*IF(LOWER('Black-Scholes'!$B$11)="put",MAX('Black-Scholes'!$B$6-D3942,0),MAX(D3942-'Black-Scholes'!$B$6,0))</f>
        <v>0</v>
      </c>
    </row>
    <row r="3943" customFormat="false" ht="15" hidden="false" customHeight="false" outlineLevel="0" collapsed="false">
      <c r="A3943" s="0" t="n">
        <v>3932</v>
      </c>
      <c r="B3943" s="15" t="n">
        <v>0.829388407995754</v>
      </c>
      <c r="C3943" s="18" t="n">
        <f aca="false">'Black-Scholes'!$B$5*EXP(('Black-Scholes'!$B$8-'Black-Scholes'!$B$10-'Black-Scholes'!$B$9^2/2)*'Black-Scholes'!$B$7+'Black-Scholes'!$B$9*SQRT('Black-Scholes'!$B$7)*B3943)</f>
        <v>121.637811080901</v>
      </c>
      <c r="D3943" s="18" t="n">
        <f aca="false">'Black-Scholes'!$B$5*EXP(('Black-Scholes'!$B$8-'Black-Scholes'!$B$10-'Black-Scholes'!$B$9^2/2)*'Black-Scholes'!$B$7-'Black-Scholes'!$B$9*SQRT('Black-Scholes'!$B$7)*B3943)</f>
        <v>87.2949403733629</v>
      </c>
      <c r="E3943" s="18" t="n">
        <f aca="false">EXP(-'Black-Scholes'!$B$8*'Black-Scholes'!$B$7)*IF(LOWER('Black-Scholes'!$B$11)="put",MAX('Black-Scholes'!$B$6-C3943,0),MAX(C3943-'Black-Scholes'!$B$6,0))</f>
        <v>20.5825225819402</v>
      </c>
      <c r="F3943" s="18" t="n">
        <f aca="false">(E3943+G3943)/2</f>
        <v>10.2912612909701</v>
      </c>
      <c r="G3943" s="18" t="n">
        <f aca="false">EXP(-'Black-Scholes'!$B$8*'Black-Scholes'!$B$7)*IF(LOWER('Black-Scholes'!$B$11)="put",MAX('Black-Scholes'!$B$6-D3943,0),MAX(D3943-'Black-Scholes'!$B$6,0))</f>
        <v>0</v>
      </c>
    </row>
    <row r="3944" customFormat="false" ht="15" hidden="false" customHeight="false" outlineLevel="0" collapsed="false">
      <c r="A3944" s="0" t="n">
        <v>3933</v>
      </c>
      <c r="B3944" s="15" t="n">
        <v>-1.32192974672819</v>
      </c>
      <c r="C3944" s="18" t="n">
        <f aca="false">'Black-Scholes'!$B$5*EXP(('Black-Scholes'!$B$8-'Black-Scholes'!$B$10-'Black-Scholes'!$B$9^2/2)*'Black-Scholes'!$B$7+'Black-Scholes'!$B$9*SQRT('Black-Scholes'!$B$7)*B3944)</f>
        <v>79.1056449252395</v>
      </c>
      <c r="D3944" s="18" t="n">
        <f aca="false">'Black-Scholes'!$B$5*EXP(('Black-Scholes'!$B$8-'Black-Scholes'!$B$10-'Black-Scholes'!$B$9^2/2)*'Black-Scholes'!$B$7-'Black-Scholes'!$B$9*SQRT('Black-Scholes'!$B$7)*B3944)</f>
        <v>134.230186423342</v>
      </c>
      <c r="E3944" s="18" t="n">
        <f aca="false">EXP(-'Black-Scholes'!$B$8*'Black-Scholes'!$B$7)*IF(LOWER('Black-Scholes'!$B$11)="put",MAX('Black-Scholes'!$B$6-C3944,0),MAX(C3944-'Black-Scholes'!$B$6,0))</f>
        <v>0</v>
      </c>
      <c r="F3944" s="18" t="n">
        <f aca="false">(E3944+G3944)/2</f>
        <v>16.2803802660139</v>
      </c>
      <c r="G3944" s="18" t="n">
        <f aca="false">EXP(-'Black-Scholes'!$B$8*'Black-Scholes'!$B$7)*IF(LOWER('Black-Scholes'!$B$11)="put",MAX('Black-Scholes'!$B$6-D3944,0),MAX(D3944-'Black-Scholes'!$B$6,0))</f>
        <v>32.5607605320278</v>
      </c>
    </row>
    <row r="3945" customFormat="false" ht="15" hidden="false" customHeight="false" outlineLevel="0" collapsed="false">
      <c r="A3945" s="0" t="n">
        <v>3934</v>
      </c>
      <c r="B3945" s="15" t="n">
        <v>0.0660933058727232</v>
      </c>
      <c r="C3945" s="18" t="n">
        <f aca="false">'Black-Scholes'!$B$5*EXP(('Black-Scholes'!$B$8-'Black-Scholes'!$B$10-'Black-Scholes'!$B$9^2/2)*'Black-Scholes'!$B$7+'Black-Scholes'!$B$9*SQRT('Black-Scholes'!$B$7)*B3945)</f>
        <v>104.416618849542</v>
      </c>
      <c r="D3945" s="18" t="n">
        <f aca="false">'Black-Scholes'!$B$5*EXP(('Black-Scholes'!$B$8-'Black-Scholes'!$B$10-'Black-Scholes'!$B$9^2/2)*'Black-Scholes'!$B$7-'Black-Scholes'!$B$9*SQRT('Black-Scholes'!$B$7)*B3945)</f>
        <v>101.692293644884</v>
      </c>
      <c r="E3945" s="18" t="n">
        <f aca="false">EXP(-'Black-Scholes'!$B$8*'Black-Scholes'!$B$7)*IF(LOWER('Black-Scholes'!$B$11)="put",MAX('Black-Scholes'!$B$6-C3945,0),MAX(C3945-'Black-Scholes'!$B$6,0))</f>
        <v>4.20121780648894</v>
      </c>
      <c r="F3945" s="18" t="n">
        <f aca="false">(E3945+G3945)/2</f>
        <v>2.90548865819923</v>
      </c>
      <c r="G3945" s="18" t="n">
        <f aca="false">EXP(-'Black-Scholes'!$B$8*'Black-Scholes'!$B$7)*IF(LOWER('Black-Scholes'!$B$11)="put",MAX('Black-Scholes'!$B$6-D3945,0),MAX(D3945-'Black-Scholes'!$B$6,0))</f>
        <v>1.60975950990951</v>
      </c>
    </row>
    <row r="3946" customFormat="false" ht="15" hidden="false" customHeight="false" outlineLevel="0" collapsed="false">
      <c r="A3946" s="0" t="n">
        <v>3935</v>
      </c>
      <c r="B3946" s="15" t="n">
        <v>-1.4284978021244</v>
      </c>
      <c r="C3946" s="18" t="n">
        <f aca="false">'Black-Scholes'!$B$5*EXP(('Black-Scholes'!$B$8-'Black-Scholes'!$B$10-'Black-Scholes'!$B$9^2/2)*'Black-Scholes'!$B$7+'Black-Scholes'!$B$9*SQRT('Black-Scholes'!$B$7)*B3946)</f>
        <v>77.4374586618485</v>
      </c>
      <c r="D3946" s="18" t="n">
        <f aca="false">'Black-Scholes'!$B$5*EXP(('Black-Scholes'!$B$8-'Black-Scholes'!$B$10-'Black-Scholes'!$B$9^2/2)*'Black-Scholes'!$B$7-'Black-Scholes'!$B$9*SQRT('Black-Scholes'!$B$7)*B3946)</f>
        <v>137.1218225513</v>
      </c>
      <c r="E3946" s="18" t="n">
        <f aca="false">EXP(-'Black-Scholes'!$B$8*'Black-Scholes'!$B$7)*IF(LOWER('Black-Scholes'!$B$11)="put",MAX('Black-Scholes'!$B$6-C3946,0),MAX(C3946-'Black-Scholes'!$B$6,0))</f>
        <v>0</v>
      </c>
      <c r="F3946" s="18" t="n">
        <f aca="false">(E3946+G3946)/2</f>
        <v>17.6556849509452</v>
      </c>
      <c r="G3946" s="18" t="n">
        <f aca="false">EXP(-'Black-Scholes'!$B$8*'Black-Scholes'!$B$7)*IF(LOWER('Black-Scholes'!$B$11)="put",MAX('Black-Scholes'!$B$6-D3946,0),MAX(D3946-'Black-Scholes'!$B$6,0))</f>
        <v>35.3113699018904</v>
      </c>
    </row>
    <row r="3947" customFormat="false" ht="15" hidden="false" customHeight="false" outlineLevel="0" collapsed="false">
      <c r="A3947" s="0" t="n">
        <v>3936</v>
      </c>
      <c r="B3947" s="15" t="n">
        <v>1.72207002967941</v>
      </c>
      <c r="C3947" s="18" t="n">
        <f aca="false">'Black-Scholes'!$B$5*EXP(('Black-Scholes'!$B$8-'Black-Scholes'!$B$10-'Black-Scholes'!$B$9^2/2)*'Black-Scholes'!$B$7+'Black-Scholes'!$B$9*SQRT('Black-Scholes'!$B$7)*B3947)</f>
        <v>145.413904805116</v>
      </c>
      <c r="D3947" s="18" t="n">
        <f aca="false">'Black-Scholes'!$B$5*EXP(('Black-Scholes'!$B$8-'Black-Scholes'!$B$10-'Black-Scholes'!$B$9^2/2)*'Black-Scholes'!$B$7-'Black-Scholes'!$B$9*SQRT('Black-Scholes'!$B$7)*B3947)</f>
        <v>73.0216651542669</v>
      </c>
      <c r="E3947" s="18" t="n">
        <f aca="false">EXP(-'Black-Scholes'!$B$8*'Black-Scholes'!$B$7)*IF(LOWER('Black-Scholes'!$B$11)="put",MAX('Black-Scholes'!$B$6-C3947,0),MAX(C3947-'Black-Scholes'!$B$6,0))</f>
        <v>43.1990425321004</v>
      </c>
      <c r="F3947" s="18" t="n">
        <f aca="false">(E3947+G3947)/2</f>
        <v>21.5995212660502</v>
      </c>
      <c r="G3947" s="18" t="n">
        <f aca="false">EXP(-'Black-Scholes'!$B$8*'Black-Scholes'!$B$7)*IF(LOWER('Black-Scholes'!$B$11)="put",MAX('Black-Scholes'!$B$6-D3947,0),MAX(D3947-'Black-Scholes'!$B$6,0))</f>
        <v>0</v>
      </c>
    </row>
    <row r="3948" customFormat="false" ht="15" hidden="false" customHeight="false" outlineLevel="0" collapsed="false">
      <c r="A3948" s="0" t="n">
        <v>3937</v>
      </c>
      <c r="B3948" s="15" t="n">
        <v>-1.95033990227374</v>
      </c>
      <c r="C3948" s="18" t="n">
        <f aca="false">'Black-Scholes'!$B$5*EXP(('Black-Scholes'!$B$8-'Black-Scholes'!$B$10-'Black-Scholes'!$B$9^2/2)*'Black-Scholes'!$B$7+'Black-Scholes'!$B$9*SQRT('Black-Scholes'!$B$7)*B3948)</f>
        <v>69.7628899329182</v>
      </c>
      <c r="D3948" s="18" t="n">
        <f aca="false">'Black-Scholes'!$B$5*EXP(('Black-Scholes'!$B$8-'Black-Scholes'!$B$10-'Black-Scholes'!$B$9^2/2)*'Black-Scholes'!$B$7-'Black-Scholes'!$B$9*SQRT('Black-Scholes'!$B$7)*B3948)</f>
        <v>152.206502277413</v>
      </c>
      <c r="E3948" s="18" t="n">
        <f aca="false">EXP(-'Black-Scholes'!$B$8*'Black-Scholes'!$B$7)*IF(LOWER('Black-Scholes'!$B$11)="put",MAX('Black-Scholes'!$B$6-C3948,0),MAX(C3948-'Black-Scholes'!$B$6,0))</f>
        <v>0</v>
      </c>
      <c r="F3948" s="18" t="n">
        <f aca="false">(E3948+G3948)/2</f>
        <v>24.8301805582692</v>
      </c>
      <c r="G3948" s="18" t="n">
        <f aca="false">EXP(-'Black-Scholes'!$B$8*'Black-Scholes'!$B$7)*IF(LOWER('Black-Scholes'!$B$11)="put",MAX('Black-Scholes'!$B$6-D3948,0),MAX(D3948-'Black-Scholes'!$B$6,0))</f>
        <v>49.6603611165384</v>
      </c>
    </row>
    <row r="3949" customFormat="false" ht="15" hidden="false" customHeight="false" outlineLevel="0" collapsed="false">
      <c r="A3949" s="0" t="n">
        <v>3938</v>
      </c>
      <c r="B3949" s="15" t="n">
        <v>-1.29970099690895</v>
      </c>
      <c r="C3949" s="18" t="n">
        <f aca="false">'Black-Scholes'!$B$5*EXP(('Black-Scholes'!$B$8-'Black-Scholes'!$B$10-'Black-Scholes'!$B$9^2/2)*'Black-Scholes'!$B$7+'Black-Scholes'!$B$9*SQRT('Black-Scholes'!$B$7)*B3949)</f>
        <v>79.4581117524652</v>
      </c>
      <c r="D3949" s="18" t="n">
        <f aca="false">'Black-Scholes'!$B$5*EXP(('Black-Scholes'!$B$8-'Black-Scholes'!$B$10-'Black-Scholes'!$B$9^2/2)*'Black-Scholes'!$B$7-'Black-Scholes'!$B$9*SQRT('Black-Scholes'!$B$7)*B3949)</f>
        <v>133.634757122506</v>
      </c>
      <c r="E3949" s="18" t="n">
        <f aca="false">EXP(-'Black-Scholes'!$B$8*'Black-Scholes'!$B$7)*IF(LOWER('Black-Scholes'!$B$11)="put",MAX('Black-Scholes'!$B$6-C3949,0),MAX(C3949-'Black-Scholes'!$B$6,0))</f>
        <v>0</v>
      </c>
      <c r="F3949" s="18" t="n">
        <f aca="false">(E3949+G3949)/2</f>
        <v>15.9971853304311</v>
      </c>
      <c r="G3949" s="18" t="n">
        <f aca="false">EXP(-'Black-Scholes'!$B$8*'Black-Scholes'!$B$7)*IF(LOWER('Black-Scholes'!$B$11)="put",MAX('Black-Scholes'!$B$6-D3949,0),MAX(D3949-'Black-Scholes'!$B$6,0))</f>
        <v>31.9943706608623</v>
      </c>
    </row>
    <row r="3950" customFormat="false" ht="15" hidden="false" customHeight="false" outlineLevel="0" collapsed="false">
      <c r="A3950" s="0" t="n">
        <v>3939</v>
      </c>
      <c r="B3950" s="15" t="n">
        <v>-0.212333226537506</v>
      </c>
      <c r="C3950" s="18" t="n">
        <f aca="false">'Black-Scholes'!$B$5*EXP(('Black-Scholes'!$B$8-'Black-Scholes'!$B$10-'Black-Scholes'!$B$9^2/2)*'Black-Scholes'!$B$7+'Black-Scholes'!$B$9*SQRT('Black-Scholes'!$B$7)*B3950)</f>
        <v>98.7610741397099</v>
      </c>
      <c r="D3950" s="18" t="n">
        <f aca="false">'Black-Scholes'!$B$5*EXP(('Black-Scholes'!$B$8-'Black-Scholes'!$B$10-'Black-Scholes'!$B$9^2/2)*'Black-Scholes'!$B$7-'Black-Scholes'!$B$9*SQRT('Black-Scholes'!$B$7)*B3950)</f>
        <v>107.515694396282</v>
      </c>
      <c r="E3950" s="18" t="n">
        <f aca="false">EXP(-'Black-Scholes'!$B$8*'Black-Scholes'!$B$7)*IF(LOWER('Black-Scholes'!$B$11)="put",MAX('Black-Scholes'!$B$6-C3950,0),MAX(C3950-'Black-Scholes'!$B$6,0))</f>
        <v>0</v>
      </c>
      <c r="F3950" s="18" t="n">
        <f aca="false">(E3950+G3950)/2</f>
        <v>3.57457482764925</v>
      </c>
      <c r="G3950" s="18" t="n">
        <f aca="false">EXP(-'Black-Scholes'!$B$8*'Black-Scholes'!$B$7)*IF(LOWER('Black-Scholes'!$B$11)="put",MAX('Black-Scholes'!$B$6-D3950,0),MAX(D3950-'Black-Scholes'!$B$6,0))</f>
        <v>7.1491496552985</v>
      </c>
    </row>
    <row r="3951" customFormat="false" ht="15" hidden="false" customHeight="false" outlineLevel="0" collapsed="false">
      <c r="A3951" s="0" t="n">
        <v>3940</v>
      </c>
      <c r="B3951" s="15" t="n">
        <v>-0.63706243795745</v>
      </c>
      <c r="C3951" s="18" t="n">
        <f aca="false">'Black-Scholes'!$B$5*EXP(('Black-Scholes'!$B$8-'Black-Scholes'!$B$10-'Black-Scholes'!$B$9^2/2)*'Black-Scholes'!$B$7+'Black-Scholes'!$B$9*SQRT('Black-Scholes'!$B$7)*B3951)</f>
        <v>90.7181727740064</v>
      </c>
      <c r="D3951" s="18" t="n">
        <f aca="false">'Black-Scholes'!$B$5*EXP(('Black-Scholes'!$B$8-'Black-Scholes'!$B$10-'Black-Scholes'!$B$9^2/2)*'Black-Scholes'!$B$7-'Black-Scholes'!$B$9*SQRT('Black-Scholes'!$B$7)*B3951)</f>
        <v>117.047832212248</v>
      </c>
      <c r="E3951" s="18" t="n">
        <f aca="false">EXP(-'Black-Scholes'!$B$8*'Black-Scholes'!$B$7)*IF(LOWER('Black-Scholes'!$B$11)="put",MAX('Black-Scholes'!$B$6-C3951,0),MAX(C3951-'Black-Scholes'!$B$6,0))</f>
        <v>0</v>
      </c>
      <c r="F3951" s="18" t="n">
        <f aca="false">(E3951+G3951)/2</f>
        <v>8.10819981212056</v>
      </c>
      <c r="G3951" s="18" t="n">
        <f aca="false">EXP(-'Black-Scholes'!$B$8*'Black-Scholes'!$B$7)*IF(LOWER('Black-Scholes'!$B$11)="put",MAX('Black-Scholes'!$B$6-D3951,0),MAX(D3951-'Black-Scholes'!$B$6,0))</f>
        <v>16.2163996242411</v>
      </c>
    </row>
    <row r="3952" customFormat="false" ht="15" hidden="false" customHeight="false" outlineLevel="0" collapsed="false">
      <c r="A3952" s="0" t="n">
        <v>3941</v>
      </c>
      <c r="B3952" s="15" t="n">
        <v>-0.749083247323734</v>
      </c>
      <c r="C3952" s="18" t="n">
        <f aca="false">'Black-Scholes'!$B$5*EXP(('Black-Scholes'!$B$8-'Black-Scholes'!$B$10-'Black-Scholes'!$B$9^2/2)*'Black-Scholes'!$B$7+'Black-Scholes'!$B$9*SQRT('Black-Scholes'!$B$7)*B3952)</f>
        <v>88.7083068962856</v>
      </c>
      <c r="D3952" s="18" t="n">
        <f aca="false">'Black-Scholes'!$B$5*EXP(('Black-Scholes'!$B$8-'Black-Scholes'!$B$10-'Black-Scholes'!$B$9^2/2)*'Black-Scholes'!$B$7-'Black-Scholes'!$B$9*SQRT('Black-Scholes'!$B$7)*B3952)</f>
        <v>119.699787279992</v>
      </c>
      <c r="E3952" s="18" t="n">
        <f aca="false">EXP(-'Black-Scholes'!$B$8*'Black-Scholes'!$B$7)*IF(LOWER('Black-Scholes'!$B$11)="put",MAX('Black-Scholes'!$B$6-C3952,0),MAX(C3952-'Black-Scholes'!$B$6,0))</f>
        <v>0</v>
      </c>
      <c r="F3952" s="18" t="n">
        <f aca="false">(E3952+G3952)/2</f>
        <v>9.36950865856646</v>
      </c>
      <c r="G3952" s="18" t="n">
        <f aca="false">EXP(-'Black-Scholes'!$B$8*'Black-Scholes'!$B$7)*IF(LOWER('Black-Scholes'!$B$11)="put",MAX('Black-Scholes'!$B$6-D3952,0),MAX(D3952-'Black-Scholes'!$B$6,0))</f>
        <v>18.7390173171329</v>
      </c>
    </row>
    <row r="3953" customFormat="false" ht="15" hidden="false" customHeight="false" outlineLevel="0" collapsed="false">
      <c r="A3953" s="0" t="n">
        <v>3942</v>
      </c>
      <c r="B3953" s="15" t="n">
        <v>-1.19836179293321</v>
      </c>
      <c r="C3953" s="18" t="n">
        <f aca="false">'Black-Scholes'!$B$5*EXP(('Black-Scholes'!$B$8-'Black-Scholes'!$B$10-'Black-Scholes'!$B$9^2/2)*'Black-Scholes'!$B$7+'Black-Scholes'!$B$9*SQRT('Black-Scholes'!$B$7)*B3953)</f>
        <v>81.0849870450596</v>
      </c>
      <c r="D3953" s="18" t="n">
        <f aca="false">'Black-Scholes'!$B$5*EXP(('Black-Scholes'!$B$8-'Black-Scholes'!$B$10-'Black-Scholes'!$B$9^2/2)*'Black-Scholes'!$B$7-'Black-Scholes'!$B$9*SQRT('Black-Scholes'!$B$7)*B3953)</f>
        <v>130.95353224331</v>
      </c>
      <c r="E3953" s="18" t="n">
        <f aca="false">EXP(-'Black-Scholes'!$B$8*'Black-Scholes'!$B$7)*IF(LOWER('Black-Scholes'!$B$11)="put",MAX('Black-Scholes'!$B$6-C3953,0),MAX(C3953-'Black-Scholes'!$B$6,0))</f>
        <v>0</v>
      </c>
      <c r="F3953" s="18" t="n">
        <f aca="false">(E3953+G3953)/2</f>
        <v>14.7219553310341</v>
      </c>
      <c r="G3953" s="18" t="n">
        <f aca="false">EXP(-'Black-Scholes'!$B$8*'Black-Scholes'!$B$7)*IF(LOWER('Black-Scholes'!$B$11)="put",MAX('Black-Scholes'!$B$6-D3953,0),MAX(D3953-'Black-Scholes'!$B$6,0))</f>
        <v>29.4439106620682</v>
      </c>
    </row>
    <row r="3954" customFormat="false" ht="15" hidden="false" customHeight="false" outlineLevel="0" collapsed="false">
      <c r="A3954" s="0" t="n">
        <v>3943</v>
      </c>
      <c r="B3954" s="15" t="n">
        <v>-0.96388348617212</v>
      </c>
      <c r="C3954" s="18" t="n">
        <f aca="false">'Black-Scholes'!$B$5*EXP(('Black-Scholes'!$B$8-'Black-Scholes'!$B$10-'Black-Scholes'!$B$9^2/2)*'Black-Scholes'!$B$7+'Black-Scholes'!$B$9*SQRT('Black-Scholes'!$B$7)*B3954)</f>
        <v>84.978092566021</v>
      </c>
      <c r="D3954" s="18" t="n">
        <f aca="false">'Black-Scholes'!$B$5*EXP(('Black-Scholes'!$B$8-'Black-Scholes'!$B$10-'Black-Scholes'!$B$9^2/2)*'Black-Scholes'!$B$7-'Black-Scholes'!$B$9*SQRT('Black-Scholes'!$B$7)*B3954)</f>
        <v>124.954151650368</v>
      </c>
      <c r="E3954" s="18" t="n">
        <f aca="false">EXP(-'Black-Scholes'!$B$8*'Black-Scholes'!$B$7)*IF(LOWER('Black-Scholes'!$B$11)="put",MAX('Black-Scholes'!$B$6-C3954,0),MAX(C3954-'Black-Scholes'!$B$6,0))</f>
        <v>0</v>
      </c>
      <c r="F3954" s="18" t="n">
        <f aca="false">(E3954+G3954)/2</f>
        <v>11.8685616566416</v>
      </c>
      <c r="G3954" s="18" t="n">
        <f aca="false">EXP(-'Black-Scholes'!$B$8*'Black-Scholes'!$B$7)*IF(LOWER('Black-Scholes'!$B$11)="put",MAX('Black-Scholes'!$B$6-D3954,0),MAX(D3954-'Black-Scholes'!$B$6,0))</f>
        <v>23.7371233132831</v>
      </c>
    </row>
    <row r="3955" customFormat="false" ht="15" hidden="false" customHeight="false" outlineLevel="0" collapsed="false">
      <c r="A3955" s="0" t="n">
        <v>3944</v>
      </c>
      <c r="B3955" s="15" t="n">
        <v>-1.34686637252568</v>
      </c>
      <c r="C3955" s="18" t="n">
        <f aca="false">'Black-Scholes'!$B$5*EXP(('Black-Scholes'!$B$8-'Black-Scholes'!$B$10-'Black-Scholes'!$B$9^2/2)*'Black-Scholes'!$B$7+'Black-Scholes'!$B$9*SQRT('Black-Scholes'!$B$7)*B3955)</f>
        <v>78.7121015322085</v>
      </c>
      <c r="D3955" s="18" t="n">
        <f aca="false">'Black-Scholes'!$B$5*EXP(('Black-Scholes'!$B$8-'Black-Scholes'!$B$10-'Black-Scholes'!$B$9^2/2)*'Black-Scholes'!$B$7-'Black-Scholes'!$B$9*SQRT('Black-Scholes'!$B$7)*B3955)</f>
        <v>134.90130816935</v>
      </c>
      <c r="E3955" s="18" t="n">
        <f aca="false">EXP(-'Black-Scholes'!$B$8*'Black-Scholes'!$B$7)*IF(LOWER('Black-Scholes'!$B$11)="put",MAX('Black-Scholes'!$B$6-C3955,0),MAX(C3955-'Black-Scholes'!$B$6,0))</f>
        <v>0</v>
      </c>
      <c r="F3955" s="18" t="n">
        <f aca="false">(E3955+G3955)/2</f>
        <v>16.5995756421262</v>
      </c>
      <c r="G3955" s="18" t="n">
        <f aca="false">EXP(-'Black-Scholes'!$B$8*'Black-Scholes'!$B$7)*IF(LOWER('Black-Scholes'!$B$11)="put",MAX('Black-Scholes'!$B$6-D3955,0),MAX(D3955-'Black-Scholes'!$B$6,0))</f>
        <v>33.1991512842525</v>
      </c>
    </row>
    <row r="3956" customFormat="false" ht="15" hidden="false" customHeight="false" outlineLevel="0" collapsed="false">
      <c r="A3956" s="0" t="n">
        <v>3945</v>
      </c>
      <c r="B3956" s="15" t="n">
        <v>0.0270717825668959</v>
      </c>
      <c r="C3956" s="18" t="n">
        <f aca="false">'Black-Scholes'!$B$5*EXP(('Black-Scholes'!$B$8-'Black-Scholes'!$B$10-'Black-Scholes'!$B$9^2/2)*'Black-Scholes'!$B$7+'Black-Scholes'!$B$9*SQRT('Black-Scholes'!$B$7)*B3956)</f>
        <v>103.604891348709</v>
      </c>
      <c r="D3956" s="18" t="n">
        <f aca="false">'Black-Scholes'!$B$5*EXP(('Black-Scholes'!$B$8-'Black-Scholes'!$B$10-'Black-Scholes'!$B$9^2/2)*'Black-Scholes'!$B$7-'Black-Scholes'!$B$9*SQRT('Black-Scholes'!$B$7)*B3956)</f>
        <v>102.489036253267</v>
      </c>
      <c r="E3956" s="18" t="n">
        <f aca="false">EXP(-'Black-Scholes'!$B$8*'Black-Scholes'!$B$7)*IF(LOWER('Black-Scholes'!$B$11)="put",MAX('Black-Scholes'!$B$6-C3956,0),MAX(C3956-'Black-Scholes'!$B$6,0))</f>
        <v>3.42907872301972</v>
      </c>
      <c r="F3956" s="18" t="n">
        <f aca="false">(E3956+G3956)/2</f>
        <v>2.89836162288819</v>
      </c>
      <c r="G3956" s="18" t="n">
        <f aca="false">EXP(-'Black-Scholes'!$B$8*'Black-Scholes'!$B$7)*IF(LOWER('Black-Scholes'!$B$11)="put",MAX('Black-Scholes'!$B$6-D3956,0),MAX(D3956-'Black-Scholes'!$B$6,0))</f>
        <v>2.36764452275667</v>
      </c>
    </row>
    <row r="3957" customFormat="false" ht="15" hidden="false" customHeight="false" outlineLevel="0" collapsed="false">
      <c r="A3957" s="0" t="n">
        <v>3946</v>
      </c>
      <c r="B3957" s="15" t="n">
        <v>-0.761972735331438</v>
      </c>
      <c r="C3957" s="18" t="n">
        <f aca="false">'Black-Scholes'!$B$5*EXP(('Black-Scholes'!$B$8-'Black-Scholes'!$B$10-'Black-Scholes'!$B$9^2/2)*'Black-Scholes'!$B$7+'Black-Scholes'!$B$9*SQRT('Black-Scholes'!$B$7)*B3957)</f>
        <v>88.4799204695913</v>
      </c>
      <c r="D3957" s="18" t="n">
        <f aca="false">'Black-Scholes'!$B$5*EXP(('Black-Scholes'!$B$8-'Black-Scholes'!$B$10-'Black-Scholes'!$B$9^2/2)*'Black-Scholes'!$B$7-'Black-Scholes'!$B$9*SQRT('Black-Scholes'!$B$7)*B3957)</f>
        <v>120.008759152343</v>
      </c>
      <c r="E3957" s="18" t="n">
        <f aca="false">EXP(-'Black-Scholes'!$B$8*'Black-Scholes'!$B$7)*IF(LOWER('Black-Scholes'!$B$11)="put",MAX('Black-Scholes'!$B$6-C3957,0),MAX(C3957-'Black-Scholes'!$B$6,0))</f>
        <v>0</v>
      </c>
      <c r="F3957" s="18" t="n">
        <f aca="false">(E3957+G3957)/2</f>
        <v>9.51646022672809</v>
      </c>
      <c r="G3957" s="18" t="n">
        <f aca="false">EXP(-'Black-Scholes'!$B$8*'Black-Scholes'!$B$7)*IF(LOWER('Black-Scholes'!$B$11)="put",MAX('Black-Scholes'!$B$6-D3957,0),MAX(D3957-'Black-Scholes'!$B$6,0))</f>
        <v>19.0329204534562</v>
      </c>
    </row>
    <row r="3958" customFormat="false" ht="15" hidden="false" customHeight="false" outlineLevel="0" collapsed="false">
      <c r="A3958" s="0" t="n">
        <v>3947</v>
      </c>
      <c r="B3958" s="15" t="n">
        <v>-0.262132972931231</v>
      </c>
      <c r="C3958" s="18" t="n">
        <f aca="false">'Black-Scholes'!$B$5*EXP(('Black-Scholes'!$B$8-'Black-Scholes'!$B$10-'Black-Scholes'!$B$9^2/2)*'Black-Scholes'!$B$7+'Black-Scholes'!$B$9*SQRT('Black-Scholes'!$B$7)*B3958)</f>
        <v>97.7823012061751</v>
      </c>
      <c r="D3958" s="18" t="n">
        <f aca="false">'Black-Scholes'!$B$5*EXP(('Black-Scholes'!$B$8-'Black-Scholes'!$B$10-'Black-Scholes'!$B$9^2/2)*'Black-Scholes'!$B$7-'Black-Scholes'!$B$9*SQRT('Black-Scholes'!$B$7)*B3958)</f>
        <v>108.59189581829</v>
      </c>
      <c r="E3958" s="18" t="n">
        <f aca="false">EXP(-'Black-Scholes'!$B$8*'Black-Scholes'!$B$7)*IF(LOWER('Black-Scholes'!$B$11)="put",MAX('Black-Scholes'!$B$6-C3958,0),MAX(C3958-'Black-Scholes'!$B$6,0))</f>
        <v>0</v>
      </c>
      <c r="F3958" s="18" t="n">
        <f aca="false">(E3958+G3958)/2</f>
        <v>4.08643205730096</v>
      </c>
      <c r="G3958" s="18" t="n">
        <f aca="false">EXP(-'Black-Scholes'!$B$8*'Black-Scholes'!$B$7)*IF(LOWER('Black-Scholes'!$B$11)="put",MAX('Black-Scholes'!$B$6-D3958,0),MAX(D3958-'Black-Scholes'!$B$6,0))</f>
        <v>8.17286411460191</v>
      </c>
    </row>
    <row r="3959" customFormat="false" ht="15" hidden="false" customHeight="false" outlineLevel="0" collapsed="false">
      <c r="A3959" s="0" t="n">
        <v>3948</v>
      </c>
      <c r="B3959" s="15" t="n">
        <v>0.423796293462488</v>
      </c>
      <c r="C3959" s="18" t="n">
        <f aca="false">'Black-Scholes'!$B$5*EXP(('Black-Scholes'!$B$8-'Black-Scholes'!$B$10-'Black-Scholes'!$B$9^2/2)*'Black-Scholes'!$B$7+'Black-Scholes'!$B$9*SQRT('Black-Scholes'!$B$7)*B3959)</f>
        <v>112.160338880098</v>
      </c>
      <c r="D3959" s="18" t="n">
        <f aca="false">'Black-Scholes'!$B$5*EXP(('Black-Scholes'!$B$8-'Black-Scholes'!$B$10-'Black-Scholes'!$B$9^2/2)*'Black-Scholes'!$B$7-'Black-Scholes'!$B$9*SQRT('Black-Scholes'!$B$7)*B3959)</f>
        <v>94.671303345516</v>
      </c>
      <c r="E3959" s="18" t="n">
        <f aca="false">EXP(-'Black-Scholes'!$B$8*'Black-Scholes'!$B$7)*IF(LOWER('Black-Scholes'!$B$11)="put",MAX('Black-Scholes'!$B$6-C3959,0),MAX(C3959-'Black-Scholes'!$B$6,0))</f>
        <v>11.5672721546489</v>
      </c>
      <c r="F3959" s="18" t="n">
        <f aca="false">(E3959+G3959)/2</f>
        <v>5.78363607732447</v>
      </c>
      <c r="G3959" s="18" t="n">
        <f aca="false">EXP(-'Black-Scholes'!$B$8*'Black-Scholes'!$B$7)*IF(LOWER('Black-Scholes'!$B$11)="put",MAX('Black-Scholes'!$B$6-D3959,0),MAX(D3959-'Black-Scholes'!$B$6,0))</f>
        <v>0</v>
      </c>
    </row>
    <row r="3960" customFormat="false" ht="15" hidden="false" customHeight="false" outlineLevel="0" collapsed="false">
      <c r="A3960" s="0" t="n">
        <v>3949</v>
      </c>
      <c r="B3960" s="15" t="n">
        <v>-1.20314928071439</v>
      </c>
      <c r="C3960" s="18" t="n">
        <f aca="false">'Black-Scholes'!$B$5*EXP(('Black-Scholes'!$B$8-'Black-Scholes'!$B$10-'Black-Scholes'!$B$9^2/2)*'Black-Scholes'!$B$7+'Black-Scholes'!$B$9*SQRT('Black-Scholes'!$B$7)*B3960)</f>
        <v>81.0073855256779</v>
      </c>
      <c r="D3960" s="18" t="n">
        <f aca="false">'Black-Scholes'!$B$5*EXP(('Black-Scholes'!$B$8-'Black-Scholes'!$B$10-'Black-Scholes'!$B$9^2/2)*'Black-Scholes'!$B$7-'Black-Scholes'!$B$9*SQRT('Black-Scholes'!$B$7)*B3960)</f>
        <v>131.078979978779</v>
      </c>
      <c r="E3960" s="18" t="n">
        <f aca="false">EXP(-'Black-Scholes'!$B$8*'Black-Scholes'!$B$7)*IF(LOWER('Black-Scholes'!$B$11)="put",MAX('Black-Scholes'!$B$6-C3960,0),MAX(C3960-'Black-Scholes'!$B$6,0))</f>
        <v>0</v>
      </c>
      <c r="F3960" s="18" t="n">
        <f aca="false">(E3960+G3960)/2</f>
        <v>14.7816201196418</v>
      </c>
      <c r="G3960" s="18" t="n">
        <f aca="false">EXP(-'Black-Scholes'!$B$8*'Black-Scholes'!$B$7)*IF(LOWER('Black-Scholes'!$B$11)="put",MAX('Black-Scholes'!$B$6-D3960,0),MAX(D3960-'Black-Scholes'!$B$6,0))</f>
        <v>29.5632402392835</v>
      </c>
    </row>
    <row r="3961" customFormat="false" ht="15" hidden="false" customHeight="false" outlineLevel="0" collapsed="false">
      <c r="A3961" s="0" t="n">
        <v>3950</v>
      </c>
      <c r="B3961" s="15" t="n">
        <v>0.992489024981067</v>
      </c>
      <c r="C3961" s="18" t="n">
        <f aca="false">'Black-Scholes'!$B$5*EXP(('Black-Scholes'!$B$8-'Black-Scholes'!$B$10-'Black-Scholes'!$B$9^2/2)*'Black-Scholes'!$B$7+'Black-Scholes'!$B$9*SQRT('Black-Scholes'!$B$7)*B3961)</f>
        <v>125.671076664398</v>
      </c>
      <c r="D3961" s="18" t="n">
        <f aca="false">'Black-Scholes'!$B$5*EXP(('Black-Scholes'!$B$8-'Black-Scholes'!$B$10-'Black-Scholes'!$B$9^2/2)*'Black-Scholes'!$B$7-'Black-Scholes'!$B$9*SQRT('Black-Scholes'!$B$7)*B3961)</f>
        <v>84.4933118048295</v>
      </c>
      <c r="E3961" s="18" t="n">
        <f aca="false">EXP(-'Black-Scholes'!$B$8*'Black-Scholes'!$B$7)*IF(LOWER('Black-Scholes'!$B$11)="put",MAX('Black-Scholes'!$B$6-C3961,0),MAX(C3961-'Black-Scholes'!$B$6,0))</f>
        <v>24.4190834817889</v>
      </c>
      <c r="F3961" s="18" t="n">
        <f aca="false">(E3961+G3961)/2</f>
        <v>12.2095417408945</v>
      </c>
      <c r="G3961" s="18" t="n">
        <f aca="false">EXP(-'Black-Scholes'!$B$8*'Black-Scholes'!$B$7)*IF(LOWER('Black-Scholes'!$B$11)="put",MAX('Black-Scholes'!$B$6-D3961,0),MAX(D3961-'Black-Scholes'!$B$6,0))</f>
        <v>0</v>
      </c>
    </row>
    <row r="3962" customFormat="false" ht="15" hidden="false" customHeight="false" outlineLevel="0" collapsed="false">
      <c r="A3962" s="0" t="n">
        <v>3951</v>
      </c>
      <c r="B3962" s="15" t="n">
        <v>0.430471444671703</v>
      </c>
      <c r="C3962" s="18" t="n">
        <f aca="false">'Black-Scholes'!$B$5*EXP(('Black-Scholes'!$B$8-'Black-Scholes'!$B$10-'Black-Scholes'!$B$9^2/2)*'Black-Scholes'!$B$7+'Black-Scholes'!$B$9*SQRT('Black-Scholes'!$B$7)*B3962)</f>
        <v>112.310176320941</v>
      </c>
      <c r="D3962" s="18" t="n">
        <f aca="false">'Black-Scholes'!$B$5*EXP(('Black-Scholes'!$B$8-'Black-Scholes'!$B$10-'Black-Scholes'!$B$9^2/2)*'Black-Scholes'!$B$7-'Black-Scholes'!$B$9*SQRT('Black-Scholes'!$B$7)*B3962)</f>
        <v>94.5449986215876</v>
      </c>
      <c r="E3962" s="18" t="n">
        <f aca="false">EXP(-'Black-Scholes'!$B$8*'Black-Scholes'!$B$7)*IF(LOWER('Black-Scholes'!$B$11)="put",MAX('Black-Scholes'!$B$6-C3962,0),MAX(C3962-'Black-Scholes'!$B$6,0))</f>
        <v>11.7098019372707</v>
      </c>
      <c r="F3962" s="18" t="n">
        <f aca="false">(E3962+G3962)/2</f>
        <v>5.85490096863536</v>
      </c>
      <c r="G3962" s="18" t="n">
        <f aca="false">EXP(-'Black-Scholes'!$B$8*'Black-Scholes'!$B$7)*IF(LOWER('Black-Scholes'!$B$11)="put",MAX('Black-Scholes'!$B$6-D3962,0),MAX(D3962-'Black-Scholes'!$B$6,0))</f>
        <v>0</v>
      </c>
    </row>
    <row r="3963" customFormat="false" ht="15" hidden="false" customHeight="false" outlineLevel="0" collapsed="false">
      <c r="A3963" s="0" t="n">
        <v>3952</v>
      </c>
      <c r="B3963" s="15" t="n">
        <v>-0.138562415090171</v>
      </c>
      <c r="C3963" s="18" t="n">
        <f aca="false">'Black-Scholes'!$B$5*EXP(('Black-Scholes'!$B$8-'Black-Scholes'!$B$10-'Black-Scholes'!$B$9^2/2)*'Black-Scholes'!$B$7+'Black-Scholes'!$B$9*SQRT('Black-Scholes'!$B$7)*B3963)</f>
        <v>100.229013534507</v>
      </c>
      <c r="D3963" s="18" t="n">
        <f aca="false">'Black-Scholes'!$B$5*EXP(('Black-Scholes'!$B$8-'Black-Scholes'!$B$10-'Black-Scholes'!$B$9^2/2)*'Black-Scholes'!$B$7-'Black-Scholes'!$B$9*SQRT('Black-Scholes'!$B$7)*B3963)</f>
        <v>105.941035344999</v>
      </c>
      <c r="E3963" s="18" t="n">
        <f aca="false">EXP(-'Black-Scholes'!$B$8*'Black-Scholes'!$B$7)*IF(LOWER('Black-Scholes'!$B$11)="put",MAX('Black-Scholes'!$B$6-C3963,0),MAX(C3963-'Black-Scholes'!$B$6,0))</f>
        <v>0.217844412632283</v>
      </c>
      <c r="F3963" s="18" t="n">
        <f aca="false">(E3963+G3963)/2</f>
        <v>2.93456602239691</v>
      </c>
      <c r="G3963" s="18" t="n">
        <f aca="false">EXP(-'Black-Scholes'!$B$8*'Black-Scholes'!$B$7)*IF(LOWER('Black-Scholes'!$B$11)="put",MAX('Black-Scholes'!$B$6-D3963,0),MAX(D3963-'Black-Scholes'!$B$6,0))</f>
        <v>5.65128763216154</v>
      </c>
    </row>
    <row r="3964" customFormat="false" ht="15" hidden="false" customHeight="false" outlineLevel="0" collapsed="false">
      <c r="A3964" s="0" t="n">
        <v>3953</v>
      </c>
      <c r="B3964" s="15" t="n">
        <v>-1.19858565688398</v>
      </c>
      <c r="C3964" s="18" t="n">
        <f aca="false">'Black-Scholes'!$B$5*EXP(('Black-Scholes'!$B$8-'Black-Scholes'!$B$10-'Black-Scholes'!$B$9^2/2)*'Black-Scholes'!$B$7+'Black-Scholes'!$B$9*SQRT('Black-Scholes'!$B$7)*B3964)</f>
        <v>81.0813567252204</v>
      </c>
      <c r="D3964" s="18" t="n">
        <f aca="false">'Black-Scholes'!$B$5*EXP(('Black-Scholes'!$B$8-'Black-Scholes'!$B$10-'Black-Scholes'!$B$9^2/2)*'Black-Scholes'!$B$7-'Black-Scholes'!$B$9*SQRT('Black-Scholes'!$B$7)*B3964)</f>
        <v>130.959395529586</v>
      </c>
      <c r="E3964" s="18" t="n">
        <f aca="false">EXP(-'Black-Scholes'!$B$8*'Black-Scholes'!$B$7)*IF(LOWER('Black-Scholes'!$B$11)="put",MAX('Black-Scholes'!$B$6-C3964,0),MAX(C3964-'Black-Scholes'!$B$6,0))</f>
        <v>0</v>
      </c>
      <c r="F3964" s="18" t="n">
        <f aca="false">(E3964+G3964)/2</f>
        <v>14.724743996249</v>
      </c>
      <c r="G3964" s="18" t="n">
        <f aca="false">EXP(-'Black-Scholes'!$B$8*'Black-Scholes'!$B$7)*IF(LOWER('Black-Scholes'!$B$11)="put",MAX('Black-Scholes'!$B$6-D3964,0),MAX(D3964-'Black-Scholes'!$B$6,0))</f>
        <v>29.4494879924981</v>
      </c>
    </row>
    <row r="3965" customFormat="false" ht="15" hidden="false" customHeight="false" outlineLevel="0" collapsed="false">
      <c r="A3965" s="0" t="n">
        <v>3954</v>
      </c>
      <c r="B3965" s="15" t="n">
        <v>-0.160000253661114</v>
      </c>
      <c r="C3965" s="18" t="n">
        <f aca="false">'Black-Scholes'!$B$5*EXP(('Black-Scholes'!$B$8-'Black-Scholes'!$B$10-'Black-Scholes'!$B$9^2/2)*'Black-Scholes'!$B$7+'Black-Scholes'!$B$9*SQRT('Black-Scholes'!$B$7)*B3965)</f>
        <v>99.8001948036475</v>
      </c>
      <c r="D3965" s="18" t="n">
        <f aca="false">'Black-Scholes'!$B$5*EXP(('Black-Scholes'!$B$8-'Black-Scholes'!$B$10-'Black-Scholes'!$B$9^2/2)*'Black-Scholes'!$B$7-'Black-Scholes'!$B$9*SQRT('Black-Scholes'!$B$7)*B3965)</f>
        <v>106.396239870521</v>
      </c>
      <c r="E3965" s="18" t="n">
        <f aca="false">EXP(-'Black-Scholes'!$B$8*'Black-Scholes'!$B$7)*IF(LOWER('Black-Scholes'!$B$11)="put",MAX('Black-Scholes'!$B$6-C3965,0),MAX(C3965-'Black-Scholes'!$B$6,0))</f>
        <v>0</v>
      </c>
      <c r="F3965" s="18" t="n">
        <f aca="false">(E3965+G3965)/2</f>
        <v>3.0421457855021</v>
      </c>
      <c r="G3965" s="18" t="n">
        <f aca="false">EXP(-'Black-Scholes'!$B$8*'Black-Scholes'!$B$7)*IF(LOWER('Black-Scholes'!$B$11)="put",MAX('Black-Scholes'!$B$6-D3965,0),MAX(D3965-'Black-Scholes'!$B$6,0))</f>
        <v>6.0842915710042</v>
      </c>
    </row>
    <row r="3966" customFormat="false" ht="15" hidden="false" customHeight="false" outlineLevel="0" collapsed="false">
      <c r="A3966" s="0" t="n">
        <v>3955</v>
      </c>
      <c r="B3966" s="15" t="n">
        <v>1.69894209711588</v>
      </c>
      <c r="C3966" s="18" t="n">
        <f aca="false">'Black-Scholes'!$B$5*EXP(('Black-Scholes'!$B$8-'Black-Scholes'!$B$10-'Black-Scholes'!$B$9^2/2)*'Black-Scholes'!$B$7+'Black-Scholes'!$B$9*SQRT('Black-Scholes'!$B$7)*B3966)</f>
        <v>144.742833454107</v>
      </c>
      <c r="D3966" s="18" t="n">
        <f aca="false">'Black-Scholes'!$B$5*EXP(('Black-Scholes'!$B$8-'Black-Scholes'!$B$10-'Black-Scholes'!$B$9^2/2)*'Black-Scholes'!$B$7-'Black-Scholes'!$B$9*SQRT('Black-Scholes'!$B$7)*B3966)</f>
        <v>73.3602155772383</v>
      </c>
      <c r="E3966" s="18" t="n">
        <f aca="false">EXP(-'Black-Scholes'!$B$8*'Black-Scholes'!$B$7)*IF(LOWER('Black-Scholes'!$B$11)="put",MAX('Black-Scholes'!$B$6-C3966,0),MAX(C3966-'Black-Scholes'!$B$6,0))</f>
        <v>42.5606997170816</v>
      </c>
      <c r="F3966" s="18" t="n">
        <f aca="false">(E3966+G3966)/2</f>
        <v>21.2803498585408</v>
      </c>
      <c r="G3966" s="18" t="n">
        <f aca="false">EXP(-'Black-Scholes'!$B$8*'Black-Scholes'!$B$7)*IF(LOWER('Black-Scholes'!$B$11)="put",MAX('Black-Scholes'!$B$6-D3966,0),MAX(D3966-'Black-Scholes'!$B$6,0))</f>
        <v>0</v>
      </c>
    </row>
    <row r="3967" customFormat="false" ht="15" hidden="false" customHeight="false" outlineLevel="0" collapsed="false">
      <c r="A3967" s="0" t="n">
        <v>3956</v>
      </c>
      <c r="B3967" s="15" t="n">
        <v>1.24291983388737</v>
      </c>
      <c r="C3967" s="18" t="n">
        <f aca="false">'Black-Scholes'!$B$5*EXP(('Black-Scholes'!$B$8-'Black-Scholes'!$B$10-'Black-Scholes'!$B$9^2/2)*'Black-Scholes'!$B$7+'Black-Scholes'!$B$9*SQRT('Black-Scholes'!$B$7)*B3967)</f>
        <v>132.125754247646</v>
      </c>
      <c r="D3967" s="18" t="n">
        <f aca="false">'Black-Scholes'!$B$5*EXP(('Black-Scholes'!$B$8-'Black-Scholes'!$B$10-'Black-Scholes'!$B$9^2/2)*'Black-Scholes'!$B$7-'Black-Scholes'!$B$9*SQRT('Black-Scholes'!$B$7)*B3967)</f>
        <v>80.3655996207322</v>
      </c>
      <c r="E3967" s="18" t="n">
        <f aca="false">EXP(-'Black-Scholes'!$B$8*'Black-Scholes'!$B$7)*IF(LOWER('Black-Scholes'!$B$11)="put",MAX('Black-Scholes'!$B$6-C3967,0),MAX(C3967-'Black-Scholes'!$B$6,0))</f>
        <v>30.5589627246399</v>
      </c>
      <c r="F3967" s="18" t="n">
        <f aca="false">(E3967+G3967)/2</f>
        <v>15.27948136232</v>
      </c>
      <c r="G3967" s="18" t="n">
        <f aca="false">EXP(-'Black-Scholes'!$B$8*'Black-Scholes'!$B$7)*IF(LOWER('Black-Scholes'!$B$11)="put",MAX('Black-Scholes'!$B$6-D3967,0),MAX(D3967-'Black-Scholes'!$B$6,0))</f>
        <v>0</v>
      </c>
    </row>
    <row r="3968" customFormat="false" ht="15" hidden="false" customHeight="false" outlineLevel="0" collapsed="false">
      <c r="A3968" s="0" t="n">
        <v>3957</v>
      </c>
      <c r="B3968" s="15" t="n">
        <v>0.077798065458672</v>
      </c>
      <c r="C3968" s="18" t="n">
        <f aca="false">'Black-Scholes'!$B$5*EXP(('Black-Scholes'!$B$8-'Black-Scholes'!$B$10-'Black-Scholes'!$B$9^2/2)*'Black-Scholes'!$B$7+'Black-Scholes'!$B$9*SQRT('Black-Scholes'!$B$7)*B3968)</f>
        <v>104.66133946146</v>
      </c>
      <c r="D3968" s="18" t="n">
        <f aca="false">'Black-Scholes'!$B$5*EXP(('Black-Scholes'!$B$8-'Black-Scholes'!$B$10-'Black-Scholes'!$B$9^2/2)*'Black-Scholes'!$B$7-'Black-Scholes'!$B$9*SQRT('Black-Scholes'!$B$7)*B3968)</f>
        <v>101.454515297538</v>
      </c>
      <c r="E3968" s="18" t="n">
        <f aca="false">EXP(-'Black-Scholes'!$B$8*'Black-Scholes'!$B$7)*IF(LOWER('Black-Scholes'!$B$11)="put",MAX('Black-Scholes'!$B$6-C3968,0),MAX(C3968-'Black-Scholes'!$B$6,0))</f>
        <v>4.43400325332739</v>
      </c>
      <c r="F3968" s="18" t="n">
        <f aca="false">(E3968+G3968)/2</f>
        <v>2.9087905013662</v>
      </c>
      <c r="G3968" s="18" t="n">
        <f aca="false">EXP(-'Black-Scholes'!$B$8*'Black-Scholes'!$B$7)*IF(LOWER('Black-Scholes'!$B$11)="put",MAX('Black-Scholes'!$B$6-D3968,0),MAX(D3968-'Black-Scholes'!$B$6,0))</f>
        <v>1.38357774940501</v>
      </c>
    </row>
    <row r="3969" customFormat="false" ht="15" hidden="false" customHeight="false" outlineLevel="0" collapsed="false">
      <c r="A3969" s="0" t="n">
        <v>3958</v>
      </c>
      <c r="B3969" s="15" t="n">
        <v>-0.413769494485179</v>
      </c>
      <c r="C3969" s="18" t="n">
        <f aca="false">'Black-Scholes'!$B$5*EXP(('Black-Scholes'!$B$8-'Black-Scholes'!$B$10-'Black-Scholes'!$B$9^2/2)*'Black-Scholes'!$B$7+'Black-Scholes'!$B$9*SQRT('Black-Scholes'!$B$7)*B3969)</f>
        <v>94.861343857143</v>
      </c>
      <c r="D3969" s="18" t="n">
        <f aca="false">'Black-Scholes'!$B$5*EXP(('Black-Scholes'!$B$8-'Black-Scholes'!$B$10-'Black-Scholes'!$B$9^2/2)*'Black-Scholes'!$B$7-'Black-Scholes'!$B$9*SQRT('Black-Scholes'!$B$7)*B3969)</f>
        <v>111.935642419787</v>
      </c>
      <c r="E3969" s="18" t="n">
        <f aca="false">EXP(-'Black-Scholes'!$B$8*'Black-Scholes'!$B$7)*IF(LOWER('Black-Scholes'!$B$11)="put",MAX('Black-Scholes'!$B$6-C3969,0),MAX(C3969-'Black-Scholes'!$B$6,0))</f>
        <v>0</v>
      </c>
      <c r="F3969" s="18" t="n">
        <f aca="false">(E3969+G3969)/2</f>
        <v>5.67676713501004</v>
      </c>
      <c r="G3969" s="18" t="n">
        <f aca="false">EXP(-'Black-Scholes'!$B$8*'Black-Scholes'!$B$7)*IF(LOWER('Black-Scholes'!$B$11)="put",MAX('Black-Scholes'!$B$6-D3969,0),MAX(D3969-'Black-Scholes'!$B$6,0))</f>
        <v>11.3535342700201</v>
      </c>
    </row>
    <row r="3970" customFormat="false" ht="15" hidden="false" customHeight="false" outlineLevel="0" collapsed="false">
      <c r="A3970" s="0" t="n">
        <v>3959</v>
      </c>
      <c r="B3970" s="15" t="n">
        <v>0.69299448014671</v>
      </c>
      <c r="C3970" s="18" t="n">
        <f aca="false">'Black-Scholes'!$B$5*EXP(('Black-Scholes'!$B$8-'Black-Scholes'!$B$10-'Black-Scholes'!$B$9^2/2)*'Black-Scholes'!$B$7+'Black-Scholes'!$B$9*SQRT('Black-Scholes'!$B$7)*B3970)</f>
        <v>118.3645278875</v>
      </c>
      <c r="D3970" s="18" t="n">
        <f aca="false">'Black-Scholes'!$B$5*EXP(('Black-Scholes'!$B$8-'Black-Scholes'!$B$10-'Black-Scholes'!$B$9^2/2)*'Black-Scholes'!$B$7-'Black-Scholes'!$B$9*SQRT('Black-Scholes'!$B$7)*B3970)</f>
        <v>89.7090171773915</v>
      </c>
      <c r="E3970" s="18" t="n">
        <f aca="false">EXP(-'Black-Scholes'!$B$8*'Black-Scholes'!$B$7)*IF(LOWER('Black-Scholes'!$B$11)="put",MAX('Black-Scholes'!$B$6-C3970,0),MAX(C3970-'Black-Scholes'!$B$6,0))</f>
        <v>17.4688792936542</v>
      </c>
      <c r="F3970" s="18" t="n">
        <f aca="false">(E3970+G3970)/2</f>
        <v>8.73443964682711</v>
      </c>
      <c r="G3970" s="18" t="n">
        <f aca="false">EXP(-'Black-Scholes'!$B$8*'Black-Scholes'!$B$7)*IF(LOWER('Black-Scholes'!$B$11)="put",MAX('Black-Scholes'!$B$6-D3970,0),MAX(D3970-'Black-Scholes'!$B$6,0))</f>
        <v>0</v>
      </c>
    </row>
    <row r="3971" customFormat="false" ht="15" hidden="false" customHeight="false" outlineLevel="0" collapsed="false">
      <c r="A3971" s="0" t="n">
        <v>3960</v>
      </c>
      <c r="B3971" s="15" t="n">
        <v>-0.828837246027234</v>
      </c>
      <c r="C3971" s="18" t="n">
        <f aca="false">'Black-Scholes'!$B$5*EXP(('Black-Scholes'!$B$8-'Black-Scholes'!$B$10-'Black-Scholes'!$B$9^2/2)*'Black-Scholes'!$B$7+'Black-Scholes'!$B$9*SQRT('Black-Scholes'!$B$7)*B3971)</f>
        <v>87.3045636339863</v>
      </c>
      <c r="D3971" s="18" t="n">
        <f aca="false">'Black-Scholes'!$B$5*EXP(('Black-Scholes'!$B$8-'Black-Scholes'!$B$10-'Black-Scholes'!$B$9^2/2)*'Black-Scholes'!$B$7-'Black-Scholes'!$B$9*SQRT('Black-Scholes'!$B$7)*B3971)</f>
        <v>121.624403392815</v>
      </c>
      <c r="E3971" s="18" t="n">
        <f aca="false">EXP(-'Black-Scholes'!$B$8*'Black-Scholes'!$B$7)*IF(LOWER('Black-Scholes'!$B$11)="put",MAX('Black-Scholes'!$B$6-C3971,0),MAX(C3971-'Black-Scholes'!$B$6,0))</f>
        <v>0</v>
      </c>
      <c r="F3971" s="18" t="n">
        <f aca="false">(E3971+G3971)/2</f>
        <v>10.2848843972591</v>
      </c>
      <c r="G3971" s="18" t="n">
        <f aca="false">EXP(-'Black-Scholes'!$B$8*'Black-Scholes'!$B$7)*IF(LOWER('Black-Scholes'!$B$11)="put",MAX('Black-Scholes'!$B$6-D3971,0),MAX(D3971-'Black-Scholes'!$B$6,0))</f>
        <v>20.5697687945183</v>
      </c>
    </row>
    <row r="3972" customFormat="false" ht="15" hidden="false" customHeight="false" outlineLevel="0" collapsed="false">
      <c r="A3972" s="0" t="n">
        <v>3961</v>
      </c>
      <c r="B3972" s="15" t="n">
        <v>-0.226453362152087</v>
      </c>
      <c r="C3972" s="18" t="n">
        <f aca="false">'Black-Scholes'!$B$5*EXP(('Black-Scholes'!$B$8-'Black-Scholes'!$B$10-'Black-Scholes'!$B$9^2/2)*'Black-Scholes'!$B$7+'Black-Scholes'!$B$9*SQRT('Black-Scholes'!$B$7)*B3972)</f>
        <v>98.4825636333594</v>
      </c>
      <c r="D3972" s="18" t="n">
        <f aca="false">'Black-Scholes'!$B$5*EXP(('Black-Scholes'!$B$8-'Black-Scholes'!$B$10-'Black-Scholes'!$B$9^2/2)*'Black-Scholes'!$B$7-'Black-Scholes'!$B$9*SQRT('Black-Scholes'!$B$7)*B3972)</f>
        <v>107.819750763035</v>
      </c>
      <c r="E3972" s="18" t="n">
        <f aca="false">EXP(-'Black-Scholes'!$B$8*'Black-Scholes'!$B$7)*IF(LOWER('Black-Scholes'!$B$11)="put",MAX('Black-Scholes'!$B$6-C3972,0),MAX(C3972-'Black-Scholes'!$B$6,0))</f>
        <v>0</v>
      </c>
      <c r="F3972" s="18" t="n">
        <f aca="false">(E3972+G3972)/2</f>
        <v>3.71918850903063</v>
      </c>
      <c r="G3972" s="18" t="n">
        <f aca="false">EXP(-'Black-Scholes'!$B$8*'Black-Scholes'!$B$7)*IF(LOWER('Black-Scholes'!$B$11)="put",MAX('Black-Scholes'!$B$6-D3972,0),MAX(D3972-'Black-Scholes'!$B$6,0))</f>
        <v>7.43837701806125</v>
      </c>
    </row>
    <row r="3973" customFormat="false" ht="15" hidden="false" customHeight="false" outlineLevel="0" collapsed="false">
      <c r="A3973" s="0" t="n">
        <v>3962</v>
      </c>
      <c r="B3973" s="15" t="n">
        <v>-0.289615466026228</v>
      </c>
      <c r="C3973" s="18" t="n">
        <f aca="false">'Black-Scholes'!$B$5*EXP(('Black-Scholes'!$B$8-'Black-Scholes'!$B$10-'Black-Scholes'!$B$9^2/2)*'Black-Scholes'!$B$7+'Black-Scholes'!$B$9*SQRT('Black-Scholes'!$B$7)*B3973)</f>
        <v>97.2463152949539</v>
      </c>
      <c r="D3973" s="18" t="n">
        <f aca="false">'Black-Scholes'!$B$5*EXP(('Black-Scholes'!$B$8-'Black-Scholes'!$B$10-'Black-Scholes'!$B$9^2/2)*'Black-Scholes'!$B$7-'Black-Scholes'!$B$9*SQRT('Black-Scholes'!$B$7)*B3973)</f>
        <v>109.190414395111</v>
      </c>
      <c r="E3973" s="18" t="n">
        <f aca="false">EXP(-'Black-Scholes'!$B$8*'Black-Scholes'!$B$7)*IF(LOWER('Black-Scholes'!$B$11)="put",MAX('Black-Scholes'!$B$6-C3973,0),MAX(C3973-'Black-Scholes'!$B$6,0))</f>
        <v>0</v>
      </c>
      <c r="F3973" s="18" t="n">
        <f aca="false">(E3973+G3973)/2</f>
        <v>4.37109629799207</v>
      </c>
      <c r="G3973" s="18" t="n">
        <f aca="false">EXP(-'Black-Scholes'!$B$8*'Black-Scholes'!$B$7)*IF(LOWER('Black-Scholes'!$B$11)="put",MAX('Black-Scholes'!$B$6-D3973,0),MAX(D3973-'Black-Scholes'!$B$6,0))</f>
        <v>8.74219259598414</v>
      </c>
    </row>
    <row r="3974" customFormat="false" ht="15" hidden="false" customHeight="false" outlineLevel="0" collapsed="false">
      <c r="A3974" s="0" t="n">
        <v>3963</v>
      </c>
      <c r="B3974" s="15" t="n">
        <v>-0.773397757185193</v>
      </c>
      <c r="C3974" s="18" t="n">
        <f aca="false">'Black-Scholes'!$B$5*EXP(('Black-Scholes'!$B$8-'Black-Scholes'!$B$10-'Black-Scholes'!$B$9^2/2)*'Black-Scholes'!$B$7+'Black-Scholes'!$B$9*SQRT('Black-Scholes'!$B$7)*B3974)</f>
        <v>88.2779742764291</v>
      </c>
      <c r="D3974" s="18" t="n">
        <f aca="false">'Black-Scholes'!$B$5*EXP(('Black-Scholes'!$B$8-'Black-Scholes'!$B$10-'Black-Scholes'!$B$9^2/2)*'Black-Scholes'!$B$7-'Black-Scholes'!$B$9*SQRT('Black-Scholes'!$B$7)*B3974)</f>
        <v>120.283293227864</v>
      </c>
      <c r="E3974" s="18" t="n">
        <f aca="false">EXP(-'Black-Scholes'!$B$8*'Black-Scholes'!$B$7)*IF(LOWER('Black-Scholes'!$B$11)="put",MAX('Black-Scholes'!$B$6-C3974,0),MAX(C3974-'Black-Scholes'!$B$6,0))</f>
        <v>0</v>
      </c>
      <c r="F3974" s="18" t="n">
        <f aca="false">(E3974+G3974)/2</f>
        <v>9.64703267206039</v>
      </c>
      <c r="G3974" s="18" t="n">
        <f aca="false">EXP(-'Black-Scholes'!$B$8*'Black-Scholes'!$B$7)*IF(LOWER('Black-Scholes'!$B$11)="put",MAX('Black-Scholes'!$B$6-D3974,0),MAX(D3974-'Black-Scholes'!$B$6,0))</f>
        <v>19.2940653441208</v>
      </c>
    </row>
    <row r="3975" customFormat="false" ht="15" hidden="false" customHeight="false" outlineLevel="0" collapsed="false">
      <c r="A3975" s="0" t="n">
        <v>3964</v>
      </c>
      <c r="B3975" s="15" t="n">
        <v>0.520572711433996</v>
      </c>
      <c r="C3975" s="18" t="n">
        <f aca="false">'Black-Scholes'!$B$5*EXP(('Black-Scholes'!$B$8-'Black-Scholes'!$B$10-'Black-Scholes'!$B$9^2/2)*'Black-Scholes'!$B$7+'Black-Scholes'!$B$9*SQRT('Black-Scholes'!$B$7)*B3975)</f>
        <v>114.352379397383</v>
      </c>
      <c r="D3975" s="18" t="n">
        <f aca="false">'Black-Scholes'!$B$5*EXP(('Black-Scholes'!$B$8-'Black-Scholes'!$B$10-'Black-Scholes'!$B$9^2/2)*'Black-Scholes'!$B$7-'Black-Scholes'!$B$9*SQRT('Black-Scholes'!$B$7)*B3975)</f>
        <v>92.8565327753613</v>
      </c>
      <c r="E3975" s="18" t="n">
        <f aca="false">EXP(-'Black-Scholes'!$B$8*'Black-Scholes'!$B$7)*IF(LOWER('Black-Scholes'!$B$11)="put",MAX('Black-Scholes'!$B$6-C3975,0),MAX(C3975-'Black-Scholes'!$B$6,0))</f>
        <v>13.6524055943881</v>
      </c>
      <c r="F3975" s="18" t="n">
        <f aca="false">(E3975+G3975)/2</f>
        <v>6.82620279719404</v>
      </c>
      <c r="G3975" s="18" t="n">
        <f aca="false">EXP(-'Black-Scholes'!$B$8*'Black-Scholes'!$B$7)*IF(LOWER('Black-Scholes'!$B$11)="put",MAX('Black-Scholes'!$B$6-D3975,0),MAX(D3975-'Black-Scholes'!$B$6,0))</f>
        <v>0</v>
      </c>
    </row>
    <row r="3976" customFormat="false" ht="15" hidden="false" customHeight="false" outlineLevel="0" collapsed="false">
      <c r="A3976" s="0" t="n">
        <v>3965</v>
      </c>
      <c r="B3976" s="15" t="n">
        <v>1.94675555075049</v>
      </c>
      <c r="C3976" s="18" t="n">
        <f aca="false">'Black-Scholes'!$B$5*EXP(('Black-Scholes'!$B$8-'Black-Scholes'!$B$10-'Black-Scholes'!$B$9^2/2)*'Black-Scholes'!$B$7+'Black-Scholes'!$B$9*SQRT('Black-Scholes'!$B$7)*B3976)</f>
        <v>152.097429056103</v>
      </c>
      <c r="D3976" s="18" t="n">
        <f aca="false">'Black-Scholes'!$B$5*EXP(('Black-Scholes'!$B$8-'Black-Scholes'!$B$10-'Black-Scholes'!$B$9^2/2)*'Black-Scholes'!$B$7-'Black-Scholes'!$B$9*SQRT('Black-Scholes'!$B$7)*B3976)</f>
        <v>69.8129188070423</v>
      </c>
      <c r="E3976" s="18" t="n">
        <f aca="false">EXP(-'Black-Scholes'!$B$8*'Black-Scholes'!$B$7)*IF(LOWER('Black-Scholes'!$B$11)="put",MAX('Black-Scholes'!$B$6-C3976,0),MAX(C3976-'Black-Scholes'!$B$6,0))</f>
        <v>49.5566074590037</v>
      </c>
      <c r="F3976" s="18" t="n">
        <f aca="false">(E3976+G3976)/2</f>
        <v>24.7783037295018</v>
      </c>
      <c r="G3976" s="18" t="n">
        <f aca="false">EXP(-'Black-Scholes'!$B$8*'Black-Scholes'!$B$7)*IF(LOWER('Black-Scholes'!$B$11)="put",MAX('Black-Scholes'!$B$6-D3976,0),MAX(D3976-'Black-Scholes'!$B$6,0))</f>
        <v>0</v>
      </c>
    </row>
    <row r="3977" customFormat="false" ht="15" hidden="false" customHeight="false" outlineLevel="0" collapsed="false">
      <c r="A3977" s="0" t="n">
        <v>3966</v>
      </c>
      <c r="B3977" s="15" t="n">
        <v>1.1625585717227</v>
      </c>
      <c r="C3977" s="18" t="n">
        <f aca="false">'Black-Scholes'!$B$5*EXP(('Black-Scholes'!$B$8-'Black-Scholes'!$B$10-'Black-Scholes'!$B$9^2/2)*'Black-Scholes'!$B$7+'Black-Scholes'!$B$9*SQRT('Black-Scholes'!$B$7)*B3977)</f>
        <v>130.019169897281</v>
      </c>
      <c r="D3977" s="18" t="n">
        <f aca="false">'Black-Scholes'!$B$5*EXP(('Black-Scholes'!$B$8-'Black-Scholes'!$B$10-'Black-Scholes'!$B$9^2/2)*'Black-Scholes'!$B$7-'Black-Scholes'!$B$9*SQRT('Black-Scholes'!$B$7)*B3977)</f>
        <v>81.6676915707308</v>
      </c>
      <c r="E3977" s="18" t="n">
        <f aca="false">EXP(-'Black-Scholes'!$B$8*'Black-Scholes'!$B$7)*IF(LOWER('Black-Scholes'!$B$11)="put",MAX('Black-Scholes'!$B$6-C3977,0),MAX(C3977-'Black-Scholes'!$B$6,0))</f>
        <v>28.5551177053798</v>
      </c>
      <c r="F3977" s="18" t="n">
        <f aca="false">(E3977+G3977)/2</f>
        <v>14.2775588526899</v>
      </c>
      <c r="G3977" s="18" t="n">
        <f aca="false">EXP(-'Black-Scholes'!$B$8*'Black-Scholes'!$B$7)*IF(LOWER('Black-Scholes'!$B$11)="put",MAX('Black-Scholes'!$B$6-D3977,0),MAX(D3977-'Black-Scholes'!$B$6,0))</f>
        <v>0</v>
      </c>
    </row>
    <row r="3978" customFormat="false" ht="15" hidden="false" customHeight="false" outlineLevel="0" collapsed="false">
      <c r="A3978" s="0" t="n">
        <v>3967</v>
      </c>
      <c r="B3978" s="15" t="n">
        <v>1.74344715308634</v>
      </c>
      <c r="C3978" s="18" t="n">
        <f aca="false">'Black-Scholes'!$B$5*EXP(('Black-Scholes'!$B$8-'Black-Scholes'!$B$10-'Black-Scholes'!$B$9^2/2)*'Black-Scholes'!$B$7+'Black-Scholes'!$B$9*SQRT('Black-Scholes'!$B$7)*B3978)</f>
        <v>146.036941927828</v>
      </c>
      <c r="D3978" s="18" t="n">
        <f aca="false">'Black-Scholes'!$B$5*EXP(('Black-Scholes'!$B$8-'Black-Scholes'!$B$10-'Black-Scholes'!$B$9^2/2)*'Black-Scholes'!$B$7-'Black-Scholes'!$B$9*SQRT('Black-Scholes'!$B$7)*B3978)</f>
        <v>72.7101329655427</v>
      </c>
      <c r="E3978" s="18" t="n">
        <f aca="false">EXP(-'Black-Scholes'!$B$8*'Black-Scholes'!$B$7)*IF(LOWER('Black-Scholes'!$B$11)="put",MAX('Black-Scholes'!$B$6-C3978,0),MAX(C3978-'Black-Scholes'!$B$6,0))</f>
        <v>43.7916937757804</v>
      </c>
      <c r="F3978" s="18" t="n">
        <f aca="false">(E3978+G3978)/2</f>
        <v>21.8958468878902</v>
      </c>
      <c r="G3978" s="18" t="n">
        <f aca="false">EXP(-'Black-Scholes'!$B$8*'Black-Scholes'!$B$7)*IF(LOWER('Black-Scholes'!$B$11)="put",MAX('Black-Scholes'!$B$6-D3978,0),MAX(D3978-'Black-Scholes'!$B$6,0))</f>
        <v>0</v>
      </c>
    </row>
    <row r="3979" customFormat="false" ht="15" hidden="false" customHeight="false" outlineLevel="0" collapsed="false">
      <c r="A3979" s="0" t="n">
        <v>3968</v>
      </c>
      <c r="B3979" s="15" t="n">
        <v>1.38310307093286</v>
      </c>
      <c r="C3979" s="18" t="n">
        <f aca="false">'Black-Scholes'!$B$5*EXP(('Black-Scholes'!$B$8-'Black-Scholes'!$B$10-'Black-Scholes'!$B$9^2/2)*'Black-Scholes'!$B$7+'Black-Scholes'!$B$9*SQRT('Black-Scholes'!$B$7)*B3979)</f>
        <v>135.882535120813</v>
      </c>
      <c r="D3979" s="18" t="n">
        <f aca="false">'Black-Scholes'!$B$5*EXP(('Black-Scholes'!$B$8-'Black-Scholes'!$B$10-'Black-Scholes'!$B$9^2/2)*'Black-Scholes'!$B$7-'Black-Scholes'!$B$9*SQRT('Black-Scholes'!$B$7)*B3979)</f>
        <v>78.1437103452097</v>
      </c>
      <c r="E3979" s="18" t="n">
        <f aca="false">EXP(-'Black-Scholes'!$B$8*'Black-Scholes'!$B$7)*IF(LOWER('Black-Scholes'!$B$11)="put",MAX('Black-Scholes'!$B$6-C3979,0),MAX(C3979-'Black-Scholes'!$B$6,0))</f>
        <v>34.1325232325976</v>
      </c>
      <c r="F3979" s="18" t="n">
        <f aca="false">(E3979+G3979)/2</f>
        <v>17.0662616162988</v>
      </c>
      <c r="G3979" s="18" t="n">
        <f aca="false">EXP(-'Black-Scholes'!$B$8*'Black-Scholes'!$B$7)*IF(LOWER('Black-Scholes'!$B$11)="put",MAX('Black-Scholes'!$B$6-D3979,0),MAX(D3979-'Black-Scholes'!$B$6,0))</f>
        <v>0</v>
      </c>
    </row>
    <row r="3980" customFormat="false" ht="15" hidden="false" customHeight="false" outlineLevel="0" collapsed="false">
      <c r="A3980" s="0" t="n">
        <v>3969</v>
      </c>
      <c r="B3980" s="15" t="n">
        <v>-0.218003379584055</v>
      </c>
      <c r="C3980" s="18" t="n">
        <f aca="false">'Black-Scholes'!$B$5*EXP(('Black-Scholes'!$B$8-'Black-Scholes'!$B$10-'Black-Scholes'!$B$9^2/2)*'Black-Scholes'!$B$7+'Black-Scholes'!$B$9*SQRT('Black-Scholes'!$B$7)*B3980)</f>
        <v>98.6491395392547</v>
      </c>
      <c r="D3980" s="18" t="n">
        <f aca="false">'Black-Scholes'!$B$5*EXP(('Black-Scholes'!$B$8-'Black-Scholes'!$B$10-'Black-Scholes'!$B$9^2/2)*'Black-Scholes'!$B$7-'Black-Scholes'!$B$9*SQRT('Black-Scholes'!$B$7)*B3980)</f>
        <v>107.637689644807</v>
      </c>
      <c r="E3980" s="18" t="n">
        <f aca="false">EXP(-'Black-Scholes'!$B$8*'Black-Scholes'!$B$7)*IF(LOWER('Black-Scholes'!$B$11)="put",MAX('Black-Scholes'!$B$6-C3980,0),MAX(C3980-'Black-Scholes'!$B$6,0))</f>
        <v>0</v>
      </c>
      <c r="F3980" s="18" t="n">
        <f aca="false">(E3980+G3980)/2</f>
        <v>3.63259756267262</v>
      </c>
      <c r="G3980" s="18" t="n">
        <f aca="false">EXP(-'Black-Scholes'!$B$8*'Black-Scholes'!$B$7)*IF(LOWER('Black-Scholes'!$B$11)="put",MAX('Black-Scholes'!$B$6-D3980,0),MAX(D3980-'Black-Scholes'!$B$6,0))</f>
        <v>7.26519512534524</v>
      </c>
    </row>
    <row r="3981" customFormat="false" ht="15" hidden="false" customHeight="false" outlineLevel="0" collapsed="false">
      <c r="A3981" s="0" t="n">
        <v>3970</v>
      </c>
      <c r="B3981" s="15" t="n">
        <v>0.385750385875133</v>
      </c>
      <c r="C3981" s="18" t="n">
        <f aca="false">'Black-Scholes'!$B$5*EXP(('Black-Scholes'!$B$8-'Black-Scholes'!$B$10-'Black-Scholes'!$B$9^2/2)*'Black-Scholes'!$B$7+'Black-Scholes'!$B$9*SQRT('Black-Scholes'!$B$7)*B3981)</f>
        <v>111.310129304225</v>
      </c>
      <c r="D3981" s="18" t="n">
        <f aca="false">'Black-Scholes'!$B$5*EXP(('Black-Scholes'!$B$8-'Black-Scholes'!$B$10-'Black-Scholes'!$B$9^2/2)*'Black-Scholes'!$B$7-'Black-Scholes'!$B$9*SQRT('Black-Scholes'!$B$7)*B3981)</f>
        <v>95.3944221593006</v>
      </c>
      <c r="E3981" s="18" t="n">
        <f aca="false">EXP(-'Black-Scholes'!$B$8*'Black-Scholes'!$B$7)*IF(LOWER('Black-Scholes'!$B$11)="put",MAX('Black-Scholes'!$B$6-C3981,0),MAX(C3981-'Black-Scholes'!$B$6,0))</f>
        <v>10.7585277890869</v>
      </c>
      <c r="F3981" s="18" t="n">
        <f aca="false">(E3981+G3981)/2</f>
        <v>5.37926389454343</v>
      </c>
      <c r="G3981" s="18" t="n">
        <f aca="false">EXP(-'Black-Scholes'!$B$8*'Black-Scholes'!$B$7)*IF(LOWER('Black-Scholes'!$B$11)="put",MAX('Black-Scholes'!$B$6-D3981,0),MAX(D3981-'Black-Scholes'!$B$6,0))</f>
        <v>0</v>
      </c>
    </row>
    <row r="3982" customFormat="false" ht="15" hidden="false" customHeight="false" outlineLevel="0" collapsed="false">
      <c r="A3982" s="0" t="n">
        <v>3971</v>
      </c>
      <c r="B3982" s="15" t="n">
        <v>-0.822687659601923</v>
      </c>
      <c r="C3982" s="18" t="n">
        <f aca="false">'Black-Scholes'!$B$5*EXP(('Black-Scholes'!$B$8-'Black-Scholes'!$B$10-'Black-Scholes'!$B$9^2/2)*'Black-Scholes'!$B$7+'Black-Scholes'!$B$9*SQRT('Black-Scholes'!$B$7)*B3982)</f>
        <v>87.4120070855996</v>
      </c>
      <c r="D3982" s="18" t="n">
        <f aca="false">'Black-Scholes'!$B$5*EXP(('Black-Scholes'!$B$8-'Black-Scholes'!$B$10-'Black-Scholes'!$B$9^2/2)*'Black-Scholes'!$B$7-'Black-Scholes'!$B$9*SQRT('Black-Scholes'!$B$7)*B3982)</f>
        <v>121.474907389501</v>
      </c>
      <c r="E3982" s="18" t="n">
        <f aca="false">EXP(-'Black-Scholes'!$B$8*'Black-Scholes'!$B$7)*IF(LOWER('Black-Scholes'!$B$11)="put",MAX('Black-Scholes'!$B$6-C3982,0),MAX(C3982-'Black-Scholes'!$B$6,0))</f>
        <v>0</v>
      </c>
      <c r="F3982" s="18" t="n">
        <f aca="false">(E3982+G3982)/2</f>
        <v>10.2137818986605</v>
      </c>
      <c r="G3982" s="18" t="n">
        <f aca="false">EXP(-'Black-Scholes'!$B$8*'Black-Scholes'!$B$7)*IF(LOWER('Black-Scholes'!$B$11)="put",MAX('Black-Scholes'!$B$6-D3982,0),MAX(D3982-'Black-Scholes'!$B$6,0))</f>
        <v>20.427563797321</v>
      </c>
    </row>
    <row r="3983" customFormat="false" ht="15" hidden="false" customHeight="false" outlineLevel="0" collapsed="false">
      <c r="A3983" s="0" t="n">
        <v>3972</v>
      </c>
      <c r="B3983" s="15" t="n">
        <v>0.541712496473528</v>
      </c>
      <c r="C3983" s="18" t="n">
        <f aca="false">'Black-Scholes'!$B$5*EXP(('Black-Scholes'!$B$8-'Black-Scholes'!$B$10-'Black-Scholes'!$B$9^2/2)*'Black-Scholes'!$B$7+'Black-Scholes'!$B$9*SQRT('Black-Scholes'!$B$7)*B3983)</f>
        <v>114.836879843025</v>
      </c>
      <c r="D3983" s="18" t="n">
        <f aca="false">'Black-Scholes'!$B$5*EXP(('Black-Scholes'!$B$8-'Black-Scholes'!$B$10-'Black-Scholes'!$B$9^2/2)*'Black-Scholes'!$B$7-'Black-Scholes'!$B$9*SQRT('Black-Scholes'!$B$7)*B3983)</f>
        <v>92.4647681125458</v>
      </c>
      <c r="E3983" s="18" t="n">
        <f aca="false">EXP(-'Black-Scholes'!$B$8*'Black-Scholes'!$B$7)*IF(LOWER('Black-Scholes'!$B$11)="put",MAX('Black-Scholes'!$B$6-C3983,0),MAX(C3983-'Black-Scholes'!$B$6,0))</f>
        <v>14.113276674467</v>
      </c>
      <c r="F3983" s="18" t="n">
        <f aca="false">(E3983+G3983)/2</f>
        <v>7.05663833723349</v>
      </c>
      <c r="G3983" s="18" t="n">
        <f aca="false">EXP(-'Black-Scholes'!$B$8*'Black-Scholes'!$B$7)*IF(LOWER('Black-Scholes'!$B$11)="put",MAX('Black-Scholes'!$B$6-D3983,0),MAX(D3983-'Black-Scholes'!$B$6,0))</f>
        <v>0</v>
      </c>
    </row>
    <row r="3984" customFormat="false" ht="15" hidden="false" customHeight="false" outlineLevel="0" collapsed="false">
      <c r="A3984" s="0" t="n">
        <v>3973</v>
      </c>
      <c r="B3984" s="15" t="n">
        <v>0.561837867784215</v>
      </c>
      <c r="C3984" s="18" t="n">
        <f aca="false">'Black-Scholes'!$B$5*EXP(('Black-Scholes'!$B$8-'Black-Scholes'!$B$10-'Black-Scholes'!$B$9^2/2)*'Black-Scholes'!$B$7+'Black-Scholes'!$B$9*SQRT('Black-Scholes'!$B$7)*B3984)</f>
        <v>115.300038310728</v>
      </c>
      <c r="D3984" s="18" t="n">
        <f aca="false">'Black-Scholes'!$B$5*EXP(('Black-Scholes'!$B$8-'Black-Scholes'!$B$10-'Black-Scholes'!$B$9^2/2)*'Black-Scholes'!$B$7-'Black-Scholes'!$B$9*SQRT('Black-Scholes'!$B$7)*B3984)</f>
        <v>92.0933385714721</v>
      </c>
      <c r="E3984" s="18" t="n">
        <f aca="false">EXP(-'Black-Scholes'!$B$8*'Black-Scholes'!$B$7)*IF(LOWER('Black-Scholes'!$B$11)="put",MAX('Black-Scholes'!$B$6-C3984,0),MAX(C3984-'Black-Scholes'!$B$6,0))</f>
        <v>14.5538466371529</v>
      </c>
      <c r="F3984" s="18" t="n">
        <f aca="false">(E3984+G3984)/2</f>
        <v>7.27692331857646</v>
      </c>
      <c r="G3984" s="18" t="n">
        <f aca="false">EXP(-'Black-Scholes'!$B$8*'Black-Scholes'!$B$7)*IF(LOWER('Black-Scholes'!$B$11)="put",MAX('Black-Scholes'!$B$6-D3984,0),MAX(D3984-'Black-Scholes'!$B$6,0))</f>
        <v>0</v>
      </c>
    </row>
    <row r="3985" customFormat="false" ht="15" hidden="false" customHeight="false" outlineLevel="0" collapsed="false">
      <c r="A3985" s="0" t="n">
        <v>3974</v>
      </c>
      <c r="B3985" s="15" t="n">
        <v>0.0280272350072598</v>
      </c>
      <c r="C3985" s="18" t="n">
        <f aca="false">'Black-Scholes'!$B$5*EXP(('Black-Scholes'!$B$8-'Black-Scholes'!$B$10-'Black-Scholes'!$B$9^2/2)*'Black-Scholes'!$B$7+'Black-Scholes'!$B$9*SQRT('Black-Scholes'!$B$7)*B3985)</f>
        <v>103.62469114968</v>
      </c>
      <c r="D3985" s="18" t="n">
        <f aca="false">'Black-Scholes'!$B$5*EXP(('Black-Scholes'!$B$8-'Black-Scholes'!$B$10-'Black-Scholes'!$B$9^2/2)*'Black-Scholes'!$B$7-'Black-Scholes'!$B$9*SQRT('Black-Scholes'!$B$7)*B3985)</f>
        <v>102.469453444411</v>
      </c>
      <c r="E3985" s="18" t="n">
        <f aca="false">EXP(-'Black-Scholes'!$B$8*'Black-Scholes'!$B$7)*IF(LOWER('Black-Scholes'!$B$11)="put",MAX('Black-Scholes'!$B$6-C3985,0),MAX(C3985-'Black-Scholes'!$B$6,0))</f>
        <v>3.44791287630268</v>
      </c>
      <c r="F3985" s="18" t="n">
        <f aca="false">(E3985+G3985)/2</f>
        <v>2.89846482753062</v>
      </c>
      <c r="G3985" s="18" t="n">
        <f aca="false">EXP(-'Black-Scholes'!$B$8*'Black-Scholes'!$B$7)*IF(LOWER('Black-Scholes'!$B$11)="put",MAX('Black-Scholes'!$B$6-D3985,0),MAX(D3985-'Black-Scholes'!$B$6,0))</f>
        <v>2.34901677875856</v>
      </c>
    </row>
    <row r="3986" customFormat="false" ht="15" hidden="false" customHeight="false" outlineLevel="0" collapsed="false">
      <c r="A3986" s="0" t="n">
        <v>3975</v>
      </c>
      <c r="B3986" s="15" t="n">
        <v>0.218905956251156</v>
      </c>
      <c r="C3986" s="18" t="n">
        <f aca="false">'Black-Scholes'!$B$5*EXP(('Black-Scholes'!$B$8-'Black-Scholes'!$B$10-'Black-Scholes'!$B$9^2/2)*'Black-Scholes'!$B$7+'Black-Scholes'!$B$9*SQRT('Black-Scholes'!$B$7)*B3986)</f>
        <v>107.657121652077</v>
      </c>
      <c r="D3986" s="18" t="n">
        <f aca="false">'Black-Scholes'!$B$5*EXP(('Black-Scholes'!$B$8-'Black-Scholes'!$B$10-'Black-Scholes'!$B$9^2/2)*'Black-Scholes'!$B$7-'Black-Scholes'!$B$9*SQRT('Black-Scholes'!$B$7)*B3986)</f>
        <v>98.6313334641223</v>
      </c>
      <c r="E3986" s="18" t="n">
        <f aca="false">EXP(-'Black-Scholes'!$B$8*'Black-Scholes'!$B$7)*IF(LOWER('Black-Scholes'!$B$11)="put",MAX('Black-Scholes'!$B$6-C3986,0),MAX(C3986-'Black-Scholes'!$B$6,0))</f>
        <v>7.28367942243728</v>
      </c>
      <c r="F3986" s="18" t="n">
        <f aca="false">(E3986+G3986)/2</f>
        <v>3.64183971121864</v>
      </c>
      <c r="G3986" s="18" t="n">
        <f aca="false">EXP(-'Black-Scholes'!$B$8*'Black-Scholes'!$B$7)*IF(LOWER('Black-Scholes'!$B$11)="put",MAX('Black-Scholes'!$B$6-D3986,0),MAX(D3986-'Black-Scholes'!$B$6,0))</f>
        <v>0</v>
      </c>
    </row>
    <row r="3987" customFormat="false" ht="15" hidden="false" customHeight="false" outlineLevel="0" collapsed="false">
      <c r="A3987" s="0" t="n">
        <v>3976</v>
      </c>
      <c r="B3987" s="15" t="n">
        <v>1.12880073145122</v>
      </c>
      <c r="C3987" s="18" t="n">
        <f aca="false">'Black-Scholes'!$B$5*EXP(('Black-Scholes'!$B$8-'Black-Scholes'!$B$10-'Black-Scholes'!$B$9^2/2)*'Black-Scholes'!$B$7+'Black-Scholes'!$B$9*SQRT('Black-Scholes'!$B$7)*B3987)</f>
        <v>129.144293340999</v>
      </c>
      <c r="D3987" s="18" t="n">
        <f aca="false">'Black-Scholes'!$B$5*EXP(('Black-Scholes'!$B$8-'Black-Scholes'!$B$10-'Black-Scholes'!$B$9^2/2)*'Black-Scholes'!$B$7-'Black-Scholes'!$B$9*SQRT('Black-Scholes'!$B$7)*B3987)</f>
        <v>82.220942100913</v>
      </c>
      <c r="E3987" s="18" t="n">
        <f aca="false">EXP(-'Black-Scholes'!$B$8*'Black-Scholes'!$B$7)*IF(LOWER('Black-Scholes'!$B$11)="put",MAX('Black-Scholes'!$B$6-C3987,0),MAX(C3987-'Black-Scholes'!$B$6,0))</f>
        <v>27.7229093822384</v>
      </c>
      <c r="F3987" s="18" t="n">
        <f aca="false">(E3987+G3987)/2</f>
        <v>13.8614546911192</v>
      </c>
      <c r="G3987" s="18" t="n">
        <f aca="false">EXP(-'Black-Scholes'!$B$8*'Black-Scholes'!$B$7)*IF(LOWER('Black-Scholes'!$B$11)="put",MAX('Black-Scholes'!$B$6-D3987,0),MAX(D3987-'Black-Scholes'!$B$6,0))</f>
        <v>0</v>
      </c>
    </row>
    <row r="3988" customFormat="false" ht="15" hidden="false" customHeight="false" outlineLevel="0" collapsed="false">
      <c r="A3988" s="0" t="n">
        <v>3977</v>
      </c>
      <c r="B3988" s="15" t="n">
        <v>0.763234023928537</v>
      </c>
      <c r="C3988" s="18" t="n">
        <f aca="false">'Black-Scholes'!$B$5*EXP(('Black-Scholes'!$B$8-'Black-Scholes'!$B$10-'Black-Scholes'!$B$9^2/2)*'Black-Scholes'!$B$7+'Black-Scholes'!$B$9*SQRT('Black-Scholes'!$B$7)*B3988)</f>
        <v>120.039036106874</v>
      </c>
      <c r="D3988" s="18" t="n">
        <f aca="false">'Black-Scholes'!$B$5*EXP(('Black-Scholes'!$B$8-'Black-Scholes'!$B$10-'Black-Scholes'!$B$9^2/2)*'Black-Scholes'!$B$7-'Black-Scholes'!$B$9*SQRT('Black-Scholes'!$B$7)*B3988)</f>
        <v>88.4576035415662</v>
      </c>
      <c r="E3988" s="18" t="n">
        <f aca="false">EXP(-'Black-Scholes'!$B$8*'Black-Scholes'!$B$7)*IF(LOWER('Black-Scholes'!$B$11)="put",MAX('Black-Scholes'!$B$6-C3988,0),MAX(C3988-'Black-Scholes'!$B$6,0))</f>
        <v>19.0617207834907</v>
      </c>
      <c r="F3988" s="18" t="n">
        <f aca="false">(E3988+G3988)/2</f>
        <v>9.53086039174534</v>
      </c>
      <c r="G3988" s="18" t="n">
        <f aca="false">EXP(-'Black-Scholes'!$B$8*'Black-Scholes'!$B$7)*IF(LOWER('Black-Scholes'!$B$11)="put",MAX('Black-Scholes'!$B$6-D3988,0),MAX(D3988-'Black-Scholes'!$B$6,0))</f>
        <v>0</v>
      </c>
    </row>
    <row r="3989" customFormat="false" ht="15" hidden="false" customHeight="false" outlineLevel="0" collapsed="false">
      <c r="A3989" s="0" t="n">
        <v>3978</v>
      </c>
      <c r="B3989" s="15" t="n">
        <v>1.85248796660439</v>
      </c>
      <c r="C3989" s="18" t="n">
        <f aca="false">'Black-Scholes'!$B$5*EXP(('Black-Scholes'!$B$8-'Black-Scholes'!$B$10-'Black-Scholes'!$B$9^2/2)*'Black-Scholes'!$B$7+'Black-Scholes'!$B$9*SQRT('Black-Scholes'!$B$7)*B3989)</f>
        <v>149.256720436461</v>
      </c>
      <c r="D3989" s="18" t="n">
        <f aca="false">'Black-Scholes'!$B$5*EXP(('Black-Scholes'!$B$8-'Black-Scholes'!$B$10-'Black-Scholes'!$B$9^2/2)*'Black-Scholes'!$B$7-'Black-Scholes'!$B$9*SQRT('Black-Scholes'!$B$7)*B3989)</f>
        <v>71.1416238706241</v>
      </c>
      <c r="E3989" s="18" t="n">
        <f aca="false">EXP(-'Black-Scholes'!$B$8*'Black-Scholes'!$B$7)*IF(LOWER('Black-Scholes'!$B$11)="put",MAX('Black-Scholes'!$B$6-C3989,0),MAX(C3989-'Black-Scholes'!$B$6,0))</f>
        <v>46.8544418335674</v>
      </c>
      <c r="F3989" s="18" t="n">
        <f aca="false">(E3989+G3989)/2</f>
        <v>23.4272209167837</v>
      </c>
      <c r="G3989" s="18" t="n">
        <f aca="false">EXP(-'Black-Scholes'!$B$8*'Black-Scholes'!$B$7)*IF(LOWER('Black-Scholes'!$B$11)="put",MAX('Black-Scholes'!$B$6-D3989,0),MAX(D3989-'Black-Scholes'!$B$6,0))</f>
        <v>0</v>
      </c>
    </row>
    <row r="3990" customFormat="false" ht="15" hidden="false" customHeight="false" outlineLevel="0" collapsed="false">
      <c r="A3990" s="0" t="n">
        <v>3979</v>
      </c>
      <c r="B3990" s="15" t="n">
        <v>2.73969151410743</v>
      </c>
      <c r="C3990" s="18" t="n">
        <f aca="false">'Black-Scholes'!$B$5*EXP(('Black-Scholes'!$B$8-'Black-Scholes'!$B$10-'Black-Scholes'!$B$9^2/2)*'Black-Scholes'!$B$7+'Black-Scholes'!$B$9*SQRT('Black-Scholes'!$B$7)*B3990)</f>
        <v>178.235995361262</v>
      </c>
      <c r="D3990" s="18" t="n">
        <f aca="false">'Black-Scholes'!$B$5*EXP(('Black-Scholes'!$B$8-'Black-Scholes'!$B$10-'Black-Scholes'!$B$9^2/2)*'Black-Scholes'!$B$7-'Black-Scholes'!$B$9*SQRT('Black-Scholes'!$B$7)*B3990)</f>
        <v>59.5747533708412</v>
      </c>
      <c r="E3990" s="18" t="n">
        <f aca="false">EXP(-'Black-Scholes'!$B$8*'Black-Scholes'!$B$7)*IF(LOWER('Black-Scholes'!$B$11)="put",MAX('Black-Scholes'!$B$6-C3990,0),MAX(C3990-'Black-Scholes'!$B$6,0))</f>
        <v>74.420380842734</v>
      </c>
      <c r="F3990" s="18" t="n">
        <f aca="false">(E3990+G3990)/2</f>
        <v>37.210190421367</v>
      </c>
      <c r="G3990" s="18" t="n">
        <f aca="false">EXP(-'Black-Scholes'!$B$8*'Black-Scholes'!$B$7)*IF(LOWER('Black-Scholes'!$B$11)="put",MAX('Black-Scholes'!$B$6-D3990,0),MAX(D3990-'Black-Scholes'!$B$6,0))</f>
        <v>0</v>
      </c>
    </row>
    <row r="3991" customFormat="false" ht="15" hidden="false" customHeight="false" outlineLevel="0" collapsed="false">
      <c r="A3991" s="0" t="n">
        <v>3980</v>
      </c>
      <c r="B3991" s="15" t="n">
        <v>-1.29094339764301</v>
      </c>
      <c r="C3991" s="18" t="n">
        <f aca="false">'Black-Scholes'!$B$5*EXP(('Black-Scholes'!$B$8-'Black-Scholes'!$B$10-'Black-Scholes'!$B$9^2/2)*'Black-Scholes'!$B$7+'Black-Scholes'!$B$9*SQRT('Black-Scholes'!$B$7)*B3991)</f>
        <v>79.5974061655506</v>
      </c>
      <c r="D3991" s="18" t="n">
        <f aca="false">'Black-Scholes'!$B$5*EXP(('Black-Scholes'!$B$8-'Black-Scholes'!$B$10-'Black-Scholes'!$B$9^2/2)*'Black-Scholes'!$B$7-'Black-Scholes'!$B$9*SQRT('Black-Scholes'!$B$7)*B3991)</f>
        <v>133.400898056515</v>
      </c>
      <c r="E3991" s="18" t="n">
        <f aca="false">EXP(-'Black-Scholes'!$B$8*'Black-Scholes'!$B$7)*IF(LOWER('Black-Scholes'!$B$11)="put",MAX('Black-Scholes'!$B$6-C3991,0),MAX(C3991-'Black-Scholes'!$B$6,0))</f>
        <v>0</v>
      </c>
      <c r="F3991" s="18" t="n">
        <f aca="false">(E3991+G3991)/2</f>
        <v>15.8859585180527</v>
      </c>
      <c r="G3991" s="18" t="n">
        <f aca="false">EXP(-'Black-Scholes'!$B$8*'Black-Scholes'!$B$7)*IF(LOWER('Black-Scholes'!$B$11)="put",MAX('Black-Scholes'!$B$6-D3991,0),MAX(D3991-'Black-Scholes'!$B$6,0))</f>
        <v>31.7719170361053</v>
      </c>
    </row>
    <row r="3992" customFormat="false" ht="15" hidden="false" customHeight="false" outlineLevel="0" collapsed="false">
      <c r="A3992" s="0" t="n">
        <v>3981</v>
      </c>
      <c r="B3992" s="15" t="n">
        <v>0.342722765714443</v>
      </c>
      <c r="C3992" s="18" t="n">
        <f aca="false">'Black-Scholes'!$B$5*EXP(('Black-Scholes'!$B$8-'Black-Scholes'!$B$10-'Black-Scholes'!$B$9^2/2)*'Black-Scholes'!$B$7+'Black-Scholes'!$B$9*SQRT('Black-Scholes'!$B$7)*B3992)</f>
        <v>110.356357052457</v>
      </c>
      <c r="D3992" s="18" t="n">
        <f aca="false">'Black-Scholes'!$B$5*EXP(('Black-Scholes'!$B$8-'Black-Scholes'!$B$10-'Black-Scholes'!$B$9^2/2)*'Black-Scholes'!$B$7-'Black-Scholes'!$B$9*SQRT('Black-Scholes'!$B$7)*B3992)</f>
        <v>96.2188835248177</v>
      </c>
      <c r="E3992" s="18" t="n">
        <f aca="false">EXP(-'Black-Scholes'!$B$8*'Black-Scholes'!$B$7)*IF(LOWER('Black-Scholes'!$B$11)="put",MAX('Black-Scholes'!$B$6-C3992,0),MAX(C3992-'Black-Scholes'!$B$6,0))</f>
        <v>9.85127155893304</v>
      </c>
      <c r="F3992" s="18" t="n">
        <f aca="false">(E3992+G3992)/2</f>
        <v>4.92563577946652</v>
      </c>
      <c r="G3992" s="18" t="n">
        <f aca="false">EXP(-'Black-Scholes'!$B$8*'Black-Scholes'!$B$7)*IF(LOWER('Black-Scholes'!$B$11)="put",MAX('Black-Scholes'!$B$6-D3992,0),MAX(D3992-'Black-Scholes'!$B$6,0))</f>
        <v>0</v>
      </c>
    </row>
    <row r="3993" customFormat="false" ht="15" hidden="false" customHeight="false" outlineLevel="0" collapsed="false">
      <c r="A3993" s="0" t="n">
        <v>3982</v>
      </c>
      <c r="B3993" s="15" t="n">
        <v>0.506335589561933</v>
      </c>
      <c r="C3993" s="18" t="n">
        <f aca="false">'Black-Scholes'!$B$5*EXP(('Black-Scholes'!$B$8-'Black-Scholes'!$B$10-'Black-Scholes'!$B$9^2/2)*'Black-Scholes'!$B$7+'Black-Scholes'!$B$9*SQRT('Black-Scholes'!$B$7)*B3993)</f>
        <v>114.027232779902</v>
      </c>
      <c r="D3993" s="18" t="n">
        <f aca="false">'Black-Scholes'!$B$5*EXP(('Black-Scholes'!$B$8-'Black-Scholes'!$B$10-'Black-Scholes'!$B$9^2/2)*'Black-Scholes'!$B$7-'Black-Scholes'!$B$9*SQRT('Black-Scholes'!$B$7)*B3993)</f>
        <v>93.1213115199365</v>
      </c>
      <c r="E3993" s="18" t="n">
        <f aca="false">EXP(-'Black-Scholes'!$B$8*'Black-Scholes'!$B$7)*IF(LOWER('Black-Scholes'!$B$11)="put",MAX('Black-Scholes'!$B$6-C3993,0),MAX(C3993-'Black-Scholes'!$B$6,0))</f>
        <v>13.343116564564</v>
      </c>
      <c r="F3993" s="18" t="n">
        <f aca="false">(E3993+G3993)/2</f>
        <v>6.67155828228198</v>
      </c>
      <c r="G3993" s="18" t="n">
        <f aca="false">EXP(-'Black-Scholes'!$B$8*'Black-Scholes'!$B$7)*IF(LOWER('Black-Scholes'!$B$11)="put",MAX('Black-Scholes'!$B$6-D3993,0),MAX(D3993-'Black-Scholes'!$B$6,0))</f>
        <v>0</v>
      </c>
    </row>
    <row r="3994" customFormat="false" ht="15" hidden="false" customHeight="false" outlineLevel="0" collapsed="false">
      <c r="A3994" s="0" t="n">
        <v>3983</v>
      </c>
      <c r="B3994" s="15" t="n">
        <v>0.661812536922913</v>
      </c>
      <c r="C3994" s="18" t="n">
        <f aca="false">'Black-Scholes'!$B$5*EXP(('Black-Scholes'!$B$8-'Black-Scholes'!$B$10-'Black-Scholes'!$B$9^2/2)*'Black-Scholes'!$B$7+'Black-Scholes'!$B$9*SQRT('Black-Scholes'!$B$7)*B3994)</f>
        <v>117.628657661189</v>
      </c>
      <c r="D3994" s="18" t="n">
        <f aca="false">'Black-Scholes'!$B$5*EXP(('Black-Scholes'!$B$8-'Black-Scholes'!$B$10-'Black-Scholes'!$B$9^2/2)*'Black-Scholes'!$B$7-'Black-Scholes'!$B$9*SQRT('Black-Scholes'!$B$7)*B3994)</f>
        <v>90.2702256115012</v>
      </c>
      <c r="E3994" s="18" t="n">
        <f aca="false">EXP(-'Black-Scholes'!$B$8*'Black-Scholes'!$B$7)*IF(LOWER('Black-Scholes'!$B$11)="put",MAX('Black-Scholes'!$B$6-C3994,0),MAX(C3994-'Black-Scholes'!$B$6,0))</f>
        <v>16.7688978817731</v>
      </c>
      <c r="F3994" s="18" t="n">
        <f aca="false">(E3994+G3994)/2</f>
        <v>8.38444894088657</v>
      </c>
      <c r="G3994" s="18" t="n">
        <f aca="false">EXP(-'Black-Scholes'!$B$8*'Black-Scholes'!$B$7)*IF(LOWER('Black-Scholes'!$B$11)="put",MAX('Black-Scholes'!$B$6-D3994,0),MAX(D3994-'Black-Scholes'!$B$6,0))</f>
        <v>0</v>
      </c>
    </row>
    <row r="3995" customFormat="false" ht="15" hidden="false" customHeight="false" outlineLevel="0" collapsed="false">
      <c r="A3995" s="0" t="n">
        <v>3984</v>
      </c>
      <c r="B3995" s="15" t="n">
        <v>1.58307079457369</v>
      </c>
      <c r="C3995" s="18" t="n">
        <f aca="false">'Black-Scholes'!$B$5*EXP(('Black-Scholes'!$B$8-'Black-Scholes'!$B$10-'Black-Scholes'!$B$9^2/2)*'Black-Scholes'!$B$7+'Black-Scholes'!$B$9*SQRT('Black-Scholes'!$B$7)*B3995)</f>
        <v>141.427093625037</v>
      </c>
      <c r="D3995" s="18" t="n">
        <f aca="false">'Black-Scholes'!$B$5*EXP(('Black-Scholes'!$B$8-'Black-Scholes'!$B$10-'Black-Scholes'!$B$9^2/2)*'Black-Scholes'!$B$7-'Black-Scholes'!$B$9*SQRT('Black-Scholes'!$B$7)*B3995)</f>
        <v>75.0801362969806</v>
      </c>
      <c r="E3995" s="18" t="n">
        <f aca="false">EXP(-'Black-Scholes'!$B$8*'Black-Scholes'!$B$7)*IF(LOWER('Black-Scholes'!$B$11)="put",MAX('Black-Scholes'!$B$6-C3995,0),MAX(C3995-'Black-Scholes'!$B$6,0))</f>
        <v>39.4066704276809</v>
      </c>
      <c r="F3995" s="18" t="n">
        <f aca="false">(E3995+G3995)/2</f>
        <v>19.7033352138405</v>
      </c>
      <c r="G3995" s="18" t="n">
        <f aca="false">EXP(-'Black-Scholes'!$B$8*'Black-Scholes'!$B$7)*IF(LOWER('Black-Scholes'!$B$11)="put",MAX('Black-Scholes'!$B$6-D3995,0),MAX(D3995-'Black-Scholes'!$B$6,0))</f>
        <v>0</v>
      </c>
    </row>
    <row r="3996" customFormat="false" ht="15" hidden="false" customHeight="false" outlineLevel="0" collapsed="false">
      <c r="A3996" s="0" t="n">
        <v>3985</v>
      </c>
      <c r="B3996" s="15" t="n">
        <v>-0.194864024743169</v>
      </c>
      <c r="C3996" s="18" t="n">
        <f aca="false">'Black-Scholes'!$B$5*EXP(('Black-Scholes'!$B$8-'Black-Scholes'!$B$10-'Black-Scholes'!$B$9^2/2)*'Black-Scholes'!$B$7+'Black-Scholes'!$B$9*SQRT('Black-Scholes'!$B$7)*B3996)</f>
        <v>99.1067330533366</v>
      </c>
      <c r="D3996" s="18" t="n">
        <f aca="false">'Black-Scholes'!$B$5*EXP(('Black-Scholes'!$B$8-'Black-Scholes'!$B$10-'Black-Scholes'!$B$9^2/2)*'Black-Scholes'!$B$7-'Black-Scholes'!$B$9*SQRT('Black-Scholes'!$B$7)*B3996)</f>
        <v>107.14070717818</v>
      </c>
      <c r="E3996" s="18" t="n">
        <f aca="false">EXP(-'Black-Scholes'!$B$8*'Black-Scholes'!$B$7)*IF(LOWER('Black-Scholes'!$B$11)="put",MAX('Black-Scholes'!$B$6-C3996,0),MAX(C3996-'Black-Scholes'!$B$6,0))</f>
        <v>0</v>
      </c>
      <c r="F3996" s="18" t="n">
        <f aca="false">(E3996+G3996)/2</f>
        <v>3.39622538981417</v>
      </c>
      <c r="G3996" s="18" t="n">
        <f aca="false">EXP(-'Black-Scholes'!$B$8*'Black-Scholes'!$B$7)*IF(LOWER('Black-Scholes'!$B$11)="put",MAX('Black-Scholes'!$B$6-D3996,0),MAX(D3996-'Black-Scholes'!$B$6,0))</f>
        <v>6.79245077962834</v>
      </c>
    </row>
    <row r="3997" customFormat="false" ht="15" hidden="false" customHeight="false" outlineLevel="0" collapsed="false">
      <c r="A3997" s="0" t="n">
        <v>3986</v>
      </c>
      <c r="B3997" s="15" t="n">
        <v>0.54433132460603</v>
      </c>
      <c r="C3997" s="18" t="n">
        <f aca="false">'Black-Scholes'!$B$5*EXP(('Black-Scholes'!$B$8-'Black-Scholes'!$B$10-'Black-Scholes'!$B$9^2/2)*'Black-Scholes'!$B$7+'Black-Scholes'!$B$9*SQRT('Black-Scholes'!$B$7)*B3997)</f>
        <v>114.897043207717</v>
      </c>
      <c r="D3997" s="18" t="n">
        <f aca="false">'Black-Scholes'!$B$5*EXP(('Black-Scholes'!$B$8-'Black-Scholes'!$B$10-'Black-Scholes'!$B$9^2/2)*'Black-Scholes'!$B$7-'Black-Scholes'!$B$9*SQRT('Black-Scholes'!$B$7)*B3997)</f>
        <v>92.416350926082</v>
      </c>
      <c r="E3997" s="18" t="n">
        <f aca="false">EXP(-'Black-Scholes'!$B$8*'Black-Scholes'!$B$7)*IF(LOWER('Black-Scholes'!$B$11)="put",MAX('Black-Scholes'!$B$6-C3997,0),MAX(C3997-'Black-Scholes'!$B$6,0))</f>
        <v>14.1705058372391</v>
      </c>
      <c r="F3997" s="18" t="n">
        <f aca="false">(E3997+G3997)/2</f>
        <v>7.08525291861955</v>
      </c>
      <c r="G3997" s="18" t="n">
        <f aca="false">EXP(-'Black-Scholes'!$B$8*'Black-Scholes'!$B$7)*IF(LOWER('Black-Scholes'!$B$11)="put",MAX('Black-Scholes'!$B$6-D3997,0),MAX(D3997-'Black-Scholes'!$B$6,0))</f>
        <v>0</v>
      </c>
    </row>
    <row r="3998" customFormat="false" ht="15" hidden="false" customHeight="false" outlineLevel="0" collapsed="false">
      <c r="A3998" s="0" t="n">
        <v>3987</v>
      </c>
      <c r="B3998" s="15" t="n">
        <v>1.58978302206929</v>
      </c>
      <c r="C3998" s="18" t="n">
        <f aca="false">'Black-Scholes'!$B$5*EXP(('Black-Scholes'!$B$8-'Black-Scholes'!$B$10-'Black-Scholes'!$B$9^2/2)*'Black-Scholes'!$B$7+'Black-Scholes'!$B$9*SQRT('Black-Scholes'!$B$7)*B3998)</f>
        <v>141.617079284492</v>
      </c>
      <c r="D3998" s="18" t="n">
        <f aca="false">'Black-Scholes'!$B$5*EXP(('Black-Scholes'!$B$8-'Black-Scholes'!$B$10-'Black-Scholes'!$B$9^2/2)*'Black-Scholes'!$B$7-'Black-Scholes'!$B$9*SQRT('Black-Scholes'!$B$7)*B3998)</f>
        <v>74.979412928878</v>
      </c>
      <c r="E3998" s="18" t="n">
        <f aca="false">EXP(-'Black-Scholes'!$B$8*'Black-Scholes'!$B$7)*IF(LOWER('Black-Scholes'!$B$11)="put",MAX('Black-Scholes'!$B$6-C3998,0),MAX(C3998-'Black-Scholes'!$B$6,0))</f>
        <v>39.5873903771881</v>
      </c>
      <c r="F3998" s="18" t="n">
        <f aca="false">(E3998+G3998)/2</f>
        <v>19.793695188594</v>
      </c>
      <c r="G3998" s="18" t="n">
        <f aca="false">EXP(-'Black-Scholes'!$B$8*'Black-Scholes'!$B$7)*IF(LOWER('Black-Scholes'!$B$11)="put",MAX('Black-Scholes'!$B$6-D3998,0),MAX(D3998-'Black-Scholes'!$B$6,0))</f>
        <v>0</v>
      </c>
    </row>
    <row r="3999" customFormat="false" ht="15" hidden="false" customHeight="false" outlineLevel="0" collapsed="false">
      <c r="A3999" s="0" t="n">
        <v>3988</v>
      </c>
      <c r="B3999" s="15" t="n">
        <v>-1.43558248586004</v>
      </c>
      <c r="C3999" s="18" t="n">
        <f aca="false">'Black-Scholes'!$B$5*EXP(('Black-Scholes'!$B$8-'Black-Scholes'!$B$10-'Black-Scholes'!$B$9^2/2)*'Black-Scholes'!$B$7+'Black-Scholes'!$B$9*SQRT('Black-Scholes'!$B$7)*B3999)</f>
        <v>77.3278123803339</v>
      </c>
      <c r="D3999" s="18" t="n">
        <f aca="false">'Black-Scholes'!$B$5*EXP(('Black-Scholes'!$B$8-'Black-Scholes'!$B$10-'Black-Scholes'!$B$9^2/2)*'Black-Scholes'!$B$7-'Black-Scholes'!$B$9*SQRT('Black-Scholes'!$B$7)*B3999)</f>
        <v>137.316253215953</v>
      </c>
      <c r="E3999" s="18" t="n">
        <f aca="false">EXP(-'Black-Scholes'!$B$8*'Black-Scholes'!$B$7)*IF(LOWER('Black-Scholes'!$B$11)="put",MAX('Black-Scholes'!$B$6-C3999,0),MAX(C3999-'Black-Scholes'!$B$6,0))</f>
        <v>0</v>
      </c>
      <c r="F3999" s="18" t="n">
        <f aca="false">(E3999+G3999)/2</f>
        <v>17.7481590355667</v>
      </c>
      <c r="G3999" s="18" t="n">
        <f aca="false">EXP(-'Black-Scholes'!$B$8*'Black-Scholes'!$B$7)*IF(LOWER('Black-Scholes'!$B$11)="put",MAX('Black-Scholes'!$B$6-D3999,0),MAX(D3999-'Black-Scholes'!$B$6,0))</f>
        <v>35.4963180711335</v>
      </c>
    </row>
    <row r="4000" customFormat="false" ht="15" hidden="false" customHeight="false" outlineLevel="0" collapsed="false">
      <c r="A4000" s="0" t="n">
        <v>3989</v>
      </c>
      <c r="B4000" s="15" t="n">
        <v>-0.314763075205947</v>
      </c>
      <c r="C4000" s="18" t="n">
        <f aca="false">'Black-Scholes'!$B$5*EXP(('Black-Scholes'!$B$8-'Black-Scholes'!$B$10-'Black-Scholes'!$B$9^2/2)*'Black-Scholes'!$B$7+'Black-Scholes'!$B$9*SQRT('Black-Scholes'!$B$7)*B4000)</f>
        <v>96.7584407450067</v>
      </c>
      <c r="D4000" s="18" t="n">
        <f aca="false">'Black-Scholes'!$B$5*EXP(('Black-Scholes'!$B$8-'Black-Scholes'!$B$10-'Black-Scholes'!$B$9^2/2)*'Black-Scholes'!$B$7-'Black-Scholes'!$B$9*SQRT('Black-Scholes'!$B$7)*B4000)</f>
        <v>109.740973332102</v>
      </c>
      <c r="E4000" s="18" t="n">
        <f aca="false">EXP(-'Black-Scholes'!$B$8*'Black-Scholes'!$B$7)*IF(LOWER('Black-Scholes'!$B$11)="put",MAX('Black-Scholes'!$B$6-C4000,0),MAX(C4000-'Black-Scholes'!$B$6,0))</f>
        <v>0</v>
      </c>
      <c r="F4000" s="18" t="n">
        <f aca="false">(E4000+G4000)/2</f>
        <v>4.63295022838632</v>
      </c>
      <c r="G4000" s="18" t="n">
        <f aca="false">EXP(-'Black-Scholes'!$B$8*'Black-Scholes'!$B$7)*IF(LOWER('Black-Scholes'!$B$11)="put",MAX('Black-Scholes'!$B$6-D4000,0),MAX(D4000-'Black-Scholes'!$B$6,0))</f>
        <v>9.26590045677265</v>
      </c>
    </row>
    <row r="4001" customFormat="false" ht="15" hidden="false" customHeight="false" outlineLevel="0" collapsed="false">
      <c r="A4001" s="0" t="n">
        <v>3990</v>
      </c>
      <c r="B4001" s="15" t="n">
        <v>-0.714522779688088</v>
      </c>
      <c r="C4001" s="18" t="n">
        <f aca="false">'Black-Scholes'!$B$5*EXP(('Black-Scholes'!$B$8-'Black-Scholes'!$B$10-'Black-Scholes'!$B$9^2/2)*'Black-Scholes'!$B$7+'Black-Scholes'!$B$9*SQRT('Black-Scholes'!$B$7)*B4001)</f>
        <v>89.3235910111575</v>
      </c>
      <c r="D4001" s="18" t="n">
        <f aca="false">'Black-Scholes'!$B$5*EXP(('Black-Scholes'!$B$8-'Black-Scholes'!$B$10-'Black-Scholes'!$B$9^2/2)*'Black-Scholes'!$B$7-'Black-Scholes'!$B$9*SQRT('Black-Scholes'!$B$7)*B4001)</f>
        <v>118.875264028819</v>
      </c>
      <c r="E4001" s="18" t="n">
        <f aca="false">EXP(-'Black-Scholes'!$B$8*'Black-Scholes'!$B$7)*IF(LOWER('Black-Scholes'!$B$11)="put",MAX('Black-Scholes'!$B$6-C4001,0),MAX(C4001-'Black-Scholes'!$B$6,0))</f>
        <v>0</v>
      </c>
      <c r="F4001" s="18" t="n">
        <f aca="false">(E4001+G4001)/2</f>
        <v>8.97735326971631</v>
      </c>
      <c r="G4001" s="18" t="n">
        <f aca="false">EXP(-'Black-Scholes'!$B$8*'Black-Scholes'!$B$7)*IF(LOWER('Black-Scholes'!$B$11)="put",MAX('Black-Scholes'!$B$6-D4001,0),MAX(D4001-'Black-Scholes'!$B$6,0))</f>
        <v>17.9547065394326</v>
      </c>
    </row>
    <row r="4002" customFormat="false" ht="15" hidden="false" customHeight="false" outlineLevel="0" collapsed="false">
      <c r="A4002" s="0" t="n">
        <v>3991</v>
      </c>
      <c r="B4002" s="15" t="n">
        <v>0.655938223043863</v>
      </c>
      <c r="C4002" s="18" t="n">
        <f aca="false">'Black-Scholes'!$B$5*EXP(('Black-Scholes'!$B$8-'Black-Scholes'!$B$10-'Black-Scholes'!$B$9^2/2)*'Black-Scholes'!$B$7+'Black-Scholes'!$B$9*SQRT('Black-Scholes'!$B$7)*B4002)</f>
        <v>117.490541279719</v>
      </c>
      <c r="D4002" s="18" t="n">
        <f aca="false">'Black-Scholes'!$B$5*EXP(('Black-Scholes'!$B$8-'Black-Scholes'!$B$10-'Black-Scholes'!$B$9^2/2)*'Black-Scholes'!$B$7-'Black-Scholes'!$B$9*SQRT('Black-Scholes'!$B$7)*B4002)</f>
        <v>90.3763430638523</v>
      </c>
      <c r="E4002" s="18" t="n">
        <f aca="false">EXP(-'Black-Scholes'!$B$8*'Black-Scholes'!$B$7)*IF(LOWER('Black-Scholes'!$B$11)="put",MAX('Black-Scholes'!$B$6-C4002,0),MAX(C4002-'Black-Scholes'!$B$6,0))</f>
        <v>16.6375175157132</v>
      </c>
      <c r="F4002" s="18" t="n">
        <f aca="false">(E4002+G4002)/2</f>
        <v>8.31875875785661</v>
      </c>
      <c r="G4002" s="18" t="n">
        <f aca="false">EXP(-'Black-Scholes'!$B$8*'Black-Scholes'!$B$7)*IF(LOWER('Black-Scholes'!$B$11)="put",MAX('Black-Scholes'!$B$6-D4002,0),MAX(D4002-'Black-Scholes'!$B$6,0))</f>
        <v>0</v>
      </c>
    </row>
    <row r="4003" customFormat="false" ht="15" hidden="false" customHeight="false" outlineLevel="0" collapsed="false">
      <c r="A4003" s="0" t="n">
        <v>3992</v>
      </c>
      <c r="B4003" s="15" t="n">
        <v>-0.347099753494803</v>
      </c>
      <c r="C4003" s="18" t="n">
        <f aca="false">'Black-Scholes'!$B$5*EXP(('Black-Scholes'!$B$8-'Black-Scholes'!$B$10-'Black-Scholes'!$B$9^2/2)*'Black-Scholes'!$B$7+'Black-Scholes'!$B$9*SQRT('Black-Scholes'!$B$7)*B4003)</f>
        <v>96.1346906058464</v>
      </c>
      <c r="D4003" s="18" t="n">
        <f aca="false">'Black-Scholes'!$B$5*EXP(('Black-Scholes'!$B$8-'Black-Scholes'!$B$10-'Black-Scholes'!$B$9^2/2)*'Black-Scholes'!$B$7-'Black-Scholes'!$B$9*SQRT('Black-Scholes'!$B$7)*B4003)</f>
        <v>110.45300503425</v>
      </c>
      <c r="E4003" s="18" t="n">
        <f aca="false">EXP(-'Black-Scholes'!$B$8*'Black-Scholes'!$B$7)*IF(LOWER('Black-Scholes'!$B$11)="put",MAX('Black-Scholes'!$B$6-C4003,0),MAX(C4003-'Black-Scholes'!$B$6,0))</f>
        <v>0</v>
      </c>
      <c r="F4003" s="18" t="n">
        <f aca="false">(E4003+G4003)/2</f>
        <v>4.97160298151624</v>
      </c>
      <c r="G4003" s="18" t="n">
        <f aca="false">EXP(-'Black-Scholes'!$B$8*'Black-Scholes'!$B$7)*IF(LOWER('Black-Scholes'!$B$11)="put",MAX('Black-Scholes'!$B$6-D4003,0),MAX(D4003-'Black-Scholes'!$B$6,0))</f>
        <v>9.94320596303248</v>
      </c>
    </row>
    <row r="4004" customFormat="false" ht="15" hidden="false" customHeight="false" outlineLevel="0" collapsed="false">
      <c r="A4004" s="0" t="n">
        <v>3993</v>
      </c>
      <c r="B4004" s="15" t="n">
        <v>-0.780896194359233</v>
      </c>
      <c r="C4004" s="18" t="n">
        <f aca="false">'Black-Scholes'!$B$5*EXP(('Black-Scholes'!$B$8-'Black-Scholes'!$B$10-'Black-Scholes'!$B$9^2/2)*'Black-Scholes'!$B$7+'Black-Scholes'!$B$9*SQRT('Black-Scholes'!$B$7)*B4004)</f>
        <v>88.1456841293661</v>
      </c>
      <c r="D4004" s="18" t="n">
        <f aca="false">'Black-Scholes'!$B$5*EXP(('Black-Scholes'!$B$8-'Black-Scholes'!$B$10-'Black-Scholes'!$B$9^2/2)*'Black-Scholes'!$B$7-'Black-Scholes'!$B$9*SQRT('Black-Scholes'!$B$7)*B4004)</f>
        <v>120.463815901294</v>
      </c>
      <c r="E4004" s="18" t="n">
        <f aca="false">EXP(-'Black-Scholes'!$B$8*'Black-Scholes'!$B$7)*IF(LOWER('Black-Scholes'!$B$11)="put",MAX('Black-Scholes'!$B$6-C4004,0),MAX(C4004-'Black-Scholes'!$B$6,0))</f>
        <v>0</v>
      </c>
      <c r="F4004" s="18" t="n">
        <f aca="false">(E4004+G4004)/2</f>
        <v>9.73289191143835</v>
      </c>
      <c r="G4004" s="18" t="n">
        <f aca="false">EXP(-'Black-Scholes'!$B$8*'Black-Scholes'!$B$7)*IF(LOWER('Black-Scholes'!$B$11)="put",MAX('Black-Scholes'!$B$6-D4004,0),MAX(D4004-'Black-Scholes'!$B$6,0))</f>
        <v>19.4657838228767</v>
      </c>
    </row>
    <row r="4005" customFormat="false" ht="15" hidden="false" customHeight="false" outlineLevel="0" collapsed="false">
      <c r="A4005" s="0" t="n">
        <v>3994</v>
      </c>
      <c r="B4005" s="15" t="n">
        <v>1.36889481820112</v>
      </c>
      <c r="C4005" s="18" t="n">
        <f aca="false">'Black-Scholes'!$B$5*EXP(('Black-Scholes'!$B$8-'Black-Scholes'!$B$10-'Black-Scholes'!$B$9^2/2)*'Black-Scholes'!$B$7+'Black-Scholes'!$B$9*SQRT('Black-Scholes'!$B$7)*B4005)</f>
        <v>135.49695254558</v>
      </c>
      <c r="D4005" s="18" t="n">
        <f aca="false">'Black-Scholes'!$B$5*EXP(('Black-Scholes'!$B$8-'Black-Scholes'!$B$10-'Black-Scholes'!$B$9^2/2)*'Black-Scholes'!$B$7-'Black-Scholes'!$B$9*SQRT('Black-Scholes'!$B$7)*B4005)</f>
        <v>78.3660832658336</v>
      </c>
      <c r="E4005" s="18" t="n">
        <f aca="false">EXP(-'Black-Scholes'!$B$8*'Black-Scholes'!$B$7)*IF(LOWER('Black-Scholes'!$B$11)="put",MAX('Black-Scholes'!$B$6-C4005,0),MAX(C4005-'Black-Scholes'!$B$6,0))</f>
        <v>33.7657457414609</v>
      </c>
      <c r="F4005" s="18" t="n">
        <f aca="false">(E4005+G4005)/2</f>
        <v>16.8828728707305</v>
      </c>
      <c r="G4005" s="18" t="n">
        <f aca="false">EXP(-'Black-Scholes'!$B$8*'Black-Scholes'!$B$7)*IF(LOWER('Black-Scholes'!$B$11)="put",MAX('Black-Scholes'!$B$6-D4005,0),MAX(D4005-'Black-Scholes'!$B$6,0))</f>
        <v>0</v>
      </c>
    </row>
    <row r="4006" customFormat="false" ht="15" hidden="false" customHeight="false" outlineLevel="0" collapsed="false">
      <c r="A4006" s="0" t="n">
        <v>3995</v>
      </c>
      <c r="B4006" s="15" t="n">
        <v>-0.748872931259867</v>
      </c>
      <c r="C4006" s="18" t="n">
        <f aca="false">'Black-Scholes'!$B$5*EXP(('Black-Scholes'!$B$8-'Black-Scholes'!$B$10-'Black-Scholes'!$B$9^2/2)*'Black-Scholes'!$B$7+'Black-Scholes'!$B$9*SQRT('Black-Scholes'!$B$7)*B4006)</f>
        <v>88.7120383311508</v>
      </c>
      <c r="D4006" s="18" t="n">
        <f aca="false">'Black-Scholes'!$B$5*EXP(('Black-Scholes'!$B$8-'Black-Scholes'!$B$10-'Black-Scholes'!$B$9^2/2)*'Black-Scholes'!$B$7-'Black-Scholes'!$B$9*SQRT('Black-Scholes'!$B$7)*B4006)</f>
        <v>119.694752428262</v>
      </c>
      <c r="E4006" s="18" t="n">
        <f aca="false">EXP(-'Black-Scholes'!$B$8*'Black-Scholes'!$B$7)*IF(LOWER('Black-Scholes'!$B$11)="put",MAX('Black-Scholes'!$B$6-C4006,0),MAX(C4006-'Black-Scholes'!$B$6,0))</f>
        <v>0</v>
      </c>
      <c r="F4006" s="18" t="n">
        <f aca="false">(E4006+G4006)/2</f>
        <v>9.3671140090099</v>
      </c>
      <c r="G4006" s="18" t="n">
        <f aca="false">EXP(-'Black-Scholes'!$B$8*'Black-Scholes'!$B$7)*IF(LOWER('Black-Scholes'!$B$11)="put",MAX('Black-Scholes'!$B$6-D4006,0),MAX(D4006-'Black-Scholes'!$B$6,0))</f>
        <v>18.7342280180198</v>
      </c>
    </row>
    <row r="4007" customFormat="false" ht="15" hidden="false" customHeight="false" outlineLevel="0" collapsed="false">
      <c r="A4007" s="0" t="n">
        <v>3996</v>
      </c>
      <c r="B4007" s="15" t="n">
        <v>-0.287313164693594</v>
      </c>
      <c r="C4007" s="18" t="n">
        <f aca="false">'Black-Scholes'!$B$5*EXP(('Black-Scholes'!$B$8-'Black-Scholes'!$B$10-'Black-Scholes'!$B$9^2/2)*'Black-Scholes'!$B$7+'Black-Scholes'!$B$9*SQRT('Black-Scholes'!$B$7)*B4007)</f>
        <v>97.2911036700556</v>
      </c>
      <c r="D4007" s="18" t="n">
        <f aca="false">'Black-Scholes'!$B$5*EXP(('Black-Scholes'!$B$8-'Black-Scholes'!$B$10-'Black-Scholes'!$B$9^2/2)*'Black-Scholes'!$B$7-'Black-Scholes'!$B$9*SQRT('Black-Scholes'!$B$7)*B4007)</f>
        <v>109.140148121495</v>
      </c>
      <c r="E4007" s="18" t="n">
        <f aca="false">EXP(-'Black-Scholes'!$B$8*'Black-Scholes'!$B$7)*IF(LOWER('Black-Scholes'!$B$11)="put",MAX('Black-Scholes'!$B$6-C4007,0),MAX(C4007-'Black-Scholes'!$B$6,0))</f>
        <v>0</v>
      </c>
      <c r="F4007" s="18" t="n">
        <f aca="false">(E4007+G4007)/2</f>
        <v>4.34718891873051</v>
      </c>
      <c r="G4007" s="18" t="n">
        <f aca="false">EXP(-'Black-Scholes'!$B$8*'Black-Scholes'!$B$7)*IF(LOWER('Black-Scholes'!$B$11)="put",MAX('Black-Scholes'!$B$6-D4007,0),MAX(D4007-'Black-Scholes'!$B$6,0))</f>
        <v>8.69437783746103</v>
      </c>
    </row>
    <row r="4008" customFormat="false" ht="15" hidden="false" customHeight="false" outlineLevel="0" collapsed="false">
      <c r="A4008" s="0" t="n">
        <v>3997</v>
      </c>
      <c r="B4008" s="15" t="n">
        <v>-1.09694320078611</v>
      </c>
      <c r="C4008" s="18" t="n">
        <f aca="false">'Black-Scholes'!$B$5*EXP(('Black-Scholes'!$B$8-'Black-Scholes'!$B$10-'Black-Scholes'!$B$9^2/2)*'Black-Scholes'!$B$7+'Black-Scholes'!$B$9*SQRT('Black-Scholes'!$B$7)*B4008)</f>
        <v>82.746485812345</v>
      </c>
      <c r="D4008" s="18" t="n">
        <f aca="false">'Black-Scholes'!$B$5*EXP(('Black-Scholes'!$B$8-'Black-Scholes'!$B$10-'Black-Scholes'!$B$9^2/2)*'Black-Scholes'!$B$7-'Black-Scholes'!$B$9*SQRT('Black-Scholes'!$B$7)*B4008)</f>
        <v>128.32406550212</v>
      </c>
      <c r="E4008" s="18" t="n">
        <f aca="false">EXP(-'Black-Scholes'!$B$8*'Black-Scholes'!$B$7)*IF(LOWER('Black-Scholes'!$B$11)="put",MAX('Black-Scholes'!$B$6-C4008,0),MAX(C4008-'Black-Scholes'!$B$6,0))</f>
        <v>0</v>
      </c>
      <c r="F4008" s="18" t="n">
        <f aca="false">(E4008+G4008)/2</f>
        <v>13.4713422635511</v>
      </c>
      <c r="G4008" s="18" t="n">
        <f aca="false">EXP(-'Black-Scholes'!$B$8*'Black-Scholes'!$B$7)*IF(LOWER('Black-Scholes'!$B$11)="put",MAX('Black-Scholes'!$B$6-D4008,0),MAX(D4008-'Black-Scholes'!$B$6,0))</f>
        <v>26.9426845271021</v>
      </c>
    </row>
    <row r="4009" customFormat="false" ht="15" hidden="false" customHeight="false" outlineLevel="0" collapsed="false">
      <c r="A4009" s="0" t="n">
        <v>3998</v>
      </c>
      <c r="B4009" s="15" t="n">
        <v>-0.0129807379332886</v>
      </c>
      <c r="C4009" s="18" t="n">
        <f aca="false">'Black-Scholes'!$B$5*EXP(('Black-Scholes'!$B$8-'Black-Scholes'!$B$10-'Black-Scholes'!$B$9^2/2)*'Black-Scholes'!$B$7+'Black-Scholes'!$B$9*SQRT('Black-Scholes'!$B$7)*B4009)</f>
        <v>102.778279152149</v>
      </c>
      <c r="D4009" s="18" t="n">
        <f aca="false">'Black-Scholes'!$B$5*EXP(('Black-Scholes'!$B$8-'Black-Scholes'!$B$10-'Black-Scholes'!$B$9^2/2)*'Black-Scholes'!$B$7-'Black-Scholes'!$B$9*SQRT('Black-Scholes'!$B$7)*B4009)</f>
        <v>103.313322163475</v>
      </c>
      <c r="E4009" s="18" t="n">
        <f aca="false">EXP(-'Black-Scholes'!$B$8*'Black-Scholes'!$B$7)*IF(LOWER('Black-Scholes'!$B$11)="put",MAX('Black-Scholes'!$B$6-C4009,0),MAX(C4009-'Black-Scholes'!$B$6,0))</f>
        <v>2.64278087900112</v>
      </c>
      <c r="F4009" s="18" t="n">
        <f aca="false">(E4009+G4009)/2</f>
        <v>2.89725520687468</v>
      </c>
      <c r="G4009" s="18" t="n">
        <f aca="false">EXP(-'Black-Scholes'!$B$8*'Black-Scholes'!$B$7)*IF(LOWER('Black-Scholes'!$B$11)="put",MAX('Black-Scholes'!$B$6-D4009,0),MAX(D4009-'Black-Scholes'!$B$6,0))</f>
        <v>3.15172953474825</v>
      </c>
    </row>
    <row r="4010" customFormat="false" ht="15" hidden="false" customHeight="false" outlineLevel="0" collapsed="false">
      <c r="A4010" s="0" t="n">
        <v>3999</v>
      </c>
      <c r="B4010" s="15" t="n">
        <v>0.637223824625538</v>
      </c>
      <c r="C4010" s="18" t="n">
        <f aca="false">'Black-Scholes'!$B$5*EXP(('Black-Scholes'!$B$8-'Black-Scholes'!$B$10-'Black-Scholes'!$B$9^2/2)*'Black-Scholes'!$B$7+'Black-Scholes'!$B$9*SQRT('Black-Scholes'!$B$7)*B4010)</f>
        <v>117.05161026515</v>
      </c>
      <c r="D4010" s="18" t="n">
        <f aca="false">'Black-Scholes'!$B$5*EXP(('Black-Scholes'!$B$8-'Black-Scholes'!$B$10-'Black-Scholes'!$B$9^2/2)*'Black-Scholes'!$B$7-'Black-Scholes'!$B$9*SQRT('Black-Scholes'!$B$7)*B4010)</f>
        <v>90.7152446805344</v>
      </c>
      <c r="E4010" s="18" t="n">
        <f aca="false">EXP(-'Black-Scholes'!$B$8*'Black-Scholes'!$B$7)*IF(LOWER('Black-Scholes'!$B$11)="put",MAX('Black-Scholes'!$B$6-C4010,0),MAX(C4010-'Black-Scholes'!$B$6,0))</f>
        <v>16.2199934193288</v>
      </c>
      <c r="F4010" s="18" t="n">
        <f aca="false">(E4010+G4010)/2</f>
        <v>8.10999670966438</v>
      </c>
      <c r="G4010" s="18" t="n">
        <f aca="false">EXP(-'Black-Scholes'!$B$8*'Black-Scholes'!$B$7)*IF(LOWER('Black-Scholes'!$B$11)="put",MAX('Black-Scholes'!$B$6-D4010,0),MAX(D4010-'Black-Scholes'!$B$6,0))</f>
        <v>0</v>
      </c>
    </row>
    <row r="4011" customFormat="false" ht="15" hidden="false" customHeight="false" outlineLevel="0" collapsed="false">
      <c r="A4011" s="0" t="n">
        <v>4000</v>
      </c>
      <c r="B4011" s="15" t="n">
        <v>1.47228148502675</v>
      </c>
      <c r="C4011" s="18" t="n">
        <f aca="false">'Black-Scholes'!$B$5*EXP(('Black-Scholes'!$B$8-'Black-Scholes'!$B$10-'Black-Scholes'!$B$9^2/2)*'Black-Scholes'!$B$7+'Black-Scholes'!$B$9*SQRT('Black-Scholes'!$B$7)*B4011)</f>
        <v>138.327834890546</v>
      </c>
      <c r="D4011" s="18" t="n">
        <f aca="false">'Black-Scholes'!$B$5*EXP(('Black-Scholes'!$B$8-'Black-Scholes'!$B$10-'Black-Scholes'!$B$9^2/2)*'Black-Scholes'!$B$7-'Black-Scholes'!$B$9*SQRT('Black-Scholes'!$B$7)*B4011)</f>
        <v>76.7623195566932</v>
      </c>
      <c r="E4011" s="18" t="n">
        <f aca="false">EXP(-'Black-Scholes'!$B$8*'Black-Scholes'!$B$7)*IF(LOWER('Black-Scholes'!$B$11)="put",MAX('Black-Scholes'!$B$6-C4011,0),MAX(C4011-'Black-Scholes'!$B$6,0))</f>
        <v>36.4585643252926</v>
      </c>
      <c r="F4011" s="18" t="n">
        <f aca="false">(E4011+G4011)/2</f>
        <v>18.2292821626463</v>
      </c>
      <c r="G4011" s="18" t="n">
        <f aca="false">EXP(-'Black-Scholes'!$B$8*'Black-Scholes'!$B$7)*IF(LOWER('Black-Scholes'!$B$11)="put",MAX('Black-Scholes'!$B$6-D4011,0),MAX(D4011-'Black-Scholes'!$B$6,0))</f>
        <v>0</v>
      </c>
    </row>
    <row r="4012" customFormat="false" ht="15" hidden="false" customHeight="false" outlineLevel="0" collapsed="false">
      <c r="A4012" s="0" t="n">
        <v>4001</v>
      </c>
      <c r="B4012" s="15" t="n">
        <v>1.03205761150698</v>
      </c>
      <c r="C4012" s="18" t="n">
        <f aca="false">'Black-Scholes'!$B$5*EXP(('Black-Scholes'!$B$8-'Black-Scholes'!$B$10-'Black-Scholes'!$B$9^2/2)*'Black-Scholes'!$B$7+'Black-Scholes'!$B$9*SQRT('Black-Scholes'!$B$7)*B4012)</f>
        <v>126.669547636137</v>
      </c>
      <c r="D4012" s="18" t="n">
        <f aca="false">'Black-Scholes'!$B$5*EXP(('Black-Scholes'!$B$8-'Black-Scholes'!$B$10-'Black-Scholes'!$B$9^2/2)*'Black-Scholes'!$B$7-'Black-Scholes'!$B$9*SQRT('Black-Scholes'!$B$7)*B4012)</f>
        <v>83.827294433507</v>
      </c>
      <c r="E4012" s="18" t="n">
        <f aca="false">EXP(-'Black-Scholes'!$B$8*'Black-Scholes'!$B$7)*IF(LOWER('Black-Scholes'!$B$11)="put",MAX('Black-Scholes'!$B$6-C4012,0),MAX(C4012-'Black-Scholes'!$B$6,0))</f>
        <v>25.368858449617</v>
      </c>
      <c r="F4012" s="18" t="n">
        <f aca="false">(E4012+G4012)/2</f>
        <v>12.6844292248085</v>
      </c>
      <c r="G4012" s="18" t="n">
        <f aca="false">EXP(-'Black-Scholes'!$B$8*'Black-Scholes'!$B$7)*IF(LOWER('Black-Scholes'!$B$11)="put",MAX('Black-Scholes'!$B$6-D4012,0),MAX(D4012-'Black-Scholes'!$B$6,0))</f>
        <v>0</v>
      </c>
    </row>
    <row r="4013" customFormat="false" ht="15" hidden="false" customHeight="false" outlineLevel="0" collapsed="false">
      <c r="A4013" s="0" t="n">
        <v>4002</v>
      </c>
      <c r="B4013" s="15" t="n">
        <v>-0.622655452696814</v>
      </c>
      <c r="C4013" s="18" t="n">
        <f aca="false">'Black-Scholes'!$B$5*EXP(('Black-Scholes'!$B$8-'Black-Scholes'!$B$10-'Black-Scholes'!$B$9^2/2)*'Black-Scholes'!$B$7+'Black-Scholes'!$B$9*SQRT('Black-Scholes'!$B$7)*B4013)</f>
        <v>90.9799448030758</v>
      </c>
      <c r="D4013" s="18" t="n">
        <f aca="false">'Black-Scholes'!$B$5*EXP(('Black-Scholes'!$B$8-'Black-Scholes'!$B$10-'Black-Scholes'!$B$9^2/2)*'Black-Scholes'!$B$7-'Black-Scholes'!$B$9*SQRT('Black-Scholes'!$B$7)*B4013)</f>
        <v>116.711056359034</v>
      </c>
      <c r="E4013" s="18" t="n">
        <f aca="false">EXP(-'Black-Scholes'!$B$8*'Black-Scholes'!$B$7)*IF(LOWER('Black-Scholes'!$B$11)="put",MAX('Black-Scholes'!$B$6-C4013,0),MAX(C4013-'Black-Scholes'!$B$6,0))</f>
        <v>0</v>
      </c>
      <c r="F4013" s="18" t="n">
        <f aca="false">(E4013+G4013)/2</f>
        <v>7.94802426160152</v>
      </c>
      <c r="G4013" s="18" t="n">
        <f aca="false">EXP(-'Black-Scholes'!$B$8*'Black-Scholes'!$B$7)*IF(LOWER('Black-Scholes'!$B$11)="put",MAX('Black-Scholes'!$B$6-D4013,0),MAX(D4013-'Black-Scholes'!$B$6,0))</f>
        <v>15.896048523203</v>
      </c>
    </row>
    <row r="4014" customFormat="false" ht="15" hidden="false" customHeight="false" outlineLevel="0" collapsed="false">
      <c r="A4014" s="0" t="n">
        <v>4003</v>
      </c>
      <c r="B4014" s="15" t="n">
        <v>1.88378641912731</v>
      </c>
      <c r="C4014" s="18" t="n">
        <f aca="false">'Black-Scholes'!$B$5*EXP(('Black-Scholes'!$B$8-'Black-Scholes'!$B$10-'Black-Scholes'!$B$9^2/2)*'Black-Scholes'!$B$7+'Black-Scholes'!$B$9*SQRT('Black-Scholes'!$B$7)*B4014)</f>
        <v>150.193951640408</v>
      </c>
      <c r="D4014" s="18" t="n">
        <f aca="false">'Black-Scholes'!$B$5*EXP(('Black-Scholes'!$B$8-'Black-Scholes'!$B$10-'Black-Scholes'!$B$9^2/2)*'Black-Scholes'!$B$7-'Black-Scholes'!$B$9*SQRT('Black-Scholes'!$B$7)*B4014)</f>
        <v>70.6976902164206</v>
      </c>
      <c r="E4014" s="18" t="n">
        <f aca="false">EXP(-'Black-Scholes'!$B$8*'Black-Scholes'!$B$7)*IF(LOWER('Black-Scholes'!$B$11)="put",MAX('Black-Scholes'!$B$6-C4014,0),MAX(C4014-'Black-Scholes'!$B$6,0))</f>
        <v>47.7459637323217</v>
      </c>
      <c r="F4014" s="18" t="n">
        <f aca="false">(E4014+G4014)/2</f>
        <v>23.8729818661608</v>
      </c>
      <c r="G4014" s="18" t="n">
        <f aca="false">EXP(-'Black-Scholes'!$B$8*'Black-Scholes'!$B$7)*IF(LOWER('Black-Scholes'!$B$11)="put",MAX('Black-Scholes'!$B$6-D4014,0),MAX(D4014-'Black-Scholes'!$B$6,0))</f>
        <v>0</v>
      </c>
    </row>
    <row r="4015" customFormat="false" ht="15" hidden="false" customHeight="false" outlineLevel="0" collapsed="false">
      <c r="A4015" s="0" t="n">
        <v>4004</v>
      </c>
      <c r="B4015" s="15" t="n">
        <v>-0.813958025848087</v>
      </c>
      <c r="C4015" s="18" t="n">
        <f aca="false">'Black-Scholes'!$B$5*EXP(('Black-Scholes'!$B$8-'Black-Scholes'!$B$10-'Black-Scholes'!$B$9^2/2)*'Black-Scholes'!$B$7+'Black-Scholes'!$B$9*SQRT('Black-Scholes'!$B$7)*B4015)</f>
        <v>87.5647553519494</v>
      </c>
      <c r="D4015" s="18" t="n">
        <f aca="false">'Black-Scholes'!$B$5*EXP(('Black-Scholes'!$B$8-'Black-Scholes'!$B$10-'Black-Scholes'!$B$9^2/2)*'Black-Scholes'!$B$7-'Black-Scholes'!$B$9*SQRT('Black-Scholes'!$B$7)*B4015)</f>
        <v>121.263006135004</v>
      </c>
      <c r="E4015" s="18" t="n">
        <f aca="false">EXP(-'Black-Scholes'!$B$8*'Black-Scholes'!$B$7)*IF(LOWER('Black-Scholes'!$B$11)="put",MAX('Black-Scholes'!$B$6-C4015,0),MAX(C4015-'Black-Scholes'!$B$6,0))</f>
        <v>0</v>
      </c>
      <c r="F4015" s="18" t="n">
        <f aca="false">(E4015+G4015)/2</f>
        <v>10.1129985444777</v>
      </c>
      <c r="G4015" s="18" t="n">
        <f aca="false">EXP(-'Black-Scholes'!$B$8*'Black-Scholes'!$B$7)*IF(LOWER('Black-Scholes'!$B$11)="put",MAX('Black-Scholes'!$B$6-D4015,0),MAX(D4015-'Black-Scholes'!$B$6,0))</f>
        <v>20.2259970889554</v>
      </c>
    </row>
    <row r="4016" customFormat="false" ht="15" hidden="false" customHeight="false" outlineLevel="0" collapsed="false">
      <c r="A4016" s="0" t="n">
        <v>4005</v>
      </c>
      <c r="B4016" s="15" t="n">
        <v>0.236907371932154</v>
      </c>
      <c r="C4016" s="18" t="n">
        <f aca="false">'Black-Scholes'!$B$5*EXP(('Black-Scholes'!$B$8-'Black-Scholes'!$B$10-'Black-Scholes'!$B$9^2/2)*'Black-Scholes'!$B$7+'Black-Scholes'!$B$9*SQRT('Black-Scholes'!$B$7)*B4016)</f>
        <v>108.045416337633</v>
      </c>
      <c r="D4016" s="18" t="n">
        <f aca="false">'Black-Scholes'!$B$5*EXP(('Black-Scholes'!$B$8-'Black-Scholes'!$B$10-'Black-Scholes'!$B$9^2/2)*'Black-Scholes'!$B$7-'Black-Scholes'!$B$9*SQRT('Black-Scholes'!$B$7)*B4016)</f>
        <v>98.276871202681</v>
      </c>
      <c r="E4016" s="18" t="n">
        <f aca="false">EXP(-'Black-Scholes'!$B$8*'Black-Scholes'!$B$7)*IF(LOWER('Black-Scholes'!$B$11)="put",MAX('Black-Scholes'!$B$6-C4016,0),MAX(C4016-'Black-Scholes'!$B$6,0))</f>
        <v>7.65303675271519</v>
      </c>
      <c r="F4016" s="18" t="n">
        <f aca="false">(E4016+G4016)/2</f>
        <v>3.82651837635759</v>
      </c>
      <c r="G4016" s="18" t="n">
        <f aca="false">EXP(-'Black-Scholes'!$B$8*'Black-Scholes'!$B$7)*IF(LOWER('Black-Scholes'!$B$11)="put",MAX('Black-Scholes'!$B$6-D4016,0),MAX(D4016-'Black-Scholes'!$B$6,0))</f>
        <v>0</v>
      </c>
    </row>
    <row r="4017" customFormat="false" ht="15" hidden="false" customHeight="false" outlineLevel="0" collapsed="false">
      <c r="A4017" s="0" t="n">
        <v>4006</v>
      </c>
      <c r="B4017" s="15" t="n">
        <v>0.813018187023611</v>
      </c>
      <c r="C4017" s="18" t="n">
        <f aca="false">'Black-Scholes'!$B$5*EXP(('Black-Scholes'!$B$8-'Black-Scholes'!$B$10-'Black-Scholes'!$B$9^2/2)*'Black-Scholes'!$B$7+'Black-Scholes'!$B$9*SQRT('Black-Scholes'!$B$7)*B4017)</f>
        <v>121.240214740868</v>
      </c>
      <c r="D4017" s="18" t="n">
        <f aca="false">'Black-Scholes'!$B$5*EXP(('Black-Scholes'!$B$8-'Black-Scholes'!$B$10-'Black-Scholes'!$B$9^2/2)*'Black-Scholes'!$B$7-'Black-Scholes'!$B$9*SQRT('Black-Scholes'!$B$7)*B4017)</f>
        <v>87.5812162503072</v>
      </c>
      <c r="E4017" s="18" t="n">
        <f aca="false">EXP(-'Black-Scholes'!$B$8*'Black-Scholes'!$B$7)*IF(LOWER('Black-Scholes'!$B$11)="put",MAX('Black-Scholes'!$B$6-C4017,0),MAX(C4017-'Black-Scholes'!$B$6,0))</f>
        <v>20.204317244227</v>
      </c>
      <c r="F4017" s="18" t="n">
        <f aca="false">(E4017+G4017)/2</f>
        <v>10.1021586221135</v>
      </c>
      <c r="G4017" s="18" t="n">
        <f aca="false">EXP(-'Black-Scholes'!$B$8*'Black-Scholes'!$B$7)*IF(LOWER('Black-Scholes'!$B$11)="put",MAX('Black-Scholes'!$B$6-D4017,0),MAX(D4017-'Black-Scholes'!$B$6,0))</f>
        <v>0</v>
      </c>
    </row>
    <row r="4018" customFormat="false" ht="15" hidden="false" customHeight="false" outlineLevel="0" collapsed="false">
      <c r="A4018" s="0" t="n">
        <v>4007</v>
      </c>
      <c r="B4018" s="15" t="n">
        <v>0.585354140630719</v>
      </c>
      <c r="C4018" s="18" t="n">
        <f aca="false">'Black-Scholes'!$B$5*EXP(('Black-Scholes'!$B$8-'Black-Scholes'!$B$10-'Black-Scholes'!$B$9^2/2)*'Black-Scholes'!$B$7+'Black-Scholes'!$B$9*SQRT('Black-Scholes'!$B$7)*B4018)</f>
        <v>115.843600997605</v>
      </c>
      <c r="D4018" s="18" t="n">
        <f aca="false">'Black-Scholes'!$B$5*EXP(('Black-Scholes'!$B$8-'Black-Scholes'!$B$10-'Black-Scholes'!$B$9^2/2)*'Black-Scholes'!$B$7-'Black-Scholes'!$B$9*SQRT('Black-Scholes'!$B$7)*B4018)</f>
        <v>91.6612171411447</v>
      </c>
      <c r="E4018" s="18" t="n">
        <f aca="false">EXP(-'Black-Scholes'!$B$8*'Black-Scholes'!$B$7)*IF(LOWER('Black-Scholes'!$B$11)="put",MAX('Black-Scholes'!$B$6-C4018,0),MAX(C4018-'Black-Scholes'!$B$6,0))</f>
        <v>15.0708994589707</v>
      </c>
      <c r="F4018" s="18" t="n">
        <f aca="false">(E4018+G4018)/2</f>
        <v>7.53544972948534</v>
      </c>
      <c r="G4018" s="18" t="n">
        <f aca="false">EXP(-'Black-Scholes'!$B$8*'Black-Scholes'!$B$7)*IF(LOWER('Black-Scholes'!$B$11)="put",MAX('Black-Scholes'!$B$6-D4018,0),MAX(D4018-'Black-Scholes'!$B$6,0))</f>
        <v>0</v>
      </c>
    </row>
    <row r="4019" customFormat="false" ht="15" hidden="false" customHeight="false" outlineLevel="0" collapsed="false">
      <c r="A4019" s="0" t="n">
        <v>4008</v>
      </c>
      <c r="B4019" s="15" t="n">
        <v>-0.10570825101942</v>
      </c>
      <c r="C4019" s="18" t="n">
        <f aca="false">'Black-Scholes'!$B$5*EXP(('Black-Scholes'!$B$8-'Black-Scholes'!$B$10-'Black-Scholes'!$B$9^2/2)*'Black-Scholes'!$B$7+'Black-Scholes'!$B$9*SQRT('Black-Scholes'!$B$7)*B4019)</f>
        <v>100.889770108668</v>
      </c>
      <c r="D4019" s="18" t="n">
        <f aca="false">'Black-Scholes'!$B$5*EXP(('Black-Scholes'!$B$8-'Black-Scholes'!$B$10-'Black-Scholes'!$B$9^2/2)*'Black-Scholes'!$B$7-'Black-Scholes'!$B$9*SQRT('Black-Scholes'!$B$7)*B4019)</f>
        <v>105.24719655934</v>
      </c>
      <c r="E4019" s="18" t="n">
        <f aca="false">EXP(-'Black-Scholes'!$B$8*'Black-Scholes'!$B$7)*IF(LOWER('Black-Scholes'!$B$11)="put",MAX('Black-Scholes'!$B$6-C4019,0),MAX(C4019-'Black-Scholes'!$B$6,0))</f>
        <v>0.846375508405959</v>
      </c>
      <c r="F4019" s="18" t="n">
        <f aca="false">(E4019+G4019)/2</f>
        <v>2.91883163589462</v>
      </c>
      <c r="G4019" s="18" t="n">
        <f aca="false">EXP(-'Black-Scholes'!$B$8*'Black-Scholes'!$B$7)*IF(LOWER('Black-Scholes'!$B$11)="put",MAX('Black-Scholes'!$B$6-D4019,0),MAX(D4019-'Black-Scholes'!$B$6,0))</f>
        <v>4.99128776338328</v>
      </c>
    </row>
    <row r="4020" customFormat="false" ht="15" hidden="false" customHeight="false" outlineLevel="0" collapsed="false">
      <c r="A4020" s="0" t="n">
        <v>4009</v>
      </c>
      <c r="B4020" s="15" t="n">
        <v>-0.022879589246297</v>
      </c>
      <c r="C4020" s="18" t="n">
        <f aca="false">'Black-Scholes'!$B$5*EXP(('Black-Scholes'!$B$8-'Black-Scholes'!$B$10-'Black-Scholes'!$B$9^2/2)*'Black-Scholes'!$B$7+'Black-Scholes'!$B$9*SQRT('Black-Scholes'!$B$7)*B4020)</f>
        <v>102.575003057821</v>
      </c>
      <c r="D4020" s="18" t="n">
        <f aca="false">'Black-Scholes'!$B$5*EXP(('Black-Scholes'!$B$8-'Black-Scholes'!$B$10-'Black-Scholes'!$B$9^2/2)*'Black-Scholes'!$B$7-'Black-Scholes'!$B$9*SQRT('Black-Scholes'!$B$7)*B4020)</f>
        <v>103.518061407886</v>
      </c>
      <c r="E4020" s="18" t="n">
        <f aca="false">EXP(-'Black-Scholes'!$B$8*'Black-Scholes'!$B$7)*IF(LOWER('Black-Scholes'!$B$11)="put",MAX('Black-Scholes'!$B$6-C4020,0),MAX(C4020-'Black-Scholes'!$B$6,0))</f>
        <v>2.44941867677817</v>
      </c>
      <c r="F4020" s="18" t="n">
        <f aca="false">(E4020+G4020)/2</f>
        <v>2.89795110258005</v>
      </c>
      <c r="G4020" s="18" t="n">
        <f aca="false">EXP(-'Black-Scholes'!$B$8*'Black-Scholes'!$B$7)*IF(LOWER('Black-Scholes'!$B$11)="put",MAX('Black-Scholes'!$B$6-D4020,0),MAX(D4020-'Black-Scholes'!$B$6,0))</f>
        <v>3.34648352838193</v>
      </c>
    </row>
    <row r="4021" customFormat="false" ht="15" hidden="false" customHeight="false" outlineLevel="0" collapsed="false">
      <c r="A4021" s="0" t="n">
        <v>4010</v>
      </c>
      <c r="B4021" s="15" t="n">
        <v>0.304450760688454</v>
      </c>
      <c r="C4021" s="18" t="n">
        <f aca="false">'Black-Scholes'!$B$5*EXP(('Black-Scholes'!$B$8-'Black-Scholes'!$B$10-'Black-Scholes'!$B$9^2/2)*'Black-Scholes'!$B$7+'Black-Scholes'!$B$9*SQRT('Black-Scholes'!$B$7)*B4021)</f>
        <v>109.51486989074</v>
      </c>
      <c r="D4021" s="18" t="n">
        <f aca="false">'Black-Scholes'!$B$5*EXP(('Black-Scholes'!$B$8-'Black-Scholes'!$B$10-'Black-Scholes'!$B$9^2/2)*'Black-Scholes'!$B$7-'Black-Scholes'!$B$9*SQRT('Black-Scholes'!$B$7)*B4021)</f>
        <v>96.9582073744618</v>
      </c>
      <c r="E4021" s="18" t="n">
        <f aca="false">EXP(-'Black-Scholes'!$B$8*'Black-Scholes'!$B$7)*IF(LOWER('Black-Scholes'!$B$11)="put",MAX('Black-Scholes'!$B$6-C4021,0),MAX(C4021-'Black-Scholes'!$B$6,0))</f>
        <v>9.05082421036805</v>
      </c>
      <c r="F4021" s="18" t="n">
        <f aca="false">(E4021+G4021)/2</f>
        <v>4.52541210518403</v>
      </c>
      <c r="G4021" s="18" t="n">
        <f aca="false">EXP(-'Black-Scholes'!$B$8*'Black-Scholes'!$B$7)*IF(LOWER('Black-Scholes'!$B$11)="put",MAX('Black-Scholes'!$B$6-D4021,0),MAX(D4021-'Black-Scholes'!$B$6,0))</f>
        <v>0</v>
      </c>
    </row>
    <row r="4022" customFormat="false" ht="15" hidden="false" customHeight="false" outlineLevel="0" collapsed="false">
      <c r="A4022" s="0" t="n">
        <v>4011</v>
      </c>
      <c r="B4022" s="15" t="n">
        <v>-0.785400192305469</v>
      </c>
      <c r="C4022" s="18" t="n">
        <f aca="false">'Black-Scholes'!$B$5*EXP(('Black-Scholes'!$B$8-'Black-Scholes'!$B$10-'Black-Scholes'!$B$9^2/2)*'Black-Scholes'!$B$7+'Black-Scholes'!$B$9*SQRT('Black-Scholes'!$B$7)*B4022)</f>
        <v>88.0663182850352</v>
      </c>
      <c r="D4022" s="18" t="n">
        <f aca="false">'Black-Scholes'!$B$5*EXP(('Black-Scholes'!$B$8-'Black-Scholes'!$B$10-'Black-Scholes'!$B$9^2/2)*'Black-Scholes'!$B$7-'Black-Scholes'!$B$9*SQRT('Black-Scholes'!$B$7)*B4022)</f>
        <v>120.572378546429</v>
      </c>
      <c r="E4022" s="18" t="n">
        <f aca="false">EXP(-'Black-Scholes'!$B$8*'Black-Scholes'!$B$7)*IF(LOWER('Black-Scholes'!$B$11)="put",MAX('Black-Scholes'!$B$6-C4022,0),MAX(C4022-'Black-Scholes'!$B$6,0))</f>
        <v>0</v>
      </c>
      <c r="F4022" s="18" t="n">
        <f aca="false">(E4022+G4022)/2</f>
        <v>9.78452590266543</v>
      </c>
      <c r="G4022" s="18" t="n">
        <f aca="false">EXP(-'Black-Scholes'!$B$8*'Black-Scholes'!$B$7)*IF(LOWER('Black-Scholes'!$B$11)="put",MAX('Black-Scholes'!$B$6-D4022,0),MAX(D4022-'Black-Scholes'!$B$6,0))</f>
        <v>19.5690518053309</v>
      </c>
    </row>
    <row r="4023" customFormat="false" ht="15" hidden="false" customHeight="false" outlineLevel="0" collapsed="false">
      <c r="A4023" s="0" t="n">
        <v>4012</v>
      </c>
      <c r="B4023" s="15" t="n">
        <v>0.201890085039452</v>
      </c>
      <c r="C4023" s="18" t="n">
        <f aca="false">'Black-Scholes'!$B$5*EXP(('Black-Scholes'!$B$8-'Black-Scholes'!$B$10-'Black-Scholes'!$B$9^2/2)*'Black-Scholes'!$B$7+'Black-Scholes'!$B$9*SQRT('Black-Scholes'!$B$7)*B4023)</f>
        <v>107.291368422651</v>
      </c>
      <c r="D4023" s="18" t="n">
        <f aca="false">'Black-Scholes'!$B$5*EXP(('Black-Scholes'!$B$8-'Black-Scholes'!$B$10-'Black-Scholes'!$B$9^2/2)*'Black-Scholes'!$B$7-'Black-Scholes'!$B$9*SQRT('Black-Scholes'!$B$7)*B4023)</f>
        <v>98.9675648801945</v>
      </c>
      <c r="E4023" s="18" t="n">
        <f aca="false">EXP(-'Black-Scholes'!$B$8*'Black-Scholes'!$B$7)*IF(LOWER('Black-Scholes'!$B$11)="put",MAX('Black-Scholes'!$B$6-C4023,0),MAX(C4023-'Black-Scholes'!$B$6,0))</f>
        <v>6.93576418850132</v>
      </c>
      <c r="F4023" s="18" t="n">
        <f aca="false">(E4023+G4023)/2</f>
        <v>3.46788209425066</v>
      </c>
      <c r="G4023" s="18" t="n">
        <f aca="false">EXP(-'Black-Scholes'!$B$8*'Black-Scholes'!$B$7)*IF(LOWER('Black-Scholes'!$B$11)="put",MAX('Black-Scholes'!$B$6-D4023,0),MAX(D4023-'Black-Scholes'!$B$6,0))</f>
        <v>0</v>
      </c>
    </row>
    <row r="4024" customFormat="false" ht="15" hidden="false" customHeight="false" outlineLevel="0" collapsed="false">
      <c r="A4024" s="0" t="n">
        <v>4013</v>
      </c>
      <c r="B4024" s="15" t="n">
        <v>0.318142938067913</v>
      </c>
      <c r="C4024" s="18" t="n">
        <f aca="false">'Black-Scholes'!$B$5*EXP(('Black-Scholes'!$B$8-'Black-Scholes'!$B$10-'Black-Scholes'!$B$9^2/2)*'Black-Scholes'!$B$7+'Black-Scholes'!$B$9*SQRT('Black-Scholes'!$B$7)*B4024)</f>
        <v>109.815180298254</v>
      </c>
      <c r="D4024" s="18" t="n">
        <f aca="false">'Black-Scholes'!$B$5*EXP(('Black-Scholes'!$B$8-'Black-Scholes'!$B$10-'Black-Scholes'!$B$9^2/2)*'Black-Scholes'!$B$7-'Black-Scholes'!$B$9*SQRT('Black-Scholes'!$B$7)*B4024)</f>
        <v>96.6930567942839</v>
      </c>
      <c r="E4024" s="18" t="n">
        <f aca="false">EXP(-'Black-Scholes'!$B$8*'Black-Scholes'!$B$7)*IF(LOWER('Black-Scholes'!$B$11)="put",MAX('Black-Scholes'!$B$6-C4024,0),MAX(C4024-'Black-Scholes'!$B$6,0))</f>
        <v>9.33648830647885</v>
      </c>
      <c r="F4024" s="18" t="n">
        <f aca="false">(E4024+G4024)/2</f>
        <v>4.66824415323943</v>
      </c>
      <c r="G4024" s="18" t="n">
        <f aca="false">EXP(-'Black-Scholes'!$B$8*'Black-Scholes'!$B$7)*IF(LOWER('Black-Scholes'!$B$11)="put",MAX('Black-Scholes'!$B$6-D4024,0),MAX(D4024-'Black-Scholes'!$B$6,0))</f>
        <v>0</v>
      </c>
    </row>
    <row r="4025" customFormat="false" ht="15" hidden="false" customHeight="false" outlineLevel="0" collapsed="false">
      <c r="A4025" s="0" t="n">
        <v>4014</v>
      </c>
      <c r="B4025" s="15" t="n">
        <v>-0.199476846688338</v>
      </c>
      <c r="C4025" s="18" t="n">
        <f aca="false">'Black-Scholes'!$B$5*EXP(('Black-Scholes'!$B$8-'Black-Scholes'!$B$10-'Black-Scholes'!$B$9^2/2)*'Black-Scholes'!$B$7+'Black-Scholes'!$B$9*SQRT('Black-Scholes'!$B$7)*B4025)</f>
        <v>99.0153428738527</v>
      </c>
      <c r="D4025" s="18" t="n">
        <f aca="false">'Black-Scholes'!$B$5*EXP(('Black-Scholes'!$B$8-'Black-Scholes'!$B$10-'Black-Scholes'!$B$9^2/2)*'Black-Scholes'!$B$7-'Black-Scholes'!$B$9*SQRT('Black-Scholes'!$B$7)*B4025)</f>
        <v>107.239596988333</v>
      </c>
      <c r="E4025" s="18" t="n">
        <f aca="false">EXP(-'Black-Scholes'!$B$8*'Black-Scholes'!$B$7)*IF(LOWER('Black-Scholes'!$B$11)="put",MAX('Black-Scholes'!$B$6-C4025,0),MAX(C4025-'Black-Scholes'!$B$6,0))</f>
        <v>0</v>
      </c>
      <c r="F4025" s="18" t="n">
        <f aca="false">(E4025+G4025)/2</f>
        <v>3.44325883841466</v>
      </c>
      <c r="G4025" s="18" t="n">
        <f aca="false">EXP(-'Black-Scholes'!$B$8*'Black-Scholes'!$B$7)*IF(LOWER('Black-Scholes'!$B$11)="put",MAX('Black-Scholes'!$B$6-D4025,0),MAX(D4025-'Black-Scholes'!$B$6,0))</f>
        <v>6.88651767682932</v>
      </c>
    </row>
    <row r="4026" customFormat="false" ht="15" hidden="false" customHeight="false" outlineLevel="0" collapsed="false">
      <c r="A4026" s="0" t="n">
        <v>4015</v>
      </c>
      <c r="B4026" s="15" t="n">
        <v>0.777273209143222</v>
      </c>
      <c r="C4026" s="18" t="n">
        <f aca="false">'Black-Scholes'!$B$5*EXP(('Black-Scholes'!$B$8-'Black-Scholes'!$B$10-'Black-Scholes'!$B$9^2/2)*'Black-Scholes'!$B$7+'Black-Scholes'!$B$9*SQRT('Black-Scholes'!$B$7)*B4026)</f>
        <v>120.376559793056</v>
      </c>
      <c r="D4026" s="18" t="n">
        <f aca="false">'Black-Scholes'!$B$5*EXP(('Black-Scholes'!$B$8-'Black-Scholes'!$B$10-'Black-Scholes'!$B$9^2/2)*'Black-Scholes'!$B$7-'Black-Scholes'!$B$9*SQRT('Black-Scholes'!$B$7)*B4026)</f>
        <v>88.2095773770909</v>
      </c>
      <c r="E4026" s="18" t="n">
        <f aca="false">EXP(-'Black-Scholes'!$B$8*'Black-Scholes'!$B$7)*IF(LOWER('Black-Scholes'!$B$11)="put",MAX('Black-Scholes'!$B$6-C4026,0),MAX(C4026-'Black-Scholes'!$B$6,0))</f>
        <v>19.3827832452531</v>
      </c>
      <c r="F4026" s="18" t="n">
        <f aca="false">(E4026+G4026)/2</f>
        <v>9.69139162262657</v>
      </c>
      <c r="G4026" s="18" t="n">
        <f aca="false">EXP(-'Black-Scholes'!$B$8*'Black-Scholes'!$B$7)*IF(LOWER('Black-Scholes'!$B$11)="put",MAX('Black-Scholes'!$B$6-D4026,0),MAX(D4026-'Black-Scholes'!$B$6,0))</f>
        <v>0</v>
      </c>
    </row>
    <row r="4027" customFormat="false" ht="15" hidden="false" customHeight="false" outlineLevel="0" collapsed="false">
      <c r="A4027" s="0" t="n">
        <v>4016</v>
      </c>
      <c r="B4027" s="15" t="n">
        <v>-0.0697206201833036</v>
      </c>
      <c r="C4027" s="18" t="n">
        <f aca="false">'Black-Scholes'!$B$5*EXP(('Black-Scholes'!$B$8-'Black-Scholes'!$B$10-'Black-Scholes'!$B$9^2/2)*'Black-Scholes'!$B$7+'Black-Scholes'!$B$9*SQRT('Black-Scholes'!$B$7)*B4027)</f>
        <v>101.618546416154</v>
      </c>
      <c r="D4027" s="18" t="n">
        <f aca="false">'Black-Scholes'!$B$5*EXP(('Black-Scholes'!$B$8-'Black-Scholes'!$B$10-'Black-Scholes'!$B$9^2/2)*'Black-Scholes'!$B$7-'Black-Scholes'!$B$9*SQRT('Black-Scholes'!$B$7)*B4027)</f>
        <v>104.492396712394</v>
      </c>
      <c r="E4027" s="18" t="n">
        <f aca="false">EXP(-'Black-Scholes'!$B$8*'Black-Scholes'!$B$7)*IF(LOWER('Black-Scholes'!$B$11)="put",MAX('Black-Scholes'!$B$6-C4027,0),MAX(C4027-'Black-Scholes'!$B$6,0))</f>
        <v>1.53960897596562</v>
      </c>
      <c r="F4027" s="18" t="n">
        <f aca="false">(E4027+G4027)/2</f>
        <v>2.9064544576627</v>
      </c>
      <c r="G4027" s="18" t="n">
        <f aca="false">EXP(-'Black-Scholes'!$B$8*'Black-Scholes'!$B$7)*IF(LOWER('Black-Scholes'!$B$11)="put",MAX('Black-Scholes'!$B$6-D4027,0),MAX(D4027-'Black-Scholes'!$B$6,0))</f>
        <v>4.27329993935977</v>
      </c>
    </row>
    <row r="4028" customFormat="false" ht="15" hidden="false" customHeight="false" outlineLevel="0" collapsed="false">
      <c r="A4028" s="0" t="n">
        <v>4017</v>
      </c>
      <c r="B4028" s="15" t="n">
        <v>-0.377367321615625</v>
      </c>
      <c r="C4028" s="18" t="n">
        <f aca="false">'Black-Scholes'!$B$5*EXP(('Black-Scholes'!$B$8-'Black-Scholes'!$B$10-'Black-Scholes'!$B$9^2/2)*'Black-Scholes'!$B$7+'Black-Scholes'!$B$9*SQRT('Black-Scholes'!$B$7)*B4028)</f>
        <v>95.554495826779</v>
      </c>
      <c r="D4028" s="18" t="n">
        <f aca="false">'Black-Scholes'!$B$5*EXP(('Black-Scholes'!$B$8-'Black-Scholes'!$B$10-'Black-Scholes'!$B$9^2/2)*'Black-Scholes'!$B$7-'Black-Scholes'!$B$9*SQRT('Black-Scholes'!$B$7)*B4028)</f>
        <v>111.123661671582</v>
      </c>
      <c r="E4028" s="18" t="n">
        <f aca="false">EXP(-'Black-Scholes'!$B$8*'Black-Scholes'!$B$7)*IF(LOWER('Black-Scholes'!$B$11)="put",MAX('Black-Scholes'!$B$6-C4028,0),MAX(C4028-'Black-Scholes'!$B$6,0))</f>
        <v>0</v>
      </c>
      <c r="F4028" s="18" t="n">
        <f aca="false">(E4028+G4028)/2</f>
        <v>5.29057714509987</v>
      </c>
      <c r="G4028" s="18" t="n">
        <f aca="false">EXP(-'Black-Scholes'!$B$8*'Black-Scholes'!$B$7)*IF(LOWER('Black-Scholes'!$B$11)="put",MAX('Black-Scholes'!$B$6-D4028,0),MAX(D4028-'Black-Scholes'!$B$6,0))</f>
        <v>10.5811542901997</v>
      </c>
    </row>
    <row r="4029" customFormat="false" ht="15" hidden="false" customHeight="false" outlineLevel="0" collapsed="false">
      <c r="A4029" s="0" t="n">
        <v>4018</v>
      </c>
      <c r="B4029" s="15" t="n">
        <v>0.714777599937328</v>
      </c>
      <c r="C4029" s="18" t="n">
        <f aca="false">'Black-Scholes'!$B$5*EXP(('Black-Scholes'!$B$8-'Black-Scholes'!$B$10-'Black-Scholes'!$B$9^2/2)*'Black-Scholes'!$B$7+'Black-Scholes'!$B$9*SQRT('Black-Scholes'!$B$7)*B4029)</f>
        <v>118.881322548083</v>
      </c>
      <c r="D4029" s="18" t="n">
        <f aca="false">'Black-Scholes'!$B$5*EXP(('Black-Scholes'!$B$8-'Black-Scholes'!$B$10-'Black-Scholes'!$B$9^2/2)*'Black-Scholes'!$B$7-'Black-Scholes'!$B$9*SQRT('Black-Scholes'!$B$7)*B4029)</f>
        <v>89.3190388352122</v>
      </c>
      <c r="E4029" s="18" t="n">
        <f aca="false">EXP(-'Black-Scholes'!$B$8*'Black-Scholes'!$B$7)*IF(LOWER('Black-Scholes'!$B$11)="put",MAX('Black-Scholes'!$B$6-C4029,0),MAX(C4029-'Black-Scholes'!$B$6,0))</f>
        <v>17.9604695812251</v>
      </c>
      <c r="F4029" s="18" t="n">
        <f aca="false">(E4029+G4029)/2</f>
        <v>8.98023479061256</v>
      </c>
      <c r="G4029" s="18" t="n">
        <f aca="false">EXP(-'Black-Scholes'!$B$8*'Black-Scholes'!$B$7)*IF(LOWER('Black-Scholes'!$B$11)="put",MAX('Black-Scholes'!$B$6-D4029,0),MAX(D4029-'Black-Scholes'!$B$6,0))</f>
        <v>0</v>
      </c>
    </row>
    <row r="4030" customFormat="false" ht="15" hidden="false" customHeight="false" outlineLevel="0" collapsed="false">
      <c r="A4030" s="0" t="n">
        <v>4019</v>
      </c>
      <c r="B4030" s="15" t="n">
        <v>-1.51002805338082</v>
      </c>
      <c r="C4030" s="18" t="n">
        <f aca="false">'Black-Scholes'!$B$5*EXP(('Black-Scholes'!$B$8-'Black-Scholes'!$B$10-'Black-Scholes'!$B$9^2/2)*'Black-Scholes'!$B$7+'Black-Scholes'!$B$9*SQRT('Black-Scholes'!$B$7)*B4030)</f>
        <v>76.1849986584286</v>
      </c>
      <c r="D4030" s="18" t="n">
        <f aca="false">'Black-Scholes'!$B$5*EXP(('Black-Scholes'!$B$8-'Black-Scholes'!$B$10-'Black-Scholes'!$B$9^2/2)*'Black-Scholes'!$B$7-'Black-Scholes'!$B$9*SQRT('Black-Scholes'!$B$7)*B4030)</f>
        <v>139.376066843034</v>
      </c>
      <c r="E4030" s="18" t="n">
        <f aca="false">EXP(-'Black-Scholes'!$B$8*'Black-Scholes'!$B$7)*IF(LOWER('Black-Scholes'!$B$11)="put",MAX('Black-Scholes'!$B$6-C4030,0),MAX(C4030-'Black-Scholes'!$B$6,0))</f>
        <v>0</v>
      </c>
      <c r="F4030" s="18" t="n">
        <f aca="false">(E4030+G4030)/2</f>
        <v>18.7278367011004</v>
      </c>
      <c r="G4030" s="18" t="n">
        <f aca="false">EXP(-'Black-Scholes'!$B$8*'Black-Scholes'!$B$7)*IF(LOWER('Black-Scholes'!$B$11)="put",MAX('Black-Scholes'!$B$6-D4030,0),MAX(D4030-'Black-Scholes'!$B$6,0))</f>
        <v>37.4556734022008</v>
      </c>
    </row>
    <row r="4031" customFormat="false" ht="15" hidden="false" customHeight="false" outlineLevel="0" collapsed="false">
      <c r="A4031" s="0" t="n">
        <v>4020</v>
      </c>
      <c r="B4031" s="15" t="n">
        <v>-1.0564930547766</v>
      </c>
      <c r="C4031" s="18" t="n">
        <f aca="false">'Black-Scholes'!$B$5*EXP(('Black-Scholes'!$B$8-'Black-Scholes'!$B$10-'Black-Scholes'!$B$9^2/2)*'Black-Scholes'!$B$7+'Black-Scholes'!$B$9*SQRT('Black-Scholes'!$B$7)*B4031)</f>
        <v>83.418622435515</v>
      </c>
      <c r="D4031" s="18" t="n">
        <f aca="false">'Black-Scholes'!$B$5*EXP(('Black-Scholes'!$B$8-'Black-Scholes'!$B$10-'Black-Scholes'!$B$9^2/2)*'Black-Scholes'!$B$7-'Black-Scholes'!$B$9*SQRT('Black-Scholes'!$B$7)*B4031)</f>
        <v>127.290108077029</v>
      </c>
      <c r="E4031" s="18" t="n">
        <f aca="false">EXP(-'Black-Scholes'!$B$8*'Black-Scholes'!$B$7)*IF(LOWER('Black-Scholes'!$B$11)="put",MAX('Black-Scholes'!$B$6-C4031,0),MAX(C4031-'Black-Scholes'!$B$6,0))</f>
        <v>0</v>
      </c>
      <c r="F4031" s="18" t="n">
        <f aca="false">(E4031+G4031)/2</f>
        <v>12.9795769003374</v>
      </c>
      <c r="G4031" s="18" t="n">
        <f aca="false">EXP(-'Black-Scholes'!$B$8*'Black-Scholes'!$B$7)*IF(LOWER('Black-Scholes'!$B$11)="put",MAX('Black-Scholes'!$B$6-D4031,0),MAX(D4031-'Black-Scholes'!$B$6,0))</f>
        <v>25.9591538006748</v>
      </c>
    </row>
    <row r="4032" customFormat="false" ht="15" hidden="false" customHeight="false" outlineLevel="0" collapsed="false">
      <c r="A4032" s="0" t="n">
        <v>4021</v>
      </c>
      <c r="B4032" s="15" t="n">
        <v>0.667995550660354</v>
      </c>
      <c r="C4032" s="18" t="n">
        <f aca="false">'Black-Scholes'!$B$5*EXP(('Black-Scholes'!$B$8-'Black-Scholes'!$B$10-'Black-Scholes'!$B$9^2/2)*'Black-Scholes'!$B$7+'Black-Scholes'!$B$9*SQRT('Black-Scholes'!$B$7)*B4032)</f>
        <v>117.77420755759</v>
      </c>
      <c r="D4032" s="18" t="n">
        <f aca="false">'Black-Scholes'!$B$5*EXP(('Black-Scholes'!$B$8-'Black-Scholes'!$B$10-'Black-Scholes'!$B$9^2/2)*'Black-Scholes'!$B$7-'Black-Scholes'!$B$9*SQRT('Black-Scholes'!$B$7)*B4032)</f>
        <v>90.158666194051</v>
      </c>
      <c r="E4032" s="18" t="n">
        <f aca="false">EXP(-'Black-Scholes'!$B$8*'Black-Scholes'!$B$7)*IF(LOWER('Black-Scholes'!$B$11)="put",MAX('Black-Scholes'!$B$6-C4032,0),MAX(C4032-'Black-Scholes'!$B$6,0))</f>
        <v>16.9073492259622</v>
      </c>
      <c r="F4032" s="18" t="n">
        <f aca="false">(E4032+G4032)/2</f>
        <v>8.45367461298109</v>
      </c>
      <c r="G4032" s="18" t="n">
        <f aca="false">EXP(-'Black-Scholes'!$B$8*'Black-Scholes'!$B$7)*IF(LOWER('Black-Scholes'!$B$11)="put",MAX('Black-Scholes'!$B$6-D4032,0),MAX(D4032-'Black-Scholes'!$B$6,0))</f>
        <v>0</v>
      </c>
    </row>
    <row r="4033" customFormat="false" ht="15" hidden="false" customHeight="false" outlineLevel="0" collapsed="false">
      <c r="A4033" s="0" t="n">
        <v>4022</v>
      </c>
      <c r="B4033" s="15" t="n">
        <v>0.0944873390521187</v>
      </c>
      <c r="C4033" s="18" t="n">
        <f aca="false">'Black-Scholes'!$B$5*EXP(('Black-Scholes'!$B$8-'Black-Scholes'!$B$10-'Black-Scholes'!$B$9^2/2)*'Black-Scholes'!$B$7+'Black-Scholes'!$B$9*SQRT('Black-Scholes'!$B$7)*B4033)</f>
        <v>105.011267486815</v>
      </c>
      <c r="D4033" s="18" t="n">
        <f aca="false">'Black-Scholes'!$B$5*EXP(('Black-Scholes'!$B$8-'Black-Scholes'!$B$10-'Black-Scholes'!$B$9^2/2)*'Black-Scholes'!$B$7-'Black-Scholes'!$B$9*SQRT('Black-Scholes'!$B$7)*B4033)</f>
        <v>101.116439402913</v>
      </c>
      <c r="E4033" s="18" t="n">
        <f aca="false">EXP(-'Black-Scholes'!$B$8*'Black-Scholes'!$B$7)*IF(LOWER('Black-Scholes'!$B$11)="put",MAX('Black-Scholes'!$B$6-C4033,0),MAX(C4033-'Black-Scholes'!$B$6,0))</f>
        <v>4.7668650875017</v>
      </c>
      <c r="F4033" s="18" t="n">
        <f aca="false">(E4033+G4033)/2</f>
        <v>2.91442754911241</v>
      </c>
      <c r="G4033" s="18" t="n">
        <f aca="false">EXP(-'Black-Scholes'!$B$8*'Black-Scholes'!$B$7)*IF(LOWER('Black-Scholes'!$B$11)="put",MAX('Black-Scholes'!$B$6-D4033,0),MAX(D4033-'Black-Scholes'!$B$6,0))</f>
        <v>1.06199001072313</v>
      </c>
    </row>
    <row r="4034" customFormat="false" ht="15" hidden="false" customHeight="false" outlineLevel="0" collapsed="false">
      <c r="A4034" s="0" t="n">
        <v>4023</v>
      </c>
      <c r="B4034" s="15" t="n">
        <v>0.121496256419403</v>
      </c>
      <c r="C4034" s="18" t="n">
        <f aca="false">'Black-Scholes'!$B$5*EXP(('Black-Scholes'!$B$8-'Black-Scholes'!$B$10-'Black-Scholes'!$B$9^2/2)*'Black-Scholes'!$B$7+'Black-Scholes'!$B$9*SQRT('Black-Scholes'!$B$7)*B4034)</f>
        <v>105.580050454213</v>
      </c>
      <c r="D4034" s="18" t="n">
        <f aca="false">'Black-Scholes'!$B$5*EXP(('Black-Scholes'!$B$8-'Black-Scholes'!$B$10-'Black-Scholes'!$B$9^2/2)*'Black-Scholes'!$B$7-'Black-Scholes'!$B$9*SQRT('Black-Scholes'!$B$7)*B4034)</f>
        <v>100.57170289058</v>
      </c>
      <c r="E4034" s="18" t="n">
        <f aca="false">EXP(-'Black-Scholes'!$B$8*'Black-Scholes'!$B$7)*IF(LOWER('Black-Scholes'!$B$11)="put",MAX('Black-Scholes'!$B$6-C4034,0),MAX(C4034-'Black-Scholes'!$B$6,0))</f>
        <v>5.3079081822461</v>
      </c>
      <c r="F4034" s="18" t="n">
        <f aca="false">(E4034+G4034)/2</f>
        <v>2.92586439691907</v>
      </c>
      <c r="G4034" s="18" t="n">
        <f aca="false">EXP(-'Black-Scholes'!$B$8*'Black-Scholes'!$B$7)*IF(LOWER('Black-Scholes'!$B$11)="put",MAX('Black-Scholes'!$B$6-D4034,0),MAX(D4034-'Black-Scholes'!$B$6,0))</f>
        <v>0.543820611592051</v>
      </c>
    </row>
    <row r="4035" customFormat="false" ht="15" hidden="false" customHeight="false" outlineLevel="0" collapsed="false">
      <c r="A4035" s="0" t="n">
        <v>4024</v>
      </c>
      <c r="B4035" s="15" t="n">
        <v>-0.356279933647874</v>
      </c>
      <c r="C4035" s="18" t="n">
        <f aca="false">'Black-Scholes'!$B$5*EXP(('Black-Scholes'!$B$8-'Black-Scholes'!$B$10-'Black-Scholes'!$B$9^2/2)*'Black-Scholes'!$B$7+'Black-Scholes'!$B$9*SQRT('Black-Scholes'!$B$7)*B4035)</f>
        <v>95.958345787361</v>
      </c>
      <c r="D4035" s="18" t="n">
        <f aca="false">'Black-Scholes'!$B$5*EXP(('Black-Scholes'!$B$8-'Black-Scholes'!$B$10-'Black-Scholes'!$B$9^2/2)*'Black-Scholes'!$B$7-'Black-Scholes'!$B$9*SQRT('Black-Scholes'!$B$7)*B4035)</f>
        <v>110.655987015276</v>
      </c>
      <c r="E4035" s="18" t="n">
        <f aca="false">EXP(-'Black-Scholes'!$B$8*'Black-Scholes'!$B$7)*IF(LOWER('Black-Scholes'!$B$11)="put",MAX('Black-Scholes'!$B$6-C4035,0),MAX(C4035-'Black-Scholes'!$B$6,0))</f>
        <v>0</v>
      </c>
      <c r="F4035" s="18" t="n">
        <f aca="false">(E4035+G4035)/2</f>
        <v>5.06814419801411</v>
      </c>
      <c r="G4035" s="18" t="n">
        <f aca="false">EXP(-'Black-Scholes'!$B$8*'Black-Scholes'!$B$7)*IF(LOWER('Black-Scholes'!$B$11)="put",MAX('Black-Scholes'!$B$6-D4035,0),MAX(D4035-'Black-Scholes'!$B$6,0))</f>
        <v>10.1362883960282</v>
      </c>
    </row>
    <row r="4036" customFormat="false" ht="15" hidden="false" customHeight="false" outlineLevel="0" collapsed="false">
      <c r="A4036" s="0" t="n">
        <v>4025</v>
      </c>
      <c r="B4036" s="15" t="n">
        <v>-0.857130659788552</v>
      </c>
      <c r="C4036" s="18" t="n">
        <f aca="false">'Black-Scholes'!$B$5*EXP(('Black-Scholes'!$B$8-'Black-Scholes'!$B$10-'Black-Scholes'!$B$9^2/2)*'Black-Scholes'!$B$7+'Black-Scholes'!$B$9*SQRT('Black-Scholes'!$B$7)*B4036)</f>
        <v>86.8119299489636</v>
      </c>
      <c r="D4036" s="18" t="n">
        <f aca="false">'Black-Scholes'!$B$5*EXP(('Black-Scholes'!$B$8-'Black-Scholes'!$B$10-'Black-Scholes'!$B$9^2/2)*'Black-Scholes'!$B$7-'Black-Scholes'!$B$9*SQRT('Black-Scholes'!$B$7)*B4036)</f>
        <v>122.314588233393</v>
      </c>
      <c r="E4036" s="18" t="n">
        <f aca="false">EXP(-'Black-Scholes'!$B$8*'Black-Scholes'!$B$7)*IF(LOWER('Black-Scholes'!$B$11)="put",MAX('Black-Scholes'!$B$6-C4036,0),MAX(C4036-'Black-Scholes'!$B$6,0))</f>
        <v>0</v>
      </c>
      <c r="F4036" s="18" t="n">
        <f aca="false">(E4036+G4036)/2</f>
        <v>10.6131464616102</v>
      </c>
      <c r="G4036" s="18" t="n">
        <f aca="false">EXP(-'Black-Scholes'!$B$8*'Black-Scholes'!$B$7)*IF(LOWER('Black-Scholes'!$B$11)="put",MAX('Black-Scholes'!$B$6-D4036,0),MAX(D4036-'Black-Scholes'!$B$6,0))</f>
        <v>21.2262929232204</v>
      </c>
    </row>
    <row r="4037" customFormat="false" ht="15" hidden="false" customHeight="false" outlineLevel="0" collapsed="false">
      <c r="A4037" s="0" t="n">
        <v>4026</v>
      </c>
      <c r="B4037" s="15" t="n">
        <v>0.461826094330958</v>
      </c>
      <c r="C4037" s="18" t="n">
        <f aca="false">'Black-Scholes'!$B$5*EXP(('Black-Scholes'!$B$8-'Black-Scholes'!$B$10-'Black-Scholes'!$B$9^2/2)*'Black-Scholes'!$B$7+'Black-Scholes'!$B$9*SQRT('Black-Scholes'!$B$7)*B4037)</f>
        <v>113.016678464764</v>
      </c>
      <c r="D4037" s="18" t="n">
        <f aca="false">'Black-Scholes'!$B$5*EXP(('Black-Scholes'!$B$8-'Black-Scholes'!$B$10-'Black-Scholes'!$B$9^2/2)*'Black-Scholes'!$B$7-'Black-Scholes'!$B$9*SQRT('Black-Scholes'!$B$7)*B4037)</f>
        <v>93.9539686504247</v>
      </c>
      <c r="E4037" s="18" t="n">
        <f aca="false">EXP(-'Black-Scholes'!$B$8*'Black-Scholes'!$B$7)*IF(LOWER('Black-Scholes'!$B$11)="put",MAX('Black-Scholes'!$B$6-C4037,0),MAX(C4037-'Black-Scholes'!$B$6,0))</f>
        <v>12.3818475649486</v>
      </c>
      <c r="F4037" s="18" t="n">
        <f aca="false">(E4037+G4037)/2</f>
        <v>6.19092378247432</v>
      </c>
      <c r="G4037" s="18" t="n">
        <f aca="false">EXP(-'Black-Scholes'!$B$8*'Black-Scholes'!$B$7)*IF(LOWER('Black-Scholes'!$B$11)="put",MAX('Black-Scholes'!$B$6-D4037,0),MAX(D4037-'Black-Scholes'!$B$6,0))</f>
        <v>0</v>
      </c>
    </row>
    <row r="4038" customFormat="false" ht="15" hidden="false" customHeight="false" outlineLevel="0" collapsed="false">
      <c r="A4038" s="0" t="n">
        <v>4027</v>
      </c>
      <c r="B4038" s="15" t="n">
        <v>0.418536415427717</v>
      </c>
      <c r="C4038" s="18" t="n">
        <f aca="false">'Black-Scholes'!$B$5*EXP(('Black-Scholes'!$B$8-'Black-Scholes'!$B$10-'Black-Scholes'!$B$9^2/2)*'Black-Scholes'!$B$7+'Black-Scholes'!$B$9*SQRT('Black-Scholes'!$B$7)*B4038)</f>
        <v>112.042410979041</v>
      </c>
      <c r="D4038" s="18" t="n">
        <f aca="false">'Black-Scholes'!$B$5*EXP(('Black-Scholes'!$B$8-'Black-Scholes'!$B$10-'Black-Scholes'!$B$9^2/2)*'Black-Scholes'!$B$7-'Black-Scholes'!$B$9*SQRT('Black-Scholes'!$B$7)*B4038)</f>
        <v>94.7709476498135</v>
      </c>
      <c r="E4038" s="18" t="n">
        <f aca="false">EXP(-'Black-Scholes'!$B$8*'Black-Scholes'!$B$7)*IF(LOWER('Black-Scholes'!$B$11)="put",MAX('Black-Scholes'!$B$6-C4038,0),MAX(C4038-'Black-Scholes'!$B$6,0))</f>
        <v>11.4550956651944</v>
      </c>
      <c r="F4038" s="18" t="n">
        <f aca="false">(E4038+G4038)/2</f>
        <v>5.72754783259719</v>
      </c>
      <c r="G4038" s="18" t="n">
        <f aca="false">EXP(-'Black-Scholes'!$B$8*'Black-Scholes'!$B$7)*IF(LOWER('Black-Scholes'!$B$11)="put",MAX('Black-Scholes'!$B$6-D4038,0),MAX(D4038-'Black-Scholes'!$B$6,0))</f>
        <v>0</v>
      </c>
    </row>
    <row r="4039" customFormat="false" ht="15" hidden="false" customHeight="false" outlineLevel="0" collapsed="false">
      <c r="A4039" s="0" t="n">
        <v>4028</v>
      </c>
      <c r="B4039" s="15" t="n">
        <v>0.671600584516493</v>
      </c>
      <c r="C4039" s="18" t="n">
        <f aca="false">'Black-Scholes'!$B$5*EXP(('Black-Scholes'!$B$8-'Black-Scholes'!$B$10-'Black-Scholes'!$B$9^2/2)*'Black-Scholes'!$B$7+'Black-Scholes'!$B$9*SQRT('Black-Scholes'!$B$7)*B4039)</f>
        <v>117.859154178579</v>
      </c>
      <c r="D4039" s="18" t="n">
        <f aca="false">'Black-Scholes'!$B$5*EXP(('Black-Scholes'!$B$8-'Black-Scholes'!$B$10-'Black-Scholes'!$B$9^2/2)*'Black-Scholes'!$B$7-'Black-Scholes'!$B$9*SQRT('Black-Scholes'!$B$7)*B4039)</f>
        <v>90.0936846141348</v>
      </c>
      <c r="E4039" s="18" t="n">
        <f aca="false">EXP(-'Black-Scholes'!$B$8*'Black-Scholes'!$B$7)*IF(LOWER('Black-Scholes'!$B$11)="put",MAX('Black-Scholes'!$B$6-C4039,0),MAX(C4039-'Black-Scholes'!$B$6,0))</f>
        <v>16.9881529513593</v>
      </c>
      <c r="F4039" s="18" t="n">
        <f aca="false">(E4039+G4039)/2</f>
        <v>8.49407647567966</v>
      </c>
      <c r="G4039" s="18" t="n">
        <f aca="false">EXP(-'Black-Scholes'!$B$8*'Black-Scholes'!$B$7)*IF(LOWER('Black-Scholes'!$B$11)="put",MAX('Black-Scholes'!$B$6-D4039,0),MAX(D4039-'Black-Scholes'!$B$6,0))</f>
        <v>0</v>
      </c>
    </row>
    <row r="4040" customFormat="false" ht="15" hidden="false" customHeight="false" outlineLevel="0" collapsed="false">
      <c r="A4040" s="0" t="n">
        <v>4029</v>
      </c>
      <c r="B4040" s="15" t="n">
        <v>-0.446701677799035</v>
      </c>
      <c r="C4040" s="18" t="n">
        <f aca="false">'Black-Scholes'!$B$5*EXP(('Black-Scholes'!$B$8-'Black-Scholes'!$B$10-'Black-Scholes'!$B$9^2/2)*'Black-Scholes'!$B$7+'Black-Scholes'!$B$9*SQRT('Black-Scholes'!$B$7)*B4040)</f>
        <v>94.238598711095</v>
      </c>
      <c r="D4040" s="18" t="n">
        <f aca="false">'Black-Scholes'!$B$5*EXP(('Black-Scholes'!$B$8-'Black-Scholes'!$B$10-'Black-Scholes'!$B$9^2/2)*'Black-Scholes'!$B$7-'Black-Scholes'!$B$9*SQRT('Black-Scholes'!$B$7)*B4040)</f>
        <v>112.67533272652</v>
      </c>
      <c r="E4040" s="18" t="n">
        <f aca="false">EXP(-'Black-Scholes'!$B$8*'Black-Scholes'!$B$7)*IF(LOWER('Black-Scholes'!$B$11)="put",MAX('Black-Scholes'!$B$6-C4040,0),MAX(C4040-'Black-Scholes'!$B$6,0))</f>
        <v>0</v>
      </c>
      <c r="F4040" s="18" t="n">
        <f aca="false">(E4040+G4040)/2</f>
        <v>6.02857472740119</v>
      </c>
      <c r="G4040" s="18" t="n">
        <f aca="false">EXP(-'Black-Scholes'!$B$8*'Black-Scholes'!$B$7)*IF(LOWER('Black-Scholes'!$B$11)="put",MAX('Black-Scholes'!$B$6-D4040,0),MAX(D4040-'Black-Scholes'!$B$6,0))</f>
        <v>12.0571494548024</v>
      </c>
    </row>
    <row r="4041" customFormat="false" ht="15" hidden="false" customHeight="false" outlineLevel="0" collapsed="false">
      <c r="A4041" s="0" t="n">
        <v>4030</v>
      </c>
      <c r="B4041" s="15" t="n">
        <v>0.350125211176144</v>
      </c>
      <c r="C4041" s="18" t="n">
        <f aca="false">'Black-Scholes'!$B$5*EXP(('Black-Scholes'!$B$8-'Black-Scholes'!$B$10-'Black-Scholes'!$B$9^2/2)*'Black-Scholes'!$B$7+'Black-Scholes'!$B$9*SQRT('Black-Scholes'!$B$7)*B4041)</f>
        <v>110.519859437228</v>
      </c>
      <c r="D4041" s="18" t="n">
        <f aca="false">'Black-Scholes'!$B$5*EXP(('Black-Scholes'!$B$8-'Black-Scholes'!$B$10-'Black-Scholes'!$B$9^2/2)*'Black-Scholes'!$B$7-'Black-Scholes'!$B$9*SQRT('Black-Scholes'!$B$7)*B4041)</f>
        <v>96.0765379138442</v>
      </c>
      <c r="E4041" s="18" t="n">
        <f aca="false">EXP(-'Black-Scholes'!$B$8*'Black-Scholes'!$B$7)*IF(LOWER('Black-Scholes'!$B$11)="put",MAX('Black-Scholes'!$B$6-C4041,0),MAX(C4041-'Black-Scholes'!$B$6,0))</f>
        <v>10.006799838303</v>
      </c>
      <c r="F4041" s="18" t="n">
        <f aca="false">(E4041+G4041)/2</f>
        <v>5.00339991915152</v>
      </c>
      <c r="G4041" s="18" t="n">
        <f aca="false">EXP(-'Black-Scholes'!$B$8*'Black-Scholes'!$B$7)*IF(LOWER('Black-Scholes'!$B$11)="put",MAX('Black-Scholes'!$B$6-D4041,0),MAX(D4041-'Black-Scholes'!$B$6,0))</f>
        <v>0</v>
      </c>
    </row>
    <row r="4042" customFormat="false" ht="15" hidden="false" customHeight="false" outlineLevel="0" collapsed="false">
      <c r="A4042" s="0" t="n">
        <v>4031</v>
      </c>
      <c r="B4042" s="15" t="n">
        <v>-1.29533191468586</v>
      </c>
      <c r="C4042" s="18" t="n">
        <f aca="false">'Black-Scholes'!$B$5*EXP(('Black-Scholes'!$B$8-'Black-Scholes'!$B$10-'Black-Scholes'!$B$9^2/2)*'Black-Scholes'!$B$7+'Black-Scholes'!$B$9*SQRT('Black-Scholes'!$B$7)*B4042)</f>
        <v>79.5275739013369</v>
      </c>
      <c r="D4042" s="18" t="n">
        <f aca="false">'Black-Scholes'!$B$5*EXP(('Black-Scholes'!$B$8-'Black-Scholes'!$B$10-'Black-Scholes'!$B$9^2/2)*'Black-Scholes'!$B$7-'Black-Scholes'!$B$9*SQRT('Black-Scholes'!$B$7)*B4042)</f>
        <v>133.518035878058</v>
      </c>
      <c r="E4042" s="18" t="n">
        <f aca="false">EXP(-'Black-Scholes'!$B$8*'Black-Scholes'!$B$7)*IF(LOWER('Black-Scholes'!$B$11)="put",MAX('Black-Scholes'!$B$6-C4042,0),MAX(C4042-'Black-Scholes'!$B$6,0))</f>
        <v>0</v>
      </c>
      <c r="F4042" s="18" t="n">
        <f aca="false">(E4042+G4042)/2</f>
        <v>15.9416709893396</v>
      </c>
      <c r="G4042" s="18" t="n">
        <f aca="false">EXP(-'Black-Scholes'!$B$8*'Black-Scholes'!$B$7)*IF(LOWER('Black-Scholes'!$B$11)="put",MAX('Black-Scholes'!$B$6-D4042,0),MAX(D4042-'Black-Scholes'!$B$6,0))</f>
        <v>31.8833419786792</v>
      </c>
    </row>
    <row r="4043" customFormat="false" ht="15" hidden="false" customHeight="false" outlineLevel="0" collapsed="false">
      <c r="A4043" s="0" t="n">
        <v>4032</v>
      </c>
      <c r="B4043" s="15" t="n">
        <v>-1.30726751539844</v>
      </c>
      <c r="C4043" s="18" t="n">
        <f aca="false">'Black-Scholes'!$B$5*EXP(('Black-Scholes'!$B$8-'Black-Scholes'!$B$10-'Black-Scholes'!$B$9^2/2)*'Black-Scholes'!$B$7+'Black-Scholes'!$B$9*SQRT('Black-Scholes'!$B$7)*B4043)</f>
        <v>79.337958435282</v>
      </c>
      <c r="D4043" s="18" t="n">
        <f aca="false">'Black-Scholes'!$B$5*EXP(('Black-Scholes'!$B$8-'Black-Scholes'!$B$10-'Black-Scholes'!$B$9^2/2)*'Black-Scholes'!$B$7-'Black-Scholes'!$B$9*SQRT('Black-Scholes'!$B$7)*B4043)</f>
        <v>133.837140189526</v>
      </c>
      <c r="E4043" s="18" t="n">
        <f aca="false">EXP(-'Black-Scholes'!$B$8*'Black-Scholes'!$B$7)*IF(LOWER('Black-Scholes'!$B$11)="put",MAX('Black-Scholes'!$B$6-C4043,0),MAX(C4043-'Black-Scholes'!$B$6,0))</f>
        <v>0</v>
      </c>
      <c r="F4043" s="18" t="n">
        <f aca="false">(E4043+G4043)/2</f>
        <v>16.0934416946162</v>
      </c>
      <c r="G4043" s="18" t="n">
        <f aca="false">EXP(-'Black-Scholes'!$B$8*'Black-Scholes'!$B$7)*IF(LOWER('Black-Scholes'!$B$11)="put",MAX('Black-Scholes'!$B$6-D4043,0),MAX(D4043-'Black-Scholes'!$B$6,0))</f>
        <v>32.1868833892324</v>
      </c>
    </row>
    <row r="4044" customFormat="false" ht="15" hidden="false" customHeight="false" outlineLevel="0" collapsed="false">
      <c r="A4044" s="0" t="n">
        <v>4033</v>
      </c>
      <c r="B4044" s="15" t="n">
        <v>-0.485178793754888</v>
      </c>
      <c r="C4044" s="18" t="n">
        <f aca="false">'Black-Scholes'!$B$5*EXP(('Black-Scholes'!$B$8-'Black-Scholes'!$B$10-'Black-Scholes'!$B$9^2/2)*'Black-Scholes'!$B$7+'Black-Scholes'!$B$9*SQRT('Black-Scholes'!$B$7)*B4044)</f>
        <v>93.5161760522361</v>
      </c>
      <c r="D4044" s="18" t="n">
        <f aca="false">'Black-Scholes'!$B$5*EXP(('Black-Scholes'!$B$8-'Black-Scholes'!$B$10-'Black-Scholes'!$B$9^2/2)*'Black-Scholes'!$B$7-'Black-Scholes'!$B$9*SQRT('Black-Scholes'!$B$7)*B4044)</f>
        <v>113.545761960181</v>
      </c>
      <c r="E4044" s="18" t="n">
        <f aca="false">EXP(-'Black-Scholes'!$B$8*'Black-Scholes'!$B$7)*IF(LOWER('Black-Scholes'!$B$11)="put",MAX('Black-Scholes'!$B$6-C4044,0),MAX(C4044-'Black-Scholes'!$B$6,0))</f>
        <v>0</v>
      </c>
      <c r="F4044" s="18" t="n">
        <f aca="false">(E4044+G4044)/2</f>
        <v>6.4425636769034</v>
      </c>
      <c r="G4044" s="18" t="n">
        <f aca="false">EXP(-'Black-Scholes'!$B$8*'Black-Scholes'!$B$7)*IF(LOWER('Black-Scholes'!$B$11)="put",MAX('Black-Scholes'!$B$6-D4044,0),MAX(D4044-'Black-Scholes'!$B$6,0))</f>
        <v>12.8851273538068</v>
      </c>
    </row>
    <row r="4045" customFormat="false" ht="15" hidden="false" customHeight="false" outlineLevel="0" collapsed="false">
      <c r="A4045" s="0" t="n">
        <v>4034</v>
      </c>
      <c r="B4045" s="15" t="n">
        <v>-0.322672446208171</v>
      </c>
      <c r="C4045" s="18" t="n">
        <f aca="false">'Black-Scholes'!$B$5*EXP(('Black-Scholes'!$B$8-'Black-Scholes'!$B$10-'Black-Scholes'!$B$9^2/2)*'Black-Scholes'!$B$7+'Black-Scholes'!$B$9*SQRT('Black-Scholes'!$B$7)*B4045)</f>
        <v>96.6055020606882</v>
      </c>
      <c r="D4045" s="18" t="n">
        <f aca="false">'Black-Scholes'!$B$5*EXP(('Black-Scholes'!$B$8-'Black-Scholes'!$B$10-'Black-Scholes'!$B$9^2/2)*'Black-Scholes'!$B$7-'Black-Scholes'!$B$9*SQRT('Black-Scholes'!$B$7)*B4045)</f>
        <v>109.914707122821</v>
      </c>
      <c r="E4045" s="18" t="n">
        <f aca="false">EXP(-'Black-Scholes'!$B$8*'Black-Scholes'!$B$7)*IF(LOWER('Black-Scholes'!$B$11)="put",MAX('Black-Scholes'!$B$6-C4045,0),MAX(C4045-'Black-Scholes'!$B$6,0))</f>
        <v>0</v>
      </c>
      <c r="F4045" s="18" t="n">
        <f aca="false">(E4045+G4045)/2</f>
        <v>4.71558057526692</v>
      </c>
      <c r="G4045" s="18" t="n">
        <f aca="false">EXP(-'Black-Scholes'!$B$8*'Black-Scholes'!$B$7)*IF(LOWER('Black-Scholes'!$B$11)="put",MAX('Black-Scholes'!$B$6-D4045,0),MAX(D4045-'Black-Scholes'!$B$6,0))</f>
        <v>9.43116115053384</v>
      </c>
    </row>
    <row r="4046" customFormat="false" ht="15" hidden="false" customHeight="false" outlineLevel="0" collapsed="false">
      <c r="A4046" s="0" t="n">
        <v>4035</v>
      </c>
      <c r="B4046" s="15" t="n">
        <v>-0.343120522488157</v>
      </c>
      <c r="C4046" s="18" t="n">
        <f aca="false">'Black-Scholes'!$B$5*EXP(('Black-Scholes'!$B$8-'Black-Scholes'!$B$10-'Black-Scholes'!$B$9^2/2)*'Black-Scholes'!$B$7+'Black-Scholes'!$B$9*SQRT('Black-Scholes'!$B$7)*B4046)</f>
        <v>96.21122948673</v>
      </c>
      <c r="D4046" s="18" t="n">
        <f aca="false">'Black-Scholes'!$B$5*EXP(('Black-Scholes'!$B$8-'Black-Scholes'!$B$10-'Black-Scholes'!$B$9^2/2)*'Black-Scholes'!$B$7-'Black-Scholes'!$B$9*SQRT('Black-Scholes'!$B$7)*B4046)</f>
        <v>110.365136399365</v>
      </c>
      <c r="E4046" s="18" t="n">
        <f aca="false">EXP(-'Black-Scholes'!$B$8*'Black-Scholes'!$B$7)*IF(LOWER('Black-Scholes'!$B$11)="put",MAX('Black-Scholes'!$B$6-C4046,0),MAX(C4046-'Black-Scholes'!$B$6,0))</f>
        <v>0</v>
      </c>
      <c r="F4046" s="18" t="n">
        <f aca="false">(E4046+G4046)/2</f>
        <v>4.92981136601984</v>
      </c>
      <c r="G4046" s="18" t="n">
        <f aca="false">EXP(-'Black-Scholes'!$B$8*'Black-Scholes'!$B$7)*IF(LOWER('Black-Scholes'!$B$11)="put",MAX('Black-Scholes'!$B$6-D4046,0),MAX(D4046-'Black-Scholes'!$B$6,0))</f>
        <v>9.85962273203967</v>
      </c>
    </row>
    <row r="4047" customFormat="false" ht="15" hidden="false" customHeight="false" outlineLevel="0" collapsed="false">
      <c r="A4047" s="0" t="n">
        <v>4036</v>
      </c>
      <c r="B4047" s="15" t="n">
        <v>0.158247705169157</v>
      </c>
      <c r="C4047" s="18" t="n">
        <f aca="false">'Black-Scholes'!$B$5*EXP(('Black-Scholes'!$B$8-'Black-Scholes'!$B$10-'Black-Scholes'!$B$9^2/2)*'Black-Scholes'!$B$7+'Black-Scholes'!$B$9*SQRT('Black-Scholes'!$B$7)*B4047)</f>
        <v>106.358953491574</v>
      </c>
      <c r="D4047" s="18" t="n">
        <f aca="false">'Black-Scholes'!$B$5*EXP(('Black-Scholes'!$B$8-'Black-Scholes'!$B$10-'Black-Scholes'!$B$9^2/2)*'Black-Scholes'!$B$7-'Black-Scholes'!$B$9*SQRT('Black-Scholes'!$B$7)*B4047)</f>
        <v>99.8351818711225</v>
      </c>
      <c r="E4047" s="18" t="n">
        <f aca="false">EXP(-'Black-Scholes'!$B$8*'Black-Scholes'!$B$7)*IF(LOWER('Black-Scholes'!$B$11)="put",MAX('Black-Scholes'!$B$6-C4047,0),MAX(C4047-'Black-Scholes'!$B$6,0))</f>
        <v>6.04882367021715</v>
      </c>
      <c r="F4047" s="18" t="n">
        <f aca="false">(E4047+G4047)/2</f>
        <v>3.02441183510857</v>
      </c>
      <c r="G4047" s="18" t="n">
        <f aca="false">EXP(-'Black-Scholes'!$B$8*'Black-Scholes'!$B$7)*IF(LOWER('Black-Scholes'!$B$11)="put",MAX('Black-Scholes'!$B$6-D4047,0),MAX(D4047-'Black-Scholes'!$B$6,0))</f>
        <v>0</v>
      </c>
    </row>
    <row r="4048" customFormat="false" ht="15" hidden="false" customHeight="false" outlineLevel="0" collapsed="false">
      <c r="A4048" s="0" t="n">
        <v>4037</v>
      </c>
      <c r="B4048" s="15" t="n">
        <v>1.25848111581772</v>
      </c>
      <c r="C4048" s="18" t="n">
        <f aca="false">'Black-Scholes'!$B$5*EXP(('Black-Scholes'!$B$8-'Black-Scholes'!$B$10-'Black-Scholes'!$B$9^2/2)*'Black-Scholes'!$B$7+'Black-Scholes'!$B$9*SQRT('Black-Scholes'!$B$7)*B4048)</f>
        <v>132.537604028687</v>
      </c>
      <c r="D4048" s="18" t="n">
        <f aca="false">'Black-Scholes'!$B$5*EXP(('Black-Scholes'!$B$8-'Black-Scholes'!$B$10-'Black-Scholes'!$B$9^2/2)*'Black-Scholes'!$B$7-'Black-Scholes'!$B$9*SQRT('Black-Scholes'!$B$7)*B4048)</f>
        <v>80.1158700828429</v>
      </c>
      <c r="E4048" s="18" t="n">
        <f aca="false">EXP(-'Black-Scholes'!$B$8*'Black-Scholes'!$B$7)*IF(LOWER('Black-Scholes'!$B$11)="put",MAX('Black-Scholes'!$B$6-C4048,0),MAX(C4048-'Black-Scholes'!$B$6,0))</f>
        <v>30.9507263548404</v>
      </c>
      <c r="F4048" s="18" t="n">
        <f aca="false">(E4048+G4048)/2</f>
        <v>15.4753631774202</v>
      </c>
      <c r="G4048" s="18" t="n">
        <f aca="false">EXP(-'Black-Scholes'!$B$8*'Black-Scholes'!$B$7)*IF(LOWER('Black-Scholes'!$B$11)="put",MAX('Black-Scholes'!$B$6-D4048,0),MAX(D4048-'Black-Scholes'!$B$6,0))</f>
        <v>0</v>
      </c>
    </row>
    <row r="4049" customFormat="false" ht="15" hidden="false" customHeight="false" outlineLevel="0" collapsed="false">
      <c r="A4049" s="0" t="n">
        <v>4038</v>
      </c>
      <c r="B4049" s="15" t="n">
        <v>1.51673340110664</v>
      </c>
      <c r="C4049" s="18" t="n">
        <f aca="false">'Black-Scholes'!$B$5*EXP(('Black-Scholes'!$B$8-'Black-Scholes'!$B$10-'Black-Scholes'!$B$9^2/2)*'Black-Scholes'!$B$7+'Black-Scholes'!$B$9*SQRT('Black-Scholes'!$B$7)*B4049)</f>
        <v>139.563105229312</v>
      </c>
      <c r="D4049" s="18" t="n">
        <f aca="false">'Black-Scholes'!$B$5*EXP(('Black-Scholes'!$B$8-'Black-Scholes'!$B$10-'Black-Scholes'!$B$9^2/2)*'Black-Scholes'!$B$7-'Black-Scholes'!$B$9*SQRT('Black-Scholes'!$B$7)*B4049)</f>
        <v>76.082897754438</v>
      </c>
      <c r="E4049" s="18" t="n">
        <f aca="false">EXP(-'Black-Scholes'!$B$8*'Black-Scholes'!$B$7)*IF(LOWER('Black-Scholes'!$B$11)="put",MAX('Black-Scholes'!$B$6-C4049,0),MAX(C4049-'Black-Scholes'!$B$6,0))</f>
        <v>37.6335898187394</v>
      </c>
      <c r="F4049" s="18" t="n">
        <f aca="false">(E4049+G4049)/2</f>
        <v>18.8167949093697</v>
      </c>
      <c r="G4049" s="18" t="n">
        <f aca="false">EXP(-'Black-Scholes'!$B$8*'Black-Scholes'!$B$7)*IF(LOWER('Black-Scholes'!$B$11)="put",MAX('Black-Scholes'!$B$6-D4049,0),MAX(D4049-'Black-Scholes'!$B$6,0))</f>
        <v>0</v>
      </c>
    </row>
    <row r="4050" customFormat="false" ht="15" hidden="false" customHeight="false" outlineLevel="0" collapsed="false">
      <c r="A4050" s="0" t="n">
        <v>4039</v>
      </c>
      <c r="B4050" s="15" t="n">
        <v>-1.12249810347224</v>
      </c>
      <c r="C4050" s="18" t="n">
        <f aca="false">'Black-Scholes'!$B$5*EXP(('Black-Scholes'!$B$8-'Black-Scholes'!$B$10-'Black-Scholes'!$B$9^2/2)*'Black-Scholes'!$B$7+'Black-Scholes'!$B$9*SQRT('Black-Scholes'!$B$7)*B4050)</f>
        <v>82.3246490518428</v>
      </c>
      <c r="D4050" s="18" t="n">
        <f aca="false">'Black-Scholes'!$B$5*EXP(('Black-Scholes'!$B$8-'Black-Scholes'!$B$10-'Black-Scholes'!$B$9^2/2)*'Black-Scholes'!$B$7-'Black-Scholes'!$B$9*SQRT('Black-Scholes'!$B$7)*B4050)</f>
        <v>128.981606210879</v>
      </c>
      <c r="E4050" s="18" t="n">
        <f aca="false">EXP(-'Black-Scholes'!$B$8*'Black-Scholes'!$B$7)*IF(LOWER('Black-Scholes'!$B$11)="put",MAX('Black-Scholes'!$B$6-C4050,0),MAX(C4050-'Black-Scholes'!$B$6,0))</f>
        <v>0</v>
      </c>
      <c r="F4050" s="18" t="n">
        <f aca="false">(E4050+G4050)/2</f>
        <v>13.7840782985404</v>
      </c>
      <c r="G4050" s="18" t="n">
        <f aca="false">EXP(-'Black-Scholes'!$B$8*'Black-Scholes'!$B$7)*IF(LOWER('Black-Scholes'!$B$11)="put",MAX('Black-Scholes'!$B$6-D4050,0),MAX(D4050-'Black-Scholes'!$B$6,0))</f>
        <v>27.5681565970807</v>
      </c>
    </row>
    <row r="4051" customFormat="false" ht="15" hidden="false" customHeight="false" outlineLevel="0" collapsed="false">
      <c r="A4051" s="0" t="n">
        <v>4040</v>
      </c>
      <c r="B4051" s="15" t="n">
        <v>0.0378169537587789</v>
      </c>
      <c r="C4051" s="18" t="n">
        <f aca="false">'Black-Scholes'!$B$5*EXP(('Black-Scholes'!$B$8-'Black-Scholes'!$B$10-'Black-Scholes'!$B$9^2/2)*'Black-Scholes'!$B$7+'Black-Scholes'!$B$9*SQRT('Black-Scholes'!$B$7)*B4051)</f>
        <v>103.827781220682</v>
      </c>
      <c r="D4051" s="18" t="n">
        <f aca="false">'Black-Scholes'!$B$5*EXP(('Black-Scholes'!$B$8-'Black-Scholes'!$B$10-'Black-Scholes'!$B$9^2/2)*'Black-Scholes'!$B$7-'Black-Scholes'!$B$9*SQRT('Black-Scholes'!$B$7)*B4051)</f>
        <v>102.269020300884</v>
      </c>
      <c r="E4051" s="18" t="n">
        <f aca="false">EXP(-'Black-Scholes'!$B$8*'Black-Scholes'!$B$7)*IF(LOWER('Black-Scholes'!$B$11)="put",MAX('Black-Scholes'!$B$6-C4051,0),MAX(C4051-'Black-Scholes'!$B$6,0))</f>
        <v>3.64109812766351</v>
      </c>
      <c r="F4051" s="18" t="n">
        <f aca="false">(E4051+G4051)/2</f>
        <v>2.89972850132681</v>
      </c>
      <c r="G4051" s="18" t="n">
        <f aca="false">EXP(-'Black-Scholes'!$B$8*'Black-Scholes'!$B$7)*IF(LOWER('Black-Scholes'!$B$11)="put",MAX('Black-Scholes'!$B$6-D4051,0),MAX(D4051-'Black-Scholes'!$B$6,0))</f>
        <v>2.15835887499012</v>
      </c>
    </row>
    <row r="4052" customFormat="false" ht="15" hidden="false" customHeight="false" outlineLevel="0" collapsed="false">
      <c r="A4052" s="0" t="n">
        <v>4041</v>
      </c>
      <c r="B4052" s="15" t="n">
        <v>0.623642068947762</v>
      </c>
      <c r="C4052" s="18" t="n">
        <f aca="false">'Black-Scholes'!$B$5*EXP(('Black-Scholes'!$B$8-'Black-Scholes'!$B$10-'Black-Scholes'!$B$9^2/2)*'Black-Scholes'!$B$7+'Black-Scholes'!$B$9*SQRT('Black-Scholes'!$B$7)*B4052)</f>
        <v>116.734088436315</v>
      </c>
      <c r="D4052" s="18" t="n">
        <f aca="false">'Black-Scholes'!$B$5*EXP(('Black-Scholes'!$B$8-'Black-Scholes'!$B$10-'Black-Scholes'!$B$9^2/2)*'Black-Scholes'!$B$7-'Black-Scholes'!$B$9*SQRT('Black-Scholes'!$B$7)*B4052)</f>
        <v>90.9619941157674</v>
      </c>
      <c r="E4052" s="18" t="n">
        <f aca="false">EXP(-'Black-Scholes'!$B$8*'Black-Scholes'!$B$7)*IF(LOWER('Black-Scholes'!$B$11)="put",MAX('Black-Scholes'!$B$6-C4052,0),MAX(C4052-'Black-Scholes'!$B$6,0))</f>
        <v>15.9179573128203</v>
      </c>
      <c r="F4052" s="18" t="n">
        <f aca="false">(E4052+G4052)/2</f>
        <v>7.95897865641017</v>
      </c>
      <c r="G4052" s="18" t="n">
        <f aca="false">EXP(-'Black-Scholes'!$B$8*'Black-Scholes'!$B$7)*IF(LOWER('Black-Scholes'!$B$11)="put",MAX('Black-Scholes'!$B$6-D4052,0),MAX(D4052-'Black-Scholes'!$B$6,0))</f>
        <v>0</v>
      </c>
    </row>
    <row r="4053" customFormat="false" ht="15" hidden="false" customHeight="false" outlineLevel="0" collapsed="false">
      <c r="A4053" s="0" t="n">
        <v>4042</v>
      </c>
      <c r="B4053" s="15" t="n">
        <v>-2.86916392544953</v>
      </c>
      <c r="C4053" s="18" t="n">
        <f aca="false">'Black-Scholes'!$B$5*EXP(('Black-Scholes'!$B$8-'Black-Scholes'!$B$10-'Black-Scholes'!$B$9^2/2)*'Black-Scholes'!$B$7+'Black-Scholes'!$B$9*SQRT('Black-Scholes'!$B$7)*B4053)</f>
        <v>58.051897845409</v>
      </c>
      <c r="D4053" s="18" t="n">
        <f aca="false">'Black-Scholes'!$B$5*EXP(('Black-Scholes'!$B$8-'Black-Scholes'!$B$10-'Black-Scholes'!$B$9^2/2)*'Black-Scholes'!$B$7-'Black-Scholes'!$B$9*SQRT('Black-Scholes'!$B$7)*B4053)</f>
        <v>182.911599095866</v>
      </c>
      <c r="E4053" s="18" t="n">
        <f aca="false">EXP(-'Black-Scholes'!$B$8*'Black-Scholes'!$B$7)*IF(LOWER('Black-Scholes'!$B$11)="put",MAX('Black-Scholes'!$B$6-C4053,0),MAX(C4053-'Black-Scholes'!$B$6,0))</f>
        <v>0</v>
      </c>
      <c r="F4053" s="18" t="n">
        <f aca="false">(E4053+G4053)/2</f>
        <v>39.4339763461971</v>
      </c>
      <c r="G4053" s="18" t="n">
        <f aca="false">EXP(-'Black-Scholes'!$B$8*'Black-Scholes'!$B$7)*IF(LOWER('Black-Scholes'!$B$11)="put",MAX('Black-Scholes'!$B$6-D4053,0),MAX(D4053-'Black-Scholes'!$B$6,0))</f>
        <v>78.8679526923942</v>
      </c>
    </row>
    <row r="4054" customFormat="false" ht="15" hidden="false" customHeight="false" outlineLevel="0" collapsed="false">
      <c r="A4054" s="0" t="n">
        <v>4043</v>
      </c>
      <c r="B4054" s="15" t="n">
        <v>1.05297259453592</v>
      </c>
      <c r="C4054" s="18" t="n">
        <f aca="false">'Black-Scholes'!$B$5*EXP(('Black-Scholes'!$B$8-'Black-Scholes'!$B$10-'Black-Scholes'!$B$9^2/2)*'Black-Scholes'!$B$7+'Black-Scholes'!$B$9*SQRT('Black-Scholes'!$B$7)*B4054)</f>
        <v>127.200515668478</v>
      </c>
      <c r="D4054" s="18" t="n">
        <f aca="false">'Black-Scholes'!$B$5*EXP(('Black-Scholes'!$B$8-'Black-Scholes'!$B$10-'Black-Scholes'!$B$9^2/2)*'Black-Scholes'!$B$7-'Black-Scholes'!$B$9*SQRT('Black-Scholes'!$B$7)*B4054)</f>
        <v>83.4773775063</v>
      </c>
      <c r="E4054" s="18" t="n">
        <f aca="false">EXP(-'Black-Scholes'!$B$8*'Black-Scholes'!$B$7)*IF(LOWER('Black-Scholes'!$B$11)="put",MAX('Black-Scholes'!$B$6-C4054,0),MAX(C4054-'Black-Scholes'!$B$6,0))</f>
        <v>25.8739308654493</v>
      </c>
      <c r="F4054" s="18" t="n">
        <f aca="false">(E4054+G4054)/2</f>
        <v>12.9369654327247</v>
      </c>
      <c r="G4054" s="18" t="n">
        <f aca="false">EXP(-'Black-Scholes'!$B$8*'Black-Scholes'!$B$7)*IF(LOWER('Black-Scholes'!$B$11)="put",MAX('Black-Scholes'!$B$6-D4054,0),MAX(D4054-'Black-Scholes'!$B$6,0))</f>
        <v>0</v>
      </c>
    </row>
    <row r="4055" customFormat="false" ht="15" hidden="false" customHeight="false" outlineLevel="0" collapsed="false">
      <c r="A4055" s="0" t="n">
        <v>4044</v>
      </c>
      <c r="B4055" s="15" t="n">
        <v>0.99245576077831</v>
      </c>
      <c r="C4055" s="18" t="n">
        <f aca="false">'Black-Scholes'!$B$5*EXP(('Black-Scholes'!$B$8-'Black-Scholes'!$B$10-'Black-Scholes'!$B$9^2/2)*'Black-Scholes'!$B$7+'Black-Scholes'!$B$9*SQRT('Black-Scholes'!$B$7)*B4055)</f>
        <v>125.670240597544</v>
      </c>
      <c r="D4055" s="18" t="n">
        <f aca="false">'Black-Scholes'!$B$5*EXP(('Black-Scholes'!$B$8-'Black-Scholes'!$B$10-'Black-Scholes'!$B$9^2/2)*'Black-Scholes'!$B$7-'Black-Scholes'!$B$9*SQRT('Black-Scholes'!$B$7)*B4055)</f>
        <v>84.4938739272304</v>
      </c>
      <c r="E4055" s="18" t="n">
        <f aca="false">EXP(-'Black-Scholes'!$B$8*'Black-Scholes'!$B$7)*IF(LOWER('Black-Scholes'!$B$11)="put",MAX('Black-Scholes'!$B$6-C4055,0),MAX(C4055-'Black-Scholes'!$B$6,0))</f>
        <v>24.4182881903967</v>
      </c>
      <c r="F4055" s="18" t="n">
        <f aca="false">(E4055+G4055)/2</f>
        <v>12.2091440951983</v>
      </c>
      <c r="G4055" s="18" t="n">
        <f aca="false">EXP(-'Black-Scholes'!$B$8*'Black-Scholes'!$B$7)*IF(LOWER('Black-Scholes'!$B$11)="put",MAX('Black-Scholes'!$B$6-D4055,0),MAX(D4055-'Black-Scholes'!$B$6,0))</f>
        <v>0</v>
      </c>
    </row>
    <row r="4056" customFormat="false" ht="15" hidden="false" customHeight="false" outlineLevel="0" collapsed="false">
      <c r="A4056" s="0" t="n">
        <v>4045</v>
      </c>
      <c r="B4056" s="15" t="n">
        <v>0.0177119151008606</v>
      </c>
      <c r="C4056" s="18" t="n">
        <f aca="false">'Black-Scholes'!$B$5*EXP(('Black-Scholes'!$B$8-'Black-Scholes'!$B$10-'Black-Scholes'!$B$9^2/2)*'Black-Scholes'!$B$7+'Black-Scholes'!$B$9*SQRT('Black-Scholes'!$B$7)*B4056)</f>
        <v>103.411127155638</v>
      </c>
      <c r="D4056" s="18" t="n">
        <f aca="false">'Black-Scholes'!$B$5*EXP(('Black-Scholes'!$B$8-'Black-Scholes'!$B$10-'Black-Scholes'!$B$9^2/2)*'Black-Scholes'!$B$7-'Black-Scholes'!$B$9*SQRT('Black-Scholes'!$B$7)*B4056)</f>
        <v>102.681072699967</v>
      </c>
      <c r="E4056" s="18" t="n">
        <f aca="false">EXP(-'Black-Scholes'!$B$8*'Black-Scholes'!$B$7)*IF(LOWER('Black-Scholes'!$B$11)="put",MAX('Black-Scholes'!$B$6-C4056,0),MAX(C4056-'Black-Scholes'!$B$6,0))</f>
        <v>3.24476452115598</v>
      </c>
      <c r="F4056" s="18" t="n">
        <f aca="false">(E4056+G4056)/2</f>
        <v>2.89753988129524</v>
      </c>
      <c r="G4056" s="18" t="n">
        <f aca="false">EXP(-'Black-Scholes'!$B$8*'Black-Scholes'!$B$7)*IF(LOWER('Black-Scholes'!$B$11)="put",MAX('Black-Scholes'!$B$6-D4056,0),MAX(D4056-'Black-Scholes'!$B$6,0))</f>
        <v>2.5503152414345</v>
      </c>
    </row>
    <row r="4057" customFormat="false" ht="15" hidden="false" customHeight="false" outlineLevel="0" collapsed="false">
      <c r="A4057" s="0" t="n">
        <v>4046</v>
      </c>
      <c r="B4057" s="15" t="n">
        <v>1.12624090937743</v>
      </c>
      <c r="C4057" s="18" t="n">
        <f aca="false">'Black-Scholes'!$B$5*EXP(('Black-Scholes'!$B$8-'Black-Scholes'!$B$10-'Black-Scholes'!$B$9^2/2)*'Black-Scholes'!$B$7+'Black-Scholes'!$B$9*SQRT('Black-Scholes'!$B$7)*B4057)</f>
        <v>129.078192980399</v>
      </c>
      <c r="D4057" s="18" t="n">
        <f aca="false">'Black-Scholes'!$B$5*EXP(('Black-Scholes'!$B$8-'Black-Scholes'!$B$10-'Black-Scholes'!$B$9^2/2)*'Black-Scholes'!$B$7-'Black-Scholes'!$B$9*SQRT('Black-Scholes'!$B$7)*B4057)</f>
        <v>82.2630470746211</v>
      </c>
      <c r="E4057" s="18" t="n">
        <f aca="false">EXP(-'Black-Scholes'!$B$8*'Black-Scholes'!$B$7)*IF(LOWER('Black-Scholes'!$B$11)="put",MAX('Black-Scholes'!$B$6-C4057,0),MAX(C4057-'Black-Scholes'!$B$6,0))</f>
        <v>27.6600327742657</v>
      </c>
      <c r="F4057" s="18" t="n">
        <f aca="false">(E4057+G4057)/2</f>
        <v>13.8300163871329</v>
      </c>
      <c r="G4057" s="18" t="n">
        <f aca="false">EXP(-'Black-Scholes'!$B$8*'Black-Scholes'!$B$7)*IF(LOWER('Black-Scholes'!$B$11)="put",MAX('Black-Scholes'!$B$6-D4057,0),MAX(D4057-'Black-Scholes'!$B$6,0))</f>
        <v>0</v>
      </c>
    </row>
    <row r="4058" customFormat="false" ht="15" hidden="false" customHeight="false" outlineLevel="0" collapsed="false">
      <c r="A4058" s="0" t="n">
        <v>4047</v>
      </c>
      <c r="B4058" s="15" t="n">
        <v>-0.78831763159734</v>
      </c>
      <c r="C4058" s="18" t="n">
        <f aca="false">'Black-Scholes'!$B$5*EXP(('Black-Scholes'!$B$8-'Black-Scholes'!$B$10-'Black-Scholes'!$B$9^2/2)*'Black-Scholes'!$B$7+'Black-Scholes'!$B$9*SQRT('Black-Scholes'!$B$7)*B4058)</f>
        <v>88.0149476461137</v>
      </c>
      <c r="D4058" s="18" t="n">
        <f aca="false">'Black-Scholes'!$B$5*EXP(('Black-Scholes'!$B$8-'Black-Scholes'!$B$10-'Black-Scholes'!$B$9^2/2)*'Black-Scholes'!$B$7-'Black-Scholes'!$B$9*SQRT('Black-Scholes'!$B$7)*B4058)</f>
        <v>120.642751594279</v>
      </c>
      <c r="E4058" s="18" t="n">
        <f aca="false">EXP(-'Black-Scholes'!$B$8*'Black-Scholes'!$B$7)*IF(LOWER('Black-Scholes'!$B$11)="put",MAX('Black-Scholes'!$B$6-C4058,0),MAX(C4058-'Black-Scholes'!$B$6,0))</f>
        <v>0</v>
      </c>
      <c r="F4058" s="18" t="n">
        <f aca="false">(E4058+G4058)/2</f>
        <v>9.81799635956879</v>
      </c>
      <c r="G4058" s="18" t="n">
        <f aca="false">EXP(-'Black-Scholes'!$B$8*'Black-Scholes'!$B$7)*IF(LOWER('Black-Scholes'!$B$11)="put",MAX('Black-Scholes'!$B$6-D4058,0),MAX(D4058-'Black-Scholes'!$B$6,0))</f>
        <v>19.6359927191376</v>
      </c>
    </row>
    <row r="4059" customFormat="false" ht="15" hidden="false" customHeight="false" outlineLevel="0" collapsed="false">
      <c r="A4059" s="0" t="n">
        <v>4048</v>
      </c>
      <c r="B4059" s="15" t="n">
        <v>0.209164303437699</v>
      </c>
      <c r="C4059" s="18" t="n">
        <f aca="false">'Black-Scholes'!$B$5*EXP(('Black-Scholes'!$B$8-'Black-Scholes'!$B$10-'Black-Scholes'!$B$9^2/2)*'Black-Scholes'!$B$7+'Black-Scholes'!$B$9*SQRT('Black-Scholes'!$B$7)*B4059)</f>
        <v>107.447574191818</v>
      </c>
      <c r="D4059" s="18" t="n">
        <f aca="false">'Black-Scholes'!$B$5*EXP(('Black-Scholes'!$B$8-'Black-Scholes'!$B$10-'Black-Scholes'!$B$9^2/2)*'Black-Scholes'!$B$7-'Black-Scholes'!$B$9*SQRT('Black-Scholes'!$B$7)*B4059)</f>
        <v>98.8236872290612</v>
      </c>
      <c r="E4059" s="18" t="n">
        <f aca="false">EXP(-'Black-Scholes'!$B$8*'Black-Scholes'!$B$7)*IF(LOWER('Black-Scholes'!$B$11)="put",MAX('Black-Scholes'!$B$6-C4059,0),MAX(C4059-'Black-Scholes'!$B$6,0))</f>
        <v>7.08435171240967</v>
      </c>
      <c r="F4059" s="18" t="n">
        <f aca="false">(E4059+G4059)/2</f>
        <v>3.54217585620483</v>
      </c>
      <c r="G4059" s="18" t="n">
        <f aca="false">EXP(-'Black-Scholes'!$B$8*'Black-Scholes'!$B$7)*IF(LOWER('Black-Scholes'!$B$11)="put",MAX('Black-Scholes'!$B$6-D4059,0),MAX(D4059-'Black-Scholes'!$B$6,0))</f>
        <v>0</v>
      </c>
    </row>
    <row r="4060" customFormat="false" ht="15" hidden="false" customHeight="false" outlineLevel="0" collapsed="false">
      <c r="A4060" s="0" t="n">
        <v>4049</v>
      </c>
      <c r="B4060" s="15" t="n">
        <v>0.262872069489649</v>
      </c>
      <c r="C4060" s="18" t="n">
        <f aca="false">'Black-Scholes'!$B$5*EXP(('Black-Scholes'!$B$8-'Black-Scholes'!$B$10-'Black-Scholes'!$B$9^2/2)*'Black-Scholes'!$B$7+'Black-Scholes'!$B$9*SQRT('Black-Scholes'!$B$7)*B4060)</f>
        <v>108.607948984039</v>
      </c>
      <c r="D4060" s="18" t="n">
        <f aca="false">'Black-Scholes'!$B$5*EXP(('Black-Scholes'!$B$8-'Black-Scholes'!$B$10-'Black-Scholes'!$B$9^2/2)*'Black-Scholes'!$B$7-'Black-Scholes'!$B$9*SQRT('Black-Scholes'!$B$7)*B4060)</f>
        <v>97.7678481619618</v>
      </c>
      <c r="E4060" s="18" t="n">
        <f aca="false">EXP(-'Black-Scholes'!$B$8*'Black-Scholes'!$B$7)*IF(LOWER('Black-Scholes'!$B$11)="put",MAX('Black-Scholes'!$B$6-C4060,0),MAX(C4060-'Black-Scholes'!$B$6,0))</f>
        <v>8.18813435821873</v>
      </c>
      <c r="F4060" s="18" t="n">
        <f aca="false">(E4060+G4060)/2</f>
        <v>4.09406717910937</v>
      </c>
      <c r="G4060" s="18" t="n">
        <f aca="false">EXP(-'Black-Scholes'!$B$8*'Black-Scholes'!$B$7)*IF(LOWER('Black-Scholes'!$B$11)="put",MAX('Black-Scholes'!$B$6-D4060,0),MAX(D4060-'Black-Scholes'!$B$6,0))</f>
        <v>0</v>
      </c>
    </row>
    <row r="4061" customFormat="false" ht="15" hidden="false" customHeight="false" outlineLevel="0" collapsed="false">
      <c r="A4061" s="0" t="n">
        <v>4050</v>
      </c>
      <c r="B4061" s="15" t="n">
        <v>0.477774475919744</v>
      </c>
      <c r="C4061" s="18" t="n">
        <f aca="false">'Black-Scholes'!$B$5*EXP(('Black-Scholes'!$B$8-'Black-Scholes'!$B$10-'Black-Scholes'!$B$9^2/2)*'Black-Scholes'!$B$7+'Black-Scholes'!$B$9*SQRT('Black-Scholes'!$B$7)*B4061)</f>
        <v>113.377740617152</v>
      </c>
      <c r="D4061" s="18" t="n">
        <f aca="false">'Black-Scholes'!$B$5*EXP(('Black-Scholes'!$B$8-'Black-Scholes'!$B$10-'Black-Scholes'!$B$9^2/2)*'Black-Scholes'!$B$7-'Black-Scholes'!$B$9*SQRT('Black-Scholes'!$B$7)*B4061)</f>
        <v>93.6547633393856</v>
      </c>
      <c r="E4061" s="18" t="n">
        <f aca="false">EXP(-'Black-Scholes'!$B$8*'Black-Scholes'!$B$7)*IF(LOWER('Black-Scholes'!$B$11)="put",MAX('Black-Scholes'!$B$6-C4061,0),MAX(C4061-'Black-Scholes'!$B$6,0))</f>
        <v>12.7253005083732</v>
      </c>
      <c r="F4061" s="18" t="n">
        <f aca="false">(E4061+G4061)/2</f>
        <v>6.36265025418658</v>
      </c>
      <c r="G4061" s="18" t="n">
        <f aca="false">EXP(-'Black-Scholes'!$B$8*'Black-Scholes'!$B$7)*IF(LOWER('Black-Scholes'!$B$11)="put",MAX('Black-Scholes'!$B$6-D4061,0),MAX(D4061-'Black-Scholes'!$B$6,0))</f>
        <v>0</v>
      </c>
    </row>
    <row r="4062" customFormat="false" ht="15" hidden="false" customHeight="false" outlineLevel="0" collapsed="false">
      <c r="A4062" s="0" t="n">
        <v>4051</v>
      </c>
      <c r="B4062" s="15" t="n">
        <v>0.272947171641052</v>
      </c>
      <c r="C4062" s="18" t="n">
        <f aca="false">'Black-Scholes'!$B$5*EXP(('Black-Scholes'!$B$8-'Black-Scholes'!$B$10-'Black-Scholes'!$B$9^2/2)*'Black-Scholes'!$B$7+'Black-Scholes'!$B$9*SQRT('Black-Scholes'!$B$7)*B4062)</f>
        <v>108.827016859131</v>
      </c>
      <c r="D4062" s="18" t="n">
        <f aca="false">'Black-Scholes'!$B$5*EXP(('Black-Scholes'!$B$8-'Black-Scholes'!$B$10-'Black-Scholes'!$B$9^2/2)*'Black-Scholes'!$B$7-'Black-Scholes'!$B$9*SQRT('Black-Scholes'!$B$7)*B4062)</f>
        <v>97.5710423009972</v>
      </c>
      <c r="E4062" s="18" t="n">
        <f aca="false">EXP(-'Black-Scholes'!$B$8*'Black-Scholes'!$B$7)*IF(LOWER('Black-Scholes'!$B$11)="put",MAX('Black-Scholes'!$B$6-C4062,0),MAX(C4062-'Black-Scholes'!$B$6,0))</f>
        <v>8.39651816696921</v>
      </c>
      <c r="F4062" s="18" t="n">
        <f aca="false">(E4062+G4062)/2</f>
        <v>4.1982590834846</v>
      </c>
      <c r="G4062" s="18" t="n">
        <f aca="false">EXP(-'Black-Scholes'!$B$8*'Black-Scholes'!$B$7)*IF(LOWER('Black-Scholes'!$B$11)="put",MAX('Black-Scholes'!$B$6-D4062,0),MAX(D4062-'Black-Scholes'!$B$6,0))</f>
        <v>0</v>
      </c>
    </row>
    <row r="4063" customFormat="false" ht="15" hidden="false" customHeight="false" outlineLevel="0" collapsed="false">
      <c r="A4063" s="0" t="n">
        <v>4052</v>
      </c>
      <c r="B4063" s="15" t="n">
        <v>0.0682739652294637</v>
      </c>
      <c r="C4063" s="18" t="n">
        <f aca="false">'Black-Scholes'!$B$5*EXP(('Black-Scholes'!$B$8-'Black-Scholes'!$B$10-'Black-Scholes'!$B$9^2/2)*'Black-Scholes'!$B$7+'Black-Scholes'!$B$9*SQRT('Black-Scholes'!$B$7)*B4063)</f>
        <v>104.46216819696</v>
      </c>
      <c r="D4063" s="18" t="n">
        <f aca="false">'Black-Scholes'!$B$5*EXP(('Black-Scholes'!$B$8-'Black-Scholes'!$B$10-'Black-Scholes'!$B$9^2/2)*'Black-Scholes'!$B$7-'Black-Scholes'!$B$9*SQRT('Black-Scholes'!$B$7)*B4063)</f>
        <v>101.647952064646</v>
      </c>
      <c r="E4063" s="18" t="n">
        <f aca="false">EXP(-'Black-Scholes'!$B$8*'Black-Scholes'!$B$7)*IF(LOWER('Black-Scholes'!$B$11)="put",MAX('Black-Scholes'!$B$6-C4063,0),MAX(C4063-'Black-Scholes'!$B$6,0))</f>
        <v>4.24454568601952</v>
      </c>
      <c r="F4063" s="18" t="n">
        <f aca="false">(E4063+G4063)/2</f>
        <v>2.9060630900389</v>
      </c>
      <c r="G4063" s="18" t="n">
        <f aca="false">EXP(-'Black-Scholes'!$B$8*'Black-Scholes'!$B$7)*IF(LOWER('Black-Scholes'!$B$11)="put",MAX('Black-Scholes'!$B$6-D4063,0),MAX(D4063-'Black-Scholes'!$B$6,0))</f>
        <v>1.56758049405828</v>
      </c>
    </row>
    <row r="4064" customFormat="false" ht="15" hidden="false" customHeight="false" outlineLevel="0" collapsed="false">
      <c r="A4064" s="0" t="n">
        <v>4053</v>
      </c>
      <c r="B4064" s="15" t="n">
        <v>-2.1274052049559</v>
      </c>
      <c r="C4064" s="18" t="n">
        <f aca="false">'Black-Scholes'!$B$5*EXP(('Black-Scholes'!$B$8-'Black-Scholes'!$B$10-'Black-Scholes'!$B$9^2/2)*'Black-Scholes'!$B$7+'Black-Scholes'!$B$9*SQRT('Black-Scholes'!$B$7)*B4064)</f>
        <v>67.3356049467479</v>
      </c>
      <c r="D4064" s="18" t="n">
        <f aca="false">'Black-Scholes'!$B$5*EXP(('Black-Scholes'!$B$8-'Black-Scholes'!$B$10-'Black-Scholes'!$B$9^2/2)*'Black-Scholes'!$B$7-'Black-Scholes'!$B$9*SQRT('Black-Scholes'!$B$7)*B4064)</f>
        <v>157.693176943329</v>
      </c>
      <c r="E4064" s="18" t="n">
        <f aca="false">EXP(-'Black-Scholes'!$B$8*'Black-Scholes'!$B$7)*IF(LOWER('Black-Scholes'!$B$11)="put",MAX('Black-Scholes'!$B$6-C4064,0),MAX(C4064-'Black-Scholes'!$B$6,0))</f>
        <v>0</v>
      </c>
      <c r="F4064" s="18" t="n">
        <f aca="false">(E4064+G4064)/2</f>
        <v>27.4397237507102</v>
      </c>
      <c r="G4064" s="18" t="n">
        <f aca="false">EXP(-'Black-Scholes'!$B$8*'Black-Scholes'!$B$7)*IF(LOWER('Black-Scholes'!$B$11)="put",MAX('Black-Scholes'!$B$6-D4064,0),MAX(D4064-'Black-Scholes'!$B$6,0))</f>
        <v>54.8794475014203</v>
      </c>
    </row>
    <row r="4065" customFormat="false" ht="15" hidden="false" customHeight="false" outlineLevel="0" collapsed="false">
      <c r="A4065" s="0" t="n">
        <v>4054</v>
      </c>
      <c r="B4065" s="15" t="n">
        <v>-0.543006976095407</v>
      </c>
      <c r="C4065" s="18" t="n">
        <f aca="false">'Black-Scholes'!$B$5*EXP(('Black-Scholes'!$B$8-'Black-Scholes'!$B$10-'Black-Scholes'!$B$9^2/2)*'Black-Scholes'!$B$7+'Black-Scholes'!$B$9*SQRT('Black-Scholes'!$B$7)*B4065)</f>
        <v>92.4408324594883</v>
      </c>
      <c r="D4065" s="18" t="n">
        <f aca="false">'Black-Scholes'!$B$5*EXP(('Black-Scholes'!$B$8-'Black-Scholes'!$B$10-'Black-Scholes'!$B$9^2/2)*'Black-Scholes'!$B$7-'Black-Scholes'!$B$9*SQRT('Black-Scholes'!$B$7)*B4065)</f>
        <v>114.866614492108</v>
      </c>
      <c r="E4065" s="18" t="n">
        <f aca="false">EXP(-'Black-Scholes'!$B$8*'Black-Scholes'!$B$7)*IF(LOWER('Black-Scholes'!$B$11)="put",MAX('Black-Scholes'!$B$6-C4065,0),MAX(C4065-'Black-Scholes'!$B$6,0))</f>
        <v>0</v>
      </c>
      <c r="F4065" s="18" t="n">
        <f aca="false">(E4065+G4065)/2</f>
        <v>7.07078057380099</v>
      </c>
      <c r="G4065" s="18" t="n">
        <f aca="false">EXP(-'Black-Scholes'!$B$8*'Black-Scholes'!$B$7)*IF(LOWER('Black-Scholes'!$B$11)="put",MAX('Black-Scholes'!$B$6-D4065,0),MAX(D4065-'Black-Scholes'!$B$6,0))</f>
        <v>14.141561147602</v>
      </c>
    </row>
    <row r="4066" customFormat="false" ht="15" hidden="false" customHeight="false" outlineLevel="0" collapsed="false">
      <c r="A4066" s="0" t="n">
        <v>4055</v>
      </c>
      <c r="B4066" s="15" t="n">
        <v>-0.328217080951327</v>
      </c>
      <c r="C4066" s="18" t="n">
        <f aca="false">'Black-Scholes'!$B$5*EXP(('Black-Scholes'!$B$8-'Black-Scholes'!$B$10-'Black-Scholes'!$B$9^2/2)*'Black-Scholes'!$B$7+'Black-Scholes'!$B$9*SQRT('Black-Scholes'!$B$7)*B4066)</f>
        <v>96.4984329929265</v>
      </c>
      <c r="D4066" s="18" t="n">
        <f aca="false">'Black-Scholes'!$B$5*EXP(('Black-Scholes'!$B$8-'Black-Scholes'!$B$10-'Black-Scholes'!$B$9^2/2)*'Black-Scholes'!$B$7-'Black-Scholes'!$B$9*SQRT('Black-Scholes'!$B$7)*B4066)</f>
        <v>110.036662110689</v>
      </c>
      <c r="E4066" s="18" t="n">
        <f aca="false">EXP(-'Black-Scholes'!$B$8*'Black-Scholes'!$B$7)*IF(LOWER('Black-Scholes'!$B$11)="put",MAX('Black-Scholes'!$B$6-C4066,0),MAX(C4066-'Black-Scholes'!$B$6,0))</f>
        <v>0</v>
      </c>
      <c r="F4066" s="18" t="n">
        <f aca="false">(E4066+G4066)/2</f>
        <v>4.77358416172933</v>
      </c>
      <c r="G4066" s="18" t="n">
        <f aca="false">EXP(-'Black-Scholes'!$B$8*'Black-Scholes'!$B$7)*IF(LOWER('Black-Scholes'!$B$11)="put",MAX('Black-Scholes'!$B$6-D4066,0),MAX(D4066-'Black-Scholes'!$B$6,0))</f>
        <v>9.54716832345867</v>
      </c>
    </row>
    <row r="4067" customFormat="false" ht="15" hidden="false" customHeight="false" outlineLevel="0" collapsed="false">
      <c r="A4067" s="0" t="n">
        <v>4056</v>
      </c>
      <c r="B4067" s="15" t="n">
        <v>1.16474460325787</v>
      </c>
      <c r="C4067" s="18" t="n">
        <f aca="false">'Black-Scholes'!$B$5*EXP(('Black-Scholes'!$B$8-'Black-Scholes'!$B$10-'Black-Scholes'!$B$9^2/2)*'Black-Scholes'!$B$7+'Black-Scholes'!$B$9*SQRT('Black-Scholes'!$B$7)*B4067)</f>
        <v>130.076027526747</v>
      </c>
      <c r="D4067" s="18" t="n">
        <f aca="false">'Black-Scholes'!$B$5*EXP(('Black-Scholes'!$B$8-'Black-Scholes'!$B$10-'Black-Scholes'!$B$9^2/2)*'Black-Scholes'!$B$7-'Black-Scholes'!$B$9*SQRT('Black-Scholes'!$B$7)*B4067)</f>
        <v>81.631993745121</v>
      </c>
      <c r="E4067" s="18" t="n">
        <f aca="false">EXP(-'Black-Scholes'!$B$8*'Black-Scholes'!$B$7)*IF(LOWER('Black-Scholes'!$B$11)="put",MAX('Black-Scholes'!$B$6-C4067,0),MAX(C4067-'Black-Scholes'!$B$6,0))</f>
        <v>28.6092023555352</v>
      </c>
      <c r="F4067" s="18" t="n">
        <f aca="false">(E4067+G4067)/2</f>
        <v>14.3046011777676</v>
      </c>
      <c r="G4067" s="18" t="n">
        <f aca="false">EXP(-'Black-Scholes'!$B$8*'Black-Scholes'!$B$7)*IF(LOWER('Black-Scholes'!$B$11)="put",MAX('Black-Scholes'!$B$6-D4067,0),MAX(D4067-'Black-Scholes'!$B$6,0))</f>
        <v>0</v>
      </c>
    </row>
    <row r="4068" customFormat="false" ht="15" hidden="false" customHeight="false" outlineLevel="0" collapsed="false">
      <c r="A4068" s="0" t="n">
        <v>4057</v>
      </c>
      <c r="B4068" s="15" t="n">
        <v>0.20133540020436</v>
      </c>
      <c r="C4068" s="18" t="n">
        <f aca="false">'Black-Scholes'!$B$5*EXP(('Black-Scholes'!$B$8-'Black-Scholes'!$B$10-'Black-Scholes'!$B$9^2/2)*'Black-Scholes'!$B$7+'Black-Scholes'!$B$9*SQRT('Black-Scholes'!$B$7)*B4068)</f>
        <v>107.279466503845</v>
      </c>
      <c r="D4068" s="18" t="n">
        <f aca="false">'Black-Scholes'!$B$5*EXP(('Black-Scholes'!$B$8-'Black-Scholes'!$B$10-'Black-Scholes'!$B$9^2/2)*'Black-Scholes'!$B$7-'Black-Scholes'!$B$9*SQRT('Black-Scholes'!$B$7)*B4068)</f>
        <v>98.9785446506954</v>
      </c>
      <c r="E4068" s="18" t="n">
        <f aca="false">EXP(-'Black-Scholes'!$B$8*'Black-Scholes'!$B$7)*IF(LOWER('Black-Scholes'!$B$11)="put",MAX('Black-Scholes'!$B$6-C4068,0),MAX(C4068-'Black-Scholes'!$B$6,0))</f>
        <v>6.92444273312458</v>
      </c>
      <c r="F4068" s="18" t="n">
        <f aca="false">(E4068+G4068)/2</f>
        <v>3.46222136656229</v>
      </c>
      <c r="G4068" s="18" t="n">
        <f aca="false">EXP(-'Black-Scholes'!$B$8*'Black-Scholes'!$B$7)*IF(LOWER('Black-Scholes'!$B$11)="put",MAX('Black-Scholes'!$B$6-D4068,0),MAX(D4068-'Black-Scholes'!$B$6,0))</f>
        <v>0</v>
      </c>
    </row>
    <row r="4069" customFormat="false" ht="15" hidden="false" customHeight="false" outlineLevel="0" collapsed="false">
      <c r="A4069" s="0" t="n">
        <v>4058</v>
      </c>
      <c r="B4069" s="15" t="n">
        <v>-0.942896693272694</v>
      </c>
      <c r="C4069" s="18" t="n">
        <f aca="false">'Black-Scholes'!$B$5*EXP(('Black-Scholes'!$B$8-'Black-Scholes'!$B$10-'Black-Scholes'!$B$9^2/2)*'Black-Scholes'!$B$7+'Black-Scholes'!$B$9*SQRT('Black-Scholes'!$B$7)*B4069)</f>
        <v>85.3355257047151</v>
      </c>
      <c r="D4069" s="18" t="n">
        <f aca="false">'Black-Scholes'!$B$5*EXP(('Black-Scholes'!$B$8-'Black-Scholes'!$B$10-'Black-Scholes'!$B$9^2/2)*'Black-Scholes'!$B$7-'Black-Scholes'!$B$9*SQRT('Black-Scholes'!$B$7)*B4069)</f>
        <v>124.430773441253</v>
      </c>
      <c r="E4069" s="18" t="n">
        <f aca="false">EXP(-'Black-Scholes'!$B$8*'Black-Scholes'!$B$7)*IF(LOWER('Black-Scholes'!$B$11)="put",MAX('Black-Scholes'!$B$6-C4069,0),MAX(C4069-'Black-Scholes'!$B$6,0))</f>
        <v>0</v>
      </c>
      <c r="F4069" s="18" t="n">
        <f aca="false">(E4069+G4069)/2</f>
        <v>11.6196352803151</v>
      </c>
      <c r="G4069" s="18" t="n">
        <f aca="false">EXP(-'Black-Scholes'!$B$8*'Black-Scholes'!$B$7)*IF(LOWER('Black-Scholes'!$B$11)="put",MAX('Black-Scholes'!$B$6-D4069,0),MAX(D4069-'Black-Scholes'!$B$6,0))</f>
        <v>23.2392705606301</v>
      </c>
    </row>
    <row r="4070" customFormat="false" ht="15" hidden="false" customHeight="false" outlineLevel="0" collapsed="false">
      <c r="A4070" s="0" t="n">
        <v>4059</v>
      </c>
      <c r="B4070" s="15" t="n">
        <v>-0.812033847743647</v>
      </c>
      <c r="C4070" s="18" t="n">
        <f aca="false">'Black-Scholes'!$B$5*EXP(('Black-Scholes'!$B$8-'Black-Scholes'!$B$10-'Black-Scholes'!$B$9^2/2)*'Black-Scholes'!$B$7+'Black-Scholes'!$B$9*SQRT('Black-Scholes'!$B$7)*B4070)</f>
        <v>87.5984598738775</v>
      </c>
      <c r="D4070" s="18" t="n">
        <f aca="false">'Black-Scholes'!$B$5*EXP(('Black-Scholes'!$B$8-'Black-Scholes'!$B$10-'Black-Scholes'!$B$9^2/2)*'Black-Scholes'!$B$7-'Black-Scholes'!$B$9*SQRT('Black-Scholes'!$B$7)*B4070)</f>
        <v>121.216348789028</v>
      </c>
      <c r="E4070" s="18" t="n">
        <f aca="false">EXP(-'Black-Scholes'!$B$8*'Black-Scholes'!$B$7)*IF(LOWER('Black-Scholes'!$B$11)="put",MAX('Black-Scholes'!$B$6-C4070,0),MAX(C4070-'Black-Scholes'!$B$6,0))</f>
        <v>0</v>
      </c>
      <c r="F4070" s="18" t="n">
        <f aca="false">(E4070+G4070)/2</f>
        <v>10.0908076242967</v>
      </c>
      <c r="G4070" s="18" t="n">
        <f aca="false">EXP(-'Black-Scholes'!$B$8*'Black-Scholes'!$B$7)*IF(LOWER('Black-Scholes'!$B$11)="put",MAX('Black-Scholes'!$B$6-D4070,0),MAX(D4070-'Black-Scholes'!$B$6,0))</f>
        <v>20.1816152485934</v>
      </c>
    </row>
    <row r="4071" customFormat="false" ht="15" hidden="false" customHeight="false" outlineLevel="0" collapsed="false">
      <c r="A4071" s="0" t="n">
        <v>4060</v>
      </c>
      <c r="B4071" s="15" t="n">
        <v>-0.197138138551161</v>
      </c>
      <c r="C4071" s="18" t="n">
        <f aca="false">'Black-Scholes'!$B$5*EXP(('Black-Scholes'!$B$8-'Black-Scholes'!$B$10-'Black-Scholes'!$B$9^2/2)*'Black-Scholes'!$B$7+'Black-Scholes'!$B$9*SQRT('Black-Scholes'!$B$7)*B4071)</f>
        <v>99.0616673045573</v>
      </c>
      <c r="D4071" s="18" t="n">
        <f aca="false">'Black-Scholes'!$B$5*EXP(('Black-Scholes'!$B$8-'Black-Scholes'!$B$10-'Black-Scholes'!$B$9^2/2)*'Black-Scholes'!$B$7-'Black-Scholes'!$B$9*SQRT('Black-Scholes'!$B$7)*B4071)</f>
        <v>107.189448293943</v>
      </c>
      <c r="E4071" s="18" t="n">
        <f aca="false">EXP(-'Black-Scholes'!$B$8*'Black-Scholes'!$B$7)*IF(LOWER('Black-Scholes'!$B$11)="put",MAX('Black-Scholes'!$B$6-C4071,0),MAX(C4071-'Black-Scholes'!$B$6,0))</f>
        <v>0</v>
      </c>
      <c r="F4071" s="18" t="n">
        <f aca="false">(E4071+G4071)/2</f>
        <v>3.41940738156236</v>
      </c>
      <c r="G4071" s="18" t="n">
        <f aca="false">EXP(-'Black-Scholes'!$B$8*'Black-Scholes'!$B$7)*IF(LOWER('Black-Scholes'!$B$11)="put",MAX('Black-Scholes'!$B$6-D4071,0),MAX(D4071-'Black-Scholes'!$B$6,0))</f>
        <v>6.83881476312472</v>
      </c>
    </row>
    <row r="4072" customFormat="false" ht="15" hidden="false" customHeight="false" outlineLevel="0" collapsed="false">
      <c r="A4072" s="0" t="n">
        <v>4061</v>
      </c>
      <c r="B4072" s="15" t="n">
        <v>0.0159511327536801</v>
      </c>
      <c r="C4072" s="18" t="n">
        <f aca="false">'Black-Scholes'!$B$5*EXP(('Black-Scholes'!$B$8-'Black-Scholes'!$B$10-'Black-Scholes'!$B$9^2/2)*'Black-Scholes'!$B$7+'Black-Scholes'!$B$9*SQRT('Black-Scholes'!$B$7)*B4072)</f>
        <v>103.374716669669</v>
      </c>
      <c r="D4072" s="18" t="n">
        <f aca="false">'Black-Scholes'!$B$5*EXP(('Black-Scholes'!$B$8-'Black-Scholes'!$B$10-'Black-Scholes'!$B$9^2/2)*'Black-Scholes'!$B$7-'Black-Scholes'!$B$9*SQRT('Black-Scholes'!$B$7)*B4072)</f>
        <v>102.717238871709</v>
      </c>
      <c r="E4072" s="18" t="n">
        <f aca="false">EXP(-'Black-Scholes'!$B$8*'Black-Scholes'!$B$7)*IF(LOWER('Black-Scholes'!$B$11)="put",MAX('Black-Scholes'!$B$6-C4072,0),MAX(C4072-'Black-Scholes'!$B$6,0))</f>
        <v>3.21012979554175</v>
      </c>
      <c r="F4072" s="18" t="n">
        <f aca="false">(E4072+G4072)/2</f>
        <v>2.89742368185432</v>
      </c>
      <c r="G4072" s="18" t="n">
        <f aca="false">EXP(-'Black-Scholes'!$B$8*'Black-Scholes'!$B$7)*IF(LOWER('Black-Scholes'!$B$11)="put",MAX('Black-Scholes'!$B$6-D4072,0),MAX(D4072-'Black-Scholes'!$B$6,0))</f>
        <v>2.5847175681669</v>
      </c>
    </row>
    <row r="4073" customFormat="false" ht="15" hidden="false" customHeight="false" outlineLevel="0" collapsed="false">
      <c r="A4073" s="0" t="n">
        <v>4062</v>
      </c>
      <c r="B4073" s="15" t="n">
        <v>-0.0865535638810446</v>
      </c>
      <c r="C4073" s="18" t="n">
        <f aca="false">'Black-Scholes'!$B$5*EXP(('Black-Scholes'!$B$8-'Black-Scholes'!$B$10-'Black-Scholes'!$B$9^2/2)*'Black-Scholes'!$B$7+'Black-Scholes'!$B$9*SQRT('Black-Scholes'!$B$7)*B4073)</f>
        <v>101.277013784591</v>
      </c>
      <c r="D4073" s="18" t="n">
        <f aca="false">'Black-Scholes'!$B$5*EXP(('Black-Scholes'!$B$8-'Black-Scholes'!$B$10-'Black-Scholes'!$B$9^2/2)*'Black-Scholes'!$B$7-'Black-Scholes'!$B$9*SQRT('Black-Scholes'!$B$7)*B4073)</f>
        <v>104.844772457827</v>
      </c>
      <c r="E4073" s="18" t="n">
        <f aca="false">EXP(-'Black-Scholes'!$B$8*'Black-Scholes'!$B$7)*IF(LOWER('Black-Scholes'!$B$11)="put",MAX('Black-Scholes'!$B$6-C4073,0),MAX(C4073-'Black-Scholes'!$B$6,0))</f>
        <v>1.21473308739589</v>
      </c>
      <c r="F4073" s="18" t="n">
        <f aca="false">(E4073+G4073)/2</f>
        <v>2.91161160214557</v>
      </c>
      <c r="G4073" s="18" t="n">
        <f aca="false">EXP(-'Black-Scholes'!$B$8*'Black-Scholes'!$B$7)*IF(LOWER('Black-Scholes'!$B$11)="put",MAX('Black-Scholes'!$B$6-D4073,0),MAX(D4073-'Black-Scholes'!$B$6,0))</f>
        <v>4.60849011689526</v>
      </c>
    </row>
    <row r="4074" customFormat="false" ht="15" hidden="false" customHeight="false" outlineLevel="0" collapsed="false">
      <c r="A4074" s="0" t="n">
        <v>4063</v>
      </c>
      <c r="B4074" s="15" t="n">
        <v>0.130258839219421</v>
      </c>
      <c r="C4074" s="18" t="n">
        <f aca="false">'Black-Scholes'!$B$5*EXP(('Black-Scholes'!$B$8-'Black-Scholes'!$B$10-'Black-Scholes'!$B$9^2/2)*'Black-Scholes'!$B$7+'Black-Scholes'!$B$9*SQRT('Black-Scholes'!$B$7)*B4074)</f>
        <v>105.765243470555</v>
      </c>
      <c r="D4074" s="18" t="n">
        <f aca="false">'Black-Scholes'!$B$5*EXP(('Black-Scholes'!$B$8-'Black-Scholes'!$B$10-'Black-Scholes'!$B$9^2/2)*'Black-Scholes'!$B$7-'Black-Scholes'!$B$9*SQRT('Black-Scholes'!$B$7)*B4074)</f>
        <v>100.395603669269</v>
      </c>
      <c r="E4074" s="18" t="n">
        <f aca="false">EXP(-'Black-Scholes'!$B$8*'Black-Scholes'!$B$7)*IF(LOWER('Black-Scholes'!$B$11)="put",MAX('Black-Scholes'!$B$6-C4074,0),MAX(C4074-'Black-Scholes'!$B$6,0))</f>
        <v>5.48406922860281</v>
      </c>
      <c r="F4074" s="18" t="n">
        <f aca="false">(E4074+G4074)/2</f>
        <v>2.93018953962591</v>
      </c>
      <c r="G4074" s="18" t="n">
        <f aca="false">EXP(-'Black-Scholes'!$B$8*'Black-Scholes'!$B$7)*IF(LOWER('Black-Scholes'!$B$11)="put",MAX('Black-Scholes'!$B$6-D4074,0),MAX(D4074-'Black-Scholes'!$B$6,0))</f>
        <v>0.376309850649007</v>
      </c>
    </row>
    <row r="4075" customFormat="false" ht="15" hidden="false" customHeight="false" outlineLevel="0" collapsed="false">
      <c r="A4075" s="0" t="n">
        <v>4064</v>
      </c>
      <c r="B4075" s="15" t="n">
        <v>0.983839920299448</v>
      </c>
      <c r="C4075" s="18" t="n">
        <f aca="false">'Black-Scholes'!$B$5*EXP(('Black-Scholes'!$B$8-'Black-Scholes'!$B$10-'Black-Scholes'!$B$9^2/2)*'Black-Scholes'!$B$7+'Black-Scholes'!$B$9*SQRT('Black-Scholes'!$B$7)*B4075)</f>
        <v>125.45387611808</v>
      </c>
      <c r="D4075" s="18" t="n">
        <f aca="false">'Black-Scholes'!$B$5*EXP(('Black-Scholes'!$B$8-'Black-Scholes'!$B$10-'Black-Scholes'!$B$9^2/2)*'Black-Scholes'!$B$7-'Black-Scholes'!$B$9*SQRT('Black-Scholes'!$B$7)*B4075)</f>
        <v>84.6395965913349</v>
      </c>
      <c r="E4075" s="18" t="n">
        <f aca="false">EXP(-'Black-Scholes'!$B$8*'Black-Scholes'!$B$7)*IF(LOWER('Black-Scholes'!$B$11)="put",MAX('Black-Scholes'!$B$6-C4075,0),MAX(C4075-'Black-Scholes'!$B$6,0))</f>
        <v>24.2124759311138</v>
      </c>
      <c r="F4075" s="18" t="n">
        <f aca="false">(E4075+G4075)/2</f>
        <v>12.1062379655569</v>
      </c>
      <c r="G4075" s="18" t="n">
        <f aca="false">EXP(-'Black-Scholes'!$B$8*'Black-Scholes'!$B$7)*IF(LOWER('Black-Scholes'!$B$11)="put",MAX('Black-Scholes'!$B$6-D4075,0),MAX(D4075-'Black-Scholes'!$B$6,0))</f>
        <v>0</v>
      </c>
    </row>
    <row r="4076" customFormat="false" ht="15" hidden="false" customHeight="false" outlineLevel="0" collapsed="false">
      <c r="A4076" s="0" t="n">
        <v>4065</v>
      </c>
      <c r="B4076" s="15" t="n">
        <v>0.909871795506937</v>
      </c>
      <c r="C4076" s="18" t="n">
        <f aca="false">'Black-Scholes'!$B$5*EXP(('Black-Scholes'!$B$8-'Black-Scholes'!$B$10-'Black-Scholes'!$B$9^2/2)*'Black-Scholes'!$B$7+'Black-Scholes'!$B$9*SQRT('Black-Scholes'!$B$7)*B4076)</f>
        <v>123.611618954226</v>
      </c>
      <c r="D4076" s="18" t="n">
        <f aca="false">'Black-Scholes'!$B$5*EXP(('Black-Scholes'!$B$8-'Black-Scholes'!$B$10-'Black-Scholes'!$B$9^2/2)*'Black-Scholes'!$B$7-'Black-Scholes'!$B$9*SQRT('Black-Scholes'!$B$7)*B4076)</f>
        <v>85.9010306254915</v>
      </c>
      <c r="E4076" s="18" t="n">
        <f aca="false">EXP(-'Black-Scholes'!$B$8*'Black-Scholes'!$B$7)*IF(LOWER('Black-Scholes'!$B$11)="put",MAX('Black-Scholes'!$B$6-C4076,0),MAX(C4076-'Black-Scholes'!$B$6,0))</f>
        <v>22.460066709359</v>
      </c>
      <c r="F4076" s="18" t="n">
        <f aca="false">(E4076+G4076)/2</f>
        <v>11.2300333546795</v>
      </c>
      <c r="G4076" s="18" t="n">
        <f aca="false">EXP(-'Black-Scholes'!$B$8*'Black-Scholes'!$B$7)*IF(LOWER('Black-Scholes'!$B$11)="put",MAX('Black-Scholes'!$B$6-D4076,0),MAX(D4076-'Black-Scholes'!$B$6,0))</f>
        <v>0</v>
      </c>
    </row>
    <row r="4077" customFormat="false" ht="15" hidden="false" customHeight="false" outlineLevel="0" collapsed="false">
      <c r="A4077" s="0" t="n">
        <v>4066</v>
      </c>
      <c r="B4077" s="15" t="n">
        <v>-0.19452645220373</v>
      </c>
      <c r="C4077" s="18" t="n">
        <f aca="false">'Black-Scholes'!$B$5*EXP(('Black-Scholes'!$B$8-'Black-Scholes'!$B$10-'Black-Scholes'!$B$9^2/2)*'Black-Scholes'!$B$7+'Black-Scholes'!$B$9*SQRT('Black-Scholes'!$B$7)*B4077)</f>
        <v>99.1134244215267</v>
      </c>
      <c r="D4077" s="18" t="n">
        <f aca="false">'Black-Scholes'!$B$5*EXP(('Black-Scholes'!$B$8-'Black-Scholes'!$B$10-'Black-Scholes'!$B$9^2/2)*'Black-Scholes'!$B$7-'Black-Scholes'!$B$9*SQRT('Black-Scholes'!$B$7)*B4077)</f>
        <v>107.13347387024</v>
      </c>
      <c r="E4077" s="18" t="n">
        <f aca="false">EXP(-'Black-Scholes'!$B$8*'Black-Scholes'!$B$7)*IF(LOWER('Black-Scholes'!$B$11)="put",MAX('Black-Scholes'!$B$6-C4077,0),MAX(C4077-'Black-Scholes'!$B$6,0))</f>
        <v>0</v>
      </c>
      <c r="F4077" s="18" t="n">
        <f aca="false">(E4077+G4077)/2</f>
        <v>3.39278512213943</v>
      </c>
      <c r="G4077" s="18" t="n">
        <f aca="false">EXP(-'Black-Scholes'!$B$8*'Black-Scholes'!$B$7)*IF(LOWER('Black-Scholes'!$B$11)="put",MAX('Black-Scholes'!$B$6-D4077,0),MAX(D4077-'Black-Scholes'!$B$6,0))</f>
        <v>6.78557024427885</v>
      </c>
    </row>
    <row r="4078" customFormat="false" ht="15" hidden="false" customHeight="false" outlineLevel="0" collapsed="false">
      <c r="A4078" s="0" t="n">
        <v>4067</v>
      </c>
      <c r="B4078" s="15" t="n">
        <v>-0.997102021519507</v>
      </c>
      <c r="C4078" s="18" t="n">
        <f aca="false">'Black-Scholes'!$B$5*EXP(('Black-Scholes'!$B$8-'Black-Scholes'!$B$10-'Black-Scholes'!$B$9^2/2)*'Black-Scholes'!$B$7+'Black-Scholes'!$B$9*SQRT('Black-Scholes'!$B$7)*B4078)</f>
        <v>84.4153942827069</v>
      </c>
      <c r="D4078" s="18" t="n">
        <f aca="false">'Black-Scholes'!$B$5*EXP(('Black-Scholes'!$B$8-'Black-Scholes'!$B$10-'Black-Scholes'!$B$9^2/2)*'Black-Scholes'!$B$7-'Black-Scholes'!$B$9*SQRT('Black-Scholes'!$B$7)*B4078)</f>
        <v>125.787074214126</v>
      </c>
      <c r="E4078" s="18" t="n">
        <f aca="false">EXP(-'Black-Scholes'!$B$8*'Black-Scholes'!$B$7)*IF(LOWER('Black-Scholes'!$B$11)="put",MAX('Black-Scholes'!$B$6-C4078,0),MAX(C4078-'Black-Scholes'!$B$6,0))</f>
        <v>0</v>
      </c>
      <c r="F4078" s="18" t="n">
        <f aca="false">(E4078+G4078)/2</f>
        <v>12.2647118821303</v>
      </c>
      <c r="G4078" s="18" t="n">
        <f aca="false">EXP(-'Black-Scholes'!$B$8*'Black-Scholes'!$B$7)*IF(LOWER('Black-Scholes'!$B$11)="put",MAX('Black-Scholes'!$B$6-D4078,0),MAX(D4078-'Black-Scholes'!$B$6,0))</f>
        <v>24.5294237642607</v>
      </c>
    </row>
    <row r="4079" customFormat="false" ht="15" hidden="false" customHeight="false" outlineLevel="0" collapsed="false">
      <c r="A4079" s="0" t="n">
        <v>4068</v>
      </c>
      <c r="B4079" s="15" t="n">
        <v>1.18615273923021</v>
      </c>
      <c r="C4079" s="18" t="n">
        <f aca="false">'Black-Scholes'!$B$5*EXP(('Black-Scholes'!$B$8-'Black-Scholes'!$B$10-'Black-Scholes'!$B$9^2/2)*'Black-Scholes'!$B$7+'Black-Scholes'!$B$9*SQRT('Black-Scholes'!$B$7)*B4079)</f>
        <v>130.63415858546</v>
      </c>
      <c r="D4079" s="18" t="n">
        <f aca="false">'Black-Scholes'!$B$5*EXP(('Black-Scholes'!$B$8-'Black-Scholes'!$B$10-'Black-Scholes'!$B$9^2/2)*'Black-Scholes'!$B$7-'Black-Scholes'!$B$9*SQRT('Black-Scholes'!$B$7)*B4079)</f>
        <v>81.2832231663752</v>
      </c>
      <c r="E4079" s="18" t="n">
        <f aca="false">EXP(-'Black-Scholes'!$B$8*'Black-Scholes'!$B$7)*IF(LOWER('Black-Scholes'!$B$11)="put",MAX('Black-Scholes'!$B$6-C4079,0),MAX(C4079-'Black-Scholes'!$B$6,0))</f>
        <v>29.1401130413108</v>
      </c>
      <c r="F4079" s="18" t="n">
        <f aca="false">(E4079+G4079)/2</f>
        <v>14.5700565206554</v>
      </c>
      <c r="G4079" s="18" t="n">
        <f aca="false">EXP(-'Black-Scholes'!$B$8*'Black-Scholes'!$B$7)*IF(LOWER('Black-Scholes'!$B$11)="put",MAX('Black-Scholes'!$B$6-D4079,0),MAX(D4079-'Black-Scholes'!$B$6,0))</f>
        <v>0</v>
      </c>
    </row>
    <row r="4080" customFormat="false" ht="15" hidden="false" customHeight="false" outlineLevel="0" collapsed="false">
      <c r="A4080" s="0" t="n">
        <v>4069</v>
      </c>
      <c r="B4080" s="15" t="n">
        <v>1.18210998679793</v>
      </c>
      <c r="C4080" s="18" t="n">
        <f aca="false">'Black-Scholes'!$B$5*EXP(('Black-Scholes'!$B$8-'Black-Scholes'!$B$10-'Black-Scholes'!$B$9^2/2)*'Black-Scholes'!$B$7+'Black-Scholes'!$B$9*SQRT('Black-Scholes'!$B$7)*B4080)</f>
        <v>130.528576962776</v>
      </c>
      <c r="D4080" s="18" t="n">
        <f aca="false">'Black-Scholes'!$B$5*EXP(('Black-Scholes'!$B$8-'Black-Scholes'!$B$10-'Black-Scholes'!$B$9^2/2)*'Black-Scholes'!$B$7-'Black-Scholes'!$B$9*SQRT('Black-Scholes'!$B$7)*B4080)</f>
        <v>81.3489713327812</v>
      </c>
      <c r="E4080" s="18" t="n">
        <f aca="false">EXP(-'Black-Scholes'!$B$8*'Black-Scholes'!$B$7)*IF(LOWER('Black-Scholes'!$B$11)="put",MAX('Black-Scholes'!$B$6-C4080,0),MAX(C4080-'Black-Scholes'!$B$6,0))</f>
        <v>29.0396806951273</v>
      </c>
      <c r="F4080" s="18" t="n">
        <f aca="false">(E4080+G4080)/2</f>
        <v>14.5198403475636</v>
      </c>
      <c r="G4080" s="18" t="n">
        <f aca="false">EXP(-'Black-Scholes'!$B$8*'Black-Scholes'!$B$7)*IF(LOWER('Black-Scholes'!$B$11)="put",MAX('Black-Scholes'!$B$6-D4080,0),MAX(D4080-'Black-Scholes'!$B$6,0))</f>
        <v>0</v>
      </c>
    </row>
    <row r="4081" customFormat="false" ht="15" hidden="false" customHeight="false" outlineLevel="0" collapsed="false">
      <c r="A4081" s="0" t="n">
        <v>4070</v>
      </c>
      <c r="B4081" s="15" t="n">
        <v>-1.38640057042195</v>
      </c>
      <c r="C4081" s="18" t="n">
        <f aca="false">'Black-Scholes'!$B$5*EXP(('Black-Scholes'!$B$8-'Black-Scholes'!$B$10-'Black-Scholes'!$B$9^2/2)*'Black-Scholes'!$B$7+'Black-Scholes'!$B$9*SQRT('Black-Scholes'!$B$7)*B4081)</f>
        <v>78.092191566404</v>
      </c>
      <c r="D4081" s="18" t="n">
        <f aca="false">'Black-Scholes'!$B$5*EXP(('Black-Scholes'!$B$8-'Black-Scholes'!$B$10-'Black-Scholes'!$B$9^2/2)*'Black-Scholes'!$B$7-'Black-Scholes'!$B$9*SQRT('Black-Scholes'!$B$7)*B4081)</f>
        <v>135.97217919572</v>
      </c>
      <c r="E4081" s="18" t="n">
        <f aca="false">EXP(-'Black-Scholes'!$B$8*'Black-Scholes'!$B$7)*IF(LOWER('Black-Scholes'!$B$11)="put",MAX('Black-Scholes'!$B$6-C4081,0),MAX(C4081-'Black-Scholes'!$B$6,0))</f>
        <v>0</v>
      </c>
      <c r="F4081" s="18" t="n">
        <f aca="false">(E4081+G4081)/2</f>
        <v>17.1088976571907</v>
      </c>
      <c r="G4081" s="18" t="n">
        <f aca="false">EXP(-'Black-Scholes'!$B$8*'Black-Scholes'!$B$7)*IF(LOWER('Black-Scholes'!$B$11)="put",MAX('Black-Scholes'!$B$6-D4081,0),MAX(D4081-'Black-Scholes'!$B$6,0))</f>
        <v>34.2177953143814</v>
      </c>
    </row>
    <row r="4082" customFormat="false" ht="15" hidden="false" customHeight="false" outlineLevel="0" collapsed="false">
      <c r="A4082" s="0" t="n">
        <v>4071</v>
      </c>
      <c r="B4082" s="15" t="n">
        <v>-0.63482004213375</v>
      </c>
      <c r="C4082" s="18" t="n">
        <f aca="false">'Black-Scholes'!$B$5*EXP(('Black-Scholes'!$B$8-'Black-Scholes'!$B$10-'Black-Scholes'!$B$9^2/2)*'Black-Scholes'!$B$7+'Black-Scholes'!$B$9*SQRT('Black-Scholes'!$B$7)*B4082)</f>
        <v>90.7588671089574</v>
      </c>
      <c r="D4082" s="18" t="n">
        <f aca="false">'Black-Scholes'!$B$5*EXP(('Black-Scholes'!$B$8-'Black-Scholes'!$B$10-'Black-Scholes'!$B$9^2/2)*'Black-Scholes'!$B$7-'Black-Scholes'!$B$9*SQRT('Black-Scholes'!$B$7)*B4082)</f>
        <v>116.995350467587</v>
      </c>
      <c r="E4082" s="18" t="n">
        <f aca="false">EXP(-'Black-Scholes'!$B$8*'Black-Scholes'!$B$7)*IF(LOWER('Black-Scholes'!$B$11)="put",MAX('Black-Scholes'!$B$6-C4082,0),MAX(C4082-'Black-Scholes'!$B$6,0))</f>
        <v>0</v>
      </c>
      <c r="F4082" s="18" t="n">
        <f aca="false">(E4082+G4082)/2</f>
        <v>8.08323872223521</v>
      </c>
      <c r="G4082" s="18" t="n">
        <f aca="false">EXP(-'Black-Scholes'!$B$8*'Black-Scholes'!$B$7)*IF(LOWER('Black-Scholes'!$B$11)="put",MAX('Black-Scholes'!$B$6-D4082,0),MAX(D4082-'Black-Scholes'!$B$6,0))</f>
        <v>16.1664774444704</v>
      </c>
    </row>
    <row r="4083" customFormat="false" ht="15" hidden="false" customHeight="false" outlineLevel="0" collapsed="false">
      <c r="A4083" s="0" t="n">
        <v>4072</v>
      </c>
      <c r="B4083" s="15" t="n">
        <v>0.593806616231082</v>
      </c>
      <c r="C4083" s="18" t="n">
        <f aca="false">'Black-Scholes'!$B$5*EXP(('Black-Scholes'!$B$8-'Black-Scholes'!$B$10-'Black-Scholes'!$B$9^2/2)*'Black-Scholes'!$B$7+'Black-Scholes'!$B$9*SQRT('Black-Scholes'!$B$7)*B4083)</f>
        <v>116.039599660498</v>
      </c>
      <c r="D4083" s="18" t="n">
        <f aca="false">'Black-Scholes'!$B$5*EXP(('Black-Scholes'!$B$8-'Black-Scholes'!$B$10-'Black-Scholes'!$B$9^2/2)*'Black-Scholes'!$B$7-'Black-Scholes'!$B$9*SQRT('Black-Scholes'!$B$7)*B4083)</f>
        <v>91.5063952006057</v>
      </c>
      <c r="E4083" s="18" t="n">
        <f aca="false">EXP(-'Black-Scholes'!$B$8*'Black-Scholes'!$B$7)*IF(LOWER('Black-Scholes'!$B$11)="put",MAX('Black-Scholes'!$B$6-C4083,0),MAX(C4083-'Black-Scholes'!$B$6,0))</f>
        <v>15.2573391542773</v>
      </c>
      <c r="F4083" s="18" t="n">
        <f aca="false">(E4083+G4083)/2</f>
        <v>7.62866957713867</v>
      </c>
      <c r="G4083" s="18" t="n">
        <f aca="false">EXP(-'Black-Scholes'!$B$8*'Black-Scholes'!$B$7)*IF(LOWER('Black-Scholes'!$B$11)="put",MAX('Black-Scholes'!$B$6-D4083,0),MAX(D4083-'Black-Scholes'!$B$6,0))</f>
        <v>0</v>
      </c>
    </row>
    <row r="4084" customFormat="false" ht="15" hidden="false" customHeight="false" outlineLevel="0" collapsed="false">
      <c r="A4084" s="0" t="n">
        <v>4073</v>
      </c>
      <c r="B4084" s="15" t="n">
        <v>0.838452216232243</v>
      </c>
      <c r="C4084" s="18" t="n">
        <f aca="false">'Black-Scholes'!$B$5*EXP(('Black-Scholes'!$B$8-'Black-Scholes'!$B$10-'Black-Scholes'!$B$9^2/2)*'Black-Scholes'!$B$7+'Black-Scholes'!$B$9*SQRT('Black-Scholes'!$B$7)*B4084)</f>
        <v>121.858511417805</v>
      </c>
      <c r="D4084" s="18" t="n">
        <f aca="false">'Black-Scholes'!$B$5*EXP(('Black-Scholes'!$B$8-'Black-Scholes'!$B$10-'Black-Scholes'!$B$9^2/2)*'Black-Scholes'!$B$7-'Black-Scholes'!$B$9*SQRT('Black-Scholes'!$B$7)*B4084)</f>
        <v>87.1368387969828</v>
      </c>
      <c r="E4084" s="18" t="n">
        <f aca="false">EXP(-'Black-Scholes'!$B$8*'Black-Scholes'!$B$7)*IF(LOWER('Black-Scholes'!$B$11)="put",MAX('Black-Scholes'!$B$6-C4084,0),MAX(C4084-'Black-Scholes'!$B$6,0))</f>
        <v>20.7924592364013</v>
      </c>
      <c r="F4084" s="18" t="n">
        <f aca="false">(E4084+G4084)/2</f>
        <v>10.3962296182006</v>
      </c>
      <c r="G4084" s="18" t="n">
        <f aca="false">EXP(-'Black-Scholes'!$B$8*'Black-Scholes'!$B$7)*IF(LOWER('Black-Scholes'!$B$11)="put",MAX('Black-Scholes'!$B$6-D4084,0),MAX(D4084-'Black-Scholes'!$B$6,0))</f>
        <v>0</v>
      </c>
    </row>
    <row r="4085" customFormat="false" ht="15" hidden="false" customHeight="false" outlineLevel="0" collapsed="false">
      <c r="A4085" s="0" t="n">
        <v>4074</v>
      </c>
      <c r="B4085" s="15" t="n">
        <v>-0.509876743146902</v>
      </c>
      <c r="C4085" s="18" t="n">
        <f aca="false">'Black-Scholes'!$B$5*EXP(('Black-Scholes'!$B$8-'Black-Scholes'!$B$10-'Black-Scholes'!$B$9^2/2)*'Black-Scholes'!$B$7+'Black-Scholes'!$B$9*SQRT('Black-Scholes'!$B$7)*B4085)</f>
        <v>93.0553834955931</v>
      </c>
      <c r="D4085" s="18" t="n">
        <f aca="false">'Black-Scholes'!$B$5*EXP(('Black-Scholes'!$B$8-'Black-Scholes'!$B$10-'Black-Scholes'!$B$9^2/2)*'Black-Scholes'!$B$7-'Black-Scholes'!$B$9*SQRT('Black-Scholes'!$B$7)*B4085)</f>
        <v>114.108018972986</v>
      </c>
      <c r="E4085" s="18" t="n">
        <f aca="false">EXP(-'Black-Scholes'!$B$8*'Black-Scholes'!$B$7)*IF(LOWER('Black-Scholes'!$B$11)="put",MAX('Black-Scholes'!$B$6-C4085,0),MAX(C4085-'Black-Scholes'!$B$6,0))</f>
        <v>0</v>
      </c>
      <c r="F4085" s="18" t="n">
        <f aca="false">(E4085+G4085)/2</f>
        <v>6.70998138425917</v>
      </c>
      <c r="G4085" s="18" t="n">
        <f aca="false">EXP(-'Black-Scholes'!$B$8*'Black-Scholes'!$B$7)*IF(LOWER('Black-Scholes'!$B$11)="put",MAX('Black-Scholes'!$B$6-D4085,0),MAX(D4085-'Black-Scholes'!$B$6,0))</f>
        <v>13.4199627685183</v>
      </c>
    </row>
    <row r="4086" customFormat="false" ht="15" hidden="false" customHeight="false" outlineLevel="0" collapsed="false">
      <c r="A4086" s="0" t="n">
        <v>4075</v>
      </c>
      <c r="B4086" s="15" t="n">
        <v>0.0037180086128783</v>
      </c>
      <c r="C4086" s="18" t="n">
        <f aca="false">'Black-Scholes'!$B$5*EXP(('Black-Scholes'!$B$8-'Black-Scholes'!$B$10-'Black-Scholes'!$B$9^2/2)*'Black-Scholes'!$B$7+'Black-Scholes'!$B$9*SQRT('Black-Scholes'!$B$7)*B4086)</f>
        <v>103.122106668221</v>
      </c>
      <c r="D4086" s="18" t="n">
        <f aca="false">'Black-Scholes'!$B$5*EXP(('Black-Scholes'!$B$8-'Black-Scholes'!$B$10-'Black-Scholes'!$B$9^2/2)*'Black-Scholes'!$B$7-'Black-Scholes'!$B$9*SQRT('Black-Scholes'!$B$7)*B4086)</f>
        <v>102.968857100801</v>
      </c>
      <c r="E4086" s="18" t="n">
        <f aca="false">EXP(-'Black-Scholes'!$B$8*'Black-Scholes'!$B$7)*IF(LOWER('Black-Scholes'!$B$11)="put",MAX('Black-Scholes'!$B$6-C4086,0),MAX(C4086-'Black-Scholes'!$B$6,0))</f>
        <v>2.96983972924156</v>
      </c>
      <c r="F4086" s="18" t="n">
        <f aca="false">(E4086+G4086)/2</f>
        <v>2.89695198033071</v>
      </c>
      <c r="G4086" s="18" t="n">
        <f aca="false">EXP(-'Black-Scholes'!$B$8*'Black-Scholes'!$B$7)*IF(LOWER('Black-Scholes'!$B$11)="put",MAX('Black-Scholes'!$B$6-D4086,0),MAX(D4086-'Black-Scholes'!$B$6,0))</f>
        <v>2.82406423141985</v>
      </c>
    </row>
    <row r="4087" customFormat="false" ht="15" hidden="false" customHeight="false" outlineLevel="0" collapsed="false">
      <c r="A4087" s="0" t="n">
        <v>4076</v>
      </c>
      <c r="B4087" s="15" t="n">
        <v>0.187228911935734</v>
      </c>
      <c r="C4087" s="18" t="n">
        <f aca="false">'Black-Scholes'!$B$5*EXP(('Black-Scholes'!$B$8-'Black-Scholes'!$B$10-'Black-Scholes'!$B$9^2/2)*'Black-Scholes'!$B$7+'Black-Scholes'!$B$9*SQRT('Black-Scholes'!$B$7)*B4087)</f>
        <v>106.977225752745</v>
      </c>
      <c r="D4087" s="18" t="n">
        <f aca="false">'Black-Scholes'!$B$5*EXP(('Black-Scholes'!$B$8-'Black-Scholes'!$B$10-'Black-Scholes'!$B$9^2/2)*'Black-Scholes'!$B$7-'Black-Scholes'!$B$9*SQRT('Black-Scholes'!$B$7)*B4087)</f>
        <v>99.258186877978</v>
      </c>
      <c r="E4087" s="18" t="n">
        <f aca="false">EXP(-'Black-Scholes'!$B$8*'Black-Scholes'!$B$7)*IF(LOWER('Black-Scholes'!$B$11)="put",MAX('Black-Scholes'!$B$6-C4087,0),MAX(C4087-'Black-Scholes'!$B$6,0))</f>
        <v>6.63694243739515</v>
      </c>
      <c r="F4087" s="18" t="n">
        <f aca="false">(E4087+G4087)/2</f>
        <v>3.31847121869757</v>
      </c>
      <c r="G4087" s="18" t="n">
        <f aca="false">EXP(-'Black-Scholes'!$B$8*'Black-Scholes'!$B$7)*IF(LOWER('Black-Scholes'!$B$11)="put",MAX('Black-Scholes'!$B$6-D4087,0),MAX(D4087-'Black-Scholes'!$B$6,0))</f>
        <v>0</v>
      </c>
    </row>
    <row r="4088" customFormat="false" ht="15" hidden="false" customHeight="false" outlineLevel="0" collapsed="false">
      <c r="A4088" s="0" t="n">
        <v>4077</v>
      </c>
      <c r="B4088" s="15" t="n">
        <v>-0.800622426831736</v>
      </c>
      <c r="C4088" s="18" t="n">
        <f aca="false">'Black-Scholes'!$B$5*EXP(('Black-Scholes'!$B$8-'Black-Scholes'!$B$10-'Black-Scholes'!$B$9^2/2)*'Black-Scholes'!$B$7+'Black-Scholes'!$B$9*SQRT('Black-Scholes'!$B$7)*B4088)</f>
        <v>87.7986127692623</v>
      </c>
      <c r="D4088" s="18" t="n">
        <f aca="false">'Black-Scholes'!$B$5*EXP(('Black-Scholes'!$B$8-'Black-Scholes'!$B$10-'Black-Scholes'!$B$9^2/2)*'Black-Scholes'!$B$7-'Black-Scholes'!$B$9*SQRT('Black-Scholes'!$B$7)*B4088)</f>
        <v>120.940014090644</v>
      </c>
      <c r="E4088" s="18" t="n">
        <f aca="false">EXP(-'Black-Scholes'!$B$8*'Black-Scholes'!$B$7)*IF(LOWER('Black-Scholes'!$B$11)="put",MAX('Black-Scholes'!$B$6-C4088,0),MAX(C4088-'Black-Scholes'!$B$6,0))</f>
        <v>0</v>
      </c>
      <c r="F4088" s="18" t="n">
        <f aca="false">(E4088+G4088)/2</f>
        <v>9.95937877624018</v>
      </c>
      <c r="G4088" s="18" t="n">
        <f aca="false">EXP(-'Black-Scholes'!$B$8*'Black-Scholes'!$B$7)*IF(LOWER('Black-Scholes'!$B$11)="put",MAX('Black-Scholes'!$B$6-D4088,0),MAX(D4088-'Black-Scholes'!$B$6,0))</f>
        <v>19.9187575524804</v>
      </c>
    </row>
    <row r="4089" customFormat="false" ht="15" hidden="false" customHeight="false" outlineLevel="0" collapsed="false">
      <c r="A4089" s="0" t="n">
        <v>4078</v>
      </c>
      <c r="B4089" s="15" t="n">
        <v>-0.188995826676292</v>
      </c>
      <c r="C4089" s="18" t="n">
        <f aca="false">'Black-Scholes'!$B$5*EXP(('Black-Scholes'!$B$8-'Black-Scholes'!$B$10-'Black-Scholes'!$B$9^2/2)*'Black-Scholes'!$B$7+'Black-Scholes'!$B$9*SQRT('Black-Scholes'!$B$7)*B4089)</f>
        <v>99.2231169242016</v>
      </c>
      <c r="D4089" s="18" t="n">
        <f aca="false">'Black-Scholes'!$B$5*EXP(('Black-Scholes'!$B$8-'Black-Scholes'!$B$10-'Black-Scholes'!$B$9^2/2)*'Black-Scholes'!$B$7-'Black-Scholes'!$B$9*SQRT('Black-Scholes'!$B$7)*B4089)</f>
        <v>107.015036360581</v>
      </c>
      <c r="E4089" s="18" t="n">
        <f aca="false">EXP(-'Black-Scholes'!$B$8*'Black-Scholes'!$B$7)*IF(LOWER('Black-Scholes'!$B$11)="put",MAX('Black-Scholes'!$B$6-C4089,0),MAX(C4089-'Black-Scholes'!$B$6,0))</f>
        <v>0</v>
      </c>
      <c r="F4089" s="18" t="n">
        <f aca="false">(E4089+G4089)/2</f>
        <v>3.33645450006344</v>
      </c>
      <c r="G4089" s="18" t="n">
        <f aca="false">EXP(-'Black-Scholes'!$B$8*'Black-Scholes'!$B$7)*IF(LOWER('Black-Scholes'!$B$11)="put",MAX('Black-Scholes'!$B$6-D4089,0),MAX(D4089-'Black-Scholes'!$B$6,0))</f>
        <v>6.67290900012688</v>
      </c>
    </row>
    <row r="4090" customFormat="false" ht="15" hidden="false" customHeight="false" outlineLevel="0" collapsed="false">
      <c r="A4090" s="0" t="n">
        <v>4079</v>
      </c>
      <c r="B4090" s="15" t="n">
        <v>-0.954391871675476</v>
      </c>
      <c r="C4090" s="18" t="n">
        <f aca="false">'Black-Scholes'!$B$5*EXP(('Black-Scholes'!$B$8-'Black-Scholes'!$B$10-'Black-Scholes'!$B$9^2/2)*'Black-Scholes'!$B$7+'Black-Scholes'!$B$9*SQRT('Black-Scholes'!$B$7)*B4090)</f>
        <v>85.1395616368081</v>
      </c>
      <c r="D4090" s="18" t="n">
        <f aca="false">'Black-Scholes'!$B$5*EXP(('Black-Scholes'!$B$8-'Black-Scholes'!$B$10-'Black-Scholes'!$B$9^2/2)*'Black-Scholes'!$B$7-'Black-Scholes'!$B$9*SQRT('Black-Scholes'!$B$7)*B4090)</f>
        <v>124.71717332478</v>
      </c>
      <c r="E4090" s="18" t="n">
        <f aca="false">EXP(-'Black-Scholes'!$B$8*'Black-Scholes'!$B$7)*IF(LOWER('Black-Scholes'!$B$11)="put",MAX('Black-Scholes'!$B$6-C4090,0),MAX(C4090-'Black-Scholes'!$B$6,0))</f>
        <v>0</v>
      </c>
      <c r="F4090" s="18" t="n">
        <f aca="false">(E4090+G4090)/2</f>
        <v>11.7558512785075</v>
      </c>
      <c r="G4090" s="18" t="n">
        <f aca="false">EXP(-'Black-Scholes'!$B$8*'Black-Scholes'!$B$7)*IF(LOWER('Black-Scholes'!$B$11)="put",MAX('Black-Scholes'!$B$6-D4090,0),MAX(D4090-'Black-Scholes'!$B$6,0))</f>
        <v>23.5117025570151</v>
      </c>
    </row>
    <row r="4091" customFormat="false" ht="15" hidden="false" customHeight="false" outlineLevel="0" collapsed="false">
      <c r="A4091" s="0" t="n">
        <v>4080</v>
      </c>
      <c r="B4091" s="15" t="n">
        <v>0.444445056218036</v>
      </c>
      <c r="C4091" s="18" t="n">
        <f aca="false">'Black-Scholes'!$B$5*EXP(('Black-Scholes'!$B$8-'Black-Scholes'!$B$10-'Black-Scholes'!$B$9^2/2)*'Black-Scholes'!$B$7+'Black-Scholes'!$B$9*SQRT('Black-Scholes'!$B$7)*B4091)</f>
        <v>112.624491082922</v>
      </c>
      <c r="D4091" s="18" t="n">
        <f aca="false">'Black-Scholes'!$B$5*EXP(('Black-Scholes'!$B$8-'Black-Scholes'!$B$10-'Black-Scholes'!$B$9^2/2)*'Black-Scholes'!$B$7-'Black-Scholes'!$B$9*SQRT('Black-Scholes'!$B$7)*B4091)</f>
        <v>94.2811404815635</v>
      </c>
      <c r="E4091" s="18" t="n">
        <f aca="false">EXP(-'Black-Scholes'!$B$8*'Black-Scholes'!$B$7)*IF(LOWER('Black-Scholes'!$B$11)="put",MAX('Black-Scholes'!$B$6-C4091,0),MAX(C4091-'Black-Scholes'!$B$6,0))</f>
        <v>12.0087873874226</v>
      </c>
      <c r="F4091" s="18" t="n">
        <f aca="false">(E4091+G4091)/2</f>
        <v>6.0043936937113</v>
      </c>
      <c r="G4091" s="18" t="n">
        <f aca="false">EXP(-'Black-Scholes'!$B$8*'Black-Scholes'!$B$7)*IF(LOWER('Black-Scholes'!$B$11)="put",MAX('Black-Scholes'!$B$6-D4091,0),MAX(D4091-'Black-Scholes'!$B$6,0))</f>
        <v>0</v>
      </c>
    </row>
    <row r="4092" customFormat="false" ht="15" hidden="false" customHeight="false" outlineLevel="0" collapsed="false">
      <c r="A4092" s="0" t="n">
        <v>4081</v>
      </c>
      <c r="B4092" s="15" t="n">
        <v>-0.755519683508084</v>
      </c>
      <c r="C4092" s="18" t="n">
        <f aca="false">'Black-Scholes'!$B$5*EXP(('Black-Scholes'!$B$8-'Black-Scholes'!$B$10-'Black-Scholes'!$B$9^2/2)*'Black-Scholes'!$B$7+'Black-Scholes'!$B$9*SQRT('Black-Scholes'!$B$7)*B4092)</f>
        <v>88.594187293127</v>
      </c>
      <c r="D4092" s="18" t="n">
        <f aca="false">'Black-Scholes'!$B$5*EXP(('Black-Scholes'!$B$8-'Black-Scholes'!$B$10-'Black-Scholes'!$B$9^2/2)*'Black-Scholes'!$B$7-'Black-Scholes'!$B$9*SQRT('Black-Scholes'!$B$7)*B4092)</f>
        <v>119.853974508747</v>
      </c>
      <c r="E4092" s="18" t="n">
        <f aca="false">EXP(-'Black-Scholes'!$B$8*'Black-Scholes'!$B$7)*IF(LOWER('Black-Scholes'!$B$11)="put",MAX('Black-Scholes'!$B$6-C4092,0),MAX(C4092-'Black-Scholes'!$B$6,0))</f>
        <v>0</v>
      </c>
      <c r="F4092" s="18" t="n">
        <f aca="false">(E4092+G4092)/2</f>
        <v>9.44284237300361</v>
      </c>
      <c r="G4092" s="18" t="n">
        <f aca="false">EXP(-'Black-Scholes'!$B$8*'Black-Scholes'!$B$7)*IF(LOWER('Black-Scholes'!$B$11)="put",MAX('Black-Scholes'!$B$6-D4092,0),MAX(D4092-'Black-Scholes'!$B$6,0))</f>
        <v>18.8856847460072</v>
      </c>
    </row>
    <row r="4093" customFormat="false" ht="15" hidden="false" customHeight="false" outlineLevel="0" collapsed="false">
      <c r="A4093" s="0" t="n">
        <v>4082</v>
      </c>
      <c r="B4093" s="15" t="n">
        <v>-0.267154987946107</v>
      </c>
      <c r="C4093" s="18" t="n">
        <f aca="false">'Black-Scholes'!$B$5*EXP(('Black-Scholes'!$B$8-'Black-Scholes'!$B$10-'Black-Scholes'!$B$9^2/2)*'Black-Scholes'!$B$7+'Black-Scholes'!$B$9*SQRT('Black-Scholes'!$B$7)*B4093)</f>
        <v>97.6841376753308</v>
      </c>
      <c r="D4093" s="18" t="n">
        <f aca="false">'Black-Scholes'!$B$5*EXP(('Black-Scholes'!$B$8-'Black-Scholes'!$B$10-'Black-Scholes'!$B$9^2/2)*'Black-Scholes'!$B$7-'Black-Scholes'!$B$9*SQRT('Black-Scholes'!$B$7)*B4093)</f>
        <v>108.701020638023</v>
      </c>
      <c r="E4093" s="18" t="n">
        <f aca="false">EXP(-'Black-Scholes'!$B$8*'Black-Scholes'!$B$7)*IF(LOWER('Black-Scholes'!$B$11)="put",MAX('Black-Scholes'!$B$6-C4093,0),MAX(C4093-'Black-Scholes'!$B$6,0))</f>
        <v>0</v>
      </c>
      <c r="F4093" s="18" t="n">
        <f aca="false">(E4093+G4093)/2</f>
        <v>4.13833342703764</v>
      </c>
      <c r="G4093" s="18" t="n">
        <f aca="false">EXP(-'Black-Scholes'!$B$8*'Black-Scholes'!$B$7)*IF(LOWER('Black-Scholes'!$B$11)="put",MAX('Black-Scholes'!$B$6-D4093,0),MAX(D4093-'Black-Scholes'!$B$6,0))</f>
        <v>8.27666685407528</v>
      </c>
    </row>
    <row r="4094" customFormat="false" ht="15" hidden="false" customHeight="false" outlineLevel="0" collapsed="false">
      <c r="A4094" s="0" t="n">
        <v>4083</v>
      </c>
      <c r="B4094" s="15" t="n">
        <v>-0.976089357286609</v>
      </c>
      <c r="C4094" s="18" t="n">
        <f aca="false">'Black-Scholes'!$B$5*EXP(('Black-Scholes'!$B$8-'Black-Scholes'!$B$10-'Black-Scholes'!$B$9^2/2)*'Black-Scholes'!$B$7+'Black-Scholes'!$B$9*SQRT('Black-Scholes'!$B$7)*B4094)</f>
        <v>84.7708992373388</v>
      </c>
      <c r="D4094" s="18" t="n">
        <f aca="false">'Black-Scholes'!$B$5*EXP(('Black-Scholes'!$B$8-'Black-Scholes'!$B$10-'Black-Scholes'!$B$9^2/2)*'Black-Scholes'!$B$7-'Black-Scholes'!$B$9*SQRT('Black-Scholes'!$B$7)*B4094)</f>
        <v>125.259559129185</v>
      </c>
      <c r="E4094" s="18" t="n">
        <f aca="false">EXP(-'Black-Scholes'!$B$8*'Black-Scholes'!$B$7)*IF(LOWER('Black-Scholes'!$B$11)="put",MAX('Black-Scholes'!$B$6-C4094,0),MAX(C4094-'Black-Scholes'!$B$6,0))</f>
        <v>0</v>
      </c>
      <c r="F4094" s="18" t="n">
        <f aca="false">(E4094+G4094)/2</f>
        <v>12.013817946798</v>
      </c>
      <c r="G4094" s="18" t="n">
        <f aca="false">EXP(-'Black-Scholes'!$B$8*'Black-Scholes'!$B$7)*IF(LOWER('Black-Scholes'!$B$11)="put",MAX('Black-Scholes'!$B$6-D4094,0),MAX(D4094-'Black-Scholes'!$B$6,0))</f>
        <v>24.0276358935961</v>
      </c>
    </row>
    <row r="4095" customFormat="false" ht="15" hidden="false" customHeight="false" outlineLevel="0" collapsed="false">
      <c r="A4095" s="0" t="n">
        <v>4084</v>
      </c>
      <c r="B4095" s="15" t="n">
        <v>0.513984254885552</v>
      </c>
      <c r="C4095" s="18" t="n">
        <f aca="false">'Black-Scholes'!$B$5*EXP(('Black-Scholes'!$B$8-'Black-Scholes'!$B$10-'Black-Scholes'!$B$9^2/2)*'Black-Scholes'!$B$7+'Black-Scholes'!$B$9*SQRT('Black-Scholes'!$B$7)*B4095)</f>
        <v>114.20179749283</v>
      </c>
      <c r="D4095" s="18" t="n">
        <f aca="false">'Black-Scholes'!$B$5*EXP(('Black-Scholes'!$B$8-'Black-Scholes'!$B$10-'Black-Scholes'!$B$9^2/2)*'Black-Scholes'!$B$7-'Black-Scholes'!$B$9*SQRT('Black-Scholes'!$B$7)*B4095)</f>
        <v>92.9789696709481</v>
      </c>
      <c r="E4095" s="18" t="n">
        <f aca="false">EXP(-'Black-Scholes'!$B$8*'Black-Scholes'!$B$7)*IF(LOWER('Black-Scholes'!$B$11)="put",MAX('Black-Scholes'!$B$6-C4095,0),MAX(C4095-'Black-Scholes'!$B$6,0))</f>
        <v>13.5091676559803</v>
      </c>
      <c r="F4095" s="18" t="n">
        <f aca="false">(E4095+G4095)/2</f>
        <v>6.75458382799016</v>
      </c>
      <c r="G4095" s="18" t="n">
        <f aca="false">EXP(-'Black-Scholes'!$B$8*'Black-Scholes'!$B$7)*IF(LOWER('Black-Scholes'!$B$11)="put",MAX('Black-Scholes'!$B$6-D4095,0),MAX(D4095-'Black-Scholes'!$B$6,0))</f>
        <v>0</v>
      </c>
    </row>
    <row r="4096" customFormat="false" ht="15" hidden="false" customHeight="false" outlineLevel="0" collapsed="false">
      <c r="A4096" s="0" t="n">
        <v>4085</v>
      </c>
      <c r="B4096" s="15" t="n">
        <v>-0.54369054837717</v>
      </c>
      <c r="C4096" s="18" t="n">
        <f aca="false">'Black-Scholes'!$B$5*EXP(('Black-Scholes'!$B$8-'Black-Scholes'!$B$10-'Black-Scholes'!$B$9^2/2)*'Black-Scholes'!$B$7+'Black-Scholes'!$B$9*SQRT('Black-Scholes'!$B$7)*B4096)</f>
        <v>92.428195325193</v>
      </c>
      <c r="D4096" s="18" t="n">
        <f aca="false">'Black-Scholes'!$B$5*EXP(('Black-Scholes'!$B$8-'Black-Scholes'!$B$10-'Black-Scholes'!$B$9^2/2)*'Black-Scholes'!$B$7-'Black-Scholes'!$B$9*SQRT('Black-Scholes'!$B$7)*B4096)</f>
        <v>114.882319492387</v>
      </c>
      <c r="E4096" s="18" t="n">
        <f aca="false">EXP(-'Black-Scholes'!$B$8*'Black-Scholes'!$B$7)*IF(LOWER('Black-Scholes'!$B$11)="put",MAX('Black-Scholes'!$B$6-C4096,0),MAX(C4096-'Black-Scholes'!$B$6,0))</f>
        <v>0</v>
      </c>
      <c r="F4096" s="18" t="n">
        <f aca="false">(E4096+G4096)/2</f>
        <v>7.07825010298965</v>
      </c>
      <c r="G4096" s="18" t="n">
        <f aca="false">EXP(-'Black-Scholes'!$B$8*'Black-Scholes'!$B$7)*IF(LOWER('Black-Scholes'!$B$11)="put",MAX('Black-Scholes'!$B$6-D4096,0),MAX(D4096-'Black-Scholes'!$B$6,0))</f>
        <v>14.1565002059793</v>
      </c>
    </row>
    <row r="4097" customFormat="false" ht="15" hidden="false" customHeight="false" outlineLevel="0" collapsed="false">
      <c r="A4097" s="0" t="n">
        <v>4086</v>
      </c>
      <c r="B4097" s="15" t="n">
        <v>-1.69465194143131</v>
      </c>
      <c r="C4097" s="18" t="n">
        <f aca="false">'Black-Scholes'!$B$5*EXP(('Black-Scholes'!$B$8-'Black-Scholes'!$B$10-'Black-Scholes'!$B$9^2/2)*'Black-Scholes'!$B$7+'Black-Scholes'!$B$9*SQRT('Black-Scholes'!$B$7)*B4097)</f>
        <v>73.4231879386742</v>
      </c>
      <c r="D4097" s="18" t="n">
        <f aca="false">'Black-Scholes'!$B$5*EXP(('Black-Scholes'!$B$8-'Black-Scholes'!$B$10-'Black-Scholes'!$B$9^2/2)*'Black-Scholes'!$B$7-'Black-Scholes'!$B$9*SQRT('Black-Scholes'!$B$7)*B4097)</f>
        <v>144.618692862021</v>
      </c>
      <c r="E4097" s="18" t="n">
        <f aca="false">EXP(-'Black-Scholes'!$B$8*'Black-Scholes'!$B$7)*IF(LOWER('Black-Scholes'!$B$11)="put",MAX('Black-Scholes'!$B$6-C4097,0),MAX(C4097-'Black-Scholes'!$B$6,0))</f>
        <v>0</v>
      </c>
      <c r="F4097" s="18" t="n">
        <f aca="false">(E4097+G4097)/2</f>
        <v>21.2213067665573</v>
      </c>
      <c r="G4097" s="18" t="n">
        <f aca="false">EXP(-'Black-Scholes'!$B$8*'Black-Scholes'!$B$7)*IF(LOWER('Black-Scholes'!$B$11)="put",MAX('Black-Scholes'!$B$6-D4097,0),MAX(D4097-'Black-Scholes'!$B$6,0))</f>
        <v>42.4426135331146</v>
      </c>
    </row>
    <row r="4098" customFormat="false" ht="15" hidden="false" customHeight="false" outlineLevel="0" collapsed="false">
      <c r="A4098" s="0" t="n">
        <v>4087</v>
      </c>
      <c r="B4098" s="15" t="n">
        <v>-0.85436288723678</v>
      </c>
      <c r="C4098" s="18" t="n">
        <f aca="false">'Black-Scholes'!$B$5*EXP(('Black-Scholes'!$B$8-'Black-Scholes'!$B$10-'Black-Scholes'!$B$9^2/2)*'Black-Scholes'!$B$7+'Black-Scholes'!$B$9*SQRT('Black-Scholes'!$B$7)*B4098)</f>
        <v>86.8599983873624</v>
      </c>
      <c r="D4098" s="18" t="n">
        <f aca="false">'Black-Scholes'!$B$5*EXP(('Black-Scholes'!$B$8-'Black-Scholes'!$B$10-'Black-Scholes'!$B$9^2/2)*'Black-Scholes'!$B$7-'Black-Scholes'!$B$9*SQRT('Black-Scholes'!$B$7)*B4098)</f>
        <v>122.246899177913</v>
      </c>
      <c r="E4098" s="18" t="n">
        <f aca="false">EXP(-'Black-Scholes'!$B$8*'Black-Scholes'!$B$7)*IF(LOWER('Black-Scholes'!$B$11)="put",MAX('Black-Scholes'!$B$6-C4098,0),MAX(C4098-'Black-Scholes'!$B$6,0))</f>
        <v>0</v>
      </c>
      <c r="F4098" s="18" t="n">
        <f aca="false">(E4098+G4098)/2</f>
        <v>10.5809525509659</v>
      </c>
      <c r="G4098" s="18" t="n">
        <f aca="false">EXP(-'Black-Scholes'!$B$8*'Black-Scholes'!$B$7)*IF(LOWER('Black-Scholes'!$B$11)="put",MAX('Black-Scholes'!$B$6-D4098,0),MAX(D4098-'Black-Scholes'!$B$6,0))</f>
        <v>21.1619051019318</v>
      </c>
    </row>
    <row r="4099" customFormat="false" ht="15" hidden="false" customHeight="false" outlineLevel="0" collapsed="false">
      <c r="A4099" s="0" t="n">
        <v>4088</v>
      </c>
      <c r="B4099" s="15" t="n">
        <v>1.86309220561831</v>
      </c>
      <c r="C4099" s="18" t="n">
        <f aca="false">'Black-Scholes'!$B$5*EXP(('Black-Scholes'!$B$8-'Black-Scholes'!$B$10-'Black-Scholes'!$B$9^2/2)*'Black-Scholes'!$B$7+'Black-Scholes'!$B$9*SQRT('Black-Scholes'!$B$7)*B4099)</f>
        <v>149.573607139504</v>
      </c>
      <c r="D4099" s="18" t="n">
        <f aca="false">'Black-Scholes'!$B$5*EXP(('Black-Scholes'!$B$8-'Black-Scholes'!$B$10-'Black-Scholes'!$B$9^2/2)*'Black-Scholes'!$B$7-'Black-Scholes'!$B$9*SQRT('Black-Scholes'!$B$7)*B4099)</f>
        <v>70.9909031982501</v>
      </c>
      <c r="E4099" s="18" t="n">
        <f aca="false">EXP(-'Black-Scholes'!$B$8*'Black-Scholes'!$B$7)*IF(LOWER('Black-Scholes'!$B$11)="put",MAX('Black-Scholes'!$B$6-C4099,0),MAX(C4099-'Black-Scholes'!$B$6,0))</f>
        <v>47.1558737897346</v>
      </c>
      <c r="F4099" s="18" t="n">
        <f aca="false">(E4099+G4099)/2</f>
        <v>23.5779368948673</v>
      </c>
      <c r="G4099" s="18" t="n">
        <f aca="false">EXP(-'Black-Scholes'!$B$8*'Black-Scholes'!$B$7)*IF(LOWER('Black-Scholes'!$B$11)="put",MAX('Black-Scholes'!$B$6-D4099,0),MAX(D4099-'Black-Scholes'!$B$6,0))</f>
        <v>0</v>
      </c>
    </row>
    <row r="4100" customFormat="false" ht="15" hidden="false" customHeight="false" outlineLevel="0" collapsed="false">
      <c r="A4100" s="0" t="n">
        <v>4089</v>
      </c>
      <c r="B4100" s="15" t="n">
        <v>-2.54512559919412</v>
      </c>
      <c r="C4100" s="18" t="n">
        <f aca="false">'Black-Scholes'!$B$5*EXP(('Black-Scholes'!$B$8-'Black-Scholes'!$B$10-'Black-Scholes'!$B$9^2/2)*'Black-Scholes'!$B$7+'Black-Scholes'!$B$9*SQRT('Black-Scholes'!$B$7)*B4100)</f>
        <v>61.9386925597638</v>
      </c>
      <c r="D4100" s="18" t="n">
        <f aca="false">'Black-Scholes'!$B$5*EXP(('Black-Scholes'!$B$8-'Black-Scholes'!$B$10-'Black-Scholes'!$B$9^2/2)*'Black-Scholes'!$B$7-'Black-Scholes'!$B$9*SQRT('Black-Scholes'!$B$7)*B4100)</f>
        <v>171.433477631257</v>
      </c>
      <c r="E4100" s="18" t="n">
        <f aca="false">EXP(-'Black-Scholes'!$B$8*'Black-Scholes'!$B$7)*IF(LOWER('Black-Scholes'!$B$11)="put",MAX('Black-Scholes'!$B$6-C4100,0),MAX(C4100-'Black-Scholes'!$B$6,0))</f>
        <v>0</v>
      </c>
      <c r="F4100" s="18" t="n">
        <f aca="false">(E4100+G4100)/2</f>
        <v>33.9748129086328</v>
      </c>
      <c r="G4100" s="18" t="n">
        <f aca="false">EXP(-'Black-Scholes'!$B$8*'Black-Scholes'!$B$7)*IF(LOWER('Black-Scholes'!$B$11)="put",MAX('Black-Scholes'!$B$6-D4100,0),MAX(D4100-'Black-Scholes'!$B$6,0))</f>
        <v>67.9496258172656</v>
      </c>
    </row>
    <row r="4101" customFormat="false" ht="15" hidden="false" customHeight="false" outlineLevel="0" collapsed="false">
      <c r="A4101" s="0" t="n">
        <v>4090</v>
      </c>
      <c r="B4101" s="15" t="n">
        <v>-0.195187320123487</v>
      </c>
      <c r="C4101" s="18" t="n">
        <f aca="false">'Black-Scholes'!$B$5*EXP(('Black-Scholes'!$B$8-'Black-Scholes'!$B$10-'Black-Scholes'!$B$9^2/2)*'Black-Scholes'!$B$7+'Black-Scholes'!$B$9*SQRT('Black-Scholes'!$B$7)*B4101)</f>
        <v>99.1003251107138</v>
      </c>
      <c r="D4101" s="18" t="n">
        <f aca="false">'Black-Scholes'!$B$5*EXP(('Black-Scholes'!$B$8-'Black-Scholes'!$B$10-'Black-Scholes'!$B$9^2/2)*'Black-Scholes'!$B$7-'Black-Scholes'!$B$9*SQRT('Black-Scholes'!$B$7)*B4101)</f>
        <v>107.147635021287</v>
      </c>
      <c r="E4101" s="18" t="n">
        <f aca="false">EXP(-'Black-Scholes'!$B$8*'Black-Scholes'!$B$7)*IF(LOWER('Black-Scholes'!$B$11)="put",MAX('Black-Scholes'!$B$6-C4101,0),MAX(C4101-'Black-Scholes'!$B$6,0))</f>
        <v>0</v>
      </c>
      <c r="F4101" s="18" t="n">
        <f aca="false">(E4101+G4101)/2</f>
        <v>3.39952037391979</v>
      </c>
      <c r="G4101" s="18" t="n">
        <f aca="false">EXP(-'Black-Scholes'!$B$8*'Black-Scholes'!$B$7)*IF(LOWER('Black-Scholes'!$B$11)="put",MAX('Black-Scholes'!$B$6-D4101,0),MAX(D4101-'Black-Scholes'!$B$6,0))</f>
        <v>6.79904074783958</v>
      </c>
    </row>
    <row r="4102" customFormat="false" ht="15" hidden="false" customHeight="false" outlineLevel="0" collapsed="false">
      <c r="A4102" s="0" t="n">
        <v>4091</v>
      </c>
      <c r="B4102" s="15" t="n">
        <v>0.814380679256195</v>
      </c>
      <c r="C4102" s="18" t="n">
        <f aca="false">'Black-Scholes'!$B$5*EXP(('Black-Scholes'!$B$8-'Black-Scholes'!$B$10-'Black-Scholes'!$B$9^2/2)*'Black-Scholes'!$B$7+'Black-Scholes'!$B$9*SQRT('Black-Scholes'!$B$7)*B4102)</f>
        <v>121.273257012819</v>
      </c>
      <c r="D4102" s="18" t="n">
        <f aca="false">'Black-Scholes'!$B$5*EXP(('Black-Scholes'!$B$8-'Black-Scholes'!$B$10-'Black-Scholes'!$B$9^2/2)*'Black-Scholes'!$B$7-'Black-Scholes'!$B$9*SQRT('Black-Scholes'!$B$7)*B4102)</f>
        <v>87.5573537563288</v>
      </c>
      <c r="E4102" s="18" t="n">
        <f aca="false">EXP(-'Black-Scholes'!$B$8*'Black-Scholes'!$B$7)*IF(LOWER('Black-Scholes'!$B$11)="put",MAX('Black-Scholes'!$B$6-C4102,0),MAX(C4102-'Black-Scholes'!$B$6,0))</f>
        <v>20.2357480255598</v>
      </c>
      <c r="F4102" s="18" t="n">
        <f aca="false">(E4102+G4102)/2</f>
        <v>10.1178740127799</v>
      </c>
      <c r="G4102" s="18" t="n">
        <f aca="false">EXP(-'Black-Scholes'!$B$8*'Black-Scholes'!$B$7)*IF(LOWER('Black-Scholes'!$B$11)="put",MAX('Black-Scholes'!$B$6-D4102,0),MAX(D4102-'Black-Scholes'!$B$6,0))</f>
        <v>0</v>
      </c>
    </row>
    <row r="4103" customFormat="false" ht="15" hidden="false" customHeight="false" outlineLevel="0" collapsed="false">
      <c r="A4103" s="0" t="n">
        <v>4092</v>
      </c>
      <c r="B4103" s="15" t="n">
        <v>0.980345974422288</v>
      </c>
      <c r="C4103" s="18" t="n">
        <f aca="false">'Black-Scholes'!$B$5*EXP(('Black-Scholes'!$B$8-'Black-Scholes'!$B$10-'Black-Scholes'!$B$9^2/2)*'Black-Scholes'!$B$7+'Black-Scholes'!$B$9*SQRT('Black-Scholes'!$B$7)*B4103)</f>
        <v>125.366240930259</v>
      </c>
      <c r="D4103" s="18" t="n">
        <f aca="false">'Black-Scholes'!$B$5*EXP(('Black-Scholes'!$B$8-'Black-Scholes'!$B$10-'Black-Scholes'!$B$9^2/2)*'Black-Scholes'!$B$7-'Black-Scholes'!$B$9*SQRT('Black-Scholes'!$B$7)*B4103)</f>
        <v>84.6987624950848</v>
      </c>
      <c r="E4103" s="18" t="n">
        <f aca="false">EXP(-'Black-Scholes'!$B$8*'Black-Scholes'!$B$7)*IF(LOWER('Black-Scholes'!$B$11)="put",MAX('Black-Scholes'!$B$6-C4103,0),MAX(C4103-'Black-Scholes'!$B$6,0))</f>
        <v>24.1291147618369</v>
      </c>
      <c r="F4103" s="18" t="n">
        <f aca="false">(E4103+G4103)/2</f>
        <v>12.0645573809184</v>
      </c>
      <c r="G4103" s="18" t="n">
        <f aca="false">EXP(-'Black-Scholes'!$B$8*'Black-Scholes'!$B$7)*IF(LOWER('Black-Scholes'!$B$11)="put",MAX('Black-Scholes'!$B$6-D4103,0),MAX(D4103-'Black-Scholes'!$B$6,0))</f>
        <v>0</v>
      </c>
    </row>
    <row r="4104" customFormat="false" ht="15" hidden="false" customHeight="false" outlineLevel="0" collapsed="false">
      <c r="A4104" s="0" t="n">
        <v>4093</v>
      </c>
      <c r="B4104" s="15" t="n">
        <v>-0.00177742494323021</v>
      </c>
      <c r="C4104" s="18" t="n">
        <f aca="false">'Black-Scholes'!$B$5*EXP(('Black-Scholes'!$B$8-'Black-Scholes'!$B$10-'Black-Scholes'!$B$9^2/2)*'Black-Scholes'!$B$7+'Black-Scholes'!$B$9*SQRT('Black-Scholes'!$B$7)*B4104)</f>
        <v>103.008828793655</v>
      </c>
      <c r="D4104" s="18" t="n">
        <f aca="false">'Black-Scholes'!$B$5*EXP(('Black-Scholes'!$B$8-'Black-Scholes'!$B$10-'Black-Scholes'!$B$9^2/2)*'Black-Scholes'!$B$7-'Black-Scholes'!$B$9*SQRT('Black-Scholes'!$B$7)*B4104)</f>
        <v>103.082091018859</v>
      </c>
      <c r="E4104" s="18" t="n">
        <f aca="false">EXP(-'Black-Scholes'!$B$8*'Black-Scholes'!$B$7)*IF(LOWER('Black-Scholes'!$B$11)="put",MAX('Black-Scholes'!$B$6-C4104,0),MAX(C4104-'Black-Scholes'!$B$6,0))</f>
        <v>2.86208648180977</v>
      </c>
      <c r="F4104" s="18" t="n">
        <f aca="false">(E4104+G4104)/2</f>
        <v>2.89693107396879</v>
      </c>
      <c r="G4104" s="18" t="n">
        <f aca="false">EXP(-'Black-Scholes'!$B$8*'Black-Scholes'!$B$7)*IF(LOWER('Black-Scholes'!$B$11)="put",MAX('Black-Scholes'!$B$6-D4104,0),MAX(D4104-'Black-Scholes'!$B$6,0))</f>
        <v>2.9317756661278</v>
      </c>
    </row>
    <row r="4105" customFormat="false" ht="15" hidden="false" customHeight="false" outlineLevel="0" collapsed="false">
      <c r="A4105" s="0" t="n">
        <v>4094</v>
      </c>
      <c r="B4105" s="15" t="n">
        <v>1.37256407864258</v>
      </c>
      <c r="C4105" s="18" t="n">
        <f aca="false">'Black-Scholes'!$B$5*EXP(('Black-Scholes'!$B$8-'Black-Scholes'!$B$10-'Black-Scholes'!$B$9^2/2)*'Black-Scholes'!$B$7+'Black-Scholes'!$B$9*SQRT('Black-Scholes'!$B$7)*B4105)</f>
        <v>135.596423761278</v>
      </c>
      <c r="D4105" s="18" t="n">
        <f aca="false">'Black-Scholes'!$B$5*EXP(('Black-Scholes'!$B$8-'Black-Scholes'!$B$10-'Black-Scholes'!$B$9^2/2)*'Black-Scholes'!$B$7-'Black-Scholes'!$B$9*SQRT('Black-Scholes'!$B$7)*B4105)</f>
        <v>78.3085952484085</v>
      </c>
      <c r="E4105" s="18" t="n">
        <f aca="false">EXP(-'Black-Scholes'!$B$8*'Black-Scholes'!$B$7)*IF(LOWER('Black-Scholes'!$B$11)="put",MAX('Black-Scholes'!$B$6-C4105,0),MAX(C4105-'Black-Scholes'!$B$6,0))</f>
        <v>33.860365688724</v>
      </c>
      <c r="F4105" s="18" t="n">
        <f aca="false">(E4105+G4105)/2</f>
        <v>16.930182844362</v>
      </c>
      <c r="G4105" s="18" t="n">
        <f aca="false">EXP(-'Black-Scholes'!$B$8*'Black-Scholes'!$B$7)*IF(LOWER('Black-Scholes'!$B$11)="put",MAX('Black-Scholes'!$B$6-D4105,0),MAX(D4105-'Black-Scholes'!$B$6,0))</f>
        <v>0</v>
      </c>
    </row>
    <row r="4106" customFormat="false" ht="15" hidden="false" customHeight="false" outlineLevel="0" collapsed="false">
      <c r="A4106" s="0" t="n">
        <v>4095</v>
      </c>
      <c r="B4106" s="15" t="n">
        <v>-1.20069200132566</v>
      </c>
      <c r="C4106" s="18" t="n">
        <f aca="false">'Black-Scholes'!$B$5*EXP(('Black-Scholes'!$B$8-'Black-Scholes'!$B$10-'Black-Scholes'!$B$9^2/2)*'Black-Scholes'!$B$7+'Black-Scholes'!$B$9*SQRT('Black-Scholes'!$B$7)*B4106)</f>
        <v>81.0472068658498</v>
      </c>
      <c r="D4106" s="18" t="n">
        <f aca="false">'Black-Scholes'!$B$5*EXP(('Black-Scholes'!$B$8-'Black-Scholes'!$B$10-'Black-Scholes'!$B$9^2/2)*'Black-Scholes'!$B$7-'Black-Scholes'!$B$9*SQRT('Black-Scholes'!$B$7)*B4106)</f>
        <v>131.014576270706</v>
      </c>
      <c r="E4106" s="18" t="n">
        <f aca="false">EXP(-'Black-Scholes'!$B$8*'Black-Scholes'!$B$7)*IF(LOWER('Black-Scholes'!$B$11)="put",MAX('Black-Scholes'!$B$6-C4106,0),MAX(C4106-'Black-Scholes'!$B$6,0))</f>
        <v>0</v>
      </c>
      <c r="F4106" s="18" t="n">
        <f aca="false">(E4106+G4106)/2</f>
        <v>14.7509887685588</v>
      </c>
      <c r="G4106" s="18" t="n">
        <f aca="false">EXP(-'Black-Scholes'!$B$8*'Black-Scholes'!$B$7)*IF(LOWER('Black-Scholes'!$B$11)="put",MAX('Black-Scholes'!$B$6-D4106,0),MAX(D4106-'Black-Scholes'!$B$6,0))</f>
        <v>29.5019775371176</v>
      </c>
    </row>
    <row r="4107" customFormat="false" ht="15" hidden="false" customHeight="false" outlineLevel="0" collapsed="false">
      <c r="A4107" s="0" t="n">
        <v>4096</v>
      </c>
      <c r="B4107" s="15" t="n">
        <v>-1.1627588977718</v>
      </c>
      <c r="C4107" s="18" t="n">
        <f aca="false">'Black-Scholes'!$B$5*EXP(('Black-Scholes'!$B$8-'Black-Scholes'!$B$10-'Black-Scholes'!$B$9^2/2)*'Black-Scholes'!$B$7+'Black-Scholes'!$B$9*SQRT('Black-Scholes'!$B$7)*B4107)</f>
        <v>81.664419603079</v>
      </c>
      <c r="D4107" s="18" t="n">
        <f aca="false">'Black-Scholes'!$B$5*EXP(('Black-Scholes'!$B$8-'Black-Scholes'!$B$10-'Black-Scholes'!$B$9^2/2)*'Black-Scholes'!$B$7-'Black-Scholes'!$B$9*SQRT('Black-Scholes'!$B$7)*B4107)</f>
        <v>130.02437924696</v>
      </c>
      <c r="E4107" s="18" t="n">
        <f aca="false">EXP(-'Black-Scholes'!$B$8*'Black-Scholes'!$B$7)*IF(LOWER('Black-Scholes'!$B$11)="put",MAX('Black-Scholes'!$B$6-C4107,0),MAX(C4107-'Black-Scholes'!$B$6,0))</f>
        <v>0</v>
      </c>
      <c r="F4107" s="18" t="n">
        <f aca="false">(E4107+G4107)/2</f>
        <v>14.2800364960384</v>
      </c>
      <c r="G4107" s="18" t="n">
        <f aca="false">EXP(-'Black-Scholes'!$B$8*'Black-Scholes'!$B$7)*IF(LOWER('Black-Scholes'!$B$11)="put",MAX('Black-Scholes'!$B$6-D4107,0),MAX(D4107-'Black-Scholes'!$B$6,0))</f>
        <v>28.5600729920768</v>
      </c>
    </row>
    <row r="4108" customFormat="false" ht="15" hidden="false" customHeight="false" outlineLevel="0" collapsed="false">
      <c r="A4108" s="0" t="n">
        <v>4097</v>
      </c>
      <c r="B4108" s="15" t="n">
        <v>0.43045842501665</v>
      </c>
      <c r="C4108" s="18" t="n">
        <f aca="false">'Black-Scholes'!$B$5*EXP(('Black-Scholes'!$B$8-'Black-Scholes'!$B$10-'Black-Scholes'!$B$9^2/2)*'Black-Scholes'!$B$7+'Black-Scholes'!$B$9*SQRT('Black-Scholes'!$B$7)*B4108)</f>
        <v>112.309883873371</v>
      </c>
      <c r="D4108" s="18" t="n">
        <f aca="false">'Black-Scholes'!$B$5*EXP(('Black-Scholes'!$B$8-'Black-Scholes'!$B$10-'Black-Scholes'!$B$9^2/2)*'Black-Scholes'!$B$7-'Black-Scholes'!$B$9*SQRT('Black-Scholes'!$B$7)*B4108)</f>
        <v>94.5452448105619</v>
      </c>
      <c r="E4108" s="18" t="n">
        <f aca="false">EXP(-'Black-Scholes'!$B$8*'Black-Scholes'!$B$7)*IF(LOWER('Black-Scholes'!$B$11)="put",MAX('Black-Scholes'!$B$6-C4108,0),MAX(C4108-'Black-Scholes'!$B$6,0))</f>
        <v>11.7095237525369</v>
      </c>
      <c r="F4108" s="18" t="n">
        <f aca="false">(E4108+G4108)/2</f>
        <v>5.85476187626843</v>
      </c>
      <c r="G4108" s="18" t="n">
        <f aca="false">EXP(-'Black-Scholes'!$B$8*'Black-Scholes'!$B$7)*IF(LOWER('Black-Scholes'!$B$11)="put",MAX('Black-Scholes'!$B$6-D4108,0),MAX(D4108-'Black-Scholes'!$B$6,0))</f>
        <v>0</v>
      </c>
    </row>
    <row r="4109" customFormat="false" ht="15" hidden="false" customHeight="false" outlineLevel="0" collapsed="false">
      <c r="A4109" s="0" t="n">
        <v>4098</v>
      </c>
      <c r="B4109" s="15" t="n">
        <v>-0.637496765044632</v>
      </c>
      <c r="C4109" s="18" t="n">
        <f aca="false">'Black-Scholes'!$B$5*EXP(('Black-Scholes'!$B$8-'Black-Scholes'!$B$10-'Black-Scholes'!$B$9^2/2)*'Black-Scholes'!$B$7+'Black-Scholes'!$B$9*SQRT('Black-Scholes'!$B$7)*B4109)</f>
        <v>90.7102928443109</v>
      </c>
      <c r="D4109" s="18" t="n">
        <f aca="false">'Black-Scholes'!$B$5*EXP(('Black-Scholes'!$B$8-'Black-Scholes'!$B$10-'Black-Scholes'!$B$9^2/2)*'Black-Scholes'!$B$7-'Black-Scholes'!$B$9*SQRT('Black-Scholes'!$B$7)*B4109)</f>
        <v>117.058000062664</v>
      </c>
      <c r="E4109" s="18" t="n">
        <f aca="false">EXP(-'Black-Scholes'!$B$8*'Black-Scholes'!$B$7)*IF(LOWER('Black-Scholes'!$B$11)="put",MAX('Black-Scholes'!$B$6-C4109,0),MAX(C4109-'Black-Scholes'!$B$6,0))</f>
        <v>0</v>
      </c>
      <c r="F4109" s="18" t="n">
        <f aca="false">(E4109+G4109)/2</f>
        <v>8.11303579137038</v>
      </c>
      <c r="G4109" s="18" t="n">
        <f aca="false">EXP(-'Black-Scholes'!$B$8*'Black-Scholes'!$B$7)*IF(LOWER('Black-Scholes'!$B$11)="put",MAX('Black-Scholes'!$B$6-D4109,0),MAX(D4109-'Black-Scholes'!$B$6,0))</f>
        <v>16.2260715827408</v>
      </c>
    </row>
    <row r="4110" customFormat="false" ht="15" hidden="false" customHeight="false" outlineLevel="0" collapsed="false">
      <c r="A4110" s="0" t="n">
        <v>4099</v>
      </c>
      <c r="B4110" s="15" t="n">
        <v>0.32342587551441</v>
      </c>
      <c r="C4110" s="18" t="n">
        <f aca="false">'Black-Scholes'!$B$5*EXP(('Black-Scholes'!$B$8-'Black-Scholes'!$B$10-'Black-Scholes'!$B$9^2/2)*'Black-Scholes'!$B$7+'Black-Scholes'!$B$9*SQRT('Black-Scholes'!$B$7)*B4110)</f>
        <v>109.931270963064</v>
      </c>
      <c r="D4110" s="18" t="n">
        <f aca="false">'Black-Scholes'!$B$5*EXP(('Black-Scholes'!$B$8-'Black-Scholes'!$B$10-'Black-Scholes'!$B$9^2/2)*'Black-Scholes'!$B$7-'Black-Scholes'!$B$9*SQRT('Black-Scholes'!$B$7)*B4110)</f>
        <v>96.5909460741272</v>
      </c>
      <c r="E4110" s="18" t="n">
        <f aca="false">EXP(-'Black-Scholes'!$B$8*'Black-Scholes'!$B$7)*IF(LOWER('Black-Scholes'!$B$11)="put",MAX('Black-Scholes'!$B$6-C4110,0),MAX(C4110-'Black-Scholes'!$B$6,0))</f>
        <v>9.4469171627562</v>
      </c>
      <c r="F4110" s="18" t="n">
        <f aca="false">(E4110+G4110)/2</f>
        <v>4.7234585813781</v>
      </c>
      <c r="G4110" s="18" t="n">
        <f aca="false">EXP(-'Black-Scholes'!$B$8*'Black-Scholes'!$B$7)*IF(LOWER('Black-Scholes'!$B$11)="put",MAX('Black-Scholes'!$B$6-D4110,0),MAX(D4110-'Black-Scholes'!$B$6,0))</f>
        <v>0</v>
      </c>
    </row>
    <row r="4111" customFormat="false" ht="15" hidden="false" customHeight="false" outlineLevel="0" collapsed="false">
      <c r="A4111" s="0" t="n">
        <v>4100</v>
      </c>
      <c r="B4111" s="15" t="n">
        <v>0.742243260024231</v>
      </c>
      <c r="C4111" s="18" t="n">
        <f aca="false">'Black-Scholes'!$B$5*EXP(('Black-Scholes'!$B$8-'Black-Scholes'!$B$10-'Black-Scholes'!$B$9^2/2)*'Black-Scholes'!$B$7+'Black-Scholes'!$B$9*SQRT('Black-Scholes'!$B$7)*B4111)</f>
        <v>119.536150228097</v>
      </c>
      <c r="D4111" s="18" t="n">
        <f aca="false">'Black-Scholes'!$B$5*EXP(('Black-Scholes'!$B$8-'Black-Scholes'!$B$10-'Black-Scholes'!$B$9^2/2)*'Black-Scholes'!$B$7-'Black-Scholes'!$B$9*SQRT('Black-Scholes'!$B$7)*B4111)</f>
        <v>88.829742677774</v>
      </c>
      <c r="E4111" s="18" t="n">
        <f aca="false">EXP(-'Black-Scholes'!$B$8*'Black-Scholes'!$B$7)*IF(LOWER('Black-Scholes'!$B$11)="put",MAX('Black-Scholes'!$B$6-C4111,0),MAX(C4111-'Black-Scholes'!$B$6,0))</f>
        <v>18.5833609384322</v>
      </c>
      <c r="F4111" s="18" t="n">
        <f aca="false">(E4111+G4111)/2</f>
        <v>9.29168046921612</v>
      </c>
      <c r="G4111" s="18" t="n">
        <f aca="false">EXP(-'Black-Scholes'!$B$8*'Black-Scholes'!$B$7)*IF(LOWER('Black-Scholes'!$B$11)="put",MAX('Black-Scholes'!$B$6-D4111,0),MAX(D4111-'Black-Scholes'!$B$6,0))</f>
        <v>0</v>
      </c>
    </row>
    <row r="4112" customFormat="false" ht="15" hidden="false" customHeight="false" outlineLevel="0" collapsed="false">
      <c r="A4112" s="0" t="n">
        <v>4101</v>
      </c>
      <c r="B4112" s="15" t="n">
        <v>0.637974686550444</v>
      </c>
      <c r="C4112" s="18" t="n">
        <f aca="false">'Black-Scholes'!$B$5*EXP(('Black-Scholes'!$B$8-'Black-Scholes'!$B$10-'Black-Scholes'!$B$9^2/2)*'Black-Scholes'!$B$7+'Black-Scholes'!$B$9*SQRT('Black-Scholes'!$B$7)*B4112)</f>
        <v>117.069189504554</v>
      </c>
      <c r="D4112" s="18" t="n">
        <f aca="false">'Black-Scholes'!$B$5*EXP(('Black-Scholes'!$B$8-'Black-Scholes'!$B$10-'Black-Scholes'!$B$9^2/2)*'Black-Scholes'!$B$7-'Black-Scholes'!$B$9*SQRT('Black-Scholes'!$B$7)*B4112)</f>
        <v>90.7016227787289</v>
      </c>
      <c r="E4112" s="18" t="n">
        <f aca="false">EXP(-'Black-Scholes'!$B$8*'Black-Scholes'!$B$7)*IF(LOWER('Black-Scholes'!$B$11)="put",MAX('Black-Scholes'!$B$6-C4112,0),MAX(C4112-'Black-Scholes'!$B$6,0))</f>
        <v>16.2367153091107</v>
      </c>
      <c r="F4112" s="18" t="n">
        <f aca="false">(E4112+G4112)/2</f>
        <v>8.11835765455535</v>
      </c>
      <c r="G4112" s="18" t="n">
        <f aca="false">EXP(-'Black-Scholes'!$B$8*'Black-Scholes'!$B$7)*IF(LOWER('Black-Scholes'!$B$11)="put",MAX('Black-Scholes'!$B$6-D4112,0),MAX(D4112-'Black-Scholes'!$B$6,0))</f>
        <v>0</v>
      </c>
    </row>
    <row r="4113" customFormat="false" ht="15" hidden="false" customHeight="false" outlineLevel="0" collapsed="false">
      <c r="A4113" s="0" t="n">
        <v>4102</v>
      </c>
      <c r="B4113" s="15" t="n">
        <v>-0.78363766839638</v>
      </c>
      <c r="C4113" s="18" t="n">
        <f aca="false">'Black-Scholes'!$B$5*EXP(('Black-Scholes'!$B$8-'Black-Scholes'!$B$10-'Black-Scholes'!$B$9^2/2)*'Black-Scholes'!$B$7+'Black-Scholes'!$B$9*SQRT('Black-Scholes'!$B$7)*B4113)</f>
        <v>88.0973675555344</v>
      </c>
      <c r="D4113" s="18" t="n">
        <f aca="false">'Black-Scholes'!$B$5*EXP(('Black-Scholes'!$B$8-'Black-Scholes'!$B$10-'Black-Scholes'!$B$9^2/2)*'Black-Scholes'!$B$7-'Black-Scholes'!$B$9*SQRT('Black-Scholes'!$B$7)*B4113)</f>
        <v>120.529883696696</v>
      </c>
      <c r="E4113" s="18" t="n">
        <f aca="false">EXP(-'Black-Scholes'!$B$8*'Black-Scholes'!$B$7)*IF(LOWER('Black-Scholes'!$B$11)="put",MAX('Black-Scholes'!$B$6-C4113,0),MAX(C4113-'Black-Scholes'!$B$6,0))</f>
        <v>0</v>
      </c>
      <c r="F4113" s="18" t="n">
        <f aca="false">(E4113+G4113)/2</f>
        <v>9.76431472693713</v>
      </c>
      <c r="G4113" s="18" t="n">
        <f aca="false">EXP(-'Black-Scholes'!$B$8*'Black-Scholes'!$B$7)*IF(LOWER('Black-Scholes'!$B$11)="put",MAX('Black-Scholes'!$B$6-D4113,0),MAX(D4113-'Black-Scholes'!$B$6,0))</f>
        <v>19.5286294538743</v>
      </c>
    </row>
    <row r="4114" customFormat="false" ht="15" hidden="false" customHeight="false" outlineLevel="0" collapsed="false">
      <c r="A4114" s="0" t="n">
        <v>4103</v>
      </c>
      <c r="B4114" s="15" t="n">
        <v>1.37050130222628</v>
      </c>
      <c r="C4114" s="18" t="n">
        <f aca="false">'Black-Scholes'!$B$5*EXP(('Black-Scholes'!$B$8-'Black-Scholes'!$B$10-'Black-Scholes'!$B$9^2/2)*'Black-Scholes'!$B$7+'Black-Scholes'!$B$9*SQRT('Black-Scholes'!$B$7)*B4114)</f>
        <v>135.540494278059</v>
      </c>
      <c r="D4114" s="18" t="n">
        <f aca="false">'Black-Scholes'!$B$5*EXP(('Black-Scholes'!$B$8-'Black-Scholes'!$B$10-'Black-Scholes'!$B$9^2/2)*'Black-Scholes'!$B$7-'Black-Scholes'!$B$9*SQRT('Black-Scholes'!$B$7)*B4114)</f>
        <v>78.3409085381538</v>
      </c>
      <c r="E4114" s="18" t="n">
        <f aca="false">EXP(-'Black-Scholes'!$B$8*'Black-Scholes'!$B$7)*IF(LOWER('Black-Scholes'!$B$11)="put",MAX('Black-Scholes'!$B$6-C4114,0),MAX(C4114-'Black-Scholes'!$B$6,0))</f>
        <v>33.8071639185892</v>
      </c>
      <c r="F4114" s="18" t="n">
        <f aca="false">(E4114+G4114)/2</f>
        <v>16.9035819592946</v>
      </c>
      <c r="G4114" s="18" t="n">
        <f aca="false">EXP(-'Black-Scholes'!$B$8*'Black-Scholes'!$B$7)*IF(LOWER('Black-Scholes'!$B$11)="put",MAX('Black-Scholes'!$B$6-D4114,0),MAX(D4114-'Black-Scholes'!$B$6,0))</f>
        <v>0</v>
      </c>
    </row>
    <row r="4115" customFormat="false" ht="15" hidden="false" customHeight="false" outlineLevel="0" collapsed="false">
      <c r="A4115" s="0" t="n">
        <v>4104</v>
      </c>
      <c r="B4115" s="15" t="n">
        <v>0.847030125299224</v>
      </c>
      <c r="C4115" s="18" t="n">
        <f aca="false">'Black-Scholes'!$B$5*EXP(('Black-Scholes'!$B$8-'Black-Scholes'!$B$10-'Black-Scholes'!$B$9^2/2)*'Black-Scholes'!$B$7+'Black-Scholes'!$B$9*SQRT('Black-Scholes'!$B$7)*B4115)</f>
        <v>122.067749094658</v>
      </c>
      <c r="D4115" s="18" t="n">
        <f aca="false">'Black-Scholes'!$B$5*EXP(('Black-Scholes'!$B$8-'Black-Scholes'!$B$10-'Black-Scholes'!$B$9^2/2)*'Black-Scholes'!$B$7-'Black-Scholes'!$B$9*SQRT('Black-Scholes'!$B$7)*B4115)</f>
        <v>86.9874765792519</v>
      </c>
      <c r="E4115" s="18" t="n">
        <f aca="false">EXP(-'Black-Scholes'!$B$8*'Black-Scholes'!$B$7)*IF(LOWER('Black-Scholes'!$B$11)="put",MAX('Black-Scholes'!$B$6-C4115,0),MAX(C4115-'Black-Scholes'!$B$6,0))</f>
        <v>20.9914922713381</v>
      </c>
      <c r="F4115" s="18" t="n">
        <f aca="false">(E4115+G4115)/2</f>
        <v>10.4957461356691</v>
      </c>
      <c r="G4115" s="18" t="n">
        <f aca="false">EXP(-'Black-Scholes'!$B$8*'Black-Scholes'!$B$7)*IF(LOWER('Black-Scholes'!$B$11)="put",MAX('Black-Scholes'!$B$6-D4115,0),MAX(D4115-'Black-Scholes'!$B$6,0))</f>
        <v>0</v>
      </c>
    </row>
    <row r="4116" customFormat="false" ht="15" hidden="false" customHeight="false" outlineLevel="0" collapsed="false">
      <c r="A4116" s="0" t="n">
        <v>4105</v>
      </c>
      <c r="B4116" s="15" t="n">
        <v>0.00137737362454986</v>
      </c>
      <c r="C4116" s="18" t="n">
        <f aca="false">'Black-Scholes'!$B$5*EXP(('Black-Scholes'!$B$8-'Black-Scholes'!$B$10-'Black-Scholes'!$B$9^2/2)*'Black-Scholes'!$B$7+'Black-Scholes'!$B$9*SQRT('Black-Scholes'!$B$7)*B4116)</f>
        <v>103.073843723508</v>
      </c>
      <c r="D4116" s="18" t="n">
        <f aca="false">'Black-Scholes'!$B$5*EXP(('Black-Scholes'!$B$8-'Black-Scholes'!$B$10-'Black-Scholes'!$B$9^2/2)*'Black-Scholes'!$B$7-'Black-Scholes'!$B$9*SQRT('Black-Scholes'!$B$7)*B4116)</f>
        <v>103.017070886936</v>
      </c>
      <c r="E4116" s="18" t="n">
        <f aca="false">EXP(-'Black-Scholes'!$B$8*'Black-Scholes'!$B$7)*IF(LOWER('Black-Scholes'!$B$11)="put",MAX('Black-Scholes'!$B$6-C4116,0),MAX(C4116-'Black-Scholes'!$B$6,0))</f>
        <v>2.92393059611802</v>
      </c>
      <c r="F4116" s="18" t="n">
        <f aca="false">(E4116+G4116)/2</f>
        <v>2.89692859978787</v>
      </c>
      <c r="G4116" s="18" t="n">
        <f aca="false">EXP(-'Black-Scholes'!$B$8*'Black-Scholes'!$B$7)*IF(LOWER('Black-Scholes'!$B$11)="put",MAX('Black-Scholes'!$B$6-D4116,0),MAX(D4116-'Black-Scholes'!$B$6,0))</f>
        <v>2.86992660345773</v>
      </c>
    </row>
    <row r="4117" customFormat="false" ht="15" hidden="false" customHeight="false" outlineLevel="0" collapsed="false">
      <c r="A4117" s="0" t="n">
        <v>4106</v>
      </c>
      <c r="B4117" s="15" t="n">
        <v>0.158601270243827</v>
      </c>
      <c r="C4117" s="18" t="n">
        <f aca="false">'Black-Scholes'!$B$5*EXP(('Black-Scholes'!$B$8-'Black-Scholes'!$B$10-'Black-Scholes'!$B$9^2/2)*'Black-Scholes'!$B$7+'Black-Scholes'!$B$9*SQRT('Black-Scholes'!$B$7)*B4117)</f>
        <v>106.366474719762</v>
      </c>
      <c r="D4117" s="18" t="n">
        <f aca="false">'Black-Scholes'!$B$5*EXP(('Black-Scholes'!$B$8-'Black-Scholes'!$B$10-'Black-Scholes'!$B$9^2/2)*'Black-Scholes'!$B$7-'Black-Scholes'!$B$9*SQRT('Black-Scholes'!$B$7)*B4117)</f>
        <v>99.8281224740145</v>
      </c>
      <c r="E4117" s="18" t="n">
        <f aca="false">EXP(-'Black-Scholes'!$B$8*'Black-Scholes'!$B$7)*IF(LOWER('Black-Scholes'!$B$11)="put",MAX('Black-Scholes'!$B$6-C4117,0),MAX(C4117-'Black-Scholes'!$B$6,0))</f>
        <v>6.05597808377781</v>
      </c>
      <c r="F4117" s="18" t="n">
        <f aca="false">(E4117+G4117)/2</f>
        <v>3.0279890418889</v>
      </c>
      <c r="G4117" s="18" t="n">
        <f aca="false">EXP(-'Black-Scholes'!$B$8*'Black-Scholes'!$B$7)*IF(LOWER('Black-Scholes'!$B$11)="put",MAX('Black-Scholes'!$B$6-D4117,0),MAX(D4117-'Black-Scholes'!$B$6,0))</f>
        <v>0</v>
      </c>
    </row>
    <row r="4118" customFormat="false" ht="15" hidden="false" customHeight="false" outlineLevel="0" collapsed="false">
      <c r="A4118" s="0" t="n">
        <v>4107</v>
      </c>
      <c r="B4118" s="15" t="n">
        <v>0.423349193715206</v>
      </c>
      <c r="C4118" s="18" t="n">
        <f aca="false">'Black-Scholes'!$B$5*EXP(('Black-Scholes'!$B$8-'Black-Scholes'!$B$10-'Black-Scholes'!$B$9^2/2)*'Black-Scholes'!$B$7+'Black-Scholes'!$B$9*SQRT('Black-Scholes'!$B$7)*B4118)</f>
        <v>112.150309956664</v>
      </c>
      <c r="D4118" s="18" t="n">
        <f aca="false">'Black-Scholes'!$B$5*EXP(('Black-Scholes'!$B$8-'Black-Scholes'!$B$10-'Black-Scholes'!$B$9^2/2)*'Black-Scholes'!$B$7-'Black-Scholes'!$B$9*SQRT('Black-Scholes'!$B$7)*B4118)</f>
        <v>94.6797692271799</v>
      </c>
      <c r="E4118" s="18" t="n">
        <f aca="false">EXP(-'Black-Scholes'!$B$8*'Black-Scholes'!$B$7)*IF(LOWER('Black-Scholes'!$B$11)="put",MAX('Black-Scholes'!$B$6-C4118,0),MAX(C4118-'Black-Scholes'!$B$6,0))</f>
        <v>11.5577323475824</v>
      </c>
      <c r="F4118" s="18" t="n">
        <f aca="false">(E4118+G4118)/2</f>
        <v>5.7788661737912</v>
      </c>
      <c r="G4118" s="18" t="n">
        <f aca="false">EXP(-'Black-Scholes'!$B$8*'Black-Scholes'!$B$7)*IF(LOWER('Black-Scholes'!$B$11)="put",MAX('Black-Scholes'!$B$6-D4118,0),MAX(D4118-'Black-Scholes'!$B$6,0))</f>
        <v>0</v>
      </c>
    </row>
    <row r="4119" customFormat="false" ht="15" hidden="false" customHeight="false" outlineLevel="0" collapsed="false">
      <c r="A4119" s="0" t="n">
        <v>4108</v>
      </c>
      <c r="B4119" s="15" t="n">
        <v>0.544563404342455</v>
      </c>
      <c r="C4119" s="18" t="n">
        <f aca="false">'Black-Scholes'!$B$5*EXP(('Black-Scholes'!$B$8-'Black-Scholes'!$B$10-'Black-Scholes'!$B$9^2/2)*'Black-Scholes'!$B$7+'Black-Scholes'!$B$9*SQRT('Black-Scholes'!$B$7)*B4119)</f>
        <v>114.902376386589</v>
      </c>
      <c r="D4119" s="18" t="n">
        <f aca="false">'Black-Scholes'!$B$5*EXP(('Black-Scholes'!$B$8-'Black-Scholes'!$B$10-'Black-Scholes'!$B$9^2/2)*'Black-Scholes'!$B$7-'Black-Scholes'!$B$9*SQRT('Black-Scholes'!$B$7)*B4119)</f>
        <v>92.4120614331603</v>
      </c>
      <c r="E4119" s="18" t="n">
        <f aca="false">EXP(-'Black-Scholes'!$B$8*'Black-Scholes'!$B$7)*IF(LOWER('Black-Scholes'!$B$11)="put",MAX('Black-Scholes'!$B$6-C4119,0),MAX(C4119-'Black-Scholes'!$B$6,0))</f>
        <v>14.1755789139083</v>
      </c>
      <c r="F4119" s="18" t="n">
        <f aca="false">(E4119+G4119)/2</f>
        <v>7.08778945695416</v>
      </c>
      <c r="G4119" s="18" t="n">
        <f aca="false">EXP(-'Black-Scholes'!$B$8*'Black-Scholes'!$B$7)*IF(LOWER('Black-Scholes'!$B$11)="put",MAX('Black-Scholes'!$B$6-D4119,0),MAX(D4119-'Black-Scholes'!$B$6,0))</f>
        <v>0</v>
      </c>
    </row>
    <row r="4120" customFormat="false" ht="15" hidden="false" customHeight="false" outlineLevel="0" collapsed="false">
      <c r="A4120" s="0" t="n">
        <v>4109</v>
      </c>
      <c r="B4120" s="15" t="n">
        <v>0.883211073473439</v>
      </c>
      <c r="C4120" s="18" t="n">
        <f aca="false">'Black-Scholes'!$B$5*EXP(('Black-Scholes'!$B$8-'Black-Scholes'!$B$10-'Black-Scholes'!$B$9^2/2)*'Black-Scholes'!$B$7+'Black-Scholes'!$B$9*SQRT('Black-Scholes'!$B$7)*B4120)</f>
        <v>122.954258080663</v>
      </c>
      <c r="D4120" s="18" t="n">
        <f aca="false">'Black-Scholes'!$B$5*EXP(('Black-Scholes'!$B$8-'Black-Scholes'!$B$10-'Black-Scholes'!$B$9^2/2)*'Black-Scholes'!$B$7-'Black-Scholes'!$B$9*SQRT('Black-Scholes'!$B$7)*B4120)</f>
        <v>86.3602906577465</v>
      </c>
      <c r="E4120" s="18" t="n">
        <f aca="false">EXP(-'Black-Scholes'!$B$8*'Black-Scholes'!$B$7)*IF(LOWER('Black-Scholes'!$B$11)="put",MAX('Black-Scholes'!$B$6-C4120,0),MAX(C4120-'Black-Scholes'!$B$6,0))</f>
        <v>21.8347657039095</v>
      </c>
      <c r="F4120" s="18" t="n">
        <f aca="false">(E4120+G4120)/2</f>
        <v>10.9173828519548</v>
      </c>
      <c r="G4120" s="18" t="n">
        <f aca="false">EXP(-'Black-Scholes'!$B$8*'Black-Scholes'!$B$7)*IF(LOWER('Black-Scholes'!$B$11)="put",MAX('Black-Scholes'!$B$6-D4120,0),MAX(D4120-'Black-Scholes'!$B$6,0))</f>
        <v>0</v>
      </c>
    </row>
    <row r="4121" customFormat="false" ht="15" hidden="false" customHeight="false" outlineLevel="0" collapsed="false">
      <c r="A4121" s="0" t="n">
        <v>4110</v>
      </c>
      <c r="B4121" s="15" t="n">
        <v>0.028287870340902</v>
      </c>
      <c r="C4121" s="18" t="n">
        <f aca="false">'Black-Scholes'!$B$5*EXP(('Black-Scholes'!$B$8-'Black-Scholes'!$B$10-'Black-Scholes'!$B$9^2/2)*'Black-Scholes'!$B$7+'Black-Scholes'!$B$9*SQRT('Black-Scholes'!$B$7)*B4121)</f>
        <v>103.630092941659</v>
      </c>
      <c r="D4121" s="18" t="n">
        <f aca="false">'Black-Scholes'!$B$5*EXP(('Black-Scholes'!$B$8-'Black-Scholes'!$B$10-'Black-Scholes'!$B$9^2/2)*'Black-Scholes'!$B$7-'Black-Scholes'!$B$9*SQRT('Black-Scholes'!$B$7)*B4121)</f>
        <v>102.464112151588</v>
      </c>
      <c r="E4121" s="18" t="n">
        <f aca="false">EXP(-'Black-Scholes'!$B$8*'Black-Scholes'!$B$7)*IF(LOWER('Black-Scholes'!$B$11)="put",MAX('Black-Scholes'!$B$6-C4121,0),MAX(C4121-'Black-Scholes'!$B$6,0))</f>
        <v>3.45305121977799</v>
      </c>
      <c r="F4121" s="18" t="n">
        <f aca="false">(E4121+G4121)/2</f>
        <v>2.89849360181915</v>
      </c>
      <c r="G4121" s="18" t="n">
        <f aca="false">EXP(-'Black-Scholes'!$B$8*'Black-Scholes'!$B$7)*IF(LOWER('Black-Scholes'!$B$11)="put",MAX('Black-Scholes'!$B$6-D4121,0),MAX(D4121-'Black-Scholes'!$B$6,0))</f>
        <v>2.34393598386031</v>
      </c>
    </row>
    <row r="4122" customFormat="false" ht="15" hidden="false" customHeight="false" outlineLevel="0" collapsed="false">
      <c r="A4122" s="0" t="n">
        <v>4111</v>
      </c>
      <c r="B4122" s="15" t="n">
        <v>0.64032888619513</v>
      </c>
      <c r="C4122" s="18" t="n">
        <f aca="false">'Black-Scholes'!$B$5*EXP(('Black-Scholes'!$B$8-'Black-Scholes'!$B$10-'Black-Scholes'!$B$9^2/2)*'Black-Scholes'!$B$7+'Black-Scholes'!$B$9*SQRT('Black-Scholes'!$B$7)*B4122)</f>
        <v>117.124323332006</v>
      </c>
      <c r="D4122" s="18" t="n">
        <f aca="false">'Black-Scholes'!$B$5*EXP(('Black-Scholes'!$B$8-'Black-Scholes'!$B$10-'Black-Scholes'!$B$9^2/2)*'Black-Scholes'!$B$7-'Black-Scholes'!$B$9*SQRT('Black-Scholes'!$B$7)*B4122)</f>
        <v>90.6589268853597</v>
      </c>
      <c r="E4122" s="18" t="n">
        <f aca="false">EXP(-'Black-Scholes'!$B$8*'Black-Scholes'!$B$7)*IF(LOWER('Black-Scholes'!$B$11)="put",MAX('Black-Scholes'!$B$6-C4122,0),MAX(C4122-'Black-Scholes'!$B$6,0))</f>
        <v>16.2891602280686</v>
      </c>
      <c r="F4122" s="18" t="n">
        <f aca="false">(E4122+G4122)/2</f>
        <v>8.14458011403428</v>
      </c>
      <c r="G4122" s="18" t="n">
        <f aca="false">EXP(-'Black-Scholes'!$B$8*'Black-Scholes'!$B$7)*IF(LOWER('Black-Scholes'!$B$11)="put",MAX('Black-Scholes'!$B$6-D4122,0),MAX(D4122-'Black-Scholes'!$B$6,0))</f>
        <v>0</v>
      </c>
    </row>
    <row r="4123" customFormat="false" ht="15" hidden="false" customHeight="false" outlineLevel="0" collapsed="false">
      <c r="A4123" s="0" t="n">
        <v>4112</v>
      </c>
      <c r="B4123" s="15" t="n">
        <v>-0.0252613319375349</v>
      </c>
      <c r="C4123" s="18" t="n">
        <f aca="false">'Black-Scholes'!$B$5*EXP(('Black-Scholes'!$B$8-'Black-Scholes'!$B$10-'Black-Scholes'!$B$9^2/2)*'Black-Scholes'!$B$7+'Black-Scholes'!$B$9*SQRT('Black-Scholes'!$B$7)*B4123)</f>
        <v>102.526153240746</v>
      </c>
      <c r="D4123" s="18" t="n">
        <f aca="false">'Black-Scholes'!$B$5*EXP(('Black-Scholes'!$B$8-'Black-Scholes'!$B$10-'Black-Scholes'!$B$9^2/2)*'Black-Scholes'!$B$7-'Black-Scholes'!$B$9*SQRT('Black-Scholes'!$B$7)*B4123)</f>
        <v>103.56738383152</v>
      </c>
      <c r="E4123" s="18" t="n">
        <f aca="false">EXP(-'Black-Scholes'!$B$8*'Black-Scholes'!$B$7)*IF(LOWER('Black-Scholes'!$B$11)="put",MAX('Black-Scholes'!$B$6-C4123,0),MAX(C4123-'Black-Scholes'!$B$6,0))</f>
        <v>2.40295129339578</v>
      </c>
      <c r="F4123" s="18" t="n">
        <f aca="false">(E4123+G4123)/2</f>
        <v>2.89817588121276</v>
      </c>
      <c r="G4123" s="18" t="n">
        <f aca="false">EXP(-'Black-Scholes'!$B$8*'Black-Scholes'!$B$7)*IF(LOWER('Black-Scholes'!$B$11)="put",MAX('Black-Scholes'!$B$6-D4123,0),MAX(D4123-'Black-Scholes'!$B$6,0))</f>
        <v>3.39340046902974</v>
      </c>
    </row>
    <row r="4124" customFormat="false" ht="15" hidden="false" customHeight="false" outlineLevel="0" collapsed="false">
      <c r="A4124" s="0" t="n">
        <v>4113</v>
      </c>
      <c r="B4124" s="15" t="n">
        <v>-0.673743083944002</v>
      </c>
      <c r="C4124" s="18" t="n">
        <f aca="false">'Black-Scholes'!$B$5*EXP(('Black-Scholes'!$B$8-'Black-Scholes'!$B$10-'Black-Scholes'!$B$9^2/2)*'Black-Scholes'!$B$7+'Black-Scholes'!$B$9*SQRT('Black-Scholes'!$B$7)*B4124)</f>
        <v>90.0550877505596</v>
      </c>
      <c r="D4124" s="18" t="n">
        <f aca="false">'Black-Scholes'!$B$5*EXP(('Black-Scholes'!$B$8-'Black-Scholes'!$B$10-'Black-Scholes'!$B$9^2/2)*'Black-Scholes'!$B$7-'Black-Scholes'!$B$9*SQRT('Black-Scholes'!$B$7)*B4124)</f>
        <v>117.909667634382</v>
      </c>
      <c r="E4124" s="18" t="n">
        <f aca="false">EXP(-'Black-Scholes'!$B$8*'Black-Scholes'!$B$7)*IF(LOWER('Black-Scholes'!$B$11)="put",MAX('Black-Scholes'!$B$6-C4124,0),MAX(C4124-'Black-Scholes'!$B$6,0))</f>
        <v>0</v>
      </c>
      <c r="F4124" s="18" t="n">
        <f aca="false">(E4124+G4124)/2</f>
        <v>8.51810141842615</v>
      </c>
      <c r="G4124" s="18" t="n">
        <f aca="false">EXP(-'Black-Scholes'!$B$8*'Black-Scholes'!$B$7)*IF(LOWER('Black-Scholes'!$B$11)="put",MAX('Black-Scholes'!$B$6-D4124,0),MAX(D4124-'Black-Scholes'!$B$6,0))</f>
        <v>17.0362028368523</v>
      </c>
    </row>
    <row r="4125" customFormat="false" ht="15" hidden="false" customHeight="false" outlineLevel="0" collapsed="false">
      <c r="A4125" s="0" t="n">
        <v>4114</v>
      </c>
      <c r="B4125" s="15" t="n">
        <v>0.175896318977651</v>
      </c>
      <c r="C4125" s="18" t="n">
        <f aca="false">'Black-Scholes'!$B$5*EXP(('Black-Scholes'!$B$8-'Black-Scholes'!$B$10-'Black-Scholes'!$B$9^2/2)*'Black-Scholes'!$B$7+'Black-Scholes'!$B$9*SQRT('Black-Scholes'!$B$7)*B4125)</f>
        <v>106.735034450921</v>
      </c>
      <c r="D4125" s="18" t="n">
        <f aca="false">'Black-Scholes'!$B$5*EXP(('Black-Scholes'!$B$8-'Black-Scholes'!$B$10-'Black-Scholes'!$B$9^2/2)*'Black-Scholes'!$B$7-'Black-Scholes'!$B$9*SQRT('Black-Scholes'!$B$7)*B4125)</f>
        <v>99.4834125465723</v>
      </c>
      <c r="E4125" s="18" t="n">
        <f aca="false">EXP(-'Black-Scholes'!$B$8*'Black-Scholes'!$B$7)*IF(LOWER('Black-Scholes'!$B$11)="put",MAX('Black-Scholes'!$B$6-C4125,0),MAX(C4125-'Black-Scholes'!$B$6,0))</f>
        <v>6.40656294474222</v>
      </c>
      <c r="F4125" s="18" t="n">
        <f aca="false">(E4125+G4125)/2</f>
        <v>3.20328147237111</v>
      </c>
      <c r="G4125" s="18" t="n">
        <f aca="false">EXP(-'Black-Scholes'!$B$8*'Black-Scholes'!$B$7)*IF(LOWER('Black-Scholes'!$B$11)="put",MAX('Black-Scholes'!$B$6-D4125,0),MAX(D4125-'Black-Scholes'!$B$6,0))</f>
        <v>0</v>
      </c>
    </row>
    <row r="4126" customFormat="false" ht="15" hidden="false" customHeight="false" outlineLevel="0" collapsed="false">
      <c r="A4126" s="0" t="n">
        <v>4115</v>
      </c>
      <c r="B4126" s="15" t="n">
        <v>-0.710731510902569</v>
      </c>
      <c r="C4126" s="18" t="n">
        <f aca="false">'Black-Scholes'!$B$5*EXP(('Black-Scholes'!$B$8-'Black-Scholes'!$B$10-'Black-Scholes'!$B$9^2/2)*'Black-Scholes'!$B$7+'Black-Scholes'!$B$9*SQRT('Black-Scholes'!$B$7)*B4126)</f>
        <v>89.3913466443751</v>
      </c>
      <c r="D4126" s="18" t="n">
        <f aca="false">'Black-Scholes'!$B$5*EXP(('Black-Scholes'!$B$8-'Black-Scholes'!$B$10-'Black-Scholes'!$B$9^2/2)*'Black-Scholes'!$B$7-'Black-Scholes'!$B$9*SQRT('Black-Scholes'!$B$7)*B4126)</f>
        <v>118.7851605782</v>
      </c>
      <c r="E4126" s="18" t="n">
        <f aca="false">EXP(-'Black-Scholes'!$B$8*'Black-Scholes'!$B$7)*IF(LOWER('Black-Scholes'!$B$11)="put",MAX('Black-Scholes'!$B$6-C4126,0),MAX(C4126-'Black-Scholes'!$B$6,0))</f>
        <v>0</v>
      </c>
      <c r="F4126" s="18" t="n">
        <f aca="false">(E4126+G4126)/2</f>
        <v>8.93449874297715</v>
      </c>
      <c r="G4126" s="18" t="n">
        <f aca="false">EXP(-'Black-Scholes'!$B$8*'Black-Scholes'!$B$7)*IF(LOWER('Black-Scholes'!$B$11)="put",MAX('Black-Scholes'!$B$6-D4126,0),MAX(D4126-'Black-Scholes'!$B$6,0))</f>
        <v>17.8689974859543</v>
      </c>
    </row>
    <row r="4127" customFormat="false" ht="15" hidden="false" customHeight="false" outlineLevel="0" collapsed="false">
      <c r="A4127" s="0" t="n">
        <v>4116</v>
      </c>
      <c r="B4127" s="15" t="n">
        <v>-0.104079530836587</v>
      </c>
      <c r="C4127" s="18" t="n">
        <f aca="false">'Black-Scholes'!$B$5*EXP(('Black-Scholes'!$B$8-'Black-Scholes'!$B$10-'Black-Scholes'!$B$9^2/2)*'Black-Scholes'!$B$7+'Black-Scholes'!$B$9*SQRT('Black-Scholes'!$B$7)*B4127)</f>
        <v>100.922639702878</v>
      </c>
      <c r="D4127" s="18" t="n">
        <f aca="false">'Black-Scholes'!$B$5*EXP(('Black-Scholes'!$B$8-'Black-Scholes'!$B$10-'Black-Scholes'!$B$9^2/2)*'Black-Scholes'!$B$7-'Black-Scholes'!$B$9*SQRT('Black-Scholes'!$B$7)*B4127)</f>
        <v>105.212918495936</v>
      </c>
      <c r="E4127" s="18" t="n">
        <f aca="false">EXP(-'Black-Scholes'!$B$8*'Black-Scholes'!$B$7)*IF(LOWER('Black-Scholes'!$B$11)="put",MAX('Black-Scholes'!$B$6-C4127,0),MAX(C4127-'Black-Scholes'!$B$6,0))</f>
        <v>0.877642033589894</v>
      </c>
      <c r="F4127" s="18" t="n">
        <f aca="false">(E4127+G4127)/2</f>
        <v>2.91816174722414</v>
      </c>
      <c r="G4127" s="18" t="n">
        <f aca="false">EXP(-'Black-Scholes'!$B$8*'Black-Scholes'!$B$7)*IF(LOWER('Black-Scholes'!$B$11)="put",MAX('Black-Scholes'!$B$6-D4127,0),MAX(D4127-'Black-Scholes'!$B$6,0))</f>
        <v>4.95868146085839</v>
      </c>
    </row>
    <row r="4128" customFormat="false" ht="15" hidden="false" customHeight="false" outlineLevel="0" collapsed="false">
      <c r="A4128" s="0" t="n">
        <v>4117</v>
      </c>
      <c r="B4128" s="15" t="n">
        <v>-1.19980636173834</v>
      </c>
      <c r="C4128" s="18" t="n">
        <f aca="false">'Black-Scholes'!$B$5*EXP(('Black-Scholes'!$B$8-'Black-Scholes'!$B$10-'Black-Scholes'!$B$9^2/2)*'Black-Scholes'!$B$7+'Black-Scholes'!$B$9*SQRT('Black-Scholes'!$B$7)*B4128)</f>
        <v>81.0615638602928</v>
      </c>
      <c r="D4128" s="18" t="n">
        <f aca="false">'Black-Scholes'!$B$5*EXP(('Black-Scholes'!$B$8-'Black-Scholes'!$B$10-'Black-Scholes'!$B$9^2/2)*'Black-Scholes'!$B$7-'Black-Scholes'!$B$9*SQRT('Black-Scholes'!$B$7)*B4128)</f>
        <v>130.991371986778</v>
      </c>
      <c r="E4128" s="18" t="n">
        <f aca="false">EXP(-'Black-Scholes'!$B$8*'Black-Scholes'!$B$7)*IF(LOWER('Black-Scholes'!$B$11)="put",MAX('Black-Scholes'!$B$6-C4128,0),MAX(C4128-'Black-Scholes'!$B$6,0))</f>
        <v>0</v>
      </c>
      <c r="F4128" s="18" t="n">
        <f aca="false">(E4128+G4128)/2</f>
        <v>14.7399524697353</v>
      </c>
      <c r="G4128" s="18" t="n">
        <f aca="false">EXP(-'Black-Scholes'!$B$8*'Black-Scholes'!$B$7)*IF(LOWER('Black-Scholes'!$B$11)="put",MAX('Black-Scholes'!$B$6-D4128,0),MAX(D4128-'Black-Scholes'!$B$6,0))</f>
        <v>29.4799049394706</v>
      </c>
    </row>
    <row r="4129" customFormat="false" ht="15" hidden="false" customHeight="false" outlineLevel="0" collapsed="false">
      <c r="A4129" s="0" t="n">
        <v>4118</v>
      </c>
      <c r="B4129" s="15" t="n">
        <v>-1.67448280656254</v>
      </c>
      <c r="C4129" s="18" t="n">
        <f aca="false">'Black-Scholes'!$B$5*EXP(('Black-Scholes'!$B$8-'Black-Scholes'!$B$10-'Black-Scholes'!$B$9^2/2)*'Black-Scholes'!$B$7+'Black-Scholes'!$B$9*SQRT('Black-Scholes'!$B$7)*B4129)</f>
        <v>73.719962540958</v>
      </c>
      <c r="D4129" s="18" t="n">
        <f aca="false">'Black-Scholes'!$B$5*EXP(('Black-Scholes'!$B$8-'Black-Scholes'!$B$10-'Black-Scholes'!$B$9^2/2)*'Black-Scholes'!$B$7-'Black-Scholes'!$B$9*SQRT('Black-Scholes'!$B$7)*B4129)</f>
        <v>144.036501097707</v>
      </c>
      <c r="E4129" s="18" t="n">
        <f aca="false">EXP(-'Black-Scholes'!$B$8*'Black-Scholes'!$B$7)*IF(LOWER('Black-Scholes'!$B$11)="put",MAX('Black-Scholes'!$B$6-C4129,0),MAX(C4129-'Black-Scholes'!$B$6,0))</f>
        <v>0</v>
      </c>
      <c r="F4129" s="18" t="n">
        <f aca="false">(E4129+G4129)/2</f>
        <v>20.9444077980983</v>
      </c>
      <c r="G4129" s="18" t="n">
        <f aca="false">EXP(-'Black-Scholes'!$B$8*'Black-Scholes'!$B$7)*IF(LOWER('Black-Scholes'!$B$11)="put",MAX('Black-Scholes'!$B$6-D4129,0),MAX(D4129-'Black-Scholes'!$B$6,0))</f>
        <v>41.8888155961967</v>
      </c>
    </row>
    <row r="4130" customFormat="false" ht="15" hidden="false" customHeight="false" outlineLevel="0" collapsed="false">
      <c r="A4130" s="0" t="n">
        <v>4119</v>
      </c>
      <c r="B4130" s="15" t="n">
        <v>-0.702722123122147</v>
      </c>
      <c r="C4130" s="18" t="n">
        <f aca="false">'Black-Scholes'!$B$5*EXP(('Black-Scholes'!$B$8-'Black-Scholes'!$B$10-'Black-Scholes'!$B$9^2/2)*'Black-Scholes'!$B$7+'Black-Scholes'!$B$9*SQRT('Black-Scholes'!$B$7)*B4130)</f>
        <v>89.5346553871579</v>
      </c>
      <c r="D4130" s="18" t="n">
        <f aca="false">'Black-Scholes'!$B$5*EXP(('Black-Scholes'!$B$8-'Black-Scholes'!$B$10-'Black-Scholes'!$B$9^2/2)*'Black-Scholes'!$B$7-'Black-Scholes'!$B$9*SQRT('Black-Scholes'!$B$7)*B4130)</f>
        <v>118.595033616186</v>
      </c>
      <c r="E4130" s="18" t="n">
        <f aca="false">EXP(-'Black-Scholes'!$B$8*'Black-Scholes'!$B$7)*IF(LOWER('Black-Scholes'!$B$11)="put",MAX('Black-Scholes'!$B$6-C4130,0),MAX(C4130-'Black-Scholes'!$B$6,0))</f>
        <v>0</v>
      </c>
      <c r="F4130" s="18" t="n">
        <f aca="false">(E4130+G4130)/2</f>
        <v>8.84407156264791</v>
      </c>
      <c r="G4130" s="18" t="n">
        <f aca="false">EXP(-'Black-Scholes'!$B$8*'Black-Scholes'!$B$7)*IF(LOWER('Black-Scholes'!$B$11)="put",MAX('Black-Scholes'!$B$6-D4130,0),MAX(D4130-'Black-Scholes'!$B$6,0))</f>
        <v>17.6881431252958</v>
      </c>
    </row>
    <row r="4131" customFormat="false" ht="15" hidden="false" customHeight="false" outlineLevel="0" collapsed="false">
      <c r="A4131" s="0" t="n">
        <v>4120</v>
      </c>
      <c r="B4131" s="15" t="n">
        <v>-0.842361195190591</v>
      </c>
      <c r="C4131" s="18" t="n">
        <f aca="false">'Black-Scholes'!$B$5*EXP(('Black-Scholes'!$B$8-'Black-Scholes'!$B$10-'Black-Scholes'!$B$9^2/2)*'Black-Scholes'!$B$7+'Black-Scholes'!$B$9*SQRT('Black-Scholes'!$B$7)*B4131)</f>
        <v>87.0687422053947</v>
      </c>
      <c r="D4131" s="18" t="n">
        <f aca="false">'Black-Scholes'!$B$5*EXP(('Black-Scholes'!$B$8-'Black-Scholes'!$B$10-'Black-Scholes'!$B$9^2/2)*'Black-Scholes'!$B$7-'Black-Scholes'!$B$9*SQRT('Black-Scholes'!$B$7)*B4131)</f>
        <v>121.953817139163</v>
      </c>
      <c r="E4131" s="18" t="n">
        <f aca="false">EXP(-'Black-Scholes'!$B$8*'Black-Scholes'!$B$7)*IF(LOWER('Black-Scholes'!$B$11)="put",MAX('Black-Scholes'!$B$6-C4131,0),MAX(C4131-'Black-Scholes'!$B$6,0))</f>
        <v>0</v>
      </c>
      <c r="F4131" s="18" t="n">
        <f aca="false">(E4131+G4131)/2</f>
        <v>10.4415584214398</v>
      </c>
      <c r="G4131" s="18" t="n">
        <f aca="false">EXP(-'Black-Scholes'!$B$8*'Black-Scholes'!$B$7)*IF(LOWER('Black-Scholes'!$B$11)="put",MAX('Black-Scholes'!$B$6-D4131,0),MAX(D4131-'Black-Scholes'!$B$6,0))</f>
        <v>20.8831168428795</v>
      </c>
    </row>
    <row r="4132" customFormat="false" ht="15" hidden="false" customHeight="false" outlineLevel="0" collapsed="false">
      <c r="A4132" s="0" t="n">
        <v>4121</v>
      </c>
      <c r="B4132" s="15" t="n">
        <v>0.62547074643364</v>
      </c>
      <c r="C4132" s="18" t="n">
        <f aca="false">'Black-Scholes'!$B$5*EXP(('Black-Scholes'!$B$8-'Black-Scholes'!$B$10-'Black-Scholes'!$B$9^2/2)*'Black-Scholes'!$B$7+'Black-Scholes'!$B$9*SQRT('Black-Scholes'!$B$7)*B4132)</f>
        <v>116.776790044458</v>
      </c>
      <c r="D4132" s="18" t="n">
        <f aca="false">'Black-Scholes'!$B$5*EXP(('Black-Scholes'!$B$8-'Black-Scholes'!$B$10-'Black-Scholes'!$B$9^2/2)*'Black-Scholes'!$B$7-'Black-Scholes'!$B$9*SQRT('Black-Scholes'!$B$7)*B4132)</f>
        <v>90.9287321685336</v>
      </c>
      <c r="E4132" s="18" t="n">
        <f aca="false">EXP(-'Black-Scholes'!$B$8*'Black-Scholes'!$B$7)*IF(LOWER('Black-Scholes'!$B$11)="put",MAX('Black-Scholes'!$B$6-C4132,0),MAX(C4132-'Black-Scholes'!$B$6,0))</f>
        <v>15.958576338959</v>
      </c>
      <c r="F4132" s="18" t="n">
        <f aca="false">(E4132+G4132)/2</f>
        <v>7.97928816947952</v>
      </c>
      <c r="G4132" s="18" t="n">
        <f aca="false">EXP(-'Black-Scholes'!$B$8*'Black-Scholes'!$B$7)*IF(LOWER('Black-Scholes'!$B$11)="put",MAX('Black-Scholes'!$B$6-D4132,0),MAX(D4132-'Black-Scholes'!$B$6,0))</f>
        <v>0</v>
      </c>
    </row>
    <row r="4133" customFormat="false" ht="15" hidden="false" customHeight="false" outlineLevel="0" collapsed="false">
      <c r="A4133" s="0" t="n">
        <v>4122</v>
      </c>
      <c r="B4133" s="15" t="n">
        <v>0.077408828457356</v>
      </c>
      <c r="C4133" s="18" t="n">
        <f aca="false">'Black-Scholes'!$B$5*EXP(('Black-Scholes'!$B$8-'Black-Scholes'!$B$10-'Black-Scholes'!$B$9^2/2)*'Black-Scholes'!$B$7+'Black-Scholes'!$B$9*SQRT('Black-Scholes'!$B$7)*B4133)</f>
        <v>104.653192165402</v>
      </c>
      <c r="D4133" s="18" t="n">
        <f aca="false">'Black-Scholes'!$B$5*EXP(('Black-Scholes'!$B$8-'Black-Scholes'!$B$10-'Black-Scholes'!$B$9^2/2)*'Black-Scholes'!$B$7-'Black-Scholes'!$B$9*SQRT('Black-Scholes'!$B$7)*B4133)</f>
        <v>101.462413575226</v>
      </c>
      <c r="E4133" s="18" t="n">
        <f aca="false">EXP(-'Black-Scholes'!$B$8*'Black-Scholes'!$B$7)*IF(LOWER('Black-Scholes'!$B$11)="put",MAX('Black-Scholes'!$B$6-C4133,0),MAX(C4133-'Black-Scholes'!$B$6,0))</f>
        <v>4.4262533055868</v>
      </c>
      <c r="F4133" s="18" t="n">
        <f aca="false">(E4133+G4133)/2</f>
        <v>2.90867206456532</v>
      </c>
      <c r="G4133" s="18" t="n">
        <f aca="false">EXP(-'Black-Scholes'!$B$8*'Black-Scholes'!$B$7)*IF(LOWER('Black-Scholes'!$B$11)="put",MAX('Black-Scholes'!$B$6-D4133,0),MAX(D4133-'Black-Scholes'!$B$6,0))</f>
        <v>1.39109082354385</v>
      </c>
    </row>
    <row r="4134" customFormat="false" ht="15" hidden="false" customHeight="false" outlineLevel="0" collapsed="false">
      <c r="A4134" s="0" t="n">
        <v>4123</v>
      </c>
      <c r="B4134" s="15" t="n">
        <v>0.0545541011222428</v>
      </c>
      <c r="C4134" s="18" t="n">
        <f aca="false">'Black-Scholes'!$B$5*EXP(('Black-Scholes'!$B$8-'Black-Scholes'!$B$10-'Black-Scholes'!$B$9^2/2)*'Black-Scholes'!$B$7+'Black-Scholes'!$B$9*SQRT('Black-Scholes'!$B$7)*B4134)</f>
        <v>104.175919755137</v>
      </c>
      <c r="D4134" s="18" t="n">
        <f aca="false">'Black-Scholes'!$B$5*EXP(('Black-Scholes'!$B$8-'Black-Scholes'!$B$10-'Black-Scholes'!$B$9^2/2)*'Black-Scholes'!$B$7-'Black-Scholes'!$B$9*SQRT('Black-Scholes'!$B$7)*B4134)</f>
        <v>101.927254306099</v>
      </c>
      <c r="E4134" s="18" t="n">
        <f aca="false">EXP(-'Black-Scholes'!$B$8*'Black-Scholes'!$B$7)*IF(LOWER('Black-Scholes'!$B$11)="put",MAX('Black-Scholes'!$B$6-C4134,0),MAX(C4134-'Black-Scholes'!$B$6,0))</f>
        <v>3.97225774543992</v>
      </c>
      <c r="F4134" s="18" t="n">
        <f aca="false">(E4134+G4134)/2</f>
        <v>2.90275937494852</v>
      </c>
      <c r="G4134" s="18" t="n">
        <f aca="false">EXP(-'Black-Scholes'!$B$8*'Black-Scholes'!$B$7)*IF(LOWER('Black-Scholes'!$B$11)="put",MAX('Black-Scholes'!$B$6-D4134,0),MAX(D4134-'Black-Scholes'!$B$6,0))</f>
        <v>1.83326100445713</v>
      </c>
    </row>
    <row r="4135" customFormat="false" ht="15" hidden="false" customHeight="false" outlineLevel="0" collapsed="false">
      <c r="A4135" s="0" t="n">
        <v>4124</v>
      </c>
      <c r="B4135" s="15" t="n">
        <v>-1.32934562711134</v>
      </c>
      <c r="C4135" s="18" t="n">
        <f aca="false">'Black-Scholes'!$B$5*EXP(('Black-Scholes'!$B$8-'Black-Scholes'!$B$10-'Black-Scholes'!$B$9^2/2)*'Black-Scholes'!$B$7+'Black-Scholes'!$B$9*SQRT('Black-Scholes'!$B$7)*B4135)</f>
        <v>78.9884042909042</v>
      </c>
      <c r="D4135" s="18" t="n">
        <f aca="false">'Black-Scholes'!$B$5*EXP(('Black-Scholes'!$B$8-'Black-Scholes'!$B$10-'Black-Scholes'!$B$9^2/2)*'Black-Scholes'!$B$7-'Black-Scholes'!$B$9*SQRT('Black-Scholes'!$B$7)*B4135)</f>
        <v>134.429421138165</v>
      </c>
      <c r="E4135" s="18" t="n">
        <f aca="false">EXP(-'Black-Scholes'!$B$8*'Black-Scholes'!$B$7)*IF(LOWER('Black-Scholes'!$B$11)="put",MAX('Black-Scholes'!$B$6-C4135,0),MAX(C4135-'Black-Scholes'!$B$6,0))</f>
        <v>0</v>
      </c>
      <c r="F4135" s="18" t="n">
        <f aca="false">(E4135+G4135)/2</f>
        <v>16.3751392275747</v>
      </c>
      <c r="G4135" s="18" t="n">
        <f aca="false">EXP(-'Black-Scholes'!$B$8*'Black-Scholes'!$B$7)*IF(LOWER('Black-Scholes'!$B$11)="put",MAX('Black-Scholes'!$B$6-D4135,0),MAX(D4135-'Black-Scholes'!$B$6,0))</f>
        <v>32.7502784551493</v>
      </c>
    </row>
    <row r="4136" customFormat="false" ht="15" hidden="false" customHeight="false" outlineLevel="0" collapsed="false">
      <c r="A4136" s="0" t="n">
        <v>4125</v>
      </c>
      <c r="B4136" s="15" t="n">
        <v>-1.78810225846996</v>
      </c>
      <c r="C4136" s="18" t="n">
        <f aca="false">'Black-Scholes'!$B$5*EXP(('Black-Scholes'!$B$8-'Black-Scholes'!$B$10-'Black-Scholes'!$B$9^2/2)*'Black-Scholes'!$B$7+'Black-Scholes'!$B$9*SQRT('Black-Scholes'!$B$7)*B4136)</f>
        <v>72.0636484162344</v>
      </c>
      <c r="D4136" s="18" t="n">
        <f aca="false">'Black-Scholes'!$B$5*EXP(('Black-Scholes'!$B$8-'Black-Scholes'!$B$10-'Black-Scholes'!$B$9^2/2)*'Black-Scholes'!$B$7-'Black-Scholes'!$B$9*SQRT('Black-Scholes'!$B$7)*B4136)</f>
        <v>147.347042493917</v>
      </c>
      <c r="E4136" s="18" t="n">
        <f aca="false">EXP(-'Black-Scholes'!$B$8*'Black-Scholes'!$B$7)*IF(LOWER('Black-Scholes'!$B$11)="put",MAX('Black-Scholes'!$B$6-C4136,0),MAX(C4136-'Black-Scholes'!$B$6,0))</f>
        <v>0</v>
      </c>
      <c r="F4136" s="18" t="n">
        <f aca="false">(E4136+G4136)/2</f>
        <v>22.5189499916498</v>
      </c>
      <c r="G4136" s="18" t="n">
        <f aca="false">EXP(-'Black-Scholes'!$B$8*'Black-Scholes'!$B$7)*IF(LOWER('Black-Scholes'!$B$11)="put",MAX('Black-Scholes'!$B$6-D4136,0),MAX(D4136-'Black-Scholes'!$B$6,0))</f>
        <v>45.0378999832997</v>
      </c>
    </row>
    <row r="4137" customFormat="false" ht="15" hidden="false" customHeight="false" outlineLevel="0" collapsed="false">
      <c r="A4137" s="0" t="n">
        <v>4126</v>
      </c>
      <c r="B4137" s="15" t="n">
        <v>1.36473613922909</v>
      </c>
      <c r="C4137" s="18" t="n">
        <f aca="false">'Black-Scholes'!$B$5*EXP(('Black-Scholes'!$B$8-'Black-Scholes'!$B$10-'Black-Scholes'!$B$9^2/2)*'Black-Scholes'!$B$7+'Black-Scholes'!$B$9*SQRT('Black-Scholes'!$B$7)*B4137)</f>
        <v>135.384301734465</v>
      </c>
      <c r="D4137" s="18" t="n">
        <f aca="false">'Black-Scholes'!$B$5*EXP(('Black-Scholes'!$B$8-'Black-Scholes'!$B$10-'Black-Scholes'!$B$9^2/2)*'Black-Scholes'!$B$7-'Black-Scholes'!$B$9*SQRT('Black-Scholes'!$B$7)*B4137)</f>
        <v>78.431290256088</v>
      </c>
      <c r="E4137" s="18" t="n">
        <f aca="false">EXP(-'Black-Scholes'!$B$8*'Black-Scholes'!$B$7)*IF(LOWER('Black-Scholes'!$B$11)="put",MAX('Black-Scholes'!$B$6-C4137,0),MAX(C4137-'Black-Scholes'!$B$6,0))</f>
        <v>33.6585889752345</v>
      </c>
      <c r="F4137" s="18" t="n">
        <f aca="false">(E4137+G4137)/2</f>
        <v>16.8292944876172</v>
      </c>
      <c r="G4137" s="18" t="n">
        <f aca="false">EXP(-'Black-Scholes'!$B$8*'Black-Scholes'!$B$7)*IF(LOWER('Black-Scholes'!$B$11)="put",MAX('Black-Scholes'!$B$6-D4137,0),MAX(D4137-'Black-Scholes'!$B$6,0))</f>
        <v>0</v>
      </c>
    </row>
    <row r="4138" customFormat="false" ht="15" hidden="false" customHeight="false" outlineLevel="0" collapsed="false">
      <c r="A4138" s="0" t="n">
        <v>4127</v>
      </c>
      <c r="B4138" s="15" t="n">
        <v>1.47180747086245</v>
      </c>
      <c r="C4138" s="18" t="n">
        <f aca="false">'Black-Scholes'!$B$5*EXP(('Black-Scholes'!$B$8-'Black-Scholes'!$B$10-'Black-Scholes'!$B$9^2/2)*'Black-Scholes'!$B$7+'Black-Scholes'!$B$9*SQRT('Black-Scholes'!$B$7)*B4138)</f>
        <v>138.314721641532</v>
      </c>
      <c r="D4138" s="18" t="n">
        <f aca="false">'Black-Scholes'!$B$5*EXP(('Black-Scholes'!$B$8-'Black-Scholes'!$B$10-'Black-Scholes'!$B$9^2/2)*'Black-Scholes'!$B$7-'Black-Scholes'!$B$9*SQRT('Black-Scholes'!$B$7)*B4138)</f>
        <v>76.7695971870085</v>
      </c>
      <c r="E4138" s="18" t="n">
        <f aca="false">EXP(-'Black-Scholes'!$B$8*'Black-Scholes'!$B$7)*IF(LOWER('Black-Scholes'!$B$11)="put",MAX('Black-Scholes'!$B$6-C4138,0),MAX(C4138-'Black-Scholes'!$B$6,0))</f>
        <v>36.4460906169793</v>
      </c>
      <c r="F4138" s="18" t="n">
        <f aca="false">(E4138+G4138)/2</f>
        <v>18.2230453084897</v>
      </c>
      <c r="G4138" s="18" t="n">
        <f aca="false">EXP(-'Black-Scholes'!$B$8*'Black-Scholes'!$B$7)*IF(LOWER('Black-Scholes'!$B$11)="put",MAX('Black-Scholes'!$B$6-D4138,0),MAX(D4138-'Black-Scholes'!$B$6,0))</f>
        <v>0</v>
      </c>
    </row>
    <row r="4139" customFormat="false" ht="15" hidden="false" customHeight="false" outlineLevel="0" collapsed="false">
      <c r="A4139" s="0" t="n">
        <v>4128</v>
      </c>
      <c r="B4139" s="15" t="n">
        <v>0.188899896442258</v>
      </c>
      <c r="C4139" s="18" t="n">
        <f aca="false">'Black-Scholes'!$B$5*EXP(('Black-Scholes'!$B$8-'Black-Scholes'!$B$10-'Black-Scholes'!$B$9^2/2)*'Black-Scholes'!$B$7+'Black-Scholes'!$B$9*SQRT('Black-Scholes'!$B$7)*B4139)</f>
        <v>107.01298318478</v>
      </c>
      <c r="D4139" s="18" t="n">
        <f aca="false">'Black-Scholes'!$B$5*EXP(('Black-Scholes'!$B$8-'Black-Scholes'!$B$10-'Black-Scholes'!$B$9^2/2)*'Black-Scholes'!$B$7-'Black-Scholes'!$B$9*SQRT('Black-Scholes'!$B$7)*B4139)</f>
        <v>99.2250206418296</v>
      </c>
      <c r="E4139" s="18" t="n">
        <f aca="false">EXP(-'Black-Scholes'!$B$8*'Black-Scholes'!$B$7)*IF(LOWER('Black-Scholes'!$B$11)="put",MAX('Black-Scholes'!$B$6-C4139,0),MAX(C4139-'Black-Scholes'!$B$6,0))</f>
        <v>6.67095595889183</v>
      </c>
      <c r="F4139" s="18" t="n">
        <f aca="false">(E4139+G4139)/2</f>
        <v>3.33547797944591</v>
      </c>
      <c r="G4139" s="18" t="n">
        <f aca="false">EXP(-'Black-Scholes'!$B$8*'Black-Scholes'!$B$7)*IF(LOWER('Black-Scholes'!$B$11)="put",MAX('Black-Scholes'!$B$6-D4139,0),MAX(D4139-'Black-Scholes'!$B$6,0))</f>
        <v>0</v>
      </c>
    </row>
    <row r="4140" customFormat="false" ht="15" hidden="false" customHeight="false" outlineLevel="0" collapsed="false">
      <c r="A4140" s="0" t="n">
        <v>4129</v>
      </c>
      <c r="B4140" s="15" t="n">
        <v>-1.41909902065109</v>
      </c>
      <c r="C4140" s="18" t="n">
        <f aca="false">'Black-Scholes'!$B$5*EXP(('Black-Scholes'!$B$8-'Black-Scholes'!$B$10-'Black-Scholes'!$B$9^2/2)*'Black-Scholes'!$B$7+'Black-Scholes'!$B$9*SQRT('Black-Scholes'!$B$7)*B4140)</f>
        <v>77.5831591099755</v>
      </c>
      <c r="D4140" s="18" t="n">
        <f aca="false">'Black-Scholes'!$B$5*EXP(('Black-Scholes'!$B$8-'Black-Scholes'!$B$10-'Black-Scholes'!$B$9^2/2)*'Black-Scholes'!$B$7-'Black-Scholes'!$B$9*SQRT('Black-Scholes'!$B$7)*B4140)</f>
        <v>136.864309049363</v>
      </c>
      <c r="E4140" s="18" t="n">
        <f aca="false">EXP(-'Black-Scholes'!$B$8*'Black-Scholes'!$B$7)*IF(LOWER('Black-Scholes'!$B$11)="put",MAX('Black-Scholes'!$B$6-C4140,0),MAX(C4140-'Black-Scholes'!$B$6,0))</f>
        <v>0</v>
      </c>
      <c r="F4140" s="18" t="n">
        <f aca="false">(E4140+G4140)/2</f>
        <v>17.533207740821</v>
      </c>
      <c r="G4140" s="18" t="n">
        <f aca="false">EXP(-'Black-Scholes'!$B$8*'Black-Scholes'!$B$7)*IF(LOWER('Black-Scholes'!$B$11)="put",MAX('Black-Scholes'!$B$6-D4140,0),MAX(D4140-'Black-Scholes'!$B$6,0))</f>
        <v>35.0664154816421</v>
      </c>
    </row>
    <row r="4141" customFormat="false" ht="15" hidden="false" customHeight="false" outlineLevel="0" collapsed="false">
      <c r="A4141" s="0" t="n">
        <v>4130</v>
      </c>
      <c r="B4141" s="15" t="n">
        <v>0.534559888562311</v>
      </c>
      <c r="C4141" s="18" t="n">
        <f aca="false">'Black-Scholes'!$B$5*EXP(('Black-Scholes'!$B$8-'Black-Scholes'!$B$10-'Black-Scholes'!$B$9^2/2)*'Black-Scholes'!$B$7+'Black-Scholes'!$B$9*SQRT('Black-Scholes'!$B$7)*B4141)</f>
        <v>114.672720652599</v>
      </c>
      <c r="D4141" s="18" t="n">
        <f aca="false">'Black-Scholes'!$B$5*EXP(('Black-Scholes'!$B$8-'Black-Scholes'!$B$10-'Black-Scholes'!$B$9^2/2)*'Black-Scholes'!$B$7-'Black-Scholes'!$B$9*SQRT('Black-Scholes'!$B$7)*B4141)</f>
        <v>92.5971356136385</v>
      </c>
      <c r="E4141" s="18" t="n">
        <f aca="false">EXP(-'Black-Scholes'!$B$8*'Black-Scholes'!$B$7)*IF(LOWER('Black-Scholes'!$B$11)="put",MAX('Black-Scholes'!$B$6-C4141,0),MAX(C4141-'Black-Scholes'!$B$6,0))</f>
        <v>13.9571236222315</v>
      </c>
      <c r="F4141" s="18" t="n">
        <f aca="false">(E4141+G4141)/2</f>
        <v>6.97856181111577</v>
      </c>
      <c r="G4141" s="18" t="n">
        <f aca="false">EXP(-'Black-Scholes'!$B$8*'Black-Scholes'!$B$7)*IF(LOWER('Black-Scholes'!$B$11)="put",MAX('Black-Scholes'!$B$6-D4141,0),MAX(D4141-'Black-Scholes'!$B$6,0))</f>
        <v>0</v>
      </c>
    </row>
    <row r="4142" customFormat="false" ht="15" hidden="false" customHeight="false" outlineLevel="0" collapsed="false">
      <c r="A4142" s="0" t="n">
        <v>4131</v>
      </c>
      <c r="B4142" s="15" t="n">
        <v>0.179956248815504</v>
      </c>
      <c r="C4142" s="18" t="n">
        <f aca="false">'Black-Scholes'!$B$5*EXP(('Black-Scholes'!$B$8-'Black-Scholes'!$B$10-'Black-Scholes'!$B$9^2/2)*'Black-Scholes'!$B$7+'Black-Scholes'!$B$9*SQRT('Black-Scholes'!$B$7)*B4142)</f>
        <v>106.821736997005</v>
      </c>
      <c r="D4142" s="18" t="n">
        <f aca="false">'Black-Scholes'!$B$5*EXP(('Black-Scholes'!$B$8-'Black-Scholes'!$B$10-'Black-Scholes'!$B$9^2/2)*'Black-Scholes'!$B$7-'Black-Scholes'!$B$9*SQRT('Black-Scholes'!$B$7)*B4142)</f>
        <v>99.4026661984657</v>
      </c>
      <c r="E4142" s="18" t="n">
        <f aca="false">EXP(-'Black-Scholes'!$B$8*'Black-Scholes'!$B$7)*IF(LOWER('Black-Scholes'!$B$11)="put",MAX('Black-Scholes'!$B$6-C4142,0),MAX(C4142-'Black-Scholes'!$B$6,0))</f>
        <v>6.48903695775641</v>
      </c>
      <c r="F4142" s="18" t="n">
        <f aca="false">(E4142+G4142)/2</f>
        <v>3.2445184788782</v>
      </c>
      <c r="G4142" s="18" t="n">
        <f aca="false">EXP(-'Black-Scholes'!$B$8*'Black-Scholes'!$B$7)*IF(LOWER('Black-Scholes'!$B$11)="put",MAX('Black-Scholes'!$B$6-D4142,0),MAX(D4142-'Black-Scholes'!$B$6,0))</f>
        <v>0</v>
      </c>
    </row>
    <row r="4143" customFormat="false" ht="15" hidden="false" customHeight="false" outlineLevel="0" collapsed="false">
      <c r="A4143" s="0" t="n">
        <v>4132</v>
      </c>
      <c r="B4143" s="15" t="n">
        <v>0.308051614870106</v>
      </c>
      <c r="C4143" s="18" t="n">
        <f aca="false">'Black-Scholes'!$B$5*EXP(('Black-Scholes'!$B$8-'Black-Scholes'!$B$10-'Black-Scholes'!$B$9^2/2)*'Black-Scholes'!$B$7+'Black-Scholes'!$B$9*SQRT('Black-Scholes'!$B$7)*B4143)</f>
        <v>109.593767712725</v>
      </c>
      <c r="D4143" s="18" t="n">
        <f aca="false">'Black-Scholes'!$B$5*EXP(('Black-Scholes'!$B$8-'Black-Scholes'!$B$10-'Black-Scholes'!$B$9^2/2)*'Black-Scholes'!$B$7-'Black-Scholes'!$B$9*SQRT('Black-Scholes'!$B$7)*B4143)</f>
        <v>96.8884060386278</v>
      </c>
      <c r="E4143" s="18" t="n">
        <f aca="false">EXP(-'Black-Scholes'!$B$8*'Black-Scholes'!$B$7)*IF(LOWER('Black-Scholes'!$B$11)="put",MAX('Black-Scholes'!$B$6-C4143,0),MAX(C4143-'Black-Scholes'!$B$6,0))</f>
        <v>9.12587414016927</v>
      </c>
      <c r="F4143" s="18" t="n">
        <f aca="false">(E4143+G4143)/2</f>
        <v>4.56293707008463</v>
      </c>
      <c r="G4143" s="18" t="n">
        <f aca="false">EXP(-'Black-Scholes'!$B$8*'Black-Scholes'!$B$7)*IF(LOWER('Black-Scholes'!$B$11)="put",MAX('Black-Scholes'!$B$6-D4143,0),MAX(D4143-'Black-Scholes'!$B$6,0))</f>
        <v>0</v>
      </c>
    </row>
    <row r="4144" customFormat="false" ht="15" hidden="false" customHeight="false" outlineLevel="0" collapsed="false">
      <c r="A4144" s="0" t="n">
        <v>4133</v>
      </c>
      <c r="B4144" s="15" t="n">
        <v>0.784868349265218</v>
      </c>
      <c r="C4144" s="18" t="n">
        <f aca="false">'Black-Scholes'!$B$5*EXP(('Black-Scholes'!$B$8-'Black-Scholes'!$B$10-'Black-Scholes'!$B$9^2/2)*'Black-Scholes'!$B$7+'Black-Scholes'!$B$9*SQRT('Black-Scholes'!$B$7)*B4144)</f>
        <v>120.559554112425</v>
      </c>
      <c r="D4144" s="18" t="n">
        <f aca="false">'Black-Scholes'!$B$5*EXP(('Black-Scholes'!$B$8-'Black-Scholes'!$B$10-'Black-Scholes'!$B$9^2/2)*'Black-Scholes'!$B$7-'Black-Scholes'!$B$9*SQRT('Black-Scholes'!$B$7)*B4144)</f>
        <v>88.0756862749485</v>
      </c>
      <c r="E4144" s="18" t="n">
        <f aca="false">EXP(-'Black-Scholes'!$B$8*'Black-Scholes'!$B$7)*IF(LOWER('Black-Scholes'!$B$11)="put",MAX('Black-Scholes'!$B$6-C4144,0),MAX(C4144-'Black-Scholes'!$B$6,0))</f>
        <v>19.5568528263531</v>
      </c>
      <c r="F4144" s="18" t="n">
        <f aca="false">(E4144+G4144)/2</f>
        <v>9.77842641317655</v>
      </c>
      <c r="G4144" s="18" t="n">
        <f aca="false">EXP(-'Black-Scholes'!$B$8*'Black-Scholes'!$B$7)*IF(LOWER('Black-Scholes'!$B$11)="put",MAX('Black-Scholes'!$B$6-D4144,0),MAX(D4144-'Black-Scholes'!$B$6,0))</f>
        <v>0</v>
      </c>
    </row>
    <row r="4145" customFormat="false" ht="15" hidden="false" customHeight="false" outlineLevel="0" collapsed="false">
      <c r="A4145" s="0" t="n">
        <v>4134</v>
      </c>
      <c r="B4145" s="15" t="n">
        <v>-0.6863423862751</v>
      </c>
      <c r="C4145" s="18" t="n">
        <f aca="false">'Black-Scholes'!$B$5*EXP(('Black-Scholes'!$B$8-'Black-Scholes'!$B$10-'Black-Scholes'!$B$9^2/2)*'Black-Scholes'!$B$7+'Black-Scholes'!$B$9*SQRT('Black-Scholes'!$B$7)*B4145)</f>
        <v>89.828447166404</v>
      </c>
      <c r="D4145" s="18" t="n">
        <f aca="false">'Black-Scholes'!$B$5*EXP(('Black-Scholes'!$B$8-'Black-Scholes'!$B$10-'Black-Scholes'!$B$9^2/2)*'Black-Scholes'!$B$7-'Black-Scholes'!$B$9*SQRT('Black-Scholes'!$B$7)*B4145)</f>
        <v>118.207158204388</v>
      </c>
      <c r="E4145" s="18" t="n">
        <f aca="false">EXP(-'Black-Scholes'!$B$8*'Black-Scholes'!$B$7)*IF(LOWER('Black-Scholes'!$B$11)="put",MAX('Black-Scholes'!$B$6-C4145,0),MAX(C4145-'Black-Scholes'!$B$6,0))</f>
        <v>0</v>
      </c>
      <c r="F4145" s="18" t="n">
        <f aca="false">(E4145+G4145)/2</f>
        <v>8.65959231027656</v>
      </c>
      <c r="G4145" s="18" t="n">
        <f aca="false">EXP(-'Black-Scholes'!$B$8*'Black-Scholes'!$B$7)*IF(LOWER('Black-Scholes'!$B$11)="put",MAX('Black-Scholes'!$B$6-D4145,0),MAX(D4145-'Black-Scholes'!$B$6,0))</f>
        <v>17.3191846205531</v>
      </c>
    </row>
    <row r="4146" customFormat="false" ht="15" hidden="false" customHeight="false" outlineLevel="0" collapsed="false">
      <c r="A4146" s="0" t="n">
        <v>4135</v>
      </c>
      <c r="B4146" s="15" t="n">
        <v>-2.91813263236956</v>
      </c>
      <c r="C4146" s="18" t="n">
        <f aca="false">'Black-Scholes'!$B$5*EXP(('Black-Scholes'!$B$8-'Black-Scholes'!$B$10-'Black-Scholes'!$B$9^2/2)*'Black-Scholes'!$B$7+'Black-Scholes'!$B$9*SQRT('Black-Scholes'!$B$7)*B4146)</f>
        <v>57.4861275970668</v>
      </c>
      <c r="D4146" s="18" t="n">
        <f aca="false">'Black-Scholes'!$B$5*EXP(('Black-Scholes'!$B$8-'Black-Scholes'!$B$10-'Black-Scholes'!$B$9^2/2)*'Black-Scholes'!$B$7-'Black-Scholes'!$B$9*SQRT('Black-Scholes'!$B$7)*B4146)</f>
        <v>184.711788901143</v>
      </c>
      <c r="E4146" s="18" t="n">
        <f aca="false">EXP(-'Black-Scholes'!$B$8*'Black-Scholes'!$B$7)*IF(LOWER('Black-Scholes'!$B$11)="put",MAX('Black-Scholes'!$B$6-C4146,0),MAX(C4146-'Black-Scholes'!$B$6,0))</f>
        <v>0</v>
      </c>
      <c r="F4146" s="18" t="n">
        <f aca="false">(E4146+G4146)/2</f>
        <v>40.2901731024303</v>
      </c>
      <c r="G4146" s="18" t="n">
        <f aca="false">EXP(-'Black-Scholes'!$B$8*'Black-Scholes'!$B$7)*IF(LOWER('Black-Scholes'!$B$11)="put",MAX('Black-Scholes'!$B$6-D4146,0),MAX(D4146-'Black-Scholes'!$B$6,0))</f>
        <v>80.5803462048606</v>
      </c>
    </row>
    <row r="4147" customFormat="false" ht="15" hidden="false" customHeight="false" outlineLevel="0" collapsed="false">
      <c r="A4147" s="0" t="n">
        <v>4136</v>
      </c>
      <c r="B4147" s="15" t="n">
        <v>-1.28150583381224</v>
      </c>
      <c r="C4147" s="18" t="n">
        <f aca="false">'Black-Scholes'!$B$5*EXP(('Black-Scholes'!$B$8-'Black-Scholes'!$B$10-'Black-Scholes'!$B$9^2/2)*'Black-Scholes'!$B$7+'Black-Scholes'!$B$9*SQRT('Black-Scholes'!$B$7)*B4147)</f>
        <v>79.74778916611</v>
      </c>
      <c r="D4147" s="18" t="n">
        <f aca="false">'Black-Scholes'!$B$5*EXP(('Black-Scholes'!$B$8-'Black-Scholes'!$B$10-'Black-Scholes'!$B$9^2/2)*'Black-Scholes'!$B$7-'Black-Scholes'!$B$9*SQRT('Black-Scholes'!$B$7)*B4147)</f>
        <v>133.149339642961</v>
      </c>
      <c r="E4147" s="18" t="n">
        <f aca="false">EXP(-'Black-Scholes'!$B$8*'Black-Scholes'!$B$7)*IF(LOWER('Black-Scholes'!$B$11)="put",MAX('Black-Scholes'!$B$6-C4147,0),MAX(C4147-'Black-Scholes'!$B$6,0))</f>
        <v>0</v>
      </c>
      <c r="F4147" s="18" t="n">
        <f aca="false">(E4147+G4147)/2</f>
        <v>15.766313635576</v>
      </c>
      <c r="G4147" s="18" t="n">
        <f aca="false">EXP(-'Black-Scholes'!$B$8*'Black-Scholes'!$B$7)*IF(LOWER('Black-Scholes'!$B$11)="put",MAX('Black-Scholes'!$B$6-D4147,0),MAX(D4147-'Black-Scholes'!$B$6,0))</f>
        <v>31.5326272711521</v>
      </c>
    </row>
    <row r="4148" customFormat="false" ht="15" hidden="false" customHeight="false" outlineLevel="0" collapsed="false">
      <c r="A4148" s="0" t="n">
        <v>4137</v>
      </c>
      <c r="B4148" s="15" t="n">
        <v>-1.25424631669823</v>
      </c>
      <c r="C4148" s="18" t="n">
        <f aca="false">'Black-Scholes'!$B$5*EXP(('Black-Scholes'!$B$8-'Black-Scholes'!$B$10-'Black-Scholes'!$B$9^2/2)*'Black-Scholes'!$B$7+'Black-Scholes'!$B$9*SQRT('Black-Scholes'!$B$7)*B4148)</f>
        <v>80.1837537493709</v>
      </c>
      <c r="D4148" s="18" t="n">
        <f aca="false">'Black-Scholes'!$B$5*EXP(('Black-Scholes'!$B$8-'Black-Scholes'!$B$10-'Black-Scholes'!$B$9^2/2)*'Black-Scholes'!$B$7-'Black-Scholes'!$B$9*SQRT('Black-Scholes'!$B$7)*B4148)</f>
        <v>132.425397526826</v>
      </c>
      <c r="E4148" s="18" t="n">
        <f aca="false">EXP(-'Black-Scholes'!$B$8*'Black-Scholes'!$B$7)*IF(LOWER('Black-Scholes'!$B$11)="put",MAX('Black-Scholes'!$B$6-C4148,0),MAX(C4148-'Black-Scholes'!$B$6,0))</f>
        <v>0</v>
      </c>
      <c r="F4148" s="18" t="n">
        <f aca="false">(E4148+G4148)/2</f>
        <v>15.421996114325</v>
      </c>
      <c r="G4148" s="18" t="n">
        <f aca="false">EXP(-'Black-Scholes'!$B$8*'Black-Scholes'!$B$7)*IF(LOWER('Black-Scholes'!$B$11)="put",MAX('Black-Scholes'!$B$6-D4148,0),MAX(D4148-'Black-Scholes'!$B$6,0))</f>
        <v>30.8439922286499</v>
      </c>
    </row>
    <row r="4149" customFormat="false" ht="15" hidden="false" customHeight="false" outlineLevel="0" collapsed="false">
      <c r="A4149" s="0" t="n">
        <v>4138</v>
      </c>
      <c r="B4149" s="15" t="n">
        <v>-0.536694947091666</v>
      </c>
      <c r="C4149" s="18" t="n">
        <f aca="false">'Black-Scholes'!$B$5*EXP(('Black-Scholes'!$B$8-'Black-Scholes'!$B$10-'Black-Scholes'!$B$9^2/2)*'Black-Scholes'!$B$7+'Black-Scholes'!$B$9*SQRT('Black-Scholes'!$B$7)*B4149)</f>
        <v>92.5576039936343</v>
      </c>
      <c r="D4149" s="18" t="n">
        <f aca="false">'Black-Scholes'!$B$5*EXP(('Black-Scholes'!$B$8-'Black-Scholes'!$B$10-'Black-Scholes'!$B$9^2/2)*'Black-Scholes'!$B$7-'Black-Scholes'!$B$9*SQRT('Black-Scholes'!$B$7)*B4149)</f>
        <v>114.721697702804</v>
      </c>
      <c r="E4149" s="18" t="n">
        <f aca="false">EXP(-'Black-Scholes'!$B$8*'Black-Scholes'!$B$7)*IF(LOWER('Black-Scholes'!$B$11)="put",MAX('Black-Scholes'!$B$6-C4149,0),MAX(C4149-'Black-Scholes'!$B$6,0))</f>
        <v>0</v>
      </c>
      <c r="F4149" s="18" t="n">
        <f aca="false">(E4149+G4149)/2</f>
        <v>7.00185601675609</v>
      </c>
      <c r="G4149" s="18" t="n">
        <f aca="false">EXP(-'Black-Scholes'!$B$8*'Black-Scholes'!$B$7)*IF(LOWER('Black-Scholes'!$B$11)="put",MAX('Black-Scholes'!$B$6-D4149,0),MAX(D4149-'Black-Scholes'!$B$6,0))</f>
        <v>14.0037120335122</v>
      </c>
    </row>
    <row r="4150" customFormat="false" ht="15" hidden="false" customHeight="false" outlineLevel="0" collapsed="false">
      <c r="A4150" s="0" t="n">
        <v>4139</v>
      </c>
      <c r="B4150" s="15" t="n">
        <v>-1.79804245881007</v>
      </c>
      <c r="C4150" s="18" t="n">
        <f aca="false">'Black-Scholes'!$B$5*EXP(('Black-Scholes'!$B$8-'Black-Scholes'!$B$10-'Black-Scholes'!$B$9^2/2)*'Black-Scholes'!$B$7+'Black-Scholes'!$B$9*SQRT('Black-Scholes'!$B$7)*B4150)</f>
        <v>71.9205253101088</v>
      </c>
      <c r="D4150" s="18" t="n">
        <f aca="false">'Black-Scholes'!$B$5*EXP(('Black-Scholes'!$B$8-'Black-Scholes'!$B$10-'Black-Scholes'!$B$9^2/2)*'Black-Scholes'!$B$7-'Black-Scholes'!$B$9*SQRT('Black-Scholes'!$B$7)*B4150)</f>
        <v>147.640265691457</v>
      </c>
      <c r="E4150" s="18" t="n">
        <f aca="false">EXP(-'Black-Scholes'!$B$8*'Black-Scholes'!$B$7)*IF(LOWER('Black-Scholes'!$B$11)="put",MAX('Black-Scholes'!$B$6-C4150,0),MAX(C4150-'Black-Scholes'!$B$6,0))</f>
        <v>0</v>
      </c>
      <c r="F4150" s="18" t="n">
        <f aca="false">(E4150+G4150)/2</f>
        <v>22.6584112583727</v>
      </c>
      <c r="G4150" s="18" t="n">
        <f aca="false">EXP(-'Black-Scholes'!$B$8*'Black-Scholes'!$B$7)*IF(LOWER('Black-Scholes'!$B$11)="put",MAX('Black-Scholes'!$B$6-D4150,0),MAX(D4150-'Black-Scholes'!$B$6,0))</f>
        <v>45.3168225167454</v>
      </c>
    </row>
    <row r="4151" customFormat="false" ht="15" hidden="false" customHeight="false" outlineLevel="0" collapsed="false">
      <c r="A4151" s="0" t="n">
        <v>4140</v>
      </c>
      <c r="B4151" s="15" t="n">
        <v>-1.00278368639601</v>
      </c>
      <c r="C4151" s="18" t="n">
        <f aca="false">'Black-Scholes'!$B$5*EXP(('Black-Scholes'!$B$8-'Black-Scholes'!$B$10-'Black-Scholes'!$B$9^2/2)*'Black-Scholes'!$B$7+'Black-Scholes'!$B$9*SQRT('Black-Scholes'!$B$7)*B4151)</f>
        <v>84.3195247667226</v>
      </c>
      <c r="D4151" s="18" t="n">
        <f aca="false">'Black-Scholes'!$B$5*EXP(('Black-Scholes'!$B$8-'Black-Scholes'!$B$10-'Black-Scholes'!$B$9^2/2)*'Black-Scholes'!$B$7-'Black-Scholes'!$B$9*SQRT('Black-Scholes'!$B$7)*B4151)</f>
        <v>125.930091456638</v>
      </c>
      <c r="E4151" s="18" t="n">
        <f aca="false">EXP(-'Black-Scholes'!$B$8*'Black-Scholes'!$B$7)*IF(LOWER('Black-Scholes'!$B$11)="put",MAX('Black-Scholes'!$B$6-C4151,0),MAX(C4151-'Black-Scholes'!$B$6,0))</f>
        <v>0</v>
      </c>
      <c r="F4151" s="18" t="n">
        <f aca="false">(E4151+G4151)/2</f>
        <v>12.3327329867742</v>
      </c>
      <c r="G4151" s="18" t="n">
        <f aca="false">EXP(-'Black-Scholes'!$B$8*'Black-Scholes'!$B$7)*IF(LOWER('Black-Scholes'!$B$11)="put",MAX('Black-Scholes'!$B$6-D4151,0),MAX(D4151-'Black-Scholes'!$B$6,0))</f>
        <v>24.6654659735483</v>
      </c>
    </row>
    <row r="4152" customFormat="false" ht="15" hidden="false" customHeight="false" outlineLevel="0" collapsed="false">
      <c r="A4152" s="0" t="n">
        <v>4141</v>
      </c>
      <c r="B4152" s="15" t="n">
        <v>0.0992611848470477</v>
      </c>
      <c r="C4152" s="18" t="n">
        <f aca="false">'Black-Scholes'!$B$5*EXP(('Black-Scholes'!$B$8-'Black-Scholes'!$B$10-'Black-Scholes'!$B$9^2/2)*'Black-Scholes'!$B$7+'Black-Scholes'!$B$9*SQRT('Black-Scholes'!$B$7)*B4152)</f>
        <v>105.111576884897</v>
      </c>
      <c r="D4152" s="18" t="n">
        <f aca="false">'Black-Scholes'!$B$5*EXP(('Black-Scholes'!$B$8-'Black-Scholes'!$B$10-'Black-Scholes'!$B$9^2/2)*'Black-Scholes'!$B$7-'Black-Scholes'!$B$9*SQRT('Black-Scholes'!$B$7)*B4152)</f>
        <v>101.019942618512</v>
      </c>
      <c r="E4152" s="18" t="n">
        <f aca="false">EXP(-'Black-Scholes'!$B$8*'Black-Scholes'!$B$7)*IF(LOWER('Black-Scholes'!$B$11)="put",MAX('Black-Scholes'!$B$6-C4152,0),MAX(C4152-'Black-Scholes'!$B$6,0))</f>
        <v>4.86228233851143</v>
      </c>
      <c r="F4152" s="18" t="n">
        <f aca="false">(E4152+G4152)/2</f>
        <v>2.91624088427126</v>
      </c>
      <c r="G4152" s="18" t="n">
        <f aca="false">EXP(-'Black-Scholes'!$B$8*'Black-Scholes'!$B$7)*IF(LOWER('Black-Scholes'!$B$11)="put",MAX('Black-Scholes'!$B$6-D4152,0),MAX(D4152-'Black-Scholes'!$B$6,0))</f>
        <v>0.970199430031088</v>
      </c>
    </row>
    <row r="4153" customFormat="false" ht="15" hidden="false" customHeight="false" outlineLevel="0" collapsed="false">
      <c r="A4153" s="0" t="n">
        <v>4142</v>
      </c>
      <c r="B4153" s="15" t="n">
        <v>-1.40892390292352</v>
      </c>
      <c r="C4153" s="18" t="n">
        <f aca="false">'Black-Scholes'!$B$5*EXP(('Black-Scholes'!$B$8-'Black-Scholes'!$B$10-'Black-Scholes'!$B$9^2/2)*'Black-Scholes'!$B$7+'Black-Scholes'!$B$9*SQRT('Black-Scholes'!$B$7)*B4153)</f>
        <v>77.741203422906</v>
      </c>
      <c r="D4153" s="18" t="n">
        <f aca="false">'Black-Scholes'!$B$5*EXP(('Black-Scholes'!$B$8-'Black-Scholes'!$B$10-'Black-Scholes'!$B$9^2/2)*'Black-Scholes'!$B$7-'Black-Scholes'!$B$9*SQRT('Black-Scholes'!$B$7)*B4153)</f>
        <v>136.58607016527</v>
      </c>
      <c r="E4153" s="18" t="n">
        <f aca="false">EXP(-'Black-Scholes'!$B$8*'Black-Scholes'!$B$7)*IF(LOWER('Black-Scholes'!$B$11)="put",MAX('Black-Scholes'!$B$6-C4153,0),MAX(C4153-'Black-Scholes'!$B$6,0))</f>
        <v>0</v>
      </c>
      <c r="F4153" s="18" t="n">
        <f aca="false">(E4153+G4153)/2</f>
        <v>17.4008732340264</v>
      </c>
      <c r="G4153" s="18" t="n">
        <f aca="false">EXP(-'Black-Scholes'!$B$8*'Black-Scholes'!$B$7)*IF(LOWER('Black-Scholes'!$B$11)="put",MAX('Black-Scholes'!$B$6-D4153,0),MAX(D4153-'Black-Scholes'!$B$6,0))</f>
        <v>34.8017464680529</v>
      </c>
    </row>
    <row r="4154" customFormat="false" ht="15" hidden="false" customHeight="false" outlineLevel="0" collapsed="false">
      <c r="A4154" s="0" t="n">
        <v>4143</v>
      </c>
      <c r="B4154" s="15" t="n">
        <v>0.615019034462646</v>
      </c>
      <c r="C4154" s="18" t="n">
        <f aca="false">'Black-Scholes'!$B$5*EXP(('Black-Scholes'!$B$8-'Black-Scholes'!$B$10-'Black-Scholes'!$B$9^2/2)*'Black-Scholes'!$B$7+'Black-Scholes'!$B$9*SQRT('Black-Scholes'!$B$7)*B4154)</f>
        <v>116.532941521814</v>
      </c>
      <c r="D4154" s="18" t="n">
        <f aca="false">'Black-Scholes'!$B$5*EXP(('Black-Scholes'!$B$8-'Black-Scholes'!$B$10-'Black-Scholes'!$B$9^2/2)*'Black-Scholes'!$B$7-'Black-Scholes'!$B$9*SQRT('Black-Scholes'!$B$7)*B4154)</f>
        <v>91.1190031487014</v>
      </c>
      <c r="E4154" s="18" t="n">
        <f aca="false">EXP(-'Black-Scholes'!$B$8*'Black-Scholes'!$B$7)*IF(LOWER('Black-Scholes'!$B$11)="put",MAX('Black-Scholes'!$B$6-C4154,0),MAX(C4154-'Black-Scholes'!$B$6,0))</f>
        <v>15.7266204490989</v>
      </c>
      <c r="F4154" s="18" t="n">
        <f aca="false">(E4154+G4154)/2</f>
        <v>7.86331022454947</v>
      </c>
      <c r="G4154" s="18" t="n">
        <f aca="false">EXP(-'Black-Scholes'!$B$8*'Black-Scholes'!$B$7)*IF(LOWER('Black-Scholes'!$B$11)="put",MAX('Black-Scholes'!$B$6-D4154,0),MAX(D4154-'Black-Scholes'!$B$6,0))</f>
        <v>0</v>
      </c>
    </row>
    <row r="4155" customFormat="false" ht="15" hidden="false" customHeight="false" outlineLevel="0" collapsed="false">
      <c r="A4155" s="0" t="n">
        <v>4144</v>
      </c>
      <c r="B4155" s="15" t="n">
        <v>-0.342526122005692</v>
      </c>
      <c r="C4155" s="18" t="n">
        <f aca="false">'Black-Scholes'!$B$5*EXP(('Black-Scholes'!$B$8-'Black-Scholes'!$B$10-'Black-Scholes'!$B$9^2/2)*'Black-Scholes'!$B$7+'Black-Scholes'!$B$9*SQRT('Black-Scholes'!$B$7)*B4155)</f>
        <v>96.2226677668536</v>
      </c>
      <c r="D4155" s="18" t="n">
        <f aca="false">'Black-Scholes'!$B$5*EXP(('Black-Scholes'!$B$8-'Black-Scholes'!$B$10-'Black-Scholes'!$B$9^2/2)*'Black-Scholes'!$B$7-'Black-Scholes'!$B$9*SQRT('Black-Scholes'!$B$7)*B4155)</f>
        <v>110.352016961136</v>
      </c>
      <c r="E4155" s="18" t="n">
        <f aca="false">EXP(-'Black-Scholes'!$B$8*'Black-Scholes'!$B$7)*IF(LOWER('Black-Scholes'!$B$11)="put",MAX('Black-Scholes'!$B$6-C4155,0),MAX(C4155-'Black-Scholes'!$B$6,0))</f>
        <v>0</v>
      </c>
      <c r="F4155" s="18" t="n">
        <f aca="false">(E4155+G4155)/2</f>
        <v>4.9235715681816</v>
      </c>
      <c r="G4155" s="18" t="n">
        <f aca="false">EXP(-'Black-Scholes'!$B$8*'Black-Scholes'!$B$7)*IF(LOWER('Black-Scholes'!$B$11)="put",MAX('Black-Scholes'!$B$6-D4155,0),MAX(D4155-'Black-Scholes'!$B$6,0))</f>
        <v>9.84714313636319</v>
      </c>
    </row>
    <row r="4156" customFormat="false" ht="15" hidden="false" customHeight="false" outlineLevel="0" collapsed="false">
      <c r="A4156" s="0" t="n">
        <v>4145</v>
      </c>
      <c r="B4156" s="15" t="n">
        <v>1.87765110111565</v>
      </c>
      <c r="C4156" s="18" t="n">
        <f aca="false">'Black-Scholes'!$B$5*EXP(('Black-Scholes'!$B$8-'Black-Scholes'!$B$10-'Black-Scholes'!$B$9^2/2)*'Black-Scholes'!$B$7+'Black-Scholes'!$B$9*SQRT('Black-Scholes'!$B$7)*B4156)</f>
        <v>150.009767135221</v>
      </c>
      <c r="D4156" s="18" t="n">
        <f aca="false">'Black-Scholes'!$B$5*EXP(('Black-Scholes'!$B$8-'Black-Scholes'!$B$10-'Black-Scholes'!$B$9^2/2)*'Black-Scholes'!$B$7-'Black-Scholes'!$B$9*SQRT('Black-Scholes'!$B$7)*B4156)</f>
        <v>70.7844940248595</v>
      </c>
      <c r="E4156" s="18" t="n">
        <f aca="false">EXP(-'Black-Scholes'!$B$8*'Black-Scholes'!$B$7)*IF(LOWER('Black-Scholes'!$B$11)="put",MAX('Black-Scholes'!$B$6-C4156,0),MAX(C4156-'Black-Scholes'!$B$6,0))</f>
        <v>47.5707620114507</v>
      </c>
      <c r="F4156" s="18" t="n">
        <f aca="false">(E4156+G4156)/2</f>
        <v>23.7853810057254</v>
      </c>
      <c r="G4156" s="18" t="n">
        <f aca="false">EXP(-'Black-Scholes'!$B$8*'Black-Scholes'!$B$7)*IF(LOWER('Black-Scholes'!$B$11)="put",MAX('Black-Scholes'!$B$6-D4156,0),MAX(D4156-'Black-Scholes'!$B$6,0))</f>
        <v>0</v>
      </c>
    </row>
    <row r="4157" customFormat="false" ht="15" hidden="false" customHeight="false" outlineLevel="0" collapsed="false">
      <c r="A4157" s="0" t="n">
        <v>4146</v>
      </c>
      <c r="B4157" s="15" t="n">
        <v>-0.173246751219503</v>
      </c>
      <c r="C4157" s="18" t="n">
        <f aca="false">'Black-Scholes'!$B$5*EXP(('Black-Scholes'!$B$8-'Black-Scholes'!$B$10-'Black-Scholes'!$B$9^2/2)*'Black-Scholes'!$B$7+'Black-Scholes'!$B$9*SQRT('Black-Scholes'!$B$7)*B4157)</f>
        <v>99.5361441253982</v>
      </c>
      <c r="D4157" s="18" t="n">
        <f aca="false">'Black-Scholes'!$B$5*EXP(('Black-Scholes'!$B$8-'Black-Scholes'!$B$10-'Black-Scholes'!$B$9^2/2)*'Black-Scholes'!$B$7-'Black-Scholes'!$B$9*SQRT('Black-Scholes'!$B$7)*B4157)</f>
        <v>106.678489093131</v>
      </c>
      <c r="E4157" s="18" t="n">
        <f aca="false">EXP(-'Black-Scholes'!$B$8*'Black-Scholes'!$B$7)*IF(LOWER('Black-Scholes'!$B$11)="put",MAX('Black-Scholes'!$B$6-C4157,0),MAX(C4157-'Black-Scholes'!$B$6,0))</f>
        <v>0</v>
      </c>
      <c r="F4157" s="18" t="n">
        <f aca="false">(E4157+G4157)/2</f>
        <v>3.17638766829658</v>
      </c>
      <c r="G4157" s="18" t="n">
        <f aca="false">EXP(-'Black-Scholes'!$B$8*'Black-Scholes'!$B$7)*IF(LOWER('Black-Scholes'!$B$11)="put",MAX('Black-Scholes'!$B$6-D4157,0),MAX(D4157-'Black-Scholes'!$B$6,0))</f>
        <v>6.35277533659315</v>
      </c>
    </row>
    <row r="4158" customFormat="false" ht="15" hidden="false" customHeight="false" outlineLevel="0" collapsed="false">
      <c r="A4158" s="0" t="n">
        <v>4147</v>
      </c>
      <c r="B4158" s="15" t="n">
        <v>0.278751819760733</v>
      </c>
      <c r="C4158" s="18" t="n">
        <f aca="false">'Black-Scholes'!$B$5*EXP(('Black-Scholes'!$B$8-'Black-Scholes'!$B$10-'Black-Scholes'!$B$9^2/2)*'Black-Scholes'!$B$7+'Black-Scholes'!$B$9*SQRT('Black-Scholes'!$B$7)*B4158)</f>
        <v>108.953430731494</v>
      </c>
      <c r="D4158" s="18" t="n">
        <f aca="false">'Black-Scholes'!$B$5*EXP(('Black-Scholes'!$B$8-'Black-Scholes'!$B$10-'Black-Scholes'!$B$9^2/2)*'Black-Scholes'!$B$7-'Black-Scholes'!$B$9*SQRT('Black-Scholes'!$B$7)*B4158)</f>
        <v>97.4578349131714</v>
      </c>
      <c r="E4158" s="18" t="n">
        <f aca="false">EXP(-'Black-Scholes'!$B$8*'Black-Scholes'!$B$7)*IF(LOWER('Black-Scholes'!$B$11)="put",MAX('Black-Scholes'!$B$6-C4158,0),MAX(C4158-'Black-Scholes'!$B$6,0))</f>
        <v>8.51676676202604</v>
      </c>
      <c r="F4158" s="18" t="n">
        <f aca="false">(E4158+G4158)/2</f>
        <v>4.25838338101302</v>
      </c>
      <c r="G4158" s="18" t="n">
        <f aca="false">EXP(-'Black-Scholes'!$B$8*'Black-Scholes'!$B$7)*IF(LOWER('Black-Scholes'!$B$11)="put",MAX('Black-Scholes'!$B$6-D4158,0),MAX(D4158-'Black-Scholes'!$B$6,0))</f>
        <v>0</v>
      </c>
    </row>
    <row r="4159" customFormat="false" ht="15" hidden="false" customHeight="false" outlineLevel="0" collapsed="false">
      <c r="A4159" s="0" t="n">
        <v>4148</v>
      </c>
      <c r="B4159" s="15" t="n">
        <v>1.45947107965451</v>
      </c>
      <c r="C4159" s="18" t="n">
        <f aca="false">'Black-Scholes'!$B$5*EXP(('Black-Scholes'!$B$8-'Black-Scholes'!$B$10-'Black-Scholes'!$B$9^2/2)*'Black-Scholes'!$B$7+'Black-Scholes'!$B$9*SQRT('Black-Scholes'!$B$7)*B4159)</f>
        <v>137.973881385113</v>
      </c>
      <c r="D4159" s="18" t="n">
        <f aca="false">'Black-Scholes'!$B$5*EXP(('Black-Scholes'!$B$8-'Black-Scholes'!$B$10-'Black-Scholes'!$B$9^2/2)*'Black-Scholes'!$B$7-'Black-Scholes'!$B$9*SQRT('Black-Scholes'!$B$7)*B4159)</f>
        <v>76.9592430020548</v>
      </c>
      <c r="E4159" s="18" t="n">
        <f aca="false">EXP(-'Black-Scholes'!$B$8*'Black-Scholes'!$B$7)*IF(LOWER('Black-Scholes'!$B$11)="put",MAX('Black-Scholes'!$B$6-C4159,0),MAX(C4159-'Black-Scholes'!$B$6,0))</f>
        <v>36.1218733360193</v>
      </c>
      <c r="F4159" s="18" t="n">
        <f aca="false">(E4159+G4159)/2</f>
        <v>18.0609366680097</v>
      </c>
      <c r="G4159" s="18" t="n">
        <f aca="false">EXP(-'Black-Scholes'!$B$8*'Black-Scholes'!$B$7)*IF(LOWER('Black-Scholes'!$B$11)="put",MAX('Black-Scholes'!$B$6-D4159,0),MAX(D4159-'Black-Scholes'!$B$6,0))</f>
        <v>0</v>
      </c>
    </row>
    <row r="4160" customFormat="false" ht="15" hidden="false" customHeight="false" outlineLevel="0" collapsed="false">
      <c r="A4160" s="0" t="n">
        <v>4149</v>
      </c>
      <c r="B4160" s="15" t="n">
        <v>-0.457871223899129</v>
      </c>
      <c r="C4160" s="18" t="n">
        <f aca="false">'Black-Scholes'!$B$5*EXP(('Black-Scholes'!$B$8-'Black-Scholes'!$B$10-'Black-Scholes'!$B$9^2/2)*'Black-Scholes'!$B$7+'Black-Scholes'!$B$9*SQRT('Black-Scholes'!$B$7)*B4160)</f>
        <v>94.0283132033697</v>
      </c>
      <c r="D4160" s="18" t="n">
        <f aca="false">'Black-Scholes'!$B$5*EXP(('Black-Scholes'!$B$8-'Black-Scholes'!$B$10-'Black-Scholes'!$B$9^2/2)*'Black-Scholes'!$B$7-'Black-Scholes'!$B$9*SQRT('Black-Scholes'!$B$7)*B4160)</f>
        <v>112.92732054533</v>
      </c>
      <c r="E4160" s="18" t="n">
        <f aca="false">EXP(-'Black-Scholes'!$B$8*'Black-Scholes'!$B$7)*IF(LOWER('Black-Scholes'!$B$11)="put",MAX('Black-Scholes'!$B$6-C4160,0),MAX(C4160-'Black-Scholes'!$B$6,0))</f>
        <v>0</v>
      </c>
      <c r="F4160" s="18" t="n">
        <f aca="false">(E4160+G4160)/2</f>
        <v>6.14842384133514</v>
      </c>
      <c r="G4160" s="18" t="n">
        <f aca="false">EXP(-'Black-Scholes'!$B$8*'Black-Scholes'!$B$7)*IF(LOWER('Black-Scholes'!$B$11)="put",MAX('Black-Scholes'!$B$6-D4160,0),MAX(D4160-'Black-Scholes'!$B$6,0))</f>
        <v>12.2968476826703</v>
      </c>
    </row>
    <row r="4161" customFormat="false" ht="15" hidden="false" customHeight="false" outlineLevel="0" collapsed="false">
      <c r="A4161" s="0" t="n">
        <v>4150</v>
      </c>
      <c r="B4161" s="15" t="n">
        <v>-0.0697444105244025</v>
      </c>
      <c r="C4161" s="18" t="n">
        <f aca="false">'Black-Scholes'!$B$5*EXP(('Black-Scholes'!$B$8-'Black-Scholes'!$B$10-'Black-Scholes'!$B$9^2/2)*'Black-Scholes'!$B$7+'Black-Scholes'!$B$9*SQRT('Black-Scholes'!$B$7)*B4161)</f>
        <v>101.618062909328</v>
      </c>
      <c r="D4161" s="18" t="n">
        <f aca="false">'Black-Scholes'!$B$5*EXP(('Black-Scholes'!$B$8-'Black-Scholes'!$B$10-'Black-Scholes'!$B$9^2/2)*'Black-Scholes'!$B$7-'Black-Scholes'!$B$9*SQRT('Black-Scholes'!$B$7)*B4161)</f>
        <v>104.492893895529</v>
      </c>
      <c r="E4161" s="18" t="n">
        <f aca="false">EXP(-'Black-Scholes'!$B$8*'Black-Scholes'!$B$7)*IF(LOWER('Black-Scholes'!$B$11)="put",MAX('Black-Scholes'!$B$6-C4161,0),MAX(C4161-'Black-Scholes'!$B$6,0))</f>
        <v>1.53914905004584</v>
      </c>
      <c r="F4161" s="18" t="n">
        <f aca="false">(E4161+G4161)/2</f>
        <v>2.90646096231641</v>
      </c>
      <c r="G4161" s="18" t="n">
        <f aca="false">EXP(-'Black-Scholes'!$B$8*'Black-Scholes'!$B$7)*IF(LOWER('Black-Scholes'!$B$11)="put",MAX('Black-Scholes'!$B$6-D4161,0),MAX(D4161-'Black-Scholes'!$B$6,0))</f>
        <v>4.27377287458698</v>
      </c>
    </row>
    <row r="4162" customFormat="false" ht="15" hidden="false" customHeight="false" outlineLevel="0" collapsed="false">
      <c r="A4162" s="0" t="n">
        <v>4151</v>
      </c>
      <c r="B4162" s="15" t="n">
        <v>0.392365700166072</v>
      </c>
      <c r="C4162" s="18" t="n">
        <f aca="false">'Black-Scholes'!$B$5*EXP(('Black-Scholes'!$B$8-'Black-Scholes'!$B$10-'Black-Scholes'!$B$9^2/2)*'Black-Scholes'!$B$7+'Black-Scholes'!$B$9*SQRT('Black-Scholes'!$B$7)*B4162)</f>
        <v>111.457497068959</v>
      </c>
      <c r="D4162" s="18" t="n">
        <f aca="false">'Black-Scholes'!$B$5*EXP(('Black-Scholes'!$B$8-'Black-Scholes'!$B$10-'Black-Scholes'!$B$9^2/2)*'Black-Scholes'!$B$7-'Black-Scholes'!$B$9*SQRT('Black-Scholes'!$B$7)*B4162)</f>
        <v>95.2682927993981</v>
      </c>
      <c r="E4162" s="18" t="n">
        <f aca="false">EXP(-'Black-Scholes'!$B$8*'Black-Scholes'!$B$7)*IF(LOWER('Black-Scholes'!$B$11)="put",MAX('Black-Scholes'!$B$6-C4162,0),MAX(C4162-'Black-Scholes'!$B$6,0))</f>
        <v>10.898708343124</v>
      </c>
      <c r="F4162" s="18" t="n">
        <f aca="false">(E4162+G4162)/2</f>
        <v>5.44935417156202</v>
      </c>
      <c r="G4162" s="18" t="n">
        <f aca="false">EXP(-'Black-Scholes'!$B$8*'Black-Scholes'!$B$7)*IF(LOWER('Black-Scholes'!$B$11)="put",MAX('Black-Scholes'!$B$6-D4162,0),MAX(D4162-'Black-Scholes'!$B$6,0))</f>
        <v>0</v>
      </c>
    </row>
    <row r="4163" customFormat="false" ht="15" hidden="false" customHeight="false" outlineLevel="0" collapsed="false">
      <c r="A4163" s="0" t="n">
        <v>4152</v>
      </c>
      <c r="B4163" s="15" t="n">
        <v>-0.683914307487858</v>
      </c>
      <c r="C4163" s="18" t="n">
        <f aca="false">'Black-Scholes'!$B$5*EXP(('Black-Scholes'!$B$8-'Black-Scholes'!$B$10-'Black-Scholes'!$B$9^2/2)*'Black-Scholes'!$B$7+'Black-Scholes'!$B$9*SQRT('Black-Scholes'!$B$7)*B4163)</f>
        <v>89.8720798693217</v>
      </c>
      <c r="D4163" s="18" t="n">
        <f aca="false">'Black-Scholes'!$B$5*EXP(('Black-Scholes'!$B$8-'Black-Scholes'!$B$10-'Black-Scholes'!$B$9^2/2)*'Black-Scholes'!$B$7-'Black-Scholes'!$B$9*SQRT('Black-Scholes'!$B$7)*B4163)</f>
        <v>118.149768881428</v>
      </c>
      <c r="E4163" s="18" t="n">
        <f aca="false">EXP(-'Black-Scholes'!$B$8*'Black-Scholes'!$B$7)*IF(LOWER('Black-Scholes'!$B$11)="put",MAX('Black-Scholes'!$B$6-C4163,0),MAX(C4163-'Black-Scholes'!$B$6,0))</f>
        <v>0</v>
      </c>
      <c r="F4163" s="18" t="n">
        <f aca="false">(E4163+G4163)/2</f>
        <v>8.63229710395086</v>
      </c>
      <c r="G4163" s="18" t="n">
        <f aca="false">EXP(-'Black-Scholes'!$B$8*'Black-Scholes'!$B$7)*IF(LOWER('Black-Scholes'!$B$11)="put",MAX('Black-Scholes'!$B$6-D4163,0),MAX(D4163-'Black-Scholes'!$B$6,0))</f>
        <v>17.2645942079017</v>
      </c>
    </row>
    <row r="4164" customFormat="false" ht="15" hidden="false" customHeight="false" outlineLevel="0" collapsed="false">
      <c r="A4164" s="0" t="n">
        <v>4153</v>
      </c>
      <c r="B4164" s="15" t="n">
        <v>-0.842207385482894</v>
      </c>
      <c r="C4164" s="18" t="n">
        <f aca="false">'Black-Scholes'!$B$5*EXP(('Black-Scholes'!$B$8-'Black-Scholes'!$B$10-'Black-Scholes'!$B$9^2/2)*'Black-Scholes'!$B$7+'Black-Scholes'!$B$9*SQRT('Black-Scholes'!$B$7)*B4164)</f>
        <v>87.0714206501492</v>
      </c>
      <c r="D4164" s="18" t="n">
        <f aca="false">'Black-Scholes'!$B$5*EXP(('Black-Scholes'!$B$8-'Black-Scholes'!$B$10-'Black-Scholes'!$B$9^2/2)*'Black-Scholes'!$B$7-'Black-Scholes'!$B$9*SQRT('Black-Scholes'!$B$7)*B4164)</f>
        <v>121.950065660671</v>
      </c>
      <c r="E4164" s="18" t="n">
        <f aca="false">EXP(-'Black-Scholes'!$B$8*'Black-Scholes'!$B$7)*IF(LOWER('Black-Scholes'!$B$11)="put",MAX('Black-Scholes'!$B$6-C4164,0),MAX(C4164-'Black-Scholes'!$B$6,0))</f>
        <v>0</v>
      </c>
      <c r="F4164" s="18" t="n">
        <f aca="false">(E4164+G4164)/2</f>
        <v>10.4397741630765</v>
      </c>
      <c r="G4164" s="18" t="n">
        <f aca="false">EXP(-'Black-Scholes'!$B$8*'Black-Scholes'!$B$7)*IF(LOWER('Black-Scholes'!$B$11)="put",MAX('Black-Scholes'!$B$6-D4164,0),MAX(D4164-'Black-Scholes'!$B$6,0))</f>
        <v>20.8795483261529</v>
      </c>
    </row>
    <row r="4165" customFormat="false" ht="15" hidden="false" customHeight="false" outlineLevel="0" collapsed="false">
      <c r="A4165" s="0" t="n">
        <v>4154</v>
      </c>
      <c r="B4165" s="15" t="n">
        <v>-1.05658392985771</v>
      </c>
      <c r="C4165" s="18" t="n">
        <f aca="false">'Black-Scholes'!$B$5*EXP(('Black-Scholes'!$B$8-'Black-Scholes'!$B$10-'Black-Scholes'!$B$9^2/2)*'Black-Scholes'!$B$7+'Black-Scholes'!$B$9*SQRT('Black-Scholes'!$B$7)*B4165)</f>
        <v>83.4171063144768</v>
      </c>
      <c r="D4165" s="18" t="n">
        <f aca="false">'Black-Scholes'!$B$5*EXP(('Black-Scholes'!$B$8-'Black-Scholes'!$B$10-'Black-Scholes'!$B$9^2/2)*'Black-Scholes'!$B$7-'Black-Scholes'!$B$9*SQRT('Black-Scholes'!$B$7)*B4165)</f>
        <v>127.292421597832</v>
      </c>
      <c r="E4165" s="18" t="n">
        <f aca="false">EXP(-'Black-Scholes'!$B$8*'Black-Scholes'!$B$7)*IF(LOWER('Black-Scholes'!$B$11)="put",MAX('Black-Scholes'!$B$6-C4165,0),MAX(C4165-'Black-Scholes'!$B$6,0))</f>
        <v>0</v>
      </c>
      <c r="F4165" s="18" t="n">
        <f aca="false">(E4165+G4165)/2</f>
        <v>12.9806772448685</v>
      </c>
      <c r="G4165" s="18" t="n">
        <f aca="false">EXP(-'Black-Scholes'!$B$8*'Black-Scholes'!$B$7)*IF(LOWER('Black-Scholes'!$B$11)="put",MAX('Black-Scholes'!$B$6-D4165,0),MAX(D4165-'Black-Scholes'!$B$6,0))</f>
        <v>25.961354489737</v>
      </c>
    </row>
    <row r="4166" customFormat="false" ht="15" hidden="false" customHeight="false" outlineLevel="0" collapsed="false">
      <c r="A4166" s="0" t="n">
        <v>4155</v>
      </c>
      <c r="B4166" s="15" t="n">
        <v>0.183723246614514</v>
      </c>
      <c r="C4166" s="18" t="n">
        <f aca="false">'Black-Scholes'!$B$5*EXP(('Black-Scholes'!$B$8-'Black-Scholes'!$B$10-'Black-Scholes'!$B$9^2/2)*'Black-Scholes'!$B$7+'Black-Scholes'!$B$9*SQRT('Black-Scholes'!$B$7)*B4166)</f>
        <v>106.902246770842</v>
      </c>
      <c r="D4166" s="18" t="n">
        <f aca="false">'Black-Scholes'!$B$5*EXP(('Black-Scholes'!$B$8-'Black-Scholes'!$B$10-'Black-Scholes'!$B$9^2/2)*'Black-Scholes'!$B$7-'Black-Scholes'!$B$9*SQRT('Black-Scholes'!$B$7)*B4166)</f>
        <v>99.3278044774435</v>
      </c>
      <c r="E4166" s="18" t="n">
        <f aca="false">EXP(-'Black-Scholes'!$B$8*'Black-Scholes'!$B$7)*IF(LOWER('Black-Scholes'!$B$11)="put",MAX('Black-Scholes'!$B$6-C4166,0),MAX(C4166-'Black-Scholes'!$B$6,0))</f>
        <v>6.5656202235898</v>
      </c>
      <c r="F4166" s="18" t="n">
        <f aca="false">(E4166+G4166)/2</f>
        <v>3.2828101117949</v>
      </c>
      <c r="G4166" s="18" t="n">
        <f aca="false">EXP(-'Black-Scholes'!$B$8*'Black-Scholes'!$B$7)*IF(LOWER('Black-Scholes'!$B$11)="put",MAX('Black-Scholes'!$B$6-D4166,0),MAX(D4166-'Black-Scholes'!$B$6,0))</f>
        <v>0</v>
      </c>
    </row>
    <row r="4167" customFormat="false" ht="15" hidden="false" customHeight="false" outlineLevel="0" collapsed="false">
      <c r="A4167" s="0" t="n">
        <v>4156</v>
      </c>
      <c r="B4167" s="15" t="n">
        <v>-0.429693491178293</v>
      </c>
      <c r="C4167" s="18" t="n">
        <f aca="false">'Black-Scholes'!$B$5*EXP(('Black-Scholes'!$B$8-'Black-Scholes'!$B$10-'Black-Scholes'!$B$9^2/2)*'Black-Scholes'!$B$7+'Black-Scholes'!$B$9*SQRT('Black-Scholes'!$B$7)*B4167)</f>
        <v>94.559710088434</v>
      </c>
      <c r="D4167" s="18" t="n">
        <f aca="false">'Black-Scholes'!$B$5*EXP(('Black-Scholes'!$B$8-'Black-Scholes'!$B$10-'Black-Scholes'!$B$9^2/2)*'Black-Scholes'!$B$7-'Black-Scholes'!$B$9*SQRT('Black-Scholes'!$B$7)*B4167)</f>
        <v>112.292703261496</v>
      </c>
      <c r="E4167" s="18" t="n">
        <f aca="false">EXP(-'Black-Scholes'!$B$8*'Black-Scholes'!$B$7)*IF(LOWER('Black-Scholes'!$B$11)="put",MAX('Black-Scholes'!$B$6-C4167,0),MAX(C4167-'Black-Scholes'!$B$6,0))</f>
        <v>0</v>
      </c>
      <c r="F4167" s="18" t="n">
        <f aca="false">(E4167+G4167)/2</f>
        <v>5.84659052449536</v>
      </c>
      <c r="G4167" s="18" t="n">
        <f aca="false">EXP(-'Black-Scholes'!$B$8*'Black-Scholes'!$B$7)*IF(LOWER('Black-Scholes'!$B$11)="put",MAX('Black-Scholes'!$B$6-D4167,0),MAX(D4167-'Black-Scholes'!$B$6,0))</f>
        <v>11.6931810489907</v>
      </c>
    </row>
    <row r="4168" customFormat="false" ht="15" hidden="false" customHeight="false" outlineLevel="0" collapsed="false">
      <c r="A4168" s="0" t="n">
        <v>4157</v>
      </c>
      <c r="B4168" s="15" t="n">
        <v>-1.39988193879439</v>
      </c>
      <c r="C4168" s="18" t="n">
        <f aca="false">'Black-Scholes'!$B$5*EXP(('Black-Scholes'!$B$8-'Black-Scholes'!$B$10-'Black-Scholes'!$B$9^2/2)*'Black-Scholes'!$B$7+'Black-Scholes'!$B$9*SQRT('Black-Scholes'!$B$7)*B4168)</f>
        <v>77.8819172520389</v>
      </c>
      <c r="D4168" s="18" t="n">
        <f aca="false">'Black-Scholes'!$B$5*EXP(('Black-Scholes'!$B$8-'Black-Scholes'!$B$10-'Black-Scholes'!$B$9^2/2)*'Black-Scholes'!$B$7-'Black-Scholes'!$B$9*SQRT('Black-Scholes'!$B$7)*B4168)</f>
        <v>136.339292098971</v>
      </c>
      <c r="E4168" s="18" t="n">
        <f aca="false">EXP(-'Black-Scholes'!$B$8*'Black-Scholes'!$B$7)*IF(LOWER('Black-Scholes'!$B$11)="put",MAX('Black-Scholes'!$B$6-C4168,0),MAX(C4168-'Black-Scholes'!$B$6,0))</f>
        <v>0</v>
      </c>
      <c r="F4168" s="18" t="n">
        <f aca="false">(E4168+G4168)/2</f>
        <v>17.2835019550337</v>
      </c>
      <c r="G4168" s="18" t="n">
        <f aca="false">EXP(-'Black-Scholes'!$B$8*'Black-Scholes'!$B$7)*IF(LOWER('Black-Scholes'!$B$11)="put",MAX('Black-Scholes'!$B$6-D4168,0),MAX(D4168-'Black-Scholes'!$B$6,0))</f>
        <v>34.5670039100673</v>
      </c>
    </row>
    <row r="4169" customFormat="false" ht="15" hidden="false" customHeight="false" outlineLevel="0" collapsed="false">
      <c r="A4169" s="0" t="n">
        <v>4158</v>
      </c>
      <c r="B4169" s="15" t="n">
        <v>0.0600914921133291</v>
      </c>
      <c r="C4169" s="18" t="n">
        <f aca="false">'Black-Scholes'!$B$5*EXP(('Black-Scholes'!$B$8-'Black-Scholes'!$B$10-'Black-Scholes'!$B$9^2/2)*'Black-Scholes'!$B$7+'Black-Scholes'!$B$9*SQRT('Black-Scholes'!$B$7)*B4169)</f>
        <v>104.291356224933</v>
      </c>
      <c r="D4169" s="18" t="n">
        <f aca="false">'Black-Scholes'!$B$5*EXP(('Black-Scholes'!$B$8-'Black-Scholes'!$B$10-'Black-Scholes'!$B$9^2/2)*'Black-Scholes'!$B$7-'Black-Scholes'!$B$9*SQRT('Black-Scholes'!$B$7)*B4169)</f>
        <v>101.814434578376</v>
      </c>
      <c r="E4169" s="18" t="n">
        <f aca="false">EXP(-'Black-Scholes'!$B$8*'Black-Scholes'!$B$7)*IF(LOWER('Black-Scholes'!$B$11)="put",MAX('Black-Scholes'!$B$6-C4169,0),MAX(C4169-'Black-Scholes'!$B$6,0))</f>
        <v>4.08206431217054</v>
      </c>
      <c r="F4169" s="18" t="n">
        <f aca="false">(E4169+G4169)/2</f>
        <v>2.90400393597691</v>
      </c>
      <c r="G4169" s="18" t="n">
        <f aca="false">EXP(-'Black-Scholes'!$B$8*'Black-Scholes'!$B$7)*IF(LOWER('Black-Scholes'!$B$11)="put",MAX('Black-Scholes'!$B$6-D4169,0),MAX(D4169-'Black-Scholes'!$B$6,0))</f>
        <v>1.72594355978327</v>
      </c>
    </row>
    <row r="4170" customFormat="false" ht="15" hidden="false" customHeight="false" outlineLevel="0" collapsed="false">
      <c r="A4170" s="0" t="n">
        <v>4159</v>
      </c>
      <c r="B4170" s="15" t="n">
        <v>-1.03778248906116</v>
      </c>
      <c r="C4170" s="18" t="n">
        <f aca="false">'Black-Scholes'!$B$5*EXP(('Black-Scholes'!$B$8-'Black-Scholes'!$B$10-'Black-Scholes'!$B$9^2/2)*'Black-Scholes'!$B$7+'Black-Scholes'!$B$9*SQRT('Black-Scholes'!$B$7)*B4170)</f>
        <v>83.7313691607647</v>
      </c>
      <c r="D4170" s="18" t="n">
        <f aca="false">'Black-Scholes'!$B$5*EXP(('Black-Scholes'!$B$8-'Black-Scholes'!$B$10-'Black-Scholes'!$B$9^2/2)*'Black-Scholes'!$B$7-'Black-Scholes'!$B$9*SQRT('Black-Scholes'!$B$7)*B4170)</f>
        <v>126.814664227767</v>
      </c>
      <c r="E4170" s="18" t="n">
        <f aca="false">EXP(-'Black-Scholes'!$B$8*'Black-Scholes'!$B$7)*IF(LOWER('Black-Scholes'!$B$11)="put",MAX('Black-Scholes'!$B$6-C4170,0),MAX(C4170-'Black-Scholes'!$B$6,0))</f>
        <v>0</v>
      </c>
      <c r="F4170" s="18" t="n">
        <f aca="false">(E4170+G4170)/2</f>
        <v>12.7534488107795</v>
      </c>
      <c r="G4170" s="18" t="n">
        <f aca="false">EXP(-'Black-Scholes'!$B$8*'Black-Scholes'!$B$7)*IF(LOWER('Black-Scholes'!$B$11)="put",MAX('Black-Scholes'!$B$6-D4170,0),MAX(D4170-'Black-Scholes'!$B$6,0))</f>
        <v>25.5068976215589</v>
      </c>
    </row>
    <row r="4171" customFormat="false" ht="15" hidden="false" customHeight="false" outlineLevel="0" collapsed="false">
      <c r="A4171" s="0" t="n">
        <v>4160</v>
      </c>
      <c r="B4171" s="15" t="n">
        <v>0.206386542240885</v>
      </c>
      <c r="C4171" s="18" t="n">
        <f aca="false">'Black-Scholes'!$B$5*EXP(('Black-Scholes'!$B$8-'Black-Scholes'!$B$10-'Black-Scholes'!$B$9^2/2)*'Black-Scholes'!$B$7+'Black-Scholes'!$B$9*SQRT('Black-Scholes'!$B$7)*B4171)</f>
        <v>107.38789802951</v>
      </c>
      <c r="D4171" s="18" t="n">
        <f aca="false">'Black-Scholes'!$B$5*EXP(('Black-Scholes'!$B$8-'Black-Scholes'!$B$10-'Black-Scholes'!$B$9^2/2)*'Black-Scholes'!$B$7-'Black-Scholes'!$B$9*SQRT('Black-Scholes'!$B$7)*B4171)</f>
        <v>98.8786042030149</v>
      </c>
      <c r="E4171" s="18" t="n">
        <f aca="false">EXP(-'Black-Scholes'!$B$8*'Black-Scholes'!$B$7)*IF(LOWER('Black-Scholes'!$B$11)="put",MAX('Black-Scholes'!$B$6-C4171,0),MAX(C4171-'Black-Scholes'!$B$6,0))</f>
        <v>7.02758599088036</v>
      </c>
      <c r="F4171" s="18" t="n">
        <f aca="false">(E4171+G4171)/2</f>
        <v>3.51379299544018</v>
      </c>
      <c r="G4171" s="18" t="n">
        <f aca="false">EXP(-'Black-Scholes'!$B$8*'Black-Scholes'!$B$7)*IF(LOWER('Black-Scholes'!$B$11)="put",MAX('Black-Scholes'!$B$6-D4171,0),MAX(D4171-'Black-Scholes'!$B$6,0))</f>
        <v>0</v>
      </c>
    </row>
    <row r="4172" customFormat="false" ht="15" hidden="false" customHeight="false" outlineLevel="0" collapsed="false">
      <c r="A4172" s="0" t="n">
        <v>4161</v>
      </c>
      <c r="B4172" s="15" t="n">
        <v>1.60734012121807</v>
      </c>
      <c r="C4172" s="18" t="n">
        <f aca="false">'Black-Scholes'!$B$5*EXP(('Black-Scholes'!$B$8-'Black-Scholes'!$B$10-'Black-Scholes'!$B$9^2/2)*'Black-Scholes'!$B$7+'Black-Scholes'!$B$9*SQRT('Black-Scholes'!$B$7)*B4172)</f>
        <v>142.115230401927</v>
      </c>
      <c r="D4172" s="18" t="n">
        <f aca="false">'Black-Scholes'!$B$5*EXP(('Black-Scholes'!$B$8-'Black-Scholes'!$B$10-'Black-Scholes'!$B$9^2/2)*'Black-Scholes'!$B$7-'Black-Scholes'!$B$9*SQRT('Black-Scholes'!$B$7)*B4172)</f>
        <v>74.7165904415945</v>
      </c>
      <c r="E4172" s="18" t="n">
        <f aca="false">EXP(-'Black-Scholes'!$B$8*'Black-Scholes'!$B$7)*IF(LOWER('Black-Scholes'!$B$11)="put",MAX('Black-Scholes'!$B$6-C4172,0),MAX(C4172-'Black-Scholes'!$B$6,0))</f>
        <v>40.0612463779397</v>
      </c>
      <c r="F4172" s="18" t="n">
        <f aca="false">(E4172+G4172)/2</f>
        <v>20.0306231889699</v>
      </c>
      <c r="G4172" s="18" t="n">
        <f aca="false">EXP(-'Black-Scholes'!$B$8*'Black-Scholes'!$B$7)*IF(LOWER('Black-Scholes'!$B$11)="put",MAX('Black-Scholes'!$B$6-D4172,0),MAX(D4172-'Black-Scholes'!$B$6,0))</f>
        <v>0</v>
      </c>
    </row>
    <row r="4173" customFormat="false" ht="15" hidden="false" customHeight="false" outlineLevel="0" collapsed="false">
      <c r="A4173" s="0" t="n">
        <v>4162</v>
      </c>
      <c r="B4173" s="15" t="n">
        <v>1.38856323978527</v>
      </c>
      <c r="C4173" s="18" t="n">
        <f aca="false">'Black-Scholes'!$B$5*EXP(('Black-Scholes'!$B$8-'Black-Scholes'!$B$10-'Black-Scholes'!$B$9^2/2)*'Black-Scholes'!$B$7+'Black-Scholes'!$B$9*SQRT('Black-Scholes'!$B$7)*B4173)</f>
        <v>136.031004490012</v>
      </c>
      <c r="D4173" s="18" t="n">
        <f aca="false">'Black-Scholes'!$B$5*EXP(('Black-Scholes'!$B$8-'Black-Scholes'!$B$10-'Black-Scholes'!$B$9^2/2)*'Black-Scholes'!$B$7-'Black-Scholes'!$B$9*SQRT('Black-Scholes'!$B$7)*B4173)</f>
        <v>78.0584213522681</v>
      </c>
      <c r="E4173" s="18" t="n">
        <f aca="false">EXP(-'Black-Scholes'!$B$8*'Black-Scholes'!$B$7)*IF(LOWER('Black-Scholes'!$B$11)="put",MAX('Black-Scholes'!$B$6-C4173,0),MAX(C4173-'Black-Scholes'!$B$6,0))</f>
        <v>34.2737516652163</v>
      </c>
      <c r="F4173" s="18" t="n">
        <f aca="false">(E4173+G4173)/2</f>
        <v>17.1368758326082</v>
      </c>
      <c r="G4173" s="18" t="n">
        <f aca="false">EXP(-'Black-Scholes'!$B$8*'Black-Scholes'!$B$7)*IF(LOWER('Black-Scholes'!$B$11)="put",MAX('Black-Scholes'!$B$6-D4173,0),MAX(D4173-'Black-Scholes'!$B$6,0))</f>
        <v>0</v>
      </c>
    </row>
    <row r="4174" customFormat="false" ht="15" hidden="false" customHeight="false" outlineLevel="0" collapsed="false">
      <c r="A4174" s="0" t="n">
        <v>4163</v>
      </c>
      <c r="B4174" s="15" t="n">
        <v>-1.17984005293121</v>
      </c>
      <c r="C4174" s="18" t="n">
        <f aca="false">'Black-Scholes'!$B$5*EXP(('Black-Scholes'!$B$8-'Black-Scholes'!$B$10-'Black-Scholes'!$B$9^2/2)*'Black-Scholes'!$B$7+'Black-Scholes'!$B$9*SQRT('Black-Scholes'!$B$7)*B4174)</f>
        <v>81.3859110742339</v>
      </c>
      <c r="D4174" s="18" t="n">
        <f aca="false">'Black-Scholes'!$B$5*EXP(('Black-Scholes'!$B$8-'Black-Scholes'!$B$10-'Black-Scholes'!$B$9^2/2)*'Black-Scholes'!$B$7-'Black-Scholes'!$B$9*SQRT('Black-Scholes'!$B$7)*B4174)</f>
        <v>130.469332164487</v>
      </c>
      <c r="E4174" s="18" t="n">
        <f aca="false">EXP(-'Black-Scholes'!$B$8*'Black-Scholes'!$B$7)*IF(LOWER('Black-Scholes'!$B$11)="put",MAX('Black-Scholes'!$B$6-C4174,0),MAX(C4174-'Black-Scholes'!$B$6,0))</f>
        <v>0</v>
      </c>
      <c r="F4174" s="18" t="n">
        <f aca="false">(E4174+G4174)/2</f>
        <v>14.4916626498729</v>
      </c>
      <c r="G4174" s="18" t="n">
        <f aca="false">EXP(-'Black-Scholes'!$B$8*'Black-Scholes'!$B$7)*IF(LOWER('Black-Scholes'!$B$11)="put",MAX('Black-Scholes'!$B$6-D4174,0),MAX(D4174-'Black-Scholes'!$B$6,0))</f>
        <v>28.9833252997458</v>
      </c>
    </row>
    <row r="4175" customFormat="false" ht="15" hidden="false" customHeight="false" outlineLevel="0" collapsed="false">
      <c r="A4175" s="0" t="n">
        <v>4164</v>
      </c>
      <c r="B4175" s="15" t="n">
        <v>-2.02360211243968</v>
      </c>
      <c r="C4175" s="18" t="n">
        <f aca="false">'Black-Scholes'!$B$5*EXP(('Black-Scholes'!$B$8-'Black-Scholes'!$B$10-'Black-Scholes'!$B$9^2/2)*'Black-Scholes'!$B$7+'Black-Scholes'!$B$9*SQRT('Black-Scholes'!$B$7)*B4175)</f>
        <v>68.7481456280605</v>
      </c>
      <c r="D4175" s="18" t="n">
        <f aca="false">'Black-Scholes'!$B$5*EXP(('Black-Scholes'!$B$8-'Black-Scholes'!$B$10-'Black-Scholes'!$B$9^2/2)*'Black-Scholes'!$B$7-'Black-Scholes'!$B$9*SQRT('Black-Scholes'!$B$7)*B4175)</f>
        <v>154.453118239739</v>
      </c>
      <c r="E4175" s="18" t="n">
        <f aca="false">EXP(-'Black-Scholes'!$B$8*'Black-Scholes'!$B$7)*IF(LOWER('Black-Scholes'!$B$11)="put",MAX('Black-Scholes'!$B$6-C4175,0),MAX(C4175-'Black-Scholes'!$B$6,0))</f>
        <v>0</v>
      </c>
      <c r="F4175" s="18" t="n">
        <f aca="false">(E4175+G4175)/2</f>
        <v>25.8987041627279</v>
      </c>
      <c r="G4175" s="18" t="n">
        <f aca="false">EXP(-'Black-Scholes'!$B$8*'Black-Scholes'!$B$7)*IF(LOWER('Black-Scholes'!$B$11)="put",MAX('Black-Scholes'!$B$6-D4175,0),MAX(D4175-'Black-Scholes'!$B$6,0))</f>
        <v>51.7974083254559</v>
      </c>
    </row>
    <row r="4176" customFormat="false" ht="15" hidden="false" customHeight="false" outlineLevel="0" collapsed="false">
      <c r="A4176" s="0" t="n">
        <v>4165</v>
      </c>
      <c r="B4176" s="15" t="n">
        <v>-1.14868791754625</v>
      </c>
      <c r="C4176" s="18" t="n">
        <f aca="false">'Black-Scholes'!$B$5*EXP(('Black-Scholes'!$B$8-'Black-Scholes'!$B$10-'Black-Scholes'!$B$9^2/2)*'Black-Scholes'!$B$7+'Black-Scholes'!$B$9*SQRT('Black-Scholes'!$B$7)*B4176)</f>
        <v>81.8945629721429</v>
      </c>
      <c r="D4176" s="18" t="n">
        <f aca="false">'Black-Scholes'!$B$5*EXP(('Black-Scholes'!$B$8-'Black-Scholes'!$B$10-'Black-Scholes'!$B$9^2/2)*'Black-Scholes'!$B$7-'Black-Scholes'!$B$9*SQRT('Black-Scholes'!$B$7)*B4176)</f>
        <v>129.658979547464</v>
      </c>
      <c r="E4176" s="18" t="n">
        <f aca="false">EXP(-'Black-Scholes'!$B$8*'Black-Scholes'!$B$7)*IF(LOWER('Black-Scholes'!$B$11)="put",MAX('Black-Scholes'!$B$6-C4176,0),MAX(C4176-'Black-Scholes'!$B$6,0))</f>
        <v>0</v>
      </c>
      <c r="F4176" s="18" t="n">
        <f aca="false">(E4176+G4176)/2</f>
        <v>14.1062470231064</v>
      </c>
      <c r="G4176" s="18" t="n">
        <f aca="false">EXP(-'Black-Scholes'!$B$8*'Black-Scholes'!$B$7)*IF(LOWER('Black-Scholes'!$B$11)="put",MAX('Black-Scholes'!$B$6-D4176,0),MAX(D4176-'Black-Scholes'!$B$6,0))</f>
        <v>28.2124940462129</v>
      </c>
    </row>
    <row r="4177" customFormat="false" ht="15" hidden="false" customHeight="false" outlineLevel="0" collapsed="false">
      <c r="A4177" s="0" t="n">
        <v>4166</v>
      </c>
      <c r="B4177" s="15" t="n">
        <v>-0.569807111135841</v>
      </c>
      <c r="C4177" s="18" t="n">
        <f aca="false">'Black-Scholes'!$B$5*EXP(('Black-Scholes'!$B$8-'Black-Scholes'!$B$10-'Black-Scholes'!$B$9^2/2)*'Black-Scholes'!$B$7+'Black-Scholes'!$B$9*SQRT('Black-Scholes'!$B$7)*B4177)</f>
        <v>91.9466726389435</v>
      </c>
      <c r="D4177" s="18" t="n">
        <f aca="false">'Black-Scholes'!$B$5*EXP(('Black-Scholes'!$B$8-'Black-Scholes'!$B$10-'Black-Scholes'!$B$9^2/2)*'Black-Scholes'!$B$7-'Black-Scholes'!$B$9*SQRT('Black-Scholes'!$B$7)*B4177)</f>
        <v>115.483955652749</v>
      </c>
      <c r="E4177" s="18" t="n">
        <f aca="false">EXP(-'Black-Scholes'!$B$8*'Black-Scholes'!$B$7)*IF(LOWER('Black-Scholes'!$B$11)="put",MAX('Black-Scholes'!$B$6-C4177,0),MAX(C4177-'Black-Scholes'!$B$6,0))</f>
        <v>0</v>
      </c>
      <c r="F4177" s="18" t="n">
        <f aca="false">(E4177+G4177)/2</f>
        <v>7.36439711227959</v>
      </c>
      <c r="G4177" s="18" t="n">
        <f aca="false">EXP(-'Black-Scholes'!$B$8*'Black-Scholes'!$B$7)*IF(LOWER('Black-Scholes'!$B$11)="put",MAX('Black-Scholes'!$B$6-D4177,0),MAX(D4177-'Black-Scholes'!$B$6,0))</f>
        <v>14.7287942245592</v>
      </c>
    </row>
    <row r="4178" customFormat="false" ht="15" hidden="false" customHeight="false" outlineLevel="0" collapsed="false">
      <c r="A4178" s="0" t="n">
        <v>4167</v>
      </c>
      <c r="B4178" s="15" t="n">
        <v>0.371834523351442</v>
      </c>
      <c r="C4178" s="18" t="n">
        <f aca="false">'Black-Scholes'!$B$5*EXP(('Black-Scholes'!$B$8-'Black-Scholes'!$B$10-'Black-Scholes'!$B$9^2/2)*'Black-Scholes'!$B$7+'Black-Scholes'!$B$9*SQRT('Black-Scholes'!$B$7)*B4178)</f>
        <v>111.000764720045</v>
      </c>
      <c r="D4178" s="18" t="n">
        <f aca="false">'Black-Scholes'!$B$5*EXP(('Black-Scholes'!$B$8-'Black-Scholes'!$B$10-'Black-Scholes'!$B$9^2/2)*'Black-Scholes'!$B$7-'Black-Scholes'!$B$9*SQRT('Black-Scholes'!$B$7)*B4178)</f>
        <v>95.6602911001032</v>
      </c>
      <c r="E4178" s="18" t="n">
        <f aca="false">EXP(-'Black-Scholes'!$B$8*'Black-Scholes'!$B$7)*IF(LOWER('Black-Scholes'!$B$11)="put",MAX('Black-Scholes'!$B$6-C4178,0),MAX(C4178-'Black-Scholes'!$B$6,0))</f>
        <v>10.4642510937164</v>
      </c>
      <c r="F4178" s="18" t="n">
        <f aca="false">(E4178+G4178)/2</f>
        <v>5.23212554685822</v>
      </c>
      <c r="G4178" s="18" t="n">
        <f aca="false">EXP(-'Black-Scholes'!$B$8*'Black-Scholes'!$B$7)*IF(LOWER('Black-Scholes'!$B$11)="put",MAX('Black-Scholes'!$B$6-D4178,0),MAX(D4178-'Black-Scholes'!$B$6,0))</f>
        <v>0</v>
      </c>
    </row>
    <row r="4179" customFormat="false" ht="15" hidden="false" customHeight="false" outlineLevel="0" collapsed="false">
      <c r="A4179" s="0" t="n">
        <v>4168</v>
      </c>
      <c r="B4179" s="15" t="n">
        <v>2.22777314383689</v>
      </c>
      <c r="C4179" s="18" t="n">
        <f aca="false">'Black-Scholes'!$B$5*EXP(('Black-Scholes'!$B$8-'Black-Scholes'!$B$10-'Black-Scholes'!$B$9^2/2)*'Black-Scholes'!$B$7+'Black-Scholes'!$B$9*SQRT('Black-Scholes'!$B$7)*B4179)</f>
        <v>160.890629578688</v>
      </c>
      <c r="D4179" s="18" t="n">
        <f aca="false">'Black-Scholes'!$B$5*EXP(('Black-Scholes'!$B$8-'Black-Scholes'!$B$10-'Black-Scholes'!$B$9^2/2)*'Black-Scholes'!$B$7-'Black-Scholes'!$B$9*SQRT('Black-Scholes'!$B$7)*B4179)</f>
        <v>65.9974138534921</v>
      </c>
      <c r="E4179" s="18" t="n">
        <f aca="false">EXP(-'Black-Scholes'!$B$8*'Black-Scholes'!$B$7)*IF(LOWER('Black-Scholes'!$B$11)="put",MAX('Black-Scholes'!$B$6-C4179,0),MAX(C4179-'Black-Scholes'!$B$6,0))</f>
        <v>57.9209585316219</v>
      </c>
      <c r="F4179" s="18" t="n">
        <f aca="false">(E4179+G4179)/2</f>
        <v>28.960479265811</v>
      </c>
      <c r="G4179" s="18" t="n">
        <f aca="false">EXP(-'Black-Scholes'!$B$8*'Black-Scholes'!$B$7)*IF(LOWER('Black-Scholes'!$B$11)="put",MAX('Black-Scholes'!$B$6-D4179,0),MAX(D4179-'Black-Scholes'!$B$6,0))</f>
        <v>0</v>
      </c>
    </row>
    <row r="4180" customFormat="false" ht="15" hidden="false" customHeight="false" outlineLevel="0" collapsed="false">
      <c r="A4180" s="0" t="n">
        <v>4169</v>
      </c>
      <c r="B4180" s="15" t="n">
        <v>0.828701181748157</v>
      </c>
      <c r="C4180" s="18" t="n">
        <f aca="false">'Black-Scholes'!$B$5*EXP(('Black-Scholes'!$B$8-'Black-Scholes'!$B$10-'Black-Scholes'!$B$9^2/2)*'Black-Scholes'!$B$7+'Black-Scholes'!$B$9*SQRT('Black-Scholes'!$B$7)*B4180)</f>
        <v>121.621093690495</v>
      </c>
      <c r="D4180" s="18" t="n">
        <f aca="false">'Black-Scholes'!$B$5*EXP(('Black-Scholes'!$B$8-'Black-Scholes'!$B$10-'Black-Scholes'!$B$9^2/2)*'Black-Scholes'!$B$7-'Black-Scholes'!$B$9*SQRT('Black-Scholes'!$B$7)*B4180)</f>
        <v>87.306939472815</v>
      </c>
      <c r="E4180" s="18" t="n">
        <f aca="false">EXP(-'Black-Scholes'!$B$8*'Black-Scholes'!$B$7)*IF(LOWER('Black-Scholes'!$B$11)="put",MAX('Black-Scholes'!$B$6-C4180,0),MAX(C4180-'Black-Scholes'!$B$6,0))</f>
        <v>20.5666205082854</v>
      </c>
      <c r="F4180" s="18" t="n">
        <f aca="false">(E4180+G4180)/2</f>
        <v>10.2833102541427</v>
      </c>
      <c r="G4180" s="18" t="n">
        <f aca="false">EXP(-'Black-Scholes'!$B$8*'Black-Scholes'!$B$7)*IF(LOWER('Black-Scholes'!$B$11)="put",MAX('Black-Scholes'!$B$6-D4180,0),MAX(D4180-'Black-Scholes'!$B$6,0))</f>
        <v>0</v>
      </c>
    </row>
    <row r="4181" customFormat="false" ht="15" hidden="false" customHeight="false" outlineLevel="0" collapsed="false">
      <c r="A4181" s="0" t="n">
        <v>4170</v>
      </c>
      <c r="B4181" s="15" t="n">
        <v>-0.79936831481026</v>
      </c>
      <c r="C4181" s="18" t="n">
        <f aca="false">'Black-Scholes'!$B$5*EXP(('Black-Scholes'!$B$8-'Black-Scholes'!$B$10-'Black-Scholes'!$B$9^2/2)*'Black-Scholes'!$B$7+'Black-Scholes'!$B$9*SQRT('Black-Scholes'!$B$7)*B4181)</f>
        <v>87.8206373904296</v>
      </c>
      <c r="D4181" s="18" t="n">
        <f aca="false">'Black-Scholes'!$B$5*EXP(('Black-Scholes'!$B$8-'Black-Scholes'!$B$10-'Black-Scholes'!$B$9^2/2)*'Black-Scholes'!$B$7-'Black-Scholes'!$B$9*SQRT('Black-Scholes'!$B$7)*B4181)</f>
        <v>120.909683429498</v>
      </c>
      <c r="E4181" s="18" t="n">
        <f aca="false">EXP(-'Black-Scholes'!$B$8*'Black-Scholes'!$B$7)*IF(LOWER('Black-Scholes'!$B$11)="put",MAX('Black-Scholes'!$B$6-C4181,0),MAX(C4181-'Black-Scholes'!$B$6,0))</f>
        <v>0</v>
      </c>
      <c r="F4181" s="18" t="n">
        <f aca="false">(E4181+G4181)/2</f>
        <v>9.94495306756685</v>
      </c>
      <c r="G4181" s="18" t="n">
        <f aca="false">EXP(-'Black-Scholes'!$B$8*'Black-Scholes'!$B$7)*IF(LOWER('Black-Scholes'!$B$11)="put",MAX('Black-Scholes'!$B$6-D4181,0),MAX(D4181-'Black-Scholes'!$B$6,0))</f>
        <v>19.8899061351337</v>
      </c>
    </row>
    <row r="4182" customFormat="false" ht="15" hidden="false" customHeight="false" outlineLevel="0" collapsed="false">
      <c r="A4182" s="0" t="n">
        <v>4171</v>
      </c>
      <c r="B4182" s="15" t="n">
        <v>1.35499102040633</v>
      </c>
      <c r="C4182" s="18" t="n">
        <f aca="false">'Black-Scholes'!$B$5*EXP(('Black-Scholes'!$B$8-'Black-Scholes'!$B$10-'Black-Scholes'!$B$9^2/2)*'Black-Scholes'!$B$7+'Black-Scholes'!$B$9*SQRT('Black-Scholes'!$B$7)*B4182)</f>
        <v>135.120691487802</v>
      </c>
      <c r="D4182" s="18" t="n">
        <f aca="false">'Black-Scholes'!$B$5*EXP(('Black-Scholes'!$B$8-'Black-Scholes'!$B$10-'Black-Scholes'!$B$9^2/2)*'Black-Scholes'!$B$7-'Black-Scholes'!$B$9*SQRT('Black-Scholes'!$B$7)*B4182)</f>
        <v>78.5843037697312</v>
      </c>
      <c r="E4182" s="18" t="n">
        <f aca="false">EXP(-'Black-Scholes'!$B$8*'Black-Scholes'!$B$7)*IF(LOWER('Black-Scholes'!$B$11)="put",MAX('Black-Scholes'!$B$6-C4182,0),MAX(C4182-'Black-Scholes'!$B$6,0))</f>
        <v>33.4078351520093</v>
      </c>
      <c r="F4182" s="18" t="n">
        <f aca="false">(E4182+G4182)/2</f>
        <v>16.7039175760047</v>
      </c>
      <c r="G4182" s="18" t="n">
        <f aca="false">EXP(-'Black-Scholes'!$B$8*'Black-Scholes'!$B$7)*IF(LOWER('Black-Scholes'!$B$11)="put",MAX('Black-Scholes'!$B$6-D4182,0),MAX(D4182-'Black-Scholes'!$B$6,0))</f>
        <v>0</v>
      </c>
    </row>
    <row r="4183" customFormat="false" ht="15" hidden="false" customHeight="false" outlineLevel="0" collapsed="false">
      <c r="A4183" s="0" t="n">
        <v>4172</v>
      </c>
      <c r="B4183" s="15" t="n">
        <v>0.0358011451220026</v>
      </c>
      <c r="C4183" s="18" t="n">
        <f aca="false">'Black-Scholes'!$B$5*EXP(('Black-Scholes'!$B$8-'Black-Scholes'!$B$10-'Black-Scholes'!$B$9^2/2)*'Black-Scholes'!$B$7+'Black-Scholes'!$B$9*SQRT('Black-Scholes'!$B$7)*B4183)</f>
        <v>103.785930269975</v>
      </c>
      <c r="D4183" s="18" t="n">
        <f aca="false">'Black-Scholes'!$B$5*EXP(('Black-Scholes'!$B$8-'Black-Scholes'!$B$10-'Black-Scholes'!$B$9^2/2)*'Black-Scholes'!$B$7-'Black-Scholes'!$B$9*SQRT('Black-Scholes'!$B$7)*B4183)</f>
        <v>102.310259568252</v>
      </c>
      <c r="E4183" s="18" t="n">
        <f aca="false">EXP(-'Black-Scholes'!$B$8*'Black-Scholes'!$B$7)*IF(LOWER('Black-Scholes'!$B$11)="put",MAX('Black-Scholes'!$B$6-C4183,0),MAX(C4183-'Black-Scholes'!$B$6,0))</f>
        <v>3.60128827190792</v>
      </c>
      <c r="F4183" s="18" t="n">
        <f aca="false">(E4183+G4183)/2</f>
        <v>2.89943757573166</v>
      </c>
      <c r="G4183" s="18" t="n">
        <f aca="false">EXP(-'Black-Scholes'!$B$8*'Black-Scholes'!$B$7)*IF(LOWER('Black-Scholes'!$B$11)="put",MAX('Black-Scholes'!$B$6-D4183,0),MAX(D4183-'Black-Scholes'!$B$6,0))</f>
        <v>2.1975868795554</v>
      </c>
    </row>
    <row r="4184" customFormat="false" ht="15" hidden="false" customHeight="false" outlineLevel="0" collapsed="false">
      <c r="A4184" s="0" t="n">
        <v>4173</v>
      </c>
      <c r="B4184" s="15" t="n">
        <v>0.944965003692538</v>
      </c>
      <c r="C4184" s="18" t="n">
        <f aca="false">'Black-Scholes'!$B$5*EXP(('Black-Scholes'!$B$8-'Black-Scholes'!$B$10-'Black-Scholes'!$B$9^2/2)*'Black-Scholes'!$B$7+'Black-Scholes'!$B$9*SQRT('Black-Scholes'!$B$7)*B4184)</f>
        <v>124.48225638184</v>
      </c>
      <c r="D4184" s="18" t="n">
        <f aca="false">'Black-Scholes'!$B$5*EXP(('Black-Scholes'!$B$8-'Black-Scholes'!$B$10-'Black-Scholes'!$B$9^2/2)*'Black-Scholes'!$B$7-'Black-Scholes'!$B$9*SQRT('Black-Scholes'!$B$7)*B4184)</f>
        <v>85.3002329334594</v>
      </c>
      <c r="E4184" s="18" t="n">
        <f aca="false">EXP(-'Black-Scholes'!$B$8*'Black-Scholes'!$B$7)*IF(LOWER('Black-Scholes'!$B$11)="put",MAX('Black-Scholes'!$B$6-C4184,0),MAX(C4184-'Black-Scholes'!$B$6,0))</f>
        <v>23.2882426485769</v>
      </c>
      <c r="F4184" s="18" t="n">
        <f aca="false">(E4184+G4184)/2</f>
        <v>11.6441213242885</v>
      </c>
      <c r="G4184" s="18" t="n">
        <f aca="false">EXP(-'Black-Scholes'!$B$8*'Black-Scholes'!$B$7)*IF(LOWER('Black-Scholes'!$B$11)="put",MAX('Black-Scholes'!$B$6-D4184,0),MAX(D4184-'Black-Scholes'!$B$6,0))</f>
        <v>0</v>
      </c>
    </row>
    <row r="4185" customFormat="false" ht="15" hidden="false" customHeight="false" outlineLevel="0" collapsed="false">
      <c r="A4185" s="0" t="n">
        <v>4174</v>
      </c>
      <c r="B4185" s="15" t="n">
        <v>-0.0107117316397243</v>
      </c>
      <c r="C4185" s="18" t="n">
        <f aca="false">'Black-Scholes'!$B$5*EXP(('Black-Scholes'!$B$8-'Black-Scholes'!$B$10-'Black-Scholes'!$B$9^2/2)*'Black-Scholes'!$B$7+'Black-Scholes'!$B$9*SQRT('Black-Scholes'!$B$7)*B4185)</f>
        <v>102.82493064905</v>
      </c>
      <c r="D4185" s="18" t="n">
        <f aca="false">'Black-Scholes'!$B$5*EXP(('Black-Scholes'!$B$8-'Black-Scholes'!$B$10-'Black-Scholes'!$B$9^2/2)*'Black-Scholes'!$B$7-'Black-Scholes'!$B$9*SQRT('Black-Scholes'!$B$7)*B4185)</f>
        <v>103.266449084171</v>
      </c>
      <c r="E4185" s="18" t="n">
        <f aca="false">EXP(-'Black-Scholes'!$B$8*'Black-Scholes'!$B$7)*IF(LOWER('Black-Scholes'!$B$11)="put",MAX('Black-Scholes'!$B$6-C4185,0),MAX(C4185-'Black-Scholes'!$B$6,0))</f>
        <v>2.68715715555034</v>
      </c>
      <c r="F4185" s="18" t="n">
        <f aca="false">(E4185+G4185)/2</f>
        <v>2.89714981902383</v>
      </c>
      <c r="G4185" s="18" t="n">
        <f aca="false">EXP(-'Black-Scholes'!$B$8*'Black-Scholes'!$B$7)*IF(LOWER('Black-Scholes'!$B$11)="put",MAX('Black-Scholes'!$B$6-D4185,0),MAX(D4185-'Black-Scholes'!$B$6,0))</f>
        <v>3.10714248249733</v>
      </c>
    </row>
    <row r="4186" customFormat="false" ht="15" hidden="false" customHeight="false" outlineLevel="0" collapsed="false">
      <c r="A4186" s="0" t="n">
        <v>4175</v>
      </c>
      <c r="B4186" s="15" t="n">
        <v>0.54525561543767</v>
      </c>
      <c r="C4186" s="18" t="n">
        <f aca="false">'Black-Scholes'!$B$5*EXP(('Black-Scholes'!$B$8-'Black-Scholes'!$B$10-'Black-Scholes'!$B$9^2/2)*'Black-Scholes'!$B$7+'Black-Scholes'!$B$9*SQRT('Black-Scholes'!$B$7)*B4186)</f>
        <v>114.918284827724</v>
      </c>
      <c r="D4186" s="18" t="n">
        <f aca="false">'Black-Scholes'!$B$5*EXP(('Black-Scholes'!$B$8-'Black-Scholes'!$B$10-'Black-Scholes'!$B$9^2/2)*'Black-Scholes'!$B$7-'Black-Scholes'!$B$9*SQRT('Black-Scholes'!$B$7)*B4186)</f>
        <v>92.3992685878645</v>
      </c>
      <c r="E4186" s="18" t="n">
        <f aca="false">EXP(-'Black-Scholes'!$B$8*'Black-Scholes'!$B$7)*IF(LOWER('Black-Scholes'!$B$11)="put",MAX('Black-Scholes'!$B$6-C4186,0),MAX(C4186-'Black-Scholes'!$B$6,0))</f>
        <v>14.1907114912137</v>
      </c>
      <c r="F4186" s="18" t="n">
        <f aca="false">(E4186+G4186)/2</f>
        <v>7.09535574560686</v>
      </c>
      <c r="G4186" s="18" t="n">
        <f aca="false">EXP(-'Black-Scholes'!$B$8*'Black-Scholes'!$B$7)*IF(LOWER('Black-Scholes'!$B$11)="put",MAX('Black-Scholes'!$B$6-D4186,0),MAX(D4186-'Black-Scholes'!$B$6,0))</f>
        <v>0</v>
      </c>
    </row>
    <row r="4187" customFormat="false" ht="15" hidden="false" customHeight="false" outlineLevel="0" collapsed="false">
      <c r="A4187" s="0" t="n">
        <v>4176</v>
      </c>
      <c r="B4187" s="15" t="n">
        <v>0.693336610971888</v>
      </c>
      <c r="C4187" s="18" t="n">
        <f aca="false">'Black-Scholes'!$B$5*EXP(('Black-Scholes'!$B$8-'Black-Scholes'!$B$10-'Black-Scholes'!$B$9^2/2)*'Black-Scholes'!$B$7+'Black-Scholes'!$B$9*SQRT('Black-Scholes'!$B$7)*B4187)</f>
        <v>118.372627395326</v>
      </c>
      <c r="D4187" s="18" t="n">
        <f aca="false">'Black-Scholes'!$B$5*EXP(('Black-Scholes'!$B$8-'Black-Scholes'!$B$10-'Black-Scholes'!$B$9^2/2)*'Black-Scholes'!$B$7-'Black-Scholes'!$B$9*SQRT('Black-Scholes'!$B$7)*B4187)</f>
        <v>89.7028789433872</v>
      </c>
      <c r="E4187" s="18" t="n">
        <f aca="false">EXP(-'Black-Scholes'!$B$8*'Black-Scholes'!$B$7)*IF(LOWER('Black-Scholes'!$B$11)="put",MAX('Black-Scholes'!$B$6-C4187,0),MAX(C4187-'Black-Scholes'!$B$6,0))</f>
        <v>17.4765837838218</v>
      </c>
      <c r="F4187" s="18" t="n">
        <f aca="false">(E4187+G4187)/2</f>
        <v>8.73829189191092</v>
      </c>
      <c r="G4187" s="18" t="n">
        <f aca="false">EXP(-'Black-Scholes'!$B$8*'Black-Scholes'!$B$7)*IF(LOWER('Black-Scholes'!$B$11)="put",MAX('Black-Scholes'!$B$6-D4187,0),MAX(D4187-'Black-Scholes'!$B$6,0))</f>
        <v>0</v>
      </c>
    </row>
    <row r="4188" customFormat="false" ht="15" hidden="false" customHeight="false" outlineLevel="0" collapsed="false">
      <c r="A4188" s="0" t="n">
        <v>4177</v>
      </c>
      <c r="B4188" s="15" t="n">
        <v>1.54843042775213</v>
      </c>
      <c r="C4188" s="18" t="n">
        <f aca="false">'Black-Scholes'!$B$5*EXP(('Black-Scholes'!$B$8-'Black-Scholes'!$B$10-'Black-Scholes'!$B$9^2/2)*'Black-Scholes'!$B$7+'Black-Scholes'!$B$9*SQRT('Black-Scholes'!$B$7)*B4188)</f>
        <v>140.450662643015</v>
      </c>
      <c r="D4188" s="18" t="n">
        <f aca="false">'Black-Scholes'!$B$5*EXP(('Black-Scholes'!$B$8-'Black-Scholes'!$B$10-'Black-Scholes'!$B$9^2/2)*'Black-Scholes'!$B$7-'Black-Scholes'!$B$9*SQRT('Black-Scholes'!$B$7)*B4188)</f>
        <v>75.6021030135146</v>
      </c>
      <c r="E4188" s="18" t="n">
        <f aca="false">EXP(-'Black-Scholes'!$B$8*'Black-Scholes'!$B$7)*IF(LOWER('Black-Scholes'!$B$11)="put",MAX('Black-Scholes'!$B$6-C4188,0),MAX(C4188-'Black-Scholes'!$B$6,0))</f>
        <v>38.4778605465875</v>
      </c>
      <c r="F4188" s="18" t="n">
        <f aca="false">(E4188+G4188)/2</f>
        <v>19.2389302732937</v>
      </c>
      <c r="G4188" s="18" t="n">
        <f aca="false">EXP(-'Black-Scholes'!$B$8*'Black-Scholes'!$B$7)*IF(LOWER('Black-Scholes'!$B$11)="put",MAX('Black-Scholes'!$B$6-D4188,0),MAX(D4188-'Black-Scholes'!$B$6,0))</f>
        <v>0</v>
      </c>
    </row>
    <row r="4189" customFormat="false" ht="15" hidden="false" customHeight="false" outlineLevel="0" collapsed="false">
      <c r="A4189" s="0" t="n">
        <v>4178</v>
      </c>
      <c r="B4189" s="15" t="n">
        <v>1.10415697152984</v>
      </c>
      <c r="C4189" s="18" t="n">
        <f aca="false">'Black-Scholes'!$B$5*EXP(('Black-Scholes'!$B$8-'Black-Scholes'!$B$10-'Black-Scholes'!$B$9^2/2)*'Black-Scholes'!$B$7+'Black-Scholes'!$B$9*SQRT('Black-Scholes'!$B$7)*B4189)</f>
        <v>128.509339200067</v>
      </c>
      <c r="D4189" s="18" t="n">
        <f aca="false">'Black-Scholes'!$B$5*EXP(('Black-Scholes'!$B$8-'Black-Scholes'!$B$10-'Black-Scholes'!$B$9^2/2)*'Black-Scholes'!$B$7-'Black-Scholes'!$B$9*SQRT('Black-Scholes'!$B$7)*B4189)</f>
        <v>82.627189055284</v>
      </c>
      <c r="E4189" s="18" t="n">
        <f aca="false">EXP(-'Black-Scholes'!$B$8*'Black-Scholes'!$B$7)*IF(LOWER('Black-Scholes'!$B$11)="put",MAX('Black-Scholes'!$B$6-C4189,0),MAX(C4189-'Black-Scholes'!$B$6,0))</f>
        <v>27.1189223201758</v>
      </c>
      <c r="F4189" s="18" t="n">
        <f aca="false">(E4189+G4189)/2</f>
        <v>13.5594611600879</v>
      </c>
      <c r="G4189" s="18" t="n">
        <f aca="false">EXP(-'Black-Scholes'!$B$8*'Black-Scholes'!$B$7)*IF(LOWER('Black-Scholes'!$B$11)="put",MAX('Black-Scholes'!$B$6-D4189,0),MAX(D4189-'Black-Scholes'!$B$6,0))</f>
        <v>0</v>
      </c>
    </row>
    <row r="4190" customFormat="false" ht="15" hidden="false" customHeight="false" outlineLevel="0" collapsed="false">
      <c r="A4190" s="0" t="n">
        <v>4179</v>
      </c>
      <c r="B4190" s="15" t="n">
        <v>-0.165910536880205</v>
      </c>
      <c r="C4190" s="18" t="n">
        <f aca="false">'Black-Scholes'!$B$5*EXP(('Black-Scholes'!$B$8-'Black-Scholes'!$B$10-'Black-Scholes'!$B$9^2/2)*'Black-Scholes'!$B$7+'Black-Scholes'!$B$9*SQRT('Black-Scholes'!$B$7)*B4190)</f>
        <v>99.6822950161671</v>
      </c>
      <c r="D4190" s="18" t="n">
        <f aca="false">'Black-Scholes'!$B$5*EXP(('Black-Scholes'!$B$8-'Black-Scholes'!$B$10-'Black-Scholes'!$B$9^2/2)*'Black-Scholes'!$B$7-'Black-Scholes'!$B$9*SQRT('Black-Scholes'!$B$7)*B4190)</f>
        <v>106.522080613528</v>
      </c>
      <c r="E4190" s="18" t="n">
        <f aca="false">EXP(-'Black-Scholes'!$B$8*'Black-Scholes'!$B$7)*IF(LOWER('Black-Scholes'!$B$11)="put",MAX('Black-Scholes'!$B$6-C4190,0),MAX(C4190-'Black-Scholes'!$B$6,0))</f>
        <v>0</v>
      </c>
      <c r="F4190" s="18" t="n">
        <f aca="false">(E4190+G4190)/2</f>
        <v>3.10199749427661</v>
      </c>
      <c r="G4190" s="18" t="n">
        <f aca="false">EXP(-'Black-Scholes'!$B$8*'Black-Scholes'!$B$7)*IF(LOWER('Black-Scholes'!$B$11)="put",MAX('Black-Scholes'!$B$6-D4190,0),MAX(D4190-'Black-Scholes'!$B$6,0))</f>
        <v>6.20399498855322</v>
      </c>
    </row>
    <row r="4191" customFormat="false" ht="15" hidden="false" customHeight="false" outlineLevel="0" collapsed="false">
      <c r="A4191" s="0" t="n">
        <v>4180</v>
      </c>
      <c r="B4191" s="15" t="n">
        <v>-1.01154093076067</v>
      </c>
      <c r="C4191" s="18" t="n">
        <f aca="false">'Black-Scholes'!$B$5*EXP(('Black-Scholes'!$B$8-'Black-Scholes'!$B$10-'Black-Scholes'!$B$9^2/2)*'Black-Scholes'!$B$7+'Black-Scholes'!$B$9*SQRT('Black-Scholes'!$B$7)*B4191)</f>
        <v>84.1719726827882</v>
      </c>
      <c r="D4191" s="18" t="n">
        <f aca="false">'Black-Scholes'!$B$5*EXP(('Black-Scholes'!$B$8-'Black-Scholes'!$B$10-'Black-Scholes'!$B$9^2/2)*'Black-Scholes'!$B$7-'Black-Scholes'!$B$9*SQRT('Black-Scholes'!$B$7)*B4191)</f>
        <v>126.150844836085</v>
      </c>
      <c r="E4191" s="18" t="n">
        <f aca="false">EXP(-'Black-Scholes'!$B$8*'Black-Scholes'!$B$7)*IF(LOWER('Black-Scholes'!$B$11)="put",MAX('Black-Scholes'!$B$6-C4191,0),MAX(C4191-'Black-Scholes'!$B$6,0))</f>
        <v>0</v>
      </c>
      <c r="F4191" s="18" t="n">
        <f aca="false">(E4191+G4191)/2</f>
        <v>12.4377265418183</v>
      </c>
      <c r="G4191" s="18" t="n">
        <f aca="false">EXP(-'Black-Scholes'!$B$8*'Black-Scholes'!$B$7)*IF(LOWER('Black-Scholes'!$B$11)="put",MAX('Black-Scholes'!$B$6-D4191,0),MAX(D4191-'Black-Scholes'!$B$6,0))</f>
        <v>24.8754530836366</v>
      </c>
    </row>
    <row r="4192" customFormat="false" ht="15" hidden="false" customHeight="false" outlineLevel="0" collapsed="false">
      <c r="A4192" s="0" t="n">
        <v>4181</v>
      </c>
      <c r="B4192" s="15" t="n">
        <v>-0.480571352946</v>
      </c>
      <c r="C4192" s="18" t="n">
        <f aca="false">'Black-Scholes'!$B$5*EXP(('Black-Scholes'!$B$8-'Black-Scholes'!$B$10-'Black-Scholes'!$B$9^2/2)*'Black-Scholes'!$B$7+'Black-Scholes'!$B$9*SQRT('Black-Scholes'!$B$7)*B4192)</f>
        <v>93.6023898177845</v>
      </c>
      <c r="D4192" s="18" t="n">
        <f aca="false">'Black-Scholes'!$B$5*EXP(('Black-Scholes'!$B$8-'Black-Scholes'!$B$10-'Black-Scholes'!$B$9^2/2)*'Black-Scholes'!$B$7-'Black-Scholes'!$B$9*SQRT('Black-Scholes'!$B$7)*B4192)</f>
        <v>113.441179078059</v>
      </c>
      <c r="E4192" s="18" t="n">
        <f aca="false">EXP(-'Black-Scholes'!$B$8*'Black-Scholes'!$B$7)*IF(LOWER('Black-Scholes'!$B$11)="put",MAX('Black-Scholes'!$B$6-C4192,0),MAX(C4192-'Black-Scholes'!$B$6,0))</f>
        <v>0</v>
      </c>
      <c r="F4192" s="18" t="n">
        <f aca="false">(E4192+G4192)/2</f>
        <v>6.39282251951666</v>
      </c>
      <c r="G4192" s="18" t="n">
        <f aca="false">EXP(-'Black-Scholes'!$B$8*'Black-Scholes'!$B$7)*IF(LOWER('Black-Scholes'!$B$11)="put",MAX('Black-Scholes'!$B$6-D4192,0),MAX(D4192-'Black-Scholes'!$B$6,0))</f>
        <v>12.7856450390333</v>
      </c>
    </row>
    <row r="4193" customFormat="false" ht="15" hidden="false" customHeight="false" outlineLevel="0" collapsed="false">
      <c r="A4193" s="0" t="n">
        <v>4182</v>
      </c>
      <c r="B4193" s="15" t="n">
        <v>-0.678279084188116</v>
      </c>
      <c r="C4193" s="18" t="n">
        <f aca="false">'Black-Scholes'!$B$5*EXP(('Black-Scholes'!$B$8-'Black-Scholes'!$B$10-'Black-Scholes'!$B$9^2/2)*'Black-Scholes'!$B$7+'Black-Scholes'!$B$9*SQRT('Black-Scholes'!$B$7)*B4193)</f>
        <v>89.9734268175574</v>
      </c>
      <c r="D4193" s="18" t="n">
        <f aca="false">'Black-Scholes'!$B$5*EXP(('Black-Scholes'!$B$8-'Black-Scholes'!$B$10-'Black-Scholes'!$B$9^2/2)*'Black-Scholes'!$B$7-'Black-Scholes'!$B$9*SQRT('Black-Scholes'!$B$7)*B4193)</f>
        <v>118.016683825824</v>
      </c>
      <c r="E4193" s="18" t="n">
        <f aca="false">EXP(-'Black-Scholes'!$B$8*'Black-Scholes'!$B$7)*IF(LOWER('Black-Scholes'!$B$11)="put",MAX('Black-Scholes'!$B$6-C4193,0),MAX(C4193-'Black-Scholes'!$B$6,0))</f>
        <v>0</v>
      </c>
      <c r="F4193" s="18" t="n">
        <f aca="false">(E4193+G4193)/2</f>
        <v>8.56899989352497</v>
      </c>
      <c r="G4193" s="18" t="n">
        <f aca="false">EXP(-'Black-Scholes'!$B$8*'Black-Scholes'!$B$7)*IF(LOWER('Black-Scholes'!$B$11)="put",MAX('Black-Scholes'!$B$6-D4193,0),MAX(D4193-'Black-Scholes'!$B$6,0))</f>
        <v>17.1379997870499</v>
      </c>
    </row>
    <row r="4194" customFormat="false" ht="15" hidden="false" customHeight="false" outlineLevel="0" collapsed="false">
      <c r="A4194" s="0" t="n">
        <v>4183</v>
      </c>
      <c r="B4194" s="15" t="n">
        <v>-0.656034146445018</v>
      </c>
      <c r="C4194" s="18" t="n">
        <f aca="false">'Black-Scholes'!$B$5*EXP(('Black-Scholes'!$B$8-'Black-Scholes'!$B$10-'Black-Scholes'!$B$9^2/2)*'Black-Scholes'!$B$7+'Black-Scholes'!$B$9*SQRT('Black-Scholes'!$B$7)*B4194)</f>
        <v>90.3746092392417</v>
      </c>
      <c r="D4194" s="18" t="n">
        <f aca="false">'Black-Scholes'!$B$5*EXP(('Black-Scholes'!$B$8-'Black-Scholes'!$B$10-'Black-Scholes'!$B$9^2/2)*'Black-Scholes'!$B$7-'Black-Scholes'!$B$9*SQRT('Black-Scholes'!$B$7)*B4194)</f>
        <v>117.492795319805</v>
      </c>
      <c r="E4194" s="18" t="n">
        <f aca="false">EXP(-'Black-Scholes'!$B$8*'Black-Scholes'!$B$7)*IF(LOWER('Black-Scholes'!$B$11)="put",MAX('Black-Scholes'!$B$6-C4194,0),MAX(C4194-'Black-Scholes'!$B$6,0))</f>
        <v>0</v>
      </c>
      <c r="F4194" s="18" t="n">
        <f aca="false">(E4194+G4194)/2</f>
        <v>8.31983081248355</v>
      </c>
      <c r="G4194" s="18" t="n">
        <f aca="false">EXP(-'Black-Scholes'!$B$8*'Black-Scholes'!$B$7)*IF(LOWER('Black-Scholes'!$B$11)="put",MAX('Black-Scholes'!$B$6-D4194,0),MAX(D4194-'Black-Scholes'!$B$6,0))</f>
        <v>16.6396616249671</v>
      </c>
    </row>
    <row r="4195" customFormat="false" ht="15" hidden="false" customHeight="false" outlineLevel="0" collapsed="false">
      <c r="A4195" s="0" t="n">
        <v>4184</v>
      </c>
      <c r="B4195" s="15" t="n">
        <v>-1.669709472918</v>
      </c>
      <c r="C4195" s="18" t="n">
        <f aca="false">'Black-Scholes'!$B$5*EXP(('Black-Scholes'!$B$8-'Black-Scholes'!$B$10-'Black-Scholes'!$B$9^2/2)*'Black-Scholes'!$B$7+'Black-Scholes'!$B$9*SQRT('Black-Scholes'!$B$7)*B4195)</f>
        <v>73.7903741409104</v>
      </c>
      <c r="D4195" s="18" t="n">
        <f aca="false">'Black-Scholes'!$B$5*EXP(('Black-Scholes'!$B$8-'Black-Scholes'!$B$10-'Black-Scholes'!$B$9^2/2)*'Black-Scholes'!$B$7-'Black-Scholes'!$B$9*SQRT('Black-Scholes'!$B$7)*B4195)</f>
        <v>143.899059858088</v>
      </c>
      <c r="E4195" s="18" t="n">
        <f aca="false">EXP(-'Black-Scholes'!$B$8*'Black-Scholes'!$B$7)*IF(LOWER('Black-Scholes'!$B$11)="put",MAX('Black-Scholes'!$B$6-C4195,0),MAX(C4195-'Black-Scholes'!$B$6,0))</f>
        <v>0</v>
      </c>
      <c r="F4195" s="18" t="n">
        <f aca="false">(E4195+G4195)/2</f>
        <v>20.8790387224659</v>
      </c>
      <c r="G4195" s="18" t="n">
        <f aca="false">EXP(-'Black-Scholes'!$B$8*'Black-Scholes'!$B$7)*IF(LOWER('Black-Scholes'!$B$11)="put",MAX('Black-Scholes'!$B$6-D4195,0),MAX(D4195-'Black-Scholes'!$B$6,0))</f>
        <v>41.7580774449318</v>
      </c>
    </row>
    <row r="4196" customFormat="false" ht="15" hidden="false" customHeight="false" outlineLevel="0" collapsed="false">
      <c r="A4196" s="0" t="n">
        <v>4185</v>
      </c>
      <c r="B4196" s="15" t="n">
        <v>0.789601422757496</v>
      </c>
      <c r="C4196" s="18" t="n">
        <f aca="false">'Black-Scholes'!$B$5*EXP(('Black-Scholes'!$B$8-'Black-Scholes'!$B$10-'Black-Scholes'!$B$9^2/2)*'Black-Scholes'!$B$7+'Black-Scholes'!$B$9*SQRT('Black-Scholes'!$B$7)*B4196)</f>
        <v>120.6737315909</v>
      </c>
      <c r="D4196" s="18" t="n">
        <f aca="false">'Black-Scholes'!$B$5*EXP(('Black-Scholes'!$B$8-'Black-Scholes'!$B$10-'Black-Scholes'!$B$9^2/2)*'Black-Scholes'!$B$7-'Black-Scholes'!$B$9*SQRT('Black-Scholes'!$B$7)*B4196)</f>
        <v>87.9923519846989</v>
      </c>
      <c r="E4196" s="18" t="n">
        <f aca="false">EXP(-'Black-Scholes'!$B$8*'Black-Scholes'!$B$7)*IF(LOWER('Black-Scholes'!$B$11)="put",MAX('Black-Scholes'!$B$6-C4196,0),MAX(C4196-'Black-Scholes'!$B$6,0))</f>
        <v>19.6654618034945</v>
      </c>
      <c r="F4196" s="18" t="n">
        <f aca="false">(E4196+G4196)/2</f>
        <v>9.83273090174725</v>
      </c>
      <c r="G4196" s="18" t="n">
        <f aca="false">EXP(-'Black-Scholes'!$B$8*'Black-Scholes'!$B$7)*IF(LOWER('Black-Scholes'!$B$11)="put",MAX('Black-Scholes'!$B$6-D4196,0),MAX(D4196-'Black-Scholes'!$B$6,0))</f>
        <v>0</v>
      </c>
    </row>
    <row r="4197" customFormat="false" ht="15" hidden="false" customHeight="false" outlineLevel="0" collapsed="false">
      <c r="A4197" s="0" t="n">
        <v>4186</v>
      </c>
      <c r="B4197" s="15" t="n">
        <v>0.93052518605175</v>
      </c>
      <c r="C4197" s="18" t="n">
        <f aca="false">'Black-Scholes'!$B$5*EXP(('Black-Scholes'!$B$8-'Black-Scholes'!$B$10-'Black-Scholes'!$B$9^2/2)*'Black-Scholes'!$B$7+'Black-Scholes'!$B$9*SQRT('Black-Scholes'!$B$7)*B4197)</f>
        <v>124.123274777899</v>
      </c>
      <c r="D4197" s="18" t="n">
        <f aca="false">'Black-Scholes'!$B$5*EXP(('Black-Scholes'!$B$8-'Black-Scholes'!$B$10-'Black-Scholes'!$B$9^2/2)*'Black-Scholes'!$B$7-'Black-Scholes'!$B$9*SQRT('Black-Scholes'!$B$7)*B4197)</f>
        <v>85.5469329539821</v>
      </c>
      <c r="E4197" s="18" t="n">
        <f aca="false">EXP(-'Black-Scholes'!$B$8*'Black-Scholes'!$B$7)*IF(LOWER('Black-Scholes'!$B$11)="put",MAX('Black-Scholes'!$B$6-C4197,0),MAX(C4197-'Black-Scholes'!$B$6,0))</f>
        <v>22.9467687840532</v>
      </c>
      <c r="F4197" s="18" t="n">
        <f aca="false">(E4197+G4197)/2</f>
        <v>11.4733843920266</v>
      </c>
      <c r="G4197" s="18" t="n">
        <f aca="false">EXP(-'Black-Scholes'!$B$8*'Black-Scholes'!$B$7)*IF(LOWER('Black-Scholes'!$B$11)="put",MAX('Black-Scholes'!$B$6-D4197,0),MAX(D4197-'Black-Scholes'!$B$6,0))</f>
        <v>0</v>
      </c>
    </row>
    <row r="4198" customFormat="false" ht="15" hidden="false" customHeight="false" outlineLevel="0" collapsed="false">
      <c r="A4198" s="0" t="n">
        <v>4187</v>
      </c>
      <c r="B4198" s="15" t="n">
        <v>-2.56814535939116</v>
      </c>
      <c r="C4198" s="18" t="n">
        <f aca="false">'Black-Scholes'!$B$5*EXP(('Black-Scholes'!$B$8-'Black-Scholes'!$B$10-'Black-Scholes'!$B$9^2/2)*'Black-Scholes'!$B$7+'Black-Scholes'!$B$9*SQRT('Black-Scholes'!$B$7)*B4198)</f>
        <v>61.6541852214487</v>
      </c>
      <c r="D4198" s="18" t="n">
        <f aca="false">'Black-Scholes'!$B$5*EXP(('Black-Scholes'!$B$8-'Black-Scholes'!$B$10-'Black-Scholes'!$B$9^2/2)*'Black-Scholes'!$B$7-'Black-Scholes'!$B$9*SQRT('Black-Scholes'!$B$7)*B4198)</f>
        <v>172.224568815802</v>
      </c>
      <c r="E4198" s="18" t="n">
        <f aca="false">EXP(-'Black-Scholes'!$B$8*'Black-Scholes'!$B$7)*IF(LOWER('Black-Scholes'!$B$11)="put",MAX('Black-Scholes'!$B$6-C4198,0),MAX(C4198-'Black-Scholes'!$B$6,0))</f>
        <v>0</v>
      </c>
      <c r="F4198" s="18" t="n">
        <f aca="false">(E4198+G4198)/2</f>
        <v>34.3510675147337</v>
      </c>
      <c r="G4198" s="18" t="n">
        <f aca="false">EXP(-'Black-Scholes'!$B$8*'Black-Scholes'!$B$7)*IF(LOWER('Black-Scholes'!$B$11)="put",MAX('Black-Scholes'!$B$6-D4198,0),MAX(D4198-'Black-Scholes'!$B$6,0))</f>
        <v>68.7021350294675</v>
      </c>
    </row>
    <row r="4199" customFormat="false" ht="15" hidden="false" customHeight="false" outlineLevel="0" collapsed="false">
      <c r="A4199" s="0" t="n">
        <v>4188</v>
      </c>
      <c r="B4199" s="15" t="n">
        <v>-1.90921004734208</v>
      </c>
      <c r="C4199" s="18" t="n">
        <f aca="false">'Black-Scholes'!$B$5*EXP(('Black-Scholes'!$B$8-'Black-Scholes'!$B$10-'Black-Scholes'!$B$9^2/2)*'Black-Scholes'!$B$7+'Black-Scholes'!$B$9*SQRT('Black-Scholes'!$B$7)*B4199)</f>
        <v>70.3391242354417</v>
      </c>
      <c r="D4199" s="18" t="n">
        <f aca="false">'Black-Scholes'!$B$5*EXP(('Black-Scholes'!$B$8-'Black-Scholes'!$B$10-'Black-Scholes'!$B$9^2/2)*'Black-Scholes'!$B$7-'Black-Scholes'!$B$9*SQRT('Black-Scholes'!$B$7)*B4199)</f>
        <v>150.959591562605</v>
      </c>
      <c r="E4199" s="18" t="n">
        <f aca="false">EXP(-'Black-Scholes'!$B$8*'Black-Scholes'!$B$7)*IF(LOWER('Black-Scholes'!$B$11)="put",MAX('Black-Scholes'!$B$6-C4199,0),MAX(C4199-'Black-Scholes'!$B$6,0))</f>
        <v>0</v>
      </c>
      <c r="F4199" s="18" t="n">
        <f aca="false">(E4199+G4199)/2</f>
        <v>24.237131477444</v>
      </c>
      <c r="G4199" s="18" t="n">
        <f aca="false">EXP(-'Black-Scholes'!$B$8*'Black-Scholes'!$B$7)*IF(LOWER('Black-Scholes'!$B$11)="put",MAX('Black-Scholes'!$B$6-D4199,0),MAX(D4199-'Black-Scholes'!$B$6,0))</f>
        <v>48.4742629548881</v>
      </c>
    </row>
    <row r="4200" customFormat="false" ht="15" hidden="false" customHeight="false" outlineLevel="0" collapsed="false">
      <c r="A4200" s="0" t="n">
        <v>4189</v>
      </c>
      <c r="B4200" s="15" t="n">
        <v>1.00936803202581</v>
      </c>
      <c r="C4200" s="18" t="n">
        <f aca="false">'Black-Scholes'!$B$5*EXP(('Black-Scholes'!$B$8-'Black-Scholes'!$B$10-'Black-Scholes'!$B$9^2/2)*'Black-Scholes'!$B$7+'Black-Scholes'!$B$9*SQRT('Black-Scholes'!$B$7)*B4200)</f>
        <v>126.096034144527</v>
      </c>
      <c r="D4200" s="18" t="n">
        <f aca="false">'Black-Scholes'!$B$5*EXP(('Black-Scholes'!$B$8-'Black-Scholes'!$B$10-'Black-Scholes'!$B$9^2/2)*'Black-Scholes'!$B$7-'Black-Scholes'!$B$9*SQRT('Black-Scholes'!$B$7)*B4200)</f>
        <v>84.2085600668711</v>
      </c>
      <c r="E4200" s="18" t="n">
        <f aca="false">EXP(-'Black-Scholes'!$B$8*'Black-Scholes'!$B$7)*IF(LOWER('Black-Scholes'!$B$11)="put",MAX('Black-Scholes'!$B$6-C4200,0),MAX(C4200-'Black-Scholes'!$B$6,0))</f>
        <v>24.823315541049</v>
      </c>
      <c r="F4200" s="18" t="n">
        <f aca="false">(E4200+G4200)/2</f>
        <v>12.4116577705245</v>
      </c>
      <c r="G4200" s="18" t="n">
        <f aca="false">EXP(-'Black-Scholes'!$B$8*'Black-Scholes'!$B$7)*IF(LOWER('Black-Scholes'!$B$11)="put",MAX('Black-Scholes'!$B$6-D4200,0),MAX(D4200-'Black-Scholes'!$B$6,0))</f>
        <v>0</v>
      </c>
    </row>
    <row r="4201" customFormat="false" ht="15" hidden="false" customHeight="false" outlineLevel="0" collapsed="false">
      <c r="A4201" s="0" t="n">
        <v>4190</v>
      </c>
      <c r="B4201" s="15" t="n">
        <v>-0.555482277447312</v>
      </c>
      <c r="C4201" s="18" t="n">
        <f aca="false">'Black-Scholes'!$B$5*EXP(('Black-Scholes'!$B$8-'Black-Scholes'!$B$10-'Black-Scholes'!$B$9^2/2)*'Black-Scholes'!$B$7+'Black-Scholes'!$B$9*SQRT('Black-Scholes'!$B$7)*B4201)</f>
        <v>92.2104745090472</v>
      </c>
      <c r="D4201" s="18" t="n">
        <f aca="false">'Black-Scholes'!$B$5*EXP(('Black-Scholes'!$B$8-'Black-Scholes'!$B$10-'Black-Scholes'!$B$9^2/2)*'Black-Scholes'!$B$7-'Black-Scholes'!$B$9*SQRT('Black-Scholes'!$B$7)*B4201)</f>
        <v>115.153571456915</v>
      </c>
      <c r="E4201" s="18" t="n">
        <f aca="false">EXP(-'Black-Scholes'!$B$8*'Black-Scholes'!$B$7)*IF(LOWER('Black-Scholes'!$B$11)="put",MAX('Black-Scholes'!$B$6-C4201,0),MAX(C4201-'Black-Scholes'!$B$6,0))</f>
        <v>0</v>
      </c>
      <c r="F4201" s="18" t="n">
        <f aca="false">(E4201+G4201)/2</f>
        <v>7.20726152804582</v>
      </c>
      <c r="G4201" s="18" t="n">
        <f aca="false">EXP(-'Black-Scholes'!$B$8*'Black-Scholes'!$B$7)*IF(LOWER('Black-Scholes'!$B$11)="put",MAX('Black-Scholes'!$B$6-D4201,0),MAX(D4201-'Black-Scholes'!$B$6,0))</f>
        <v>14.4145230560916</v>
      </c>
    </row>
    <row r="4202" customFormat="false" ht="15" hidden="false" customHeight="false" outlineLevel="0" collapsed="false">
      <c r="A4202" s="0" t="n">
        <v>4191</v>
      </c>
      <c r="B4202" s="15" t="n">
        <v>-0.455344152250892</v>
      </c>
      <c r="C4202" s="18" t="n">
        <f aca="false">'Black-Scholes'!$B$5*EXP(('Black-Scholes'!$B$8-'Black-Scholes'!$B$10-'Black-Scholes'!$B$9^2/2)*'Black-Scholes'!$B$7+'Black-Scholes'!$B$9*SQRT('Black-Scholes'!$B$7)*B4202)</f>
        <v>94.0758484717463</v>
      </c>
      <c r="D4202" s="18" t="n">
        <f aca="false">'Black-Scholes'!$B$5*EXP(('Black-Scholes'!$B$8-'Black-Scholes'!$B$10-'Black-Scholes'!$B$9^2/2)*'Black-Scholes'!$B$7-'Black-Scholes'!$B$9*SQRT('Black-Scholes'!$B$7)*B4202)</f>
        <v>112.870259880171</v>
      </c>
      <c r="E4202" s="18" t="n">
        <f aca="false">EXP(-'Black-Scholes'!$B$8*'Black-Scholes'!$B$7)*IF(LOWER('Black-Scholes'!$B$11)="put",MAX('Black-Scholes'!$B$6-C4202,0),MAX(C4202-'Black-Scholes'!$B$6,0))</f>
        <v>0</v>
      </c>
      <c r="F4202" s="18" t="n">
        <f aca="false">(E4202+G4202)/2</f>
        <v>6.12128494949486</v>
      </c>
      <c r="G4202" s="18" t="n">
        <f aca="false">EXP(-'Black-Scholes'!$B$8*'Black-Scholes'!$B$7)*IF(LOWER('Black-Scholes'!$B$11)="put",MAX('Black-Scholes'!$B$6-D4202,0),MAX(D4202-'Black-Scholes'!$B$6,0))</f>
        <v>12.2425698989897</v>
      </c>
    </row>
    <row r="4203" customFormat="false" ht="15" hidden="false" customHeight="false" outlineLevel="0" collapsed="false">
      <c r="A4203" s="0" t="n">
        <v>4192</v>
      </c>
      <c r="B4203" s="15" t="n">
        <v>0.173275483291184</v>
      </c>
      <c r="C4203" s="18" t="n">
        <f aca="false">'Black-Scholes'!$B$5*EXP(('Black-Scholes'!$B$8-'Black-Scholes'!$B$10-'Black-Scholes'!$B$9^2/2)*'Black-Scholes'!$B$7+'Black-Scholes'!$B$9*SQRT('Black-Scholes'!$B$7)*B4203)</f>
        <v>106.679102113691</v>
      </c>
      <c r="D4203" s="18" t="n">
        <f aca="false">'Black-Scholes'!$B$5*EXP(('Black-Scholes'!$B$8-'Black-Scholes'!$B$10-'Black-Scholes'!$B$9^2/2)*'Black-Scholes'!$B$7-'Black-Scholes'!$B$9*SQRT('Black-Scholes'!$B$7)*B4203)</f>
        <v>99.5355721511161</v>
      </c>
      <c r="E4203" s="18" t="n">
        <f aca="false">EXP(-'Black-Scholes'!$B$8*'Black-Scholes'!$B$7)*IF(LOWER('Black-Scholes'!$B$11)="put",MAX('Black-Scholes'!$B$6-C4203,0),MAX(C4203-'Black-Scholes'!$B$6,0))</f>
        <v>6.35335845978805</v>
      </c>
      <c r="F4203" s="18" t="n">
        <f aca="false">(E4203+G4203)/2</f>
        <v>3.17667922989403</v>
      </c>
      <c r="G4203" s="18" t="n">
        <f aca="false">EXP(-'Black-Scholes'!$B$8*'Black-Scholes'!$B$7)*IF(LOWER('Black-Scholes'!$B$11)="put",MAX('Black-Scholes'!$B$6-D4203,0),MAX(D4203-'Black-Scholes'!$B$6,0))</f>
        <v>0</v>
      </c>
    </row>
    <row r="4204" customFormat="false" ht="15" hidden="false" customHeight="false" outlineLevel="0" collapsed="false">
      <c r="A4204" s="0" t="n">
        <v>4193</v>
      </c>
      <c r="B4204" s="15" t="n">
        <v>1.36392065333337</v>
      </c>
      <c r="C4204" s="18" t="n">
        <f aca="false">'Black-Scholes'!$B$5*EXP(('Black-Scholes'!$B$8-'Black-Scholes'!$B$10-'Black-Scholes'!$B$9^2/2)*'Black-Scholes'!$B$7+'Black-Scholes'!$B$9*SQRT('Black-Scholes'!$B$7)*B4204)</f>
        <v>135.362222737311</v>
      </c>
      <c r="D4204" s="18" t="n">
        <f aca="false">'Black-Scholes'!$B$5*EXP(('Black-Scholes'!$B$8-'Black-Scholes'!$B$10-'Black-Scholes'!$B$9^2/2)*'Black-Scholes'!$B$7-'Black-Scholes'!$B$9*SQRT('Black-Scholes'!$B$7)*B4204)</f>
        <v>78.4440832215053</v>
      </c>
      <c r="E4204" s="18" t="n">
        <f aca="false">EXP(-'Black-Scholes'!$B$8*'Black-Scholes'!$B$7)*IF(LOWER('Black-Scholes'!$B$11)="put",MAX('Black-Scholes'!$B$6-C4204,0),MAX(C4204-'Black-Scholes'!$B$6,0))</f>
        <v>33.6375867834788</v>
      </c>
      <c r="F4204" s="18" t="n">
        <f aca="false">(E4204+G4204)/2</f>
        <v>16.8187933917394</v>
      </c>
      <c r="G4204" s="18" t="n">
        <f aca="false">EXP(-'Black-Scholes'!$B$8*'Black-Scholes'!$B$7)*IF(LOWER('Black-Scholes'!$B$11)="put",MAX('Black-Scholes'!$B$6-D4204,0),MAX(D4204-'Black-Scholes'!$B$6,0))</f>
        <v>0</v>
      </c>
    </row>
    <row r="4205" customFormat="false" ht="15" hidden="false" customHeight="false" outlineLevel="0" collapsed="false">
      <c r="A4205" s="0" t="n">
        <v>4194</v>
      </c>
      <c r="B4205" s="15" t="n">
        <v>-2.5805842187805</v>
      </c>
      <c r="C4205" s="18" t="n">
        <f aca="false">'Black-Scholes'!$B$5*EXP(('Black-Scholes'!$B$8-'Black-Scholes'!$B$10-'Black-Scholes'!$B$9^2/2)*'Black-Scholes'!$B$7+'Black-Scholes'!$B$9*SQRT('Black-Scholes'!$B$7)*B4205)</f>
        <v>61.5009943043381</v>
      </c>
      <c r="D4205" s="18" t="n">
        <f aca="false">'Black-Scholes'!$B$5*EXP(('Black-Scholes'!$B$8-'Black-Scholes'!$B$10-'Black-Scholes'!$B$9^2/2)*'Black-Scholes'!$B$7-'Black-Scholes'!$B$9*SQRT('Black-Scholes'!$B$7)*B4205)</f>
        <v>172.653557646703</v>
      </c>
      <c r="E4205" s="18" t="n">
        <f aca="false">EXP(-'Black-Scholes'!$B$8*'Black-Scholes'!$B$7)*IF(LOWER('Black-Scholes'!$B$11)="put",MAX('Black-Scholes'!$B$6-C4205,0),MAX(C4205-'Black-Scholes'!$B$6,0))</f>
        <v>0</v>
      </c>
      <c r="F4205" s="18" t="n">
        <f aca="false">(E4205+G4205)/2</f>
        <v>34.5551009141014</v>
      </c>
      <c r="G4205" s="18" t="n">
        <f aca="false">EXP(-'Black-Scholes'!$B$8*'Black-Scholes'!$B$7)*IF(LOWER('Black-Scholes'!$B$11)="put",MAX('Black-Scholes'!$B$6-D4205,0),MAX(D4205-'Black-Scholes'!$B$6,0))</f>
        <v>69.1102018282028</v>
      </c>
    </row>
    <row r="4206" customFormat="false" ht="15" hidden="false" customHeight="false" outlineLevel="0" collapsed="false">
      <c r="A4206" s="0" t="n">
        <v>4195</v>
      </c>
      <c r="B4206" s="15" t="n">
        <v>0.560502816742223</v>
      </c>
      <c r="C4206" s="18" t="n">
        <f aca="false">'Black-Scholes'!$B$5*EXP(('Black-Scholes'!$B$8-'Black-Scholes'!$B$10-'Black-Scholes'!$B$9^2/2)*'Black-Scholes'!$B$7+'Black-Scholes'!$B$9*SQRT('Black-Scholes'!$B$7)*B4206)</f>
        <v>115.269256133231</v>
      </c>
      <c r="D4206" s="18" t="n">
        <f aca="false">'Black-Scholes'!$B$5*EXP(('Black-Scholes'!$B$8-'Black-Scholes'!$B$10-'Black-Scholes'!$B$9^2/2)*'Black-Scholes'!$B$7-'Black-Scholes'!$B$9*SQRT('Black-Scholes'!$B$7)*B4206)</f>
        <v>92.1179317161604</v>
      </c>
      <c r="E4206" s="18" t="n">
        <f aca="false">EXP(-'Black-Scholes'!$B$8*'Black-Scholes'!$B$7)*IF(LOWER('Black-Scholes'!$B$11)="put",MAX('Black-Scholes'!$B$6-C4206,0),MAX(C4206-'Black-Scholes'!$B$6,0))</f>
        <v>14.5245657241676</v>
      </c>
      <c r="F4206" s="18" t="n">
        <f aca="false">(E4206+G4206)/2</f>
        <v>7.26228286208379</v>
      </c>
      <c r="G4206" s="18" t="n">
        <f aca="false">EXP(-'Black-Scholes'!$B$8*'Black-Scholes'!$B$7)*IF(LOWER('Black-Scholes'!$B$11)="put",MAX('Black-Scholes'!$B$6-D4206,0),MAX(D4206-'Black-Scholes'!$B$6,0))</f>
        <v>0</v>
      </c>
    </row>
    <row r="4207" customFormat="false" ht="15" hidden="false" customHeight="false" outlineLevel="0" collapsed="false">
      <c r="A4207" s="0" t="n">
        <v>4196</v>
      </c>
      <c r="B4207" s="15" t="n">
        <v>0.247812850139139</v>
      </c>
      <c r="C4207" s="18" t="n">
        <f aca="false">'Black-Scholes'!$B$5*EXP(('Black-Scholes'!$B$8-'Black-Scholes'!$B$10-'Black-Scholes'!$B$9^2/2)*'Black-Scholes'!$B$7+'Black-Scholes'!$B$9*SQRT('Black-Scholes'!$B$7)*B4207)</f>
        <v>108.281330906875</v>
      </c>
      <c r="D4207" s="18" t="n">
        <f aca="false">'Black-Scholes'!$B$5*EXP(('Black-Scholes'!$B$8-'Black-Scholes'!$B$10-'Black-Scholes'!$B$9^2/2)*'Black-Scholes'!$B$7-'Black-Scholes'!$B$9*SQRT('Black-Scholes'!$B$7)*B4207)</f>
        <v>98.0627535376867</v>
      </c>
      <c r="E4207" s="18" t="n">
        <f aca="false">EXP(-'Black-Scholes'!$B$8*'Black-Scholes'!$B$7)*IF(LOWER('Black-Scholes'!$B$11)="put",MAX('Black-Scholes'!$B$6-C4207,0),MAX(C4207-'Black-Scholes'!$B$6,0))</f>
        <v>7.87744563264688</v>
      </c>
      <c r="F4207" s="18" t="n">
        <f aca="false">(E4207+G4207)/2</f>
        <v>3.93872281632344</v>
      </c>
      <c r="G4207" s="18" t="n">
        <f aca="false">EXP(-'Black-Scholes'!$B$8*'Black-Scholes'!$B$7)*IF(LOWER('Black-Scholes'!$B$11)="put",MAX('Black-Scholes'!$B$6-D4207,0),MAX(D4207-'Black-Scholes'!$B$6,0))</f>
        <v>0</v>
      </c>
    </row>
    <row r="4208" customFormat="false" ht="15" hidden="false" customHeight="false" outlineLevel="0" collapsed="false">
      <c r="A4208" s="0" t="n">
        <v>4197</v>
      </c>
      <c r="B4208" s="15" t="n">
        <v>0.777886160896603</v>
      </c>
      <c r="C4208" s="18" t="n">
        <f aca="false">'Black-Scholes'!$B$5*EXP(('Black-Scholes'!$B$8-'Black-Scholes'!$B$10-'Black-Scholes'!$B$9^2/2)*'Black-Scholes'!$B$7+'Black-Scholes'!$B$9*SQRT('Black-Scholes'!$B$7)*B4208)</f>
        <v>120.391317702304</v>
      </c>
      <c r="D4208" s="18" t="n">
        <f aca="false">'Black-Scholes'!$B$5*EXP(('Black-Scholes'!$B$8-'Black-Scholes'!$B$10-'Black-Scholes'!$B$9^2/2)*'Black-Scholes'!$B$7-'Black-Scholes'!$B$9*SQRT('Black-Scholes'!$B$7)*B4208)</f>
        <v>88.1987643968644</v>
      </c>
      <c r="E4208" s="18" t="n">
        <f aca="false">EXP(-'Black-Scholes'!$B$8*'Black-Scholes'!$B$7)*IF(LOWER('Black-Scholes'!$B$11)="put",MAX('Black-Scholes'!$B$6-C4208,0),MAX(C4208-'Black-Scholes'!$B$6,0))</f>
        <v>19.3968214027743</v>
      </c>
      <c r="F4208" s="18" t="n">
        <f aca="false">(E4208+G4208)/2</f>
        <v>9.69841070138715</v>
      </c>
      <c r="G4208" s="18" t="n">
        <f aca="false">EXP(-'Black-Scholes'!$B$8*'Black-Scholes'!$B$7)*IF(LOWER('Black-Scholes'!$B$11)="put",MAX('Black-Scholes'!$B$6-D4208,0),MAX(D4208-'Black-Scholes'!$B$6,0))</f>
        <v>0</v>
      </c>
    </row>
    <row r="4209" customFormat="false" ht="15" hidden="false" customHeight="false" outlineLevel="0" collapsed="false">
      <c r="A4209" s="0" t="n">
        <v>4198</v>
      </c>
      <c r="B4209" s="15" t="n">
        <v>-0.817096756453516</v>
      </c>
      <c r="C4209" s="18" t="n">
        <f aca="false">'Black-Scholes'!$B$5*EXP(('Black-Scholes'!$B$8-'Black-Scholes'!$B$10-'Black-Scholes'!$B$9^2/2)*'Black-Scholes'!$B$7+'Black-Scholes'!$B$9*SQRT('Black-Scholes'!$B$7)*B4209)</f>
        <v>87.5098041659349</v>
      </c>
      <c r="D4209" s="18" t="n">
        <f aca="false">'Black-Scholes'!$B$5*EXP(('Black-Scholes'!$B$8-'Black-Scholes'!$B$10-'Black-Scholes'!$B$9^2/2)*'Black-Scholes'!$B$7-'Black-Scholes'!$B$9*SQRT('Black-Scholes'!$B$7)*B4209)</f>
        <v>121.339152414502</v>
      </c>
      <c r="E4209" s="18" t="n">
        <f aca="false">EXP(-'Black-Scholes'!$B$8*'Black-Scholes'!$B$7)*IF(LOWER('Black-Scholes'!$B$11)="put",MAX('Black-Scholes'!$B$6-C4209,0),MAX(C4209-'Black-Scholes'!$B$6,0))</f>
        <v>0</v>
      </c>
      <c r="F4209" s="18" t="n">
        <f aca="false">(E4209+G4209)/2</f>
        <v>10.1492148352899</v>
      </c>
      <c r="G4209" s="18" t="n">
        <f aca="false">EXP(-'Black-Scholes'!$B$8*'Black-Scholes'!$B$7)*IF(LOWER('Black-Scholes'!$B$11)="put",MAX('Black-Scholes'!$B$6-D4209,0),MAX(D4209-'Black-Scholes'!$B$6,0))</f>
        <v>20.2984296705798</v>
      </c>
    </row>
    <row r="4210" customFormat="false" ht="15" hidden="false" customHeight="false" outlineLevel="0" collapsed="false">
      <c r="A4210" s="0" t="n">
        <v>4199</v>
      </c>
      <c r="B4210" s="15" t="n">
        <v>0.434534794448146</v>
      </c>
      <c r="C4210" s="18" t="n">
        <f aca="false">'Black-Scholes'!$B$5*EXP(('Black-Scholes'!$B$8-'Black-Scholes'!$B$10-'Black-Scholes'!$B$9^2/2)*'Black-Scholes'!$B$7+'Black-Scholes'!$B$9*SQRT('Black-Scholes'!$B$7)*B4210)</f>
        <v>112.401484523601</v>
      </c>
      <c r="D4210" s="18" t="n">
        <f aca="false">'Black-Scholes'!$B$5*EXP(('Black-Scholes'!$B$8-'Black-Scholes'!$B$10-'Black-Scholes'!$B$9^2/2)*'Black-Scholes'!$B$7-'Black-Scholes'!$B$9*SQRT('Black-Scholes'!$B$7)*B4210)</f>
        <v>94.4681959536223</v>
      </c>
      <c r="E4210" s="18" t="n">
        <f aca="false">EXP(-'Black-Scholes'!$B$8*'Black-Scholes'!$B$7)*IF(LOWER('Black-Scholes'!$B$11)="put",MAX('Black-Scholes'!$B$6-C4210,0),MAX(C4210-'Black-Scholes'!$B$6,0))</f>
        <v>11.7966569863396</v>
      </c>
      <c r="F4210" s="18" t="n">
        <f aca="false">(E4210+G4210)/2</f>
        <v>5.89832849316981</v>
      </c>
      <c r="G4210" s="18" t="n">
        <f aca="false">EXP(-'Black-Scholes'!$B$8*'Black-Scholes'!$B$7)*IF(LOWER('Black-Scholes'!$B$11)="put",MAX('Black-Scholes'!$B$6-D4210,0),MAX(D4210-'Black-Scholes'!$B$6,0))</f>
        <v>0</v>
      </c>
    </row>
    <row r="4211" customFormat="false" ht="15" hidden="false" customHeight="false" outlineLevel="0" collapsed="false">
      <c r="A4211" s="0" t="n">
        <v>4200</v>
      </c>
      <c r="B4211" s="15" t="n">
        <v>1.84214400379659</v>
      </c>
      <c r="C4211" s="18" t="n">
        <f aca="false">'Black-Scholes'!$B$5*EXP(('Black-Scholes'!$B$8-'Black-Scholes'!$B$10-'Black-Scholes'!$B$9^2/2)*'Black-Scholes'!$B$7+'Black-Scholes'!$B$9*SQRT('Black-Scholes'!$B$7)*B4211)</f>
        <v>148.948258425432</v>
      </c>
      <c r="D4211" s="18" t="n">
        <f aca="false">'Black-Scholes'!$B$5*EXP(('Black-Scholes'!$B$8-'Black-Scholes'!$B$10-'Black-Scholes'!$B$9^2/2)*'Black-Scholes'!$B$7-'Black-Scholes'!$B$9*SQRT('Black-Scholes'!$B$7)*B4211)</f>
        <v>71.288953477556</v>
      </c>
      <c r="E4211" s="18" t="n">
        <f aca="false">EXP(-'Black-Scholes'!$B$8*'Black-Scholes'!$B$7)*IF(LOWER('Black-Scholes'!$B$11)="put",MAX('Black-Scholes'!$B$6-C4211,0),MAX(C4211-'Black-Scholes'!$B$6,0))</f>
        <v>46.5610236923358</v>
      </c>
      <c r="F4211" s="18" t="n">
        <f aca="false">(E4211+G4211)/2</f>
        <v>23.2805118461679</v>
      </c>
      <c r="G4211" s="18" t="n">
        <f aca="false">EXP(-'Black-Scholes'!$B$8*'Black-Scholes'!$B$7)*IF(LOWER('Black-Scholes'!$B$11)="put",MAX('Black-Scholes'!$B$6-D4211,0),MAX(D4211-'Black-Scholes'!$B$6,0))</f>
        <v>0</v>
      </c>
    </row>
    <row r="4212" customFormat="false" ht="15" hidden="false" customHeight="false" outlineLevel="0" collapsed="false">
      <c r="A4212" s="0" t="n">
        <v>4201</v>
      </c>
      <c r="B4212" s="15" t="n">
        <v>1.56314925922966</v>
      </c>
      <c r="C4212" s="18" t="n">
        <f aca="false">'Black-Scholes'!$B$5*EXP(('Black-Scholes'!$B$8-'Black-Scholes'!$B$10-'Black-Scholes'!$B$9^2/2)*'Black-Scholes'!$B$7+'Black-Scholes'!$B$9*SQRT('Black-Scholes'!$B$7)*B4212)</f>
        <v>140.864725723341</v>
      </c>
      <c r="D4212" s="18" t="n">
        <f aca="false">'Black-Scholes'!$B$5*EXP(('Black-Scholes'!$B$8-'Black-Scholes'!$B$10-'Black-Scholes'!$B$9^2/2)*'Black-Scholes'!$B$7-'Black-Scholes'!$B$9*SQRT('Black-Scholes'!$B$7)*B4212)</f>
        <v>75.379875344436</v>
      </c>
      <c r="E4212" s="18" t="n">
        <f aca="false">EXP(-'Black-Scholes'!$B$8*'Black-Scholes'!$B$7)*IF(LOWER('Black-Scholes'!$B$11)="put",MAX('Black-Scholes'!$B$6-C4212,0),MAX(C4212-'Black-Scholes'!$B$6,0))</f>
        <v>38.8717295321931</v>
      </c>
      <c r="F4212" s="18" t="n">
        <f aca="false">(E4212+G4212)/2</f>
        <v>19.4358647660965</v>
      </c>
      <c r="G4212" s="18" t="n">
        <f aca="false">EXP(-'Black-Scholes'!$B$8*'Black-Scholes'!$B$7)*IF(LOWER('Black-Scholes'!$B$11)="put",MAX('Black-Scholes'!$B$6-D4212,0),MAX(D4212-'Black-Scholes'!$B$6,0))</f>
        <v>0</v>
      </c>
    </row>
    <row r="4213" customFormat="false" ht="15" hidden="false" customHeight="false" outlineLevel="0" collapsed="false">
      <c r="A4213" s="0" t="n">
        <v>4202</v>
      </c>
      <c r="B4213" s="15" t="n">
        <v>0.189844201439363</v>
      </c>
      <c r="C4213" s="18" t="n">
        <f aca="false">'Black-Scholes'!$B$5*EXP(('Black-Scholes'!$B$8-'Black-Scholes'!$B$10-'Black-Scholes'!$B$9^2/2)*'Black-Scholes'!$B$7+'Black-Scholes'!$B$9*SQRT('Black-Scholes'!$B$7)*B4213)</f>
        <v>107.033195672351</v>
      </c>
      <c r="D4213" s="18" t="n">
        <f aca="false">'Black-Scholes'!$B$5*EXP(('Black-Scholes'!$B$8-'Black-Scholes'!$B$10-'Black-Scholes'!$B$9^2/2)*'Black-Scholes'!$B$7-'Black-Scholes'!$B$9*SQRT('Black-Scholes'!$B$7)*B4213)</f>
        <v>99.2062826747549</v>
      </c>
      <c r="E4213" s="18" t="n">
        <f aca="false">EXP(-'Black-Scholes'!$B$8*'Black-Scholes'!$B$7)*IF(LOWER('Black-Scholes'!$B$11)="put",MAX('Black-Scholes'!$B$6-C4213,0),MAX(C4213-'Black-Scholes'!$B$6,0))</f>
        <v>6.69018267181129</v>
      </c>
      <c r="F4213" s="18" t="n">
        <f aca="false">(E4213+G4213)/2</f>
        <v>3.34509133590564</v>
      </c>
      <c r="G4213" s="18" t="n">
        <f aca="false">EXP(-'Black-Scholes'!$B$8*'Black-Scholes'!$B$7)*IF(LOWER('Black-Scholes'!$B$11)="put",MAX('Black-Scholes'!$B$6-D4213,0),MAX(D4213-'Black-Scholes'!$B$6,0))</f>
        <v>0</v>
      </c>
    </row>
    <row r="4214" customFormat="false" ht="15" hidden="false" customHeight="false" outlineLevel="0" collapsed="false">
      <c r="A4214" s="0" t="n">
        <v>4203</v>
      </c>
      <c r="B4214" s="15" t="n">
        <v>1.03778858260924</v>
      </c>
      <c r="C4214" s="18" t="n">
        <f aca="false">'Black-Scholes'!$B$5*EXP(('Black-Scholes'!$B$8-'Black-Scholes'!$B$10-'Black-Scholes'!$B$9^2/2)*'Black-Scholes'!$B$7+'Black-Scholes'!$B$9*SQRT('Black-Scholes'!$B$7)*B4214)</f>
        <v>126.814818778112</v>
      </c>
      <c r="D4214" s="18" t="n">
        <f aca="false">'Black-Scholes'!$B$5*EXP(('Black-Scholes'!$B$8-'Black-Scholes'!$B$10-'Black-Scholes'!$B$9^2/2)*'Black-Scholes'!$B$7-'Black-Scholes'!$B$9*SQRT('Black-Scholes'!$B$7)*B4214)</f>
        <v>83.7312671166021</v>
      </c>
      <c r="E4214" s="18" t="n">
        <f aca="false">EXP(-'Black-Scholes'!$B$8*'Black-Scholes'!$B$7)*IF(LOWER('Black-Scholes'!$B$11)="put",MAX('Black-Scholes'!$B$6-C4214,0),MAX(C4214-'Black-Scholes'!$B$6,0))</f>
        <v>25.5070446343946</v>
      </c>
      <c r="F4214" s="18" t="n">
        <f aca="false">(E4214+G4214)/2</f>
        <v>12.7535223171973</v>
      </c>
      <c r="G4214" s="18" t="n">
        <f aca="false">EXP(-'Black-Scholes'!$B$8*'Black-Scholes'!$B$7)*IF(LOWER('Black-Scholes'!$B$11)="put",MAX('Black-Scholes'!$B$6-D4214,0),MAX(D4214-'Black-Scholes'!$B$6,0))</f>
        <v>0</v>
      </c>
    </row>
    <row r="4215" customFormat="false" ht="15" hidden="false" customHeight="false" outlineLevel="0" collapsed="false">
      <c r="A4215" s="0" t="n">
        <v>4204</v>
      </c>
      <c r="B4215" s="15" t="n">
        <v>-0.200013706024148</v>
      </c>
      <c r="C4215" s="18" t="n">
        <f aca="false">'Black-Scholes'!$B$5*EXP(('Black-Scholes'!$B$8-'Black-Scholes'!$B$10-'Black-Scholes'!$B$9^2/2)*'Black-Scholes'!$B$7+'Black-Scholes'!$B$9*SQRT('Black-Scholes'!$B$7)*B4215)</f>
        <v>99.0047119823502</v>
      </c>
      <c r="D4215" s="18" t="n">
        <f aca="false">'Black-Scholes'!$B$5*EXP(('Black-Scholes'!$B$8-'Black-Scholes'!$B$10-'Black-Scholes'!$B$9^2/2)*'Black-Scholes'!$B$7-'Black-Scholes'!$B$9*SQRT('Black-Scholes'!$B$7)*B4215)</f>
        <v>107.251112122285</v>
      </c>
      <c r="E4215" s="18" t="n">
        <f aca="false">EXP(-'Black-Scholes'!$B$8*'Black-Scholes'!$B$7)*IF(LOWER('Black-Scholes'!$B$11)="put",MAX('Black-Scholes'!$B$6-C4215,0),MAX(C4215-'Black-Scholes'!$B$6,0))</f>
        <v>0</v>
      </c>
      <c r="F4215" s="18" t="n">
        <f aca="false">(E4215+G4215)/2</f>
        <v>3.44873560553576</v>
      </c>
      <c r="G4215" s="18" t="n">
        <f aca="false">EXP(-'Black-Scholes'!$B$8*'Black-Scholes'!$B$7)*IF(LOWER('Black-Scholes'!$B$11)="put",MAX('Black-Scholes'!$B$6-D4215,0),MAX(D4215-'Black-Scholes'!$B$6,0))</f>
        <v>6.89747121107152</v>
      </c>
    </row>
    <row r="4216" customFormat="false" ht="15" hidden="false" customHeight="false" outlineLevel="0" collapsed="false">
      <c r="A4216" s="0" t="n">
        <v>4205</v>
      </c>
      <c r="B4216" s="15" t="n">
        <v>-0.0907127762456601</v>
      </c>
      <c r="C4216" s="18" t="n">
        <f aca="false">'Black-Scholes'!$B$5*EXP(('Black-Scholes'!$B$8-'Black-Scholes'!$B$10-'Black-Scholes'!$B$9^2/2)*'Black-Scholes'!$B$7+'Black-Scholes'!$B$9*SQRT('Black-Scholes'!$B$7)*B4216)</f>
        <v>101.192802293198</v>
      </c>
      <c r="D4216" s="18" t="n">
        <f aca="false">'Black-Scholes'!$B$5*EXP(('Black-Scholes'!$B$8-'Black-Scholes'!$B$10-'Black-Scholes'!$B$9^2/2)*'Black-Scholes'!$B$7-'Black-Scholes'!$B$9*SQRT('Black-Scholes'!$B$7)*B4216)</f>
        <v>104.932023076975</v>
      </c>
      <c r="E4216" s="18" t="n">
        <f aca="false">EXP(-'Black-Scholes'!$B$8*'Black-Scholes'!$B$7)*IF(LOWER('Black-Scholes'!$B$11)="put",MAX('Black-Scholes'!$B$6-C4216,0),MAX(C4216-'Black-Scholes'!$B$6,0))</f>
        <v>1.13462863890151</v>
      </c>
      <c r="F4216" s="18" t="n">
        <f aca="false">(E4216+G4216)/2</f>
        <v>2.9130570560184</v>
      </c>
      <c r="G4216" s="18" t="n">
        <f aca="false">EXP(-'Black-Scholes'!$B$8*'Black-Scholes'!$B$7)*IF(LOWER('Black-Scholes'!$B$11)="put",MAX('Black-Scholes'!$B$6-D4216,0),MAX(D4216-'Black-Scholes'!$B$6,0))</f>
        <v>4.69148547313529</v>
      </c>
    </row>
    <row r="4217" customFormat="false" ht="15" hidden="false" customHeight="false" outlineLevel="0" collapsed="false">
      <c r="A4217" s="0" t="n">
        <v>4206</v>
      </c>
      <c r="B4217" s="15" t="n">
        <v>0.0442841990631317</v>
      </c>
      <c r="C4217" s="18" t="n">
        <f aca="false">'Black-Scholes'!$B$5*EXP(('Black-Scholes'!$B$8-'Black-Scholes'!$B$10-'Black-Scholes'!$B$9^2/2)*'Black-Scholes'!$B$7+'Black-Scholes'!$B$9*SQRT('Black-Scholes'!$B$7)*B4217)</f>
        <v>103.962164056735</v>
      </c>
      <c r="D4217" s="18" t="n">
        <f aca="false">'Black-Scholes'!$B$5*EXP(('Black-Scholes'!$B$8-'Black-Scholes'!$B$10-'Black-Scholes'!$B$9^2/2)*'Black-Scholes'!$B$7-'Black-Scholes'!$B$9*SQRT('Black-Scholes'!$B$7)*B4217)</f>
        <v>102.136826044318</v>
      </c>
      <c r="E4217" s="18" t="n">
        <f aca="false">EXP(-'Black-Scholes'!$B$8*'Black-Scholes'!$B$7)*IF(LOWER('Black-Scholes'!$B$11)="put",MAX('Black-Scholes'!$B$6-C4217,0),MAX(C4217-'Black-Scholes'!$B$6,0))</f>
        <v>3.76892703546533</v>
      </c>
      <c r="F4217" s="18" t="n">
        <f aca="false">(E4217+G4217)/2</f>
        <v>2.90076942193011</v>
      </c>
      <c r="G4217" s="18" t="n">
        <f aca="false">EXP(-'Black-Scholes'!$B$8*'Black-Scholes'!$B$7)*IF(LOWER('Black-Scholes'!$B$11)="put",MAX('Black-Scholes'!$B$6-D4217,0),MAX(D4217-'Black-Scholes'!$B$6,0))</f>
        <v>2.0326118083949</v>
      </c>
    </row>
    <row r="4218" customFormat="false" ht="15" hidden="false" customHeight="false" outlineLevel="0" collapsed="false">
      <c r="A4218" s="0" t="n">
        <v>4207</v>
      </c>
      <c r="B4218" s="15" t="n">
        <v>0.883198180837785</v>
      </c>
      <c r="C4218" s="18" t="n">
        <f aca="false">'Black-Scholes'!$B$5*EXP(('Black-Scholes'!$B$8-'Black-Scholes'!$B$10-'Black-Scholes'!$B$9^2/2)*'Black-Scholes'!$B$7+'Black-Scholes'!$B$9*SQRT('Black-Scholes'!$B$7)*B4218)</f>
        <v>122.953941040181</v>
      </c>
      <c r="D4218" s="18" t="n">
        <f aca="false">'Black-Scholes'!$B$5*EXP(('Black-Scholes'!$B$8-'Black-Scholes'!$B$10-'Black-Scholes'!$B$9^2/2)*'Black-Scholes'!$B$7-'Black-Scholes'!$B$9*SQRT('Black-Scholes'!$B$7)*B4218)</f>
        <v>86.3605133403861</v>
      </c>
      <c r="E4218" s="18" t="n">
        <f aca="false">EXP(-'Black-Scholes'!$B$8*'Black-Scholes'!$B$7)*IF(LOWER('Black-Scholes'!$B$11)="put",MAX('Black-Scholes'!$B$6-C4218,0),MAX(C4218-'Black-Scholes'!$B$6,0))</f>
        <v>21.8344641256747</v>
      </c>
      <c r="F4218" s="18" t="n">
        <f aca="false">(E4218+G4218)/2</f>
        <v>10.9172320628374</v>
      </c>
      <c r="G4218" s="18" t="n">
        <f aca="false">EXP(-'Black-Scholes'!$B$8*'Black-Scholes'!$B$7)*IF(LOWER('Black-Scholes'!$B$11)="put",MAX('Black-Scholes'!$B$6-D4218,0),MAX(D4218-'Black-Scholes'!$B$6,0))</f>
        <v>0</v>
      </c>
    </row>
    <row r="4219" customFormat="false" ht="15" hidden="false" customHeight="false" outlineLevel="0" collapsed="false">
      <c r="A4219" s="0" t="n">
        <v>4208</v>
      </c>
      <c r="B4219" s="15" t="n">
        <v>0.0800938980234055</v>
      </c>
      <c r="C4219" s="18" t="n">
        <f aca="false">'Black-Scholes'!$B$5*EXP(('Black-Scholes'!$B$8-'Black-Scholes'!$B$10-'Black-Scholes'!$B$9^2/2)*'Black-Scholes'!$B$7+'Black-Scholes'!$B$9*SQRT('Black-Scholes'!$B$7)*B4219)</f>
        <v>104.709407478509</v>
      </c>
      <c r="D4219" s="18" t="n">
        <f aca="false">'Black-Scholes'!$B$5*EXP(('Black-Scholes'!$B$8-'Black-Scholes'!$B$10-'Black-Scholes'!$B$9^2/2)*'Black-Scholes'!$B$7-'Black-Scholes'!$B$9*SQRT('Black-Scholes'!$B$7)*B4219)</f>
        <v>101.407941474915</v>
      </c>
      <c r="E4219" s="18" t="n">
        <f aca="false">EXP(-'Black-Scholes'!$B$8*'Black-Scholes'!$B$7)*IF(LOWER('Black-Scholes'!$B$11)="put",MAX('Black-Scholes'!$B$6-C4219,0),MAX(C4219-'Black-Scholes'!$B$6,0))</f>
        <v>4.47972696552104</v>
      </c>
      <c r="F4219" s="18" t="n">
        <f aca="false">(E4219+G4219)/2</f>
        <v>2.90950116221743</v>
      </c>
      <c r="G4219" s="18" t="n">
        <f aca="false">EXP(-'Black-Scholes'!$B$8*'Black-Scholes'!$B$7)*IF(LOWER('Black-Scholes'!$B$11)="put",MAX('Black-Scholes'!$B$6-D4219,0),MAX(D4219-'Black-Scholes'!$B$6,0))</f>
        <v>1.33927535891383</v>
      </c>
    </row>
    <row r="4220" customFormat="false" ht="15" hidden="false" customHeight="false" outlineLevel="0" collapsed="false">
      <c r="A4220" s="0" t="n">
        <v>4209</v>
      </c>
      <c r="B4220" s="15" t="n">
        <v>-0.612972971499994</v>
      </c>
      <c r="C4220" s="18" t="n">
        <f aca="false">'Black-Scholes'!$B$5*EXP(('Black-Scholes'!$B$8-'Black-Scholes'!$B$10-'Black-Scholes'!$B$9^2/2)*'Black-Scholes'!$B$7+'Black-Scholes'!$B$9*SQRT('Black-Scholes'!$B$7)*B4220)</f>
        <v>91.1562978224133</v>
      </c>
      <c r="D4220" s="18" t="n">
        <f aca="false">'Black-Scholes'!$B$5*EXP(('Black-Scholes'!$B$8-'Black-Scholes'!$B$10-'Black-Scholes'!$B$9^2/2)*'Black-Scholes'!$B$7-'Black-Scholes'!$B$9*SQRT('Black-Scholes'!$B$7)*B4220)</f>
        <v>116.485264530376</v>
      </c>
      <c r="E4220" s="18" t="n">
        <f aca="false">EXP(-'Black-Scholes'!$B$8*'Black-Scholes'!$B$7)*IF(LOWER('Black-Scholes'!$B$11)="put",MAX('Black-Scholes'!$B$6-C4220,0),MAX(C4220-'Black-Scholes'!$B$6,0))</f>
        <v>0</v>
      </c>
      <c r="F4220" s="18" t="n">
        <f aca="false">(E4220+G4220)/2</f>
        <v>7.84063434598602</v>
      </c>
      <c r="G4220" s="18" t="n">
        <f aca="false">EXP(-'Black-Scholes'!$B$8*'Black-Scholes'!$B$7)*IF(LOWER('Black-Scholes'!$B$11)="put",MAX('Black-Scholes'!$B$6-D4220,0),MAX(D4220-'Black-Scholes'!$B$6,0))</f>
        <v>15.681268691972</v>
      </c>
    </row>
    <row r="4221" customFormat="false" ht="15" hidden="false" customHeight="false" outlineLevel="0" collapsed="false">
      <c r="A4221" s="0" t="n">
        <v>4210</v>
      </c>
      <c r="B4221" s="15" t="n">
        <v>-1.9052955823734</v>
      </c>
      <c r="C4221" s="18" t="n">
        <f aca="false">'Black-Scholes'!$B$5*EXP(('Black-Scholes'!$B$8-'Black-Scholes'!$B$10-'Black-Scholes'!$B$9^2/2)*'Black-Scholes'!$B$7+'Black-Scholes'!$B$9*SQRT('Black-Scholes'!$B$7)*B4221)</f>
        <v>70.3942138047964</v>
      </c>
      <c r="D4221" s="18" t="n">
        <f aca="false">'Black-Scholes'!$B$5*EXP(('Black-Scholes'!$B$8-'Black-Scholes'!$B$10-'Black-Scholes'!$B$9^2/2)*'Black-Scholes'!$B$7-'Black-Scholes'!$B$9*SQRT('Black-Scholes'!$B$7)*B4221)</f>
        <v>150.841452607148</v>
      </c>
      <c r="E4221" s="18" t="n">
        <f aca="false">EXP(-'Black-Scholes'!$B$8*'Black-Scholes'!$B$7)*IF(LOWER('Black-Scholes'!$B$11)="put",MAX('Black-Scholes'!$B$6-C4221,0),MAX(C4221-'Black-Scholes'!$B$6,0))</f>
        <v>0</v>
      </c>
      <c r="F4221" s="18" t="n">
        <f aca="false">(E4221+G4221)/2</f>
        <v>24.1809428521386</v>
      </c>
      <c r="G4221" s="18" t="n">
        <f aca="false">EXP(-'Black-Scholes'!$B$8*'Black-Scholes'!$B$7)*IF(LOWER('Black-Scholes'!$B$11)="put",MAX('Black-Scholes'!$B$6-D4221,0),MAX(D4221-'Black-Scholes'!$B$6,0))</f>
        <v>48.3618857042772</v>
      </c>
    </row>
    <row r="4222" customFormat="false" ht="15" hidden="false" customHeight="false" outlineLevel="0" collapsed="false">
      <c r="A4222" s="0" t="n">
        <v>4211</v>
      </c>
      <c r="B4222" s="15" t="n">
        <v>0.137283909302531</v>
      </c>
      <c r="C4222" s="18" t="n">
        <f aca="false">'Black-Scholes'!$B$5*EXP(('Black-Scholes'!$B$8-'Black-Scholes'!$B$10-'Black-Scholes'!$B$9^2/2)*'Black-Scholes'!$B$7+'Black-Scholes'!$B$9*SQRT('Black-Scholes'!$B$7)*B4222)</f>
        <v>105.913949562712</v>
      </c>
      <c r="D4222" s="18" t="n">
        <f aca="false">'Black-Scholes'!$B$5*EXP(('Black-Scholes'!$B$8-'Black-Scholes'!$B$10-'Black-Scholes'!$B$9^2/2)*'Black-Scholes'!$B$7-'Black-Scholes'!$B$9*SQRT('Black-Scholes'!$B$7)*B4222)</f>
        <v>100.254645486206</v>
      </c>
      <c r="E4222" s="18" t="n">
        <f aca="false">EXP(-'Black-Scholes'!$B$8*'Black-Scholes'!$B$7)*IF(LOWER('Black-Scholes'!$B$11)="put",MAX('Black-Scholes'!$B$6-C4222,0),MAX(C4222-'Black-Scholes'!$B$6,0))</f>
        <v>5.6255228390646</v>
      </c>
      <c r="F4222" s="18" t="n">
        <f aca="false">(E4222+G4222)/2</f>
        <v>2.93387455918012</v>
      </c>
      <c r="G4222" s="18" t="n">
        <f aca="false">EXP(-'Black-Scholes'!$B$8*'Black-Scholes'!$B$7)*IF(LOWER('Black-Scholes'!$B$11)="put",MAX('Black-Scholes'!$B$6-D4222,0),MAX(D4222-'Black-Scholes'!$B$6,0))</f>
        <v>0.242226279295629</v>
      </c>
    </row>
    <row r="4223" customFormat="false" ht="15" hidden="false" customHeight="false" outlineLevel="0" collapsed="false">
      <c r="A4223" s="0" t="n">
        <v>4212</v>
      </c>
      <c r="B4223" s="15" t="n">
        <v>-1.51848425664695</v>
      </c>
      <c r="C4223" s="18" t="n">
        <f aca="false">'Black-Scholes'!$B$5*EXP(('Black-Scholes'!$B$8-'Black-Scholes'!$B$10-'Black-Scholes'!$B$9^2/2)*'Black-Scholes'!$B$7+'Black-Scholes'!$B$9*SQRT('Black-Scholes'!$B$7)*B4223)</f>
        <v>76.0562603859174</v>
      </c>
      <c r="D4223" s="18" t="n">
        <f aca="false">'Black-Scholes'!$B$5*EXP(('Black-Scholes'!$B$8-'Black-Scholes'!$B$10-'Black-Scholes'!$B$9^2/2)*'Black-Scholes'!$B$7-'Black-Scholes'!$B$9*SQRT('Black-Scholes'!$B$7)*B4223)</f>
        <v>139.611984754114</v>
      </c>
      <c r="E4223" s="18" t="n">
        <f aca="false">EXP(-'Black-Scholes'!$B$8*'Black-Scholes'!$B$7)*IF(LOWER('Black-Scholes'!$B$11)="put",MAX('Black-Scholes'!$B$6-C4223,0),MAX(C4223-'Black-Scholes'!$B$6,0))</f>
        <v>0</v>
      </c>
      <c r="F4223" s="18" t="n">
        <f aca="false">(E4223+G4223)/2</f>
        <v>18.8400427304933</v>
      </c>
      <c r="G4223" s="18" t="n">
        <f aca="false">EXP(-'Black-Scholes'!$B$8*'Black-Scholes'!$B$7)*IF(LOWER('Black-Scholes'!$B$11)="put",MAX('Black-Scholes'!$B$6-D4223,0),MAX(D4223-'Black-Scholes'!$B$6,0))</f>
        <v>37.6800854609866</v>
      </c>
    </row>
    <row r="4224" customFormat="false" ht="15" hidden="false" customHeight="false" outlineLevel="0" collapsed="false">
      <c r="A4224" s="0" t="n">
        <v>4213</v>
      </c>
      <c r="B4224" s="15" t="n">
        <v>-0.640146113147385</v>
      </c>
      <c r="C4224" s="18" t="n">
        <f aca="false">'Black-Scholes'!$B$5*EXP(('Black-Scholes'!$B$8-'Black-Scholes'!$B$10-'Black-Scholes'!$B$9^2/2)*'Black-Scholes'!$B$7+'Black-Scholes'!$B$9*SQRT('Black-Scholes'!$B$7)*B4224)</f>
        <v>90.6622409476059</v>
      </c>
      <c r="D4224" s="18" t="n">
        <f aca="false">'Black-Scholes'!$B$5*EXP(('Black-Scholes'!$B$8-'Black-Scholes'!$B$10-'Black-Scholes'!$B$9^2/2)*'Black-Scholes'!$B$7-'Black-Scholes'!$B$9*SQRT('Black-Scholes'!$B$7)*B4224)</f>
        <v>117.12004197635</v>
      </c>
      <c r="E4224" s="18" t="n">
        <f aca="false">EXP(-'Black-Scholes'!$B$8*'Black-Scholes'!$B$7)*IF(LOWER('Black-Scholes'!$B$11)="put",MAX('Black-Scholes'!$B$6-C4224,0),MAX(C4224-'Black-Scholes'!$B$6,0))</f>
        <v>0</v>
      </c>
      <c r="F4224" s="18" t="n">
        <f aca="false">(E4224+G4224)/2</f>
        <v>8.14254383829593</v>
      </c>
      <c r="G4224" s="18" t="n">
        <f aca="false">EXP(-'Black-Scholes'!$B$8*'Black-Scholes'!$B$7)*IF(LOWER('Black-Scholes'!$B$11)="put",MAX('Black-Scholes'!$B$6-D4224,0),MAX(D4224-'Black-Scholes'!$B$6,0))</f>
        <v>16.2850876765919</v>
      </c>
    </row>
    <row r="4225" customFormat="false" ht="15" hidden="false" customHeight="false" outlineLevel="0" collapsed="false">
      <c r="A4225" s="0" t="n">
        <v>4214</v>
      </c>
      <c r="B4225" s="15" t="n">
        <v>0.2707915887648</v>
      </c>
      <c r="C4225" s="18" t="n">
        <f aca="false">'Black-Scholes'!$B$5*EXP(('Black-Scholes'!$B$8-'Black-Scholes'!$B$10-'Black-Scholes'!$B$9^2/2)*'Black-Scholes'!$B$7+'Black-Scholes'!$B$9*SQRT('Black-Scholes'!$B$7)*B4225)</f>
        <v>108.780109840251</v>
      </c>
      <c r="D4225" s="18" t="n">
        <f aca="false">'Black-Scholes'!$B$5*EXP(('Black-Scholes'!$B$8-'Black-Scholes'!$B$10-'Black-Scholes'!$B$9^2/2)*'Black-Scholes'!$B$7-'Black-Scholes'!$B$9*SQRT('Black-Scholes'!$B$7)*B4225)</f>
        <v>97.613115863251</v>
      </c>
      <c r="E4225" s="18" t="n">
        <f aca="false">EXP(-'Black-Scholes'!$B$8*'Black-Scholes'!$B$7)*IF(LOWER('Black-Scholes'!$B$11)="put",MAX('Black-Scholes'!$B$6-C4225,0),MAX(C4225-'Black-Scholes'!$B$6,0))</f>
        <v>8.3518988303951</v>
      </c>
      <c r="F4225" s="18" t="n">
        <f aca="false">(E4225+G4225)/2</f>
        <v>4.17594941519755</v>
      </c>
      <c r="G4225" s="18" t="n">
        <f aca="false">EXP(-'Black-Scholes'!$B$8*'Black-Scholes'!$B$7)*IF(LOWER('Black-Scholes'!$B$11)="put",MAX('Black-Scholes'!$B$6-D4225,0),MAX(D4225-'Black-Scholes'!$B$6,0))</f>
        <v>0</v>
      </c>
    </row>
    <row r="4226" customFormat="false" ht="15" hidden="false" customHeight="false" outlineLevel="0" collapsed="false">
      <c r="A4226" s="0" t="n">
        <v>4215</v>
      </c>
      <c r="B4226" s="15" t="n">
        <v>-0.684643303216076</v>
      </c>
      <c r="C4226" s="18" t="n">
        <f aca="false">'Black-Scholes'!$B$5*EXP(('Black-Scholes'!$B$8-'Black-Scholes'!$B$10-'Black-Scholes'!$B$9^2/2)*'Black-Scholes'!$B$7+'Black-Scholes'!$B$9*SQRT('Black-Scholes'!$B$7)*B4226)</f>
        <v>89.8589775520361</v>
      </c>
      <c r="D4226" s="18" t="n">
        <f aca="false">'Black-Scholes'!$B$5*EXP(('Black-Scholes'!$B$8-'Black-Scholes'!$B$10-'Black-Scholes'!$B$9^2/2)*'Black-Scholes'!$B$7-'Black-Scholes'!$B$9*SQRT('Black-Scholes'!$B$7)*B4226)</f>
        <v>118.166996272628</v>
      </c>
      <c r="E4226" s="18" t="n">
        <f aca="false">EXP(-'Black-Scholes'!$B$8*'Black-Scholes'!$B$7)*IF(LOWER('Black-Scholes'!$B$11)="put",MAX('Black-Scholes'!$B$6-C4226,0),MAX(C4226-'Black-Scholes'!$B$6,0))</f>
        <v>0</v>
      </c>
      <c r="F4226" s="18" t="n">
        <f aca="false">(E4226+G4226)/2</f>
        <v>8.64049070465921</v>
      </c>
      <c r="G4226" s="18" t="n">
        <f aca="false">EXP(-'Black-Scholes'!$B$8*'Black-Scholes'!$B$7)*IF(LOWER('Black-Scholes'!$B$11)="put",MAX('Black-Scholes'!$B$6-D4226,0),MAX(D4226-'Black-Scholes'!$B$6,0))</f>
        <v>17.2809814093184</v>
      </c>
    </row>
    <row r="4227" customFormat="false" ht="15" hidden="false" customHeight="false" outlineLevel="0" collapsed="false">
      <c r="A4227" s="0" t="n">
        <v>4216</v>
      </c>
      <c r="B4227" s="15" t="n">
        <v>0.509409132775825</v>
      </c>
      <c r="C4227" s="18" t="n">
        <f aca="false">'Black-Scholes'!$B$5*EXP(('Black-Scholes'!$B$8-'Black-Scholes'!$B$10-'Black-Scholes'!$B$9^2/2)*'Black-Scholes'!$B$7+'Black-Scholes'!$B$9*SQRT('Black-Scholes'!$B$7)*B4227)</f>
        <v>114.097347853367</v>
      </c>
      <c r="D4227" s="18" t="n">
        <f aca="false">'Black-Scholes'!$B$5*EXP(('Black-Scholes'!$B$8-'Black-Scholes'!$B$10-'Black-Scholes'!$B$9^2/2)*'Black-Scholes'!$B$7-'Black-Scholes'!$B$9*SQRT('Black-Scholes'!$B$7)*B4227)</f>
        <v>93.064086635036</v>
      </c>
      <c r="E4227" s="18" t="n">
        <f aca="false">EXP(-'Black-Scholes'!$B$8*'Black-Scholes'!$B$7)*IF(LOWER('Black-Scholes'!$B$11)="put",MAX('Black-Scholes'!$B$6-C4227,0),MAX(C4227-'Black-Scholes'!$B$6,0))</f>
        <v>13.4098120855448</v>
      </c>
      <c r="F4227" s="18" t="n">
        <f aca="false">(E4227+G4227)/2</f>
        <v>6.70490604277239</v>
      </c>
      <c r="G4227" s="18" t="n">
        <f aca="false">EXP(-'Black-Scholes'!$B$8*'Black-Scholes'!$B$7)*IF(LOWER('Black-Scholes'!$B$11)="put",MAX('Black-Scholes'!$B$6-D4227,0),MAX(D4227-'Black-Scholes'!$B$6,0))</f>
        <v>0</v>
      </c>
    </row>
    <row r="4228" customFormat="false" ht="15" hidden="false" customHeight="false" outlineLevel="0" collapsed="false">
      <c r="A4228" s="0" t="n">
        <v>4217</v>
      </c>
      <c r="B4228" s="15" t="n">
        <v>0.39997796701234</v>
      </c>
      <c r="C4228" s="18" t="n">
        <f aca="false">'Black-Scholes'!$B$5*EXP(('Black-Scholes'!$B$8-'Black-Scholes'!$B$10-'Black-Scholes'!$B$9^2/2)*'Black-Scholes'!$B$7+'Black-Scholes'!$B$9*SQRT('Black-Scholes'!$B$7)*B4228)</f>
        <v>111.627315148152</v>
      </c>
      <c r="D4228" s="18" t="n">
        <f aca="false">'Black-Scholes'!$B$5*EXP(('Black-Scholes'!$B$8-'Black-Scholes'!$B$10-'Black-Scholes'!$B$9^2/2)*'Black-Scholes'!$B$7-'Black-Scholes'!$B$9*SQRT('Black-Scholes'!$B$7)*B4228)</f>
        <v>95.1233616195184</v>
      </c>
      <c r="E4228" s="18" t="n">
        <f aca="false">EXP(-'Black-Scholes'!$B$8*'Black-Scholes'!$B$7)*IF(LOWER('Black-Scholes'!$B$11)="put",MAX('Black-Scholes'!$B$6-C4228,0),MAX(C4228-'Black-Scholes'!$B$6,0))</f>
        <v>11.060244296865</v>
      </c>
      <c r="F4228" s="18" t="n">
        <f aca="false">(E4228+G4228)/2</f>
        <v>5.53012214843248</v>
      </c>
      <c r="G4228" s="18" t="n">
        <f aca="false">EXP(-'Black-Scholes'!$B$8*'Black-Scholes'!$B$7)*IF(LOWER('Black-Scholes'!$B$11)="put",MAX('Black-Scholes'!$B$6-D4228,0),MAX(D4228-'Black-Scholes'!$B$6,0))</f>
        <v>0</v>
      </c>
    </row>
    <row r="4229" customFormat="false" ht="15" hidden="false" customHeight="false" outlineLevel="0" collapsed="false">
      <c r="A4229" s="0" t="n">
        <v>4218</v>
      </c>
      <c r="B4229" s="15" t="n">
        <v>1.28043466265903</v>
      </c>
      <c r="C4229" s="18" t="n">
        <f aca="false">'Black-Scholes'!$B$5*EXP(('Black-Scholes'!$B$8-'Black-Scholes'!$B$10-'Black-Scholes'!$B$9^2/2)*'Black-Scholes'!$B$7+'Black-Scholes'!$B$9*SQRT('Black-Scholes'!$B$7)*B4229)</f>
        <v>133.120817551935</v>
      </c>
      <c r="D4229" s="18" t="n">
        <f aca="false">'Black-Scholes'!$B$5*EXP(('Black-Scholes'!$B$8-'Black-Scholes'!$B$10-'Black-Scholes'!$B$9^2/2)*'Black-Scholes'!$B$7-'Black-Scholes'!$B$9*SQRT('Black-Scholes'!$B$7)*B4229)</f>
        <v>79.7648757025626</v>
      </c>
      <c r="E4229" s="18" t="n">
        <f aca="false">EXP(-'Black-Scholes'!$B$8*'Black-Scholes'!$B$7)*IF(LOWER('Black-Scholes'!$B$11)="put",MAX('Black-Scholes'!$B$6-C4229,0),MAX(C4229-'Black-Scholes'!$B$6,0))</f>
        <v>31.5054962189201</v>
      </c>
      <c r="F4229" s="18" t="n">
        <f aca="false">(E4229+G4229)/2</f>
        <v>15.7527481094601</v>
      </c>
      <c r="G4229" s="18" t="n">
        <f aca="false">EXP(-'Black-Scholes'!$B$8*'Black-Scholes'!$B$7)*IF(LOWER('Black-Scholes'!$B$11)="put",MAX('Black-Scholes'!$B$6-D4229,0),MAX(D4229-'Black-Scholes'!$B$6,0))</f>
        <v>0</v>
      </c>
    </row>
    <row r="4230" customFormat="false" ht="15" hidden="false" customHeight="false" outlineLevel="0" collapsed="false">
      <c r="A4230" s="0" t="n">
        <v>4219</v>
      </c>
      <c r="B4230" s="15" t="n">
        <v>-2.34426127608644</v>
      </c>
      <c r="C4230" s="18" t="n">
        <f aca="false">'Black-Scholes'!$B$5*EXP(('Black-Scholes'!$B$8-'Black-Scholes'!$B$10-'Black-Scholes'!$B$9^2/2)*'Black-Scholes'!$B$7+'Black-Scholes'!$B$9*SQRT('Black-Scholes'!$B$7)*B4230)</f>
        <v>64.4776034888067</v>
      </c>
      <c r="D4230" s="18" t="n">
        <f aca="false">'Black-Scholes'!$B$5*EXP(('Black-Scholes'!$B$8-'Black-Scholes'!$B$10-'Black-Scholes'!$B$9^2/2)*'Black-Scholes'!$B$7-'Black-Scholes'!$B$9*SQRT('Black-Scholes'!$B$7)*B4230)</f>
        <v>164.683004499337</v>
      </c>
      <c r="E4230" s="18" t="n">
        <f aca="false">EXP(-'Black-Scholes'!$B$8*'Black-Scholes'!$B$7)*IF(LOWER('Black-Scholes'!$B$11)="put",MAX('Black-Scholes'!$B$6-C4230,0),MAX(C4230-'Black-Scholes'!$B$6,0))</f>
        <v>0</v>
      </c>
      <c r="F4230" s="18" t="n">
        <f aca="false">(E4230+G4230)/2</f>
        <v>30.7641885724405</v>
      </c>
      <c r="G4230" s="18" t="n">
        <f aca="false">EXP(-'Black-Scholes'!$B$8*'Black-Scholes'!$B$7)*IF(LOWER('Black-Scholes'!$B$11)="put",MAX('Black-Scholes'!$B$6-D4230,0),MAX(D4230-'Black-Scholes'!$B$6,0))</f>
        <v>61.528377144881</v>
      </c>
    </row>
    <row r="4231" customFormat="false" ht="15" hidden="false" customHeight="false" outlineLevel="0" collapsed="false">
      <c r="A4231" s="0" t="n">
        <v>4220</v>
      </c>
      <c r="B4231" s="15" t="n">
        <v>-0.0976731782914234</v>
      </c>
      <c r="C4231" s="18" t="n">
        <f aca="false">'Black-Scholes'!$B$5*EXP(('Black-Scholes'!$B$8-'Black-Scholes'!$B$10-'Black-Scholes'!$B$9^2/2)*'Black-Scholes'!$B$7+'Black-Scholes'!$B$9*SQRT('Black-Scholes'!$B$7)*B4231)</f>
        <v>101.052031780248</v>
      </c>
      <c r="D4231" s="18" t="n">
        <f aca="false">'Black-Scholes'!$B$5*EXP(('Black-Scholes'!$B$8-'Black-Scholes'!$B$10-'Black-Scholes'!$B$9^2/2)*'Black-Scholes'!$B$7-'Black-Scholes'!$B$9*SQRT('Black-Scholes'!$B$7)*B4231)</f>
        <v>105.078198611036</v>
      </c>
      <c r="E4231" s="18" t="n">
        <f aca="false">EXP(-'Black-Scholes'!$B$8*'Black-Scholes'!$B$7)*IF(LOWER('Black-Scholes'!$B$11)="put",MAX('Black-Scholes'!$B$6-C4231,0),MAX(C4231-'Black-Scholes'!$B$6,0))</f>
        <v>1.00072358488154</v>
      </c>
      <c r="F4231" s="18" t="n">
        <f aca="false">(E4231+G4231)/2</f>
        <v>2.91562776357882</v>
      </c>
      <c r="G4231" s="18" t="n">
        <f aca="false">EXP(-'Black-Scholes'!$B$8*'Black-Scholes'!$B$7)*IF(LOWER('Black-Scholes'!$B$11)="put",MAX('Black-Scholes'!$B$6-D4231,0),MAX(D4231-'Black-Scholes'!$B$6,0))</f>
        <v>4.8305319422761</v>
      </c>
    </row>
    <row r="4232" customFormat="false" ht="15" hidden="false" customHeight="false" outlineLevel="0" collapsed="false">
      <c r="A4232" s="0" t="n">
        <v>4221</v>
      </c>
      <c r="B4232" s="15" t="n">
        <v>-1.29165090274916</v>
      </c>
      <c r="C4232" s="18" t="n">
        <f aca="false">'Black-Scholes'!$B$5*EXP(('Black-Scholes'!$B$8-'Black-Scholes'!$B$10-'Black-Scholes'!$B$9^2/2)*'Black-Scholes'!$B$7+'Black-Scholes'!$B$9*SQRT('Black-Scholes'!$B$7)*B4232)</f>
        <v>79.5861438481243</v>
      </c>
      <c r="D4232" s="18" t="n">
        <f aca="false">'Black-Scholes'!$B$5*EXP(('Black-Scholes'!$B$8-'Black-Scholes'!$B$10-'Black-Scholes'!$B$9^2/2)*'Black-Scholes'!$B$7-'Black-Scholes'!$B$9*SQRT('Black-Scholes'!$B$7)*B4232)</f>
        <v>133.419775755398</v>
      </c>
      <c r="E4232" s="18" t="n">
        <f aca="false">EXP(-'Black-Scholes'!$B$8*'Black-Scholes'!$B$7)*IF(LOWER('Black-Scholes'!$B$11)="put",MAX('Black-Scholes'!$B$6-C4232,0),MAX(C4232-'Black-Scholes'!$B$6,0))</f>
        <v>0</v>
      </c>
      <c r="F4232" s="18" t="n">
        <f aca="false">(E4232+G4232)/2</f>
        <v>15.8949370293751</v>
      </c>
      <c r="G4232" s="18" t="n">
        <f aca="false">EXP(-'Black-Scholes'!$B$8*'Black-Scholes'!$B$7)*IF(LOWER('Black-Scholes'!$B$11)="put",MAX('Black-Scholes'!$B$6-D4232,0),MAX(D4232-'Black-Scholes'!$B$6,0))</f>
        <v>31.7898740587502</v>
      </c>
    </row>
    <row r="4233" customFormat="false" ht="15" hidden="false" customHeight="false" outlineLevel="0" collapsed="false">
      <c r="A4233" s="0" t="n">
        <v>4222</v>
      </c>
      <c r="B4233" s="15" t="n">
        <v>-0.136511554942541</v>
      </c>
      <c r="C4233" s="18" t="n">
        <f aca="false">'Black-Scholes'!$B$5*EXP(('Black-Scholes'!$B$8-'Black-Scholes'!$B$10-'Black-Scholes'!$B$9^2/2)*'Black-Scholes'!$B$7+'Black-Scholes'!$B$9*SQRT('Black-Scholes'!$B$7)*B4233)</f>
        <v>100.270133104878</v>
      </c>
      <c r="D4233" s="18" t="n">
        <f aca="false">'Black-Scholes'!$B$5*EXP(('Black-Scholes'!$B$8-'Black-Scholes'!$B$10-'Black-Scholes'!$B$9^2/2)*'Black-Scholes'!$B$7-'Black-Scholes'!$B$9*SQRT('Black-Scholes'!$B$7)*B4233)</f>
        <v>105.897590206121</v>
      </c>
      <c r="E4233" s="18" t="n">
        <f aca="false">EXP(-'Black-Scholes'!$B$8*'Black-Scholes'!$B$7)*IF(LOWER('Black-Scholes'!$B$11)="put",MAX('Black-Scholes'!$B$6-C4233,0),MAX(C4233-'Black-Scholes'!$B$6,0))</f>
        <v>0.25695855789215</v>
      </c>
      <c r="F4233" s="18" t="n">
        <f aca="false">(E4233+G4233)/2</f>
        <v>2.93345994780069</v>
      </c>
      <c r="G4233" s="18" t="n">
        <f aca="false">EXP(-'Black-Scholes'!$B$8*'Black-Scholes'!$B$7)*IF(LOWER('Black-Scholes'!$B$11)="put",MAX('Black-Scholes'!$B$6-D4233,0),MAX(D4233-'Black-Scholes'!$B$6,0))</f>
        <v>5.60996133770922</v>
      </c>
    </row>
    <row r="4234" customFormat="false" ht="15" hidden="false" customHeight="false" outlineLevel="0" collapsed="false">
      <c r="A4234" s="0" t="n">
        <v>4223</v>
      </c>
      <c r="B4234" s="15" t="n">
        <v>-0.966036530707418</v>
      </c>
      <c r="C4234" s="18" t="n">
        <f aca="false">'Black-Scholes'!$B$5*EXP(('Black-Scholes'!$B$8-'Black-Scholes'!$B$10-'Black-Scholes'!$B$9^2/2)*'Black-Scholes'!$B$7+'Black-Scholes'!$B$9*SQRT('Black-Scholes'!$B$7)*B4234)</f>
        <v>84.9415081198166</v>
      </c>
      <c r="D4234" s="18" t="n">
        <f aca="false">'Black-Scholes'!$B$5*EXP(('Black-Scholes'!$B$8-'Black-Scholes'!$B$10-'Black-Scholes'!$B$9^2/2)*'Black-Scholes'!$B$7-'Black-Scholes'!$B$9*SQRT('Black-Scholes'!$B$7)*B4234)</f>
        <v>125.007969607457</v>
      </c>
      <c r="E4234" s="18" t="n">
        <f aca="false">EXP(-'Black-Scholes'!$B$8*'Black-Scholes'!$B$7)*IF(LOWER('Black-Scholes'!$B$11)="put",MAX('Black-Scholes'!$B$6-C4234,0),MAX(C4234-'Black-Scholes'!$B$6,0))</f>
        <v>0</v>
      </c>
      <c r="F4234" s="18" t="n">
        <f aca="false">(E4234+G4234)/2</f>
        <v>11.8941582688163</v>
      </c>
      <c r="G4234" s="18" t="n">
        <f aca="false">EXP(-'Black-Scholes'!$B$8*'Black-Scholes'!$B$7)*IF(LOWER('Black-Scholes'!$B$11)="put",MAX('Black-Scholes'!$B$6-D4234,0),MAX(D4234-'Black-Scholes'!$B$6,0))</f>
        <v>23.7883165376327</v>
      </c>
    </row>
    <row r="4235" customFormat="false" ht="15" hidden="false" customHeight="false" outlineLevel="0" collapsed="false">
      <c r="A4235" s="0" t="n">
        <v>4224</v>
      </c>
      <c r="B4235" s="15" t="n">
        <v>0.191096107702953</v>
      </c>
      <c r="C4235" s="18" t="n">
        <f aca="false">'Black-Scholes'!$B$5*EXP(('Black-Scholes'!$B$8-'Black-Scholes'!$B$10-'Black-Scholes'!$B$9^2/2)*'Black-Scholes'!$B$7+'Black-Scholes'!$B$9*SQRT('Black-Scholes'!$B$7)*B4235)</f>
        <v>107.059998133243</v>
      </c>
      <c r="D4235" s="18" t="n">
        <f aca="false">'Black-Scholes'!$B$5*EXP(('Black-Scholes'!$B$8-'Black-Scholes'!$B$10-'Black-Scholes'!$B$9^2/2)*'Black-Scholes'!$B$7-'Black-Scholes'!$B$9*SQRT('Black-Scholes'!$B$7)*B4235)</f>
        <v>99.181446390821</v>
      </c>
      <c r="E4235" s="18" t="n">
        <f aca="false">EXP(-'Black-Scholes'!$B$8*'Black-Scholes'!$B$7)*IF(LOWER('Black-Scholes'!$B$11)="put",MAX('Black-Scholes'!$B$6-C4235,0),MAX(C4235-'Black-Scholes'!$B$6,0))</f>
        <v>6.71567796126048</v>
      </c>
      <c r="F4235" s="18" t="n">
        <f aca="false">(E4235+G4235)/2</f>
        <v>3.35783898063024</v>
      </c>
      <c r="G4235" s="18" t="n">
        <f aca="false">EXP(-'Black-Scholes'!$B$8*'Black-Scholes'!$B$7)*IF(LOWER('Black-Scholes'!$B$11)="put",MAX('Black-Scholes'!$B$6-D4235,0),MAX(D4235-'Black-Scholes'!$B$6,0))</f>
        <v>0</v>
      </c>
    </row>
    <row r="4236" customFormat="false" ht="15" hidden="false" customHeight="false" outlineLevel="0" collapsed="false">
      <c r="A4236" s="0" t="n">
        <v>4225</v>
      </c>
      <c r="B4236" s="15" t="n">
        <v>-0.977156521985915</v>
      </c>
      <c r="C4236" s="18" t="n">
        <f aca="false">'Black-Scholes'!$B$5*EXP(('Black-Scholes'!$B$8-'Black-Scholes'!$B$10-'Black-Scholes'!$B$9^2/2)*'Black-Scholes'!$B$7+'Black-Scholes'!$B$9*SQRT('Black-Scholes'!$B$7)*B4236)</f>
        <v>84.7528082657732</v>
      </c>
      <c r="D4236" s="18" t="n">
        <f aca="false">'Black-Scholes'!$B$5*EXP(('Black-Scholes'!$B$8-'Black-Scholes'!$B$10-'Black-Scholes'!$B$9^2/2)*'Black-Scholes'!$B$7-'Black-Scholes'!$B$9*SQRT('Black-Scholes'!$B$7)*B4236)</f>
        <v>125.286296498351</v>
      </c>
      <c r="E4236" s="18" t="n">
        <f aca="false">EXP(-'Black-Scholes'!$B$8*'Black-Scholes'!$B$7)*IF(LOWER('Black-Scholes'!$B$11)="put",MAX('Black-Scholes'!$B$6-C4236,0),MAX(C4236-'Black-Scholes'!$B$6,0))</f>
        <v>0</v>
      </c>
      <c r="F4236" s="18" t="n">
        <f aca="false">(E4236+G4236)/2</f>
        <v>12.0265346329406</v>
      </c>
      <c r="G4236" s="18" t="n">
        <f aca="false">EXP(-'Black-Scholes'!$B$8*'Black-Scholes'!$B$7)*IF(LOWER('Black-Scholes'!$B$11)="put",MAX('Black-Scholes'!$B$6-D4236,0),MAX(D4236-'Black-Scholes'!$B$6,0))</f>
        <v>24.0530692658813</v>
      </c>
    </row>
    <row r="4237" customFormat="false" ht="15" hidden="false" customHeight="false" outlineLevel="0" collapsed="false">
      <c r="A4237" s="0" t="n">
        <v>4226</v>
      </c>
      <c r="B4237" s="15" t="n">
        <v>0.619761344680088</v>
      </c>
      <c r="C4237" s="18" t="n">
        <f aca="false">'Black-Scholes'!$B$5*EXP(('Black-Scholes'!$B$8-'Black-Scholes'!$B$10-'Black-Scholes'!$B$9^2/2)*'Black-Scholes'!$B$7+'Black-Scholes'!$B$9*SQRT('Black-Scholes'!$B$7)*B4237)</f>
        <v>116.643521025605</v>
      </c>
      <c r="D4237" s="18" t="n">
        <f aca="false">'Black-Scholes'!$B$5*EXP(('Black-Scholes'!$B$8-'Black-Scholes'!$B$10-'Black-Scholes'!$B$9^2/2)*'Black-Scholes'!$B$7-'Black-Scholes'!$B$9*SQRT('Black-Scholes'!$B$7)*B4237)</f>
        <v>91.0326212042478</v>
      </c>
      <c r="E4237" s="18" t="n">
        <f aca="false">EXP(-'Black-Scholes'!$B$8*'Black-Scholes'!$B$7)*IF(LOWER('Black-Scholes'!$B$11)="put",MAX('Black-Scholes'!$B$6-C4237,0),MAX(C4237-'Black-Scholes'!$B$6,0))</f>
        <v>15.8318069268516</v>
      </c>
      <c r="F4237" s="18" t="n">
        <f aca="false">(E4237+G4237)/2</f>
        <v>7.91590346342579</v>
      </c>
      <c r="G4237" s="18" t="n">
        <f aca="false">EXP(-'Black-Scholes'!$B$8*'Black-Scholes'!$B$7)*IF(LOWER('Black-Scholes'!$B$11)="put",MAX('Black-Scholes'!$B$6-D4237,0),MAX(D4237-'Black-Scholes'!$B$6,0))</f>
        <v>0</v>
      </c>
    </row>
    <row r="4238" customFormat="false" ht="15" hidden="false" customHeight="false" outlineLevel="0" collapsed="false">
      <c r="A4238" s="0" t="n">
        <v>4227</v>
      </c>
      <c r="B4238" s="15" t="n">
        <v>0.58199518826951</v>
      </c>
      <c r="C4238" s="18" t="n">
        <f aca="false">'Black-Scholes'!$B$5*EXP(('Black-Scholes'!$B$8-'Black-Scholes'!$B$10-'Black-Scholes'!$B$9^2/2)*'Black-Scholes'!$B$7+'Black-Scholes'!$B$9*SQRT('Black-Scholes'!$B$7)*B4238)</f>
        <v>115.765804504582</v>
      </c>
      <c r="D4238" s="18" t="n">
        <f aca="false">'Black-Scholes'!$B$5*EXP(('Black-Scholes'!$B$8-'Black-Scholes'!$B$10-'Black-Scholes'!$B$9^2/2)*'Black-Scholes'!$B$7-'Black-Scholes'!$B$9*SQRT('Black-Scholes'!$B$7)*B4238)</f>
        <v>91.7228149615921</v>
      </c>
      <c r="E4238" s="18" t="n">
        <f aca="false">EXP(-'Black-Scholes'!$B$8*'Black-Scholes'!$B$7)*IF(LOWER('Black-Scholes'!$B$11)="put",MAX('Black-Scholes'!$B$6-C4238,0),MAX(C4238-'Black-Scholes'!$B$6,0))</f>
        <v>14.9968971456841</v>
      </c>
      <c r="F4238" s="18" t="n">
        <f aca="false">(E4238+G4238)/2</f>
        <v>7.49844857284204</v>
      </c>
      <c r="G4238" s="18" t="n">
        <f aca="false">EXP(-'Black-Scholes'!$B$8*'Black-Scholes'!$B$7)*IF(LOWER('Black-Scholes'!$B$11)="put",MAX('Black-Scholes'!$B$6-D4238,0),MAX(D4238-'Black-Scholes'!$B$6,0))</f>
        <v>0</v>
      </c>
    </row>
    <row r="4239" customFormat="false" ht="15" hidden="false" customHeight="false" outlineLevel="0" collapsed="false">
      <c r="A4239" s="0" t="n">
        <v>4228</v>
      </c>
      <c r="B4239" s="15" t="n">
        <v>0.52487167439474</v>
      </c>
      <c r="C4239" s="18" t="n">
        <f aca="false">'Black-Scholes'!$B$5*EXP(('Black-Scholes'!$B$8-'Black-Scholes'!$B$10-'Black-Scholes'!$B$9^2/2)*'Black-Scholes'!$B$7+'Black-Scholes'!$B$9*SQRT('Black-Scholes'!$B$7)*B4239)</f>
        <v>114.450741005314</v>
      </c>
      <c r="D4239" s="18" t="n">
        <f aca="false">'Black-Scholes'!$B$5*EXP(('Black-Scholes'!$B$8-'Black-Scholes'!$B$10-'Black-Scholes'!$B$9^2/2)*'Black-Scholes'!$B$7-'Black-Scholes'!$B$9*SQRT('Black-Scholes'!$B$7)*B4239)</f>
        <v>92.7767297282989</v>
      </c>
      <c r="E4239" s="18" t="n">
        <f aca="false">EXP(-'Black-Scholes'!$B$8*'Black-Scholes'!$B$7)*IF(LOWER('Black-Scholes'!$B$11)="put",MAX('Black-Scholes'!$B$6-C4239,0),MAX(C4239-'Black-Scholes'!$B$6,0))</f>
        <v>13.7459700500942</v>
      </c>
      <c r="F4239" s="18" t="n">
        <f aca="false">(E4239+G4239)/2</f>
        <v>6.87298502504708</v>
      </c>
      <c r="G4239" s="18" t="n">
        <f aca="false">EXP(-'Black-Scholes'!$B$8*'Black-Scholes'!$B$7)*IF(LOWER('Black-Scholes'!$B$11)="put",MAX('Black-Scholes'!$B$6-D4239,0),MAX(D4239-'Black-Scholes'!$B$6,0))</f>
        <v>0</v>
      </c>
    </row>
    <row r="4240" customFormat="false" ht="15" hidden="false" customHeight="false" outlineLevel="0" collapsed="false">
      <c r="A4240" s="0" t="n">
        <v>4229</v>
      </c>
      <c r="B4240" s="15" t="n">
        <v>-0.340920083841852</v>
      </c>
      <c r="C4240" s="18" t="n">
        <f aca="false">'Black-Scholes'!$B$5*EXP(('Black-Scholes'!$B$8-'Black-Scholes'!$B$10-'Black-Scholes'!$B$9^2/2)*'Black-Scholes'!$B$7+'Black-Scholes'!$B$9*SQRT('Black-Scholes'!$B$7)*B4240)</f>
        <v>96.2535801865724</v>
      </c>
      <c r="D4240" s="18" t="n">
        <f aca="false">'Black-Scholes'!$B$5*EXP(('Black-Scholes'!$B$8-'Black-Scholes'!$B$10-'Black-Scholes'!$B$9^2/2)*'Black-Scholes'!$B$7-'Black-Scholes'!$B$9*SQRT('Black-Scholes'!$B$7)*B4240)</f>
        <v>110.316576743136</v>
      </c>
      <c r="E4240" s="18" t="n">
        <f aca="false">EXP(-'Black-Scholes'!$B$8*'Black-Scholes'!$B$7)*IF(LOWER('Black-Scholes'!$B$11)="put",MAX('Black-Scholes'!$B$6-C4240,0),MAX(C4240-'Black-Scholes'!$B$6,0))</f>
        <v>0</v>
      </c>
      <c r="F4240" s="18" t="n">
        <f aca="false">(E4240+G4240)/2</f>
        <v>4.9067156790953</v>
      </c>
      <c r="G4240" s="18" t="n">
        <f aca="false">EXP(-'Black-Scholes'!$B$8*'Black-Scholes'!$B$7)*IF(LOWER('Black-Scholes'!$B$11)="put",MAX('Black-Scholes'!$B$6-D4240,0),MAX(D4240-'Black-Scholes'!$B$6,0))</f>
        <v>9.8134313581906</v>
      </c>
    </row>
    <row r="4241" customFormat="false" ht="15" hidden="false" customHeight="false" outlineLevel="0" collapsed="false">
      <c r="A4241" s="0" t="n">
        <v>4230</v>
      </c>
      <c r="B4241" s="15" t="n">
        <v>-0.983087418944889</v>
      </c>
      <c r="C4241" s="18" t="n">
        <f aca="false">'Black-Scholes'!$B$5*EXP(('Black-Scholes'!$B$8-'Black-Scholes'!$B$10-'Black-Scholes'!$B$9^2/2)*'Black-Scholes'!$B$7+'Black-Scholes'!$B$9*SQRT('Black-Scholes'!$B$7)*B4241)</f>
        <v>84.6523358321573</v>
      </c>
      <c r="D4241" s="18" t="n">
        <f aca="false">'Black-Scholes'!$B$5*EXP(('Black-Scholes'!$B$8-'Black-Scholes'!$B$10-'Black-Scholes'!$B$9^2/2)*'Black-Scholes'!$B$7-'Black-Scholes'!$B$9*SQRT('Black-Scholes'!$B$7)*B4241)</f>
        <v>125.434996696452</v>
      </c>
      <c r="E4241" s="18" t="n">
        <f aca="false">EXP(-'Black-Scholes'!$B$8*'Black-Scholes'!$B$7)*IF(LOWER('Black-Scholes'!$B$11)="put",MAX('Black-Scholes'!$B$6-C4241,0),MAX(C4241-'Black-Scholes'!$B$6,0))</f>
        <v>0</v>
      </c>
      <c r="F4241" s="18" t="n">
        <f aca="false">(E4241+G4241)/2</f>
        <v>12.0972586348718</v>
      </c>
      <c r="G4241" s="18" t="n">
        <f aca="false">EXP(-'Black-Scholes'!$B$8*'Black-Scholes'!$B$7)*IF(LOWER('Black-Scholes'!$B$11)="put",MAX('Black-Scholes'!$B$6-D4241,0),MAX(D4241-'Black-Scholes'!$B$6,0))</f>
        <v>24.1945172697436</v>
      </c>
    </row>
    <row r="4242" customFormat="false" ht="15" hidden="false" customHeight="false" outlineLevel="0" collapsed="false">
      <c r="A4242" s="0" t="n">
        <v>4231</v>
      </c>
      <c r="B4242" s="15" t="n">
        <v>2.28222873941014</v>
      </c>
      <c r="C4242" s="18" t="n">
        <f aca="false">'Black-Scholes'!$B$5*EXP(('Black-Scholes'!$B$8-'Black-Scholes'!$B$10-'Black-Scholes'!$B$9^2/2)*'Black-Scholes'!$B$7+'Black-Scholes'!$B$9*SQRT('Black-Scholes'!$B$7)*B4242)</f>
        <v>162.652485465631</v>
      </c>
      <c r="D4242" s="18" t="n">
        <f aca="false">'Black-Scholes'!$B$5*EXP(('Black-Scholes'!$B$8-'Black-Scholes'!$B$10-'Black-Scholes'!$B$9^2/2)*'Black-Scholes'!$B$7-'Black-Scholes'!$B$9*SQRT('Black-Scholes'!$B$7)*B4242)</f>
        <v>65.2825281769045</v>
      </c>
      <c r="E4242" s="18" t="n">
        <f aca="false">EXP(-'Black-Scholes'!$B$8*'Black-Scholes'!$B$7)*IF(LOWER('Black-Scholes'!$B$11)="put",MAX('Black-Scholes'!$B$6-C4242,0),MAX(C4242-'Black-Scholes'!$B$6,0))</f>
        <v>59.5968876930114</v>
      </c>
      <c r="F4242" s="18" t="n">
        <f aca="false">(E4242+G4242)/2</f>
        <v>29.7984438465057</v>
      </c>
      <c r="G4242" s="18" t="n">
        <f aca="false">EXP(-'Black-Scholes'!$B$8*'Black-Scholes'!$B$7)*IF(LOWER('Black-Scholes'!$B$11)="put",MAX('Black-Scholes'!$B$6-D4242,0),MAX(D4242-'Black-Scholes'!$B$6,0))</f>
        <v>0</v>
      </c>
    </row>
    <row r="4243" customFormat="false" ht="15" hidden="false" customHeight="false" outlineLevel="0" collapsed="false">
      <c r="A4243" s="0" t="n">
        <v>4232</v>
      </c>
      <c r="B4243" s="15" t="n">
        <v>-0.167609189045982</v>
      </c>
      <c r="C4243" s="18" t="n">
        <f aca="false">'Black-Scholes'!$B$5*EXP(('Black-Scholes'!$B$8-'Black-Scholes'!$B$10-'Black-Scholes'!$B$9^2/2)*'Black-Scholes'!$B$7+'Black-Scholes'!$B$9*SQRT('Black-Scholes'!$B$7)*B4243)</f>
        <v>99.648435658756</v>
      </c>
      <c r="D4243" s="18" t="n">
        <f aca="false">'Black-Scholes'!$B$5*EXP(('Black-Scholes'!$B$8-'Black-Scholes'!$B$10-'Black-Scholes'!$B$9^2/2)*'Black-Scholes'!$B$7-'Black-Scholes'!$B$9*SQRT('Black-Scholes'!$B$7)*B4243)</f>
        <v>106.558275554028</v>
      </c>
      <c r="E4243" s="18" t="n">
        <f aca="false">EXP(-'Black-Scholes'!$B$8*'Black-Scholes'!$B$7)*IF(LOWER('Black-Scholes'!$B$11)="put",MAX('Black-Scholes'!$B$6-C4243,0),MAX(C4243-'Black-Scholes'!$B$6,0))</f>
        <v>0</v>
      </c>
      <c r="F4243" s="18" t="n">
        <f aca="false">(E4243+G4243)/2</f>
        <v>3.11921234048779</v>
      </c>
      <c r="G4243" s="18" t="n">
        <f aca="false">EXP(-'Black-Scholes'!$B$8*'Black-Scholes'!$B$7)*IF(LOWER('Black-Scholes'!$B$11)="put",MAX('Black-Scholes'!$B$6-D4243,0),MAX(D4243-'Black-Scholes'!$B$6,0))</f>
        <v>6.23842468097558</v>
      </c>
    </row>
    <row r="4244" customFormat="false" ht="15" hidden="false" customHeight="false" outlineLevel="0" collapsed="false">
      <c r="A4244" s="0" t="n">
        <v>4233</v>
      </c>
      <c r="B4244" s="15" t="n">
        <v>0.904645869704189</v>
      </c>
      <c r="C4244" s="18" t="n">
        <f aca="false">'Black-Scholes'!$B$5*EXP(('Black-Scholes'!$B$8-'Black-Scholes'!$B$10-'Black-Scholes'!$B$9^2/2)*'Black-Scholes'!$B$7+'Black-Scholes'!$B$9*SQRT('Black-Scholes'!$B$7)*B4244)</f>
        <v>123.482489418317</v>
      </c>
      <c r="D4244" s="18" t="n">
        <f aca="false">'Black-Scholes'!$B$5*EXP(('Black-Scholes'!$B$8-'Black-Scholes'!$B$10-'Black-Scholes'!$B$9^2/2)*'Black-Scholes'!$B$7-'Black-Scholes'!$B$9*SQRT('Black-Scholes'!$B$7)*B4244)</f>
        <v>85.9908600439872</v>
      </c>
      <c r="E4244" s="18" t="n">
        <f aca="false">EXP(-'Black-Scholes'!$B$8*'Black-Scholes'!$B$7)*IF(LOWER('Black-Scholes'!$B$11)="put",MAX('Black-Scholes'!$B$6-C4244,0),MAX(C4244-'Black-Scholes'!$B$6,0))</f>
        <v>22.3372348952294</v>
      </c>
      <c r="F4244" s="18" t="n">
        <f aca="false">(E4244+G4244)/2</f>
        <v>11.1686174476147</v>
      </c>
      <c r="G4244" s="18" t="n">
        <f aca="false">EXP(-'Black-Scholes'!$B$8*'Black-Scholes'!$B$7)*IF(LOWER('Black-Scholes'!$B$11)="put",MAX('Black-Scholes'!$B$6-D4244,0),MAX(D4244-'Black-Scholes'!$B$6,0))</f>
        <v>0</v>
      </c>
    </row>
    <row r="4245" customFormat="false" ht="15" hidden="false" customHeight="false" outlineLevel="0" collapsed="false">
      <c r="A4245" s="0" t="n">
        <v>4234</v>
      </c>
      <c r="B4245" s="15" t="n">
        <v>-0.436574357174721</v>
      </c>
      <c r="C4245" s="18" t="n">
        <f aca="false">'Black-Scholes'!$B$5*EXP(('Black-Scholes'!$B$8-'Black-Scholes'!$B$10-'Black-Scholes'!$B$9^2/2)*'Black-Scholes'!$B$7+'Black-Scholes'!$B$9*SQRT('Black-Scholes'!$B$7)*B4245)</f>
        <v>94.4296690496975</v>
      </c>
      <c r="D4245" s="18" t="n">
        <f aca="false">'Black-Scholes'!$B$5*EXP(('Black-Scholes'!$B$8-'Black-Scholes'!$B$10-'Black-Scholes'!$B$9^2/2)*'Black-Scholes'!$B$7-'Black-Scholes'!$B$9*SQRT('Black-Scholes'!$B$7)*B4245)</f>
        <v>112.447343851912</v>
      </c>
      <c r="E4245" s="18" t="n">
        <f aca="false">EXP(-'Black-Scholes'!$B$8*'Black-Scholes'!$B$7)*IF(LOWER('Black-Scholes'!$B$11)="put",MAX('Black-Scholes'!$B$6-C4245,0),MAX(C4245-'Black-Scholes'!$B$6,0))</f>
        <v>0</v>
      </c>
      <c r="F4245" s="18" t="n">
        <f aca="false">(E4245+G4245)/2</f>
        <v>5.92013986440843</v>
      </c>
      <c r="G4245" s="18" t="n">
        <f aca="false">EXP(-'Black-Scholes'!$B$8*'Black-Scholes'!$B$7)*IF(LOWER('Black-Scholes'!$B$11)="put",MAX('Black-Scholes'!$B$6-D4245,0),MAX(D4245-'Black-Scholes'!$B$6,0))</f>
        <v>11.8402797288169</v>
      </c>
    </row>
    <row r="4246" customFormat="false" ht="15" hidden="false" customHeight="false" outlineLevel="0" collapsed="false">
      <c r="A4246" s="0" t="n">
        <v>4235</v>
      </c>
      <c r="B4246" s="15" t="n">
        <v>-0.729199204637936</v>
      </c>
      <c r="C4246" s="18" t="n">
        <f aca="false">'Black-Scholes'!$B$5*EXP(('Black-Scholes'!$B$8-'Black-Scholes'!$B$10-'Black-Scholes'!$B$9^2/2)*'Black-Scholes'!$B$7+'Black-Scholes'!$B$9*SQRT('Black-Scholes'!$B$7)*B4246)</f>
        <v>89.0617852404611</v>
      </c>
      <c r="D4246" s="18" t="n">
        <f aca="false">'Black-Scholes'!$B$5*EXP(('Black-Scholes'!$B$8-'Black-Scholes'!$B$10-'Black-Scholes'!$B$9^2/2)*'Black-Scholes'!$B$7-'Black-Scholes'!$B$9*SQRT('Black-Scholes'!$B$7)*B4246)</f>
        <v>119.224709417004</v>
      </c>
      <c r="E4246" s="18" t="n">
        <f aca="false">EXP(-'Black-Scholes'!$B$8*'Black-Scholes'!$B$7)*IF(LOWER('Black-Scholes'!$B$11)="put",MAX('Black-Scholes'!$B$6-C4246,0),MAX(C4246-'Black-Scholes'!$B$6,0))</f>
        <v>0</v>
      </c>
      <c r="F4246" s="18" t="n">
        <f aca="false">(E4246+G4246)/2</f>
        <v>9.14355463746515</v>
      </c>
      <c r="G4246" s="18" t="n">
        <f aca="false">EXP(-'Black-Scholes'!$B$8*'Black-Scholes'!$B$7)*IF(LOWER('Black-Scholes'!$B$11)="put",MAX('Black-Scholes'!$B$6-D4246,0),MAX(D4246-'Black-Scholes'!$B$6,0))</f>
        <v>18.2871092749303</v>
      </c>
    </row>
    <row r="4247" customFormat="false" ht="15" hidden="false" customHeight="false" outlineLevel="0" collapsed="false">
      <c r="A4247" s="0" t="n">
        <v>4236</v>
      </c>
      <c r="B4247" s="15" t="n">
        <v>-0.845836187338707</v>
      </c>
      <c r="C4247" s="18" t="n">
        <f aca="false">'Black-Scholes'!$B$5*EXP(('Black-Scholes'!$B$8-'Black-Scholes'!$B$10-'Black-Scholes'!$B$9^2/2)*'Black-Scholes'!$B$7+'Black-Scholes'!$B$9*SQRT('Black-Scholes'!$B$7)*B4247)</f>
        <v>87.0082505895166</v>
      </c>
      <c r="D4247" s="18" t="n">
        <f aca="false">'Black-Scholes'!$B$5*EXP(('Black-Scholes'!$B$8-'Black-Scholes'!$B$10-'Black-Scholes'!$B$9^2/2)*'Black-Scholes'!$B$7-'Black-Scholes'!$B$9*SQRT('Black-Scholes'!$B$7)*B4247)</f>
        <v>122.038604310624</v>
      </c>
      <c r="E4247" s="18" t="n">
        <f aca="false">EXP(-'Black-Scholes'!$B$8*'Black-Scholes'!$B$7)*IF(LOWER('Black-Scholes'!$B$11)="put",MAX('Black-Scholes'!$B$6-C4247,0),MAX(C4247-'Black-Scholes'!$B$6,0))</f>
        <v>0</v>
      </c>
      <c r="F4247" s="18" t="n">
        <f aca="false">(E4247+G4247)/2</f>
        <v>10.4818844475967</v>
      </c>
      <c r="G4247" s="18" t="n">
        <f aca="false">EXP(-'Black-Scholes'!$B$8*'Black-Scholes'!$B$7)*IF(LOWER('Black-Scholes'!$B$11)="put",MAX('Black-Scholes'!$B$6-D4247,0),MAX(D4247-'Black-Scholes'!$B$6,0))</f>
        <v>20.9637688951934</v>
      </c>
    </row>
    <row r="4248" customFormat="false" ht="15" hidden="false" customHeight="false" outlineLevel="0" collapsed="false">
      <c r="A4248" s="0" t="n">
        <v>4237</v>
      </c>
      <c r="B4248" s="15" t="n">
        <v>-0.18431774818643</v>
      </c>
      <c r="C4248" s="18" t="n">
        <f aca="false">'Black-Scholes'!$B$5*EXP(('Black-Scholes'!$B$8-'Black-Scholes'!$B$10-'Black-Scholes'!$B$9^2/2)*'Black-Scholes'!$B$7+'Black-Scholes'!$B$9*SQRT('Black-Scholes'!$B$7)*B4248)</f>
        <v>99.3159950723491</v>
      </c>
      <c r="D4248" s="18" t="n">
        <f aca="false">'Black-Scholes'!$B$5*EXP(('Black-Scholes'!$B$8-'Black-Scholes'!$B$10-'Black-Scholes'!$B$9^2/2)*'Black-Scholes'!$B$7-'Black-Scholes'!$B$9*SQRT('Black-Scholes'!$B$7)*B4248)</f>
        <v>106.914958237275</v>
      </c>
      <c r="E4248" s="18" t="n">
        <f aca="false">EXP(-'Black-Scholes'!$B$8*'Black-Scholes'!$B$7)*IF(LOWER('Black-Scholes'!$B$11)="put",MAX('Black-Scholes'!$B$6-C4248,0),MAX(C4248-'Black-Scholes'!$B$6,0))</f>
        <v>0</v>
      </c>
      <c r="F4248" s="18" t="n">
        <f aca="false">(E4248+G4248)/2</f>
        <v>3.28885587224473</v>
      </c>
      <c r="G4248" s="18" t="n">
        <f aca="false">EXP(-'Black-Scholes'!$B$8*'Black-Scholes'!$B$7)*IF(LOWER('Black-Scholes'!$B$11)="put",MAX('Black-Scholes'!$B$6-D4248,0),MAX(D4248-'Black-Scholes'!$B$6,0))</f>
        <v>6.57771174448946</v>
      </c>
    </row>
    <row r="4249" customFormat="false" ht="15" hidden="false" customHeight="false" outlineLevel="0" collapsed="false">
      <c r="A4249" s="0" t="n">
        <v>4238</v>
      </c>
      <c r="B4249" s="15" t="n">
        <v>0.192274308918191</v>
      </c>
      <c r="C4249" s="18" t="n">
        <f aca="false">'Black-Scholes'!$B$5*EXP(('Black-Scholes'!$B$8-'Black-Scholes'!$B$10-'Black-Scholes'!$B$9^2/2)*'Black-Scholes'!$B$7+'Black-Scholes'!$B$9*SQRT('Black-Scholes'!$B$7)*B4249)</f>
        <v>107.085228749781</v>
      </c>
      <c r="D4249" s="18" t="n">
        <f aca="false">'Black-Scholes'!$B$5*EXP(('Black-Scholes'!$B$8-'Black-Scholes'!$B$10-'Black-Scholes'!$B$9^2/2)*'Black-Scholes'!$B$7-'Black-Scholes'!$B$9*SQRT('Black-Scholes'!$B$7)*B4249)</f>
        <v>99.1580780040619</v>
      </c>
      <c r="E4249" s="18" t="n">
        <f aca="false">EXP(-'Black-Scholes'!$B$8*'Black-Scholes'!$B$7)*IF(LOWER('Black-Scholes'!$B$11)="put",MAX('Black-Scholes'!$B$6-C4249,0),MAX(C4249-'Black-Scholes'!$B$6,0))</f>
        <v>6.73967806611009</v>
      </c>
      <c r="F4249" s="18" t="n">
        <f aca="false">(E4249+G4249)/2</f>
        <v>3.36983903305504</v>
      </c>
      <c r="G4249" s="18" t="n">
        <f aca="false">EXP(-'Black-Scholes'!$B$8*'Black-Scholes'!$B$7)*IF(LOWER('Black-Scholes'!$B$11)="put",MAX('Black-Scholes'!$B$6-D4249,0),MAX(D4249-'Black-Scholes'!$B$6,0))</f>
        <v>0</v>
      </c>
    </row>
    <row r="4250" customFormat="false" ht="15" hidden="false" customHeight="false" outlineLevel="0" collapsed="false">
      <c r="A4250" s="0" t="n">
        <v>4239</v>
      </c>
      <c r="B4250" s="15" t="n">
        <v>-1.5705850380445</v>
      </c>
      <c r="C4250" s="18" t="n">
        <f aca="false">'Black-Scholes'!$B$5*EXP(('Black-Scholes'!$B$8-'Black-Scholes'!$B$10-'Black-Scholes'!$B$9^2/2)*'Black-Scholes'!$B$7+'Black-Scholes'!$B$9*SQRT('Black-Scholes'!$B$7)*B4250)</f>
        <v>75.2678570433821</v>
      </c>
      <c r="D4250" s="18" t="n">
        <f aca="false">'Black-Scholes'!$B$5*EXP(('Black-Scholes'!$B$8-'Black-Scholes'!$B$10-'Black-Scholes'!$B$9^2/2)*'Black-Scholes'!$B$7-'Black-Scholes'!$B$9*SQRT('Black-Scholes'!$B$7)*B4250)</f>
        <v>141.074369359732</v>
      </c>
      <c r="E4250" s="18" t="n">
        <f aca="false">EXP(-'Black-Scholes'!$B$8*'Black-Scholes'!$B$7)*IF(LOWER('Black-Scholes'!$B$11)="put",MAX('Black-Scholes'!$B$6-C4250,0),MAX(C4250-'Black-Scholes'!$B$6,0))</f>
        <v>0</v>
      </c>
      <c r="F4250" s="18" t="n">
        <f aca="false">(E4250+G4250)/2</f>
        <v>19.5355743638939</v>
      </c>
      <c r="G4250" s="18" t="n">
        <f aca="false">EXP(-'Black-Scholes'!$B$8*'Black-Scholes'!$B$7)*IF(LOWER('Black-Scholes'!$B$11)="put",MAX('Black-Scholes'!$B$6-D4250,0),MAX(D4250-'Black-Scholes'!$B$6,0))</f>
        <v>39.0711487277878</v>
      </c>
    </row>
    <row r="4251" customFormat="false" ht="15" hidden="false" customHeight="false" outlineLevel="0" collapsed="false">
      <c r="A4251" s="0" t="n">
        <v>4240</v>
      </c>
      <c r="B4251" s="15" t="n">
        <v>1.39166171121214</v>
      </c>
      <c r="C4251" s="18" t="n">
        <f aca="false">'Black-Scholes'!$B$5*EXP(('Black-Scholes'!$B$8-'Black-Scholes'!$B$10-'Black-Scholes'!$B$9^2/2)*'Black-Scholes'!$B$7+'Black-Scholes'!$B$9*SQRT('Black-Scholes'!$B$7)*B4251)</f>
        <v>136.115328250905</v>
      </c>
      <c r="D4251" s="18" t="n">
        <f aca="false">'Black-Scholes'!$B$5*EXP(('Black-Scholes'!$B$8-'Black-Scholes'!$B$10-'Black-Scholes'!$B$9^2/2)*'Black-Scholes'!$B$7-'Black-Scholes'!$B$9*SQRT('Black-Scholes'!$B$7)*B4251)</f>
        <v>78.0100639795722</v>
      </c>
      <c r="E4251" s="18" t="n">
        <f aca="false">EXP(-'Black-Scholes'!$B$8*'Black-Scholes'!$B$7)*IF(LOWER('Black-Scholes'!$B$11)="put",MAX('Black-Scholes'!$B$6-C4251,0),MAX(C4251-'Black-Scholes'!$B$6,0))</f>
        <v>34.3539629077631</v>
      </c>
      <c r="F4251" s="18" t="n">
        <f aca="false">(E4251+G4251)/2</f>
        <v>17.1769814538816</v>
      </c>
      <c r="G4251" s="18" t="n">
        <f aca="false">EXP(-'Black-Scholes'!$B$8*'Black-Scholes'!$B$7)*IF(LOWER('Black-Scholes'!$B$11)="put",MAX('Black-Scholes'!$B$6-D4251,0),MAX(D4251-'Black-Scholes'!$B$6,0))</f>
        <v>0</v>
      </c>
    </row>
    <row r="4252" customFormat="false" ht="15" hidden="false" customHeight="false" outlineLevel="0" collapsed="false">
      <c r="A4252" s="0" t="n">
        <v>4241</v>
      </c>
      <c r="B4252" s="15" t="n">
        <v>-0.417953987960309</v>
      </c>
      <c r="C4252" s="18" t="n">
        <f aca="false">'Black-Scholes'!$B$5*EXP(('Black-Scholes'!$B$8-'Black-Scholes'!$B$10-'Black-Scholes'!$B$9^2/2)*'Black-Scholes'!$B$7+'Black-Scholes'!$B$9*SQRT('Black-Scholes'!$B$7)*B4252)</f>
        <v>94.7819877334105</v>
      </c>
      <c r="D4252" s="18" t="n">
        <f aca="false">'Black-Scholes'!$B$5*EXP(('Black-Scholes'!$B$8-'Black-Scholes'!$B$10-'Black-Scholes'!$B$9^2/2)*'Black-Scholes'!$B$7-'Black-Scholes'!$B$9*SQRT('Black-Scholes'!$B$7)*B4252)</f>
        <v>112.029360423622</v>
      </c>
      <c r="E4252" s="18" t="n">
        <f aca="false">EXP(-'Black-Scholes'!$B$8*'Black-Scholes'!$B$7)*IF(LOWER('Black-Scholes'!$B$11)="put",MAX('Black-Scholes'!$B$6-C4252,0),MAX(C4252-'Black-Scholes'!$B$6,0))</f>
        <v>0</v>
      </c>
      <c r="F4252" s="18" t="n">
        <f aca="false">(E4252+G4252)/2</f>
        <v>5.72134079643698</v>
      </c>
      <c r="G4252" s="18" t="n">
        <f aca="false">EXP(-'Black-Scholes'!$B$8*'Black-Scholes'!$B$7)*IF(LOWER('Black-Scholes'!$B$11)="put",MAX('Black-Scholes'!$B$6-D4252,0),MAX(D4252-'Black-Scholes'!$B$6,0))</f>
        <v>11.442681592874</v>
      </c>
    </row>
    <row r="4253" customFormat="false" ht="15" hidden="false" customHeight="false" outlineLevel="0" collapsed="false">
      <c r="A4253" s="0" t="n">
        <v>4242</v>
      </c>
      <c r="B4253" s="15" t="n">
        <v>-1.12494519796335</v>
      </c>
      <c r="C4253" s="18" t="n">
        <f aca="false">'Black-Scholes'!$B$5*EXP(('Black-Scholes'!$B$8-'Black-Scholes'!$B$10-'Black-Scholes'!$B$9^2/2)*'Black-Scholes'!$B$7+'Black-Scholes'!$B$9*SQRT('Black-Scholes'!$B$7)*B4253)</f>
        <v>82.284367670846</v>
      </c>
      <c r="D4253" s="18" t="n">
        <f aca="false">'Black-Scholes'!$B$5*EXP(('Black-Scholes'!$B$8-'Black-Scholes'!$B$10-'Black-Scholes'!$B$9^2/2)*'Black-Scholes'!$B$7-'Black-Scholes'!$B$9*SQRT('Black-Scholes'!$B$7)*B4253)</f>
        <v>129.044747696539</v>
      </c>
      <c r="E4253" s="18" t="n">
        <f aca="false">EXP(-'Black-Scholes'!$B$8*'Black-Scholes'!$B$7)*IF(LOWER('Black-Scholes'!$B$11)="put",MAX('Black-Scholes'!$B$6-C4253,0),MAX(C4253-'Black-Scholes'!$B$6,0))</f>
        <v>0</v>
      </c>
      <c r="F4253" s="18" t="n">
        <f aca="false">(E4253+G4253)/2</f>
        <v>13.8141093180738</v>
      </c>
      <c r="G4253" s="18" t="n">
        <f aca="false">EXP(-'Black-Scholes'!$B$8*'Black-Scholes'!$B$7)*IF(LOWER('Black-Scholes'!$B$11)="put",MAX('Black-Scholes'!$B$6-D4253,0),MAX(D4253-'Black-Scholes'!$B$6,0))</f>
        <v>27.6282186361475</v>
      </c>
    </row>
    <row r="4254" customFormat="false" ht="15" hidden="false" customHeight="false" outlineLevel="0" collapsed="false">
      <c r="A4254" s="0" t="n">
        <v>4243</v>
      </c>
      <c r="B4254" s="15" t="n">
        <v>-1.01970990316028</v>
      </c>
      <c r="C4254" s="18" t="n">
        <f aca="false">'Black-Scholes'!$B$5*EXP(('Black-Scholes'!$B$8-'Black-Scholes'!$B$10-'Black-Scholes'!$B$9^2/2)*'Black-Scholes'!$B$7+'Black-Scholes'!$B$9*SQRT('Black-Scholes'!$B$7)*B4254)</f>
        <v>84.034565256767</v>
      </c>
      <c r="D4254" s="18" t="n">
        <f aca="false">'Black-Scholes'!$B$5*EXP(('Black-Scholes'!$B$8-'Black-Scholes'!$B$10-'Black-Scholes'!$B$9^2/2)*'Black-Scholes'!$B$7-'Black-Scholes'!$B$9*SQRT('Black-Scholes'!$B$7)*B4254)</f>
        <v>126.357117847986</v>
      </c>
      <c r="E4254" s="18" t="n">
        <f aca="false">EXP(-'Black-Scholes'!$B$8*'Black-Scholes'!$B$7)*IF(LOWER('Black-Scholes'!$B$11)="put",MAX('Black-Scholes'!$B$6-C4254,0),MAX(C4254-'Black-Scholes'!$B$6,0))</f>
        <v>0</v>
      </c>
      <c r="F4254" s="18" t="n">
        <f aca="false">(E4254+G4254)/2</f>
        <v>12.5358330210187</v>
      </c>
      <c r="G4254" s="18" t="n">
        <f aca="false">EXP(-'Black-Scholes'!$B$8*'Black-Scholes'!$B$7)*IF(LOWER('Black-Scholes'!$B$11)="put",MAX('Black-Scholes'!$B$6-D4254,0),MAX(D4254-'Black-Scholes'!$B$6,0))</f>
        <v>25.0716660420374</v>
      </c>
    </row>
    <row r="4255" customFormat="false" ht="15" hidden="false" customHeight="false" outlineLevel="0" collapsed="false">
      <c r="A4255" s="0" t="n">
        <v>4244</v>
      </c>
      <c r="B4255" s="15" t="n">
        <v>-0.589693744660229</v>
      </c>
      <c r="C4255" s="18" t="n">
        <f aca="false">'Black-Scholes'!$B$5*EXP(('Black-Scholes'!$B$8-'Black-Scholes'!$B$10-'Black-Scholes'!$B$9^2/2)*'Black-Scholes'!$B$7+'Black-Scholes'!$B$9*SQRT('Black-Scholes'!$B$7)*B4255)</f>
        <v>91.5816969772878</v>
      </c>
      <c r="D4255" s="18" t="n">
        <f aca="false">'Black-Scholes'!$B$5*EXP(('Black-Scholes'!$B$8-'Black-Scholes'!$B$10-'Black-Scholes'!$B$9^2/2)*'Black-Scholes'!$B$7-'Black-Scholes'!$B$9*SQRT('Black-Scholes'!$B$7)*B4255)</f>
        <v>115.944187713479</v>
      </c>
      <c r="E4255" s="18" t="n">
        <f aca="false">EXP(-'Black-Scholes'!$B$8*'Black-Scholes'!$B$7)*IF(LOWER('Black-Scholes'!$B$11)="put",MAX('Black-Scholes'!$B$6-C4255,0),MAX(C4255-'Black-Scholes'!$B$6,0))</f>
        <v>0</v>
      </c>
      <c r="F4255" s="18" t="n">
        <f aca="false">(E4255+G4255)/2</f>
        <v>7.58329025141194</v>
      </c>
      <c r="G4255" s="18" t="n">
        <f aca="false">EXP(-'Black-Scholes'!$B$8*'Black-Scholes'!$B$7)*IF(LOWER('Black-Scholes'!$B$11)="put",MAX('Black-Scholes'!$B$6-D4255,0),MAX(D4255-'Black-Scholes'!$B$6,0))</f>
        <v>15.1665805028239</v>
      </c>
    </row>
    <row r="4256" customFormat="false" ht="15" hidden="false" customHeight="false" outlineLevel="0" collapsed="false">
      <c r="A4256" s="0" t="n">
        <v>4245</v>
      </c>
      <c r="B4256" s="15" t="n">
        <v>-0.548357691005289</v>
      </c>
      <c r="C4256" s="18" t="n">
        <f aca="false">'Black-Scholes'!$B$5*EXP(('Black-Scholes'!$B$8-'Black-Scholes'!$B$10-'Black-Scholes'!$B$9^2/2)*'Black-Scholes'!$B$7+'Black-Scholes'!$B$9*SQRT('Black-Scholes'!$B$7)*B4256)</f>
        <v>92.3419604644053</v>
      </c>
      <c r="D4256" s="18" t="n">
        <f aca="false">'Black-Scholes'!$B$5*EXP(('Black-Scholes'!$B$8-'Black-Scholes'!$B$10-'Black-Scholes'!$B$9^2/2)*'Black-Scholes'!$B$7-'Black-Scholes'!$B$9*SQRT('Black-Scholes'!$B$7)*B4256)</f>
        <v>114.989603989907</v>
      </c>
      <c r="E4256" s="18" t="n">
        <f aca="false">EXP(-'Black-Scholes'!$B$8*'Black-Scholes'!$B$7)*IF(LOWER('Black-Scholes'!$B$11)="put",MAX('Black-Scholes'!$B$6-C4256,0),MAX(C4256-'Black-Scholes'!$B$6,0))</f>
        <v>0</v>
      </c>
      <c r="F4256" s="18" t="n">
        <f aca="false">(E4256+G4256)/2</f>
        <v>7.12927618840634</v>
      </c>
      <c r="G4256" s="18" t="n">
        <f aca="false">EXP(-'Black-Scholes'!$B$8*'Black-Scholes'!$B$7)*IF(LOWER('Black-Scholes'!$B$11)="put",MAX('Black-Scholes'!$B$6-D4256,0),MAX(D4256-'Black-Scholes'!$B$6,0))</f>
        <v>14.2585523768127</v>
      </c>
    </row>
    <row r="4257" customFormat="false" ht="15" hidden="false" customHeight="false" outlineLevel="0" collapsed="false">
      <c r="A4257" s="0" t="n">
        <v>4246</v>
      </c>
      <c r="B4257" s="15" t="n">
        <v>-0.464767891679758</v>
      </c>
      <c r="C4257" s="18" t="n">
        <f aca="false">'Black-Scholes'!$B$5*EXP(('Black-Scholes'!$B$8-'Black-Scholes'!$B$10-'Black-Scholes'!$B$9^2/2)*'Black-Scholes'!$B$7+'Black-Scholes'!$B$9*SQRT('Black-Scholes'!$B$7)*B4257)</f>
        <v>93.8987062019343</v>
      </c>
      <c r="D4257" s="18" t="n">
        <f aca="false">'Black-Scholes'!$B$5*EXP(('Black-Scholes'!$B$8-'Black-Scholes'!$B$10-'Black-Scholes'!$B$9^2/2)*'Black-Scholes'!$B$7-'Black-Scholes'!$B$9*SQRT('Black-Scholes'!$B$7)*B4257)</f>
        <v>113.083192462932</v>
      </c>
      <c r="E4257" s="18" t="n">
        <f aca="false">EXP(-'Black-Scholes'!$B$8*'Black-Scholes'!$B$7)*IF(LOWER('Black-Scholes'!$B$11)="put",MAX('Black-Scholes'!$B$6-C4257,0),MAX(C4257-'Black-Scholes'!$B$6,0))</f>
        <v>0</v>
      </c>
      <c r="F4257" s="18" t="n">
        <f aca="false">(E4257+G4257)/2</f>
        <v>6.22255881857322</v>
      </c>
      <c r="G4257" s="18" t="n">
        <f aca="false">EXP(-'Black-Scholes'!$B$8*'Black-Scholes'!$B$7)*IF(LOWER('Black-Scholes'!$B$11)="put",MAX('Black-Scholes'!$B$6-D4257,0),MAX(D4257-'Black-Scholes'!$B$6,0))</f>
        <v>12.4451176371464</v>
      </c>
    </row>
    <row r="4258" customFormat="false" ht="15" hidden="false" customHeight="false" outlineLevel="0" collapsed="false">
      <c r="A4258" s="0" t="n">
        <v>4247</v>
      </c>
      <c r="B4258" s="15" t="n">
        <v>0.579909050768265</v>
      </c>
      <c r="C4258" s="18" t="n">
        <f aca="false">'Black-Scholes'!$B$5*EXP(('Black-Scholes'!$B$8-'Black-Scholes'!$B$10-'Black-Scholes'!$B$9^2/2)*'Black-Scholes'!$B$7+'Black-Scholes'!$B$9*SQRT('Black-Scholes'!$B$7)*B4258)</f>
        <v>115.717513902138</v>
      </c>
      <c r="D4258" s="18" t="n">
        <f aca="false">'Black-Scholes'!$B$5*EXP(('Black-Scholes'!$B$8-'Black-Scholes'!$B$10-'Black-Scholes'!$B$9^2/2)*'Black-Scholes'!$B$7-'Black-Scholes'!$B$9*SQRT('Black-Scholes'!$B$7)*B4258)</f>
        <v>91.7610922270029</v>
      </c>
      <c r="E4258" s="18" t="n">
        <f aca="false">EXP(-'Black-Scholes'!$B$8*'Black-Scholes'!$B$7)*IF(LOWER('Black-Scholes'!$B$11)="put",MAX('Black-Scholes'!$B$6-C4258,0),MAX(C4258-'Black-Scholes'!$B$6,0))</f>
        <v>14.9509617037129</v>
      </c>
      <c r="F4258" s="18" t="n">
        <f aca="false">(E4258+G4258)/2</f>
        <v>7.47548085185646</v>
      </c>
      <c r="G4258" s="18" t="n">
        <f aca="false">EXP(-'Black-Scholes'!$B$8*'Black-Scholes'!$B$7)*IF(LOWER('Black-Scholes'!$B$11)="put",MAX('Black-Scholes'!$B$6-D4258,0),MAX(D4258-'Black-Scholes'!$B$6,0))</f>
        <v>0</v>
      </c>
    </row>
    <row r="4259" customFormat="false" ht="15" hidden="false" customHeight="false" outlineLevel="0" collapsed="false">
      <c r="A4259" s="0" t="n">
        <v>4248</v>
      </c>
      <c r="B4259" s="15" t="n">
        <v>0.527806992206799</v>
      </c>
      <c r="C4259" s="18" t="n">
        <f aca="false">'Black-Scholes'!$B$5*EXP(('Black-Scholes'!$B$8-'Black-Scholes'!$B$10-'Black-Scholes'!$B$9^2/2)*'Black-Scholes'!$B$7+'Black-Scholes'!$B$9*SQRT('Black-Scholes'!$B$7)*B4259)</f>
        <v>114.517950591269</v>
      </c>
      <c r="D4259" s="18" t="n">
        <f aca="false">'Black-Scholes'!$B$5*EXP(('Black-Scholes'!$B$8-'Black-Scholes'!$B$10-'Black-Scholes'!$B$9^2/2)*'Black-Scholes'!$B$7-'Black-Scholes'!$B$9*SQRT('Black-Scholes'!$B$7)*B4259)</f>
        <v>92.7222798751619</v>
      </c>
      <c r="E4259" s="18" t="n">
        <f aca="false">EXP(-'Black-Scholes'!$B$8*'Black-Scholes'!$B$7)*IF(LOWER('Black-Scholes'!$B$11)="put",MAX('Black-Scholes'!$B$6-C4259,0),MAX(C4259-'Black-Scholes'!$B$6,0))</f>
        <v>13.8099017858625</v>
      </c>
      <c r="F4259" s="18" t="n">
        <f aca="false">(E4259+G4259)/2</f>
        <v>6.90495089293127</v>
      </c>
      <c r="G4259" s="18" t="n">
        <f aca="false">EXP(-'Black-Scholes'!$B$8*'Black-Scholes'!$B$7)*IF(LOWER('Black-Scholes'!$B$11)="put",MAX('Black-Scholes'!$B$6-D4259,0),MAX(D4259-'Black-Scholes'!$B$6,0))</f>
        <v>0</v>
      </c>
    </row>
    <row r="4260" customFormat="false" ht="15" hidden="false" customHeight="false" outlineLevel="0" collapsed="false">
      <c r="A4260" s="0" t="n">
        <v>4249</v>
      </c>
      <c r="B4260" s="15" t="n">
        <v>-0.877340747907488</v>
      </c>
      <c r="C4260" s="18" t="n">
        <f aca="false">'Black-Scholes'!$B$5*EXP(('Black-Scholes'!$B$8-'Black-Scholes'!$B$10-'Black-Scholes'!$B$9^2/2)*'Black-Scholes'!$B$7+'Black-Scholes'!$B$9*SQRT('Black-Scholes'!$B$7)*B4260)</f>
        <v>86.4617428062331</v>
      </c>
      <c r="D4260" s="18" t="n">
        <f aca="false">'Black-Scholes'!$B$5*EXP(('Black-Scholes'!$B$8-'Black-Scholes'!$B$10-'Black-Scholes'!$B$9^2/2)*'Black-Scholes'!$B$7-'Black-Scholes'!$B$9*SQRT('Black-Scholes'!$B$7)*B4260)</f>
        <v>122.809986484428</v>
      </c>
      <c r="E4260" s="18" t="n">
        <f aca="false">EXP(-'Black-Scholes'!$B$8*'Black-Scholes'!$B$7)*IF(LOWER('Black-Scholes'!$B$11)="put",MAX('Black-Scholes'!$B$6-C4260,0),MAX(C4260-'Black-Scholes'!$B$6,0))</f>
        <v>0</v>
      </c>
      <c r="F4260" s="18" t="n">
        <f aca="false">(E4260+G4260)/2</f>
        <v>10.8487651582259</v>
      </c>
      <c r="G4260" s="18" t="n">
        <f aca="false">EXP(-'Black-Scholes'!$B$8*'Black-Scholes'!$B$7)*IF(LOWER('Black-Scholes'!$B$11)="put",MAX('Black-Scholes'!$B$6-D4260,0),MAX(D4260-'Black-Scholes'!$B$6,0))</f>
        <v>21.6975303164517</v>
      </c>
    </row>
    <row r="4261" customFormat="false" ht="15" hidden="false" customHeight="false" outlineLevel="0" collapsed="false">
      <c r="A4261" s="0" t="n">
        <v>4250</v>
      </c>
      <c r="B4261" s="15" t="n">
        <v>-0.292646522768667</v>
      </c>
      <c r="C4261" s="18" t="n">
        <f aca="false">'Black-Scholes'!$B$5*EXP(('Black-Scholes'!$B$8-'Black-Scholes'!$B$10-'Black-Scholes'!$B$9^2/2)*'Black-Scholes'!$B$7+'Black-Scholes'!$B$9*SQRT('Black-Scholes'!$B$7)*B4261)</f>
        <v>97.1873813400444</v>
      </c>
      <c r="D4261" s="18" t="n">
        <f aca="false">'Black-Scholes'!$B$5*EXP(('Black-Scholes'!$B$8-'Black-Scholes'!$B$10-'Black-Scholes'!$B$9^2/2)*'Black-Scholes'!$B$7-'Black-Scholes'!$B$9*SQRT('Black-Scholes'!$B$7)*B4261)</f>
        <v>109.256626930831</v>
      </c>
      <c r="E4261" s="18" t="n">
        <f aca="false">EXP(-'Black-Scholes'!$B$8*'Black-Scholes'!$B$7)*IF(LOWER('Black-Scholes'!$B$11)="put",MAX('Black-Scholes'!$B$6-C4261,0),MAX(C4261-'Black-Scholes'!$B$6,0))</f>
        <v>0</v>
      </c>
      <c r="F4261" s="18" t="n">
        <f aca="false">(E4261+G4261)/2</f>
        <v>4.40258795411589</v>
      </c>
      <c r="G4261" s="18" t="n">
        <f aca="false">EXP(-'Black-Scholes'!$B$8*'Black-Scholes'!$B$7)*IF(LOWER('Black-Scholes'!$B$11)="put",MAX('Black-Scholes'!$B$6-D4261,0),MAX(D4261-'Black-Scholes'!$B$6,0))</f>
        <v>8.80517590823178</v>
      </c>
    </row>
    <row r="4262" customFormat="false" ht="15" hidden="false" customHeight="false" outlineLevel="0" collapsed="false">
      <c r="A4262" s="0" t="n">
        <v>4251</v>
      </c>
      <c r="B4262" s="15" t="n">
        <v>-0.557629568725269</v>
      </c>
      <c r="C4262" s="18" t="n">
        <f aca="false">'Black-Scholes'!$B$5*EXP(('Black-Scholes'!$B$8-'Black-Scholes'!$B$10-'Black-Scholes'!$B$9^2/2)*'Black-Scholes'!$B$7+'Black-Scholes'!$B$9*SQRT('Black-Scholes'!$B$7)*B4262)</f>
        <v>92.1708824616916</v>
      </c>
      <c r="D4262" s="18" t="n">
        <f aca="false">'Black-Scholes'!$B$5*EXP(('Black-Scholes'!$B$8-'Black-Scholes'!$B$10-'Black-Scholes'!$B$9^2/2)*'Black-Scholes'!$B$7-'Black-Scholes'!$B$9*SQRT('Black-Scholes'!$B$7)*B4262)</f>
        <v>115.203035729498</v>
      </c>
      <c r="E4262" s="18" t="n">
        <f aca="false">EXP(-'Black-Scholes'!$B$8*'Black-Scholes'!$B$7)*IF(LOWER('Black-Scholes'!$B$11)="put",MAX('Black-Scholes'!$B$6-C4262,0),MAX(C4262-'Black-Scholes'!$B$6,0))</f>
        <v>0</v>
      </c>
      <c r="F4262" s="18" t="n">
        <f aca="false">(E4262+G4262)/2</f>
        <v>7.230787463817</v>
      </c>
      <c r="G4262" s="18" t="n">
        <f aca="false">EXP(-'Black-Scholes'!$B$8*'Black-Scholes'!$B$7)*IF(LOWER('Black-Scholes'!$B$11)="put",MAX('Black-Scholes'!$B$6-D4262,0),MAX(D4262-'Black-Scholes'!$B$6,0))</f>
        <v>14.461574927634</v>
      </c>
    </row>
    <row r="4263" customFormat="false" ht="15" hidden="false" customHeight="false" outlineLevel="0" collapsed="false">
      <c r="A4263" s="0" t="n">
        <v>4252</v>
      </c>
      <c r="B4263" s="15" t="n">
        <v>0.444393318099064</v>
      </c>
      <c r="C4263" s="18" t="n">
        <f aca="false">'Black-Scholes'!$B$5*EXP(('Black-Scholes'!$B$8-'Black-Scholes'!$B$10-'Black-Scholes'!$B$9^2/2)*'Black-Scholes'!$B$7+'Black-Scholes'!$B$9*SQRT('Black-Scholes'!$B$7)*B4263)</f>
        <v>112.623325693088</v>
      </c>
      <c r="D4263" s="18" t="n">
        <f aca="false">'Black-Scholes'!$B$5*EXP(('Black-Scholes'!$B$8-'Black-Scholes'!$B$10-'Black-Scholes'!$B$9^2/2)*'Black-Scholes'!$B$7-'Black-Scholes'!$B$9*SQRT('Black-Scholes'!$B$7)*B4263)</f>
        <v>94.2821160723836</v>
      </c>
      <c r="E4263" s="18" t="n">
        <f aca="false">EXP(-'Black-Scholes'!$B$8*'Black-Scholes'!$B$7)*IF(LOWER('Black-Scholes'!$B$11)="put",MAX('Black-Scholes'!$B$6-C4263,0),MAX(C4263-'Black-Scholes'!$B$6,0))</f>
        <v>12.0076788343213</v>
      </c>
      <c r="F4263" s="18" t="n">
        <f aca="false">(E4263+G4263)/2</f>
        <v>6.00383941716064</v>
      </c>
      <c r="G4263" s="18" t="n">
        <f aca="false">EXP(-'Black-Scholes'!$B$8*'Black-Scholes'!$B$7)*IF(LOWER('Black-Scholes'!$B$11)="put",MAX('Black-Scholes'!$B$6-D4263,0),MAX(D4263-'Black-Scholes'!$B$6,0))</f>
        <v>0</v>
      </c>
    </row>
    <row r="4264" customFormat="false" ht="15" hidden="false" customHeight="false" outlineLevel="0" collapsed="false">
      <c r="A4264" s="0" t="n">
        <v>4253</v>
      </c>
      <c r="B4264" s="15" t="n">
        <v>-1.18601639351471</v>
      </c>
      <c r="C4264" s="18" t="n">
        <f aca="false">'Black-Scholes'!$B$5*EXP(('Black-Scholes'!$B$8-'Black-Scholes'!$B$10-'Black-Scholes'!$B$9^2/2)*'Black-Scholes'!$B$7+'Black-Scholes'!$B$9*SQRT('Black-Scholes'!$B$7)*B4264)</f>
        <v>81.285439720441</v>
      </c>
      <c r="D4264" s="18" t="n">
        <f aca="false">'Black-Scholes'!$B$5*EXP(('Black-Scholes'!$B$8-'Black-Scholes'!$B$10-'Black-Scholes'!$B$9^2/2)*'Black-Scholes'!$B$7-'Black-Scholes'!$B$9*SQRT('Black-Scholes'!$B$7)*B4264)</f>
        <v>130.630596352466</v>
      </c>
      <c r="E4264" s="18" t="n">
        <f aca="false">EXP(-'Black-Scholes'!$B$8*'Black-Scholes'!$B$7)*IF(LOWER('Black-Scholes'!$B$11)="put",MAX('Black-Scholes'!$B$6-C4264,0),MAX(C4264-'Black-Scholes'!$B$6,0))</f>
        <v>0</v>
      </c>
      <c r="F4264" s="18" t="n">
        <f aca="false">(E4264+G4264)/2</f>
        <v>14.5683622702347</v>
      </c>
      <c r="G4264" s="18" t="n">
        <f aca="false">EXP(-'Black-Scholes'!$B$8*'Black-Scholes'!$B$7)*IF(LOWER('Black-Scholes'!$B$11)="put",MAX('Black-Scholes'!$B$6-D4264,0),MAX(D4264-'Black-Scholes'!$B$6,0))</f>
        <v>29.1367245404695</v>
      </c>
    </row>
    <row r="4265" customFormat="false" ht="15" hidden="false" customHeight="false" outlineLevel="0" collapsed="false">
      <c r="A4265" s="0" t="n">
        <v>4254</v>
      </c>
      <c r="B4265" s="15" t="n">
        <v>0.132457526652811</v>
      </c>
      <c r="C4265" s="18" t="n">
        <f aca="false">'Black-Scholes'!$B$5*EXP(('Black-Scholes'!$B$8-'Black-Scholes'!$B$10-'Black-Scholes'!$B$9^2/2)*'Black-Scholes'!$B$7+'Black-Scholes'!$B$9*SQRT('Black-Scholes'!$B$7)*B4265)</f>
        <v>105.811762640259</v>
      </c>
      <c r="D4265" s="18" t="n">
        <f aca="false">'Black-Scholes'!$B$5*EXP(('Black-Scholes'!$B$8-'Black-Scholes'!$B$10-'Black-Scholes'!$B$9^2/2)*'Black-Scholes'!$B$7-'Black-Scholes'!$B$9*SQRT('Black-Scholes'!$B$7)*B4265)</f>
        <v>100.351465664117</v>
      </c>
      <c r="E4265" s="18" t="n">
        <f aca="false">EXP(-'Black-Scholes'!$B$8*'Black-Scholes'!$B$7)*IF(LOWER('Black-Scholes'!$B$11)="put",MAX('Black-Scholes'!$B$6-C4265,0),MAX(C4265-'Black-Scholes'!$B$6,0))</f>
        <v>5.52831963162803</v>
      </c>
      <c r="F4265" s="18" t="n">
        <f aca="false">(E4265+G4265)/2</f>
        <v>2.9313220565188</v>
      </c>
      <c r="G4265" s="18" t="n">
        <f aca="false">EXP(-'Black-Scholes'!$B$8*'Black-Scholes'!$B$7)*IF(LOWER('Black-Scholes'!$B$11)="put",MAX('Black-Scholes'!$B$6-D4265,0),MAX(D4265-'Black-Scholes'!$B$6,0))</f>
        <v>0.334324481409573</v>
      </c>
    </row>
    <row r="4266" customFormat="false" ht="15" hidden="false" customHeight="false" outlineLevel="0" collapsed="false">
      <c r="A4266" s="0" t="n">
        <v>4255</v>
      </c>
      <c r="B4266" s="15" t="n">
        <v>-0.15717141525115</v>
      </c>
      <c r="C4266" s="18" t="n">
        <f aca="false">'Black-Scholes'!$B$5*EXP(('Black-Scholes'!$B$8-'Black-Scholes'!$B$10-'Black-Scholes'!$B$9^2/2)*'Black-Scholes'!$B$7+'Black-Scholes'!$B$9*SQRT('Black-Scholes'!$B$7)*B4266)</f>
        <v>99.856674504212</v>
      </c>
      <c r="D4266" s="18" t="n">
        <f aca="false">'Black-Scholes'!$B$5*EXP(('Black-Scholes'!$B$8-'Black-Scholes'!$B$10-'Black-Scholes'!$B$9^2/2)*'Black-Scholes'!$B$7-'Black-Scholes'!$B$9*SQRT('Black-Scholes'!$B$7)*B4266)</f>
        <v>106.336061341655</v>
      </c>
      <c r="E4266" s="18" t="n">
        <f aca="false">EXP(-'Black-Scholes'!$B$8*'Black-Scholes'!$B$7)*IF(LOWER('Black-Scholes'!$B$11)="put",MAX('Black-Scholes'!$B$6-C4266,0),MAX(C4266-'Black-Scholes'!$B$6,0))</f>
        <v>0</v>
      </c>
      <c r="F4266" s="18" t="n">
        <f aca="false">(E4266+G4266)/2</f>
        <v>3.01352399181199</v>
      </c>
      <c r="G4266" s="18" t="n">
        <f aca="false">EXP(-'Black-Scholes'!$B$8*'Black-Scholes'!$B$7)*IF(LOWER('Black-Scholes'!$B$11)="put",MAX('Black-Scholes'!$B$6-D4266,0),MAX(D4266-'Black-Scholes'!$B$6,0))</f>
        <v>6.02704798362399</v>
      </c>
    </row>
    <row r="4267" customFormat="false" ht="15" hidden="false" customHeight="false" outlineLevel="0" collapsed="false">
      <c r="A4267" s="0" t="n">
        <v>4256</v>
      </c>
      <c r="B4267" s="15" t="n">
        <v>0.507620502676011</v>
      </c>
      <c r="C4267" s="18" t="n">
        <f aca="false">'Black-Scholes'!$B$5*EXP(('Black-Scholes'!$B$8-'Black-Scholes'!$B$10-'Black-Scholes'!$B$9^2/2)*'Black-Scholes'!$B$7+'Black-Scholes'!$B$9*SQRT('Black-Scholes'!$B$7)*B4267)</f>
        <v>114.05653956276</v>
      </c>
      <c r="D4267" s="18" t="n">
        <f aca="false">'Black-Scholes'!$B$5*EXP(('Black-Scholes'!$B$8-'Black-Scholes'!$B$10-'Black-Scholes'!$B$9^2/2)*'Black-Scholes'!$B$7-'Black-Scholes'!$B$9*SQRT('Black-Scholes'!$B$7)*B4267)</f>
        <v>93.0973840356676</v>
      </c>
      <c r="E4267" s="18" t="n">
        <f aca="false">EXP(-'Black-Scholes'!$B$8*'Black-Scholes'!$B$7)*IF(LOWER('Black-Scholes'!$B$11)="put",MAX('Black-Scholes'!$B$6-C4267,0),MAX(C4267-'Black-Scholes'!$B$6,0))</f>
        <v>13.3709940387558</v>
      </c>
      <c r="F4267" s="18" t="n">
        <f aca="false">(E4267+G4267)/2</f>
        <v>6.6854970193779</v>
      </c>
      <c r="G4267" s="18" t="n">
        <f aca="false">EXP(-'Black-Scholes'!$B$8*'Black-Scholes'!$B$7)*IF(LOWER('Black-Scholes'!$B$11)="put",MAX('Black-Scholes'!$B$6-D4267,0),MAX(D4267-'Black-Scholes'!$B$6,0))</f>
        <v>0</v>
      </c>
    </row>
    <row r="4268" customFormat="false" ht="15" hidden="false" customHeight="false" outlineLevel="0" collapsed="false">
      <c r="A4268" s="0" t="n">
        <v>4257</v>
      </c>
      <c r="B4268" s="15" t="n">
        <v>-1.6355921269806</v>
      </c>
      <c r="C4268" s="18" t="n">
        <f aca="false">'Black-Scholes'!$B$5*EXP(('Black-Scholes'!$B$8-'Black-Scholes'!$B$10-'Black-Scholes'!$B$9^2/2)*'Black-Scholes'!$B$7+'Black-Scholes'!$B$9*SQRT('Black-Scholes'!$B$7)*B4268)</f>
        <v>74.2956022290673</v>
      </c>
      <c r="D4268" s="18" t="n">
        <f aca="false">'Black-Scholes'!$B$5*EXP(('Black-Scholes'!$B$8-'Black-Scholes'!$B$10-'Black-Scholes'!$B$9^2/2)*'Black-Scholes'!$B$7-'Black-Scholes'!$B$9*SQRT('Black-Scholes'!$B$7)*B4268)</f>
        <v>142.920511401404</v>
      </c>
      <c r="E4268" s="18" t="n">
        <f aca="false">EXP(-'Black-Scholes'!$B$8*'Black-Scholes'!$B$7)*IF(LOWER('Black-Scholes'!$B$11)="put",MAX('Black-Scholes'!$B$6-C4268,0),MAX(C4268-'Black-Scholes'!$B$6,0))</f>
        <v>0</v>
      </c>
      <c r="F4268" s="18" t="n">
        <f aca="false">(E4268+G4268)/2</f>
        <v>20.4136266798169</v>
      </c>
      <c r="G4268" s="18" t="n">
        <f aca="false">EXP(-'Black-Scholes'!$B$8*'Black-Scholes'!$B$7)*IF(LOWER('Black-Scholes'!$B$11)="put",MAX('Black-Scholes'!$B$6-D4268,0),MAX(D4268-'Black-Scholes'!$B$6,0))</f>
        <v>40.8272533596339</v>
      </c>
    </row>
    <row r="4269" customFormat="false" ht="15" hidden="false" customHeight="false" outlineLevel="0" collapsed="false">
      <c r="A4269" s="0" t="n">
        <v>4258</v>
      </c>
      <c r="B4269" s="15" t="n">
        <v>0.259678831908522</v>
      </c>
      <c r="C4269" s="18" t="n">
        <f aca="false">'Black-Scholes'!$B$5*EXP(('Black-Scholes'!$B$8-'Black-Scholes'!$B$10-'Black-Scholes'!$B$9^2/2)*'Black-Scholes'!$B$7+'Black-Scholes'!$B$9*SQRT('Black-Scholes'!$B$7)*B4269)</f>
        <v>108.538608931461</v>
      </c>
      <c r="D4269" s="18" t="n">
        <f aca="false">'Black-Scholes'!$B$5*EXP(('Black-Scholes'!$B$8-'Black-Scholes'!$B$10-'Black-Scholes'!$B$9^2/2)*'Black-Scholes'!$B$7-'Black-Scholes'!$B$9*SQRT('Black-Scholes'!$B$7)*B4269)</f>
        <v>97.8303072979202</v>
      </c>
      <c r="E4269" s="18" t="n">
        <f aca="false">EXP(-'Black-Scholes'!$B$8*'Black-Scholes'!$B$7)*IF(LOWER('Black-Scholes'!$B$11)="put",MAX('Black-Scholes'!$B$6-C4269,0),MAX(C4269-'Black-Scholes'!$B$6,0))</f>
        <v>8.12217605991013</v>
      </c>
      <c r="F4269" s="18" t="n">
        <f aca="false">(E4269+G4269)/2</f>
        <v>4.06108802995506</v>
      </c>
      <c r="G4269" s="18" t="n">
        <f aca="false">EXP(-'Black-Scholes'!$B$8*'Black-Scholes'!$B$7)*IF(LOWER('Black-Scholes'!$B$11)="put",MAX('Black-Scholes'!$B$6-D4269,0),MAX(D4269-'Black-Scholes'!$B$6,0))</f>
        <v>0</v>
      </c>
    </row>
    <row r="4270" customFormat="false" ht="15" hidden="false" customHeight="false" outlineLevel="0" collapsed="false">
      <c r="A4270" s="0" t="n">
        <v>4259</v>
      </c>
      <c r="B4270" s="15" t="n">
        <v>-1.91519356939472</v>
      </c>
      <c r="C4270" s="18" t="n">
        <f aca="false">'Black-Scholes'!$B$5*EXP(('Black-Scholes'!$B$8-'Black-Scholes'!$B$10-'Black-Scholes'!$B$9^2/2)*'Black-Scholes'!$B$7+'Black-Scholes'!$B$9*SQRT('Black-Scholes'!$B$7)*B4270)</f>
        <v>70.2549994415321</v>
      </c>
      <c r="D4270" s="18" t="n">
        <f aca="false">'Black-Scholes'!$B$5*EXP(('Black-Scholes'!$B$8-'Black-Scholes'!$B$10-'Black-Scholes'!$B$9^2/2)*'Black-Scholes'!$B$7-'Black-Scholes'!$B$9*SQRT('Black-Scholes'!$B$7)*B4270)</f>
        <v>151.140353709496</v>
      </c>
      <c r="E4270" s="18" t="n">
        <f aca="false">EXP(-'Black-Scholes'!$B$8*'Black-Scholes'!$B$7)*IF(LOWER('Black-Scholes'!$B$11)="put",MAX('Black-Scholes'!$B$6-C4270,0),MAX(C4270-'Black-Scholes'!$B$6,0))</f>
        <v>0</v>
      </c>
      <c r="F4270" s="18" t="n">
        <f aca="false">(E4270+G4270)/2</f>
        <v>24.3231046139234</v>
      </c>
      <c r="G4270" s="18" t="n">
        <f aca="false">EXP(-'Black-Scholes'!$B$8*'Black-Scholes'!$B$7)*IF(LOWER('Black-Scholes'!$B$11)="put",MAX('Black-Scholes'!$B$6-D4270,0),MAX(D4270-'Black-Scholes'!$B$6,0))</f>
        <v>48.6462092278467</v>
      </c>
    </row>
    <row r="4271" customFormat="false" ht="15" hidden="false" customHeight="false" outlineLevel="0" collapsed="false">
      <c r="A4271" s="0" t="n">
        <v>4260</v>
      </c>
      <c r="B4271" s="15" t="n">
        <v>-0.502932358095823</v>
      </c>
      <c r="C4271" s="18" t="n">
        <f aca="false">'Black-Scholes'!$B$5*EXP(('Black-Scholes'!$B$8-'Black-Scholes'!$B$10-'Black-Scholes'!$B$9^2/2)*'Black-Scholes'!$B$7+'Black-Scholes'!$B$9*SQRT('Black-Scholes'!$B$7)*B4271)</f>
        <v>93.1847157709289</v>
      </c>
      <c r="D4271" s="18" t="n">
        <f aca="false">'Black-Scholes'!$B$5*EXP(('Black-Scholes'!$B$8-'Black-Scholes'!$B$10-'Black-Scholes'!$B$9^2/2)*'Black-Scholes'!$B$7-'Black-Scholes'!$B$9*SQRT('Black-Scholes'!$B$7)*B4271)</f>
        <v>113.949646973825</v>
      </c>
      <c r="E4271" s="18" t="n">
        <f aca="false">EXP(-'Black-Scholes'!$B$8*'Black-Scholes'!$B$7)*IF(LOWER('Black-Scholes'!$B$11)="put",MAX('Black-Scholes'!$B$6-C4271,0),MAX(C4271-'Black-Scholes'!$B$6,0))</f>
        <v>0</v>
      </c>
      <c r="F4271" s="18" t="n">
        <f aca="false">(E4271+G4271)/2</f>
        <v>6.63465733144995</v>
      </c>
      <c r="G4271" s="18" t="n">
        <f aca="false">EXP(-'Black-Scholes'!$B$8*'Black-Scholes'!$B$7)*IF(LOWER('Black-Scholes'!$B$11)="put",MAX('Black-Scholes'!$B$6-D4271,0),MAX(D4271-'Black-Scholes'!$B$6,0))</f>
        <v>13.2693146628999</v>
      </c>
    </row>
    <row r="4272" customFormat="false" ht="15" hidden="false" customHeight="false" outlineLevel="0" collapsed="false">
      <c r="A4272" s="0" t="n">
        <v>4261</v>
      </c>
      <c r="B4272" s="15" t="n">
        <v>2.24885086574393</v>
      </c>
      <c r="C4272" s="18" t="n">
        <f aca="false">'Black-Scholes'!$B$5*EXP(('Black-Scholes'!$B$8-'Black-Scholes'!$B$10-'Black-Scholes'!$B$9^2/2)*'Black-Scholes'!$B$7+'Black-Scholes'!$B$9*SQRT('Black-Scholes'!$B$7)*B4272)</f>
        <v>161.570302757927</v>
      </c>
      <c r="D4272" s="18" t="n">
        <f aca="false">'Black-Scholes'!$B$5*EXP(('Black-Scholes'!$B$8-'Black-Scholes'!$B$10-'Black-Scholes'!$B$9^2/2)*'Black-Scholes'!$B$7-'Black-Scholes'!$B$9*SQRT('Black-Scholes'!$B$7)*B4272)</f>
        <v>65.7197844170817</v>
      </c>
      <c r="E4272" s="18" t="n">
        <f aca="false">EXP(-'Black-Scholes'!$B$8*'Black-Scholes'!$B$7)*IF(LOWER('Black-Scholes'!$B$11)="put",MAX('Black-Scholes'!$B$6-C4272,0),MAX(C4272-'Black-Scholes'!$B$6,0))</f>
        <v>58.5674836587578</v>
      </c>
      <c r="F4272" s="18" t="n">
        <f aca="false">(E4272+G4272)/2</f>
        <v>29.2837418293789</v>
      </c>
      <c r="G4272" s="18" t="n">
        <f aca="false">EXP(-'Black-Scholes'!$B$8*'Black-Scholes'!$B$7)*IF(LOWER('Black-Scholes'!$B$11)="put",MAX('Black-Scholes'!$B$6-D4272,0),MAX(D4272-'Black-Scholes'!$B$6,0))</f>
        <v>0</v>
      </c>
    </row>
    <row r="4273" customFormat="false" ht="15" hidden="false" customHeight="false" outlineLevel="0" collapsed="false">
      <c r="A4273" s="0" t="n">
        <v>4262</v>
      </c>
      <c r="B4273" s="15" t="n">
        <v>-0.522068885326112</v>
      </c>
      <c r="C4273" s="18" t="n">
        <f aca="false">'Black-Scholes'!$B$5*EXP(('Black-Scholes'!$B$8-'Black-Scholes'!$B$10-'Black-Scholes'!$B$9^2/2)*'Black-Scholes'!$B$7+'Black-Scholes'!$B$9*SQRT('Black-Scholes'!$B$7)*B4273)</f>
        <v>92.8287510281909</v>
      </c>
      <c r="D4273" s="18" t="n">
        <f aca="false">'Black-Scholes'!$B$5*EXP(('Black-Scholes'!$B$8-'Black-Scholes'!$B$10-'Black-Scholes'!$B$9^2/2)*'Black-Scholes'!$B$7-'Black-Scholes'!$B$9*SQRT('Black-Scholes'!$B$7)*B4273)</f>
        <v>114.386602726443</v>
      </c>
      <c r="E4273" s="18" t="n">
        <f aca="false">EXP(-'Black-Scholes'!$B$8*'Black-Scholes'!$B$7)*IF(LOWER('Black-Scholes'!$B$11)="put",MAX('Black-Scholes'!$B$6-C4273,0),MAX(C4273-'Black-Scholes'!$B$6,0))</f>
        <v>0</v>
      </c>
      <c r="F4273" s="18" t="n">
        <f aca="false">(E4273+G4273)/2</f>
        <v>6.84247991599761</v>
      </c>
      <c r="G4273" s="18" t="n">
        <f aca="false">EXP(-'Black-Scholes'!$B$8*'Black-Scholes'!$B$7)*IF(LOWER('Black-Scholes'!$B$11)="put",MAX('Black-Scholes'!$B$6-D4273,0),MAX(D4273-'Black-Scholes'!$B$6,0))</f>
        <v>13.6849598319952</v>
      </c>
    </row>
    <row r="4274" customFormat="false" ht="15" hidden="false" customHeight="false" outlineLevel="0" collapsed="false">
      <c r="A4274" s="0" t="n">
        <v>4263</v>
      </c>
      <c r="B4274" s="15" t="n">
        <v>-0.34199187738565</v>
      </c>
      <c r="C4274" s="18" t="n">
        <f aca="false">'Black-Scholes'!$B$5*EXP(('Black-Scholes'!$B$8-'Black-Scholes'!$B$10-'Black-Scholes'!$B$9^2/2)*'Black-Scholes'!$B$7+'Black-Scholes'!$B$9*SQRT('Black-Scholes'!$B$7)*B4274)</f>
        <v>96.2329496046615</v>
      </c>
      <c r="D4274" s="18" t="n">
        <f aca="false">'Black-Scholes'!$B$5*EXP(('Black-Scholes'!$B$8-'Black-Scholes'!$B$10-'Black-Scholes'!$B$9^2/2)*'Black-Scholes'!$B$7-'Black-Scholes'!$B$9*SQRT('Black-Scholes'!$B$7)*B4274)</f>
        <v>110.340226596767</v>
      </c>
      <c r="E4274" s="18" t="n">
        <f aca="false">EXP(-'Black-Scholes'!$B$8*'Black-Scholes'!$B$7)*IF(LOWER('Black-Scholes'!$B$11)="put",MAX('Black-Scholes'!$B$6-C4274,0),MAX(C4274-'Black-Scholes'!$B$6,0))</f>
        <v>0</v>
      </c>
      <c r="F4274" s="18" t="n">
        <f aca="false">(E4274+G4274)/2</f>
        <v>4.91796389742474</v>
      </c>
      <c r="G4274" s="18" t="n">
        <f aca="false">EXP(-'Black-Scholes'!$B$8*'Black-Scholes'!$B$7)*IF(LOWER('Black-Scholes'!$B$11)="put",MAX('Black-Scholes'!$B$6-D4274,0),MAX(D4274-'Black-Scholes'!$B$6,0))</f>
        <v>9.83592779484947</v>
      </c>
    </row>
    <row r="4275" customFormat="false" ht="15" hidden="false" customHeight="false" outlineLevel="0" collapsed="false">
      <c r="A4275" s="0" t="n">
        <v>4264</v>
      </c>
      <c r="B4275" s="15" t="n">
        <v>-0.216440693429968</v>
      </c>
      <c r="C4275" s="18" t="n">
        <f aca="false">'Black-Scholes'!$B$5*EXP(('Black-Scholes'!$B$8-'Black-Scholes'!$B$10-'Black-Scholes'!$B$9^2/2)*'Black-Scholes'!$B$7+'Black-Scholes'!$B$9*SQRT('Black-Scholes'!$B$7)*B4275)</f>
        <v>98.6799758866511</v>
      </c>
      <c r="D4275" s="18" t="n">
        <f aca="false">'Black-Scholes'!$B$5*EXP(('Black-Scholes'!$B$8-'Black-Scholes'!$B$10-'Black-Scholes'!$B$9^2/2)*'Black-Scholes'!$B$7-'Black-Scholes'!$B$9*SQRT('Black-Scholes'!$B$7)*B4275)</f>
        <v>107.604054115806</v>
      </c>
      <c r="E4275" s="18" t="n">
        <f aca="false">EXP(-'Black-Scholes'!$B$8*'Black-Scholes'!$B$7)*IF(LOWER('Black-Scholes'!$B$11)="put",MAX('Black-Scholes'!$B$6-C4275,0),MAX(C4275-'Black-Scholes'!$B$6,0))</f>
        <v>0</v>
      </c>
      <c r="F4275" s="18" t="n">
        <f aca="false">(E4275+G4275)/2</f>
        <v>3.61660001022504</v>
      </c>
      <c r="G4275" s="18" t="n">
        <f aca="false">EXP(-'Black-Scholes'!$B$8*'Black-Scholes'!$B$7)*IF(LOWER('Black-Scholes'!$B$11)="put",MAX('Black-Scholes'!$B$6-D4275,0),MAX(D4275-'Black-Scholes'!$B$6,0))</f>
        <v>7.23320002045007</v>
      </c>
    </row>
    <row r="4276" customFormat="false" ht="15" hidden="false" customHeight="false" outlineLevel="0" collapsed="false">
      <c r="A4276" s="0" t="n">
        <v>4265</v>
      </c>
      <c r="B4276" s="15" t="n">
        <v>1.36083476732533</v>
      </c>
      <c r="C4276" s="18" t="n">
        <f aca="false">'Black-Scholes'!$B$5*EXP(('Black-Scholes'!$B$8-'Black-Scholes'!$B$10-'Black-Scholes'!$B$9^2/2)*'Black-Scholes'!$B$7+'Black-Scholes'!$B$9*SQRT('Black-Scholes'!$B$7)*B4276)</f>
        <v>135.278706034432</v>
      </c>
      <c r="D4276" s="18" t="n">
        <f aca="false">'Black-Scholes'!$B$5*EXP(('Black-Scholes'!$B$8-'Black-Scholes'!$B$10-'Black-Scholes'!$B$9^2/2)*'Black-Scholes'!$B$7-'Black-Scholes'!$B$9*SQRT('Black-Scholes'!$B$7)*B4276)</f>
        <v>78.4925120643224</v>
      </c>
      <c r="E4276" s="18" t="n">
        <f aca="false">EXP(-'Black-Scholes'!$B$8*'Black-Scholes'!$B$7)*IF(LOWER('Black-Scholes'!$B$11)="put",MAX('Black-Scholes'!$B$6-C4276,0),MAX(C4276-'Black-Scholes'!$B$6,0))</f>
        <v>33.5581432382629</v>
      </c>
      <c r="F4276" s="18" t="n">
        <f aca="false">(E4276+G4276)/2</f>
        <v>16.7790716191315</v>
      </c>
      <c r="G4276" s="18" t="n">
        <f aca="false">EXP(-'Black-Scholes'!$B$8*'Black-Scholes'!$B$7)*IF(LOWER('Black-Scholes'!$B$11)="put",MAX('Black-Scholes'!$B$6-D4276,0),MAX(D4276-'Black-Scholes'!$B$6,0))</f>
        <v>0</v>
      </c>
    </row>
    <row r="4277" customFormat="false" ht="15" hidden="false" customHeight="false" outlineLevel="0" collapsed="false">
      <c r="A4277" s="0" t="n">
        <v>4266</v>
      </c>
      <c r="B4277" s="15" t="n">
        <v>0.394378876314313</v>
      </c>
      <c r="C4277" s="18" t="n">
        <f aca="false">'Black-Scholes'!$B$5*EXP(('Black-Scholes'!$B$8-'Black-Scholes'!$B$10-'Black-Scholes'!$B$9^2/2)*'Black-Scholes'!$B$7+'Black-Scholes'!$B$9*SQRT('Black-Scholes'!$B$7)*B4277)</f>
        <v>111.502382819573</v>
      </c>
      <c r="D4277" s="18" t="n">
        <f aca="false">'Black-Scholes'!$B$5*EXP(('Black-Scholes'!$B$8-'Black-Scholes'!$B$10-'Black-Scholes'!$B$9^2/2)*'Black-Scholes'!$B$7-'Black-Scholes'!$B$9*SQRT('Black-Scholes'!$B$7)*B4277)</f>
        <v>95.2299421496281</v>
      </c>
      <c r="E4277" s="18" t="n">
        <f aca="false">EXP(-'Black-Scholes'!$B$8*'Black-Scholes'!$B$7)*IF(LOWER('Black-Scholes'!$B$11)="put",MAX('Black-Scholes'!$B$6-C4277,0),MAX(C4277-'Black-Scholes'!$B$6,0))</f>
        <v>10.9414049898491</v>
      </c>
      <c r="F4277" s="18" t="n">
        <f aca="false">(E4277+G4277)/2</f>
        <v>5.47070249492456</v>
      </c>
      <c r="G4277" s="18" t="n">
        <f aca="false">EXP(-'Black-Scholes'!$B$8*'Black-Scholes'!$B$7)*IF(LOWER('Black-Scholes'!$B$11)="put",MAX('Black-Scholes'!$B$6-D4277,0),MAX(D4277-'Black-Scholes'!$B$6,0))</f>
        <v>0</v>
      </c>
    </row>
    <row r="4278" customFormat="false" ht="15" hidden="false" customHeight="false" outlineLevel="0" collapsed="false">
      <c r="A4278" s="0" t="n">
        <v>4267</v>
      </c>
      <c r="B4278" s="15" t="n">
        <v>-0.635893740395676</v>
      </c>
      <c r="C4278" s="18" t="n">
        <f aca="false">'Black-Scholes'!$B$5*EXP(('Black-Scholes'!$B$8-'Black-Scholes'!$B$10-'Black-Scholes'!$B$9^2/2)*'Black-Scholes'!$B$7+'Black-Scholes'!$B$9*SQRT('Black-Scholes'!$B$7)*B4278)</f>
        <v>90.739379673821</v>
      </c>
      <c r="D4278" s="18" t="n">
        <f aca="false">'Black-Scholes'!$B$5*EXP(('Black-Scholes'!$B$8-'Black-Scholes'!$B$10-'Black-Scholes'!$B$9^2/2)*'Black-Scholes'!$B$7-'Black-Scholes'!$B$9*SQRT('Black-Scholes'!$B$7)*B4278)</f>
        <v>117.02047670618</v>
      </c>
      <c r="E4278" s="18" t="n">
        <f aca="false">EXP(-'Black-Scholes'!$B$8*'Black-Scholes'!$B$7)*IF(LOWER('Black-Scholes'!$B$11)="put",MAX('Black-Scholes'!$B$6-C4278,0),MAX(C4278-'Black-Scholes'!$B$6,0))</f>
        <v>0</v>
      </c>
      <c r="F4278" s="18" t="n">
        <f aca="false">(E4278+G4278)/2</f>
        <v>8.09518913097374</v>
      </c>
      <c r="G4278" s="18" t="n">
        <f aca="false">EXP(-'Black-Scholes'!$B$8*'Black-Scholes'!$B$7)*IF(LOWER('Black-Scholes'!$B$11)="put",MAX('Black-Scholes'!$B$6-D4278,0),MAX(D4278-'Black-Scholes'!$B$6,0))</f>
        <v>16.1903782619475</v>
      </c>
    </row>
    <row r="4279" customFormat="false" ht="15" hidden="false" customHeight="false" outlineLevel="0" collapsed="false">
      <c r="A4279" s="0" t="n">
        <v>4268</v>
      </c>
      <c r="B4279" s="15" t="n">
        <v>-2.62524575934027</v>
      </c>
      <c r="C4279" s="18" t="n">
        <f aca="false">'Black-Scholes'!$B$5*EXP(('Black-Scholes'!$B$8-'Black-Scholes'!$B$10-'Black-Scholes'!$B$9^2/2)*'Black-Scholes'!$B$7+'Black-Scholes'!$B$9*SQRT('Black-Scholes'!$B$7)*B4279)</f>
        <v>60.9540946483826</v>
      </c>
      <c r="D4279" s="18" t="n">
        <f aca="false">'Black-Scholes'!$B$5*EXP(('Black-Scholes'!$B$8-'Black-Scholes'!$B$10-'Black-Scholes'!$B$9^2/2)*'Black-Scholes'!$B$7-'Black-Scholes'!$B$9*SQRT('Black-Scholes'!$B$7)*B4279)</f>
        <v>174.202660653173</v>
      </c>
      <c r="E4279" s="18" t="n">
        <f aca="false">EXP(-'Black-Scholes'!$B$8*'Black-Scholes'!$B$7)*IF(LOWER('Black-Scholes'!$B$11)="put",MAX('Black-Scholes'!$B$6-C4279,0),MAX(C4279-'Black-Scholes'!$B$6,0))</f>
        <v>0</v>
      </c>
      <c r="F4279" s="18" t="n">
        <f aca="false">(E4279+G4279)/2</f>
        <v>35.2918770947699</v>
      </c>
      <c r="G4279" s="18" t="n">
        <f aca="false">EXP(-'Black-Scholes'!$B$8*'Black-Scholes'!$B$7)*IF(LOWER('Black-Scholes'!$B$11)="put",MAX('Black-Scholes'!$B$6-D4279,0),MAX(D4279-'Black-Scholes'!$B$6,0))</f>
        <v>70.5837541895399</v>
      </c>
    </row>
    <row r="4280" customFormat="false" ht="15" hidden="false" customHeight="false" outlineLevel="0" collapsed="false">
      <c r="A4280" s="0" t="n">
        <v>4269</v>
      </c>
      <c r="B4280" s="15" t="n">
        <v>-0.667871028604479</v>
      </c>
      <c r="C4280" s="18" t="n">
        <f aca="false">'Black-Scholes'!$B$5*EXP(('Black-Scholes'!$B$8-'Black-Scholes'!$B$10-'Black-Scholes'!$B$9^2/2)*'Black-Scholes'!$B$7+'Black-Scholes'!$B$9*SQRT('Black-Scholes'!$B$7)*B4280)</f>
        <v>90.1609115705047</v>
      </c>
      <c r="D4280" s="18" t="n">
        <f aca="false">'Black-Scholes'!$B$5*EXP(('Black-Scholes'!$B$8-'Black-Scholes'!$B$10-'Black-Scholes'!$B$9^2/2)*'Black-Scholes'!$B$7-'Black-Scholes'!$B$9*SQRT('Black-Scholes'!$B$7)*B4280)</f>
        <v>117.771274496822</v>
      </c>
      <c r="E4280" s="18" t="n">
        <f aca="false">EXP(-'Black-Scholes'!$B$8*'Black-Scholes'!$B$7)*IF(LOWER('Black-Scholes'!$B$11)="put",MAX('Black-Scholes'!$B$6-C4280,0),MAX(C4280-'Black-Scholes'!$B$6,0))</f>
        <v>0</v>
      </c>
      <c r="F4280" s="18" t="n">
        <f aca="false">(E4280+G4280)/2</f>
        <v>8.45227960612808</v>
      </c>
      <c r="G4280" s="18" t="n">
        <f aca="false">EXP(-'Black-Scholes'!$B$8*'Black-Scholes'!$B$7)*IF(LOWER('Black-Scholes'!$B$11)="put",MAX('Black-Scholes'!$B$6-D4280,0),MAX(D4280-'Black-Scholes'!$B$6,0))</f>
        <v>16.9045592122562</v>
      </c>
    </row>
    <row r="4281" customFormat="false" ht="15" hidden="false" customHeight="false" outlineLevel="0" collapsed="false">
      <c r="A4281" s="0" t="n">
        <v>4270</v>
      </c>
      <c r="B4281" s="15" t="n">
        <v>0.00188295995548553</v>
      </c>
      <c r="C4281" s="18" t="n">
        <f aca="false">'Black-Scholes'!$B$5*EXP(('Black-Scholes'!$B$8-'Black-Scholes'!$B$10-'Black-Scholes'!$B$9^2/2)*'Black-Scholes'!$B$7+'Black-Scholes'!$B$9*SQRT('Black-Scholes'!$B$7)*B4281)</f>
        <v>103.084266795769</v>
      </c>
      <c r="D4281" s="18" t="n">
        <f aca="false">'Black-Scholes'!$B$5*EXP(('Black-Scholes'!$B$8-'Black-Scholes'!$B$10-'Black-Scholes'!$B$9^2/2)*'Black-Scholes'!$B$7-'Black-Scholes'!$B$9*SQRT('Black-Scholes'!$B$7)*B4281)</f>
        <v>103.006654608999</v>
      </c>
      <c r="E4281" s="18" t="n">
        <f aca="false">EXP(-'Black-Scholes'!$B$8*'Black-Scholes'!$B$7)*IF(LOWER('Black-Scholes'!$B$11)="put",MAX('Black-Scholes'!$B$6-C4281,0),MAX(C4281-'Black-Scholes'!$B$6,0))</f>
        <v>2.93384532914553</v>
      </c>
      <c r="F4281" s="18" t="n">
        <f aca="false">(E4281+G4281)/2</f>
        <v>2.89693183126788</v>
      </c>
      <c r="G4281" s="18" t="n">
        <f aca="false">EXP(-'Black-Scholes'!$B$8*'Black-Scholes'!$B$7)*IF(LOWER('Black-Scholes'!$B$11)="put",MAX('Black-Scholes'!$B$6-D4281,0),MAX(D4281-'Black-Scholes'!$B$6,0))</f>
        <v>2.86001833339023</v>
      </c>
    </row>
    <row r="4282" customFormat="false" ht="15" hidden="false" customHeight="false" outlineLevel="0" collapsed="false">
      <c r="A4282" s="0" t="n">
        <v>4271</v>
      </c>
      <c r="B4282" s="15" t="n">
        <v>-0.0484185757679924</v>
      </c>
      <c r="C4282" s="18" t="n">
        <f aca="false">'Black-Scholes'!$B$5*EXP(('Black-Scholes'!$B$8-'Black-Scholes'!$B$10-'Black-Scholes'!$B$9^2/2)*'Black-Scholes'!$B$7+'Black-Scholes'!$B$9*SQRT('Black-Scholes'!$B$7)*B4282)</f>
        <v>102.052406528475</v>
      </c>
      <c r="D4282" s="18" t="n">
        <f aca="false">'Black-Scholes'!$B$5*EXP(('Black-Scholes'!$B$8-'Black-Scholes'!$B$10-'Black-Scholes'!$B$9^2/2)*'Black-Scholes'!$B$7-'Black-Scholes'!$B$9*SQRT('Black-Scholes'!$B$7)*B4282)</f>
        <v>104.048163357038</v>
      </c>
      <c r="E4282" s="18" t="n">
        <f aca="false">EXP(-'Black-Scholes'!$B$8*'Black-Scholes'!$B$7)*IF(LOWER('Black-Scholes'!$B$11)="put",MAX('Black-Scholes'!$B$6-C4282,0),MAX(C4282-'Black-Scholes'!$B$6,0))</f>
        <v>1.95230948092266</v>
      </c>
      <c r="F4282" s="18" t="n">
        <f aca="false">(E4282+G4282)/2</f>
        <v>2.90152079066136</v>
      </c>
      <c r="G4282" s="18" t="n">
        <f aca="false">EXP(-'Black-Scholes'!$B$8*'Black-Scholes'!$B$7)*IF(LOWER('Black-Scholes'!$B$11)="put",MAX('Black-Scholes'!$B$6-D4282,0),MAX(D4282-'Black-Scholes'!$B$6,0))</f>
        <v>3.85073210040005</v>
      </c>
    </row>
    <row r="4283" customFormat="false" ht="15" hidden="false" customHeight="false" outlineLevel="0" collapsed="false">
      <c r="A4283" s="0" t="n">
        <v>4272</v>
      </c>
      <c r="B4283" s="15" t="n">
        <v>-0.0458655571077619</v>
      </c>
      <c r="C4283" s="18" t="n">
        <f aca="false">'Black-Scholes'!$B$5*EXP(('Black-Scholes'!$B$8-'Black-Scholes'!$B$10-'Black-Scholes'!$B$9^2/2)*'Black-Scholes'!$B$7+'Black-Scholes'!$B$9*SQRT('Black-Scholes'!$B$7)*B4283)</f>
        <v>102.104528173733</v>
      </c>
      <c r="D4283" s="18" t="n">
        <f aca="false">'Black-Scholes'!$B$5*EXP(('Black-Scholes'!$B$8-'Black-Scholes'!$B$10-'Black-Scholes'!$B$9^2/2)*'Black-Scholes'!$B$7-'Black-Scholes'!$B$9*SQRT('Black-Scholes'!$B$7)*B4283)</f>
        <v>103.995049537726</v>
      </c>
      <c r="E4283" s="18" t="n">
        <f aca="false">EXP(-'Black-Scholes'!$B$8*'Black-Scholes'!$B$7)*IF(LOWER('Black-Scholes'!$B$11)="put",MAX('Black-Scholes'!$B$6-C4283,0),MAX(C4283-'Black-Scholes'!$B$6,0))</f>
        <v>2.00188912354604</v>
      </c>
      <c r="F4283" s="18" t="n">
        <f aca="false">(E4283+G4283)/2</f>
        <v>2.9010488980847</v>
      </c>
      <c r="G4283" s="18" t="n">
        <f aca="false">EXP(-'Black-Scholes'!$B$8*'Black-Scholes'!$B$7)*IF(LOWER('Black-Scholes'!$B$11)="put",MAX('Black-Scholes'!$B$6-D4283,0),MAX(D4283-'Black-Scholes'!$B$6,0))</f>
        <v>3.80020867262336</v>
      </c>
    </row>
    <row r="4284" customFormat="false" ht="15" hidden="false" customHeight="false" outlineLevel="0" collapsed="false">
      <c r="A4284" s="0" t="n">
        <v>4273</v>
      </c>
      <c r="B4284" s="15" t="n">
        <v>-0.656443680033284</v>
      </c>
      <c r="C4284" s="18" t="n">
        <f aca="false">'Black-Scholes'!$B$5*EXP(('Black-Scholes'!$B$8-'Black-Scholes'!$B$10-'Black-Scholes'!$B$9^2/2)*'Black-Scholes'!$B$7+'Black-Scholes'!$B$9*SQRT('Black-Scholes'!$B$7)*B4284)</f>
        <v>90.3672072547799</v>
      </c>
      <c r="D4284" s="18" t="n">
        <f aca="false">'Black-Scholes'!$B$5*EXP(('Black-Scholes'!$B$8-'Black-Scholes'!$B$10-'Black-Scholes'!$B$9^2/2)*'Black-Scholes'!$B$7-'Black-Scholes'!$B$9*SQRT('Black-Scholes'!$B$7)*B4284)</f>
        <v>117.502419163141</v>
      </c>
      <c r="E4284" s="18" t="n">
        <f aca="false">EXP(-'Black-Scholes'!$B$8*'Black-Scholes'!$B$7)*IF(LOWER('Black-Scholes'!$B$11)="put",MAX('Black-Scholes'!$B$6-C4284,0),MAX(C4284-'Black-Scholes'!$B$6,0))</f>
        <v>0</v>
      </c>
      <c r="F4284" s="18" t="n">
        <f aca="false">(E4284+G4284)/2</f>
        <v>8.32440805396249</v>
      </c>
      <c r="G4284" s="18" t="n">
        <f aca="false">EXP(-'Black-Scholes'!$B$8*'Black-Scholes'!$B$7)*IF(LOWER('Black-Scholes'!$B$11)="put",MAX('Black-Scholes'!$B$6-D4284,0),MAX(D4284-'Black-Scholes'!$B$6,0))</f>
        <v>16.648816107925</v>
      </c>
    </row>
    <row r="4285" customFormat="false" ht="15" hidden="false" customHeight="false" outlineLevel="0" collapsed="false">
      <c r="A4285" s="0" t="n">
        <v>4274</v>
      </c>
      <c r="B4285" s="15" t="n">
        <v>-1.46825369127698</v>
      </c>
      <c r="C4285" s="18" t="n">
        <f aca="false">'Black-Scholes'!$B$5*EXP(('Black-Scholes'!$B$8-'Black-Scholes'!$B$10-'Black-Scholes'!$B$9^2/2)*'Black-Scholes'!$B$7+'Black-Scholes'!$B$9*SQRT('Black-Scholes'!$B$7)*B4285)</f>
        <v>76.8241810280582</v>
      </c>
      <c r="D4285" s="18" t="n">
        <f aca="false">'Black-Scholes'!$B$5*EXP(('Black-Scholes'!$B$8-'Black-Scholes'!$B$10-'Black-Scholes'!$B$9^2/2)*'Black-Scholes'!$B$7-'Black-Scholes'!$B$9*SQRT('Black-Scholes'!$B$7)*B4285)</f>
        <v>138.216448562927</v>
      </c>
      <c r="E4285" s="18" t="n">
        <f aca="false">EXP(-'Black-Scholes'!$B$8*'Black-Scholes'!$B$7)*IF(LOWER('Black-Scholes'!$B$11)="put",MAX('Black-Scholes'!$B$6-C4285,0),MAX(C4285-'Black-Scholes'!$B$6,0))</f>
        <v>0</v>
      </c>
      <c r="F4285" s="18" t="n">
        <f aca="false">(E4285+G4285)/2</f>
        <v>18.1763051864871</v>
      </c>
      <c r="G4285" s="18" t="n">
        <f aca="false">EXP(-'Black-Scholes'!$B$8*'Black-Scholes'!$B$7)*IF(LOWER('Black-Scholes'!$B$11)="put",MAX('Black-Scholes'!$B$6-D4285,0),MAX(D4285-'Black-Scholes'!$B$6,0))</f>
        <v>36.3526103729742</v>
      </c>
    </row>
    <row r="4286" customFormat="false" ht="15" hidden="false" customHeight="false" outlineLevel="0" collapsed="false">
      <c r="A4286" s="0" t="n">
        <v>4275</v>
      </c>
      <c r="B4286" s="15" t="n">
        <v>0.371917503311001</v>
      </c>
      <c r="C4286" s="18" t="n">
        <f aca="false">'Black-Scholes'!$B$5*EXP(('Black-Scholes'!$B$8-'Black-Scholes'!$B$10-'Black-Scholes'!$B$9^2/2)*'Black-Scholes'!$B$7+'Black-Scholes'!$B$9*SQRT('Black-Scholes'!$B$7)*B4286)</f>
        <v>111.002606903125</v>
      </c>
      <c r="D4286" s="18" t="n">
        <f aca="false">'Black-Scholes'!$B$5*EXP(('Black-Scholes'!$B$8-'Black-Scholes'!$B$10-'Black-Scholes'!$B$9^2/2)*'Black-Scholes'!$B$7-'Black-Scholes'!$B$9*SQRT('Black-Scholes'!$B$7)*B4286)</f>
        <v>95.6587035358595</v>
      </c>
      <c r="E4286" s="18" t="n">
        <f aca="false">EXP(-'Black-Scholes'!$B$8*'Black-Scholes'!$B$7)*IF(LOWER('Black-Scholes'!$B$11)="put",MAX('Black-Scholes'!$B$6-C4286,0),MAX(C4286-'Black-Scholes'!$B$6,0))</f>
        <v>10.4660034324673</v>
      </c>
      <c r="F4286" s="18" t="n">
        <f aca="false">(E4286+G4286)/2</f>
        <v>5.23300171623366</v>
      </c>
      <c r="G4286" s="18" t="n">
        <f aca="false">EXP(-'Black-Scholes'!$B$8*'Black-Scholes'!$B$7)*IF(LOWER('Black-Scholes'!$B$11)="put",MAX('Black-Scholes'!$B$6-D4286,0),MAX(D4286-'Black-Scholes'!$B$6,0))</f>
        <v>0</v>
      </c>
    </row>
    <row r="4287" customFormat="false" ht="15" hidden="false" customHeight="false" outlineLevel="0" collapsed="false">
      <c r="A4287" s="0" t="n">
        <v>4276</v>
      </c>
      <c r="B4287" s="15" t="n">
        <v>1.75558303536061</v>
      </c>
      <c r="C4287" s="18" t="n">
        <f aca="false">'Black-Scholes'!$B$5*EXP(('Black-Scholes'!$B$8-'Black-Scholes'!$B$10-'Black-Scholes'!$B$9^2/2)*'Black-Scholes'!$B$7+'Black-Scholes'!$B$9*SQRT('Black-Scholes'!$B$7)*B4287)</f>
        <v>146.391829868415</v>
      </c>
      <c r="D4287" s="18" t="n">
        <f aca="false">'Black-Scholes'!$B$5*EXP(('Black-Scholes'!$B$8-'Black-Scholes'!$B$10-'Black-Scholes'!$B$9^2/2)*'Black-Scholes'!$B$7-'Black-Scholes'!$B$9*SQRT('Black-Scholes'!$B$7)*B4287)</f>
        <v>72.5338666440468</v>
      </c>
      <c r="E4287" s="18" t="n">
        <f aca="false">EXP(-'Black-Scholes'!$B$8*'Black-Scholes'!$B$7)*IF(LOWER('Black-Scholes'!$B$11)="put",MAX('Black-Scholes'!$B$6-C4287,0),MAX(C4287-'Black-Scholes'!$B$6,0))</f>
        <v>44.1292736272675</v>
      </c>
      <c r="F4287" s="18" t="n">
        <f aca="false">(E4287+G4287)/2</f>
        <v>22.0646368136337</v>
      </c>
      <c r="G4287" s="18" t="n">
        <f aca="false">EXP(-'Black-Scholes'!$B$8*'Black-Scholes'!$B$7)*IF(LOWER('Black-Scholes'!$B$11)="put",MAX('Black-Scholes'!$B$6-D4287,0),MAX(D4287-'Black-Scholes'!$B$6,0))</f>
        <v>0</v>
      </c>
    </row>
    <row r="4288" customFormat="false" ht="15" hidden="false" customHeight="false" outlineLevel="0" collapsed="false">
      <c r="A4288" s="0" t="n">
        <v>4277</v>
      </c>
      <c r="B4288" s="15" t="n">
        <v>-0.846685476809335</v>
      </c>
      <c r="C4288" s="18" t="n">
        <f aca="false">'Black-Scholes'!$B$5*EXP(('Black-Scholes'!$B$8-'Black-Scholes'!$B$10-'Black-Scholes'!$B$9^2/2)*'Black-Scholes'!$B$7+'Black-Scholes'!$B$9*SQRT('Black-Scholes'!$B$7)*B4288)</f>
        <v>86.993472806397</v>
      </c>
      <c r="D4288" s="18" t="n">
        <f aca="false">'Black-Scholes'!$B$5*EXP(('Black-Scholes'!$B$8-'Black-Scholes'!$B$10-'Black-Scholes'!$B$9^2/2)*'Black-Scholes'!$B$7-'Black-Scholes'!$B$9*SQRT('Black-Scholes'!$B$7)*B4288)</f>
        <v>122.059335291564</v>
      </c>
      <c r="E4288" s="18" t="n">
        <f aca="false">EXP(-'Black-Scholes'!$B$8*'Black-Scholes'!$B$7)*IF(LOWER('Black-Scholes'!$B$11)="put",MAX('Black-Scholes'!$B$6-C4288,0),MAX(C4288-'Black-Scholes'!$B$6,0))</f>
        <v>0</v>
      </c>
      <c r="F4288" s="18" t="n">
        <f aca="false">(E4288+G4288)/2</f>
        <v>10.4917444071315</v>
      </c>
      <c r="G4288" s="18" t="n">
        <f aca="false">EXP(-'Black-Scholes'!$B$8*'Black-Scholes'!$B$7)*IF(LOWER('Black-Scholes'!$B$11)="put",MAX('Black-Scholes'!$B$6-D4288,0),MAX(D4288-'Black-Scholes'!$B$6,0))</f>
        <v>20.983488814263</v>
      </c>
    </row>
    <row r="4289" customFormat="false" ht="15" hidden="false" customHeight="false" outlineLevel="0" collapsed="false">
      <c r="A4289" s="0" t="n">
        <v>4278</v>
      </c>
      <c r="B4289" s="15" t="n">
        <v>-0.777533600553634</v>
      </c>
      <c r="C4289" s="18" t="n">
        <f aca="false">'Black-Scholes'!$B$5*EXP(('Black-Scholes'!$B$8-'Black-Scholes'!$B$10-'Black-Scholes'!$B$9^2/2)*'Black-Scholes'!$B$7+'Black-Scholes'!$B$9*SQRT('Black-Scholes'!$B$7)*B4289)</f>
        <v>88.2049836934546</v>
      </c>
      <c r="D4289" s="18" t="n">
        <f aca="false">'Black-Scholes'!$B$5*EXP(('Black-Scholes'!$B$8-'Black-Scholes'!$B$10-'Black-Scholes'!$B$9^2/2)*'Black-Scholes'!$B$7-'Black-Scholes'!$B$9*SQRT('Black-Scholes'!$B$7)*B4289)</f>
        <v>120.382828960735</v>
      </c>
      <c r="E4289" s="18" t="n">
        <f aca="false">EXP(-'Black-Scholes'!$B$8*'Black-Scholes'!$B$7)*IF(LOWER('Black-Scholes'!$B$11)="put",MAX('Black-Scholes'!$B$6-C4289,0),MAX(C4289-'Black-Scholes'!$B$6,0))</f>
        <v>0</v>
      </c>
      <c r="F4289" s="18" t="n">
        <f aca="false">(E4289+G4289)/2</f>
        <v>9.69437333100842</v>
      </c>
      <c r="G4289" s="18" t="n">
        <f aca="false">EXP(-'Black-Scholes'!$B$8*'Black-Scholes'!$B$7)*IF(LOWER('Black-Scholes'!$B$11)="put",MAX('Black-Scholes'!$B$6-D4289,0),MAX(D4289-'Black-Scholes'!$B$6,0))</f>
        <v>19.3887466620168</v>
      </c>
    </row>
    <row r="4290" customFormat="false" ht="15" hidden="false" customHeight="false" outlineLevel="0" collapsed="false">
      <c r="A4290" s="0" t="n">
        <v>4279</v>
      </c>
      <c r="B4290" s="15" t="n">
        <v>-0.959802748531956</v>
      </c>
      <c r="C4290" s="18" t="n">
        <f aca="false">'Black-Scholes'!$B$5*EXP(('Black-Scholes'!$B$8-'Black-Scholes'!$B$10-'Black-Scholes'!$B$9^2/2)*'Black-Scholes'!$B$7+'Black-Scholes'!$B$9*SQRT('Black-Scholes'!$B$7)*B4290)</f>
        <v>85.047475535724</v>
      </c>
      <c r="D4290" s="18" t="n">
        <f aca="false">'Black-Scholes'!$B$5*EXP(('Black-Scholes'!$B$8-'Black-Scholes'!$B$10-'Black-Scholes'!$B$9^2/2)*'Black-Scholes'!$B$7-'Black-Scholes'!$B$9*SQRT('Black-Scholes'!$B$7)*B4290)</f>
        <v>124.852212232841</v>
      </c>
      <c r="E4290" s="18" t="n">
        <f aca="false">EXP(-'Black-Scholes'!$B$8*'Black-Scholes'!$B$7)*IF(LOWER('Black-Scholes'!$B$11)="put",MAX('Black-Scholes'!$B$6-C4290,0),MAX(C4290-'Black-Scholes'!$B$6,0))</f>
        <v>0</v>
      </c>
      <c r="F4290" s="18" t="n">
        <f aca="false">(E4290+G4290)/2</f>
        <v>11.8200777699077</v>
      </c>
      <c r="G4290" s="18" t="n">
        <f aca="false">EXP(-'Black-Scholes'!$B$8*'Black-Scholes'!$B$7)*IF(LOWER('Black-Scholes'!$B$11)="put",MAX('Black-Scholes'!$B$6-D4290,0),MAX(D4290-'Black-Scholes'!$B$6,0))</f>
        <v>23.6401555398154</v>
      </c>
    </row>
    <row r="4291" customFormat="false" ht="15" hidden="false" customHeight="false" outlineLevel="0" collapsed="false">
      <c r="A4291" s="0" t="n">
        <v>4280</v>
      </c>
      <c r="B4291" s="15" t="n">
        <v>-0.0135332052307445</v>
      </c>
      <c r="C4291" s="18" t="n">
        <f aca="false">'Black-Scholes'!$B$5*EXP(('Black-Scholes'!$B$8-'Black-Scholes'!$B$10-'Black-Scholes'!$B$9^2/2)*'Black-Scholes'!$B$7+'Black-Scholes'!$B$9*SQRT('Black-Scholes'!$B$7)*B4291)</f>
        <v>102.766923451902</v>
      </c>
      <c r="D4291" s="18" t="n">
        <f aca="false">'Black-Scholes'!$B$5*EXP(('Black-Scholes'!$B$8-'Black-Scholes'!$B$10-'Black-Scholes'!$B$9^2/2)*'Black-Scholes'!$B$7-'Black-Scholes'!$B$9*SQRT('Black-Scholes'!$B$7)*B4291)</f>
        <v>103.324738240542</v>
      </c>
      <c r="E4291" s="18" t="n">
        <f aca="false">EXP(-'Black-Scholes'!$B$8*'Black-Scholes'!$B$7)*IF(LOWER('Black-Scholes'!$B$11)="put",MAX('Black-Scholes'!$B$6-C4291,0),MAX(C4291-'Black-Scholes'!$B$6,0))</f>
        <v>2.63197900279015</v>
      </c>
      <c r="F4291" s="18" t="n">
        <f aca="false">(E4291+G4291)/2</f>
        <v>2.89728392297829</v>
      </c>
      <c r="G4291" s="18" t="n">
        <f aca="false">EXP(-'Black-Scholes'!$B$8*'Black-Scholes'!$B$7)*IF(LOWER('Black-Scholes'!$B$11)="put",MAX('Black-Scholes'!$B$6-D4291,0),MAX(D4291-'Black-Scholes'!$B$6,0))</f>
        <v>3.16258884316644</v>
      </c>
    </row>
    <row r="4292" customFormat="false" ht="15" hidden="false" customHeight="false" outlineLevel="0" collapsed="false">
      <c r="A4292" s="0" t="n">
        <v>4281</v>
      </c>
      <c r="B4292" s="15" t="n">
        <v>1.04996305617381</v>
      </c>
      <c r="C4292" s="18" t="n">
        <f aca="false">'Black-Scholes'!$B$5*EXP(('Black-Scholes'!$B$8-'Black-Scholes'!$B$10-'Black-Scholes'!$B$9^2/2)*'Black-Scholes'!$B$7+'Black-Scholes'!$B$9*SQRT('Black-Scholes'!$B$7)*B4292)</f>
        <v>127.123975739458</v>
      </c>
      <c r="D4292" s="18" t="n">
        <f aca="false">'Black-Scholes'!$B$5*EXP(('Black-Scholes'!$B$8-'Black-Scholes'!$B$10-'Black-Scholes'!$B$9^2/2)*'Black-Scholes'!$B$7-'Black-Scholes'!$B$9*SQRT('Black-Scholes'!$B$7)*B4292)</f>
        <v>83.5276383049574</v>
      </c>
      <c r="E4292" s="18" t="n">
        <f aca="false">EXP(-'Black-Scholes'!$B$8*'Black-Scholes'!$B$7)*IF(LOWER('Black-Scholes'!$B$11)="put",MAX('Black-Scholes'!$B$6-C4292,0),MAX(C4292-'Black-Scholes'!$B$6,0))</f>
        <v>25.8011238328156</v>
      </c>
      <c r="F4292" s="18" t="n">
        <f aca="false">(E4292+G4292)/2</f>
        <v>12.9005619164078</v>
      </c>
      <c r="G4292" s="18" t="n">
        <f aca="false">EXP(-'Black-Scholes'!$B$8*'Black-Scholes'!$B$7)*IF(LOWER('Black-Scholes'!$B$11)="put",MAX('Black-Scholes'!$B$6-D4292,0),MAX(D4292-'Black-Scholes'!$B$6,0))</f>
        <v>0</v>
      </c>
    </row>
    <row r="4293" customFormat="false" ht="15" hidden="false" customHeight="false" outlineLevel="0" collapsed="false">
      <c r="A4293" s="0" t="n">
        <v>4282</v>
      </c>
      <c r="B4293" s="15" t="n">
        <v>0.165598820842917</v>
      </c>
      <c r="C4293" s="18" t="n">
        <f aca="false">'Black-Scholes'!$B$5*EXP(('Black-Scholes'!$B$8-'Black-Scholes'!$B$10-'Black-Scholes'!$B$9^2/2)*'Black-Scholes'!$B$7+'Black-Scholes'!$B$9*SQRT('Black-Scholes'!$B$7)*B4293)</f>
        <v>106.515439892361</v>
      </c>
      <c r="D4293" s="18" t="n">
        <f aca="false">'Black-Scholes'!$B$5*EXP(('Black-Scholes'!$B$8-'Black-Scholes'!$B$10-'Black-Scholes'!$B$9^2/2)*'Black-Scholes'!$B$7-'Black-Scholes'!$B$9*SQRT('Black-Scholes'!$B$7)*B4293)</f>
        <v>99.6885097238855</v>
      </c>
      <c r="E4293" s="18" t="n">
        <f aca="false">EXP(-'Black-Scholes'!$B$8*'Black-Scholes'!$B$7)*IF(LOWER('Black-Scholes'!$B$11)="put",MAX('Black-Scholes'!$B$6-C4293,0),MAX(C4293-'Black-Scholes'!$B$6,0))</f>
        <v>6.19767813917981</v>
      </c>
      <c r="F4293" s="18" t="n">
        <f aca="false">(E4293+G4293)/2</f>
        <v>3.0988390695899</v>
      </c>
      <c r="G4293" s="18" t="n">
        <f aca="false">EXP(-'Black-Scholes'!$B$8*'Black-Scholes'!$B$7)*IF(LOWER('Black-Scholes'!$B$11)="put",MAX('Black-Scholes'!$B$6-D4293,0),MAX(D4293-'Black-Scholes'!$B$6,0))</f>
        <v>0</v>
      </c>
    </row>
    <row r="4294" customFormat="false" ht="15" hidden="false" customHeight="false" outlineLevel="0" collapsed="false">
      <c r="A4294" s="0" t="n">
        <v>4283</v>
      </c>
      <c r="B4294" s="15" t="n">
        <v>0.551438653134607</v>
      </c>
      <c r="C4294" s="18" t="n">
        <f aca="false">'Black-Scholes'!$B$5*EXP(('Black-Scholes'!$B$8-'Black-Scholes'!$B$10-'Black-Scholes'!$B$9^2/2)*'Black-Scholes'!$B$7+'Black-Scholes'!$B$9*SQRT('Black-Scholes'!$B$7)*B4294)</f>
        <v>115.060481547803</v>
      </c>
      <c r="D4294" s="18" t="n">
        <f aca="false">'Black-Scholes'!$B$5*EXP(('Black-Scholes'!$B$8-'Black-Scholes'!$B$10-'Black-Scholes'!$B$9^2/2)*'Black-Scholes'!$B$7-'Black-Scholes'!$B$9*SQRT('Black-Scholes'!$B$7)*B4294)</f>
        <v>92.2850775749804</v>
      </c>
      <c r="E4294" s="18" t="n">
        <f aca="false">EXP(-'Black-Scholes'!$B$8*'Black-Scholes'!$B$7)*IF(LOWER('Black-Scholes'!$B$11)="put",MAX('Black-Scholes'!$B$6-C4294,0),MAX(C4294-'Black-Scholes'!$B$6,0))</f>
        <v>14.3259731954203</v>
      </c>
      <c r="F4294" s="18" t="n">
        <f aca="false">(E4294+G4294)/2</f>
        <v>7.16298659771013</v>
      </c>
      <c r="G4294" s="18" t="n">
        <f aca="false">EXP(-'Black-Scholes'!$B$8*'Black-Scholes'!$B$7)*IF(LOWER('Black-Scholes'!$B$11)="put",MAX('Black-Scholes'!$B$6-D4294,0),MAX(D4294-'Black-Scholes'!$B$6,0))</f>
        <v>0</v>
      </c>
    </row>
    <row r="4295" customFormat="false" ht="15" hidden="false" customHeight="false" outlineLevel="0" collapsed="false">
      <c r="A4295" s="0" t="n">
        <v>4284</v>
      </c>
      <c r="B4295" s="15" t="n">
        <v>0.59267789841808</v>
      </c>
      <c r="C4295" s="18" t="n">
        <f aca="false">'Black-Scholes'!$B$5*EXP(('Black-Scholes'!$B$8-'Black-Scholes'!$B$10-'Black-Scholes'!$B$9^2/2)*'Black-Scholes'!$B$7+'Black-Scholes'!$B$9*SQRT('Black-Scholes'!$B$7)*B4295)</f>
        <v>116.013407424343</v>
      </c>
      <c r="D4295" s="18" t="n">
        <f aca="false">'Black-Scholes'!$B$5*EXP(('Black-Scholes'!$B$8-'Black-Scholes'!$B$10-'Black-Scholes'!$B$9^2/2)*'Black-Scholes'!$B$7-'Black-Scholes'!$B$9*SQRT('Black-Scholes'!$B$7)*B4295)</f>
        <v>91.5270545120245</v>
      </c>
      <c r="E4295" s="18" t="n">
        <f aca="false">EXP(-'Black-Scholes'!$B$8*'Black-Scholes'!$B$7)*IF(LOWER('Black-Scholes'!$B$11)="put",MAX('Black-Scholes'!$B$6-C4295,0),MAX(C4295-'Black-Scholes'!$B$6,0))</f>
        <v>15.2324243285537</v>
      </c>
      <c r="F4295" s="18" t="n">
        <f aca="false">(E4295+G4295)/2</f>
        <v>7.61621216427684</v>
      </c>
      <c r="G4295" s="18" t="n">
        <f aca="false">EXP(-'Black-Scholes'!$B$8*'Black-Scholes'!$B$7)*IF(LOWER('Black-Scholes'!$B$11)="put",MAX('Black-Scholes'!$B$6-D4295,0),MAX(D4295-'Black-Scholes'!$B$6,0))</f>
        <v>0</v>
      </c>
    </row>
    <row r="4296" customFormat="false" ht="15" hidden="false" customHeight="false" outlineLevel="0" collapsed="false">
      <c r="A4296" s="0" t="n">
        <v>4285</v>
      </c>
      <c r="B4296" s="15" t="n">
        <v>-1.18920995830069</v>
      </c>
      <c r="C4296" s="18" t="n">
        <f aca="false">'Black-Scholes'!$B$5*EXP(('Black-Scholes'!$B$8-'Black-Scholes'!$B$10-'Black-Scholes'!$B$9^2/2)*'Black-Scholes'!$B$7+'Black-Scholes'!$B$9*SQRT('Black-Scholes'!$B$7)*B4296)</f>
        <v>81.2335382337007</v>
      </c>
      <c r="D4296" s="18" t="n">
        <f aca="false">'Black-Scholes'!$B$5*EXP(('Black-Scholes'!$B$8-'Black-Scholes'!$B$10-'Black-Scholes'!$B$9^2/2)*'Black-Scholes'!$B$7-'Black-Scholes'!$B$9*SQRT('Black-Scholes'!$B$7)*B4296)</f>
        <v>130.714058458289</v>
      </c>
      <c r="E4296" s="18" t="n">
        <f aca="false">EXP(-'Black-Scholes'!$B$8*'Black-Scholes'!$B$7)*IF(LOWER('Black-Scholes'!$B$11)="put",MAX('Black-Scholes'!$B$6-C4296,0),MAX(C4296-'Black-Scholes'!$B$6,0))</f>
        <v>0</v>
      </c>
      <c r="F4296" s="18" t="n">
        <f aca="false">(E4296+G4296)/2</f>
        <v>14.6080580756797</v>
      </c>
      <c r="G4296" s="18" t="n">
        <f aca="false">EXP(-'Black-Scholes'!$B$8*'Black-Scholes'!$B$7)*IF(LOWER('Black-Scholes'!$B$11)="put",MAX('Black-Scholes'!$B$6-D4296,0),MAX(D4296-'Black-Scholes'!$B$6,0))</f>
        <v>29.2161161513594</v>
      </c>
    </row>
    <row r="4297" customFormat="false" ht="15" hidden="false" customHeight="false" outlineLevel="0" collapsed="false">
      <c r="A4297" s="0" t="n">
        <v>4286</v>
      </c>
      <c r="B4297" s="15" t="n">
        <v>-0.57239945273061</v>
      </c>
      <c r="C4297" s="18" t="n">
        <f aca="false">'Black-Scholes'!$B$5*EXP(('Black-Scholes'!$B$8-'Black-Scholes'!$B$10-'Black-Scholes'!$B$9^2/2)*'Black-Scholes'!$B$7+'Black-Scholes'!$B$9*SQRT('Black-Scholes'!$B$7)*B4297)</f>
        <v>91.8990135580764</v>
      </c>
      <c r="D4297" s="18" t="n">
        <f aca="false">'Black-Scholes'!$B$5*EXP(('Black-Scholes'!$B$8-'Black-Scholes'!$B$10-'Black-Scholes'!$B$9^2/2)*'Black-Scholes'!$B$7-'Black-Scholes'!$B$9*SQRT('Black-Scholes'!$B$7)*B4297)</f>
        <v>115.543845949372</v>
      </c>
      <c r="E4297" s="18" t="n">
        <f aca="false">EXP(-'Black-Scholes'!$B$8*'Black-Scholes'!$B$7)*IF(LOWER('Black-Scholes'!$B$11)="put",MAX('Black-Scholes'!$B$6-C4297,0),MAX(C4297-'Black-Scholes'!$B$6,0))</f>
        <v>0</v>
      </c>
      <c r="F4297" s="18" t="n">
        <f aca="false">(E4297+G4297)/2</f>
        <v>7.3928818184743</v>
      </c>
      <c r="G4297" s="18" t="n">
        <f aca="false">EXP(-'Black-Scholes'!$B$8*'Black-Scholes'!$B$7)*IF(LOWER('Black-Scholes'!$B$11)="put",MAX('Black-Scholes'!$B$6-D4297,0),MAX(D4297-'Black-Scholes'!$B$6,0))</f>
        <v>14.7857636369486</v>
      </c>
    </row>
    <row r="4298" customFormat="false" ht="15" hidden="false" customHeight="false" outlineLevel="0" collapsed="false">
      <c r="A4298" s="0" t="n">
        <v>4287</v>
      </c>
      <c r="B4298" s="15" t="n">
        <v>-1.40114938122739</v>
      </c>
      <c r="C4298" s="18" t="n">
        <f aca="false">'Black-Scholes'!$B$5*EXP(('Black-Scholes'!$B$8-'Black-Scholes'!$B$10-'Black-Scholes'!$B$9^2/2)*'Black-Scholes'!$B$7+'Black-Scholes'!$B$9*SQRT('Black-Scholes'!$B$7)*B4298)</f>
        <v>77.862177584696</v>
      </c>
      <c r="D4298" s="18" t="n">
        <f aca="false">'Black-Scholes'!$B$5*EXP(('Black-Scholes'!$B$8-'Black-Scholes'!$B$10-'Black-Scholes'!$B$9^2/2)*'Black-Scholes'!$B$7-'Black-Scholes'!$B$9*SQRT('Black-Scholes'!$B$7)*B4298)</f>
        <v>136.373856920496</v>
      </c>
      <c r="E4298" s="18" t="n">
        <f aca="false">EXP(-'Black-Scholes'!$B$8*'Black-Scholes'!$B$7)*IF(LOWER('Black-Scholes'!$B$11)="put",MAX('Black-Scholes'!$B$6-C4298,0),MAX(C4298-'Black-Scholes'!$B$6,0))</f>
        <v>0</v>
      </c>
      <c r="F4298" s="18" t="n">
        <f aca="false">(E4298+G4298)/2</f>
        <v>17.2999414926775</v>
      </c>
      <c r="G4298" s="18" t="n">
        <f aca="false">EXP(-'Black-Scholes'!$B$8*'Black-Scholes'!$B$7)*IF(LOWER('Black-Scholes'!$B$11)="put",MAX('Black-Scholes'!$B$6-D4298,0),MAX(D4298-'Black-Scholes'!$B$6,0))</f>
        <v>34.5998829853549</v>
      </c>
    </row>
    <row r="4299" customFormat="false" ht="15" hidden="false" customHeight="false" outlineLevel="0" collapsed="false">
      <c r="A4299" s="0" t="n">
        <v>4288</v>
      </c>
      <c r="B4299" s="15" t="n">
        <v>0.211868063285836</v>
      </c>
      <c r="C4299" s="18" t="n">
        <f aca="false">'Black-Scholes'!$B$5*EXP(('Black-Scholes'!$B$8-'Black-Scholes'!$B$10-'Black-Scholes'!$B$9^2/2)*'Black-Scholes'!$B$7+'Black-Scholes'!$B$9*SQRT('Black-Scholes'!$B$7)*B4299)</f>
        <v>107.505692391543</v>
      </c>
      <c r="D4299" s="18" t="n">
        <f aca="false">'Black-Scholes'!$B$5*EXP(('Black-Scholes'!$B$8-'Black-Scholes'!$B$10-'Black-Scholes'!$B$9^2/2)*'Black-Scholes'!$B$7-'Black-Scholes'!$B$9*SQRT('Black-Scholes'!$B$7)*B4299)</f>
        <v>98.7702625715925</v>
      </c>
      <c r="E4299" s="18" t="n">
        <f aca="false">EXP(-'Black-Scholes'!$B$8*'Black-Scholes'!$B$7)*IF(LOWER('Black-Scholes'!$B$11)="put",MAX('Black-Scholes'!$B$6-C4299,0),MAX(C4299-'Black-Scholes'!$B$6,0))</f>
        <v>7.13963545408728</v>
      </c>
      <c r="F4299" s="18" t="n">
        <f aca="false">(E4299+G4299)/2</f>
        <v>3.56981772704364</v>
      </c>
      <c r="G4299" s="18" t="n">
        <f aca="false">EXP(-'Black-Scholes'!$B$8*'Black-Scholes'!$B$7)*IF(LOWER('Black-Scholes'!$B$11)="put",MAX('Black-Scholes'!$B$6-D4299,0),MAX(D4299-'Black-Scholes'!$B$6,0))</f>
        <v>0</v>
      </c>
    </row>
    <row r="4300" customFormat="false" ht="15" hidden="false" customHeight="false" outlineLevel="0" collapsed="false">
      <c r="A4300" s="0" t="n">
        <v>4289</v>
      </c>
      <c r="B4300" s="15" t="n">
        <v>0.493357800331769</v>
      </c>
      <c r="C4300" s="18" t="n">
        <f aca="false">'Black-Scholes'!$B$5*EXP(('Black-Scholes'!$B$8-'Black-Scholes'!$B$10-'Black-Scholes'!$B$9^2/2)*'Black-Scholes'!$B$7+'Black-Scholes'!$B$9*SQRT('Black-Scholes'!$B$7)*B4300)</f>
        <v>113.731652265303</v>
      </c>
      <c r="D4300" s="18" t="n">
        <f aca="false">'Black-Scholes'!$B$5*EXP(('Black-Scholes'!$B$8-'Black-Scholes'!$B$10-'Black-Scholes'!$B$9^2/2)*'Black-Scholes'!$B$7-'Black-Scholes'!$B$9*SQRT('Black-Scholes'!$B$7)*B4300)</f>
        <v>93.3633272176865</v>
      </c>
      <c r="E4300" s="18" t="n">
        <f aca="false">EXP(-'Black-Scholes'!$B$8*'Black-Scholes'!$B$7)*IF(LOWER('Black-Scholes'!$B$11)="put",MAX('Black-Scholes'!$B$6-C4300,0),MAX(C4300-'Black-Scholes'!$B$6,0))</f>
        <v>13.0619516817678</v>
      </c>
      <c r="F4300" s="18" t="n">
        <f aca="false">(E4300+G4300)/2</f>
        <v>6.53097584088391</v>
      </c>
      <c r="G4300" s="18" t="n">
        <f aca="false">EXP(-'Black-Scholes'!$B$8*'Black-Scholes'!$B$7)*IF(LOWER('Black-Scholes'!$B$11)="put",MAX('Black-Scholes'!$B$6-D4300,0),MAX(D4300-'Black-Scholes'!$B$6,0))</f>
        <v>0</v>
      </c>
    </row>
    <row r="4301" customFormat="false" ht="15" hidden="false" customHeight="false" outlineLevel="0" collapsed="false">
      <c r="A4301" s="0" t="n">
        <v>4290</v>
      </c>
      <c r="B4301" s="15" t="n">
        <v>-2.4495230183377</v>
      </c>
      <c r="C4301" s="18" t="n">
        <f aca="false">'Black-Scholes'!$B$5*EXP(('Black-Scholes'!$B$8-'Black-Scholes'!$B$10-'Black-Scholes'!$B$9^2/2)*'Black-Scholes'!$B$7+'Black-Scholes'!$B$9*SQRT('Black-Scholes'!$B$7)*B4301)</f>
        <v>63.1343870524026</v>
      </c>
      <c r="D4301" s="18" t="n">
        <f aca="false">'Black-Scholes'!$B$5*EXP(('Black-Scholes'!$B$8-'Black-Scholes'!$B$10-'Black-Scholes'!$B$9^2/2)*'Black-Scholes'!$B$7-'Black-Scholes'!$B$9*SQRT('Black-Scholes'!$B$7)*B4301)</f>
        <v>168.186719808338</v>
      </c>
      <c r="E4301" s="18" t="n">
        <f aca="false">EXP(-'Black-Scholes'!$B$8*'Black-Scholes'!$B$7)*IF(LOWER('Black-Scholes'!$B$11)="put",MAX('Black-Scholes'!$B$6-C4301,0),MAX(C4301-'Black-Scholes'!$B$6,0))</f>
        <v>0</v>
      </c>
      <c r="F4301" s="18" t="n">
        <f aca="false">(E4301+G4301)/2</f>
        <v>32.4306071209384</v>
      </c>
      <c r="G4301" s="18" t="n">
        <f aca="false">EXP(-'Black-Scholes'!$B$8*'Black-Scholes'!$B$7)*IF(LOWER('Black-Scholes'!$B$11)="put",MAX('Black-Scholes'!$B$6-D4301,0),MAX(D4301-'Black-Scholes'!$B$6,0))</f>
        <v>64.8612142418767</v>
      </c>
    </row>
    <row r="4302" customFormat="false" ht="15" hidden="false" customHeight="false" outlineLevel="0" collapsed="false">
      <c r="A4302" s="0" t="n">
        <v>4291</v>
      </c>
      <c r="B4302" s="15" t="n">
        <v>-0.639390166537828</v>
      </c>
      <c r="C4302" s="18" t="n">
        <f aca="false">'Black-Scholes'!$B$5*EXP(('Black-Scholes'!$B$8-'Black-Scholes'!$B$10-'Black-Scholes'!$B$9^2/2)*'Black-Scholes'!$B$7+'Black-Scholes'!$B$9*SQRT('Black-Scholes'!$B$7)*B4302)</f>
        <v>90.6759491465783</v>
      </c>
      <c r="D4302" s="18" t="n">
        <f aca="false">'Black-Scholes'!$B$5*EXP(('Black-Scholes'!$B$8-'Black-Scholes'!$B$10-'Black-Scholes'!$B$9^2/2)*'Black-Scholes'!$B$7-'Black-Scholes'!$B$9*SQRT('Black-Scholes'!$B$7)*B4302)</f>
        <v>117.102336015132</v>
      </c>
      <c r="E4302" s="18" t="n">
        <f aca="false">EXP(-'Black-Scholes'!$B$8*'Black-Scholes'!$B$7)*IF(LOWER('Black-Scholes'!$B$11)="put",MAX('Black-Scholes'!$B$6-C4302,0),MAX(C4302-'Black-Scholes'!$B$6,0))</f>
        <v>0</v>
      </c>
      <c r="F4302" s="18" t="n">
        <f aca="false">(E4302+G4302)/2</f>
        <v>8.13412262264575</v>
      </c>
      <c r="G4302" s="18" t="n">
        <f aca="false">EXP(-'Black-Scholes'!$B$8*'Black-Scholes'!$B$7)*IF(LOWER('Black-Scholes'!$B$11)="put",MAX('Black-Scholes'!$B$6-D4302,0),MAX(D4302-'Black-Scholes'!$B$6,0))</f>
        <v>16.2682452452915</v>
      </c>
    </row>
    <row r="4303" customFormat="false" ht="15" hidden="false" customHeight="false" outlineLevel="0" collapsed="false">
      <c r="A4303" s="0" t="n">
        <v>4292</v>
      </c>
      <c r="B4303" s="15" t="n">
        <v>-0.497435017586306</v>
      </c>
      <c r="C4303" s="18" t="n">
        <f aca="false">'Black-Scholes'!$B$5*EXP(('Black-Scholes'!$B$8-'Black-Scholes'!$B$10-'Black-Scholes'!$B$9^2/2)*'Black-Scholes'!$B$7+'Black-Scholes'!$B$9*SQRT('Black-Scholes'!$B$7)*B4303)</f>
        <v>93.2872257363962</v>
      </c>
      <c r="D4303" s="18" t="n">
        <f aca="false">'Black-Scholes'!$B$5*EXP(('Black-Scholes'!$B$8-'Black-Scholes'!$B$10-'Black-Scholes'!$B$9^2/2)*'Black-Scholes'!$B$7-'Black-Scholes'!$B$9*SQRT('Black-Scholes'!$B$7)*B4303)</f>
        <v>113.824431819402</v>
      </c>
      <c r="E4303" s="18" t="n">
        <f aca="false">EXP(-'Black-Scholes'!$B$8*'Black-Scholes'!$B$7)*IF(LOWER('Black-Scholes'!$B$11)="put",MAX('Black-Scholes'!$B$6-C4303,0),MAX(C4303-'Black-Scholes'!$B$6,0))</f>
        <v>0</v>
      </c>
      <c r="F4303" s="18" t="n">
        <f aca="false">(E4303+G4303)/2</f>
        <v>6.57510316180961</v>
      </c>
      <c r="G4303" s="18" t="n">
        <f aca="false">EXP(-'Black-Scholes'!$B$8*'Black-Scholes'!$B$7)*IF(LOWER('Black-Scholes'!$B$11)="put",MAX('Black-Scholes'!$B$6-D4303,0),MAX(D4303-'Black-Scholes'!$B$6,0))</f>
        <v>13.1502063236192</v>
      </c>
    </row>
    <row r="4304" customFormat="false" ht="15" hidden="false" customHeight="false" outlineLevel="0" collapsed="false">
      <c r="A4304" s="0" t="n">
        <v>4293</v>
      </c>
      <c r="B4304" s="15" t="n">
        <v>-0.314949965858056</v>
      </c>
      <c r="C4304" s="18" t="n">
        <f aca="false">'Black-Scholes'!$B$5*EXP(('Black-Scholes'!$B$8-'Black-Scholes'!$B$10-'Black-Scholes'!$B$9^2/2)*'Black-Scholes'!$B$7+'Black-Scholes'!$B$9*SQRT('Black-Scholes'!$B$7)*B4304)</f>
        <v>96.7548241629801</v>
      </c>
      <c r="D4304" s="18" t="n">
        <f aca="false">'Black-Scholes'!$B$5*EXP(('Black-Scholes'!$B$8-'Black-Scholes'!$B$10-'Black-Scholes'!$B$9^2/2)*'Black-Scholes'!$B$7-'Black-Scholes'!$B$9*SQRT('Black-Scholes'!$B$7)*B4304)</f>
        <v>109.745075321178</v>
      </c>
      <c r="E4304" s="18" t="n">
        <f aca="false">EXP(-'Black-Scholes'!$B$8*'Black-Scholes'!$B$7)*IF(LOWER('Black-Scholes'!$B$11)="put",MAX('Black-Scholes'!$B$6-C4304,0),MAX(C4304-'Black-Scholes'!$B$6,0))</f>
        <v>0</v>
      </c>
      <c r="F4304" s="18" t="n">
        <f aca="false">(E4304+G4304)/2</f>
        <v>4.63490119474021</v>
      </c>
      <c r="G4304" s="18" t="n">
        <f aca="false">EXP(-'Black-Scholes'!$B$8*'Black-Scholes'!$B$7)*IF(LOWER('Black-Scholes'!$B$11)="put",MAX('Black-Scholes'!$B$6-D4304,0),MAX(D4304-'Black-Scholes'!$B$6,0))</f>
        <v>9.26980238948041</v>
      </c>
    </row>
    <row r="4305" customFormat="false" ht="15" hidden="false" customHeight="false" outlineLevel="0" collapsed="false">
      <c r="A4305" s="0" t="n">
        <v>4294</v>
      </c>
      <c r="B4305" s="15" t="n">
        <v>1.22375218138755</v>
      </c>
      <c r="C4305" s="18" t="n">
        <f aca="false">'Black-Scholes'!$B$5*EXP(('Black-Scholes'!$B$8-'Black-Scholes'!$B$10-'Black-Scholes'!$B$9^2/2)*'Black-Scholes'!$B$7+'Black-Scholes'!$B$9*SQRT('Black-Scholes'!$B$7)*B4305)</f>
        <v>131.620215756634</v>
      </c>
      <c r="D4305" s="18" t="n">
        <f aca="false">'Black-Scholes'!$B$5*EXP(('Black-Scholes'!$B$8-'Black-Scholes'!$B$10-'Black-Scholes'!$B$9^2/2)*'Black-Scholes'!$B$7-'Black-Scholes'!$B$9*SQRT('Black-Scholes'!$B$7)*B4305)</f>
        <v>80.6742748780097</v>
      </c>
      <c r="E4305" s="18" t="n">
        <f aca="false">EXP(-'Black-Scholes'!$B$8*'Black-Scholes'!$B$7)*IF(LOWER('Black-Scholes'!$B$11)="put",MAX('Black-Scholes'!$B$6-C4305,0),MAX(C4305-'Black-Scholes'!$B$6,0))</f>
        <v>30.0780796367709</v>
      </c>
      <c r="F4305" s="18" t="n">
        <f aca="false">(E4305+G4305)/2</f>
        <v>15.0390398183855</v>
      </c>
      <c r="G4305" s="18" t="n">
        <f aca="false">EXP(-'Black-Scholes'!$B$8*'Black-Scholes'!$B$7)*IF(LOWER('Black-Scholes'!$B$11)="put",MAX('Black-Scholes'!$B$6-D4305,0),MAX(D4305-'Black-Scholes'!$B$6,0))</f>
        <v>0</v>
      </c>
    </row>
    <row r="4306" customFormat="false" ht="15" hidden="false" customHeight="false" outlineLevel="0" collapsed="false">
      <c r="A4306" s="0" t="n">
        <v>4295</v>
      </c>
      <c r="B4306" s="15" t="n">
        <v>0.397644622532372</v>
      </c>
      <c r="C4306" s="18" t="n">
        <f aca="false">'Black-Scholes'!$B$5*EXP(('Black-Scholes'!$B$8-'Black-Scholes'!$B$10-'Black-Scholes'!$B$9^2/2)*'Black-Scholes'!$B$7+'Black-Scholes'!$B$9*SQRT('Black-Scholes'!$B$7)*B4306)</f>
        <v>111.575234305429</v>
      </c>
      <c r="D4306" s="18" t="n">
        <f aca="false">'Black-Scholes'!$B$5*EXP(('Black-Scholes'!$B$8-'Black-Scholes'!$B$10-'Black-Scholes'!$B$9^2/2)*'Black-Scholes'!$B$7-'Black-Scholes'!$B$9*SQRT('Black-Scholes'!$B$7)*B4306)</f>
        <v>95.1677630932561</v>
      </c>
      <c r="E4306" s="18" t="n">
        <f aca="false">EXP(-'Black-Scholes'!$B$8*'Black-Scholes'!$B$7)*IF(LOWER('Black-Scholes'!$B$11)="put",MAX('Black-Scholes'!$B$6-C4306,0),MAX(C4306-'Black-Scholes'!$B$6,0))</f>
        <v>11.010703466814</v>
      </c>
      <c r="F4306" s="18" t="n">
        <f aca="false">(E4306+G4306)/2</f>
        <v>5.505351733407</v>
      </c>
      <c r="G4306" s="18" t="n">
        <f aca="false">EXP(-'Black-Scholes'!$B$8*'Black-Scholes'!$B$7)*IF(LOWER('Black-Scholes'!$B$11)="put",MAX('Black-Scholes'!$B$6-D4306,0),MAX(D4306-'Black-Scholes'!$B$6,0))</f>
        <v>0</v>
      </c>
    </row>
    <row r="4307" customFormat="false" ht="15" hidden="false" customHeight="false" outlineLevel="0" collapsed="false">
      <c r="A4307" s="0" t="n">
        <v>4296</v>
      </c>
      <c r="B4307" s="15" t="n">
        <v>0.343200085154038</v>
      </c>
      <c r="C4307" s="18" t="n">
        <f aca="false">'Black-Scholes'!$B$5*EXP(('Black-Scholes'!$B$8-'Black-Scholes'!$B$10-'Black-Scholes'!$B$9^2/2)*'Black-Scholes'!$B$7+'Black-Scholes'!$B$9*SQRT('Black-Scholes'!$B$7)*B4307)</f>
        <v>110.366892602233</v>
      </c>
      <c r="D4307" s="18" t="n">
        <f aca="false">'Black-Scholes'!$B$5*EXP(('Black-Scholes'!$B$8-'Black-Scholes'!$B$10-'Black-Scholes'!$B$9^2/2)*'Black-Scholes'!$B$7-'Black-Scholes'!$B$9*SQRT('Black-Scholes'!$B$7)*B4307)</f>
        <v>96.2096985345296</v>
      </c>
      <c r="E4307" s="18" t="n">
        <f aca="false">EXP(-'Black-Scholes'!$B$8*'Black-Scholes'!$B$7)*IF(LOWER('Black-Scholes'!$B$11)="put",MAX('Black-Scholes'!$B$6-C4307,0),MAX(C4307-'Black-Scholes'!$B$6,0))</f>
        <v>9.86129328388237</v>
      </c>
      <c r="F4307" s="18" t="n">
        <f aca="false">(E4307+G4307)/2</f>
        <v>4.93064664194118</v>
      </c>
      <c r="G4307" s="18" t="n">
        <f aca="false">EXP(-'Black-Scholes'!$B$8*'Black-Scholes'!$B$7)*IF(LOWER('Black-Scholes'!$B$11)="put",MAX('Black-Scholes'!$B$6-D4307,0),MAX(D4307-'Black-Scholes'!$B$6,0))</f>
        <v>0</v>
      </c>
    </row>
    <row r="4308" customFormat="false" ht="15" hidden="false" customHeight="false" outlineLevel="0" collapsed="false">
      <c r="A4308" s="0" t="n">
        <v>4297</v>
      </c>
      <c r="B4308" s="15" t="n">
        <v>-1.1281200365264</v>
      </c>
      <c r="C4308" s="18" t="n">
        <f aca="false">'Black-Scholes'!$B$5*EXP(('Black-Scholes'!$B$8-'Black-Scholes'!$B$10-'Black-Scholes'!$B$9^2/2)*'Black-Scholes'!$B$7+'Black-Scholes'!$B$9*SQRT('Black-Scholes'!$B$7)*B4308)</f>
        <v>82.2321363384822</v>
      </c>
      <c r="D4308" s="18" t="n">
        <f aca="false">'Black-Scholes'!$B$5*EXP(('Black-Scholes'!$B$8-'Black-Scholes'!$B$10-'Black-Scholes'!$B$9^2/2)*'Black-Scholes'!$B$7-'Black-Scholes'!$B$9*SQRT('Black-Scholes'!$B$7)*B4308)</f>
        <v>129.126712964704</v>
      </c>
      <c r="E4308" s="18" t="n">
        <f aca="false">EXP(-'Black-Scholes'!$B$8*'Black-Scholes'!$B$7)*IF(LOWER('Black-Scholes'!$B$11)="put",MAX('Black-Scholes'!$B$6-C4308,0),MAX(C4308-'Black-Scholes'!$B$6,0))</f>
        <v>0</v>
      </c>
      <c r="F4308" s="18" t="n">
        <f aca="false">(E4308+G4308)/2</f>
        <v>13.8530932055065</v>
      </c>
      <c r="G4308" s="18" t="n">
        <f aca="false">EXP(-'Black-Scholes'!$B$8*'Black-Scholes'!$B$7)*IF(LOWER('Black-Scholes'!$B$11)="put",MAX('Black-Scholes'!$B$6-D4308,0),MAX(D4308-'Black-Scholes'!$B$6,0))</f>
        <v>27.7061864110129</v>
      </c>
    </row>
    <row r="4309" customFormat="false" ht="15" hidden="false" customHeight="false" outlineLevel="0" collapsed="false">
      <c r="A4309" s="0" t="n">
        <v>4298</v>
      </c>
      <c r="B4309" s="15" t="n">
        <v>0.495389843692878</v>
      </c>
      <c r="C4309" s="18" t="n">
        <f aca="false">'Black-Scholes'!$B$5*EXP(('Black-Scholes'!$B$8-'Black-Scholes'!$B$10-'Black-Scholes'!$B$9^2/2)*'Black-Scholes'!$B$7+'Black-Scholes'!$B$9*SQRT('Black-Scholes'!$B$7)*B4309)</f>
        <v>113.777883188777</v>
      </c>
      <c r="D4309" s="18" t="n">
        <f aca="false">'Black-Scholes'!$B$5*EXP(('Black-Scholes'!$B$8-'Black-Scholes'!$B$10-'Black-Scholes'!$B$9^2/2)*'Black-Scholes'!$B$7-'Black-Scholes'!$B$9*SQRT('Black-Scholes'!$B$7)*B4309)</f>
        <v>93.3253912611108</v>
      </c>
      <c r="E4309" s="18" t="n">
        <f aca="false">EXP(-'Black-Scholes'!$B$8*'Black-Scholes'!$B$7)*IF(LOWER('Black-Scholes'!$B$11)="put",MAX('Black-Scholes'!$B$6-C4309,0),MAX(C4309-'Black-Scholes'!$B$6,0))</f>
        <v>13.1059278964986</v>
      </c>
      <c r="F4309" s="18" t="n">
        <f aca="false">(E4309+G4309)/2</f>
        <v>6.55296394824932</v>
      </c>
      <c r="G4309" s="18" t="n">
        <f aca="false">EXP(-'Black-Scholes'!$B$8*'Black-Scholes'!$B$7)*IF(LOWER('Black-Scholes'!$B$11)="put",MAX('Black-Scholes'!$B$6-D4309,0),MAX(D4309-'Black-Scholes'!$B$6,0))</f>
        <v>0</v>
      </c>
    </row>
    <row r="4310" customFormat="false" ht="15" hidden="false" customHeight="false" outlineLevel="0" collapsed="false">
      <c r="A4310" s="0" t="n">
        <v>4299</v>
      </c>
      <c r="B4310" s="15" t="n">
        <v>-0.188317782623541</v>
      </c>
      <c r="C4310" s="18" t="n">
        <f aca="false">'Black-Scholes'!$B$5*EXP(('Black-Scholes'!$B$8-'Black-Scholes'!$B$10-'Black-Scholes'!$B$9^2/2)*'Black-Scholes'!$B$7+'Black-Scholes'!$B$9*SQRT('Black-Scholes'!$B$7)*B4310)</f>
        <v>99.2365733654522</v>
      </c>
      <c r="D4310" s="18" t="n">
        <f aca="false">'Black-Scholes'!$B$5*EXP(('Black-Scholes'!$B$8-'Black-Scholes'!$B$10-'Black-Scholes'!$B$9^2/2)*'Black-Scholes'!$B$7-'Black-Scholes'!$B$9*SQRT('Black-Scholes'!$B$7)*B4310)</f>
        <v>107.000525162734</v>
      </c>
      <c r="E4310" s="18" t="n">
        <f aca="false">EXP(-'Black-Scholes'!$B$8*'Black-Scholes'!$B$7)*IF(LOWER('Black-Scholes'!$B$11)="put",MAX('Black-Scholes'!$B$6-C4310,0),MAX(C4310-'Black-Scholes'!$B$6,0))</f>
        <v>0</v>
      </c>
      <c r="F4310" s="18" t="n">
        <f aca="false">(E4310+G4310)/2</f>
        <v>3.32955276087528</v>
      </c>
      <c r="G4310" s="18" t="n">
        <f aca="false">EXP(-'Black-Scholes'!$B$8*'Black-Scholes'!$B$7)*IF(LOWER('Black-Scholes'!$B$11)="put",MAX('Black-Scholes'!$B$6-D4310,0),MAX(D4310-'Black-Scholes'!$B$6,0))</f>
        <v>6.65910552175056</v>
      </c>
    </row>
    <row r="4311" customFormat="false" ht="15" hidden="false" customHeight="false" outlineLevel="0" collapsed="false">
      <c r="A4311" s="0" t="n">
        <v>4300</v>
      </c>
      <c r="B4311" s="15" t="n">
        <v>-0.331741098748629</v>
      </c>
      <c r="C4311" s="18" t="n">
        <f aca="false">'Black-Scholes'!$B$5*EXP(('Black-Scholes'!$B$8-'Black-Scholes'!$B$10-'Black-Scholes'!$B$9^2/2)*'Black-Scholes'!$B$7+'Black-Scholes'!$B$9*SQRT('Black-Scholes'!$B$7)*B4311)</f>
        <v>96.4304445159454</v>
      </c>
      <c r="D4311" s="18" t="n">
        <f aca="false">'Black-Scholes'!$B$5*EXP(('Black-Scholes'!$B$8-'Black-Scholes'!$B$10-'Black-Scholes'!$B$9^2/2)*'Black-Scholes'!$B$7-'Black-Scholes'!$B$9*SQRT('Black-Scholes'!$B$7)*B4311)</f>
        <v>110.114243678487</v>
      </c>
      <c r="E4311" s="18" t="n">
        <f aca="false">EXP(-'Black-Scholes'!$B$8*'Black-Scholes'!$B$7)*IF(LOWER('Black-Scholes'!$B$11)="put",MAX('Black-Scholes'!$B$6-C4311,0),MAX(C4311-'Black-Scholes'!$B$6,0))</f>
        <v>0</v>
      </c>
      <c r="F4311" s="18" t="n">
        <f aca="false">(E4311+G4311)/2</f>
        <v>4.8104830967734</v>
      </c>
      <c r="G4311" s="18" t="n">
        <f aca="false">EXP(-'Black-Scholes'!$B$8*'Black-Scholes'!$B$7)*IF(LOWER('Black-Scholes'!$B$11)="put",MAX('Black-Scholes'!$B$6-D4311,0),MAX(D4311-'Black-Scholes'!$B$6,0))</f>
        <v>9.62096619354681</v>
      </c>
    </row>
    <row r="4312" customFormat="false" ht="15" hidden="false" customHeight="false" outlineLevel="0" collapsed="false">
      <c r="A4312" s="0" t="n">
        <v>4301</v>
      </c>
      <c r="B4312" s="15" t="n">
        <v>0.259500438650088</v>
      </c>
      <c r="C4312" s="18" t="n">
        <f aca="false">'Black-Scholes'!$B$5*EXP(('Black-Scholes'!$B$8-'Black-Scholes'!$B$10-'Black-Scholes'!$B$9^2/2)*'Black-Scholes'!$B$7+'Black-Scholes'!$B$9*SQRT('Black-Scholes'!$B$7)*B4312)</f>
        <v>108.53473648932</v>
      </c>
      <c r="D4312" s="18" t="n">
        <f aca="false">'Black-Scholes'!$B$5*EXP(('Black-Scholes'!$B$8-'Black-Scholes'!$B$10-'Black-Scholes'!$B$9^2/2)*'Black-Scholes'!$B$7-'Black-Scholes'!$B$9*SQRT('Black-Scholes'!$B$7)*B4312)</f>
        <v>97.8337978136468</v>
      </c>
      <c r="E4312" s="18" t="n">
        <f aca="false">EXP(-'Black-Scholes'!$B$8*'Black-Scholes'!$B$7)*IF(LOWER('Black-Scholes'!$B$11)="put",MAX('Black-Scholes'!$B$6-C4312,0),MAX(C4312-'Black-Scholes'!$B$6,0))</f>
        <v>8.11849247900144</v>
      </c>
      <c r="F4312" s="18" t="n">
        <f aca="false">(E4312+G4312)/2</f>
        <v>4.05924623950072</v>
      </c>
      <c r="G4312" s="18" t="n">
        <f aca="false">EXP(-'Black-Scholes'!$B$8*'Black-Scholes'!$B$7)*IF(LOWER('Black-Scholes'!$B$11)="put",MAX('Black-Scholes'!$B$6-D4312,0),MAX(D4312-'Black-Scholes'!$B$6,0))</f>
        <v>0</v>
      </c>
    </row>
    <row r="4313" customFormat="false" ht="15" hidden="false" customHeight="false" outlineLevel="0" collapsed="false">
      <c r="A4313" s="0" t="n">
        <v>4302</v>
      </c>
      <c r="B4313" s="15" t="n">
        <v>-0.669584672617866</v>
      </c>
      <c r="C4313" s="18" t="n">
        <f aca="false">'Black-Scholes'!$B$5*EXP(('Black-Scholes'!$B$8-'Black-Scholes'!$B$10-'Black-Scholes'!$B$9^2/2)*'Black-Scholes'!$B$7+'Black-Scholes'!$B$9*SQRT('Black-Scholes'!$B$7)*B4313)</f>
        <v>90.1300161239159</v>
      </c>
      <c r="D4313" s="18" t="n">
        <f aca="false">'Black-Scholes'!$B$5*EXP(('Black-Scholes'!$B$8-'Black-Scholes'!$B$10-'Black-Scholes'!$B$9^2/2)*'Black-Scholes'!$B$7-'Black-Scholes'!$B$9*SQRT('Black-Scholes'!$B$7)*B4313)</f>
        <v>117.811645022396</v>
      </c>
      <c r="E4313" s="18" t="n">
        <f aca="false">EXP(-'Black-Scholes'!$B$8*'Black-Scholes'!$B$7)*IF(LOWER('Black-Scholes'!$B$11)="put",MAX('Black-Scholes'!$B$6-C4313,0),MAX(C4313-'Black-Scholes'!$B$6,0))</f>
        <v>0</v>
      </c>
      <c r="F4313" s="18" t="n">
        <f aca="false">(E4313+G4313)/2</f>
        <v>8.47148042203231</v>
      </c>
      <c r="G4313" s="18" t="n">
        <f aca="false">EXP(-'Black-Scholes'!$B$8*'Black-Scholes'!$B$7)*IF(LOWER('Black-Scholes'!$B$11)="put",MAX('Black-Scholes'!$B$6-D4313,0),MAX(D4313-'Black-Scholes'!$B$6,0))</f>
        <v>16.9429608440646</v>
      </c>
    </row>
    <row r="4314" customFormat="false" ht="15" hidden="false" customHeight="false" outlineLevel="0" collapsed="false">
      <c r="A4314" s="0" t="n">
        <v>4303</v>
      </c>
      <c r="B4314" s="15" t="n">
        <v>-0.66059478492409</v>
      </c>
      <c r="C4314" s="18" t="n">
        <f aca="false">'Black-Scholes'!$B$5*EXP(('Black-Scholes'!$B$8-'Black-Scholes'!$B$10-'Black-Scholes'!$B$9^2/2)*'Black-Scholes'!$B$7+'Black-Scholes'!$B$9*SQRT('Black-Scholes'!$B$7)*B4314)</f>
        <v>90.2922136385235</v>
      </c>
      <c r="D4314" s="18" t="n">
        <f aca="false">'Black-Scholes'!$B$5*EXP(('Black-Scholes'!$B$8-'Black-Scholes'!$B$10-'Black-Scholes'!$B$9^2/2)*'Black-Scholes'!$B$7-'Black-Scholes'!$B$9*SQRT('Black-Scholes'!$B$7)*B4314)</f>
        <v>117.600012642987</v>
      </c>
      <c r="E4314" s="18" t="n">
        <f aca="false">EXP(-'Black-Scholes'!$B$8*'Black-Scholes'!$B$7)*IF(LOWER('Black-Scholes'!$B$11)="put",MAX('Black-Scholes'!$B$6-C4314,0),MAX(C4314-'Black-Scholes'!$B$6,0))</f>
        <v>0</v>
      </c>
      <c r="F4314" s="18" t="n">
        <f aca="false">(E4314+G4314)/2</f>
        <v>8.37082494879667</v>
      </c>
      <c r="G4314" s="18" t="n">
        <f aca="false">EXP(-'Black-Scholes'!$B$8*'Black-Scholes'!$B$7)*IF(LOWER('Black-Scholes'!$B$11)="put",MAX('Black-Scholes'!$B$6-D4314,0),MAX(D4314-'Black-Scholes'!$B$6,0))</f>
        <v>16.7416498975933</v>
      </c>
    </row>
    <row r="4315" customFormat="false" ht="15" hidden="false" customHeight="false" outlineLevel="0" collapsed="false">
      <c r="A4315" s="0" t="n">
        <v>4304</v>
      </c>
      <c r="B4315" s="15" t="n">
        <v>0.754588421063937</v>
      </c>
      <c r="C4315" s="18" t="n">
        <f aca="false">'Black-Scholes'!$B$5*EXP(('Black-Scholes'!$B$8-'Black-Scholes'!$B$10-'Black-Scholes'!$B$9^2/2)*'Black-Scholes'!$B$7+'Black-Scholes'!$B$9*SQRT('Black-Scholes'!$B$7)*B4315)</f>
        <v>119.831653486436</v>
      </c>
      <c r="D4315" s="18" t="n">
        <f aca="false">'Black-Scholes'!$B$5*EXP(('Black-Scholes'!$B$8-'Black-Scholes'!$B$10-'Black-Scholes'!$B$9^2/2)*'Black-Scholes'!$B$7-'Black-Scholes'!$B$9*SQRT('Black-Scholes'!$B$7)*B4315)</f>
        <v>88.6106897177673</v>
      </c>
      <c r="E4315" s="18" t="n">
        <f aca="false">EXP(-'Black-Scholes'!$B$8*'Black-Scholes'!$B$7)*IF(LOWER('Black-Scholes'!$B$11)="put",MAX('Black-Scholes'!$B$6-C4315,0),MAX(C4315-'Black-Scholes'!$B$6,0))</f>
        <v>18.8644523328002</v>
      </c>
      <c r="F4315" s="18" t="n">
        <f aca="false">(E4315+G4315)/2</f>
        <v>9.43222616640011</v>
      </c>
      <c r="G4315" s="18" t="n">
        <f aca="false">EXP(-'Black-Scholes'!$B$8*'Black-Scholes'!$B$7)*IF(LOWER('Black-Scholes'!$B$11)="put",MAX('Black-Scholes'!$B$6-D4315,0),MAX(D4315-'Black-Scholes'!$B$6,0))</f>
        <v>0</v>
      </c>
    </row>
    <row r="4316" customFormat="false" ht="15" hidden="false" customHeight="false" outlineLevel="0" collapsed="false">
      <c r="A4316" s="0" t="n">
        <v>4305</v>
      </c>
      <c r="B4316" s="15" t="n">
        <v>1.17751308922327</v>
      </c>
      <c r="C4316" s="18" t="n">
        <f aca="false">'Black-Scholes'!$B$5*EXP(('Black-Scholes'!$B$8-'Black-Scholes'!$B$10-'Black-Scholes'!$B$9^2/2)*'Black-Scholes'!$B$7+'Black-Scholes'!$B$9*SQRT('Black-Scholes'!$B$7)*B4316)</f>
        <v>130.408626811308</v>
      </c>
      <c r="D4316" s="18" t="n">
        <f aca="false">'Black-Scholes'!$B$5*EXP(('Black-Scholes'!$B$8-'Black-Scholes'!$B$10-'Black-Scholes'!$B$9^2/2)*'Black-Scholes'!$B$7-'Black-Scholes'!$B$9*SQRT('Black-Scholes'!$B$7)*B4316)</f>
        <v>81.4237963015865</v>
      </c>
      <c r="E4316" s="18" t="n">
        <f aca="false">EXP(-'Black-Scholes'!$B$8*'Black-Scholes'!$B$7)*IF(LOWER('Black-Scholes'!$B$11)="put",MAX('Black-Scholes'!$B$6-C4316,0),MAX(C4316-'Black-Scholes'!$B$6,0))</f>
        <v>28.9255805815779</v>
      </c>
      <c r="F4316" s="18" t="n">
        <f aca="false">(E4316+G4316)/2</f>
        <v>14.462790290789</v>
      </c>
      <c r="G4316" s="18" t="n">
        <f aca="false">EXP(-'Black-Scholes'!$B$8*'Black-Scholes'!$B$7)*IF(LOWER('Black-Scholes'!$B$11)="put",MAX('Black-Scholes'!$B$6-D4316,0),MAX(D4316-'Black-Scholes'!$B$6,0))</f>
        <v>0</v>
      </c>
    </row>
    <row r="4317" customFormat="false" ht="15" hidden="false" customHeight="false" outlineLevel="0" collapsed="false">
      <c r="A4317" s="0" t="n">
        <v>4306</v>
      </c>
      <c r="B4317" s="15" t="n">
        <v>-0.978749205299171</v>
      </c>
      <c r="C4317" s="18" t="n">
        <f aca="false">'Black-Scholes'!$B$5*EXP(('Black-Scholes'!$B$8-'Black-Scholes'!$B$10-'Black-Scholes'!$B$9^2/2)*'Black-Scholes'!$B$7+'Black-Scholes'!$B$9*SQRT('Black-Scholes'!$B$7)*B4317)</f>
        <v>84.7258156883689</v>
      </c>
      <c r="D4317" s="18" t="n">
        <f aca="false">'Black-Scholes'!$B$5*EXP(('Black-Scholes'!$B$8-'Black-Scholes'!$B$10-'Black-Scholes'!$B$9^2/2)*'Black-Scholes'!$B$7-'Black-Scholes'!$B$9*SQRT('Black-Scholes'!$B$7)*B4317)</f>
        <v>125.326211133914</v>
      </c>
      <c r="E4317" s="18" t="n">
        <f aca="false">EXP(-'Black-Scholes'!$B$8*'Black-Scholes'!$B$7)*IF(LOWER('Black-Scholes'!$B$11)="put",MAX('Black-Scholes'!$B$6-C4317,0),MAX(C4317-'Black-Scholes'!$B$6,0))</f>
        <v>0</v>
      </c>
      <c r="F4317" s="18" t="n">
        <f aca="false">(E4317+G4317)/2</f>
        <v>12.0455186208483</v>
      </c>
      <c r="G4317" s="18" t="n">
        <f aca="false">EXP(-'Black-Scholes'!$B$8*'Black-Scholes'!$B$7)*IF(LOWER('Black-Scholes'!$B$11)="put",MAX('Black-Scholes'!$B$6-D4317,0),MAX(D4317-'Black-Scholes'!$B$6,0))</f>
        <v>24.0910372416965</v>
      </c>
    </row>
    <row r="4318" customFormat="false" ht="15" hidden="false" customHeight="false" outlineLevel="0" collapsed="false">
      <c r="A4318" s="0" t="n">
        <v>4307</v>
      </c>
      <c r="B4318" s="15" t="n">
        <v>-0.495151957821216</v>
      </c>
      <c r="C4318" s="18" t="n">
        <f aca="false">'Black-Scholes'!$B$5*EXP(('Black-Scholes'!$B$8-'Black-Scholes'!$B$10-'Black-Scholes'!$B$9^2/2)*'Black-Scholes'!$B$7+'Black-Scholes'!$B$9*SQRT('Black-Scholes'!$B$7)*B4318)</f>
        <v>93.3298315251472</v>
      </c>
      <c r="D4318" s="18" t="n">
        <f aca="false">'Black-Scholes'!$B$5*EXP(('Black-Scholes'!$B$8-'Black-Scholes'!$B$10-'Black-Scholes'!$B$9^2/2)*'Black-Scholes'!$B$7-'Black-Scholes'!$B$9*SQRT('Black-Scholes'!$B$7)*B4318)</f>
        <v>113.772470087365</v>
      </c>
      <c r="E4318" s="18" t="n">
        <f aca="false">EXP(-'Black-Scholes'!$B$8*'Black-Scholes'!$B$7)*IF(LOWER('Black-Scholes'!$B$11)="put",MAX('Black-Scholes'!$B$6-C4318,0),MAX(C4318-'Black-Scholes'!$B$6,0))</f>
        <v>0</v>
      </c>
      <c r="F4318" s="18" t="n">
        <f aca="false">(E4318+G4318)/2</f>
        <v>6.55038939757858</v>
      </c>
      <c r="G4318" s="18" t="n">
        <f aca="false">EXP(-'Black-Scholes'!$B$8*'Black-Scholes'!$B$7)*IF(LOWER('Black-Scholes'!$B$11)="put",MAX('Black-Scholes'!$B$6-D4318,0),MAX(D4318-'Black-Scholes'!$B$6,0))</f>
        <v>13.1007787951572</v>
      </c>
    </row>
    <row r="4319" customFormat="false" ht="15" hidden="false" customHeight="false" outlineLevel="0" collapsed="false">
      <c r="A4319" s="0" t="n">
        <v>4308</v>
      </c>
      <c r="B4319" s="15" t="n">
        <v>-0.452896321753344</v>
      </c>
      <c r="C4319" s="18" t="n">
        <f aca="false">'Black-Scholes'!$B$5*EXP(('Black-Scholes'!$B$8-'Black-Scholes'!$B$10-'Black-Scholes'!$B$9^2/2)*'Black-Scholes'!$B$7+'Black-Scholes'!$B$9*SQRT('Black-Scholes'!$B$7)*B4319)</f>
        <v>94.1219160935936</v>
      </c>
      <c r="D4319" s="18" t="n">
        <f aca="false">'Black-Scholes'!$B$5*EXP(('Black-Scholes'!$B$8-'Black-Scholes'!$B$10-'Black-Scholes'!$B$9^2/2)*'Black-Scholes'!$B$7-'Black-Scholes'!$B$9*SQRT('Black-Scholes'!$B$7)*B4319)</f>
        <v>112.815015951172</v>
      </c>
      <c r="E4319" s="18" t="n">
        <f aca="false">EXP(-'Black-Scholes'!$B$8*'Black-Scholes'!$B$7)*IF(LOWER('Black-Scholes'!$B$11)="put",MAX('Black-Scholes'!$B$6-C4319,0),MAX(C4319-'Black-Scholes'!$B$6,0))</f>
        <v>0</v>
      </c>
      <c r="F4319" s="18" t="n">
        <f aca="false">(E4319+G4319)/2</f>
        <v>6.09501012410024</v>
      </c>
      <c r="G4319" s="18" t="n">
        <f aca="false">EXP(-'Black-Scholes'!$B$8*'Black-Scholes'!$B$7)*IF(LOWER('Black-Scholes'!$B$11)="put",MAX('Black-Scholes'!$B$6-D4319,0),MAX(D4319-'Black-Scholes'!$B$6,0))</f>
        <v>12.1900202482005</v>
      </c>
    </row>
    <row r="4320" customFormat="false" ht="15" hidden="false" customHeight="false" outlineLevel="0" collapsed="false">
      <c r="A4320" s="0" t="n">
        <v>4309</v>
      </c>
      <c r="B4320" s="15" t="n">
        <v>-1.21977469607084</v>
      </c>
      <c r="C4320" s="18" t="n">
        <f aca="false">'Black-Scholes'!$B$5*EXP(('Black-Scholes'!$B$8-'Black-Scholes'!$B$10-'Black-Scholes'!$B$9^2/2)*'Black-Scholes'!$B$7+'Black-Scholes'!$B$9*SQRT('Black-Scholes'!$B$7)*B4320)</f>
        <v>80.7384765595013</v>
      </c>
      <c r="D4320" s="18" t="n">
        <f aca="false">'Black-Scholes'!$B$5*EXP(('Black-Scholes'!$B$8-'Black-Scholes'!$B$10-'Black-Scholes'!$B$9^2/2)*'Black-Scholes'!$B$7-'Black-Scholes'!$B$9*SQRT('Black-Scholes'!$B$7)*B4320)</f>
        <v>131.515553896143</v>
      </c>
      <c r="E4320" s="18" t="n">
        <f aca="false">EXP(-'Black-Scholes'!$B$8*'Black-Scholes'!$B$7)*IF(LOWER('Black-Scholes'!$B$11)="put",MAX('Black-Scholes'!$B$6-C4320,0),MAX(C4320-'Black-Scholes'!$B$6,0))</f>
        <v>0</v>
      </c>
      <c r="F4320" s="18" t="n">
        <f aca="false">(E4320+G4320)/2</f>
        <v>14.9892610977248</v>
      </c>
      <c r="G4320" s="18" t="n">
        <f aca="false">EXP(-'Black-Scholes'!$B$8*'Black-Scholes'!$B$7)*IF(LOWER('Black-Scholes'!$B$11)="put",MAX('Black-Scholes'!$B$6-D4320,0),MAX(D4320-'Black-Scholes'!$B$6,0))</f>
        <v>29.9785221954496</v>
      </c>
    </row>
    <row r="4321" customFormat="false" ht="15" hidden="false" customHeight="false" outlineLevel="0" collapsed="false">
      <c r="A4321" s="0" t="n">
        <v>4310</v>
      </c>
      <c r="B4321" s="15" t="n">
        <v>-0.00304403144522396</v>
      </c>
      <c r="C4321" s="18" t="n">
        <f aca="false">'Black-Scholes'!$B$5*EXP(('Black-Scholes'!$B$8-'Black-Scholes'!$B$10-'Black-Scholes'!$B$9^2/2)*'Black-Scholes'!$B$7+'Black-Scholes'!$B$9*SQRT('Black-Scholes'!$B$7)*B4321)</f>
        <v>102.982737768038</v>
      </c>
      <c r="D4321" s="18" t="n">
        <f aca="false">'Black-Scholes'!$B$5*EXP(('Black-Scholes'!$B$8-'Black-Scholes'!$B$10-'Black-Scholes'!$B$9^2/2)*'Black-Scholes'!$B$7-'Black-Scholes'!$B$9*SQRT('Black-Scholes'!$B$7)*B4321)</f>
        <v>103.108207215958</v>
      </c>
      <c r="E4321" s="18" t="n">
        <f aca="false">EXP(-'Black-Scholes'!$B$8*'Black-Scholes'!$B$7)*IF(LOWER('Black-Scholes'!$B$11)="put",MAX('Black-Scholes'!$B$6-C4321,0),MAX(C4321-'Black-Scholes'!$B$6,0))</f>
        <v>2.8372679305277</v>
      </c>
      <c r="F4321" s="18" t="n">
        <f aca="false">(E4321+G4321)/2</f>
        <v>2.89694304589634</v>
      </c>
      <c r="G4321" s="18" t="n">
        <f aca="false">EXP(-'Black-Scholes'!$B$8*'Black-Scholes'!$B$7)*IF(LOWER('Black-Scholes'!$B$11)="put",MAX('Black-Scholes'!$B$6-D4321,0),MAX(D4321-'Black-Scholes'!$B$6,0))</f>
        <v>2.95661816126497</v>
      </c>
    </row>
    <row r="4322" customFormat="false" ht="15" hidden="false" customHeight="false" outlineLevel="0" collapsed="false">
      <c r="A4322" s="0" t="n">
        <v>4311</v>
      </c>
      <c r="B4322" s="15" t="n">
        <v>0.496194216759257</v>
      </c>
      <c r="C4322" s="18" t="n">
        <f aca="false">'Black-Scholes'!$B$5*EXP(('Black-Scholes'!$B$8-'Black-Scholes'!$B$10-'Black-Scholes'!$B$9^2/2)*'Black-Scholes'!$B$7+'Black-Scholes'!$B$9*SQRT('Black-Scholes'!$B$7)*B4322)</f>
        <v>113.796188634136</v>
      </c>
      <c r="D4322" s="18" t="n">
        <f aca="false">'Black-Scholes'!$B$5*EXP(('Black-Scholes'!$B$8-'Black-Scholes'!$B$10-'Black-Scholes'!$B$9^2/2)*'Black-Scholes'!$B$7-'Black-Scholes'!$B$9*SQRT('Black-Scholes'!$B$7)*B4322)</f>
        <v>93.3103787824786</v>
      </c>
      <c r="E4322" s="18" t="n">
        <f aca="false">EXP(-'Black-Scholes'!$B$8*'Black-Scholes'!$B$7)*IF(LOWER('Black-Scholes'!$B$11)="put",MAX('Black-Scholes'!$B$6-C4322,0),MAX(C4322-'Black-Scholes'!$B$6,0))</f>
        <v>13.1233405747523</v>
      </c>
      <c r="F4322" s="18" t="n">
        <f aca="false">(E4322+G4322)/2</f>
        <v>6.56167028737615</v>
      </c>
      <c r="G4322" s="18" t="n">
        <f aca="false">EXP(-'Black-Scholes'!$B$8*'Black-Scholes'!$B$7)*IF(LOWER('Black-Scholes'!$B$11)="put",MAX('Black-Scholes'!$B$6-D4322,0),MAX(D4322-'Black-Scholes'!$B$6,0))</f>
        <v>0</v>
      </c>
    </row>
    <row r="4323" customFormat="false" ht="15" hidden="false" customHeight="false" outlineLevel="0" collapsed="false">
      <c r="A4323" s="0" t="n">
        <v>4312</v>
      </c>
      <c r="B4323" s="15" t="n">
        <v>-1.40772056492423</v>
      </c>
      <c r="C4323" s="18" t="n">
        <f aca="false">'Black-Scholes'!$B$5*EXP(('Black-Scholes'!$B$8-'Black-Scholes'!$B$10-'Black-Scholes'!$B$9^2/2)*'Black-Scholes'!$B$7+'Black-Scholes'!$B$9*SQRT('Black-Scholes'!$B$7)*B4323)</f>
        <v>77.7599154633446</v>
      </c>
      <c r="D4323" s="18" t="n">
        <f aca="false">'Black-Scholes'!$B$5*EXP(('Black-Scholes'!$B$8-'Black-Scholes'!$B$10-'Black-Scholes'!$B$9^2/2)*'Black-Scholes'!$B$7-'Black-Scholes'!$B$9*SQRT('Black-Scholes'!$B$7)*B4323)</f>
        <v>136.553202278866</v>
      </c>
      <c r="E4323" s="18" t="n">
        <f aca="false">EXP(-'Black-Scholes'!$B$8*'Black-Scholes'!$B$7)*IF(LOWER('Black-Scholes'!$B$11)="put",MAX('Black-Scholes'!$B$6-C4323,0),MAX(C4323-'Black-Scholes'!$B$6,0))</f>
        <v>0</v>
      </c>
      <c r="F4323" s="18" t="n">
        <f aca="false">(E4323+G4323)/2</f>
        <v>17.3852407836919</v>
      </c>
      <c r="G4323" s="18" t="n">
        <f aca="false">EXP(-'Black-Scholes'!$B$8*'Black-Scholes'!$B$7)*IF(LOWER('Black-Scholes'!$B$11)="put",MAX('Black-Scholes'!$B$6-D4323,0),MAX(D4323-'Black-Scholes'!$B$6,0))</f>
        <v>34.7704815673837</v>
      </c>
    </row>
    <row r="4324" customFormat="false" ht="15" hidden="false" customHeight="false" outlineLevel="0" collapsed="false">
      <c r="A4324" s="0" t="n">
        <v>4313</v>
      </c>
      <c r="B4324" s="15" t="n">
        <v>-1.49964599610124</v>
      </c>
      <c r="C4324" s="18" t="n">
        <f aca="false">'Black-Scholes'!$B$5*EXP(('Black-Scholes'!$B$8-'Black-Scholes'!$B$10-'Black-Scholes'!$B$9^2/2)*'Black-Scholes'!$B$7+'Black-Scholes'!$B$9*SQRT('Black-Scholes'!$B$7)*B4324)</f>
        <v>76.343354411366</v>
      </c>
      <c r="D4324" s="18" t="n">
        <f aca="false">'Black-Scholes'!$B$5*EXP(('Black-Scholes'!$B$8-'Black-Scholes'!$B$10-'Black-Scholes'!$B$9^2/2)*'Black-Scholes'!$B$7-'Black-Scholes'!$B$9*SQRT('Black-Scholes'!$B$7)*B4324)</f>
        <v>139.086965032188</v>
      </c>
      <c r="E4324" s="18" t="n">
        <f aca="false">EXP(-'Black-Scholes'!$B$8*'Black-Scholes'!$B$7)*IF(LOWER('Black-Scholes'!$B$11)="put",MAX('Black-Scholes'!$B$6-C4324,0),MAX(C4324-'Black-Scholes'!$B$6,0))</f>
        <v>0</v>
      </c>
      <c r="F4324" s="18" t="n">
        <f aca="false">(E4324+G4324)/2</f>
        <v>18.5903356265238</v>
      </c>
      <c r="G4324" s="18" t="n">
        <f aca="false">EXP(-'Black-Scholes'!$B$8*'Black-Scholes'!$B$7)*IF(LOWER('Black-Scholes'!$B$11)="put",MAX('Black-Scholes'!$B$6-D4324,0),MAX(D4324-'Black-Scholes'!$B$6,0))</f>
        <v>37.1806712530477</v>
      </c>
    </row>
    <row r="4325" customFormat="false" ht="15" hidden="false" customHeight="false" outlineLevel="0" collapsed="false">
      <c r="A4325" s="0" t="n">
        <v>4314</v>
      </c>
      <c r="B4325" s="15" t="n">
        <v>0.395698669509</v>
      </c>
      <c r="C4325" s="18" t="n">
        <f aca="false">'Black-Scholes'!$B$5*EXP(('Black-Scholes'!$B$8-'Black-Scholes'!$B$10-'Black-Scholes'!$B$9^2/2)*'Black-Scholes'!$B$7+'Black-Scholes'!$B$9*SQRT('Black-Scholes'!$B$7)*B4325)</f>
        <v>111.53181872154</v>
      </c>
      <c r="D4325" s="18" t="n">
        <f aca="false">'Black-Scholes'!$B$5*EXP(('Black-Scholes'!$B$8-'Black-Scholes'!$B$10-'Black-Scholes'!$B$9^2/2)*'Black-Scholes'!$B$7-'Black-Scholes'!$B$9*SQRT('Black-Scholes'!$B$7)*B4325)</f>
        <v>95.2048087009535</v>
      </c>
      <c r="E4325" s="18" t="n">
        <f aca="false">EXP(-'Black-Scholes'!$B$8*'Black-Scholes'!$B$7)*IF(LOWER('Black-Scholes'!$B$11)="put",MAX('Black-Scholes'!$B$6-C4325,0),MAX(C4325-'Black-Scholes'!$B$6,0))</f>
        <v>10.9694052859366</v>
      </c>
      <c r="F4325" s="18" t="n">
        <f aca="false">(E4325+G4325)/2</f>
        <v>5.4847026429683</v>
      </c>
      <c r="G4325" s="18" t="n">
        <f aca="false">EXP(-'Black-Scholes'!$B$8*'Black-Scholes'!$B$7)*IF(LOWER('Black-Scholes'!$B$11)="put",MAX('Black-Scholes'!$B$6-D4325,0),MAX(D4325-'Black-Scholes'!$B$6,0))</f>
        <v>0</v>
      </c>
    </row>
    <row r="4326" customFormat="false" ht="15" hidden="false" customHeight="false" outlineLevel="0" collapsed="false">
      <c r="A4326" s="0" t="n">
        <v>4315</v>
      </c>
      <c r="B4326" s="15" t="n">
        <v>0.277397741350672</v>
      </c>
      <c r="C4326" s="18" t="n">
        <f aca="false">'Black-Scholes'!$B$5*EXP(('Black-Scholes'!$B$8-'Black-Scholes'!$B$10-'Black-Scholes'!$B$9^2/2)*'Black-Scholes'!$B$7+'Black-Scholes'!$B$9*SQRT('Black-Scholes'!$B$7)*B4326)</f>
        <v>108.923928428866</v>
      </c>
      <c r="D4326" s="18" t="n">
        <f aca="false">'Black-Scholes'!$B$5*EXP(('Black-Scholes'!$B$8-'Black-Scholes'!$B$10-'Black-Scholes'!$B$9^2/2)*'Black-Scholes'!$B$7-'Black-Scholes'!$B$9*SQRT('Black-Scholes'!$B$7)*B4326)</f>
        <v>97.4842315973575</v>
      </c>
      <c r="E4326" s="18" t="n">
        <f aca="false">EXP(-'Black-Scholes'!$B$8*'Black-Scholes'!$B$7)*IF(LOWER('Black-Scholes'!$B$11)="put",MAX('Black-Scholes'!$B$6-C4326,0),MAX(C4326-'Black-Scholes'!$B$6,0))</f>
        <v>8.48870330367607</v>
      </c>
      <c r="F4326" s="18" t="n">
        <f aca="false">(E4326+G4326)/2</f>
        <v>4.24435165183803</v>
      </c>
      <c r="G4326" s="18" t="n">
        <f aca="false">EXP(-'Black-Scholes'!$B$8*'Black-Scholes'!$B$7)*IF(LOWER('Black-Scholes'!$B$11)="put",MAX('Black-Scholes'!$B$6-D4326,0),MAX(D4326-'Black-Scholes'!$B$6,0))</f>
        <v>0</v>
      </c>
    </row>
    <row r="4327" customFormat="false" ht="15" hidden="false" customHeight="false" outlineLevel="0" collapsed="false">
      <c r="A4327" s="0" t="n">
        <v>4316</v>
      </c>
      <c r="B4327" s="15" t="n">
        <v>-0.027552701872788</v>
      </c>
      <c r="C4327" s="18" t="n">
        <f aca="false">'Black-Scholes'!$B$5*EXP(('Black-Scholes'!$B$8-'Black-Scholes'!$B$10-'Black-Scholes'!$B$9^2/2)*'Black-Scholes'!$B$7+'Black-Scholes'!$B$9*SQRT('Black-Scholes'!$B$7)*B4327)</f>
        <v>102.479178936097</v>
      </c>
      <c r="D4327" s="18" t="n">
        <f aca="false">'Black-Scholes'!$B$5*EXP(('Black-Scholes'!$B$8-'Black-Scholes'!$B$10-'Black-Scholes'!$B$9^2/2)*'Black-Scholes'!$B$7-'Black-Scholes'!$B$9*SQRT('Black-Scholes'!$B$7)*B4327)</f>
        <v>103.614856946453</v>
      </c>
      <c r="E4327" s="18" t="n">
        <f aca="false">EXP(-'Black-Scholes'!$B$8*'Black-Scholes'!$B$7)*IF(LOWER('Black-Scholes'!$B$11)="put",MAX('Black-Scholes'!$B$6-C4327,0),MAX(C4327-'Black-Scholes'!$B$6,0))</f>
        <v>2.35826795261767</v>
      </c>
      <c r="F4327" s="18" t="n">
        <f aca="false">(E4327+G4327)/2</f>
        <v>2.89841312272213</v>
      </c>
      <c r="G4327" s="18" t="n">
        <f aca="false">EXP(-'Black-Scholes'!$B$8*'Black-Scholes'!$B$7)*IF(LOWER('Black-Scholes'!$B$11)="put",MAX('Black-Scholes'!$B$6-D4327,0),MAX(D4327-'Black-Scholes'!$B$6,0))</f>
        <v>3.43855829282659</v>
      </c>
    </row>
    <row r="4328" customFormat="false" ht="15" hidden="false" customHeight="false" outlineLevel="0" collapsed="false">
      <c r="A4328" s="0" t="n">
        <v>4317</v>
      </c>
      <c r="B4328" s="15" t="n">
        <v>1.05569559878062</v>
      </c>
      <c r="C4328" s="18" t="n">
        <f aca="false">'Black-Scholes'!$B$5*EXP(('Black-Scholes'!$B$8-'Black-Scholes'!$B$10-'Black-Scholes'!$B$9^2/2)*'Black-Scholes'!$B$7+'Black-Scholes'!$B$9*SQRT('Black-Scholes'!$B$7)*B4328)</f>
        <v>127.269808043928</v>
      </c>
      <c r="D4328" s="18" t="n">
        <f aca="false">'Black-Scholes'!$B$5*EXP(('Black-Scholes'!$B$8-'Black-Scholes'!$B$10-'Black-Scholes'!$B$9^2/2)*'Black-Scholes'!$B$7-'Black-Scholes'!$B$9*SQRT('Black-Scholes'!$B$7)*B4328)</f>
        <v>83.4319280326772</v>
      </c>
      <c r="E4328" s="18" t="n">
        <f aca="false">EXP(-'Black-Scholes'!$B$8*'Black-Scholes'!$B$7)*IF(LOWER('Black-Scholes'!$B$11)="put",MAX('Black-Scholes'!$B$6-C4328,0),MAX(C4328-'Black-Scholes'!$B$6,0))</f>
        <v>25.9398438118701</v>
      </c>
      <c r="F4328" s="18" t="n">
        <f aca="false">(E4328+G4328)/2</f>
        <v>12.9699219059351</v>
      </c>
      <c r="G4328" s="18" t="n">
        <f aca="false">EXP(-'Black-Scholes'!$B$8*'Black-Scholes'!$B$7)*IF(LOWER('Black-Scholes'!$B$11)="put",MAX('Black-Scholes'!$B$6-D4328,0),MAX(D4328-'Black-Scholes'!$B$6,0))</f>
        <v>0</v>
      </c>
    </row>
    <row r="4329" customFormat="false" ht="15" hidden="false" customHeight="false" outlineLevel="0" collapsed="false">
      <c r="A4329" s="0" t="n">
        <v>4318</v>
      </c>
      <c r="B4329" s="15" t="n">
        <v>0.480194105013419</v>
      </c>
      <c r="C4329" s="18" t="n">
        <f aca="false">'Black-Scholes'!$B$5*EXP(('Black-Scholes'!$B$8-'Black-Scholes'!$B$10-'Black-Scholes'!$B$9^2/2)*'Black-Scholes'!$B$7+'Black-Scholes'!$B$9*SQRT('Black-Scholes'!$B$7)*B4329)</f>
        <v>113.432620310886</v>
      </c>
      <c r="D4329" s="18" t="n">
        <f aca="false">'Black-Scholes'!$B$5*EXP(('Black-Scholes'!$B$8-'Black-Scholes'!$B$10-'Black-Scholes'!$B$9^2/2)*'Black-Scholes'!$B$7-'Black-Scholes'!$B$9*SQRT('Black-Scholes'!$B$7)*B4329)</f>
        <v>93.6094523458222</v>
      </c>
      <c r="E4329" s="18" t="n">
        <f aca="false">EXP(-'Black-Scholes'!$B$8*'Black-Scholes'!$B$7)*IF(LOWER('Black-Scholes'!$B$11)="put",MAX('Black-Scholes'!$B$6-C4329,0),MAX(C4329-'Black-Scholes'!$B$6,0))</f>
        <v>12.7775036878604</v>
      </c>
      <c r="F4329" s="18" t="n">
        <f aca="false">(E4329+G4329)/2</f>
        <v>6.38875184393018</v>
      </c>
      <c r="G4329" s="18" t="n">
        <f aca="false">EXP(-'Black-Scholes'!$B$8*'Black-Scholes'!$B$7)*IF(LOWER('Black-Scholes'!$B$11)="put",MAX('Black-Scholes'!$B$6-D4329,0),MAX(D4329-'Black-Scholes'!$B$6,0))</f>
        <v>0</v>
      </c>
    </row>
    <row r="4330" customFormat="false" ht="15" hidden="false" customHeight="false" outlineLevel="0" collapsed="false">
      <c r="A4330" s="0" t="n">
        <v>4319</v>
      </c>
      <c r="B4330" s="15" t="n">
        <v>0.562599448834477</v>
      </c>
      <c r="C4330" s="18" t="n">
        <f aca="false">'Black-Scholes'!$B$5*EXP(('Black-Scholes'!$B$8-'Black-Scholes'!$B$10-'Black-Scholes'!$B$9^2/2)*'Black-Scholes'!$B$7+'Black-Scholes'!$B$9*SQRT('Black-Scholes'!$B$7)*B4330)</f>
        <v>115.317601713144</v>
      </c>
      <c r="D4330" s="18" t="n">
        <f aca="false">'Black-Scholes'!$B$5*EXP(('Black-Scholes'!$B$8-'Black-Scholes'!$B$10-'Black-Scholes'!$B$9^2/2)*'Black-Scholes'!$B$7-'Black-Scholes'!$B$9*SQRT('Black-Scholes'!$B$7)*B4330)</f>
        <v>92.0793123314087</v>
      </c>
      <c r="E4330" s="18" t="n">
        <f aca="false">EXP(-'Black-Scholes'!$B$8*'Black-Scholes'!$B$7)*IF(LOWER('Black-Scholes'!$B$11)="put",MAX('Black-Scholes'!$B$6-C4330,0),MAX(C4330-'Black-Scholes'!$B$6,0))</f>
        <v>14.5705534623253</v>
      </c>
      <c r="F4330" s="18" t="n">
        <f aca="false">(E4330+G4330)/2</f>
        <v>7.28527673116263</v>
      </c>
      <c r="G4330" s="18" t="n">
        <f aca="false">EXP(-'Black-Scholes'!$B$8*'Black-Scholes'!$B$7)*IF(LOWER('Black-Scholes'!$B$11)="put",MAX('Black-Scholes'!$B$6-D4330,0),MAX(D4330-'Black-Scholes'!$B$6,0))</f>
        <v>0</v>
      </c>
    </row>
    <row r="4331" customFormat="false" ht="15" hidden="false" customHeight="false" outlineLevel="0" collapsed="false">
      <c r="A4331" s="0" t="n">
        <v>4320</v>
      </c>
      <c r="B4331" s="15" t="n">
        <v>-1.20496445904158</v>
      </c>
      <c r="C4331" s="18" t="n">
        <f aca="false">'Black-Scholes'!$B$5*EXP(('Black-Scholes'!$B$8-'Black-Scholes'!$B$10-'Black-Scholes'!$B$9^2/2)*'Black-Scholes'!$B$7+'Black-Scholes'!$B$9*SQRT('Black-Scholes'!$B$7)*B4331)</f>
        <v>80.9779822931022</v>
      </c>
      <c r="D4331" s="18" t="n">
        <f aca="false">'Black-Scholes'!$B$5*EXP(('Black-Scholes'!$B$8-'Black-Scholes'!$B$10-'Black-Scholes'!$B$9^2/2)*'Black-Scholes'!$B$7-'Black-Scholes'!$B$9*SQRT('Black-Scholes'!$B$7)*B4331)</f>
        <v>131.126574962316</v>
      </c>
      <c r="E4331" s="18" t="n">
        <f aca="false">EXP(-'Black-Scholes'!$B$8*'Black-Scholes'!$B$7)*IF(LOWER('Black-Scholes'!$B$11)="put",MAX('Black-Scholes'!$B$6-C4331,0),MAX(C4331-'Black-Scholes'!$B$6,0))</f>
        <v>0</v>
      </c>
      <c r="F4331" s="18" t="n">
        <f aca="false">(E4331+G4331)/2</f>
        <v>14.8042569940413</v>
      </c>
      <c r="G4331" s="18" t="n">
        <f aca="false">EXP(-'Black-Scholes'!$B$8*'Black-Scholes'!$B$7)*IF(LOWER('Black-Scholes'!$B$11)="put",MAX('Black-Scholes'!$B$6-D4331,0),MAX(D4331-'Black-Scholes'!$B$6,0))</f>
        <v>29.6085139880826</v>
      </c>
    </row>
    <row r="4332" customFormat="false" ht="15" hidden="false" customHeight="false" outlineLevel="0" collapsed="false">
      <c r="A4332" s="0" t="n">
        <v>4321</v>
      </c>
      <c r="B4332" s="15" t="n">
        <v>-0.0471591879963482</v>
      </c>
      <c r="C4332" s="18" t="n">
        <f aca="false">'Black-Scholes'!$B$5*EXP(('Black-Scholes'!$B$8-'Black-Scholes'!$B$10-'Black-Scholes'!$B$9^2/2)*'Black-Scholes'!$B$7+'Black-Scholes'!$B$9*SQRT('Black-Scholes'!$B$7)*B4332)</f>
        <v>102.078114476536</v>
      </c>
      <c r="D4332" s="18" t="n">
        <f aca="false">'Black-Scholes'!$B$5*EXP(('Black-Scholes'!$B$8-'Black-Scholes'!$B$10-'Black-Scholes'!$B$9^2/2)*'Black-Scholes'!$B$7-'Black-Scholes'!$B$9*SQRT('Black-Scholes'!$B$7)*B4332)</f>
        <v>104.02195926037</v>
      </c>
      <c r="E4332" s="18" t="n">
        <f aca="false">EXP(-'Black-Scholes'!$B$8*'Black-Scholes'!$B$7)*IF(LOWER('Black-Scholes'!$B$11)="put",MAX('Black-Scholes'!$B$6-C4332,0),MAX(C4332-'Black-Scholes'!$B$6,0))</f>
        <v>1.9767636375622</v>
      </c>
      <c r="F4332" s="18" t="n">
        <f aca="false">(E4332+G4332)/2</f>
        <v>2.90128481508443</v>
      </c>
      <c r="G4332" s="18" t="n">
        <f aca="false">EXP(-'Black-Scholes'!$B$8*'Black-Scholes'!$B$7)*IF(LOWER('Black-Scholes'!$B$11)="put",MAX('Black-Scholes'!$B$6-D4332,0),MAX(D4332-'Black-Scholes'!$B$6,0))</f>
        <v>3.82580599260666</v>
      </c>
    </row>
    <row r="4333" customFormat="false" ht="15" hidden="false" customHeight="false" outlineLevel="0" collapsed="false">
      <c r="A4333" s="0" t="n">
        <v>4322</v>
      </c>
      <c r="B4333" s="15" t="n">
        <v>0.796565040927846</v>
      </c>
      <c r="C4333" s="18" t="n">
        <f aca="false">'Black-Scholes'!$B$5*EXP(('Black-Scholes'!$B$8-'Black-Scholes'!$B$10-'Black-Scholes'!$B$9^2/2)*'Black-Scholes'!$B$7+'Black-Scholes'!$B$9*SQRT('Black-Scholes'!$B$7)*B4333)</f>
        <v>120.841913837408</v>
      </c>
      <c r="D4333" s="18" t="n">
        <f aca="false">'Black-Scholes'!$B$5*EXP(('Black-Scholes'!$B$8-'Black-Scholes'!$B$10-'Black-Scholes'!$B$9^2/2)*'Black-Scholes'!$B$7-'Black-Scholes'!$B$9*SQRT('Black-Scholes'!$B$7)*B4333)</f>
        <v>87.8698882553325</v>
      </c>
      <c r="E4333" s="18" t="n">
        <f aca="false">EXP(-'Black-Scholes'!$B$8*'Black-Scholes'!$B$7)*IF(LOWER('Black-Scholes'!$B$11)="put",MAX('Black-Scholes'!$B$6-C4333,0),MAX(C4333-'Black-Scholes'!$B$6,0))</f>
        <v>19.8254417050514</v>
      </c>
      <c r="F4333" s="18" t="n">
        <f aca="false">(E4333+G4333)/2</f>
        <v>9.91272085252572</v>
      </c>
      <c r="G4333" s="18" t="n">
        <f aca="false">EXP(-'Black-Scholes'!$B$8*'Black-Scholes'!$B$7)*IF(LOWER('Black-Scholes'!$B$11)="put",MAX('Black-Scholes'!$B$6-D4333,0),MAX(D4333-'Black-Scholes'!$B$6,0))</f>
        <v>0</v>
      </c>
    </row>
    <row r="4334" customFormat="false" ht="15" hidden="false" customHeight="false" outlineLevel="0" collapsed="false">
      <c r="A4334" s="0" t="n">
        <v>4323</v>
      </c>
      <c r="B4334" s="15" t="n">
        <v>-0.982739679606006</v>
      </c>
      <c r="C4334" s="18" t="n">
        <f aca="false">'Black-Scholes'!$B$5*EXP(('Black-Scholes'!$B$8-'Black-Scholes'!$B$10-'Black-Scholes'!$B$9^2/2)*'Black-Scholes'!$B$7+'Black-Scholes'!$B$9*SQRT('Black-Scholes'!$B$7)*B4334)</f>
        <v>84.6582234263492</v>
      </c>
      <c r="D4334" s="18" t="n">
        <f aca="false">'Black-Scholes'!$B$5*EXP(('Black-Scholes'!$B$8-'Black-Scholes'!$B$10-'Black-Scholes'!$B$9^2/2)*'Black-Scholes'!$B$7-'Black-Scholes'!$B$9*SQRT('Black-Scholes'!$B$7)*B4334)</f>
        <v>125.426273263239</v>
      </c>
      <c r="E4334" s="18" t="n">
        <f aca="false">EXP(-'Black-Scholes'!$B$8*'Black-Scholes'!$B$7)*IF(LOWER('Black-Scholes'!$B$11)="put",MAX('Black-Scholes'!$B$6-C4334,0),MAX(C4334-'Black-Scholes'!$B$6,0))</f>
        <v>0</v>
      </c>
      <c r="F4334" s="18" t="n">
        <f aca="false">(E4334+G4334)/2</f>
        <v>12.0931096416943</v>
      </c>
      <c r="G4334" s="18" t="n">
        <f aca="false">EXP(-'Black-Scholes'!$B$8*'Black-Scholes'!$B$7)*IF(LOWER('Black-Scholes'!$B$11)="put",MAX('Black-Scholes'!$B$6-D4334,0),MAX(D4334-'Black-Scholes'!$B$6,0))</f>
        <v>24.1862192833886</v>
      </c>
    </row>
    <row r="4335" customFormat="false" ht="15" hidden="false" customHeight="false" outlineLevel="0" collapsed="false">
      <c r="A4335" s="0" t="n">
        <v>4324</v>
      </c>
      <c r="B4335" s="15" t="n">
        <v>0.0943850978158608</v>
      </c>
      <c r="C4335" s="18" t="n">
        <f aca="false">'Black-Scholes'!$B$5*EXP(('Black-Scholes'!$B$8-'Black-Scholes'!$B$10-'Black-Scholes'!$B$9^2/2)*'Black-Scholes'!$B$7+'Black-Scholes'!$B$9*SQRT('Black-Scholes'!$B$7)*B4335)</f>
        <v>105.009120212407</v>
      </c>
      <c r="D4335" s="18" t="n">
        <f aca="false">'Black-Scholes'!$B$5*EXP(('Black-Scholes'!$B$8-'Black-Scholes'!$B$10-'Black-Scholes'!$B$9^2/2)*'Black-Scholes'!$B$7-'Black-Scholes'!$B$9*SQRT('Black-Scholes'!$B$7)*B4335)</f>
        <v>101.118507078008</v>
      </c>
      <c r="E4335" s="18" t="n">
        <f aca="false">EXP(-'Black-Scholes'!$B$8*'Black-Scholes'!$B$7)*IF(LOWER('Black-Scholes'!$B$11)="put",MAX('Black-Scholes'!$B$6-C4335,0),MAX(C4335-'Black-Scholes'!$B$6,0))</f>
        <v>4.76482253690261</v>
      </c>
      <c r="F4335" s="18" t="n">
        <f aca="false">(E4335+G4335)/2</f>
        <v>2.91438969050783</v>
      </c>
      <c r="G4335" s="18" t="n">
        <f aca="false">EXP(-'Black-Scholes'!$B$8*'Black-Scholes'!$B$7)*IF(LOWER('Black-Scholes'!$B$11)="put",MAX('Black-Scholes'!$B$6-D4335,0),MAX(D4335-'Black-Scholes'!$B$6,0))</f>
        <v>1.06395684411305</v>
      </c>
    </row>
    <row r="4336" customFormat="false" ht="15" hidden="false" customHeight="false" outlineLevel="0" collapsed="false">
      <c r="A4336" s="0" t="n">
        <v>4325</v>
      </c>
      <c r="B4336" s="15" t="n">
        <v>-0.275499491152205</v>
      </c>
      <c r="C4336" s="18" t="n">
        <f aca="false">'Black-Scholes'!$B$5*EXP(('Black-Scholes'!$B$8-'Black-Scholes'!$B$10-'Black-Scholes'!$B$9^2/2)*'Black-Scholes'!$B$7+'Black-Scholes'!$B$9*SQRT('Black-Scholes'!$B$7)*B4336)</f>
        <v>97.5212485160456</v>
      </c>
      <c r="D4336" s="18" t="n">
        <f aca="false">'Black-Scholes'!$B$5*EXP(('Black-Scholes'!$B$8-'Black-Scholes'!$B$10-'Black-Scholes'!$B$9^2/2)*'Black-Scholes'!$B$7-'Black-Scholes'!$B$9*SQRT('Black-Scholes'!$B$7)*B4336)</f>
        <v>108.88258330395</v>
      </c>
      <c r="E4336" s="18" t="n">
        <f aca="false">EXP(-'Black-Scholes'!$B$8*'Black-Scholes'!$B$7)*IF(LOWER('Black-Scholes'!$B$11)="put",MAX('Black-Scholes'!$B$6-C4336,0),MAX(C4336-'Black-Scholes'!$B$6,0))</f>
        <v>0</v>
      </c>
      <c r="F4336" s="18" t="n">
        <f aca="false">(E4336+G4336)/2</f>
        <v>4.22468730214824</v>
      </c>
      <c r="G4336" s="18" t="n">
        <f aca="false">EXP(-'Black-Scholes'!$B$8*'Black-Scholes'!$B$7)*IF(LOWER('Black-Scholes'!$B$11)="put",MAX('Black-Scholes'!$B$6-D4336,0),MAX(D4336-'Black-Scholes'!$B$6,0))</f>
        <v>8.44937460429647</v>
      </c>
    </row>
    <row r="4337" customFormat="false" ht="15" hidden="false" customHeight="false" outlineLevel="0" collapsed="false">
      <c r="A4337" s="0" t="n">
        <v>4326</v>
      </c>
      <c r="B4337" s="15" t="n">
        <v>1.17734002581264</v>
      </c>
      <c r="C4337" s="18" t="n">
        <f aca="false">'Black-Scholes'!$B$5*EXP(('Black-Scholes'!$B$8-'Black-Scholes'!$B$10-'Black-Scholes'!$B$9^2/2)*'Black-Scholes'!$B$7+'Black-Scholes'!$B$9*SQRT('Black-Scholes'!$B$7)*B4337)</f>
        <v>130.404113097078</v>
      </c>
      <c r="D4337" s="18" t="n">
        <f aca="false">'Black-Scholes'!$B$5*EXP(('Black-Scholes'!$B$8-'Black-Scholes'!$B$10-'Black-Scholes'!$B$9^2/2)*'Black-Scholes'!$B$7-'Black-Scholes'!$B$9*SQRT('Black-Scholes'!$B$7)*B4337)</f>
        <v>81.4266146463404</v>
      </c>
      <c r="E4337" s="18" t="n">
        <f aca="false">EXP(-'Black-Scholes'!$B$8*'Black-Scholes'!$B$7)*IF(LOWER('Black-Scholes'!$B$11)="put",MAX('Black-Scholes'!$B$6-C4337,0),MAX(C4337-'Black-Scholes'!$B$6,0))</f>
        <v>28.9212870037885</v>
      </c>
      <c r="F4337" s="18" t="n">
        <f aca="false">(E4337+G4337)/2</f>
        <v>14.4606435018943</v>
      </c>
      <c r="G4337" s="18" t="n">
        <f aca="false">EXP(-'Black-Scholes'!$B$8*'Black-Scholes'!$B$7)*IF(LOWER('Black-Scholes'!$B$11)="put",MAX('Black-Scholes'!$B$6-D4337,0),MAX(D4337-'Black-Scholes'!$B$6,0))</f>
        <v>0</v>
      </c>
    </row>
    <row r="4338" customFormat="false" ht="15" hidden="false" customHeight="false" outlineLevel="0" collapsed="false">
      <c r="A4338" s="0" t="n">
        <v>4327</v>
      </c>
      <c r="B4338" s="15" t="n">
        <v>1.01735050625923</v>
      </c>
      <c r="C4338" s="18" t="n">
        <f aca="false">'Black-Scholes'!$B$5*EXP(('Black-Scholes'!$B$8-'Black-Scholes'!$B$10-'Black-Scholes'!$B$9^2/2)*'Black-Scholes'!$B$7+'Black-Scholes'!$B$9*SQRT('Black-Scholes'!$B$7)*B4338)</f>
        <v>126.297506595298</v>
      </c>
      <c r="D4338" s="18" t="n">
        <f aca="false">'Black-Scholes'!$B$5*EXP(('Black-Scholes'!$B$8-'Black-Scholes'!$B$10-'Black-Scholes'!$B$9^2/2)*'Black-Scholes'!$B$7-'Black-Scholes'!$B$9*SQRT('Black-Scholes'!$B$7)*B4338)</f>
        <v>84.0742287928029</v>
      </c>
      <c r="E4338" s="18" t="n">
        <f aca="false">EXP(-'Black-Scholes'!$B$8*'Black-Scholes'!$B$7)*IF(LOWER('Black-Scholes'!$B$11)="put",MAX('Black-Scholes'!$B$6-C4338,0),MAX(C4338-'Black-Scholes'!$B$6,0))</f>
        <v>25.0149620644488</v>
      </c>
      <c r="F4338" s="18" t="n">
        <f aca="false">(E4338+G4338)/2</f>
        <v>12.5074810322244</v>
      </c>
      <c r="G4338" s="18" t="n">
        <f aca="false">EXP(-'Black-Scholes'!$B$8*'Black-Scholes'!$B$7)*IF(LOWER('Black-Scholes'!$B$11)="put",MAX('Black-Scholes'!$B$6-D4338,0),MAX(D4338-'Black-Scholes'!$B$6,0))</f>
        <v>0</v>
      </c>
    </row>
    <row r="4339" customFormat="false" ht="15" hidden="false" customHeight="false" outlineLevel="0" collapsed="false">
      <c r="A4339" s="0" t="n">
        <v>4328</v>
      </c>
      <c r="B4339" s="15" t="n">
        <v>2.1143617166852</v>
      </c>
      <c r="C4339" s="18" t="n">
        <f aca="false">'Black-Scholes'!$B$5*EXP(('Black-Scholes'!$B$8-'Black-Scholes'!$B$10-'Black-Scholes'!$B$9^2/2)*'Black-Scholes'!$B$7+'Black-Scholes'!$B$9*SQRT('Black-Scholes'!$B$7)*B4339)</f>
        <v>157.28233923124</v>
      </c>
      <c r="D4339" s="18" t="n">
        <f aca="false">'Black-Scholes'!$B$5*EXP(('Black-Scholes'!$B$8-'Black-Scholes'!$B$10-'Black-Scholes'!$B$9^2/2)*'Black-Scholes'!$B$7-'Black-Scholes'!$B$9*SQRT('Black-Scholes'!$B$7)*B4339)</f>
        <v>67.5114925003896</v>
      </c>
      <c r="E4339" s="18" t="n">
        <f aca="false">EXP(-'Black-Scholes'!$B$8*'Black-Scholes'!$B$7)*IF(LOWER('Black-Scholes'!$B$11)="put",MAX('Black-Scholes'!$B$6-C4339,0),MAX(C4339-'Black-Scholes'!$B$6,0))</f>
        <v>54.4886465809872</v>
      </c>
      <c r="F4339" s="18" t="n">
        <f aca="false">(E4339+G4339)/2</f>
        <v>27.2443232904936</v>
      </c>
      <c r="G4339" s="18" t="n">
        <f aca="false">EXP(-'Black-Scholes'!$B$8*'Black-Scholes'!$B$7)*IF(LOWER('Black-Scholes'!$B$11)="put",MAX('Black-Scholes'!$B$6-D4339,0),MAX(D4339-'Black-Scholes'!$B$6,0))</f>
        <v>0</v>
      </c>
    </row>
    <row r="4340" customFormat="false" ht="15" hidden="false" customHeight="false" outlineLevel="0" collapsed="false">
      <c r="A4340" s="0" t="n">
        <v>4329</v>
      </c>
      <c r="B4340" s="15" t="n">
        <v>2.04003239305293</v>
      </c>
      <c r="C4340" s="18" t="n">
        <f aca="false">'Black-Scholes'!$B$5*EXP(('Black-Scholes'!$B$8-'Black-Scholes'!$B$10-'Black-Scholes'!$B$9^2/2)*'Black-Scholes'!$B$7+'Black-Scholes'!$B$9*SQRT('Black-Scholes'!$B$7)*B4340)</f>
        <v>154.961494673879</v>
      </c>
      <c r="D4340" s="18" t="n">
        <f aca="false">'Black-Scholes'!$B$5*EXP(('Black-Scholes'!$B$8-'Black-Scholes'!$B$10-'Black-Scholes'!$B$9^2/2)*'Black-Scholes'!$B$7-'Black-Scholes'!$B$9*SQRT('Black-Scholes'!$B$7)*B4340)</f>
        <v>68.5226061338676</v>
      </c>
      <c r="E4340" s="18" t="n">
        <f aca="false">EXP(-'Black-Scholes'!$B$8*'Black-Scholes'!$B$7)*IF(LOWER('Black-Scholes'!$B$11)="put",MAX('Black-Scholes'!$B$6-C4340,0),MAX(C4340-'Black-Scholes'!$B$6,0))</f>
        <v>52.2809909483325</v>
      </c>
      <c r="F4340" s="18" t="n">
        <f aca="false">(E4340+G4340)/2</f>
        <v>26.1404954741662</v>
      </c>
      <c r="G4340" s="18" t="n">
        <f aca="false">EXP(-'Black-Scholes'!$B$8*'Black-Scholes'!$B$7)*IF(LOWER('Black-Scholes'!$B$11)="put",MAX('Black-Scholes'!$B$6-D4340,0),MAX(D4340-'Black-Scholes'!$B$6,0))</f>
        <v>0</v>
      </c>
    </row>
    <row r="4341" customFormat="false" ht="15" hidden="false" customHeight="false" outlineLevel="0" collapsed="false">
      <c r="A4341" s="0" t="n">
        <v>4330</v>
      </c>
      <c r="B4341" s="15" t="n">
        <v>-1.01705480346392</v>
      </c>
      <c r="C4341" s="18" t="n">
        <f aca="false">'Black-Scholes'!$B$5*EXP(('Black-Scholes'!$B$8-'Black-Scholes'!$B$10-'Black-Scholes'!$B$9^2/2)*'Black-Scholes'!$B$7+'Black-Scholes'!$B$9*SQRT('Black-Scholes'!$B$7)*B4341)</f>
        <v>84.0792011367287</v>
      </c>
      <c r="D4341" s="18" t="n">
        <f aca="false">'Black-Scholes'!$B$5*EXP(('Black-Scholes'!$B$8-'Black-Scholes'!$B$10-'Black-Scholes'!$B$9^2/2)*'Black-Scholes'!$B$7-'Black-Scholes'!$B$9*SQRT('Black-Scholes'!$B$7)*B4341)</f>
        <v>126.290037511014</v>
      </c>
      <c r="E4341" s="18" t="n">
        <f aca="false">EXP(-'Black-Scholes'!$B$8*'Black-Scholes'!$B$7)*IF(LOWER('Black-Scholes'!$B$11)="put",MAX('Black-Scholes'!$B$6-C4341,0),MAX(C4341-'Black-Scholes'!$B$6,0))</f>
        <v>0</v>
      </c>
      <c r="F4341" s="18" t="n">
        <f aca="false">(E4341+G4341)/2</f>
        <v>12.5039286258522</v>
      </c>
      <c r="G4341" s="18" t="n">
        <f aca="false">EXP(-'Black-Scholes'!$B$8*'Black-Scholes'!$B$7)*IF(LOWER('Black-Scholes'!$B$11)="put",MAX('Black-Scholes'!$B$6-D4341,0),MAX(D4341-'Black-Scholes'!$B$6,0))</f>
        <v>25.0078572517045</v>
      </c>
    </row>
    <row r="4342" customFormat="false" ht="15" hidden="false" customHeight="false" outlineLevel="0" collapsed="false">
      <c r="A4342" s="0" t="n">
        <v>4331</v>
      </c>
      <c r="B4342" s="15" t="n">
        <v>0.0106079143852379</v>
      </c>
      <c r="C4342" s="18" t="n">
        <f aca="false">'Black-Scholes'!$B$5*EXP(('Black-Scholes'!$B$8-'Black-Scholes'!$B$10-'Black-Scholes'!$B$9^2/2)*'Black-Scholes'!$B$7+'Black-Scholes'!$B$9*SQRT('Black-Scholes'!$B$7)*B4342)</f>
        <v>103.264304938587</v>
      </c>
      <c r="D4342" s="18" t="n">
        <f aca="false">'Black-Scholes'!$B$5*EXP(('Black-Scholes'!$B$8-'Black-Scholes'!$B$10-'Black-Scholes'!$B$9^2/2)*'Black-Scholes'!$B$7-'Black-Scholes'!$B$9*SQRT('Black-Scholes'!$B$7)*B4342)</f>
        <v>102.827065671614</v>
      </c>
      <c r="E4342" s="18" t="n">
        <f aca="false">EXP(-'Black-Scholes'!$B$8*'Black-Scholes'!$B$7)*IF(LOWER('Black-Scholes'!$B$11)="put",MAX('Black-Scholes'!$B$6-C4342,0),MAX(C4342-'Black-Scholes'!$B$6,0))</f>
        <v>3.10510290812658</v>
      </c>
      <c r="F4342" s="18" t="n">
        <f aca="false">(E4342+G4342)/2</f>
        <v>2.89714547998075</v>
      </c>
      <c r="G4342" s="18" t="n">
        <f aca="false">EXP(-'Black-Scholes'!$B$8*'Black-Scholes'!$B$7)*IF(LOWER('Black-Scholes'!$B$11)="put",MAX('Black-Scholes'!$B$6-D4342,0),MAX(D4342-'Black-Scholes'!$B$6,0))</f>
        <v>2.68918805183491</v>
      </c>
    </row>
    <row r="4343" customFormat="false" ht="15" hidden="false" customHeight="false" outlineLevel="0" collapsed="false">
      <c r="A4343" s="0" t="n">
        <v>4332</v>
      </c>
      <c r="B4343" s="15" t="n">
        <v>-1.60839595639222</v>
      </c>
      <c r="C4343" s="18" t="n">
        <f aca="false">'Black-Scholes'!$B$5*EXP(('Black-Scholes'!$B$8-'Black-Scholes'!$B$10-'Black-Scholes'!$B$9^2/2)*'Black-Scholes'!$B$7+'Black-Scholes'!$B$9*SQRT('Black-Scholes'!$B$7)*B4343)</f>
        <v>74.7008144264841</v>
      </c>
      <c r="D4343" s="18" t="n">
        <f aca="false">'Black-Scholes'!$B$5*EXP(('Black-Scholes'!$B$8-'Black-Scholes'!$B$10-'Black-Scholes'!$B$9^2/2)*'Black-Scholes'!$B$7-'Black-Scholes'!$B$9*SQRT('Black-Scholes'!$B$7)*B4343)</f>
        <v>142.145243622525</v>
      </c>
      <c r="E4343" s="18" t="n">
        <f aca="false">EXP(-'Black-Scholes'!$B$8*'Black-Scholes'!$B$7)*IF(LOWER('Black-Scholes'!$B$11)="put",MAX('Black-Scholes'!$B$6-C4343,0),MAX(C4343-'Black-Scholes'!$B$6,0))</f>
        <v>0</v>
      </c>
      <c r="F4343" s="18" t="n">
        <f aca="false">(E4343+G4343)/2</f>
        <v>20.0448979182484</v>
      </c>
      <c r="G4343" s="18" t="n">
        <f aca="false">EXP(-'Black-Scholes'!$B$8*'Black-Scholes'!$B$7)*IF(LOWER('Black-Scholes'!$B$11)="put",MAX('Black-Scholes'!$B$6-D4343,0),MAX(D4343-'Black-Scholes'!$B$6,0))</f>
        <v>40.0897958364967</v>
      </c>
    </row>
    <row r="4344" customFormat="false" ht="15" hidden="false" customHeight="false" outlineLevel="0" collapsed="false">
      <c r="A4344" s="0" t="n">
        <v>4333</v>
      </c>
      <c r="B4344" s="15" t="n">
        <v>0.495419059827189</v>
      </c>
      <c r="C4344" s="18" t="n">
        <f aca="false">'Black-Scholes'!$B$5*EXP(('Black-Scholes'!$B$8-'Black-Scholes'!$B$10-'Black-Scholes'!$B$9^2/2)*'Black-Scholes'!$B$7+'Black-Scholes'!$B$9*SQRT('Black-Scholes'!$B$7)*B4344)</f>
        <v>113.778548020703</v>
      </c>
      <c r="D4344" s="18" t="n">
        <f aca="false">'Black-Scholes'!$B$5*EXP(('Black-Scholes'!$B$8-'Black-Scholes'!$B$10-'Black-Scholes'!$B$9^2/2)*'Black-Scholes'!$B$7-'Black-Scholes'!$B$9*SQRT('Black-Scholes'!$B$7)*B4344)</f>
        <v>93.3248459412709</v>
      </c>
      <c r="E4344" s="18" t="n">
        <f aca="false">EXP(-'Black-Scholes'!$B$8*'Black-Scholes'!$B$7)*IF(LOWER('Black-Scholes'!$B$11)="put",MAX('Black-Scholes'!$B$6-C4344,0),MAX(C4344-'Black-Scholes'!$B$6,0))</f>
        <v>13.1065603041888</v>
      </c>
      <c r="F4344" s="18" t="n">
        <f aca="false">(E4344+G4344)/2</f>
        <v>6.55328015209438</v>
      </c>
      <c r="G4344" s="18" t="n">
        <f aca="false">EXP(-'Black-Scholes'!$B$8*'Black-Scholes'!$B$7)*IF(LOWER('Black-Scholes'!$B$11)="put",MAX('Black-Scholes'!$B$6-D4344,0),MAX(D4344-'Black-Scholes'!$B$6,0))</f>
        <v>0</v>
      </c>
    </row>
    <row r="4345" customFormat="false" ht="15" hidden="false" customHeight="false" outlineLevel="0" collapsed="false">
      <c r="A4345" s="0" t="n">
        <v>4334</v>
      </c>
      <c r="B4345" s="15" t="n">
        <v>0.995999277106805</v>
      </c>
      <c r="C4345" s="18" t="n">
        <f aca="false">'Black-Scholes'!$B$5*EXP(('Black-Scholes'!$B$8-'Black-Scholes'!$B$10-'Black-Scholes'!$B$9^2/2)*'Black-Scholes'!$B$7+'Black-Scholes'!$B$9*SQRT('Black-Scholes'!$B$7)*B4345)</f>
        <v>125.759335074501</v>
      </c>
      <c r="D4345" s="18" t="n">
        <f aca="false">'Black-Scholes'!$B$5*EXP(('Black-Scholes'!$B$8-'Black-Scholes'!$B$10-'Black-Scholes'!$B$9^2/2)*'Black-Scholes'!$B$7-'Black-Scholes'!$B$9*SQRT('Black-Scholes'!$B$7)*B4345)</f>
        <v>84.4340140567949</v>
      </c>
      <c r="E4345" s="18" t="n">
        <f aca="false">EXP(-'Black-Scholes'!$B$8*'Black-Scholes'!$B$7)*IF(LOWER('Black-Scholes'!$B$11)="put",MAX('Black-Scholes'!$B$6-C4345,0),MAX(C4345-'Black-Scholes'!$B$6,0))</f>
        <v>24.5030374784387</v>
      </c>
      <c r="F4345" s="18" t="n">
        <f aca="false">(E4345+G4345)/2</f>
        <v>12.2515187392193</v>
      </c>
      <c r="G4345" s="18" t="n">
        <f aca="false">EXP(-'Black-Scholes'!$B$8*'Black-Scholes'!$B$7)*IF(LOWER('Black-Scholes'!$B$11)="put",MAX('Black-Scholes'!$B$6-D4345,0),MAX(D4345-'Black-Scholes'!$B$6,0))</f>
        <v>0</v>
      </c>
    </row>
    <row r="4346" customFormat="false" ht="15" hidden="false" customHeight="false" outlineLevel="0" collapsed="false">
      <c r="A4346" s="0" t="n">
        <v>4335</v>
      </c>
      <c r="B4346" s="15" t="n">
        <v>-0.665947903556217</v>
      </c>
      <c r="C4346" s="18" t="n">
        <f aca="false">'Black-Scholes'!$B$5*EXP(('Black-Scholes'!$B$8-'Black-Scholes'!$B$10-'Black-Scholes'!$B$9^2/2)*'Black-Scholes'!$B$7+'Black-Scholes'!$B$9*SQRT('Black-Scholes'!$B$7)*B4346)</f>
        <v>90.1955963818831</v>
      </c>
      <c r="D4346" s="18" t="n">
        <f aca="false">'Black-Scholes'!$B$5*EXP(('Black-Scholes'!$B$8-'Black-Scholes'!$B$10-'Black-Scholes'!$B$9^2/2)*'Black-Scholes'!$B$7-'Black-Scholes'!$B$9*SQRT('Black-Scholes'!$B$7)*B4346)</f>
        <v>117.725985429444</v>
      </c>
      <c r="E4346" s="18" t="n">
        <f aca="false">EXP(-'Black-Scholes'!$B$8*'Black-Scholes'!$B$7)*IF(LOWER('Black-Scholes'!$B$11)="put",MAX('Black-Scholes'!$B$6-C4346,0),MAX(C4346-'Black-Scholes'!$B$6,0))</f>
        <v>0</v>
      </c>
      <c r="F4346" s="18" t="n">
        <f aca="false">(E4346+G4346)/2</f>
        <v>8.43073945937911</v>
      </c>
      <c r="G4346" s="18" t="n">
        <f aca="false">EXP(-'Black-Scholes'!$B$8*'Black-Scholes'!$B$7)*IF(LOWER('Black-Scholes'!$B$11)="put",MAX('Black-Scholes'!$B$6-D4346,0),MAX(D4346-'Black-Scholes'!$B$6,0))</f>
        <v>16.8614789187582</v>
      </c>
    </row>
    <row r="4347" customFormat="false" ht="15" hidden="false" customHeight="false" outlineLevel="0" collapsed="false">
      <c r="A4347" s="0" t="n">
        <v>4336</v>
      </c>
      <c r="B4347" s="15" t="n">
        <v>-0.316297692322967</v>
      </c>
      <c r="C4347" s="18" t="n">
        <f aca="false">'Black-Scholes'!$B$5*EXP(('Black-Scholes'!$B$8-'Black-Scholes'!$B$10-'Black-Scholes'!$B$9^2/2)*'Black-Scholes'!$B$7+'Black-Scholes'!$B$9*SQRT('Black-Scholes'!$B$7)*B4347)</f>
        <v>96.7287478700825</v>
      </c>
      <c r="D4347" s="18" t="n">
        <f aca="false">'Black-Scholes'!$B$5*EXP(('Black-Scholes'!$B$8-'Black-Scholes'!$B$10-'Black-Scholes'!$B$9^2/2)*'Black-Scholes'!$B$7-'Black-Scholes'!$B$9*SQRT('Black-Scholes'!$B$7)*B4347)</f>
        <v>109.774660576763</v>
      </c>
      <c r="E4347" s="18" t="n">
        <f aca="false">EXP(-'Black-Scholes'!$B$8*'Black-Scholes'!$B$7)*IF(LOWER('Black-Scholes'!$B$11)="put",MAX('Black-Scholes'!$B$6-C4347,0),MAX(C4347-'Black-Scholes'!$B$6,0))</f>
        <v>0</v>
      </c>
      <c r="F4347" s="18" t="n">
        <f aca="false">(E4347+G4347)/2</f>
        <v>4.64897237756206</v>
      </c>
      <c r="G4347" s="18" t="n">
        <f aca="false">EXP(-'Black-Scholes'!$B$8*'Black-Scholes'!$B$7)*IF(LOWER('Black-Scholes'!$B$11)="put",MAX('Black-Scholes'!$B$6-D4347,0),MAX(D4347-'Black-Scholes'!$B$6,0))</f>
        <v>9.29794475512412</v>
      </c>
    </row>
    <row r="4348" customFormat="false" ht="15" hidden="false" customHeight="false" outlineLevel="0" collapsed="false">
      <c r="A4348" s="0" t="n">
        <v>4337</v>
      </c>
      <c r="B4348" s="15" t="n">
        <v>-0.0145280486999901</v>
      </c>
      <c r="C4348" s="18" t="n">
        <f aca="false">'Black-Scholes'!$B$5*EXP(('Black-Scholes'!$B$8-'Black-Scholes'!$B$10-'Black-Scholes'!$B$9^2/2)*'Black-Scholes'!$B$7+'Black-Scholes'!$B$9*SQRT('Black-Scholes'!$B$7)*B4348)</f>
        <v>102.746478085433</v>
      </c>
      <c r="D4348" s="18" t="n">
        <f aca="false">'Black-Scholes'!$B$5*EXP(('Black-Scholes'!$B$8-'Black-Scholes'!$B$10-'Black-Scholes'!$B$9^2/2)*'Black-Scholes'!$B$7-'Black-Scholes'!$B$9*SQRT('Black-Scholes'!$B$7)*B4348)</f>
        <v>103.345298674126</v>
      </c>
      <c r="E4348" s="18" t="n">
        <f aca="false">EXP(-'Black-Scholes'!$B$8*'Black-Scholes'!$B$7)*IF(LOWER('Black-Scholes'!$B$11)="put",MAX('Black-Scholes'!$B$6-C4348,0),MAX(C4348-'Black-Scholes'!$B$6,0))</f>
        <v>2.6125307686104</v>
      </c>
      <c r="F4348" s="18" t="n">
        <f aca="false">(E4348+G4348)/2</f>
        <v>2.89733865059098</v>
      </c>
      <c r="G4348" s="18" t="n">
        <f aca="false">EXP(-'Black-Scholes'!$B$8*'Black-Scholes'!$B$7)*IF(LOWER('Black-Scholes'!$B$11)="put",MAX('Black-Scholes'!$B$6-D4348,0),MAX(D4348-'Black-Scholes'!$B$6,0))</f>
        <v>3.18214653257157</v>
      </c>
    </row>
    <row r="4349" customFormat="false" ht="15" hidden="false" customHeight="false" outlineLevel="0" collapsed="false">
      <c r="A4349" s="0" t="n">
        <v>4338</v>
      </c>
      <c r="B4349" s="15" t="n">
        <v>0.596842815347722</v>
      </c>
      <c r="C4349" s="18" t="n">
        <f aca="false">'Black-Scholes'!$B$5*EXP(('Black-Scholes'!$B$8-'Black-Scholes'!$B$10-'Black-Scholes'!$B$9^2/2)*'Black-Scholes'!$B$7+'Black-Scholes'!$B$9*SQRT('Black-Scholes'!$B$7)*B4349)</f>
        <v>116.110084925059</v>
      </c>
      <c r="D4349" s="18" t="n">
        <f aca="false">'Black-Scholes'!$B$5*EXP(('Black-Scholes'!$B$8-'Black-Scholes'!$B$10-'Black-Scholes'!$B$9^2/2)*'Black-Scholes'!$B$7-'Black-Scholes'!$B$9*SQRT('Black-Scholes'!$B$7)*B4349)</f>
        <v>91.4508457409797</v>
      </c>
      <c r="E4349" s="18" t="n">
        <f aca="false">EXP(-'Black-Scholes'!$B$8*'Black-Scholes'!$B$7)*IF(LOWER('Black-Scholes'!$B$11)="put",MAX('Black-Scholes'!$B$6-C4349,0),MAX(C4349-'Black-Scholes'!$B$6,0))</f>
        <v>15.3243868119213</v>
      </c>
      <c r="F4349" s="18" t="n">
        <f aca="false">(E4349+G4349)/2</f>
        <v>7.66219340596064</v>
      </c>
      <c r="G4349" s="18" t="n">
        <f aca="false">EXP(-'Black-Scholes'!$B$8*'Black-Scholes'!$B$7)*IF(LOWER('Black-Scholes'!$B$11)="put",MAX('Black-Scholes'!$B$6-D4349,0),MAX(D4349-'Black-Scholes'!$B$6,0))</f>
        <v>0</v>
      </c>
    </row>
    <row r="4350" customFormat="false" ht="15" hidden="false" customHeight="false" outlineLevel="0" collapsed="false">
      <c r="A4350" s="0" t="n">
        <v>4339</v>
      </c>
      <c r="B4350" s="15" t="n">
        <v>-1.73907045745023</v>
      </c>
      <c r="C4350" s="18" t="n">
        <f aca="false">'Black-Scholes'!$B$5*EXP(('Black-Scholes'!$B$8-'Black-Scholes'!$B$10-'Black-Scholes'!$B$9^2/2)*'Black-Scholes'!$B$7+'Black-Scholes'!$B$9*SQRT('Black-Scholes'!$B$7)*B4350)</f>
        <v>72.7738068539301</v>
      </c>
      <c r="D4350" s="18" t="n">
        <f aca="false">'Black-Scholes'!$B$5*EXP(('Black-Scholes'!$B$8-'Black-Scholes'!$B$10-'Black-Scholes'!$B$9^2/2)*'Black-Scholes'!$B$7-'Black-Scholes'!$B$9*SQRT('Black-Scholes'!$B$7)*B4350)</f>
        <v>145.909166010328</v>
      </c>
      <c r="E4350" s="18" t="n">
        <f aca="false">EXP(-'Black-Scholes'!$B$8*'Black-Scholes'!$B$7)*IF(LOWER('Black-Scholes'!$B$11)="put",MAX('Black-Scholes'!$B$6-C4350,0),MAX(C4350-'Black-Scholes'!$B$6,0))</f>
        <v>0</v>
      </c>
      <c r="F4350" s="18" t="n">
        <f aca="false">(E4350+G4350)/2</f>
        <v>21.8350747816558</v>
      </c>
      <c r="G4350" s="18" t="n">
        <f aca="false">EXP(-'Black-Scholes'!$B$8*'Black-Scholes'!$B$7)*IF(LOWER('Black-Scholes'!$B$11)="put",MAX('Black-Scholes'!$B$6-D4350,0),MAX(D4350-'Black-Scholes'!$B$6,0))</f>
        <v>43.6701495633116</v>
      </c>
    </row>
    <row r="4351" customFormat="false" ht="15" hidden="false" customHeight="false" outlineLevel="0" collapsed="false">
      <c r="A4351" s="0" t="n">
        <v>4340</v>
      </c>
      <c r="B4351" s="15" t="n">
        <v>-0.865151687637108</v>
      </c>
      <c r="C4351" s="18" t="n">
        <f aca="false">'Black-Scholes'!$B$5*EXP(('Black-Scholes'!$B$8-'Black-Scholes'!$B$10-'Black-Scholes'!$B$9^2/2)*'Black-Scholes'!$B$7+'Black-Scholes'!$B$9*SQRT('Black-Scholes'!$B$7)*B4351)</f>
        <v>86.6727774119017</v>
      </c>
      <c r="D4351" s="18" t="n">
        <f aca="false">'Black-Scholes'!$B$5*EXP(('Black-Scholes'!$B$8-'Black-Scholes'!$B$10-'Black-Scholes'!$B$9^2/2)*'Black-Scholes'!$B$7-'Black-Scholes'!$B$9*SQRT('Black-Scholes'!$B$7)*B4351)</f>
        <v>122.510963448086</v>
      </c>
      <c r="E4351" s="18" t="n">
        <f aca="false">EXP(-'Black-Scholes'!$B$8*'Black-Scholes'!$B$7)*IF(LOWER('Black-Scholes'!$B$11)="put",MAX('Black-Scholes'!$B$6-C4351,0),MAX(C4351-'Black-Scholes'!$B$6,0))</f>
        <v>0</v>
      </c>
      <c r="F4351" s="18" t="n">
        <f aca="false">(E4351+G4351)/2</f>
        <v>10.7065454028398</v>
      </c>
      <c r="G4351" s="18" t="n">
        <f aca="false">EXP(-'Black-Scholes'!$B$8*'Black-Scholes'!$B$7)*IF(LOWER('Black-Scholes'!$B$11)="put",MAX('Black-Scholes'!$B$6-D4351,0),MAX(D4351-'Black-Scholes'!$B$6,0))</f>
        <v>21.4130908056796</v>
      </c>
    </row>
    <row r="4352" customFormat="false" ht="15" hidden="false" customHeight="false" outlineLevel="0" collapsed="false">
      <c r="A4352" s="0" t="n">
        <v>4341</v>
      </c>
      <c r="B4352" s="15" t="n">
        <v>0.684624572433675</v>
      </c>
      <c r="C4352" s="18" t="n">
        <f aca="false">'Black-Scholes'!$B$5*EXP(('Black-Scholes'!$B$8-'Black-Scholes'!$B$10-'Black-Scholes'!$B$9^2/2)*'Black-Scholes'!$B$7+'Black-Scholes'!$B$9*SQRT('Black-Scholes'!$B$7)*B4352)</f>
        <v>118.166553601398</v>
      </c>
      <c r="D4352" s="18" t="n">
        <f aca="false">'Black-Scholes'!$B$5*EXP(('Black-Scholes'!$B$8-'Black-Scholes'!$B$10-'Black-Scholes'!$B$9^2/2)*'Black-Scholes'!$B$7-'Black-Scholes'!$B$9*SQRT('Black-Scholes'!$B$7)*B4352)</f>
        <v>89.8593141784577</v>
      </c>
      <c r="E4352" s="18" t="n">
        <f aca="false">EXP(-'Black-Scholes'!$B$8*'Black-Scholes'!$B$7)*IF(LOWER('Black-Scholes'!$B$11)="put",MAX('Black-Scholes'!$B$6-C4352,0),MAX(C4352-'Black-Scholes'!$B$6,0))</f>
        <v>17.2805603274193</v>
      </c>
      <c r="F4352" s="18" t="n">
        <f aca="false">(E4352+G4352)/2</f>
        <v>8.64028016370967</v>
      </c>
      <c r="G4352" s="18" t="n">
        <f aca="false">EXP(-'Black-Scholes'!$B$8*'Black-Scholes'!$B$7)*IF(LOWER('Black-Scholes'!$B$11)="put",MAX('Black-Scholes'!$B$6-D4352,0),MAX(D4352-'Black-Scholes'!$B$6,0))</f>
        <v>0</v>
      </c>
    </row>
    <row r="4353" customFormat="false" ht="15" hidden="false" customHeight="false" outlineLevel="0" collapsed="false">
      <c r="A4353" s="0" t="n">
        <v>4342</v>
      </c>
      <c r="B4353" s="15" t="n">
        <v>-0.154439743645128</v>
      </c>
      <c r="C4353" s="18" t="n">
        <f aca="false">'Black-Scholes'!$B$5*EXP(('Black-Scholes'!$B$8-'Black-Scholes'!$B$10-'Black-Scholes'!$B$9^2/2)*'Black-Scholes'!$B$7+'Black-Scholes'!$B$9*SQRT('Black-Scholes'!$B$7)*B4353)</f>
        <v>99.9112445380789</v>
      </c>
      <c r="D4353" s="18" t="n">
        <f aca="false">'Black-Scholes'!$B$5*EXP(('Black-Scholes'!$B$8-'Black-Scholes'!$B$10-'Black-Scholes'!$B$9^2/2)*'Black-Scholes'!$B$7-'Black-Scholes'!$B$9*SQRT('Black-Scholes'!$B$7)*B4353)</f>
        <v>106.27798216853</v>
      </c>
      <c r="E4353" s="18" t="n">
        <f aca="false">EXP(-'Black-Scholes'!$B$8*'Black-Scholes'!$B$7)*IF(LOWER('Black-Scholes'!$B$11)="put",MAX('Black-Scholes'!$B$6-C4353,0),MAX(C4353-'Black-Scholes'!$B$6,0))</f>
        <v>0</v>
      </c>
      <c r="F4353" s="18" t="n">
        <f aca="false">(E4353+G4353)/2</f>
        <v>2.98590068259831</v>
      </c>
      <c r="G4353" s="18" t="n">
        <f aca="false">EXP(-'Black-Scholes'!$B$8*'Black-Scholes'!$B$7)*IF(LOWER('Black-Scholes'!$B$11)="put",MAX('Black-Scholes'!$B$6-D4353,0),MAX(D4353-'Black-Scholes'!$B$6,0))</f>
        <v>5.97180136519662</v>
      </c>
    </row>
    <row r="4354" customFormat="false" ht="15" hidden="false" customHeight="false" outlineLevel="0" collapsed="false">
      <c r="A4354" s="0" t="n">
        <v>4343</v>
      </c>
      <c r="B4354" s="15" t="n">
        <v>-1.04864171131301</v>
      </c>
      <c r="C4354" s="18" t="n">
        <f aca="false">'Black-Scholes'!$B$5*EXP(('Black-Scholes'!$B$8-'Black-Scholes'!$B$10-'Black-Scholes'!$B$9^2/2)*'Black-Scholes'!$B$7+'Black-Scholes'!$B$9*SQRT('Black-Scholes'!$B$7)*B4354)</f>
        <v>83.5497149850416</v>
      </c>
      <c r="D4354" s="18" t="n">
        <f aca="false">'Black-Scholes'!$B$5*EXP(('Black-Scholes'!$B$8-'Black-Scholes'!$B$10-'Black-Scholes'!$B$9^2/2)*'Black-Scholes'!$B$7-'Black-Scholes'!$B$9*SQRT('Black-Scholes'!$B$7)*B4354)</f>
        <v>127.090385255709</v>
      </c>
      <c r="E4354" s="18" t="n">
        <f aca="false">EXP(-'Black-Scholes'!$B$8*'Black-Scholes'!$B$7)*IF(LOWER('Black-Scholes'!$B$11)="put",MAX('Black-Scholes'!$B$6-C4354,0),MAX(C4354-'Black-Scholes'!$B$6,0))</f>
        <v>0</v>
      </c>
      <c r="F4354" s="18" t="n">
        <f aca="false">(E4354+G4354)/2</f>
        <v>12.8845857881452</v>
      </c>
      <c r="G4354" s="18" t="n">
        <f aca="false">EXP(-'Black-Scholes'!$B$8*'Black-Scholes'!$B$7)*IF(LOWER('Black-Scholes'!$B$11)="put",MAX('Black-Scholes'!$B$6-D4354,0),MAX(D4354-'Black-Scholes'!$B$6,0))</f>
        <v>25.7691715762904</v>
      </c>
    </row>
    <row r="4355" customFormat="false" ht="15" hidden="false" customHeight="false" outlineLevel="0" collapsed="false">
      <c r="A4355" s="0" t="n">
        <v>4344</v>
      </c>
      <c r="B4355" s="15" t="n">
        <v>0.246853305828533</v>
      </c>
      <c r="C4355" s="18" t="n">
        <f aca="false">'Black-Scholes'!$B$5*EXP(('Black-Scholes'!$B$8-'Black-Scholes'!$B$10-'Black-Scholes'!$B$9^2/2)*'Black-Scholes'!$B$7+'Black-Scholes'!$B$9*SQRT('Black-Scholes'!$B$7)*B4355)</f>
        <v>108.260552753692</v>
      </c>
      <c r="D4355" s="18" t="n">
        <f aca="false">'Black-Scholes'!$B$5*EXP(('Black-Scholes'!$B$8-'Black-Scholes'!$B$10-'Black-Scholes'!$B$9^2/2)*'Black-Scholes'!$B$7-'Black-Scholes'!$B$9*SQRT('Black-Scholes'!$B$7)*B4355)</f>
        <v>98.0815744550272</v>
      </c>
      <c r="E4355" s="18" t="n">
        <f aca="false">EXP(-'Black-Scholes'!$B$8*'Black-Scholes'!$B$7)*IF(LOWER('Black-Scholes'!$B$11)="put",MAX('Black-Scholes'!$B$6-C4355,0),MAX(C4355-'Black-Scholes'!$B$6,0))</f>
        <v>7.85768084195181</v>
      </c>
      <c r="F4355" s="18" t="n">
        <f aca="false">(E4355+G4355)/2</f>
        <v>3.9288404209759</v>
      </c>
      <c r="G4355" s="18" t="n">
        <f aca="false">EXP(-'Black-Scholes'!$B$8*'Black-Scholes'!$B$7)*IF(LOWER('Black-Scholes'!$B$11)="put",MAX('Black-Scholes'!$B$6-D4355,0),MAX(D4355-'Black-Scholes'!$B$6,0))</f>
        <v>0</v>
      </c>
    </row>
    <row r="4356" customFormat="false" ht="15" hidden="false" customHeight="false" outlineLevel="0" collapsed="false">
      <c r="A4356" s="0" t="n">
        <v>4345</v>
      </c>
      <c r="B4356" s="15" t="n">
        <v>0.582163563080493</v>
      </c>
      <c r="C4356" s="18" t="n">
        <f aca="false">'Black-Scholes'!$B$5*EXP(('Black-Scholes'!$B$8-'Black-Scholes'!$B$10-'Black-Scholes'!$B$9^2/2)*'Black-Scholes'!$B$7+'Black-Scholes'!$B$9*SQRT('Black-Scholes'!$B$7)*B4356)</f>
        <v>115.769702979312</v>
      </c>
      <c r="D4356" s="18" t="n">
        <f aca="false">'Black-Scholes'!$B$5*EXP(('Black-Scholes'!$B$8-'Black-Scholes'!$B$10-'Black-Scholes'!$B$9^2/2)*'Black-Scholes'!$B$7-'Black-Scholes'!$B$9*SQRT('Black-Scholes'!$B$7)*B4356)</f>
        <v>91.7197262512721</v>
      </c>
      <c r="E4356" s="18" t="n">
        <f aca="false">EXP(-'Black-Scholes'!$B$8*'Black-Scholes'!$B$7)*IF(LOWER('Black-Scholes'!$B$11)="put",MAX('Black-Scholes'!$B$6-C4356,0),MAX(C4356-'Black-Scholes'!$B$6,0))</f>
        <v>15.0006054895584</v>
      </c>
      <c r="F4356" s="18" t="n">
        <f aca="false">(E4356+G4356)/2</f>
        <v>7.50030274477919</v>
      </c>
      <c r="G4356" s="18" t="n">
        <f aca="false">EXP(-'Black-Scholes'!$B$8*'Black-Scholes'!$B$7)*IF(LOWER('Black-Scholes'!$B$11)="put",MAX('Black-Scholes'!$B$6-D4356,0),MAX(D4356-'Black-Scholes'!$B$6,0))</f>
        <v>0</v>
      </c>
    </row>
    <row r="4357" customFormat="false" ht="15" hidden="false" customHeight="false" outlineLevel="0" collapsed="false">
      <c r="A4357" s="0" t="n">
        <v>4346</v>
      </c>
      <c r="B4357" s="15" t="n">
        <v>1.3824767473194</v>
      </c>
      <c r="C4357" s="18" t="n">
        <f aca="false">'Black-Scholes'!$B$5*EXP(('Black-Scholes'!$B$8-'Black-Scholes'!$B$10-'Black-Scholes'!$B$9^2/2)*'Black-Scholes'!$B$7+'Black-Scholes'!$B$9*SQRT('Black-Scholes'!$B$7)*B4357)</f>
        <v>135.865514898771</v>
      </c>
      <c r="D4357" s="18" t="n">
        <f aca="false">'Black-Scholes'!$B$5*EXP(('Black-Scholes'!$B$8-'Black-Scholes'!$B$10-'Black-Scholes'!$B$9^2/2)*'Black-Scholes'!$B$7-'Black-Scholes'!$B$9*SQRT('Black-Scholes'!$B$7)*B4357)</f>
        <v>78.1534996085282</v>
      </c>
      <c r="E4357" s="18" t="n">
        <f aca="false">EXP(-'Black-Scholes'!$B$8*'Black-Scholes'!$B$7)*IF(LOWER('Black-Scholes'!$B$11)="put",MAX('Black-Scholes'!$B$6-C4357,0),MAX(C4357-'Black-Scholes'!$B$6,0))</f>
        <v>34.1163330965799</v>
      </c>
      <c r="F4357" s="18" t="n">
        <f aca="false">(E4357+G4357)/2</f>
        <v>17.05816654829</v>
      </c>
      <c r="G4357" s="18" t="n">
        <f aca="false">EXP(-'Black-Scholes'!$B$8*'Black-Scholes'!$B$7)*IF(LOWER('Black-Scholes'!$B$11)="put",MAX('Black-Scholes'!$B$6-D4357,0),MAX(D4357-'Black-Scholes'!$B$6,0))</f>
        <v>0</v>
      </c>
    </row>
    <row r="4358" customFormat="false" ht="15" hidden="false" customHeight="false" outlineLevel="0" collapsed="false">
      <c r="A4358" s="0" t="n">
        <v>4347</v>
      </c>
      <c r="B4358" s="15" t="n">
        <v>1.51728102117937</v>
      </c>
      <c r="C4358" s="18" t="n">
        <f aca="false">'Black-Scholes'!$B$5*EXP(('Black-Scholes'!$B$8-'Black-Scholes'!$B$10-'Black-Scholes'!$B$9^2/2)*'Black-Scholes'!$B$7+'Black-Scholes'!$B$9*SQRT('Black-Scholes'!$B$7)*B4358)</f>
        <v>139.578391577975</v>
      </c>
      <c r="D4358" s="18" t="n">
        <f aca="false">'Black-Scholes'!$B$5*EXP(('Black-Scholes'!$B$8-'Black-Scholes'!$B$10-'Black-Scholes'!$B$9^2/2)*'Black-Scholes'!$B$7-'Black-Scholes'!$B$9*SQRT('Black-Scholes'!$B$7)*B4358)</f>
        <v>76.0745653063475</v>
      </c>
      <c r="E4358" s="18" t="n">
        <f aca="false">EXP(-'Black-Scholes'!$B$8*'Black-Scholes'!$B$7)*IF(LOWER('Black-Scholes'!$B$11)="put",MAX('Black-Scholes'!$B$6-C4358,0),MAX(C4358-'Black-Scholes'!$B$6,0))</f>
        <v>37.6481306433811</v>
      </c>
      <c r="F4358" s="18" t="n">
        <f aca="false">(E4358+G4358)/2</f>
        <v>18.8240653216905</v>
      </c>
      <c r="G4358" s="18" t="n">
        <f aca="false">EXP(-'Black-Scholes'!$B$8*'Black-Scholes'!$B$7)*IF(LOWER('Black-Scholes'!$B$11)="put",MAX('Black-Scholes'!$B$6-D4358,0),MAX(D4358-'Black-Scholes'!$B$6,0))</f>
        <v>0</v>
      </c>
    </row>
    <row r="4359" customFormat="false" ht="15" hidden="false" customHeight="false" outlineLevel="0" collapsed="false">
      <c r="A4359" s="0" t="n">
        <v>4348</v>
      </c>
      <c r="B4359" s="15" t="n">
        <v>-0.136226667841797</v>
      </c>
      <c r="C4359" s="18" t="n">
        <f aca="false">'Black-Scholes'!$B$5*EXP(('Black-Scholes'!$B$8-'Black-Scholes'!$B$10-'Black-Scholes'!$B$9^2/2)*'Black-Scholes'!$B$7+'Black-Scholes'!$B$9*SQRT('Black-Scholes'!$B$7)*B4359)</f>
        <v>100.275846401144</v>
      </c>
      <c r="D4359" s="18" t="n">
        <f aca="false">'Black-Scholes'!$B$5*EXP(('Black-Scholes'!$B$8-'Black-Scholes'!$B$10-'Black-Scholes'!$B$9^2/2)*'Black-Scholes'!$B$7-'Black-Scholes'!$B$9*SQRT('Black-Scholes'!$B$7)*B4359)</f>
        <v>105.891556606522</v>
      </c>
      <c r="E4359" s="18" t="n">
        <f aca="false">EXP(-'Black-Scholes'!$B$8*'Black-Scholes'!$B$7)*IF(LOWER('Black-Scholes'!$B$11)="put",MAX('Black-Scholes'!$B$6-C4359,0),MAX(C4359-'Black-Scholes'!$B$6,0))</f>
        <v>0.262393213410484</v>
      </c>
      <c r="F4359" s="18" t="n">
        <f aca="false">(E4359+G4359)/2</f>
        <v>2.93330760682282</v>
      </c>
      <c r="G4359" s="18" t="n">
        <f aca="false">EXP(-'Black-Scholes'!$B$8*'Black-Scholes'!$B$7)*IF(LOWER('Black-Scholes'!$B$11)="put",MAX('Black-Scholes'!$B$6-D4359,0),MAX(D4359-'Black-Scholes'!$B$6,0))</f>
        <v>5.60422200023516</v>
      </c>
    </row>
    <row r="4360" customFormat="false" ht="15" hidden="false" customHeight="false" outlineLevel="0" collapsed="false">
      <c r="A4360" s="0" t="n">
        <v>4349</v>
      </c>
      <c r="B4360" s="15" t="n">
        <v>-0.290321247027795</v>
      </c>
      <c r="C4360" s="18" t="n">
        <f aca="false">'Black-Scholes'!$B$5*EXP(('Black-Scholes'!$B$8-'Black-Scholes'!$B$10-'Black-Scholes'!$B$9^2/2)*'Black-Scholes'!$B$7+'Black-Scholes'!$B$9*SQRT('Black-Scholes'!$B$7)*B4360)</f>
        <v>97.2325893433667</v>
      </c>
      <c r="D4360" s="18" t="n">
        <f aca="false">'Black-Scholes'!$B$5*EXP(('Black-Scholes'!$B$8-'Black-Scholes'!$B$10-'Black-Scholes'!$B$9^2/2)*'Black-Scholes'!$B$7-'Black-Scholes'!$B$9*SQRT('Black-Scholes'!$B$7)*B4360)</f>
        <v>109.205828386982</v>
      </c>
      <c r="E4360" s="18" t="n">
        <f aca="false">EXP(-'Black-Scholes'!$B$8*'Black-Scholes'!$B$7)*IF(LOWER('Black-Scholes'!$B$11)="put",MAX('Black-Scholes'!$B$6-C4360,0),MAX(C4360-'Black-Scholes'!$B$6,0))</f>
        <v>0</v>
      </c>
      <c r="F4360" s="18" t="n">
        <f aca="false">(E4360+G4360)/2</f>
        <v>4.37842741930058</v>
      </c>
      <c r="G4360" s="18" t="n">
        <f aca="false">EXP(-'Black-Scholes'!$B$8*'Black-Scholes'!$B$7)*IF(LOWER('Black-Scholes'!$B$11)="put",MAX('Black-Scholes'!$B$6-D4360,0),MAX(D4360-'Black-Scholes'!$B$6,0))</f>
        <v>8.75685483860116</v>
      </c>
    </row>
    <row r="4361" customFormat="false" ht="15" hidden="false" customHeight="false" outlineLevel="0" collapsed="false">
      <c r="A4361" s="0" t="n">
        <v>4350</v>
      </c>
      <c r="B4361" s="15" t="n">
        <v>-0.505226621875552</v>
      </c>
      <c r="C4361" s="18" t="n">
        <f aca="false">'Black-Scholes'!$B$5*EXP(('Black-Scholes'!$B$8-'Black-Scholes'!$B$10-'Black-Scholes'!$B$9^2/2)*'Black-Scholes'!$B$7+'Black-Scholes'!$B$9*SQRT('Black-Scholes'!$B$7)*B4361)</f>
        <v>93.1419675156129</v>
      </c>
      <c r="D4361" s="18" t="n">
        <f aca="false">'Black-Scholes'!$B$5*EXP(('Black-Scholes'!$B$8-'Black-Scholes'!$B$10-'Black-Scholes'!$B$9^2/2)*'Black-Scholes'!$B$7-'Black-Scholes'!$B$9*SQRT('Black-Scholes'!$B$7)*B4361)</f>
        <v>114.001945081026</v>
      </c>
      <c r="E4361" s="18" t="n">
        <f aca="false">EXP(-'Black-Scholes'!$B$8*'Black-Scholes'!$B$7)*IF(LOWER('Black-Scholes'!$B$11)="put",MAX('Black-Scholes'!$B$6-C4361,0),MAX(C4361-'Black-Scholes'!$B$6,0))</f>
        <v>0</v>
      </c>
      <c r="F4361" s="18" t="n">
        <f aca="false">(E4361+G4361)/2</f>
        <v>6.65953108065745</v>
      </c>
      <c r="G4361" s="18" t="n">
        <f aca="false">EXP(-'Black-Scholes'!$B$8*'Black-Scholes'!$B$7)*IF(LOWER('Black-Scholes'!$B$11)="put",MAX('Black-Scholes'!$B$6-D4361,0),MAX(D4361-'Black-Scholes'!$B$6,0))</f>
        <v>13.3190621613149</v>
      </c>
    </row>
    <row r="4362" customFormat="false" ht="15" hidden="false" customHeight="false" outlineLevel="0" collapsed="false">
      <c r="A4362" s="0" t="n">
        <v>4351</v>
      </c>
      <c r="B4362" s="15" t="n">
        <v>-1.02488426564901</v>
      </c>
      <c r="C4362" s="18" t="n">
        <f aca="false">'Black-Scholes'!$B$5*EXP(('Black-Scholes'!$B$8-'Black-Scholes'!$B$10-'Black-Scholes'!$B$9^2/2)*'Black-Scholes'!$B$7+'Black-Scholes'!$B$9*SQRT('Black-Scholes'!$B$7)*B4362)</f>
        <v>83.9476451796787</v>
      </c>
      <c r="D4362" s="18" t="n">
        <f aca="false">'Black-Scholes'!$B$5*EXP(('Black-Scholes'!$B$8-'Black-Scholes'!$B$10-'Black-Scholes'!$B$9^2/2)*'Black-Scholes'!$B$7-'Black-Scholes'!$B$9*SQRT('Black-Scholes'!$B$7)*B4362)</f>
        <v>126.487949039266</v>
      </c>
      <c r="E4362" s="18" t="n">
        <f aca="false">EXP(-'Black-Scholes'!$B$8*'Black-Scholes'!$B$7)*IF(LOWER('Black-Scholes'!$B$11)="put",MAX('Black-Scholes'!$B$6-C4362,0),MAX(C4362-'Black-Scholes'!$B$6,0))</f>
        <v>0</v>
      </c>
      <c r="F4362" s="18" t="n">
        <f aca="false">(E4362+G4362)/2</f>
        <v>12.5980582604127</v>
      </c>
      <c r="G4362" s="18" t="n">
        <f aca="false">EXP(-'Black-Scholes'!$B$8*'Black-Scholes'!$B$7)*IF(LOWER('Black-Scholes'!$B$11)="put",MAX('Black-Scholes'!$B$6-D4362,0),MAX(D4362-'Black-Scholes'!$B$6,0))</f>
        <v>25.1961165208254</v>
      </c>
    </row>
    <row r="4363" customFormat="false" ht="15" hidden="false" customHeight="false" outlineLevel="0" collapsed="false">
      <c r="A4363" s="0" t="n">
        <v>4352</v>
      </c>
      <c r="B4363" s="15" t="n">
        <v>1.19546643942745</v>
      </c>
      <c r="C4363" s="18" t="n">
        <f aca="false">'Black-Scholes'!$B$5*EXP(('Black-Scholes'!$B$8-'Black-Scholes'!$B$10-'Black-Scholes'!$B$9^2/2)*'Black-Scholes'!$B$7+'Black-Scholes'!$B$9*SQRT('Black-Scholes'!$B$7)*B4363)</f>
        <v>130.877722841196</v>
      </c>
      <c r="D4363" s="18" t="n">
        <f aca="false">'Black-Scholes'!$B$5*EXP(('Black-Scholes'!$B$8-'Black-Scholes'!$B$10-'Black-Scholes'!$B$9^2/2)*'Black-Scholes'!$B$7-'Black-Scholes'!$B$9*SQRT('Black-Scholes'!$B$7)*B4363)</f>
        <v>81.1319545828107</v>
      </c>
      <c r="E4363" s="18" t="n">
        <f aca="false">EXP(-'Black-Scholes'!$B$8*'Black-Scholes'!$B$7)*IF(LOWER('Black-Scholes'!$B$11)="put",MAX('Black-Scholes'!$B$6-C4363,0),MAX(C4363-'Black-Scholes'!$B$6,0))</f>
        <v>29.3717985281233</v>
      </c>
      <c r="F4363" s="18" t="n">
        <f aca="false">(E4363+G4363)/2</f>
        <v>14.6858992640616</v>
      </c>
      <c r="G4363" s="18" t="n">
        <f aca="false">EXP(-'Black-Scholes'!$B$8*'Black-Scholes'!$B$7)*IF(LOWER('Black-Scholes'!$B$11)="put",MAX('Black-Scholes'!$B$6-D4363,0),MAX(D4363-'Black-Scholes'!$B$6,0))</f>
        <v>0</v>
      </c>
    </row>
    <row r="4364" customFormat="false" ht="15" hidden="false" customHeight="false" outlineLevel="0" collapsed="false">
      <c r="A4364" s="0" t="n">
        <v>4353</v>
      </c>
      <c r="B4364" s="15" t="n">
        <v>0.641017328741023</v>
      </c>
      <c r="C4364" s="18" t="n">
        <f aca="false">'Black-Scholes'!$B$5*EXP(('Black-Scholes'!$B$8-'Black-Scholes'!$B$10-'Black-Scholes'!$B$9^2/2)*'Black-Scholes'!$B$7+'Black-Scholes'!$B$9*SQRT('Black-Scholes'!$B$7)*B4364)</f>
        <v>117.140451115754</v>
      </c>
      <c r="D4364" s="18" t="n">
        <f aca="false">'Black-Scholes'!$B$5*EXP(('Black-Scholes'!$B$8-'Black-Scholes'!$B$10-'Black-Scholes'!$B$9^2/2)*'Black-Scholes'!$B$7-'Black-Scholes'!$B$9*SQRT('Black-Scholes'!$B$7)*B4364)</f>
        <v>90.6464450521954</v>
      </c>
      <c r="E4364" s="18" t="n">
        <f aca="false">EXP(-'Black-Scholes'!$B$8*'Black-Scholes'!$B$7)*IF(LOWER('Black-Scholes'!$B$11)="put",MAX('Black-Scholes'!$B$6-C4364,0),MAX(C4364-'Black-Scholes'!$B$6,0))</f>
        <v>16.3045014505216</v>
      </c>
      <c r="F4364" s="18" t="n">
        <f aca="false">(E4364+G4364)/2</f>
        <v>8.15225072526079</v>
      </c>
      <c r="G4364" s="18" t="n">
        <f aca="false">EXP(-'Black-Scholes'!$B$8*'Black-Scholes'!$B$7)*IF(LOWER('Black-Scholes'!$B$11)="put",MAX('Black-Scholes'!$B$6-D4364,0),MAX(D4364-'Black-Scholes'!$B$6,0))</f>
        <v>0</v>
      </c>
    </row>
    <row r="4365" customFormat="false" ht="15" hidden="false" customHeight="false" outlineLevel="0" collapsed="false">
      <c r="A4365" s="0" t="n">
        <v>4354</v>
      </c>
      <c r="B4365" s="15" t="n">
        <v>-0.730725461070433</v>
      </c>
      <c r="C4365" s="18" t="n">
        <f aca="false">'Black-Scholes'!$B$5*EXP(('Black-Scholes'!$B$8-'Black-Scholes'!$B$10-'Black-Scholes'!$B$9^2/2)*'Black-Scholes'!$B$7+'Black-Scholes'!$B$9*SQRT('Black-Scholes'!$B$7)*B4365)</f>
        <v>89.0346031648313</v>
      </c>
      <c r="D4365" s="18" t="n">
        <f aca="false">'Black-Scholes'!$B$5*EXP(('Black-Scholes'!$B$8-'Black-Scholes'!$B$10-'Black-Scholes'!$B$9^2/2)*'Black-Scholes'!$B$7-'Black-Scholes'!$B$9*SQRT('Black-Scholes'!$B$7)*B4365)</f>
        <v>119.261108468082</v>
      </c>
      <c r="E4365" s="18" t="n">
        <f aca="false">EXP(-'Black-Scholes'!$B$8*'Black-Scholes'!$B$7)*IF(LOWER('Black-Scholes'!$B$11)="put",MAX('Black-Scholes'!$B$6-C4365,0),MAX(C4365-'Black-Scholes'!$B$6,0))</f>
        <v>0</v>
      </c>
      <c r="F4365" s="18" t="n">
        <f aca="false">(E4365+G4365)/2</f>
        <v>9.16086656166981</v>
      </c>
      <c r="G4365" s="18" t="n">
        <f aca="false">EXP(-'Black-Scholes'!$B$8*'Black-Scholes'!$B$7)*IF(LOWER('Black-Scholes'!$B$11)="put",MAX('Black-Scholes'!$B$6-D4365,0),MAX(D4365-'Black-Scholes'!$B$6,0))</f>
        <v>18.3217331233396</v>
      </c>
    </row>
    <row r="4366" customFormat="false" ht="15" hidden="false" customHeight="false" outlineLevel="0" collapsed="false">
      <c r="A4366" s="0" t="n">
        <v>4355</v>
      </c>
      <c r="B4366" s="15" t="n">
        <v>1.37780997127199</v>
      </c>
      <c r="C4366" s="18" t="n">
        <f aca="false">'Black-Scholes'!$B$5*EXP(('Black-Scholes'!$B$8-'Black-Scholes'!$B$10-'Black-Scholes'!$B$9^2/2)*'Black-Scholes'!$B$7+'Black-Scholes'!$B$9*SQRT('Black-Scholes'!$B$7)*B4366)</f>
        <v>135.738763273998</v>
      </c>
      <c r="D4366" s="18" t="n">
        <f aca="false">'Black-Scholes'!$B$5*EXP(('Black-Scholes'!$B$8-'Black-Scholes'!$B$10-'Black-Scholes'!$B$9^2/2)*'Black-Scholes'!$B$7-'Black-Scholes'!$B$9*SQRT('Black-Scholes'!$B$7)*B4366)</f>
        <v>78.2264786369073</v>
      </c>
      <c r="E4366" s="18" t="n">
        <f aca="false">EXP(-'Black-Scholes'!$B$8*'Black-Scholes'!$B$7)*IF(LOWER('Black-Scholes'!$B$11)="put",MAX('Black-Scholes'!$B$6-C4366,0),MAX(C4366-'Black-Scholes'!$B$6,0))</f>
        <v>33.9957632214921</v>
      </c>
      <c r="F4366" s="18" t="n">
        <f aca="false">(E4366+G4366)/2</f>
        <v>16.9978816107461</v>
      </c>
      <c r="G4366" s="18" t="n">
        <f aca="false">EXP(-'Black-Scholes'!$B$8*'Black-Scholes'!$B$7)*IF(LOWER('Black-Scholes'!$B$11)="put",MAX('Black-Scholes'!$B$6-D4366,0),MAX(D4366-'Black-Scholes'!$B$6,0))</f>
        <v>0</v>
      </c>
    </row>
    <row r="4367" customFormat="false" ht="15" hidden="false" customHeight="false" outlineLevel="0" collapsed="false">
      <c r="A4367" s="0" t="n">
        <v>4356</v>
      </c>
      <c r="B4367" s="15" t="n">
        <v>-0.247291235858936</v>
      </c>
      <c r="C4367" s="18" t="n">
        <f aca="false">'Black-Scholes'!$B$5*EXP(('Black-Scholes'!$B$8-'Black-Scholes'!$B$10-'Black-Scholes'!$B$9^2/2)*'Black-Scholes'!$B$7+'Black-Scholes'!$B$9*SQRT('Black-Scholes'!$B$7)*B4367)</f>
        <v>98.0729842578466</v>
      </c>
      <c r="D4367" s="18" t="n">
        <f aca="false">'Black-Scholes'!$B$5*EXP(('Black-Scholes'!$B$8-'Black-Scholes'!$B$10-'Black-Scholes'!$B$9^2/2)*'Black-Scholes'!$B$7-'Black-Scholes'!$B$9*SQRT('Black-Scholes'!$B$7)*B4367)</f>
        <v>108.270035278386</v>
      </c>
      <c r="E4367" s="18" t="n">
        <f aca="false">EXP(-'Black-Scholes'!$B$8*'Black-Scholes'!$B$7)*IF(LOWER('Black-Scholes'!$B$11)="put",MAX('Black-Scholes'!$B$6-C4367,0),MAX(C4367-'Black-Scholes'!$B$6,0))</f>
        <v>0</v>
      </c>
      <c r="F4367" s="18" t="n">
        <f aca="false">(E4367+G4367)/2</f>
        <v>3.93335044922962</v>
      </c>
      <c r="G4367" s="18" t="n">
        <f aca="false">EXP(-'Black-Scholes'!$B$8*'Black-Scholes'!$B$7)*IF(LOWER('Black-Scholes'!$B$11)="put",MAX('Black-Scholes'!$B$6-D4367,0),MAX(D4367-'Black-Scholes'!$B$6,0))</f>
        <v>7.86670089845925</v>
      </c>
    </row>
    <row r="4368" customFormat="false" ht="15" hidden="false" customHeight="false" outlineLevel="0" collapsed="false">
      <c r="A4368" s="0" t="n">
        <v>4357</v>
      </c>
      <c r="B4368" s="15" t="n">
        <v>0.0406612812401081</v>
      </c>
      <c r="C4368" s="18" t="n">
        <f aca="false">'Black-Scholes'!$B$5*EXP(('Black-Scholes'!$B$8-'Black-Scholes'!$B$10-'Black-Scholes'!$B$9^2/2)*'Black-Scholes'!$B$7+'Black-Scholes'!$B$9*SQRT('Black-Scholes'!$B$7)*B4368)</f>
        <v>103.886862065906</v>
      </c>
      <c r="D4368" s="18" t="n">
        <f aca="false">'Black-Scholes'!$B$5*EXP(('Black-Scholes'!$B$8-'Black-Scholes'!$B$10-'Black-Scholes'!$B$9^2/2)*'Black-Scholes'!$B$7-'Black-Scholes'!$B$9*SQRT('Black-Scholes'!$B$7)*B4368)</f>
        <v>102.210859528295</v>
      </c>
      <c r="E4368" s="18" t="n">
        <f aca="false">EXP(-'Black-Scholes'!$B$8*'Black-Scholes'!$B$7)*IF(LOWER('Black-Scholes'!$B$11)="put",MAX('Black-Scholes'!$B$6-C4368,0),MAX(C4368-'Black-Scholes'!$B$6,0))</f>
        <v>3.69729756606513</v>
      </c>
      <c r="F4368" s="18" t="n">
        <f aca="false">(E4368+G4368)/2</f>
        <v>2.90016610140832</v>
      </c>
      <c r="G4368" s="18" t="n">
        <f aca="false">EXP(-'Black-Scholes'!$B$8*'Black-Scholes'!$B$7)*IF(LOWER('Black-Scholes'!$B$11)="put",MAX('Black-Scholes'!$B$6-D4368,0),MAX(D4368-'Black-Scholes'!$B$6,0))</f>
        <v>2.10303463675152</v>
      </c>
    </row>
    <row r="4369" customFormat="false" ht="15" hidden="false" customHeight="false" outlineLevel="0" collapsed="false">
      <c r="A4369" s="0" t="n">
        <v>4358</v>
      </c>
      <c r="B4369" s="15" t="n">
        <v>-0.0872297169170519</v>
      </c>
      <c r="C4369" s="18" t="n">
        <f aca="false">'Black-Scholes'!$B$5*EXP(('Black-Scholes'!$B$8-'Black-Scholes'!$B$10-'Black-Scholes'!$B$9^2/2)*'Black-Scholes'!$B$7+'Black-Scholes'!$B$9*SQRT('Black-Scholes'!$B$7)*B4369)</f>
        <v>101.263318958522</v>
      </c>
      <c r="D4369" s="18" t="n">
        <f aca="false">'Black-Scholes'!$B$5*EXP(('Black-Scholes'!$B$8-'Black-Scholes'!$B$10-'Black-Scholes'!$B$9^2/2)*'Black-Scholes'!$B$7-'Black-Scholes'!$B$9*SQRT('Black-Scholes'!$B$7)*B4369)</f>
        <v>104.858951638776</v>
      </c>
      <c r="E4369" s="18" t="n">
        <f aca="false">EXP(-'Black-Scholes'!$B$8*'Black-Scholes'!$B$7)*IF(LOWER('Black-Scholes'!$B$11)="put",MAX('Black-Scholes'!$B$6-C4369,0),MAX(C4369-'Black-Scholes'!$B$6,0))</f>
        <v>1.20170616587569</v>
      </c>
      <c r="F4369" s="18" t="n">
        <f aca="false">(E4369+G4369)/2</f>
        <v>2.91184196845265</v>
      </c>
      <c r="G4369" s="18" t="n">
        <f aca="false">EXP(-'Black-Scholes'!$B$8*'Black-Scholes'!$B$7)*IF(LOWER('Black-Scholes'!$B$11)="put",MAX('Black-Scholes'!$B$6-D4369,0),MAX(D4369-'Black-Scholes'!$B$6,0))</f>
        <v>4.62197777102962</v>
      </c>
    </row>
    <row r="4370" customFormat="false" ht="15" hidden="false" customHeight="false" outlineLevel="0" collapsed="false">
      <c r="A4370" s="0" t="n">
        <v>4359</v>
      </c>
      <c r="B4370" s="15" t="n">
        <v>-0.0703162530773262</v>
      </c>
      <c r="C4370" s="18" t="n">
        <f aca="false">'Black-Scholes'!$B$5*EXP(('Black-Scholes'!$B$8-'Black-Scholes'!$B$10-'Black-Scholes'!$B$9^2/2)*'Black-Scholes'!$B$7+'Black-Scholes'!$B$9*SQRT('Black-Scholes'!$B$7)*B4370)</f>
        <v>101.606441667389</v>
      </c>
      <c r="D4370" s="18" t="n">
        <f aca="false">'Black-Scholes'!$B$5*EXP(('Black-Scholes'!$B$8-'Black-Scholes'!$B$10-'Black-Scholes'!$B$9^2/2)*'Black-Scholes'!$B$7-'Black-Scholes'!$B$9*SQRT('Black-Scholes'!$B$7)*B4370)</f>
        <v>104.504845275588</v>
      </c>
      <c r="E4370" s="18" t="n">
        <f aca="false">EXP(-'Black-Scholes'!$B$8*'Black-Scholes'!$B$7)*IF(LOWER('Black-Scholes'!$B$11)="put",MAX('Black-Scholes'!$B$6-C4370,0),MAX(C4370-'Black-Scholes'!$B$6,0))</f>
        <v>1.52809458276448</v>
      </c>
      <c r="F4370" s="18" t="n">
        <f aca="false">(E4370+G4370)/2</f>
        <v>2.9066179808636</v>
      </c>
      <c r="G4370" s="18" t="n">
        <f aca="false">EXP(-'Black-Scholes'!$B$8*'Black-Scholes'!$B$7)*IF(LOWER('Black-Scholes'!$B$11)="put",MAX('Black-Scholes'!$B$6-D4370,0),MAX(D4370-'Black-Scholes'!$B$6,0))</f>
        <v>4.28514137896272</v>
      </c>
    </row>
    <row r="4371" customFormat="false" ht="15" hidden="false" customHeight="false" outlineLevel="0" collapsed="false">
      <c r="A4371" s="0" t="n">
        <v>4360</v>
      </c>
      <c r="B4371" s="15" t="n">
        <v>0.035332591823251</v>
      </c>
      <c r="C4371" s="18" t="n">
        <f aca="false">'Black-Scholes'!$B$5*EXP(('Black-Scholes'!$B$8-'Black-Scholes'!$B$10-'Black-Scholes'!$B$9^2/2)*'Black-Scholes'!$B$7+'Black-Scholes'!$B$9*SQRT('Black-Scholes'!$B$7)*B4371)</f>
        <v>103.77620487767</v>
      </c>
      <c r="D4371" s="18" t="n">
        <f aca="false">'Black-Scholes'!$B$5*EXP(('Black-Scholes'!$B$8-'Black-Scholes'!$B$10-'Black-Scholes'!$B$9^2/2)*'Black-Scholes'!$B$7-'Black-Scholes'!$B$9*SQRT('Black-Scholes'!$B$7)*B4371)</f>
        <v>102.319847579418</v>
      </c>
      <c r="E4371" s="18" t="n">
        <f aca="false">EXP(-'Black-Scholes'!$B$8*'Black-Scholes'!$B$7)*IF(LOWER('Black-Scholes'!$B$11)="put",MAX('Black-Scholes'!$B$6-C4371,0),MAX(C4371-'Black-Scholes'!$B$6,0))</f>
        <v>3.59203719258277</v>
      </c>
      <c r="F4371" s="18" t="n">
        <f aca="false">(E4371+G4371)/2</f>
        <v>2.89937223524074</v>
      </c>
      <c r="G4371" s="18" t="n">
        <f aca="false">EXP(-'Black-Scholes'!$B$8*'Black-Scholes'!$B$7)*IF(LOWER('Black-Scholes'!$B$11)="put",MAX('Black-Scholes'!$B$6-D4371,0),MAX(D4371-'Black-Scholes'!$B$6,0))</f>
        <v>2.20670727789872</v>
      </c>
    </row>
    <row r="4372" customFormat="false" ht="15" hidden="false" customHeight="false" outlineLevel="0" collapsed="false">
      <c r="A4372" s="0" t="n">
        <v>4361</v>
      </c>
      <c r="B4372" s="15" t="n">
        <v>0.0141499188721916</v>
      </c>
      <c r="C4372" s="18" t="n">
        <f aca="false">'Black-Scholes'!$B$5*EXP(('Black-Scholes'!$B$8-'Black-Scholes'!$B$10-'Black-Scholes'!$B$9^2/2)*'Black-Scholes'!$B$7+'Black-Scholes'!$B$9*SQRT('Black-Scholes'!$B$7)*B4372)</f>
        <v>103.337483381651</v>
      </c>
      <c r="D4372" s="18" t="n">
        <f aca="false">'Black-Scholes'!$B$5*EXP(('Black-Scholes'!$B$8-'Black-Scholes'!$B$10-'Black-Scholes'!$B$9^2/2)*'Black-Scholes'!$B$7-'Black-Scholes'!$B$9*SQRT('Black-Scholes'!$B$7)*B4372)</f>
        <v>102.754248680872</v>
      </c>
      <c r="E4372" s="18" t="n">
        <f aca="false">EXP(-'Black-Scholes'!$B$8*'Black-Scholes'!$B$7)*IF(LOWER('Black-Scholes'!$B$11)="put",MAX('Black-Scholes'!$B$6-C4372,0),MAX(C4372-'Black-Scholes'!$B$6,0))</f>
        <v>3.17471239640822</v>
      </c>
      <c r="F4372" s="18" t="n">
        <f aca="false">(E4372+G4372)/2</f>
        <v>2.89731739202293</v>
      </c>
      <c r="G4372" s="18" t="n">
        <f aca="false">EXP(-'Black-Scholes'!$B$8*'Black-Scholes'!$B$7)*IF(LOWER('Black-Scholes'!$B$11)="put",MAX('Black-Scholes'!$B$6-D4372,0),MAX(D4372-'Black-Scholes'!$B$6,0))</f>
        <v>2.61992238763764</v>
      </c>
    </row>
    <row r="4373" customFormat="false" ht="15" hidden="false" customHeight="false" outlineLevel="0" collapsed="false">
      <c r="A4373" s="0" t="n">
        <v>4362</v>
      </c>
      <c r="B4373" s="15" t="n">
        <v>-0.156271430990782</v>
      </c>
      <c r="C4373" s="18" t="n">
        <f aca="false">'Black-Scholes'!$B$5*EXP(('Black-Scholes'!$B$8-'Black-Scholes'!$B$10-'Black-Scholes'!$B$9^2/2)*'Black-Scholes'!$B$7+'Black-Scholes'!$B$9*SQRT('Black-Scholes'!$B$7)*B4373)</f>
        <v>99.8746500089999</v>
      </c>
      <c r="D4373" s="18" t="n">
        <f aca="false">'Black-Scholes'!$B$5*EXP(('Black-Scholes'!$B$8-'Black-Scholes'!$B$10-'Black-Scholes'!$B$9^2/2)*'Black-Scholes'!$B$7-'Black-Scholes'!$B$9*SQRT('Black-Scholes'!$B$7)*B4373)</f>
        <v>106.316922907833</v>
      </c>
      <c r="E4373" s="18" t="n">
        <f aca="false">EXP(-'Black-Scholes'!$B$8*'Black-Scholes'!$B$7)*IF(LOWER('Black-Scholes'!$B$11)="put",MAX('Black-Scholes'!$B$6-C4373,0),MAX(C4373-'Black-Scholes'!$B$6,0))</f>
        <v>0</v>
      </c>
      <c r="F4373" s="18" t="n">
        <f aca="false">(E4373+G4373)/2</f>
        <v>3.00442147111645</v>
      </c>
      <c r="G4373" s="18" t="n">
        <f aca="false">EXP(-'Black-Scholes'!$B$8*'Black-Scholes'!$B$7)*IF(LOWER('Black-Scholes'!$B$11)="put",MAX('Black-Scholes'!$B$6-D4373,0),MAX(D4373-'Black-Scholes'!$B$6,0))</f>
        <v>6.00884294223289</v>
      </c>
    </row>
    <row r="4374" customFormat="false" ht="15" hidden="false" customHeight="false" outlineLevel="0" collapsed="false">
      <c r="A4374" s="0" t="n">
        <v>4363</v>
      </c>
      <c r="B4374" s="15" t="n">
        <v>0.0108361501049843</v>
      </c>
      <c r="C4374" s="18" t="n">
        <f aca="false">'Black-Scholes'!$B$5*EXP(('Black-Scholes'!$B$8-'Black-Scholes'!$B$10-'Black-Scholes'!$B$9^2/2)*'Black-Scholes'!$B$7+'Black-Scholes'!$B$9*SQRT('Black-Scholes'!$B$7)*B4374)</f>
        <v>103.269018766765</v>
      </c>
      <c r="D4374" s="18" t="n">
        <f aca="false">'Black-Scholes'!$B$5*EXP(('Black-Scholes'!$B$8-'Black-Scholes'!$B$10-'Black-Scholes'!$B$9^2/2)*'Black-Scholes'!$B$7-'Black-Scholes'!$B$9*SQRT('Black-Scholes'!$B$7)*B4374)</f>
        <v>102.822372016872</v>
      </c>
      <c r="E4374" s="18" t="n">
        <f aca="false">EXP(-'Black-Scholes'!$B$8*'Black-Scholes'!$B$7)*IF(LOWER('Black-Scholes'!$B$11)="put",MAX('Black-Scholes'!$B$6-C4374,0),MAX(C4374-'Black-Scholes'!$B$6,0))</f>
        <v>3.10958684019146</v>
      </c>
      <c r="F4374" s="18" t="n">
        <f aca="false">(E4374+G4374)/2</f>
        <v>2.89715507476375</v>
      </c>
      <c r="G4374" s="18" t="n">
        <f aca="false">EXP(-'Black-Scholes'!$B$8*'Black-Scholes'!$B$7)*IF(LOWER('Black-Scholes'!$B$11)="put",MAX('Black-Scholes'!$B$6-D4374,0),MAX(D4374-'Black-Scholes'!$B$6,0))</f>
        <v>2.68472330933604</v>
      </c>
    </row>
    <row r="4375" customFormat="false" ht="15" hidden="false" customHeight="false" outlineLevel="0" collapsed="false">
      <c r="A4375" s="0" t="n">
        <v>4364</v>
      </c>
      <c r="B4375" s="15" t="n">
        <v>0.634127923794887</v>
      </c>
      <c r="C4375" s="18" t="n">
        <f aca="false">'Black-Scholes'!$B$5*EXP(('Black-Scholes'!$B$8-'Black-Scholes'!$B$10-'Black-Scholes'!$B$9^2/2)*'Black-Scholes'!$B$7+'Black-Scholes'!$B$9*SQRT('Black-Scholes'!$B$7)*B4375)</f>
        <v>116.979156662891</v>
      </c>
      <c r="D4375" s="18" t="n">
        <f aca="false">'Black-Scholes'!$B$5*EXP(('Black-Scholes'!$B$8-'Black-Scholes'!$B$10-'Black-Scholes'!$B$9^2/2)*'Black-Scholes'!$B$7-'Black-Scholes'!$B$9*SQRT('Black-Scholes'!$B$7)*B4375)</f>
        <v>90.771431153786</v>
      </c>
      <c r="E4375" s="18" t="n">
        <f aca="false">EXP(-'Black-Scholes'!$B$8*'Black-Scholes'!$B$7)*IF(LOWER('Black-Scholes'!$B$11)="put",MAX('Black-Scholes'!$B$6-C4375,0),MAX(C4375-'Black-Scholes'!$B$6,0))</f>
        <v>16.1510734209497</v>
      </c>
      <c r="F4375" s="18" t="n">
        <f aca="false">(E4375+G4375)/2</f>
        <v>8.07553671047483</v>
      </c>
      <c r="G4375" s="18" t="n">
        <f aca="false">EXP(-'Black-Scholes'!$B$8*'Black-Scholes'!$B$7)*IF(LOWER('Black-Scholes'!$B$11)="put",MAX('Black-Scholes'!$B$6-D4375,0),MAX(D4375-'Black-Scholes'!$B$6,0))</f>
        <v>0</v>
      </c>
    </row>
    <row r="4376" customFormat="false" ht="15" hidden="false" customHeight="false" outlineLevel="0" collapsed="false">
      <c r="A4376" s="0" t="n">
        <v>4365</v>
      </c>
      <c r="B4376" s="15" t="n">
        <v>-0.537481721025407</v>
      </c>
      <c r="C4376" s="18" t="n">
        <f aca="false">'Black-Scholes'!$B$5*EXP(('Black-Scholes'!$B$8-'Black-Scholes'!$B$10-'Black-Scholes'!$B$9^2/2)*'Black-Scholes'!$B$7+'Black-Scholes'!$B$9*SQRT('Black-Scholes'!$B$7)*B4376)</f>
        <v>92.5430407574234</v>
      </c>
      <c r="D4376" s="18" t="n">
        <f aca="false">'Black-Scholes'!$B$5*EXP(('Black-Scholes'!$B$8-'Black-Scholes'!$B$10-'Black-Scholes'!$B$9^2/2)*'Black-Scholes'!$B$7-'Black-Scholes'!$B$9*SQRT('Black-Scholes'!$B$7)*B4376)</f>
        <v>114.739751131441</v>
      </c>
      <c r="E4376" s="18" t="n">
        <f aca="false">EXP(-'Black-Scholes'!$B$8*'Black-Scholes'!$B$7)*IF(LOWER('Black-Scholes'!$B$11)="put",MAX('Black-Scholes'!$B$6-C4376,0),MAX(C4376-'Black-Scholes'!$B$6,0))</f>
        <v>0</v>
      </c>
      <c r="F4376" s="18" t="n">
        <f aca="false">(E4376+G4376)/2</f>
        <v>7.01044249302235</v>
      </c>
      <c r="G4376" s="18" t="n">
        <f aca="false">EXP(-'Black-Scholes'!$B$8*'Black-Scholes'!$B$7)*IF(LOWER('Black-Scholes'!$B$11)="put",MAX('Black-Scholes'!$B$6-D4376,0),MAX(D4376-'Black-Scholes'!$B$6,0))</f>
        <v>14.0208849860447</v>
      </c>
    </row>
    <row r="4377" customFormat="false" ht="15" hidden="false" customHeight="false" outlineLevel="0" collapsed="false">
      <c r="A4377" s="0" t="n">
        <v>4366</v>
      </c>
      <c r="B4377" s="15" t="n">
        <v>0.776994563285389</v>
      </c>
      <c r="C4377" s="18" t="n">
        <f aca="false">'Black-Scholes'!$B$5*EXP(('Black-Scholes'!$B$8-'Black-Scholes'!$B$10-'Black-Scholes'!$B$9^2/2)*'Black-Scholes'!$B$7+'Black-Scholes'!$B$9*SQRT('Black-Scholes'!$B$7)*B4377)</f>
        <v>120.369851494029</v>
      </c>
      <c r="D4377" s="18" t="n">
        <f aca="false">'Black-Scholes'!$B$5*EXP(('Black-Scholes'!$B$8-'Black-Scholes'!$B$10-'Black-Scholes'!$B$9^2/2)*'Black-Scholes'!$B$7-'Black-Scholes'!$B$9*SQRT('Black-Scholes'!$B$7)*B4377)</f>
        <v>88.214493360743</v>
      </c>
      <c r="E4377" s="18" t="n">
        <f aca="false">EXP(-'Black-Scholes'!$B$8*'Black-Scholes'!$B$7)*IF(LOWER('Black-Scholes'!$B$11)="put",MAX('Black-Scholes'!$B$6-C4377,0),MAX(C4377-'Black-Scholes'!$B$6,0))</f>
        <v>19.3764021138297</v>
      </c>
      <c r="F4377" s="18" t="n">
        <f aca="false">(E4377+G4377)/2</f>
        <v>9.68820105691487</v>
      </c>
      <c r="G4377" s="18" t="n">
        <f aca="false">EXP(-'Black-Scholes'!$B$8*'Black-Scholes'!$B$7)*IF(LOWER('Black-Scholes'!$B$11)="put",MAX('Black-Scholes'!$B$6-D4377,0),MAX(D4377-'Black-Scholes'!$B$6,0))</f>
        <v>0</v>
      </c>
    </row>
    <row r="4378" customFormat="false" ht="15" hidden="false" customHeight="false" outlineLevel="0" collapsed="false">
      <c r="A4378" s="0" t="n">
        <v>4367</v>
      </c>
      <c r="B4378" s="15" t="n">
        <v>0.773039510653479</v>
      </c>
      <c r="C4378" s="18" t="n">
        <f aca="false">'Black-Scholes'!$B$5*EXP(('Black-Scholes'!$B$8-'Black-Scholes'!$B$10-'Black-Scholes'!$B$9^2/2)*'Black-Scholes'!$B$7+'Black-Scholes'!$B$9*SQRT('Black-Scholes'!$B$7)*B4378)</f>
        <v>120.274675322077</v>
      </c>
      <c r="D4378" s="18" t="n">
        <f aca="false">'Black-Scholes'!$B$5*EXP(('Black-Scholes'!$B$8-'Black-Scholes'!$B$10-'Black-Scholes'!$B$9^2/2)*'Black-Scholes'!$B$7-'Black-Scholes'!$B$9*SQRT('Black-Scholes'!$B$7)*B4378)</f>
        <v>88.2842995586497</v>
      </c>
      <c r="E4378" s="18" t="n">
        <f aca="false">EXP(-'Black-Scholes'!$B$8*'Black-Scholes'!$B$7)*IF(LOWER('Black-Scholes'!$B$11)="put",MAX('Black-Scholes'!$B$6-C4378,0),MAX(C4378-'Black-Scholes'!$B$6,0))</f>
        <v>19.2858677385584</v>
      </c>
      <c r="F4378" s="18" t="n">
        <f aca="false">(E4378+G4378)/2</f>
        <v>9.64293386927919</v>
      </c>
      <c r="G4378" s="18" t="n">
        <f aca="false">EXP(-'Black-Scholes'!$B$8*'Black-Scholes'!$B$7)*IF(LOWER('Black-Scholes'!$B$11)="put",MAX('Black-Scholes'!$B$6-D4378,0),MAX(D4378-'Black-Scholes'!$B$6,0))</f>
        <v>0</v>
      </c>
    </row>
    <row r="4379" customFormat="false" ht="15" hidden="false" customHeight="false" outlineLevel="0" collapsed="false">
      <c r="A4379" s="0" t="n">
        <v>4368</v>
      </c>
      <c r="B4379" s="15" t="n">
        <v>-0.317587885668188</v>
      </c>
      <c r="C4379" s="18" t="n">
        <f aca="false">'Black-Scholes'!$B$5*EXP(('Black-Scholes'!$B$8-'Black-Scholes'!$B$10-'Black-Scholes'!$B$9^2/2)*'Black-Scholes'!$B$7+'Black-Scholes'!$B$9*SQRT('Black-Scholes'!$B$7)*B4379)</f>
        <v>96.7037913327381</v>
      </c>
      <c r="D4379" s="18" t="n">
        <f aca="false">'Black-Scholes'!$B$5*EXP(('Black-Scholes'!$B$8-'Black-Scholes'!$B$10-'Black-Scholes'!$B$9^2/2)*'Black-Scholes'!$B$7-'Black-Scholes'!$B$9*SQRT('Black-Scholes'!$B$7)*B4379)</f>
        <v>109.802990339003</v>
      </c>
      <c r="E4379" s="18" t="n">
        <f aca="false">EXP(-'Black-Scholes'!$B$8*'Black-Scholes'!$B$7)*IF(LOWER('Black-Scholes'!$B$11)="put",MAX('Black-Scholes'!$B$6-C4379,0),MAX(C4379-'Black-Scholes'!$B$6,0))</f>
        <v>0</v>
      </c>
      <c r="F4379" s="18" t="n">
        <f aca="false">(E4379+G4379)/2</f>
        <v>4.66244642927791</v>
      </c>
      <c r="G4379" s="18" t="n">
        <f aca="false">EXP(-'Black-Scholes'!$B$8*'Black-Scholes'!$B$7)*IF(LOWER('Black-Scholes'!$B$11)="put",MAX('Black-Scholes'!$B$6-D4379,0),MAX(D4379-'Black-Scholes'!$B$6,0))</f>
        <v>9.32489285855582</v>
      </c>
    </row>
    <row r="4380" customFormat="false" ht="15" hidden="false" customHeight="false" outlineLevel="0" collapsed="false">
      <c r="A4380" s="0" t="n">
        <v>4369</v>
      </c>
      <c r="B4380" s="15" t="n">
        <v>-0.0977968371222026</v>
      </c>
      <c r="C4380" s="18" t="n">
        <f aca="false">'Black-Scholes'!$B$5*EXP(('Black-Scholes'!$B$8-'Black-Scholes'!$B$10-'Black-Scholes'!$B$9^2/2)*'Black-Scholes'!$B$7+'Black-Scholes'!$B$9*SQRT('Black-Scholes'!$B$7)*B4380)</f>
        <v>101.049532615933</v>
      </c>
      <c r="D4380" s="18" t="n">
        <f aca="false">'Black-Scholes'!$B$5*EXP(('Black-Scholes'!$B$8-'Black-Scholes'!$B$10-'Black-Scholes'!$B$9^2/2)*'Black-Scholes'!$B$7-'Black-Scholes'!$B$9*SQRT('Black-Scholes'!$B$7)*B4380)</f>
        <v>105.080797412608</v>
      </c>
      <c r="E4380" s="18" t="n">
        <f aca="false">EXP(-'Black-Scholes'!$B$8*'Black-Scholes'!$B$7)*IF(LOWER('Black-Scholes'!$B$11)="put",MAX('Black-Scholes'!$B$6-C4380,0),MAX(C4380-'Black-Scholes'!$B$6,0))</f>
        <v>0.998346306248396</v>
      </c>
      <c r="F4380" s="18" t="n">
        <f aca="false">(E4380+G4380)/2</f>
        <v>2.91567515252434</v>
      </c>
      <c r="G4380" s="18" t="n">
        <f aca="false">EXP(-'Black-Scholes'!$B$8*'Black-Scholes'!$B$7)*IF(LOWER('Black-Scholes'!$B$11)="put",MAX('Black-Scholes'!$B$6-D4380,0),MAX(D4380-'Black-Scholes'!$B$6,0))</f>
        <v>4.83300399880028</v>
      </c>
    </row>
    <row r="4381" customFormat="false" ht="15" hidden="false" customHeight="false" outlineLevel="0" collapsed="false">
      <c r="A4381" s="0" t="n">
        <v>4370</v>
      </c>
      <c r="B4381" s="15" t="n">
        <v>-0.517580615392269</v>
      </c>
      <c r="C4381" s="18" t="n">
        <f aca="false">'Black-Scholes'!$B$5*EXP(('Black-Scholes'!$B$8-'Black-Scholes'!$B$10-'Black-Scholes'!$B$9^2/2)*'Black-Scholes'!$B$7+'Black-Scholes'!$B$9*SQRT('Black-Scholes'!$B$7)*B4381)</f>
        <v>92.9121165377312</v>
      </c>
      <c r="D4381" s="18" t="n">
        <f aca="false">'Black-Scholes'!$B$5*EXP(('Black-Scholes'!$B$8-'Black-Scholes'!$B$10-'Black-Scholes'!$B$9^2/2)*'Black-Scholes'!$B$7-'Black-Scholes'!$B$9*SQRT('Black-Scholes'!$B$7)*B4381)</f>
        <v>114.283969208058</v>
      </c>
      <c r="E4381" s="18" t="n">
        <f aca="false">EXP(-'Black-Scholes'!$B$8*'Black-Scholes'!$B$7)*IF(LOWER('Black-Scholes'!$B$11)="put",MAX('Black-Scholes'!$B$6-C4381,0),MAX(C4381-'Black-Scholes'!$B$6,0))</f>
        <v>0</v>
      </c>
      <c r="F4381" s="18" t="n">
        <f aca="false">(E4381+G4381)/2</f>
        <v>6.79366590468361</v>
      </c>
      <c r="G4381" s="18" t="n">
        <f aca="false">EXP(-'Black-Scholes'!$B$8*'Black-Scholes'!$B$7)*IF(LOWER('Black-Scholes'!$B$11)="put",MAX('Black-Scholes'!$B$6-D4381,0),MAX(D4381-'Black-Scholes'!$B$6,0))</f>
        <v>13.5873318093672</v>
      </c>
    </row>
    <row r="4382" customFormat="false" ht="15" hidden="false" customHeight="false" outlineLevel="0" collapsed="false">
      <c r="A4382" s="0" t="n">
        <v>4371</v>
      </c>
      <c r="B4382" s="15" t="n">
        <v>-0.0392030582084763</v>
      </c>
      <c r="C4382" s="18" t="n">
        <f aca="false">'Black-Scholes'!$B$5*EXP(('Black-Scholes'!$B$8-'Black-Scholes'!$B$10-'Black-Scholes'!$B$9^2/2)*'Black-Scholes'!$B$7+'Black-Scholes'!$B$9*SQRT('Black-Scholes'!$B$7)*B4382)</f>
        <v>102.240673121459</v>
      </c>
      <c r="D4382" s="18" t="n">
        <f aca="false">'Black-Scholes'!$B$5*EXP(('Black-Scholes'!$B$8-'Black-Scholes'!$B$10-'Black-Scholes'!$B$9^2/2)*'Black-Scholes'!$B$7-'Black-Scholes'!$B$9*SQRT('Black-Scholes'!$B$7)*B4382)</f>
        <v>103.856568440617</v>
      </c>
      <c r="E4382" s="18" t="n">
        <f aca="false">EXP(-'Black-Scholes'!$B$8*'Black-Scholes'!$B$7)*IF(LOWER('Black-Scholes'!$B$11)="put",MAX('Black-Scholes'!$B$6-C4382,0),MAX(C4382-'Black-Scholes'!$B$6,0))</f>
        <v>2.13139420382008</v>
      </c>
      <c r="F4382" s="18" t="n">
        <f aca="false">(E4382+G4382)/2</f>
        <v>2.89993779106788</v>
      </c>
      <c r="G4382" s="18" t="n">
        <f aca="false">EXP(-'Black-Scholes'!$B$8*'Black-Scholes'!$B$7)*IF(LOWER('Black-Scholes'!$B$11)="put",MAX('Black-Scholes'!$B$6-D4382,0),MAX(D4382-'Black-Scholes'!$B$6,0))</f>
        <v>3.66848137831568</v>
      </c>
    </row>
    <row r="4383" customFormat="false" ht="15" hidden="false" customHeight="false" outlineLevel="0" collapsed="false">
      <c r="A4383" s="0" t="n">
        <v>4372</v>
      </c>
      <c r="B4383" s="15" t="n">
        <v>0.436018494106431</v>
      </c>
      <c r="C4383" s="18" t="n">
        <f aca="false">'Black-Scholes'!$B$5*EXP(('Black-Scholes'!$B$8-'Black-Scholes'!$B$10-'Black-Scholes'!$B$9^2/2)*'Black-Scholes'!$B$7+'Black-Scholes'!$B$9*SQRT('Black-Scholes'!$B$7)*B4383)</f>
        <v>112.434843481659</v>
      </c>
      <c r="D4383" s="18" t="n">
        <f aca="false">'Black-Scholes'!$B$5*EXP(('Black-Scholes'!$B$8-'Black-Scholes'!$B$10-'Black-Scholes'!$B$9^2/2)*'Black-Scholes'!$B$7-'Black-Scholes'!$B$9*SQRT('Black-Scholes'!$B$7)*B4383)</f>
        <v>94.4401676263789</v>
      </c>
      <c r="E4383" s="18" t="n">
        <f aca="false">EXP(-'Black-Scholes'!$B$8*'Black-Scholes'!$B$7)*IF(LOWER('Black-Scholes'!$B$11)="put",MAX('Black-Scholes'!$B$6-C4383,0),MAX(C4383-'Black-Scholes'!$B$6,0))</f>
        <v>11.8283890088154</v>
      </c>
      <c r="F4383" s="18" t="n">
        <f aca="false">(E4383+G4383)/2</f>
        <v>5.9141945044077</v>
      </c>
      <c r="G4383" s="18" t="n">
        <f aca="false">EXP(-'Black-Scholes'!$B$8*'Black-Scholes'!$B$7)*IF(LOWER('Black-Scholes'!$B$11)="put",MAX('Black-Scholes'!$B$6-D4383,0),MAX(D4383-'Black-Scholes'!$B$6,0))</f>
        <v>0</v>
      </c>
    </row>
    <row r="4384" customFormat="false" ht="15" hidden="false" customHeight="false" outlineLevel="0" collapsed="false">
      <c r="A4384" s="0" t="n">
        <v>4373</v>
      </c>
      <c r="B4384" s="15" t="n">
        <v>2.6942355078308</v>
      </c>
      <c r="C4384" s="18" t="n">
        <f aca="false">'Black-Scholes'!$B$5*EXP(('Black-Scholes'!$B$8-'Black-Scholes'!$B$10-'Black-Scholes'!$B$9^2/2)*'Black-Scholes'!$B$7+'Black-Scholes'!$B$9*SQRT('Black-Scholes'!$B$7)*B4384)</f>
        <v>176.622959383604</v>
      </c>
      <c r="D4384" s="18" t="n">
        <f aca="false">'Black-Scholes'!$B$5*EXP(('Black-Scholes'!$B$8-'Black-Scholes'!$B$10-'Black-Scholes'!$B$9^2/2)*'Black-Scholes'!$B$7-'Black-Scholes'!$B$9*SQRT('Black-Scholes'!$B$7)*B4384)</f>
        <v>60.1188288459813</v>
      </c>
      <c r="E4384" s="18" t="n">
        <f aca="false">EXP(-'Black-Scholes'!$B$8*'Black-Scholes'!$B$7)*IF(LOWER('Black-Scholes'!$B$11)="put",MAX('Black-Scholes'!$B$6-C4384,0),MAX(C4384-'Black-Scholes'!$B$6,0))</f>
        <v>72.8860135580072</v>
      </c>
      <c r="F4384" s="18" t="n">
        <f aca="false">(E4384+G4384)/2</f>
        <v>36.4430067790036</v>
      </c>
      <c r="G4384" s="18" t="n">
        <f aca="false">EXP(-'Black-Scholes'!$B$8*'Black-Scholes'!$B$7)*IF(LOWER('Black-Scholes'!$B$11)="put",MAX('Black-Scholes'!$B$6-D4384,0),MAX(D4384-'Black-Scholes'!$B$6,0))</f>
        <v>0</v>
      </c>
    </row>
    <row r="4385" customFormat="false" ht="15" hidden="false" customHeight="false" outlineLevel="0" collapsed="false">
      <c r="A4385" s="0" t="n">
        <v>4374</v>
      </c>
      <c r="B4385" s="15" t="n">
        <v>1.32634116089009</v>
      </c>
      <c r="C4385" s="18" t="n">
        <f aca="false">'Black-Scholes'!$B$5*EXP(('Black-Scholes'!$B$8-'Black-Scholes'!$B$10-'Black-Scholes'!$B$9^2/2)*'Black-Scholes'!$B$7+'Black-Scholes'!$B$9*SQRT('Black-Scholes'!$B$7)*B4385)</f>
        <v>134.348667671711</v>
      </c>
      <c r="D4385" s="18" t="n">
        <f aca="false">'Black-Scholes'!$B$5*EXP(('Black-Scholes'!$B$8-'Black-Scholes'!$B$10-'Black-Scholes'!$B$9^2/2)*'Black-Scholes'!$B$7-'Black-Scholes'!$B$9*SQRT('Black-Scholes'!$B$7)*B4385)</f>
        <v>79.0358821525514</v>
      </c>
      <c r="E4385" s="18" t="n">
        <f aca="false">EXP(-'Black-Scholes'!$B$8*'Black-Scholes'!$B$7)*IF(LOWER('Black-Scholes'!$B$11)="put",MAX('Black-Scholes'!$B$6-C4385,0),MAX(C4385-'Black-Scholes'!$B$6,0))</f>
        <v>32.6734633817275</v>
      </c>
      <c r="F4385" s="18" t="n">
        <f aca="false">(E4385+G4385)/2</f>
        <v>16.3367316908637</v>
      </c>
      <c r="G4385" s="18" t="n">
        <f aca="false">EXP(-'Black-Scholes'!$B$8*'Black-Scholes'!$B$7)*IF(LOWER('Black-Scholes'!$B$11)="put",MAX('Black-Scholes'!$B$6-D4385,0),MAX(D4385-'Black-Scholes'!$B$6,0))</f>
        <v>0</v>
      </c>
    </row>
    <row r="4386" customFormat="false" ht="15" hidden="false" customHeight="false" outlineLevel="0" collapsed="false">
      <c r="A4386" s="0" t="n">
        <v>4375</v>
      </c>
      <c r="B4386" s="15" t="n">
        <v>-0.639512817189422</v>
      </c>
      <c r="C4386" s="18" t="n">
        <f aca="false">'Black-Scholes'!$B$5*EXP(('Black-Scholes'!$B$8-'Black-Scholes'!$B$10-'Black-Scholes'!$B$9^2/2)*'Black-Scholes'!$B$7+'Black-Scholes'!$B$9*SQRT('Black-Scholes'!$B$7)*B4386)</f>
        <v>90.6737248810098</v>
      </c>
      <c r="D4386" s="18" t="n">
        <f aca="false">'Black-Scholes'!$B$5*EXP(('Black-Scholes'!$B$8-'Black-Scholes'!$B$10-'Black-Scholes'!$B$9^2/2)*'Black-Scholes'!$B$7-'Black-Scholes'!$B$9*SQRT('Black-Scholes'!$B$7)*B4386)</f>
        <v>117.105208585927</v>
      </c>
      <c r="E4386" s="18" t="n">
        <f aca="false">EXP(-'Black-Scholes'!$B$8*'Black-Scholes'!$B$7)*IF(LOWER('Black-Scholes'!$B$11)="put",MAX('Black-Scholes'!$B$6-C4386,0),MAX(C4386-'Black-Scholes'!$B$6,0))</f>
        <v>0</v>
      </c>
      <c r="F4386" s="18" t="n">
        <f aca="false">(E4386+G4386)/2</f>
        <v>8.13548885957794</v>
      </c>
      <c r="G4386" s="18" t="n">
        <f aca="false">EXP(-'Black-Scholes'!$B$8*'Black-Scholes'!$B$7)*IF(LOWER('Black-Scholes'!$B$11)="put",MAX('Black-Scholes'!$B$6-D4386,0),MAX(D4386-'Black-Scholes'!$B$6,0))</f>
        <v>16.2709777191559</v>
      </c>
    </row>
    <row r="4387" customFormat="false" ht="15" hidden="false" customHeight="false" outlineLevel="0" collapsed="false">
      <c r="A4387" s="0" t="n">
        <v>4376</v>
      </c>
      <c r="B4387" s="15" t="n">
        <v>0.289996426266888</v>
      </c>
      <c r="C4387" s="18" t="n">
        <f aca="false">'Black-Scholes'!$B$5*EXP(('Black-Scholes'!$B$8-'Black-Scholes'!$B$10-'Black-Scholes'!$B$9^2/2)*'Black-Scholes'!$B$7+'Black-Scholes'!$B$9*SQRT('Black-Scholes'!$B$7)*B4387)</f>
        <v>109.198734153365</v>
      </c>
      <c r="D4387" s="18" t="n">
        <f aca="false">'Black-Scholes'!$B$5*EXP(('Black-Scholes'!$B$8-'Black-Scholes'!$B$10-'Black-Scholes'!$B$9^2/2)*'Black-Scholes'!$B$7-'Black-Scholes'!$B$9*SQRT('Black-Scholes'!$B$7)*B4387)</f>
        <v>97.2389061812796</v>
      </c>
      <c r="E4387" s="18" t="n">
        <f aca="false">EXP(-'Black-Scholes'!$B$8*'Black-Scholes'!$B$7)*IF(LOWER('Black-Scholes'!$B$11)="put",MAX('Black-Scholes'!$B$6-C4387,0),MAX(C4387-'Black-Scholes'!$B$6,0))</f>
        <v>8.75010659484088</v>
      </c>
      <c r="F4387" s="18" t="n">
        <f aca="false">(E4387+G4387)/2</f>
        <v>4.37505329742044</v>
      </c>
      <c r="G4387" s="18" t="n">
        <f aca="false">EXP(-'Black-Scholes'!$B$8*'Black-Scholes'!$B$7)*IF(LOWER('Black-Scholes'!$B$11)="put",MAX('Black-Scholes'!$B$6-D4387,0),MAX(D4387-'Black-Scholes'!$B$6,0))</f>
        <v>0</v>
      </c>
    </row>
    <row r="4388" customFormat="false" ht="15" hidden="false" customHeight="false" outlineLevel="0" collapsed="false">
      <c r="A4388" s="0" t="n">
        <v>4377</v>
      </c>
      <c r="B4388" s="15" t="n">
        <v>1.12278844302222</v>
      </c>
      <c r="C4388" s="18" t="n">
        <f aca="false">'Black-Scholes'!$B$5*EXP(('Black-Scholes'!$B$8-'Black-Scholes'!$B$10-'Black-Scholes'!$B$9^2/2)*'Black-Scholes'!$B$7+'Black-Scholes'!$B$9*SQRT('Black-Scholes'!$B$7)*B4388)</f>
        <v>128.989096120639</v>
      </c>
      <c r="D4388" s="18" t="n">
        <f aca="false">'Black-Scholes'!$B$5*EXP(('Black-Scholes'!$B$8-'Black-Scholes'!$B$10-'Black-Scholes'!$B$9^2/2)*'Black-Scholes'!$B$7-'Black-Scholes'!$B$9*SQRT('Black-Scholes'!$B$7)*B4388)</f>
        <v>82.3198687703231</v>
      </c>
      <c r="E4388" s="18" t="n">
        <f aca="false">EXP(-'Black-Scholes'!$B$8*'Black-Scholes'!$B$7)*IF(LOWER('Black-Scholes'!$B$11)="put",MAX('Black-Scholes'!$B$6-C4388,0),MAX(C4388-'Black-Scholes'!$B$6,0))</f>
        <v>27.5752812196313</v>
      </c>
      <c r="F4388" s="18" t="n">
        <f aca="false">(E4388+G4388)/2</f>
        <v>13.7876406098157</v>
      </c>
      <c r="G4388" s="18" t="n">
        <f aca="false">EXP(-'Black-Scholes'!$B$8*'Black-Scholes'!$B$7)*IF(LOWER('Black-Scholes'!$B$11)="put",MAX('Black-Scholes'!$B$6-D4388,0),MAX(D4388-'Black-Scholes'!$B$6,0))</f>
        <v>0</v>
      </c>
    </row>
    <row r="4389" customFormat="false" ht="15" hidden="false" customHeight="false" outlineLevel="0" collapsed="false">
      <c r="A4389" s="0" t="n">
        <v>4378</v>
      </c>
      <c r="B4389" s="15" t="n">
        <v>0.296398963915251</v>
      </c>
      <c r="C4389" s="18" t="n">
        <f aca="false">'Black-Scholes'!$B$5*EXP(('Black-Scholes'!$B$8-'Black-Scholes'!$B$10-'Black-Scholes'!$B$9^2/2)*'Black-Scholes'!$B$7+'Black-Scholes'!$B$9*SQRT('Black-Scholes'!$B$7)*B4389)</f>
        <v>109.338653519462</v>
      </c>
      <c r="D4389" s="18" t="n">
        <f aca="false">'Black-Scholes'!$B$5*EXP(('Black-Scholes'!$B$8-'Black-Scholes'!$B$10-'Black-Scholes'!$B$9^2/2)*'Black-Scholes'!$B$7-'Black-Scholes'!$B$9*SQRT('Black-Scholes'!$B$7)*B4389)</f>
        <v>97.1144707170149</v>
      </c>
      <c r="E4389" s="18" t="n">
        <f aca="false">EXP(-'Black-Scholes'!$B$8*'Black-Scholes'!$B$7)*IF(LOWER('Black-Scholes'!$B$11)="put",MAX('Black-Scholes'!$B$6-C4389,0),MAX(C4389-'Black-Scholes'!$B$6,0))</f>
        <v>8.88320201292908</v>
      </c>
      <c r="F4389" s="18" t="n">
        <f aca="false">(E4389+G4389)/2</f>
        <v>4.44160100646454</v>
      </c>
      <c r="G4389" s="18" t="n">
        <f aca="false">EXP(-'Black-Scholes'!$B$8*'Black-Scholes'!$B$7)*IF(LOWER('Black-Scholes'!$B$11)="put",MAX('Black-Scholes'!$B$6-D4389,0),MAX(D4389-'Black-Scholes'!$B$6,0))</f>
        <v>0</v>
      </c>
    </row>
    <row r="4390" customFormat="false" ht="15" hidden="false" customHeight="false" outlineLevel="0" collapsed="false">
      <c r="A4390" s="0" t="n">
        <v>4379</v>
      </c>
      <c r="B4390" s="15" t="n">
        <v>-0.563884250888396</v>
      </c>
      <c r="C4390" s="18" t="n">
        <f aca="false">'Black-Scholes'!$B$5*EXP(('Black-Scholes'!$B$8-'Black-Scholes'!$B$10-'Black-Scholes'!$B$9^2/2)*'Black-Scholes'!$B$7+'Black-Scholes'!$B$9*SQRT('Black-Scholes'!$B$7)*B4390)</f>
        <v>92.0556546331635</v>
      </c>
      <c r="D4390" s="18" t="n">
        <f aca="false">'Black-Scholes'!$B$5*EXP(('Black-Scholes'!$B$8-'Black-Scholes'!$B$10-'Black-Scholes'!$B$9^2/2)*'Black-Scholes'!$B$7-'Black-Scholes'!$B$9*SQRT('Black-Scholes'!$B$7)*B4390)</f>
        <v>115.34723757891</v>
      </c>
      <c r="E4390" s="18" t="n">
        <f aca="false">EXP(-'Black-Scholes'!$B$8*'Black-Scholes'!$B$7)*IF(LOWER('Black-Scholes'!$B$11)="put",MAX('Black-Scholes'!$B$6-C4390,0),MAX(C4390-'Black-Scholes'!$B$6,0))</f>
        <v>0</v>
      </c>
      <c r="F4390" s="18" t="n">
        <f aca="false">(E4390+G4390)/2</f>
        <v>7.29937198493115</v>
      </c>
      <c r="G4390" s="18" t="n">
        <f aca="false">EXP(-'Black-Scholes'!$B$8*'Black-Scholes'!$B$7)*IF(LOWER('Black-Scholes'!$B$11)="put",MAX('Black-Scholes'!$B$6-D4390,0),MAX(D4390-'Black-Scholes'!$B$6,0))</f>
        <v>14.5987439698623</v>
      </c>
    </row>
    <row r="4391" customFormat="false" ht="15" hidden="false" customHeight="false" outlineLevel="0" collapsed="false">
      <c r="A4391" s="0" t="n">
        <v>4380</v>
      </c>
      <c r="B4391" s="15" t="n">
        <v>-0.189986128455071</v>
      </c>
      <c r="C4391" s="18" t="n">
        <f aca="false">'Black-Scholes'!$B$5*EXP(('Black-Scholes'!$B$8-'Black-Scholes'!$B$10-'Black-Scholes'!$B$9^2/2)*'Black-Scholes'!$B$7+'Black-Scholes'!$B$9*SQRT('Black-Scholes'!$B$7)*B4391)</f>
        <v>99.2034667043934</v>
      </c>
      <c r="D4391" s="18" t="n">
        <f aca="false">'Black-Scholes'!$B$5*EXP(('Black-Scholes'!$B$8-'Black-Scholes'!$B$10-'Black-Scholes'!$B$9^2/2)*'Black-Scholes'!$B$7-'Black-Scholes'!$B$9*SQRT('Black-Scholes'!$B$7)*B4391)</f>
        <v>107.03623389588</v>
      </c>
      <c r="E4391" s="18" t="n">
        <f aca="false">EXP(-'Black-Scholes'!$B$8*'Black-Scholes'!$B$7)*IF(LOWER('Black-Scholes'!$B$11)="put",MAX('Black-Scholes'!$B$6-C4391,0),MAX(C4391-'Black-Scholes'!$B$6,0))</f>
        <v>0</v>
      </c>
      <c r="F4391" s="18" t="n">
        <f aca="false">(E4391+G4391)/2</f>
        <v>3.34653635971518</v>
      </c>
      <c r="G4391" s="18" t="n">
        <f aca="false">EXP(-'Black-Scholes'!$B$8*'Black-Scholes'!$B$7)*IF(LOWER('Black-Scholes'!$B$11)="put",MAX('Black-Scholes'!$B$6-D4391,0),MAX(D4391-'Black-Scholes'!$B$6,0))</f>
        <v>6.69307271943037</v>
      </c>
    </row>
    <row r="4392" customFormat="false" ht="15" hidden="false" customHeight="false" outlineLevel="0" collapsed="false">
      <c r="A4392" s="0" t="n">
        <v>4381</v>
      </c>
      <c r="B4392" s="15" t="n">
        <v>0.0620412980248866</v>
      </c>
      <c r="C4392" s="18" t="n">
        <f aca="false">'Black-Scholes'!$B$5*EXP(('Black-Scholes'!$B$8-'Black-Scholes'!$B$10-'Black-Scholes'!$B$9^2/2)*'Black-Scholes'!$B$7+'Black-Scholes'!$B$9*SQRT('Black-Scholes'!$B$7)*B4392)</f>
        <v>104.332033736321</v>
      </c>
      <c r="D4392" s="18" t="n">
        <f aca="false">'Black-Scholes'!$B$5*EXP(('Black-Scholes'!$B$8-'Black-Scholes'!$B$10-'Black-Scholes'!$B$9^2/2)*'Black-Scholes'!$B$7-'Black-Scholes'!$B$9*SQRT('Black-Scholes'!$B$7)*B4392)</f>
        <v>101.774738641532</v>
      </c>
      <c r="E4392" s="18" t="n">
        <f aca="false">EXP(-'Black-Scholes'!$B$8*'Black-Scholes'!$B$7)*IF(LOWER('Black-Scholes'!$B$11)="put",MAX('Black-Scholes'!$B$6-C4392,0),MAX(C4392-'Black-Scholes'!$B$6,0))</f>
        <v>4.12075795791835</v>
      </c>
      <c r="F4392" s="18" t="n">
        <f aca="false">(E4392+G4392)/2</f>
        <v>2.90447078727111</v>
      </c>
      <c r="G4392" s="18" t="n">
        <f aca="false">EXP(-'Black-Scholes'!$B$8*'Black-Scholes'!$B$7)*IF(LOWER('Black-Scholes'!$B$11)="put",MAX('Black-Scholes'!$B$6-D4392,0),MAX(D4392-'Black-Scholes'!$B$6,0))</f>
        <v>1.68818361662386</v>
      </c>
    </row>
    <row r="4393" customFormat="false" ht="15" hidden="false" customHeight="false" outlineLevel="0" collapsed="false">
      <c r="A4393" s="0" t="n">
        <v>4382</v>
      </c>
      <c r="B4393" s="15" t="n">
        <v>-0.806125097041403</v>
      </c>
      <c r="C4393" s="18" t="n">
        <f aca="false">'Black-Scholes'!$B$5*EXP(('Black-Scholes'!$B$8-'Black-Scholes'!$B$10-'Black-Scholes'!$B$9^2/2)*'Black-Scholes'!$B$7+'Black-Scholes'!$B$9*SQRT('Black-Scholes'!$B$7)*B4393)</f>
        <v>87.7020405573257</v>
      </c>
      <c r="D4393" s="18" t="n">
        <f aca="false">'Black-Scholes'!$B$5*EXP(('Black-Scholes'!$B$8-'Black-Scholes'!$B$10-'Black-Scholes'!$B$9^2/2)*'Black-Scholes'!$B$7-'Black-Scholes'!$B$9*SQRT('Black-Scholes'!$B$7)*B4393)</f>
        <v>121.073185959829</v>
      </c>
      <c r="E4393" s="18" t="n">
        <f aca="false">EXP(-'Black-Scholes'!$B$8*'Black-Scholes'!$B$7)*IF(LOWER('Black-Scholes'!$B$11)="put",MAX('Black-Scholes'!$B$6-C4393,0),MAX(C4393-'Black-Scholes'!$B$6,0))</f>
        <v>0</v>
      </c>
      <c r="F4393" s="18" t="n">
        <f aca="false">(E4393+G4393)/2</f>
        <v>10.0227172764825</v>
      </c>
      <c r="G4393" s="18" t="n">
        <f aca="false">EXP(-'Black-Scholes'!$B$8*'Black-Scholes'!$B$7)*IF(LOWER('Black-Scholes'!$B$11)="put",MAX('Black-Scholes'!$B$6-D4393,0),MAX(D4393-'Black-Scholes'!$B$6,0))</f>
        <v>20.0454345529651</v>
      </c>
    </row>
    <row r="4394" customFormat="false" ht="15" hidden="false" customHeight="false" outlineLevel="0" collapsed="false">
      <c r="A4394" s="0" t="n">
        <v>4383</v>
      </c>
      <c r="B4394" s="15" t="n">
        <v>1.46489238324953</v>
      </c>
      <c r="C4394" s="18" t="n">
        <f aca="false">'Black-Scholes'!$B$5*EXP(('Black-Scholes'!$B$8-'Black-Scholes'!$B$10-'Black-Scholes'!$B$9^2/2)*'Black-Scholes'!$B$7+'Black-Scholes'!$B$9*SQRT('Black-Scholes'!$B$7)*B4394)</f>
        <v>138.123562176785</v>
      </c>
      <c r="D4394" s="18" t="n">
        <f aca="false">'Black-Scholes'!$B$5*EXP(('Black-Scholes'!$B$8-'Black-Scholes'!$B$10-'Black-Scholes'!$B$9^2/2)*'Black-Scholes'!$B$7-'Black-Scholes'!$B$9*SQRT('Black-Scholes'!$B$7)*B4394)</f>
        <v>76.875844339021</v>
      </c>
      <c r="E4394" s="18" t="n">
        <f aca="false">EXP(-'Black-Scholes'!$B$8*'Black-Scholes'!$B$7)*IF(LOWER('Black-Scholes'!$B$11)="put",MAX('Black-Scholes'!$B$6-C4394,0),MAX(C4394-'Black-Scholes'!$B$6,0))</f>
        <v>36.2642541093401</v>
      </c>
      <c r="F4394" s="18" t="n">
        <f aca="false">(E4394+G4394)/2</f>
        <v>18.1321270546701</v>
      </c>
      <c r="G4394" s="18" t="n">
        <f aca="false">EXP(-'Black-Scholes'!$B$8*'Black-Scholes'!$B$7)*IF(LOWER('Black-Scholes'!$B$11)="put",MAX('Black-Scholes'!$B$6-D4394,0),MAX(D4394-'Black-Scholes'!$B$6,0))</f>
        <v>0</v>
      </c>
    </row>
    <row r="4395" customFormat="false" ht="15" hidden="false" customHeight="false" outlineLevel="0" collapsed="false">
      <c r="A4395" s="0" t="n">
        <v>4384</v>
      </c>
      <c r="B4395" s="15" t="n">
        <v>0.928833751323712</v>
      </c>
      <c r="C4395" s="18" t="n">
        <f aca="false">'Black-Scholes'!$B$5*EXP(('Black-Scholes'!$B$8-'Black-Scholes'!$B$10-'Black-Scholes'!$B$9^2/2)*'Black-Scholes'!$B$7+'Black-Scholes'!$B$9*SQRT('Black-Scholes'!$B$7)*B4395)</f>
        <v>124.081292595808</v>
      </c>
      <c r="D4395" s="18" t="n">
        <f aca="false">'Black-Scholes'!$B$5*EXP(('Black-Scholes'!$B$8-'Black-Scholes'!$B$10-'Black-Scholes'!$B$9^2/2)*'Black-Scholes'!$B$7-'Black-Scholes'!$B$9*SQRT('Black-Scholes'!$B$7)*B4395)</f>
        <v>85.5758772601016</v>
      </c>
      <c r="E4395" s="18" t="n">
        <f aca="false">EXP(-'Black-Scholes'!$B$8*'Black-Scholes'!$B$7)*IF(LOWER('Black-Scholes'!$B$11)="put",MAX('Black-Scholes'!$B$6-C4395,0),MAX(C4395-'Black-Scholes'!$B$6,0))</f>
        <v>22.9068340971435</v>
      </c>
      <c r="F4395" s="18" t="n">
        <f aca="false">(E4395+G4395)/2</f>
        <v>11.4534170485718</v>
      </c>
      <c r="G4395" s="18" t="n">
        <f aca="false">EXP(-'Black-Scholes'!$B$8*'Black-Scholes'!$B$7)*IF(LOWER('Black-Scholes'!$B$11)="put",MAX('Black-Scholes'!$B$6-D4395,0),MAX(D4395-'Black-Scholes'!$B$6,0))</f>
        <v>0</v>
      </c>
    </row>
    <row r="4396" customFormat="false" ht="15" hidden="false" customHeight="false" outlineLevel="0" collapsed="false">
      <c r="A4396" s="0" t="n">
        <v>4385</v>
      </c>
      <c r="B4396" s="15" t="n">
        <v>0.653379190660237</v>
      </c>
      <c r="C4396" s="18" t="n">
        <f aca="false">'Black-Scholes'!$B$5*EXP(('Black-Scholes'!$B$8-'Black-Scholes'!$B$10-'Black-Scholes'!$B$9^2/2)*'Black-Scholes'!$B$7+'Black-Scholes'!$B$9*SQRT('Black-Scholes'!$B$7)*B4396)</f>
        <v>117.430424245194</v>
      </c>
      <c r="D4396" s="18" t="n">
        <f aca="false">'Black-Scholes'!$B$5*EXP(('Black-Scholes'!$B$8-'Black-Scholes'!$B$10-'Black-Scholes'!$B$9^2/2)*'Black-Scholes'!$B$7-'Black-Scholes'!$B$9*SQRT('Black-Scholes'!$B$7)*B4396)</f>
        <v>90.4226101004497</v>
      </c>
      <c r="E4396" s="18" t="n">
        <f aca="false">EXP(-'Black-Scholes'!$B$8*'Black-Scholes'!$B$7)*IF(LOWER('Black-Scholes'!$B$11)="put",MAX('Black-Scholes'!$B$6-C4396,0),MAX(C4396-'Black-Scholes'!$B$6,0))</f>
        <v>16.5803324235595</v>
      </c>
      <c r="F4396" s="18" t="n">
        <f aca="false">(E4396+G4396)/2</f>
        <v>8.29016621177974</v>
      </c>
      <c r="G4396" s="18" t="n">
        <f aca="false">EXP(-'Black-Scholes'!$B$8*'Black-Scholes'!$B$7)*IF(LOWER('Black-Scholes'!$B$11)="put",MAX('Black-Scholes'!$B$6-D4396,0),MAX(D4396-'Black-Scholes'!$B$6,0))</f>
        <v>0</v>
      </c>
    </row>
    <row r="4397" customFormat="false" ht="15" hidden="false" customHeight="false" outlineLevel="0" collapsed="false">
      <c r="A4397" s="0" t="n">
        <v>4386</v>
      </c>
      <c r="B4397" s="15" t="n">
        <v>0.809597305120795</v>
      </c>
      <c r="C4397" s="18" t="n">
        <f aca="false">'Black-Scholes'!$B$5*EXP(('Black-Scholes'!$B$8-'Black-Scholes'!$B$10-'Black-Scholes'!$B$9^2/2)*'Black-Scholes'!$B$7+'Black-Scholes'!$B$9*SQRT('Black-Scholes'!$B$7)*B4397)</f>
        <v>121.157293419207</v>
      </c>
      <c r="D4397" s="18" t="n">
        <f aca="false">'Black-Scholes'!$B$5*EXP(('Black-Scholes'!$B$8-'Black-Scholes'!$B$10-'Black-Scholes'!$B$9^2/2)*'Black-Scholes'!$B$7-'Black-Scholes'!$B$9*SQRT('Black-Scholes'!$B$7)*B4397)</f>
        <v>87.6411577527885</v>
      </c>
      <c r="E4397" s="18" t="n">
        <f aca="false">EXP(-'Black-Scholes'!$B$8*'Black-Scholes'!$B$7)*IF(LOWER('Black-Scholes'!$B$11)="put",MAX('Black-Scholes'!$B$6-C4397,0),MAX(C4397-'Black-Scholes'!$B$6,0))</f>
        <v>20.1254400431449</v>
      </c>
      <c r="F4397" s="18" t="n">
        <f aca="false">(E4397+G4397)/2</f>
        <v>10.0627200215724</v>
      </c>
      <c r="G4397" s="18" t="n">
        <f aca="false">EXP(-'Black-Scholes'!$B$8*'Black-Scholes'!$B$7)*IF(LOWER('Black-Scholes'!$B$11)="put",MAX('Black-Scholes'!$B$6-D4397,0),MAX(D4397-'Black-Scholes'!$B$6,0))</f>
        <v>0</v>
      </c>
    </row>
    <row r="4398" customFormat="false" ht="15" hidden="false" customHeight="false" outlineLevel="0" collapsed="false">
      <c r="A4398" s="0" t="n">
        <v>4387</v>
      </c>
      <c r="B4398" s="15" t="n">
        <v>-0.644847483602273</v>
      </c>
      <c r="C4398" s="18" t="n">
        <f aca="false">'Black-Scholes'!$B$5*EXP(('Black-Scholes'!$B$8-'Black-Scholes'!$B$10-'Black-Scholes'!$B$9^2/2)*'Black-Scholes'!$B$7+'Black-Scholes'!$B$9*SQRT('Black-Scholes'!$B$7)*B4398)</f>
        <v>90.5770336567946</v>
      </c>
      <c r="D4398" s="18" t="n">
        <f aca="false">'Black-Scholes'!$B$5*EXP(('Black-Scholes'!$B$8-'Black-Scholes'!$B$10-'Black-Scholes'!$B$9^2/2)*'Black-Scholes'!$B$7-'Black-Scholes'!$B$9*SQRT('Black-Scholes'!$B$7)*B4398)</f>
        <v>117.2302187074</v>
      </c>
      <c r="E4398" s="18" t="n">
        <f aca="false">EXP(-'Black-Scholes'!$B$8*'Black-Scholes'!$B$7)*IF(LOWER('Black-Scholes'!$B$11)="put",MAX('Black-Scholes'!$B$6-C4398,0),MAX(C4398-'Black-Scholes'!$B$6,0))</f>
        <v>0</v>
      </c>
      <c r="F4398" s="18" t="n">
        <f aca="false">(E4398+G4398)/2</f>
        <v>8.19494551253095</v>
      </c>
      <c r="G4398" s="18" t="n">
        <f aca="false">EXP(-'Black-Scholes'!$B$8*'Black-Scholes'!$B$7)*IF(LOWER('Black-Scholes'!$B$11)="put",MAX('Black-Scholes'!$B$6-D4398,0),MAX(D4398-'Black-Scholes'!$B$6,0))</f>
        <v>16.3898910250619</v>
      </c>
    </row>
    <row r="4399" customFormat="false" ht="15" hidden="false" customHeight="false" outlineLevel="0" collapsed="false">
      <c r="A4399" s="0" t="n">
        <v>4388</v>
      </c>
      <c r="B4399" s="15" t="n">
        <v>-0.257556073213488</v>
      </c>
      <c r="C4399" s="18" t="n">
        <f aca="false">'Black-Scholes'!$B$5*EXP(('Black-Scholes'!$B$8-'Black-Scholes'!$B$10-'Black-Scholes'!$B$9^2/2)*'Black-Scholes'!$B$7+'Black-Scholes'!$B$9*SQRT('Black-Scholes'!$B$7)*B4399)</f>
        <v>97.8718501429307</v>
      </c>
      <c r="D4399" s="18" t="n">
        <f aca="false">'Black-Scholes'!$B$5*EXP(('Black-Scholes'!$B$8-'Black-Scholes'!$B$10-'Black-Scholes'!$B$9^2/2)*'Black-Scholes'!$B$7-'Black-Scholes'!$B$9*SQRT('Black-Scholes'!$B$7)*B4399)</f>
        <v>108.492538456632</v>
      </c>
      <c r="E4399" s="18" t="n">
        <f aca="false">EXP(-'Black-Scholes'!$B$8*'Black-Scholes'!$B$7)*IF(LOWER('Black-Scholes'!$B$11)="put",MAX('Black-Scholes'!$B$6-C4399,0),MAX(C4399-'Black-Scholes'!$B$6,0))</f>
        <v>0</v>
      </c>
      <c r="F4399" s="18" t="n">
        <f aca="false">(E4399+G4399)/2</f>
        <v>4.03917623432597</v>
      </c>
      <c r="G4399" s="18" t="n">
        <f aca="false">EXP(-'Black-Scholes'!$B$8*'Black-Scholes'!$B$7)*IF(LOWER('Black-Scholes'!$B$11)="put",MAX('Black-Scholes'!$B$6-D4399,0),MAX(D4399-'Black-Scholes'!$B$6,0))</f>
        <v>8.07835246865193</v>
      </c>
    </row>
    <row r="4400" customFormat="false" ht="15" hidden="false" customHeight="false" outlineLevel="0" collapsed="false">
      <c r="A4400" s="0" t="n">
        <v>4389</v>
      </c>
      <c r="B4400" s="15" t="n">
        <v>1.13684101280603</v>
      </c>
      <c r="C4400" s="18" t="n">
        <f aca="false">'Black-Scholes'!$B$5*EXP(('Black-Scholes'!$B$8-'Black-Scholes'!$B$10-'Black-Scholes'!$B$9^2/2)*'Black-Scholes'!$B$7+'Black-Scholes'!$B$9*SQRT('Black-Scholes'!$B$7)*B4400)</f>
        <v>129.352131694863</v>
      </c>
      <c r="D4400" s="18" t="n">
        <f aca="false">'Black-Scholes'!$B$5*EXP(('Black-Scholes'!$B$8-'Black-Scholes'!$B$10-'Black-Scholes'!$B$9^2/2)*'Black-Scholes'!$B$7-'Black-Scholes'!$B$9*SQRT('Black-Scholes'!$B$7)*B4400)</f>
        <v>82.0888324477093</v>
      </c>
      <c r="E4400" s="18" t="n">
        <f aca="false">EXP(-'Black-Scholes'!$B$8*'Black-Scholes'!$B$7)*IF(LOWER('Black-Scholes'!$B$11)="put",MAX('Black-Scholes'!$B$6-C4400,0),MAX(C4400-'Black-Scholes'!$B$6,0))</f>
        <v>27.9206113399732</v>
      </c>
      <c r="F4400" s="18" t="n">
        <f aca="false">(E4400+G4400)/2</f>
        <v>13.9603056699866</v>
      </c>
      <c r="G4400" s="18" t="n">
        <f aca="false">EXP(-'Black-Scholes'!$B$8*'Black-Scholes'!$B$7)*IF(LOWER('Black-Scholes'!$B$11)="put",MAX('Black-Scholes'!$B$6-D4400,0),MAX(D4400-'Black-Scholes'!$B$6,0))</f>
        <v>0</v>
      </c>
    </row>
    <row r="4401" customFormat="false" ht="15" hidden="false" customHeight="false" outlineLevel="0" collapsed="false">
      <c r="A4401" s="0" t="n">
        <v>4390</v>
      </c>
      <c r="B4401" s="15" t="n">
        <v>-1.35523069815245</v>
      </c>
      <c r="C4401" s="18" t="n">
        <f aca="false">'Black-Scholes'!$B$5*EXP(('Black-Scholes'!$B$8-'Black-Scholes'!$B$10-'Black-Scholes'!$B$9^2/2)*'Black-Scholes'!$B$7+'Black-Scholes'!$B$9*SQRT('Black-Scholes'!$B$7)*B4401)</f>
        <v>78.5805368782543</v>
      </c>
      <c r="D4401" s="18" t="n">
        <f aca="false">'Black-Scholes'!$B$5*EXP(('Black-Scholes'!$B$8-'Black-Scholes'!$B$10-'Black-Scholes'!$B$9^2/2)*'Black-Scholes'!$B$7-'Black-Scholes'!$B$9*SQRT('Black-Scholes'!$B$7)*B4401)</f>
        <v>135.127168727604</v>
      </c>
      <c r="E4401" s="18" t="n">
        <f aca="false">EXP(-'Black-Scholes'!$B$8*'Black-Scholes'!$B$7)*IF(LOWER('Black-Scholes'!$B$11)="put",MAX('Black-Scholes'!$B$6-C4401,0),MAX(C4401-'Black-Scholes'!$B$6,0))</f>
        <v>0</v>
      </c>
      <c r="F4401" s="18" t="n">
        <f aca="false">(E4401+G4401)/2</f>
        <v>16.7069982465492</v>
      </c>
      <c r="G4401" s="18" t="n">
        <f aca="false">EXP(-'Black-Scholes'!$B$8*'Black-Scholes'!$B$7)*IF(LOWER('Black-Scholes'!$B$11)="put",MAX('Black-Scholes'!$B$6-D4401,0),MAX(D4401-'Black-Scholes'!$B$6,0))</f>
        <v>33.4139964930985</v>
      </c>
    </row>
    <row r="4402" customFormat="false" ht="15" hidden="false" customHeight="false" outlineLevel="0" collapsed="false">
      <c r="A4402" s="0" t="n">
        <v>4391</v>
      </c>
      <c r="B4402" s="15" t="n">
        <v>0.81766423551163</v>
      </c>
      <c r="C4402" s="18" t="n">
        <f aca="false">'Black-Scholes'!$B$5*EXP(('Black-Scholes'!$B$8-'Black-Scholes'!$B$10-'Black-Scholes'!$B$9^2/2)*'Black-Scholes'!$B$7+'Black-Scholes'!$B$9*SQRT('Black-Scholes'!$B$7)*B4402)</f>
        <v>121.352924681619</v>
      </c>
      <c r="D4402" s="18" t="n">
        <f aca="false">'Black-Scholes'!$B$5*EXP(('Black-Scholes'!$B$8-'Black-Scholes'!$B$10-'Black-Scholes'!$B$9^2/2)*'Black-Scholes'!$B$7-'Black-Scholes'!$B$9*SQRT('Black-Scholes'!$B$7)*B4402)</f>
        <v>87.4998727332848</v>
      </c>
      <c r="E4402" s="18" t="n">
        <f aca="false">EXP(-'Black-Scholes'!$B$8*'Black-Scholes'!$B$7)*IF(LOWER('Black-Scholes'!$B$11)="put",MAX('Black-Scholes'!$B$6-C4402,0),MAX(C4402-'Black-Scholes'!$B$6,0))</f>
        <v>20.311530256304</v>
      </c>
      <c r="F4402" s="18" t="n">
        <f aca="false">(E4402+G4402)/2</f>
        <v>10.155765128152</v>
      </c>
      <c r="G4402" s="18" t="n">
        <f aca="false">EXP(-'Black-Scholes'!$B$8*'Black-Scholes'!$B$7)*IF(LOWER('Black-Scholes'!$B$11)="put",MAX('Black-Scholes'!$B$6-D4402,0),MAX(D4402-'Black-Scholes'!$B$6,0))</f>
        <v>0</v>
      </c>
    </row>
    <row r="4403" customFormat="false" ht="15" hidden="false" customHeight="false" outlineLevel="0" collapsed="false">
      <c r="A4403" s="0" t="n">
        <v>4392</v>
      </c>
      <c r="B4403" s="15" t="n">
        <v>0.765807824884499</v>
      </c>
      <c r="C4403" s="18" t="n">
        <f aca="false">'Black-Scholes'!$B$5*EXP(('Black-Scholes'!$B$8-'Black-Scholes'!$B$10-'Black-Scholes'!$B$9^2/2)*'Black-Scholes'!$B$7+'Black-Scholes'!$B$9*SQRT('Black-Scholes'!$B$7)*B4403)</f>
        <v>120.100843330635</v>
      </c>
      <c r="D4403" s="18" t="n">
        <f aca="false">'Black-Scholes'!$B$5*EXP(('Black-Scholes'!$B$8-'Black-Scholes'!$B$10-'Black-Scholes'!$B$9^2/2)*'Black-Scholes'!$B$7-'Black-Scholes'!$B$9*SQRT('Black-Scholes'!$B$7)*B4403)</f>
        <v>88.4120808063058</v>
      </c>
      <c r="E4403" s="18" t="n">
        <f aca="false">EXP(-'Black-Scholes'!$B$8*'Black-Scholes'!$B$7)*IF(LOWER('Black-Scholes'!$B$11)="put",MAX('Black-Scholes'!$B$6-C4403,0),MAX(C4403-'Black-Scholes'!$B$6,0))</f>
        <v>19.1205136333791</v>
      </c>
      <c r="F4403" s="18" t="n">
        <f aca="false">(E4403+G4403)/2</f>
        <v>9.56025681668957</v>
      </c>
      <c r="G4403" s="18" t="n">
        <f aca="false">EXP(-'Black-Scholes'!$B$8*'Black-Scholes'!$B$7)*IF(LOWER('Black-Scholes'!$B$11)="put",MAX('Black-Scholes'!$B$6-D4403,0),MAX(D4403-'Black-Scholes'!$B$6,0))</f>
        <v>0</v>
      </c>
    </row>
    <row r="4404" customFormat="false" ht="15" hidden="false" customHeight="false" outlineLevel="0" collapsed="false">
      <c r="A4404" s="0" t="n">
        <v>4393</v>
      </c>
      <c r="B4404" s="15" t="n">
        <v>1.32266818565641</v>
      </c>
      <c r="C4404" s="18" t="n">
        <f aca="false">'Black-Scholes'!$B$5*EXP(('Black-Scholes'!$B$8-'Black-Scholes'!$B$10-'Black-Scholes'!$B$9^2/2)*'Black-Scholes'!$B$7+'Black-Scholes'!$B$9*SQRT('Black-Scholes'!$B$7)*B4404)</f>
        <v>134.250012046307</v>
      </c>
      <c r="D4404" s="18" t="n">
        <f aca="false">'Black-Scholes'!$B$5*EXP(('Black-Scholes'!$B$8-'Black-Scholes'!$B$10-'Black-Scholes'!$B$9^2/2)*'Black-Scholes'!$B$7-'Black-Scholes'!$B$9*SQRT('Black-Scholes'!$B$7)*B4404)</f>
        <v>79.0939628503797</v>
      </c>
      <c r="E4404" s="18" t="n">
        <f aca="false">EXP(-'Black-Scholes'!$B$8*'Black-Scholes'!$B$7)*IF(LOWER('Black-Scholes'!$B$11)="put",MAX('Black-Scholes'!$B$6-C4404,0),MAX(C4404-'Black-Scholes'!$B$6,0))</f>
        <v>32.5796192479507</v>
      </c>
      <c r="F4404" s="18" t="n">
        <f aca="false">(E4404+G4404)/2</f>
        <v>16.2898096239754</v>
      </c>
      <c r="G4404" s="18" t="n">
        <f aca="false">EXP(-'Black-Scholes'!$B$8*'Black-Scholes'!$B$7)*IF(LOWER('Black-Scholes'!$B$11)="put",MAX('Black-Scholes'!$B$6-D4404,0),MAX(D4404-'Black-Scholes'!$B$6,0))</f>
        <v>0</v>
      </c>
    </row>
    <row r="4405" customFormat="false" ht="15" hidden="false" customHeight="false" outlineLevel="0" collapsed="false">
      <c r="A4405" s="0" t="n">
        <v>4394</v>
      </c>
      <c r="B4405" s="15" t="n">
        <v>0.369977577917566</v>
      </c>
      <c r="C4405" s="18" t="n">
        <f aca="false">'Black-Scholes'!$B$5*EXP(('Black-Scholes'!$B$8-'Black-Scholes'!$B$10-'Black-Scholes'!$B$9^2/2)*'Black-Scholes'!$B$7+'Black-Scholes'!$B$9*SQRT('Black-Scholes'!$B$7)*B4405)</f>
        <v>110.959547901617</v>
      </c>
      <c r="D4405" s="18" t="n">
        <f aca="false">'Black-Scholes'!$B$5*EXP(('Black-Scholes'!$B$8-'Black-Scholes'!$B$10-'Black-Scholes'!$B$9^2/2)*'Black-Scholes'!$B$7-'Black-Scholes'!$B$9*SQRT('Black-Scholes'!$B$7)*B4405)</f>
        <v>95.6958248862773</v>
      </c>
      <c r="E4405" s="18" t="n">
        <f aca="false">EXP(-'Black-Scholes'!$B$8*'Black-Scholes'!$B$7)*IF(LOWER('Black-Scholes'!$B$11)="put",MAX('Black-Scholes'!$B$6-C4405,0),MAX(C4405-'Black-Scholes'!$B$6,0))</f>
        <v>10.4250444432427</v>
      </c>
      <c r="F4405" s="18" t="n">
        <f aca="false">(E4405+G4405)/2</f>
        <v>5.21252222162137</v>
      </c>
      <c r="G4405" s="18" t="n">
        <f aca="false">EXP(-'Black-Scholes'!$B$8*'Black-Scholes'!$B$7)*IF(LOWER('Black-Scholes'!$B$11)="put",MAX('Black-Scholes'!$B$6-D4405,0),MAX(D4405-'Black-Scholes'!$B$6,0))</f>
        <v>0</v>
      </c>
    </row>
    <row r="4406" customFormat="false" ht="15" hidden="false" customHeight="false" outlineLevel="0" collapsed="false">
      <c r="A4406" s="0" t="n">
        <v>4395</v>
      </c>
      <c r="B4406" s="15" t="n">
        <v>-2.22737768847992</v>
      </c>
      <c r="C4406" s="18" t="n">
        <f aca="false">'Black-Scholes'!$B$5*EXP(('Black-Scholes'!$B$8-'Black-Scholes'!$B$10-'Black-Scholes'!$B$9^2/2)*'Black-Scholes'!$B$7+'Black-Scholes'!$B$9*SQRT('Black-Scholes'!$B$7)*B4406)</f>
        <v>66.0026338660885</v>
      </c>
      <c r="D4406" s="18" t="n">
        <f aca="false">'Black-Scholes'!$B$5*EXP(('Black-Scholes'!$B$8-'Black-Scholes'!$B$10-'Black-Scholes'!$B$9^2/2)*'Black-Scholes'!$B$7-'Black-Scholes'!$B$9*SQRT('Black-Scholes'!$B$7)*B4406)</f>
        <v>160.877905069622</v>
      </c>
      <c r="E4406" s="18" t="n">
        <f aca="false">EXP(-'Black-Scholes'!$B$8*'Black-Scholes'!$B$7)*IF(LOWER('Black-Scholes'!$B$11)="put",MAX('Black-Scholes'!$B$6-C4406,0),MAX(C4406-'Black-Scholes'!$B$6,0))</f>
        <v>0</v>
      </c>
      <c r="F4406" s="18" t="n">
        <f aca="false">(E4406+G4406)/2</f>
        <v>28.9544273020927</v>
      </c>
      <c r="G4406" s="18" t="n">
        <f aca="false">EXP(-'Black-Scholes'!$B$8*'Black-Scholes'!$B$7)*IF(LOWER('Black-Scholes'!$B$11)="put",MAX('Black-Scholes'!$B$6-D4406,0),MAX(D4406-'Black-Scholes'!$B$6,0))</f>
        <v>57.9088546041854</v>
      </c>
    </row>
    <row r="4407" customFormat="false" ht="15" hidden="false" customHeight="false" outlineLevel="0" collapsed="false">
      <c r="A4407" s="0" t="n">
        <v>4396</v>
      </c>
      <c r="B4407" s="15" t="n">
        <v>0.248777438166196</v>
      </c>
      <c r="C4407" s="18" t="n">
        <f aca="false">'Black-Scholes'!$B$5*EXP(('Black-Scholes'!$B$8-'Black-Scholes'!$B$10-'Black-Scholes'!$B$9^2/2)*'Black-Scholes'!$B$7+'Black-Scholes'!$B$9*SQRT('Black-Scholes'!$B$7)*B4407)</f>
        <v>108.302222297038</v>
      </c>
      <c r="D4407" s="18" t="n">
        <f aca="false">'Black-Scholes'!$B$5*EXP(('Black-Scholes'!$B$8-'Black-Scholes'!$B$10-'Black-Scholes'!$B$9^2/2)*'Black-Scholes'!$B$7-'Black-Scholes'!$B$9*SQRT('Black-Scholes'!$B$7)*B4407)</f>
        <v>98.0438373307874</v>
      </c>
      <c r="E4407" s="18" t="n">
        <f aca="false">EXP(-'Black-Scholes'!$B$8*'Black-Scholes'!$B$7)*IF(LOWER('Black-Scholes'!$B$11)="put",MAX('Black-Scholes'!$B$6-C4407,0),MAX(C4407-'Black-Scholes'!$B$6,0))</f>
        <v>7.89731813768867</v>
      </c>
      <c r="F4407" s="18" t="n">
        <f aca="false">(E4407+G4407)/2</f>
        <v>3.94865906884433</v>
      </c>
      <c r="G4407" s="18" t="n">
        <f aca="false">EXP(-'Black-Scholes'!$B$8*'Black-Scholes'!$B$7)*IF(LOWER('Black-Scholes'!$B$11)="put",MAX('Black-Scholes'!$B$6-D4407,0),MAX(D4407-'Black-Scholes'!$B$6,0))</f>
        <v>0</v>
      </c>
    </row>
    <row r="4408" customFormat="false" ht="15" hidden="false" customHeight="false" outlineLevel="0" collapsed="false">
      <c r="A4408" s="0" t="n">
        <v>4397</v>
      </c>
      <c r="B4408" s="15" t="n">
        <v>0.389719393022059</v>
      </c>
      <c r="C4408" s="18" t="n">
        <f aca="false">'Black-Scholes'!$B$5*EXP(('Black-Scholes'!$B$8-'Black-Scholes'!$B$10-'Black-Scholes'!$B$9^2/2)*'Black-Scholes'!$B$7+'Black-Scholes'!$B$9*SQRT('Black-Scholes'!$B$7)*B4408)</f>
        <v>111.398522522662</v>
      </c>
      <c r="D4408" s="18" t="n">
        <f aca="false">'Black-Scholes'!$B$5*EXP(('Black-Scholes'!$B$8-'Black-Scholes'!$B$10-'Black-Scholes'!$B$9^2/2)*'Black-Scholes'!$B$7-'Black-Scholes'!$B$9*SQRT('Black-Scholes'!$B$7)*B4408)</f>
        <v>95.3187279776846</v>
      </c>
      <c r="E4408" s="18" t="n">
        <f aca="false">EXP(-'Black-Scholes'!$B$8*'Black-Scholes'!$B$7)*IF(LOWER('Black-Scholes'!$B$11)="put",MAX('Black-Scholes'!$B$6-C4408,0),MAX(C4408-'Black-Scholes'!$B$6,0))</f>
        <v>10.8426100193902</v>
      </c>
      <c r="F4408" s="18" t="n">
        <f aca="false">(E4408+G4408)/2</f>
        <v>5.42130500969512</v>
      </c>
      <c r="G4408" s="18" t="n">
        <f aca="false">EXP(-'Black-Scholes'!$B$8*'Black-Scholes'!$B$7)*IF(LOWER('Black-Scholes'!$B$11)="put",MAX('Black-Scholes'!$B$6-D4408,0),MAX(D4408-'Black-Scholes'!$B$6,0))</f>
        <v>0</v>
      </c>
    </row>
    <row r="4409" customFormat="false" ht="15" hidden="false" customHeight="false" outlineLevel="0" collapsed="false">
      <c r="A4409" s="0" t="n">
        <v>4398</v>
      </c>
      <c r="B4409" s="15" t="n">
        <v>0.293673395034448</v>
      </c>
      <c r="C4409" s="18" t="n">
        <f aca="false">'Black-Scholes'!$B$5*EXP(('Black-Scholes'!$B$8-'Black-Scholes'!$B$10-'Black-Scholes'!$B$9^2/2)*'Black-Scholes'!$B$7+'Black-Scholes'!$B$9*SQRT('Black-Scholes'!$B$7)*B4409)</f>
        <v>109.279067755147</v>
      </c>
      <c r="D4409" s="18" t="n">
        <f aca="false">'Black-Scholes'!$B$5*EXP(('Black-Scholes'!$B$8-'Black-Scholes'!$B$10-'Black-Scholes'!$B$9^2/2)*'Black-Scholes'!$B$7-'Black-Scholes'!$B$9*SQRT('Black-Scholes'!$B$7)*B4409)</f>
        <v>97.1674235842247</v>
      </c>
      <c r="E4409" s="18" t="n">
        <f aca="false">EXP(-'Black-Scholes'!$B$8*'Black-Scholes'!$B$7)*IF(LOWER('Black-Scholes'!$B$11)="put",MAX('Black-Scholes'!$B$6-C4409,0),MAX(C4409-'Black-Scholes'!$B$6,0))</f>
        <v>8.82652228063192</v>
      </c>
      <c r="F4409" s="18" t="n">
        <f aca="false">(E4409+G4409)/2</f>
        <v>4.41326114031596</v>
      </c>
      <c r="G4409" s="18" t="n">
        <f aca="false">EXP(-'Black-Scholes'!$B$8*'Black-Scholes'!$B$7)*IF(LOWER('Black-Scholes'!$B$11)="put",MAX('Black-Scholes'!$B$6-D4409,0),MAX(D4409-'Black-Scholes'!$B$6,0))</f>
        <v>0</v>
      </c>
    </row>
    <row r="4410" customFormat="false" ht="15" hidden="false" customHeight="false" outlineLevel="0" collapsed="false">
      <c r="A4410" s="0" t="n">
        <v>4399</v>
      </c>
      <c r="B4410" s="15" t="n">
        <v>-0.336785594227658</v>
      </c>
      <c r="C4410" s="18" t="n">
        <f aca="false">'Black-Scholes'!$B$5*EXP(('Black-Scholes'!$B$8-'Black-Scholes'!$B$10-'Black-Scholes'!$B$9^2/2)*'Black-Scholes'!$B$7+'Black-Scholes'!$B$9*SQRT('Black-Scholes'!$B$7)*B4410)</f>
        <v>96.333204988349</v>
      </c>
      <c r="D4410" s="18" t="n">
        <f aca="false">'Black-Scholes'!$B$5*EXP(('Black-Scholes'!$B$8-'Black-Scholes'!$B$10-'Black-Scholes'!$B$9^2/2)*'Black-Scholes'!$B$7-'Black-Scholes'!$B$9*SQRT('Black-Scholes'!$B$7)*B4410)</f>
        <v>110.22539389962</v>
      </c>
      <c r="E4410" s="18" t="n">
        <f aca="false">EXP(-'Black-Scholes'!$B$8*'Black-Scholes'!$B$7)*IF(LOWER('Black-Scholes'!$B$11)="put",MAX('Black-Scholes'!$B$6-C4410,0),MAX(C4410-'Black-Scholes'!$B$6,0))</f>
        <v>0</v>
      </c>
      <c r="F4410" s="18" t="n">
        <f aca="false">(E4410+G4410)/2</f>
        <v>4.86334777721426</v>
      </c>
      <c r="G4410" s="18" t="n">
        <f aca="false">EXP(-'Black-Scholes'!$B$8*'Black-Scholes'!$B$7)*IF(LOWER('Black-Scholes'!$B$11)="put",MAX('Black-Scholes'!$B$6-D4410,0),MAX(D4410-'Black-Scholes'!$B$6,0))</f>
        <v>9.72669555442852</v>
      </c>
    </row>
    <row r="4411" customFormat="false" ht="15" hidden="false" customHeight="false" outlineLevel="0" collapsed="false">
      <c r="A4411" s="0" t="n">
        <v>4400</v>
      </c>
      <c r="B4411" s="15" t="n">
        <v>0.735873538412623</v>
      </c>
      <c r="C4411" s="18" t="n">
        <f aca="false">'Black-Scholes'!$B$5*EXP(('Black-Scholes'!$B$8-'Black-Scholes'!$B$10-'Black-Scholes'!$B$9^2/2)*'Black-Scholes'!$B$7+'Black-Scholes'!$B$9*SQRT('Black-Scholes'!$B$7)*B4411)</f>
        <v>119.383964786674</v>
      </c>
      <c r="D4411" s="18" t="n">
        <f aca="false">'Black-Scholes'!$B$5*EXP(('Black-Scholes'!$B$8-'Black-Scholes'!$B$10-'Black-Scholes'!$B$9^2/2)*'Black-Scholes'!$B$7-'Black-Scholes'!$B$9*SQRT('Black-Scholes'!$B$7)*B4411)</f>
        <v>88.9429789371419</v>
      </c>
      <c r="E4411" s="18" t="n">
        <f aca="false">EXP(-'Black-Scholes'!$B$8*'Black-Scholes'!$B$7)*IF(LOWER('Black-Scholes'!$B$11)="put",MAX('Black-Scholes'!$B$6-C4411,0),MAX(C4411-'Black-Scholes'!$B$6,0))</f>
        <v>18.4385976685696</v>
      </c>
      <c r="F4411" s="18" t="n">
        <f aca="false">(E4411+G4411)/2</f>
        <v>9.21929883428479</v>
      </c>
      <c r="G4411" s="18" t="n">
        <f aca="false">EXP(-'Black-Scholes'!$B$8*'Black-Scholes'!$B$7)*IF(LOWER('Black-Scholes'!$B$11)="put",MAX('Black-Scholes'!$B$6-D4411,0),MAX(D4411-'Black-Scholes'!$B$6,0))</f>
        <v>0</v>
      </c>
    </row>
    <row r="4412" customFormat="false" ht="15" hidden="false" customHeight="false" outlineLevel="0" collapsed="false">
      <c r="A4412" s="0" t="n">
        <v>4401</v>
      </c>
      <c r="B4412" s="15" t="n">
        <v>-0.615452648939229</v>
      </c>
      <c r="C4412" s="18" t="n">
        <f aca="false">'Black-Scholes'!$B$5*EXP(('Black-Scholes'!$B$8-'Black-Scholes'!$B$10-'Black-Scholes'!$B$9^2/2)*'Black-Scholes'!$B$7+'Black-Scholes'!$B$9*SQRT('Black-Scholes'!$B$7)*B4412)</f>
        <v>91.1111013875668</v>
      </c>
      <c r="D4412" s="18" t="n">
        <f aca="false">'Black-Scholes'!$B$5*EXP(('Black-Scholes'!$B$8-'Black-Scholes'!$B$10-'Black-Scholes'!$B$9^2/2)*'Black-Scholes'!$B$7-'Black-Scholes'!$B$9*SQRT('Black-Scholes'!$B$7)*B4412)</f>
        <v>116.543048034129</v>
      </c>
      <c r="E4412" s="18" t="n">
        <f aca="false">EXP(-'Black-Scholes'!$B$8*'Black-Scholes'!$B$7)*IF(LOWER('Black-Scholes'!$B$11)="put",MAX('Black-Scholes'!$B$6-C4412,0),MAX(C4412-'Black-Scholes'!$B$6,0))</f>
        <v>0</v>
      </c>
      <c r="F4412" s="18" t="n">
        <f aca="false">(E4412+G4412)/2</f>
        <v>7.86811703049612</v>
      </c>
      <c r="G4412" s="18" t="n">
        <f aca="false">EXP(-'Black-Scholes'!$B$8*'Black-Scholes'!$B$7)*IF(LOWER('Black-Scholes'!$B$11)="put",MAX('Black-Scholes'!$B$6-D4412,0),MAX(D4412-'Black-Scholes'!$B$6,0))</f>
        <v>15.7362340609922</v>
      </c>
    </row>
    <row r="4413" customFormat="false" ht="15" hidden="false" customHeight="false" outlineLevel="0" collapsed="false">
      <c r="A4413" s="0" t="n">
        <v>4402</v>
      </c>
      <c r="B4413" s="15" t="n">
        <v>0.137741339024068</v>
      </c>
      <c r="C4413" s="18" t="n">
        <f aca="false">'Black-Scholes'!$B$5*EXP(('Black-Scholes'!$B$8-'Black-Scholes'!$B$10-'Black-Scholes'!$B$9^2/2)*'Black-Scholes'!$B$7+'Black-Scholes'!$B$9*SQRT('Black-Scholes'!$B$7)*B4413)</f>
        <v>105.923639643649</v>
      </c>
      <c r="D4413" s="18" t="n">
        <f aca="false">'Black-Scholes'!$B$5*EXP(('Black-Scholes'!$B$8-'Black-Scholes'!$B$10-'Black-Scholes'!$B$9^2/2)*'Black-Scholes'!$B$7-'Black-Scholes'!$B$9*SQRT('Black-Scholes'!$B$7)*B4413)</f>
        <v>100.245474014829</v>
      </c>
      <c r="E4413" s="18" t="n">
        <f aca="false">EXP(-'Black-Scholes'!$B$8*'Black-Scholes'!$B$7)*IF(LOWER('Black-Scholes'!$B$11)="put",MAX('Black-Scholes'!$B$6-C4413,0),MAX(C4413-'Black-Scholes'!$B$6,0))</f>
        <v>5.63474032917805</v>
      </c>
      <c r="F4413" s="18" t="n">
        <f aca="false">(E4413+G4413)/2</f>
        <v>2.93412121751707</v>
      </c>
      <c r="G4413" s="18" t="n">
        <f aca="false">EXP(-'Black-Scholes'!$B$8*'Black-Scholes'!$B$7)*IF(LOWER('Black-Scholes'!$B$11)="put",MAX('Black-Scholes'!$B$6-D4413,0),MAX(D4413-'Black-Scholes'!$B$6,0))</f>
        <v>0.233502105856088</v>
      </c>
    </row>
    <row r="4414" customFormat="false" ht="15" hidden="false" customHeight="false" outlineLevel="0" collapsed="false">
      <c r="A4414" s="0" t="n">
        <v>4403</v>
      </c>
      <c r="B4414" s="15" t="n">
        <v>0.727144108633524</v>
      </c>
      <c r="C4414" s="18" t="n">
        <f aca="false">'Black-Scholes'!$B$5*EXP(('Black-Scholes'!$B$8-'Black-Scholes'!$B$10-'Black-Scholes'!$B$9^2/2)*'Black-Scholes'!$B$7+'Black-Scholes'!$B$9*SQRT('Black-Scholes'!$B$7)*B4414)</f>
        <v>119.175715841554</v>
      </c>
      <c r="D4414" s="18" t="n">
        <f aca="false">'Black-Scholes'!$B$5*EXP(('Black-Scholes'!$B$8-'Black-Scholes'!$B$10-'Black-Scholes'!$B$9^2/2)*'Black-Scholes'!$B$7-'Black-Scholes'!$B$9*SQRT('Black-Scholes'!$B$7)*B4414)</f>
        <v>89.0983988681963</v>
      </c>
      <c r="E4414" s="18" t="n">
        <f aca="false">EXP(-'Black-Scholes'!$B$8*'Black-Scholes'!$B$7)*IF(LOWER('Black-Scholes'!$B$11)="put",MAX('Black-Scholes'!$B$6-C4414,0),MAX(C4414-'Black-Scholes'!$B$6,0))</f>
        <v>18.2405051443506</v>
      </c>
      <c r="F4414" s="18" t="n">
        <f aca="false">(E4414+G4414)/2</f>
        <v>9.12025257217531</v>
      </c>
      <c r="G4414" s="18" t="n">
        <f aca="false">EXP(-'Black-Scholes'!$B$8*'Black-Scholes'!$B$7)*IF(LOWER('Black-Scholes'!$B$11)="put",MAX('Black-Scholes'!$B$6-D4414,0),MAX(D4414-'Black-Scholes'!$B$6,0))</f>
        <v>0</v>
      </c>
    </row>
    <row r="4415" customFormat="false" ht="15" hidden="false" customHeight="false" outlineLevel="0" collapsed="false">
      <c r="A4415" s="0" t="n">
        <v>4404</v>
      </c>
      <c r="B4415" s="15" t="n">
        <v>-0.986090344261706</v>
      </c>
      <c r="C4415" s="18" t="n">
        <f aca="false">'Black-Scholes'!$B$5*EXP(('Black-Scholes'!$B$8-'Black-Scholes'!$B$10-'Black-Scholes'!$B$9^2/2)*'Black-Scholes'!$B$7+'Black-Scholes'!$B$9*SQRT('Black-Scholes'!$B$7)*B4415)</f>
        <v>84.6015101677729</v>
      </c>
      <c r="D4415" s="18" t="n">
        <f aca="false">'Black-Scholes'!$B$5*EXP(('Black-Scholes'!$B$8-'Black-Scholes'!$B$10-'Black-Scholes'!$B$9^2/2)*'Black-Scholes'!$B$7-'Black-Scholes'!$B$9*SQRT('Black-Scholes'!$B$7)*B4415)</f>
        <v>125.510353708774</v>
      </c>
      <c r="E4415" s="18" t="n">
        <f aca="false">EXP(-'Black-Scholes'!$B$8*'Black-Scholes'!$B$7)*IF(LOWER('Black-Scholes'!$B$11)="put",MAX('Black-Scholes'!$B$6-C4415,0),MAX(C4415-'Black-Scholes'!$B$6,0))</f>
        <v>0</v>
      </c>
      <c r="F4415" s="18" t="n">
        <f aca="false">(E4415+G4415)/2</f>
        <v>12.1330995386033</v>
      </c>
      <c r="G4415" s="18" t="n">
        <f aca="false">EXP(-'Black-Scholes'!$B$8*'Black-Scholes'!$B$7)*IF(LOWER('Black-Scholes'!$B$11)="put",MAX('Black-Scholes'!$B$6-D4415,0),MAX(D4415-'Black-Scholes'!$B$6,0))</f>
        <v>24.2661990772066</v>
      </c>
    </row>
    <row r="4416" customFormat="false" ht="15" hidden="false" customHeight="false" outlineLevel="0" collapsed="false">
      <c r="A4416" s="0" t="n">
        <v>4405</v>
      </c>
      <c r="B4416" s="15" t="n">
        <v>-0.0728738261581604</v>
      </c>
      <c r="C4416" s="18" t="n">
        <f aca="false">'Black-Scholes'!$B$5*EXP(('Black-Scholes'!$B$8-'Black-Scholes'!$B$10-'Black-Scholes'!$B$9^2/2)*'Black-Scholes'!$B$7+'Black-Scholes'!$B$9*SQRT('Black-Scholes'!$B$7)*B4416)</f>
        <v>101.554481777634</v>
      </c>
      <c r="D4416" s="18" t="n">
        <f aca="false">'Black-Scholes'!$B$5*EXP(('Black-Scholes'!$B$8-'Black-Scholes'!$B$10-'Black-Scholes'!$B$9^2/2)*'Black-Scholes'!$B$7-'Black-Scholes'!$B$9*SQRT('Black-Scholes'!$B$7)*B4416)</f>
        <v>104.558314705439</v>
      </c>
      <c r="E4416" s="18" t="n">
        <f aca="false">EXP(-'Black-Scholes'!$B$8*'Black-Scholes'!$B$7)*IF(LOWER('Black-Scholes'!$B$11)="put",MAX('Black-Scholes'!$B$6-C4416,0),MAX(C4416-'Black-Scholes'!$B$6,0))</f>
        <v>1.47866880673562</v>
      </c>
      <c r="F4416" s="18" t="n">
        <f aca="false">(E4416+G4416)/2</f>
        <v>2.90733594034162</v>
      </c>
      <c r="G4416" s="18" t="n">
        <f aca="false">EXP(-'Black-Scholes'!$B$8*'Black-Scholes'!$B$7)*IF(LOWER('Black-Scholes'!$B$11)="put",MAX('Black-Scholes'!$B$6-D4416,0),MAX(D4416-'Black-Scholes'!$B$6,0))</f>
        <v>4.33600307394763</v>
      </c>
    </row>
    <row r="4417" customFormat="false" ht="15" hidden="false" customHeight="false" outlineLevel="0" collapsed="false">
      <c r="A4417" s="0" t="n">
        <v>4406</v>
      </c>
      <c r="B4417" s="15" t="n">
        <v>-2.07231668839643</v>
      </c>
      <c r="C4417" s="18" t="n">
        <f aca="false">'Black-Scholes'!$B$5*EXP(('Black-Scholes'!$B$8-'Black-Scholes'!$B$10-'Black-Scholes'!$B$9^2/2)*'Black-Scholes'!$B$7+'Black-Scholes'!$B$9*SQRT('Black-Scholes'!$B$7)*B4417)</f>
        <v>68.0815906426761</v>
      </c>
      <c r="D4417" s="18" t="n">
        <f aca="false">'Black-Scholes'!$B$5*EXP(('Black-Scholes'!$B$8-'Black-Scholes'!$B$10-'Black-Scholes'!$B$9^2/2)*'Black-Scholes'!$B$7-'Black-Scholes'!$B$9*SQRT('Black-Scholes'!$B$7)*B4417)</f>
        <v>155.965296421814</v>
      </c>
      <c r="E4417" s="18" t="n">
        <f aca="false">EXP(-'Black-Scholes'!$B$8*'Black-Scholes'!$B$7)*IF(LOWER('Black-Scholes'!$B$11)="put",MAX('Black-Scholes'!$B$6-C4417,0),MAX(C4417-'Black-Scholes'!$B$6,0))</f>
        <v>0</v>
      </c>
      <c r="F4417" s="18" t="n">
        <f aca="false">(E4417+G4417)/2</f>
        <v>26.6179183536672</v>
      </c>
      <c r="G4417" s="18" t="n">
        <f aca="false">EXP(-'Black-Scholes'!$B$8*'Black-Scholes'!$B$7)*IF(LOWER('Black-Scholes'!$B$11)="put",MAX('Black-Scholes'!$B$6-D4417,0),MAX(D4417-'Black-Scholes'!$B$6,0))</f>
        <v>53.2358367073344</v>
      </c>
    </row>
    <row r="4418" customFormat="false" ht="15" hidden="false" customHeight="false" outlineLevel="0" collapsed="false">
      <c r="A4418" s="0" t="n">
        <v>4407</v>
      </c>
      <c r="B4418" s="15" t="n">
        <v>0.246243655268358</v>
      </c>
      <c r="C4418" s="18" t="n">
        <f aca="false">'Black-Scholes'!$B$5*EXP(('Black-Scholes'!$B$8-'Black-Scholes'!$B$10-'Black-Scholes'!$B$9^2/2)*'Black-Scholes'!$B$7+'Black-Scholes'!$B$9*SQRT('Black-Scholes'!$B$7)*B4418)</f>
        <v>108.247353337085</v>
      </c>
      <c r="D4418" s="18" t="n">
        <f aca="false">'Black-Scholes'!$B$5*EXP(('Black-Scholes'!$B$8-'Black-Scholes'!$B$10-'Black-Scholes'!$B$9^2/2)*'Black-Scholes'!$B$7-'Black-Scholes'!$B$9*SQRT('Black-Scholes'!$B$7)*B4418)</f>
        <v>98.0935342815057</v>
      </c>
      <c r="E4418" s="18" t="n">
        <f aca="false">EXP(-'Black-Scholes'!$B$8*'Black-Scholes'!$B$7)*IF(LOWER('Black-Scholes'!$B$11)="put",MAX('Black-Scholes'!$B$6-C4418,0),MAX(C4418-'Black-Scholes'!$B$6,0))</f>
        <v>7.84512516848926</v>
      </c>
      <c r="F4418" s="18" t="n">
        <f aca="false">(E4418+G4418)/2</f>
        <v>3.92256258424463</v>
      </c>
      <c r="G4418" s="18" t="n">
        <f aca="false">EXP(-'Black-Scholes'!$B$8*'Black-Scholes'!$B$7)*IF(LOWER('Black-Scholes'!$B$11)="put",MAX('Black-Scholes'!$B$6-D4418,0),MAX(D4418-'Black-Scholes'!$B$6,0))</f>
        <v>0</v>
      </c>
    </row>
    <row r="4419" customFormat="false" ht="15" hidden="false" customHeight="false" outlineLevel="0" collapsed="false">
      <c r="A4419" s="0" t="n">
        <v>4408</v>
      </c>
      <c r="B4419" s="15" t="n">
        <v>1.0830136220465</v>
      </c>
      <c r="C4419" s="18" t="n">
        <f aca="false">'Black-Scholes'!$B$5*EXP(('Black-Scholes'!$B$8-'Black-Scholes'!$B$10-'Black-Scholes'!$B$9^2/2)*'Black-Scholes'!$B$7+'Black-Scholes'!$B$9*SQRT('Black-Scholes'!$B$7)*B4419)</f>
        <v>127.967062987565</v>
      </c>
      <c r="D4419" s="18" t="n">
        <f aca="false">'Black-Scholes'!$B$5*EXP(('Black-Scholes'!$B$8-'Black-Scholes'!$B$10-'Black-Scholes'!$B$9^2/2)*'Black-Scholes'!$B$7-'Black-Scholes'!$B$9*SQRT('Black-Scholes'!$B$7)*B4419)</f>
        <v>82.9773319599077</v>
      </c>
      <c r="E4419" s="18" t="n">
        <f aca="false">EXP(-'Black-Scholes'!$B$8*'Black-Scholes'!$B$7)*IF(LOWER('Black-Scholes'!$B$11)="put",MAX('Black-Scholes'!$B$6-C4419,0),MAX(C4419-'Black-Scholes'!$B$6,0))</f>
        <v>26.6030932306367</v>
      </c>
      <c r="F4419" s="18" t="n">
        <f aca="false">(E4419+G4419)/2</f>
        <v>13.3015466153183</v>
      </c>
      <c r="G4419" s="18" t="n">
        <f aca="false">EXP(-'Black-Scholes'!$B$8*'Black-Scholes'!$B$7)*IF(LOWER('Black-Scholes'!$B$11)="put",MAX('Black-Scholes'!$B$6-D4419,0),MAX(D4419-'Black-Scholes'!$B$6,0))</f>
        <v>0</v>
      </c>
    </row>
    <row r="4420" customFormat="false" ht="15" hidden="false" customHeight="false" outlineLevel="0" collapsed="false">
      <c r="A4420" s="0" t="n">
        <v>4409</v>
      </c>
      <c r="B4420" s="15" t="n">
        <v>0.012284911575697</v>
      </c>
      <c r="C4420" s="18" t="n">
        <f aca="false">'Black-Scholes'!$B$5*EXP(('Black-Scholes'!$B$8-'Black-Scholes'!$B$10-'Black-Scholes'!$B$9^2/2)*'Black-Scholes'!$B$7+'Black-Scholes'!$B$9*SQRT('Black-Scholes'!$B$7)*B4420)</f>
        <v>103.298945537332</v>
      </c>
      <c r="D4420" s="18" t="n">
        <f aca="false">'Black-Scholes'!$B$5*EXP(('Black-Scholes'!$B$8-'Black-Scholes'!$B$10-'Black-Scholes'!$B$9^2/2)*'Black-Scholes'!$B$7-'Black-Scholes'!$B$9*SQRT('Black-Scholes'!$B$7)*B4420)</f>
        <v>102.792583314572</v>
      </c>
      <c r="E4420" s="18" t="n">
        <f aca="false">EXP(-'Black-Scholes'!$B$8*'Black-Scholes'!$B$7)*IF(LOWER('Black-Scholes'!$B$11)="put",MAX('Black-Scholes'!$B$6-C4420,0),MAX(C4420-'Black-Scholes'!$B$6,0))</f>
        <v>3.13805406493543</v>
      </c>
      <c r="F4420" s="18" t="n">
        <f aca="false">(E4420+G4420)/2</f>
        <v>2.89722074206289</v>
      </c>
      <c r="G4420" s="18" t="n">
        <f aca="false">EXP(-'Black-Scholes'!$B$8*'Black-Scholes'!$B$7)*IF(LOWER('Black-Scholes'!$B$11)="put",MAX('Black-Scholes'!$B$6-D4420,0),MAX(D4420-'Black-Scholes'!$B$6,0))</f>
        <v>2.65638741919036</v>
      </c>
    </row>
    <row r="4421" customFormat="false" ht="15" hidden="false" customHeight="false" outlineLevel="0" collapsed="false">
      <c r="A4421" s="0" t="n">
        <v>4410</v>
      </c>
      <c r="B4421" s="15" t="n">
        <v>-0.998366438646107</v>
      </c>
      <c r="C4421" s="18" t="n">
        <f aca="false">'Black-Scholes'!$B$5*EXP(('Black-Scholes'!$B$8-'Black-Scholes'!$B$10-'Black-Scholes'!$B$9^2/2)*'Black-Scholes'!$B$7+'Black-Scholes'!$B$9*SQRT('Black-Scholes'!$B$7)*B4421)</f>
        <v>84.3940497276068</v>
      </c>
      <c r="D4421" s="18" t="n">
        <f aca="false">'Black-Scholes'!$B$5*EXP(('Black-Scholes'!$B$8-'Black-Scholes'!$B$10-'Black-Scholes'!$B$9^2/2)*'Black-Scholes'!$B$7-'Black-Scholes'!$B$9*SQRT('Black-Scholes'!$B$7)*B4421)</f>
        <v>125.818887702697</v>
      </c>
      <c r="E4421" s="18" t="n">
        <f aca="false">EXP(-'Black-Scholes'!$B$8*'Black-Scholes'!$B$7)*IF(LOWER('Black-Scholes'!$B$11)="put",MAX('Black-Scholes'!$B$6-C4421,0),MAX(C4421-'Black-Scholes'!$B$6,0))</f>
        <v>0</v>
      </c>
      <c r="F4421" s="18" t="n">
        <f aca="false">(E4421+G4421)/2</f>
        <v>12.2798428453426</v>
      </c>
      <c r="G4421" s="18" t="n">
        <f aca="false">EXP(-'Black-Scholes'!$B$8*'Black-Scholes'!$B$7)*IF(LOWER('Black-Scholes'!$B$11)="put",MAX('Black-Scholes'!$B$6-D4421,0),MAX(D4421-'Black-Scholes'!$B$6,0))</f>
        <v>24.5596856906851</v>
      </c>
    </row>
    <row r="4422" customFormat="false" ht="15" hidden="false" customHeight="false" outlineLevel="0" collapsed="false">
      <c r="A4422" s="0" t="n">
        <v>4411</v>
      </c>
      <c r="B4422" s="15" t="n">
        <v>-0.724615168772919</v>
      </c>
      <c r="C4422" s="18" t="n">
        <f aca="false">'Black-Scholes'!$B$5*EXP(('Black-Scholes'!$B$8-'Black-Scholes'!$B$10-'Black-Scholes'!$B$9^2/2)*'Black-Scholes'!$B$7+'Black-Scholes'!$B$9*SQRT('Black-Scholes'!$B$7)*B4422)</f>
        <v>89.1434751652426</v>
      </c>
      <c r="D4422" s="18" t="n">
        <f aca="false">'Black-Scholes'!$B$5*EXP(('Black-Scholes'!$B$8-'Black-Scholes'!$B$10-'Black-Scholes'!$B$9^2/2)*'Black-Scholes'!$B$7-'Black-Scholes'!$B$9*SQRT('Black-Scholes'!$B$7)*B4422)</f>
        <v>119.115453439196</v>
      </c>
      <c r="E4422" s="18" t="n">
        <f aca="false">EXP(-'Black-Scholes'!$B$8*'Black-Scholes'!$B$7)*IF(LOWER('Black-Scholes'!$B$11)="put",MAX('Black-Scholes'!$B$6-C4422,0),MAX(C4422-'Black-Scholes'!$B$6,0))</f>
        <v>0</v>
      </c>
      <c r="F4422" s="18" t="n">
        <f aca="false">(E4422+G4422)/2</f>
        <v>9.09159088701842</v>
      </c>
      <c r="G4422" s="18" t="n">
        <f aca="false">EXP(-'Black-Scholes'!$B$8*'Black-Scholes'!$B$7)*IF(LOWER('Black-Scholes'!$B$11)="put",MAX('Black-Scholes'!$B$6-D4422,0),MAX(D4422-'Black-Scholes'!$B$6,0))</f>
        <v>18.1831817740368</v>
      </c>
    </row>
    <row r="4423" customFormat="false" ht="15" hidden="false" customHeight="false" outlineLevel="0" collapsed="false">
      <c r="A4423" s="0" t="n">
        <v>4412</v>
      </c>
      <c r="B4423" s="15" t="n">
        <v>0.939615262777268</v>
      </c>
      <c r="C4423" s="18" t="n">
        <f aca="false">'Black-Scholes'!$B$5*EXP(('Black-Scholes'!$B$8-'Black-Scholes'!$B$10-'Black-Scholes'!$B$9^2/2)*'Black-Scholes'!$B$7+'Black-Scholes'!$B$9*SQRT('Black-Scholes'!$B$7)*B4423)</f>
        <v>124.349138045363</v>
      </c>
      <c r="D4423" s="18" t="n">
        <f aca="false">'Black-Scholes'!$B$5*EXP(('Black-Scholes'!$B$8-'Black-Scholes'!$B$10-'Black-Scholes'!$B$9^2/2)*'Black-Scholes'!$B$7-'Black-Scholes'!$B$9*SQRT('Black-Scholes'!$B$7)*B4423)</f>
        <v>85.3915486055079</v>
      </c>
      <c r="E4423" s="18" t="n">
        <f aca="false">EXP(-'Black-Scholes'!$B$8*'Black-Scholes'!$B$7)*IF(LOWER('Black-Scholes'!$B$11)="put",MAX('Black-Scholes'!$B$6-C4423,0),MAX(C4423-'Black-Scholes'!$B$6,0))</f>
        <v>23.1616165699787</v>
      </c>
      <c r="F4423" s="18" t="n">
        <f aca="false">(E4423+G4423)/2</f>
        <v>11.5808082849894</v>
      </c>
      <c r="G4423" s="18" t="n">
        <f aca="false">EXP(-'Black-Scholes'!$B$8*'Black-Scholes'!$B$7)*IF(LOWER('Black-Scholes'!$B$11)="put",MAX('Black-Scholes'!$B$6-D4423,0),MAX(D4423-'Black-Scholes'!$B$6,0))</f>
        <v>0</v>
      </c>
    </row>
    <row r="4424" customFormat="false" ht="15" hidden="false" customHeight="false" outlineLevel="0" collapsed="false">
      <c r="A4424" s="0" t="n">
        <v>4413</v>
      </c>
      <c r="B4424" s="15" t="n">
        <v>0.983147118273511</v>
      </c>
      <c r="C4424" s="18" t="n">
        <f aca="false">'Black-Scholes'!$B$5*EXP(('Black-Scholes'!$B$8-'Black-Scholes'!$B$10-'Black-Scholes'!$B$9^2/2)*'Black-Scholes'!$B$7+'Black-Scholes'!$B$9*SQRT('Black-Scholes'!$B$7)*B4424)</f>
        <v>125.436494382411</v>
      </c>
      <c r="D4424" s="18" t="n">
        <f aca="false">'Black-Scholes'!$B$5*EXP(('Black-Scholes'!$B$8-'Black-Scholes'!$B$10-'Black-Scholes'!$B$9^2/2)*'Black-Scholes'!$B$7-'Black-Scholes'!$B$9*SQRT('Black-Scholes'!$B$7)*B4424)</f>
        <v>84.6513251006682</v>
      </c>
      <c r="E4424" s="18" t="n">
        <f aca="false">EXP(-'Black-Scholes'!$B$8*'Black-Scholes'!$B$7)*IF(LOWER('Black-Scholes'!$B$11)="put",MAX('Black-Scholes'!$B$6-C4424,0),MAX(C4424-'Black-Scholes'!$B$6,0))</f>
        <v>24.1959419126963</v>
      </c>
      <c r="F4424" s="18" t="n">
        <f aca="false">(E4424+G4424)/2</f>
        <v>12.0979709563481</v>
      </c>
      <c r="G4424" s="18" t="n">
        <f aca="false">EXP(-'Black-Scholes'!$B$8*'Black-Scholes'!$B$7)*IF(LOWER('Black-Scholes'!$B$11)="put",MAX('Black-Scholes'!$B$6-D4424,0),MAX(D4424-'Black-Scholes'!$B$6,0))</f>
        <v>0</v>
      </c>
    </row>
    <row r="4425" customFormat="false" ht="15" hidden="false" customHeight="false" outlineLevel="0" collapsed="false">
      <c r="A4425" s="0" t="n">
        <v>4414</v>
      </c>
      <c r="B4425" s="15" t="n">
        <v>0.469939209439547</v>
      </c>
      <c r="C4425" s="18" t="n">
        <f aca="false">'Black-Scholes'!$B$5*EXP(('Black-Scholes'!$B$8-'Black-Scholes'!$B$10-'Black-Scholes'!$B$9^2/2)*'Black-Scholes'!$B$7+'Black-Scholes'!$B$9*SQRT('Black-Scholes'!$B$7)*B4425)</f>
        <v>113.200210790699</v>
      </c>
      <c r="D4425" s="18" t="n">
        <f aca="false">'Black-Scholes'!$B$5*EXP(('Black-Scholes'!$B$8-'Black-Scholes'!$B$10-'Black-Scholes'!$B$9^2/2)*'Black-Scholes'!$B$7-'Black-Scholes'!$B$9*SQRT('Black-Scholes'!$B$7)*B4425)</f>
        <v>93.8016403969983</v>
      </c>
      <c r="E4425" s="18" t="n">
        <f aca="false">EXP(-'Black-Scholes'!$B$8*'Black-Scholes'!$B$7)*IF(LOWER('Black-Scholes'!$B$11)="put",MAX('Black-Scholes'!$B$6-C4425,0),MAX(C4425-'Black-Scholes'!$B$6,0))</f>
        <v>12.5564289137251</v>
      </c>
      <c r="F4425" s="18" t="n">
        <f aca="false">(E4425+G4425)/2</f>
        <v>6.27821445686255</v>
      </c>
      <c r="G4425" s="18" t="n">
        <f aca="false">EXP(-'Black-Scholes'!$B$8*'Black-Scholes'!$B$7)*IF(LOWER('Black-Scholes'!$B$11)="put",MAX('Black-Scholes'!$B$6-D4425,0),MAX(D4425-'Black-Scholes'!$B$6,0))</f>
        <v>0</v>
      </c>
    </row>
    <row r="4426" customFormat="false" ht="15" hidden="false" customHeight="false" outlineLevel="0" collapsed="false">
      <c r="A4426" s="0" t="n">
        <v>4415</v>
      </c>
      <c r="B4426" s="15" t="n">
        <v>0.656232916950627</v>
      </c>
      <c r="C4426" s="18" t="n">
        <f aca="false">'Black-Scholes'!$B$5*EXP(('Black-Scholes'!$B$8-'Black-Scholes'!$B$10-'Black-Scholes'!$B$9^2/2)*'Black-Scholes'!$B$7+'Black-Scholes'!$B$9*SQRT('Black-Scholes'!$B$7)*B4426)</f>
        <v>117.497466233115</v>
      </c>
      <c r="D4426" s="18" t="n">
        <f aca="false">'Black-Scholes'!$B$5*EXP(('Black-Scholes'!$B$8-'Black-Scholes'!$B$10-'Black-Scholes'!$B$9^2/2)*'Black-Scholes'!$B$7-'Black-Scholes'!$B$9*SQRT('Black-Scholes'!$B$7)*B4426)</f>
        <v>90.3710165492997</v>
      </c>
      <c r="E4426" s="18" t="n">
        <f aca="false">EXP(-'Black-Scholes'!$B$8*'Black-Scholes'!$B$7)*IF(LOWER('Black-Scholes'!$B$11)="put",MAX('Black-Scholes'!$B$6-C4426,0),MAX(C4426-'Black-Scholes'!$B$6,0))</f>
        <v>16.6441047351465</v>
      </c>
      <c r="F4426" s="18" t="n">
        <f aca="false">(E4426+G4426)/2</f>
        <v>8.32205236757324</v>
      </c>
      <c r="G4426" s="18" t="n">
        <f aca="false">EXP(-'Black-Scholes'!$B$8*'Black-Scholes'!$B$7)*IF(LOWER('Black-Scholes'!$B$11)="put",MAX('Black-Scholes'!$B$6-D4426,0),MAX(D4426-'Black-Scholes'!$B$6,0))</f>
        <v>0</v>
      </c>
    </row>
    <row r="4427" customFormat="false" ht="15" hidden="false" customHeight="false" outlineLevel="0" collapsed="false">
      <c r="A4427" s="0" t="n">
        <v>4416</v>
      </c>
      <c r="B4427" s="15" t="n">
        <v>0.113113758832933</v>
      </c>
      <c r="C4427" s="18" t="n">
        <f aca="false">'Black-Scholes'!$B$5*EXP(('Black-Scholes'!$B$8-'Black-Scholes'!$B$10-'Black-Scholes'!$B$9^2/2)*'Black-Scholes'!$B$7+'Black-Scholes'!$B$9*SQRT('Black-Scholes'!$B$7)*B4427)</f>
        <v>105.403193842027</v>
      </c>
      <c r="D4427" s="18" t="n">
        <f aca="false">'Black-Scholes'!$B$5*EXP(('Black-Scholes'!$B$8-'Black-Scholes'!$B$10-'Black-Scholes'!$B$9^2/2)*'Black-Scholes'!$B$7-'Black-Scholes'!$B$9*SQRT('Black-Scholes'!$B$7)*B4427)</f>
        <v>100.740452716906</v>
      </c>
      <c r="E4427" s="18" t="n">
        <f aca="false">EXP(-'Black-Scholes'!$B$8*'Black-Scholes'!$B$7)*IF(LOWER('Black-Scholes'!$B$11)="put",MAX('Black-Scholes'!$B$6-C4427,0),MAX(C4427-'Black-Scholes'!$B$6,0))</f>
        <v>5.1396769688169</v>
      </c>
      <c r="F4427" s="18" t="n">
        <f aca="false">(E4427+G4427)/2</f>
        <v>2.92200869029479</v>
      </c>
      <c r="G4427" s="18" t="n">
        <f aca="false">EXP(-'Black-Scholes'!$B$8*'Black-Scholes'!$B$7)*IF(LOWER('Black-Scholes'!$B$11)="put",MAX('Black-Scholes'!$B$6-D4427,0),MAX(D4427-'Black-Scholes'!$B$6,0))</f>
        <v>0.704340411772693</v>
      </c>
    </row>
    <row r="4428" customFormat="false" ht="15" hidden="false" customHeight="false" outlineLevel="0" collapsed="false">
      <c r="A4428" s="0" t="n">
        <v>4417</v>
      </c>
      <c r="B4428" s="15" t="n">
        <v>-0.385221665843143</v>
      </c>
      <c r="C4428" s="18" t="n">
        <f aca="false">'Black-Scholes'!$B$5*EXP(('Black-Scholes'!$B$8-'Black-Scholes'!$B$10-'Black-Scholes'!$B$9^2/2)*'Black-Scholes'!$B$7+'Black-Scholes'!$B$9*SQRT('Black-Scholes'!$B$7)*B4428)</f>
        <v>95.404510081047</v>
      </c>
      <c r="D4428" s="18" t="n">
        <f aca="false">'Black-Scholes'!$B$5*EXP(('Black-Scholes'!$B$8-'Black-Scholes'!$B$10-'Black-Scholes'!$B$9^2/2)*'Black-Scholes'!$B$7-'Black-Scholes'!$B$9*SQRT('Black-Scholes'!$B$7)*B4428)</f>
        <v>111.298359547502</v>
      </c>
      <c r="E4428" s="18" t="n">
        <f aca="false">EXP(-'Black-Scholes'!$B$8*'Black-Scholes'!$B$7)*IF(LOWER('Black-Scholes'!$B$11)="put",MAX('Black-Scholes'!$B$6-C4428,0),MAX(C4428-'Black-Scholes'!$B$6,0))</f>
        <v>0</v>
      </c>
      <c r="F4428" s="18" t="n">
        <f aca="false">(E4428+G4428)/2</f>
        <v>5.37366602508601</v>
      </c>
      <c r="G4428" s="18" t="n">
        <f aca="false">EXP(-'Black-Scholes'!$B$8*'Black-Scholes'!$B$7)*IF(LOWER('Black-Scholes'!$B$11)="put",MAX('Black-Scholes'!$B$6-D4428,0),MAX(D4428-'Black-Scholes'!$B$6,0))</f>
        <v>10.747332050172</v>
      </c>
    </row>
    <row r="4429" customFormat="false" ht="15" hidden="false" customHeight="false" outlineLevel="0" collapsed="false">
      <c r="A4429" s="0" t="n">
        <v>4418</v>
      </c>
      <c r="B4429" s="15" t="n">
        <v>1.2210630935812</v>
      </c>
      <c r="C4429" s="18" t="n">
        <f aca="false">'Black-Scholes'!$B$5*EXP(('Black-Scholes'!$B$8-'Black-Scholes'!$B$10-'Black-Scholes'!$B$9^2/2)*'Black-Scholes'!$B$7+'Black-Scholes'!$B$9*SQRT('Black-Scholes'!$B$7)*B4429)</f>
        <v>131.549447125193</v>
      </c>
      <c r="D4429" s="18" t="n">
        <f aca="false">'Black-Scholes'!$B$5*EXP(('Black-Scholes'!$B$8-'Black-Scholes'!$B$10-'Black-Scholes'!$B$9^2/2)*'Black-Scholes'!$B$7-'Black-Scholes'!$B$9*SQRT('Black-Scholes'!$B$7)*B4429)</f>
        <v>80.7176745892993</v>
      </c>
      <c r="E4429" s="18" t="n">
        <f aca="false">EXP(-'Black-Scholes'!$B$8*'Black-Scholes'!$B$7)*IF(LOWER('Black-Scholes'!$B$11)="put",MAX('Black-Scholes'!$B$6-C4429,0),MAX(C4429-'Black-Scholes'!$B$6,0))</f>
        <v>30.0107624322135</v>
      </c>
      <c r="F4429" s="18" t="n">
        <f aca="false">(E4429+G4429)/2</f>
        <v>15.0053812161067</v>
      </c>
      <c r="G4429" s="18" t="n">
        <f aca="false">EXP(-'Black-Scholes'!$B$8*'Black-Scholes'!$B$7)*IF(LOWER('Black-Scholes'!$B$11)="put",MAX('Black-Scholes'!$B$6-D4429,0),MAX(D4429-'Black-Scholes'!$B$6,0))</f>
        <v>0</v>
      </c>
    </row>
    <row r="4430" customFormat="false" ht="15" hidden="false" customHeight="false" outlineLevel="0" collapsed="false">
      <c r="A4430" s="0" t="n">
        <v>4419</v>
      </c>
      <c r="B4430" s="15" t="n">
        <v>-0.0791660050445636</v>
      </c>
      <c r="C4430" s="18" t="n">
        <f aca="false">'Black-Scholes'!$B$5*EXP(('Black-Scholes'!$B$8-'Black-Scholes'!$B$10-'Black-Scholes'!$B$9^2/2)*'Black-Scholes'!$B$7+'Black-Scholes'!$B$9*SQRT('Black-Scholes'!$B$7)*B4430)</f>
        <v>101.426762364617</v>
      </c>
      <c r="D4430" s="18" t="n">
        <f aca="false">'Black-Scholes'!$B$5*EXP(('Black-Scholes'!$B$8-'Black-Scholes'!$B$10-'Black-Scholes'!$B$9^2/2)*'Black-Scholes'!$B$7-'Black-Scholes'!$B$9*SQRT('Black-Scholes'!$B$7)*B4430)</f>
        <v>104.689977456659</v>
      </c>
      <c r="E4430" s="18" t="n">
        <f aca="false">EXP(-'Black-Scholes'!$B$8*'Black-Scholes'!$B$7)*IF(LOWER('Black-Scholes'!$B$11)="put",MAX('Black-Scholes'!$B$6-C4430,0),MAX(C4430-'Black-Scholes'!$B$6,0))</f>
        <v>1.35717834299349</v>
      </c>
      <c r="F4430" s="18" t="n">
        <f aca="false">(E4430+G4430)/2</f>
        <v>2.90921145000618</v>
      </c>
      <c r="G4430" s="18" t="n">
        <f aca="false">EXP(-'Black-Scholes'!$B$8*'Black-Scholes'!$B$7)*IF(LOWER('Black-Scholes'!$B$11)="put",MAX('Black-Scholes'!$B$6-D4430,0),MAX(D4430-'Black-Scholes'!$B$6,0))</f>
        <v>4.46124455701887</v>
      </c>
    </row>
    <row r="4431" customFormat="false" ht="15" hidden="false" customHeight="false" outlineLevel="0" collapsed="false">
      <c r="A4431" s="0" t="n">
        <v>4420</v>
      </c>
      <c r="B4431" s="15" t="n">
        <v>1.46210215410867</v>
      </c>
      <c r="C4431" s="18" t="n">
        <f aca="false">'Black-Scholes'!$B$5*EXP(('Black-Scholes'!$B$8-'Black-Scholes'!$B$10-'Black-Scholes'!$B$9^2/2)*'Black-Scholes'!$B$7+'Black-Scholes'!$B$9*SQRT('Black-Scholes'!$B$7)*B4431)</f>
        <v>138.046504402024</v>
      </c>
      <c r="D4431" s="18" t="n">
        <f aca="false">'Black-Scholes'!$B$5*EXP(('Black-Scholes'!$B$8-'Black-Scholes'!$B$10-'Black-Scholes'!$B$9^2/2)*'Black-Scholes'!$B$7-'Black-Scholes'!$B$9*SQRT('Black-Scholes'!$B$7)*B4431)</f>
        <v>76.9187565556198</v>
      </c>
      <c r="E4431" s="18" t="n">
        <f aca="false">EXP(-'Black-Scholes'!$B$8*'Black-Scholes'!$B$7)*IF(LOWER('Black-Scholes'!$B$11)="put",MAX('Black-Scholes'!$B$6-C4431,0),MAX(C4431-'Black-Scholes'!$B$6,0))</f>
        <v>36.1909544866013</v>
      </c>
      <c r="F4431" s="18" t="n">
        <f aca="false">(E4431+G4431)/2</f>
        <v>18.0954772433006</v>
      </c>
      <c r="G4431" s="18" t="n">
        <f aca="false">EXP(-'Black-Scholes'!$B$8*'Black-Scholes'!$B$7)*IF(LOWER('Black-Scholes'!$B$11)="put",MAX('Black-Scholes'!$B$6-D4431,0),MAX(D4431-'Black-Scholes'!$B$6,0))</f>
        <v>0</v>
      </c>
    </row>
    <row r="4432" customFormat="false" ht="15" hidden="false" customHeight="false" outlineLevel="0" collapsed="false">
      <c r="A4432" s="0" t="n">
        <v>4421</v>
      </c>
      <c r="B4432" s="15" t="n">
        <v>0.418597437931517</v>
      </c>
      <c r="C4432" s="18" t="n">
        <f aca="false">'Black-Scholes'!$B$5*EXP(('Black-Scholes'!$B$8-'Black-Scholes'!$B$10-'Black-Scholes'!$B$9^2/2)*'Black-Scholes'!$B$7+'Black-Scholes'!$B$9*SQRT('Black-Scholes'!$B$7)*B4432)</f>
        <v>112.043778409075</v>
      </c>
      <c r="D4432" s="18" t="n">
        <f aca="false">'Black-Scholes'!$B$5*EXP(('Black-Scholes'!$B$8-'Black-Scholes'!$B$10-'Black-Scholes'!$B$9^2/2)*'Black-Scholes'!$B$7-'Black-Scholes'!$B$9*SQRT('Black-Scholes'!$B$7)*B4432)</f>
        <v>94.7697910247689</v>
      </c>
      <c r="E4432" s="18" t="n">
        <f aca="false">EXP(-'Black-Scholes'!$B$8*'Black-Scholes'!$B$7)*IF(LOWER('Black-Scholes'!$B$11)="put",MAX('Black-Scholes'!$B$6-C4432,0),MAX(C4432-'Black-Scholes'!$B$6,0))</f>
        <v>11.456396404879</v>
      </c>
      <c r="F4432" s="18" t="n">
        <f aca="false">(E4432+G4432)/2</f>
        <v>5.7281982024395</v>
      </c>
      <c r="G4432" s="18" t="n">
        <f aca="false">EXP(-'Black-Scholes'!$B$8*'Black-Scholes'!$B$7)*IF(LOWER('Black-Scholes'!$B$11)="put",MAX('Black-Scholes'!$B$6-D4432,0),MAX(D4432-'Black-Scholes'!$B$6,0))</f>
        <v>0</v>
      </c>
    </row>
    <row r="4433" customFormat="false" ht="15" hidden="false" customHeight="false" outlineLevel="0" collapsed="false">
      <c r="A4433" s="0" t="n">
        <v>4422</v>
      </c>
      <c r="B4433" s="15" t="n">
        <v>-0.630710190723282</v>
      </c>
      <c r="C4433" s="18" t="n">
        <f aca="false">'Black-Scholes'!$B$5*EXP(('Black-Scholes'!$B$8-'Black-Scholes'!$B$10-'Black-Scholes'!$B$9^2/2)*'Black-Scholes'!$B$7+'Black-Scholes'!$B$9*SQRT('Black-Scholes'!$B$7)*B4433)</f>
        <v>90.8334988688998</v>
      </c>
      <c r="D4433" s="18" t="n">
        <f aca="false">'Black-Scholes'!$B$5*EXP(('Black-Scholes'!$B$8-'Black-Scholes'!$B$10-'Black-Scholes'!$B$9^2/2)*'Black-Scholes'!$B$7-'Black-Scholes'!$B$9*SQRT('Black-Scholes'!$B$7)*B4433)</f>
        <v>116.899223278618</v>
      </c>
      <c r="E4433" s="18" t="n">
        <f aca="false">EXP(-'Black-Scholes'!$B$8*'Black-Scholes'!$B$7)*IF(LOWER('Black-Scholes'!$B$11)="put",MAX('Black-Scholes'!$B$6-C4433,0),MAX(C4433-'Black-Scholes'!$B$6,0))</f>
        <v>0</v>
      </c>
      <c r="F4433" s="18" t="n">
        <f aca="false">(E4433+G4433)/2</f>
        <v>8.03751921691432</v>
      </c>
      <c r="G4433" s="18" t="n">
        <f aca="false">EXP(-'Black-Scholes'!$B$8*'Black-Scholes'!$B$7)*IF(LOWER('Black-Scholes'!$B$11)="put",MAX('Black-Scholes'!$B$6-D4433,0),MAX(D4433-'Black-Scholes'!$B$6,0))</f>
        <v>16.0750384338287</v>
      </c>
    </row>
    <row r="4434" customFormat="false" ht="15" hidden="false" customHeight="false" outlineLevel="0" collapsed="false">
      <c r="A4434" s="0" t="n">
        <v>4423</v>
      </c>
      <c r="B4434" s="15" t="n">
        <v>0.275152838786588</v>
      </c>
      <c r="C4434" s="18" t="n">
        <f aca="false">'Black-Scholes'!$B$5*EXP(('Black-Scholes'!$B$8-'Black-Scholes'!$B$10-'Black-Scholes'!$B$9^2/2)*'Black-Scholes'!$B$7+'Black-Scholes'!$B$9*SQRT('Black-Scholes'!$B$7)*B4434)</f>
        <v>108.875034684613</v>
      </c>
      <c r="D4434" s="18" t="n">
        <f aca="false">'Black-Scholes'!$B$5*EXP(('Black-Scholes'!$B$8-'Black-Scholes'!$B$10-'Black-Scholes'!$B$9^2/2)*'Black-Scholes'!$B$7-'Black-Scholes'!$B$9*SQRT('Black-Scholes'!$B$7)*B4434)</f>
        <v>97.5280099447286</v>
      </c>
      <c r="E4434" s="18" t="n">
        <f aca="false">EXP(-'Black-Scholes'!$B$8*'Black-Scholes'!$B$7)*IF(LOWER('Black-Scholes'!$B$11)="put",MAX('Black-Scholes'!$B$6-C4434,0),MAX(C4434-'Black-Scholes'!$B$6,0))</f>
        <v>8.44219413546815</v>
      </c>
      <c r="F4434" s="18" t="n">
        <f aca="false">(E4434+G4434)/2</f>
        <v>4.22109706773408</v>
      </c>
      <c r="G4434" s="18" t="n">
        <f aca="false">EXP(-'Black-Scholes'!$B$8*'Black-Scholes'!$B$7)*IF(LOWER('Black-Scholes'!$B$11)="put",MAX('Black-Scholes'!$B$6-D4434,0),MAX(D4434-'Black-Scholes'!$B$6,0))</f>
        <v>0</v>
      </c>
    </row>
    <row r="4435" customFormat="false" ht="15" hidden="false" customHeight="false" outlineLevel="0" collapsed="false">
      <c r="A4435" s="0" t="n">
        <v>4424</v>
      </c>
      <c r="B4435" s="15" t="n">
        <v>0.0907725340213116</v>
      </c>
      <c r="C4435" s="18" t="n">
        <f aca="false">'Black-Scholes'!$B$5*EXP(('Black-Scholes'!$B$8-'Black-Scholes'!$B$10-'Black-Scholes'!$B$9^2/2)*'Black-Scholes'!$B$7+'Black-Scholes'!$B$9*SQRT('Black-Scholes'!$B$7)*B4435)</f>
        <v>104.933277185328</v>
      </c>
      <c r="D4435" s="18" t="n">
        <f aca="false">'Black-Scholes'!$B$5*EXP(('Black-Scholes'!$B$8-'Black-Scholes'!$B$10-'Black-Scholes'!$B$9^2/2)*'Black-Scholes'!$B$7-'Black-Scholes'!$B$9*SQRT('Black-Scholes'!$B$7)*B4435)</f>
        <v>101.191592889069</v>
      </c>
      <c r="E4435" s="18" t="n">
        <f aca="false">EXP(-'Black-Scholes'!$B$8*'Black-Scholes'!$B$7)*IF(LOWER('Black-Scholes'!$B$11)="put",MAX('Black-Scholes'!$B$6-C4435,0),MAX(C4435-'Black-Scholes'!$B$6,0))</f>
        <v>4.69267841790219</v>
      </c>
      <c r="F4435" s="18" t="n">
        <f aca="false">(E4435+G4435)/2</f>
        <v>2.9130783180054</v>
      </c>
      <c r="G4435" s="18" t="n">
        <f aca="false">EXP(-'Black-Scholes'!$B$8*'Black-Scholes'!$B$7)*IF(LOWER('Black-Scholes'!$B$11)="put",MAX('Black-Scholes'!$B$6-D4435,0),MAX(D4435-'Black-Scholes'!$B$6,0))</f>
        <v>1.13347821810861</v>
      </c>
    </row>
    <row r="4436" customFormat="false" ht="15" hidden="false" customHeight="false" outlineLevel="0" collapsed="false">
      <c r="A4436" s="0" t="n">
        <v>4425</v>
      </c>
      <c r="B4436" s="15" t="n">
        <v>-1.70490236908795</v>
      </c>
      <c r="C4436" s="18" t="n">
        <f aca="false">'Black-Scholes'!$B$5*EXP(('Black-Scholes'!$B$8-'Black-Scholes'!$B$10-'Black-Scholes'!$B$9^2/2)*'Black-Scholes'!$B$7+'Black-Scholes'!$B$9*SQRT('Black-Scholes'!$B$7)*B4436)</f>
        <v>73.272818311381</v>
      </c>
      <c r="D4436" s="18" t="n">
        <f aca="false">'Black-Scholes'!$B$5*EXP(('Black-Scholes'!$B$8-'Black-Scholes'!$B$10-'Black-Scholes'!$B$9^2/2)*'Black-Scholes'!$B$7-'Black-Scholes'!$B$9*SQRT('Black-Scholes'!$B$7)*B4436)</f>
        <v>144.915477664987</v>
      </c>
      <c r="E4436" s="18" t="n">
        <f aca="false">EXP(-'Black-Scholes'!$B$8*'Black-Scholes'!$B$7)*IF(LOWER('Black-Scholes'!$B$11)="put",MAX('Black-Scholes'!$B$6-C4436,0),MAX(C4436-'Black-Scholes'!$B$6,0))</f>
        <v>0</v>
      </c>
      <c r="F4436" s="18" t="n">
        <f aca="false">(E4436+G4436)/2</f>
        <v>21.3624619852202</v>
      </c>
      <c r="G4436" s="18" t="n">
        <f aca="false">EXP(-'Black-Scholes'!$B$8*'Black-Scholes'!$B$7)*IF(LOWER('Black-Scholes'!$B$11)="put",MAX('Black-Scholes'!$B$6-D4436,0),MAX(D4436-'Black-Scholes'!$B$6,0))</f>
        <v>42.7249239704404</v>
      </c>
    </row>
    <row r="4437" customFormat="false" ht="15" hidden="false" customHeight="false" outlineLevel="0" collapsed="false">
      <c r="A4437" s="0" t="n">
        <v>4426</v>
      </c>
      <c r="B4437" s="15" t="n">
        <v>-0.840439310942072</v>
      </c>
      <c r="C4437" s="18" t="n">
        <f aca="false">'Black-Scholes'!$B$5*EXP(('Black-Scholes'!$B$8-'Black-Scholes'!$B$10-'Black-Scholes'!$B$9^2/2)*'Black-Scholes'!$B$7+'Black-Scholes'!$B$9*SQRT('Black-Scholes'!$B$7)*B4437)</f>
        <v>87.1022158470657</v>
      </c>
      <c r="D4437" s="18" t="n">
        <f aca="false">'Black-Scholes'!$B$5*EXP(('Black-Scholes'!$B$8-'Black-Scholes'!$B$10-'Black-Scholes'!$B$9^2/2)*'Black-Scholes'!$B$7-'Black-Scholes'!$B$9*SQRT('Black-Scholes'!$B$7)*B4437)</f>
        <v>121.906949923035</v>
      </c>
      <c r="E4437" s="18" t="n">
        <f aca="false">EXP(-'Black-Scholes'!$B$8*'Black-Scholes'!$B$7)*IF(LOWER('Black-Scholes'!$B$11)="put",MAX('Black-Scholes'!$B$6-C4437,0),MAX(C4437-'Black-Scholes'!$B$6,0))</f>
        <v>0</v>
      </c>
      <c r="F4437" s="18" t="n">
        <f aca="false">(E4437+G4437)/2</f>
        <v>10.4192676839272</v>
      </c>
      <c r="G4437" s="18" t="n">
        <f aca="false">EXP(-'Black-Scholes'!$B$8*'Black-Scholes'!$B$7)*IF(LOWER('Black-Scholes'!$B$11)="put",MAX('Black-Scholes'!$B$6-D4437,0),MAX(D4437-'Black-Scholes'!$B$6,0))</f>
        <v>20.8385353678543</v>
      </c>
    </row>
    <row r="4438" customFormat="false" ht="15" hidden="false" customHeight="false" outlineLevel="0" collapsed="false">
      <c r="A4438" s="0" t="n">
        <v>4427</v>
      </c>
      <c r="B4438" s="15" t="n">
        <v>-0.843554802145465</v>
      </c>
      <c r="C4438" s="18" t="n">
        <f aca="false">'Black-Scholes'!$B$5*EXP(('Black-Scholes'!$B$8-'Black-Scholes'!$B$10-'Black-Scholes'!$B$9^2/2)*'Black-Scholes'!$B$7+'Black-Scholes'!$B$9*SQRT('Black-Scholes'!$B$7)*B4438)</f>
        <v>87.0479595148801</v>
      </c>
      <c r="D4438" s="18" t="n">
        <f aca="false">'Black-Scholes'!$B$5*EXP(('Black-Scholes'!$B$8-'Black-Scholes'!$B$10-'Black-Scholes'!$B$9^2/2)*'Black-Scholes'!$B$7-'Black-Scholes'!$B$9*SQRT('Black-Scholes'!$B$7)*B4438)</f>
        <v>121.982933599247</v>
      </c>
      <c r="E4438" s="18" t="n">
        <f aca="false">EXP(-'Black-Scholes'!$B$8*'Black-Scholes'!$B$7)*IF(LOWER('Black-Scholes'!$B$11)="put",MAX('Black-Scholes'!$B$6-C4438,0),MAX(C4438-'Black-Scholes'!$B$6,0))</f>
        <v>0</v>
      </c>
      <c r="F4438" s="18" t="n">
        <f aca="false">(E4438+G4438)/2</f>
        <v>10.4554066382248</v>
      </c>
      <c r="G4438" s="18" t="n">
        <f aca="false">EXP(-'Black-Scholes'!$B$8*'Black-Scholes'!$B$7)*IF(LOWER('Black-Scholes'!$B$11)="put",MAX('Black-Scholes'!$B$6-D4438,0),MAX(D4438-'Black-Scholes'!$B$6,0))</f>
        <v>20.9108132764495</v>
      </c>
    </row>
    <row r="4439" customFormat="false" ht="15" hidden="false" customHeight="false" outlineLevel="0" collapsed="false">
      <c r="A4439" s="0" t="n">
        <v>4428</v>
      </c>
      <c r="B4439" s="15" t="n">
        <v>-2.11121256703636</v>
      </c>
      <c r="C4439" s="18" t="n">
        <f aca="false">'Black-Scholes'!$B$5*EXP(('Black-Scholes'!$B$8-'Black-Scholes'!$B$10-'Black-Scholes'!$B$9^2/2)*'Black-Scholes'!$B$7+'Black-Scholes'!$B$9*SQRT('Black-Scholes'!$B$7)*B4439)</f>
        <v>67.5540266522046</v>
      </c>
      <c r="D4439" s="18" t="n">
        <f aca="false">'Black-Scholes'!$B$5*EXP(('Black-Scholes'!$B$8-'Black-Scholes'!$B$10-'Black-Scholes'!$B$9^2/2)*'Black-Scholes'!$B$7-'Black-Scholes'!$B$9*SQRT('Black-Scholes'!$B$7)*B4439)</f>
        <v>157.183309295851</v>
      </c>
      <c r="E4439" s="18" t="n">
        <f aca="false">EXP(-'Black-Scholes'!$B$8*'Black-Scholes'!$B$7)*IF(LOWER('Black-Scholes'!$B$11)="put",MAX('Black-Scholes'!$B$6-C4439,0),MAX(C4439-'Black-Scholes'!$B$6,0))</f>
        <v>0</v>
      </c>
      <c r="F4439" s="18" t="n">
        <f aca="false">(E4439+G4439)/2</f>
        <v>27.1972231962691</v>
      </c>
      <c r="G4439" s="18" t="n">
        <f aca="false">EXP(-'Black-Scholes'!$B$8*'Black-Scholes'!$B$7)*IF(LOWER('Black-Scholes'!$B$11)="put",MAX('Black-Scholes'!$B$6-D4439,0),MAX(D4439-'Black-Scholes'!$B$6,0))</f>
        <v>54.3944463925382</v>
      </c>
    </row>
    <row r="4440" customFormat="false" ht="15" hidden="false" customHeight="false" outlineLevel="0" collapsed="false">
      <c r="A4440" s="0" t="n">
        <v>4429</v>
      </c>
      <c r="B4440" s="15" t="n">
        <v>0.399812882079726</v>
      </c>
      <c r="C4440" s="18" t="n">
        <f aca="false">'Black-Scholes'!$B$5*EXP(('Black-Scholes'!$B$8-'Black-Scholes'!$B$10-'Black-Scholes'!$B$9^2/2)*'Black-Scholes'!$B$7+'Black-Scholes'!$B$9*SQRT('Black-Scholes'!$B$7)*B4440)</f>
        <v>111.623629611435</v>
      </c>
      <c r="D4440" s="18" t="n">
        <f aca="false">'Black-Scholes'!$B$5*EXP(('Black-Scholes'!$B$8-'Black-Scholes'!$B$10-'Black-Scholes'!$B$9^2/2)*'Black-Scholes'!$B$7-'Black-Scholes'!$B$9*SQRT('Black-Scholes'!$B$7)*B4440)</f>
        <v>95.1265023581156</v>
      </c>
      <c r="E4440" s="18" t="n">
        <f aca="false">EXP(-'Black-Scholes'!$B$8*'Black-Scholes'!$B$7)*IF(LOWER('Black-Scholes'!$B$11)="put",MAX('Black-Scholes'!$B$6-C4440,0),MAX(C4440-'Black-Scholes'!$B$6,0))</f>
        <v>11.0567385058948</v>
      </c>
      <c r="F4440" s="18" t="n">
        <f aca="false">(E4440+G4440)/2</f>
        <v>5.52836925294742</v>
      </c>
      <c r="G4440" s="18" t="n">
        <f aca="false">EXP(-'Black-Scholes'!$B$8*'Black-Scholes'!$B$7)*IF(LOWER('Black-Scholes'!$B$11)="put",MAX('Black-Scholes'!$B$6-D4440,0),MAX(D4440-'Black-Scholes'!$B$6,0))</f>
        <v>0</v>
      </c>
    </row>
    <row r="4441" customFormat="false" ht="15" hidden="false" customHeight="false" outlineLevel="0" collapsed="false">
      <c r="A4441" s="0" t="n">
        <v>4430</v>
      </c>
      <c r="B4441" s="15" t="n">
        <v>-0.265653697885118</v>
      </c>
      <c r="C4441" s="18" t="n">
        <f aca="false">'Black-Scholes'!$B$5*EXP(('Black-Scholes'!$B$8-'Black-Scholes'!$B$10-'Black-Scholes'!$B$9^2/2)*'Black-Scholes'!$B$7+'Black-Scholes'!$B$9*SQRT('Black-Scholes'!$B$7)*B4441)</f>
        <v>97.7134725241238</v>
      </c>
      <c r="D4441" s="18" t="n">
        <f aca="false">'Black-Scholes'!$B$5*EXP(('Black-Scholes'!$B$8-'Black-Scholes'!$B$10-'Black-Scholes'!$B$9^2/2)*'Black-Scholes'!$B$7-'Black-Scholes'!$B$9*SQRT('Black-Scholes'!$B$7)*B4441)</f>
        <v>108.668387185115</v>
      </c>
      <c r="E4441" s="18" t="n">
        <f aca="false">EXP(-'Black-Scholes'!$B$8*'Black-Scholes'!$B$7)*IF(LOWER('Black-Scholes'!$B$11)="put",MAX('Black-Scholes'!$B$6-C4441,0),MAX(C4441-'Black-Scholes'!$B$6,0))</f>
        <v>0</v>
      </c>
      <c r="F4441" s="18" t="n">
        <f aca="false">(E4441+G4441)/2</f>
        <v>4.12281247672324</v>
      </c>
      <c r="G4441" s="18" t="n">
        <f aca="false">EXP(-'Black-Scholes'!$B$8*'Black-Scholes'!$B$7)*IF(LOWER('Black-Scholes'!$B$11)="put",MAX('Black-Scholes'!$B$6-D4441,0),MAX(D4441-'Black-Scholes'!$B$6,0))</f>
        <v>8.24562495344648</v>
      </c>
    </row>
    <row r="4442" customFormat="false" ht="15" hidden="false" customHeight="false" outlineLevel="0" collapsed="false">
      <c r="A4442" s="0" t="n">
        <v>4431</v>
      </c>
      <c r="B4442" s="15" t="n">
        <v>0.208187490729704</v>
      </c>
      <c r="C4442" s="18" t="n">
        <f aca="false">'Black-Scholes'!$B$5*EXP(('Black-Scholes'!$B$8-'Black-Scholes'!$B$10-'Black-Scholes'!$B$9^2/2)*'Black-Scholes'!$B$7+'Black-Scholes'!$B$9*SQRT('Black-Scholes'!$B$7)*B4442)</f>
        <v>107.426585010952</v>
      </c>
      <c r="D4442" s="18" t="n">
        <f aca="false">'Black-Scholes'!$B$5*EXP(('Black-Scholes'!$B$8-'Black-Scholes'!$B$10-'Black-Scholes'!$B$9^2/2)*'Black-Scholes'!$B$7-'Black-Scholes'!$B$9*SQRT('Black-Scholes'!$B$7)*B4442)</f>
        <v>98.8429955617695</v>
      </c>
      <c r="E4442" s="18" t="n">
        <f aca="false">EXP(-'Black-Scholes'!$B$8*'Black-Scholes'!$B$7)*IF(LOWER('Black-Scholes'!$B$11)="put",MAX('Black-Scholes'!$B$6-C4442,0),MAX(C4442-'Black-Scholes'!$B$6,0))</f>
        <v>7.06438618597362</v>
      </c>
      <c r="F4442" s="18" t="n">
        <f aca="false">(E4442+G4442)/2</f>
        <v>3.53219309298681</v>
      </c>
      <c r="G4442" s="18" t="n">
        <f aca="false">EXP(-'Black-Scholes'!$B$8*'Black-Scholes'!$B$7)*IF(LOWER('Black-Scholes'!$B$11)="put",MAX('Black-Scholes'!$B$6-D4442,0),MAX(D4442-'Black-Scholes'!$B$6,0))</f>
        <v>0</v>
      </c>
    </row>
    <row r="4443" customFormat="false" ht="15" hidden="false" customHeight="false" outlineLevel="0" collapsed="false">
      <c r="A4443" s="0" t="n">
        <v>4432</v>
      </c>
      <c r="B4443" s="15" t="n">
        <v>0.965060930322241</v>
      </c>
      <c r="C4443" s="18" t="n">
        <f aca="false">'Black-Scholes'!$B$5*EXP(('Black-Scholes'!$B$8-'Black-Scholes'!$B$10-'Black-Scholes'!$B$9^2/2)*'Black-Scholes'!$B$7+'Black-Scholes'!$B$9*SQRT('Black-Scholes'!$B$7)*B4443)</f>
        <v>124.983580422284</v>
      </c>
      <c r="D4443" s="18" t="n">
        <f aca="false">'Black-Scholes'!$B$5*EXP(('Black-Scholes'!$B$8-'Black-Scholes'!$B$10-'Black-Scholes'!$B$9^2/2)*'Black-Scholes'!$B$7-'Black-Scholes'!$B$9*SQRT('Black-Scholes'!$B$7)*B4443)</f>
        <v>84.9580835304696</v>
      </c>
      <c r="E4443" s="18" t="n">
        <f aca="false">EXP(-'Black-Scholes'!$B$8*'Black-Scholes'!$B$7)*IF(LOWER('Black-Scholes'!$B$11)="put",MAX('Black-Scholes'!$B$6-C4443,0),MAX(C4443-'Black-Scholes'!$B$6,0))</f>
        <v>23.7651168270569</v>
      </c>
      <c r="F4443" s="18" t="n">
        <f aca="false">(E4443+G4443)/2</f>
        <v>11.8825584135284</v>
      </c>
      <c r="G4443" s="18" t="n">
        <f aca="false">EXP(-'Black-Scholes'!$B$8*'Black-Scholes'!$B$7)*IF(LOWER('Black-Scholes'!$B$11)="put",MAX('Black-Scholes'!$B$6-D4443,0),MAX(D4443-'Black-Scholes'!$B$6,0))</f>
        <v>0</v>
      </c>
    </row>
    <row r="4444" customFormat="false" ht="15" hidden="false" customHeight="false" outlineLevel="0" collapsed="false">
      <c r="A4444" s="0" t="n">
        <v>4433</v>
      </c>
      <c r="B4444" s="15" t="n">
        <v>0.460354214371739</v>
      </c>
      <c r="C4444" s="18" t="n">
        <f aca="false">'Black-Scholes'!$B$5*EXP(('Black-Scholes'!$B$8-'Black-Scholes'!$B$10-'Black-Scholes'!$B$9^2/2)*'Black-Scholes'!$B$7+'Black-Scholes'!$B$9*SQRT('Black-Scholes'!$B$7)*B4444)</f>
        <v>112.983413964322</v>
      </c>
      <c r="D4444" s="18" t="n">
        <f aca="false">'Black-Scholes'!$B$5*EXP(('Black-Scholes'!$B$8-'Black-Scholes'!$B$10-'Black-Scholes'!$B$9^2/2)*'Black-Scholes'!$B$7-'Black-Scholes'!$B$9*SQRT('Black-Scholes'!$B$7)*B4444)</f>
        <v>93.9816305144284</v>
      </c>
      <c r="E4444" s="18" t="n">
        <f aca="false">EXP(-'Black-Scholes'!$B$8*'Black-Scholes'!$B$7)*IF(LOWER('Black-Scholes'!$B$11)="put",MAX('Black-Scholes'!$B$6-C4444,0),MAX(C4444-'Black-Scholes'!$B$6,0))</f>
        <v>12.3502053933363</v>
      </c>
      <c r="F4444" s="18" t="n">
        <f aca="false">(E4444+G4444)/2</f>
        <v>6.17510269666817</v>
      </c>
      <c r="G4444" s="18" t="n">
        <f aca="false">EXP(-'Black-Scholes'!$B$8*'Black-Scholes'!$B$7)*IF(LOWER('Black-Scholes'!$B$11)="put",MAX('Black-Scholes'!$B$6-D4444,0),MAX(D4444-'Black-Scholes'!$B$6,0))</f>
        <v>0</v>
      </c>
    </row>
    <row r="4445" customFormat="false" ht="15" hidden="false" customHeight="false" outlineLevel="0" collapsed="false">
      <c r="A4445" s="0" t="n">
        <v>4434</v>
      </c>
      <c r="B4445" s="15" t="n">
        <v>1.04798260324002</v>
      </c>
      <c r="C4445" s="18" t="n">
        <f aca="false">'Black-Scholes'!$B$5*EXP(('Black-Scholes'!$B$8-'Black-Scholes'!$B$10-'Black-Scholes'!$B$9^2/2)*'Black-Scholes'!$B$7+'Black-Scholes'!$B$9*SQRT('Black-Scholes'!$B$7)*B4445)</f>
        <v>127.073633100097</v>
      </c>
      <c r="D4445" s="18" t="n">
        <f aca="false">'Black-Scholes'!$B$5*EXP(('Black-Scholes'!$B$8-'Black-Scholes'!$B$10-'Black-Scholes'!$B$9^2/2)*'Black-Scholes'!$B$7-'Black-Scholes'!$B$9*SQRT('Black-Scholes'!$B$7)*B4445)</f>
        <v>83.5607293693211</v>
      </c>
      <c r="E4445" s="18" t="n">
        <f aca="false">EXP(-'Black-Scholes'!$B$8*'Black-Scholes'!$B$7)*IF(LOWER('Black-Scholes'!$B$11)="put",MAX('Black-Scholes'!$B$6-C4445,0),MAX(C4445-'Black-Scholes'!$B$6,0))</f>
        <v>25.7532364329487</v>
      </c>
      <c r="F4445" s="18" t="n">
        <f aca="false">(E4445+G4445)/2</f>
        <v>12.8766182164743</v>
      </c>
      <c r="G4445" s="18" t="n">
        <f aca="false">EXP(-'Black-Scholes'!$B$8*'Black-Scholes'!$B$7)*IF(LOWER('Black-Scholes'!$B$11)="put",MAX('Black-Scholes'!$B$6-D4445,0),MAX(D4445-'Black-Scholes'!$B$6,0))</f>
        <v>0</v>
      </c>
    </row>
    <row r="4446" customFormat="false" ht="15" hidden="false" customHeight="false" outlineLevel="0" collapsed="false">
      <c r="A4446" s="0" t="n">
        <v>4435</v>
      </c>
      <c r="B4446" s="15" t="n">
        <v>-2.28762413564717</v>
      </c>
      <c r="C4446" s="18" t="n">
        <f aca="false">'Black-Scholes'!$B$5*EXP(('Black-Scholes'!$B$8-'Black-Scholes'!$B$10-'Black-Scholes'!$B$9^2/2)*'Black-Scholes'!$B$7+'Black-Scholes'!$B$9*SQRT('Black-Scholes'!$B$7)*B4446)</f>
        <v>65.2121211497434</v>
      </c>
      <c r="D4446" s="18" t="n">
        <f aca="false">'Black-Scholes'!$B$5*EXP(('Black-Scholes'!$B$8-'Black-Scholes'!$B$10-'Black-Scholes'!$B$9^2/2)*'Black-Scholes'!$B$7-'Black-Scholes'!$B$9*SQRT('Black-Scholes'!$B$7)*B4446)</f>
        <v>162.828095118562</v>
      </c>
      <c r="E4446" s="18" t="n">
        <f aca="false">EXP(-'Black-Scholes'!$B$8*'Black-Scholes'!$B$7)*IF(LOWER('Black-Scholes'!$B$11)="put",MAX('Black-Scholes'!$B$6-C4446,0),MAX(C4446-'Black-Scholes'!$B$6,0))</f>
        <v>0</v>
      </c>
      <c r="F4446" s="18" t="n">
        <f aca="false">(E4446+G4446)/2</f>
        <v>29.8819663810528</v>
      </c>
      <c r="G4446" s="18" t="n">
        <f aca="false">EXP(-'Black-Scholes'!$B$8*'Black-Scholes'!$B$7)*IF(LOWER('Black-Scholes'!$B$11)="put",MAX('Black-Scholes'!$B$6-D4446,0),MAX(D4446-'Black-Scholes'!$B$6,0))</f>
        <v>59.7639327621056</v>
      </c>
    </row>
    <row r="4447" customFormat="false" ht="15" hidden="false" customHeight="false" outlineLevel="0" collapsed="false">
      <c r="A4447" s="0" t="n">
        <v>4436</v>
      </c>
      <c r="B4447" s="15" t="n">
        <v>2.58466645154843</v>
      </c>
      <c r="C4447" s="18" t="n">
        <f aca="false">'Black-Scholes'!$B$5*EXP(('Black-Scholes'!$B$8-'Black-Scholes'!$B$10-'Black-Scholes'!$B$9^2/2)*'Black-Scholes'!$B$7+'Black-Scholes'!$B$9*SQRT('Black-Scholes'!$B$7)*B4447)</f>
        <v>172.794577608606</v>
      </c>
      <c r="D4447" s="18" t="n">
        <f aca="false">'Black-Scholes'!$B$5*EXP(('Black-Scholes'!$B$8-'Black-Scholes'!$B$10-'Black-Scholes'!$B$9^2/2)*'Black-Scholes'!$B$7-'Black-Scholes'!$B$9*SQRT('Black-Scholes'!$B$7)*B4447)</f>
        <v>61.4508025217382</v>
      </c>
      <c r="E4447" s="18" t="n">
        <f aca="false">EXP(-'Black-Scholes'!$B$8*'Black-Scholes'!$B$7)*IF(LOWER('Black-Scholes'!$B$11)="put",MAX('Black-Scholes'!$B$6-C4447,0),MAX(C4447-'Black-Scholes'!$B$6,0))</f>
        <v>69.2443441654066</v>
      </c>
      <c r="F4447" s="18" t="n">
        <f aca="false">(E4447+G4447)/2</f>
        <v>34.6221720827033</v>
      </c>
      <c r="G4447" s="18" t="n">
        <f aca="false">EXP(-'Black-Scholes'!$B$8*'Black-Scholes'!$B$7)*IF(LOWER('Black-Scholes'!$B$11)="put",MAX('Black-Scholes'!$B$6-D4447,0),MAX(D4447-'Black-Scholes'!$B$6,0))</f>
        <v>0</v>
      </c>
    </row>
    <row r="4448" customFormat="false" ht="15" hidden="false" customHeight="false" outlineLevel="0" collapsed="false">
      <c r="A4448" s="0" t="n">
        <v>4437</v>
      </c>
      <c r="B4448" s="15" t="n">
        <v>-0.23478539573444</v>
      </c>
      <c r="C4448" s="18" t="n">
        <f aca="false">'Black-Scholes'!$B$5*EXP(('Black-Scholes'!$B$8-'Black-Scholes'!$B$10-'Black-Scholes'!$B$9^2/2)*'Black-Scholes'!$B$7+'Black-Scholes'!$B$9*SQRT('Black-Scholes'!$B$7)*B4448)</f>
        <v>98.3185882906172</v>
      </c>
      <c r="D4448" s="18" t="n">
        <f aca="false">'Black-Scholes'!$B$5*EXP(('Black-Scholes'!$B$8-'Black-Scholes'!$B$10-'Black-Scholes'!$B$9^2/2)*'Black-Scholes'!$B$7-'Black-Scholes'!$B$9*SQRT('Black-Scholes'!$B$7)*B4448)</f>
        <v>107.99957210601</v>
      </c>
      <c r="E4448" s="18" t="n">
        <f aca="false">EXP(-'Black-Scholes'!$B$8*'Black-Scholes'!$B$7)*IF(LOWER('Black-Scholes'!$B$11)="put",MAX('Black-Scholes'!$B$6-C4448,0),MAX(C4448-'Black-Scholes'!$B$6,0))</f>
        <v>0</v>
      </c>
      <c r="F4448" s="18" t="n">
        <f aca="false">(E4448+G4448)/2</f>
        <v>3.80471418532578</v>
      </c>
      <c r="G4448" s="18" t="n">
        <f aca="false">EXP(-'Black-Scholes'!$B$8*'Black-Scholes'!$B$7)*IF(LOWER('Black-Scholes'!$B$11)="put",MAX('Black-Scholes'!$B$6-D4448,0),MAX(D4448-'Black-Scholes'!$B$6,0))</f>
        <v>7.60942837065157</v>
      </c>
    </row>
    <row r="4449" customFormat="false" ht="15" hidden="false" customHeight="false" outlineLevel="0" collapsed="false">
      <c r="A4449" s="0" t="n">
        <v>4438</v>
      </c>
      <c r="B4449" s="15" t="n">
        <v>2.06823692584593</v>
      </c>
      <c r="C4449" s="18" t="n">
        <f aca="false">'Black-Scholes'!$B$5*EXP(('Black-Scholes'!$B$8-'Black-Scholes'!$B$10-'Black-Scholes'!$B$9^2/2)*'Black-Scholes'!$B$7+'Black-Scholes'!$B$9*SQRT('Black-Scholes'!$B$7)*B4449)</f>
        <v>155.838088051763</v>
      </c>
      <c r="D4449" s="18" t="n">
        <f aca="false">'Black-Scholes'!$B$5*EXP(('Black-Scholes'!$B$8-'Black-Scholes'!$B$10-'Black-Scholes'!$B$9^2/2)*'Black-Scholes'!$B$7-'Black-Scholes'!$B$9*SQRT('Black-Scholes'!$B$7)*B4449)</f>
        <v>68.1371646572476</v>
      </c>
      <c r="E4449" s="18" t="n">
        <f aca="false">EXP(-'Black-Scholes'!$B$8*'Black-Scholes'!$B$7)*IF(LOWER('Black-Scholes'!$B$11)="put",MAX('Black-Scholes'!$B$6-C4449,0),MAX(C4449-'Black-Scholes'!$B$6,0))</f>
        <v>53.1148323626983</v>
      </c>
      <c r="F4449" s="18" t="n">
        <f aca="false">(E4449+G4449)/2</f>
        <v>26.5574161813492</v>
      </c>
      <c r="G4449" s="18" t="n">
        <f aca="false">EXP(-'Black-Scholes'!$B$8*'Black-Scholes'!$B$7)*IF(LOWER('Black-Scholes'!$B$11)="put",MAX('Black-Scholes'!$B$6-D4449,0),MAX(D4449-'Black-Scholes'!$B$6,0))</f>
        <v>0</v>
      </c>
    </row>
    <row r="4450" customFormat="false" ht="15" hidden="false" customHeight="false" outlineLevel="0" collapsed="false">
      <c r="A4450" s="0" t="n">
        <v>4439</v>
      </c>
      <c r="B4450" s="15" t="n">
        <v>-0.411131370748327</v>
      </c>
      <c r="C4450" s="18" t="n">
        <f aca="false">'Black-Scholes'!$B$5*EXP(('Black-Scholes'!$B$8-'Black-Scholes'!$B$10-'Black-Scholes'!$B$9^2/2)*'Black-Scholes'!$B$7+'Black-Scholes'!$B$9*SQRT('Black-Scholes'!$B$7)*B4450)</f>
        <v>94.9114082561774</v>
      </c>
      <c r="D4450" s="18" t="n">
        <f aca="false">'Black-Scholes'!$B$5*EXP(('Black-Scholes'!$B$8-'Black-Scholes'!$B$10-'Black-Scholes'!$B$9^2/2)*'Black-Scholes'!$B$7-'Black-Scholes'!$B$9*SQRT('Black-Scholes'!$B$7)*B4450)</f>
        <v>111.876597982756</v>
      </c>
      <c r="E4450" s="18" t="n">
        <f aca="false">EXP(-'Black-Scholes'!$B$8*'Black-Scholes'!$B$7)*IF(LOWER('Black-Scholes'!$B$11)="put",MAX('Black-Scholes'!$B$6-C4450,0),MAX(C4450-'Black-Scholes'!$B$6,0))</f>
        <v>0</v>
      </c>
      <c r="F4450" s="18" t="n">
        <f aca="false">(E4450+G4450)/2</f>
        <v>5.64868473208173</v>
      </c>
      <c r="G4450" s="18" t="n">
        <f aca="false">EXP(-'Black-Scholes'!$B$8*'Black-Scholes'!$B$7)*IF(LOWER('Black-Scholes'!$B$11)="put",MAX('Black-Scholes'!$B$6-D4450,0),MAX(D4450-'Black-Scholes'!$B$6,0))</f>
        <v>11.2973694641635</v>
      </c>
    </row>
    <row r="4451" customFormat="false" ht="15" hidden="false" customHeight="false" outlineLevel="0" collapsed="false">
      <c r="A4451" s="0" t="n">
        <v>4440</v>
      </c>
      <c r="B4451" s="15" t="n">
        <v>0.624747767110018</v>
      </c>
      <c r="C4451" s="18" t="n">
        <f aca="false">'Black-Scholes'!$B$5*EXP(('Black-Scholes'!$B$8-'Black-Scholes'!$B$10-'Black-Scholes'!$B$9^2/2)*'Black-Scholes'!$B$7+'Black-Scholes'!$B$9*SQRT('Black-Scholes'!$B$7)*B4451)</f>
        <v>116.759905824245</v>
      </c>
      <c r="D4451" s="18" t="n">
        <f aca="false">'Black-Scholes'!$B$5*EXP(('Black-Scholes'!$B$8-'Black-Scholes'!$B$10-'Black-Scholes'!$B$9^2/2)*'Black-Scholes'!$B$7-'Black-Scholes'!$B$9*SQRT('Black-Scholes'!$B$7)*B4451)</f>
        <v>90.9418810378029</v>
      </c>
      <c r="E4451" s="18" t="n">
        <f aca="false">EXP(-'Black-Scholes'!$B$8*'Black-Scholes'!$B$7)*IF(LOWER('Black-Scholes'!$B$11)="put",MAX('Black-Scholes'!$B$6-C4451,0),MAX(C4451-'Black-Scholes'!$B$6,0))</f>
        <v>15.9425155718831</v>
      </c>
      <c r="F4451" s="18" t="n">
        <f aca="false">(E4451+G4451)/2</f>
        <v>7.97125778594154</v>
      </c>
      <c r="G4451" s="18" t="n">
        <f aca="false">EXP(-'Black-Scholes'!$B$8*'Black-Scholes'!$B$7)*IF(LOWER('Black-Scholes'!$B$11)="put",MAX('Black-Scholes'!$B$6-D4451,0),MAX(D4451-'Black-Scholes'!$B$6,0))</f>
        <v>0</v>
      </c>
    </row>
    <row r="4452" customFormat="false" ht="15" hidden="false" customHeight="false" outlineLevel="0" collapsed="false">
      <c r="A4452" s="0" t="n">
        <v>4441</v>
      </c>
      <c r="B4452" s="15" t="n">
        <v>-1.9457987172174</v>
      </c>
      <c r="C4452" s="18" t="n">
        <f aca="false">'Black-Scholes'!$B$5*EXP(('Black-Scholes'!$B$8-'Black-Scholes'!$B$10-'Black-Scholes'!$B$9^2/2)*'Black-Scholes'!$B$7+'Black-Scholes'!$B$9*SQRT('Black-Scholes'!$B$7)*B4452)</f>
        <v>69.8262799537923</v>
      </c>
      <c r="D4452" s="18" t="n">
        <f aca="false">'Black-Scholes'!$B$5*EXP(('Black-Scholes'!$B$8-'Black-Scholes'!$B$10-'Black-Scholes'!$B$9^2/2)*'Black-Scholes'!$B$7-'Black-Scholes'!$B$9*SQRT('Black-Scholes'!$B$7)*B4452)</f>
        <v>152.068325456838</v>
      </c>
      <c r="E4452" s="18" t="n">
        <f aca="false">EXP(-'Black-Scholes'!$B$8*'Black-Scholes'!$B$7)*IF(LOWER('Black-Scholes'!$B$11)="put",MAX('Black-Scholes'!$B$6-C4452,0),MAX(C4452-'Black-Scholes'!$B$6,0))</f>
        <v>0</v>
      </c>
      <c r="F4452" s="18" t="n">
        <f aca="false">(E4452+G4452)/2</f>
        <v>24.7644616295122</v>
      </c>
      <c r="G4452" s="18" t="n">
        <f aca="false">EXP(-'Black-Scholes'!$B$8*'Black-Scholes'!$B$7)*IF(LOWER('Black-Scholes'!$B$11)="put",MAX('Black-Scholes'!$B$6-D4452,0),MAX(D4452-'Black-Scholes'!$B$6,0))</f>
        <v>49.5289232590243</v>
      </c>
    </row>
    <row r="4453" customFormat="false" ht="15" hidden="false" customHeight="false" outlineLevel="0" collapsed="false">
      <c r="A4453" s="0" t="n">
        <v>4442</v>
      </c>
      <c r="B4453" s="15" t="n">
        <v>0.742107608104774</v>
      </c>
      <c r="C4453" s="18" t="n">
        <f aca="false">'Black-Scholes'!$B$5*EXP(('Black-Scholes'!$B$8-'Black-Scholes'!$B$10-'Black-Scholes'!$B$9^2/2)*'Black-Scholes'!$B$7+'Black-Scholes'!$B$9*SQRT('Black-Scholes'!$B$7)*B4453)</f>
        <v>119.532907210445</v>
      </c>
      <c r="D4453" s="18" t="n">
        <f aca="false">'Black-Scholes'!$B$5*EXP(('Black-Scholes'!$B$8-'Black-Scholes'!$B$10-'Black-Scholes'!$B$9^2/2)*'Black-Scholes'!$B$7-'Black-Scholes'!$B$9*SQRT('Black-Scholes'!$B$7)*B4453)</f>
        <v>88.832152695486</v>
      </c>
      <c r="E4453" s="18" t="n">
        <f aca="false">EXP(-'Black-Scholes'!$B$8*'Black-Scholes'!$B$7)*IF(LOWER('Black-Scholes'!$B$11)="put",MAX('Black-Scholes'!$B$6-C4453,0),MAX(C4453-'Black-Scholes'!$B$6,0))</f>
        <v>18.5802760846173</v>
      </c>
      <c r="F4453" s="18" t="n">
        <f aca="false">(E4453+G4453)/2</f>
        <v>9.29013804230864</v>
      </c>
      <c r="G4453" s="18" t="n">
        <f aca="false">EXP(-'Black-Scholes'!$B$8*'Black-Scholes'!$B$7)*IF(LOWER('Black-Scholes'!$B$11)="put",MAX('Black-Scholes'!$B$6-D4453,0),MAX(D4453-'Black-Scholes'!$B$6,0))</f>
        <v>0</v>
      </c>
    </row>
    <row r="4454" customFormat="false" ht="15" hidden="false" customHeight="false" outlineLevel="0" collapsed="false">
      <c r="A4454" s="0" t="n">
        <v>4443</v>
      </c>
      <c r="B4454" s="15" t="n">
        <v>-0.968341265211668</v>
      </c>
      <c r="C4454" s="18" t="n">
        <f aca="false">'Black-Scholes'!$B$5*EXP(('Black-Scholes'!$B$8-'Black-Scholes'!$B$10-'Black-Scholes'!$B$9^2/2)*'Black-Scholes'!$B$7+'Black-Scholes'!$B$9*SQRT('Black-Scholes'!$B$7)*B4454)</f>
        <v>84.9023636173569</v>
      </c>
      <c r="D4454" s="18" t="n">
        <f aca="false">'Black-Scholes'!$B$5*EXP(('Black-Scholes'!$B$8-'Black-Scholes'!$B$10-'Black-Scholes'!$B$9^2/2)*'Black-Scholes'!$B$7-'Black-Scholes'!$B$9*SQRT('Black-Scholes'!$B$7)*B4454)</f>
        <v>125.065604926019</v>
      </c>
      <c r="E4454" s="18" t="n">
        <f aca="false">EXP(-'Black-Scholes'!$B$8*'Black-Scholes'!$B$7)*IF(LOWER('Black-Scholes'!$B$11)="put",MAX('Black-Scholes'!$B$6-C4454,0),MAX(C4454-'Black-Scholes'!$B$6,0))</f>
        <v>0</v>
      </c>
      <c r="F4454" s="18" t="n">
        <f aca="false">(E4454+G4454)/2</f>
        <v>11.9215704742698</v>
      </c>
      <c r="G4454" s="18" t="n">
        <f aca="false">EXP(-'Black-Scholes'!$B$8*'Black-Scholes'!$B$7)*IF(LOWER('Black-Scholes'!$B$11)="put",MAX('Black-Scholes'!$B$6-D4454,0),MAX(D4454-'Black-Scholes'!$B$6,0))</f>
        <v>23.8431409485396</v>
      </c>
    </row>
    <row r="4455" customFormat="false" ht="15" hidden="false" customHeight="false" outlineLevel="0" collapsed="false">
      <c r="A4455" s="0" t="n">
        <v>4444</v>
      </c>
      <c r="B4455" s="15" t="n">
        <v>-1.19938378932011</v>
      </c>
      <c r="C4455" s="18" t="n">
        <f aca="false">'Black-Scholes'!$B$5*EXP(('Black-Scholes'!$B$8-'Black-Scholes'!$B$10-'Black-Scholes'!$B$9^2/2)*'Black-Scholes'!$B$7+'Black-Scholes'!$B$9*SQRT('Black-Scholes'!$B$7)*B4455)</f>
        <v>81.0684150260133</v>
      </c>
      <c r="D4455" s="18" t="n">
        <f aca="false">'Black-Scholes'!$B$5*EXP(('Black-Scholes'!$B$8-'Black-Scholes'!$B$10-'Black-Scholes'!$B$9^2/2)*'Black-Scholes'!$B$7-'Black-Scholes'!$B$9*SQRT('Black-Scholes'!$B$7)*B4455)</f>
        <v>130.980301786415</v>
      </c>
      <c r="E4455" s="18" t="n">
        <f aca="false">EXP(-'Black-Scholes'!$B$8*'Black-Scholes'!$B$7)*IF(LOWER('Black-Scholes'!$B$11)="put",MAX('Black-Scholes'!$B$6-C4455,0),MAX(C4455-'Black-Scholes'!$B$6,0))</f>
        <v>0</v>
      </c>
      <c r="F4455" s="18" t="n">
        <f aca="false">(E4455+G4455)/2</f>
        <v>14.7346873195752</v>
      </c>
      <c r="G4455" s="18" t="n">
        <f aca="false">EXP(-'Black-Scholes'!$B$8*'Black-Scholes'!$B$7)*IF(LOWER('Black-Scholes'!$B$11)="put",MAX('Black-Scholes'!$B$6-D4455,0),MAX(D4455-'Black-Scholes'!$B$6,0))</f>
        <v>29.4693746391504</v>
      </c>
    </row>
    <row r="4456" customFormat="false" ht="15" hidden="false" customHeight="false" outlineLevel="0" collapsed="false">
      <c r="A4456" s="0" t="n">
        <v>4445</v>
      </c>
      <c r="B4456" s="15" t="n">
        <v>1.0080581267501</v>
      </c>
      <c r="C4456" s="18" t="n">
        <f aca="false">'Black-Scholes'!$B$5*EXP(('Black-Scholes'!$B$8-'Black-Scholes'!$B$10-'Black-Scholes'!$B$9^2/2)*'Black-Scholes'!$B$7+'Black-Scholes'!$B$9*SQRT('Black-Scholes'!$B$7)*B4456)</f>
        <v>126.063003699316</v>
      </c>
      <c r="D4456" s="18" t="n">
        <f aca="false">'Black-Scholes'!$B$5*EXP(('Black-Scholes'!$B$8-'Black-Scholes'!$B$10-'Black-Scholes'!$B$9^2/2)*'Black-Scholes'!$B$7-'Black-Scholes'!$B$9*SQRT('Black-Scholes'!$B$7)*B4456)</f>
        <v>84.2306240043301</v>
      </c>
      <c r="E4456" s="18" t="n">
        <f aca="false">EXP(-'Black-Scholes'!$B$8*'Black-Scholes'!$B$7)*IF(LOWER('Black-Scholes'!$B$11)="put",MAX('Black-Scholes'!$B$6-C4456,0),MAX(C4456-'Black-Scholes'!$B$6,0))</f>
        <v>24.7918960096608</v>
      </c>
      <c r="F4456" s="18" t="n">
        <f aca="false">(E4456+G4456)/2</f>
        <v>12.3959480048304</v>
      </c>
      <c r="G4456" s="18" t="n">
        <f aca="false">EXP(-'Black-Scholes'!$B$8*'Black-Scholes'!$B$7)*IF(LOWER('Black-Scholes'!$B$11)="put",MAX('Black-Scholes'!$B$6-D4456,0),MAX(D4456-'Black-Scholes'!$B$6,0))</f>
        <v>0</v>
      </c>
    </row>
    <row r="4457" customFormat="false" ht="15" hidden="false" customHeight="false" outlineLevel="0" collapsed="false">
      <c r="A4457" s="0" t="n">
        <v>4446</v>
      </c>
      <c r="B4457" s="15" t="n">
        <v>0.0862122082709316</v>
      </c>
      <c r="C4457" s="18" t="n">
        <f aca="false">'Black-Scholes'!$B$5*EXP(('Black-Scholes'!$B$8-'Black-Scholes'!$B$10-'Black-Scholes'!$B$9^2/2)*'Black-Scholes'!$B$7+'Black-Scholes'!$B$9*SQRT('Black-Scholes'!$B$7)*B4457)</f>
        <v>104.837614831905</v>
      </c>
      <c r="D4457" s="18" t="n">
        <f aca="false">'Black-Scholes'!$B$5*EXP(('Black-Scholes'!$B$8-'Black-Scholes'!$B$10-'Black-Scholes'!$B$9^2/2)*'Black-Scholes'!$B$7-'Black-Scholes'!$B$9*SQRT('Black-Scholes'!$B$7)*B4457)</f>
        <v>101.283928315986</v>
      </c>
      <c r="E4457" s="18" t="n">
        <f aca="false">EXP(-'Black-Scholes'!$B$8*'Black-Scholes'!$B$7)*IF(LOWER('Black-Scholes'!$B$11)="put",MAX('Black-Scholes'!$B$6-C4457,0),MAX(C4457-'Black-Scholes'!$B$6,0))</f>
        <v>4.6016815725091</v>
      </c>
      <c r="F4457" s="18" t="n">
        <f aca="false">(E4457+G4457)/2</f>
        <v>2.91149598281222</v>
      </c>
      <c r="G4457" s="18" t="n">
        <f aca="false">EXP(-'Black-Scholes'!$B$8*'Black-Scholes'!$B$7)*IF(LOWER('Black-Scholes'!$B$11)="put",MAX('Black-Scholes'!$B$6-D4457,0),MAX(D4457-'Black-Scholes'!$B$6,0))</f>
        <v>1.22131039311535</v>
      </c>
    </row>
    <row r="4458" customFormat="false" ht="15" hidden="false" customHeight="false" outlineLevel="0" collapsed="false">
      <c r="A4458" s="0" t="n">
        <v>4447</v>
      </c>
      <c r="B4458" s="15" t="n">
        <v>-0.443052601775356</v>
      </c>
      <c r="C4458" s="18" t="n">
        <f aca="false">'Black-Scholes'!$B$5*EXP(('Black-Scholes'!$B$8-'Black-Scholes'!$B$10-'Black-Scholes'!$B$9^2/2)*'Black-Scholes'!$B$7+'Black-Scholes'!$B$9*SQRT('Black-Scholes'!$B$7)*B4458)</f>
        <v>94.3074005765773</v>
      </c>
      <c r="D4458" s="18" t="n">
        <f aca="false">'Black-Scholes'!$B$5*EXP(('Black-Scholes'!$B$8-'Black-Scholes'!$B$10-'Black-Scholes'!$B$9^2/2)*'Black-Scholes'!$B$7-'Black-Scholes'!$B$9*SQRT('Black-Scholes'!$B$7)*B4458)</f>
        <v>112.593130555343</v>
      </c>
      <c r="E4458" s="18" t="n">
        <f aca="false">EXP(-'Black-Scholes'!$B$8*'Black-Scholes'!$B$7)*IF(LOWER('Black-Scholes'!$B$11)="put",MAX('Black-Scholes'!$B$6-C4458,0),MAX(C4458-'Black-Scholes'!$B$6,0))</f>
        <v>0</v>
      </c>
      <c r="F4458" s="18" t="n">
        <f aca="false">(E4458+G4458)/2</f>
        <v>5.98947816541064</v>
      </c>
      <c r="G4458" s="18" t="n">
        <f aca="false">EXP(-'Black-Scholes'!$B$8*'Black-Scholes'!$B$7)*IF(LOWER('Black-Scholes'!$B$11)="put",MAX('Black-Scholes'!$B$6-D4458,0),MAX(D4458-'Black-Scholes'!$B$6,0))</f>
        <v>11.9789563308213</v>
      </c>
    </row>
    <row r="4459" customFormat="false" ht="15" hidden="false" customHeight="false" outlineLevel="0" collapsed="false">
      <c r="A4459" s="0" t="n">
        <v>4448</v>
      </c>
      <c r="B4459" s="15" t="n">
        <v>1.52219873229479</v>
      </c>
      <c r="C4459" s="18" t="n">
        <f aca="false">'Black-Scholes'!$B$5*EXP(('Black-Scholes'!$B$8-'Black-Scholes'!$B$10-'Black-Scholes'!$B$9^2/2)*'Black-Scholes'!$B$7+'Black-Scholes'!$B$9*SQRT('Black-Scholes'!$B$7)*B4459)</f>
        <v>139.71574035261</v>
      </c>
      <c r="D4459" s="18" t="n">
        <f aca="false">'Black-Scholes'!$B$5*EXP(('Black-Scholes'!$B$8-'Black-Scholes'!$B$10-'Black-Scholes'!$B$9^2/2)*'Black-Scholes'!$B$7-'Black-Scholes'!$B$9*SQRT('Black-Scholes'!$B$7)*B4459)</f>
        <v>75.9997795427727</v>
      </c>
      <c r="E4459" s="18" t="n">
        <f aca="false">EXP(-'Black-Scholes'!$B$8*'Black-Scholes'!$B$7)*IF(LOWER('Black-Scholes'!$B$11)="put",MAX('Black-Scholes'!$B$6-C4459,0),MAX(C4459-'Black-Scholes'!$B$6,0))</f>
        <v>37.7787808392325</v>
      </c>
      <c r="F4459" s="18" t="n">
        <f aca="false">(E4459+G4459)/2</f>
        <v>18.8893904196163</v>
      </c>
      <c r="G4459" s="18" t="n">
        <f aca="false">EXP(-'Black-Scholes'!$B$8*'Black-Scholes'!$B$7)*IF(LOWER('Black-Scholes'!$B$11)="put",MAX('Black-Scholes'!$B$6-D4459,0),MAX(D4459-'Black-Scholes'!$B$6,0))</f>
        <v>0</v>
      </c>
    </row>
    <row r="4460" customFormat="false" ht="15" hidden="false" customHeight="false" outlineLevel="0" collapsed="false">
      <c r="A4460" s="0" t="n">
        <v>4449</v>
      </c>
      <c r="B4460" s="15" t="n">
        <v>1.00917517728733</v>
      </c>
      <c r="C4460" s="18" t="n">
        <f aca="false">'Black-Scholes'!$B$5*EXP(('Black-Scholes'!$B$8-'Black-Scholes'!$B$10-'Black-Scholes'!$B$9^2/2)*'Black-Scholes'!$B$7+'Black-Scholes'!$B$9*SQRT('Black-Scholes'!$B$7)*B4460)</f>
        <v>126.091170594785</v>
      </c>
      <c r="D4460" s="18" t="n">
        <f aca="false">'Black-Scholes'!$B$5*EXP(('Black-Scholes'!$B$8-'Black-Scholes'!$B$10-'Black-Scholes'!$B$9^2/2)*'Black-Scholes'!$B$7-'Black-Scholes'!$B$9*SQRT('Black-Scholes'!$B$7)*B4460)</f>
        <v>84.2118081334771</v>
      </c>
      <c r="E4460" s="18" t="n">
        <f aca="false">EXP(-'Black-Scholes'!$B$8*'Black-Scholes'!$B$7)*IF(LOWER('Black-Scholes'!$B$11)="put",MAX('Black-Scholes'!$B$6-C4460,0),MAX(C4460-'Black-Scholes'!$B$6,0))</f>
        <v>24.8186891894277</v>
      </c>
      <c r="F4460" s="18" t="n">
        <f aca="false">(E4460+G4460)/2</f>
        <v>12.4093445947138</v>
      </c>
      <c r="G4460" s="18" t="n">
        <f aca="false">EXP(-'Black-Scholes'!$B$8*'Black-Scholes'!$B$7)*IF(LOWER('Black-Scholes'!$B$11)="put",MAX('Black-Scholes'!$B$6-D4460,0),MAX(D4460-'Black-Scholes'!$B$6,0))</f>
        <v>0</v>
      </c>
    </row>
    <row r="4461" customFormat="false" ht="15" hidden="false" customHeight="false" outlineLevel="0" collapsed="false">
      <c r="A4461" s="0" t="n">
        <v>4450</v>
      </c>
      <c r="B4461" s="15" t="n">
        <v>-0.113735619299142</v>
      </c>
      <c r="C4461" s="18" t="n">
        <f aca="false">'Black-Scholes'!$B$5*EXP(('Black-Scholes'!$B$8-'Black-Scholes'!$B$10-'Black-Scholes'!$B$9^2/2)*'Black-Scholes'!$B$7+'Black-Scholes'!$B$9*SQRT('Black-Scholes'!$B$7)*B4461)</f>
        <v>100.727924195043</v>
      </c>
      <c r="D4461" s="18" t="n">
        <f aca="false">'Black-Scholes'!$B$5*EXP(('Black-Scholes'!$B$8-'Black-Scholes'!$B$10-'Black-Scholes'!$B$9^2/2)*'Black-Scholes'!$B$7-'Black-Scholes'!$B$9*SQRT('Black-Scholes'!$B$7)*B4461)</f>
        <v>105.416303873123</v>
      </c>
      <c r="E4461" s="18" t="n">
        <f aca="false">EXP(-'Black-Scholes'!$B$8*'Black-Scholes'!$B$7)*IF(LOWER('Black-Scholes'!$B$11)="put",MAX('Black-Scholes'!$B$6-C4461,0),MAX(C4461-'Black-Scholes'!$B$6,0))</f>
        <v>0.692422913130981</v>
      </c>
      <c r="F4461" s="18" t="n">
        <f aca="false">(E4461+G4461)/2</f>
        <v>2.92228526464155</v>
      </c>
      <c r="G4461" s="18" t="n">
        <f aca="false">EXP(-'Black-Scholes'!$B$8*'Black-Scholes'!$B$7)*IF(LOWER('Black-Scholes'!$B$11)="put",MAX('Black-Scholes'!$B$6-D4461,0),MAX(D4461-'Black-Scholes'!$B$6,0))</f>
        <v>5.15214761615212</v>
      </c>
    </row>
    <row r="4462" customFormat="false" ht="15" hidden="false" customHeight="false" outlineLevel="0" collapsed="false">
      <c r="A4462" s="0" t="n">
        <v>4451</v>
      </c>
      <c r="B4462" s="15" t="n">
        <v>1.05145913315321</v>
      </c>
      <c r="C4462" s="18" t="n">
        <f aca="false">'Black-Scholes'!$B$5*EXP(('Black-Scholes'!$B$8-'Black-Scholes'!$B$10-'Black-Scholes'!$B$9^2/2)*'Black-Scholes'!$B$7+'Black-Scholes'!$B$9*SQRT('Black-Scholes'!$B$7)*B4462)</f>
        <v>127.162018881447</v>
      </c>
      <c r="D4462" s="18" t="n">
        <f aca="false">'Black-Scholes'!$B$5*EXP(('Black-Scholes'!$B$8-'Black-Scholes'!$B$10-'Black-Scholes'!$B$9^2/2)*'Black-Scholes'!$B$7-'Black-Scholes'!$B$9*SQRT('Black-Scholes'!$B$7)*B4462)</f>
        <v>83.5026492883308</v>
      </c>
      <c r="E4462" s="18" t="n">
        <f aca="false">EXP(-'Black-Scholes'!$B$8*'Black-Scholes'!$B$7)*IF(LOWER('Black-Scholes'!$B$11)="put",MAX('Black-Scholes'!$B$6-C4462,0),MAX(C4462-'Black-Scholes'!$B$6,0))</f>
        <v>25.8373115888766</v>
      </c>
      <c r="F4462" s="18" t="n">
        <f aca="false">(E4462+G4462)/2</f>
        <v>12.9186557944383</v>
      </c>
      <c r="G4462" s="18" t="n">
        <f aca="false">EXP(-'Black-Scholes'!$B$8*'Black-Scholes'!$B$7)*IF(LOWER('Black-Scholes'!$B$11)="put",MAX('Black-Scholes'!$B$6-D4462,0),MAX(D4462-'Black-Scholes'!$B$6,0))</f>
        <v>0</v>
      </c>
    </row>
    <row r="4463" customFormat="false" ht="15" hidden="false" customHeight="false" outlineLevel="0" collapsed="false">
      <c r="A4463" s="0" t="n">
        <v>4452</v>
      </c>
      <c r="B4463" s="15" t="n">
        <v>1.22224493923235</v>
      </c>
      <c r="C4463" s="18" t="n">
        <f aca="false">'Black-Scholes'!$B$5*EXP(('Black-Scholes'!$B$8-'Black-Scholes'!$B$10-'Black-Scholes'!$B$9^2/2)*'Black-Scholes'!$B$7+'Black-Scholes'!$B$9*SQRT('Black-Scholes'!$B$7)*B4463)</f>
        <v>131.58054502874</v>
      </c>
      <c r="D4463" s="18" t="n">
        <f aca="false">'Black-Scholes'!$B$5*EXP(('Black-Scholes'!$B$8-'Black-Scholes'!$B$10-'Black-Scholes'!$B$9^2/2)*'Black-Scholes'!$B$7-'Black-Scholes'!$B$9*SQRT('Black-Scholes'!$B$7)*B4463)</f>
        <v>80.6985976774477</v>
      </c>
      <c r="E4463" s="18" t="n">
        <f aca="false">EXP(-'Black-Scholes'!$B$8*'Black-Scholes'!$B$7)*IF(LOWER('Black-Scholes'!$B$11)="put",MAX('Black-Scholes'!$B$6-C4463,0),MAX(C4463-'Black-Scholes'!$B$6,0))</f>
        <v>30.0403436731074</v>
      </c>
      <c r="F4463" s="18" t="n">
        <f aca="false">(E4463+G4463)/2</f>
        <v>15.0201718365537</v>
      </c>
      <c r="G4463" s="18" t="n">
        <f aca="false">EXP(-'Black-Scholes'!$B$8*'Black-Scholes'!$B$7)*IF(LOWER('Black-Scholes'!$B$11)="put",MAX('Black-Scholes'!$B$6-D4463,0),MAX(D4463-'Black-Scholes'!$B$6,0))</f>
        <v>0</v>
      </c>
    </row>
    <row r="4464" customFormat="false" ht="15" hidden="false" customHeight="false" outlineLevel="0" collapsed="false">
      <c r="A4464" s="0" t="n">
        <v>4453</v>
      </c>
      <c r="B4464" s="15" t="n">
        <v>0.167980167779301</v>
      </c>
      <c r="C4464" s="18" t="n">
        <f aca="false">'Black-Scholes'!$B$5*EXP(('Black-Scholes'!$B$8-'Black-Scholes'!$B$10-'Black-Scholes'!$B$9^2/2)*'Black-Scholes'!$B$7+'Black-Scholes'!$B$9*SQRT('Black-Scholes'!$B$7)*B4464)</f>
        <v>106.566182018156</v>
      </c>
      <c r="D4464" s="18" t="n">
        <f aca="false">'Black-Scholes'!$B$5*EXP(('Black-Scholes'!$B$8-'Black-Scholes'!$B$10-'Black-Scholes'!$B$9^2/2)*'Black-Scholes'!$B$7-'Black-Scholes'!$B$9*SQRT('Black-Scholes'!$B$7)*B4464)</f>
        <v>99.6410424429444</v>
      </c>
      <c r="E4464" s="18" t="n">
        <f aca="false">EXP(-'Black-Scholes'!$B$8*'Black-Scholes'!$B$7)*IF(LOWER('Black-Scholes'!$B$11)="put",MAX('Black-Scholes'!$B$6-C4464,0),MAX(C4464-'Black-Scholes'!$B$6,0))</f>
        <v>6.24594554229724</v>
      </c>
      <c r="F4464" s="18" t="n">
        <f aca="false">(E4464+G4464)/2</f>
        <v>3.12297277114862</v>
      </c>
      <c r="G4464" s="18" t="n">
        <f aca="false">EXP(-'Black-Scholes'!$B$8*'Black-Scholes'!$B$7)*IF(LOWER('Black-Scholes'!$B$11)="put",MAX('Black-Scholes'!$B$6-D4464,0),MAX(D4464-'Black-Scholes'!$B$6,0))</f>
        <v>0</v>
      </c>
    </row>
    <row r="4465" customFormat="false" ht="15" hidden="false" customHeight="false" outlineLevel="0" collapsed="false">
      <c r="A4465" s="0" t="n">
        <v>4454</v>
      </c>
      <c r="B4465" s="15" t="n">
        <v>-0.55199576082621</v>
      </c>
      <c r="C4465" s="18" t="n">
        <f aca="false">'Black-Scholes'!$B$5*EXP(('Black-Scholes'!$B$8-'Black-Scholes'!$B$10-'Black-Scholes'!$B$9^2/2)*'Black-Scholes'!$B$7+'Black-Scholes'!$B$9*SQRT('Black-Scholes'!$B$7)*B4465)</f>
        <v>92.2747956025002</v>
      </c>
      <c r="D4465" s="18" t="n">
        <f aca="false">'Black-Scholes'!$B$5*EXP(('Black-Scholes'!$B$8-'Black-Scholes'!$B$10-'Black-Scholes'!$B$9^2/2)*'Black-Scholes'!$B$7-'Black-Scholes'!$B$9*SQRT('Black-Scholes'!$B$7)*B4465)</f>
        <v>115.073302477908</v>
      </c>
      <c r="E4465" s="18" t="n">
        <f aca="false">EXP(-'Black-Scholes'!$B$8*'Black-Scholes'!$B$7)*IF(LOWER('Black-Scholes'!$B$11)="put",MAX('Black-Scholes'!$B$6-C4465,0),MAX(C4465-'Black-Scholes'!$B$6,0))</f>
        <v>0</v>
      </c>
      <c r="F4465" s="18" t="n">
        <f aca="false">(E4465+G4465)/2</f>
        <v>7.1690844206926</v>
      </c>
      <c r="G4465" s="18" t="n">
        <f aca="false">EXP(-'Black-Scholes'!$B$8*'Black-Scholes'!$B$7)*IF(LOWER('Black-Scholes'!$B$11)="put",MAX('Black-Scholes'!$B$6-D4465,0),MAX(D4465-'Black-Scholes'!$B$6,0))</f>
        <v>14.3381688413852</v>
      </c>
    </row>
    <row r="4466" customFormat="false" ht="15" hidden="false" customHeight="false" outlineLevel="0" collapsed="false">
      <c r="A4466" s="0" t="n">
        <v>4455</v>
      </c>
      <c r="B4466" s="15" t="n">
        <v>0.606582818223057</v>
      </c>
      <c r="C4466" s="18" t="n">
        <f aca="false">'Black-Scholes'!$B$5*EXP(('Black-Scholes'!$B$8-'Black-Scholes'!$B$10-'Black-Scholes'!$B$9^2/2)*'Black-Scholes'!$B$7+'Black-Scholes'!$B$9*SQRT('Black-Scholes'!$B$7)*B4466)</f>
        <v>116.336487882215</v>
      </c>
      <c r="D4466" s="18" t="n">
        <f aca="false">'Black-Scholes'!$B$5*EXP(('Black-Scholes'!$B$8-'Black-Scholes'!$B$10-'Black-Scholes'!$B$9^2/2)*'Black-Scholes'!$B$7-'Black-Scholes'!$B$9*SQRT('Black-Scholes'!$B$7)*B4466)</f>
        <v>91.2728728428194</v>
      </c>
      <c r="E4466" s="18" t="n">
        <f aca="false">EXP(-'Black-Scholes'!$B$8*'Black-Scholes'!$B$7)*IF(LOWER('Black-Scholes'!$B$11)="put",MAX('Black-Scholes'!$B$6-C4466,0),MAX(C4466-'Black-Scholes'!$B$6,0))</f>
        <v>15.5397479665621</v>
      </c>
      <c r="F4466" s="18" t="n">
        <f aca="false">(E4466+G4466)/2</f>
        <v>7.76987398328105</v>
      </c>
      <c r="G4466" s="18" t="n">
        <f aca="false">EXP(-'Black-Scholes'!$B$8*'Black-Scholes'!$B$7)*IF(LOWER('Black-Scholes'!$B$11)="put",MAX('Black-Scholes'!$B$6-D4466,0),MAX(D4466-'Black-Scholes'!$B$6,0))</f>
        <v>0</v>
      </c>
    </row>
    <row r="4467" customFormat="false" ht="15" hidden="false" customHeight="false" outlineLevel="0" collapsed="false">
      <c r="A4467" s="0" t="n">
        <v>4456</v>
      </c>
      <c r="B4467" s="15" t="n">
        <v>-0.512653581336186</v>
      </c>
      <c r="C4467" s="18" t="n">
        <f aca="false">'Black-Scholes'!$B$5*EXP(('Black-Scholes'!$B$8-'Black-Scholes'!$B$10-'Black-Scholes'!$B$9^2/2)*'Black-Scholes'!$B$7+'Black-Scholes'!$B$9*SQRT('Black-Scholes'!$B$7)*B4467)</f>
        <v>93.0037178951005</v>
      </c>
      <c r="D4467" s="18" t="n">
        <f aca="false">'Black-Scholes'!$B$5*EXP(('Black-Scholes'!$B$8-'Black-Scholes'!$B$10-'Black-Scholes'!$B$9^2/2)*'Black-Scholes'!$B$7-'Black-Scholes'!$B$9*SQRT('Black-Scholes'!$B$7)*B4467)</f>
        <v>114.171408474553</v>
      </c>
      <c r="E4467" s="18" t="n">
        <f aca="false">EXP(-'Black-Scholes'!$B$8*'Black-Scholes'!$B$7)*IF(LOWER('Black-Scholes'!$B$11)="put",MAX('Black-Scholes'!$B$6-C4467,0),MAX(C4467-'Black-Scholes'!$B$6,0))</f>
        <v>0</v>
      </c>
      <c r="F4467" s="18" t="n">
        <f aca="false">(E4467+G4467)/2</f>
        <v>6.74013036380672</v>
      </c>
      <c r="G4467" s="18" t="n">
        <f aca="false">EXP(-'Black-Scholes'!$B$8*'Black-Scholes'!$B$7)*IF(LOWER('Black-Scholes'!$B$11)="put",MAX('Black-Scholes'!$B$6-D4467,0),MAX(D4467-'Black-Scholes'!$B$6,0))</f>
        <v>13.4802607276134</v>
      </c>
    </row>
    <row r="4468" customFormat="false" ht="15" hidden="false" customHeight="false" outlineLevel="0" collapsed="false">
      <c r="A4468" s="0" t="n">
        <v>4457</v>
      </c>
      <c r="B4468" s="15" t="n">
        <v>0.579075422446101</v>
      </c>
      <c r="C4468" s="18" t="n">
        <f aca="false">'Black-Scholes'!$B$5*EXP(('Black-Scholes'!$B$8-'Black-Scholes'!$B$10-'Black-Scholes'!$B$9^2/2)*'Black-Scholes'!$B$7+'Black-Scholes'!$B$9*SQRT('Black-Scholes'!$B$7)*B4468)</f>
        <v>115.698222430983</v>
      </c>
      <c r="D4468" s="18" t="n">
        <f aca="false">'Black-Scholes'!$B$5*EXP(('Black-Scholes'!$B$8-'Black-Scholes'!$B$10-'Black-Scholes'!$B$9^2/2)*'Black-Scholes'!$B$7-'Black-Scholes'!$B$9*SQRT('Black-Scholes'!$B$7)*B4468)</f>
        <v>91.7763924315065</v>
      </c>
      <c r="E4468" s="18" t="n">
        <f aca="false">EXP(-'Black-Scholes'!$B$8*'Black-Scholes'!$B$7)*IF(LOWER('Black-Scholes'!$B$11)="put",MAX('Black-Scholes'!$B$6-C4468,0),MAX(C4468-'Black-Scholes'!$B$6,0))</f>
        <v>14.9326110887079</v>
      </c>
      <c r="F4468" s="18" t="n">
        <f aca="false">(E4468+G4468)/2</f>
        <v>7.46630554435394</v>
      </c>
      <c r="G4468" s="18" t="n">
        <f aca="false">EXP(-'Black-Scholes'!$B$8*'Black-Scholes'!$B$7)*IF(LOWER('Black-Scholes'!$B$11)="put",MAX('Black-Scholes'!$B$6-D4468,0),MAX(D4468-'Black-Scholes'!$B$6,0))</f>
        <v>0</v>
      </c>
    </row>
    <row r="4469" customFormat="false" ht="15" hidden="false" customHeight="false" outlineLevel="0" collapsed="false">
      <c r="A4469" s="0" t="n">
        <v>4458</v>
      </c>
      <c r="B4469" s="15" t="n">
        <v>-0.935266170670995</v>
      </c>
      <c r="C4469" s="18" t="n">
        <f aca="false">'Black-Scholes'!$B$5*EXP(('Black-Scholes'!$B$8-'Black-Scholes'!$B$10-'Black-Scholes'!$B$9^2/2)*'Black-Scholes'!$B$7+'Black-Scholes'!$B$9*SQRT('Black-Scholes'!$B$7)*B4469)</f>
        <v>85.4658560598158</v>
      </c>
      <c r="D4469" s="18" t="n">
        <f aca="false">'Black-Scholes'!$B$5*EXP(('Black-Scholes'!$B$8-'Black-Scholes'!$B$10-'Black-Scholes'!$B$9^2/2)*'Black-Scholes'!$B$7-'Black-Scholes'!$B$9*SQRT('Black-Scholes'!$B$7)*B4469)</f>
        <v>124.241023901077</v>
      </c>
      <c r="E4469" s="18" t="n">
        <f aca="false">EXP(-'Black-Scholes'!$B$8*'Black-Scholes'!$B$7)*IF(LOWER('Black-Scholes'!$B$11)="put",MAX('Black-Scholes'!$B$6-C4469,0),MAX(C4469-'Black-Scholes'!$B$6,0))</f>
        <v>0</v>
      </c>
      <c r="F4469" s="18" t="n">
        <f aca="false">(E4469+G4469)/2</f>
        <v>11.5293876073649</v>
      </c>
      <c r="G4469" s="18" t="n">
        <f aca="false">EXP(-'Black-Scholes'!$B$8*'Black-Scholes'!$B$7)*IF(LOWER('Black-Scholes'!$B$11)="put",MAX('Black-Scholes'!$B$6-D4469,0),MAX(D4469-'Black-Scholes'!$B$6,0))</f>
        <v>23.0587752147298</v>
      </c>
    </row>
    <row r="4470" customFormat="false" ht="15" hidden="false" customHeight="false" outlineLevel="0" collapsed="false">
      <c r="A4470" s="0" t="n">
        <v>4459</v>
      </c>
      <c r="B4470" s="15" t="n">
        <v>0.47335433513838</v>
      </c>
      <c r="C4470" s="18" t="n">
        <f aca="false">'Black-Scholes'!$B$5*EXP(('Black-Scholes'!$B$8-'Black-Scholes'!$B$10-'Black-Scholes'!$B$9^2/2)*'Black-Scholes'!$B$7+'Black-Scholes'!$B$9*SQRT('Black-Scholes'!$B$7)*B4470)</f>
        <v>113.277555791779</v>
      </c>
      <c r="D4470" s="18" t="n">
        <f aca="false">'Black-Scholes'!$B$5*EXP(('Black-Scholes'!$B$8-'Black-Scholes'!$B$10-'Black-Scholes'!$B$9^2/2)*'Black-Scholes'!$B$7-'Black-Scholes'!$B$9*SQRT('Black-Scholes'!$B$7)*B4470)</f>
        <v>93.7375933938024</v>
      </c>
      <c r="E4470" s="18" t="n">
        <f aca="false">EXP(-'Black-Scholes'!$B$8*'Black-Scholes'!$B$7)*IF(LOWER('Black-Scholes'!$B$11)="put",MAX('Black-Scholes'!$B$6-C4470,0),MAX(C4470-'Black-Scholes'!$B$6,0))</f>
        <v>12.6300017545905</v>
      </c>
      <c r="F4470" s="18" t="n">
        <f aca="false">(E4470+G4470)/2</f>
        <v>6.31500087729526</v>
      </c>
      <c r="G4470" s="18" t="n">
        <f aca="false">EXP(-'Black-Scholes'!$B$8*'Black-Scholes'!$B$7)*IF(LOWER('Black-Scholes'!$B$11)="put",MAX('Black-Scholes'!$B$6-D4470,0),MAX(D4470-'Black-Scholes'!$B$6,0))</f>
        <v>0</v>
      </c>
    </row>
    <row r="4471" customFormat="false" ht="15" hidden="false" customHeight="false" outlineLevel="0" collapsed="false">
      <c r="A4471" s="0" t="n">
        <v>4460</v>
      </c>
      <c r="B4471" s="15" t="n">
        <v>-0.631614498868354</v>
      </c>
      <c r="C4471" s="18" t="n">
        <f aca="false">'Black-Scholes'!$B$5*EXP(('Black-Scholes'!$B$8-'Black-Scholes'!$B$10-'Black-Scholes'!$B$9^2/2)*'Black-Scholes'!$B$7+'Black-Scholes'!$B$9*SQRT('Black-Scholes'!$B$7)*B4471)</f>
        <v>90.8170720598598</v>
      </c>
      <c r="D4471" s="18" t="n">
        <f aca="false">'Black-Scholes'!$B$5*EXP(('Black-Scholes'!$B$8-'Black-Scholes'!$B$10-'Black-Scholes'!$B$9^2/2)*'Black-Scholes'!$B$7-'Black-Scholes'!$B$9*SQRT('Black-Scholes'!$B$7)*B4471)</f>
        <v>116.920367774627</v>
      </c>
      <c r="E4471" s="18" t="n">
        <f aca="false">EXP(-'Black-Scholes'!$B$8*'Black-Scholes'!$B$7)*IF(LOWER('Black-Scholes'!$B$11)="put",MAX('Black-Scholes'!$B$6-C4471,0),MAX(C4471-'Black-Scholes'!$B$6,0))</f>
        <v>0</v>
      </c>
      <c r="F4471" s="18" t="n">
        <f aca="false">(E4471+G4471)/2</f>
        <v>8.04757585029935</v>
      </c>
      <c r="G4471" s="18" t="n">
        <f aca="false">EXP(-'Black-Scholes'!$B$8*'Black-Scholes'!$B$7)*IF(LOWER('Black-Scholes'!$B$11)="put",MAX('Black-Scholes'!$B$6-D4471,0),MAX(D4471-'Black-Scholes'!$B$6,0))</f>
        <v>16.0951517005987</v>
      </c>
    </row>
    <row r="4472" customFormat="false" ht="15" hidden="false" customHeight="false" outlineLevel="0" collapsed="false">
      <c r="A4472" s="0" t="n">
        <v>4461</v>
      </c>
      <c r="B4472" s="15" t="n">
        <v>-0.457365032376549</v>
      </c>
      <c r="C4472" s="18" t="n">
        <f aca="false">'Black-Scholes'!$B$5*EXP(('Black-Scholes'!$B$8-'Black-Scholes'!$B$10-'Black-Scholes'!$B$9^2/2)*'Black-Scholes'!$B$7+'Black-Scholes'!$B$9*SQRT('Black-Scholes'!$B$7)*B4472)</f>
        <v>94.0378329522484</v>
      </c>
      <c r="D4472" s="18" t="n">
        <f aca="false">'Black-Scholes'!$B$5*EXP(('Black-Scholes'!$B$8-'Black-Scholes'!$B$10-'Black-Scholes'!$B$9^2/2)*'Black-Scholes'!$B$7-'Black-Scholes'!$B$9*SQRT('Black-Scholes'!$B$7)*B4472)</f>
        <v>112.915888553552</v>
      </c>
      <c r="E4472" s="18" t="n">
        <f aca="false">EXP(-'Black-Scholes'!$B$8*'Black-Scholes'!$B$7)*IF(LOWER('Black-Scholes'!$B$11)="put",MAX('Black-Scholes'!$B$6-C4472,0),MAX(C4472-'Black-Scholes'!$B$6,0))</f>
        <v>0</v>
      </c>
      <c r="F4472" s="18" t="n">
        <f aca="false">(E4472+G4472)/2</f>
        <v>6.14298661785518</v>
      </c>
      <c r="G4472" s="18" t="n">
        <f aca="false">EXP(-'Black-Scholes'!$B$8*'Black-Scholes'!$B$7)*IF(LOWER('Black-Scholes'!$B$11)="put",MAX('Black-Scholes'!$B$6-D4472,0),MAX(D4472-'Black-Scholes'!$B$6,0))</f>
        <v>12.2859732357104</v>
      </c>
    </row>
    <row r="4473" customFormat="false" ht="15" hidden="false" customHeight="false" outlineLevel="0" collapsed="false">
      <c r="A4473" s="0" t="n">
        <v>4462</v>
      </c>
      <c r="B4473" s="15" t="n">
        <v>-0.311483474444989</v>
      </c>
      <c r="C4473" s="18" t="n">
        <f aca="false">'Black-Scholes'!$B$5*EXP(('Black-Scholes'!$B$8-'Black-Scholes'!$B$10-'Black-Scholes'!$B$9^2/2)*'Black-Scholes'!$B$7+'Black-Scholes'!$B$9*SQRT('Black-Scholes'!$B$7)*B4473)</f>
        <v>96.8219273749898</v>
      </c>
      <c r="D4473" s="18" t="n">
        <f aca="false">'Black-Scholes'!$B$5*EXP(('Black-Scholes'!$B$8-'Black-Scholes'!$B$10-'Black-Scholes'!$B$9^2/2)*'Black-Scholes'!$B$7-'Black-Scholes'!$B$9*SQRT('Black-Scholes'!$B$7)*B4473)</f>
        <v>109.66901561801</v>
      </c>
      <c r="E4473" s="18" t="n">
        <f aca="false">EXP(-'Black-Scholes'!$B$8*'Black-Scholes'!$B$7)*IF(LOWER('Black-Scholes'!$B$11)="put",MAX('Black-Scholes'!$B$6-C4473,0),MAX(C4473-'Black-Scholes'!$B$6,0))</f>
        <v>0</v>
      </c>
      <c r="F4473" s="18" t="n">
        <f aca="false">(E4473+G4473)/2</f>
        <v>4.59872608090409</v>
      </c>
      <c r="G4473" s="18" t="n">
        <f aca="false">EXP(-'Black-Scholes'!$B$8*'Black-Scholes'!$B$7)*IF(LOWER('Black-Scholes'!$B$11)="put",MAX('Black-Scholes'!$B$6-D4473,0),MAX(D4473-'Black-Scholes'!$B$6,0))</f>
        <v>9.19745216180817</v>
      </c>
    </row>
    <row r="4474" customFormat="false" ht="15" hidden="false" customHeight="false" outlineLevel="0" collapsed="false">
      <c r="A4474" s="0" t="n">
        <v>4463</v>
      </c>
      <c r="B4474" s="15" t="n">
        <v>-0.345242682452205</v>
      </c>
      <c r="C4474" s="18" t="n">
        <f aca="false">'Black-Scholes'!$B$5*EXP(('Black-Scholes'!$B$8-'Black-Scholes'!$B$10-'Black-Scholes'!$B$9^2/2)*'Black-Scholes'!$B$7+'Black-Scholes'!$B$9*SQRT('Black-Scholes'!$B$7)*B4474)</f>
        <v>96.1704030275089</v>
      </c>
      <c r="D4474" s="18" t="n">
        <f aca="false">'Black-Scholes'!$B$5*EXP(('Black-Scholes'!$B$8-'Black-Scholes'!$B$10-'Black-Scholes'!$B$9^2/2)*'Black-Scholes'!$B$7-'Black-Scholes'!$B$9*SQRT('Black-Scholes'!$B$7)*B4474)</f>
        <v>110.411988836277</v>
      </c>
      <c r="E4474" s="18" t="n">
        <f aca="false">EXP(-'Black-Scholes'!$B$8*'Black-Scholes'!$B$7)*IF(LOWER('Black-Scholes'!$B$11)="put",MAX('Black-Scholes'!$B$6-C4474,0),MAX(C4474-'Black-Scholes'!$B$6,0))</f>
        <v>0</v>
      </c>
      <c r="F4474" s="18" t="n">
        <f aca="false">(E4474+G4474)/2</f>
        <v>4.95209507431993</v>
      </c>
      <c r="G4474" s="18" t="n">
        <f aca="false">EXP(-'Black-Scholes'!$B$8*'Black-Scholes'!$B$7)*IF(LOWER('Black-Scholes'!$B$11)="put",MAX('Black-Scholes'!$B$6-D4474,0),MAX(D4474-'Black-Scholes'!$B$6,0))</f>
        <v>9.90419014863985</v>
      </c>
    </row>
    <row r="4475" customFormat="false" ht="15" hidden="false" customHeight="false" outlineLevel="0" collapsed="false">
      <c r="A4475" s="0" t="n">
        <v>4464</v>
      </c>
      <c r="B4475" s="15" t="n">
        <v>-0.227819960041137</v>
      </c>
      <c r="C4475" s="18" t="n">
        <f aca="false">'Black-Scholes'!$B$5*EXP(('Black-Scholes'!$B$8-'Black-Scholes'!$B$10-'Black-Scholes'!$B$9^2/2)*'Black-Scholes'!$B$7+'Black-Scholes'!$B$9*SQRT('Black-Scholes'!$B$7)*B4475)</f>
        <v>98.455650098811</v>
      </c>
      <c r="D4475" s="18" t="n">
        <f aca="false">'Black-Scholes'!$B$5*EXP(('Black-Scholes'!$B$8-'Black-Scholes'!$B$10-'Black-Scholes'!$B$9^2/2)*'Black-Scholes'!$B$7-'Black-Scholes'!$B$9*SQRT('Black-Scholes'!$B$7)*B4475)</f>
        <v>107.849224039422</v>
      </c>
      <c r="E4475" s="18" t="n">
        <f aca="false">EXP(-'Black-Scholes'!$B$8*'Black-Scholes'!$B$7)*IF(LOWER('Black-Scholes'!$B$11)="put",MAX('Black-Scholes'!$B$6-C4475,0),MAX(C4475-'Black-Scholes'!$B$6,0))</f>
        <v>0</v>
      </c>
      <c r="F4475" s="18" t="n">
        <f aca="false">(E4475+G4475)/2</f>
        <v>3.73320643289821</v>
      </c>
      <c r="G4475" s="18" t="n">
        <f aca="false">EXP(-'Black-Scholes'!$B$8*'Black-Scholes'!$B$7)*IF(LOWER('Black-Scholes'!$B$11)="put",MAX('Black-Scholes'!$B$6-D4475,0),MAX(D4475-'Black-Scholes'!$B$6,0))</f>
        <v>7.46641286579642</v>
      </c>
    </row>
    <row r="4476" customFormat="false" ht="15" hidden="false" customHeight="false" outlineLevel="0" collapsed="false">
      <c r="A4476" s="0" t="n">
        <v>4465</v>
      </c>
      <c r="B4476" s="15" t="n">
        <v>0.0125745932626279</v>
      </c>
      <c r="C4476" s="18" t="n">
        <f aca="false">'Black-Scholes'!$B$5*EXP(('Black-Scholes'!$B$8-'Black-Scholes'!$B$10-'Black-Scholes'!$B$9^2/2)*'Black-Scholes'!$B$7+'Black-Scholes'!$B$9*SQRT('Black-Scholes'!$B$7)*B4476)</f>
        <v>103.304930473263</v>
      </c>
      <c r="D4476" s="18" t="n">
        <f aca="false">'Black-Scholes'!$B$5*EXP(('Black-Scholes'!$B$8-'Black-Scholes'!$B$10-'Black-Scholes'!$B$9^2/2)*'Black-Scholes'!$B$7-'Black-Scholes'!$B$9*SQRT('Black-Scholes'!$B$7)*B4476)</f>
        <v>102.786628061298</v>
      </c>
      <c r="E4476" s="18" t="n">
        <f aca="false">EXP(-'Black-Scholes'!$B$8*'Black-Scholes'!$B$7)*IF(LOWER('Black-Scholes'!$B$11)="put",MAX('Black-Scholes'!$B$6-C4476,0),MAX(C4476-'Black-Scholes'!$B$6,0))</f>
        <v>3.14374711209697</v>
      </c>
      <c r="F4476" s="18" t="n">
        <f aca="false">(E4476+G4476)/2</f>
        <v>2.89723485957173</v>
      </c>
      <c r="G4476" s="18" t="n">
        <f aca="false">EXP(-'Black-Scholes'!$B$8*'Black-Scholes'!$B$7)*IF(LOWER('Black-Scholes'!$B$11)="put",MAX('Black-Scholes'!$B$6-D4476,0),MAX(D4476-'Black-Scholes'!$B$6,0))</f>
        <v>2.65072260704649</v>
      </c>
    </row>
    <row r="4477" customFormat="false" ht="15" hidden="false" customHeight="false" outlineLevel="0" collapsed="false">
      <c r="A4477" s="0" t="n">
        <v>4466</v>
      </c>
      <c r="B4477" s="15" t="n">
        <v>-1.34637996677543</v>
      </c>
      <c r="C4477" s="18" t="n">
        <f aca="false">'Black-Scholes'!$B$5*EXP(('Black-Scholes'!$B$8-'Black-Scholes'!$B$10-'Black-Scholes'!$B$9^2/2)*'Black-Scholes'!$B$7+'Black-Scholes'!$B$9*SQRT('Black-Scholes'!$B$7)*B4477)</f>
        <v>78.7197591084313</v>
      </c>
      <c r="D4477" s="18" t="n">
        <f aca="false">'Black-Scholes'!$B$5*EXP(('Black-Scholes'!$B$8-'Black-Scholes'!$B$10-'Black-Scholes'!$B$9^2/2)*'Black-Scholes'!$B$7-'Black-Scholes'!$B$9*SQRT('Black-Scholes'!$B$7)*B4477)</f>
        <v>134.888185453254</v>
      </c>
      <c r="E4477" s="18" t="n">
        <f aca="false">EXP(-'Black-Scholes'!$B$8*'Black-Scholes'!$B$7)*IF(LOWER('Black-Scholes'!$B$11)="put",MAX('Black-Scholes'!$B$6-C4477,0),MAX(C4477-'Black-Scholes'!$B$6,0))</f>
        <v>0</v>
      </c>
      <c r="F4477" s="18" t="n">
        <f aca="false">(E4477+G4477)/2</f>
        <v>16.5933342852867</v>
      </c>
      <c r="G4477" s="18" t="n">
        <f aca="false">EXP(-'Black-Scholes'!$B$8*'Black-Scholes'!$B$7)*IF(LOWER('Black-Scholes'!$B$11)="put",MAX('Black-Scholes'!$B$6-D4477,0),MAX(D4477-'Black-Scholes'!$B$6,0))</f>
        <v>33.1866685705734</v>
      </c>
    </row>
    <row r="4478" customFormat="false" ht="15" hidden="false" customHeight="false" outlineLevel="0" collapsed="false">
      <c r="A4478" s="0" t="n">
        <v>4467</v>
      </c>
      <c r="B4478" s="15" t="n">
        <v>-0.00985865974249774</v>
      </c>
      <c r="C4478" s="18" t="n">
        <f aca="false">'Black-Scholes'!$B$5*EXP(('Black-Scholes'!$B$8-'Black-Scholes'!$B$10-'Black-Scholes'!$B$9^2/2)*'Black-Scholes'!$B$7+'Black-Scholes'!$B$9*SQRT('Black-Scholes'!$B$7)*B4478)</f>
        <v>102.842475557449</v>
      </c>
      <c r="D4478" s="18" t="n">
        <f aca="false">'Black-Scholes'!$B$5*EXP(('Black-Scholes'!$B$8-'Black-Scholes'!$B$10-'Black-Scholes'!$B$9^2/2)*'Black-Scholes'!$B$7-'Black-Scholes'!$B$9*SQRT('Black-Scholes'!$B$7)*B4478)</f>
        <v>103.248831845963</v>
      </c>
      <c r="E4478" s="18" t="n">
        <f aca="false">EXP(-'Black-Scholes'!$B$8*'Black-Scholes'!$B$7)*IF(LOWER('Black-Scholes'!$B$11)="put",MAX('Black-Scholes'!$B$6-C4478,0),MAX(C4478-'Black-Scholes'!$B$6,0))</f>
        <v>2.70384638866915</v>
      </c>
      <c r="F4478" s="18" t="n">
        <f aca="false">(E4478+G4478)/2</f>
        <v>2.8971154179022</v>
      </c>
      <c r="G4478" s="18" t="n">
        <f aca="false">EXP(-'Black-Scholes'!$B$8*'Black-Scholes'!$B$7)*IF(LOWER('Black-Scholes'!$B$11)="put",MAX('Black-Scholes'!$B$6-D4478,0),MAX(D4478-'Black-Scholes'!$B$6,0))</f>
        <v>3.09038444713526</v>
      </c>
    </row>
    <row r="4479" customFormat="false" ht="15" hidden="false" customHeight="false" outlineLevel="0" collapsed="false">
      <c r="A4479" s="0" t="n">
        <v>4468</v>
      </c>
      <c r="B4479" s="15" t="n">
        <v>0.324549807143612</v>
      </c>
      <c r="C4479" s="18" t="n">
        <f aca="false">'Black-Scholes'!$B$5*EXP(('Black-Scholes'!$B$8-'Black-Scholes'!$B$10-'Black-Scholes'!$B$9^2/2)*'Black-Scholes'!$B$7+'Black-Scholes'!$B$9*SQRT('Black-Scholes'!$B$7)*B4479)</f>
        <v>109.95598478712</v>
      </c>
      <c r="D4479" s="18" t="n">
        <f aca="false">'Black-Scholes'!$B$5*EXP(('Black-Scholes'!$B$8-'Black-Scholes'!$B$10-'Black-Scholes'!$B$9^2/2)*'Black-Scholes'!$B$7-'Black-Scholes'!$B$9*SQRT('Black-Scholes'!$B$7)*B4479)</f>
        <v>96.5692361903837</v>
      </c>
      <c r="E4479" s="18" t="n">
        <f aca="false">EXP(-'Black-Scholes'!$B$8*'Black-Scholes'!$B$7)*IF(LOWER('Black-Scholes'!$B$11)="put",MAX('Black-Scholes'!$B$6-C4479,0),MAX(C4479-'Black-Scholes'!$B$6,0))</f>
        <v>9.47042567938978</v>
      </c>
      <c r="F4479" s="18" t="n">
        <f aca="false">(E4479+G4479)/2</f>
        <v>4.73521283969489</v>
      </c>
      <c r="G4479" s="18" t="n">
        <f aca="false">EXP(-'Black-Scholes'!$B$8*'Black-Scholes'!$B$7)*IF(LOWER('Black-Scholes'!$B$11)="put",MAX('Black-Scholes'!$B$6-D4479,0),MAX(D4479-'Black-Scholes'!$B$6,0))</f>
        <v>0</v>
      </c>
    </row>
    <row r="4480" customFormat="false" ht="15" hidden="false" customHeight="false" outlineLevel="0" collapsed="false">
      <c r="A4480" s="0" t="n">
        <v>4469</v>
      </c>
      <c r="B4480" s="15" t="n">
        <v>-0.224069256573029</v>
      </c>
      <c r="C4480" s="18" t="n">
        <f aca="false">'Black-Scholes'!$B$5*EXP(('Black-Scholes'!$B$8-'Black-Scholes'!$B$10-'Black-Scholes'!$B$9^2/2)*'Black-Scholes'!$B$7+'Black-Scholes'!$B$9*SQRT('Black-Scholes'!$B$7)*B4480)</f>
        <v>98.5295333964366</v>
      </c>
      <c r="D4480" s="18" t="n">
        <f aca="false">'Black-Scholes'!$B$5*EXP(('Black-Scholes'!$B$8-'Black-Scholes'!$B$10-'Black-Scholes'!$B$9^2/2)*'Black-Scholes'!$B$7-'Black-Scholes'!$B$9*SQRT('Black-Scholes'!$B$7)*B4480)</f>
        <v>107.768352284084</v>
      </c>
      <c r="E4480" s="18" t="n">
        <f aca="false">EXP(-'Black-Scholes'!$B$8*'Black-Scholes'!$B$7)*IF(LOWER('Black-Scholes'!$B$11)="put",MAX('Black-Scholes'!$B$6-C4480,0),MAX(C4480-'Black-Scholes'!$B$6,0))</f>
        <v>0</v>
      </c>
      <c r="F4480" s="18" t="n">
        <f aca="false">(E4480+G4480)/2</f>
        <v>3.69474263625401</v>
      </c>
      <c r="G4480" s="18" t="n">
        <f aca="false">EXP(-'Black-Scholes'!$B$8*'Black-Scholes'!$B$7)*IF(LOWER('Black-Scholes'!$B$11)="put",MAX('Black-Scholes'!$B$6-D4480,0),MAX(D4480-'Black-Scholes'!$B$6,0))</f>
        <v>7.38948527250802</v>
      </c>
    </row>
    <row r="4481" customFormat="false" ht="15" hidden="false" customHeight="false" outlineLevel="0" collapsed="false">
      <c r="A4481" s="0" t="n">
        <v>4470</v>
      </c>
      <c r="B4481" s="15" t="n">
        <v>-0.950713096274807</v>
      </c>
      <c r="C4481" s="18" t="n">
        <f aca="false">'Black-Scholes'!$B$5*EXP(('Black-Scholes'!$B$8-'Black-Scholes'!$B$10-'Black-Scholes'!$B$9^2/2)*'Black-Scholes'!$B$7+'Black-Scholes'!$B$9*SQRT('Black-Scholes'!$B$7)*B4481)</f>
        <v>85.2022265519907</v>
      </c>
      <c r="D4481" s="18" t="n">
        <f aca="false">'Black-Scholes'!$B$5*EXP(('Black-Scholes'!$B$8-'Black-Scholes'!$B$10-'Black-Scholes'!$B$9^2/2)*'Black-Scholes'!$B$7-'Black-Scholes'!$B$9*SQRT('Black-Scholes'!$B$7)*B4481)</f>
        <v>124.625445779568</v>
      </c>
      <c r="E4481" s="18" t="n">
        <f aca="false">EXP(-'Black-Scholes'!$B$8*'Black-Scholes'!$B$7)*IF(LOWER('Black-Scholes'!$B$11)="put",MAX('Black-Scholes'!$B$6-C4481,0),MAX(C4481-'Black-Scholes'!$B$6,0))</f>
        <v>0</v>
      </c>
      <c r="F4481" s="18" t="n">
        <f aca="false">(E4481+G4481)/2</f>
        <v>11.7122243084861</v>
      </c>
      <c r="G4481" s="18" t="n">
        <f aca="false">EXP(-'Black-Scholes'!$B$8*'Black-Scholes'!$B$7)*IF(LOWER('Black-Scholes'!$B$11)="put",MAX('Black-Scholes'!$B$6-D4481,0),MAX(D4481-'Black-Scholes'!$B$6,0))</f>
        <v>23.4244486169722</v>
      </c>
    </row>
    <row r="4482" customFormat="false" ht="15" hidden="false" customHeight="false" outlineLevel="0" collapsed="false">
      <c r="A4482" s="0" t="n">
        <v>4471</v>
      </c>
      <c r="B4482" s="15" t="n">
        <v>-0.99949675723923</v>
      </c>
      <c r="C4482" s="18" t="n">
        <f aca="false">'Black-Scholes'!$B$5*EXP(('Black-Scholes'!$B$8-'Black-Scholes'!$B$10-'Black-Scholes'!$B$9^2/2)*'Black-Scholes'!$B$7+'Black-Scholes'!$B$9*SQRT('Black-Scholes'!$B$7)*B4482)</f>
        <v>84.3749734512038</v>
      </c>
      <c r="D4482" s="18" t="n">
        <f aca="false">'Black-Scholes'!$B$5*EXP(('Black-Scholes'!$B$8-'Black-Scholes'!$B$10-'Black-Scholes'!$B$9^2/2)*'Black-Scholes'!$B$7-'Black-Scholes'!$B$9*SQRT('Black-Scholes'!$B$7)*B4482)</f>
        <v>125.847334003542</v>
      </c>
      <c r="E4482" s="18" t="n">
        <f aca="false">EXP(-'Black-Scholes'!$B$8*'Black-Scholes'!$B$7)*IF(LOWER('Black-Scholes'!$B$11)="put",MAX('Black-Scholes'!$B$6-C4482,0),MAX(C4482-'Black-Scholes'!$B$6,0))</f>
        <v>0</v>
      </c>
      <c r="F4482" s="18" t="n">
        <f aca="false">(E4482+G4482)/2</f>
        <v>12.2933723245333</v>
      </c>
      <c r="G4482" s="18" t="n">
        <f aca="false">EXP(-'Black-Scholes'!$B$8*'Black-Scholes'!$B$7)*IF(LOWER('Black-Scholes'!$B$11)="put",MAX('Black-Scholes'!$B$6-D4482,0),MAX(D4482-'Black-Scholes'!$B$6,0))</f>
        <v>24.5867446490665</v>
      </c>
    </row>
    <row r="4483" customFormat="false" ht="15" hidden="false" customHeight="false" outlineLevel="0" collapsed="false">
      <c r="A4483" s="0" t="n">
        <v>4472</v>
      </c>
      <c r="B4483" s="15" t="n">
        <v>0.521871611871697</v>
      </c>
      <c r="C4483" s="18" t="n">
        <f aca="false">'Black-Scholes'!$B$5*EXP(('Black-Scholes'!$B$8-'Black-Scholes'!$B$10-'Black-Scholes'!$B$9^2/2)*'Black-Scholes'!$B$7+'Black-Scholes'!$B$9*SQRT('Black-Scholes'!$B$7)*B4483)</f>
        <v>114.382089727422</v>
      </c>
      <c r="D4483" s="18" t="n">
        <f aca="false">'Black-Scholes'!$B$5*EXP(('Black-Scholes'!$B$8-'Black-Scholes'!$B$10-'Black-Scholes'!$B$9^2/2)*'Black-Scholes'!$B$7-'Black-Scholes'!$B$9*SQRT('Black-Scholes'!$B$7)*B4483)</f>
        <v>92.8324136301207</v>
      </c>
      <c r="E4483" s="18" t="n">
        <f aca="false">EXP(-'Black-Scholes'!$B$8*'Black-Scholes'!$B$7)*IF(LOWER('Black-Scholes'!$B$11)="put",MAX('Black-Scholes'!$B$6-C4483,0),MAX(C4483-'Black-Scholes'!$B$6,0))</f>
        <v>13.6806669345331</v>
      </c>
      <c r="F4483" s="18" t="n">
        <f aca="false">(E4483+G4483)/2</f>
        <v>6.84033346726653</v>
      </c>
      <c r="G4483" s="18" t="n">
        <f aca="false">EXP(-'Black-Scholes'!$B$8*'Black-Scholes'!$B$7)*IF(LOWER('Black-Scholes'!$B$11)="put",MAX('Black-Scholes'!$B$6-D4483,0),MAX(D4483-'Black-Scholes'!$B$6,0))</f>
        <v>0</v>
      </c>
    </row>
    <row r="4484" customFormat="false" ht="15" hidden="false" customHeight="false" outlineLevel="0" collapsed="false">
      <c r="A4484" s="0" t="n">
        <v>4473</v>
      </c>
      <c r="B4484" s="15" t="n">
        <v>0.901787977570932</v>
      </c>
      <c r="C4484" s="18" t="n">
        <f aca="false">'Black-Scholes'!$B$5*EXP(('Black-Scholes'!$B$8-'Black-Scholes'!$B$10-'Black-Scholes'!$B$9^2/2)*'Black-Scholes'!$B$7+'Black-Scholes'!$B$9*SQRT('Black-Scholes'!$B$7)*B4484)</f>
        <v>123.411929658435</v>
      </c>
      <c r="D4484" s="18" t="n">
        <f aca="false">'Black-Scholes'!$B$5*EXP(('Black-Scholes'!$B$8-'Black-Scholes'!$B$10-'Black-Scholes'!$B$9^2/2)*'Black-Scholes'!$B$7-'Black-Scholes'!$B$9*SQRT('Black-Scholes'!$B$7)*B4484)</f>
        <v>86.0400246138428</v>
      </c>
      <c r="E4484" s="18" t="n">
        <f aca="false">EXP(-'Black-Scholes'!$B$8*'Black-Scholes'!$B$7)*IF(LOWER('Black-Scholes'!$B$11)="put",MAX('Black-Scholes'!$B$6-C4484,0),MAX(C4484-'Black-Scholes'!$B$6,0))</f>
        <v>22.2701163754444</v>
      </c>
      <c r="F4484" s="18" t="n">
        <f aca="false">(E4484+G4484)/2</f>
        <v>11.1350581877222</v>
      </c>
      <c r="G4484" s="18" t="n">
        <f aca="false">EXP(-'Black-Scholes'!$B$8*'Black-Scholes'!$B$7)*IF(LOWER('Black-Scholes'!$B$11)="put",MAX('Black-Scholes'!$B$6-D4484,0),MAX(D4484-'Black-Scholes'!$B$6,0))</f>
        <v>0</v>
      </c>
    </row>
    <row r="4485" customFormat="false" ht="15" hidden="false" customHeight="false" outlineLevel="0" collapsed="false">
      <c r="A4485" s="0" t="n">
        <v>4474</v>
      </c>
      <c r="B4485" s="15" t="n">
        <v>-1.03430082506651</v>
      </c>
      <c r="C4485" s="18" t="n">
        <f aca="false">'Black-Scholes'!$B$5*EXP(('Black-Scholes'!$B$8-'Black-Scholes'!$B$10-'Black-Scholes'!$B$9^2/2)*'Black-Scholes'!$B$7+'Black-Scholes'!$B$9*SQRT('Black-Scholes'!$B$7)*B4485)</f>
        <v>83.78969436393</v>
      </c>
      <c r="D4485" s="18" t="n">
        <f aca="false">'Black-Scholes'!$B$5*EXP(('Black-Scholes'!$B$8-'Black-Scholes'!$B$10-'Black-Scholes'!$B$9^2/2)*'Black-Scholes'!$B$7-'Black-Scholes'!$B$9*SQRT('Black-Scholes'!$B$7)*B4485)</f>
        <v>126.726389755452</v>
      </c>
      <c r="E4485" s="18" t="n">
        <f aca="false">EXP(-'Black-Scholes'!$B$8*'Black-Scholes'!$B$7)*IF(LOWER('Black-Scholes'!$B$11)="put",MAX('Black-Scholes'!$B$6-C4485,0),MAX(C4485-'Black-Scholes'!$B$6,0))</f>
        <v>0</v>
      </c>
      <c r="F4485" s="18" t="n">
        <f aca="false">(E4485+G4485)/2</f>
        <v>12.7114641730302</v>
      </c>
      <c r="G4485" s="18" t="n">
        <f aca="false">EXP(-'Black-Scholes'!$B$8*'Black-Scholes'!$B$7)*IF(LOWER('Black-Scholes'!$B$11)="put",MAX('Black-Scholes'!$B$6-D4485,0),MAX(D4485-'Black-Scholes'!$B$6,0))</f>
        <v>25.4229283460604</v>
      </c>
    </row>
    <row r="4486" customFormat="false" ht="15" hidden="false" customHeight="false" outlineLevel="0" collapsed="false">
      <c r="A4486" s="0" t="n">
        <v>4475</v>
      </c>
      <c r="B4486" s="15" t="n">
        <v>1.32838116708981</v>
      </c>
      <c r="C4486" s="18" t="n">
        <f aca="false">'Black-Scholes'!$B$5*EXP(('Black-Scholes'!$B$8-'Black-Scholes'!$B$10-'Black-Scholes'!$B$9^2/2)*'Black-Scholes'!$B$7+'Black-Scholes'!$B$9*SQRT('Black-Scholes'!$B$7)*B4486)</f>
        <v>134.403493278403</v>
      </c>
      <c r="D4486" s="18" t="n">
        <f aca="false">'Black-Scholes'!$B$5*EXP(('Black-Scholes'!$B$8-'Black-Scholes'!$B$10-'Black-Scholes'!$B$9^2/2)*'Black-Scholes'!$B$7-'Black-Scholes'!$B$9*SQRT('Black-Scholes'!$B$7)*B4486)</f>
        <v>79.0036419920929</v>
      </c>
      <c r="E4486" s="18" t="n">
        <f aca="false">EXP(-'Black-Scholes'!$B$8*'Black-Scholes'!$B$7)*IF(LOWER('Black-Scholes'!$B$11)="put",MAX('Black-Scholes'!$B$6-C4486,0),MAX(C4486-'Black-Scholes'!$B$6,0))</f>
        <v>32.7256151120292</v>
      </c>
      <c r="F4486" s="18" t="n">
        <f aca="false">(E4486+G4486)/2</f>
        <v>16.3628075560146</v>
      </c>
      <c r="G4486" s="18" t="n">
        <f aca="false">EXP(-'Black-Scholes'!$B$8*'Black-Scholes'!$B$7)*IF(LOWER('Black-Scholes'!$B$11)="put",MAX('Black-Scholes'!$B$6-D4486,0),MAX(D4486-'Black-Scholes'!$B$6,0))</f>
        <v>0</v>
      </c>
    </row>
    <row r="4487" customFormat="false" ht="15" hidden="false" customHeight="false" outlineLevel="0" collapsed="false">
      <c r="A4487" s="0" t="n">
        <v>4476</v>
      </c>
      <c r="B4487" s="15" t="n">
        <v>-0.192594054479119</v>
      </c>
      <c r="C4487" s="18" t="n">
        <f aca="false">'Black-Scholes'!$B$5*EXP(('Black-Scholes'!$B$8-'Black-Scholes'!$B$10-'Black-Scholes'!$B$9^2/2)*'Black-Scholes'!$B$7+'Black-Scholes'!$B$9*SQRT('Black-Scholes'!$B$7)*B4487)</f>
        <v>99.1517371357561</v>
      </c>
      <c r="D4487" s="18" t="n">
        <f aca="false">'Black-Scholes'!$B$5*EXP(('Black-Scholes'!$B$8-'Black-Scholes'!$B$10-'Black-Scholes'!$B$9^2/2)*'Black-Scholes'!$B$7-'Black-Scholes'!$B$9*SQRT('Black-Scholes'!$B$7)*B4487)</f>
        <v>107.092076974054</v>
      </c>
      <c r="E4487" s="18" t="n">
        <f aca="false">EXP(-'Black-Scholes'!$B$8*'Black-Scholes'!$B$7)*IF(LOWER('Black-Scholes'!$B$11)="put",MAX('Black-Scholes'!$B$6-C4487,0),MAX(C4487-'Black-Scholes'!$B$6,0))</f>
        <v>0</v>
      </c>
      <c r="F4487" s="18" t="n">
        <f aca="false">(E4487+G4487)/2</f>
        <v>3.37309614927223</v>
      </c>
      <c r="G4487" s="18" t="n">
        <f aca="false">EXP(-'Black-Scholes'!$B$8*'Black-Scholes'!$B$7)*IF(LOWER('Black-Scholes'!$B$11)="put",MAX('Black-Scholes'!$B$6-D4487,0),MAX(D4487-'Black-Scholes'!$B$6,0))</f>
        <v>6.74619229854446</v>
      </c>
    </row>
    <row r="4488" customFormat="false" ht="15" hidden="false" customHeight="false" outlineLevel="0" collapsed="false">
      <c r="A4488" s="0" t="n">
        <v>4477</v>
      </c>
      <c r="B4488" s="15" t="n">
        <v>-2.28241059494698</v>
      </c>
      <c r="C4488" s="18" t="n">
        <f aca="false">'Black-Scholes'!$B$5*EXP(('Black-Scholes'!$B$8-'Black-Scholes'!$B$10-'Black-Scholes'!$B$9^2/2)*'Black-Scholes'!$B$7+'Black-Scholes'!$B$9*SQRT('Black-Scholes'!$B$7)*B4488)</f>
        <v>65.280153822242</v>
      </c>
      <c r="D4488" s="18" t="n">
        <f aca="false">'Black-Scholes'!$B$5*EXP(('Black-Scholes'!$B$8-'Black-Scholes'!$B$10-'Black-Scholes'!$B$9^2/2)*'Black-Scholes'!$B$7-'Black-Scholes'!$B$9*SQRT('Black-Scholes'!$B$7)*B4488)</f>
        <v>162.658401424228</v>
      </c>
      <c r="E4488" s="18" t="n">
        <f aca="false">EXP(-'Black-Scholes'!$B$8*'Black-Scholes'!$B$7)*IF(LOWER('Black-Scholes'!$B$11)="put",MAX('Black-Scholes'!$B$6-C4488,0),MAX(C4488-'Black-Scholes'!$B$6,0))</f>
        <v>0</v>
      </c>
      <c r="F4488" s="18" t="n">
        <f aca="false">(E4488+G4488)/2</f>
        <v>29.8012575634516</v>
      </c>
      <c r="G4488" s="18" t="n">
        <f aca="false">EXP(-'Black-Scholes'!$B$8*'Black-Scholes'!$B$7)*IF(LOWER('Black-Scholes'!$B$11)="put",MAX('Black-Scholes'!$B$6-D4488,0),MAX(D4488-'Black-Scholes'!$B$6,0))</f>
        <v>59.6025151269031</v>
      </c>
    </row>
    <row r="4489" customFormat="false" ht="15" hidden="false" customHeight="false" outlineLevel="0" collapsed="false">
      <c r="A4489" s="0" t="n">
        <v>4478</v>
      </c>
      <c r="B4489" s="15" t="n">
        <v>1.99910264050217</v>
      </c>
      <c r="C4489" s="18" t="n">
        <f aca="false">'Black-Scholes'!$B$5*EXP(('Black-Scholes'!$B$8-'Black-Scholes'!$B$10-'Black-Scholes'!$B$9^2/2)*'Black-Scholes'!$B$7+'Black-Scholes'!$B$9*SQRT('Black-Scholes'!$B$7)*B4489)</f>
        <v>153.698165377658</v>
      </c>
      <c r="D4489" s="18" t="n">
        <f aca="false">'Black-Scholes'!$B$5*EXP(('Black-Scholes'!$B$8-'Black-Scholes'!$B$10-'Black-Scholes'!$B$9^2/2)*'Black-Scholes'!$B$7-'Black-Scholes'!$B$9*SQRT('Black-Scholes'!$B$7)*B4489)</f>
        <v>69.0858309164768</v>
      </c>
      <c r="E4489" s="18" t="n">
        <f aca="false">EXP(-'Black-Scholes'!$B$8*'Black-Scholes'!$B$7)*IF(LOWER('Black-Scholes'!$B$11)="put",MAX('Black-Scholes'!$B$6-C4489,0),MAX(C4489-'Black-Scholes'!$B$6,0))</f>
        <v>51.0792749489342</v>
      </c>
      <c r="F4489" s="18" t="n">
        <f aca="false">(E4489+G4489)/2</f>
        <v>25.5396374744671</v>
      </c>
      <c r="G4489" s="18" t="n">
        <f aca="false">EXP(-'Black-Scholes'!$B$8*'Black-Scholes'!$B$7)*IF(LOWER('Black-Scholes'!$B$11)="put",MAX('Black-Scholes'!$B$6-D4489,0),MAX(D4489-'Black-Scholes'!$B$6,0))</f>
        <v>0</v>
      </c>
    </row>
    <row r="4490" customFormat="false" ht="15" hidden="false" customHeight="false" outlineLevel="0" collapsed="false">
      <c r="A4490" s="0" t="n">
        <v>4479</v>
      </c>
      <c r="B4490" s="15" t="n">
        <v>0.220849822929084</v>
      </c>
      <c r="C4490" s="18" t="n">
        <f aca="false">'Black-Scholes'!$B$5*EXP(('Black-Scholes'!$B$8-'Black-Scholes'!$B$10-'Black-Scholes'!$B$9^2/2)*'Black-Scholes'!$B$7+'Black-Scholes'!$B$9*SQRT('Black-Scholes'!$B$7)*B4490)</f>
        <v>107.698984007318</v>
      </c>
      <c r="D4490" s="18" t="n">
        <f aca="false">'Black-Scholes'!$B$5*EXP(('Black-Scholes'!$B$8-'Black-Scholes'!$B$10-'Black-Scholes'!$B$9^2/2)*'Black-Scholes'!$B$7-'Black-Scholes'!$B$9*SQRT('Black-Scholes'!$B$7)*B4490)</f>
        <v>98.5929956844543</v>
      </c>
      <c r="E4490" s="18" t="n">
        <f aca="false">EXP(-'Black-Scholes'!$B$8*'Black-Scholes'!$B$7)*IF(LOWER('Black-Scholes'!$B$11)="put",MAX('Black-Scholes'!$B$6-C4490,0),MAX(C4490-'Black-Scholes'!$B$6,0))</f>
        <v>7.32350012652114</v>
      </c>
      <c r="F4490" s="18" t="n">
        <f aca="false">(E4490+G4490)/2</f>
        <v>3.66175006326057</v>
      </c>
      <c r="G4490" s="18" t="n">
        <f aca="false">EXP(-'Black-Scholes'!$B$8*'Black-Scholes'!$B$7)*IF(LOWER('Black-Scholes'!$B$11)="put",MAX('Black-Scholes'!$B$6-D4490,0),MAX(D4490-'Black-Scholes'!$B$6,0))</f>
        <v>0</v>
      </c>
    </row>
    <row r="4491" customFormat="false" ht="15" hidden="false" customHeight="false" outlineLevel="0" collapsed="false">
      <c r="A4491" s="0" t="n">
        <v>4480</v>
      </c>
      <c r="B4491" s="15" t="n">
        <v>-2.09348064325606</v>
      </c>
      <c r="C4491" s="18" t="n">
        <f aca="false">'Black-Scholes'!$B$5*EXP(('Black-Scholes'!$B$8-'Black-Scholes'!$B$10-'Black-Scholes'!$B$9^2/2)*'Black-Scholes'!$B$7+'Black-Scholes'!$B$9*SQRT('Black-Scholes'!$B$7)*B4491)</f>
        <v>67.7940245334134</v>
      </c>
      <c r="D4491" s="18" t="n">
        <f aca="false">'Black-Scholes'!$B$5*EXP(('Black-Scholes'!$B$8-'Black-Scholes'!$B$10-'Black-Scholes'!$B$9^2/2)*'Black-Scholes'!$B$7-'Black-Scholes'!$B$9*SQRT('Black-Scholes'!$B$7)*B4491)</f>
        <v>156.626864071481</v>
      </c>
      <c r="E4491" s="18" t="n">
        <f aca="false">EXP(-'Black-Scholes'!$B$8*'Black-Scholes'!$B$7)*IF(LOWER('Black-Scholes'!$B$11)="put",MAX('Black-Scholes'!$B$6-C4491,0),MAX(C4491-'Black-Scholes'!$B$6,0))</f>
        <v>0</v>
      </c>
      <c r="F4491" s="18" t="n">
        <f aca="false">(E4491+G4491)/2</f>
        <v>26.9325696609976</v>
      </c>
      <c r="G4491" s="18" t="n">
        <f aca="false">EXP(-'Black-Scholes'!$B$8*'Black-Scholes'!$B$7)*IF(LOWER('Black-Scholes'!$B$11)="put",MAX('Black-Scholes'!$B$6-D4491,0),MAX(D4491-'Black-Scholes'!$B$6,0))</f>
        <v>53.8651393219952</v>
      </c>
    </row>
    <row r="4492" customFormat="false" ht="15" hidden="false" customHeight="false" outlineLevel="0" collapsed="false">
      <c r="A4492" s="0" t="n">
        <v>4481</v>
      </c>
      <c r="B4492" s="15" t="n">
        <v>-0.762024248548141</v>
      </c>
      <c r="C4492" s="18" t="n">
        <f aca="false">'Black-Scholes'!$B$5*EXP(('Black-Scholes'!$B$8-'Black-Scholes'!$B$10-'Black-Scholes'!$B$9^2/2)*'Black-Scholes'!$B$7+'Black-Scholes'!$B$9*SQRT('Black-Scholes'!$B$7)*B4492)</f>
        <v>88.4790088972237</v>
      </c>
      <c r="D4492" s="18" t="n">
        <f aca="false">'Black-Scholes'!$B$5*EXP(('Black-Scholes'!$B$8-'Black-Scholes'!$B$10-'Black-Scholes'!$B$9^2/2)*'Black-Scholes'!$B$7-'Black-Scholes'!$B$9*SQRT('Black-Scholes'!$B$7)*B4492)</f>
        <v>120.009995566155</v>
      </c>
      <c r="E4492" s="18" t="n">
        <f aca="false">EXP(-'Black-Scholes'!$B$8*'Black-Scholes'!$B$7)*IF(LOWER('Black-Scholes'!$B$11)="put",MAX('Black-Scholes'!$B$6-C4492,0),MAX(C4492-'Black-Scholes'!$B$6,0))</f>
        <v>0</v>
      </c>
      <c r="F4492" s="18" t="n">
        <f aca="false">(E4492+G4492)/2</f>
        <v>9.51704828332772</v>
      </c>
      <c r="G4492" s="18" t="n">
        <f aca="false">EXP(-'Black-Scholes'!$B$8*'Black-Scholes'!$B$7)*IF(LOWER('Black-Scholes'!$B$11)="put",MAX('Black-Scholes'!$B$6-D4492,0),MAX(D4492-'Black-Scholes'!$B$6,0))</f>
        <v>19.0340965666554</v>
      </c>
    </row>
    <row r="4493" customFormat="false" ht="15" hidden="false" customHeight="false" outlineLevel="0" collapsed="false">
      <c r="A4493" s="0" t="n">
        <v>4482</v>
      </c>
      <c r="B4493" s="15" t="n">
        <v>2.14405908230798</v>
      </c>
      <c r="C4493" s="18" t="n">
        <f aca="false">'Black-Scholes'!$B$5*EXP(('Black-Scholes'!$B$8-'Black-Scholes'!$B$10-'Black-Scholes'!$B$9^2/2)*'Black-Scholes'!$B$7+'Black-Scholes'!$B$9*SQRT('Black-Scholes'!$B$7)*B4493)</f>
        <v>158.219293210124</v>
      </c>
      <c r="D4493" s="18" t="n">
        <f aca="false">'Black-Scholes'!$B$5*EXP(('Black-Scholes'!$B$8-'Black-Scholes'!$B$10-'Black-Scholes'!$B$9^2/2)*'Black-Scholes'!$B$7-'Black-Scholes'!$B$9*SQRT('Black-Scholes'!$B$7)*B4493)</f>
        <v>67.111698263952</v>
      </c>
      <c r="E4493" s="18" t="n">
        <f aca="false">EXP(-'Black-Scholes'!$B$8*'Black-Scholes'!$B$7)*IF(LOWER('Black-Scholes'!$B$11)="put",MAX('Black-Scholes'!$B$6-C4493,0),MAX(C4493-'Black-Scholes'!$B$6,0))</f>
        <v>55.3799047751046</v>
      </c>
      <c r="F4493" s="18" t="n">
        <f aca="false">(E4493+G4493)/2</f>
        <v>27.6899523875523</v>
      </c>
      <c r="G4493" s="18" t="n">
        <f aca="false">EXP(-'Black-Scholes'!$B$8*'Black-Scholes'!$B$7)*IF(LOWER('Black-Scholes'!$B$11)="put",MAX('Black-Scholes'!$B$6-D4493,0),MAX(D4493-'Black-Scholes'!$B$6,0))</f>
        <v>0</v>
      </c>
    </row>
    <row r="4494" customFormat="false" ht="15" hidden="false" customHeight="false" outlineLevel="0" collapsed="false">
      <c r="A4494" s="0" t="n">
        <v>4483</v>
      </c>
      <c r="B4494" s="15" t="n">
        <v>-0.804003733635232</v>
      </c>
      <c r="C4494" s="18" t="n">
        <f aca="false">'Black-Scholes'!$B$5*EXP(('Black-Scholes'!$B$8-'Black-Scholes'!$B$10-'Black-Scholes'!$B$9^2/2)*'Black-Scholes'!$B$7+'Black-Scholes'!$B$9*SQRT('Black-Scholes'!$B$7)*B4494)</f>
        <v>87.7392580318432</v>
      </c>
      <c r="D4494" s="18" t="n">
        <f aca="false">'Black-Scholes'!$B$5*EXP(('Black-Scholes'!$B$8-'Black-Scholes'!$B$10-'Black-Scholes'!$B$9^2/2)*'Black-Scholes'!$B$7-'Black-Scholes'!$B$9*SQRT('Black-Scholes'!$B$7)*B4494)</f>
        <v>121.021828810085</v>
      </c>
      <c r="E4494" s="18" t="n">
        <f aca="false">EXP(-'Black-Scholes'!$B$8*'Black-Scholes'!$B$7)*IF(LOWER('Black-Scholes'!$B$11)="put",MAX('Black-Scholes'!$B$6-C4494,0),MAX(C4494-'Black-Scholes'!$B$6,0))</f>
        <v>0</v>
      </c>
      <c r="F4494" s="18" t="n">
        <f aca="false">(E4494+G4494)/2</f>
        <v>9.99829106048479</v>
      </c>
      <c r="G4494" s="18" t="n">
        <f aca="false">EXP(-'Black-Scholes'!$B$8*'Black-Scholes'!$B$7)*IF(LOWER('Black-Scholes'!$B$11)="put",MAX('Black-Scholes'!$B$6-D4494,0),MAX(D4494-'Black-Scholes'!$B$6,0))</f>
        <v>19.9965821209696</v>
      </c>
    </row>
    <row r="4495" customFormat="false" ht="15" hidden="false" customHeight="false" outlineLevel="0" collapsed="false">
      <c r="A4495" s="0" t="n">
        <v>4484</v>
      </c>
      <c r="B4495" s="15" t="n">
        <v>-0.43402103866377</v>
      </c>
      <c r="C4495" s="18" t="n">
        <f aca="false">'Black-Scholes'!$B$5*EXP(('Black-Scholes'!$B$8-'Black-Scholes'!$B$10-'Black-Scholes'!$B$9^2/2)*'Black-Scholes'!$B$7+'Black-Scholes'!$B$9*SQRT('Black-Scholes'!$B$7)*B4495)</f>
        <v>94.4779031687497</v>
      </c>
      <c r="D4495" s="18" t="n">
        <f aca="false">'Black-Scholes'!$B$5*EXP(('Black-Scholes'!$B$8-'Black-Scholes'!$B$10-'Black-Scholes'!$B$9^2/2)*'Black-Scholes'!$B$7-'Black-Scholes'!$B$9*SQRT('Black-Scholes'!$B$7)*B4495)</f>
        <v>112.389935734368</v>
      </c>
      <c r="E4495" s="18" t="n">
        <f aca="false">EXP(-'Black-Scholes'!$B$8*'Black-Scholes'!$B$7)*IF(LOWER('Black-Scholes'!$B$11)="put",MAX('Black-Scholes'!$B$6-C4495,0),MAX(C4495-'Black-Scholes'!$B$6,0))</f>
        <v>0</v>
      </c>
      <c r="F4495" s="18" t="n">
        <f aca="false">(E4495+G4495)/2</f>
        <v>5.89283571910172</v>
      </c>
      <c r="G4495" s="18" t="n">
        <f aca="false">EXP(-'Black-Scholes'!$B$8*'Black-Scholes'!$B$7)*IF(LOWER('Black-Scholes'!$B$11)="put",MAX('Black-Scholes'!$B$6-D4495,0),MAX(D4495-'Black-Scholes'!$B$6,0))</f>
        <v>11.7856714382034</v>
      </c>
    </row>
    <row r="4496" customFormat="false" ht="15" hidden="false" customHeight="false" outlineLevel="0" collapsed="false">
      <c r="A4496" s="0" t="n">
        <v>4485</v>
      </c>
      <c r="B4496" s="15" t="n">
        <v>-0.125138200277412</v>
      </c>
      <c r="C4496" s="18" t="n">
        <f aca="false">'Black-Scholes'!$B$5*EXP(('Black-Scholes'!$B$8-'Black-Scholes'!$B$10-'Black-Scholes'!$B$9^2/2)*'Black-Scholes'!$B$7+'Black-Scholes'!$B$9*SQRT('Black-Scholes'!$B$7)*B4496)</f>
        <v>100.498474264146</v>
      </c>
      <c r="D4496" s="18" t="n">
        <f aca="false">'Black-Scholes'!$B$5*EXP(('Black-Scholes'!$B$8-'Black-Scholes'!$B$10-'Black-Scholes'!$B$9^2/2)*'Black-Scholes'!$B$7-'Black-Scholes'!$B$9*SQRT('Black-Scholes'!$B$7)*B4496)</f>
        <v>105.656981792029</v>
      </c>
      <c r="E4496" s="18" t="n">
        <f aca="false">EXP(-'Black-Scholes'!$B$8*'Black-Scholes'!$B$7)*IF(LOWER('Black-Scholes'!$B$11)="put",MAX('Black-Scholes'!$B$6-C4496,0),MAX(C4496-'Black-Scholes'!$B$6,0))</f>
        <v>0.474163387412163</v>
      </c>
      <c r="F4496" s="18" t="n">
        <f aca="false">(E4496+G4496)/2</f>
        <v>2.92762546092752</v>
      </c>
      <c r="G4496" s="18" t="n">
        <f aca="false">EXP(-'Black-Scholes'!$B$8*'Black-Scholes'!$B$7)*IF(LOWER('Black-Scholes'!$B$11)="put",MAX('Black-Scholes'!$B$6-D4496,0),MAX(D4496-'Black-Scholes'!$B$6,0))</f>
        <v>5.38108753444287</v>
      </c>
    </row>
    <row r="4497" customFormat="false" ht="15" hidden="false" customHeight="false" outlineLevel="0" collapsed="false">
      <c r="A4497" s="0" t="n">
        <v>4486</v>
      </c>
      <c r="B4497" s="15" t="n">
        <v>-0.732385040112398</v>
      </c>
      <c r="C4497" s="18" t="n">
        <f aca="false">'Black-Scholes'!$B$5*EXP(('Black-Scholes'!$B$8-'Black-Scholes'!$B$10-'Black-Scholes'!$B$9^2/2)*'Black-Scholes'!$B$7+'Black-Scholes'!$B$9*SQRT('Black-Scholes'!$B$7)*B4497)</f>
        <v>89.005056076391</v>
      </c>
      <c r="D4497" s="18" t="n">
        <f aca="false">'Black-Scholes'!$B$5*EXP(('Black-Scholes'!$B$8-'Black-Scholes'!$B$10-'Black-Scholes'!$B$9^2/2)*'Black-Scholes'!$B$7-'Black-Scholes'!$B$9*SQRT('Black-Scholes'!$B$7)*B4497)</f>
        <v>119.300699685421</v>
      </c>
      <c r="E4497" s="18" t="n">
        <f aca="false">EXP(-'Black-Scholes'!$B$8*'Black-Scholes'!$B$7)*IF(LOWER('Black-Scholes'!$B$11)="put",MAX('Black-Scholes'!$B$6-C4497,0),MAX(C4497-'Black-Scholes'!$B$6,0))</f>
        <v>0</v>
      </c>
      <c r="F4497" s="18" t="n">
        <f aca="false">(E4497+G4497)/2</f>
        <v>9.17969672711214</v>
      </c>
      <c r="G4497" s="18" t="n">
        <f aca="false">EXP(-'Black-Scholes'!$B$8*'Black-Scholes'!$B$7)*IF(LOWER('Black-Scholes'!$B$11)="put",MAX('Black-Scholes'!$B$6-D4497,0),MAX(D4497-'Black-Scholes'!$B$6,0))</f>
        <v>18.3593934542243</v>
      </c>
    </row>
    <row r="4498" customFormat="false" ht="15" hidden="false" customHeight="false" outlineLevel="0" collapsed="false">
      <c r="A4498" s="0" t="n">
        <v>4487</v>
      </c>
      <c r="B4498" s="15" t="n">
        <v>-0.745851404947784</v>
      </c>
      <c r="C4498" s="18" t="n">
        <f aca="false">'Black-Scholes'!$B$5*EXP(('Black-Scholes'!$B$8-'Black-Scholes'!$B$10-'Black-Scholes'!$B$9^2/2)*'Black-Scholes'!$B$7+'Black-Scholes'!$B$9*SQRT('Black-Scholes'!$B$7)*B4498)</f>
        <v>88.7656636841636</v>
      </c>
      <c r="D4498" s="18" t="n">
        <f aca="false">'Black-Scholes'!$B$5*EXP(('Black-Scholes'!$B$8-'Black-Scholes'!$B$10-'Black-Scholes'!$B$9^2/2)*'Black-Scholes'!$B$7-'Black-Scholes'!$B$9*SQRT('Black-Scholes'!$B$7)*B4498)</f>
        <v>119.622442110439</v>
      </c>
      <c r="E4498" s="18" t="n">
        <f aca="false">EXP(-'Black-Scholes'!$B$8*'Black-Scholes'!$B$7)*IF(LOWER('Black-Scholes'!$B$11)="put",MAX('Black-Scholes'!$B$6-C4498,0),MAX(C4498-'Black-Scholes'!$B$6,0))</f>
        <v>0</v>
      </c>
      <c r="F4498" s="18" t="n">
        <f aca="false">(E4498+G4498)/2</f>
        <v>9.33272215800592</v>
      </c>
      <c r="G4498" s="18" t="n">
        <f aca="false">EXP(-'Black-Scholes'!$B$8*'Black-Scholes'!$B$7)*IF(LOWER('Black-Scholes'!$B$11)="put",MAX('Black-Scholes'!$B$6-D4498,0),MAX(D4498-'Black-Scholes'!$B$6,0))</f>
        <v>18.6654443160118</v>
      </c>
    </row>
    <row r="4499" customFormat="false" ht="15" hidden="false" customHeight="false" outlineLevel="0" collapsed="false">
      <c r="A4499" s="0" t="n">
        <v>4488</v>
      </c>
      <c r="B4499" s="15" t="n">
        <v>-0.661423973664899</v>
      </c>
      <c r="C4499" s="18" t="n">
        <f aca="false">'Black-Scholes'!$B$5*EXP(('Black-Scholes'!$B$8-'Black-Scholes'!$B$10-'Black-Scholes'!$B$9^2/2)*'Black-Scholes'!$B$7+'Black-Scholes'!$B$9*SQRT('Black-Scholes'!$B$7)*B4499)</f>
        <v>90.2772410226839</v>
      </c>
      <c r="D4499" s="18" t="n">
        <f aca="false">'Black-Scholes'!$B$5*EXP(('Black-Scholes'!$B$8-'Black-Scholes'!$B$10-'Black-Scholes'!$B$9^2/2)*'Black-Scholes'!$B$7-'Black-Scholes'!$B$9*SQRT('Black-Scholes'!$B$7)*B4499)</f>
        <v>117.619516781484</v>
      </c>
      <c r="E4499" s="18" t="n">
        <f aca="false">EXP(-'Black-Scholes'!$B$8*'Black-Scholes'!$B$7)*IF(LOWER('Black-Scholes'!$B$11)="put",MAX('Black-Scholes'!$B$6-C4499,0),MAX(C4499-'Black-Scholes'!$B$6,0))</f>
        <v>0</v>
      </c>
      <c r="F4499" s="18" t="n">
        <f aca="false">(E4499+G4499)/2</f>
        <v>8.38010140401562</v>
      </c>
      <c r="G4499" s="18" t="n">
        <f aca="false">EXP(-'Black-Scholes'!$B$8*'Black-Scholes'!$B$7)*IF(LOWER('Black-Scholes'!$B$11)="put",MAX('Black-Scholes'!$B$6-D4499,0),MAX(D4499-'Black-Scholes'!$B$6,0))</f>
        <v>16.7602028080313</v>
      </c>
    </row>
    <row r="4500" customFormat="false" ht="15" hidden="false" customHeight="false" outlineLevel="0" collapsed="false">
      <c r="A4500" s="0" t="n">
        <v>4489</v>
      </c>
      <c r="B4500" s="15" t="n">
        <v>-0.219544866596703</v>
      </c>
      <c r="C4500" s="18" t="n">
        <f aca="false">'Black-Scholes'!$B$5*EXP(('Black-Scholes'!$B$8-'Black-Scholes'!$B$10-'Black-Scholes'!$B$9^2/2)*'Black-Scholes'!$B$7+'Black-Scholes'!$B$9*SQRT('Black-Scholes'!$B$7)*B4500)</f>
        <v>98.6187309534578</v>
      </c>
      <c r="D4500" s="18" t="n">
        <f aca="false">'Black-Scholes'!$B$5*EXP(('Black-Scholes'!$B$8-'Black-Scholes'!$B$10-'Black-Scholes'!$B$9^2/2)*'Black-Scholes'!$B$7-'Black-Scholes'!$B$9*SQRT('Black-Scholes'!$B$7)*B4500)</f>
        <v>107.6708791808</v>
      </c>
      <c r="E4500" s="18" t="n">
        <f aca="false">EXP(-'Black-Scholes'!$B$8*'Black-Scholes'!$B$7)*IF(LOWER('Black-Scholes'!$B$11)="put",MAX('Black-Scholes'!$B$6-C4500,0),MAX(C4500-'Black-Scholes'!$B$6,0))</f>
        <v>0</v>
      </c>
      <c r="F4500" s="18" t="n">
        <f aca="false">(E4500+G4500)/2</f>
        <v>3.64838299428354</v>
      </c>
      <c r="G4500" s="18" t="n">
        <f aca="false">EXP(-'Black-Scholes'!$B$8*'Black-Scholes'!$B$7)*IF(LOWER('Black-Scholes'!$B$11)="put",MAX('Black-Scholes'!$B$6-D4500,0),MAX(D4500-'Black-Scholes'!$B$6,0))</f>
        <v>7.29676598856708</v>
      </c>
    </row>
    <row r="4501" customFormat="false" ht="15" hidden="false" customHeight="false" outlineLevel="0" collapsed="false">
      <c r="A4501" s="0" t="n">
        <v>4490</v>
      </c>
      <c r="B4501" s="15" t="n">
        <v>-0.33787693523728</v>
      </c>
      <c r="C4501" s="18" t="n">
        <f aca="false">'Black-Scholes'!$B$5*EXP(('Black-Scholes'!$B$8-'Black-Scholes'!$B$10-'Black-Scholes'!$B$9^2/2)*'Black-Scholes'!$B$7+'Black-Scholes'!$B$9*SQRT('Black-Scholes'!$B$7)*B4501)</f>
        <v>96.3121808074492</v>
      </c>
      <c r="D4501" s="18" t="n">
        <f aca="false">'Black-Scholes'!$B$5*EXP(('Black-Scholes'!$B$8-'Black-Scholes'!$B$10-'Black-Scholes'!$B$9^2/2)*'Black-Scholes'!$B$7-'Black-Scholes'!$B$9*SQRT('Black-Scholes'!$B$7)*B4501)</f>
        <v>110.249455223968</v>
      </c>
      <c r="E4501" s="18" t="n">
        <f aca="false">EXP(-'Black-Scholes'!$B$8*'Black-Scholes'!$B$7)*IF(LOWER('Black-Scholes'!$B$11)="put",MAX('Black-Scholes'!$B$6-C4501,0),MAX(C4501-'Black-Scholes'!$B$6,0))</f>
        <v>0</v>
      </c>
      <c r="F4501" s="18" t="n">
        <f aca="false">(E4501+G4501)/2</f>
        <v>4.87479169707056</v>
      </c>
      <c r="G4501" s="18" t="n">
        <f aca="false">EXP(-'Black-Scholes'!$B$8*'Black-Scholes'!$B$7)*IF(LOWER('Black-Scholes'!$B$11)="put",MAX('Black-Scholes'!$B$6-D4501,0),MAX(D4501-'Black-Scholes'!$B$6,0))</f>
        <v>9.74958339414112</v>
      </c>
    </row>
    <row r="4502" customFormat="false" ht="15" hidden="false" customHeight="false" outlineLevel="0" collapsed="false">
      <c r="A4502" s="0" t="n">
        <v>4491</v>
      </c>
      <c r="B4502" s="15" t="n">
        <v>0.340878826645839</v>
      </c>
      <c r="C4502" s="18" t="n">
        <f aca="false">'Black-Scholes'!$B$5*EXP(('Black-Scholes'!$B$8-'Black-Scholes'!$B$10-'Black-Scholes'!$B$9^2/2)*'Black-Scholes'!$B$7+'Black-Scholes'!$B$9*SQRT('Black-Scholes'!$B$7)*B4502)</f>
        <v>110.315666476365</v>
      </c>
      <c r="D4502" s="18" t="n">
        <f aca="false">'Black-Scholes'!$B$5*EXP(('Black-Scholes'!$B$8-'Black-Scholes'!$B$10-'Black-Scholes'!$B$9^2/2)*'Black-Scholes'!$B$7-'Black-Scholes'!$B$9*SQRT('Black-Scholes'!$B$7)*B4502)</f>
        <v>96.2543744204141</v>
      </c>
      <c r="E4502" s="18" t="n">
        <f aca="false">EXP(-'Black-Scholes'!$B$8*'Black-Scholes'!$B$7)*IF(LOWER('Black-Scholes'!$B$11)="put",MAX('Black-Scholes'!$B$6-C4502,0),MAX(C4502-'Black-Scholes'!$B$6,0))</f>
        <v>9.81256548565433</v>
      </c>
      <c r="F4502" s="18" t="n">
        <f aca="false">(E4502+G4502)/2</f>
        <v>4.90628274282717</v>
      </c>
      <c r="G4502" s="18" t="n">
        <f aca="false">EXP(-'Black-Scholes'!$B$8*'Black-Scholes'!$B$7)*IF(LOWER('Black-Scholes'!$B$11)="put",MAX('Black-Scholes'!$B$6-D4502,0),MAX(D4502-'Black-Scholes'!$B$6,0))</f>
        <v>0</v>
      </c>
    </row>
    <row r="4503" customFormat="false" ht="15" hidden="false" customHeight="false" outlineLevel="0" collapsed="false">
      <c r="A4503" s="0" t="n">
        <v>4492</v>
      </c>
      <c r="B4503" s="15" t="n">
        <v>-0.218361736781816</v>
      </c>
      <c r="C4503" s="18" t="n">
        <f aca="false">'Black-Scholes'!$B$5*EXP(('Black-Scholes'!$B$8-'Black-Scholes'!$B$10-'Black-Scholes'!$B$9^2/2)*'Black-Scholes'!$B$7+'Black-Scholes'!$B$9*SQRT('Black-Scholes'!$B$7)*B4503)</f>
        <v>98.6420694667775</v>
      </c>
      <c r="D4503" s="18" t="n">
        <f aca="false">'Black-Scholes'!$B$5*EXP(('Black-Scholes'!$B$8-'Black-Scholes'!$B$10-'Black-Scholes'!$B$9^2/2)*'Black-Scholes'!$B$7-'Black-Scholes'!$B$9*SQRT('Black-Scholes'!$B$7)*B4503)</f>
        <v>107.645404469437</v>
      </c>
      <c r="E4503" s="18" t="n">
        <f aca="false">EXP(-'Black-Scholes'!$B$8*'Black-Scholes'!$B$7)*IF(LOWER('Black-Scholes'!$B$11)="put",MAX('Black-Scholes'!$B$6-C4503,0),MAX(C4503-'Black-Scholes'!$B$6,0))</f>
        <v>0</v>
      </c>
      <c r="F4503" s="18" t="n">
        <f aca="false">(E4503+G4503)/2</f>
        <v>3.63626684676904</v>
      </c>
      <c r="G4503" s="18" t="n">
        <f aca="false">EXP(-'Black-Scholes'!$B$8*'Black-Scholes'!$B$7)*IF(LOWER('Black-Scholes'!$B$11)="put",MAX('Black-Scholes'!$B$6-D4503,0),MAX(D4503-'Black-Scholes'!$B$6,0))</f>
        <v>7.27253369353808</v>
      </c>
    </row>
    <row r="4504" customFormat="false" ht="15" hidden="false" customHeight="false" outlineLevel="0" collapsed="false">
      <c r="A4504" s="0" t="n">
        <v>4493</v>
      </c>
      <c r="B4504" s="15" t="n">
        <v>1.02696837860224</v>
      </c>
      <c r="C4504" s="18" t="n">
        <f aca="false">'Black-Scholes'!$B$5*EXP(('Black-Scholes'!$B$8-'Black-Scholes'!$B$10-'Black-Scholes'!$B$9^2/2)*'Black-Scholes'!$B$7+'Black-Scholes'!$B$9*SQRT('Black-Scholes'!$B$7)*B4504)</f>
        <v>126.540683063473</v>
      </c>
      <c r="D4504" s="18" t="n">
        <f aca="false">'Black-Scholes'!$B$5*EXP(('Black-Scholes'!$B$8-'Black-Scholes'!$B$10-'Black-Scholes'!$B$9^2/2)*'Black-Scholes'!$B$7-'Black-Scholes'!$B$9*SQRT('Black-Scholes'!$B$7)*B4504)</f>
        <v>83.9126611963</v>
      </c>
      <c r="E4504" s="18" t="n">
        <f aca="false">EXP(-'Black-Scholes'!$B$8*'Black-Scholes'!$B$7)*IF(LOWER('Black-Scholes'!$B$11)="put",MAX('Black-Scholes'!$B$6-C4504,0),MAX(C4504-'Black-Scholes'!$B$6,0))</f>
        <v>25.2462786763233</v>
      </c>
      <c r="F4504" s="18" t="n">
        <f aca="false">(E4504+G4504)/2</f>
        <v>12.6231393381617</v>
      </c>
      <c r="G4504" s="18" t="n">
        <f aca="false">EXP(-'Black-Scholes'!$B$8*'Black-Scholes'!$B$7)*IF(LOWER('Black-Scholes'!$B$11)="put",MAX('Black-Scholes'!$B$6-D4504,0),MAX(D4504-'Black-Scholes'!$B$6,0))</f>
        <v>0</v>
      </c>
    </row>
    <row r="4505" customFormat="false" ht="15" hidden="false" customHeight="false" outlineLevel="0" collapsed="false">
      <c r="A4505" s="0" t="n">
        <v>4494</v>
      </c>
      <c r="B4505" s="15" t="n">
        <v>0.632296231323334</v>
      </c>
      <c r="C4505" s="18" t="n">
        <f aca="false">'Black-Scholes'!$B$5*EXP(('Black-Scholes'!$B$8-'Black-Scholes'!$B$10-'Black-Scholes'!$B$9^2/2)*'Black-Scholes'!$B$7+'Black-Scholes'!$B$9*SQRT('Black-Scholes'!$B$7)*B4505)</f>
        <v>116.936310543344</v>
      </c>
      <c r="D4505" s="18" t="n">
        <f aca="false">'Black-Scholes'!$B$5*EXP(('Black-Scholes'!$B$8-'Black-Scholes'!$B$10-'Black-Scholes'!$B$9^2/2)*'Black-Scholes'!$B$7-'Black-Scholes'!$B$9*SQRT('Black-Scholes'!$B$7)*B4505)</f>
        <v>90.8046903148849</v>
      </c>
      <c r="E4505" s="18" t="n">
        <f aca="false">EXP(-'Black-Scholes'!$B$8*'Black-Scholes'!$B$7)*IF(LOWER('Black-Scholes'!$B$11)="put",MAX('Black-Scholes'!$B$6-C4505,0),MAX(C4505-'Black-Scholes'!$B$6,0))</f>
        <v>16.1103169313109</v>
      </c>
      <c r="F4505" s="18" t="n">
        <f aca="false">(E4505+G4505)/2</f>
        <v>8.05515846565545</v>
      </c>
      <c r="G4505" s="18" t="n">
        <f aca="false">EXP(-'Black-Scholes'!$B$8*'Black-Scholes'!$B$7)*IF(LOWER('Black-Scholes'!$B$11)="put",MAX('Black-Scholes'!$B$6-D4505,0),MAX(D4505-'Black-Scholes'!$B$6,0))</f>
        <v>0</v>
      </c>
    </row>
    <row r="4506" customFormat="false" ht="15" hidden="false" customHeight="false" outlineLevel="0" collapsed="false">
      <c r="A4506" s="0" t="n">
        <v>4495</v>
      </c>
      <c r="B4506" s="15" t="n">
        <v>1.31152105082276</v>
      </c>
      <c r="C4506" s="18" t="n">
        <f aca="false">'Black-Scholes'!$B$5*EXP(('Black-Scholes'!$B$8-'Black-Scholes'!$B$10-'Black-Scholes'!$B$9^2/2)*'Black-Scholes'!$B$7+'Black-Scholes'!$B$9*SQRT('Black-Scholes'!$B$7)*B4506)</f>
        <v>133.951044835778</v>
      </c>
      <c r="D4506" s="18" t="n">
        <f aca="false">'Black-Scholes'!$B$5*EXP(('Black-Scholes'!$B$8-'Black-Scholes'!$B$10-'Black-Scholes'!$B$9^2/2)*'Black-Scholes'!$B$7-'Black-Scholes'!$B$9*SQRT('Black-Scholes'!$B$7)*B4506)</f>
        <v>79.2704937723445</v>
      </c>
      <c r="E4506" s="18" t="n">
        <f aca="false">EXP(-'Black-Scholes'!$B$8*'Black-Scholes'!$B$7)*IF(LOWER('Black-Scholes'!$B$11)="put",MAX('Black-Scholes'!$B$6-C4506,0),MAX(C4506-'Black-Scholes'!$B$6,0))</f>
        <v>32.2952328403352</v>
      </c>
      <c r="F4506" s="18" t="n">
        <f aca="false">(E4506+G4506)/2</f>
        <v>16.1476164201676</v>
      </c>
      <c r="G4506" s="18" t="n">
        <f aca="false">EXP(-'Black-Scholes'!$B$8*'Black-Scholes'!$B$7)*IF(LOWER('Black-Scholes'!$B$11)="put",MAX('Black-Scholes'!$B$6-D4506,0),MAX(D4506-'Black-Scholes'!$B$6,0))</f>
        <v>0</v>
      </c>
    </row>
    <row r="4507" customFormat="false" ht="15" hidden="false" customHeight="false" outlineLevel="0" collapsed="false">
      <c r="A4507" s="0" t="n">
        <v>4496</v>
      </c>
      <c r="B4507" s="15" t="n">
        <v>-0.329190814986987</v>
      </c>
      <c r="C4507" s="18" t="n">
        <f aca="false">'Black-Scholes'!$B$5*EXP(('Black-Scholes'!$B$8-'Black-Scholes'!$B$10-'Black-Scholes'!$B$9^2/2)*'Black-Scholes'!$B$7+'Black-Scholes'!$B$9*SQRT('Black-Scholes'!$B$7)*B4507)</f>
        <v>96.4796420610042</v>
      </c>
      <c r="D4507" s="18" t="n">
        <f aca="false">'Black-Scholes'!$B$5*EXP(('Black-Scholes'!$B$8-'Black-Scholes'!$B$10-'Black-Scholes'!$B$9^2/2)*'Black-Scholes'!$B$7-'Black-Scholes'!$B$9*SQRT('Black-Scholes'!$B$7)*B4507)</f>
        <v>110.058093486081</v>
      </c>
      <c r="E4507" s="18" t="n">
        <f aca="false">EXP(-'Black-Scholes'!$B$8*'Black-Scholes'!$B$7)*IF(LOWER('Black-Scholes'!$B$11)="put",MAX('Black-Scholes'!$B$6-C4507,0),MAX(C4507-'Black-Scholes'!$B$6,0))</f>
        <v>0</v>
      </c>
      <c r="F4507" s="18" t="n">
        <f aca="false">(E4507+G4507)/2</f>
        <v>4.78377723916941</v>
      </c>
      <c r="G4507" s="18" t="n">
        <f aca="false">EXP(-'Black-Scholes'!$B$8*'Black-Scholes'!$B$7)*IF(LOWER('Black-Scholes'!$B$11)="put",MAX('Black-Scholes'!$B$6-D4507,0),MAX(D4507-'Black-Scholes'!$B$6,0))</f>
        <v>9.56755447833881</v>
      </c>
    </row>
    <row r="4508" customFormat="false" ht="15" hidden="false" customHeight="false" outlineLevel="0" collapsed="false">
      <c r="A4508" s="0" t="n">
        <v>4497</v>
      </c>
      <c r="B4508" s="15" t="n">
        <v>-2.04190785167127</v>
      </c>
      <c r="C4508" s="18" t="n">
        <f aca="false">'Black-Scholes'!$B$5*EXP(('Black-Scholes'!$B$8-'Black-Scholes'!$B$10-'Black-Scholes'!$B$9^2/2)*'Black-Scholes'!$B$7+'Black-Scholes'!$B$9*SQRT('Black-Scholes'!$B$7)*B4508)</f>
        <v>68.4969086911729</v>
      </c>
      <c r="D4508" s="18" t="n">
        <f aca="false">'Black-Scholes'!$B$5*EXP(('Black-Scholes'!$B$8-'Black-Scholes'!$B$10-'Black-Scholes'!$B$9^2/2)*'Black-Scholes'!$B$7-'Black-Scholes'!$B$9*SQRT('Black-Scholes'!$B$7)*B4508)</f>
        <v>155.019630350442</v>
      </c>
      <c r="E4508" s="18" t="n">
        <f aca="false">EXP(-'Black-Scholes'!$B$8*'Black-Scholes'!$B$7)*IF(LOWER('Black-Scholes'!$B$11)="put",MAX('Black-Scholes'!$B$6-C4508,0),MAX(C4508-'Black-Scholes'!$B$6,0))</f>
        <v>0</v>
      </c>
      <c r="F4508" s="18" t="n">
        <f aca="false">(E4508+G4508)/2</f>
        <v>26.1681456572465</v>
      </c>
      <c r="G4508" s="18" t="n">
        <f aca="false">EXP(-'Black-Scholes'!$B$8*'Black-Scholes'!$B$7)*IF(LOWER('Black-Scholes'!$B$11)="put",MAX('Black-Scholes'!$B$6-D4508,0),MAX(D4508-'Black-Scholes'!$B$6,0))</f>
        <v>52.336291314493</v>
      </c>
    </row>
    <row r="4509" customFormat="false" ht="15" hidden="false" customHeight="false" outlineLevel="0" collapsed="false">
      <c r="A4509" s="0" t="n">
        <v>4498</v>
      </c>
      <c r="B4509" s="15" t="n">
        <v>-0.503832623964136</v>
      </c>
      <c r="C4509" s="18" t="n">
        <f aca="false">'Black-Scholes'!$B$5*EXP(('Black-Scholes'!$B$8-'Black-Scholes'!$B$10-'Black-Scholes'!$B$9^2/2)*'Black-Scholes'!$B$7+'Black-Scholes'!$B$9*SQRT('Black-Scholes'!$B$7)*B4509)</f>
        <v>93.1679390775113</v>
      </c>
      <c r="D4509" s="18" t="n">
        <f aca="false">'Black-Scholes'!$B$5*EXP(('Black-Scholes'!$B$8-'Black-Scholes'!$B$10-'Black-Scholes'!$B$9^2/2)*'Black-Scholes'!$B$7-'Black-Scholes'!$B$9*SQRT('Black-Scholes'!$B$7)*B4509)</f>
        <v>113.970165816587</v>
      </c>
      <c r="E4509" s="18" t="n">
        <f aca="false">EXP(-'Black-Scholes'!$B$8*'Black-Scholes'!$B$7)*IF(LOWER('Black-Scholes'!$B$11)="put",MAX('Black-Scholes'!$B$6-C4509,0),MAX(C4509-'Black-Scholes'!$B$6,0))</f>
        <v>0</v>
      </c>
      <c r="F4509" s="18" t="n">
        <f aca="false">(E4509+G4509)/2</f>
        <v>6.64441639494558</v>
      </c>
      <c r="G4509" s="18" t="n">
        <f aca="false">EXP(-'Black-Scholes'!$B$8*'Black-Scholes'!$B$7)*IF(LOWER('Black-Scholes'!$B$11)="put",MAX('Black-Scholes'!$B$6-D4509,0),MAX(D4509-'Black-Scholes'!$B$6,0))</f>
        <v>13.2888327898912</v>
      </c>
    </row>
    <row r="4510" customFormat="false" ht="15" hidden="false" customHeight="false" outlineLevel="0" collapsed="false">
      <c r="A4510" s="0" t="n">
        <v>4499</v>
      </c>
      <c r="B4510" s="15" t="n">
        <v>1.40509308994322</v>
      </c>
      <c r="C4510" s="18" t="n">
        <f aca="false">'Black-Scholes'!$B$5*EXP(('Black-Scholes'!$B$8-'Black-Scholes'!$B$10-'Black-Scholes'!$B$9^2/2)*'Black-Scholes'!$B$7+'Black-Scholes'!$B$9*SQRT('Black-Scholes'!$B$7)*B4510)</f>
        <v>136.481463105292</v>
      </c>
      <c r="D4510" s="18" t="n">
        <f aca="false">'Black-Scholes'!$B$5*EXP(('Black-Scholes'!$B$8-'Black-Scholes'!$B$10-'Black-Scholes'!$B$9^2/2)*'Black-Scholes'!$B$7-'Black-Scholes'!$B$9*SQRT('Black-Scholes'!$B$7)*B4510)</f>
        <v>77.8007886482121</v>
      </c>
      <c r="E4510" s="18" t="n">
        <f aca="false">EXP(-'Black-Scholes'!$B$8*'Black-Scholes'!$B$7)*IF(LOWER('Black-Scholes'!$B$11)="put",MAX('Black-Scholes'!$B$6-C4510,0),MAX(C4510-'Black-Scholes'!$B$6,0))</f>
        <v>34.7022411545912</v>
      </c>
      <c r="F4510" s="18" t="n">
        <f aca="false">(E4510+G4510)/2</f>
        <v>17.3511205772956</v>
      </c>
      <c r="G4510" s="18" t="n">
        <f aca="false">EXP(-'Black-Scholes'!$B$8*'Black-Scholes'!$B$7)*IF(LOWER('Black-Scholes'!$B$11)="put",MAX('Black-Scholes'!$B$6-D4510,0),MAX(D4510-'Black-Scholes'!$B$6,0))</f>
        <v>0</v>
      </c>
    </row>
    <row r="4511" customFormat="false" ht="15" hidden="false" customHeight="false" outlineLevel="0" collapsed="false">
      <c r="A4511" s="0" t="n">
        <v>4500</v>
      </c>
      <c r="B4511" s="15" t="n">
        <v>0.81413706662136</v>
      </c>
      <c r="C4511" s="18" t="n">
        <f aca="false">'Black-Scholes'!$B$5*EXP(('Black-Scholes'!$B$8-'Black-Scholes'!$B$10-'Black-Scholes'!$B$9^2/2)*'Black-Scholes'!$B$7+'Black-Scholes'!$B$9*SQRT('Black-Scholes'!$B$7)*B4511)</f>
        <v>121.267348417226</v>
      </c>
      <c r="D4511" s="18" t="n">
        <f aca="false">'Black-Scholes'!$B$5*EXP(('Black-Scholes'!$B$8-'Black-Scholes'!$B$10-'Black-Scholes'!$B$9^2/2)*'Black-Scholes'!$B$7-'Black-Scholes'!$B$9*SQRT('Black-Scholes'!$B$7)*B4511)</f>
        <v>87.5616198757856</v>
      </c>
      <c r="E4511" s="18" t="n">
        <f aca="false">EXP(-'Black-Scholes'!$B$8*'Black-Scholes'!$B$7)*IF(LOWER('Black-Scholes'!$B$11)="put",MAX('Black-Scholes'!$B$6-C4511,0),MAX(C4511-'Black-Scholes'!$B$6,0))</f>
        <v>20.2301275955741</v>
      </c>
      <c r="F4511" s="18" t="n">
        <f aca="false">(E4511+G4511)/2</f>
        <v>10.115063797787</v>
      </c>
      <c r="G4511" s="18" t="n">
        <f aca="false">EXP(-'Black-Scholes'!$B$8*'Black-Scholes'!$B$7)*IF(LOWER('Black-Scholes'!$B$11)="put",MAX('Black-Scholes'!$B$6-D4511,0),MAX(D4511-'Black-Scholes'!$B$6,0))</f>
        <v>0</v>
      </c>
    </row>
    <row r="4512" customFormat="false" ht="15" hidden="false" customHeight="false" outlineLevel="0" collapsed="false">
      <c r="A4512" s="0" t="n">
        <v>4501</v>
      </c>
      <c r="B4512" s="15" t="n">
        <v>-0.0916833972846085</v>
      </c>
      <c r="C4512" s="18" t="n">
        <f aca="false">'Black-Scholes'!$B$5*EXP(('Black-Scholes'!$B$8-'Black-Scholes'!$B$10-'Black-Scholes'!$B$9^2/2)*'Black-Scholes'!$B$7+'Black-Scholes'!$B$9*SQRT('Black-Scholes'!$B$7)*B4512)</f>
        <v>101.17316022718</v>
      </c>
      <c r="D4512" s="18" t="n">
        <f aca="false">'Black-Scholes'!$B$5*EXP(('Black-Scholes'!$B$8-'Black-Scholes'!$B$10-'Black-Scholes'!$B$9^2/2)*'Black-Scholes'!$B$7-'Black-Scholes'!$B$9*SQRT('Black-Scholes'!$B$7)*B4512)</f>
        <v>104.952394900095</v>
      </c>
      <c r="E4512" s="18" t="n">
        <f aca="false">EXP(-'Black-Scholes'!$B$8*'Black-Scholes'!$B$7)*IF(LOWER('Black-Scholes'!$B$11)="put",MAX('Black-Scholes'!$B$6-C4512,0),MAX(C4512-'Black-Scholes'!$B$6,0))</f>
        <v>1.11594452774792</v>
      </c>
      <c r="F4512" s="18" t="n">
        <f aca="false">(E4512+G4512)/2</f>
        <v>2.91340413923266</v>
      </c>
      <c r="G4512" s="18" t="n">
        <f aca="false">EXP(-'Black-Scholes'!$B$8*'Black-Scholes'!$B$7)*IF(LOWER('Black-Scholes'!$B$11)="put",MAX('Black-Scholes'!$B$6-D4512,0),MAX(D4512-'Black-Scholes'!$B$6,0))</f>
        <v>4.71086375071741</v>
      </c>
    </row>
    <row r="4513" customFormat="false" ht="15" hidden="false" customHeight="false" outlineLevel="0" collapsed="false">
      <c r="A4513" s="0" t="n">
        <v>4502</v>
      </c>
      <c r="B4513" s="15" t="n">
        <v>0.140590259844879</v>
      </c>
      <c r="C4513" s="18" t="n">
        <f aca="false">'Black-Scholes'!$B$5*EXP(('Black-Scholes'!$B$8-'Black-Scholes'!$B$10-'Black-Scholes'!$B$9^2/2)*'Black-Scholes'!$B$7+'Black-Scholes'!$B$9*SQRT('Black-Scholes'!$B$7)*B4513)</f>
        <v>105.984010453661</v>
      </c>
      <c r="D4513" s="18" t="n">
        <f aca="false">'Black-Scholes'!$B$5*EXP(('Black-Scholes'!$B$8-'Black-Scholes'!$B$10-'Black-Scholes'!$B$9^2/2)*'Black-Scholes'!$B$7-'Black-Scholes'!$B$9*SQRT('Black-Scholes'!$B$7)*B4513)</f>
        <v>100.188372000663</v>
      </c>
      <c r="E4513" s="18" t="n">
        <f aca="false">EXP(-'Black-Scholes'!$B$8*'Black-Scholes'!$B$7)*IF(LOWER('Black-Scholes'!$B$11)="put",MAX('Black-Scholes'!$B$6-C4513,0),MAX(C4513-'Black-Scholes'!$B$6,0))</f>
        <v>5.69216682004229</v>
      </c>
      <c r="F4513" s="18" t="n">
        <f aca="false">(E4513+G4513)/2</f>
        <v>2.9356759049127</v>
      </c>
      <c r="G4513" s="18" t="n">
        <f aca="false">EXP(-'Black-Scholes'!$B$8*'Black-Scholes'!$B$7)*IF(LOWER('Black-Scholes'!$B$11)="put",MAX('Black-Scholes'!$B$6-D4513,0),MAX(D4513-'Black-Scholes'!$B$6,0))</f>
        <v>0.179184989783114</v>
      </c>
    </row>
    <row r="4514" customFormat="false" ht="15" hidden="false" customHeight="false" outlineLevel="0" collapsed="false">
      <c r="A4514" s="0" t="n">
        <v>4503</v>
      </c>
      <c r="B4514" s="15" t="n">
        <v>0.727908062102357</v>
      </c>
      <c r="C4514" s="18" t="n">
        <f aca="false">'Black-Scholes'!$B$5*EXP(('Black-Scholes'!$B$8-'Black-Scholes'!$B$10-'Black-Scholes'!$B$9^2/2)*'Black-Scholes'!$B$7+'Black-Scholes'!$B$9*SQRT('Black-Scholes'!$B$7)*B4514)</f>
        <v>119.193926173007</v>
      </c>
      <c r="D4514" s="18" t="n">
        <f aca="false">'Black-Scholes'!$B$5*EXP(('Black-Scholes'!$B$8-'Black-Scholes'!$B$10-'Black-Scholes'!$B$9^2/2)*'Black-Scholes'!$B$7-'Black-Scholes'!$B$9*SQRT('Black-Scholes'!$B$7)*B4514)</f>
        <v>89.0847865019677</v>
      </c>
      <c r="E4514" s="18" t="n">
        <f aca="false">EXP(-'Black-Scholes'!$B$8*'Black-Scholes'!$B$7)*IF(LOWER('Black-Scholes'!$B$11)="put",MAX('Black-Scholes'!$B$6-C4514,0),MAX(C4514-'Black-Scholes'!$B$6,0))</f>
        <v>18.2578273474584</v>
      </c>
      <c r="F4514" s="18" t="n">
        <f aca="false">(E4514+G4514)/2</f>
        <v>9.12891367372918</v>
      </c>
      <c r="G4514" s="18" t="n">
        <f aca="false">EXP(-'Black-Scholes'!$B$8*'Black-Scholes'!$B$7)*IF(LOWER('Black-Scholes'!$B$11)="put",MAX('Black-Scholes'!$B$6-D4514,0),MAX(D4514-'Black-Scholes'!$B$6,0))</f>
        <v>0</v>
      </c>
    </row>
    <row r="4515" customFormat="false" ht="15" hidden="false" customHeight="false" outlineLevel="0" collapsed="false">
      <c r="A4515" s="0" t="n">
        <v>4504</v>
      </c>
      <c r="B4515" s="15" t="n">
        <v>-1.33234769642262</v>
      </c>
      <c r="C4515" s="18" t="n">
        <f aca="false">'Black-Scholes'!$B$5*EXP(('Black-Scholes'!$B$8-'Black-Scholes'!$B$10-'Black-Scholes'!$B$9^2/2)*'Black-Scholes'!$B$7+'Black-Scholes'!$B$9*SQRT('Black-Scholes'!$B$7)*B4515)</f>
        <v>78.9409927926952</v>
      </c>
      <c r="D4515" s="18" t="n">
        <f aca="false">'Black-Scholes'!$B$5*EXP(('Black-Scholes'!$B$8-'Black-Scholes'!$B$10-'Black-Scholes'!$B$9^2/2)*'Black-Scholes'!$B$7-'Black-Scholes'!$B$9*SQRT('Black-Scholes'!$B$7)*B4515)</f>
        <v>134.51015866165</v>
      </c>
      <c r="E4515" s="18" t="n">
        <f aca="false">EXP(-'Black-Scholes'!$B$8*'Black-Scholes'!$B$7)*IF(LOWER('Black-Scholes'!$B$11)="put",MAX('Black-Scholes'!$B$6-C4515,0),MAX(C4515-'Black-Scholes'!$B$6,0))</f>
        <v>0</v>
      </c>
      <c r="F4515" s="18" t="n">
        <f aca="false">(E4515+G4515)/2</f>
        <v>16.4135391815748</v>
      </c>
      <c r="G4515" s="18" t="n">
        <f aca="false">EXP(-'Black-Scholes'!$B$8*'Black-Scholes'!$B$7)*IF(LOWER('Black-Scholes'!$B$11)="put",MAX('Black-Scholes'!$B$6-D4515,0),MAX(D4515-'Black-Scholes'!$B$6,0))</f>
        <v>32.8270783631496</v>
      </c>
    </row>
    <row r="4516" customFormat="false" ht="15" hidden="false" customHeight="false" outlineLevel="0" collapsed="false">
      <c r="A4516" s="0" t="n">
        <v>4505</v>
      </c>
      <c r="B4516" s="15" t="n">
        <v>-1.84544722286333</v>
      </c>
      <c r="C4516" s="18" t="n">
        <f aca="false">'Black-Scholes'!$B$5*EXP(('Black-Scholes'!$B$8-'Black-Scholes'!$B$10-'Black-Scholes'!$B$9^2/2)*'Black-Scholes'!$B$7+'Black-Scholes'!$B$9*SQRT('Black-Scholes'!$B$7)*B4516)</f>
        <v>71.2418724250964</v>
      </c>
      <c r="D4516" s="18" t="n">
        <f aca="false">'Black-Scholes'!$B$5*EXP(('Black-Scholes'!$B$8-'Black-Scholes'!$B$10-'Black-Scholes'!$B$9^2/2)*'Black-Scholes'!$B$7-'Black-Scholes'!$B$9*SQRT('Black-Scholes'!$B$7)*B4516)</f>
        <v>149.046692682281</v>
      </c>
      <c r="E4516" s="18" t="n">
        <f aca="false">EXP(-'Black-Scholes'!$B$8*'Black-Scholes'!$B$7)*IF(LOWER('Black-Scholes'!$B$11)="put",MAX('Black-Scholes'!$B$6-C4516,0),MAX(C4516-'Black-Scholes'!$B$6,0))</f>
        <v>0</v>
      </c>
      <c r="F4516" s="18" t="n">
        <f aca="false">(E4516+G4516)/2</f>
        <v>23.3273286269147</v>
      </c>
      <c r="G4516" s="18" t="n">
        <f aca="false">EXP(-'Black-Scholes'!$B$8*'Black-Scholes'!$B$7)*IF(LOWER('Black-Scholes'!$B$11)="put",MAX('Black-Scholes'!$B$6-D4516,0),MAX(D4516-'Black-Scholes'!$B$6,0))</f>
        <v>46.6546572538294</v>
      </c>
    </row>
    <row r="4517" customFormat="false" ht="15" hidden="false" customHeight="false" outlineLevel="0" collapsed="false">
      <c r="A4517" s="0" t="n">
        <v>4506</v>
      </c>
      <c r="B4517" s="15" t="n">
        <v>-0.400267457008461</v>
      </c>
      <c r="C4517" s="18" t="n">
        <f aca="false">'Black-Scholes'!$B$5*EXP(('Black-Scholes'!$B$8-'Black-Scholes'!$B$10-'Black-Scholes'!$B$9^2/2)*'Black-Scholes'!$B$7+'Black-Scholes'!$B$9*SQRT('Black-Scholes'!$B$7)*B4517)</f>
        <v>95.1178543266333</v>
      </c>
      <c r="D4517" s="18" t="n">
        <f aca="false">'Black-Scholes'!$B$5*EXP(('Black-Scholes'!$B$8-'Black-Scholes'!$B$10-'Black-Scholes'!$B$9^2/2)*'Black-Scholes'!$B$7-'Black-Scholes'!$B$9*SQRT('Black-Scholes'!$B$7)*B4517)</f>
        <v>111.633778333459</v>
      </c>
      <c r="E4517" s="18" t="n">
        <f aca="false">EXP(-'Black-Scholes'!$B$8*'Black-Scholes'!$B$7)*IF(LOWER('Black-Scholes'!$B$11)="put",MAX('Black-Scholes'!$B$6-C4517,0),MAX(C4517-'Black-Scholes'!$B$6,0))</f>
        <v>0</v>
      </c>
      <c r="F4517" s="18" t="n">
        <f aca="false">(E4517+G4517)/2</f>
        <v>5.53319613445239</v>
      </c>
      <c r="G4517" s="18" t="n">
        <f aca="false">EXP(-'Black-Scholes'!$B$8*'Black-Scholes'!$B$7)*IF(LOWER('Black-Scholes'!$B$11)="put",MAX('Black-Scholes'!$B$6-D4517,0),MAX(D4517-'Black-Scholes'!$B$6,0))</f>
        <v>11.0663922689048</v>
      </c>
    </row>
    <row r="4518" customFormat="false" ht="15" hidden="false" customHeight="false" outlineLevel="0" collapsed="false">
      <c r="A4518" s="0" t="n">
        <v>4507</v>
      </c>
      <c r="B4518" s="15" t="n">
        <v>-0.0356065027251177</v>
      </c>
      <c r="C4518" s="18" t="n">
        <f aca="false">'Black-Scholes'!$B$5*EXP(('Black-Scholes'!$B$8-'Black-Scholes'!$B$10-'Black-Scholes'!$B$9^2/2)*'Black-Scholes'!$B$7+'Black-Scholes'!$B$9*SQRT('Black-Scholes'!$B$7)*B4518)</f>
        <v>102.314242428604</v>
      </c>
      <c r="D4518" s="18" t="n">
        <f aca="false">'Black-Scholes'!$B$5*EXP(('Black-Scholes'!$B$8-'Black-Scholes'!$B$10-'Black-Scholes'!$B$9^2/2)*'Black-Scholes'!$B$7-'Black-Scholes'!$B$9*SQRT('Black-Scholes'!$B$7)*B4518)</f>
        <v>103.781890120168</v>
      </c>
      <c r="E4518" s="18" t="n">
        <f aca="false">EXP(-'Black-Scholes'!$B$8*'Black-Scholes'!$B$7)*IF(LOWER('Black-Scholes'!$B$11)="put",MAX('Black-Scholes'!$B$6-C4518,0),MAX(C4518-'Black-Scholes'!$B$6,0))</f>
        <v>2.20137549351638</v>
      </c>
      <c r="F4518" s="18" t="n">
        <f aca="false">(E4518+G4518)/2</f>
        <v>2.89941032802416</v>
      </c>
      <c r="G4518" s="18" t="n">
        <f aca="false">EXP(-'Black-Scholes'!$B$8*'Black-Scholes'!$B$7)*IF(LOWER('Black-Scholes'!$B$11)="put",MAX('Black-Scholes'!$B$6-D4518,0),MAX(D4518-'Black-Scholes'!$B$6,0))</f>
        <v>3.59744516253195</v>
      </c>
    </row>
    <row r="4519" customFormat="false" ht="15" hidden="false" customHeight="false" outlineLevel="0" collapsed="false">
      <c r="A4519" s="0" t="n">
        <v>4508</v>
      </c>
      <c r="B4519" s="15" t="n">
        <v>0.400782912842341</v>
      </c>
      <c r="C4519" s="18" t="n">
        <f aca="false">'Black-Scholes'!$B$5*EXP(('Black-Scholes'!$B$8-'Black-Scholes'!$B$10-'Black-Scholes'!$B$9^2/2)*'Black-Scholes'!$B$7+'Black-Scholes'!$B$9*SQRT('Black-Scholes'!$B$7)*B4519)</f>
        <v>111.645287383149</v>
      </c>
      <c r="D4519" s="18" t="n">
        <f aca="false">'Black-Scholes'!$B$5*EXP(('Black-Scholes'!$B$8-'Black-Scholes'!$B$10-'Black-Scholes'!$B$9^2/2)*'Black-Scholes'!$B$7-'Black-Scholes'!$B$9*SQRT('Black-Scholes'!$B$7)*B4519)</f>
        <v>95.1080490214784</v>
      </c>
      <c r="E4519" s="18" t="n">
        <f aca="false">EXP(-'Black-Scholes'!$B$8*'Black-Scholes'!$B$7)*IF(LOWER('Black-Scholes'!$B$11)="put",MAX('Black-Scholes'!$B$6-C4519,0),MAX(C4519-'Black-Scholes'!$B$6,0))</f>
        <v>11.0773400156184</v>
      </c>
      <c r="F4519" s="18" t="n">
        <f aca="false">(E4519+G4519)/2</f>
        <v>5.53867000780921</v>
      </c>
      <c r="G4519" s="18" t="n">
        <f aca="false">EXP(-'Black-Scholes'!$B$8*'Black-Scholes'!$B$7)*IF(LOWER('Black-Scholes'!$B$11)="put",MAX('Black-Scholes'!$B$6-D4519,0),MAX(D4519-'Black-Scholes'!$B$6,0))</f>
        <v>0</v>
      </c>
    </row>
    <row r="4520" customFormat="false" ht="15" hidden="false" customHeight="false" outlineLevel="0" collapsed="false">
      <c r="A4520" s="0" t="n">
        <v>4509</v>
      </c>
      <c r="B4520" s="15" t="n">
        <v>0.0185665737768575</v>
      </c>
      <c r="C4520" s="18" t="n">
        <f aca="false">'Black-Scholes'!$B$5*EXP(('Black-Scholes'!$B$8-'Black-Scholes'!$B$10-'Black-Scholes'!$B$9^2/2)*'Black-Scholes'!$B$7+'Black-Scholes'!$B$9*SQRT('Black-Scholes'!$B$7)*B4520)</f>
        <v>103.428804909843</v>
      </c>
      <c r="D4520" s="18" t="n">
        <f aca="false">'Black-Scholes'!$B$5*EXP(('Black-Scholes'!$B$8-'Black-Scholes'!$B$10-'Black-Scholes'!$B$9^2/2)*'Black-Scholes'!$B$7-'Black-Scholes'!$B$9*SQRT('Black-Scholes'!$B$7)*B4520)</f>
        <v>102.663522746003</v>
      </c>
      <c r="E4520" s="18" t="n">
        <f aca="false">EXP(-'Black-Scholes'!$B$8*'Black-Scholes'!$B$7)*IF(LOWER('Black-Scholes'!$B$11)="put",MAX('Black-Scholes'!$B$6-C4520,0),MAX(C4520-'Black-Scholes'!$B$6,0))</f>
        <v>3.26158012111504</v>
      </c>
      <c r="F4520" s="18" t="n">
        <f aca="false">(E4520+G4520)/2</f>
        <v>2.89760066497019</v>
      </c>
      <c r="G4520" s="18" t="n">
        <f aca="false">EXP(-'Black-Scholes'!$B$8*'Black-Scholes'!$B$7)*IF(LOWER('Black-Scholes'!$B$11)="put",MAX('Black-Scholes'!$B$6-D4520,0),MAX(D4520-'Black-Scholes'!$B$6,0))</f>
        <v>2.53362120882534</v>
      </c>
    </row>
    <row r="4521" customFormat="false" ht="15" hidden="false" customHeight="false" outlineLevel="0" collapsed="false">
      <c r="A4521" s="0" t="n">
        <v>4510</v>
      </c>
      <c r="B4521" s="15" t="n">
        <v>-0.348893276440027</v>
      </c>
      <c r="C4521" s="18" t="n">
        <f aca="false">'Black-Scholes'!$B$5*EXP(('Black-Scholes'!$B$8-'Black-Scholes'!$B$10-'Black-Scholes'!$B$9^2/2)*'Black-Scholes'!$B$7+'Black-Scholes'!$B$9*SQRT('Black-Scholes'!$B$7)*B4521)</f>
        <v>96.1002128351966</v>
      </c>
      <c r="D4521" s="18" t="n">
        <f aca="false">'Black-Scholes'!$B$5*EXP(('Black-Scholes'!$B$8-'Black-Scholes'!$B$10-'Black-Scholes'!$B$9^2/2)*'Black-Scholes'!$B$7-'Black-Scholes'!$B$9*SQRT('Black-Scholes'!$B$7)*B4521)</f>
        <v>110.492632140817</v>
      </c>
      <c r="E4521" s="18" t="n">
        <f aca="false">EXP(-'Black-Scholes'!$B$8*'Black-Scholes'!$B$7)*IF(LOWER('Black-Scholes'!$B$11)="put",MAX('Black-Scholes'!$B$6-C4521,0),MAX(C4521-'Black-Scholes'!$B$6,0))</f>
        <v>0</v>
      </c>
      <c r="F4521" s="18" t="n">
        <f aca="false">(E4521+G4521)/2</f>
        <v>4.9904502164035</v>
      </c>
      <c r="G4521" s="18" t="n">
        <f aca="false">EXP(-'Black-Scholes'!$B$8*'Black-Scholes'!$B$7)*IF(LOWER('Black-Scholes'!$B$11)="put",MAX('Black-Scholes'!$B$6-D4521,0),MAX(D4521-'Black-Scholes'!$B$6,0))</f>
        <v>9.980900432807</v>
      </c>
    </row>
    <row r="4522" customFormat="false" ht="15" hidden="false" customHeight="false" outlineLevel="0" collapsed="false">
      <c r="A4522" s="0" t="n">
        <v>4511</v>
      </c>
      <c r="B4522" s="15" t="n">
        <v>-0.456147190912981</v>
      </c>
      <c r="C4522" s="18" t="n">
        <f aca="false">'Black-Scholes'!$B$5*EXP(('Black-Scholes'!$B$8-'Black-Scholes'!$B$10-'Black-Scholes'!$B$9^2/2)*'Black-Scholes'!$B$7+'Black-Scholes'!$B$9*SQRT('Black-Scholes'!$B$7)*B4522)</f>
        <v>94.0607403763189</v>
      </c>
      <c r="D4522" s="18" t="n">
        <f aca="false">'Black-Scholes'!$B$5*EXP(('Black-Scholes'!$B$8-'Black-Scholes'!$B$10-'Black-Scholes'!$B$9^2/2)*'Black-Scholes'!$B$7-'Black-Scholes'!$B$9*SQRT('Black-Scholes'!$B$7)*B4522)</f>
        <v>112.888389172481</v>
      </c>
      <c r="E4522" s="18" t="n">
        <f aca="false">EXP(-'Black-Scholes'!$B$8*'Black-Scholes'!$B$7)*IF(LOWER('Black-Scholes'!$B$11)="put",MAX('Black-Scholes'!$B$6-C4522,0),MAX(C4522-'Black-Scholes'!$B$6,0))</f>
        <v>0</v>
      </c>
      <c r="F4522" s="18" t="n">
        <f aca="false">(E4522+G4522)/2</f>
        <v>6.12990750764021</v>
      </c>
      <c r="G4522" s="18" t="n">
        <f aca="false">EXP(-'Black-Scholes'!$B$8*'Black-Scholes'!$B$7)*IF(LOWER('Black-Scholes'!$B$11)="put",MAX('Black-Scholes'!$B$6-D4522,0),MAX(D4522-'Black-Scholes'!$B$6,0))</f>
        <v>12.2598150152804</v>
      </c>
    </row>
    <row r="4523" customFormat="false" ht="15" hidden="false" customHeight="false" outlineLevel="0" collapsed="false">
      <c r="A4523" s="0" t="n">
        <v>4512</v>
      </c>
      <c r="B4523" s="15" t="n">
        <v>-0.262374047564041</v>
      </c>
      <c r="C4523" s="18" t="n">
        <f aca="false">'Black-Scholes'!$B$5*EXP(('Black-Scholes'!$B$8-'Black-Scholes'!$B$10-'Black-Scholes'!$B$9^2/2)*'Black-Scholes'!$B$7+'Black-Scholes'!$B$9*SQRT('Black-Scholes'!$B$7)*B4523)</f>
        <v>97.7775867533578</v>
      </c>
      <c r="D4523" s="18" t="n">
        <f aca="false">'Black-Scholes'!$B$5*EXP(('Black-Scholes'!$B$8-'Black-Scholes'!$B$10-'Black-Scholes'!$B$9^2/2)*'Black-Scholes'!$B$7-'Black-Scholes'!$B$9*SQRT('Black-Scholes'!$B$7)*B4523)</f>
        <v>108.597131694795</v>
      </c>
      <c r="E4523" s="18" t="n">
        <f aca="false">EXP(-'Black-Scholes'!$B$8*'Black-Scholes'!$B$7)*IF(LOWER('Black-Scholes'!$B$11)="put",MAX('Black-Scholes'!$B$6-C4523,0),MAX(C4523-'Black-Scholes'!$B$6,0))</f>
        <v>0</v>
      </c>
      <c r="F4523" s="18" t="n">
        <f aca="false">(E4523+G4523)/2</f>
        <v>4.08892231719816</v>
      </c>
      <c r="G4523" s="18" t="n">
        <f aca="false">EXP(-'Black-Scholes'!$B$8*'Black-Scholes'!$B$7)*IF(LOWER('Black-Scholes'!$B$11)="put",MAX('Black-Scholes'!$B$6-D4523,0),MAX(D4523-'Black-Scholes'!$B$6,0))</f>
        <v>8.17784463439633</v>
      </c>
    </row>
    <row r="4524" customFormat="false" ht="15" hidden="false" customHeight="false" outlineLevel="0" collapsed="false">
      <c r="A4524" s="0" t="n">
        <v>4513</v>
      </c>
      <c r="B4524" s="15" t="n">
        <v>0.574253016810337</v>
      </c>
      <c r="C4524" s="18" t="n">
        <f aca="false">'Black-Scholes'!$B$5*EXP(('Black-Scholes'!$B$8-'Black-Scholes'!$B$10-'Black-Scholes'!$B$9^2/2)*'Black-Scholes'!$B$7+'Black-Scholes'!$B$9*SQRT('Black-Scholes'!$B$7)*B4524)</f>
        <v>115.586687474329</v>
      </c>
      <c r="D4524" s="18" t="n">
        <f aca="false">'Black-Scholes'!$B$5*EXP(('Black-Scholes'!$B$8-'Black-Scholes'!$B$10-'Black-Scholes'!$B$9^2/2)*'Black-Scholes'!$B$7-'Black-Scholes'!$B$9*SQRT('Black-Scholes'!$B$7)*B4524)</f>
        <v>91.8649517299458</v>
      </c>
      <c r="E4524" s="18" t="n">
        <f aca="false">EXP(-'Black-Scholes'!$B$8*'Black-Scholes'!$B$7)*IF(LOWER('Black-Scholes'!$B$11)="put",MAX('Black-Scholes'!$B$6-C4524,0),MAX(C4524-'Black-Scholes'!$B$6,0))</f>
        <v>14.8265157560788</v>
      </c>
      <c r="F4524" s="18" t="n">
        <f aca="false">(E4524+G4524)/2</f>
        <v>7.41325787803939</v>
      </c>
      <c r="G4524" s="18" t="n">
        <f aca="false">EXP(-'Black-Scholes'!$B$8*'Black-Scholes'!$B$7)*IF(LOWER('Black-Scholes'!$B$11)="put",MAX('Black-Scholes'!$B$6-D4524,0),MAX(D4524-'Black-Scholes'!$B$6,0))</f>
        <v>0</v>
      </c>
    </row>
    <row r="4525" customFormat="false" ht="15" hidden="false" customHeight="false" outlineLevel="0" collapsed="false">
      <c r="A4525" s="0" t="n">
        <v>4514</v>
      </c>
      <c r="B4525" s="15" t="n">
        <v>-0.643556930479505</v>
      </c>
      <c r="C4525" s="18" t="n">
        <f aca="false">'Black-Scholes'!$B$5*EXP(('Black-Scholes'!$B$8-'Black-Scholes'!$B$10-'Black-Scholes'!$B$9^2/2)*'Black-Scholes'!$B$7+'Black-Scholes'!$B$9*SQRT('Black-Scholes'!$B$7)*B4525)</f>
        <v>90.6004155689521</v>
      </c>
      <c r="D4525" s="18" t="n">
        <f aca="false">'Black-Scholes'!$B$5*EXP(('Black-Scholes'!$B$8-'Black-Scholes'!$B$10-'Black-Scholes'!$B$9^2/2)*'Black-Scholes'!$B$7-'Black-Scholes'!$B$9*SQRT('Black-Scholes'!$B$7)*B4525)</f>
        <v>117.1999642471</v>
      </c>
      <c r="E4525" s="18" t="n">
        <f aca="false">EXP(-'Black-Scholes'!$B$8*'Black-Scholes'!$B$7)*IF(LOWER('Black-Scholes'!$B$11)="put",MAX('Black-Scholes'!$B$6-C4525,0),MAX(C4525-'Black-Scholes'!$B$6,0))</f>
        <v>0</v>
      </c>
      <c r="F4525" s="18" t="n">
        <f aca="false">(E4525+G4525)/2</f>
        <v>8.18055604610091</v>
      </c>
      <c r="G4525" s="18" t="n">
        <f aca="false">EXP(-'Black-Scholes'!$B$8*'Black-Scholes'!$B$7)*IF(LOWER('Black-Scholes'!$B$11)="put",MAX('Black-Scholes'!$B$6-D4525,0),MAX(D4525-'Black-Scholes'!$B$6,0))</f>
        <v>16.3611120922018</v>
      </c>
    </row>
    <row r="4526" customFormat="false" ht="15" hidden="false" customHeight="false" outlineLevel="0" collapsed="false">
      <c r="A4526" s="0" t="n">
        <v>4515</v>
      </c>
      <c r="B4526" s="15" t="n">
        <v>1.13722945444819</v>
      </c>
      <c r="C4526" s="18" t="n">
        <f aca="false">'Black-Scholes'!$B$5*EXP(('Black-Scholes'!$B$8-'Black-Scholes'!$B$10-'Black-Scholes'!$B$9^2/2)*'Black-Scholes'!$B$7+'Black-Scholes'!$B$9*SQRT('Black-Scholes'!$B$7)*B4526)</f>
        <v>129.362181236114</v>
      </c>
      <c r="D4526" s="18" t="n">
        <f aca="false">'Black-Scholes'!$B$5*EXP(('Black-Scholes'!$B$8-'Black-Scholes'!$B$10-'Black-Scholes'!$B$9^2/2)*'Black-Scholes'!$B$7-'Black-Scholes'!$B$9*SQRT('Black-Scholes'!$B$7)*B4526)</f>
        <v>82.0824553512498</v>
      </c>
      <c r="E4526" s="18" t="n">
        <f aca="false">EXP(-'Black-Scholes'!$B$8*'Black-Scholes'!$B$7)*IF(LOWER('Black-Scholes'!$B$11)="put",MAX('Black-Scholes'!$B$6-C4526,0),MAX(C4526-'Black-Scholes'!$B$6,0))</f>
        <v>27.9301707593142</v>
      </c>
      <c r="F4526" s="18" t="n">
        <f aca="false">(E4526+G4526)/2</f>
        <v>13.9650853796571</v>
      </c>
      <c r="G4526" s="18" t="n">
        <f aca="false">EXP(-'Black-Scholes'!$B$8*'Black-Scholes'!$B$7)*IF(LOWER('Black-Scholes'!$B$11)="put",MAX('Black-Scholes'!$B$6-D4526,0),MAX(D4526-'Black-Scholes'!$B$6,0))</f>
        <v>0</v>
      </c>
    </row>
    <row r="4527" customFormat="false" ht="15" hidden="false" customHeight="false" outlineLevel="0" collapsed="false">
      <c r="A4527" s="0" t="n">
        <v>4516</v>
      </c>
      <c r="B4527" s="15" t="n">
        <v>0.0907079337213703</v>
      </c>
      <c r="C4527" s="18" t="n">
        <f aca="false">'Black-Scholes'!$B$5*EXP(('Black-Scholes'!$B$8-'Black-Scholes'!$B$10-'Black-Scholes'!$B$9^2/2)*'Black-Scholes'!$B$7+'Black-Scholes'!$B$9*SQRT('Black-Scholes'!$B$7)*B4527)</f>
        <v>104.93192144985</v>
      </c>
      <c r="D4527" s="18" t="n">
        <f aca="false">'Black-Scholes'!$B$5*EXP(('Black-Scholes'!$B$8-'Black-Scholes'!$B$10-'Black-Scholes'!$B$9^2/2)*'Black-Scholes'!$B$7-'Black-Scholes'!$B$9*SQRT('Black-Scholes'!$B$7)*B4527)</f>
        <v>101.192900298966</v>
      </c>
      <c r="E4527" s="18" t="n">
        <f aca="false">EXP(-'Black-Scholes'!$B$8*'Black-Scholes'!$B$7)*IF(LOWER('Black-Scholes'!$B$11)="put",MAX('Black-Scholes'!$B$6-C4527,0),MAX(C4527-'Black-Scholes'!$B$6,0))</f>
        <v>4.69138880242377</v>
      </c>
      <c r="F4527" s="18" t="n">
        <f aca="false">(E4527+G4527)/2</f>
        <v>2.91305533364783</v>
      </c>
      <c r="G4527" s="18" t="n">
        <f aca="false">EXP(-'Black-Scholes'!$B$8*'Black-Scholes'!$B$7)*IF(LOWER('Black-Scholes'!$B$11)="put",MAX('Black-Scholes'!$B$6-D4527,0),MAX(D4527-'Black-Scholes'!$B$6,0))</f>
        <v>1.13472186487188</v>
      </c>
    </row>
    <row r="4528" customFormat="false" ht="15" hidden="false" customHeight="false" outlineLevel="0" collapsed="false">
      <c r="A4528" s="0" t="n">
        <v>4517</v>
      </c>
      <c r="B4528" s="15" t="n">
        <v>-0.755731946648807</v>
      </c>
      <c r="C4528" s="18" t="n">
        <f aca="false">'Black-Scholes'!$B$5*EXP(('Black-Scholes'!$B$8-'Black-Scholes'!$B$10-'Black-Scholes'!$B$9^2/2)*'Black-Scholes'!$B$7+'Black-Scholes'!$B$9*SQRT('Black-Scholes'!$B$7)*B4528)</f>
        <v>88.5904263168703</v>
      </c>
      <c r="D4528" s="18" t="n">
        <f aca="false">'Black-Scholes'!$B$5*EXP(('Black-Scholes'!$B$8-'Black-Scholes'!$B$10-'Black-Scholes'!$B$9^2/2)*'Black-Scholes'!$B$7-'Black-Scholes'!$B$9*SQRT('Black-Scholes'!$B$7)*B4528)</f>
        <v>119.859062732962</v>
      </c>
      <c r="E4528" s="18" t="n">
        <f aca="false">EXP(-'Black-Scholes'!$B$8*'Black-Scholes'!$B$7)*IF(LOWER('Black-Scholes'!$B$11)="put",MAX('Black-Scholes'!$B$6-C4528,0),MAX(C4528-'Black-Scholes'!$B$6,0))</f>
        <v>0</v>
      </c>
      <c r="F4528" s="18" t="n">
        <f aca="false">(E4528+G4528)/2</f>
        <v>9.44526240729947</v>
      </c>
      <c r="G4528" s="18" t="n">
        <f aca="false">EXP(-'Black-Scholes'!$B$8*'Black-Scholes'!$B$7)*IF(LOWER('Black-Scholes'!$B$11)="put",MAX('Black-Scholes'!$B$6-D4528,0),MAX(D4528-'Black-Scholes'!$B$6,0))</f>
        <v>18.8905248145989</v>
      </c>
    </row>
    <row r="4529" customFormat="false" ht="15" hidden="false" customHeight="false" outlineLevel="0" collapsed="false">
      <c r="A4529" s="0" t="n">
        <v>4518</v>
      </c>
      <c r="B4529" s="15" t="n">
        <v>0.144547721571173</v>
      </c>
      <c r="C4529" s="18" t="n">
        <f aca="false">'Black-Scholes'!$B$5*EXP(('Black-Scholes'!$B$8-'Black-Scholes'!$B$10-'Black-Scholes'!$B$9^2/2)*'Black-Scholes'!$B$7+'Black-Scholes'!$B$9*SQRT('Black-Scholes'!$B$7)*B4529)</f>
        <v>106.067929192794</v>
      </c>
      <c r="D4529" s="18" t="n">
        <f aca="false">'Black-Scholes'!$B$5*EXP(('Black-Scholes'!$B$8-'Black-Scholes'!$B$10-'Black-Scholes'!$B$9^2/2)*'Black-Scholes'!$B$7-'Black-Scholes'!$B$9*SQRT('Black-Scholes'!$B$7)*B4529)</f>
        <v>100.109105044873</v>
      </c>
      <c r="E4529" s="18" t="n">
        <f aca="false">EXP(-'Black-Scholes'!$B$8*'Black-Scholes'!$B$7)*IF(LOWER('Black-Scholes'!$B$11)="put",MAX('Black-Scholes'!$B$6-C4529,0),MAX(C4529-'Black-Scholes'!$B$6,0))</f>
        <v>5.77199279397235</v>
      </c>
      <c r="F4529" s="18" t="n">
        <f aca="false">(E4529+G4529)/2</f>
        <v>2.93788836150874</v>
      </c>
      <c r="G4529" s="18" t="n">
        <f aca="false">EXP(-'Black-Scholes'!$B$8*'Black-Scholes'!$B$7)*IF(LOWER('Black-Scholes'!$B$11)="put",MAX('Black-Scholes'!$B$6-D4529,0),MAX(D4529-'Black-Scholes'!$B$6,0))</f>
        <v>0.103783929045119</v>
      </c>
    </row>
    <row r="4530" customFormat="false" ht="15" hidden="false" customHeight="false" outlineLevel="0" collapsed="false">
      <c r="A4530" s="0" t="n">
        <v>4519</v>
      </c>
      <c r="B4530" s="15" t="n">
        <v>0.401680387324354</v>
      </c>
      <c r="C4530" s="18" t="n">
        <f aca="false">'Black-Scholes'!$B$5*EXP(('Black-Scholes'!$B$8-'Black-Scholes'!$B$10-'Black-Scholes'!$B$9^2/2)*'Black-Scholes'!$B$7+'Black-Scholes'!$B$9*SQRT('Black-Scholes'!$B$7)*B4530)</f>
        <v>111.665328941067</v>
      </c>
      <c r="D4530" s="18" t="n">
        <f aca="false">'Black-Scholes'!$B$5*EXP(('Black-Scholes'!$B$8-'Black-Scholes'!$B$10-'Black-Scholes'!$B$9^2/2)*'Black-Scholes'!$B$7-'Black-Scholes'!$B$9*SQRT('Black-Scholes'!$B$7)*B4530)</f>
        <v>95.090979144096</v>
      </c>
      <c r="E4530" s="18" t="n">
        <f aca="false">EXP(-'Black-Scholes'!$B$8*'Black-Scholes'!$B$7)*IF(LOWER('Black-Scholes'!$B$11)="put",MAX('Black-Scholes'!$B$6-C4530,0),MAX(C4530-'Black-Scholes'!$B$6,0))</f>
        <v>11.0964041352224</v>
      </c>
      <c r="F4530" s="18" t="n">
        <f aca="false">(E4530+G4530)/2</f>
        <v>5.54820206761122</v>
      </c>
      <c r="G4530" s="18" t="n">
        <f aca="false">EXP(-'Black-Scholes'!$B$8*'Black-Scholes'!$B$7)*IF(LOWER('Black-Scholes'!$B$11)="put",MAX('Black-Scholes'!$B$6-D4530,0),MAX(D4530-'Black-Scholes'!$B$6,0))</f>
        <v>0</v>
      </c>
    </row>
    <row r="4531" customFormat="false" ht="15" hidden="false" customHeight="false" outlineLevel="0" collapsed="false">
      <c r="A4531" s="0" t="n">
        <v>4520</v>
      </c>
      <c r="B4531" s="15" t="n">
        <v>-0.550020759500314</v>
      </c>
      <c r="C4531" s="18" t="n">
        <f aca="false">'Black-Scholes'!$B$5*EXP(('Black-Scholes'!$B$8-'Black-Scholes'!$B$10-'Black-Scholes'!$B$9^2/2)*'Black-Scholes'!$B$7+'Black-Scholes'!$B$9*SQRT('Black-Scholes'!$B$7)*B4531)</f>
        <v>92.3112513707776</v>
      </c>
      <c r="D4531" s="18" t="n">
        <f aca="false">'Black-Scholes'!$B$5*EXP(('Black-Scholes'!$B$8-'Black-Scholes'!$B$10-'Black-Scholes'!$B$9^2/2)*'Black-Scholes'!$B$7-'Black-Scholes'!$B$9*SQRT('Black-Scholes'!$B$7)*B4531)</f>
        <v>115.0278574689</v>
      </c>
      <c r="E4531" s="18" t="n">
        <f aca="false">EXP(-'Black-Scholes'!$B$8*'Black-Scholes'!$B$7)*IF(LOWER('Black-Scholes'!$B$11)="put",MAX('Black-Scholes'!$B$6-C4531,0),MAX(C4531-'Black-Scholes'!$B$6,0))</f>
        <v>0</v>
      </c>
      <c r="F4531" s="18" t="n">
        <f aca="false">(E4531+G4531)/2</f>
        <v>7.14747010581022</v>
      </c>
      <c r="G4531" s="18" t="n">
        <f aca="false">EXP(-'Black-Scholes'!$B$8*'Black-Scholes'!$B$7)*IF(LOWER('Black-Scholes'!$B$11)="put",MAX('Black-Scholes'!$B$6-D4531,0),MAX(D4531-'Black-Scholes'!$B$6,0))</f>
        <v>14.2949402116204</v>
      </c>
    </row>
    <row r="4532" customFormat="false" ht="15" hidden="false" customHeight="false" outlineLevel="0" collapsed="false">
      <c r="A4532" s="0" t="n">
        <v>4521</v>
      </c>
      <c r="B4532" s="15" t="n">
        <v>1.13385648695663</v>
      </c>
      <c r="C4532" s="18" t="n">
        <f aca="false">'Black-Scholes'!$B$5*EXP(('Black-Scholes'!$B$8-'Black-Scholes'!$B$10-'Black-Scholes'!$B$9^2/2)*'Black-Scholes'!$B$7+'Black-Scholes'!$B$9*SQRT('Black-Scholes'!$B$7)*B4532)</f>
        <v>129.274943777944</v>
      </c>
      <c r="D4532" s="18" t="n">
        <f aca="false">'Black-Scholes'!$B$5*EXP(('Black-Scholes'!$B$8-'Black-Scholes'!$B$10-'Black-Scholes'!$B$9^2/2)*'Black-Scholes'!$B$7-'Black-Scholes'!$B$9*SQRT('Black-Scholes'!$B$7)*B4532)</f>
        <v>82.1378463230493</v>
      </c>
      <c r="E4532" s="18" t="n">
        <f aca="false">EXP(-'Black-Scholes'!$B$8*'Black-Scholes'!$B$7)*IF(LOWER('Black-Scholes'!$B$11)="put",MAX('Black-Scholes'!$B$6-C4532,0),MAX(C4532-'Black-Scholes'!$B$6,0))</f>
        <v>27.8471879221844</v>
      </c>
      <c r="F4532" s="18" t="n">
        <f aca="false">(E4532+G4532)/2</f>
        <v>13.9235939610922</v>
      </c>
      <c r="G4532" s="18" t="n">
        <f aca="false">EXP(-'Black-Scholes'!$B$8*'Black-Scholes'!$B$7)*IF(LOWER('Black-Scholes'!$B$11)="put",MAX('Black-Scholes'!$B$6-D4532,0),MAX(D4532-'Black-Scholes'!$B$6,0))</f>
        <v>0</v>
      </c>
    </row>
    <row r="4533" customFormat="false" ht="15" hidden="false" customHeight="false" outlineLevel="0" collapsed="false">
      <c r="A4533" s="0" t="n">
        <v>4522</v>
      </c>
      <c r="B4533" s="15" t="n">
        <v>-0.804791263798218</v>
      </c>
      <c r="C4533" s="18" t="n">
        <f aca="false">'Black-Scholes'!$B$5*EXP(('Black-Scholes'!$B$8-'Black-Scholes'!$B$10-'Black-Scholes'!$B$9^2/2)*'Black-Scholes'!$B$7+'Black-Scholes'!$B$9*SQRT('Black-Scholes'!$B$7)*B4533)</f>
        <v>87.7254396576748</v>
      </c>
      <c r="D4533" s="18" t="n">
        <f aca="false">'Black-Scholes'!$B$5*EXP(('Black-Scholes'!$B$8-'Black-Scholes'!$B$10-'Black-Scholes'!$B$9^2/2)*'Black-Scholes'!$B$7-'Black-Scholes'!$B$9*SQRT('Black-Scholes'!$B$7)*B4533)</f>
        <v>121.040891979441</v>
      </c>
      <c r="E4533" s="18" t="n">
        <f aca="false">EXP(-'Black-Scholes'!$B$8*'Black-Scholes'!$B$7)*IF(LOWER('Black-Scholes'!$B$11)="put",MAX('Black-Scholes'!$B$6-C4533,0),MAX(C4533-'Black-Scholes'!$B$6,0))</f>
        <v>0</v>
      </c>
      <c r="F4533" s="18" t="n">
        <f aca="false">(E4533+G4533)/2</f>
        <v>10.0073577842927</v>
      </c>
      <c r="G4533" s="18" t="n">
        <f aca="false">EXP(-'Black-Scholes'!$B$8*'Black-Scholes'!$B$7)*IF(LOWER('Black-Scholes'!$B$11)="put",MAX('Black-Scholes'!$B$6-D4533,0),MAX(D4533-'Black-Scholes'!$B$6,0))</f>
        <v>20.0147155685854</v>
      </c>
    </row>
    <row r="4534" customFormat="false" ht="15" hidden="false" customHeight="false" outlineLevel="0" collapsed="false">
      <c r="A4534" s="0" t="n">
        <v>4523</v>
      </c>
      <c r="B4534" s="15" t="n">
        <v>-0.179311446504598</v>
      </c>
      <c r="C4534" s="18" t="n">
        <f aca="false">'Black-Scholes'!$B$5*EXP(('Black-Scholes'!$B$8-'Black-Scholes'!$B$10-'Black-Scholes'!$B$9^2/2)*'Black-Scholes'!$B$7+'Black-Scholes'!$B$9*SQRT('Black-Scholes'!$B$7)*B4534)</f>
        <v>99.4154860388492</v>
      </c>
      <c r="D4534" s="18" t="n">
        <f aca="false">'Black-Scholes'!$B$5*EXP(('Black-Scholes'!$B$8-'Black-Scholes'!$B$10-'Black-Scholes'!$B$9^2/2)*'Black-Scholes'!$B$7-'Black-Scholes'!$B$9*SQRT('Black-Scholes'!$B$7)*B4534)</f>
        <v>106.807962104658</v>
      </c>
      <c r="E4534" s="18" t="n">
        <f aca="false">EXP(-'Black-Scholes'!$B$8*'Black-Scholes'!$B$7)*IF(LOWER('Black-Scholes'!$B$11)="put",MAX('Black-Scholes'!$B$6-C4534,0),MAX(C4534-'Black-Scholes'!$B$6,0))</f>
        <v>0</v>
      </c>
      <c r="F4534" s="18" t="n">
        <f aca="false">(E4534+G4534)/2</f>
        <v>3.23796693741841</v>
      </c>
      <c r="G4534" s="18" t="n">
        <f aca="false">EXP(-'Black-Scholes'!$B$8*'Black-Scholes'!$B$7)*IF(LOWER('Black-Scholes'!$B$11)="put",MAX('Black-Scholes'!$B$6-D4534,0),MAX(D4534-'Black-Scholes'!$B$6,0))</f>
        <v>6.47593387483681</v>
      </c>
    </row>
    <row r="4535" customFormat="false" ht="15" hidden="false" customHeight="false" outlineLevel="0" collapsed="false">
      <c r="A4535" s="0" t="n">
        <v>4524</v>
      </c>
      <c r="B4535" s="15" t="n">
        <v>-1.72877744301473</v>
      </c>
      <c r="C4535" s="18" t="n">
        <f aca="false">'Black-Scholes'!$B$5*EXP(('Black-Scholes'!$B$8-'Black-Scholes'!$B$10-'Black-Scholes'!$B$9^2/2)*'Black-Scholes'!$B$7+'Black-Scholes'!$B$9*SQRT('Black-Scholes'!$B$7)*B4535)</f>
        <v>72.9237735307806</v>
      </c>
      <c r="D4535" s="18" t="n">
        <f aca="false">'Black-Scholes'!$B$5*EXP(('Black-Scholes'!$B$8-'Black-Scholes'!$B$10-'Black-Scholes'!$B$9^2/2)*'Black-Scholes'!$B$7-'Black-Scholes'!$B$9*SQRT('Black-Scholes'!$B$7)*B4535)</f>
        <v>145.609105938157</v>
      </c>
      <c r="E4535" s="18" t="n">
        <f aca="false">EXP(-'Black-Scholes'!$B$8*'Black-Scholes'!$B$7)*IF(LOWER('Black-Scholes'!$B$11)="put",MAX('Black-Scholes'!$B$6-C4535,0),MAX(C4535-'Black-Scholes'!$B$6,0))</f>
        <v>0</v>
      </c>
      <c r="F4535" s="18" t="n">
        <f aca="false">(E4535+G4535)/2</f>
        <v>21.6923617967726</v>
      </c>
      <c r="G4535" s="18" t="n">
        <f aca="false">EXP(-'Black-Scholes'!$B$8*'Black-Scholes'!$B$7)*IF(LOWER('Black-Scholes'!$B$11)="put",MAX('Black-Scholes'!$B$6-D4535,0),MAX(D4535-'Black-Scholes'!$B$6,0))</f>
        <v>43.3847235935451</v>
      </c>
    </row>
    <row r="4536" customFormat="false" ht="15" hidden="false" customHeight="false" outlineLevel="0" collapsed="false">
      <c r="A4536" s="0" t="n">
        <v>4525</v>
      </c>
      <c r="B4536" s="15" t="n">
        <v>-0.103298119128439</v>
      </c>
      <c r="C4536" s="18" t="n">
        <f aca="false">'Black-Scholes'!$B$5*EXP(('Black-Scholes'!$B$8-'Black-Scholes'!$B$10-'Black-Scholes'!$B$9^2/2)*'Black-Scholes'!$B$7+'Black-Scholes'!$B$9*SQRT('Black-Scholes'!$B$7)*B4536)</f>
        <v>100.938413361874</v>
      </c>
      <c r="D4536" s="18" t="n">
        <f aca="false">'Black-Scholes'!$B$5*EXP(('Black-Scholes'!$B$8-'Black-Scholes'!$B$10-'Black-Scholes'!$B$9^2/2)*'Black-Scholes'!$B$7-'Black-Scholes'!$B$9*SQRT('Black-Scholes'!$B$7)*B4536)</f>
        <v>105.196476859466</v>
      </c>
      <c r="E4536" s="18" t="n">
        <f aca="false">EXP(-'Black-Scholes'!$B$8*'Black-Scholes'!$B$7)*IF(LOWER('Black-Scholes'!$B$11)="put",MAX('Black-Scholes'!$B$6-C4536,0),MAX(C4536-'Black-Scholes'!$B$6,0))</f>
        <v>0.892646402159197</v>
      </c>
      <c r="F4536" s="18" t="n">
        <f aca="false">(E4536+G4536)/2</f>
        <v>2.91784404731017</v>
      </c>
      <c r="G4536" s="18" t="n">
        <f aca="false">EXP(-'Black-Scholes'!$B$8*'Black-Scholes'!$B$7)*IF(LOWER('Black-Scholes'!$B$11)="put",MAX('Black-Scholes'!$B$6-D4536,0),MAX(D4536-'Black-Scholes'!$B$6,0))</f>
        <v>4.94304169246115</v>
      </c>
    </row>
    <row r="4537" customFormat="false" ht="15" hidden="false" customHeight="false" outlineLevel="0" collapsed="false">
      <c r="A4537" s="0" t="n">
        <v>4526</v>
      </c>
      <c r="B4537" s="15" t="n">
        <v>0.160822071529929</v>
      </c>
      <c r="C4537" s="18" t="n">
        <f aca="false">'Black-Scholes'!$B$5*EXP(('Black-Scholes'!$B$8-'Black-Scholes'!$B$10-'Black-Scholes'!$B$9^2/2)*'Black-Scholes'!$B$7+'Black-Scholes'!$B$9*SQRT('Black-Scholes'!$B$7)*B4537)</f>
        <v>106.413728973987</v>
      </c>
      <c r="D4537" s="18" t="n">
        <f aca="false">'Black-Scholes'!$B$5*EXP(('Black-Scholes'!$B$8-'Black-Scholes'!$B$10-'Black-Scholes'!$B$9^2/2)*'Black-Scholes'!$B$7-'Black-Scholes'!$B$9*SQRT('Black-Scholes'!$B$7)*B4537)</f>
        <v>99.7837926349638</v>
      </c>
      <c r="E4537" s="18" t="n">
        <f aca="false">EXP(-'Black-Scholes'!$B$8*'Black-Scholes'!$B$7)*IF(LOWER('Black-Scholes'!$B$11)="put",MAX('Black-Scholes'!$B$6-C4537,0),MAX(C4537-'Black-Scholes'!$B$6,0))</f>
        <v>6.10092772082963</v>
      </c>
      <c r="F4537" s="18" t="n">
        <f aca="false">(E4537+G4537)/2</f>
        <v>3.05046386041482</v>
      </c>
      <c r="G4537" s="18" t="n">
        <f aca="false">EXP(-'Black-Scholes'!$B$8*'Black-Scholes'!$B$7)*IF(LOWER('Black-Scholes'!$B$11)="put",MAX('Black-Scholes'!$B$6-D4537,0),MAX(D4537-'Black-Scholes'!$B$6,0))</f>
        <v>0</v>
      </c>
    </row>
    <row r="4538" customFormat="false" ht="15" hidden="false" customHeight="false" outlineLevel="0" collapsed="false">
      <c r="A4538" s="0" t="n">
        <v>4527</v>
      </c>
      <c r="B4538" s="15" t="n">
        <v>-0.119822756301621</v>
      </c>
      <c r="C4538" s="18" t="n">
        <f aca="false">'Black-Scholes'!$B$5*EXP(('Black-Scholes'!$B$8-'Black-Scholes'!$B$10-'Black-Scholes'!$B$9^2/2)*'Black-Scholes'!$B$7+'Black-Scholes'!$B$9*SQRT('Black-Scholes'!$B$7)*B4538)</f>
        <v>100.605369875763</v>
      </c>
      <c r="D4538" s="18" t="n">
        <f aca="false">'Black-Scholes'!$B$5*EXP(('Black-Scholes'!$B$8-'Black-Scholes'!$B$10-'Black-Scholes'!$B$9^2/2)*'Black-Scholes'!$B$7-'Black-Scholes'!$B$9*SQRT('Black-Scholes'!$B$7)*B4538)</f>
        <v>105.544718721935</v>
      </c>
      <c r="E4538" s="18" t="n">
        <f aca="false">EXP(-'Black-Scholes'!$B$8*'Black-Scholes'!$B$7)*IF(LOWER('Black-Scholes'!$B$11)="put",MAX('Black-Scholes'!$B$6-C4538,0),MAX(C4538-'Black-Scholes'!$B$6,0))</f>
        <v>0.575845638532056</v>
      </c>
      <c r="F4538" s="18" t="n">
        <f aca="false">(E4538+G4538)/2</f>
        <v>2.92507261870814</v>
      </c>
      <c r="G4538" s="18" t="n">
        <f aca="false">EXP(-'Black-Scholes'!$B$8*'Black-Scholes'!$B$7)*IF(LOWER('Black-Scholes'!$B$11)="put",MAX('Black-Scholes'!$B$6-D4538,0),MAX(D4538-'Black-Scholes'!$B$6,0))</f>
        <v>5.27429959888423</v>
      </c>
    </row>
    <row r="4539" customFormat="false" ht="15" hidden="false" customHeight="false" outlineLevel="0" collapsed="false">
      <c r="A4539" s="0" t="n">
        <v>4528</v>
      </c>
      <c r="B4539" s="15" t="n">
        <v>0.593909383739622</v>
      </c>
      <c r="C4539" s="18" t="n">
        <f aca="false">'Black-Scholes'!$B$5*EXP(('Black-Scholes'!$B$8-'Black-Scholes'!$B$10-'Black-Scholes'!$B$9^2/2)*'Black-Scholes'!$B$7+'Black-Scholes'!$B$9*SQRT('Black-Scholes'!$B$7)*B4539)</f>
        <v>116.041984705118</v>
      </c>
      <c r="D4539" s="18" t="n">
        <f aca="false">'Black-Scholes'!$B$5*EXP(('Black-Scholes'!$B$8-'Black-Scholes'!$B$10-'Black-Scholes'!$B$9^2/2)*'Black-Scholes'!$B$7-'Black-Scholes'!$B$9*SQRT('Black-Scholes'!$B$7)*B4539)</f>
        <v>91.5045144430838</v>
      </c>
      <c r="E4539" s="18" t="n">
        <f aca="false">EXP(-'Black-Scholes'!$B$8*'Black-Scholes'!$B$7)*IF(LOWER('Black-Scholes'!$B$11)="put",MAX('Black-Scholes'!$B$6-C4539,0),MAX(C4539-'Black-Scholes'!$B$6,0))</f>
        <v>15.2596078788988</v>
      </c>
      <c r="F4539" s="18" t="n">
        <f aca="false">(E4539+G4539)/2</f>
        <v>7.62980393944942</v>
      </c>
      <c r="G4539" s="18" t="n">
        <f aca="false">EXP(-'Black-Scholes'!$B$8*'Black-Scholes'!$B$7)*IF(LOWER('Black-Scholes'!$B$11)="put",MAX('Black-Scholes'!$B$6-D4539,0),MAX(D4539-'Black-Scholes'!$B$6,0))</f>
        <v>0</v>
      </c>
    </row>
    <row r="4540" customFormat="false" ht="15" hidden="false" customHeight="false" outlineLevel="0" collapsed="false">
      <c r="A4540" s="0" t="n">
        <v>4529</v>
      </c>
      <c r="B4540" s="15" t="n">
        <v>1.31312318852229</v>
      </c>
      <c r="C4540" s="18" t="n">
        <f aca="false">'Black-Scholes'!$B$5*EXP(('Black-Scholes'!$B$8-'Black-Scholes'!$B$10-'Black-Scholes'!$B$9^2/2)*'Black-Scholes'!$B$7+'Black-Scholes'!$B$9*SQRT('Black-Scholes'!$B$7)*B4540)</f>
        <v>133.993973316909</v>
      </c>
      <c r="D4540" s="18" t="n">
        <f aca="false">'Black-Scholes'!$B$5*EXP(('Black-Scholes'!$B$8-'Black-Scholes'!$B$10-'Black-Scholes'!$B$9^2/2)*'Black-Scholes'!$B$7-'Black-Scholes'!$B$9*SQRT('Black-Scholes'!$B$7)*B4540)</f>
        <v>79.2450973921051</v>
      </c>
      <c r="E4540" s="18" t="n">
        <f aca="false">EXP(-'Black-Scholes'!$B$8*'Black-Scholes'!$B$7)*IF(LOWER('Black-Scholes'!$B$11)="put",MAX('Black-Scholes'!$B$6-C4540,0),MAX(C4540-'Black-Scholes'!$B$6,0))</f>
        <v>32.3360676747362</v>
      </c>
      <c r="F4540" s="18" t="n">
        <f aca="false">(E4540+G4540)/2</f>
        <v>16.1680338373681</v>
      </c>
      <c r="G4540" s="18" t="n">
        <f aca="false">EXP(-'Black-Scholes'!$B$8*'Black-Scholes'!$B$7)*IF(LOWER('Black-Scholes'!$B$11)="put",MAX('Black-Scholes'!$B$6-D4540,0),MAX(D4540-'Black-Scholes'!$B$6,0))</f>
        <v>0</v>
      </c>
    </row>
    <row r="4541" customFormat="false" ht="15" hidden="false" customHeight="false" outlineLevel="0" collapsed="false">
      <c r="A4541" s="0" t="n">
        <v>4530</v>
      </c>
      <c r="B4541" s="15" t="n">
        <v>-0.86142720061241</v>
      </c>
      <c r="C4541" s="18" t="n">
        <f aca="false">'Black-Scholes'!$B$5*EXP(('Black-Scholes'!$B$8-'Black-Scholes'!$B$10-'Black-Scholes'!$B$9^2/2)*'Black-Scholes'!$B$7+'Black-Scholes'!$B$9*SQRT('Black-Scholes'!$B$7)*B4541)</f>
        <v>86.7373637910014</v>
      </c>
      <c r="D4541" s="18" t="n">
        <f aca="false">'Black-Scholes'!$B$5*EXP(('Black-Scholes'!$B$8-'Black-Scholes'!$B$10-'Black-Scholes'!$B$9^2/2)*'Black-Scholes'!$B$7-'Black-Scholes'!$B$9*SQRT('Black-Scholes'!$B$7)*B4541)</f>
        <v>122.41973932986</v>
      </c>
      <c r="E4541" s="18" t="n">
        <f aca="false">EXP(-'Black-Scholes'!$B$8*'Black-Scholes'!$B$7)*IF(LOWER('Black-Scholes'!$B$11)="put",MAX('Black-Scholes'!$B$6-C4541,0),MAX(C4541-'Black-Scholes'!$B$6,0))</f>
        <v>0</v>
      </c>
      <c r="F4541" s="18" t="n">
        <f aca="false">(E4541+G4541)/2</f>
        <v>10.6631578700992</v>
      </c>
      <c r="G4541" s="18" t="n">
        <f aca="false">EXP(-'Black-Scholes'!$B$8*'Black-Scholes'!$B$7)*IF(LOWER('Black-Scholes'!$B$11)="put",MAX('Black-Scholes'!$B$6-D4541,0),MAX(D4541-'Black-Scholes'!$B$6,0))</f>
        <v>21.3263157401984</v>
      </c>
    </row>
    <row r="4542" customFormat="false" ht="15" hidden="false" customHeight="false" outlineLevel="0" collapsed="false">
      <c r="A4542" s="0" t="n">
        <v>4531</v>
      </c>
      <c r="B4542" s="15" t="n">
        <v>2.1518873642246</v>
      </c>
      <c r="C4542" s="18" t="n">
        <f aca="false">'Black-Scholes'!$B$5*EXP(('Black-Scholes'!$B$8-'Black-Scholes'!$B$10-'Black-Scholes'!$B$9^2/2)*'Black-Scholes'!$B$7+'Black-Scholes'!$B$9*SQRT('Black-Scholes'!$B$7)*B4542)</f>
        <v>158.467204277635</v>
      </c>
      <c r="D4542" s="18" t="n">
        <f aca="false">'Black-Scholes'!$B$5*EXP(('Black-Scholes'!$B$8-'Black-Scholes'!$B$10-'Black-Scholes'!$B$9^2/2)*'Black-Scholes'!$B$7-'Black-Scholes'!$B$9*SQRT('Black-Scholes'!$B$7)*B4542)</f>
        <v>67.0067066170374</v>
      </c>
      <c r="E4542" s="18" t="n">
        <f aca="false">EXP(-'Black-Scholes'!$B$8*'Black-Scholes'!$B$7)*IF(LOWER('Black-Scholes'!$B$11)="put",MAX('Black-Scholes'!$B$6-C4542,0),MAX(C4542-'Black-Scholes'!$B$6,0))</f>
        <v>55.6157250771801</v>
      </c>
      <c r="F4542" s="18" t="n">
        <f aca="false">(E4542+G4542)/2</f>
        <v>27.8078625385901</v>
      </c>
      <c r="G4542" s="18" t="n">
        <f aca="false">EXP(-'Black-Scholes'!$B$8*'Black-Scholes'!$B$7)*IF(LOWER('Black-Scholes'!$B$11)="put",MAX('Black-Scholes'!$B$6-D4542,0),MAX(D4542-'Black-Scholes'!$B$6,0))</f>
        <v>0</v>
      </c>
    </row>
    <row r="4543" customFormat="false" ht="15" hidden="false" customHeight="false" outlineLevel="0" collapsed="false">
      <c r="A4543" s="0" t="n">
        <v>4532</v>
      </c>
      <c r="B4543" s="15" t="n">
        <v>-0.435681223355808</v>
      </c>
      <c r="C4543" s="18" t="n">
        <f aca="false">'Black-Scholes'!$B$5*EXP(('Black-Scholes'!$B$8-'Black-Scholes'!$B$10-'Black-Scholes'!$B$9^2/2)*'Black-Scholes'!$B$7+'Black-Scholes'!$B$9*SQRT('Black-Scholes'!$B$7)*B4543)</f>
        <v>94.4465382224829</v>
      </c>
      <c r="D4543" s="18" t="n">
        <f aca="false">'Black-Scholes'!$B$5*EXP(('Black-Scholes'!$B$8-'Black-Scholes'!$B$10-'Black-Scholes'!$B$9^2/2)*'Black-Scholes'!$B$7-'Black-Scholes'!$B$9*SQRT('Black-Scholes'!$B$7)*B4543)</f>
        <v>112.427259540635</v>
      </c>
      <c r="E4543" s="18" t="n">
        <f aca="false">EXP(-'Black-Scholes'!$B$8*'Black-Scholes'!$B$7)*IF(LOWER('Black-Scholes'!$B$11)="put",MAX('Black-Scholes'!$B$6-C4543,0),MAX(C4543-'Black-Scholes'!$B$6,0))</f>
        <v>0</v>
      </c>
      <c r="F4543" s="18" t="n">
        <f aca="false">(E4543+G4543)/2</f>
        <v>5.91058747047965</v>
      </c>
      <c r="G4543" s="18" t="n">
        <f aca="false">EXP(-'Black-Scholes'!$B$8*'Black-Scholes'!$B$7)*IF(LOWER('Black-Scholes'!$B$11)="put",MAX('Black-Scholes'!$B$6-D4543,0),MAX(D4543-'Black-Scholes'!$B$6,0))</f>
        <v>11.8211749409593</v>
      </c>
    </row>
    <row r="4544" customFormat="false" ht="15" hidden="false" customHeight="false" outlineLevel="0" collapsed="false">
      <c r="A4544" s="0" t="n">
        <v>4533</v>
      </c>
      <c r="B4544" s="15" t="n">
        <v>1.22450893733276</v>
      </c>
      <c r="C4544" s="18" t="n">
        <f aca="false">'Black-Scholes'!$B$5*EXP(('Black-Scholes'!$B$8-'Black-Scholes'!$B$10-'Black-Scholes'!$B$9^2/2)*'Black-Scholes'!$B$7+'Black-Scholes'!$B$9*SQRT('Black-Scholes'!$B$7)*B4544)</f>
        <v>131.64013814039</v>
      </c>
      <c r="D4544" s="18" t="n">
        <f aca="false">'Black-Scholes'!$B$5*EXP(('Black-Scholes'!$B$8-'Black-Scholes'!$B$10-'Black-Scholes'!$B$9^2/2)*'Black-Scholes'!$B$7-'Black-Scholes'!$B$9*SQRT('Black-Scholes'!$B$7)*B4544)</f>
        <v>80.6620656545454</v>
      </c>
      <c r="E4544" s="18" t="n">
        <f aca="false">EXP(-'Black-Scholes'!$B$8*'Black-Scholes'!$B$7)*IF(LOWER('Black-Scholes'!$B$11)="put",MAX('Black-Scholes'!$B$6-C4544,0),MAX(C4544-'Black-Scholes'!$B$6,0))</f>
        <v>30.0970303944067</v>
      </c>
      <c r="F4544" s="18" t="n">
        <f aca="false">(E4544+G4544)/2</f>
        <v>15.0485151972033</v>
      </c>
      <c r="G4544" s="18" t="n">
        <f aca="false">EXP(-'Black-Scholes'!$B$8*'Black-Scholes'!$B$7)*IF(LOWER('Black-Scholes'!$B$11)="put",MAX('Black-Scholes'!$B$6-D4544,0),MAX(D4544-'Black-Scholes'!$B$6,0))</f>
        <v>0</v>
      </c>
    </row>
    <row r="4545" customFormat="false" ht="15" hidden="false" customHeight="false" outlineLevel="0" collapsed="false">
      <c r="A4545" s="0" t="n">
        <v>4534</v>
      </c>
      <c r="B4545" s="15" t="n">
        <v>-0.715429693042832</v>
      </c>
      <c r="C4545" s="18" t="n">
        <f aca="false">'Black-Scholes'!$B$5*EXP(('Black-Scholes'!$B$8-'Black-Scholes'!$B$10-'Black-Scholes'!$B$9^2/2)*'Black-Scholes'!$B$7+'Black-Scholes'!$B$9*SQRT('Black-Scholes'!$B$7)*B4545)</f>
        <v>89.3073907289108</v>
      </c>
      <c r="D4545" s="18" t="n">
        <f aca="false">'Black-Scholes'!$B$5*EXP(('Black-Scholes'!$B$8-'Black-Scholes'!$B$10-'Black-Scholes'!$B$9^2/2)*'Black-Scholes'!$B$7-'Black-Scholes'!$B$9*SQRT('Black-Scholes'!$B$7)*B4545)</f>
        <v>118.896827897315</v>
      </c>
      <c r="E4545" s="18" t="n">
        <f aca="false">EXP(-'Black-Scholes'!$B$8*'Black-Scholes'!$B$7)*IF(LOWER('Black-Scholes'!$B$11)="put",MAX('Black-Scholes'!$B$6-C4545,0),MAX(C4545-'Black-Scholes'!$B$6,0))</f>
        <v>0</v>
      </c>
      <c r="F4545" s="18" t="n">
        <f aca="false">(E4545+G4545)/2</f>
        <v>8.98760936282614</v>
      </c>
      <c r="G4545" s="18" t="n">
        <f aca="false">EXP(-'Black-Scholes'!$B$8*'Black-Scholes'!$B$7)*IF(LOWER('Black-Scholes'!$B$11)="put",MAX('Black-Scholes'!$B$6-D4545,0),MAX(D4545-'Black-Scholes'!$B$6,0))</f>
        <v>17.9752187256523</v>
      </c>
    </row>
    <row r="4546" customFormat="false" ht="15" hidden="false" customHeight="false" outlineLevel="0" collapsed="false">
      <c r="A4546" s="0" t="n">
        <v>4535</v>
      </c>
      <c r="B4546" s="15" t="n">
        <v>-0.201525419930938</v>
      </c>
      <c r="C4546" s="18" t="n">
        <f aca="false">'Black-Scholes'!$B$5*EXP(('Black-Scholes'!$B$8-'Black-Scholes'!$B$10-'Black-Scholes'!$B$9^2/2)*'Black-Scholes'!$B$7+'Black-Scholes'!$B$9*SQRT('Black-Scholes'!$B$7)*B4546)</f>
        <v>98.9747831469736</v>
      </c>
      <c r="D4546" s="18" t="n">
        <f aca="false">'Black-Scholes'!$B$5*EXP(('Black-Scholes'!$B$8-'Black-Scholes'!$B$10-'Black-Scholes'!$B$9^2/2)*'Black-Scholes'!$B$7-'Black-Scholes'!$B$9*SQRT('Black-Scholes'!$B$7)*B4546)</f>
        <v>107.283543624296</v>
      </c>
      <c r="E4546" s="18" t="n">
        <f aca="false">EXP(-'Black-Scholes'!$B$8*'Black-Scholes'!$B$7)*IF(LOWER('Black-Scholes'!$B$11)="put",MAX('Black-Scholes'!$B$6-C4546,0),MAX(C4546-'Black-Scholes'!$B$6,0))</f>
        <v>0</v>
      </c>
      <c r="F4546" s="18" t="n">
        <f aca="false">(E4546+G4546)/2</f>
        <v>3.46416050503258</v>
      </c>
      <c r="G4546" s="18" t="n">
        <f aca="false">EXP(-'Black-Scholes'!$B$8*'Black-Scholes'!$B$7)*IF(LOWER('Black-Scholes'!$B$11)="put",MAX('Black-Scholes'!$B$6-D4546,0),MAX(D4546-'Black-Scholes'!$B$6,0))</f>
        <v>6.92832101006516</v>
      </c>
    </row>
    <row r="4547" customFormat="false" ht="15" hidden="false" customHeight="false" outlineLevel="0" collapsed="false">
      <c r="A4547" s="0" t="n">
        <v>4536</v>
      </c>
      <c r="B4547" s="15" t="n">
        <v>0.930982914948728</v>
      </c>
      <c r="C4547" s="18" t="n">
        <f aca="false">'Black-Scholes'!$B$5*EXP(('Black-Scholes'!$B$8-'Black-Scholes'!$B$10-'Black-Scholes'!$B$9^2/2)*'Black-Scholes'!$B$7+'Black-Scholes'!$B$9*SQRT('Black-Scholes'!$B$7)*B4547)</f>
        <v>124.134638259961</v>
      </c>
      <c r="D4547" s="18" t="n">
        <f aca="false">'Black-Scholes'!$B$5*EXP(('Black-Scholes'!$B$8-'Black-Scholes'!$B$10-'Black-Scholes'!$B$9^2/2)*'Black-Scholes'!$B$7-'Black-Scholes'!$B$9*SQRT('Black-Scholes'!$B$7)*B4547)</f>
        <v>85.5391018517876</v>
      </c>
      <c r="E4547" s="18" t="n">
        <f aca="false">EXP(-'Black-Scholes'!$B$8*'Black-Scholes'!$B$7)*IF(LOWER('Black-Scholes'!$B$11)="put",MAX('Black-Scholes'!$B$6-C4547,0),MAX(C4547-'Black-Scholes'!$B$6,0))</f>
        <v>22.9575780625555</v>
      </c>
      <c r="F4547" s="18" t="n">
        <f aca="false">(E4547+G4547)/2</f>
        <v>11.4787890312777</v>
      </c>
      <c r="G4547" s="18" t="n">
        <f aca="false">EXP(-'Black-Scholes'!$B$8*'Black-Scholes'!$B$7)*IF(LOWER('Black-Scholes'!$B$11)="put",MAX('Black-Scholes'!$B$6-D4547,0),MAX(D4547-'Black-Scholes'!$B$6,0))</f>
        <v>0</v>
      </c>
    </row>
    <row r="4548" customFormat="false" ht="15" hidden="false" customHeight="false" outlineLevel="0" collapsed="false">
      <c r="A4548" s="0" t="n">
        <v>4537</v>
      </c>
      <c r="B4548" s="15" t="n">
        <v>0.122017779674771</v>
      </c>
      <c r="C4548" s="18" t="n">
        <f aca="false">'Black-Scholes'!$B$5*EXP(('Black-Scholes'!$B$8-'Black-Scholes'!$B$10-'Black-Scholes'!$B$9^2/2)*'Black-Scholes'!$B$7+'Black-Scholes'!$B$9*SQRT('Black-Scholes'!$B$7)*B4548)</f>
        <v>105.591063518883</v>
      </c>
      <c r="D4548" s="18" t="n">
        <f aca="false">'Black-Scholes'!$B$5*EXP(('Black-Scholes'!$B$8-'Black-Scholes'!$B$10-'Black-Scholes'!$B$9^2/2)*'Black-Scholes'!$B$7-'Black-Scholes'!$B$9*SQRT('Black-Scholes'!$B$7)*B4548)</f>
        <v>100.561213341266</v>
      </c>
      <c r="E4548" s="18" t="n">
        <f aca="false">EXP(-'Black-Scholes'!$B$8*'Black-Scholes'!$B$7)*IF(LOWER('Black-Scholes'!$B$11)="put",MAX('Black-Scholes'!$B$6-C4548,0),MAX(C4548-'Black-Scholes'!$B$6,0))</f>
        <v>5.31838413341402</v>
      </c>
      <c r="F4548" s="18" t="n">
        <f aca="false">(E4548+G4548)/2</f>
        <v>2.92611338852445</v>
      </c>
      <c r="G4548" s="18" t="n">
        <f aca="false">EXP(-'Black-Scholes'!$B$8*'Black-Scholes'!$B$7)*IF(LOWER('Black-Scholes'!$B$11)="put",MAX('Black-Scholes'!$B$6-D4548,0),MAX(D4548-'Black-Scholes'!$B$6,0))</f>
        <v>0.533842643634875</v>
      </c>
    </row>
    <row r="4549" customFormat="false" ht="15" hidden="false" customHeight="false" outlineLevel="0" collapsed="false">
      <c r="A4549" s="0" t="n">
        <v>4538</v>
      </c>
      <c r="B4549" s="15" t="n">
        <v>-0.778765590581061</v>
      </c>
      <c r="C4549" s="18" t="n">
        <f aca="false">'Black-Scholes'!$B$5*EXP(('Black-Scholes'!$B$8-'Black-Scholes'!$B$10-'Black-Scholes'!$B$9^2/2)*'Black-Scholes'!$B$7+'Black-Scholes'!$B$9*SQRT('Black-Scholes'!$B$7)*B4549)</f>
        <v>88.1832528387282</v>
      </c>
      <c r="D4549" s="18" t="n">
        <f aca="false">'Black-Scholes'!$B$5*EXP(('Black-Scholes'!$B$8-'Black-Scholes'!$B$10-'Black-Scholes'!$B$9^2/2)*'Black-Scholes'!$B$7-'Black-Scholes'!$B$9*SQRT('Black-Scholes'!$B$7)*B4549)</f>
        <v>120.412494704326</v>
      </c>
      <c r="E4549" s="18" t="n">
        <f aca="false">EXP(-'Black-Scholes'!$B$8*'Black-Scholes'!$B$7)*IF(LOWER('Black-Scholes'!$B$11)="put",MAX('Black-Scholes'!$B$6-C4549,0),MAX(C4549-'Black-Scholes'!$B$6,0))</f>
        <v>0</v>
      </c>
      <c r="F4549" s="18" t="n">
        <f aca="false">(E4549+G4549)/2</f>
        <v>9.70848279510994</v>
      </c>
      <c r="G4549" s="18" t="n">
        <f aca="false">EXP(-'Black-Scholes'!$B$8*'Black-Scholes'!$B$7)*IF(LOWER('Black-Scholes'!$B$11)="put",MAX('Black-Scholes'!$B$6-D4549,0),MAX(D4549-'Black-Scholes'!$B$6,0))</f>
        <v>19.4169655902199</v>
      </c>
    </row>
    <row r="4550" customFormat="false" ht="15" hidden="false" customHeight="false" outlineLevel="0" collapsed="false">
      <c r="A4550" s="0" t="n">
        <v>4539</v>
      </c>
      <c r="B4550" s="15" t="n">
        <v>-0.559382972999999</v>
      </c>
      <c r="C4550" s="18" t="n">
        <f aca="false">'Black-Scholes'!$B$5*EXP(('Black-Scholes'!$B$8-'Black-Scholes'!$B$10-'Black-Scholes'!$B$9^2/2)*'Black-Scholes'!$B$7+'Black-Scholes'!$B$9*SQRT('Black-Scholes'!$B$7)*B4550)</f>
        <v>92.1385655646185</v>
      </c>
      <c r="D4550" s="18" t="n">
        <f aca="false">'Black-Scholes'!$B$5*EXP(('Black-Scholes'!$B$8-'Black-Scholes'!$B$10-'Black-Scholes'!$B$9^2/2)*'Black-Scholes'!$B$7-'Black-Scholes'!$B$9*SQRT('Black-Scholes'!$B$7)*B4550)</f>
        <v>115.243442313053</v>
      </c>
      <c r="E4550" s="18" t="n">
        <f aca="false">EXP(-'Black-Scholes'!$B$8*'Black-Scholes'!$B$7)*IF(LOWER('Black-Scholes'!$B$11)="put",MAX('Black-Scholes'!$B$6-C4550,0),MAX(C4550-'Black-Scholes'!$B$6,0))</f>
        <v>0</v>
      </c>
      <c r="F4550" s="18" t="n">
        <f aca="false">(E4550+G4550)/2</f>
        <v>7.25000542942779</v>
      </c>
      <c r="G4550" s="18" t="n">
        <f aca="false">EXP(-'Black-Scholes'!$B$8*'Black-Scholes'!$B$7)*IF(LOWER('Black-Scholes'!$B$11)="put",MAX('Black-Scholes'!$B$6-D4550,0),MAX(D4550-'Black-Scholes'!$B$6,0))</f>
        <v>14.5000108588556</v>
      </c>
    </row>
    <row r="4551" customFormat="false" ht="15" hidden="false" customHeight="false" outlineLevel="0" collapsed="false">
      <c r="A4551" s="0" t="n">
        <v>4540</v>
      </c>
      <c r="B4551" s="15" t="n">
        <v>-0.949770553328494</v>
      </c>
      <c r="C4551" s="18" t="n">
        <f aca="false">'Black-Scholes'!$B$5*EXP(('Black-Scholes'!$B$8-'Black-Scholes'!$B$10-'Black-Scholes'!$B$9^2/2)*'Black-Scholes'!$B$7+'Black-Scholes'!$B$9*SQRT('Black-Scholes'!$B$7)*B4551)</f>
        <v>85.2182894174665</v>
      </c>
      <c r="D4551" s="18" t="n">
        <f aca="false">'Black-Scholes'!$B$5*EXP(('Black-Scholes'!$B$8-'Black-Scholes'!$B$10-'Black-Scholes'!$B$9^2/2)*'Black-Scholes'!$B$7-'Black-Scholes'!$B$9*SQRT('Black-Scholes'!$B$7)*B4551)</f>
        <v>124.601955026772</v>
      </c>
      <c r="E4551" s="18" t="n">
        <f aca="false">EXP(-'Black-Scholes'!$B$8*'Black-Scholes'!$B$7)*IF(LOWER('Black-Scholes'!$B$11)="put",MAX('Black-Scholes'!$B$6-C4551,0),MAX(C4551-'Black-Scholes'!$B$6,0))</f>
        <v>0</v>
      </c>
      <c r="F4551" s="18" t="n">
        <f aca="false">(E4551+G4551)/2</f>
        <v>11.7010517608544</v>
      </c>
      <c r="G4551" s="18" t="n">
        <f aca="false">EXP(-'Black-Scholes'!$B$8*'Black-Scholes'!$B$7)*IF(LOWER('Black-Scholes'!$B$11)="put",MAX('Black-Scholes'!$B$6-D4551,0),MAX(D4551-'Black-Scholes'!$B$6,0))</f>
        <v>23.4021035217087</v>
      </c>
    </row>
    <row r="4552" customFormat="false" ht="15" hidden="false" customHeight="false" outlineLevel="0" collapsed="false">
      <c r="A4552" s="0" t="n">
        <v>4541</v>
      </c>
      <c r="B4552" s="15" t="n">
        <v>1.76912031552248</v>
      </c>
      <c r="C4552" s="18" t="n">
        <f aca="false">'Black-Scholes'!$B$5*EXP(('Black-Scholes'!$B$8-'Black-Scholes'!$B$10-'Black-Scholes'!$B$9^2/2)*'Black-Scholes'!$B$7+'Black-Scholes'!$B$9*SQRT('Black-Scholes'!$B$7)*B4552)</f>
        <v>146.788716345183</v>
      </c>
      <c r="D4552" s="18" t="n">
        <f aca="false">'Black-Scholes'!$B$5*EXP(('Black-Scholes'!$B$8-'Black-Scholes'!$B$10-'Black-Scholes'!$B$9^2/2)*'Black-Scholes'!$B$7-'Black-Scholes'!$B$9*SQRT('Black-Scholes'!$B$7)*B4552)</f>
        <v>72.3377499976485</v>
      </c>
      <c r="E4552" s="18" t="n">
        <f aca="false">EXP(-'Black-Scholes'!$B$8*'Black-Scholes'!$B$7)*IF(LOWER('Black-Scholes'!$B$11)="put",MAX('Black-Scholes'!$B$6-C4552,0),MAX(C4552-'Black-Scholes'!$B$6,0))</f>
        <v>44.5068037221558</v>
      </c>
      <c r="F4552" s="18" t="n">
        <f aca="false">(E4552+G4552)/2</f>
        <v>22.2534018610779</v>
      </c>
      <c r="G4552" s="18" t="n">
        <f aca="false">EXP(-'Black-Scholes'!$B$8*'Black-Scholes'!$B$7)*IF(LOWER('Black-Scholes'!$B$11)="put",MAX('Black-Scholes'!$B$6-D4552,0),MAX(D4552-'Black-Scholes'!$B$6,0))</f>
        <v>0</v>
      </c>
    </row>
    <row r="4553" customFormat="false" ht="15" hidden="false" customHeight="false" outlineLevel="0" collapsed="false">
      <c r="A4553" s="0" t="n">
        <v>4542</v>
      </c>
      <c r="B4553" s="15" t="n">
        <v>-1.12014946983869</v>
      </c>
      <c r="C4553" s="18" t="n">
        <f aca="false">'Black-Scholes'!$B$5*EXP(('Black-Scholes'!$B$8-'Black-Scholes'!$B$10-'Black-Scholes'!$B$9^2/2)*'Black-Scholes'!$B$7+'Black-Scholes'!$B$9*SQRT('Black-Scholes'!$B$7)*B4553)</f>
        <v>82.3633282233786</v>
      </c>
      <c r="D4553" s="18" t="n">
        <f aca="false">'Black-Scholes'!$B$5*EXP(('Black-Scholes'!$B$8-'Black-Scholes'!$B$10-'Black-Scholes'!$B$9^2/2)*'Black-Scholes'!$B$7-'Black-Scholes'!$B$9*SQRT('Black-Scholes'!$B$7)*B4553)</f>
        <v>128.921034330417</v>
      </c>
      <c r="E4553" s="18" t="n">
        <f aca="false">EXP(-'Black-Scholes'!$B$8*'Black-Scholes'!$B$7)*IF(LOWER('Black-Scholes'!$B$11)="put",MAX('Black-Scholes'!$B$6-C4553,0),MAX(C4553-'Black-Scholes'!$B$6,0))</f>
        <v>0</v>
      </c>
      <c r="F4553" s="18" t="n">
        <f aca="false">(E4553+G4553)/2</f>
        <v>13.755269421044</v>
      </c>
      <c r="G4553" s="18" t="n">
        <f aca="false">EXP(-'Black-Scholes'!$B$8*'Black-Scholes'!$B$7)*IF(LOWER('Black-Scholes'!$B$11)="put",MAX('Black-Scholes'!$B$6-D4553,0),MAX(D4553-'Black-Scholes'!$B$6,0))</f>
        <v>27.510538842088</v>
      </c>
    </row>
    <row r="4554" customFormat="false" ht="15" hidden="false" customHeight="false" outlineLevel="0" collapsed="false">
      <c r="A4554" s="0" t="n">
        <v>4543</v>
      </c>
      <c r="B4554" s="15" t="n">
        <v>0.432309082207341</v>
      </c>
      <c r="C4554" s="18" t="n">
        <f aca="false">'Black-Scholes'!$B$5*EXP(('Black-Scholes'!$B$8-'Black-Scholes'!$B$10-'Black-Scholes'!$B$9^2/2)*'Black-Scholes'!$B$7+'Black-Scholes'!$B$9*SQRT('Black-Scholes'!$B$7)*B4554)</f>
        <v>112.351460986229</v>
      </c>
      <c r="D4554" s="18" t="n">
        <f aca="false">'Black-Scholes'!$B$5*EXP(('Black-Scholes'!$B$8-'Black-Scholes'!$B$10-'Black-Scholes'!$B$9^2/2)*'Black-Scholes'!$B$7-'Black-Scholes'!$B$9*SQRT('Black-Scholes'!$B$7)*B4554)</f>
        <v>94.5102571185529</v>
      </c>
      <c r="E4554" s="18" t="n">
        <f aca="false">EXP(-'Black-Scholes'!$B$8*'Black-Scholes'!$B$7)*IF(LOWER('Black-Scholes'!$B$11)="put",MAX('Black-Scholes'!$B$6-C4554,0),MAX(C4554-'Black-Scholes'!$B$6,0))</f>
        <v>11.7490731256739</v>
      </c>
      <c r="F4554" s="18" t="n">
        <f aca="false">(E4554+G4554)/2</f>
        <v>5.87453656283697</v>
      </c>
      <c r="G4554" s="18" t="n">
        <f aca="false">EXP(-'Black-Scholes'!$B$8*'Black-Scholes'!$B$7)*IF(LOWER('Black-Scholes'!$B$11)="put",MAX('Black-Scholes'!$B$6-D4554,0),MAX(D4554-'Black-Scholes'!$B$6,0))</f>
        <v>0</v>
      </c>
    </row>
    <row r="4555" customFormat="false" ht="15" hidden="false" customHeight="false" outlineLevel="0" collapsed="false">
      <c r="A4555" s="0" t="n">
        <v>4544</v>
      </c>
      <c r="B4555" s="15" t="n">
        <v>2.27470861015829</v>
      </c>
      <c r="C4555" s="18" t="n">
        <f aca="false">'Black-Scholes'!$B$5*EXP(('Black-Scholes'!$B$8-'Black-Scholes'!$B$10-'Black-Scholes'!$B$9^2/2)*'Black-Scholes'!$B$7+'Black-Scholes'!$B$9*SQRT('Black-Scholes'!$B$7)*B4555)</f>
        <v>162.408035798254</v>
      </c>
      <c r="D4555" s="18" t="n">
        <f aca="false">'Black-Scholes'!$B$5*EXP(('Black-Scholes'!$B$8-'Black-Scholes'!$B$10-'Black-Scholes'!$B$9^2/2)*'Black-Scholes'!$B$7-'Black-Scholes'!$B$9*SQRT('Black-Scholes'!$B$7)*B4555)</f>
        <v>65.3807886614916</v>
      </c>
      <c r="E4555" s="18" t="n">
        <f aca="false">EXP(-'Black-Scholes'!$B$8*'Black-Scholes'!$B$7)*IF(LOWER('Black-Scholes'!$B$11)="put",MAX('Black-Scholes'!$B$6-C4555,0),MAX(C4555-'Black-Scholes'!$B$6,0))</f>
        <v>59.3643599765929</v>
      </c>
      <c r="F4555" s="18" t="n">
        <f aca="false">(E4555+G4555)/2</f>
        <v>29.6821799882964</v>
      </c>
      <c r="G4555" s="18" t="n">
        <f aca="false">EXP(-'Black-Scholes'!$B$8*'Black-Scholes'!$B$7)*IF(LOWER('Black-Scholes'!$B$11)="put",MAX('Black-Scholes'!$B$6-D4555,0),MAX(D4555-'Black-Scholes'!$B$6,0))</f>
        <v>0</v>
      </c>
    </row>
    <row r="4556" customFormat="false" ht="15" hidden="false" customHeight="false" outlineLevel="0" collapsed="false">
      <c r="A4556" s="0" t="n">
        <v>4545</v>
      </c>
      <c r="B4556" s="15" t="n">
        <v>0.0358253003345471</v>
      </c>
      <c r="C4556" s="18" t="n">
        <f aca="false">'Black-Scholes'!$B$5*EXP(('Black-Scholes'!$B$8-'Black-Scholes'!$B$10-'Black-Scholes'!$B$9^2/2)*'Black-Scholes'!$B$7+'Black-Scholes'!$B$9*SQRT('Black-Scholes'!$B$7)*B4556)</f>
        <v>103.786431665427</v>
      </c>
      <c r="D4556" s="18" t="n">
        <f aca="false">'Black-Scholes'!$B$5*EXP(('Black-Scholes'!$B$8-'Black-Scholes'!$B$10-'Black-Scholes'!$B$9^2/2)*'Black-Scholes'!$B$7-'Black-Scholes'!$B$9*SQRT('Black-Scholes'!$B$7)*B4556)</f>
        <v>102.309765304233</v>
      </c>
      <c r="E4556" s="18" t="n">
        <f aca="false">EXP(-'Black-Scholes'!$B$8*'Black-Scholes'!$B$7)*IF(LOWER('Black-Scholes'!$B$11)="put",MAX('Black-Scholes'!$B$6-C4556,0),MAX(C4556-'Black-Scholes'!$B$6,0))</f>
        <v>3.60176521401526</v>
      </c>
      <c r="F4556" s="18" t="n">
        <f aca="false">(E4556+G4556)/2</f>
        <v>2.89944096754608</v>
      </c>
      <c r="G4556" s="18" t="n">
        <f aca="false">EXP(-'Black-Scholes'!$B$8*'Black-Scholes'!$B$7)*IF(LOWER('Black-Scholes'!$B$11)="put",MAX('Black-Scholes'!$B$6-D4556,0),MAX(D4556-'Black-Scholes'!$B$6,0))</f>
        <v>2.19711672107689</v>
      </c>
    </row>
    <row r="4557" customFormat="false" ht="15" hidden="false" customHeight="false" outlineLevel="0" collapsed="false">
      <c r="A4557" s="0" t="n">
        <v>4546</v>
      </c>
      <c r="B4557" s="15" t="n">
        <v>1.76975819061679</v>
      </c>
      <c r="C4557" s="18" t="n">
        <f aca="false">'Black-Scholes'!$B$5*EXP(('Black-Scholes'!$B$8-'Black-Scholes'!$B$10-'Black-Scholes'!$B$9^2/2)*'Black-Scholes'!$B$7+'Black-Scholes'!$B$9*SQRT('Black-Scholes'!$B$7)*B4557)</f>
        <v>146.807444113012</v>
      </c>
      <c r="D4557" s="18" t="n">
        <f aca="false">'Black-Scholes'!$B$5*EXP(('Black-Scholes'!$B$8-'Black-Scholes'!$B$10-'Black-Scholes'!$B$9^2/2)*'Black-Scholes'!$B$7-'Black-Scholes'!$B$9*SQRT('Black-Scholes'!$B$7)*B4557)</f>
        <v>72.3285220964654</v>
      </c>
      <c r="E4557" s="18" t="n">
        <f aca="false">EXP(-'Black-Scholes'!$B$8*'Black-Scholes'!$B$7)*IF(LOWER('Black-Scholes'!$B$11)="put",MAX('Black-Scholes'!$B$6-C4557,0),MAX(C4557-'Black-Scholes'!$B$6,0))</f>
        <v>44.5246181259698</v>
      </c>
      <c r="F4557" s="18" t="n">
        <f aca="false">(E4557+G4557)/2</f>
        <v>22.2623090629849</v>
      </c>
      <c r="G4557" s="18" t="n">
        <f aca="false">EXP(-'Black-Scholes'!$B$8*'Black-Scholes'!$B$7)*IF(LOWER('Black-Scholes'!$B$11)="put",MAX('Black-Scholes'!$B$6-D4557,0),MAX(D4557-'Black-Scholes'!$B$6,0))</f>
        <v>0</v>
      </c>
    </row>
    <row r="4558" customFormat="false" ht="15" hidden="false" customHeight="false" outlineLevel="0" collapsed="false">
      <c r="A4558" s="0" t="n">
        <v>4547</v>
      </c>
      <c r="B4558" s="15" t="n">
        <v>0.641824389609701</v>
      </c>
      <c r="C4558" s="18" t="n">
        <f aca="false">'Black-Scholes'!$B$5*EXP(('Black-Scholes'!$B$8-'Black-Scholes'!$B$10-'Black-Scholes'!$B$9^2/2)*'Black-Scholes'!$B$7+'Black-Scholes'!$B$9*SQRT('Black-Scholes'!$B$7)*B4558)</f>
        <v>117.159360536666</v>
      </c>
      <c r="D4558" s="18" t="n">
        <f aca="false">'Black-Scholes'!$B$5*EXP(('Black-Scholes'!$B$8-'Black-Scholes'!$B$10-'Black-Scholes'!$B$9^2/2)*'Black-Scholes'!$B$7-'Black-Scholes'!$B$9*SQRT('Black-Scholes'!$B$7)*B4558)</f>
        <v>90.6318147932408</v>
      </c>
      <c r="E4558" s="18" t="n">
        <f aca="false">EXP(-'Black-Scholes'!$B$8*'Black-Scholes'!$B$7)*IF(LOWER('Black-Scholes'!$B$11)="put",MAX('Black-Scholes'!$B$6-C4558,0),MAX(C4558-'Black-Scholes'!$B$6,0))</f>
        <v>16.3224886480926</v>
      </c>
      <c r="F4558" s="18" t="n">
        <f aca="false">(E4558+G4558)/2</f>
        <v>8.16124432404632</v>
      </c>
      <c r="G4558" s="18" t="n">
        <f aca="false">EXP(-'Black-Scholes'!$B$8*'Black-Scholes'!$B$7)*IF(LOWER('Black-Scholes'!$B$11)="put",MAX('Black-Scholes'!$B$6-D4558,0),MAX(D4558-'Black-Scholes'!$B$6,0))</f>
        <v>0</v>
      </c>
    </row>
    <row r="4559" customFormat="false" ht="15" hidden="false" customHeight="false" outlineLevel="0" collapsed="false">
      <c r="A4559" s="0" t="n">
        <v>4548</v>
      </c>
      <c r="B4559" s="15" t="n">
        <v>1.02000367671349</v>
      </c>
      <c r="C4559" s="18" t="n">
        <f aca="false">'Black-Scholes'!$B$5*EXP(('Black-Scholes'!$B$8-'Black-Scholes'!$B$10-'Black-Scholes'!$B$9^2/2)*'Black-Scholes'!$B$7+'Black-Scholes'!$B$9*SQRT('Black-Scholes'!$B$7)*B4559)</f>
        <v>126.364542141987</v>
      </c>
      <c r="D4559" s="18" t="n">
        <f aca="false">'Black-Scholes'!$B$5*EXP(('Black-Scholes'!$B$8-'Black-Scholes'!$B$10-'Black-Scholes'!$B$9^2/2)*'Black-Scholes'!$B$7-'Black-Scholes'!$B$9*SQRT('Black-Scholes'!$B$7)*B4559)</f>
        <v>84.0296279752472</v>
      </c>
      <c r="E4559" s="18" t="n">
        <f aca="false">EXP(-'Black-Scholes'!$B$8*'Black-Scholes'!$B$7)*IF(LOWER('Black-Scholes'!$B$11)="put",MAX('Black-Scholes'!$B$6-C4559,0),MAX(C4559-'Black-Scholes'!$B$6,0))</f>
        <v>25.078728248947</v>
      </c>
      <c r="F4559" s="18" t="n">
        <f aca="false">(E4559+G4559)/2</f>
        <v>12.5393641244735</v>
      </c>
      <c r="G4559" s="18" t="n">
        <f aca="false">EXP(-'Black-Scholes'!$B$8*'Black-Scholes'!$B$7)*IF(LOWER('Black-Scholes'!$B$11)="put",MAX('Black-Scholes'!$B$6-D4559,0),MAX(D4559-'Black-Scholes'!$B$6,0))</f>
        <v>0</v>
      </c>
    </row>
    <row r="4560" customFormat="false" ht="15" hidden="false" customHeight="false" outlineLevel="0" collapsed="false">
      <c r="A4560" s="0" t="n">
        <v>4549</v>
      </c>
      <c r="B4560" s="15" t="n">
        <v>0.111935616881559</v>
      </c>
      <c r="C4560" s="18" t="n">
        <f aca="false">'Black-Scholes'!$B$5*EXP(('Black-Scholes'!$B$8-'Black-Scholes'!$B$10-'Black-Scholes'!$B$9^2/2)*'Black-Scholes'!$B$7+'Black-Scholes'!$B$9*SQRT('Black-Scholes'!$B$7)*B4560)</f>
        <v>105.378360782934</v>
      </c>
      <c r="D4560" s="18" t="n">
        <f aca="false">'Black-Scholes'!$B$5*EXP(('Black-Scholes'!$B$8-'Black-Scholes'!$B$10-'Black-Scholes'!$B$9^2/2)*'Black-Scholes'!$B$7-'Black-Scholes'!$B$9*SQRT('Black-Scholes'!$B$7)*B4560)</f>
        <v>100.764192824427</v>
      </c>
      <c r="E4560" s="18" t="n">
        <f aca="false">EXP(-'Black-Scholes'!$B$8*'Black-Scholes'!$B$7)*IF(LOWER('Black-Scholes'!$B$11)="put",MAX('Black-Scholes'!$B$6-C4560,0),MAX(C4560-'Black-Scholes'!$B$6,0))</f>
        <v>5.11605503230722</v>
      </c>
      <c r="F4560" s="18" t="n">
        <f aca="false">(E4560+G4560)/2</f>
        <v>2.92148886644739</v>
      </c>
      <c r="G4560" s="18" t="n">
        <f aca="false">EXP(-'Black-Scholes'!$B$8*'Black-Scholes'!$B$7)*IF(LOWER('Black-Scholes'!$B$11)="put",MAX('Black-Scholes'!$B$6-D4560,0),MAX(D4560-'Black-Scholes'!$B$6,0))</f>
        <v>0.726922700587553</v>
      </c>
    </row>
    <row r="4561" customFormat="false" ht="15" hidden="false" customHeight="false" outlineLevel="0" collapsed="false">
      <c r="A4561" s="0" t="n">
        <v>4550</v>
      </c>
      <c r="B4561" s="15" t="n">
        <v>-1.44030261254781</v>
      </c>
      <c r="C4561" s="18" t="n">
        <f aca="false">'Black-Scholes'!$B$5*EXP(('Black-Scholes'!$B$8-'Black-Scholes'!$B$10-'Black-Scholes'!$B$9^2/2)*'Black-Scholes'!$B$7+'Black-Scholes'!$B$9*SQRT('Black-Scholes'!$B$7)*B4561)</f>
        <v>77.2548474119575</v>
      </c>
      <c r="D4561" s="18" t="n">
        <f aca="false">'Black-Scholes'!$B$5*EXP(('Black-Scholes'!$B$8-'Black-Scholes'!$B$10-'Black-Scholes'!$B$9^2/2)*'Black-Scholes'!$B$7-'Black-Scholes'!$B$9*SQRT('Black-Scholes'!$B$7)*B4561)</f>
        <v>137.445944444518</v>
      </c>
      <c r="E4561" s="18" t="n">
        <f aca="false">EXP(-'Black-Scholes'!$B$8*'Black-Scholes'!$B$7)*IF(LOWER('Black-Scholes'!$B$11)="put",MAX('Black-Scholes'!$B$6-C4561,0),MAX(C4561-'Black-Scholes'!$B$6,0))</f>
        <v>0</v>
      </c>
      <c r="F4561" s="18" t="n">
        <f aca="false">(E4561+G4561)/2</f>
        <v>17.8098420919221</v>
      </c>
      <c r="G4561" s="18" t="n">
        <f aca="false">EXP(-'Black-Scholes'!$B$8*'Black-Scholes'!$B$7)*IF(LOWER('Black-Scholes'!$B$11)="put",MAX('Black-Scholes'!$B$6-D4561,0),MAX(D4561-'Black-Scholes'!$B$6,0))</f>
        <v>35.6196841838443</v>
      </c>
    </row>
    <row r="4562" customFormat="false" ht="15" hidden="false" customHeight="false" outlineLevel="0" collapsed="false">
      <c r="A4562" s="0" t="n">
        <v>4551</v>
      </c>
      <c r="B4562" s="15" t="n">
        <v>-0.771072156992732</v>
      </c>
      <c r="C4562" s="18" t="n">
        <f aca="false">'Black-Scholes'!$B$5*EXP(('Black-Scholes'!$B$8-'Black-Scholes'!$B$10-'Black-Scholes'!$B$9^2/2)*'Black-Scholes'!$B$7+'Black-Scholes'!$B$9*SQRT('Black-Scholes'!$B$7)*B4562)</f>
        <v>88.3190436815838</v>
      </c>
      <c r="D4562" s="18" t="n">
        <f aca="false">'Black-Scholes'!$B$5*EXP(('Black-Scholes'!$B$8-'Black-Scholes'!$B$10-'Black-Scholes'!$B$9^2/2)*'Black-Scholes'!$B$7-'Black-Scholes'!$B$9*SQRT('Black-Scholes'!$B$7)*B4562)</f>
        <v>120.227360066714</v>
      </c>
      <c r="E4562" s="18" t="n">
        <f aca="false">EXP(-'Black-Scholes'!$B$8*'Black-Scholes'!$B$7)*IF(LOWER('Black-Scholes'!$B$11)="put",MAX('Black-Scholes'!$B$6-C4562,0),MAX(C4562-'Black-Scholes'!$B$6,0))</f>
        <v>0</v>
      </c>
      <c r="F4562" s="18" t="n">
        <f aca="false">(E4562+G4562)/2</f>
        <v>9.62043003771443</v>
      </c>
      <c r="G4562" s="18" t="n">
        <f aca="false">EXP(-'Black-Scholes'!$B$8*'Black-Scholes'!$B$7)*IF(LOWER('Black-Scholes'!$B$11)="put",MAX('Black-Scholes'!$B$6-D4562,0),MAX(D4562-'Black-Scholes'!$B$6,0))</f>
        <v>19.2408600754289</v>
      </c>
    </row>
    <row r="4563" customFormat="false" ht="15" hidden="false" customHeight="false" outlineLevel="0" collapsed="false">
      <c r="A4563" s="0" t="n">
        <v>4552</v>
      </c>
      <c r="B4563" s="15" t="n">
        <v>-0.525393254885656</v>
      </c>
      <c r="C4563" s="18" t="n">
        <f aca="false">'Black-Scholes'!$B$5*EXP(('Black-Scholes'!$B$8-'Black-Scholes'!$B$10-'Black-Scholes'!$B$9^2/2)*'Black-Scholes'!$B$7+'Black-Scholes'!$B$9*SQRT('Black-Scholes'!$B$7)*B4563)</f>
        <v>92.7670521266251</v>
      </c>
      <c r="D4563" s="18" t="n">
        <f aca="false">'Black-Scholes'!$B$5*EXP(('Black-Scholes'!$B$8-'Black-Scholes'!$B$10-'Black-Scholes'!$B$9^2/2)*'Black-Scholes'!$B$7-'Black-Scholes'!$B$9*SQRT('Black-Scholes'!$B$7)*B4563)</f>
        <v>114.46268068279</v>
      </c>
      <c r="E4563" s="18" t="n">
        <f aca="false">EXP(-'Black-Scholes'!$B$8*'Black-Scholes'!$B$7)*IF(LOWER('Black-Scholes'!$B$11)="put",MAX('Black-Scholes'!$B$6-C4563,0),MAX(C4563-'Black-Scholes'!$B$6,0))</f>
        <v>0</v>
      </c>
      <c r="F4563" s="18" t="n">
        <f aca="false">(E4563+G4563)/2</f>
        <v>6.87866371131386</v>
      </c>
      <c r="G4563" s="18" t="n">
        <f aca="false">EXP(-'Black-Scholes'!$B$8*'Black-Scholes'!$B$7)*IF(LOWER('Black-Scholes'!$B$11)="put",MAX('Black-Scholes'!$B$6-D4563,0),MAX(D4563-'Black-Scholes'!$B$6,0))</f>
        <v>13.7573274226277</v>
      </c>
    </row>
    <row r="4564" customFormat="false" ht="15" hidden="false" customHeight="false" outlineLevel="0" collapsed="false">
      <c r="A4564" s="0" t="n">
        <v>4553</v>
      </c>
      <c r="B4564" s="15" t="n">
        <v>-0.989531930209067</v>
      </c>
      <c r="C4564" s="18" t="n">
        <f aca="false">'Black-Scholes'!$B$5*EXP(('Black-Scholes'!$B$8-'Black-Scholes'!$B$10-'Black-Scholes'!$B$9^2/2)*'Black-Scholes'!$B$7+'Black-Scholes'!$B$9*SQRT('Black-Scholes'!$B$7)*B4564)</f>
        <v>84.5432975307467</v>
      </c>
      <c r="D4564" s="18" t="n">
        <f aca="false">'Black-Scholes'!$B$5*EXP(('Black-Scholes'!$B$8-'Black-Scholes'!$B$10-'Black-Scholes'!$B$9^2/2)*'Black-Scholes'!$B$7-'Black-Scholes'!$B$9*SQRT('Black-Scholes'!$B$7)*B4564)</f>
        <v>125.596774381694</v>
      </c>
      <c r="E4564" s="18" t="n">
        <f aca="false">EXP(-'Black-Scholes'!$B$8*'Black-Scholes'!$B$7)*IF(LOWER('Black-Scholes'!$B$11)="put",MAX('Black-Scholes'!$B$6-C4564,0),MAX(C4564-'Black-Scholes'!$B$6,0))</f>
        <v>0</v>
      </c>
      <c r="F4564" s="18" t="n">
        <f aca="false">(E4564+G4564)/2</f>
        <v>12.1742024820865</v>
      </c>
      <c r="G4564" s="18" t="n">
        <f aca="false">EXP(-'Black-Scholes'!$B$8*'Black-Scholes'!$B$7)*IF(LOWER('Black-Scholes'!$B$11)="put",MAX('Black-Scholes'!$B$6-D4564,0),MAX(D4564-'Black-Scholes'!$B$6,0))</f>
        <v>24.3484049641731</v>
      </c>
    </row>
    <row r="4565" customFormat="false" ht="15" hidden="false" customHeight="false" outlineLevel="0" collapsed="false">
      <c r="A4565" s="0" t="n">
        <v>4554</v>
      </c>
      <c r="B4565" s="15" t="n">
        <v>0.00698905703663221</v>
      </c>
      <c r="C4565" s="18" t="n">
        <f aca="false">'Black-Scholes'!$B$5*EXP(('Black-Scholes'!$B$8-'Black-Scholes'!$B$10-'Black-Scholes'!$B$9^2/2)*'Black-Scholes'!$B$7+'Black-Scholes'!$B$9*SQRT('Black-Scholes'!$B$7)*B4565)</f>
        <v>103.189592221559</v>
      </c>
      <c r="D4565" s="18" t="n">
        <f aca="false">'Black-Scholes'!$B$5*EXP(('Black-Scholes'!$B$8-'Black-Scholes'!$B$10-'Black-Scholes'!$B$9^2/2)*'Black-Scholes'!$B$7-'Black-Scholes'!$B$9*SQRT('Black-Scholes'!$B$7)*B4565)</f>
        <v>102.90151590729</v>
      </c>
      <c r="E4565" s="18" t="n">
        <f aca="false">EXP(-'Black-Scholes'!$B$8*'Black-Scholes'!$B$7)*IF(LOWER('Black-Scholes'!$B$11)="put",MAX('Black-Scholes'!$B$6-C4565,0),MAX(C4565-'Black-Scholes'!$B$6,0))</f>
        <v>3.03403397330595</v>
      </c>
      <c r="F4565" s="18" t="n">
        <f aca="false">(E4565+G4565)/2</f>
        <v>2.89702063998867</v>
      </c>
      <c r="G4565" s="18" t="n">
        <f aca="false">EXP(-'Black-Scholes'!$B$8*'Black-Scholes'!$B$7)*IF(LOWER('Black-Scholes'!$B$11)="put",MAX('Black-Scholes'!$B$6-D4565,0),MAX(D4565-'Black-Scholes'!$B$6,0))</f>
        <v>2.76000730667138</v>
      </c>
    </row>
    <row r="4566" customFormat="false" ht="15" hidden="false" customHeight="false" outlineLevel="0" collapsed="false">
      <c r="A4566" s="0" t="n">
        <v>4555</v>
      </c>
      <c r="B4566" s="15" t="n">
        <v>0.063837601499715</v>
      </c>
      <c r="C4566" s="18" t="n">
        <f aca="false">'Black-Scholes'!$B$5*EXP(('Black-Scholes'!$B$8-'Black-Scholes'!$B$10-'Black-Scholes'!$B$9^2/2)*'Black-Scholes'!$B$7+'Black-Scholes'!$B$9*SQRT('Black-Scholes'!$B$7)*B4566)</f>
        <v>104.369522869051</v>
      </c>
      <c r="D4566" s="18" t="n">
        <f aca="false">'Black-Scholes'!$B$5*EXP(('Black-Scholes'!$B$8-'Black-Scholes'!$B$10-'Black-Scholes'!$B$9^2/2)*'Black-Scholes'!$B$7-'Black-Scholes'!$B$9*SQRT('Black-Scholes'!$B$7)*B4566)</f>
        <v>101.738181545355</v>
      </c>
      <c r="E4566" s="18" t="n">
        <f aca="false">EXP(-'Black-Scholes'!$B$8*'Black-Scholes'!$B$7)*IF(LOWER('Black-Scholes'!$B$11)="put",MAX('Black-Scholes'!$B$6-C4566,0),MAX(C4566-'Black-Scholes'!$B$6,0))</f>
        <v>4.15641872407014</v>
      </c>
      <c r="F4566" s="18" t="n">
        <f aca="false">(E4566+G4566)/2</f>
        <v>2.90491407756797</v>
      </c>
      <c r="G4566" s="18" t="n">
        <f aca="false">EXP(-'Black-Scholes'!$B$8*'Black-Scholes'!$B$7)*IF(LOWER('Black-Scholes'!$B$11)="put",MAX('Black-Scholes'!$B$6-D4566,0),MAX(D4566-'Black-Scholes'!$B$6,0))</f>
        <v>1.65340943106579</v>
      </c>
    </row>
    <row r="4567" customFormat="false" ht="15" hidden="false" customHeight="false" outlineLevel="0" collapsed="false">
      <c r="A4567" s="0" t="n">
        <v>4556</v>
      </c>
      <c r="B4567" s="15" t="n">
        <v>-1.06558675914941</v>
      </c>
      <c r="C4567" s="18" t="n">
        <f aca="false">'Black-Scholes'!$B$5*EXP(('Black-Scholes'!$B$8-'Black-Scholes'!$B$10-'Black-Scholes'!$B$9^2/2)*'Black-Scholes'!$B$7+'Black-Scholes'!$B$9*SQRT('Black-Scholes'!$B$7)*B4567)</f>
        <v>83.2670434604138</v>
      </c>
      <c r="D4567" s="18" t="n">
        <f aca="false">'Black-Scholes'!$B$5*EXP(('Black-Scholes'!$B$8-'Black-Scholes'!$B$10-'Black-Scholes'!$B$9^2/2)*'Black-Scholes'!$B$7-'Black-Scholes'!$B$9*SQRT('Black-Scholes'!$B$7)*B4567)</f>
        <v>127.521826453484</v>
      </c>
      <c r="E4567" s="18" t="n">
        <f aca="false">EXP(-'Black-Scholes'!$B$8*'Black-Scholes'!$B$7)*IF(LOWER('Black-Scholes'!$B$11)="put",MAX('Black-Scholes'!$B$6-C4567,0),MAX(C4567-'Black-Scholes'!$B$6,0))</f>
        <v>0</v>
      </c>
      <c r="F4567" s="18" t="n">
        <f aca="false">(E4567+G4567)/2</f>
        <v>13.0897855692781</v>
      </c>
      <c r="G4567" s="18" t="n">
        <f aca="false">EXP(-'Black-Scholes'!$B$8*'Black-Scholes'!$B$7)*IF(LOWER('Black-Scholes'!$B$11)="put",MAX('Black-Scholes'!$B$6-D4567,0),MAX(D4567-'Black-Scholes'!$B$6,0))</f>
        <v>26.1795711385562</v>
      </c>
    </row>
    <row r="4568" customFormat="false" ht="15" hidden="false" customHeight="false" outlineLevel="0" collapsed="false">
      <c r="A4568" s="0" t="n">
        <v>4557</v>
      </c>
      <c r="B4568" s="15" t="n">
        <v>-1.24071277739728</v>
      </c>
      <c r="C4568" s="18" t="n">
        <f aca="false">'Black-Scholes'!$B$5*EXP(('Black-Scholes'!$B$8-'Black-Scholes'!$B$10-'Black-Scholes'!$B$9^2/2)*'Black-Scholes'!$B$7+'Black-Scholes'!$B$9*SQRT('Black-Scholes'!$B$7)*B4568)</f>
        <v>80.4010817349037</v>
      </c>
      <c r="D4568" s="18" t="n">
        <f aca="false">'Black-Scholes'!$B$5*EXP(('Black-Scholes'!$B$8-'Black-Scholes'!$B$10-'Black-Scholes'!$B$9^2/2)*'Black-Scholes'!$B$7-'Black-Scholes'!$B$9*SQRT('Black-Scholes'!$B$7)*B4568)</f>
        <v>132.067445317019</v>
      </c>
      <c r="E4568" s="18" t="n">
        <f aca="false">EXP(-'Black-Scholes'!$B$8*'Black-Scholes'!$B$7)*IF(LOWER('Black-Scholes'!$B$11)="put",MAX('Black-Scholes'!$B$6-C4568,0),MAX(C4568-'Black-Scholes'!$B$6,0))</f>
        <v>0</v>
      </c>
      <c r="F4568" s="18" t="n">
        <f aca="false">(E4568+G4568)/2</f>
        <v>15.2517487770582</v>
      </c>
      <c r="G4568" s="18" t="n">
        <f aca="false">EXP(-'Black-Scholes'!$B$8*'Black-Scholes'!$B$7)*IF(LOWER('Black-Scholes'!$B$11)="put",MAX('Black-Scholes'!$B$6-D4568,0),MAX(D4568-'Black-Scholes'!$B$6,0))</f>
        <v>30.5034975541164</v>
      </c>
    </row>
    <row r="4569" customFormat="false" ht="15" hidden="false" customHeight="false" outlineLevel="0" collapsed="false">
      <c r="A4569" s="0" t="n">
        <v>4558</v>
      </c>
      <c r="B4569" s="15" t="n">
        <v>1.03481464296671</v>
      </c>
      <c r="C4569" s="18" t="n">
        <f aca="false">'Black-Scholes'!$B$5*EXP(('Black-Scholes'!$B$8-'Black-Scholes'!$B$10-'Black-Scholes'!$B$9^2/2)*'Black-Scholes'!$B$7+'Black-Scholes'!$B$9*SQRT('Black-Scholes'!$B$7)*B4569)</f>
        <v>126.73941328211</v>
      </c>
      <c r="D4569" s="18" t="n">
        <f aca="false">'Black-Scholes'!$B$5*EXP(('Black-Scholes'!$B$8-'Black-Scholes'!$B$10-'Black-Scholes'!$B$9^2/2)*'Black-Scholes'!$B$7-'Black-Scholes'!$B$9*SQRT('Black-Scholes'!$B$7)*B4569)</f>
        <v>83.7810842773759</v>
      </c>
      <c r="E4569" s="18" t="n">
        <f aca="false">EXP(-'Black-Scholes'!$B$8*'Black-Scholes'!$B$7)*IF(LOWER('Black-Scholes'!$B$11)="put",MAX('Black-Scholes'!$B$6-C4569,0),MAX(C4569-'Black-Scholes'!$B$6,0))</f>
        <v>25.4353167078279</v>
      </c>
      <c r="F4569" s="18" t="n">
        <f aca="false">(E4569+G4569)/2</f>
        <v>12.7176583539139</v>
      </c>
      <c r="G4569" s="18" t="n">
        <f aca="false">EXP(-'Black-Scholes'!$B$8*'Black-Scholes'!$B$7)*IF(LOWER('Black-Scholes'!$B$11)="put",MAX('Black-Scholes'!$B$6-D4569,0),MAX(D4569-'Black-Scholes'!$B$6,0))</f>
        <v>0</v>
      </c>
    </row>
    <row r="4570" customFormat="false" ht="15" hidden="false" customHeight="false" outlineLevel="0" collapsed="false">
      <c r="A4570" s="0" t="n">
        <v>4559</v>
      </c>
      <c r="B4570" s="15" t="n">
        <v>0.388650007485743</v>
      </c>
      <c r="C4570" s="18" t="n">
        <f aca="false">'Black-Scholes'!$B$5*EXP(('Black-Scholes'!$B$8-'Black-Scholes'!$B$10-'Black-Scholes'!$B$9^2/2)*'Black-Scholes'!$B$7+'Black-Scholes'!$B$9*SQRT('Black-Scholes'!$B$7)*B4570)</f>
        <v>111.374699476604</v>
      </c>
      <c r="D4570" s="18" t="n">
        <f aca="false">'Black-Scholes'!$B$5*EXP(('Black-Scholes'!$B$8-'Black-Scholes'!$B$10-'Black-Scholes'!$B$9^2/2)*'Black-Scholes'!$B$7-'Black-Scholes'!$B$9*SQRT('Black-Scholes'!$B$7)*B4570)</f>
        <v>95.3391166517501</v>
      </c>
      <c r="E4570" s="18" t="n">
        <f aca="false">EXP(-'Black-Scholes'!$B$8*'Black-Scholes'!$B$7)*IF(LOWER('Black-Scholes'!$B$11)="put",MAX('Black-Scholes'!$B$6-C4570,0),MAX(C4570-'Black-Scholes'!$B$6,0))</f>
        <v>10.819948836999</v>
      </c>
      <c r="F4570" s="18" t="n">
        <f aca="false">(E4570+G4570)/2</f>
        <v>5.40997441849948</v>
      </c>
      <c r="G4570" s="18" t="n">
        <f aca="false">EXP(-'Black-Scholes'!$B$8*'Black-Scholes'!$B$7)*IF(LOWER('Black-Scholes'!$B$11)="put",MAX('Black-Scholes'!$B$6-D4570,0),MAX(D4570-'Black-Scholes'!$B$6,0))</f>
        <v>0</v>
      </c>
    </row>
    <row r="4571" customFormat="false" ht="15" hidden="false" customHeight="false" outlineLevel="0" collapsed="false">
      <c r="A4571" s="0" t="n">
        <v>4560</v>
      </c>
      <c r="B4571" s="15" t="n">
        <v>-0.121837767708326</v>
      </c>
      <c r="C4571" s="18" t="n">
        <f aca="false">'Black-Scholes'!$B$5*EXP(('Black-Scholes'!$B$8-'Black-Scholes'!$B$10-'Black-Scholes'!$B$9^2/2)*'Black-Scholes'!$B$7+'Black-Scholes'!$B$9*SQRT('Black-Scholes'!$B$7)*B4571)</f>
        <v>100.564833850792</v>
      </c>
      <c r="D4571" s="18" t="n">
        <f aca="false">'Black-Scholes'!$B$5*EXP(('Black-Scholes'!$B$8-'Black-Scholes'!$B$10-'Black-Scholes'!$B$9^2/2)*'Black-Scholes'!$B$7-'Black-Scholes'!$B$9*SQRT('Black-Scholes'!$B$7)*B4571)</f>
        <v>105.587262056318</v>
      </c>
      <c r="E4571" s="18" t="n">
        <f aca="false">EXP(-'Black-Scholes'!$B$8*'Black-Scholes'!$B$7)*IF(LOWER('Black-Scholes'!$B$11)="put",MAX('Black-Scholes'!$B$6-C4571,0),MAX(C4571-'Black-Scholes'!$B$6,0))</f>
        <v>0.537286578827138</v>
      </c>
      <c r="F4571" s="18" t="n">
        <f aca="false">(E4571+G4571)/2</f>
        <v>2.92602732459645</v>
      </c>
      <c r="G4571" s="18" t="n">
        <f aca="false">EXP(-'Black-Scholes'!$B$8*'Black-Scholes'!$B$7)*IF(LOWER('Black-Scholes'!$B$11)="put",MAX('Black-Scholes'!$B$6-D4571,0),MAX(D4571-'Black-Scholes'!$B$6,0))</f>
        <v>5.31476807036576</v>
      </c>
    </row>
    <row r="4572" customFormat="false" ht="15" hidden="false" customHeight="false" outlineLevel="0" collapsed="false">
      <c r="A4572" s="0" t="n">
        <v>4561</v>
      </c>
      <c r="B4572" s="15" t="n">
        <v>-0.705814482357411</v>
      </c>
      <c r="C4572" s="18" t="n">
        <f aca="false">'Black-Scholes'!$B$5*EXP(('Black-Scholes'!$B$8-'Black-Scholes'!$B$10-'Black-Scholes'!$B$9^2/2)*'Black-Scholes'!$B$7+'Black-Scholes'!$B$9*SQRT('Black-Scholes'!$B$7)*B4572)</f>
        <v>89.479297843771</v>
      </c>
      <c r="D4572" s="18" t="n">
        <f aca="false">'Black-Scholes'!$B$5*EXP(('Black-Scholes'!$B$8-'Black-Scholes'!$B$10-'Black-Scholes'!$B$9^2/2)*'Black-Scholes'!$B$7-'Black-Scholes'!$B$9*SQRT('Black-Scholes'!$B$7)*B4572)</f>
        <v>118.668403992095</v>
      </c>
      <c r="E4572" s="18" t="n">
        <f aca="false">EXP(-'Black-Scholes'!$B$8*'Black-Scholes'!$B$7)*IF(LOWER('Black-Scholes'!$B$11)="put",MAX('Black-Scholes'!$B$6-C4572,0),MAX(C4572-'Black-Scholes'!$B$6,0))</f>
        <v>0</v>
      </c>
      <c r="F4572" s="18" t="n">
        <f aca="false">(E4572+G4572)/2</f>
        <v>8.87896759287364</v>
      </c>
      <c r="G4572" s="18" t="n">
        <f aca="false">EXP(-'Black-Scholes'!$B$8*'Black-Scholes'!$B$7)*IF(LOWER('Black-Scholes'!$B$11)="put",MAX('Black-Scholes'!$B$6-D4572,0),MAX(D4572-'Black-Scholes'!$B$6,0))</f>
        <v>17.7579351857473</v>
      </c>
    </row>
    <row r="4573" customFormat="false" ht="15" hidden="false" customHeight="false" outlineLevel="0" collapsed="false">
      <c r="A4573" s="0" t="n">
        <v>4562</v>
      </c>
      <c r="B4573" s="15" t="n">
        <v>-0.657277663177469</v>
      </c>
      <c r="C4573" s="18" t="n">
        <f aca="false">'Black-Scholes'!$B$5*EXP(('Black-Scholes'!$B$8-'Black-Scholes'!$B$10-'Black-Scholes'!$B$9^2/2)*'Black-Scholes'!$B$7+'Black-Scholes'!$B$9*SQRT('Black-Scholes'!$B$7)*B4573)</f>
        <v>90.3521355662408</v>
      </c>
      <c r="D4573" s="18" t="n">
        <f aca="false">'Black-Scholes'!$B$5*EXP(('Black-Scholes'!$B$8-'Black-Scholes'!$B$10-'Black-Scholes'!$B$9^2/2)*'Black-Scholes'!$B$7-'Black-Scholes'!$B$9*SQRT('Black-Scholes'!$B$7)*B4573)</f>
        <v>117.522019805153</v>
      </c>
      <c r="E4573" s="18" t="n">
        <f aca="false">EXP(-'Black-Scholes'!$B$8*'Black-Scholes'!$B$7)*IF(LOWER('Black-Scholes'!$B$11)="put",MAX('Black-Scholes'!$B$6-C4573,0),MAX(C4573-'Black-Scholes'!$B$6,0))</f>
        <v>0</v>
      </c>
      <c r="F4573" s="18" t="n">
        <f aca="false">(E4573+G4573)/2</f>
        <v>8.33373040767278</v>
      </c>
      <c r="G4573" s="18" t="n">
        <f aca="false">EXP(-'Black-Scholes'!$B$8*'Black-Scholes'!$B$7)*IF(LOWER('Black-Scholes'!$B$11)="put",MAX('Black-Scholes'!$B$6-D4573,0),MAX(D4573-'Black-Scholes'!$B$6,0))</f>
        <v>16.6674608153456</v>
      </c>
    </row>
    <row r="4574" customFormat="false" ht="15" hidden="false" customHeight="false" outlineLevel="0" collapsed="false">
      <c r="A4574" s="0" t="n">
        <v>4563</v>
      </c>
      <c r="B4574" s="15" t="n">
        <v>0.855527003495209</v>
      </c>
      <c r="C4574" s="18" t="n">
        <f aca="false">'Black-Scholes'!$B$5*EXP(('Black-Scholes'!$B$8-'Black-Scholes'!$B$10-'Black-Scholes'!$B$9^2/2)*'Black-Scholes'!$B$7+'Black-Scholes'!$B$9*SQRT('Black-Scholes'!$B$7)*B4574)</f>
        <v>122.275364412044</v>
      </c>
      <c r="D4574" s="18" t="n">
        <f aca="false">'Black-Scholes'!$B$5*EXP(('Black-Scholes'!$B$8-'Black-Scholes'!$B$10-'Black-Scholes'!$B$9^2/2)*'Black-Scholes'!$B$7-'Black-Scholes'!$B$9*SQRT('Black-Scholes'!$B$7)*B4574)</f>
        <v>86.8397777141093</v>
      </c>
      <c r="E4574" s="18" t="n">
        <f aca="false">EXP(-'Black-Scholes'!$B$8*'Black-Scholes'!$B$7)*IF(LOWER('Black-Scholes'!$B$11)="put",MAX('Black-Scholes'!$B$6-C4574,0),MAX(C4574-'Black-Scholes'!$B$6,0))</f>
        <v>21.1889820702122</v>
      </c>
      <c r="F4574" s="18" t="n">
        <f aca="false">(E4574+G4574)/2</f>
        <v>10.5944910351061</v>
      </c>
      <c r="G4574" s="18" t="n">
        <f aca="false">EXP(-'Black-Scholes'!$B$8*'Black-Scholes'!$B$7)*IF(LOWER('Black-Scholes'!$B$11)="put",MAX('Black-Scholes'!$B$6-D4574,0),MAX(D4574-'Black-Scholes'!$B$6,0))</f>
        <v>0</v>
      </c>
    </row>
    <row r="4575" customFormat="false" ht="15" hidden="false" customHeight="false" outlineLevel="0" collapsed="false">
      <c r="A4575" s="0" t="n">
        <v>4564</v>
      </c>
      <c r="B4575" s="15" t="n">
        <v>0.54338929502764</v>
      </c>
      <c r="C4575" s="18" t="n">
        <f aca="false">'Black-Scholes'!$B$5*EXP(('Black-Scholes'!$B$8-'Black-Scholes'!$B$10-'Black-Scholes'!$B$9^2/2)*'Black-Scholes'!$B$7+'Black-Scholes'!$B$9*SQRT('Black-Scholes'!$B$7)*B4575)</f>
        <v>114.875397964193</v>
      </c>
      <c r="D4575" s="18" t="n">
        <f aca="false">'Black-Scholes'!$B$5*EXP(('Black-Scholes'!$B$8-'Black-Scholes'!$B$10-'Black-Scholes'!$B$9^2/2)*'Black-Scholes'!$B$7-'Black-Scholes'!$B$9*SQRT('Black-Scholes'!$B$7)*B4575)</f>
        <v>92.4337643536467</v>
      </c>
      <c r="E4575" s="18" t="n">
        <f aca="false">EXP(-'Black-Scholes'!$B$8*'Black-Scholes'!$B$7)*IF(LOWER('Black-Scholes'!$B$11)="put",MAX('Black-Scholes'!$B$6-C4575,0),MAX(C4575-'Black-Scholes'!$B$6,0))</f>
        <v>14.1499162446984</v>
      </c>
      <c r="F4575" s="18" t="n">
        <f aca="false">(E4575+G4575)/2</f>
        <v>7.07495812234919</v>
      </c>
      <c r="G4575" s="18" t="n">
        <f aca="false">EXP(-'Black-Scholes'!$B$8*'Black-Scholes'!$B$7)*IF(LOWER('Black-Scholes'!$B$11)="put",MAX('Black-Scholes'!$B$6-D4575,0),MAX(D4575-'Black-Scholes'!$B$6,0))</f>
        <v>0</v>
      </c>
    </row>
    <row r="4576" customFormat="false" ht="15" hidden="false" customHeight="false" outlineLevel="0" collapsed="false">
      <c r="A4576" s="0" t="n">
        <v>4565</v>
      </c>
      <c r="B4576" s="15" t="n">
        <v>-0.811825164515798</v>
      </c>
      <c r="C4576" s="18" t="n">
        <f aca="false">'Black-Scholes'!$B$5*EXP(('Black-Scholes'!$B$8-'Black-Scholes'!$B$10-'Black-Scholes'!$B$9^2/2)*'Black-Scholes'!$B$7+'Black-Scholes'!$B$9*SQRT('Black-Scholes'!$B$7)*B4576)</f>
        <v>87.6021160160468</v>
      </c>
      <c r="D4576" s="18" t="n">
        <f aca="false">'Black-Scholes'!$B$5*EXP(('Black-Scholes'!$B$8-'Black-Scholes'!$B$10-'Black-Scholes'!$B$9^2/2)*'Black-Scholes'!$B$7-'Black-Scholes'!$B$9*SQRT('Black-Scholes'!$B$7)*B4576)</f>
        <v>121.211289730816</v>
      </c>
      <c r="E4576" s="18" t="n">
        <f aca="false">EXP(-'Black-Scholes'!$B$8*'Black-Scholes'!$B$7)*IF(LOWER('Black-Scholes'!$B$11)="put",MAX('Black-Scholes'!$B$6-C4576,0),MAX(C4576-'Black-Scholes'!$B$6,0))</f>
        <v>0</v>
      </c>
      <c r="F4576" s="18" t="n">
        <f aca="false">(E4576+G4576)/2</f>
        <v>10.088401461781</v>
      </c>
      <c r="G4576" s="18" t="n">
        <f aca="false">EXP(-'Black-Scholes'!$B$8*'Black-Scholes'!$B$7)*IF(LOWER('Black-Scholes'!$B$11)="put",MAX('Black-Scholes'!$B$6-D4576,0),MAX(D4576-'Black-Scholes'!$B$6,0))</f>
        <v>20.176802923562</v>
      </c>
    </row>
    <row r="4577" customFormat="false" ht="15" hidden="false" customHeight="false" outlineLevel="0" collapsed="false">
      <c r="A4577" s="0" t="n">
        <v>4566</v>
      </c>
      <c r="B4577" s="15" t="n">
        <v>1.28010017900096</v>
      </c>
      <c r="C4577" s="18" t="n">
        <f aca="false">'Black-Scholes'!$B$5*EXP(('Black-Scholes'!$B$8-'Black-Scholes'!$B$10-'Black-Scholes'!$B$9^2/2)*'Black-Scholes'!$B$7+'Black-Scholes'!$B$9*SQRT('Black-Scholes'!$B$7)*B4577)</f>
        <v>133.111912502194</v>
      </c>
      <c r="D4577" s="18" t="n">
        <f aca="false">'Black-Scholes'!$B$5*EXP(('Black-Scholes'!$B$8-'Black-Scholes'!$B$10-'Black-Scholes'!$B$9^2/2)*'Black-Scholes'!$B$7-'Black-Scholes'!$B$9*SQRT('Black-Scholes'!$B$7)*B4577)</f>
        <v>79.7702118905294</v>
      </c>
      <c r="E4577" s="18" t="n">
        <f aca="false">EXP(-'Black-Scholes'!$B$8*'Black-Scholes'!$B$7)*IF(LOWER('Black-Scholes'!$B$11)="put",MAX('Black-Scholes'!$B$6-C4577,0),MAX(C4577-'Black-Scholes'!$B$6,0))</f>
        <v>31.4970254735797</v>
      </c>
      <c r="F4577" s="18" t="n">
        <f aca="false">(E4577+G4577)/2</f>
        <v>15.7485127367898</v>
      </c>
      <c r="G4577" s="18" t="n">
        <f aca="false">EXP(-'Black-Scholes'!$B$8*'Black-Scholes'!$B$7)*IF(LOWER('Black-Scholes'!$B$11)="put",MAX('Black-Scholes'!$B$6-D4577,0),MAX(D4577-'Black-Scholes'!$B$6,0))</f>
        <v>0</v>
      </c>
    </row>
    <row r="4578" customFormat="false" ht="15" hidden="false" customHeight="false" outlineLevel="0" collapsed="false">
      <c r="A4578" s="0" t="n">
        <v>4567</v>
      </c>
      <c r="B4578" s="15" t="n">
        <v>-0.122370001762998</v>
      </c>
      <c r="C4578" s="18" t="n">
        <f aca="false">'Black-Scholes'!$B$5*EXP(('Black-Scholes'!$B$8-'Black-Scholes'!$B$10-'Black-Scholes'!$B$9^2/2)*'Black-Scholes'!$B$7+'Black-Scholes'!$B$9*SQRT('Black-Scholes'!$B$7)*B4578)</f>
        <v>100.554129614662</v>
      </c>
      <c r="D4578" s="18" t="n">
        <f aca="false">'Black-Scholes'!$B$5*EXP(('Black-Scholes'!$B$8-'Black-Scholes'!$B$10-'Black-Scholes'!$B$9^2/2)*'Black-Scholes'!$B$7-'Black-Scholes'!$B$9*SQRT('Black-Scholes'!$B$7)*B4578)</f>
        <v>105.598502081861</v>
      </c>
      <c r="E4578" s="18" t="n">
        <f aca="false">EXP(-'Black-Scholes'!$B$8*'Black-Scholes'!$B$7)*IF(LOWER('Black-Scholes'!$B$11)="put",MAX('Black-Scholes'!$B$6-C4578,0),MAX(C4578-'Black-Scholes'!$B$6,0))</f>
        <v>0.527104394453915</v>
      </c>
      <c r="F4578" s="18" t="n">
        <f aca="false">(E4578+G4578)/2</f>
        <v>2.92628215392416</v>
      </c>
      <c r="G4578" s="18" t="n">
        <f aca="false">EXP(-'Black-Scholes'!$B$8*'Black-Scholes'!$B$7)*IF(LOWER('Black-Scholes'!$B$11)="put",MAX('Black-Scholes'!$B$6-D4578,0),MAX(D4578-'Black-Scholes'!$B$6,0))</f>
        <v>5.3254599133944</v>
      </c>
    </row>
    <row r="4579" customFormat="false" ht="15" hidden="false" customHeight="false" outlineLevel="0" collapsed="false">
      <c r="A4579" s="0" t="n">
        <v>4568</v>
      </c>
      <c r="B4579" s="15" t="n">
        <v>-1.51176870368813</v>
      </c>
      <c r="C4579" s="18" t="n">
        <f aca="false">'Black-Scholes'!$B$5*EXP(('Black-Scholes'!$B$8-'Black-Scholes'!$B$10-'Black-Scholes'!$B$9^2/2)*'Black-Scholes'!$B$7+'Black-Scholes'!$B$9*SQRT('Black-Scholes'!$B$7)*B4579)</f>
        <v>76.1584809862304</v>
      </c>
      <c r="D4579" s="18" t="n">
        <f aca="false">'Black-Scholes'!$B$5*EXP(('Black-Scholes'!$B$8-'Black-Scholes'!$B$10-'Black-Scholes'!$B$9^2/2)*'Black-Scholes'!$B$7-'Black-Scholes'!$B$9*SQRT('Black-Scholes'!$B$7)*B4579)</f>
        <v>139.42459628854</v>
      </c>
      <c r="E4579" s="18" t="n">
        <f aca="false">EXP(-'Black-Scholes'!$B$8*'Black-Scholes'!$B$7)*IF(LOWER('Black-Scholes'!$B$11)="put",MAX('Black-Scholes'!$B$6-C4579,0),MAX(C4579-'Black-Scholes'!$B$6,0))</f>
        <v>0</v>
      </c>
      <c r="F4579" s="18" t="n">
        <f aca="false">(E4579+G4579)/2</f>
        <v>18.7509180193603</v>
      </c>
      <c r="G4579" s="18" t="n">
        <f aca="false">EXP(-'Black-Scholes'!$B$8*'Black-Scholes'!$B$7)*IF(LOWER('Black-Scholes'!$B$11)="put",MAX('Black-Scholes'!$B$6-D4579,0),MAX(D4579-'Black-Scholes'!$B$6,0))</f>
        <v>37.5018360387206</v>
      </c>
    </row>
    <row r="4580" customFormat="false" ht="15" hidden="false" customHeight="false" outlineLevel="0" collapsed="false">
      <c r="A4580" s="0" t="n">
        <v>4569</v>
      </c>
      <c r="B4580" s="15" t="n">
        <v>-0.621903432628016</v>
      </c>
      <c r="C4580" s="18" t="n">
        <f aca="false">'Black-Scholes'!$B$5*EXP(('Black-Scholes'!$B$8-'Black-Scholes'!$B$10-'Black-Scholes'!$B$9^2/2)*'Black-Scholes'!$B$7+'Black-Scholes'!$B$9*SQRT('Black-Scholes'!$B$7)*B4580)</f>
        <v>90.9936295810428</v>
      </c>
      <c r="D4580" s="18" t="n">
        <f aca="false">'Black-Scholes'!$B$5*EXP(('Black-Scholes'!$B$8-'Black-Scholes'!$B$10-'Black-Scholes'!$B$9^2/2)*'Black-Scholes'!$B$7-'Black-Scholes'!$B$9*SQRT('Black-Scholes'!$B$7)*B4580)</f>
        <v>116.693503867723</v>
      </c>
      <c r="E4580" s="18" t="n">
        <f aca="false">EXP(-'Black-Scholes'!$B$8*'Black-Scholes'!$B$7)*IF(LOWER('Black-Scholes'!$B$11)="put",MAX('Black-Scholes'!$B$6-C4580,0),MAX(C4580-'Black-Scholes'!$B$6,0))</f>
        <v>0</v>
      </c>
      <c r="F4580" s="18" t="n">
        <f aca="false">(E4580+G4580)/2</f>
        <v>7.93967603849742</v>
      </c>
      <c r="G4580" s="18" t="n">
        <f aca="false">EXP(-'Black-Scholes'!$B$8*'Black-Scholes'!$B$7)*IF(LOWER('Black-Scholes'!$B$11)="put",MAX('Black-Scholes'!$B$6-D4580,0),MAX(D4580-'Black-Scholes'!$B$6,0))</f>
        <v>15.8793520769948</v>
      </c>
    </row>
    <row r="4581" customFormat="false" ht="15" hidden="false" customHeight="false" outlineLevel="0" collapsed="false">
      <c r="A4581" s="0" t="n">
        <v>4570</v>
      </c>
      <c r="B4581" s="15" t="n">
        <v>0.55807201733133</v>
      </c>
      <c r="C4581" s="18" t="n">
        <f aca="false">'Black-Scholes'!$B$5*EXP(('Black-Scholes'!$B$8-'Black-Scholes'!$B$10-'Black-Scholes'!$B$9^2/2)*'Black-Scholes'!$B$7+'Black-Scholes'!$B$9*SQRT('Black-Scholes'!$B$7)*B4581)</f>
        <v>115.21323046507</v>
      </c>
      <c r="D4581" s="18" t="n">
        <f aca="false">'Black-Scholes'!$B$5*EXP(('Black-Scholes'!$B$8-'Black-Scholes'!$B$10-'Black-Scholes'!$B$9^2/2)*'Black-Scholes'!$B$7-'Black-Scholes'!$B$9*SQRT('Black-Scholes'!$B$7)*B4581)</f>
        <v>92.1627266468569</v>
      </c>
      <c r="E4581" s="18" t="n">
        <f aca="false">EXP(-'Black-Scholes'!$B$8*'Black-Scholes'!$B$7)*IF(LOWER('Black-Scholes'!$B$11)="put",MAX('Black-Scholes'!$B$6-C4581,0),MAX(C4581-'Black-Scholes'!$B$6,0))</f>
        <v>14.4712724600856</v>
      </c>
      <c r="F4581" s="18" t="n">
        <f aca="false">(E4581+G4581)/2</f>
        <v>7.23563623004278</v>
      </c>
      <c r="G4581" s="18" t="n">
        <f aca="false">EXP(-'Black-Scholes'!$B$8*'Black-Scholes'!$B$7)*IF(LOWER('Black-Scholes'!$B$11)="put",MAX('Black-Scholes'!$B$6-D4581,0),MAX(D4581-'Black-Scholes'!$B$6,0))</f>
        <v>0</v>
      </c>
    </row>
    <row r="4582" customFormat="false" ht="15" hidden="false" customHeight="false" outlineLevel="0" collapsed="false">
      <c r="A4582" s="0" t="n">
        <v>4571</v>
      </c>
      <c r="B4582" s="15" t="n">
        <v>-0.50472414323356</v>
      </c>
      <c r="C4582" s="18" t="n">
        <f aca="false">'Black-Scholes'!$B$5*EXP(('Black-Scholes'!$B$8-'Black-Scholes'!$B$10-'Black-Scholes'!$B$9^2/2)*'Black-Scholes'!$B$7+'Black-Scholes'!$B$9*SQRT('Black-Scholes'!$B$7)*B4582)</f>
        <v>93.1513283558371</v>
      </c>
      <c r="D4582" s="18" t="n">
        <f aca="false">'Black-Scholes'!$B$5*EXP(('Black-Scholes'!$B$8-'Black-Scholes'!$B$10-'Black-Scholes'!$B$9^2/2)*'Black-Scholes'!$B$7-'Black-Scholes'!$B$9*SQRT('Black-Scholes'!$B$7)*B4582)</f>
        <v>113.990488948172</v>
      </c>
      <c r="E4582" s="18" t="n">
        <f aca="false">EXP(-'Black-Scholes'!$B$8*'Black-Scholes'!$B$7)*IF(LOWER('Black-Scholes'!$B$11)="put",MAX('Black-Scholes'!$B$6-C4582,0),MAX(C4582-'Black-Scholes'!$B$6,0))</f>
        <v>0</v>
      </c>
      <c r="F4582" s="18" t="n">
        <f aca="false">(E4582+G4582)/2</f>
        <v>6.65408237532664</v>
      </c>
      <c r="G4582" s="18" t="n">
        <f aca="false">EXP(-'Black-Scholes'!$B$8*'Black-Scholes'!$B$7)*IF(LOWER('Black-Scholes'!$B$11)="put",MAX('Black-Scholes'!$B$6-D4582,0),MAX(D4582-'Black-Scholes'!$B$6,0))</f>
        <v>13.3081647506533</v>
      </c>
    </row>
    <row r="4583" customFormat="false" ht="15" hidden="false" customHeight="false" outlineLevel="0" collapsed="false">
      <c r="A4583" s="0" t="n">
        <v>4572</v>
      </c>
      <c r="B4583" s="15" t="n">
        <v>0.227298716164482</v>
      </c>
      <c r="C4583" s="18" t="n">
        <f aca="false">'Black-Scholes'!$B$5*EXP(('Black-Scholes'!$B$8-'Black-Scholes'!$B$10-'Black-Scholes'!$B$9^2/2)*'Black-Scholes'!$B$7+'Black-Scholes'!$B$9*SQRT('Black-Scholes'!$B$7)*B4583)</f>
        <v>107.837981475917</v>
      </c>
      <c r="D4583" s="18" t="n">
        <f aca="false">'Black-Scholes'!$B$5*EXP(('Black-Scholes'!$B$8-'Black-Scholes'!$B$10-'Black-Scholes'!$B$9^2/2)*'Black-Scholes'!$B$7-'Black-Scholes'!$B$9*SQRT('Black-Scholes'!$B$7)*B4583)</f>
        <v>98.4659145147754</v>
      </c>
      <c r="E4583" s="18" t="n">
        <f aca="false">EXP(-'Black-Scholes'!$B$8*'Black-Scholes'!$B$7)*IF(LOWER('Black-Scholes'!$B$11)="put",MAX('Black-Scholes'!$B$6-C4583,0),MAX(C4583-'Black-Scholes'!$B$6,0))</f>
        <v>7.45571860858403</v>
      </c>
      <c r="F4583" s="18" t="n">
        <f aca="false">(E4583+G4583)/2</f>
        <v>3.72785930429202</v>
      </c>
      <c r="G4583" s="18" t="n">
        <f aca="false">EXP(-'Black-Scholes'!$B$8*'Black-Scholes'!$B$7)*IF(LOWER('Black-Scholes'!$B$11)="put",MAX('Black-Scholes'!$B$6-D4583,0),MAX(D4583-'Black-Scholes'!$B$6,0))</f>
        <v>0</v>
      </c>
    </row>
    <row r="4584" customFormat="false" ht="15" hidden="false" customHeight="false" outlineLevel="0" collapsed="false">
      <c r="A4584" s="0" t="n">
        <v>4573</v>
      </c>
      <c r="B4584" s="15" t="n">
        <v>-0.42029388857293</v>
      </c>
      <c r="C4584" s="18" t="n">
        <f aca="false">'Black-Scholes'!$B$5*EXP(('Black-Scholes'!$B$8-'Black-Scholes'!$B$10-'Black-Scholes'!$B$9^2/2)*'Black-Scholes'!$B$7+'Black-Scholes'!$B$9*SQRT('Black-Scholes'!$B$7)*B4584)</f>
        <v>94.7376420244424</v>
      </c>
      <c r="D4584" s="18" t="n">
        <f aca="false">'Black-Scholes'!$B$5*EXP(('Black-Scholes'!$B$8-'Black-Scholes'!$B$10-'Black-Scholes'!$B$9^2/2)*'Black-Scholes'!$B$7-'Black-Scholes'!$B$9*SQRT('Black-Scholes'!$B$7)*B4584)</f>
        <v>112.081800206871</v>
      </c>
      <c r="E4584" s="18" t="n">
        <f aca="false">EXP(-'Black-Scholes'!$B$8*'Black-Scholes'!$B$7)*IF(LOWER('Black-Scholes'!$B$11)="put",MAX('Black-Scholes'!$B$6-C4584,0),MAX(C4584-'Black-Scholes'!$B$6,0))</f>
        <v>0</v>
      </c>
      <c r="F4584" s="18" t="n">
        <f aca="false">(E4584+G4584)/2</f>
        <v>5.74628192885712</v>
      </c>
      <c r="G4584" s="18" t="n">
        <f aca="false">EXP(-'Black-Scholes'!$B$8*'Black-Scholes'!$B$7)*IF(LOWER('Black-Scholes'!$B$11)="put",MAX('Black-Scholes'!$B$6-D4584,0),MAX(D4584-'Black-Scholes'!$B$6,0))</f>
        <v>11.4925638577142</v>
      </c>
    </row>
    <row r="4585" customFormat="false" ht="15" hidden="false" customHeight="false" outlineLevel="0" collapsed="false">
      <c r="A4585" s="0" t="n">
        <v>4574</v>
      </c>
      <c r="B4585" s="15" t="n">
        <v>-0.597368774438362</v>
      </c>
      <c r="C4585" s="18" t="n">
        <f aca="false">'Black-Scholes'!$B$5*EXP(('Black-Scholes'!$B$8-'Black-Scholes'!$B$10-'Black-Scholes'!$B$9^2/2)*'Black-Scholes'!$B$7+'Black-Scholes'!$B$9*SQRT('Black-Scholes'!$B$7)*B4585)</f>
        <v>91.4412263661955</v>
      </c>
      <c r="D4585" s="18" t="n">
        <f aca="false">'Black-Scholes'!$B$5*EXP(('Black-Scholes'!$B$8-'Black-Scholes'!$B$10-'Black-Scholes'!$B$9^2/2)*'Black-Scholes'!$B$7-'Black-Scholes'!$B$9*SQRT('Black-Scholes'!$B$7)*B4585)</f>
        <v>116.122299398415</v>
      </c>
      <c r="E4585" s="18" t="n">
        <f aca="false">EXP(-'Black-Scholes'!$B$8*'Black-Scholes'!$B$7)*IF(LOWER('Black-Scholes'!$B$11)="put",MAX('Black-Scholes'!$B$6-C4585,0),MAX(C4585-'Black-Scholes'!$B$6,0))</f>
        <v>0</v>
      </c>
      <c r="F4585" s="18" t="n">
        <f aca="false">(E4585+G4585)/2</f>
        <v>7.66800278919129</v>
      </c>
      <c r="G4585" s="18" t="n">
        <f aca="false">EXP(-'Black-Scholes'!$B$8*'Black-Scholes'!$B$7)*IF(LOWER('Black-Scholes'!$B$11)="put",MAX('Black-Scholes'!$B$6-D4585,0),MAX(D4585-'Black-Scholes'!$B$6,0))</f>
        <v>15.3360055783826</v>
      </c>
    </row>
    <row r="4586" customFormat="false" ht="15" hidden="false" customHeight="false" outlineLevel="0" collapsed="false">
      <c r="A4586" s="0" t="n">
        <v>4575</v>
      </c>
      <c r="B4586" s="15" t="n">
        <v>0.377416487913094</v>
      </c>
      <c r="C4586" s="18" t="n">
        <f aca="false">'Black-Scholes'!$B$5*EXP(('Black-Scholes'!$B$8-'Black-Scholes'!$B$10-'Black-Scholes'!$B$9^2/2)*'Black-Scholes'!$B$7+'Black-Scholes'!$B$9*SQRT('Black-Scholes'!$B$7)*B4586)</f>
        <v>111.124754384756</v>
      </c>
      <c r="D4586" s="18" t="n">
        <f aca="false">'Black-Scholes'!$B$5*EXP(('Black-Scholes'!$B$8-'Black-Scholes'!$B$10-'Black-Scholes'!$B$9^2/2)*'Black-Scholes'!$B$7-'Black-Scholes'!$B$9*SQRT('Black-Scholes'!$B$7)*B4586)</f>
        <v>95.5535562192454</v>
      </c>
      <c r="E4586" s="18" t="n">
        <f aca="false">EXP(-'Black-Scholes'!$B$8*'Black-Scholes'!$B$7)*IF(LOWER('Black-Scholes'!$B$11)="put",MAX('Black-Scholes'!$B$6-C4586,0),MAX(C4586-'Black-Scholes'!$B$6,0))</f>
        <v>10.582193711123</v>
      </c>
      <c r="F4586" s="18" t="n">
        <f aca="false">(E4586+G4586)/2</f>
        <v>5.2910968555615</v>
      </c>
      <c r="G4586" s="18" t="n">
        <f aca="false">EXP(-'Black-Scholes'!$B$8*'Black-Scholes'!$B$7)*IF(LOWER('Black-Scholes'!$B$11)="put",MAX('Black-Scholes'!$B$6-D4586,0),MAX(D4586-'Black-Scholes'!$B$6,0))</f>
        <v>0</v>
      </c>
    </row>
    <row r="4587" customFormat="false" ht="15" hidden="false" customHeight="false" outlineLevel="0" collapsed="false">
      <c r="A4587" s="0" t="n">
        <v>4576</v>
      </c>
      <c r="B4587" s="15" t="n">
        <v>0.721934405671022</v>
      </c>
      <c r="C4587" s="18" t="n">
        <f aca="false">'Black-Scholes'!$B$5*EXP(('Black-Scholes'!$B$8-'Black-Scholes'!$B$10-'Black-Scholes'!$B$9^2/2)*'Black-Scholes'!$B$7+'Black-Scholes'!$B$9*SQRT('Black-Scholes'!$B$7)*B4587)</f>
        <v>119.05160649409</v>
      </c>
      <c r="D4587" s="18" t="n">
        <f aca="false">'Black-Scholes'!$B$5*EXP(('Black-Scholes'!$B$8-'Black-Scholes'!$B$10-'Black-Scholes'!$B$9^2/2)*'Black-Scholes'!$B$7-'Black-Scholes'!$B$9*SQRT('Black-Scholes'!$B$7)*B4587)</f>
        <v>89.1912824879076</v>
      </c>
      <c r="E4587" s="18" t="n">
        <f aca="false">EXP(-'Black-Scholes'!$B$8*'Black-Scholes'!$B$7)*IF(LOWER('Black-Scholes'!$B$11)="put",MAX('Black-Scholes'!$B$6-C4587,0),MAX(C4587-'Black-Scholes'!$B$6,0))</f>
        <v>18.1224486811873</v>
      </c>
      <c r="F4587" s="18" t="n">
        <f aca="false">(E4587+G4587)/2</f>
        <v>9.06122434059367</v>
      </c>
      <c r="G4587" s="18" t="n">
        <f aca="false">EXP(-'Black-Scholes'!$B$8*'Black-Scholes'!$B$7)*IF(LOWER('Black-Scholes'!$B$11)="put",MAX('Black-Scholes'!$B$6-D4587,0),MAX(D4587-'Black-Scholes'!$B$6,0))</f>
        <v>0</v>
      </c>
    </row>
    <row r="4588" customFormat="false" ht="15" hidden="false" customHeight="false" outlineLevel="0" collapsed="false">
      <c r="A4588" s="0" t="n">
        <v>4577</v>
      </c>
      <c r="B4588" s="15" t="n">
        <v>-2.14126568616691</v>
      </c>
      <c r="C4588" s="18" t="n">
        <f aca="false">'Black-Scholes'!$B$5*EXP(('Black-Scholes'!$B$8-'Black-Scholes'!$B$10-'Black-Scholes'!$B$9^2/2)*'Black-Scholes'!$B$7+'Black-Scholes'!$B$9*SQRT('Black-Scholes'!$B$7)*B4588)</f>
        <v>67.1492026512278</v>
      </c>
      <c r="D4588" s="18" t="n">
        <f aca="false">'Black-Scholes'!$B$5*EXP(('Black-Scholes'!$B$8-'Black-Scholes'!$B$10-'Black-Scholes'!$B$9^2/2)*'Black-Scholes'!$B$7-'Black-Scholes'!$B$9*SQRT('Black-Scholes'!$B$7)*B4588)</f>
        <v>158.130924064806</v>
      </c>
      <c r="E4588" s="18" t="n">
        <f aca="false">EXP(-'Black-Scholes'!$B$8*'Black-Scholes'!$B$7)*IF(LOWER('Black-Scholes'!$B$11)="put",MAX('Black-Scholes'!$B$6-C4588,0),MAX(C4588-'Black-Scholes'!$B$6,0))</f>
        <v>0</v>
      </c>
      <c r="F4588" s="18" t="n">
        <f aca="false">(E4588+G4588)/2</f>
        <v>27.6479227219302</v>
      </c>
      <c r="G4588" s="18" t="n">
        <f aca="false">EXP(-'Black-Scholes'!$B$8*'Black-Scholes'!$B$7)*IF(LOWER('Black-Scholes'!$B$11)="put",MAX('Black-Scholes'!$B$6-D4588,0),MAX(D4588-'Black-Scholes'!$B$6,0))</f>
        <v>55.2958454438604</v>
      </c>
    </row>
    <row r="4589" customFormat="false" ht="15" hidden="false" customHeight="false" outlineLevel="0" collapsed="false">
      <c r="A4589" s="0" t="n">
        <v>4578</v>
      </c>
      <c r="B4589" s="15" t="n">
        <v>0.167533211497787</v>
      </c>
      <c r="C4589" s="18" t="n">
        <f aca="false">'Black-Scholes'!$B$5*EXP(('Black-Scholes'!$B$8-'Black-Scholes'!$B$10-'Black-Scholes'!$B$9^2/2)*'Black-Scholes'!$B$7+'Black-Scholes'!$B$9*SQRT('Black-Scholes'!$B$7)*B4589)</f>
        <v>106.556656359027</v>
      </c>
      <c r="D4589" s="18" t="n">
        <f aca="false">'Black-Scholes'!$B$5*EXP(('Black-Scholes'!$B$8-'Black-Scholes'!$B$10-'Black-Scholes'!$B$9^2/2)*'Black-Scholes'!$B$7-'Black-Scholes'!$B$9*SQRT('Black-Scholes'!$B$7)*B4589)</f>
        <v>99.6499498790252</v>
      </c>
      <c r="E4589" s="18" t="n">
        <f aca="false">EXP(-'Black-Scholes'!$B$8*'Black-Scholes'!$B$7)*IF(LOWER('Black-Scholes'!$B$11)="put",MAX('Black-Scholes'!$B$6-C4589,0),MAX(C4589-'Black-Scholes'!$B$6,0))</f>
        <v>6.23688445504658</v>
      </c>
      <c r="F4589" s="18" t="n">
        <f aca="false">(E4589+G4589)/2</f>
        <v>3.11844222752329</v>
      </c>
      <c r="G4589" s="18" t="n">
        <f aca="false">EXP(-'Black-Scholes'!$B$8*'Black-Scholes'!$B$7)*IF(LOWER('Black-Scholes'!$B$11)="put",MAX('Black-Scholes'!$B$6-D4589,0),MAX(D4589-'Black-Scholes'!$B$6,0))</f>
        <v>0</v>
      </c>
    </row>
    <row r="4590" customFormat="false" ht="15" hidden="false" customHeight="false" outlineLevel="0" collapsed="false">
      <c r="A4590" s="0" t="n">
        <v>4579</v>
      </c>
      <c r="B4590" s="15" t="n">
        <v>0.480503448211768</v>
      </c>
      <c r="C4590" s="18" t="n">
        <f aca="false">'Black-Scholes'!$B$5*EXP(('Black-Scholes'!$B$8-'Black-Scholes'!$B$10-'Black-Scholes'!$B$9^2/2)*'Black-Scholes'!$B$7+'Black-Scholes'!$B$9*SQRT('Black-Scholes'!$B$7)*B4590)</f>
        <v>113.439638449898</v>
      </c>
      <c r="D4590" s="18" t="n">
        <f aca="false">'Black-Scholes'!$B$5*EXP(('Black-Scholes'!$B$8-'Black-Scholes'!$B$10-'Black-Scholes'!$B$9^2/2)*'Black-Scholes'!$B$7-'Black-Scholes'!$B$9*SQRT('Black-Scholes'!$B$7)*B4590)</f>
        <v>93.6036610354974</v>
      </c>
      <c r="E4590" s="18" t="n">
        <f aca="false">EXP(-'Black-Scholes'!$B$8*'Black-Scholes'!$B$7)*IF(LOWER('Black-Scholes'!$B$11)="put",MAX('Black-Scholes'!$B$6-C4590,0),MAX(C4590-'Black-Scholes'!$B$6,0))</f>
        <v>12.7841795481938</v>
      </c>
      <c r="F4590" s="18" t="n">
        <f aca="false">(E4590+G4590)/2</f>
        <v>6.39208977409688</v>
      </c>
      <c r="G4590" s="18" t="n">
        <f aca="false">EXP(-'Black-Scholes'!$B$8*'Black-Scholes'!$B$7)*IF(LOWER('Black-Scholes'!$B$11)="put",MAX('Black-Scholes'!$B$6-D4590,0),MAX(D4590-'Black-Scholes'!$B$6,0))</f>
        <v>0</v>
      </c>
    </row>
    <row r="4591" customFormat="false" ht="15" hidden="false" customHeight="false" outlineLevel="0" collapsed="false">
      <c r="A4591" s="0" t="n">
        <v>4580</v>
      </c>
      <c r="B4591" s="15" t="n">
        <v>0.000250161867291164</v>
      </c>
      <c r="C4591" s="18" t="n">
        <f aca="false">'Black-Scholes'!$B$5*EXP(('Black-Scholes'!$B$8-'Black-Scholes'!$B$10-'Black-Scholes'!$B$9^2/2)*'Black-Scholes'!$B$7+'Black-Scholes'!$B$9*SQRT('Black-Scholes'!$B$7)*B4591)</f>
        <v>103.050609132935</v>
      </c>
      <c r="D4591" s="18" t="n">
        <f aca="false">'Black-Scholes'!$B$5*EXP(('Black-Scholes'!$B$8-'Black-Scholes'!$B$10-'Black-Scholes'!$B$9^2/2)*'Black-Scholes'!$B$7-'Black-Scholes'!$B$9*SQRT('Black-Scholes'!$B$7)*B4591)</f>
        <v>103.040297915716</v>
      </c>
      <c r="E4591" s="18" t="n">
        <f aca="false">EXP(-'Black-Scholes'!$B$8*'Black-Scholes'!$B$7)*IF(LOWER('Black-Scholes'!$B$11)="put",MAX('Black-Scholes'!$B$6-C4591,0),MAX(C4591-'Black-Scholes'!$B$6,0))</f>
        <v>2.90182916989834</v>
      </c>
      <c r="F4591" s="18" t="n">
        <f aca="false">(E4591+G4591)/2</f>
        <v>2.89692500328768</v>
      </c>
      <c r="G4591" s="18" t="n">
        <f aca="false">EXP(-'Black-Scholes'!$B$8*'Black-Scholes'!$B$7)*IF(LOWER('Black-Scholes'!$B$11)="put",MAX('Black-Scholes'!$B$6-D4591,0),MAX(D4591-'Black-Scholes'!$B$6,0))</f>
        <v>2.89202083667703</v>
      </c>
    </row>
    <row r="4592" customFormat="false" ht="15" hidden="false" customHeight="false" outlineLevel="0" collapsed="false">
      <c r="A4592" s="0" t="n">
        <v>4581</v>
      </c>
      <c r="B4592" s="15" t="n">
        <v>-0.212318908329835</v>
      </c>
      <c r="C4592" s="18" t="n">
        <f aca="false">'Black-Scholes'!$B$5*EXP(('Black-Scholes'!$B$8-'Black-Scholes'!$B$10-'Black-Scholes'!$B$9^2/2)*'Black-Scholes'!$B$7+'Black-Scholes'!$B$9*SQRT('Black-Scholes'!$B$7)*B4592)</f>
        <v>98.7613569564287</v>
      </c>
      <c r="D4592" s="18" t="n">
        <f aca="false">'Black-Scholes'!$B$5*EXP(('Black-Scholes'!$B$8-'Black-Scholes'!$B$10-'Black-Scholes'!$B$9^2/2)*'Black-Scholes'!$B$7-'Black-Scholes'!$B$9*SQRT('Black-Scholes'!$B$7)*B4592)</f>
        <v>107.515386510315</v>
      </c>
      <c r="E4592" s="18" t="n">
        <f aca="false">EXP(-'Black-Scholes'!$B$8*'Black-Scholes'!$B$7)*IF(LOWER('Black-Scholes'!$B$11)="put",MAX('Black-Scholes'!$B$6-C4592,0),MAX(C4592-'Black-Scholes'!$B$6,0))</f>
        <v>0</v>
      </c>
      <c r="F4592" s="18" t="n">
        <f aca="false">(E4592+G4592)/2</f>
        <v>3.57442839255355</v>
      </c>
      <c r="G4592" s="18" t="n">
        <f aca="false">EXP(-'Black-Scholes'!$B$8*'Black-Scholes'!$B$7)*IF(LOWER('Black-Scholes'!$B$11)="put",MAX('Black-Scholes'!$B$6-D4592,0),MAX(D4592-'Black-Scholes'!$B$6,0))</f>
        <v>7.14885678510709</v>
      </c>
    </row>
    <row r="4593" customFormat="false" ht="15" hidden="false" customHeight="false" outlineLevel="0" collapsed="false">
      <c r="A4593" s="0" t="n">
        <v>4582</v>
      </c>
      <c r="B4593" s="15" t="n">
        <v>0.317290421975033</v>
      </c>
      <c r="C4593" s="18" t="n">
        <f aca="false">'Black-Scholes'!$B$5*EXP(('Black-Scholes'!$B$8-'Black-Scholes'!$B$10-'Black-Scholes'!$B$9^2/2)*'Black-Scholes'!$B$7+'Black-Scholes'!$B$9*SQRT('Black-Scholes'!$B$7)*B4593)</f>
        <v>109.796458052712</v>
      </c>
      <c r="D4593" s="18" t="n">
        <f aca="false">'Black-Scholes'!$B$5*EXP(('Black-Scholes'!$B$8-'Black-Scholes'!$B$10-'Black-Scholes'!$B$9^2/2)*'Black-Scholes'!$B$7-'Black-Scholes'!$B$9*SQRT('Black-Scholes'!$B$7)*B4593)</f>
        <v>96.7095446772599</v>
      </c>
      <c r="E4593" s="18" t="n">
        <f aca="false">EXP(-'Black-Scholes'!$B$8*'Black-Scholes'!$B$7)*IF(LOWER('Black-Scholes'!$B$11)="put",MAX('Black-Scholes'!$B$6-C4593,0),MAX(C4593-'Black-Scholes'!$B$6,0))</f>
        <v>9.31867915562616</v>
      </c>
      <c r="F4593" s="18" t="n">
        <f aca="false">(E4593+G4593)/2</f>
        <v>4.65933957781308</v>
      </c>
      <c r="G4593" s="18" t="n">
        <f aca="false">EXP(-'Black-Scholes'!$B$8*'Black-Scholes'!$B$7)*IF(LOWER('Black-Scholes'!$B$11)="put",MAX('Black-Scholes'!$B$6-D4593,0),MAX(D4593-'Black-Scholes'!$B$6,0))</f>
        <v>0</v>
      </c>
    </row>
    <row r="4594" customFormat="false" ht="15" hidden="false" customHeight="false" outlineLevel="0" collapsed="false">
      <c r="A4594" s="0" t="n">
        <v>4583</v>
      </c>
      <c r="B4594" s="15" t="n">
        <v>1.54358155540959</v>
      </c>
      <c r="C4594" s="18" t="n">
        <f aca="false">'Black-Scholes'!$B$5*EXP(('Black-Scholes'!$B$8-'Black-Scholes'!$B$10-'Black-Scholes'!$B$9^2/2)*'Black-Scholes'!$B$7+'Black-Scholes'!$B$9*SQRT('Black-Scholes'!$B$7)*B4594)</f>
        <v>140.314523199247</v>
      </c>
      <c r="D4594" s="18" t="n">
        <f aca="false">'Black-Scholes'!$B$5*EXP(('Black-Scholes'!$B$8-'Black-Scholes'!$B$10-'Black-Scholes'!$B$9^2/2)*'Black-Scholes'!$B$7-'Black-Scholes'!$B$9*SQRT('Black-Scholes'!$B$7)*B4594)</f>
        <v>75.6754555647495</v>
      </c>
      <c r="E4594" s="18" t="n">
        <f aca="false">EXP(-'Black-Scholes'!$B$8*'Black-Scholes'!$B$7)*IF(LOWER('Black-Scholes'!$B$11)="put",MAX('Black-Scholes'!$B$6-C4594,0),MAX(C4594-'Black-Scholes'!$B$6,0))</f>
        <v>38.3483607018399</v>
      </c>
      <c r="F4594" s="18" t="n">
        <f aca="false">(E4594+G4594)/2</f>
        <v>19.17418035092</v>
      </c>
      <c r="G4594" s="18" t="n">
        <f aca="false">EXP(-'Black-Scholes'!$B$8*'Black-Scholes'!$B$7)*IF(LOWER('Black-Scholes'!$B$11)="put",MAX('Black-Scholes'!$B$6-D4594,0),MAX(D4594-'Black-Scholes'!$B$6,0))</f>
        <v>0</v>
      </c>
    </row>
    <row r="4595" customFormat="false" ht="15" hidden="false" customHeight="false" outlineLevel="0" collapsed="false">
      <c r="A4595" s="0" t="n">
        <v>4584</v>
      </c>
      <c r="B4595" s="15" t="n">
        <v>1.69883765668056</v>
      </c>
      <c r="C4595" s="18" t="n">
        <f aca="false">'Black-Scholes'!$B$5*EXP(('Black-Scholes'!$B$8-'Black-Scholes'!$B$10-'Black-Scholes'!$B$9^2/2)*'Black-Scholes'!$B$7+'Black-Scholes'!$B$9*SQRT('Black-Scholes'!$B$7)*B4595)</f>
        <v>144.739810084776</v>
      </c>
      <c r="D4595" s="18" t="n">
        <f aca="false">'Black-Scholes'!$B$5*EXP(('Black-Scholes'!$B$8-'Black-Scholes'!$B$10-'Black-Scholes'!$B$9^2/2)*'Black-Scholes'!$B$7-'Black-Scholes'!$B$9*SQRT('Black-Scholes'!$B$7)*B4595)</f>
        <v>73.3617479478125</v>
      </c>
      <c r="E4595" s="18" t="n">
        <f aca="false">EXP(-'Black-Scholes'!$B$8*'Black-Scholes'!$B$7)*IF(LOWER('Black-Scholes'!$B$11)="put",MAX('Black-Scholes'!$B$6-C4595,0),MAX(C4595-'Black-Scholes'!$B$6,0))</f>
        <v>42.5578237992129</v>
      </c>
      <c r="F4595" s="18" t="n">
        <f aca="false">(E4595+G4595)/2</f>
        <v>21.2789118996065</v>
      </c>
      <c r="G4595" s="18" t="n">
        <f aca="false">EXP(-'Black-Scholes'!$B$8*'Black-Scholes'!$B$7)*IF(LOWER('Black-Scholes'!$B$11)="put",MAX('Black-Scholes'!$B$6-D4595,0),MAX(D4595-'Black-Scholes'!$B$6,0))</f>
        <v>0</v>
      </c>
    </row>
    <row r="4596" customFormat="false" ht="15" hidden="false" customHeight="false" outlineLevel="0" collapsed="false">
      <c r="A4596" s="0" t="n">
        <v>4585</v>
      </c>
      <c r="B4596" s="15" t="n">
        <v>-0.687976316520322</v>
      </c>
      <c r="C4596" s="18" t="n">
        <f aca="false">'Black-Scholes'!$B$5*EXP(('Black-Scholes'!$B$8-'Black-Scholes'!$B$10-'Black-Scholes'!$B$9^2/2)*'Black-Scholes'!$B$7+'Black-Scholes'!$B$9*SQRT('Black-Scholes'!$B$7)*B4596)</f>
        <v>89.7990972788908</v>
      </c>
      <c r="D4596" s="18" t="n">
        <f aca="false">'Black-Scholes'!$B$5*EXP(('Black-Scholes'!$B$8-'Black-Scholes'!$B$10-'Black-Scholes'!$B$9^2/2)*'Black-Scholes'!$B$7-'Black-Scholes'!$B$9*SQRT('Black-Scholes'!$B$7)*B4596)</f>
        <v>118.245792966893</v>
      </c>
      <c r="E4596" s="18" t="n">
        <f aca="false">EXP(-'Black-Scholes'!$B$8*'Black-Scholes'!$B$7)*IF(LOWER('Black-Scholes'!$B$11)="put",MAX('Black-Scholes'!$B$6-C4596,0),MAX(C4596-'Black-Scholes'!$B$6,0))</f>
        <v>0</v>
      </c>
      <c r="F4596" s="18" t="n">
        <f aca="false">(E4596+G4596)/2</f>
        <v>8.67796757172837</v>
      </c>
      <c r="G4596" s="18" t="n">
        <f aca="false">EXP(-'Black-Scholes'!$B$8*'Black-Scholes'!$B$7)*IF(LOWER('Black-Scholes'!$B$11)="put",MAX('Black-Scholes'!$B$6-D4596,0),MAX(D4596-'Black-Scholes'!$B$6,0))</f>
        <v>17.3559351434567</v>
      </c>
    </row>
    <row r="4597" customFormat="false" ht="15" hidden="false" customHeight="false" outlineLevel="0" collapsed="false">
      <c r="A4597" s="0" t="n">
        <v>4586</v>
      </c>
      <c r="B4597" s="15" t="n">
        <v>0.594571254018843</v>
      </c>
      <c r="C4597" s="18" t="n">
        <f aca="false">'Black-Scholes'!$B$5*EXP(('Black-Scholes'!$B$8-'Black-Scholes'!$B$10-'Black-Scholes'!$B$9^2/2)*'Black-Scholes'!$B$7+'Black-Scholes'!$B$9*SQRT('Black-Scholes'!$B$7)*B4597)</f>
        <v>116.057346670022</v>
      </c>
      <c r="D4597" s="18" t="n">
        <f aca="false">'Black-Scholes'!$B$5*EXP(('Black-Scholes'!$B$8-'Black-Scholes'!$B$10-'Black-Scholes'!$B$9^2/2)*'Black-Scholes'!$B$7-'Black-Scholes'!$B$9*SQRT('Black-Scholes'!$B$7)*B4597)</f>
        <v>91.4924024210554</v>
      </c>
      <c r="E4597" s="18" t="n">
        <f aca="false">EXP(-'Black-Scholes'!$B$8*'Black-Scholes'!$B$7)*IF(LOWER('Black-Scholes'!$B$11)="put",MAX('Black-Scholes'!$B$6-C4597,0),MAX(C4597-'Black-Scholes'!$B$6,0))</f>
        <v>15.2742206319337</v>
      </c>
      <c r="F4597" s="18" t="n">
        <f aca="false">(E4597+G4597)/2</f>
        <v>7.63711031596683</v>
      </c>
      <c r="G4597" s="18" t="n">
        <f aca="false">EXP(-'Black-Scholes'!$B$8*'Black-Scholes'!$B$7)*IF(LOWER('Black-Scholes'!$B$11)="put",MAX('Black-Scholes'!$B$6-D4597,0),MAX(D4597-'Black-Scholes'!$B$6,0))</f>
        <v>0</v>
      </c>
    </row>
    <row r="4598" customFormat="false" ht="15" hidden="false" customHeight="false" outlineLevel="0" collapsed="false">
      <c r="A4598" s="0" t="n">
        <v>4587</v>
      </c>
      <c r="B4598" s="15" t="n">
        <v>-0.204520996543575</v>
      </c>
      <c r="C4598" s="18" t="n">
        <f aca="false">'Black-Scholes'!$B$5*EXP(('Black-Scholes'!$B$8-'Black-Scholes'!$B$10-'Black-Scholes'!$B$9^2/2)*'Black-Scholes'!$B$7+'Black-Scholes'!$B$9*SQRT('Black-Scholes'!$B$7)*B4598)</f>
        <v>98.9155035972628</v>
      </c>
      <c r="D4598" s="18" t="n">
        <f aca="false">'Black-Scholes'!$B$5*EXP(('Black-Scholes'!$B$8-'Black-Scholes'!$B$10-'Black-Scholes'!$B$9^2/2)*'Black-Scholes'!$B$7-'Black-Scholes'!$B$9*SQRT('Black-Scholes'!$B$7)*B4598)</f>
        <v>107.347838097115</v>
      </c>
      <c r="E4598" s="18" t="n">
        <f aca="false">EXP(-'Black-Scholes'!$B$8*'Black-Scholes'!$B$7)*IF(LOWER('Black-Scholes'!$B$11)="put",MAX('Black-Scholes'!$B$6-C4598,0),MAX(C4598-'Black-Scholes'!$B$6,0))</f>
        <v>0</v>
      </c>
      <c r="F4598" s="18" t="n">
        <f aca="false">(E4598+G4598)/2</f>
        <v>3.49473990222172</v>
      </c>
      <c r="G4598" s="18" t="n">
        <f aca="false">EXP(-'Black-Scholes'!$B$8*'Black-Scholes'!$B$7)*IF(LOWER('Black-Scholes'!$B$11)="put",MAX('Black-Scholes'!$B$6-D4598,0),MAX(D4598-'Black-Scholes'!$B$6,0))</f>
        <v>6.98947980444345</v>
      </c>
    </row>
    <row r="4599" customFormat="false" ht="15" hidden="false" customHeight="false" outlineLevel="0" collapsed="false">
      <c r="A4599" s="0" t="n">
        <v>4588</v>
      </c>
      <c r="B4599" s="15" t="n">
        <v>0.5380362071529</v>
      </c>
      <c r="C4599" s="18" t="n">
        <f aca="false">'Black-Scholes'!$B$5*EXP(('Black-Scholes'!$B$8-'Black-Scholes'!$B$10-'Black-Scholes'!$B$9^2/2)*'Black-Scholes'!$B$7+'Black-Scholes'!$B$9*SQRT('Black-Scholes'!$B$7)*B4599)</f>
        <v>114.752476157068</v>
      </c>
      <c r="D4599" s="18" t="n">
        <f aca="false">'Black-Scholes'!$B$5*EXP(('Black-Scholes'!$B$8-'Black-Scholes'!$B$10-'Black-Scholes'!$B$9^2/2)*'Black-Scholes'!$B$7-'Black-Scholes'!$B$9*SQRT('Black-Scholes'!$B$7)*B4599)</f>
        <v>92.5327785599994</v>
      </c>
      <c r="E4599" s="18" t="n">
        <f aca="false">EXP(-'Black-Scholes'!$B$8*'Black-Scholes'!$B$7)*IF(LOWER('Black-Scholes'!$B$11)="put",MAX('Black-Scholes'!$B$6-C4599,0),MAX(C4599-'Black-Scholes'!$B$6,0))</f>
        <v>14.0329894048485</v>
      </c>
      <c r="F4599" s="18" t="n">
        <f aca="false">(E4599+G4599)/2</f>
        <v>7.01649470242424</v>
      </c>
      <c r="G4599" s="18" t="n">
        <f aca="false">EXP(-'Black-Scholes'!$B$8*'Black-Scholes'!$B$7)*IF(LOWER('Black-Scholes'!$B$11)="put",MAX('Black-Scholes'!$B$6-D4599,0),MAX(D4599-'Black-Scholes'!$B$6,0))</f>
        <v>0</v>
      </c>
    </row>
    <row r="4600" customFormat="false" ht="15" hidden="false" customHeight="false" outlineLevel="0" collapsed="false">
      <c r="A4600" s="0" t="n">
        <v>4589</v>
      </c>
      <c r="B4600" s="15" t="n">
        <v>0.589691958536599</v>
      </c>
      <c r="C4600" s="18" t="n">
        <f aca="false">'Black-Scholes'!$B$5*EXP(('Black-Scholes'!$B$8-'Black-Scholes'!$B$10-'Black-Scholes'!$B$9^2/2)*'Black-Scholes'!$B$7+'Black-Scholes'!$B$9*SQRT('Black-Scholes'!$B$7)*B4600)</f>
        <v>115.944146295356</v>
      </c>
      <c r="D4600" s="18" t="n">
        <f aca="false">'Black-Scholes'!$B$5*EXP(('Black-Scholes'!$B$8-'Black-Scholes'!$B$10-'Black-Scholes'!$B$9^2/2)*'Black-Scholes'!$B$7-'Black-Scholes'!$B$9*SQRT('Black-Scholes'!$B$7)*B4600)</f>
        <v>91.5817296925402</v>
      </c>
      <c r="E4600" s="18" t="n">
        <f aca="false">EXP(-'Black-Scholes'!$B$8*'Black-Scholes'!$B$7)*IF(LOWER('Black-Scholes'!$B$11)="put",MAX('Black-Scholes'!$B$6-C4600,0),MAX(C4600-'Black-Scholes'!$B$6,0))</f>
        <v>15.1665411046863</v>
      </c>
      <c r="F4600" s="18" t="n">
        <f aca="false">(E4600+G4600)/2</f>
        <v>7.58327055234317</v>
      </c>
      <c r="G4600" s="18" t="n">
        <f aca="false">EXP(-'Black-Scholes'!$B$8*'Black-Scholes'!$B$7)*IF(LOWER('Black-Scholes'!$B$11)="put",MAX('Black-Scholes'!$B$6-D4600,0),MAX(D4600-'Black-Scholes'!$B$6,0))</f>
        <v>0</v>
      </c>
    </row>
    <row r="4601" customFormat="false" ht="15" hidden="false" customHeight="false" outlineLevel="0" collapsed="false">
      <c r="A4601" s="0" t="n">
        <v>4590</v>
      </c>
      <c r="B4601" s="15" t="n">
        <v>0.13427346732548</v>
      </c>
      <c r="C4601" s="18" t="n">
        <f aca="false">'Black-Scholes'!$B$5*EXP(('Black-Scholes'!$B$8-'Black-Scholes'!$B$10-'Black-Scholes'!$B$9^2/2)*'Black-Scholes'!$B$7+'Black-Scholes'!$B$9*SQRT('Black-Scholes'!$B$7)*B4601)</f>
        <v>105.850199196372</v>
      </c>
      <c r="D4601" s="18" t="n">
        <f aca="false">'Black-Scholes'!$B$5*EXP(('Black-Scholes'!$B$8-'Black-Scholes'!$B$10-'Black-Scholes'!$B$9^2/2)*'Black-Scholes'!$B$7-'Black-Scholes'!$B$9*SQRT('Black-Scholes'!$B$7)*B4601)</f>
        <v>100.315025820165</v>
      </c>
      <c r="E4601" s="18" t="n">
        <f aca="false">EXP(-'Black-Scholes'!$B$8*'Black-Scholes'!$B$7)*IF(LOWER('Black-Scholes'!$B$11)="put",MAX('Black-Scholes'!$B$6-C4601,0),MAX(C4601-'Black-Scholes'!$B$6,0))</f>
        <v>5.56488161477926</v>
      </c>
      <c r="F4601" s="18" t="n">
        <f aca="false">(E4601+G4601)/2</f>
        <v>2.93227172219863</v>
      </c>
      <c r="G4601" s="18" t="n">
        <f aca="false">EXP(-'Black-Scholes'!$B$8*'Black-Scholes'!$B$7)*IF(LOWER('Black-Scholes'!$B$11)="put",MAX('Black-Scholes'!$B$6-D4601,0),MAX(D4601-'Black-Scholes'!$B$6,0))</f>
        <v>0.299661829618004</v>
      </c>
    </row>
    <row r="4602" customFormat="false" ht="15" hidden="false" customHeight="false" outlineLevel="0" collapsed="false">
      <c r="A4602" s="0" t="n">
        <v>4591</v>
      </c>
      <c r="B4602" s="15" t="n">
        <v>0.867475205491177</v>
      </c>
      <c r="C4602" s="18" t="n">
        <f aca="false">'Black-Scholes'!$B$5*EXP(('Black-Scholes'!$B$8-'Black-Scholes'!$B$10-'Black-Scholes'!$B$9^2/2)*'Black-Scholes'!$B$7+'Black-Scholes'!$B$9*SQRT('Black-Scholes'!$B$7)*B4602)</f>
        <v>122.567907960399</v>
      </c>
      <c r="D4602" s="18" t="n">
        <f aca="false">'Black-Scholes'!$B$5*EXP(('Black-Scholes'!$B$8-'Black-Scholes'!$B$10-'Black-Scholes'!$B$9^2/2)*'Black-Scholes'!$B$7-'Black-Scholes'!$B$9*SQRT('Black-Scholes'!$B$7)*B4602)</f>
        <v>86.6325096197641</v>
      </c>
      <c r="E4602" s="18" t="n">
        <f aca="false">EXP(-'Black-Scholes'!$B$8*'Black-Scholes'!$B$7)*IF(LOWER('Black-Scholes'!$B$11)="put",MAX('Black-Scholes'!$B$6-C4602,0),MAX(C4602-'Black-Scholes'!$B$6,0))</f>
        <v>21.4672581013551</v>
      </c>
      <c r="F4602" s="18" t="n">
        <f aca="false">(E4602+G4602)/2</f>
        <v>10.7336290506775</v>
      </c>
      <c r="G4602" s="18" t="n">
        <f aca="false">EXP(-'Black-Scholes'!$B$8*'Black-Scholes'!$B$7)*IF(LOWER('Black-Scholes'!$B$11)="put",MAX('Black-Scholes'!$B$6-D4602,0),MAX(D4602-'Black-Scholes'!$B$6,0))</f>
        <v>0</v>
      </c>
    </row>
    <row r="4603" customFormat="false" ht="15" hidden="false" customHeight="false" outlineLevel="0" collapsed="false">
      <c r="A4603" s="0" t="n">
        <v>4592</v>
      </c>
      <c r="B4603" s="15" t="n">
        <v>-1.62786349307332</v>
      </c>
      <c r="C4603" s="18" t="n">
        <f aca="false">'Black-Scholes'!$B$5*EXP(('Black-Scholes'!$B$8-'Black-Scholes'!$B$10-'Black-Scholes'!$B$9^2/2)*'Black-Scholes'!$B$7+'Black-Scholes'!$B$9*SQRT('Black-Scholes'!$B$7)*B4603)</f>
        <v>74.4105317331003</v>
      </c>
      <c r="D4603" s="18" t="n">
        <f aca="false">'Black-Scholes'!$B$5*EXP(('Black-Scholes'!$B$8-'Black-Scholes'!$B$10-'Black-Scholes'!$B$9^2/2)*'Black-Scholes'!$B$7-'Black-Scholes'!$B$9*SQRT('Black-Scholes'!$B$7)*B4603)</f>
        <v>142.699765989311</v>
      </c>
      <c r="E4603" s="18" t="n">
        <f aca="false">EXP(-'Black-Scholes'!$B$8*'Black-Scholes'!$B$7)*IF(LOWER('Black-Scholes'!$B$11)="put",MAX('Black-Scholes'!$B$6-C4603,0),MAX(C4603-'Black-Scholes'!$B$6,0))</f>
        <v>0</v>
      </c>
      <c r="F4603" s="18" t="n">
        <f aca="false">(E4603+G4603)/2</f>
        <v>20.3086369141636</v>
      </c>
      <c r="G4603" s="18" t="n">
        <f aca="false">EXP(-'Black-Scholes'!$B$8*'Black-Scholes'!$B$7)*IF(LOWER('Black-Scholes'!$B$11)="put",MAX('Black-Scholes'!$B$6-D4603,0),MAX(D4603-'Black-Scholes'!$B$6,0))</f>
        <v>40.6172738283272</v>
      </c>
    </row>
    <row r="4604" customFormat="false" ht="15" hidden="false" customHeight="false" outlineLevel="0" collapsed="false">
      <c r="A4604" s="0" t="n">
        <v>4593</v>
      </c>
      <c r="B4604" s="15" t="n">
        <v>-0.0622697152531752</v>
      </c>
      <c r="C4604" s="18" t="n">
        <f aca="false">'Black-Scholes'!$B$5*EXP(('Black-Scholes'!$B$8-'Black-Scholes'!$B$10-'Black-Scholes'!$B$9^2/2)*'Black-Scholes'!$B$7+'Black-Scholes'!$B$9*SQRT('Black-Scholes'!$B$7)*B4604)</f>
        <v>101.770089326989</v>
      </c>
      <c r="D4604" s="18" t="n">
        <f aca="false">'Black-Scholes'!$B$5*EXP(('Black-Scholes'!$B$8-'Black-Scholes'!$B$10-'Black-Scholes'!$B$9^2/2)*'Black-Scholes'!$B$7-'Black-Scholes'!$B$9*SQRT('Black-Scholes'!$B$7)*B4604)</f>
        <v>104.336800091986</v>
      </c>
      <c r="E4604" s="18" t="n">
        <f aca="false">EXP(-'Black-Scholes'!$B$8*'Black-Scholes'!$B$7)*IF(LOWER('Black-Scholes'!$B$11)="put",MAX('Black-Scholes'!$B$6-C4604,0),MAX(C4604-'Black-Scholes'!$B$6,0))</f>
        <v>1.68376105182691</v>
      </c>
      <c r="F4604" s="18" t="n">
        <f aca="false">(E4604+G4604)/2</f>
        <v>2.90452645375048</v>
      </c>
      <c r="G4604" s="18" t="n">
        <f aca="false">EXP(-'Black-Scholes'!$B$8*'Black-Scholes'!$B$7)*IF(LOWER('Black-Scholes'!$B$11)="put",MAX('Black-Scholes'!$B$6-D4604,0),MAX(D4604-'Black-Scholes'!$B$6,0))</f>
        <v>4.12529185567405</v>
      </c>
    </row>
    <row r="4605" customFormat="false" ht="15" hidden="false" customHeight="false" outlineLevel="0" collapsed="false">
      <c r="A4605" s="0" t="n">
        <v>4594</v>
      </c>
      <c r="B4605" s="15" t="n">
        <v>1.25184684405714</v>
      </c>
      <c r="C4605" s="18" t="n">
        <f aca="false">'Black-Scholes'!$B$5*EXP(('Black-Scholes'!$B$8-'Black-Scholes'!$B$10-'Black-Scholes'!$B$9^2/2)*'Black-Scholes'!$B$7+'Black-Scholes'!$B$9*SQRT('Black-Scholes'!$B$7)*B4605)</f>
        <v>132.36186254942</v>
      </c>
      <c r="D4605" s="18" t="n">
        <f aca="false">'Black-Scholes'!$B$5*EXP(('Black-Scholes'!$B$8-'Black-Scholes'!$B$10-'Black-Scholes'!$B$9^2/2)*'Black-Scholes'!$B$7-'Black-Scholes'!$B$9*SQRT('Black-Scholes'!$B$7)*B4605)</f>
        <v>80.2222427286338</v>
      </c>
      <c r="E4605" s="18" t="n">
        <f aca="false">EXP(-'Black-Scholes'!$B$8*'Black-Scholes'!$B$7)*IF(LOWER('Black-Scholes'!$B$11)="put",MAX('Black-Scholes'!$B$6-C4605,0),MAX(C4605-'Black-Scholes'!$B$6,0))</f>
        <v>30.7835558886555</v>
      </c>
      <c r="F4605" s="18" t="n">
        <f aca="false">(E4605+G4605)/2</f>
        <v>15.3917779443278</v>
      </c>
      <c r="G4605" s="18" t="n">
        <f aca="false">EXP(-'Black-Scholes'!$B$8*'Black-Scholes'!$B$7)*IF(LOWER('Black-Scholes'!$B$11)="put",MAX('Black-Scholes'!$B$6-D4605,0),MAX(D4605-'Black-Scholes'!$B$6,0))</f>
        <v>0</v>
      </c>
    </row>
    <row r="4606" customFormat="false" ht="15" hidden="false" customHeight="false" outlineLevel="0" collapsed="false">
      <c r="A4606" s="0" t="n">
        <v>4595</v>
      </c>
      <c r="B4606" s="15" t="n">
        <v>-1.37264658681927</v>
      </c>
      <c r="C4606" s="18" t="n">
        <f aca="false">'Black-Scholes'!$B$5*EXP(('Black-Scholes'!$B$8-'Black-Scholes'!$B$10-'Black-Scholes'!$B$9^2/2)*'Black-Scholes'!$B$7+'Black-Scholes'!$B$9*SQRT('Black-Scholes'!$B$7)*B4606)</f>
        <v>78.3073030391877</v>
      </c>
      <c r="D4606" s="18" t="n">
        <f aca="false">'Black-Scholes'!$B$5*EXP(('Black-Scholes'!$B$8-'Black-Scholes'!$B$10-'Black-Scholes'!$B$9^2/2)*'Black-Scholes'!$B$7-'Black-Scholes'!$B$9*SQRT('Black-Scholes'!$B$7)*B4606)</f>
        <v>135.598661342478</v>
      </c>
      <c r="E4606" s="18" t="n">
        <f aca="false">EXP(-'Black-Scholes'!$B$8*'Black-Scholes'!$B$7)*IF(LOWER('Black-Scholes'!$B$11)="put",MAX('Black-Scholes'!$B$6-C4606,0),MAX(C4606-'Black-Scholes'!$B$6,0))</f>
        <v>0</v>
      </c>
      <c r="F4606" s="18" t="n">
        <f aca="false">(E4606+G4606)/2</f>
        <v>16.9312470709005</v>
      </c>
      <c r="G4606" s="18" t="n">
        <f aca="false">EXP(-'Black-Scholes'!$B$8*'Black-Scholes'!$B$7)*IF(LOWER('Black-Scholes'!$B$11)="put",MAX('Black-Scholes'!$B$6-D4606,0),MAX(D4606-'Black-Scholes'!$B$6,0))</f>
        <v>33.862494141801</v>
      </c>
    </row>
    <row r="4607" customFormat="false" ht="15" hidden="false" customHeight="false" outlineLevel="0" collapsed="false">
      <c r="A4607" s="0" t="n">
        <v>4596</v>
      </c>
      <c r="B4607" s="15" t="n">
        <v>0.158087736598396</v>
      </c>
      <c r="C4607" s="18" t="n">
        <f aca="false">'Black-Scholes'!$B$5*EXP(('Black-Scholes'!$B$8-'Black-Scholes'!$B$10-'Black-Scholes'!$B$9^2/2)*'Black-Scholes'!$B$7+'Black-Scholes'!$B$9*SQRT('Black-Scholes'!$B$7)*B4607)</f>
        <v>106.355550728053</v>
      </c>
      <c r="D4607" s="18" t="n">
        <f aca="false">'Black-Scholes'!$B$5*EXP(('Black-Scholes'!$B$8-'Black-Scholes'!$B$10-'Black-Scholes'!$B$9^2/2)*'Black-Scholes'!$B$7-'Black-Scholes'!$B$9*SQRT('Black-Scholes'!$B$7)*B4607)</f>
        <v>99.8383760204897</v>
      </c>
      <c r="E4607" s="18" t="n">
        <f aca="false">EXP(-'Black-Scholes'!$B$8*'Black-Scholes'!$B$7)*IF(LOWER('Black-Scholes'!$B$11)="put",MAX('Black-Scholes'!$B$6-C4607,0),MAX(C4607-'Black-Scholes'!$B$6,0))</f>
        <v>6.04558686143068</v>
      </c>
      <c r="F4607" s="18" t="n">
        <f aca="false">(E4607+G4607)/2</f>
        <v>3.02279343071534</v>
      </c>
      <c r="G4607" s="18" t="n">
        <f aca="false">EXP(-'Black-Scholes'!$B$8*'Black-Scholes'!$B$7)*IF(LOWER('Black-Scholes'!$B$11)="put",MAX('Black-Scholes'!$B$6-D4607,0),MAX(D4607-'Black-Scholes'!$B$6,0))</f>
        <v>0</v>
      </c>
    </row>
    <row r="4608" customFormat="false" ht="15" hidden="false" customHeight="false" outlineLevel="0" collapsed="false">
      <c r="A4608" s="0" t="n">
        <v>4597</v>
      </c>
      <c r="B4608" s="15" t="n">
        <v>0.036119378923373</v>
      </c>
      <c r="C4608" s="18" t="n">
        <f aca="false">'Black-Scholes'!$B$5*EXP(('Black-Scholes'!$B$8-'Black-Scholes'!$B$10-'Black-Scholes'!$B$9^2/2)*'Black-Scholes'!$B$7+'Black-Scholes'!$B$9*SQRT('Black-Scholes'!$B$7)*B4608)</f>
        <v>103.792536118417</v>
      </c>
      <c r="D4608" s="18" t="n">
        <f aca="false">'Black-Scholes'!$B$5*EXP(('Black-Scholes'!$B$8-'Black-Scholes'!$B$10-'Black-Scholes'!$B$9^2/2)*'Black-Scholes'!$B$7-'Black-Scholes'!$B$9*SQRT('Black-Scholes'!$B$7)*B4608)</f>
        <v>102.303748058908</v>
      </c>
      <c r="E4608" s="18" t="n">
        <f aca="false">EXP(-'Black-Scholes'!$B$8*'Black-Scholes'!$B$7)*IF(LOWER('Black-Scholes'!$B$11)="put",MAX('Black-Scholes'!$B$6-C4608,0),MAX(C4608-'Black-Scholes'!$B$6,0))</f>
        <v>3.60757194931967</v>
      </c>
      <c r="F4608" s="18" t="n">
        <f aca="false">(E4608+G4608)/2</f>
        <v>2.89948244479462</v>
      </c>
      <c r="G4608" s="18" t="n">
        <f aca="false">EXP(-'Black-Scholes'!$B$8*'Black-Scholes'!$B$7)*IF(LOWER('Black-Scholes'!$B$11)="put",MAX('Black-Scholes'!$B$6-D4608,0),MAX(D4608-'Black-Scholes'!$B$6,0))</f>
        <v>2.19139294026957</v>
      </c>
    </row>
    <row r="4609" customFormat="false" ht="15" hidden="false" customHeight="false" outlineLevel="0" collapsed="false">
      <c r="A4609" s="0" t="n">
        <v>4598</v>
      </c>
      <c r="B4609" s="15" t="n">
        <v>-0.982159440726696</v>
      </c>
      <c r="C4609" s="18" t="n">
        <f aca="false">'Black-Scholes'!$B$5*EXP(('Black-Scholes'!$B$8-'Black-Scholes'!$B$10-'Black-Scholes'!$B$9^2/2)*'Black-Scholes'!$B$7+'Black-Scholes'!$B$9*SQRT('Black-Scholes'!$B$7)*B4609)</f>
        <v>84.6680483949581</v>
      </c>
      <c r="D4609" s="18" t="n">
        <f aca="false">'Black-Scholes'!$B$5*EXP(('Black-Scholes'!$B$8-'Black-Scholes'!$B$10-'Black-Scholes'!$B$9^2/2)*'Black-Scholes'!$B$7-'Black-Scholes'!$B$9*SQRT('Black-Scholes'!$B$7)*B4609)</f>
        <v>125.411718667723</v>
      </c>
      <c r="E4609" s="18" t="n">
        <f aca="false">EXP(-'Black-Scholes'!$B$8*'Black-Scholes'!$B$7)*IF(LOWER('Black-Scholes'!$B$11)="put",MAX('Black-Scholes'!$B$6-C4609,0),MAX(C4609-'Black-Scholes'!$B$6,0))</f>
        <v>0</v>
      </c>
      <c r="F4609" s="18" t="n">
        <f aca="false">(E4609+G4609)/2</f>
        <v>12.0861872619359</v>
      </c>
      <c r="G4609" s="18" t="n">
        <f aca="false">EXP(-'Black-Scholes'!$B$8*'Black-Scholes'!$B$7)*IF(LOWER('Black-Scholes'!$B$11)="put",MAX('Black-Scholes'!$B$6-D4609,0),MAX(D4609-'Black-Scholes'!$B$6,0))</f>
        <v>24.1723745238718</v>
      </c>
    </row>
    <row r="4610" customFormat="false" ht="15" hidden="false" customHeight="false" outlineLevel="0" collapsed="false">
      <c r="A4610" s="0" t="n">
        <v>4599</v>
      </c>
      <c r="B4610" s="15" t="n">
        <v>-0.366501879747995</v>
      </c>
      <c r="C4610" s="18" t="n">
        <f aca="false">'Black-Scholes'!$B$5*EXP(('Black-Scholes'!$B$8-'Black-Scholes'!$B$10-'Black-Scholes'!$B$9^2/2)*'Black-Scholes'!$B$7+'Black-Scholes'!$B$9*SQRT('Black-Scholes'!$B$7)*B4610)</f>
        <v>95.7623699733399</v>
      </c>
      <c r="D4610" s="18" t="n">
        <f aca="false">'Black-Scholes'!$B$5*EXP(('Black-Scholes'!$B$8-'Black-Scholes'!$B$10-'Black-Scholes'!$B$9^2/2)*'Black-Scholes'!$B$7-'Black-Scholes'!$B$9*SQRT('Black-Scholes'!$B$7)*B4610)</f>
        <v>110.882442324785</v>
      </c>
      <c r="E4610" s="18" t="n">
        <f aca="false">EXP(-'Black-Scholes'!$B$8*'Black-Scholes'!$B$7)*IF(LOWER('Black-Scholes'!$B$11)="put",MAX('Black-Scholes'!$B$6-C4610,0),MAX(C4610-'Black-Scholes'!$B$6,0))</f>
        <v>0</v>
      </c>
      <c r="F4610" s="18" t="n">
        <f aca="false">(E4610+G4610)/2</f>
        <v>5.17584967488377</v>
      </c>
      <c r="G4610" s="18" t="n">
        <f aca="false">EXP(-'Black-Scholes'!$B$8*'Black-Scholes'!$B$7)*IF(LOWER('Black-Scholes'!$B$11)="put",MAX('Black-Scholes'!$B$6-D4610,0),MAX(D4610-'Black-Scholes'!$B$6,0))</f>
        <v>10.3516993497675</v>
      </c>
    </row>
    <row r="4611" customFormat="false" ht="15" hidden="false" customHeight="false" outlineLevel="0" collapsed="false">
      <c r="A4611" s="0" t="n">
        <v>4600</v>
      </c>
      <c r="B4611" s="15" t="n">
        <v>-1.10468244764314</v>
      </c>
      <c r="C4611" s="18" t="n">
        <f aca="false">'Black-Scholes'!$B$5*EXP(('Black-Scholes'!$B$8-'Black-Scholes'!$B$10-'Black-Scholes'!$B$9^2/2)*'Black-Scholes'!$B$7+'Black-Scholes'!$B$9*SQRT('Black-Scholes'!$B$7)*B4611)</f>
        <v>82.6185057887455</v>
      </c>
      <c r="D4611" s="18" t="n">
        <f aca="false">'Black-Scholes'!$B$5*EXP(('Black-Scholes'!$B$8-'Black-Scholes'!$B$10-'Black-Scholes'!$B$9^2/2)*'Black-Scholes'!$B$7-'Black-Scholes'!$B$9*SQRT('Black-Scholes'!$B$7)*B4611)</f>
        <v>128.522845627403</v>
      </c>
      <c r="E4611" s="18" t="n">
        <f aca="false">EXP(-'Black-Scholes'!$B$8*'Black-Scholes'!$B$7)*IF(LOWER('Black-Scholes'!$B$11)="put",MAX('Black-Scholes'!$B$6-C4611,0),MAX(C4611-'Black-Scholes'!$B$6,0))</f>
        <v>0</v>
      </c>
      <c r="F4611" s="18" t="n">
        <f aca="false">(E4611+G4611)/2</f>
        <v>13.5658850156384</v>
      </c>
      <c r="G4611" s="18" t="n">
        <f aca="false">EXP(-'Black-Scholes'!$B$8*'Black-Scholes'!$B$7)*IF(LOWER('Black-Scholes'!$B$11)="put",MAX('Black-Scholes'!$B$6-D4611,0),MAX(D4611-'Black-Scholes'!$B$6,0))</f>
        <v>27.1317700312768</v>
      </c>
    </row>
    <row r="4612" customFormat="false" ht="15" hidden="false" customHeight="false" outlineLevel="0" collapsed="false">
      <c r="A4612" s="0" t="n">
        <v>4601</v>
      </c>
      <c r="B4612" s="15" t="n">
        <v>-0.130082034812233</v>
      </c>
      <c r="C4612" s="18" t="n">
        <f aca="false">'Black-Scholes'!$B$5*EXP(('Black-Scholes'!$B$8-'Black-Scholes'!$B$10-'Black-Scholes'!$B$9^2/2)*'Black-Scholes'!$B$7+'Black-Scholes'!$B$9*SQRT('Black-Scholes'!$B$7)*B4612)</f>
        <v>100.399153809075</v>
      </c>
      <c r="D4612" s="18" t="n">
        <f aca="false">'Black-Scholes'!$B$5*EXP(('Black-Scholes'!$B$8-'Black-Scholes'!$B$10-'Black-Scholes'!$B$9^2/2)*'Black-Scholes'!$B$7-'Black-Scholes'!$B$9*SQRT('Black-Scholes'!$B$7)*B4612)</f>
        <v>105.761503584444</v>
      </c>
      <c r="E4612" s="18" t="n">
        <f aca="false">EXP(-'Black-Scholes'!$B$8*'Black-Scholes'!$B$7)*IF(LOWER('Black-Scholes'!$B$11)="put",MAX('Black-Scholes'!$B$6-C4612,0),MAX(C4612-'Black-Scholes'!$B$6,0))</f>
        <v>0.379686848093453</v>
      </c>
      <c r="F4612" s="18" t="n">
        <f aca="false">(E4612+G4612)/2</f>
        <v>2.93009929349142</v>
      </c>
      <c r="G4612" s="18" t="n">
        <f aca="false">EXP(-'Black-Scholes'!$B$8*'Black-Scholes'!$B$7)*IF(LOWER('Black-Scholes'!$B$11)="put",MAX('Black-Scholes'!$B$6-D4612,0),MAX(D4612-'Black-Scholes'!$B$6,0))</f>
        <v>5.48051173888939</v>
      </c>
    </row>
    <row r="4613" customFormat="false" ht="15" hidden="false" customHeight="false" outlineLevel="0" collapsed="false">
      <c r="A4613" s="0" t="n">
        <v>4602</v>
      </c>
      <c r="B4613" s="15" t="n">
        <v>-0.367401190716621</v>
      </c>
      <c r="C4613" s="18" t="n">
        <f aca="false">'Black-Scholes'!$B$5*EXP(('Black-Scholes'!$B$8-'Black-Scholes'!$B$10-'Black-Scholes'!$B$9^2/2)*'Black-Scholes'!$B$7+'Black-Scholes'!$B$9*SQRT('Black-Scholes'!$B$7)*B4613)</f>
        <v>95.7451474922833</v>
      </c>
      <c r="D4613" s="18" t="n">
        <f aca="false">'Black-Scholes'!$B$5*EXP(('Black-Scholes'!$B$8-'Black-Scholes'!$B$10-'Black-Scholes'!$B$9^2/2)*'Black-Scholes'!$B$7-'Black-Scholes'!$B$9*SQRT('Black-Scholes'!$B$7)*B4613)</f>
        <v>110.902387677761</v>
      </c>
      <c r="E4613" s="18" t="n">
        <f aca="false">EXP(-'Black-Scholes'!$B$8*'Black-Scholes'!$B$7)*IF(LOWER('Black-Scholes'!$B$11)="put",MAX('Black-Scholes'!$B$6-C4613,0),MAX(C4613-'Black-Scholes'!$B$6,0))</f>
        <v>0</v>
      </c>
      <c r="F4613" s="18" t="n">
        <f aca="false">(E4613+G4613)/2</f>
        <v>5.1853359782001</v>
      </c>
      <c r="G4613" s="18" t="n">
        <f aca="false">EXP(-'Black-Scholes'!$B$8*'Black-Scholes'!$B$7)*IF(LOWER('Black-Scholes'!$B$11)="put",MAX('Black-Scholes'!$B$6-D4613,0),MAX(D4613-'Black-Scholes'!$B$6,0))</f>
        <v>10.3706719564002</v>
      </c>
    </row>
    <row r="4614" customFormat="false" ht="15" hidden="false" customHeight="false" outlineLevel="0" collapsed="false">
      <c r="A4614" s="0" t="n">
        <v>4603</v>
      </c>
      <c r="B4614" s="15" t="n">
        <v>-0.710558820259917</v>
      </c>
      <c r="C4614" s="18" t="n">
        <f aca="false">'Black-Scholes'!$B$5*EXP(('Black-Scholes'!$B$8-'Black-Scholes'!$B$10-'Black-Scholes'!$B$9^2/2)*'Black-Scholes'!$B$7+'Black-Scholes'!$B$9*SQRT('Black-Scholes'!$B$7)*B4614)</f>
        <v>89.3944341075123</v>
      </c>
      <c r="D4614" s="18" t="n">
        <f aca="false">'Black-Scholes'!$B$5*EXP(('Black-Scholes'!$B$8-'Black-Scholes'!$B$10-'Black-Scholes'!$B$9^2/2)*'Black-Scholes'!$B$7-'Black-Scholes'!$B$9*SQRT('Black-Scholes'!$B$7)*B4614)</f>
        <v>118.781058031904</v>
      </c>
      <c r="E4614" s="18" t="n">
        <f aca="false">EXP(-'Black-Scholes'!$B$8*'Black-Scholes'!$B$7)*IF(LOWER('Black-Scholes'!$B$11)="put",MAX('Black-Scholes'!$B$6-C4614,0),MAX(C4614-'Black-Scholes'!$B$6,0))</f>
        <v>0</v>
      </c>
      <c r="F4614" s="18" t="n">
        <f aca="false">(E4614+G4614)/2</f>
        <v>8.93254751160107</v>
      </c>
      <c r="G4614" s="18" t="n">
        <f aca="false">EXP(-'Black-Scholes'!$B$8*'Black-Scholes'!$B$7)*IF(LOWER('Black-Scholes'!$B$11)="put",MAX('Black-Scholes'!$B$6-D4614,0),MAX(D4614-'Black-Scholes'!$B$6,0))</f>
        <v>17.8650950232021</v>
      </c>
    </row>
    <row r="4615" customFormat="false" ht="15" hidden="false" customHeight="false" outlineLevel="0" collapsed="false">
      <c r="A4615" s="0" t="n">
        <v>4604</v>
      </c>
      <c r="B4615" s="15" t="n">
        <v>-0.513045355509334</v>
      </c>
      <c r="C4615" s="18" t="n">
        <f aca="false">'Black-Scholes'!$B$5*EXP(('Black-Scholes'!$B$8-'Black-Scholes'!$B$10-'Black-Scholes'!$B$9^2/2)*'Black-Scholes'!$B$7+'Black-Scholes'!$B$9*SQRT('Black-Scholes'!$B$7)*B4615)</f>
        <v>92.9964308896547</v>
      </c>
      <c r="D4615" s="18" t="n">
        <f aca="false">'Black-Scholes'!$B$5*EXP(('Black-Scholes'!$B$8-'Black-Scholes'!$B$10-'Black-Scholes'!$B$9^2/2)*'Black-Scholes'!$B$7-'Black-Scholes'!$B$9*SQRT('Black-Scholes'!$B$7)*B4615)</f>
        <v>114.180354706869</v>
      </c>
      <c r="E4615" s="18" t="n">
        <f aca="false">EXP(-'Black-Scholes'!$B$8*'Black-Scholes'!$B$7)*IF(LOWER('Black-Scholes'!$B$11)="put",MAX('Black-Scholes'!$B$6-C4615,0),MAX(C4615-'Black-Scholes'!$B$6,0))</f>
        <v>0</v>
      </c>
      <c r="F4615" s="18" t="n">
        <f aca="false">(E4615+G4615)/2</f>
        <v>6.74438532351549</v>
      </c>
      <c r="G4615" s="18" t="n">
        <f aca="false">EXP(-'Black-Scholes'!$B$8*'Black-Scholes'!$B$7)*IF(LOWER('Black-Scholes'!$B$11)="put",MAX('Black-Scholes'!$B$6-D4615,0),MAX(D4615-'Black-Scholes'!$B$6,0))</f>
        <v>13.488770647031</v>
      </c>
    </row>
    <row r="4616" customFormat="false" ht="15" hidden="false" customHeight="false" outlineLevel="0" collapsed="false">
      <c r="A4616" s="0" t="n">
        <v>4605</v>
      </c>
      <c r="B4616" s="15" t="n">
        <v>0.434144141669222</v>
      </c>
      <c r="C4616" s="18" t="n">
        <f aca="false">'Black-Scholes'!$B$5*EXP(('Black-Scholes'!$B$8-'Black-Scholes'!$B$10-'Black-Scholes'!$B$9^2/2)*'Black-Scholes'!$B$7+'Black-Scholes'!$B$9*SQRT('Black-Scholes'!$B$7)*B4616)</f>
        <v>112.392702876206</v>
      </c>
      <c r="D4616" s="18" t="n">
        <f aca="false">'Black-Scholes'!$B$5*EXP(('Black-Scholes'!$B$8-'Black-Scholes'!$B$10-'Black-Scholes'!$B$9^2/2)*'Black-Scholes'!$B$7-'Black-Scholes'!$B$9*SQRT('Black-Scholes'!$B$7)*B4616)</f>
        <v>94.4755770946187</v>
      </c>
      <c r="E4616" s="18" t="n">
        <f aca="false">EXP(-'Black-Scholes'!$B$8*'Black-Scholes'!$B$7)*IF(LOWER('Black-Scholes'!$B$11)="put",MAX('Black-Scholes'!$B$6-C4616,0),MAX(C4616-'Black-Scholes'!$B$6,0))</f>
        <v>11.788303624942</v>
      </c>
      <c r="F4616" s="18" t="n">
        <f aca="false">(E4616+G4616)/2</f>
        <v>5.894151812471</v>
      </c>
      <c r="G4616" s="18" t="n">
        <f aca="false">EXP(-'Black-Scholes'!$B$8*'Black-Scholes'!$B$7)*IF(LOWER('Black-Scholes'!$B$11)="put",MAX('Black-Scholes'!$B$6-D4616,0),MAX(D4616-'Black-Scholes'!$B$6,0))</f>
        <v>0</v>
      </c>
    </row>
    <row r="4617" customFormat="false" ht="15" hidden="false" customHeight="false" outlineLevel="0" collapsed="false">
      <c r="A4617" s="0" t="n">
        <v>4606</v>
      </c>
      <c r="B4617" s="15" t="n">
        <v>-0.113792009039549</v>
      </c>
      <c r="C4617" s="18" t="n">
        <f aca="false">'Black-Scholes'!$B$5*EXP(('Black-Scholes'!$B$8-'Black-Scholes'!$B$10-'Black-Scholes'!$B$9^2/2)*'Black-Scholes'!$B$7+'Black-Scholes'!$B$9*SQRT('Black-Scholes'!$B$7)*B4617)</f>
        <v>100.72678819715</v>
      </c>
      <c r="D4617" s="18" t="n">
        <f aca="false">'Black-Scholes'!$B$5*EXP(('Black-Scholes'!$B$8-'Black-Scholes'!$B$10-'Black-Scholes'!$B$9^2/2)*'Black-Scholes'!$B$7-'Black-Scholes'!$B$9*SQRT('Black-Scholes'!$B$7)*B4617)</f>
        <v>105.417492759429</v>
      </c>
      <c r="E4617" s="18" t="n">
        <f aca="false">EXP(-'Black-Scholes'!$B$8*'Black-Scholes'!$B$7)*IF(LOWER('Black-Scholes'!$B$11)="put",MAX('Black-Scholes'!$B$6-C4617,0),MAX(C4617-'Black-Scholes'!$B$6,0))</f>
        <v>0.69134231850846</v>
      </c>
      <c r="F4617" s="18" t="n">
        <f aca="false">(E4617+G4617)/2</f>
        <v>2.92231041914867</v>
      </c>
      <c r="G4617" s="18" t="n">
        <f aca="false">EXP(-'Black-Scholes'!$B$8*'Black-Scholes'!$B$7)*IF(LOWER('Black-Scholes'!$B$11)="put",MAX('Black-Scholes'!$B$6-D4617,0),MAX(D4617-'Black-Scholes'!$B$6,0))</f>
        <v>5.15327851978887</v>
      </c>
    </row>
    <row r="4618" customFormat="false" ht="15" hidden="false" customHeight="false" outlineLevel="0" collapsed="false">
      <c r="A4618" s="0" t="n">
        <v>4607</v>
      </c>
      <c r="B4618" s="15" t="n">
        <v>-0.944224112476106</v>
      </c>
      <c r="C4618" s="18" t="n">
        <f aca="false">'Black-Scholes'!$B$5*EXP(('Black-Scholes'!$B$8-'Black-Scholes'!$B$10-'Black-Scholes'!$B$9^2/2)*'Black-Scholes'!$B$7+'Black-Scholes'!$B$9*SQRT('Black-Scholes'!$B$7)*B4618)</f>
        <v>85.3128735086334</v>
      </c>
      <c r="D4618" s="18" t="n">
        <f aca="false">'Black-Scholes'!$B$5*EXP(('Black-Scholes'!$B$8-'Black-Scholes'!$B$10-'Black-Scholes'!$B$9^2/2)*'Black-Scholes'!$B$7-'Black-Scholes'!$B$9*SQRT('Black-Scholes'!$B$7)*B4618)</f>
        <v>124.463812186317</v>
      </c>
      <c r="E4618" s="18" t="n">
        <f aca="false">EXP(-'Black-Scholes'!$B$8*'Black-Scholes'!$B$7)*IF(LOWER('Black-Scholes'!$B$11)="put",MAX('Black-Scholes'!$B$6-C4618,0),MAX(C4618-'Black-Scholes'!$B$6,0))</f>
        <v>0</v>
      </c>
      <c r="F4618" s="18" t="n">
        <f aca="false">(E4618+G4618)/2</f>
        <v>11.6353489935421</v>
      </c>
      <c r="G4618" s="18" t="n">
        <f aca="false">EXP(-'Black-Scholes'!$B$8*'Black-Scholes'!$B$7)*IF(LOWER('Black-Scholes'!$B$11)="put",MAX('Black-Scholes'!$B$6-D4618,0),MAX(D4618-'Black-Scholes'!$B$6,0))</f>
        <v>23.2706979870842</v>
      </c>
    </row>
    <row r="4619" customFormat="false" ht="15" hidden="false" customHeight="false" outlineLevel="0" collapsed="false">
      <c r="A4619" s="0" t="n">
        <v>4608</v>
      </c>
      <c r="B4619" s="15" t="n">
        <v>0.0865140686541038</v>
      </c>
      <c r="C4619" s="18" t="n">
        <f aca="false">'Black-Scholes'!$B$5*EXP(('Black-Scholes'!$B$8-'Black-Scholes'!$B$10-'Black-Scholes'!$B$9^2/2)*'Black-Scholes'!$B$7+'Black-Scholes'!$B$9*SQRT('Black-Scholes'!$B$7)*B4619)</f>
        <v>104.843944287481</v>
      </c>
      <c r="D4619" s="18" t="n">
        <f aca="false">'Black-Scholes'!$B$5*EXP(('Black-Scholes'!$B$8-'Black-Scholes'!$B$10-'Black-Scholes'!$B$9^2/2)*'Black-Scholes'!$B$7-'Black-Scholes'!$B$9*SQRT('Black-Scholes'!$B$7)*B4619)</f>
        <v>101.277813779479</v>
      </c>
      <c r="E4619" s="18" t="n">
        <f aca="false">EXP(-'Black-Scholes'!$B$8*'Black-Scholes'!$B$7)*IF(LOWER('Black-Scholes'!$B$11)="put",MAX('Black-Scholes'!$B$6-C4619,0),MAX(C4619-'Black-Scholes'!$B$6,0))</f>
        <v>4.60770233689413</v>
      </c>
      <c r="F4619" s="18" t="n">
        <f aca="false">(E4619+G4619)/2</f>
        <v>2.9115982014836</v>
      </c>
      <c r="G4619" s="18" t="n">
        <f aca="false">EXP(-'Black-Scholes'!$B$8*'Black-Scholes'!$B$7)*IF(LOWER('Black-Scholes'!$B$11)="put",MAX('Black-Scholes'!$B$6-D4619,0),MAX(D4619-'Black-Scholes'!$B$6,0))</f>
        <v>1.21549406607306</v>
      </c>
    </row>
    <row r="4620" customFormat="false" ht="15" hidden="false" customHeight="false" outlineLevel="0" collapsed="false">
      <c r="A4620" s="0" t="n">
        <v>4609</v>
      </c>
      <c r="B4620" s="15" t="n">
        <v>0.405943232507966</v>
      </c>
      <c r="C4620" s="18" t="n">
        <f aca="false">'Black-Scholes'!$B$5*EXP(('Black-Scholes'!$B$8-'Black-Scholes'!$B$10-'Black-Scholes'!$B$9^2/2)*'Black-Scholes'!$B$7+'Black-Scholes'!$B$9*SQRT('Black-Scholes'!$B$7)*B4620)</f>
        <v>111.760571937843</v>
      </c>
      <c r="D4620" s="18" t="n">
        <f aca="false">'Black-Scholes'!$B$5*EXP(('Black-Scholes'!$B$8-'Black-Scholes'!$B$10-'Black-Scholes'!$B$9^2/2)*'Black-Scholes'!$B$7-'Black-Scholes'!$B$9*SQRT('Black-Scholes'!$B$7)*B4620)</f>
        <v>95.0099420693651</v>
      </c>
      <c r="E4620" s="18" t="n">
        <f aca="false">EXP(-'Black-Scholes'!$B$8*'Black-Scholes'!$B$7)*IF(LOWER('Black-Scholes'!$B$11)="put",MAX('Black-Scholes'!$B$6-C4620,0),MAX(C4620-'Black-Scholes'!$B$6,0))</f>
        <v>11.1870020762338</v>
      </c>
      <c r="F4620" s="18" t="n">
        <f aca="false">(E4620+G4620)/2</f>
        <v>5.59350103811692</v>
      </c>
      <c r="G4620" s="18" t="n">
        <f aca="false">EXP(-'Black-Scholes'!$B$8*'Black-Scholes'!$B$7)*IF(LOWER('Black-Scholes'!$B$11)="put",MAX('Black-Scholes'!$B$6-D4620,0),MAX(D4620-'Black-Scholes'!$B$6,0))</f>
        <v>0</v>
      </c>
    </row>
    <row r="4621" customFormat="false" ht="15" hidden="false" customHeight="false" outlineLevel="0" collapsed="false">
      <c r="A4621" s="0" t="n">
        <v>4610</v>
      </c>
      <c r="B4621" s="15" t="n">
        <v>-0.556496519518425</v>
      </c>
      <c r="C4621" s="18" t="n">
        <f aca="false">'Black-Scholes'!$B$5*EXP(('Black-Scholes'!$B$8-'Black-Scholes'!$B$10-'Black-Scholes'!$B$9^2/2)*'Black-Scholes'!$B$7+'Black-Scholes'!$B$9*SQRT('Black-Scholes'!$B$7)*B4621)</f>
        <v>92.1917716575043</v>
      </c>
      <c r="D4621" s="18" t="n">
        <f aca="false">'Black-Scholes'!$B$5*EXP(('Black-Scholes'!$B$8-'Black-Scholes'!$B$10-'Black-Scholes'!$B$9^2/2)*'Black-Scholes'!$B$7-'Black-Scholes'!$B$9*SQRT('Black-Scholes'!$B$7)*B4621)</f>
        <v>115.176932545577</v>
      </c>
      <c r="E4621" s="18" t="n">
        <f aca="false">EXP(-'Black-Scholes'!$B$8*'Black-Scholes'!$B$7)*IF(LOWER('Black-Scholes'!$B$11)="put",MAX('Black-Scholes'!$B$6-C4621,0),MAX(C4621-'Black-Scholes'!$B$6,0))</f>
        <v>0</v>
      </c>
      <c r="F4621" s="18" t="n">
        <f aca="false">(E4621+G4621)/2</f>
        <v>7.2183724055076</v>
      </c>
      <c r="G4621" s="18" t="n">
        <f aca="false">EXP(-'Black-Scholes'!$B$8*'Black-Scholes'!$B$7)*IF(LOWER('Black-Scholes'!$B$11)="put",MAX('Black-Scholes'!$B$6-D4621,0),MAX(D4621-'Black-Scholes'!$B$6,0))</f>
        <v>14.4367448110152</v>
      </c>
    </row>
    <row r="4622" customFormat="false" ht="15" hidden="false" customHeight="false" outlineLevel="0" collapsed="false">
      <c r="A4622" s="0" t="n">
        <v>4611</v>
      </c>
      <c r="B4622" s="15" t="n">
        <v>1.8602948836243</v>
      </c>
      <c r="C4622" s="18" t="n">
        <f aca="false">'Black-Scholes'!$B$5*EXP(('Black-Scholes'!$B$8-'Black-Scholes'!$B$10-'Black-Scholes'!$B$9^2/2)*'Black-Scholes'!$B$7+'Black-Scholes'!$B$9*SQRT('Black-Scholes'!$B$7)*B4622)</f>
        <v>149.489949435245</v>
      </c>
      <c r="D4622" s="18" t="n">
        <f aca="false">'Black-Scholes'!$B$5*EXP(('Black-Scholes'!$B$8-'Black-Scholes'!$B$10-'Black-Scholes'!$B$9^2/2)*'Black-Scholes'!$B$7-'Black-Scholes'!$B$9*SQRT('Black-Scholes'!$B$7)*B4622)</f>
        <v>71.0306311933915</v>
      </c>
      <c r="E4622" s="18" t="n">
        <f aca="false">EXP(-'Black-Scholes'!$B$8*'Black-Scholes'!$B$7)*IF(LOWER('Black-Scholes'!$B$11)="put",MAX('Black-Scholes'!$B$6-C4622,0),MAX(C4622-'Black-Scholes'!$B$6,0))</f>
        <v>47.0762961198572</v>
      </c>
      <c r="F4622" s="18" t="n">
        <f aca="false">(E4622+G4622)/2</f>
        <v>23.5381480599286</v>
      </c>
      <c r="G4622" s="18" t="n">
        <f aca="false">EXP(-'Black-Scholes'!$B$8*'Black-Scholes'!$B$7)*IF(LOWER('Black-Scholes'!$B$11)="put",MAX('Black-Scholes'!$B$6-D4622,0),MAX(D4622-'Black-Scholes'!$B$6,0))</f>
        <v>0</v>
      </c>
    </row>
    <row r="4623" customFormat="false" ht="15" hidden="false" customHeight="false" outlineLevel="0" collapsed="false">
      <c r="A4623" s="0" t="n">
        <v>4612</v>
      </c>
      <c r="B4623" s="15" t="n">
        <v>1.02787520967517</v>
      </c>
      <c r="C4623" s="18" t="n">
        <f aca="false">'Black-Scholes'!$B$5*EXP(('Black-Scholes'!$B$8-'Black-Scholes'!$B$10-'Black-Scholes'!$B$9^2/2)*'Black-Scholes'!$B$7+'Black-Scholes'!$B$9*SQRT('Black-Scholes'!$B$7)*B4623)</f>
        <v>126.563635349473</v>
      </c>
      <c r="D4623" s="18" t="n">
        <f aca="false">'Black-Scholes'!$B$5*EXP(('Black-Scholes'!$B$8-'Black-Scholes'!$B$10-'Black-Scholes'!$B$9^2/2)*'Black-Scholes'!$B$7-'Black-Scholes'!$B$9*SQRT('Black-Scholes'!$B$7)*B4623)</f>
        <v>83.8974436545987</v>
      </c>
      <c r="E4623" s="18" t="n">
        <f aca="false">EXP(-'Black-Scholes'!$B$8*'Black-Scholes'!$B$7)*IF(LOWER('Black-Scholes'!$B$11)="put",MAX('Black-Scholes'!$B$6-C4623,0),MAX(C4623-'Black-Scholes'!$B$6,0))</f>
        <v>25.2681115661261</v>
      </c>
      <c r="F4623" s="18" t="n">
        <f aca="false">(E4623+G4623)/2</f>
        <v>12.634055783063</v>
      </c>
      <c r="G4623" s="18" t="n">
        <f aca="false">EXP(-'Black-Scholes'!$B$8*'Black-Scholes'!$B$7)*IF(LOWER('Black-Scholes'!$B$11)="put",MAX('Black-Scholes'!$B$6-D4623,0),MAX(D4623-'Black-Scholes'!$B$6,0))</f>
        <v>0</v>
      </c>
    </row>
    <row r="4624" customFormat="false" ht="15" hidden="false" customHeight="false" outlineLevel="0" collapsed="false">
      <c r="A4624" s="0" t="n">
        <v>4613</v>
      </c>
      <c r="B4624" s="15" t="n">
        <v>-2.08668368818312</v>
      </c>
      <c r="C4624" s="18" t="n">
        <f aca="false">'Black-Scholes'!$B$5*EXP(('Black-Scholes'!$B$8-'Black-Scholes'!$B$10-'Black-Scholes'!$B$9^2/2)*'Black-Scholes'!$B$7+'Black-Scholes'!$B$9*SQRT('Black-Scholes'!$B$7)*B4624)</f>
        <v>67.8862457893786</v>
      </c>
      <c r="D4624" s="18" t="n">
        <f aca="false">'Black-Scholes'!$B$5*EXP(('Black-Scholes'!$B$8-'Black-Scholes'!$B$10-'Black-Scholes'!$B$9^2/2)*'Black-Scholes'!$B$7-'Black-Scholes'!$B$9*SQRT('Black-Scholes'!$B$7)*B4624)</f>
        <v>156.414091573097</v>
      </c>
      <c r="E4624" s="18" t="n">
        <f aca="false">EXP(-'Black-Scholes'!$B$8*'Black-Scholes'!$B$7)*IF(LOWER('Black-Scholes'!$B$11)="put",MAX('Black-Scholes'!$B$6-C4624,0),MAX(C4624-'Black-Scholes'!$B$6,0))</f>
        <v>0</v>
      </c>
      <c r="F4624" s="18" t="n">
        <f aca="false">(E4624+G4624)/2</f>
        <v>26.8313719304036</v>
      </c>
      <c r="G4624" s="18" t="n">
        <f aca="false">EXP(-'Black-Scholes'!$B$8*'Black-Scholes'!$B$7)*IF(LOWER('Black-Scholes'!$B$11)="put",MAX('Black-Scholes'!$B$6-D4624,0),MAX(D4624-'Black-Scholes'!$B$6,0))</f>
        <v>53.6627438608072</v>
      </c>
    </row>
    <row r="4625" customFormat="false" ht="15" hidden="false" customHeight="false" outlineLevel="0" collapsed="false">
      <c r="A4625" s="0" t="n">
        <v>4614</v>
      </c>
      <c r="B4625" s="15" t="n">
        <v>0.200421389683899</v>
      </c>
      <c r="C4625" s="18" t="n">
        <f aca="false">'Black-Scholes'!$B$5*EXP(('Black-Scholes'!$B$8-'Black-Scholes'!$B$10-'Black-Scholes'!$B$9^2/2)*'Black-Scholes'!$B$7+'Black-Scholes'!$B$9*SQRT('Black-Scholes'!$B$7)*B4625)</f>
        <v>107.259857383991</v>
      </c>
      <c r="D4625" s="18" t="n">
        <f aca="false">'Black-Scholes'!$B$5*EXP(('Black-Scholes'!$B$8-'Black-Scholes'!$B$10-'Black-Scholes'!$B$9^2/2)*'Black-Scholes'!$B$7-'Black-Scholes'!$B$9*SQRT('Black-Scholes'!$B$7)*B4625)</f>
        <v>98.996639790782</v>
      </c>
      <c r="E4625" s="18" t="n">
        <f aca="false">EXP(-'Black-Scholes'!$B$8*'Black-Scholes'!$B$7)*IF(LOWER('Black-Scholes'!$B$11)="put",MAX('Black-Scholes'!$B$6-C4625,0),MAX(C4625-'Black-Scholes'!$B$6,0))</f>
        <v>6.90578996133091</v>
      </c>
      <c r="F4625" s="18" t="n">
        <f aca="false">(E4625+G4625)/2</f>
        <v>3.45289498066546</v>
      </c>
      <c r="G4625" s="18" t="n">
        <f aca="false">EXP(-'Black-Scholes'!$B$8*'Black-Scholes'!$B$7)*IF(LOWER('Black-Scholes'!$B$11)="put",MAX('Black-Scholes'!$B$6-D4625,0),MAX(D4625-'Black-Scholes'!$B$6,0))</f>
        <v>0</v>
      </c>
    </row>
    <row r="4626" customFormat="false" ht="15" hidden="false" customHeight="false" outlineLevel="0" collapsed="false">
      <c r="A4626" s="0" t="n">
        <v>4615</v>
      </c>
      <c r="B4626" s="15" t="n">
        <v>-1.95730575709906</v>
      </c>
      <c r="C4626" s="18" t="n">
        <f aca="false">'Black-Scholes'!$B$5*EXP(('Black-Scholes'!$B$8-'Black-Scholes'!$B$10-'Black-Scholes'!$B$9^2/2)*'Black-Scholes'!$B$7+'Black-Scholes'!$B$9*SQRT('Black-Scholes'!$B$7)*B4626)</f>
        <v>69.6657659710758</v>
      </c>
      <c r="D4626" s="18" t="n">
        <f aca="false">'Black-Scholes'!$B$5*EXP(('Black-Scholes'!$B$8-'Black-Scholes'!$B$10-'Black-Scholes'!$B$9^2/2)*'Black-Scholes'!$B$7-'Black-Scholes'!$B$9*SQRT('Black-Scholes'!$B$7)*B4626)</f>
        <v>152.418699736427</v>
      </c>
      <c r="E4626" s="18" t="n">
        <f aca="false">EXP(-'Black-Scholes'!$B$8*'Black-Scholes'!$B$7)*IF(LOWER('Black-Scholes'!$B$11)="put",MAX('Black-Scholes'!$B$6-C4626,0),MAX(C4626-'Black-Scholes'!$B$6,0))</f>
        <v>0</v>
      </c>
      <c r="F4626" s="18" t="n">
        <f aca="false">(E4626+G4626)/2</f>
        <v>24.9311047916786</v>
      </c>
      <c r="G4626" s="18" t="n">
        <f aca="false">EXP(-'Black-Scholes'!$B$8*'Black-Scholes'!$B$7)*IF(LOWER('Black-Scholes'!$B$11)="put",MAX('Black-Scholes'!$B$6-D4626,0),MAX(D4626-'Black-Scholes'!$B$6,0))</f>
        <v>49.8622095833573</v>
      </c>
    </row>
    <row r="4627" customFormat="false" ht="15" hidden="false" customHeight="false" outlineLevel="0" collapsed="false">
      <c r="A4627" s="0" t="n">
        <v>4616</v>
      </c>
      <c r="B4627" s="15" t="n">
        <v>-0.210784025763799</v>
      </c>
      <c r="C4627" s="18" t="n">
        <f aca="false">'Black-Scholes'!$B$5*EXP(('Black-Scholes'!$B$8-'Black-Scholes'!$B$10-'Black-Scholes'!$B$9^2/2)*'Black-Scholes'!$B$7+'Black-Scholes'!$B$9*SQRT('Black-Scholes'!$B$7)*B4627)</f>
        <v>98.7916790272705</v>
      </c>
      <c r="D4627" s="18" t="n">
        <f aca="false">'Black-Scholes'!$B$5*EXP(('Black-Scholes'!$B$8-'Black-Scholes'!$B$10-'Black-Scholes'!$B$9^2/2)*'Black-Scholes'!$B$7-'Black-Scholes'!$B$9*SQRT('Black-Scholes'!$B$7)*B4627)</f>
        <v>107.482386877163</v>
      </c>
      <c r="E4627" s="18" t="n">
        <f aca="false">EXP(-'Black-Scholes'!$B$8*'Black-Scholes'!$B$7)*IF(LOWER('Black-Scholes'!$B$11)="put",MAX('Black-Scholes'!$B$6-C4627,0),MAX(C4627-'Black-Scholes'!$B$6,0))</f>
        <v>0</v>
      </c>
      <c r="F4627" s="18" t="n">
        <f aca="false">(E4627+G4627)/2</f>
        <v>3.55873328152771</v>
      </c>
      <c r="G4627" s="18" t="n">
        <f aca="false">EXP(-'Black-Scholes'!$B$8*'Black-Scholes'!$B$7)*IF(LOWER('Black-Scholes'!$B$11)="put",MAX('Black-Scholes'!$B$6-D4627,0),MAX(D4627-'Black-Scholes'!$B$6,0))</f>
        <v>7.11746656305542</v>
      </c>
    </row>
    <row r="4628" customFormat="false" ht="15" hidden="false" customHeight="false" outlineLevel="0" collapsed="false">
      <c r="A4628" s="0" t="n">
        <v>4617</v>
      </c>
      <c r="B4628" s="15" t="n">
        <v>2.40958483901836</v>
      </c>
      <c r="C4628" s="18" t="n">
        <f aca="false">'Black-Scholes'!$B$5*EXP(('Black-Scholes'!$B$8-'Black-Scholes'!$B$10-'Black-Scholes'!$B$9^2/2)*'Black-Scholes'!$B$7+'Black-Scholes'!$B$9*SQRT('Black-Scholes'!$B$7)*B4628)</f>
        <v>166.848656628381</v>
      </c>
      <c r="D4628" s="18" t="n">
        <f aca="false">'Black-Scholes'!$B$5*EXP(('Black-Scholes'!$B$8-'Black-Scholes'!$B$10-'Black-Scholes'!$B$9^2/2)*'Black-Scholes'!$B$7-'Black-Scholes'!$B$9*SQRT('Black-Scholes'!$B$7)*B4628)</f>
        <v>63.6407009803125</v>
      </c>
      <c r="E4628" s="18" t="n">
        <f aca="false">EXP(-'Black-Scholes'!$B$8*'Black-Scholes'!$B$7)*IF(LOWER('Black-Scholes'!$B$11)="put",MAX('Black-Scholes'!$B$6-C4628,0),MAX(C4628-'Black-Scholes'!$B$6,0))</f>
        <v>63.5884091732602</v>
      </c>
      <c r="F4628" s="18" t="n">
        <f aca="false">(E4628+G4628)/2</f>
        <v>31.7942045866301</v>
      </c>
      <c r="G4628" s="18" t="n">
        <f aca="false">EXP(-'Black-Scholes'!$B$8*'Black-Scholes'!$B$7)*IF(LOWER('Black-Scholes'!$B$11)="put",MAX('Black-Scholes'!$B$6-D4628,0),MAX(D4628-'Black-Scholes'!$B$6,0))</f>
        <v>0</v>
      </c>
    </row>
    <row r="4629" customFormat="false" ht="15" hidden="false" customHeight="false" outlineLevel="0" collapsed="false">
      <c r="A4629" s="0" t="n">
        <v>4618</v>
      </c>
      <c r="B4629" s="15" t="n">
        <v>0.767595906027291</v>
      </c>
      <c r="C4629" s="18" t="n">
        <f aca="false">'Black-Scholes'!$B$5*EXP(('Black-Scholes'!$B$8-'Black-Scholes'!$B$10-'Black-Scholes'!$B$9^2/2)*'Black-Scholes'!$B$7+'Black-Scholes'!$B$9*SQRT('Black-Scholes'!$B$7)*B4629)</f>
        <v>120.143801022</v>
      </c>
      <c r="D4629" s="18" t="n">
        <f aca="false">'Black-Scholes'!$B$5*EXP(('Black-Scholes'!$B$8-'Black-Scholes'!$B$10-'Black-Scholes'!$B$9^2/2)*'Black-Scholes'!$B$7-'Black-Scholes'!$B$9*SQRT('Black-Scholes'!$B$7)*B4629)</f>
        <v>88.3804688642176</v>
      </c>
      <c r="E4629" s="18" t="n">
        <f aca="false">EXP(-'Black-Scholes'!$B$8*'Black-Scholes'!$B$7)*IF(LOWER('Black-Scholes'!$B$11)="put",MAX('Black-Scholes'!$B$6-C4629,0),MAX(C4629-'Black-Scholes'!$B$6,0))</f>
        <v>19.1613762534137</v>
      </c>
      <c r="F4629" s="18" t="n">
        <f aca="false">(E4629+G4629)/2</f>
        <v>9.58068812670685</v>
      </c>
      <c r="G4629" s="18" t="n">
        <f aca="false">EXP(-'Black-Scholes'!$B$8*'Black-Scholes'!$B$7)*IF(LOWER('Black-Scholes'!$B$11)="put",MAX('Black-Scholes'!$B$6-D4629,0),MAX(D4629-'Black-Scholes'!$B$6,0))</f>
        <v>0</v>
      </c>
    </row>
    <row r="4630" customFormat="false" ht="15" hidden="false" customHeight="false" outlineLevel="0" collapsed="false">
      <c r="A4630" s="0" t="n">
        <v>4619</v>
      </c>
      <c r="B4630" s="15" t="n">
        <v>-0.148676457588151</v>
      </c>
      <c r="C4630" s="18" t="n">
        <f aca="false">'Black-Scholes'!$B$5*EXP(('Black-Scholes'!$B$8-'Black-Scholes'!$B$10-'Black-Scholes'!$B$9^2/2)*'Black-Scholes'!$B$7+'Black-Scholes'!$B$9*SQRT('Black-Scholes'!$B$7)*B4630)</f>
        <v>100.026474352075</v>
      </c>
      <c r="D4630" s="18" t="n">
        <f aca="false">'Black-Scholes'!$B$5*EXP(('Black-Scholes'!$B$8-'Black-Scholes'!$B$10-'Black-Scholes'!$B$9^2/2)*'Black-Scholes'!$B$7-'Black-Scholes'!$B$9*SQRT('Black-Scholes'!$B$7)*B4630)</f>
        <v>106.155550660307</v>
      </c>
      <c r="E4630" s="18" t="n">
        <f aca="false">EXP(-'Black-Scholes'!$B$8*'Black-Scholes'!$B$7)*IF(LOWER('Black-Scholes'!$B$11)="put",MAX('Black-Scholes'!$B$6-C4630,0),MAX(C4630-'Black-Scholes'!$B$6,0))</f>
        <v>0.0251831826884926</v>
      </c>
      <c r="F4630" s="18" t="n">
        <f aca="false">(E4630+G4630)/2</f>
        <v>2.94026204738857</v>
      </c>
      <c r="G4630" s="18" t="n">
        <f aca="false">EXP(-'Black-Scholes'!$B$8*'Black-Scholes'!$B$7)*IF(LOWER('Black-Scholes'!$B$11)="put",MAX('Black-Scholes'!$B$6-D4630,0),MAX(D4630-'Black-Scholes'!$B$6,0))</f>
        <v>5.85534091208864</v>
      </c>
    </row>
    <row r="4631" customFormat="false" ht="15" hidden="false" customHeight="false" outlineLevel="0" collapsed="false">
      <c r="A4631" s="0" t="n">
        <v>4620</v>
      </c>
      <c r="B4631" s="15" t="n">
        <v>1.94833022683221</v>
      </c>
      <c r="C4631" s="18" t="n">
        <f aca="false">'Black-Scholes'!$B$5*EXP(('Black-Scholes'!$B$8-'Black-Scholes'!$B$10-'Black-Scholes'!$B$9^2/2)*'Black-Scholes'!$B$7+'Black-Scholes'!$B$9*SQRT('Black-Scholes'!$B$7)*B4631)</f>
        <v>152.14533743645</v>
      </c>
      <c r="D4631" s="18" t="n">
        <f aca="false">'Black-Scholes'!$B$5*EXP(('Black-Scholes'!$B$8-'Black-Scholes'!$B$10-'Black-Scholes'!$B$9^2/2)*'Black-Scholes'!$B$7-'Black-Scholes'!$B$9*SQRT('Black-Scholes'!$B$7)*B4631)</f>
        <v>69.7909357221597</v>
      </c>
      <c r="E4631" s="18" t="n">
        <f aca="false">EXP(-'Black-Scholes'!$B$8*'Black-Scholes'!$B$7)*IF(LOWER('Black-Scholes'!$B$11)="put",MAX('Black-Scholes'!$B$6-C4631,0),MAX(C4631-'Black-Scholes'!$B$6,0))</f>
        <v>49.6021793200701</v>
      </c>
      <c r="F4631" s="18" t="n">
        <f aca="false">(E4631+G4631)/2</f>
        <v>24.8010896600351</v>
      </c>
      <c r="G4631" s="18" t="n">
        <f aca="false">EXP(-'Black-Scholes'!$B$8*'Black-Scholes'!$B$7)*IF(LOWER('Black-Scholes'!$B$11)="put",MAX('Black-Scholes'!$B$6-D4631,0),MAX(D4631-'Black-Scholes'!$B$6,0))</f>
        <v>0</v>
      </c>
    </row>
    <row r="4632" customFormat="false" ht="15" hidden="false" customHeight="false" outlineLevel="0" collapsed="false">
      <c r="A4632" s="0" t="n">
        <v>4621</v>
      </c>
      <c r="B4632" s="15" t="n">
        <v>-2.25254662070062</v>
      </c>
      <c r="C4632" s="18" t="n">
        <f aca="false">'Black-Scholes'!$B$5*EXP(('Black-Scholes'!$B$8-'Black-Scholes'!$B$10-'Black-Scholes'!$B$9^2/2)*'Black-Scholes'!$B$7+'Black-Scholes'!$B$9*SQRT('Black-Scholes'!$B$7)*B4632)</f>
        <v>65.6712255216678</v>
      </c>
      <c r="D4632" s="18" t="n">
        <f aca="false">'Black-Scholes'!$B$5*EXP(('Black-Scholes'!$B$8-'Black-Scholes'!$B$10-'Black-Scholes'!$B$9^2/2)*'Black-Scholes'!$B$7-'Black-Scholes'!$B$9*SQRT('Black-Scholes'!$B$7)*B4632)</f>
        <v>161.689771754756</v>
      </c>
      <c r="E4632" s="18" t="n">
        <f aca="false">EXP(-'Black-Scholes'!$B$8*'Black-Scholes'!$B$7)*IF(LOWER('Black-Scholes'!$B$11)="put",MAX('Black-Scholes'!$B$6-C4632,0),MAX(C4632-'Black-Scholes'!$B$6,0))</f>
        <v>0</v>
      </c>
      <c r="F4632" s="18" t="n">
        <f aca="false">(E4632+G4632)/2</f>
        <v>29.3405630419286</v>
      </c>
      <c r="G4632" s="18" t="n">
        <f aca="false">EXP(-'Black-Scholes'!$B$8*'Black-Scholes'!$B$7)*IF(LOWER('Black-Scholes'!$B$11)="put",MAX('Black-Scholes'!$B$6-D4632,0),MAX(D4632-'Black-Scholes'!$B$6,0))</f>
        <v>58.6811260838572</v>
      </c>
    </row>
    <row r="4633" customFormat="false" ht="15" hidden="false" customHeight="false" outlineLevel="0" collapsed="false">
      <c r="A4633" s="0" t="n">
        <v>4622</v>
      </c>
      <c r="B4633" s="15" t="n">
        <v>-0.0724990865334634</v>
      </c>
      <c r="C4633" s="18" t="n">
        <f aca="false">'Black-Scholes'!$B$5*EXP(('Black-Scholes'!$B$8-'Black-Scholes'!$B$10-'Black-Scholes'!$B$9^2/2)*'Black-Scholes'!$B$7+'Black-Scholes'!$B$9*SQRT('Black-Scholes'!$B$7)*B4633)</f>
        <v>101.562093360544</v>
      </c>
      <c r="D4633" s="18" t="n">
        <f aca="false">'Black-Scholes'!$B$5*EXP(('Black-Scholes'!$B$8-'Black-Scholes'!$B$10-'Black-Scholes'!$B$9^2/2)*'Black-Scholes'!$B$7-'Black-Scholes'!$B$9*SQRT('Black-Scholes'!$B$7)*B4633)</f>
        <v>104.550478570371</v>
      </c>
      <c r="E4633" s="18" t="n">
        <f aca="false">EXP(-'Black-Scholes'!$B$8*'Black-Scholes'!$B$7)*IF(LOWER('Black-Scholes'!$B$11)="put",MAX('Black-Scholes'!$B$6-C4633,0),MAX(C4633-'Black-Scholes'!$B$6,0))</f>
        <v>1.48590916836676</v>
      </c>
      <c r="F4633" s="18" t="n">
        <f aca="false">(E4633+G4633)/2</f>
        <v>2.90722914003185</v>
      </c>
      <c r="G4633" s="18" t="n">
        <f aca="false">EXP(-'Black-Scholes'!$B$8*'Black-Scholes'!$B$7)*IF(LOWER('Black-Scholes'!$B$11)="put",MAX('Black-Scholes'!$B$6-D4633,0),MAX(D4633-'Black-Scholes'!$B$6,0))</f>
        <v>4.32854911169693</v>
      </c>
    </row>
    <row r="4634" customFormat="false" ht="15" hidden="false" customHeight="false" outlineLevel="0" collapsed="false">
      <c r="A4634" s="0" t="n">
        <v>4623</v>
      </c>
      <c r="B4634" s="15" t="n">
        <v>0.803886271082719</v>
      </c>
      <c r="C4634" s="18" t="n">
        <f aca="false">'Black-Scholes'!$B$5*EXP(('Black-Scholes'!$B$8-'Black-Scholes'!$B$10-'Black-Scholes'!$B$9^2/2)*'Black-Scholes'!$B$7+'Black-Scholes'!$B$9*SQRT('Black-Scholes'!$B$7)*B4634)</f>
        <v>121.018985736896</v>
      </c>
      <c r="D4634" s="18" t="n">
        <f aca="false">'Black-Scholes'!$B$5*EXP(('Black-Scholes'!$B$8-'Black-Scholes'!$B$10-'Black-Scholes'!$B$9^2/2)*'Black-Scholes'!$B$7-'Black-Scholes'!$B$9*SQRT('Black-Scholes'!$B$7)*B4634)</f>
        <v>87.7413192714958</v>
      </c>
      <c r="E4634" s="18" t="n">
        <f aca="false">EXP(-'Black-Scholes'!$B$8*'Black-Scholes'!$B$7)*IF(LOWER('Black-Scholes'!$B$11)="put",MAX('Black-Scholes'!$B$6-C4634,0),MAX(C4634-'Black-Scholes'!$B$6,0))</f>
        <v>19.9938777060964</v>
      </c>
      <c r="F4634" s="18" t="n">
        <f aca="false">(E4634+G4634)/2</f>
        <v>9.9969388530482</v>
      </c>
      <c r="G4634" s="18" t="n">
        <f aca="false">EXP(-'Black-Scholes'!$B$8*'Black-Scholes'!$B$7)*IF(LOWER('Black-Scholes'!$B$11)="put",MAX('Black-Scholes'!$B$6-D4634,0),MAX(D4634-'Black-Scholes'!$B$6,0))</f>
        <v>0</v>
      </c>
    </row>
    <row r="4635" customFormat="false" ht="15" hidden="false" customHeight="false" outlineLevel="0" collapsed="false">
      <c r="A4635" s="0" t="n">
        <v>4624</v>
      </c>
      <c r="B4635" s="15" t="n">
        <v>1.37648136412595</v>
      </c>
      <c r="C4635" s="18" t="n">
        <f aca="false">'Black-Scholes'!$B$5*EXP(('Black-Scholes'!$B$8-'Black-Scholes'!$B$10-'Black-Scholes'!$B$9^2/2)*'Black-Scholes'!$B$7+'Black-Scholes'!$B$9*SQRT('Black-Scholes'!$B$7)*B4635)</f>
        <v>135.70269936751</v>
      </c>
      <c r="D4635" s="18" t="n">
        <f aca="false">'Black-Scholes'!$B$5*EXP(('Black-Scholes'!$B$8-'Black-Scholes'!$B$10-'Black-Scholes'!$B$9^2/2)*'Black-Scholes'!$B$7-'Black-Scholes'!$B$9*SQRT('Black-Scholes'!$B$7)*B4635)</f>
        <v>78.2472678505599</v>
      </c>
      <c r="E4635" s="18" t="n">
        <f aca="false">EXP(-'Black-Scholes'!$B$8*'Black-Scholes'!$B$7)*IF(LOWER('Black-Scholes'!$B$11)="put",MAX('Black-Scholes'!$B$6-C4635,0),MAX(C4635-'Black-Scholes'!$B$6,0))</f>
        <v>33.9614581724789</v>
      </c>
      <c r="F4635" s="18" t="n">
        <f aca="false">(E4635+G4635)/2</f>
        <v>16.9807290862395</v>
      </c>
      <c r="G4635" s="18" t="n">
        <f aca="false">EXP(-'Black-Scholes'!$B$8*'Black-Scholes'!$B$7)*IF(LOWER('Black-Scholes'!$B$11)="put",MAX('Black-Scholes'!$B$6-D4635,0),MAX(D4635-'Black-Scholes'!$B$6,0))</f>
        <v>0</v>
      </c>
    </row>
    <row r="4636" customFormat="false" ht="15" hidden="false" customHeight="false" outlineLevel="0" collapsed="false">
      <c r="A4636" s="0" t="n">
        <v>4625</v>
      </c>
      <c r="B4636" s="15" t="n">
        <v>0.623744020856242</v>
      </c>
      <c r="C4636" s="18" t="n">
        <f aca="false">'Black-Scholes'!$B$5*EXP(('Black-Scholes'!$B$8-'Black-Scholes'!$B$10-'Black-Scholes'!$B$9^2/2)*'Black-Scholes'!$B$7+'Black-Scholes'!$B$9*SQRT('Black-Scholes'!$B$7)*B4636)</f>
        <v>116.736468713203</v>
      </c>
      <c r="D4636" s="18" t="n">
        <f aca="false">'Black-Scholes'!$B$5*EXP(('Black-Scholes'!$B$8-'Black-Scholes'!$B$10-'Black-Scholes'!$B$9^2/2)*'Black-Scholes'!$B$7-'Black-Scholes'!$B$9*SQRT('Black-Scholes'!$B$7)*B4636)</f>
        <v>90.960139384897</v>
      </c>
      <c r="E4636" s="18" t="n">
        <f aca="false">EXP(-'Black-Scholes'!$B$8*'Black-Scholes'!$B$7)*IF(LOWER('Black-Scholes'!$B$11)="put",MAX('Black-Scholes'!$B$6-C4636,0),MAX(C4636-'Black-Scholes'!$B$6,0))</f>
        <v>15.9202215022341</v>
      </c>
      <c r="F4636" s="18" t="n">
        <f aca="false">(E4636+G4636)/2</f>
        <v>7.96011075111707</v>
      </c>
      <c r="G4636" s="18" t="n">
        <f aca="false">EXP(-'Black-Scholes'!$B$8*'Black-Scholes'!$B$7)*IF(LOWER('Black-Scholes'!$B$11)="put",MAX('Black-Scholes'!$B$6-D4636,0),MAX(D4636-'Black-Scholes'!$B$6,0))</f>
        <v>0</v>
      </c>
    </row>
    <row r="4637" customFormat="false" ht="15" hidden="false" customHeight="false" outlineLevel="0" collapsed="false">
      <c r="A4637" s="0" t="n">
        <v>4626</v>
      </c>
      <c r="B4637" s="15" t="n">
        <v>1.49085922845928</v>
      </c>
      <c r="C4637" s="18" t="n">
        <f aca="false">'Black-Scholes'!$B$5*EXP(('Black-Scholes'!$B$8-'Black-Scholes'!$B$10-'Black-Scholes'!$B$9^2/2)*'Black-Scholes'!$B$7+'Black-Scholes'!$B$9*SQRT('Black-Scholes'!$B$7)*B4637)</f>
        <v>138.842754708222</v>
      </c>
      <c r="D4637" s="18" t="n">
        <f aca="false">'Black-Scholes'!$B$5*EXP(('Black-Scholes'!$B$8-'Black-Scholes'!$B$10-'Black-Scholes'!$B$9^2/2)*'Black-Scholes'!$B$7-'Black-Scholes'!$B$9*SQRT('Black-Scholes'!$B$7)*B4637)</f>
        <v>76.4776346289592</v>
      </c>
      <c r="E4637" s="18" t="n">
        <f aca="false">EXP(-'Black-Scholes'!$B$8*'Black-Scholes'!$B$7)*IF(LOWER('Black-Scholes'!$B$11)="put",MAX('Black-Scholes'!$B$6-C4637,0),MAX(C4637-'Black-Scholes'!$B$6,0))</f>
        <v>36.9483712071244</v>
      </c>
      <c r="F4637" s="18" t="n">
        <f aca="false">(E4637+G4637)/2</f>
        <v>18.4741856035622</v>
      </c>
      <c r="G4637" s="18" t="n">
        <f aca="false">EXP(-'Black-Scholes'!$B$8*'Black-Scholes'!$B$7)*IF(LOWER('Black-Scholes'!$B$11)="put",MAX('Black-Scholes'!$B$6-D4637,0),MAX(D4637-'Black-Scholes'!$B$6,0))</f>
        <v>0</v>
      </c>
    </row>
    <row r="4638" customFormat="false" ht="15" hidden="false" customHeight="false" outlineLevel="0" collapsed="false">
      <c r="A4638" s="0" t="n">
        <v>4627</v>
      </c>
      <c r="B4638" s="15" t="n">
        <v>-0.0508304256148259</v>
      </c>
      <c r="C4638" s="18" t="n">
        <f aca="false">'Black-Scholes'!$B$5*EXP(('Black-Scholes'!$B$8-'Black-Scholes'!$B$10-'Black-Scholes'!$B$9^2/2)*'Black-Scholes'!$B$7+'Black-Scholes'!$B$9*SQRT('Black-Scholes'!$B$7)*B4638)</f>
        <v>102.003191383172</v>
      </c>
      <c r="D4638" s="18" t="n">
        <f aca="false">'Black-Scholes'!$B$5*EXP(('Black-Scholes'!$B$8-'Black-Scholes'!$B$10-'Black-Scholes'!$B$9^2/2)*'Black-Scholes'!$B$7-'Black-Scholes'!$B$9*SQRT('Black-Scholes'!$B$7)*B4638)</f>
        <v>104.09836517336</v>
      </c>
      <c r="E4638" s="18" t="n">
        <f aca="false">EXP(-'Black-Scholes'!$B$8*'Black-Scholes'!$B$7)*IF(LOWER('Black-Scholes'!$B$11)="put",MAX('Black-Scholes'!$B$6-C4638,0),MAX(C4638-'Black-Scholes'!$B$6,0))</f>
        <v>1.90549458657977</v>
      </c>
      <c r="F4638" s="18" t="n">
        <f aca="false">(E4638+G4638)/2</f>
        <v>2.90199006591438</v>
      </c>
      <c r="G4638" s="18" t="n">
        <f aca="false">EXP(-'Black-Scholes'!$B$8*'Black-Scholes'!$B$7)*IF(LOWER('Black-Scholes'!$B$11)="put",MAX('Black-Scholes'!$B$6-D4638,0),MAX(D4638-'Black-Scholes'!$B$6,0))</f>
        <v>3.898485545249</v>
      </c>
    </row>
    <row r="4639" customFormat="false" ht="15" hidden="false" customHeight="false" outlineLevel="0" collapsed="false">
      <c r="A4639" s="0" t="n">
        <v>4628</v>
      </c>
      <c r="B4639" s="15" t="n">
        <v>-1.23298792702997</v>
      </c>
      <c r="C4639" s="18" t="n">
        <f aca="false">'Black-Scholes'!$B$5*EXP(('Black-Scholes'!$B$8-'Black-Scholes'!$B$10-'Black-Scholes'!$B$9^2/2)*'Black-Scholes'!$B$7+'Black-Scholes'!$B$9*SQRT('Black-Scholes'!$B$7)*B4639)</f>
        <v>80.5253950054721</v>
      </c>
      <c r="D4639" s="18" t="n">
        <f aca="false">'Black-Scholes'!$B$5*EXP(('Black-Scholes'!$B$8-'Black-Scholes'!$B$10-'Black-Scholes'!$B$9^2/2)*'Black-Scholes'!$B$7-'Black-Scholes'!$B$9*SQRT('Black-Scholes'!$B$7)*B4639)</f>
        <v>131.863562603226</v>
      </c>
      <c r="E4639" s="18" t="n">
        <f aca="false">EXP(-'Black-Scholes'!$B$8*'Black-Scholes'!$B$7)*IF(LOWER('Black-Scholes'!$B$11)="put",MAX('Black-Scholes'!$B$6-C4639,0),MAX(C4639-'Black-Scholes'!$B$6,0))</f>
        <v>0</v>
      </c>
      <c r="F4639" s="18" t="n">
        <f aca="false">(E4639+G4639)/2</f>
        <v>15.1547791588047</v>
      </c>
      <c r="G4639" s="18" t="n">
        <f aca="false">EXP(-'Black-Scholes'!$B$8*'Black-Scholes'!$B$7)*IF(LOWER('Black-Scholes'!$B$11)="put",MAX('Black-Scholes'!$B$6-D4639,0),MAX(D4639-'Black-Scholes'!$B$6,0))</f>
        <v>30.3095583176094</v>
      </c>
    </row>
    <row r="4640" customFormat="false" ht="15" hidden="false" customHeight="false" outlineLevel="0" collapsed="false">
      <c r="A4640" s="0" t="n">
        <v>4629</v>
      </c>
      <c r="B4640" s="15" t="n">
        <v>0.033055591345437</v>
      </c>
      <c r="C4640" s="18" t="n">
        <f aca="false">'Black-Scholes'!$B$5*EXP(('Black-Scholes'!$B$8-'Black-Scholes'!$B$10-'Black-Scholes'!$B$9^2/2)*'Black-Scholes'!$B$7+'Black-Scholes'!$B$9*SQRT('Black-Scholes'!$B$7)*B4640)</f>
        <v>103.728955943453</v>
      </c>
      <c r="D4640" s="18" t="n">
        <f aca="false">'Black-Scholes'!$B$5*EXP(('Black-Scholes'!$B$8-'Black-Scholes'!$B$10-'Black-Scholes'!$B$9^2/2)*'Black-Scholes'!$B$7-'Black-Scholes'!$B$9*SQRT('Black-Scholes'!$B$7)*B4640)</f>
        <v>102.366454659412</v>
      </c>
      <c r="E4640" s="18" t="n">
        <f aca="false">EXP(-'Black-Scholes'!$B$8*'Black-Scholes'!$B$7)*IF(LOWER('Black-Scholes'!$B$11)="put",MAX('Black-Scholes'!$B$6-C4640,0),MAX(C4640-'Black-Scholes'!$B$6,0))</f>
        <v>3.54709261607899</v>
      </c>
      <c r="F4640" s="18" t="n">
        <f aca="false">(E4640+G4640)/2</f>
        <v>2.89906695992926</v>
      </c>
      <c r="G4640" s="18" t="n">
        <f aca="false">EXP(-'Black-Scholes'!$B$8*'Black-Scholes'!$B$7)*IF(LOWER('Black-Scholes'!$B$11)="put",MAX('Black-Scholes'!$B$6-D4640,0),MAX(D4640-'Black-Scholes'!$B$6,0))</f>
        <v>2.25104130377954</v>
      </c>
    </row>
    <row r="4641" customFormat="false" ht="15" hidden="false" customHeight="false" outlineLevel="0" collapsed="false">
      <c r="A4641" s="0" t="n">
        <v>4630</v>
      </c>
      <c r="B4641" s="15" t="n">
        <v>-1.5183749619639</v>
      </c>
      <c r="C4641" s="18" t="n">
        <f aca="false">'Black-Scholes'!$B$5*EXP(('Black-Scholes'!$B$8-'Black-Scholes'!$B$10-'Black-Scholes'!$B$9^2/2)*'Black-Scholes'!$B$7+'Black-Scholes'!$B$9*SQRT('Black-Scholes'!$B$7)*B4641)</f>
        <v>76.0579229130624</v>
      </c>
      <c r="D4641" s="18" t="n">
        <f aca="false">'Black-Scholes'!$B$5*EXP(('Black-Scholes'!$B$8-'Black-Scholes'!$B$10-'Black-Scholes'!$B$9^2/2)*'Black-Scholes'!$B$7-'Black-Scholes'!$B$9*SQRT('Black-Scholes'!$B$7)*B4641)</f>
        <v>139.608933017943</v>
      </c>
      <c r="E4641" s="18" t="n">
        <f aca="false">EXP(-'Black-Scholes'!$B$8*'Black-Scholes'!$B$7)*IF(LOWER('Black-Scholes'!$B$11)="put",MAX('Black-Scholes'!$B$6-C4641,0),MAX(C4641-'Black-Scholes'!$B$6,0))</f>
        <v>0</v>
      </c>
      <c r="F4641" s="18" t="n">
        <f aca="false">(E4641+G4641)/2</f>
        <v>18.8385912798726</v>
      </c>
      <c r="G4641" s="18" t="n">
        <f aca="false">EXP(-'Black-Scholes'!$B$8*'Black-Scholes'!$B$7)*IF(LOWER('Black-Scholes'!$B$11)="put",MAX('Black-Scholes'!$B$6-D4641,0),MAX(D4641-'Black-Scholes'!$B$6,0))</f>
        <v>37.6771825597452</v>
      </c>
    </row>
    <row r="4642" customFormat="false" ht="15" hidden="false" customHeight="false" outlineLevel="0" collapsed="false">
      <c r="A4642" s="0" t="n">
        <v>4631</v>
      </c>
      <c r="B4642" s="15" t="n">
        <v>-2.038451042807</v>
      </c>
      <c r="C4642" s="18" t="n">
        <f aca="false">'Black-Scholes'!$B$5*EXP(('Black-Scholes'!$B$8-'Black-Scholes'!$B$10-'Black-Scholes'!$B$9^2/2)*'Black-Scholes'!$B$7+'Black-Scholes'!$B$9*SQRT('Black-Scholes'!$B$7)*B4642)</f>
        <v>68.5442812092878</v>
      </c>
      <c r="D4642" s="18" t="n">
        <f aca="false">'Black-Scholes'!$B$5*EXP(('Black-Scholes'!$B$8-'Black-Scholes'!$B$10-'Black-Scholes'!$B$9^2/2)*'Black-Scholes'!$B$7-'Black-Scholes'!$B$9*SQRT('Black-Scholes'!$B$7)*B4642)</f>
        <v>154.912492743666</v>
      </c>
      <c r="E4642" s="18" t="n">
        <f aca="false">EXP(-'Black-Scholes'!$B$8*'Black-Scholes'!$B$7)*IF(LOWER('Black-Scholes'!$B$11)="put",MAX('Black-Scholes'!$B$6-C4642,0),MAX(C4642-'Black-Scholes'!$B$6,0))</f>
        <v>0</v>
      </c>
      <c r="F4642" s="18" t="n">
        <f aca="false">(E4642+G4642)/2</f>
        <v>26.1171894352286</v>
      </c>
      <c r="G4642" s="18" t="n">
        <f aca="false">EXP(-'Black-Scholes'!$B$8*'Black-Scholes'!$B$7)*IF(LOWER('Black-Scholes'!$B$11)="put",MAX('Black-Scholes'!$B$6-D4642,0),MAX(D4642-'Black-Scholes'!$B$6,0))</f>
        <v>52.2343788704571</v>
      </c>
    </row>
    <row r="4643" customFormat="false" ht="15" hidden="false" customHeight="false" outlineLevel="0" collapsed="false">
      <c r="A4643" s="0" t="n">
        <v>4632</v>
      </c>
      <c r="B4643" s="15" t="n">
        <v>-1.94154880950051</v>
      </c>
      <c r="C4643" s="18" t="n">
        <f aca="false">'Black-Scholes'!$B$5*EXP(('Black-Scholes'!$B$8-'Black-Scholes'!$B$10-'Black-Scholes'!$B$9^2/2)*'Black-Scholes'!$B$7+'Black-Scholes'!$B$9*SQRT('Black-Scholes'!$B$7)*B4643)</f>
        <v>69.8856562337921</v>
      </c>
      <c r="D4643" s="18" t="n">
        <f aca="false">'Black-Scholes'!$B$5*EXP(('Black-Scholes'!$B$8-'Black-Scholes'!$B$10-'Black-Scholes'!$B$9^2/2)*'Black-Scholes'!$B$7-'Black-Scholes'!$B$9*SQRT('Black-Scholes'!$B$7)*B4643)</f>
        <v>151.939125103604</v>
      </c>
      <c r="E4643" s="18" t="n">
        <f aca="false">EXP(-'Black-Scholes'!$B$8*'Black-Scholes'!$B$7)*IF(LOWER('Black-Scholes'!$B$11)="put",MAX('Black-Scholes'!$B$6-C4643,0),MAX(C4643-'Black-Scholes'!$B$6,0))</f>
        <v>0</v>
      </c>
      <c r="F4643" s="18" t="n">
        <f aca="false">(E4643+G4643)/2</f>
        <v>24.7030120406859</v>
      </c>
      <c r="G4643" s="18" t="n">
        <f aca="false">EXP(-'Black-Scholes'!$B$8*'Black-Scholes'!$B$7)*IF(LOWER('Black-Scholes'!$B$11)="put",MAX('Black-Scholes'!$B$6-D4643,0),MAX(D4643-'Black-Scholes'!$B$6,0))</f>
        <v>49.4060240813718</v>
      </c>
    </row>
    <row r="4644" customFormat="false" ht="15" hidden="false" customHeight="false" outlineLevel="0" collapsed="false">
      <c r="A4644" s="0" t="n">
        <v>4633</v>
      </c>
      <c r="B4644" s="15" t="n">
        <v>-0.383651643504931</v>
      </c>
      <c r="C4644" s="18" t="n">
        <f aca="false">'Black-Scholes'!$B$5*EXP(('Black-Scholes'!$B$8-'Black-Scholes'!$B$10-'Black-Scholes'!$B$9^2/2)*'Black-Scholes'!$B$7+'Black-Scholes'!$B$9*SQRT('Black-Scholes'!$B$7)*B4644)</f>
        <v>95.4344722273233</v>
      </c>
      <c r="D4644" s="18" t="n">
        <f aca="false">'Black-Scholes'!$B$5*EXP(('Black-Scholes'!$B$8-'Black-Scholes'!$B$10-'Black-Scholes'!$B$9^2/2)*'Black-Scholes'!$B$7-'Black-Scholes'!$B$9*SQRT('Black-Scholes'!$B$7)*B4644)</f>
        <v>111.263416851731</v>
      </c>
      <c r="E4644" s="18" t="n">
        <f aca="false">EXP(-'Black-Scholes'!$B$8*'Black-Scholes'!$B$7)*IF(LOWER('Black-Scholes'!$B$11)="put",MAX('Black-Scholes'!$B$6-C4644,0),MAX(C4644-'Black-Scholes'!$B$6,0))</f>
        <v>0</v>
      </c>
      <c r="F4644" s="18" t="n">
        <f aca="false">(E4644+G4644)/2</f>
        <v>5.35704676489174</v>
      </c>
      <c r="G4644" s="18" t="n">
        <f aca="false">EXP(-'Black-Scholes'!$B$8*'Black-Scholes'!$B$7)*IF(LOWER('Black-Scholes'!$B$11)="put",MAX('Black-Scholes'!$B$6-D4644,0),MAX(D4644-'Black-Scholes'!$B$6,0))</f>
        <v>10.7140935297835</v>
      </c>
    </row>
    <row r="4645" customFormat="false" ht="15" hidden="false" customHeight="false" outlineLevel="0" collapsed="false">
      <c r="A4645" s="0" t="n">
        <v>4634</v>
      </c>
      <c r="B4645" s="15" t="n">
        <v>-1.5071407841247</v>
      </c>
      <c r="C4645" s="18" t="n">
        <f aca="false">'Black-Scholes'!$B$5*EXP(('Black-Scholes'!$B$8-'Black-Scholes'!$B$10-'Black-Scholes'!$B$9^2/2)*'Black-Scholes'!$B$7+'Black-Scholes'!$B$9*SQRT('Black-Scholes'!$B$7)*B4645)</f>
        <v>76.2290046838111</v>
      </c>
      <c r="D4645" s="18" t="n">
        <f aca="false">'Black-Scholes'!$B$5*EXP(('Black-Scholes'!$B$8-'Black-Scholes'!$B$10-'Black-Scholes'!$B$9^2/2)*'Black-Scholes'!$B$7-'Black-Scholes'!$B$9*SQRT('Black-Scholes'!$B$7)*B4645)</f>
        <v>139.295606829675</v>
      </c>
      <c r="E4645" s="18" t="n">
        <f aca="false">EXP(-'Black-Scholes'!$B$8*'Black-Scholes'!$B$7)*IF(LOWER('Black-Scholes'!$B$11)="put",MAX('Black-Scholes'!$B$6-C4645,0),MAX(C4645-'Black-Scholes'!$B$6,0))</f>
        <v>0</v>
      </c>
      <c r="F4645" s="18" t="n">
        <f aca="false">(E4645+G4645)/2</f>
        <v>18.689568734999</v>
      </c>
      <c r="G4645" s="18" t="n">
        <f aca="false">EXP(-'Black-Scholes'!$B$8*'Black-Scholes'!$B$7)*IF(LOWER('Black-Scholes'!$B$11)="put",MAX('Black-Scholes'!$B$6-D4645,0),MAX(D4645-'Black-Scholes'!$B$6,0))</f>
        <v>37.3791374699981</v>
      </c>
    </row>
    <row r="4646" customFormat="false" ht="15" hidden="false" customHeight="false" outlineLevel="0" collapsed="false">
      <c r="A4646" s="0" t="n">
        <v>4635</v>
      </c>
      <c r="B4646" s="15" t="n">
        <v>-1.31867856289943</v>
      </c>
      <c r="C4646" s="18" t="n">
        <f aca="false">'Black-Scholes'!$B$5*EXP(('Black-Scholes'!$B$8-'Black-Scholes'!$B$10-'Black-Scholes'!$B$9^2/2)*'Black-Scholes'!$B$7+'Black-Scholes'!$B$9*SQRT('Black-Scholes'!$B$7)*B4646)</f>
        <v>79.1570990508176</v>
      </c>
      <c r="D4646" s="18" t="n">
        <f aca="false">'Black-Scholes'!$B$5*EXP(('Black-Scholes'!$B$8-'Black-Scholes'!$B$10-'Black-Scholes'!$B$9^2/2)*'Black-Scholes'!$B$7-'Black-Scholes'!$B$9*SQRT('Black-Scholes'!$B$7)*B4646)</f>
        <v>134.142933391695</v>
      </c>
      <c r="E4646" s="18" t="n">
        <f aca="false">EXP(-'Black-Scholes'!$B$8*'Black-Scholes'!$B$7)*IF(LOWER('Black-Scholes'!$B$11)="put",MAX('Black-Scholes'!$B$6-C4646,0),MAX(C4646-'Black-Scholes'!$B$6,0))</f>
        <v>0</v>
      </c>
      <c r="F4646" s="18" t="n">
        <f aca="false">(E4646+G4646)/2</f>
        <v>16.238881440474</v>
      </c>
      <c r="G4646" s="18" t="n">
        <f aca="false">EXP(-'Black-Scholes'!$B$8*'Black-Scholes'!$B$7)*IF(LOWER('Black-Scholes'!$B$11)="put",MAX('Black-Scholes'!$B$6-D4646,0),MAX(D4646-'Black-Scholes'!$B$6,0))</f>
        <v>32.4777628809479</v>
      </c>
    </row>
    <row r="4647" customFormat="false" ht="15" hidden="false" customHeight="false" outlineLevel="0" collapsed="false">
      <c r="A4647" s="0" t="n">
        <v>4636</v>
      </c>
      <c r="B4647" s="15" t="n">
        <v>0.997769177525169</v>
      </c>
      <c r="C4647" s="18" t="n">
        <f aca="false">'Black-Scholes'!$B$5*EXP(('Black-Scholes'!$B$8-'Black-Scholes'!$B$10-'Black-Scholes'!$B$9^2/2)*'Black-Scholes'!$B$7+'Black-Scholes'!$B$9*SQRT('Black-Scholes'!$B$7)*B4647)</f>
        <v>125.803859254325</v>
      </c>
      <c r="D4647" s="18" t="n">
        <f aca="false">'Black-Scholes'!$B$5*EXP(('Black-Scholes'!$B$8-'Black-Scholes'!$B$10-'Black-Scholes'!$B$9^2/2)*'Black-Scholes'!$B$7-'Black-Scholes'!$B$9*SQRT('Black-Scholes'!$B$7)*B4647)</f>
        <v>84.4041313866813</v>
      </c>
      <c r="E4647" s="18" t="n">
        <f aca="false">EXP(-'Black-Scholes'!$B$8*'Black-Scholes'!$B$7)*IF(LOWER('Black-Scholes'!$B$11)="put",MAX('Black-Scholes'!$B$6-C4647,0),MAX(C4647-'Black-Scholes'!$B$6,0))</f>
        <v>24.5453901883889</v>
      </c>
      <c r="F4647" s="18" t="n">
        <f aca="false">(E4647+G4647)/2</f>
        <v>12.2726950941944</v>
      </c>
      <c r="G4647" s="18" t="n">
        <f aca="false">EXP(-'Black-Scholes'!$B$8*'Black-Scholes'!$B$7)*IF(LOWER('Black-Scholes'!$B$11)="put",MAX('Black-Scholes'!$B$6-D4647,0),MAX(D4647-'Black-Scholes'!$B$6,0))</f>
        <v>0</v>
      </c>
    </row>
    <row r="4648" customFormat="false" ht="15" hidden="false" customHeight="false" outlineLevel="0" collapsed="false">
      <c r="A4648" s="0" t="n">
        <v>4637</v>
      </c>
      <c r="B4648" s="15" t="n">
        <v>-0.176060673249002</v>
      </c>
      <c r="C4648" s="18" t="n">
        <f aca="false">'Black-Scholes'!$B$5*EXP(('Black-Scholes'!$B$8-'Black-Scholes'!$B$10-'Black-Scholes'!$B$9^2/2)*'Black-Scholes'!$B$7+'Black-Scholes'!$B$9*SQRT('Black-Scholes'!$B$7)*B4648)</f>
        <v>99.4801424955612</v>
      </c>
      <c r="D4648" s="18" t="n">
        <f aca="false">'Black-Scholes'!$B$5*EXP(('Black-Scholes'!$B$8-'Black-Scholes'!$B$10-'Black-Scholes'!$B$9^2/2)*'Black-Scholes'!$B$7-'Black-Scholes'!$B$9*SQRT('Black-Scholes'!$B$7)*B4648)</f>
        <v>106.738542980348</v>
      </c>
      <c r="E4648" s="18" t="n">
        <f aca="false">EXP(-'Black-Scholes'!$B$8*'Black-Scholes'!$B$7)*IF(LOWER('Black-Scholes'!$B$11)="put",MAX('Black-Scholes'!$B$6-C4648,0),MAX(C4648-'Black-Scholes'!$B$6,0))</f>
        <v>0</v>
      </c>
      <c r="F4648" s="18" t="n">
        <f aca="false">(E4648+G4648)/2</f>
        <v>3.20495018058488</v>
      </c>
      <c r="G4648" s="18" t="n">
        <f aca="false">EXP(-'Black-Scholes'!$B$8*'Black-Scholes'!$B$7)*IF(LOWER('Black-Scholes'!$B$11)="put",MAX('Black-Scholes'!$B$6-D4648,0),MAX(D4648-'Black-Scholes'!$B$6,0))</f>
        <v>6.40990036116976</v>
      </c>
    </row>
    <row r="4649" customFormat="false" ht="15" hidden="false" customHeight="false" outlineLevel="0" collapsed="false">
      <c r="A4649" s="0" t="n">
        <v>4638</v>
      </c>
      <c r="B4649" s="15" t="n">
        <v>0.668425841102136</v>
      </c>
      <c r="C4649" s="18" t="n">
        <f aca="false">'Black-Scholes'!$B$5*EXP(('Black-Scholes'!$B$8-'Black-Scholes'!$B$10-'Black-Scholes'!$B$9^2/2)*'Black-Scholes'!$B$7+'Black-Scholes'!$B$9*SQRT('Black-Scholes'!$B$7)*B4649)</f>
        <v>117.78434341688</v>
      </c>
      <c r="D4649" s="18" t="n">
        <f aca="false">'Black-Scholes'!$B$5*EXP(('Black-Scholes'!$B$8-'Black-Scholes'!$B$10-'Black-Scholes'!$B$9^2/2)*'Black-Scholes'!$B$7-'Black-Scholes'!$B$9*SQRT('Black-Scholes'!$B$7)*B4649)</f>
        <v>90.1509076454373</v>
      </c>
      <c r="E4649" s="18" t="n">
        <f aca="false">EXP(-'Black-Scholes'!$B$8*'Black-Scholes'!$B$7)*IF(LOWER('Black-Scholes'!$B$11)="put",MAX('Black-Scholes'!$B$6-C4649,0),MAX(C4649-'Black-Scholes'!$B$6,0))</f>
        <v>16.9169907535616</v>
      </c>
      <c r="F4649" s="18" t="n">
        <f aca="false">(E4649+G4649)/2</f>
        <v>8.45849537678079</v>
      </c>
      <c r="G4649" s="18" t="n">
        <f aca="false">EXP(-'Black-Scholes'!$B$8*'Black-Scholes'!$B$7)*IF(LOWER('Black-Scholes'!$B$11)="put",MAX('Black-Scholes'!$B$6-D4649,0),MAX(D4649-'Black-Scholes'!$B$6,0))</f>
        <v>0</v>
      </c>
    </row>
    <row r="4650" customFormat="false" ht="15" hidden="false" customHeight="false" outlineLevel="0" collapsed="false">
      <c r="A4650" s="0" t="n">
        <v>4639</v>
      </c>
      <c r="B4650" s="15" t="n">
        <v>0.115474751420542</v>
      </c>
      <c r="C4650" s="18" t="n">
        <f aca="false">'Black-Scholes'!$B$5*EXP(('Black-Scholes'!$B$8-'Black-Scholes'!$B$10-'Black-Scholes'!$B$9^2/2)*'Black-Scholes'!$B$7+'Black-Scholes'!$B$9*SQRT('Black-Scholes'!$B$7)*B4650)</f>
        <v>105.452976826702</v>
      </c>
      <c r="D4650" s="18" t="n">
        <f aca="false">'Black-Scholes'!$B$5*EXP(('Black-Scholes'!$B$8-'Black-Scholes'!$B$10-'Black-Scholes'!$B$9^2/2)*'Black-Scholes'!$B$7-'Black-Scholes'!$B$9*SQRT('Black-Scholes'!$B$7)*B4650)</f>
        <v>100.692894453833</v>
      </c>
      <c r="E4650" s="18" t="n">
        <f aca="false">EXP(-'Black-Scholes'!$B$8*'Black-Scholes'!$B$7)*IF(LOWER('Black-Scholes'!$B$11)="put",MAX('Black-Scholes'!$B$6-C4650,0),MAX(C4650-'Black-Scholes'!$B$6,0))</f>
        <v>5.18703200867927</v>
      </c>
      <c r="F4650" s="18" t="n">
        <f aca="false">(E4650+G4650)/2</f>
        <v>2.92306680061936</v>
      </c>
      <c r="G4650" s="18" t="n">
        <f aca="false">EXP(-'Black-Scholes'!$B$8*'Black-Scholes'!$B$7)*IF(LOWER('Black-Scholes'!$B$11)="put",MAX('Black-Scholes'!$B$6-D4650,0),MAX(D4650-'Black-Scholes'!$B$6,0))</f>
        <v>0.659101592559455</v>
      </c>
    </row>
    <row r="4651" customFormat="false" ht="15" hidden="false" customHeight="false" outlineLevel="0" collapsed="false">
      <c r="A4651" s="0" t="n">
        <v>4640</v>
      </c>
      <c r="B4651" s="15" t="n">
        <v>-0.382524028714438</v>
      </c>
      <c r="C4651" s="18" t="n">
        <f aca="false">'Black-Scholes'!$B$5*EXP(('Black-Scholes'!$B$8-'Black-Scholes'!$B$10-'Black-Scholes'!$B$9^2/2)*'Black-Scholes'!$B$7+'Black-Scholes'!$B$9*SQRT('Black-Scholes'!$B$7)*B4651)</f>
        <v>95.4559973189146</v>
      </c>
      <c r="D4651" s="18" t="n">
        <f aca="false">'Black-Scholes'!$B$5*EXP(('Black-Scholes'!$B$8-'Black-Scholes'!$B$10-'Black-Scholes'!$B$9^2/2)*'Black-Scholes'!$B$7-'Black-Scholes'!$B$9*SQRT('Black-Scholes'!$B$7)*B4651)</f>
        <v>111.238327226084</v>
      </c>
      <c r="E4651" s="18" t="n">
        <f aca="false">EXP(-'Black-Scholes'!$B$8*'Black-Scholes'!$B$7)*IF(LOWER('Black-Scholes'!$B$11)="put",MAX('Black-Scholes'!$B$6-C4651,0),MAX(C4651-'Black-Scholes'!$B$6,0))</f>
        <v>0</v>
      </c>
      <c r="F4651" s="18" t="n">
        <f aca="false">(E4651+G4651)/2</f>
        <v>5.3451137698092</v>
      </c>
      <c r="G4651" s="18" t="n">
        <f aca="false">EXP(-'Black-Scholes'!$B$8*'Black-Scholes'!$B$7)*IF(LOWER('Black-Scholes'!$B$11)="put",MAX('Black-Scholes'!$B$6-D4651,0),MAX(D4651-'Black-Scholes'!$B$6,0))</f>
        <v>10.6902275396184</v>
      </c>
    </row>
    <row r="4652" customFormat="false" ht="15" hidden="false" customHeight="false" outlineLevel="0" collapsed="false">
      <c r="A4652" s="0" t="n">
        <v>4641</v>
      </c>
      <c r="B4652" s="15" t="n">
        <v>-0.838004947711403</v>
      </c>
      <c r="C4652" s="18" t="n">
        <f aca="false">'Black-Scholes'!$B$5*EXP(('Black-Scholes'!$B$8-'Black-Scholes'!$B$10-'Black-Scholes'!$B$9^2/2)*'Black-Scholes'!$B$7+'Black-Scholes'!$B$9*SQRT('Black-Scholes'!$B$7)*B4652)</f>
        <v>87.1446338586261</v>
      </c>
      <c r="D4652" s="18" t="n">
        <f aca="false">'Black-Scholes'!$B$5*EXP(('Black-Scholes'!$B$8-'Black-Scholes'!$B$10-'Black-Scholes'!$B$9^2/2)*'Black-Scholes'!$B$7-'Black-Scholes'!$B$9*SQRT('Black-Scholes'!$B$7)*B4652)</f>
        <v>121.847611210114</v>
      </c>
      <c r="E4652" s="18" t="n">
        <f aca="false">EXP(-'Black-Scholes'!$B$8*'Black-Scholes'!$B$7)*IF(LOWER('Black-Scholes'!$B$11)="put",MAX('Black-Scholes'!$B$6-C4652,0),MAX(C4652-'Black-Scholes'!$B$6,0))</f>
        <v>0</v>
      </c>
      <c r="F4652" s="18" t="n">
        <f aca="false">(E4652+G4652)/2</f>
        <v>10.391045319056</v>
      </c>
      <c r="G4652" s="18" t="n">
        <f aca="false">EXP(-'Black-Scholes'!$B$8*'Black-Scholes'!$B$7)*IF(LOWER('Black-Scholes'!$B$11)="put",MAX('Black-Scholes'!$B$6-D4652,0),MAX(D4652-'Black-Scholes'!$B$6,0))</f>
        <v>20.782090638112</v>
      </c>
    </row>
    <row r="4653" customFormat="false" ht="15" hidden="false" customHeight="false" outlineLevel="0" collapsed="false">
      <c r="A4653" s="0" t="n">
        <v>4642</v>
      </c>
      <c r="B4653" s="15" t="n">
        <v>0.647821892980167</v>
      </c>
      <c r="C4653" s="18" t="n">
        <f aca="false">'Black-Scholes'!$B$5*EXP(('Black-Scholes'!$B$8-'Black-Scholes'!$B$10-'Black-Scholes'!$B$9^2/2)*'Black-Scholes'!$B$7+'Black-Scholes'!$B$9*SQRT('Black-Scholes'!$B$7)*B4653)</f>
        <v>117.299977586869</v>
      </c>
      <c r="D4653" s="18" t="n">
        <f aca="false">'Black-Scholes'!$B$5*EXP(('Black-Scholes'!$B$8-'Black-Scholes'!$B$10-'Black-Scholes'!$B$9^2/2)*'Black-Scholes'!$B$7-'Black-Scholes'!$B$9*SQRT('Black-Scholes'!$B$7)*B4653)</f>
        <v>90.5231670448526</v>
      </c>
      <c r="E4653" s="18" t="n">
        <f aca="false">EXP(-'Black-Scholes'!$B$8*'Black-Scholes'!$B$7)*IF(LOWER('Black-Scholes'!$B$11)="put",MAX('Black-Scholes'!$B$6-C4653,0),MAX(C4653-'Black-Scholes'!$B$6,0))</f>
        <v>16.4562477238325</v>
      </c>
      <c r="F4653" s="18" t="n">
        <f aca="false">(E4653+G4653)/2</f>
        <v>8.22812386191625</v>
      </c>
      <c r="G4653" s="18" t="n">
        <f aca="false">EXP(-'Black-Scholes'!$B$8*'Black-Scholes'!$B$7)*IF(LOWER('Black-Scholes'!$B$11)="put",MAX('Black-Scholes'!$B$6-D4653,0),MAX(D4653-'Black-Scholes'!$B$6,0))</f>
        <v>0</v>
      </c>
    </row>
    <row r="4654" customFormat="false" ht="15" hidden="false" customHeight="false" outlineLevel="0" collapsed="false">
      <c r="A4654" s="0" t="n">
        <v>4643</v>
      </c>
      <c r="B4654" s="15" t="n">
        <v>-0.328109286809195</v>
      </c>
      <c r="C4654" s="18" t="n">
        <f aca="false">'Black-Scholes'!$B$5*EXP(('Black-Scholes'!$B$8-'Black-Scholes'!$B$10-'Black-Scholes'!$B$9^2/2)*'Black-Scholes'!$B$7+'Black-Scholes'!$B$9*SQRT('Black-Scholes'!$B$7)*B4654)</f>
        <v>96.5005134085124</v>
      </c>
      <c r="D4654" s="18" t="n">
        <f aca="false">'Black-Scholes'!$B$5*EXP(('Black-Scholes'!$B$8-'Black-Scholes'!$B$10-'Black-Scholes'!$B$9^2/2)*'Black-Scholes'!$B$7-'Black-Scholes'!$B$9*SQRT('Black-Scholes'!$B$7)*B4654)</f>
        <v>110.034289874741</v>
      </c>
      <c r="E4654" s="18" t="n">
        <f aca="false">EXP(-'Black-Scholes'!$B$8*'Black-Scholes'!$B$7)*IF(LOWER('Black-Scholes'!$B$11)="put",MAX('Black-Scholes'!$B$6-C4654,0),MAX(C4654-'Black-Scholes'!$B$6,0))</f>
        <v>0</v>
      </c>
      <c r="F4654" s="18" t="n">
        <f aca="false">(E4654+G4654)/2</f>
        <v>4.7724558914117</v>
      </c>
      <c r="G4654" s="18" t="n">
        <f aca="false">EXP(-'Black-Scholes'!$B$8*'Black-Scholes'!$B$7)*IF(LOWER('Black-Scholes'!$B$11)="put",MAX('Black-Scholes'!$B$6-D4654,0),MAX(D4654-'Black-Scholes'!$B$6,0))</f>
        <v>9.54491178282339</v>
      </c>
    </row>
    <row r="4655" customFormat="false" ht="15" hidden="false" customHeight="false" outlineLevel="0" collapsed="false">
      <c r="A4655" s="0" t="n">
        <v>4644</v>
      </c>
      <c r="B4655" s="15" t="n">
        <v>-2.15612835517612</v>
      </c>
      <c r="C4655" s="18" t="n">
        <f aca="false">'Black-Scholes'!$B$5*EXP(('Black-Scholes'!$B$8-'Black-Scholes'!$B$10-'Black-Scholes'!$B$9^2/2)*'Black-Scholes'!$B$7+'Black-Scholes'!$B$9*SQRT('Black-Scholes'!$B$7)*B4655)</f>
        <v>66.9498957465913</v>
      </c>
      <c r="D4655" s="18" t="n">
        <f aca="false">'Black-Scholes'!$B$5*EXP(('Black-Scholes'!$B$8-'Black-Scholes'!$B$10-'Black-Scholes'!$B$9^2/2)*'Black-Scholes'!$B$7-'Black-Scholes'!$B$9*SQRT('Black-Scholes'!$B$7)*B4655)</f>
        <v>158.601672893482</v>
      </c>
      <c r="E4655" s="18" t="n">
        <f aca="false">EXP(-'Black-Scholes'!$B$8*'Black-Scholes'!$B$7)*IF(LOWER('Black-Scholes'!$B$11)="put",MAX('Black-Scholes'!$B$6-C4655,0),MAX(C4655-'Black-Scholes'!$B$6,0))</f>
        <v>0</v>
      </c>
      <c r="F4655" s="18" t="n">
        <f aca="false">(E4655+G4655)/2</f>
        <v>27.871817790623</v>
      </c>
      <c r="G4655" s="18" t="n">
        <f aca="false">EXP(-'Black-Scholes'!$B$8*'Black-Scholes'!$B$7)*IF(LOWER('Black-Scholes'!$B$11)="put",MAX('Black-Scholes'!$B$6-D4655,0),MAX(D4655-'Black-Scholes'!$B$6,0))</f>
        <v>55.743635581246</v>
      </c>
    </row>
    <row r="4656" customFormat="false" ht="15" hidden="false" customHeight="false" outlineLevel="0" collapsed="false">
      <c r="A4656" s="0" t="n">
        <v>4645</v>
      </c>
      <c r="B4656" s="15" t="n">
        <v>-0.606489301703167</v>
      </c>
      <c r="C4656" s="18" t="n">
        <f aca="false">'Black-Scholes'!$B$5*EXP(('Black-Scholes'!$B$8-'Black-Scholes'!$B$10-'Black-Scholes'!$B$9^2/2)*'Black-Scholes'!$B$7+'Black-Scholes'!$B$9*SQRT('Black-Scholes'!$B$7)*B4656)</f>
        <v>91.2745799630695</v>
      </c>
      <c r="D4656" s="18" t="n">
        <f aca="false">'Black-Scholes'!$B$5*EXP(('Black-Scholes'!$B$8-'Black-Scholes'!$B$10-'Black-Scholes'!$B$9^2/2)*'Black-Scholes'!$B$7-'Black-Scholes'!$B$9*SQRT('Black-Scholes'!$B$7)*B4656)</f>
        <v>116.334312025866</v>
      </c>
      <c r="E4656" s="18" t="n">
        <f aca="false">EXP(-'Black-Scholes'!$B$8*'Black-Scholes'!$B$7)*IF(LOWER('Black-Scholes'!$B$11)="put",MAX('Black-Scholes'!$B$6-C4656,0),MAX(C4656-'Black-Scholes'!$B$6,0))</f>
        <v>0</v>
      </c>
      <c r="F4656" s="18" t="n">
        <f aca="false">(E4656+G4656)/2</f>
        <v>7.76883911398988</v>
      </c>
      <c r="G4656" s="18" t="n">
        <f aca="false">EXP(-'Black-Scholes'!$B$8*'Black-Scholes'!$B$7)*IF(LOWER('Black-Scholes'!$B$11)="put",MAX('Black-Scholes'!$B$6-D4656,0),MAX(D4656-'Black-Scholes'!$B$6,0))</f>
        <v>15.5376782279798</v>
      </c>
    </row>
    <row r="4657" customFormat="false" ht="15" hidden="false" customHeight="false" outlineLevel="0" collapsed="false">
      <c r="A4657" s="0" t="n">
        <v>4646</v>
      </c>
      <c r="B4657" s="15" t="n">
        <v>-0.623987684813225</v>
      </c>
      <c r="C4657" s="18" t="n">
        <f aca="false">'Black-Scholes'!$B$5*EXP(('Black-Scholes'!$B$8-'Black-Scholes'!$B$10-'Black-Scholes'!$B$9^2/2)*'Black-Scholes'!$B$7+'Black-Scholes'!$B$9*SQRT('Black-Scholes'!$B$7)*B4657)</f>
        <v>90.9557067514071</v>
      </c>
      <c r="D4657" s="18" t="n">
        <f aca="false">'Black-Scholes'!$B$5*EXP(('Black-Scholes'!$B$8-'Black-Scholes'!$B$10-'Black-Scholes'!$B$9^2/2)*'Black-Scholes'!$B$7-'Black-Scholes'!$B$9*SQRT('Black-Scholes'!$B$7)*B4657)</f>
        <v>116.742157745801</v>
      </c>
      <c r="E4657" s="18" t="n">
        <f aca="false">EXP(-'Black-Scholes'!$B$8*'Black-Scholes'!$B$7)*IF(LOWER('Black-Scholes'!$B$11)="put",MAX('Black-Scholes'!$B$6-C4657,0),MAX(C4657-'Black-Scholes'!$B$6,0))</f>
        <v>0</v>
      </c>
      <c r="F4657" s="18" t="n">
        <f aca="false">(E4657+G4657)/2</f>
        <v>7.96281653871929</v>
      </c>
      <c r="G4657" s="18" t="n">
        <f aca="false">EXP(-'Black-Scholes'!$B$8*'Black-Scholes'!$B$7)*IF(LOWER('Black-Scholes'!$B$11)="put",MAX('Black-Scholes'!$B$6-D4657,0),MAX(D4657-'Black-Scholes'!$B$6,0))</f>
        <v>15.9256330774386</v>
      </c>
    </row>
    <row r="4658" customFormat="false" ht="15" hidden="false" customHeight="false" outlineLevel="0" collapsed="false">
      <c r="A4658" s="0" t="n">
        <v>4647</v>
      </c>
      <c r="B4658" s="15" t="n">
        <v>0.151844856707827</v>
      </c>
      <c r="C4658" s="18" t="n">
        <f aca="false">'Black-Scholes'!$B$5*EXP(('Black-Scholes'!$B$8-'Black-Scholes'!$B$10-'Black-Scholes'!$B$9^2/2)*'Black-Scholes'!$B$7+'Black-Scholes'!$B$9*SQRT('Black-Scholes'!$B$7)*B4658)</f>
        <v>106.222840608849</v>
      </c>
      <c r="D4658" s="18" t="n">
        <f aca="false">'Black-Scholes'!$B$5*EXP(('Black-Scholes'!$B$8-'Black-Scholes'!$B$10-'Black-Scholes'!$B$9^2/2)*'Black-Scholes'!$B$7-'Black-Scholes'!$B$9*SQRT('Black-Scholes'!$B$7)*B4658)</f>
        <v>99.9631096719989</v>
      </c>
      <c r="E4658" s="18" t="n">
        <f aca="false">EXP(-'Black-Scholes'!$B$8*'Black-Scholes'!$B$7)*IF(LOWER('Black-Scholes'!$B$11)="put",MAX('Black-Scholes'!$B$6-C4658,0),MAX(C4658-'Black-Scholes'!$B$6,0))</f>
        <v>5.91934909111478</v>
      </c>
      <c r="F4658" s="18" t="n">
        <f aca="false">(E4658+G4658)/2</f>
        <v>2.95967454555739</v>
      </c>
      <c r="G4658" s="18" t="n">
        <f aca="false">EXP(-'Black-Scholes'!$B$8*'Black-Scholes'!$B$7)*IF(LOWER('Black-Scholes'!$B$11)="put",MAX('Black-Scholes'!$B$6-D4658,0),MAX(D4658-'Black-Scholes'!$B$6,0))</f>
        <v>0</v>
      </c>
    </row>
    <row r="4659" customFormat="false" ht="15" hidden="false" customHeight="false" outlineLevel="0" collapsed="false">
      <c r="A4659" s="0" t="n">
        <v>4648</v>
      </c>
      <c r="B4659" s="15" t="n">
        <v>1.72933582492002</v>
      </c>
      <c r="C4659" s="18" t="n">
        <f aca="false">'Black-Scholes'!$B$5*EXP(('Black-Scholes'!$B$8-'Black-Scholes'!$B$10-'Black-Scholes'!$B$9^2/2)*'Black-Scholes'!$B$7+'Black-Scholes'!$B$9*SQRT('Black-Scholes'!$B$7)*B4659)</f>
        <v>145.625367944181</v>
      </c>
      <c r="D4659" s="18" t="n">
        <f aca="false">'Black-Scholes'!$B$5*EXP(('Black-Scholes'!$B$8-'Black-Scholes'!$B$10-'Black-Scholes'!$B$9^2/2)*'Black-Scholes'!$B$7-'Black-Scholes'!$B$9*SQRT('Black-Scholes'!$B$7)*B4659)</f>
        <v>72.9156301223813</v>
      </c>
      <c r="E4659" s="18" t="n">
        <f aca="false">EXP(-'Black-Scholes'!$B$8*'Black-Scholes'!$B$7)*IF(LOWER('Black-Scholes'!$B$11)="put",MAX('Black-Scholes'!$B$6-C4659,0),MAX(C4659-'Black-Scholes'!$B$6,0))</f>
        <v>43.4001924921769</v>
      </c>
      <c r="F4659" s="18" t="n">
        <f aca="false">(E4659+G4659)/2</f>
        <v>21.7000962460884</v>
      </c>
      <c r="G4659" s="18" t="n">
        <f aca="false">EXP(-'Black-Scholes'!$B$8*'Black-Scholes'!$B$7)*IF(LOWER('Black-Scholes'!$B$11)="put",MAX('Black-Scholes'!$B$6-D4659,0),MAX(D4659-'Black-Scholes'!$B$6,0))</f>
        <v>0</v>
      </c>
    </row>
    <row r="4660" customFormat="false" ht="15" hidden="false" customHeight="false" outlineLevel="0" collapsed="false">
      <c r="A4660" s="0" t="n">
        <v>4649</v>
      </c>
      <c r="B4660" s="15" t="n">
        <v>0.349724951304457</v>
      </c>
      <c r="C4660" s="18" t="n">
        <f aca="false">'Black-Scholes'!$B$5*EXP(('Black-Scholes'!$B$8-'Black-Scholes'!$B$10-'Black-Scholes'!$B$9^2/2)*'Black-Scholes'!$B$7+'Black-Scholes'!$B$9*SQRT('Black-Scholes'!$B$7)*B4660)</f>
        <v>110.511012458391</v>
      </c>
      <c r="D4660" s="18" t="n">
        <f aca="false">'Black-Scholes'!$B$5*EXP(('Black-Scholes'!$B$8-'Black-Scholes'!$B$10-'Black-Scholes'!$B$9^2/2)*'Black-Scholes'!$B$7-'Black-Scholes'!$B$9*SQRT('Black-Scholes'!$B$7)*B4660)</f>
        <v>96.0842293382445</v>
      </c>
      <c r="E4660" s="18" t="n">
        <f aca="false">EXP(-'Black-Scholes'!$B$8*'Black-Scholes'!$B$7)*IF(LOWER('Black-Scholes'!$B$11)="put",MAX('Black-Scholes'!$B$6-C4660,0),MAX(C4660-'Black-Scholes'!$B$6,0))</f>
        <v>9.99838433171476</v>
      </c>
      <c r="F4660" s="18" t="n">
        <f aca="false">(E4660+G4660)/2</f>
        <v>4.99919216585738</v>
      </c>
      <c r="G4660" s="18" t="n">
        <f aca="false">EXP(-'Black-Scholes'!$B$8*'Black-Scholes'!$B$7)*IF(LOWER('Black-Scholes'!$B$11)="put",MAX('Black-Scholes'!$B$6-D4660,0),MAX(D4660-'Black-Scholes'!$B$6,0))</f>
        <v>0</v>
      </c>
    </row>
    <row r="4661" customFormat="false" ht="15" hidden="false" customHeight="false" outlineLevel="0" collapsed="false">
      <c r="A4661" s="0" t="n">
        <v>4650</v>
      </c>
      <c r="B4661" s="15" t="n">
        <v>-3.00050344938723</v>
      </c>
      <c r="C4661" s="18" t="n">
        <f aca="false">'Black-Scholes'!$B$5*EXP(('Black-Scholes'!$B$8-'Black-Scholes'!$B$10-'Black-Scholes'!$B$9^2/2)*'Black-Scholes'!$B$7+'Black-Scholes'!$B$9*SQRT('Black-Scholes'!$B$7)*B4661)</f>
        <v>56.5468498879102</v>
      </c>
      <c r="D4661" s="18" t="n">
        <f aca="false">'Black-Scholes'!$B$5*EXP(('Black-Scholes'!$B$8-'Black-Scholes'!$B$10-'Black-Scholes'!$B$9^2/2)*'Black-Scholes'!$B$7-'Black-Scholes'!$B$9*SQRT('Black-Scholes'!$B$7)*B4661)</f>
        <v>187.779964516181</v>
      </c>
      <c r="E4661" s="18" t="n">
        <f aca="false">EXP(-'Black-Scholes'!$B$8*'Black-Scholes'!$B$7)*IF(LOWER('Black-Scholes'!$B$11)="put",MAX('Black-Scholes'!$B$6-C4661,0),MAX(C4661-'Black-Scholes'!$B$6,0))</f>
        <v>0</v>
      </c>
      <c r="F4661" s="18" t="n">
        <f aca="false">(E4661+G4661)/2</f>
        <v>41.74944256471</v>
      </c>
      <c r="G4661" s="18" t="n">
        <f aca="false">EXP(-'Black-Scholes'!$B$8*'Black-Scholes'!$B$7)*IF(LOWER('Black-Scholes'!$B$11)="put",MAX('Black-Scholes'!$B$6-D4661,0),MAX(D4661-'Black-Scholes'!$B$6,0))</f>
        <v>83.4988851294201</v>
      </c>
    </row>
    <row r="4662" customFormat="false" ht="15" hidden="false" customHeight="false" outlineLevel="0" collapsed="false">
      <c r="A4662" s="0" t="n">
        <v>4651</v>
      </c>
      <c r="B4662" s="15" t="n">
        <v>0.759824040932871</v>
      </c>
      <c r="C4662" s="18" t="n">
        <f aca="false">'Black-Scholes'!$B$5*EXP(('Black-Scholes'!$B$8-'Black-Scholes'!$B$10-'Black-Scholes'!$B$9^2/2)*'Black-Scholes'!$B$7+'Black-Scholes'!$B$9*SQRT('Black-Scholes'!$B$7)*B4662)</f>
        <v>119.957197802381</v>
      </c>
      <c r="D4662" s="18" t="n">
        <f aca="false">'Black-Scholes'!$B$5*EXP(('Black-Scholes'!$B$8-'Black-Scholes'!$B$10-'Black-Scholes'!$B$9^2/2)*'Black-Scholes'!$B$7-'Black-Scholes'!$B$9*SQRT('Black-Scholes'!$B$7)*B4662)</f>
        <v>88.5179519026984</v>
      </c>
      <c r="E4662" s="18" t="n">
        <f aca="false">EXP(-'Black-Scholes'!$B$8*'Black-Scholes'!$B$7)*IF(LOWER('Black-Scholes'!$B$11)="put",MAX('Black-Scholes'!$B$6-C4662,0),MAX(C4662-'Black-Scholes'!$B$6,0))</f>
        <v>18.9838737802053</v>
      </c>
      <c r="F4662" s="18" t="n">
        <f aca="false">(E4662+G4662)/2</f>
        <v>9.49193689010266</v>
      </c>
      <c r="G4662" s="18" t="n">
        <f aca="false">EXP(-'Black-Scholes'!$B$8*'Black-Scholes'!$B$7)*IF(LOWER('Black-Scholes'!$B$11)="put",MAX('Black-Scholes'!$B$6-D4662,0),MAX(D4662-'Black-Scholes'!$B$6,0))</f>
        <v>0</v>
      </c>
    </row>
    <row r="4663" customFormat="false" ht="15" hidden="false" customHeight="false" outlineLevel="0" collapsed="false">
      <c r="A4663" s="0" t="n">
        <v>4652</v>
      </c>
      <c r="B4663" s="15" t="n">
        <v>-0.672064237953027</v>
      </c>
      <c r="C4663" s="18" t="n">
        <f aca="false">'Black-Scholes'!$B$5*EXP(('Black-Scholes'!$B$8-'Black-Scholes'!$B$10-'Black-Scholes'!$B$9^2/2)*'Black-Scholes'!$B$7+'Black-Scholes'!$B$9*SQRT('Black-Scholes'!$B$7)*B4663)</f>
        <v>90.0853305521835</v>
      </c>
      <c r="D4663" s="18" t="n">
        <f aca="false">'Black-Scholes'!$B$5*EXP(('Black-Scholes'!$B$8-'Black-Scholes'!$B$10-'Black-Scholes'!$B$9^2/2)*'Black-Scholes'!$B$7-'Black-Scholes'!$B$9*SQRT('Black-Scholes'!$B$7)*B4663)</f>
        <v>117.870083845701</v>
      </c>
      <c r="E4663" s="18" t="n">
        <f aca="false">EXP(-'Black-Scholes'!$B$8*'Black-Scholes'!$B$7)*IF(LOWER('Black-Scholes'!$B$11)="put",MAX('Black-Scholes'!$B$6-C4663,0),MAX(C4663-'Black-Scholes'!$B$6,0))</f>
        <v>0</v>
      </c>
      <c r="F4663" s="18" t="n">
        <f aca="false">(E4663+G4663)/2</f>
        <v>8.49927478616303</v>
      </c>
      <c r="G4663" s="18" t="n">
        <f aca="false">EXP(-'Black-Scholes'!$B$8*'Black-Scholes'!$B$7)*IF(LOWER('Black-Scholes'!$B$11)="put",MAX('Black-Scholes'!$B$6-D4663,0),MAX(D4663-'Black-Scholes'!$B$6,0))</f>
        <v>16.9985495723261</v>
      </c>
    </row>
    <row r="4664" customFormat="false" ht="15" hidden="false" customHeight="false" outlineLevel="0" collapsed="false">
      <c r="A4664" s="0" t="n">
        <v>4653</v>
      </c>
      <c r="B4664" s="15" t="n">
        <v>0.283683444867498</v>
      </c>
      <c r="C4664" s="18" t="n">
        <f aca="false">'Black-Scholes'!$B$5*EXP(('Black-Scholes'!$B$8-'Black-Scholes'!$B$10-'Black-Scholes'!$B$9^2/2)*'Black-Scholes'!$B$7+'Black-Scholes'!$B$9*SQRT('Black-Scholes'!$B$7)*B4664)</f>
        <v>109.060947240782</v>
      </c>
      <c r="D4664" s="18" t="n">
        <f aca="false">'Black-Scholes'!$B$5*EXP(('Black-Scholes'!$B$8-'Black-Scholes'!$B$10-'Black-Scholes'!$B$9^2/2)*'Black-Scholes'!$B$7-'Black-Scholes'!$B$9*SQRT('Black-Scholes'!$B$7)*B4664)</f>
        <v>97.361757201784</v>
      </c>
      <c r="E4664" s="18" t="n">
        <f aca="false">EXP(-'Black-Scholes'!$B$8*'Black-Scholes'!$B$7)*IF(LOWER('Black-Scholes'!$B$11)="put",MAX('Black-Scholes'!$B$6-C4664,0),MAX(C4664-'Black-Scholes'!$B$6,0))</f>
        <v>8.61903962928045</v>
      </c>
      <c r="F4664" s="18" t="n">
        <f aca="false">(E4664+G4664)/2</f>
        <v>4.30951981464022</v>
      </c>
      <c r="G4664" s="18" t="n">
        <f aca="false">EXP(-'Black-Scholes'!$B$8*'Black-Scholes'!$B$7)*IF(LOWER('Black-Scholes'!$B$11)="put",MAX('Black-Scholes'!$B$6-D4664,0),MAX(D4664-'Black-Scholes'!$B$6,0))</f>
        <v>0</v>
      </c>
    </row>
    <row r="4665" customFormat="false" ht="15" hidden="false" customHeight="false" outlineLevel="0" collapsed="false">
      <c r="A4665" s="0" t="n">
        <v>4654</v>
      </c>
      <c r="B4665" s="15" t="n">
        <v>0.678991906649005</v>
      </c>
      <c r="C4665" s="18" t="n">
        <f aca="false">'Black-Scholes'!$B$5*EXP(('Black-Scholes'!$B$8-'Black-Scholes'!$B$10-'Black-Scholes'!$B$9^2/2)*'Black-Scholes'!$B$7+'Black-Scholes'!$B$9*SQRT('Black-Scholes'!$B$7)*B4665)</f>
        <v>118.033510013802</v>
      </c>
      <c r="D4665" s="18" t="n">
        <f aca="false">'Black-Scholes'!$B$5*EXP(('Black-Scholes'!$B$8-'Black-Scholes'!$B$10-'Black-Scholes'!$B$9^2/2)*'Black-Scholes'!$B$7-'Black-Scholes'!$B$9*SQRT('Black-Scholes'!$B$7)*B4665)</f>
        <v>89.9606007159488</v>
      </c>
      <c r="E4665" s="18" t="n">
        <f aca="false">EXP(-'Black-Scholes'!$B$8*'Black-Scholes'!$B$7)*IF(LOWER('Black-Scholes'!$B$11)="put",MAX('Black-Scholes'!$B$6-C4665,0),MAX(C4665-'Black-Scholes'!$B$6,0))</f>
        <v>17.1540053521569</v>
      </c>
      <c r="F4665" s="18" t="n">
        <f aca="false">(E4665+G4665)/2</f>
        <v>8.57700267607846</v>
      </c>
      <c r="G4665" s="18" t="n">
        <f aca="false">EXP(-'Black-Scholes'!$B$8*'Black-Scholes'!$B$7)*IF(LOWER('Black-Scholes'!$B$11)="put",MAX('Black-Scholes'!$B$6-D4665,0),MAX(D4665-'Black-Scholes'!$B$6,0))</f>
        <v>0</v>
      </c>
    </row>
    <row r="4666" customFormat="false" ht="15" hidden="false" customHeight="false" outlineLevel="0" collapsed="false">
      <c r="A4666" s="0" t="n">
        <v>4655</v>
      </c>
      <c r="B4666" s="15" t="n">
        <v>0.395019098761917</v>
      </c>
      <c r="C4666" s="18" t="n">
        <f aca="false">'Black-Scholes'!$B$5*EXP(('Black-Scholes'!$B$8-'Black-Scholes'!$B$10-'Black-Scholes'!$B$9^2/2)*'Black-Scholes'!$B$7+'Black-Scholes'!$B$9*SQRT('Black-Scholes'!$B$7)*B4666)</f>
        <v>111.516660999363</v>
      </c>
      <c r="D4666" s="18" t="n">
        <f aca="false">'Black-Scholes'!$B$5*EXP(('Black-Scholes'!$B$8-'Black-Scholes'!$B$10-'Black-Scholes'!$B$9^2/2)*'Black-Scholes'!$B$7-'Black-Scholes'!$B$9*SQRT('Black-Scholes'!$B$7)*B4666)</f>
        <v>95.2177492609312</v>
      </c>
      <c r="E4666" s="18" t="n">
        <f aca="false">EXP(-'Black-Scholes'!$B$8*'Black-Scholes'!$B$7)*IF(LOWER('Black-Scholes'!$B$11)="put",MAX('Black-Scholes'!$B$6-C4666,0),MAX(C4666-'Black-Scholes'!$B$6,0))</f>
        <v>10.9549868145938</v>
      </c>
      <c r="F4666" s="18" t="n">
        <f aca="false">(E4666+G4666)/2</f>
        <v>5.47749340729689</v>
      </c>
      <c r="G4666" s="18" t="n">
        <f aca="false">EXP(-'Black-Scholes'!$B$8*'Black-Scholes'!$B$7)*IF(LOWER('Black-Scholes'!$B$11)="put",MAX('Black-Scholes'!$B$6-D4666,0),MAX(D4666-'Black-Scholes'!$B$6,0))</f>
        <v>0</v>
      </c>
    </row>
    <row r="4667" customFormat="false" ht="15" hidden="false" customHeight="false" outlineLevel="0" collapsed="false">
      <c r="A4667" s="0" t="n">
        <v>4656</v>
      </c>
      <c r="B4667" s="15" t="n">
        <v>0.149749510586072</v>
      </c>
      <c r="C4667" s="18" t="n">
        <f aca="false">'Black-Scholes'!$B$5*EXP(('Black-Scholes'!$B$8-'Black-Scholes'!$B$10-'Black-Scholes'!$B$9^2/2)*'Black-Scholes'!$B$7+'Black-Scholes'!$B$9*SQRT('Black-Scholes'!$B$7)*B4667)</f>
        <v>106.178335211499</v>
      </c>
      <c r="D4667" s="18" t="n">
        <f aca="false">'Black-Scholes'!$B$5*EXP(('Black-Scholes'!$B$8-'Black-Scholes'!$B$10-'Black-Scholes'!$B$9^2/2)*'Black-Scholes'!$B$7-'Black-Scholes'!$B$9*SQRT('Black-Scholes'!$B$7)*B4667)</f>
        <v>100.005009913771</v>
      </c>
      <c r="E4667" s="18" t="n">
        <f aca="false">EXP(-'Black-Scholes'!$B$8*'Black-Scholes'!$B$7)*IF(LOWER('Black-Scholes'!$B$11)="put",MAX('Black-Scholes'!$B$6-C4667,0),MAX(C4667-'Black-Scholes'!$B$6,0))</f>
        <v>5.87701424760655</v>
      </c>
      <c r="F4667" s="18" t="n">
        <f aca="false">(E4667+G4667)/2</f>
        <v>2.94088991249965</v>
      </c>
      <c r="G4667" s="18" t="n">
        <f aca="false">EXP(-'Black-Scholes'!$B$8*'Black-Scholes'!$B$7)*IF(LOWER('Black-Scholes'!$B$11)="put",MAX('Black-Scholes'!$B$6-D4667,0),MAX(D4667-'Black-Scholes'!$B$6,0))</f>
        <v>0.00476557739275863</v>
      </c>
    </row>
    <row r="4668" customFormat="false" ht="15" hidden="false" customHeight="false" outlineLevel="0" collapsed="false">
      <c r="A4668" s="0" t="n">
        <v>4657</v>
      </c>
      <c r="B4668" s="15" t="n">
        <v>0.295341301171984</v>
      </c>
      <c r="C4668" s="18" t="n">
        <f aca="false">'Black-Scholes'!$B$5*EXP(('Black-Scholes'!$B$8-'Black-Scholes'!$B$10-'Black-Scholes'!$B$9^2/2)*'Black-Scholes'!$B$7+'Black-Scholes'!$B$9*SQRT('Black-Scholes'!$B$7)*B4668)</f>
        <v>109.315527281479</v>
      </c>
      <c r="D4668" s="18" t="n">
        <f aca="false">'Black-Scholes'!$B$5*EXP(('Black-Scholes'!$B$8-'Black-Scholes'!$B$10-'Black-Scholes'!$B$9^2/2)*'Black-Scholes'!$B$7-'Black-Scholes'!$B$9*SQRT('Black-Scholes'!$B$7)*B4668)</f>
        <v>97.135015761413</v>
      </c>
      <c r="E4668" s="18" t="n">
        <f aca="false">EXP(-'Black-Scholes'!$B$8*'Black-Scholes'!$B$7)*IF(LOWER('Black-Scholes'!$B$11)="put",MAX('Black-Scholes'!$B$6-C4668,0),MAX(C4668-'Black-Scholes'!$B$6,0))</f>
        <v>8.86120365488159</v>
      </c>
      <c r="F4668" s="18" t="n">
        <f aca="false">(E4668+G4668)/2</f>
        <v>4.43060182744079</v>
      </c>
      <c r="G4668" s="18" t="n">
        <f aca="false">EXP(-'Black-Scholes'!$B$8*'Black-Scholes'!$B$7)*IF(LOWER('Black-Scholes'!$B$11)="put",MAX('Black-Scholes'!$B$6-D4668,0),MAX(D4668-'Black-Scholes'!$B$6,0))</f>
        <v>0</v>
      </c>
    </row>
    <row r="4669" customFormat="false" ht="15" hidden="false" customHeight="false" outlineLevel="0" collapsed="false">
      <c r="A4669" s="0" t="n">
        <v>4658</v>
      </c>
      <c r="B4669" s="15" t="n">
        <v>-1.24202257126858</v>
      </c>
      <c r="C4669" s="18" t="n">
        <f aca="false">'Black-Scholes'!$B$5*EXP(('Black-Scholes'!$B$8-'Black-Scholes'!$B$10-'Black-Scholes'!$B$9^2/2)*'Black-Scholes'!$B$7+'Black-Scholes'!$B$9*SQRT('Black-Scholes'!$B$7)*B4669)</f>
        <v>80.3800227244999</v>
      </c>
      <c r="D4669" s="18" t="n">
        <f aca="false">'Black-Scholes'!$B$5*EXP(('Black-Scholes'!$B$8-'Black-Scholes'!$B$10-'Black-Scholes'!$B$9^2/2)*'Black-Scholes'!$B$7-'Black-Scholes'!$B$9*SQRT('Black-Scholes'!$B$7)*B4669)</f>
        <v>132.102046074903</v>
      </c>
      <c r="E4669" s="18" t="n">
        <f aca="false">EXP(-'Black-Scholes'!$B$8*'Black-Scholes'!$B$7)*IF(LOWER('Black-Scholes'!$B$11)="put",MAX('Black-Scholes'!$B$6-C4669,0),MAX(C4669-'Black-Scholes'!$B$6,0))</f>
        <v>0</v>
      </c>
      <c r="F4669" s="18" t="n">
        <f aca="false">(E4669+G4669)/2</f>
        <v>15.2682054065625</v>
      </c>
      <c r="G4669" s="18" t="n">
        <f aca="false">EXP(-'Black-Scholes'!$B$8*'Black-Scholes'!$B$7)*IF(LOWER('Black-Scholes'!$B$11)="put",MAX('Black-Scholes'!$B$6-D4669,0),MAX(D4669-'Black-Scholes'!$B$6,0))</f>
        <v>30.5364108131249</v>
      </c>
    </row>
    <row r="4670" customFormat="false" ht="15" hidden="false" customHeight="false" outlineLevel="0" collapsed="false">
      <c r="A4670" s="0" t="n">
        <v>4659</v>
      </c>
      <c r="B4670" s="15" t="n">
        <v>0.633827065358644</v>
      </c>
      <c r="C4670" s="18" t="n">
        <f aca="false">'Black-Scholes'!$B$5*EXP(('Black-Scholes'!$B$8-'Black-Scholes'!$B$10-'Black-Scholes'!$B$9^2/2)*'Black-Scholes'!$B$7+'Black-Scholes'!$B$9*SQRT('Black-Scholes'!$B$7)*B4670)</f>
        <v>116.972118041427</v>
      </c>
      <c r="D4670" s="18" t="n">
        <f aca="false">'Black-Scholes'!$B$5*EXP(('Black-Scholes'!$B$8-'Black-Scholes'!$B$10-'Black-Scholes'!$B$9^2/2)*'Black-Scholes'!$B$7-'Black-Scholes'!$B$9*SQRT('Black-Scholes'!$B$7)*B4670)</f>
        <v>90.7768931882808</v>
      </c>
      <c r="E4670" s="18" t="n">
        <f aca="false">EXP(-'Black-Scholes'!$B$8*'Black-Scholes'!$B$7)*IF(LOWER('Black-Scholes'!$B$11)="put",MAX('Black-Scholes'!$B$6-C4670,0),MAX(C4670-'Black-Scholes'!$B$6,0))</f>
        <v>16.1443780771049</v>
      </c>
      <c r="F4670" s="18" t="n">
        <f aca="false">(E4670+G4670)/2</f>
        <v>8.07218903855243</v>
      </c>
      <c r="G4670" s="18" t="n">
        <f aca="false">EXP(-'Black-Scholes'!$B$8*'Black-Scholes'!$B$7)*IF(LOWER('Black-Scholes'!$B$11)="put",MAX('Black-Scholes'!$B$6-D4670,0),MAX(D4670-'Black-Scholes'!$B$6,0))</f>
        <v>0</v>
      </c>
    </row>
    <row r="4671" customFormat="false" ht="15" hidden="false" customHeight="false" outlineLevel="0" collapsed="false">
      <c r="A4671" s="0" t="n">
        <v>4660</v>
      </c>
      <c r="B4671" s="15" t="n">
        <v>-0.490523447103039</v>
      </c>
      <c r="C4671" s="18" t="n">
        <f aca="false">'Black-Scholes'!$B$5*EXP(('Black-Scholes'!$B$8-'Black-Scholes'!$B$10-'Black-Scholes'!$B$9^2/2)*'Black-Scholes'!$B$7+'Black-Scholes'!$B$9*SQRT('Black-Scholes'!$B$7)*B4671)</f>
        <v>93.4162671509048</v>
      </c>
      <c r="D4671" s="18" t="n">
        <f aca="false">'Black-Scholes'!$B$5*EXP(('Black-Scholes'!$B$8-'Black-Scholes'!$B$10-'Black-Scholes'!$B$9^2/2)*'Black-Scholes'!$B$7-'Black-Scholes'!$B$9*SQRT('Black-Scholes'!$B$7)*B4671)</f>
        <v>113.667199400086</v>
      </c>
      <c r="E4671" s="18" t="n">
        <f aca="false">EXP(-'Black-Scholes'!$B$8*'Black-Scholes'!$B$7)*IF(LOWER('Black-Scholes'!$B$11)="put",MAX('Black-Scholes'!$B$6-C4671,0),MAX(C4671-'Black-Scholes'!$B$6,0))</f>
        <v>0</v>
      </c>
      <c r="F4671" s="18" t="n">
        <f aca="false">(E4671+G4671)/2</f>
        <v>6.50032110994012</v>
      </c>
      <c r="G4671" s="18" t="n">
        <f aca="false">EXP(-'Black-Scholes'!$B$8*'Black-Scholes'!$B$7)*IF(LOWER('Black-Scholes'!$B$11)="put",MAX('Black-Scholes'!$B$6-D4671,0),MAX(D4671-'Black-Scholes'!$B$6,0))</f>
        <v>13.0006422198802</v>
      </c>
    </row>
    <row r="4672" customFormat="false" ht="15" hidden="false" customHeight="false" outlineLevel="0" collapsed="false">
      <c r="A4672" s="0" t="n">
        <v>4661</v>
      </c>
      <c r="B4672" s="15" t="n">
        <v>0.327230895565819</v>
      </c>
      <c r="C4672" s="18" t="n">
        <f aca="false">'Black-Scholes'!$B$5*EXP(('Black-Scholes'!$B$8-'Black-Scholes'!$B$10-'Black-Scholes'!$B$9^2/2)*'Black-Scholes'!$B$7+'Black-Scholes'!$B$9*SQRT('Black-Scholes'!$B$7)*B4672)</f>
        <v>110.014960941288</v>
      </c>
      <c r="D4672" s="18" t="n">
        <f aca="false">'Black-Scholes'!$B$5*EXP(('Black-Scholes'!$B$8-'Black-Scholes'!$B$10-'Black-Scholes'!$B$9^2/2)*'Black-Scholes'!$B$7-'Black-Scholes'!$B$9*SQRT('Black-Scholes'!$B$7)*B4672)</f>
        <v>96.5174679389317</v>
      </c>
      <c r="E4672" s="18" t="n">
        <f aca="false">EXP(-'Black-Scholes'!$B$8*'Black-Scholes'!$B$7)*IF(LOWER('Black-Scholes'!$B$11)="put",MAX('Black-Scholes'!$B$6-C4672,0),MAX(C4672-'Black-Scholes'!$B$6,0))</f>
        <v>9.52652553257855</v>
      </c>
      <c r="F4672" s="18" t="n">
        <f aca="false">(E4672+G4672)/2</f>
        <v>4.76326276628928</v>
      </c>
      <c r="G4672" s="18" t="n">
        <f aca="false">EXP(-'Black-Scholes'!$B$8*'Black-Scholes'!$B$7)*IF(LOWER('Black-Scholes'!$B$11)="put",MAX('Black-Scholes'!$B$6-D4672,0),MAX(D4672-'Black-Scholes'!$B$6,0))</f>
        <v>0</v>
      </c>
    </row>
    <row r="4673" customFormat="false" ht="15" hidden="false" customHeight="false" outlineLevel="0" collapsed="false">
      <c r="A4673" s="0" t="n">
        <v>4662</v>
      </c>
      <c r="B4673" s="15" t="n">
        <v>0.393404364891922</v>
      </c>
      <c r="C4673" s="18" t="n">
        <f aca="false">'Black-Scholes'!$B$5*EXP(('Black-Scholes'!$B$8-'Black-Scholes'!$B$10-'Black-Scholes'!$B$9^2/2)*'Black-Scholes'!$B$7+'Black-Scholes'!$B$9*SQRT('Black-Scholes'!$B$7)*B4673)</f>
        <v>111.480652868114</v>
      </c>
      <c r="D4673" s="18" t="n">
        <f aca="false">'Black-Scholes'!$B$5*EXP(('Black-Scholes'!$B$8-'Black-Scholes'!$B$10-'Black-Scholes'!$B$9^2/2)*'Black-Scholes'!$B$7-'Black-Scholes'!$B$9*SQRT('Black-Scholes'!$B$7)*B4673)</f>
        <v>95.2485044917664</v>
      </c>
      <c r="E4673" s="18" t="n">
        <f aca="false">EXP(-'Black-Scholes'!$B$8*'Black-Scholes'!$B$7)*IF(LOWER('Black-Scholes'!$B$11)="put",MAX('Black-Scholes'!$B$6-C4673,0),MAX(C4673-'Black-Scholes'!$B$6,0))</f>
        <v>10.9207348206284</v>
      </c>
      <c r="F4673" s="18" t="n">
        <f aca="false">(E4673+G4673)/2</f>
        <v>5.46036741031421</v>
      </c>
      <c r="G4673" s="18" t="n">
        <f aca="false">EXP(-'Black-Scholes'!$B$8*'Black-Scholes'!$B$7)*IF(LOWER('Black-Scholes'!$B$11)="put",MAX('Black-Scholes'!$B$6-D4673,0),MAX(D4673-'Black-Scholes'!$B$6,0))</f>
        <v>0</v>
      </c>
    </row>
    <row r="4674" customFormat="false" ht="15" hidden="false" customHeight="false" outlineLevel="0" collapsed="false">
      <c r="A4674" s="0" t="n">
        <v>4663</v>
      </c>
      <c r="B4674" s="15" t="n">
        <v>-1.04934482135651</v>
      </c>
      <c r="C4674" s="18" t="n">
        <f aca="false">'Black-Scholes'!$B$5*EXP(('Black-Scholes'!$B$8-'Black-Scholes'!$B$10-'Black-Scholes'!$B$9^2/2)*'Black-Scholes'!$B$7+'Black-Scholes'!$B$9*SQRT('Black-Scholes'!$B$7)*B4674)</f>
        <v>83.5379668823343</v>
      </c>
      <c r="D4674" s="18" t="n">
        <f aca="false">'Black-Scholes'!$B$5*EXP(('Black-Scholes'!$B$8-'Black-Scholes'!$B$10-'Black-Scholes'!$B$9^2/2)*'Black-Scholes'!$B$7-'Black-Scholes'!$B$9*SQRT('Black-Scholes'!$B$7)*B4674)</f>
        <v>127.108258217606</v>
      </c>
      <c r="E4674" s="18" t="n">
        <f aca="false">EXP(-'Black-Scholes'!$B$8*'Black-Scholes'!$B$7)*IF(LOWER('Black-Scholes'!$B$11)="put",MAX('Black-Scholes'!$B$6-C4674,0),MAX(C4674-'Black-Scholes'!$B$6,0))</f>
        <v>0</v>
      </c>
      <c r="F4674" s="18" t="n">
        <f aca="false">(E4674+G4674)/2</f>
        <v>12.8930864317752</v>
      </c>
      <c r="G4674" s="18" t="n">
        <f aca="false">EXP(-'Black-Scholes'!$B$8*'Black-Scholes'!$B$7)*IF(LOWER('Black-Scholes'!$B$11)="put",MAX('Black-Scholes'!$B$6-D4674,0),MAX(D4674-'Black-Scholes'!$B$6,0))</f>
        <v>25.7861728635505</v>
      </c>
    </row>
    <row r="4675" customFormat="false" ht="15" hidden="false" customHeight="false" outlineLevel="0" collapsed="false">
      <c r="A4675" s="0" t="n">
        <v>4664</v>
      </c>
      <c r="B4675" s="15" t="n">
        <v>0.364012244384494</v>
      </c>
      <c r="C4675" s="18" t="n">
        <f aca="false">'Black-Scholes'!$B$5*EXP(('Black-Scholes'!$B$8-'Black-Scholes'!$B$10-'Black-Scholes'!$B$9^2/2)*'Black-Scholes'!$B$7+'Black-Scholes'!$B$9*SQRT('Black-Scholes'!$B$7)*B4675)</f>
        <v>110.827244698201</v>
      </c>
      <c r="D4675" s="18" t="n">
        <f aca="false">'Black-Scholes'!$B$5*EXP(('Black-Scholes'!$B$8-'Black-Scholes'!$B$10-'Black-Scholes'!$B$9^2/2)*'Black-Scholes'!$B$7-'Black-Scholes'!$B$9*SQRT('Black-Scholes'!$B$7)*B4675)</f>
        <v>95.810064523114</v>
      </c>
      <c r="E4675" s="18" t="n">
        <f aca="false">EXP(-'Black-Scholes'!$B$8*'Black-Scholes'!$B$7)*IF(LOWER('Black-Scholes'!$B$11)="put",MAX('Black-Scholes'!$B$6-C4675,0),MAX(C4675-'Black-Scholes'!$B$6,0))</f>
        <v>10.2991937431983</v>
      </c>
      <c r="F4675" s="18" t="n">
        <f aca="false">(E4675+G4675)/2</f>
        <v>5.14959687159917</v>
      </c>
      <c r="G4675" s="18" t="n">
        <f aca="false">EXP(-'Black-Scholes'!$B$8*'Black-Scholes'!$B$7)*IF(LOWER('Black-Scholes'!$B$11)="put",MAX('Black-Scholes'!$B$6-D4675,0),MAX(D4675-'Black-Scholes'!$B$6,0))</f>
        <v>0</v>
      </c>
    </row>
    <row r="4676" customFormat="false" ht="15" hidden="false" customHeight="false" outlineLevel="0" collapsed="false">
      <c r="A4676" s="0" t="n">
        <v>4665</v>
      </c>
      <c r="B4676" s="15" t="n">
        <v>-0.578359764962178</v>
      </c>
      <c r="C4676" s="18" t="n">
        <f aca="false">'Black-Scholes'!$B$5*EXP(('Black-Scholes'!$B$8-'Black-Scholes'!$B$10-'Black-Scholes'!$B$9^2/2)*'Black-Scholes'!$B$7+'Black-Scholes'!$B$9*SQRT('Black-Scholes'!$B$7)*B4676)</f>
        <v>91.7895294640638</v>
      </c>
      <c r="D4676" s="18" t="n">
        <f aca="false">'Black-Scholes'!$B$5*EXP(('Black-Scholes'!$B$8-'Black-Scholes'!$B$10-'Black-Scholes'!$B$9^2/2)*'Black-Scholes'!$B$7-'Black-Scholes'!$B$9*SQRT('Black-Scholes'!$B$7)*B4676)</f>
        <v>115.681663556307</v>
      </c>
      <c r="E4676" s="18" t="n">
        <f aca="false">EXP(-'Black-Scholes'!$B$8*'Black-Scholes'!$B$7)*IF(LOWER('Black-Scholes'!$B$11)="put",MAX('Black-Scholes'!$B$6-C4676,0),MAX(C4676-'Black-Scholes'!$B$6,0))</f>
        <v>0</v>
      </c>
      <c r="F4676" s="18" t="n">
        <f aca="false">(E4676+G4676)/2</f>
        <v>7.45842989994005</v>
      </c>
      <c r="G4676" s="18" t="n">
        <f aca="false">EXP(-'Black-Scholes'!$B$8*'Black-Scholes'!$B$7)*IF(LOWER('Black-Scholes'!$B$11)="put",MAX('Black-Scholes'!$B$6-D4676,0),MAX(D4676-'Black-Scholes'!$B$6,0))</f>
        <v>14.9168597998801</v>
      </c>
    </row>
    <row r="4677" customFormat="false" ht="15" hidden="false" customHeight="false" outlineLevel="0" collapsed="false">
      <c r="A4677" s="0" t="n">
        <v>4666</v>
      </c>
      <c r="B4677" s="15" t="n">
        <v>0.903188663369122</v>
      </c>
      <c r="C4677" s="18" t="n">
        <f aca="false">'Black-Scholes'!$B$5*EXP(('Black-Scholes'!$B$8-'Black-Scholes'!$B$10-'Black-Scholes'!$B$9^2/2)*'Black-Scholes'!$B$7+'Black-Scholes'!$B$9*SQRT('Black-Scholes'!$B$7)*B4677)</f>
        <v>123.446506768816</v>
      </c>
      <c r="D4677" s="18" t="n">
        <f aca="false">'Black-Scholes'!$B$5*EXP(('Black-Scholes'!$B$8-'Black-Scholes'!$B$10-'Black-Scholes'!$B$9^2/2)*'Black-Scholes'!$B$7-'Black-Scholes'!$B$9*SQRT('Black-Scholes'!$B$7)*B4677)</f>
        <v>86.0159249814912</v>
      </c>
      <c r="E4677" s="18" t="n">
        <f aca="false">EXP(-'Black-Scholes'!$B$8*'Black-Scholes'!$B$7)*IF(LOWER('Black-Scholes'!$B$11)="put",MAX('Black-Scholes'!$B$6-C4677,0),MAX(C4677-'Black-Scholes'!$B$6,0))</f>
        <v>22.3030071402527</v>
      </c>
      <c r="F4677" s="18" t="n">
        <f aca="false">(E4677+G4677)/2</f>
        <v>11.1515035701263</v>
      </c>
      <c r="G4677" s="18" t="n">
        <f aca="false">EXP(-'Black-Scholes'!$B$8*'Black-Scholes'!$B$7)*IF(LOWER('Black-Scholes'!$B$11)="put",MAX('Black-Scholes'!$B$6-D4677,0),MAX(D4677-'Black-Scholes'!$B$6,0))</f>
        <v>0</v>
      </c>
    </row>
    <row r="4678" customFormat="false" ht="15" hidden="false" customHeight="false" outlineLevel="0" collapsed="false">
      <c r="A4678" s="0" t="n">
        <v>4667</v>
      </c>
      <c r="B4678" s="15" t="n">
        <v>0.25209287208528</v>
      </c>
      <c r="C4678" s="18" t="n">
        <f aca="false">'Black-Scholes'!$B$5*EXP(('Black-Scholes'!$B$8-'Black-Scholes'!$B$10-'Black-Scholes'!$B$9^2/2)*'Black-Scholes'!$B$7+'Black-Scholes'!$B$9*SQRT('Black-Scholes'!$B$7)*B4678)</f>
        <v>108.374059883946</v>
      </c>
      <c r="D4678" s="18" t="n">
        <f aca="false">'Black-Scholes'!$B$5*EXP(('Black-Scholes'!$B$8-'Black-Scholes'!$B$10-'Black-Scholes'!$B$9^2/2)*'Black-Scholes'!$B$7-'Black-Scholes'!$B$9*SQRT('Black-Scholes'!$B$7)*B4678)</f>
        <v>97.9788473074128</v>
      </c>
      <c r="E4678" s="18" t="n">
        <f aca="false">EXP(-'Black-Scholes'!$B$8*'Black-Scholes'!$B$7)*IF(LOWER('Black-Scholes'!$B$11)="put",MAX('Black-Scholes'!$B$6-C4678,0),MAX(C4678-'Black-Scholes'!$B$6,0))</f>
        <v>7.96565216414091</v>
      </c>
      <c r="F4678" s="18" t="n">
        <f aca="false">(E4678+G4678)/2</f>
        <v>3.98282608207045</v>
      </c>
      <c r="G4678" s="18" t="n">
        <f aca="false">EXP(-'Black-Scholes'!$B$8*'Black-Scholes'!$B$7)*IF(LOWER('Black-Scholes'!$B$11)="put",MAX('Black-Scholes'!$B$6-D4678,0),MAX(D4678-'Black-Scholes'!$B$6,0))</f>
        <v>0</v>
      </c>
    </row>
    <row r="4679" customFormat="false" ht="15" hidden="false" customHeight="false" outlineLevel="0" collapsed="false">
      <c r="A4679" s="0" t="n">
        <v>4668</v>
      </c>
      <c r="B4679" s="15" t="n">
        <v>-0.795619936959228</v>
      </c>
      <c r="C4679" s="18" t="n">
        <f aca="false">'Black-Scholes'!$B$5*EXP(('Black-Scholes'!$B$8-'Black-Scholes'!$B$10-'Black-Scholes'!$B$9^2/2)*'Black-Scholes'!$B$7+'Black-Scholes'!$B$9*SQRT('Black-Scholes'!$B$7)*B4679)</f>
        <v>87.8864990611993</v>
      </c>
      <c r="D4679" s="18" t="n">
        <f aca="false">'Black-Scholes'!$B$5*EXP(('Black-Scholes'!$B$8-'Black-Scholes'!$B$10-'Black-Scholes'!$B$9^2/2)*'Black-Scholes'!$B$7-'Black-Scholes'!$B$9*SQRT('Black-Scholes'!$B$7)*B4679)</f>
        <v>120.819074361576</v>
      </c>
      <c r="E4679" s="18" t="n">
        <f aca="false">EXP(-'Black-Scholes'!$B$8*'Black-Scholes'!$B$7)*IF(LOWER('Black-Scholes'!$B$11)="put",MAX('Black-Scholes'!$B$6-C4679,0),MAX(C4679-'Black-Scholes'!$B$6,0))</f>
        <v>0</v>
      </c>
      <c r="F4679" s="18" t="n">
        <f aca="false">(E4679+G4679)/2</f>
        <v>9.90185806179961</v>
      </c>
      <c r="G4679" s="18" t="n">
        <f aca="false">EXP(-'Black-Scholes'!$B$8*'Black-Scholes'!$B$7)*IF(LOWER('Black-Scholes'!$B$11)="put",MAX('Black-Scholes'!$B$6-D4679,0),MAX(D4679-'Black-Scholes'!$B$6,0))</f>
        <v>19.8037161235992</v>
      </c>
    </row>
    <row r="4680" customFormat="false" ht="15" hidden="false" customHeight="false" outlineLevel="0" collapsed="false">
      <c r="A4680" s="0" t="n">
        <v>4669</v>
      </c>
      <c r="B4680" s="15" t="n">
        <v>-2.35713738367452</v>
      </c>
      <c r="C4680" s="18" t="n">
        <f aca="false">'Black-Scholes'!$B$5*EXP(('Black-Scholes'!$B$8-'Black-Scholes'!$B$10-'Black-Scholes'!$B$9^2/2)*'Black-Scholes'!$B$7+'Black-Scholes'!$B$9*SQRT('Black-Scholes'!$B$7)*B4680)</f>
        <v>64.3117729936735</v>
      </c>
      <c r="D4680" s="18" t="n">
        <f aca="false">'Black-Scholes'!$B$5*EXP(('Black-Scholes'!$B$8-'Black-Scholes'!$B$10-'Black-Scholes'!$B$9^2/2)*'Black-Scholes'!$B$7-'Black-Scholes'!$B$9*SQRT('Black-Scholes'!$B$7)*B4680)</f>
        <v>165.107646254725</v>
      </c>
      <c r="E4680" s="18" t="n">
        <f aca="false">EXP(-'Black-Scholes'!$B$8*'Black-Scholes'!$B$7)*IF(LOWER('Black-Scholes'!$B$11)="put",MAX('Black-Scholes'!$B$6-C4680,0),MAX(C4680-'Black-Scholes'!$B$6,0))</f>
        <v>0</v>
      </c>
      <c r="F4680" s="18" t="n">
        <f aca="false">(E4680+G4680)/2</f>
        <v>30.9661544387389</v>
      </c>
      <c r="G4680" s="18" t="n">
        <f aca="false">EXP(-'Black-Scholes'!$B$8*'Black-Scholes'!$B$7)*IF(LOWER('Black-Scholes'!$B$11)="put",MAX('Black-Scholes'!$B$6-D4680,0),MAX(D4680-'Black-Scholes'!$B$6,0))</f>
        <v>61.9323088774779</v>
      </c>
    </row>
    <row r="4681" customFormat="false" ht="15" hidden="false" customHeight="false" outlineLevel="0" collapsed="false">
      <c r="A4681" s="0" t="n">
        <v>4670</v>
      </c>
      <c r="B4681" s="15" t="n">
        <v>-1.17002156955673</v>
      </c>
      <c r="C4681" s="18" t="n">
        <f aca="false">'Black-Scholes'!$B$5*EXP(('Black-Scholes'!$B$8-'Black-Scholes'!$B$10-'Black-Scholes'!$B$9^2/2)*'Black-Scholes'!$B$7+'Black-Scholes'!$B$9*SQRT('Black-Scholes'!$B$7)*B4681)</f>
        <v>81.5458853362506</v>
      </c>
      <c r="D4681" s="18" t="n">
        <f aca="false">'Black-Scholes'!$B$5*EXP(('Black-Scholes'!$B$8-'Black-Scholes'!$B$10-'Black-Scholes'!$B$9^2/2)*'Black-Scholes'!$B$7-'Black-Scholes'!$B$9*SQRT('Black-Scholes'!$B$7)*B4681)</f>
        <v>130.213381357861</v>
      </c>
      <c r="E4681" s="18" t="n">
        <f aca="false">EXP(-'Black-Scholes'!$B$8*'Black-Scholes'!$B$7)*IF(LOWER('Black-Scholes'!$B$11)="put",MAX('Black-Scholes'!$B$6-C4681,0),MAX(C4681-'Black-Scholes'!$B$6,0))</f>
        <v>0</v>
      </c>
      <c r="F4681" s="18" t="n">
        <f aca="false">(E4681+G4681)/2</f>
        <v>14.3699286806293</v>
      </c>
      <c r="G4681" s="18" t="n">
        <f aca="false">EXP(-'Black-Scholes'!$B$8*'Black-Scholes'!$B$7)*IF(LOWER('Black-Scholes'!$B$11)="put",MAX('Black-Scholes'!$B$6-D4681,0),MAX(D4681-'Black-Scholes'!$B$6,0))</f>
        <v>28.7398573612587</v>
      </c>
    </row>
    <row r="4682" customFormat="false" ht="15" hidden="false" customHeight="false" outlineLevel="0" collapsed="false">
      <c r="A4682" s="0" t="n">
        <v>4671</v>
      </c>
      <c r="B4682" s="15" t="n">
        <v>0.635010023416276</v>
      </c>
      <c r="C4682" s="18" t="n">
        <f aca="false">'Black-Scholes'!$B$5*EXP(('Black-Scholes'!$B$8-'Black-Scholes'!$B$10-'Black-Scholes'!$B$9^2/2)*'Black-Scholes'!$B$7+'Black-Scholes'!$B$9*SQRT('Black-Scholes'!$B$7)*B4682)</f>
        <v>116.999795937388</v>
      </c>
      <c r="D4682" s="18" t="n">
        <f aca="false">'Black-Scholes'!$B$5*EXP(('Black-Scholes'!$B$8-'Black-Scholes'!$B$10-'Black-Scholes'!$B$9^2/2)*'Black-Scholes'!$B$7-'Black-Scholes'!$B$9*SQRT('Black-Scholes'!$B$7)*B4682)</f>
        <v>90.7554186772768</v>
      </c>
      <c r="E4682" s="18" t="n">
        <f aca="false">EXP(-'Black-Scholes'!$B$8*'Black-Scholes'!$B$7)*IF(LOWER('Black-Scholes'!$B$11)="put",MAX('Black-Scholes'!$B$6-C4682,0),MAX(C4682-'Black-Scholes'!$B$6,0))</f>
        <v>16.1707061061512</v>
      </c>
      <c r="F4682" s="18" t="n">
        <f aca="false">(E4682+G4682)/2</f>
        <v>8.0853530530756</v>
      </c>
      <c r="G4682" s="18" t="n">
        <f aca="false">EXP(-'Black-Scholes'!$B$8*'Black-Scholes'!$B$7)*IF(LOWER('Black-Scholes'!$B$11)="put",MAX('Black-Scholes'!$B$6-D4682,0),MAX(D4682-'Black-Scholes'!$B$6,0))</f>
        <v>0</v>
      </c>
    </row>
    <row r="4683" customFormat="false" ht="15" hidden="false" customHeight="false" outlineLevel="0" collapsed="false">
      <c r="A4683" s="0" t="n">
        <v>4672</v>
      </c>
      <c r="B4683" s="15" t="n">
        <v>0.320371079382115</v>
      </c>
      <c r="C4683" s="18" t="n">
        <f aca="false">'Black-Scholes'!$B$5*EXP(('Black-Scholes'!$B$8-'Black-Scholes'!$B$10-'Black-Scholes'!$B$9^2/2)*'Black-Scholes'!$B$7+'Black-Scholes'!$B$9*SQRT('Black-Scholes'!$B$7)*B4683)</f>
        <v>109.864127951703</v>
      </c>
      <c r="D4683" s="18" t="n">
        <f aca="false">'Black-Scholes'!$B$5*EXP(('Black-Scholes'!$B$8-'Black-Scholes'!$B$10-'Black-Scholes'!$B$9^2/2)*'Black-Scholes'!$B$7-'Black-Scholes'!$B$9*SQRT('Black-Scholes'!$B$7)*B4683)</f>
        <v>96.6499772348035</v>
      </c>
      <c r="E4683" s="18" t="n">
        <f aca="false">EXP(-'Black-Scholes'!$B$8*'Black-Scholes'!$B$7)*IF(LOWER('Black-Scholes'!$B$11)="put",MAX('Black-Scholes'!$B$6-C4683,0),MAX(C4683-'Black-Scholes'!$B$6,0))</f>
        <v>9.38304875469951</v>
      </c>
      <c r="F4683" s="18" t="n">
        <f aca="false">(E4683+G4683)/2</f>
        <v>4.69152437734976</v>
      </c>
      <c r="G4683" s="18" t="n">
        <f aca="false">EXP(-'Black-Scholes'!$B$8*'Black-Scholes'!$B$7)*IF(LOWER('Black-Scholes'!$B$11)="put",MAX('Black-Scholes'!$B$6-D4683,0),MAX(D4683-'Black-Scholes'!$B$6,0))</f>
        <v>0</v>
      </c>
    </row>
    <row r="4684" customFormat="false" ht="15" hidden="false" customHeight="false" outlineLevel="0" collapsed="false">
      <c r="A4684" s="0" t="n">
        <v>4673</v>
      </c>
      <c r="B4684" s="15" t="n">
        <v>-0.629464852570893</v>
      </c>
      <c r="C4684" s="18" t="n">
        <f aca="false">'Black-Scholes'!$B$5*EXP(('Black-Scholes'!$B$8-'Black-Scholes'!$B$10-'Black-Scholes'!$B$9^2/2)*'Black-Scholes'!$B$7+'Black-Scholes'!$B$9*SQRT('Black-Scholes'!$B$7)*B4684)</f>
        <v>90.8561253708788</v>
      </c>
      <c r="D4684" s="18" t="n">
        <f aca="false">'Black-Scholes'!$B$5*EXP(('Black-Scholes'!$B$8-'Black-Scholes'!$B$10-'Black-Scholes'!$B$9^2/2)*'Black-Scholes'!$B$7-'Black-Scholes'!$B$9*SQRT('Black-Scholes'!$B$7)*B4684)</f>
        <v>116.870111091673</v>
      </c>
      <c r="E4684" s="18" t="n">
        <f aca="false">EXP(-'Black-Scholes'!$B$8*'Black-Scholes'!$B$7)*IF(LOWER('Black-Scholes'!$B$11)="put",MAX('Black-Scholes'!$B$6-C4684,0),MAX(C4684-'Black-Scholes'!$B$6,0))</f>
        <v>0</v>
      </c>
      <c r="F4684" s="18" t="n">
        <f aca="false">(E4684+G4684)/2</f>
        <v>8.02367303249774</v>
      </c>
      <c r="G4684" s="18" t="n">
        <f aca="false">EXP(-'Black-Scholes'!$B$8*'Black-Scholes'!$B$7)*IF(LOWER('Black-Scholes'!$B$11)="put",MAX('Black-Scholes'!$B$6-D4684,0),MAX(D4684-'Black-Scholes'!$B$6,0))</f>
        <v>16.0473460649955</v>
      </c>
    </row>
    <row r="4685" customFormat="false" ht="15" hidden="false" customHeight="false" outlineLevel="0" collapsed="false">
      <c r="A4685" s="0" t="n">
        <v>4674</v>
      </c>
      <c r="B4685" s="15" t="n">
        <v>-1.7334573350037</v>
      </c>
      <c r="C4685" s="18" t="n">
        <f aca="false">'Black-Scholes'!$B$5*EXP(('Black-Scholes'!$B$8-'Black-Scholes'!$B$10-'Black-Scholes'!$B$9^2/2)*'Black-Scholes'!$B$7+'Black-Scholes'!$B$9*SQRT('Black-Scholes'!$B$7)*B4685)</f>
        <v>72.8555503867452</v>
      </c>
      <c r="D4685" s="18" t="n">
        <f aca="false">'Black-Scholes'!$B$5*EXP(('Black-Scholes'!$B$8-'Black-Scholes'!$B$10-'Black-Scholes'!$B$9^2/2)*'Black-Scholes'!$B$7-'Black-Scholes'!$B$9*SQRT('Black-Scholes'!$B$7)*B4685)</f>
        <v>145.745456716575</v>
      </c>
      <c r="E4685" s="18" t="n">
        <f aca="false">EXP(-'Black-Scholes'!$B$8*'Black-Scholes'!$B$7)*IF(LOWER('Black-Scholes'!$B$11)="put",MAX('Black-Scholes'!$B$6-C4685,0),MAX(C4685-'Black-Scholes'!$B$6,0))</f>
        <v>0</v>
      </c>
      <c r="F4685" s="18" t="n">
        <f aca="false">(E4685+G4685)/2</f>
        <v>21.7572122330148</v>
      </c>
      <c r="G4685" s="18" t="n">
        <f aca="false">EXP(-'Black-Scholes'!$B$8*'Black-Scholes'!$B$7)*IF(LOWER('Black-Scholes'!$B$11)="put",MAX('Black-Scholes'!$B$6-D4685,0),MAX(D4685-'Black-Scholes'!$B$6,0))</f>
        <v>43.5144244660296</v>
      </c>
    </row>
    <row r="4686" customFormat="false" ht="15" hidden="false" customHeight="false" outlineLevel="0" collapsed="false">
      <c r="A4686" s="0" t="n">
        <v>4675</v>
      </c>
      <c r="B4686" s="15" t="n">
        <v>0.467892528082381</v>
      </c>
      <c r="C4686" s="18" t="n">
        <f aca="false">'Black-Scholes'!$B$5*EXP(('Black-Scholes'!$B$8-'Black-Scholes'!$B$10-'Black-Scholes'!$B$9^2/2)*'Black-Scholes'!$B$7+'Black-Scholes'!$B$9*SQRT('Black-Scholes'!$B$7)*B4686)</f>
        <v>113.153883320893</v>
      </c>
      <c r="D4686" s="18" t="n">
        <f aca="false">'Black-Scholes'!$B$5*EXP(('Black-Scholes'!$B$8-'Black-Scholes'!$B$10-'Black-Scholes'!$B$9^2/2)*'Black-Scholes'!$B$7-'Black-Scholes'!$B$9*SQRT('Black-Scholes'!$B$7)*B4686)</f>
        <v>93.8400446703276</v>
      </c>
      <c r="E4686" s="18" t="n">
        <f aca="false">EXP(-'Black-Scholes'!$B$8*'Black-Scholes'!$B$7)*IF(LOWER('Black-Scholes'!$B$11)="put",MAX('Black-Scholes'!$B$6-C4686,0),MAX(C4686-'Black-Scholes'!$B$6,0))</f>
        <v>12.5123608612822</v>
      </c>
      <c r="F4686" s="18" t="n">
        <f aca="false">(E4686+G4686)/2</f>
        <v>6.25618043064111</v>
      </c>
      <c r="G4686" s="18" t="n">
        <f aca="false">EXP(-'Black-Scholes'!$B$8*'Black-Scholes'!$B$7)*IF(LOWER('Black-Scholes'!$B$11)="put",MAX('Black-Scholes'!$B$6-D4686,0),MAX(D4686-'Black-Scholes'!$B$6,0))</f>
        <v>0</v>
      </c>
    </row>
    <row r="4687" customFormat="false" ht="15" hidden="false" customHeight="false" outlineLevel="0" collapsed="false">
      <c r="A4687" s="0" t="n">
        <v>4676</v>
      </c>
      <c r="B4687" s="15" t="n">
        <v>0.880970120329307</v>
      </c>
      <c r="C4687" s="18" t="n">
        <f aca="false">'Black-Scholes'!$B$5*EXP(('Black-Scholes'!$B$8-'Black-Scholes'!$B$10-'Black-Scholes'!$B$9^2/2)*'Black-Scholes'!$B$7+'Black-Scholes'!$B$9*SQRT('Black-Scholes'!$B$7)*B4687)</f>
        <v>122.89916348178</v>
      </c>
      <c r="D4687" s="18" t="n">
        <f aca="false">'Black-Scholes'!$B$5*EXP(('Black-Scholes'!$B$8-'Black-Scholes'!$B$10-'Black-Scholes'!$B$9^2/2)*'Black-Scholes'!$B$7-'Black-Scholes'!$B$9*SQRT('Black-Scholes'!$B$7)*B4687)</f>
        <v>86.3990052058228</v>
      </c>
      <c r="E4687" s="18" t="n">
        <f aca="false">EXP(-'Black-Scholes'!$B$8*'Black-Scholes'!$B$7)*IF(LOWER('Black-Scholes'!$B$11)="put",MAX('Black-Scholes'!$B$6-C4687,0),MAX(C4687-'Black-Scholes'!$B$6,0))</f>
        <v>21.7823581003216</v>
      </c>
      <c r="F4687" s="18" t="n">
        <f aca="false">(E4687+G4687)/2</f>
        <v>10.8911790501608</v>
      </c>
      <c r="G4687" s="18" t="n">
        <f aca="false">EXP(-'Black-Scholes'!$B$8*'Black-Scholes'!$B$7)*IF(LOWER('Black-Scholes'!$B$11)="put",MAX('Black-Scholes'!$B$6-D4687,0),MAX(D4687-'Black-Scholes'!$B$6,0))</f>
        <v>0</v>
      </c>
    </row>
    <row r="4688" customFormat="false" ht="15" hidden="false" customHeight="false" outlineLevel="0" collapsed="false">
      <c r="A4688" s="0" t="n">
        <v>4677</v>
      </c>
      <c r="B4688" s="15" t="n">
        <v>-1.01592713459047</v>
      </c>
      <c r="C4688" s="18" t="n">
        <f aca="false">'Black-Scholes'!$B$5*EXP(('Black-Scholes'!$B$8-'Black-Scholes'!$B$10-'Black-Scholes'!$B$9^2/2)*'Black-Scholes'!$B$7+'Black-Scholes'!$B$9*SQRT('Black-Scholes'!$B$7)*B4688)</f>
        <v>84.0981659748593</v>
      </c>
      <c r="D4688" s="18" t="n">
        <f aca="false">'Black-Scholes'!$B$5*EXP(('Black-Scholes'!$B$8-'Black-Scholes'!$B$10-'Black-Scholes'!$B$9^2/2)*'Black-Scholes'!$B$7-'Black-Scholes'!$B$9*SQRT('Black-Scholes'!$B$7)*B4688)</f>
        <v>126.261558053809</v>
      </c>
      <c r="E4688" s="18" t="n">
        <f aca="false">EXP(-'Black-Scholes'!$B$8*'Black-Scholes'!$B$7)*IF(LOWER('Black-Scholes'!$B$11)="put",MAX('Black-Scholes'!$B$6-C4688,0),MAX(C4688-'Black-Scholes'!$B$6,0))</f>
        <v>0</v>
      </c>
      <c r="F4688" s="18" t="n">
        <f aca="false">(E4688+G4688)/2</f>
        <v>12.4903833770086</v>
      </c>
      <c r="G4688" s="18" t="n">
        <f aca="false">EXP(-'Black-Scholes'!$B$8*'Black-Scholes'!$B$7)*IF(LOWER('Black-Scholes'!$B$11)="put",MAX('Black-Scholes'!$B$6-D4688,0),MAX(D4688-'Black-Scholes'!$B$6,0))</f>
        <v>24.9807667540173</v>
      </c>
    </row>
    <row r="4689" customFormat="false" ht="15" hidden="false" customHeight="false" outlineLevel="0" collapsed="false">
      <c r="A4689" s="0" t="n">
        <v>4678</v>
      </c>
      <c r="B4689" s="15" t="n">
        <v>-1.31388295940576</v>
      </c>
      <c r="C4689" s="18" t="n">
        <f aca="false">'Black-Scholes'!$B$5*EXP(('Black-Scholes'!$B$8-'Black-Scholes'!$B$10-'Black-Scholes'!$B$9^2/2)*'Black-Scholes'!$B$7+'Black-Scholes'!$B$9*SQRT('Black-Scholes'!$B$7)*B4689)</f>
        <v>79.2330566834149</v>
      </c>
      <c r="D4689" s="18" t="n">
        <f aca="false">'Black-Scholes'!$B$5*EXP(('Black-Scholes'!$B$8-'Black-Scholes'!$B$10-'Black-Scholes'!$B$9^2/2)*'Black-Scholes'!$B$7-'Black-Scholes'!$B$9*SQRT('Black-Scholes'!$B$7)*B4689)</f>
        <v>134.01433580785</v>
      </c>
      <c r="E4689" s="18" t="n">
        <f aca="false">EXP(-'Black-Scholes'!$B$8*'Black-Scholes'!$B$7)*IF(LOWER('Black-Scholes'!$B$11)="put",MAX('Black-Scholes'!$B$6-C4689,0),MAX(C4689-'Black-Scholes'!$B$6,0))</f>
        <v>0</v>
      </c>
      <c r="F4689" s="18" t="n">
        <f aca="false">(E4689+G4689)/2</f>
        <v>16.1777185376377</v>
      </c>
      <c r="G4689" s="18" t="n">
        <f aca="false">EXP(-'Black-Scholes'!$B$8*'Black-Scholes'!$B$7)*IF(LOWER('Black-Scholes'!$B$11)="put",MAX('Black-Scholes'!$B$6-D4689,0),MAX(D4689-'Black-Scholes'!$B$6,0))</f>
        <v>32.3554370752754</v>
      </c>
    </row>
    <row r="4690" customFormat="false" ht="15" hidden="false" customHeight="false" outlineLevel="0" collapsed="false">
      <c r="A4690" s="0" t="n">
        <v>4679</v>
      </c>
      <c r="B4690" s="15" t="n">
        <v>0.372112818630083</v>
      </c>
      <c r="C4690" s="18" t="n">
        <f aca="false">'Black-Scholes'!$B$5*EXP(('Black-Scholes'!$B$8-'Black-Scholes'!$B$10-'Black-Scholes'!$B$9^2/2)*'Black-Scholes'!$B$7+'Black-Scholes'!$B$9*SQRT('Black-Scholes'!$B$7)*B4690)</f>
        <v>111.006943089734</v>
      </c>
      <c r="D4690" s="18" t="n">
        <f aca="false">'Black-Scholes'!$B$5*EXP(('Black-Scholes'!$B$8-'Black-Scholes'!$B$10-'Black-Scholes'!$B$9^2/2)*'Black-Scholes'!$B$7-'Black-Scholes'!$B$9*SQRT('Black-Scholes'!$B$7)*B4690)</f>
        <v>95.6549668868016</v>
      </c>
      <c r="E4690" s="18" t="n">
        <f aca="false">EXP(-'Black-Scholes'!$B$8*'Black-Scholes'!$B$7)*IF(LOWER('Black-Scholes'!$B$11)="put",MAX('Black-Scholes'!$B$6-C4690,0),MAX(C4690-'Black-Scholes'!$B$6,0))</f>
        <v>10.47012814076</v>
      </c>
      <c r="F4690" s="18" t="n">
        <f aca="false">(E4690+G4690)/2</f>
        <v>5.23506407038</v>
      </c>
      <c r="G4690" s="18" t="n">
        <f aca="false">EXP(-'Black-Scholes'!$B$8*'Black-Scholes'!$B$7)*IF(LOWER('Black-Scholes'!$B$11)="put",MAX('Black-Scholes'!$B$6-D4690,0),MAX(D4690-'Black-Scholes'!$B$6,0))</f>
        <v>0</v>
      </c>
    </row>
    <row r="4691" customFormat="false" ht="15" hidden="false" customHeight="false" outlineLevel="0" collapsed="false">
      <c r="A4691" s="0" t="n">
        <v>4680</v>
      </c>
      <c r="B4691" s="15" t="n">
        <v>1.9243386678017</v>
      </c>
      <c r="C4691" s="18" t="n">
        <f aca="false">'Black-Scholes'!$B$5*EXP(('Black-Scholes'!$B$8-'Black-Scholes'!$B$10-'Black-Scholes'!$B$9^2/2)*'Black-Scholes'!$B$7+'Black-Scholes'!$B$9*SQRT('Black-Scholes'!$B$7)*B4691)</f>
        <v>151.417045351178</v>
      </c>
      <c r="D4691" s="18" t="n">
        <f aca="false">'Black-Scholes'!$B$5*EXP(('Black-Scholes'!$B$8-'Black-Scholes'!$B$10-'Black-Scholes'!$B$9^2/2)*'Black-Scholes'!$B$7-'Black-Scholes'!$B$9*SQRT('Black-Scholes'!$B$7)*B4691)</f>
        <v>70.1266191057069</v>
      </c>
      <c r="E4691" s="18" t="n">
        <f aca="false">EXP(-'Black-Scholes'!$B$8*'Black-Scholes'!$B$7)*IF(LOWER('Black-Scholes'!$B$11)="put",MAX('Black-Scholes'!$B$6-C4691,0),MAX(C4691-'Black-Scholes'!$B$6,0))</f>
        <v>48.9094064589281</v>
      </c>
      <c r="F4691" s="18" t="n">
        <f aca="false">(E4691+G4691)/2</f>
        <v>24.4547032294641</v>
      </c>
      <c r="G4691" s="18" t="n">
        <f aca="false">EXP(-'Black-Scholes'!$B$8*'Black-Scholes'!$B$7)*IF(LOWER('Black-Scholes'!$B$11)="put",MAX('Black-Scholes'!$B$6-D4691,0),MAX(D4691-'Black-Scholes'!$B$6,0))</f>
        <v>0</v>
      </c>
    </row>
    <row r="4692" customFormat="false" ht="15" hidden="false" customHeight="false" outlineLevel="0" collapsed="false">
      <c r="A4692" s="0" t="n">
        <v>4681</v>
      </c>
      <c r="B4692" s="15" t="n">
        <v>-0.323527725496597</v>
      </c>
      <c r="C4692" s="18" t="n">
        <f aca="false">'Black-Scholes'!$B$5*EXP(('Black-Scholes'!$B$8-'Black-Scholes'!$B$10-'Black-Scholes'!$B$9^2/2)*'Black-Scholes'!$B$7+'Black-Scholes'!$B$9*SQRT('Black-Scholes'!$B$7)*B4692)</f>
        <v>96.5889785369392</v>
      </c>
      <c r="D4692" s="18" t="n">
        <f aca="false">'Black-Scholes'!$B$5*EXP(('Black-Scholes'!$B$8-'Black-Scholes'!$B$10-'Black-Scholes'!$B$9^2/2)*'Black-Scholes'!$B$7-'Black-Scholes'!$B$9*SQRT('Black-Scholes'!$B$7)*B4692)</f>
        <v>109.93351028547</v>
      </c>
      <c r="E4692" s="18" t="n">
        <f aca="false">EXP(-'Black-Scholes'!$B$8*'Black-Scholes'!$B$7)*IF(LOWER('Black-Scholes'!$B$11)="put",MAX('Black-Scholes'!$B$6-C4692,0),MAX(C4692-'Black-Scholes'!$B$6,0))</f>
        <v>0</v>
      </c>
      <c r="F4692" s="18" t="n">
        <f aca="false">(E4692+G4692)/2</f>
        <v>4.72452363605954</v>
      </c>
      <c r="G4692" s="18" t="n">
        <f aca="false">EXP(-'Black-Scholes'!$B$8*'Black-Scholes'!$B$7)*IF(LOWER('Black-Scholes'!$B$11)="put",MAX('Black-Scholes'!$B$6-D4692,0),MAX(D4692-'Black-Scholes'!$B$6,0))</f>
        <v>9.44904727211907</v>
      </c>
    </row>
    <row r="4693" customFormat="false" ht="15" hidden="false" customHeight="false" outlineLevel="0" collapsed="false">
      <c r="A4693" s="0" t="n">
        <v>4682</v>
      </c>
      <c r="B4693" s="15" t="n">
        <v>-0.724232326770135</v>
      </c>
      <c r="C4693" s="18" t="n">
        <f aca="false">'Black-Scholes'!$B$5*EXP(('Black-Scholes'!$B$8-'Black-Scholes'!$B$10-'Black-Scholes'!$B$9^2/2)*'Black-Scholes'!$B$7+'Black-Scholes'!$B$9*SQRT('Black-Scholes'!$B$7)*B4693)</f>
        <v>89.1503009998743</v>
      </c>
      <c r="D4693" s="18" t="n">
        <f aca="false">'Black-Scholes'!$B$5*EXP(('Black-Scholes'!$B$8-'Black-Scholes'!$B$10-'Black-Scholes'!$B$9^2/2)*'Black-Scholes'!$B$7-'Black-Scholes'!$B$9*SQRT('Black-Scholes'!$B$7)*B4693)</f>
        <v>119.106333308606</v>
      </c>
      <c r="E4693" s="18" t="n">
        <f aca="false">EXP(-'Black-Scholes'!$B$8*'Black-Scholes'!$B$7)*IF(LOWER('Black-Scholes'!$B$11)="put",MAX('Black-Scholes'!$B$6-C4693,0),MAX(C4693-'Black-Scholes'!$B$6,0))</f>
        <v>0</v>
      </c>
      <c r="F4693" s="18" t="n">
        <f aca="false">(E4693+G4693)/2</f>
        <v>9.08725321873214</v>
      </c>
      <c r="G4693" s="18" t="n">
        <f aca="false">EXP(-'Black-Scholes'!$B$8*'Black-Scholes'!$B$7)*IF(LOWER('Black-Scholes'!$B$11)="put",MAX('Black-Scholes'!$B$6-D4693,0),MAX(D4693-'Black-Scholes'!$B$6,0))</f>
        <v>18.1745064374643</v>
      </c>
    </row>
    <row r="4694" customFormat="false" ht="15" hidden="false" customHeight="false" outlineLevel="0" collapsed="false">
      <c r="A4694" s="0" t="n">
        <v>4683</v>
      </c>
      <c r="B4694" s="15" t="n">
        <v>0.256056610968011</v>
      </c>
      <c r="C4694" s="18" t="n">
        <f aca="false">'Black-Scholes'!$B$5*EXP(('Black-Scholes'!$B$8-'Black-Scholes'!$B$10-'Black-Scholes'!$B$9^2/2)*'Black-Scholes'!$B$7+'Black-Scholes'!$B$9*SQRT('Black-Scholes'!$B$7)*B4694)</f>
        <v>108.460007241742</v>
      </c>
      <c r="D4694" s="18" t="n">
        <f aca="false">'Black-Scholes'!$B$5*EXP(('Black-Scholes'!$B$8-'Black-Scholes'!$B$10-'Black-Scholes'!$B$9^2/2)*'Black-Scholes'!$B$7-'Black-Scholes'!$B$9*SQRT('Black-Scholes'!$B$7)*B4694)</f>
        <v>97.9012055732835</v>
      </c>
      <c r="E4694" s="18" t="n">
        <f aca="false">EXP(-'Black-Scholes'!$B$8*'Black-Scholes'!$B$7)*IF(LOWER('Black-Scholes'!$B$11)="put",MAX('Black-Scholes'!$B$6-C4694,0),MAX(C4694-'Black-Scholes'!$B$6,0))</f>
        <v>8.04740781983412</v>
      </c>
      <c r="F4694" s="18" t="n">
        <f aca="false">(E4694+G4694)/2</f>
        <v>4.02370390991706</v>
      </c>
      <c r="G4694" s="18" t="n">
        <f aca="false">EXP(-'Black-Scholes'!$B$8*'Black-Scholes'!$B$7)*IF(LOWER('Black-Scholes'!$B$11)="put",MAX('Black-Scholes'!$B$6-D4694,0),MAX(D4694-'Black-Scholes'!$B$6,0))</f>
        <v>0</v>
      </c>
    </row>
    <row r="4695" customFormat="false" ht="15" hidden="false" customHeight="false" outlineLevel="0" collapsed="false">
      <c r="A4695" s="0" t="n">
        <v>4684</v>
      </c>
      <c r="B4695" s="15" t="n">
        <v>-0.365637471606831</v>
      </c>
      <c r="C4695" s="18" t="n">
        <f aca="false">'Black-Scholes'!$B$5*EXP(('Black-Scholes'!$B$8-'Black-Scholes'!$B$10-'Black-Scholes'!$B$9^2/2)*'Black-Scholes'!$B$7+'Black-Scholes'!$B$9*SQRT('Black-Scholes'!$B$7)*B4695)</f>
        <v>95.7789269589424</v>
      </c>
      <c r="D4695" s="18" t="n">
        <f aca="false">'Black-Scholes'!$B$5*EXP(('Black-Scholes'!$B$8-'Black-Scholes'!$B$10-'Black-Scholes'!$B$9^2/2)*'Black-Scholes'!$B$7-'Black-Scholes'!$B$9*SQRT('Black-Scholes'!$B$7)*B4695)</f>
        <v>110.863274444548</v>
      </c>
      <c r="E4695" s="18" t="n">
        <f aca="false">EXP(-'Black-Scholes'!$B$8*'Black-Scholes'!$B$7)*IF(LOWER('Black-Scholes'!$B$11)="put",MAX('Black-Scholes'!$B$6-C4695,0),MAX(C4695-'Black-Scholes'!$B$6,0))</f>
        <v>0</v>
      </c>
      <c r="F4695" s="18" t="n">
        <f aca="false">(E4695+G4695)/2</f>
        <v>5.16673314904058</v>
      </c>
      <c r="G4695" s="18" t="n">
        <f aca="false">EXP(-'Black-Scholes'!$B$8*'Black-Scholes'!$B$7)*IF(LOWER('Black-Scholes'!$B$11)="put",MAX('Black-Scholes'!$B$6-D4695,0),MAX(D4695-'Black-Scholes'!$B$6,0))</f>
        <v>10.3334662980812</v>
      </c>
    </row>
    <row r="4696" customFormat="false" ht="15" hidden="false" customHeight="false" outlineLevel="0" collapsed="false">
      <c r="A4696" s="0" t="n">
        <v>4685</v>
      </c>
      <c r="B4696" s="15" t="n">
        <v>-0.38409321570113</v>
      </c>
      <c r="C4696" s="18" t="n">
        <f aca="false">'Black-Scholes'!$B$5*EXP(('Black-Scholes'!$B$8-'Black-Scholes'!$B$10-'Black-Scholes'!$B$9^2/2)*'Black-Scholes'!$B$7+'Black-Scholes'!$B$9*SQRT('Black-Scholes'!$B$7)*B4696)</f>
        <v>95.4260443575812</v>
      </c>
      <c r="D4696" s="18" t="n">
        <f aca="false">'Black-Scholes'!$B$5*EXP(('Black-Scholes'!$B$8-'Black-Scholes'!$B$10-'Black-Scholes'!$B$9^2/2)*'Black-Scholes'!$B$7-'Black-Scholes'!$B$9*SQRT('Black-Scholes'!$B$7)*B4696)</f>
        <v>111.273243451907</v>
      </c>
      <c r="E4696" s="18" t="n">
        <f aca="false">EXP(-'Black-Scholes'!$B$8*'Black-Scholes'!$B$7)*IF(LOWER('Black-Scholes'!$B$11)="put",MAX('Black-Scholes'!$B$6-C4696,0),MAX(C4696-'Black-Scholes'!$B$6,0))</f>
        <v>0</v>
      </c>
      <c r="F4696" s="18" t="n">
        <f aca="false">(E4696+G4696)/2</f>
        <v>5.3617204405069</v>
      </c>
      <c r="G4696" s="18" t="n">
        <f aca="false">EXP(-'Black-Scholes'!$B$8*'Black-Scholes'!$B$7)*IF(LOWER('Black-Scholes'!$B$11)="put",MAX('Black-Scholes'!$B$6-D4696,0),MAX(D4696-'Black-Scholes'!$B$6,0))</f>
        <v>10.7234408810138</v>
      </c>
    </row>
    <row r="4697" customFormat="false" ht="15" hidden="false" customHeight="false" outlineLevel="0" collapsed="false">
      <c r="A4697" s="0" t="n">
        <v>4686</v>
      </c>
      <c r="B4697" s="15" t="n">
        <v>-0.953621388447073</v>
      </c>
      <c r="C4697" s="18" t="n">
        <f aca="false">'Black-Scholes'!$B$5*EXP(('Black-Scholes'!$B$8-'Black-Scholes'!$B$10-'Black-Scholes'!$B$9^2/2)*'Black-Scholes'!$B$7+'Black-Scholes'!$B$9*SQRT('Black-Scholes'!$B$7)*B4697)</f>
        <v>85.1526823685754</v>
      </c>
      <c r="D4697" s="18" t="n">
        <f aca="false">'Black-Scholes'!$B$5*EXP(('Black-Scholes'!$B$8-'Black-Scholes'!$B$10-'Black-Scholes'!$B$9^2/2)*'Black-Scholes'!$B$7-'Black-Scholes'!$B$9*SQRT('Black-Scholes'!$B$7)*B4697)</f>
        <v>124.697956307389</v>
      </c>
      <c r="E4697" s="18" t="n">
        <f aca="false">EXP(-'Black-Scholes'!$B$8*'Black-Scholes'!$B$7)*IF(LOWER('Black-Scholes'!$B$11)="put",MAX('Black-Scholes'!$B$6-C4697,0),MAX(C4697-'Black-Scholes'!$B$6,0))</f>
        <v>0</v>
      </c>
      <c r="F4697" s="18" t="n">
        <f aca="false">(E4697+G4697)/2</f>
        <v>11.7467113823107</v>
      </c>
      <c r="G4697" s="18" t="n">
        <f aca="false">EXP(-'Black-Scholes'!$B$8*'Black-Scholes'!$B$7)*IF(LOWER('Black-Scholes'!$B$11)="put",MAX('Black-Scholes'!$B$6-D4697,0),MAX(D4697-'Black-Scholes'!$B$6,0))</f>
        <v>23.4934227646214</v>
      </c>
    </row>
    <row r="4698" customFormat="false" ht="15" hidden="false" customHeight="false" outlineLevel="0" collapsed="false">
      <c r="A4698" s="0" t="n">
        <v>4687</v>
      </c>
      <c r="B4698" s="15" t="n">
        <v>0.476033252245514</v>
      </c>
      <c r="C4698" s="18" t="n">
        <f aca="false">'Black-Scholes'!$B$5*EXP(('Black-Scholes'!$B$8-'Black-Scholes'!$B$10-'Black-Scholes'!$B$9^2/2)*'Black-Scholes'!$B$7+'Black-Scholes'!$B$9*SQRT('Black-Scholes'!$B$7)*B4698)</f>
        <v>113.338264290044</v>
      </c>
      <c r="D4698" s="18" t="n">
        <f aca="false">'Black-Scholes'!$B$5*EXP(('Black-Scholes'!$B$8-'Black-Scholes'!$B$10-'Black-Scholes'!$B$9^2/2)*'Black-Scholes'!$B$7-'Black-Scholes'!$B$9*SQRT('Black-Scholes'!$B$7)*B4698)</f>
        <v>93.6873837972334</v>
      </c>
      <c r="E4698" s="18" t="n">
        <f aca="false">EXP(-'Black-Scholes'!$B$8*'Black-Scholes'!$B$7)*IF(LOWER('Black-Scholes'!$B$11)="put",MAX('Black-Scholes'!$B$6-C4698,0),MAX(C4698-'Black-Scholes'!$B$6,0))</f>
        <v>12.6877494644567</v>
      </c>
      <c r="F4698" s="18" t="n">
        <f aca="false">(E4698+G4698)/2</f>
        <v>6.34387473222833</v>
      </c>
      <c r="G4698" s="18" t="n">
        <f aca="false">EXP(-'Black-Scholes'!$B$8*'Black-Scholes'!$B$7)*IF(LOWER('Black-Scholes'!$B$11)="put",MAX('Black-Scholes'!$B$6-D4698,0),MAX(D4698-'Black-Scholes'!$B$6,0))</f>
        <v>0</v>
      </c>
    </row>
    <row r="4699" customFormat="false" ht="15" hidden="false" customHeight="false" outlineLevel="0" collapsed="false">
      <c r="A4699" s="0" t="n">
        <v>4688</v>
      </c>
      <c r="B4699" s="15" t="n">
        <v>-0.837815773865755</v>
      </c>
      <c r="C4699" s="18" t="n">
        <f aca="false">'Black-Scholes'!$B$5*EXP(('Black-Scholes'!$B$8-'Black-Scholes'!$B$10-'Black-Scholes'!$B$9^2/2)*'Black-Scholes'!$B$7+'Black-Scholes'!$B$9*SQRT('Black-Scholes'!$B$7)*B4699)</f>
        <v>87.1479310181022</v>
      </c>
      <c r="D4699" s="18" t="n">
        <f aca="false">'Black-Scholes'!$B$5*EXP(('Black-Scholes'!$B$8-'Black-Scholes'!$B$10-'Black-Scholes'!$B$9^2/2)*'Black-Scholes'!$B$7-'Black-Scholes'!$B$9*SQRT('Black-Scholes'!$B$7)*B4699)</f>
        <v>121.843001221084</v>
      </c>
      <c r="E4699" s="18" t="n">
        <f aca="false">EXP(-'Black-Scholes'!$B$8*'Black-Scholes'!$B$7)*IF(LOWER('Black-Scholes'!$B$11)="put",MAX('Black-Scholes'!$B$6-C4699,0),MAX(C4699-'Black-Scholes'!$B$6,0))</f>
        <v>0</v>
      </c>
      <c r="F4699" s="18" t="n">
        <f aca="false">(E4699+G4699)/2</f>
        <v>10.3888527404502</v>
      </c>
      <c r="G4699" s="18" t="n">
        <f aca="false">EXP(-'Black-Scholes'!$B$8*'Black-Scholes'!$B$7)*IF(LOWER('Black-Scholes'!$B$11)="put",MAX('Black-Scholes'!$B$6-D4699,0),MAX(D4699-'Black-Scholes'!$B$6,0))</f>
        <v>20.7777054809004</v>
      </c>
    </row>
    <row r="4700" customFormat="false" ht="15" hidden="false" customHeight="false" outlineLevel="0" collapsed="false">
      <c r="A4700" s="0" t="n">
        <v>4689</v>
      </c>
      <c r="B4700" s="15" t="n">
        <v>-0.370199344186381</v>
      </c>
      <c r="C4700" s="18" t="n">
        <f aca="false">'Black-Scholes'!$B$5*EXP(('Black-Scholes'!$B$8-'Black-Scholes'!$B$10-'Black-Scholes'!$B$9^2/2)*'Black-Scholes'!$B$7+'Black-Scholes'!$B$9*SQRT('Black-Scholes'!$B$7)*B4700)</f>
        <v>95.6915805591976</v>
      </c>
      <c r="D4700" s="18" t="n">
        <f aca="false">'Black-Scholes'!$B$5*EXP(('Black-Scholes'!$B$8-'Black-Scholes'!$B$10-'Black-Scholes'!$B$9^2/2)*'Black-Scholes'!$B$7-'Black-Scholes'!$B$9*SQRT('Black-Scholes'!$B$7)*B4700)</f>
        <v>110.964469427744</v>
      </c>
      <c r="E4700" s="18" t="n">
        <f aca="false">EXP(-'Black-Scholes'!$B$8*'Black-Scholes'!$B$7)*IF(LOWER('Black-Scholes'!$B$11)="put",MAX('Black-Scholes'!$B$6-C4700,0),MAX(C4700-'Black-Scholes'!$B$6,0))</f>
        <v>0</v>
      </c>
      <c r="F4700" s="18" t="n">
        <f aca="false">(E4700+G4700)/2</f>
        <v>5.21486297185436</v>
      </c>
      <c r="G4700" s="18" t="n">
        <f aca="false">EXP(-'Black-Scholes'!$B$8*'Black-Scholes'!$B$7)*IF(LOWER('Black-Scholes'!$B$11)="put",MAX('Black-Scholes'!$B$6-D4700,0),MAX(D4700-'Black-Scholes'!$B$6,0))</f>
        <v>10.4297259437087</v>
      </c>
    </row>
    <row r="4701" customFormat="false" ht="15" hidden="false" customHeight="false" outlineLevel="0" collapsed="false">
      <c r="A4701" s="0" t="n">
        <v>4690</v>
      </c>
      <c r="B4701" s="15" t="n">
        <v>-0.238515817293003</v>
      </c>
      <c r="C4701" s="18" t="n">
        <f aca="false">'Black-Scholes'!$B$5*EXP(('Black-Scholes'!$B$8-'Black-Scholes'!$B$10-'Black-Scholes'!$B$9^2/2)*'Black-Scholes'!$B$7+'Black-Scholes'!$B$9*SQRT('Black-Scholes'!$B$7)*B4701)</f>
        <v>98.2452616916578</v>
      </c>
      <c r="D4701" s="18" t="n">
        <f aca="false">'Black-Scholes'!$B$5*EXP(('Black-Scholes'!$B$8-'Black-Scholes'!$B$10-'Black-Scholes'!$B$9^2/2)*'Black-Scholes'!$B$7-'Black-Scholes'!$B$9*SQRT('Black-Scholes'!$B$7)*B4701)</f>
        <v>108.080178958445</v>
      </c>
      <c r="E4701" s="18" t="n">
        <f aca="false">EXP(-'Black-Scholes'!$B$8*'Black-Scholes'!$B$7)*IF(LOWER('Black-Scholes'!$B$11)="put",MAX('Black-Scholes'!$B$6-C4701,0),MAX(C4701-'Black-Scholes'!$B$6,0))</f>
        <v>0</v>
      </c>
      <c r="F4701" s="18" t="n">
        <f aca="false">(E4701+G4701)/2</f>
        <v>3.84305199025201</v>
      </c>
      <c r="G4701" s="18" t="n">
        <f aca="false">EXP(-'Black-Scholes'!$B$8*'Black-Scholes'!$B$7)*IF(LOWER('Black-Scholes'!$B$11)="put",MAX('Black-Scholes'!$B$6-D4701,0),MAX(D4701-'Black-Scholes'!$B$6,0))</f>
        <v>7.68610398050401</v>
      </c>
    </row>
    <row r="4702" customFormat="false" ht="15" hidden="false" customHeight="false" outlineLevel="0" collapsed="false">
      <c r="A4702" s="0" t="n">
        <v>4691</v>
      </c>
      <c r="B4702" s="15" t="n">
        <v>-0.450648447824968</v>
      </c>
      <c r="C4702" s="18" t="n">
        <f aca="false">'Black-Scholes'!$B$5*EXP(('Black-Scholes'!$B$8-'Black-Scholes'!$B$10-'Black-Scholes'!$B$9^2/2)*'Black-Scholes'!$B$7+'Black-Scholes'!$B$9*SQRT('Black-Scholes'!$B$7)*B4702)</f>
        <v>94.1642404471169</v>
      </c>
      <c r="D4702" s="18" t="n">
        <f aca="false">'Black-Scholes'!$B$5*EXP(('Black-Scholes'!$B$8-'Black-Scholes'!$B$10-'Black-Scholes'!$B$9^2/2)*'Black-Scholes'!$B$7-'Black-Scholes'!$B$9*SQRT('Black-Scholes'!$B$7)*B4702)</f>
        <v>112.76430856379</v>
      </c>
      <c r="E4702" s="18" t="n">
        <f aca="false">EXP(-'Black-Scholes'!$B$8*'Black-Scholes'!$B$7)*IF(LOWER('Black-Scholes'!$B$11)="put",MAX('Black-Scholes'!$B$6-C4702,0),MAX(C4702-'Black-Scholes'!$B$6,0))</f>
        <v>0</v>
      </c>
      <c r="F4702" s="18" t="n">
        <f aca="false">(E4702+G4702)/2</f>
        <v>6.07089294464172</v>
      </c>
      <c r="G4702" s="18" t="n">
        <f aca="false">EXP(-'Black-Scholes'!$B$8*'Black-Scholes'!$B$7)*IF(LOWER('Black-Scholes'!$B$11)="put",MAX('Black-Scholes'!$B$6-D4702,0),MAX(D4702-'Black-Scholes'!$B$6,0))</f>
        <v>12.1417858892834</v>
      </c>
    </row>
    <row r="4703" customFormat="false" ht="15" hidden="false" customHeight="false" outlineLevel="0" collapsed="false">
      <c r="A4703" s="0" t="n">
        <v>4692</v>
      </c>
      <c r="B4703" s="15" t="n">
        <v>0.675985114442448</v>
      </c>
      <c r="C4703" s="18" t="n">
        <f aca="false">'Black-Scholes'!$B$5*EXP(('Black-Scholes'!$B$8-'Black-Scholes'!$B$10-'Black-Scholes'!$B$9^2/2)*'Black-Scholes'!$B$7+'Black-Scholes'!$B$9*SQRT('Black-Scholes'!$B$7)*B4703)</f>
        <v>117.962550904266</v>
      </c>
      <c r="D4703" s="18" t="n">
        <f aca="false">'Black-Scholes'!$B$5*EXP(('Black-Scholes'!$B$8-'Black-Scholes'!$B$10-'Black-Scholes'!$B$9^2/2)*'Black-Scholes'!$B$7-'Black-Scholes'!$B$9*SQRT('Black-Scholes'!$B$7)*B4703)</f>
        <v>90.0147155521507</v>
      </c>
      <c r="E4703" s="18" t="n">
        <f aca="false">EXP(-'Black-Scholes'!$B$8*'Black-Scholes'!$B$7)*IF(LOWER('Black-Scholes'!$B$11)="put",MAX('Black-Scholes'!$B$6-C4703,0),MAX(C4703-'Black-Scholes'!$B$6,0))</f>
        <v>17.0865069592297</v>
      </c>
      <c r="F4703" s="18" t="n">
        <f aca="false">(E4703+G4703)/2</f>
        <v>8.54325347961483</v>
      </c>
      <c r="G4703" s="18" t="n">
        <f aca="false">EXP(-'Black-Scholes'!$B$8*'Black-Scholes'!$B$7)*IF(LOWER('Black-Scholes'!$B$11)="put",MAX('Black-Scholes'!$B$6-D4703,0),MAX(D4703-'Black-Scholes'!$B$6,0))</f>
        <v>0</v>
      </c>
    </row>
    <row r="4704" customFormat="false" ht="15" hidden="false" customHeight="false" outlineLevel="0" collapsed="false">
      <c r="A4704" s="0" t="n">
        <v>4693</v>
      </c>
      <c r="B4704" s="15" t="n">
        <v>2.73019166921869</v>
      </c>
      <c r="C4704" s="18" t="n">
        <f aca="false">'Black-Scholes'!$B$5*EXP(('Black-Scholes'!$B$8-'Black-Scholes'!$B$10-'Black-Scholes'!$B$9^2/2)*'Black-Scholes'!$B$7+'Black-Scholes'!$B$9*SQRT('Black-Scholes'!$B$7)*B4704)</f>
        <v>177.897674001177</v>
      </c>
      <c r="D4704" s="18" t="n">
        <f aca="false">'Black-Scholes'!$B$5*EXP(('Black-Scholes'!$B$8-'Black-Scholes'!$B$10-'Black-Scholes'!$B$9^2/2)*'Black-Scholes'!$B$7-'Black-Scholes'!$B$9*SQRT('Black-Scholes'!$B$7)*B4704)</f>
        <v>59.6880511511541</v>
      </c>
      <c r="E4704" s="18" t="n">
        <f aca="false">EXP(-'Black-Scholes'!$B$8*'Black-Scholes'!$B$7)*IF(LOWER('Black-Scholes'!$B$11)="put",MAX('Black-Scholes'!$B$6-C4704,0),MAX(C4704-'Black-Scholes'!$B$6,0))</f>
        <v>74.0985596100839</v>
      </c>
      <c r="F4704" s="18" t="n">
        <f aca="false">(E4704+G4704)/2</f>
        <v>37.0492798050419</v>
      </c>
      <c r="G4704" s="18" t="n">
        <f aca="false">EXP(-'Black-Scholes'!$B$8*'Black-Scholes'!$B$7)*IF(LOWER('Black-Scholes'!$B$11)="put",MAX('Black-Scholes'!$B$6-D4704,0),MAX(D4704-'Black-Scholes'!$B$6,0))</f>
        <v>0</v>
      </c>
    </row>
    <row r="4705" customFormat="false" ht="15" hidden="false" customHeight="false" outlineLevel="0" collapsed="false">
      <c r="A4705" s="0" t="n">
        <v>4694</v>
      </c>
      <c r="B4705" s="15" t="n">
        <v>0.118082482592803</v>
      </c>
      <c r="C4705" s="18" t="n">
        <f aca="false">'Black-Scholes'!$B$5*EXP(('Black-Scholes'!$B$8-'Black-Scholes'!$B$10-'Black-Scholes'!$B$9^2/2)*'Black-Scholes'!$B$7+'Black-Scholes'!$B$9*SQRT('Black-Scholes'!$B$7)*B4705)</f>
        <v>105.507989774328</v>
      </c>
      <c r="D4705" s="18" t="n">
        <f aca="false">'Black-Scholes'!$B$5*EXP(('Black-Scholes'!$B$8-'Black-Scholes'!$B$10-'Black-Scholes'!$B$9^2/2)*'Black-Scholes'!$B$7-'Black-Scholes'!$B$9*SQRT('Black-Scholes'!$B$7)*B4705)</f>
        <v>100.640392146275</v>
      </c>
      <c r="E4705" s="18" t="n">
        <f aca="false">EXP(-'Black-Scholes'!$B$8*'Black-Scholes'!$B$7)*IF(LOWER('Black-Scholes'!$B$11)="put",MAX('Black-Scholes'!$B$6-C4705,0),MAX(C4705-'Black-Scholes'!$B$6,0))</f>
        <v>5.23936194319019</v>
      </c>
      <c r="F4705" s="18" t="n">
        <f aca="false">(E4705+G4705)/2</f>
        <v>2.92426089797314</v>
      </c>
      <c r="G4705" s="18" t="n">
        <f aca="false">EXP(-'Black-Scholes'!$B$8*'Black-Scholes'!$B$7)*IF(LOWER('Black-Scholes'!$B$11)="put",MAX('Black-Scholes'!$B$6-D4705,0),MAX(D4705-'Black-Scholes'!$B$6,0))</f>
        <v>0.609159852756099</v>
      </c>
    </row>
    <row r="4706" customFormat="false" ht="15" hidden="false" customHeight="false" outlineLevel="0" collapsed="false">
      <c r="A4706" s="0" t="n">
        <v>4695</v>
      </c>
      <c r="B4706" s="15" t="n">
        <v>-0.107230910270453</v>
      </c>
      <c r="C4706" s="18" t="n">
        <f aca="false">'Black-Scholes'!$B$5*EXP(('Black-Scholes'!$B$8-'Black-Scholes'!$B$10-'Black-Scholes'!$B$9^2/2)*'Black-Scholes'!$B$7+'Black-Scholes'!$B$9*SQRT('Black-Scholes'!$B$7)*B4706)</f>
        <v>100.859050638076</v>
      </c>
      <c r="D4706" s="18" t="n">
        <f aca="false">'Black-Scholes'!$B$5*EXP(('Black-Scholes'!$B$8-'Black-Scholes'!$B$10-'Black-Scholes'!$B$9^2/2)*'Black-Scholes'!$B$7-'Black-Scholes'!$B$9*SQRT('Black-Scholes'!$B$7)*B4706)</f>
        <v>105.279252563627</v>
      </c>
      <c r="E4706" s="18" t="n">
        <f aca="false">EXP(-'Black-Scholes'!$B$8*'Black-Scholes'!$B$7)*IF(LOWER('Black-Scholes'!$B$11)="put",MAX('Black-Scholes'!$B$6-C4706,0),MAX(C4706-'Black-Scholes'!$B$6,0))</f>
        <v>0.817154244073679</v>
      </c>
      <c r="F4706" s="18" t="n">
        <f aca="false">(E4706+G4706)/2</f>
        <v>2.91946731098318</v>
      </c>
      <c r="G4706" s="18" t="n">
        <f aca="false">EXP(-'Black-Scholes'!$B$8*'Black-Scholes'!$B$7)*IF(LOWER('Black-Scholes'!$B$11)="put",MAX('Black-Scholes'!$B$6-D4706,0),MAX(D4706-'Black-Scholes'!$B$6,0))</f>
        <v>5.02178037789268</v>
      </c>
    </row>
    <row r="4707" customFormat="false" ht="15" hidden="false" customHeight="false" outlineLevel="0" collapsed="false">
      <c r="A4707" s="0" t="n">
        <v>4696</v>
      </c>
      <c r="B4707" s="15" t="n">
        <v>-0.404356236163313</v>
      </c>
      <c r="C4707" s="18" t="n">
        <f aca="false">'Black-Scholes'!$B$5*EXP(('Black-Scholes'!$B$8-'Black-Scholes'!$B$10-'Black-Scholes'!$B$9^2/2)*'Black-Scholes'!$B$7+'Black-Scholes'!$B$9*SQRT('Black-Scholes'!$B$7)*B4707)</f>
        <v>95.0401029417853</v>
      </c>
      <c r="D4707" s="18" t="n">
        <f aca="false">'Black-Scholes'!$B$5*EXP(('Black-Scholes'!$B$8-'Black-Scholes'!$B$10-'Black-Scholes'!$B$9^2/2)*'Black-Scholes'!$B$7-'Black-Scholes'!$B$9*SQRT('Black-Scholes'!$B$7)*B4707)</f>
        <v>111.725104842928</v>
      </c>
      <c r="E4707" s="18" t="n">
        <f aca="false">EXP(-'Black-Scholes'!$B$8*'Black-Scholes'!$B$7)*IF(LOWER('Black-Scholes'!$B$11)="put",MAX('Black-Scholes'!$B$6-C4707,0),MAX(C4707-'Black-Scholes'!$B$6,0))</f>
        <v>0</v>
      </c>
      <c r="F4707" s="18" t="n">
        <f aca="false">(E4707+G4707)/2</f>
        <v>5.57663236597427</v>
      </c>
      <c r="G4707" s="18" t="n">
        <f aca="false">EXP(-'Black-Scholes'!$B$8*'Black-Scholes'!$B$7)*IF(LOWER('Black-Scholes'!$B$11)="put",MAX('Black-Scholes'!$B$6-D4707,0),MAX(D4707-'Black-Scholes'!$B$6,0))</f>
        <v>11.1532647319485</v>
      </c>
    </row>
    <row r="4708" customFormat="false" ht="15" hidden="false" customHeight="false" outlineLevel="0" collapsed="false">
      <c r="A4708" s="0" t="n">
        <v>4697</v>
      </c>
      <c r="B4708" s="15" t="n">
        <v>-0.312656795266584</v>
      </c>
      <c r="C4708" s="18" t="n">
        <f aca="false">'Black-Scholes'!$B$5*EXP(('Black-Scholes'!$B$8-'Black-Scholes'!$B$10-'Black-Scholes'!$B$9^2/2)*'Black-Scholes'!$B$7+'Black-Scholes'!$B$9*SQRT('Black-Scholes'!$B$7)*B4708)</f>
        <v>96.7992094039657</v>
      </c>
      <c r="D4708" s="18" t="n">
        <f aca="false">'Black-Scholes'!$B$5*EXP(('Black-Scholes'!$B$8-'Black-Scholes'!$B$10-'Black-Scholes'!$B$9^2/2)*'Black-Scholes'!$B$7-'Black-Scholes'!$B$9*SQRT('Black-Scholes'!$B$7)*B4708)</f>
        <v>109.694754025735</v>
      </c>
      <c r="E4708" s="18" t="n">
        <f aca="false">EXP(-'Black-Scholes'!$B$8*'Black-Scholes'!$B$7)*IF(LOWER('Black-Scholes'!$B$11)="put",MAX('Black-Scholes'!$B$6-C4708,0),MAX(C4708-'Black-Scholes'!$B$6,0))</f>
        <v>0</v>
      </c>
      <c r="F4708" s="18" t="n">
        <f aca="false">(E4708+G4708)/2</f>
        <v>4.61096764628778</v>
      </c>
      <c r="G4708" s="18" t="n">
        <f aca="false">EXP(-'Black-Scholes'!$B$8*'Black-Scholes'!$B$7)*IF(LOWER('Black-Scholes'!$B$11)="put",MAX('Black-Scholes'!$B$6-D4708,0),MAX(D4708-'Black-Scholes'!$B$6,0))</f>
        <v>9.22193529257556</v>
      </c>
    </row>
    <row r="4709" customFormat="false" ht="15" hidden="false" customHeight="false" outlineLevel="0" collapsed="false">
      <c r="A4709" s="0" t="n">
        <v>4698</v>
      </c>
      <c r="B4709" s="15" t="n">
        <v>-1.85097329023609</v>
      </c>
      <c r="C4709" s="18" t="n">
        <f aca="false">'Black-Scholes'!$B$5*EXP(('Black-Scholes'!$B$8-'Black-Scholes'!$B$10-'Black-Scholes'!$B$9^2/2)*'Black-Scholes'!$B$7+'Black-Scholes'!$B$9*SQRT('Black-Scholes'!$B$7)*B4709)</f>
        <v>71.1631784425752</v>
      </c>
      <c r="D4709" s="18" t="n">
        <f aca="false">'Black-Scholes'!$B$5*EXP(('Black-Scholes'!$B$8-'Black-Scholes'!$B$10-'Black-Scholes'!$B$9^2/2)*'Black-Scholes'!$B$7-'Black-Scholes'!$B$9*SQRT('Black-Scholes'!$B$7)*B4709)</f>
        <v>149.211512158947</v>
      </c>
      <c r="E4709" s="18" t="n">
        <f aca="false">EXP(-'Black-Scholes'!$B$8*'Black-Scholes'!$B$7)*IF(LOWER('Black-Scholes'!$B$11)="put",MAX('Black-Scholes'!$B$6-C4709,0),MAX(C4709-'Black-Scholes'!$B$6,0))</f>
        <v>0</v>
      </c>
      <c r="F4709" s="18" t="n">
        <f aca="false">(E4709+G4709)/2</f>
        <v>23.4057191948823</v>
      </c>
      <c r="G4709" s="18" t="n">
        <f aca="false">EXP(-'Black-Scholes'!$B$8*'Black-Scholes'!$B$7)*IF(LOWER('Black-Scholes'!$B$11)="put",MAX('Black-Scholes'!$B$6-D4709,0),MAX(D4709-'Black-Scholes'!$B$6,0))</f>
        <v>46.8114383897647</v>
      </c>
    </row>
    <row r="4710" customFormat="false" ht="15" hidden="false" customHeight="false" outlineLevel="0" collapsed="false">
      <c r="A4710" s="0" t="n">
        <v>4699</v>
      </c>
      <c r="B4710" s="15" t="n">
        <v>0.42677259822056</v>
      </c>
      <c r="C4710" s="18" t="n">
        <f aca="false">'Black-Scholes'!$B$5*EXP(('Black-Scholes'!$B$8-'Black-Scholes'!$B$10-'Black-Scholes'!$B$9^2/2)*'Black-Scholes'!$B$7+'Black-Scholes'!$B$9*SQRT('Black-Scholes'!$B$7)*B4710)</f>
        <v>112.227123425297</v>
      </c>
      <c r="D4710" s="18" t="n">
        <f aca="false">'Black-Scholes'!$B$5*EXP(('Black-Scholes'!$B$8-'Black-Scholes'!$B$10-'Black-Scholes'!$B$9^2/2)*'Black-Scholes'!$B$7-'Black-Scholes'!$B$9*SQRT('Black-Scholes'!$B$7)*B4710)</f>
        <v>94.614965984775</v>
      </c>
      <c r="E4710" s="18" t="n">
        <f aca="false">EXP(-'Black-Scholes'!$B$8*'Black-Scholes'!$B$7)*IF(LOWER('Black-Scholes'!$B$11)="put",MAX('Black-Scholes'!$B$6-C4710,0),MAX(C4710-'Black-Scholes'!$B$6,0))</f>
        <v>11.6307995791442</v>
      </c>
      <c r="F4710" s="18" t="n">
        <f aca="false">(E4710+G4710)/2</f>
        <v>5.81539978957212</v>
      </c>
      <c r="G4710" s="18" t="n">
        <f aca="false">EXP(-'Black-Scholes'!$B$8*'Black-Scholes'!$B$7)*IF(LOWER('Black-Scholes'!$B$11)="put",MAX('Black-Scholes'!$B$6-D4710,0),MAX(D4710-'Black-Scholes'!$B$6,0))</f>
        <v>0</v>
      </c>
    </row>
    <row r="4711" customFormat="false" ht="15" hidden="false" customHeight="false" outlineLevel="0" collapsed="false">
      <c r="A4711" s="0" t="n">
        <v>4700</v>
      </c>
      <c r="B4711" s="15" t="n">
        <v>-0.76316727938029</v>
      </c>
      <c r="C4711" s="18" t="n">
        <f aca="false">'Black-Scholes'!$B$5*EXP(('Black-Scholes'!$B$8-'Black-Scholes'!$B$10-'Black-Scholes'!$B$9^2/2)*'Black-Scholes'!$B$7+'Black-Scholes'!$B$9*SQRT('Black-Scholes'!$B$7)*B4711)</f>
        <v>88.458784362005</v>
      </c>
      <c r="D4711" s="18" t="n">
        <f aca="false">'Black-Scholes'!$B$5*EXP(('Black-Scholes'!$B$8-'Black-Scholes'!$B$10-'Black-Scholes'!$B$9^2/2)*'Black-Scholes'!$B$7-'Black-Scholes'!$B$9*SQRT('Black-Scholes'!$B$7)*B4711)</f>
        <v>120.037433727322</v>
      </c>
      <c r="E4711" s="18" t="n">
        <f aca="false">EXP(-'Black-Scholes'!$B$8*'Black-Scholes'!$B$7)*IF(LOWER('Black-Scholes'!$B$11)="put",MAX('Black-Scholes'!$B$6-C4711,0),MAX(C4711-'Black-Scholes'!$B$6,0))</f>
        <v>0</v>
      </c>
      <c r="F4711" s="18" t="n">
        <f aca="false">(E4711+G4711)/2</f>
        <v>9.53009827645562</v>
      </c>
      <c r="G4711" s="18" t="n">
        <f aca="false">EXP(-'Black-Scholes'!$B$8*'Black-Scholes'!$B$7)*IF(LOWER('Black-Scholes'!$B$11)="put",MAX('Black-Scholes'!$B$6-D4711,0),MAX(D4711-'Black-Scholes'!$B$6,0))</f>
        <v>19.0601965529112</v>
      </c>
    </row>
    <row r="4712" customFormat="false" ht="15" hidden="false" customHeight="false" outlineLevel="0" collapsed="false">
      <c r="A4712" s="0" t="n">
        <v>4701</v>
      </c>
      <c r="B4712" s="15" t="n">
        <v>0.0190161209868863</v>
      </c>
      <c r="C4712" s="18" t="n">
        <f aca="false">'Black-Scholes'!$B$5*EXP(('Black-Scholes'!$B$8-'Black-Scholes'!$B$10-'Black-Scholes'!$B$9^2/2)*'Black-Scholes'!$B$7+'Black-Scholes'!$B$9*SQRT('Black-Scholes'!$B$7)*B4712)</f>
        <v>103.438104554036</v>
      </c>
      <c r="D4712" s="18" t="n">
        <f aca="false">'Black-Scholes'!$B$5*EXP(('Black-Scholes'!$B$8-'Black-Scholes'!$B$10-'Black-Scholes'!$B$9^2/2)*'Black-Scholes'!$B$7-'Black-Scholes'!$B$9*SQRT('Black-Scholes'!$B$7)*B4712)</f>
        <v>102.654292740897</v>
      </c>
      <c r="E4712" s="18" t="n">
        <f aca="false">EXP(-'Black-Scholes'!$B$8*'Black-Scholes'!$B$7)*IF(LOWER('Black-Scholes'!$B$11)="put",MAX('Black-Scholes'!$B$6-C4712,0),MAX(C4712-'Black-Scholes'!$B$6,0))</f>
        <v>3.27042621630922</v>
      </c>
      <c r="F4712" s="18" t="n">
        <f aca="false">(E4712+G4712)/2</f>
        <v>2.89763378634475</v>
      </c>
      <c r="G4712" s="18" t="n">
        <f aca="false">EXP(-'Black-Scholes'!$B$8*'Black-Scholes'!$B$7)*IF(LOWER('Black-Scholes'!$B$11)="put",MAX('Black-Scholes'!$B$6-D4712,0),MAX(D4712-'Black-Scholes'!$B$6,0))</f>
        <v>2.52484135638029</v>
      </c>
    </row>
    <row r="4713" customFormat="false" ht="15" hidden="false" customHeight="false" outlineLevel="0" collapsed="false">
      <c r="A4713" s="0" t="n">
        <v>4702</v>
      </c>
      <c r="B4713" s="15" t="n">
        <v>1.59011683980587</v>
      </c>
      <c r="C4713" s="18" t="n">
        <f aca="false">'Black-Scholes'!$B$5*EXP(('Black-Scholes'!$B$8-'Black-Scholes'!$B$10-'Black-Scholes'!$B$9^2/2)*'Black-Scholes'!$B$7+'Black-Scholes'!$B$9*SQRT('Black-Scholes'!$B$7)*B4713)</f>
        <v>141.626534458693</v>
      </c>
      <c r="D4713" s="18" t="n">
        <f aca="false">'Black-Scholes'!$B$5*EXP(('Black-Scholes'!$B$8-'Black-Scholes'!$B$10-'Black-Scholes'!$B$9^2/2)*'Black-Scholes'!$B$7-'Black-Scholes'!$B$9*SQRT('Black-Scholes'!$B$7)*B4713)</f>
        <v>74.9744072043971</v>
      </c>
      <c r="E4713" s="18" t="n">
        <f aca="false">EXP(-'Black-Scholes'!$B$8*'Black-Scholes'!$B$7)*IF(LOWER('Black-Scholes'!$B$11)="put",MAX('Black-Scholes'!$B$6-C4713,0),MAX(C4713-'Black-Scholes'!$B$6,0))</f>
        <v>39.5963844171014</v>
      </c>
      <c r="F4713" s="18" t="n">
        <f aca="false">(E4713+G4713)/2</f>
        <v>19.7981922085507</v>
      </c>
      <c r="G4713" s="18" t="n">
        <f aca="false">EXP(-'Black-Scholes'!$B$8*'Black-Scholes'!$B$7)*IF(LOWER('Black-Scholes'!$B$11)="put",MAX('Black-Scholes'!$B$6-D4713,0),MAX(D4713-'Black-Scholes'!$B$6,0))</f>
        <v>0</v>
      </c>
    </row>
    <row r="4714" customFormat="false" ht="15" hidden="false" customHeight="false" outlineLevel="0" collapsed="false">
      <c r="A4714" s="0" t="n">
        <v>4703</v>
      </c>
      <c r="B4714" s="15" t="n">
        <v>0.462795120660094</v>
      </c>
      <c r="C4714" s="18" t="n">
        <f aca="false">'Black-Scholes'!$B$5*EXP(('Black-Scholes'!$B$8-'Black-Scholes'!$B$10-'Black-Scholes'!$B$9^2/2)*'Black-Scholes'!$B$7+'Black-Scholes'!$B$9*SQRT('Black-Scholes'!$B$7)*B4714)</f>
        <v>113.038583814795</v>
      </c>
      <c r="D4714" s="18" t="n">
        <f aca="false">'Black-Scholes'!$B$5*EXP(('Black-Scholes'!$B$8-'Black-Scholes'!$B$10-'Black-Scholes'!$B$9^2/2)*'Black-Scholes'!$B$7-'Black-Scholes'!$B$9*SQRT('Black-Scholes'!$B$7)*B4714)</f>
        <v>93.935761640919</v>
      </c>
      <c r="E4714" s="18" t="n">
        <f aca="false">EXP(-'Black-Scholes'!$B$8*'Black-Scholes'!$B$7)*IF(LOWER('Black-Scholes'!$B$11)="put",MAX('Black-Scholes'!$B$6-C4714,0),MAX(C4714-'Black-Scholes'!$B$6,0))</f>
        <v>12.4026845784515</v>
      </c>
      <c r="F4714" s="18" t="n">
        <f aca="false">(E4714+G4714)/2</f>
        <v>6.20134228922573</v>
      </c>
      <c r="G4714" s="18" t="n">
        <f aca="false">EXP(-'Black-Scholes'!$B$8*'Black-Scholes'!$B$7)*IF(LOWER('Black-Scholes'!$B$11)="put",MAX('Black-Scholes'!$B$6-D4714,0),MAX(D4714-'Black-Scholes'!$B$6,0))</f>
        <v>0</v>
      </c>
    </row>
    <row r="4715" customFormat="false" ht="15" hidden="false" customHeight="false" outlineLevel="0" collapsed="false">
      <c r="A4715" s="0" t="n">
        <v>4704</v>
      </c>
      <c r="B4715" s="15" t="n">
        <v>-0.00911557182151468</v>
      </c>
      <c r="C4715" s="18" t="n">
        <f aca="false">'Black-Scholes'!$B$5*EXP(('Black-Scholes'!$B$8-'Black-Scholes'!$B$10-'Black-Scholes'!$B$9^2/2)*'Black-Scholes'!$B$7+'Black-Scholes'!$B$9*SQRT('Black-Scholes'!$B$7)*B4715)</f>
        <v>102.857760893525</v>
      </c>
      <c r="D4715" s="18" t="n">
        <f aca="false">'Black-Scholes'!$B$5*EXP(('Black-Scholes'!$B$8-'Black-Scholes'!$B$10-'Black-Scholes'!$B$9^2/2)*'Black-Scholes'!$B$7-'Black-Scholes'!$B$9*SQRT('Black-Scholes'!$B$7)*B4715)</f>
        <v>103.233488394185</v>
      </c>
      <c r="E4715" s="18" t="n">
        <f aca="false">EXP(-'Black-Scholes'!$B$8*'Black-Scholes'!$B$7)*IF(LOWER('Black-Scholes'!$B$11)="put",MAX('Black-Scholes'!$B$6-C4715,0),MAX(C4715-'Black-Scholes'!$B$6,0))</f>
        <v>2.71838625010883</v>
      </c>
      <c r="F4715" s="18" t="n">
        <f aca="false">(E4715+G4715)/2</f>
        <v>2.89708777721951</v>
      </c>
      <c r="G4715" s="18" t="n">
        <f aca="false">EXP(-'Black-Scholes'!$B$8*'Black-Scholes'!$B$7)*IF(LOWER('Black-Scholes'!$B$11)="put",MAX('Black-Scholes'!$B$6-D4715,0),MAX(D4715-'Black-Scholes'!$B$6,0))</f>
        <v>3.07578930433018</v>
      </c>
    </row>
    <row r="4716" customFormat="false" ht="15" hidden="false" customHeight="false" outlineLevel="0" collapsed="false">
      <c r="A4716" s="0" t="n">
        <v>4705</v>
      </c>
      <c r="B4716" s="15" t="n">
        <v>1.23661470482411</v>
      </c>
      <c r="C4716" s="18" t="n">
        <f aca="false">'Black-Scholes'!$B$5*EXP(('Black-Scholes'!$B$8-'Black-Scholes'!$B$10-'Black-Scholes'!$B$9^2/2)*'Black-Scholes'!$B$7+'Black-Scholes'!$B$9*SQRT('Black-Scholes'!$B$7)*B4716)</f>
        <v>131.959245269149</v>
      </c>
      <c r="D4716" s="18" t="n">
        <f aca="false">'Black-Scholes'!$B$5*EXP(('Black-Scholes'!$B$8-'Black-Scholes'!$B$10-'Black-Scholes'!$B$9^2/2)*'Black-Scholes'!$B$7-'Black-Scholes'!$B$9*SQRT('Black-Scholes'!$B$7)*B4716)</f>
        <v>80.4670066413005</v>
      </c>
      <c r="E4716" s="18" t="n">
        <f aca="false">EXP(-'Black-Scholes'!$B$8*'Black-Scholes'!$B$7)*IF(LOWER('Black-Scholes'!$B$11)="put",MAX('Black-Scholes'!$B$6-C4716,0),MAX(C4716-'Black-Scholes'!$B$6,0))</f>
        <v>30.4005744848496</v>
      </c>
      <c r="F4716" s="18" t="n">
        <f aca="false">(E4716+G4716)/2</f>
        <v>15.2002872424248</v>
      </c>
      <c r="G4716" s="18" t="n">
        <f aca="false">EXP(-'Black-Scholes'!$B$8*'Black-Scholes'!$B$7)*IF(LOWER('Black-Scholes'!$B$11)="put",MAX('Black-Scholes'!$B$6-D4716,0),MAX(D4716-'Black-Scholes'!$B$6,0))</f>
        <v>0</v>
      </c>
    </row>
    <row r="4717" customFormat="false" ht="15" hidden="false" customHeight="false" outlineLevel="0" collapsed="false">
      <c r="A4717" s="0" t="n">
        <v>4706</v>
      </c>
      <c r="B4717" s="15" t="n">
        <v>-0.601485525934268</v>
      </c>
      <c r="C4717" s="18" t="n">
        <f aca="false">'Black-Scholes'!$B$5*EXP(('Black-Scholes'!$B$8-'Black-Scholes'!$B$10-'Black-Scholes'!$B$9^2/2)*'Black-Scholes'!$B$7+'Black-Scholes'!$B$9*SQRT('Black-Scholes'!$B$7)*B4717)</f>
        <v>91.3659691908697</v>
      </c>
      <c r="D4717" s="18" t="n">
        <f aca="false">'Black-Scholes'!$B$5*EXP(('Black-Scholes'!$B$8-'Black-Scholes'!$B$10-'Black-Scholes'!$B$9^2/2)*'Black-Scholes'!$B$7-'Black-Scholes'!$B$9*SQRT('Black-Scholes'!$B$7)*B4717)</f>
        <v>116.217948099156</v>
      </c>
      <c r="E4717" s="18" t="n">
        <f aca="false">EXP(-'Black-Scholes'!$B$8*'Black-Scholes'!$B$7)*IF(LOWER('Black-Scholes'!$B$11)="put",MAX('Black-Scholes'!$B$6-C4717,0),MAX(C4717-'Black-Scholes'!$B$6,0))</f>
        <v>0</v>
      </c>
      <c r="F4717" s="18" t="n">
        <f aca="false">(E4717+G4717)/2</f>
        <v>7.71349471847139</v>
      </c>
      <c r="G4717" s="18" t="n">
        <f aca="false">EXP(-'Black-Scholes'!$B$8*'Black-Scholes'!$B$7)*IF(LOWER('Black-Scholes'!$B$11)="put",MAX('Black-Scholes'!$B$6-D4717,0),MAX(D4717-'Black-Scholes'!$B$6,0))</f>
        <v>15.4269894369428</v>
      </c>
    </row>
    <row r="4718" customFormat="false" ht="15" hidden="false" customHeight="false" outlineLevel="0" collapsed="false">
      <c r="A4718" s="0" t="n">
        <v>4707</v>
      </c>
      <c r="B4718" s="15" t="n">
        <v>-1.61576757432305</v>
      </c>
      <c r="C4718" s="18" t="n">
        <f aca="false">'Black-Scholes'!$B$5*EXP(('Black-Scholes'!$B$8-'Black-Scholes'!$B$10-'Black-Scholes'!$B$9^2/2)*'Black-Scholes'!$B$7+'Black-Scholes'!$B$9*SQRT('Black-Scholes'!$B$7)*B4718)</f>
        <v>74.5907623999529</v>
      </c>
      <c r="D4718" s="18" t="n">
        <f aca="false">'Black-Scholes'!$B$5*EXP(('Black-Scholes'!$B$8-'Black-Scholes'!$B$10-'Black-Scholes'!$B$9^2/2)*'Black-Scholes'!$B$7-'Black-Scholes'!$B$9*SQRT('Black-Scholes'!$B$7)*B4718)</f>
        <v>142.354966269393</v>
      </c>
      <c r="E4718" s="18" t="n">
        <f aca="false">EXP(-'Black-Scholes'!$B$8*'Black-Scholes'!$B$7)*IF(LOWER('Black-Scholes'!$B$11)="put",MAX('Black-Scholes'!$B$6-C4718,0),MAX(C4718-'Black-Scholes'!$B$6,0))</f>
        <v>0</v>
      </c>
      <c r="F4718" s="18" t="n">
        <f aca="false">(E4718+G4718)/2</f>
        <v>20.1446450945909</v>
      </c>
      <c r="G4718" s="18" t="n">
        <f aca="false">EXP(-'Black-Scholes'!$B$8*'Black-Scholes'!$B$7)*IF(LOWER('Black-Scholes'!$B$11)="put",MAX('Black-Scholes'!$B$6-D4718,0),MAX(D4718-'Black-Scholes'!$B$6,0))</f>
        <v>40.2892901891818</v>
      </c>
    </row>
    <row r="4719" customFormat="false" ht="15" hidden="false" customHeight="false" outlineLevel="0" collapsed="false">
      <c r="A4719" s="0" t="n">
        <v>4708</v>
      </c>
      <c r="B4719" s="15" t="n">
        <v>-1.02930562276846</v>
      </c>
      <c r="C4719" s="18" t="n">
        <f aca="false">'Black-Scholes'!$B$5*EXP(('Black-Scholes'!$B$8-'Black-Scholes'!$B$10-'Black-Scholes'!$B$9^2/2)*'Black-Scholes'!$B$7+'Black-Scholes'!$B$9*SQRT('Black-Scholes'!$B$7)*B4719)</f>
        <v>83.8734454871124</v>
      </c>
      <c r="D4719" s="18" t="n">
        <f aca="false">'Black-Scholes'!$B$5*EXP(('Black-Scholes'!$B$8-'Black-Scholes'!$B$10-'Black-Scholes'!$B$9^2/2)*'Black-Scholes'!$B$7-'Black-Scholes'!$B$9*SQRT('Black-Scholes'!$B$7)*B4719)</f>
        <v>126.599848185385</v>
      </c>
      <c r="E4719" s="18" t="n">
        <f aca="false">EXP(-'Black-Scholes'!$B$8*'Black-Scholes'!$B$7)*IF(LOWER('Black-Scholes'!$B$11)="put",MAX('Black-Scholes'!$B$6-C4719,0),MAX(C4719-'Black-Scholes'!$B$6,0))</f>
        <v>0</v>
      </c>
      <c r="F4719" s="18" t="n">
        <f aca="false">(E4719+G4719)/2</f>
        <v>12.6512791405951</v>
      </c>
      <c r="G4719" s="18" t="n">
        <f aca="false">EXP(-'Black-Scholes'!$B$8*'Black-Scholes'!$B$7)*IF(LOWER('Black-Scholes'!$B$11)="put",MAX('Black-Scholes'!$B$6-D4719,0),MAX(D4719-'Black-Scholes'!$B$6,0))</f>
        <v>25.3025582811902</v>
      </c>
    </row>
    <row r="4720" customFormat="false" ht="15" hidden="false" customHeight="false" outlineLevel="0" collapsed="false">
      <c r="A4720" s="0" t="n">
        <v>4709</v>
      </c>
      <c r="B4720" s="15" t="n">
        <v>-0.523959779712778</v>
      </c>
      <c r="C4720" s="18" t="n">
        <f aca="false">'Black-Scholes'!$B$5*EXP(('Black-Scholes'!$B$8-'Black-Scholes'!$B$10-'Black-Scholes'!$B$9^2/2)*'Black-Scholes'!$B$7+'Black-Scholes'!$B$9*SQRT('Black-Scholes'!$B$7)*B4720)</f>
        <v>92.7936517926559</v>
      </c>
      <c r="D4720" s="18" t="n">
        <f aca="false">'Black-Scholes'!$B$5*EXP(('Black-Scholes'!$B$8-'Black-Scholes'!$B$10-'Black-Scholes'!$B$9^2/2)*'Black-Scholes'!$B$7-'Black-Scholes'!$B$9*SQRT('Black-Scholes'!$B$7)*B4720)</f>
        <v>114.42986950422</v>
      </c>
      <c r="E4720" s="18" t="n">
        <f aca="false">EXP(-'Black-Scholes'!$B$8*'Black-Scholes'!$B$7)*IF(LOWER('Black-Scholes'!$B$11)="put",MAX('Black-Scholes'!$B$6-C4720,0),MAX(C4720-'Black-Scholes'!$B$6,0))</f>
        <v>0</v>
      </c>
      <c r="F4720" s="18" t="n">
        <f aca="false">(E4720+G4720)/2</f>
        <v>6.86305823205958</v>
      </c>
      <c r="G4720" s="18" t="n">
        <f aca="false">EXP(-'Black-Scholes'!$B$8*'Black-Scholes'!$B$7)*IF(LOWER('Black-Scholes'!$B$11)="put",MAX('Black-Scholes'!$B$6-D4720,0),MAX(D4720-'Black-Scholes'!$B$6,0))</f>
        <v>13.7261164641192</v>
      </c>
    </row>
    <row r="4721" customFormat="false" ht="15" hidden="false" customHeight="false" outlineLevel="0" collapsed="false">
      <c r="A4721" s="0" t="n">
        <v>4710</v>
      </c>
      <c r="B4721" s="15" t="n">
        <v>0.752988425142604</v>
      </c>
      <c r="C4721" s="18" t="n">
        <f aca="false">'Black-Scholes'!$B$5*EXP(('Black-Scholes'!$B$8-'Black-Scholes'!$B$10-'Black-Scholes'!$B$9^2/2)*'Black-Scholes'!$B$7+'Black-Scholes'!$B$9*SQRT('Black-Scholes'!$B$7)*B4721)</f>
        <v>119.793313589766</v>
      </c>
      <c r="D4721" s="18" t="n">
        <f aca="false">'Black-Scholes'!$B$5*EXP(('Black-Scholes'!$B$8-'Black-Scholes'!$B$10-'Black-Scholes'!$B$9^2/2)*'Black-Scholes'!$B$7-'Black-Scholes'!$B$9*SQRT('Black-Scholes'!$B$7)*B4721)</f>
        <v>88.6390496035224</v>
      </c>
      <c r="E4721" s="18" t="n">
        <f aca="false">EXP(-'Black-Scholes'!$B$8*'Black-Scholes'!$B$7)*IF(LOWER('Black-Scholes'!$B$11)="put",MAX('Black-Scholes'!$B$6-C4721,0),MAX(C4721-'Black-Scholes'!$B$6,0))</f>
        <v>18.8279822949554</v>
      </c>
      <c r="F4721" s="18" t="n">
        <f aca="false">(E4721+G4721)/2</f>
        <v>9.4139911474777</v>
      </c>
      <c r="G4721" s="18" t="n">
        <f aca="false">EXP(-'Black-Scholes'!$B$8*'Black-Scholes'!$B$7)*IF(LOWER('Black-Scholes'!$B$11)="put",MAX('Black-Scholes'!$B$6-D4721,0),MAX(D4721-'Black-Scholes'!$B$6,0))</f>
        <v>0</v>
      </c>
    </row>
    <row r="4722" customFormat="false" ht="15" hidden="false" customHeight="false" outlineLevel="0" collapsed="false">
      <c r="A4722" s="0" t="n">
        <v>4711</v>
      </c>
      <c r="B4722" s="15" t="n">
        <v>0.207476684155611</v>
      </c>
      <c r="C4722" s="18" t="n">
        <f aca="false">'Black-Scholes'!$B$5*EXP(('Black-Scholes'!$B$8-'Black-Scholes'!$B$10-'Black-Scholes'!$B$9^2/2)*'Black-Scholes'!$B$7+'Black-Scholes'!$B$9*SQRT('Black-Scholes'!$B$7)*B4722)</f>
        <v>107.411314191866</v>
      </c>
      <c r="D4722" s="18" t="n">
        <f aca="false">'Black-Scholes'!$B$5*EXP(('Black-Scholes'!$B$8-'Black-Scholes'!$B$10-'Black-Scholes'!$B$9^2/2)*'Black-Scholes'!$B$7-'Black-Scholes'!$B$9*SQRT('Black-Scholes'!$B$7)*B4722)</f>
        <v>98.8570482108271</v>
      </c>
      <c r="E4722" s="18" t="n">
        <f aca="false">EXP(-'Black-Scholes'!$B$8*'Black-Scholes'!$B$7)*IF(LOWER('Black-Scholes'!$B$11)="put",MAX('Black-Scholes'!$B$6-C4722,0),MAX(C4722-'Black-Scholes'!$B$6,0))</f>
        <v>7.04986013352274</v>
      </c>
      <c r="F4722" s="18" t="n">
        <f aca="false">(E4722+G4722)/2</f>
        <v>3.52493006676137</v>
      </c>
      <c r="G4722" s="18" t="n">
        <f aca="false">EXP(-'Black-Scholes'!$B$8*'Black-Scholes'!$B$7)*IF(LOWER('Black-Scholes'!$B$11)="put",MAX('Black-Scholes'!$B$6-D4722,0),MAX(D4722-'Black-Scholes'!$B$6,0))</f>
        <v>0</v>
      </c>
    </row>
    <row r="4723" customFormat="false" ht="15" hidden="false" customHeight="false" outlineLevel="0" collapsed="false">
      <c r="A4723" s="0" t="n">
        <v>4712</v>
      </c>
      <c r="B4723" s="15" t="n">
        <v>-0.903639633812413</v>
      </c>
      <c r="C4723" s="18" t="n">
        <f aca="false">'Black-Scholes'!$B$5*EXP(('Black-Scholes'!$B$8-'Black-Scholes'!$B$10-'Black-Scholes'!$B$9^2/2)*'Black-Scholes'!$B$7+'Black-Scholes'!$B$9*SQRT('Black-Scholes'!$B$7)*B4723)</f>
        <v>86.0081672033855</v>
      </c>
      <c r="D4723" s="18" t="n">
        <f aca="false">'Black-Scholes'!$B$5*EXP(('Black-Scholes'!$B$8-'Black-Scholes'!$B$10-'Black-Scholes'!$B$9^2/2)*'Black-Scholes'!$B$7-'Black-Scholes'!$B$9*SQRT('Black-Scholes'!$B$7)*B4723)</f>
        <v>123.457641416124</v>
      </c>
      <c r="E4723" s="18" t="n">
        <f aca="false">EXP(-'Black-Scholes'!$B$8*'Black-Scholes'!$B$7)*IF(LOWER('Black-Scholes'!$B$11)="put",MAX('Black-Scholes'!$B$6-C4723,0),MAX(C4723-'Black-Scholes'!$B$6,0))</f>
        <v>0</v>
      </c>
      <c r="F4723" s="18" t="n">
        <f aca="false">(E4723+G4723)/2</f>
        <v>11.1567993722018</v>
      </c>
      <c r="G4723" s="18" t="n">
        <f aca="false">EXP(-'Black-Scholes'!$B$8*'Black-Scholes'!$B$7)*IF(LOWER('Black-Scholes'!$B$11)="put",MAX('Black-Scholes'!$B$6-D4723,0),MAX(D4723-'Black-Scholes'!$B$6,0))</f>
        <v>22.3135987444037</v>
      </c>
    </row>
    <row r="4724" customFormat="false" ht="15" hidden="false" customHeight="false" outlineLevel="0" collapsed="false">
      <c r="A4724" s="0" t="n">
        <v>4713</v>
      </c>
      <c r="B4724" s="15" t="n">
        <v>-1.71306294884131</v>
      </c>
      <c r="C4724" s="18" t="n">
        <f aca="false">'Black-Scholes'!$B$5*EXP(('Black-Scholes'!$B$8-'Black-Scholes'!$B$10-'Black-Scholes'!$B$9^2/2)*'Black-Scholes'!$B$7+'Black-Scholes'!$B$9*SQRT('Black-Scholes'!$B$7)*B4724)</f>
        <v>73.1533261149494</v>
      </c>
      <c r="D4724" s="18" t="n">
        <f aca="false">'Black-Scholes'!$B$5*EXP(('Black-Scholes'!$B$8-'Black-Scholes'!$B$10-'Black-Scholes'!$B$9^2/2)*'Black-Scholes'!$B$7-'Black-Scholes'!$B$9*SQRT('Black-Scholes'!$B$7)*B4724)</f>
        <v>145.152189645737</v>
      </c>
      <c r="E4724" s="18" t="n">
        <f aca="false">EXP(-'Black-Scholes'!$B$8*'Black-Scholes'!$B$7)*IF(LOWER('Black-Scholes'!$B$11)="put",MAX('Black-Scholes'!$B$6-C4724,0),MAX(C4724-'Black-Scholes'!$B$6,0))</f>
        <v>0</v>
      </c>
      <c r="F4724" s="18" t="n">
        <f aca="false">(E4724+G4724)/2</f>
        <v>21.4750456858309</v>
      </c>
      <c r="G4724" s="18" t="n">
        <f aca="false">EXP(-'Black-Scholes'!$B$8*'Black-Scholes'!$B$7)*IF(LOWER('Black-Scholes'!$B$11)="put",MAX('Black-Scholes'!$B$6-D4724,0),MAX(D4724-'Black-Scholes'!$B$6,0))</f>
        <v>42.9500913716617</v>
      </c>
    </row>
    <row r="4725" customFormat="false" ht="15" hidden="false" customHeight="false" outlineLevel="0" collapsed="false">
      <c r="A4725" s="0" t="n">
        <v>4714</v>
      </c>
      <c r="B4725" s="15" t="n">
        <v>0.147644961310042</v>
      </c>
      <c r="C4725" s="18" t="n">
        <f aca="false">'Black-Scholes'!$B$5*EXP(('Black-Scholes'!$B$8-'Black-Scholes'!$B$10-'Black-Scholes'!$B$9^2/2)*'Black-Scholes'!$B$7+'Black-Scholes'!$B$9*SQRT('Black-Scholes'!$B$7)*B4725)</f>
        <v>106.133653108027</v>
      </c>
      <c r="D4725" s="18" t="n">
        <f aca="false">'Black-Scholes'!$B$5*EXP(('Black-Scholes'!$B$8-'Black-Scholes'!$B$10-'Black-Scholes'!$B$9^2/2)*'Black-Scholes'!$B$7-'Black-Scholes'!$B$9*SQRT('Black-Scholes'!$B$7)*B4725)</f>
        <v>100.047111867955</v>
      </c>
      <c r="E4725" s="18" t="n">
        <f aca="false">EXP(-'Black-Scholes'!$B$8*'Black-Scholes'!$B$7)*IF(LOWER('Black-Scholes'!$B$11)="put",MAX('Black-Scholes'!$B$6-C4725,0),MAX(C4725-'Black-Scholes'!$B$6,0))</f>
        <v>5.834511316036</v>
      </c>
      <c r="F4725" s="18" t="n">
        <f aca="false">(E4725+G4725)/2</f>
        <v>2.93966275553918</v>
      </c>
      <c r="G4725" s="18" t="n">
        <f aca="false">EXP(-'Black-Scholes'!$B$8*'Black-Scholes'!$B$7)*IF(LOWER('Black-Scholes'!$B$11)="put",MAX('Black-Scholes'!$B$6-D4725,0),MAX(D4725-'Black-Scholes'!$B$6,0))</f>
        <v>0.0448141950423495</v>
      </c>
    </row>
    <row r="4726" customFormat="false" ht="15" hidden="false" customHeight="false" outlineLevel="0" collapsed="false">
      <c r="A4726" s="0" t="n">
        <v>4715</v>
      </c>
      <c r="B4726" s="15" t="n">
        <v>-0.141305985144471</v>
      </c>
      <c r="C4726" s="18" t="n">
        <f aca="false">'Black-Scholes'!$B$5*EXP(('Black-Scholes'!$B$8-'Black-Scholes'!$B$10-'Black-Scholes'!$B$9^2/2)*'Black-Scholes'!$B$7+'Black-Scholes'!$B$9*SQRT('Black-Scholes'!$B$7)*B4726)</f>
        <v>100.174031556557</v>
      </c>
      <c r="D4726" s="18" t="n">
        <f aca="false">'Black-Scholes'!$B$5*EXP(('Black-Scholes'!$B$8-'Black-Scholes'!$B$10-'Black-Scholes'!$B$9^2/2)*'Black-Scholes'!$B$7-'Black-Scholes'!$B$9*SQRT('Black-Scholes'!$B$7)*B4726)</f>
        <v>105.999182627073</v>
      </c>
      <c r="E4726" s="18" t="n">
        <f aca="false">EXP(-'Black-Scholes'!$B$8*'Black-Scholes'!$B$7)*IF(LOWER('Black-Scholes'!$B$11)="put",MAX('Black-Scholes'!$B$6-C4726,0),MAX(C4726-'Black-Scholes'!$B$6,0))</f>
        <v>0.165543937388297</v>
      </c>
      <c r="F4726" s="18" t="n">
        <f aca="false">(E4726+G4726)/2</f>
        <v>2.93607148760671</v>
      </c>
      <c r="G4726" s="18" t="n">
        <f aca="false">EXP(-'Black-Scholes'!$B$8*'Black-Scholes'!$B$7)*IF(LOWER('Black-Scholes'!$B$11)="put",MAX('Black-Scholes'!$B$6-D4726,0),MAX(D4726-'Black-Scholes'!$B$6,0))</f>
        <v>5.70659903782511</v>
      </c>
    </row>
    <row r="4727" customFormat="false" ht="15" hidden="false" customHeight="false" outlineLevel="0" collapsed="false">
      <c r="A4727" s="0" t="n">
        <v>4716</v>
      </c>
      <c r="B4727" s="15" t="n">
        <v>1.60280224206587</v>
      </c>
      <c r="C4727" s="18" t="n">
        <f aca="false">'Black-Scholes'!$B$5*EXP(('Black-Scholes'!$B$8-'Black-Scholes'!$B$10-'Black-Scholes'!$B$9^2/2)*'Black-Scholes'!$B$7+'Black-Scholes'!$B$9*SQRT('Black-Scholes'!$B$7)*B4727)</f>
        <v>141.986308565697</v>
      </c>
      <c r="D4727" s="18" t="n">
        <f aca="false">'Black-Scholes'!$B$5*EXP(('Black-Scholes'!$B$8-'Black-Scholes'!$B$10-'Black-Scholes'!$B$9^2/2)*'Black-Scholes'!$B$7-'Black-Scholes'!$B$9*SQRT('Black-Scholes'!$B$7)*B4727)</f>
        <v>74.784432194323</v>
      </c>
      <c r="E4727" s="18" t="n">
        <f aca="false">EXP(-'Black-Scholes'!$B$8*'Black-Scholes'!$B$7)*IF(LOWER('Black-Scholes'!$B$11)="put",MAX('Black-Scholes'!$B$6-C4727,0),MAX(C4727-'Black-Scholes'!$B$6,0))</f>
        <v>39.9386121338574</v>
      </c>
      <c r="F4727" s="18" t="n">
        <f aca="false">(E4727+G4727)/2</f>
        <v>19.9693060669287</v>
      </c>
      <c r="G4727" s="18" t="n">
        <f aca="false">EXP(-'Black-Scholes'!$B$8*'Black-Scholes'!$B$7)*IF(LOWER('Black-Scholes'!$B$11)="put",MAX('Black-Scholes'!$B$6-D4727,0),MAX(D4727-'Black-Scholes'!$B$6,0))</f>
        <v>0</v>
      </c>
    </row>
    <row r="4728" customFormat="false" ht="15" hidden="false" customHeight="false" outlineLevel="0" collapsed="false">
      <c r="A4728" s="0" t="n">
        <v>4717</v>
      </c>
      <c r="B4728" s="15" t="n">
        <v>-1.04923211904804</v>
      </c>
      <c r="C4728" s="18" t="n">
        <f aca="false">'Black-Scholes'!$B$5*EXP(('Black-Scholes'!$B$8-'Black-Scholes'!$B$10-'Black-Scholes'!$B$9^2/2)*'Black-Scholes'!$B$7+'Black-Scholes'!$B$9*SQRT('Black-Scholes'!$B$7)*B4728)</f>
        <v>83.5398498878987</v>
      </c>
      <c r="D4728" s="18" t="n">
        <f aca="false">'Black-Scholes'!$B$5*EXP(('Black-Scholes'!$B$8-'Black-Scholes'!$B$10-'Black-Scholes'!$B$9^2/2)*'Black-Scholes'!$B$7-'Black-Scholes'!$B$9*SQRT('Black-Scholes'!$B$7)*B4728)</f>
        <v>127.105393171071</v>
      </c>
      <c r="E4728" s="18" t="n">
        <f aca="false">EXP(-'Black-Scholes'!$B$8*'Black-Scholes'!$B$7)*IF(LOWER('Black-Scholes'!$B$11)="put",MAX('Black-Scholes'!$B$6-C4728,0),MAX(C4728-'Black-Scholes'!$B$6,0))</f>
        <v>0</v>
      </c>
      <c r="F4728" s="18" t="n">
        <f aca="false">(E4728+G4728)/2</f>
        <v>12.8917237734916</v>
      </c>
      <c r="G4728" s="18" t="n">
        <f aca="false">EXP(-'Black-Scholes'!$B$8*'Black-Scholes'!$B$7)*IF(LOWER('Black-Scholes'!$B$11)="put",MAX('Black-Scholes'!$B$6-D4728,0),MAX(D4728-'Black-Scholes'!$B$6,0))</f>
        <v>25.7834475469832</v>
      </c>
    </row>
    <row r="4729" customFormat="false" ht="15" hidden="false" customHeight="false" outlineLevel="0" collapsed="false">
      <c r="A4729" s="0" t="n">
        <v>4718</v>
      </c>
      <c r="B4729" s="15" t="n">
        <v>-1.4726001406506</v>
      </c>
      <c r="C4729" s="18" t="n">
        <f aca="false">'Black-Scholes'!$B$5*EXP(('Black-Scholes'!$B$8-'Black-Scholes'!$B$10-'Black-Scholes'!$B$9^2/2)*'Black-Scholes'!$B$7+'Black-Scholes'!$B$9*SQRT('Black-Scholes'!$B$7)*B4729)</f>
        <v>76.7574275636156</v>
      </c>
      <c r="D4729" s="18" t="n">
        <f aca="false">'Black-Scholes'!$B$5*EXP(('Black-Scholes'!$B$8-'Black-Scholes'!$B$10-'Black-Scholes'!$B$9^2/2)*'Black-Scholes'!$B$7-'Black-Scholes'!$B$9*SQRT('Black-Scholes'!$B$7)*B4729)</f>
        <v>138.336650959977</v>
      </c>
      <c r="E4729" s="18" t="n">
        <f aca="false">EXP(-'Black-Scholes'!$B$8*'Black-Scholes'!$B$7)*IF(LOWER('Black-Scholes'!$B$11)="put",MAX('Black-Scholes'!$B$6-C4729,0),MAX(C4729-'Black-Scholes'!$B$6,0))</f>
        <v>0</v>
      </c>
      <c r="F4729" s="18" t="n">
        <f aca="false">(E4729+G4729)/2</f>
        <v>18.2334752149718</v>
      </c>
      <c r="G4729" s="18" t="n">
        <f aca="false">EXP(-'Black-Scholes'!$B$8*'Black-Scholes'!$B$7)*IF(LOWER('Black-Scholes'!$B$11)="put",MAX('Black-Scholes'!$B$6-D4729,0),MAX(D4729-'Black-Scholes'!$B$6,0))</f>
        <v>36.4669504299436</v>
      </c>
    </row>
    <row r="4730" customFormat="false" ht="15" hidden="false" customHeight="false" outlineLevel="0" collapsed="false">
      <c r="A4730" s="0" t="n">
        <v>4719</v>
      </c>
      <c r="B4730" s="15" t="n">
        <v>-0.259306024420132</v>
      </c>
      <c r="C4730" s="18" t="n">
        <f aca="false">'Black-Scholes'!$B$5*EXP(('Black-Scholes'!$B$8-'Black-Scholes'!$B$10-'Black-Scholes'!$B$9^2/2)*'Black-Scholes'!$B$7+'Black-Scholes'!$B$9*SQRT('Black-Scholes'!$B$7)*B4730)</f>
        <v>97.8376019440971</v>
      </c>
      <c r="D4730" s="18" t="n">
        <f aca="false">'Black-Scholes'!$B$5*EXP(('Black-Scholes'!$B$8-'Black-Scholes'!$B$10-'Black-Scholes'!$B$9^2/2)*'Black-Scholes'!$B$7-'Black-Scholes'!$B$9*SQRT('Black-Scholes'!$B$7)*B4730)</f>
        <v>108.530516431921</v>
      </c>
      <c r="E4730" s="18" t="n">
        <f aca="false">EXP(-'Black-Scholes'!$B$8*'Black-Scholes'!$B$7)*IF(LOWER('Black-Scholes'!$B$11)="put",MAX('Black-Scholes'!$B$6-C4730,0),MAX(C4730-'Black-Scholes'!$B$6,0))</f>
        <v>0</v>
      </c>
      <c r="F4730" s="18" t="n">
        <f aca="false">(E4730+G4730)/2</f>
        <v>4.05723911811513</v>
      </c>
      <c r="G4730" s="18" t="n">
        <f aca="false">EXP(-'Black-Scholes'!$B$8*'Black-Scholes'!$B$7)*IF(LOWER('Black-Scholes'!$B$11)="put",MAX('Black-Scholes'!$B$6-D4730,0),MAX(D4730-'Black-Scholes'!$B$6,0))</f>
        <v>8.11447823623026</v>
      </c>
    </row>
    <row r="4731" customFormat="false" ht="15" hidden="false" customHeight="false" outlineLevel="0" collapsed="false">
      <c r="A4731" s="0" t="n">
        <v>4720</v>
      </c>
      <c r="B4731" s="15" t="n">
        <v>3.11447950933506</v>
      </c>
      <c r="C4731" s="18" t="n">
        <f aca="false">'Black-Scholes'!$B$5*EXP(('Black-Scholes'!$B$8-'Black-Scholes'!$B$10-'Black-Scholes'!$B$9^2/2)*'Black-Scholes'!$B$7+'Black-Scholes'!$B$9*SQRT('Black-Scholes'!$B$7)*B4731)</f>
        <v>192.109608713584</v>
      </c>
      <c r="D4731" s="18" t="n">
        <f aca="false">'Black-Scholes'!$B$5*EXP(('Black-Scholes'!$B$8-'Black-Scholes'!$B$10-'Black-Scholes'!$B$9^2/2)*'Black-Scholes'!$B$7-'Black-Scholes'!$B$9*SQRT('Black-Scholes'!$B$7)*B4731)</f>
        <v>55.2724329436561</v>
      </c>
      <c r="E4731" s="18" t="n">
        <f aca="false">EXP(-'Black-Scholes'!$B$8*'Black-Scholes'!$B$7)*IF(LOWER('Black-Scholes'!$B$11)="put",MAX('Black-Scholes'!$B$6-C4731,0),MAX(C4731-'Black-Scholes'!$B$6,0))</f>
        <v>87.6173700876089</v>
      </c>
      <c r="F4731" s="18" t="n">
        <f aca="false">(E4731+G4731)/2</f>
        <v>43.8086850438044</v>
      </c>
      <c r="G4731" s="18" t="n">
        <f aca="false">EXP(-'Black-Scholes'!$B$8*'Black-Scholes'!$B$7)*IF(LOWER('Black-Scholes'!$B$11)="put",MAX('Black-Scholes'!$B$6-D4731,0),MAX(D4731-'Black-Scholes'!$B$6,0))</f>
        <v>0</v>
      </c>
    </row>
    <row r="4732" customFormat="false" ht="15" hidden="false" customHeight="false" outlineLevel="0" collapsed="false">
      <c r="A4732" s="0" t="n">
        <v>4721</v>
      </c>
      <c r="B4732" s="15" t="n">
        <v>0.696668714212688</v>
      </c>
      <c r="C4732" s="18" t="n">
        <f aca="false">'Black-Scholes'!$B$5*EXP(('Black-Scholes'!$B$8-'Black-Scholes'!$B$10-'Black-Scholes'!$B$9^2/2)*'Black-Scholes'!$B$7+'Black-Scholes'!$B$9*SQRT('Black-Scholes'!$B$7)*B4732)</f>
        <v>118.451539649856</v>
      </c>
      <c r="D4732" s="18" t="n">
        <f aca="false">'Black-Scholes'!$B$5*EXP(('Black-Scholes'!$B$8-'Black-Scholes'!$B$10-'Black-Scholes'!$B$9^2/2)*'Black-Scholes'!$B$7-'Black-Scholes'!$B$9*SQRT('Black-Scholes'!$B$7)*B4732)</f>
        <v>89.6431190074993</v>
      </c>
      <c r="E4732" s="18" t="n">
        <f aca="false">EXP(-'Black-Scholes'!$B$8*'Black-Scholes'!$B$7)*IF(LOWER('Black-Scholes'!$B$11)="put",MAX('Black-Scholes'!$B$6-C4732,0),MAX(C4732-'Black-Scholes'!$B$6,0))</f>
        <v>17.551647442285</v>
      </c>
      <c r="F4732" s="18" t="n">
        <f aca="false">(E4732+G4732)/2</f>
        <v>8.77582372114251</v>
      </c>
      <c r="G4732" s="18" t="n">
        <f aca="false">EXP(-'Black-Scholes'!$B$8*'Black-Scholes'!$B$7)*IF(LOWER('Black-Scholes'!$B$11)="put",MAX('Black-Scholes'!$B$6-D4732,0),MAX(D4732-'Black-Scholes'!$B$6,0))</f>
        <v>0</v>
      </c>
    </row>
    <row r="4733" customFormat="false" ht="15" hidden="false" customHeight="false" outlineLevel="0" collapsed="false">
      <c r="A4733" s="0" t="n">
        <v>4722</v>
      </c>
      <c r="B4733" s="15" t="n">
        <v>0.454822987278307</v>
      </c>
      <c r="C4733" s="18" t="n">
        <f aca="false">'Black-Scholes'!$B$5*EXP(('Black-Scholes'!$B$8-'Black-Scholes'!$B$10-'Black-Scholes'!$B$9^2/2)*'Black-Scholes'!$B$7+'Black-Scholes'!$B$9*SQRT('Black-Scholes'!$B$7)*B4733)</f>
        <v>112.858495688111</v>
      </c>
      <c r="D4733" s="18" t="n">
        <f aca="false">'Black-Scholes'!$B$5*EXP(('Black-Scholes'!$B$8-'Black-Scholes'!$B$10-'Black-Scholes'!$B$9^2/2)*'Black-Scholes'!$B$7-'Black-Scholes'!$B$9*SQRT('Black-Scholes'!$B$7)*B4733)</f>
        <v>94.0856547902064</v>
      </c>
      <c r="E4733" s="18" t="n">
        <f aca="false">EXP(-'Black-Scholes'!$B$8*'Black-Scholes'!$B$7)*IF(LOWER('Black-Scholes'!$B$11)="put",MAX('Black-Scholes'!$B$6-C4733,0),MAX(C4733-'Black-Scholes'!$B$6,0))</f>
        <v>12.2313794533467</v>
      </c>
      <c r="F4733" s="18" t="n">
        <f aca="false">(E4733+G4733)/2</f>
        <v>6.11568972667333</v>
      </c>
      <c r="G4733" s="18" t="n">
        <f aca="false">EXP(-'Black-Scholes'!$B$8*'Black-Scholes'!$B$7)*IF(LOWER('Black-Scholes'!$B$11)="put",MAX('Black-Scholes'!$B$6-D4733,0),MAX(D4733-'Black-Scholes'!$B$6,0))</f>
        <v>0</v>
      </c>
    </row>
    <row r="4734" customFormat="false" ht="15" hidden="false" customHeight="false" outlineLevel="0" collapsed="false">
      <c r="A4734" s="0" t="n">
        <v>4723</v>
      </c>
      <c r="B4734" s="15" t="n">
        <v>0.649342800635905</v>
      </c>
      <c r="C4734" s="18" t="n">
        <f aca="false">'Black-Scholes'!$B$5*EXP(('Black-Scholes'!$B$8-'Black-Scholes'!$B$10-'Black-Scholes'!$B$9^2/2)*'Black-Scholes'!$B$7+'Black-Scholes'!$B$9*SQRT('Black-Scholes'!$B$7)*B4734)</f>
        <v>117.335663500878</v>
      </c>
      <c r="D4734" s="18" t="n">
        <f aca="false">'Black-Scholes'!$B$5*EXP(('Black-Scholes'!$B$8-'Black-Scholes'!$B$10-'Black-Scholes'!$B$9^2/2)*'Black-Scholes'!$B$7-'Black-Scholes'!$B$9*SQRT('Black-Scholes'!$B$7)*B4734)</f>
        <v>90.4956357567635</v>
      </c>
      <c r="E4734" s="18" t="n">
        <f aca="false">EXP(-'Black-Scholes'!$B$8*'Black-Scholes'!$B$7)*IF(LOWER('Black-Scholes'!$B$11)="put",MAX('Black-Scholes'!$B$6-C4734,0),MAX(C4734-'Black-Scholes'!$B$6,0))</f>
        <v>16.4901932152779</v>
      </c>
      <c r="F4734" s="18" t="n">
        <f aca="false">(E4734+G4734)/2</f>
        <v>8.24509660763894</v>
      </c>
      <c r="G4734" s="18" t="n">
        <f aca="false">EXP(-'Black-Scholes'!$B$8*'Black-Scholes'!$B$7)*IF(LOWER('Black-Scholes'!$B$11)="put",MAX('Black-Scholes'!$B$6-D4734,0),MAX(D4734-'Black-Scholes'!$B$6,0))</f>
        <v>0</v>
      </c>
    </row>
    <row r="4735" customFormat="false" ht="15" hidden="false" customHeight="false" outlineLevel="0" collapsed="false">
      <c r="A4735" s="0" t="n">
        <v>4724</v>
      </c>
      <c r="B4735" s="15" t="n">
        <v>-1.01741949530928</v>
      </c>
      <c r="C4735" s="18" t="n">
        <f aca="false">'Black-Scholes'!$B$5*EXP(('Black-Scholes'!$B$8-'Black-Scholes'!$B$10-'Black-Scholes'!$B$9^2/2)*'Black-Scholes'!$B$7+'Black-Scholes'!$B$9*SQRT('Black-Scholes'!$B$7)*B4735)</f>
        <v>84.0730687605703</v>
      </c>
      <c r="D4735" s="18" t="n">
        <f aca="false">'Black-Scholes'!$B$5*EXP(('Black-Scholes'!$B$8-'Black-Scholes'!$B$10-'Black-Scholes'!$B$9^2/2)*'Black-Scholes'!$B$7-'Black-Scholes'!$B$9*SQRT('Black-Scholes'!$B$7)*B4735)</f>
        <v>126.299249236321</v>
      </c>
      <c r="E4735" s="18" t="n">
        <f aca="false">EXP(-'Black-Scholes'!$B$8*'Black-Scholes'!$B$7)*IF(LOWER('Black-Scholes'!$B$11)="put",MAX('Black-Scholes'!$B$6-C4735,0),MAX(C4735-'Black-Scholes'!$B$6,0))</f>
        <v>0</v>
      </c>
      <c r="F4735" s="18" t="n">
        <f aca="false">(E4735+G4735)/2</f>
        <v>12.5083098579331</v>
      </c>
      <c r="G4735" s="18" t="n">
        <f aca="false">EXP(-'Black-Scholes'!$B$8*'Black-Scholes'!$B$7)*IF(LOWER('Black-Scholes'!$B$11)="put",MAX('Black-Scholes'!$B$6-D4735,0),MAX(D4735-'Black-Scholes'!$B$6,0))</f>
        <v>25.0166197158662</v>
      </c>
    </row>
    <row r="4736" customFormat="false" ht="15" hidden="false" customHeight="false" outlineLevel="0" collapsed="false">
      <c r="A4736" s="0" t="n">
        <v>4725</v>
      </c>
      <c r="B4736" s="15" t="n">
        <v>0.49945038093729</v>
      </c>
      <c r="C4736" s="18" t="n">
        <f aca="false">'Black-Scholes'!$B$5*EXP(('Black-Scholes'!$B$8-'Black-Scholes'!$B$10-'Black-Scholes'!$B$9^2/2)*'Black-Scholes'!$B$7+'Black-Scholes'!$B$9*SQRT('Black-Scholes'!$B$7)*B4736)</f>
        <v>113.870320584701</v>
      </c>
      <c r="D4736" s="18" t="n">
        <f aca="false">'Black-Scholes'!$B$5*EXP(('Black-Scholes'!$B$8-'Black-Scholes'!$B$10-'Black-Scholes'!$B$9^2/2)*'Black-Scholes'!$B$7-'Black-Scholes'!$B$9*SQRT('Black-Scholes'!$B$7)*B4736)</f>
        <v>93.2496317822801</v>
      </c>
      <c r="E4736" s="18" t="n">
        <f aca="false">EXP(-'Black-Scholes'!$B$8*'Black-Scholes'!$B$7)*IF(LOWER('Black-Scholes'!$B$11)="put",MAX('Black-Scholes'!$B$6-C4736,0),MAX(C4736-'Black-Scholes'!$B$6,0))</f>
        <v>13.193857067426</v>
      </c>
      <c r="F4736" s="18" t="n">
        <f aca="false">(E4736+G4736)/2</f>
        <v>6.59692853371299</v>
      </c>
      <c r="G4736" s="18" t="n">
        <f aca="false">EXP(-'Black-Scholes'!$B$8*'Black-Scholes'!$B$7)*IF(LOWER('Black-Scholes'!$B$11)="put",MAX('Black-Scholes'!$B$6-D4736,0),MAX(D4736-'Black-Scholes'!$B$6,0))</f>
        <v>0</v>
      </c>
    </row>
    <row r="4737" customFormat="false" ht="15" hidden="false" customHeight="false" outlineLevel="0" collapsed="false">
      <c r="A4737" s="0" t="n">
        <v>4726</v>
      </c>
      <c r="B4737" s="15" t="n">
        <v>-0.431726789217349</v>
      </c>
      <c r="C4737" s="18" t="n">
        <f aca="false">'Black-Scholes'!$B$5*EXP(('Black-Scholes'!$B$8-'Black-Scholes'!$B$10-'Black-Scholes'!$B$9^2/2)*'Black-Scholes'!$B$7+'Black-Scholes'!$B$9*SQRT('Black-Scholes'!$B$7)*B4737)</f>
        <v>94.5212642915209</v>
      </c>
      <c r="D4737" s="18" t="n">
        <f aca="false">'Black-Scholes'!$B$5*EXP(('Black-Scholes'!$B$8-'Black-Scholes'!$B$10-'Black-Scholes'!$B$9^2/2)*'Black-Scholes'!$B$7-'Black-Scholes'!$B$9*SQRT('Black-Scholes'!$B$7)*B4737)</f>
        <v>112.338377454459</v>
      </c>
      <c r="E4737" s="18" t="n">
        <f aca="false">EXP(-'Black-Scholes'!$B$8*'Black-Scholes'!$B$7)*IF(LOWER('Black-Scholes'!$B$11)="put",MAX('Black-Scholes'!$B$6-C4737,0),MAX(C4737-'Black-Scholes'!$B$6,0))</f>
        <v>0</v>
      </c>
      <c r="F4737" s="18" t="n">
        <f aca="false">(E4737+G4737)/2</f>
        <v>5.86831384263904</v>
      </c>
      <c r="G4737" s="18" t="n">
        <f aca="false">EXP(-'Black-Scholes'!$B$8*'Black-Scholes'!$B$7)*IF(LOWER('Black-Scholes'!$B$11)="put",MAX('Black-Scholes'!$B$6-D4737,0),MAX(D4737-'Black-Scholes'!$B$6,0))</f>
        <v>11.7366276852781</v>
      </c>
    </row>
    <row r="4738" customFormat="false" ht="15" hidden="false" customHeight="false" outlineLevel="0" collapsed="false">
      <c r="A4738" s="0" t="n">
        <v>4727</v>
      </c>
      <c r="B4738" s="15" t="n">
        <v>0.543376954130722</v>
      </c>
      <c r="C4738" s="18" t="n">
        <f aca="false">'Black-Scholes'!$B$5*EXP(('Black-Scholes'!$B$8-'Black-Scholes'!$B$10-'Black-Scholes'!$B$9^2/2)*'Black-Scholes'!$B$7+'Black-Scholes'!$B$9*SQRT('Black-Scholes'!$B$7)*B4738)</f>
        <v>114.875114431454</v>
      </c>
      <c r="D4738" s="18" t="n">
        <f aca="false">'Black-Scholes'!$B$5*EXP(('Black-Scholes'!$B$8-'Black-Scholes'!$B$10-'Black-Scholes'!$B$9^2/2)*'Black-Scholes'!$B$7-'Black-Scholes'!$B$9*SQRT('Black-Scholes'!$B$7)*B4738)</f>
        <v>92.4339924970398</v>
      </c>
      <c r="E4738" s="18" t="n">
        <f aca="false">EXP(-'Black-Scholes'!$B$8*'Black-Scholes'!$B$7)*IF(LOWER('Black-Scholes'!$B$11)="put",MAX('Black-Scholes'!$B$6-C4738,0),MAX(C4738-'Black-Scholes'!$B$6,0))</f>
        <v>14.1496465400142</v>
      </c>
      <c r="F4738" s="18" t="n">
        <f aca="false">(E4738+G4738)/2</f>
        <v>7.0748232700071</v>
      </c>
      <c r="G4738" s="18" t="n">
        <f aca="false">EXP(-'Black-Scholes'!$B$8*'Black-Scholes'!$B$7)*IF(LOWER('Black-Scholes'!$B$11)="put",MAX('Black-Scholes'!$B$6-D4738,0),MAX(D4738-'Black-Scholes'!$B$6,0))</f>
        <v>0</v>
      </c>
    </row>
    <row r="4739" customFormat="false" ht="15" hidden="false" customHeight="false" outlineLevel="0" collapsed="false">
      <c r="A4739" s="0" t="n">
        <v>4728</v>
      </c>
      <c r="B4739" s="15" t="n">
        <v>2.96411353198607</v>
      </c>
      <c r="C4739" s="18" t="n">
        <f aca="false">'Black-Scholes'!$B$5*EXP(('Black-Scholes'!$B$8-'Black-Scholes'!$B$10-'Black-Scholes'!$B$9^2/2)*'Black-Scholes'!$B$7+'Black-Scholes'!$B$9*SQRT('Black-Scholes'!$B$7)*B4739)</f>
        <v>186.418266255885</v>
      </c>
      <c r="D4739" s="18" t="n">
        <f aca="false">'Black-Scholes'!$B$5*EXP(('Black-Scholes'!$B$8-'Black-Scholes'!$B$10-'Black-Scholes'!$B$9^2/2)*'Black-Scholes'!$B$7-'Black-Scholes'!$B$9*SQRT('Black-Scholes'!$B$7)*B4739)</f>
        <v>56.9598981833594</v>
      </c>
      <c r="E4739" s="18" t="n">
        <f aca="false">EXP(-'Black-Scholes'!$B$8*'Black-Scholes'!$B$7)*IF(LOWER('Black-Scholes'!$B$11)="put",MAX('Black-Scholes'!$B$6-C4739,0),MAX(C4739-'Black-Scholes'!$B$6,0))</f>
        <v>82.203597676935</v>
      </c>
      <c r="F4739" s="18" t="n">
        <f aca="false">(E4739+G4739)/2</f>
        <v>41.1017988384675</v>
      </c>
      <c r="G4739" s="18" t="n">
        <f aca="false">EXP(-'Black-Scholes'!$B$8*'Black-Scholes'!$B$7)*IF(LOWER('Black-Scholes'!$B$11)="put",MAX('Black-Scholes'!$B$6-D4739,0),MAX(D4739-'Black-Scholes'!$B$6,0))</f>
        <v>0</v>
      </c>
    </row>
    <row r="4740" customFormat="false" ht="15" hidden="false" customHeight="false" outlineLevel="0" collapsed="false">
      <c r="A4740" s="0" t="n">
        <v>4729</v>
      </c>
      <c r="B4740" s="15" t="n">
        <v>0.355989502417279</v>
      </c>
      <c r="C4740" s="18" t="n">
        <f aca="false">'Black-Scholes'!$B$5*EXP(('Black-Scholes'!$B$8-'Black-Scholes'!$B$10-'Black-Scholes'!$B$9^2/2)*'Black-Scholes'!$B$7+'Black-Scholes'!$B$9*SQRT('Black-Scholes'!$B$7)*B4740)</f>
        <v>110.649559611054</v>
      </c>
      <c r="D4740" s="18" t="n">
        <f aca="false">'Black-Scholes'!$B$5*EXP(('Black-Scholes'!$B$8-'Black-Scholes'!$B$10-'Black-Scholes'!$B$9^2/2)*'Black-Scholes'!$B$7-'Black-Scholes'!$B$9*SQRT('Black-Scholes'!$B$7)*B4740)</f>
        <v>95.963919809337</v>
      </c>
      <c r="E4740" s="18" t="n">
        <f aca="false">EXP(-'Black-Scholes'!$B$8*'Black-Scholes'!$B$7)*IF(LOWER('Black-Scholes'!$B$11)="put",MAX('Black-Scholes'!$B$6-C4740,0),MAX(C4740-'Black-Scholes'!$B$6,0))</f>
        <v>10.1301744600085</v>
      </c>
      <c r="F4740" s="18" t="n">
        <f aca="false">(E4740+G4740)/2</f>
        <v>5.06508723000425</v>
      </c>
      <c r="G4740" s="18" t="n">
        <f aca="false">EXP(-'Black-Scholes'!$B$8*'Black-Scholes'!$B$7)*IF(LOWER('Black-Scholes'!$B$11)="put",MAX('Black-Scholes'!$B$6-D4740,0),MAX(D4740-'Black-Scholes'!$B$6,0))</f>
        <v>0</v>
      </c>
    </row>
    <row r="4741" customFormat="false" ht="15" hidden="false" customHeight="false" outlineLevel="0" collapsed="false">
      <c r="A4741" s="0" t="n">
        <v>4730</v>
      </c>
      <c r="B4741" s="15" t="n">
        <v>-0.0544749802489704</v>
      </c>
      <c r="C4741" s="18" t="n">
        <f aca="false">'Black-Scholes'!$B$5*EXP(('Black-Scholes'!$B$8-'Black-Scholes'!$B$10-'Black-Scholes'!$B$9^2/2)*'Black-Scholes'!$B$7+'Black-Scholes'!$B$9*SQRT('Black-Scholes'!$B$7)*B4741)</f>
        <v>101.928867233535</v>
      </c>
      <c r="D4741" s="18" t="n">
        <f aca="false">'Black-Scholes'!$B$5*EXP(('Black-Scholes'!$B$8-'Black-Scholes'!$B$10-'Black-Scholes'!$B$9^2/2)*'Black-Scholes'!$B$7-'Black-Scholes'!$B$9*SQRT('Black-Scholes'!$B$7)*B4741)</f>
        <v>104.174271270231</v>
      </c>
      <c r="E4741" s="18" t="n">
        <f aca="false">EXP(-'Black-Scholes'!$B$8*'Black-Scholes'!$B$7)*IF(LOWER('Black-Scholes'!$B$11)="put",MAX('Black-Scholes'!$B$6-C4741,0),MAX(C4741-'Black-Scholes'!$B$6,0))</f>
        <v>1.83479526849364</v>
      </c>
      <c r="F4741" s="18" t="n">
        <f aca="false">(E4741+G4741)/2</f>
        <v>2.90274246329256</v>
      </c>
      <c r="G4741" s="18" t="n">
        <f aca="false">EXP(-'Black-Scholes'!$B$8*'Black-Scholes'!$B$7)*IF(LOWER('Black-Scholes'!$B$11)="put",MAX('Black-Scholes'!$B$6-D4741,0),MAX(D4741-'Black-Scholes'!$B$6,0))</f>
        <v>3.97068965809149</v>
      </c>
    </row>
    <row r="4742" customFormat="false" ht="15" hidden="false" customHeight="false" outlineLevel="0" collapsed="false">
      <c r="A4742" s="0" t="n">
        <v>4731</v>
      </c>
      <c r="B4742" s="15" t="n">
        <v>0.25807275174946</v>
      </c>
      <c r="C4742" s="18" t="n">
        <f aca="false">'Black-Scholes'!$B$5*EXP(('Black-Scholes'!$B$8-'Black-Scholes'!$B$10-'Black-Scholes'!$B$9^2/2)*'Black-Scholes'!$B$7+'Black-Scholes'!$B$9*SQRT('Black-Scholes'!$B$7)*B4742)</f>
        <v>108.503750189095</v>
      </c>
      <c r="D4742" s="18" t="n">
        <f aca="false">'Black-Scholes'!$B$5*EXP(('Black-Scholes'!$B$8-'Black-Scholes'!$B$10-'Black-Scholes'!$B$9^2/2)*'Black-Scholes'!$B$7-'Black-Scholes'!$B$9*SQRT('Black-Scholes'!$B$7)*B4742)</f>
        <v>97.8617370086147</v>
      </c>
      <c r="E4742" s="18" t="n">
        <f aca="false">EXP(-'Black-Scholes'!$B$8*'Black-Scholes'!$B$7)*IF(LOWER('Black-Scholes'!$B$11)="put",MAX('Black-Scholes'!$B$6-C4742,0),MAX(C4742-'Black-Scholes'!$B$6,0))</f>
        <v>8.08901739847028</v>
      </c>
      <c r="F4742" s="18" t="n">
        <f aca="false">(E4742+G4742)/2</f>
        <v>4.04450869923514</v>
      </c>
      <c r="G4742" s="18" t="n">
        <f aca="false">EXP(-'Black-Scholes'!$B$8*'Black-Scholes'!$B$7)*IF(LOWER('Black-Scholes'!$B$11)="put",MAX('Black-Scholes'!$B$6-D4742,0),MAX(D4742-'Black-Scholes'!$B$6,0))</f>
        <v>0</v>
      </c>
    </row>
    <row r="4743" customFormat="false" ht="15" hidden="false" customHeight="false" outlineLevel="0" collapsed="false">
      <c r="A4743" s="0" t="n">
        <v>4732</v>
      </c>
      <c r="B4743" s="15" t="n">
        <v>-0.851243770993356</v>
      </c>
      <c r="C4743" s="18" t="n">
        <f aca="false">'Black-Scholes'!$B$5*EXP(('Black-Scholes'!$B$8-'Black-Scholes'!$B$10-'Black-Scholes'!$B$9^2/2)*'Black-Scholes'!$B$7+'Black-Scholes'!$B$9*SQRT('Black-Scholes'!$B$7)*B4743)</f>
        <v>86.9142005782728</v>
      </c>
      <c r="D4743" s="18" t="n">
        <f aca="false">'Black-Scholes'!$B$5*EXP(('Black-Scholes'!$B$8-'Black-Scholes'!$B$10-'Black-Scholes'!$B$9^2/2)*'Black-Scholes'!$B$7-'Black-Scholes'!$B$9*SQRT('Black-Scholes'!$B$7)*B4743)</f>
        <v>122.170662501704</v>
      </c>
      <c r="E4743" s="18" t="n">
        <f aca="false">EXP(-'Black-Scholes'!$B$8*'Black-Scholes'!$B$7)*IF(LOWER('Black-Scholes'!$B$11)="put",MAX('Black-Scholes'!$B$6-C4743,0),MAX(C4743-'Black-Scholes'!$B$6,0))</f>
        <v>0</v>
      </c>
      <c r="F4743" s="18" t="n">
        <f aca="false">(E4743+G4743)/2</f>
        <v>10.5446932661478</v>
      </c>
      <c r="G4743" s="18" t="n">
        <f aca="false">EXP(-'Black-Scholes'!$B$8*'Black-Scholes'!$B$7)*IF(LOWER('Black-Scholes'!$B$11)="put",MAX('Black-Scholes'!$B$6-D4743,0),MAX(D4743-'Black-Scholes'!$B$6,0))</f>
        <v>21.0893865322957</v>
      </c>
    </row>
    <row r="4744" customFormat="false" ht="15" hidden="false" customHeight="false" outlineLevel="0" collapsed="false">
      <c r="A4744" s="0" t="n">
        <v>4733</v>
      </c>
      <c r="B4744" s="15" t="n">
        <v>0.465038229881682</v>
      </c>
      <c r="C4744" s="18" t="n">
        <f aca="false">'Black-Scholes'!$B$5*EXP(('Black-Scholes'!$B$8-'Black-Scholes'!$B$10-'Black-Scholes'!$B$9^2/2)*'Black-Scholes'!$B$7+'Black-Scholes'!$B$9*SQRT('Black-Scholes'!$B$7)*B4744)</f>
        <v>113.089306769607</v>
      </c>
      <c r="D4744" s="18" t="n">
        <f aca="false">'Black-Scholes'!$B$5*EXP(('Black-Scholes'!$B$8-'Black-Scholes'!$B$10-'Black-Scholes'!$B$9^2/2)*'Black-Scholes'!$B$7-'Black-Scholes'!$B$9*SQRT('Black-Scholes'!$B$7)*B4744)</f>
        <v>93.8936294576998</v>
      </c>
      <c r="E4744" s="18" t="n">
        <f aca="false">EXP(-'Black-Scholes'!$B$8*'Black-Scholes'!$B$7)*IF(LOWER('Black-Scholes'!$B$11)="put",MAX('Black-Scholes'!$B$6-C4744,0),MAX(C4744-'Black-Scholes'!$B$6,0))</f>
        <v>12.4509337455663</v>
      </c>
      <c r="F4744" s="18" t="n">
        <f aca="false">(E4744+G4744)/2</f>
        <v>6.22546687278317</v>
      </c>
      <c r="G4744" s="18" t="n">
        <f aca="false">EXP(-'Black-Scholes'!$B$8*'Black-Scholes'!$B$7)*IF(LOWER('Black-Scholes'!$B$11)="put",MAX('Black-Scholes'!$B$6-D4744,0),MAX(D4744-'Black-Scholes'!$B$6,0))</f>
        <v>0</v>
      </c>
    </row>
    <row r="4745" customFormat="false" ht="15" hidden="false" customHeight="false" outlineLevel="0" collapsed="false">
      <c r="A4745" s="0" t="n">
        <v>4734</v>
      </c>
      <c r="B4745" s="15" t="n">
        <v>-0.0905695490730766</v>
      </c>
      <c r="C4745" s="18" t="n">
        <f aca="false">'Black-Scholes'!$B$5*EXP(('Black-Scholes'!$B$8-'Black-Scholes'!$B$10-'Black-Scholes'!$B$9^2/2)*'Black-Scholes'!$B$7+'Black-Scholes'!$B$9*SQRT('Black-Scholes'!$B$7)*B4745)</f>
        <v>101.195701046507</v>
      </c>
      <c r="D4745" s="18" t="n">
        <f aca="false">'Black-Scholes'!$B$5*EXP(('Black-Scholes'!$B$8-'Black-Scholes'!$B$10-'Black-Scholes'!$B$9^2/2)*'Black-Scholes'!$B$7-'Black-Scholes'!$B$9*SQRT('Black-Scholes'!$B$7)*B4745)</f>
        <v>104.929017296631</v>
      </c>
      <c r="E4745" s="18" t="n">
        <f aca="false">EXP(-'Black-Scholes'!$B$8*'Black-Scholes'!$B$7)*IF(LOWER('Black-Scholes'!$B$11)="put",MAX('Black-Scholes'!$B$6-C4745,0),MAX(C4745-'Black-Scholes'!$B$6,0))</f>
        <v>1.13738601834385</v>
      </c>
      <c r="F4745" s="18" t="n">
        <f aca="false">(E4745+G4745)/2</f>
        <v>2.91300615238589</v>
      </c>
      <c r="G4745" s="18" t="n">
        <f aca="false">EXP(-'Black-Scholes'!$B$8*'Black-Scholes'!$B$7)*IF(LOWER('Black-Scholes'!$B$11)="put",MAX('Black-Scholes'!$B$6-D4745,0),MAX(D4745-'Black-Scholes'!$B$6,0))</f>
        <v>4.68862628642793</v>
      </c>
    </row>
    <row r="4746" customFormat="false" ht="15" hidden="false" customHeight="false" outlineLevel="0" collapsed="false">
      <c r="A4746" s="0" t="n">
        <v>4735</v>
      </c>
      <c r="B4746" s="15" t="n">
        <v>0.910692801072021</v>
      </c>
      <c r="C4746" s="18" t="n">
        <f aca="false">'Black-Scholes'!$B$5*EXP(('Black-Scholes'!$B$8-'Black-Scholes'!$B$10-'Black-Scholes'!$B$9^2/2)*'Black-Scholes'!$B$7+'Black-Scholes'!$B$9*SQRT('Black-Scholes'!$B$7)*B4746)</f>
        <v>123.63191778614</v>
      </c>
      <c r="D4746" s="18" t="n">
        <f aca="false">'Black-Scholes'!$B$5*EXP(('Black-Scholes'!$B$8-'Black-Scholes'!$B$10-'Black-Scholes'!$B$9^2/2)*'Black-Scholes'!$B$7-'Black-Scholes'!$B$9*SQRT('Black-Scholes'!$B$7)*B4746)</f>
        <v>85.8869267386222</v>
      </c>
      <c r="E4746" s="18" t="n">
        <f aca="false">EXP(-'Black-Scholes'!$B$8*'Black-Scholes'!$B$7)*IF(LOWER('Black-Scholes'!$B$11)="put",MAX('Black-Scholes'!$B$6-C4746,0),MAX(C4746-'Black-Scholes'!$B$6,0))</f>
        <v>22.4793755555585</v>
      </c>
      <c r="F4746" s="18" t="n">
        <f aca="false">(E4746+G4746)/2</f>
        <v>11.2396877777792</v>
      </c>
      <c r="G4746" s="18" t="n">
        <f aca="false">EXP(-'Black-Scholes'!$B$8*'Black-Scholes'!$B$7)*IF(LOWER('Black-Scholes'!$B$11)="put",MAX('Black-Scholes'!$B$6-D4746,0),MAX(D4746-'Black-Scholes'!$B$6,0))</f>
        <v>0</v>
      </c>
    </row>
    <row r="4747" customFormat="false" ht="15" hidden="false" customHeight="false" outlineLevel="0" collapsed="false">
      <c r="A4747" s="0" t="n">
        <v>4736</v>
      </c>
      <c r="B4747" s="15" t="n">
        <v>-0.913628327835234</v>
      </c>
      <c r="C4747" s="18" t="n">
        <f aca="false">'Black-Scholes'!$B$5*EXP(('Black-Scholes'!$B$8-'Black-Scholes'!$B$10-'Black-Scholes'!$B$9^2/2)*'Black-Scholes'!$B$7+'Black-Scholes'!$B$9*SQRT('Black-Scholes'!$B$7)*B4747)</f>
        <v>85.8365168636136</v>
      </c>
      <c r="D4747" s="18" t="n">
        <f aca="false">'Black-Scholes'!$B$5*EXP(('Black-Scholes'!$B$8-'Black-Scholes'!$B$10-'Black-Scholes'!$B$9^2/2)*'Black-Scholes'!$B$7-'Black-Scholes'!$B$9*SQRT('Black-Scholes'!$B$7)*B4747)</f>
        <v>123.70452405851</v>
      </c>
      <c r="E4747" s="18" t="n">
        <f aca="false">EXP(-'Black-Scholes'!$B$8*'Black-Scholes'!$B$7)*IF(LOWER('Black-Scholes'!$B$11)="put",MAX('Black-Scholes'!$B$6-C4747,0),MAX(C4747-'Black-Scholes'!$B$6,0))</f>
        <v>0</v>
      </c>
      <c r="F4747" s="18" t="n">
        <f aca="false">(E4747+G4747)/2</f>
        <v>11.2742203891199</v>
      </c>
      <c r="G4747" s="18" t="n">
        <f aca="false">EXP(-'Black-Scholes'!$B$8*'Black-Scholes'!$B$7)*IF(LOWER('Black-Scholes'!$B$11)="put",MAX('Black-Scholes'!$B$6-D4747,0),MAX(D4747-'Black-Scholes'!$B$6,0))</f>
        <v>22.5484407782399</v>
      </c>
    </row>
    <row r="4748" customFormat="false" ht="15" hidden="false" customHeight="false" outlineLevel="0" collapsed="false">
      <c r="A4748" s="0" t="n">
        <v>4737</v>
      </c>
      <c r="B4748" s="15" t="n">
        <v>0.46922490627614</v>
      </c>
      <c r="C4748" s="18" t="n">
        <f aca="false">'Black-Scholes'!$B$5*EXP(('Black-Scholes'!$B$8-'Black-Scholes'!$B$10-'Black-Scholes'!$B$9^2/2)*'Black-Scholes'!$B$7+'Black-Scholes'!$B$9*SQRT('Black-Scholes'!$B$7)*B4748)</f>
        <v>113.184040092072</v>
      </c>
      <c r="D4748" s="18" t="n">
        <f aca="false">'Black-Scholes'!$B$5*EXP(('Black-Scholes'!$B$8-'Black-Scholes'!$B$10-'Black-Scholes'!$B$9^2/2)*'Black-Scholes'!$B$7-'Black-Scholes'!$B$9*SQRT('Black-Scholes'!$B$7)*B4748)</f>
        <v>93.815041915944</v>
      </c>
      <c r="E4748" s="18" t="n">
        <f aca="false">EXP(-'Black-Scholes'!$B$8*'Black-Scholes'!$B$7)*IF(LOWER('Black-Scholes'!$B$11)="put",MAX('Black-Scholes'!$B$6-C4748,0),MAX(C4748-'Black-Scholes'!$B$6,0))</f>
        <v>12.5410468693758</v>
      </c>
      <c r="F4748" s="18" t="n">
        <f aca="false">(E4748+G4748)/2</f>
        <v>6.2705234346879</v>
      </c>
      <c r="G4748" s="18" t="n">
        <f aca="false">EXP(-'Black-Scholes'!$B$8*'Black-Scholes'!$B$7)*IF(LOWER('Black-Scholes'!$B$11)="put",MAX('Black-Scholes'!$B$6-D4748,0),MAX(D4748-'Black-Scholes'!$B$6,0))</f>
        <v>0</v>
      </c>
    </row>
    <row r="4749" customFormat="false" ht="15" hidden="false" customHeight="false" outlineLevel="0" collapsed="false">
      <c r="A4749" s="0" t="n">
        <v>4738</v>
      </c>
      <c r="B4749" s="15" t="n">
        <v>0.0191629921311385</v>
      </c>
      <c r="C4749" s="18" t="n">
        <f aca="false">'Black-Scholes'!$B$5*EXP(('Black-Scholes'!$B$8-'Black-Scholes'!$B$10-'Black-Scholes'!$B$9^2/2)*'Black-Scholes'!$B$7+'Black-Scholes'!$B$9*SQRT('Black-Scholes'!$B$7)*B4749)</f>
        <v>103.441143013217</v>
      </c>
      <c r="D4749" s="18" t="n">
        <f aca="false">'Black-Scholes'!$B$5*EXP(('Black-Scholes'!$B$8-'Black-Scholes'!$B$10-'Black-Scholes'!$B$9^2/2)*'Black-Scholes'!$B$7-'Black-Scholes'!$B$9*SQRT('Black-Scholes'!$B$7)*B4749)</f>
        <v>102.651277394497</v>
      </c>
      <c r="E4749" s="18" t="n">
        <f aca="false">EXP(-'Black-Scholes'!$B$8*'Black-Scholes'!$B$7)*IF(LOWER('Black-Scholes'!$B$11)="put",MAX('Black-Scholes'!$B$6-C4749,0),MAX(C4749-'Black-Scholes'!$B$6,0))</f>
        <v>3.27331648808732</v>
      </c>
      <c r="F4749" s="18" t="n">
        <f aca="false">(E4749+G4749)/2</f>
        <v>2.89764477912321</v>
      </c>
      <c r="G4749" s="18" t="n">
        <f aca="false">EXP(-'Black-Scholes'!$B$8*'Black-Scholes'!$B$7)*IF(LOWER('Black-Scholes'!$B$11)="put",MAX('Black-Scholes'!$B$6-D4749,0),MAX(D4749-'Black-Scholes'!$B$6,0))</f>
        <v>2.52197307015909</v>
      </c>
    </row>
    <row r="4750" customFormat="false" ht="15" hidden="false" customHeight="false" outlineLevel="0" collapsed="false">
      <c r="A4750" s="0" t="n">
        <v>4739</v>
      </c>
      <c r="B4750" s="15" t="n">
        <v>2.15655426427335</v>
      </c>
      <c r="C4750" s="18" t="n">
        <f aca="false">'Black-Scholes'!$B$5*EXP(('Black-Scholes'!$B$8-'Black-Scholes'!$B$10-'Black-Scholes'!$B$9^2/2)*'Black-Scholes'!$B$7+'Black-Scholes'!$B$9*SQRT('Black-Scholes'!$B$7)*B4750)</f>
        <v>158.615183447965</v>
      </c>
      <c r="D4750" s="18" t="n">
        <f aca="false">'Black-Scholes'!$B$5*EXP(('Black-Scholes'!$B$8-'Black-Scholes'!$B$10-'Black-Scholes'!$B$9^2/2)*'Black-Scholes'!$B$7-'Black-Scholes'!$B$9*SQRT('Black-Scholes'!$B$7)*B4750)</f>
        <v>66.9441930755453</v>
      </c>
      <c r="E4750" s="18" t="n">
        <f aca="false">EXP(-'Black-Scholes'!$B$8*'Black-Scholes'!$B$7)*IF(LOWER('Black-Scholes'!$B$11)="put",MAX('Black-Scholes'!$B$6-C4750,0),MAX(C4750-'Black-Scholes'!$B$6,0))</f>
        <v>55.7564872182114</v>
      </c>
      <c r="F4750" s="18" t="n">
        <f aca="false">(E4750+G4750)/2</f>
        <v>27.8782436091057</v>
      </c>
      <c r="G4750" s="18" t="n">
        <f aca="false">EXP(-'Black-Scholes'!$B$8*'Black-Scholes'!$B$7)*IF(LOWER('Black-Scholes'!$B$11)="put",MAX('Black-Scholes'!$B$6-D4750,0),MAX(D4750-'Black-Scholes'!$B$6,0))</f>
        <v>0</v>
      </c>
    </row>
    <row r="4751" customFormat="false" ht="15" hidden="false" customHeight="false" outlineLevel="0" collapsed="false">
      <c r="A4751" s="0" t="n">
        <v>4740</v>
      </c>
      <c r="B4751" s="15" t="n">
        <v>0.112153976112857</v>
      </c>
      <c r="C4751" s="18" t="n">
        <f aca="false">'Black-Scholes'!$B$5*EXP(('Black-Scholes'!$B$8-'Black-Scholes'!$B$10-'Black-Scholes'!$B$9^2/2)*'Black-Scholes'!$B$7+'Black-Scholes'!$B$9*SQRT('Black-Scholes'!$B$7)*B4751)</f>
        <v>105.382962950997</v>
      </c>
      <c r="D4751" s="18" t="n">
        <f aca="false">'Black-Scholes'!$B$5*EXP(('Black-Scholes'!$B$8-'Black-Scholes'!$B$10-'Black-Scholes'!$B$9^2/2)*'Black-Scholes'!$B$7-'Black-Scholes'!$B$9*SQRT('Black-Scholes'!$B$7)*B4751)</f>
        <v>100.759792362179</v>
      </c>
      <c r="E4751" s="18" t="n">
        <f aca="false">EXP(-'Black-Scholes'!$B$8*'Black-Scholes'!$B$7)*IF(LOWER('Black-Scholes'!$B$11)="put",MAX('Black-Scholes'!$B$6-C4751,0),MAX(C4751-'Black-Scholes'!$B$6,0))</f>
        <v>5.1204327499853</v>
      </c>
      <c r="F4751" s="18" t="n">
        <f aca="false">(E4751+G4751)/2</f>
        <v>2.92158480070026</v>
      </c>
      <c r="G4751" s="18" t="n">
        <f aca="false">EXP(-'Black-Scholes'!$B$8*'Black-Scholes'!$B$7)*IF(LOWER('Black-Scholes'!$B$11)="put",MAX('Black-Scholes'!$B$6-D4751,0),MAX(D4751-'Black-Scholes'!$B$6,0))</f>
        <v>0.722736851415229</v>
      </c>
    </row>
    <row r="4752" customFormat="false" ht="15" hidden="false" customHeight="false" outlineLevel="0" collapsed="false">
      <c r="A4752" s="0" t="n">
        <v>4741</v>
      </c>
      <c r="B4752" s="15" t="n">
        <v>-0.667325314736164</v>
      </c>
      <c r="C4752" s="18" t="n">
        <f aca="false">'Black-Scholes'!$B$5*EXP(('Black-Scholes'!$B$8-'Black-Scholes'!$B$10-'Black-Scholes'!$B$9^2/2)*'Black-Scholes'!$B$7+'Black-Scholes'!$B$9*SQRT('Black-Scholes'!$B$7)*B4752)</f>
        <v>90.1707525194939</v>
      </c>
      <c r="D4752" s="18" t="n">
        <f aca="false">'Black-Scholes'!$B$5*EXP(('Black-Scholes'!$B$8-'Black-Scholes'!$B$10-'Black-Scholes'!$B$9^2/2)*'Black-Scholes'!$B$7-'Black-Scholes'!$B$9*SQRT('Black-Scholes'!$B$7)*B4752)</f>
        <v>117.758421314694</v>
      </c>
      <c r="E4752" s="18" t="n">
        <f aca="false">EXP(-'Black-Scholes'!$B$8*'Black-Scholes'!$B$7)*IF(LOWER('Black-Scholes'!$B$11)="put",MAX('Black-Scholes'!$B$6-C4752,0),MAX(C4752-'Black-Scholes'!$B$6,0))</f>
        <v>0</v>
      </c>
      <c r="F4752" s="18" t="n">
        <f aca="false">(E4752+G4752)/2</f>
        <v>8.44616644360893</v>
      </c>
      <c r="G4752" s="18" t="n">
        <f aca="false">EXP(-'Black-Scholes'!$B$8*'Black-Scholes'!$B$7)*IF(LOWER('Black-Scholes'!$B$11)="put",MAX('Black-Scholes'!$B$6-D4752,0),MAX(D4752-'Black-Scholes'!$B$6,0))</f>
        <v>16.8923328872179</v>
      </c>
    </row>
    <row r="4753" customFormat="false" ht="15" hidden="false" customHeight="false" outlineLevel="0" collapsed="false">
      <c r="A4753" s="0" t="n">
        <v>4742</v>
      </c>
      <c r="B4753" s="15" t="n">
        <v>-0.162722604776279</v>
      </c>
      <c r="C4753" s="18" t="n">
        <f aca="false">'Black-Scholes'!$B$5*EXP(('Black-Scholes'!$B$8-'Black-Scholes'!$B$10-'Black-Scholes'!$B$9^2/2)*'Black-Scholes'!$B$7+'Black-Scholes'!$B$9*SQRT('Black-Scholes'!$B$7)*B4753)</f>
        <v>99.7458713594149</v>
      </c>
      <c r="D4753" s="18" t="n">
        <f aca="false">'Black-Scholes'!$B$5*EXP(('Black-Scholes'!$B$8-'Black-Scholes'!$B$10-'Black-Scholes'!$B$9^2/2)*'Black-Scholes'!$B$7-'Black-Scholes'!$B$9*SQRT('Black-Scholes'!$B$7)*B4753)</f>
        <v>106.454185228303</v>
      </c>
      <c r="E4753" s="18" t="n">
        <f aca="false">EXP(-'Black-Scholes'!$B$8*'Black-Scholes'!$B$7)*IF(LOWER('Black-Scholes'!$B$11)="put",MAX('Black-Scholes'!$B$6-C4753,0),MAX(C4753-'Black-Scholes'!$B$6,0))</f>
        <v>0</v>
      </c>
      <c r="F4753" s="18" t="n">
        <f aca="false">(E4753+G4753)/2</f>
        <v>3.06970545016964</v>
      </c>
      <c r="G4753" s="18" t="n">
        <f aca="false">EXP(-'Black-Scholes'!$B$8*'Black-Scholes'!$B$7)*IF(LOWER('Black-Scholes'!$B$11)="put",MAX('Black-Scholes'!$B$6-D4753,0),MAX(D4753-'Black-Scholes'!$B$6,0))</f>
        <v>6.13941090033928</v>
      </c>
    </row>
    <row r="4754" customFormat="false" ht="15" hidden="false" customHeight="false" outlineLevel="0" collapsed="false">
      <c r="A4754" s="0" t="n">
        <v>4743</v>
      </c>
      <c r="B4754" s="15" t="n">
        <v>-0.206987570138098</v>
      </c>
      <c r="C4754" s="18" t="n">
        <f aca="false">'Black-Scholes'!$B$5*EXP(('Black-Scholes'!$B$8-'Black-Scholes'!$B$10-'Black-Scholes'!$B$9^2/2)*'Black-Scholes'!$B$7+'Black-Scholes'!$B$9*SQRT('Black-Scholes'!$B$7)*B4754)</f>
        <v>98.8667191574409</v>
      </c>
      <c r="D4754" s="18" t="n">
        <f aca="false">'Black-Scholes'!$B$5*EXP(('Black-Scholes'!$B$8-'Black-Scholes'!$B$10-'Black-Scholes'!$B$9^2/2)*'Black-Scholes'!$B$7-'Black-Scholes'!$B$9*SQRT('Black-Scholes'!$B$7)*B4754)</f>
        <v>107.400807429893</v>
      </c>
      <c r="E4754" s="18" t="n">
        <f aca="false">EXP(-'Black-Scholes'!$B$8*'Black-Scholes'!$B$7)*IF(LOWER('Black-Scholes'!$B$11)="put",MAX('Black-Scholes'!$B$6-C4754,0),MAX(C4754-'Black-Scholes'!$B$6,0))</f>
        <v>0</v>
      </c>
      <c r="F4754" s="18" t="n">
        <f aca="false">(E4754+G4754)/2</f>
        <v>3.51993289618876</v>
      </c>
      <c r="G4754" s="18" t="n">
        <f aca="false">EXP(-'Black-Scholes'!$B$8*'Black-Scholes'!$B$7)*IF(LOWER('Black-Scholes'!$B$11)="put",MAX('Black-Scholes'!$B$6-D4754,0),MAX(D4754-'Black-Scholes'!$B$6,0))</f>
        <v>7.03986579237752</v>
      </c>
    </row>
    <row r="4755" customFormat="false" ht="15" hidden="false" customHeight="false" outlineLevel="0" collapsed="false">
      <c r="A4755" s="0" t="n">
        <v>4744</v>
      </c>
      <c r="B4755" s="15" t="n">
        <v>0.208410274702549</v>
      </c>
      <c r="C4755" s="18" t="n">
        <f aca="false">'Black-Scholes'!$B$5*EXP(('Black-Scholes'!$B$8-'Black-Scholes'!$B$10-'Black-Scholes'!$B$9^2/2)*'Black-Scholes'!$B$7+'Black-Scholes'!$B$9*SQRT('Black-Scholes'!$B$7)*B4755)</f>
        <v>107.431371701871</v>
      </c>
      <c r="D4755" s="18" t="n">
        <f aca="false">'Black-Scholes'!$B$5*EXP(('Black-Scholes'!$B$8-'Black-Scholes'!$B$10-'Black-Scholes'!$B$9^2/2)*'Black-Scholes'!$B$7-'Black-Scholes'!$B$9*SQRT('Black-Scholes'!$B$7)*B4755)</f>
        <v>98.8385915328371</v>
      </c>
      <c r="E4755" s="18" t="n">
        <f aca="false">EXP(-'Black-Scholes'!$B$8*'Black-Scholes'!$B$7)*IF(LOWER('Black-Scholes'!$B$11)="put",MAX('Black-Scholes'!$B$6-C4755,0),MAX(C4755-'Black-Scholes'!$B$6,0))</f>
        <v>7.06893942722139</v>
      </c>
      <c r="F4755" s="18" t="n">
        <f aca="false">(E4755+G4755)/2</f>
        <v>3.53446971361069</v>
      </c>
      <c r="G4755" s="18" t="n">
        <f aca="false">EXP(-'Black-Scholes'!$B$8*'Black-Scholes'!$B$7)*IF(LOWER('Black-Scholes'!$B$11)="put",MAX('Black-Scholes'!$B$6-D4755,0),MAX(D4755-'Black-Scholes'!$B$6,0))</f>
        <v>0</v>
      </c>
    </row>
    <row r="4756" customFormat="false" ht="15" hidden="false" customHeight="false" outlineLevel="0" collapsed="false">
      <c r="A4756" s="0" t="n">
        <v>4745</v>
      </c>
      <c r="B4756" s="15" t="n">
        <v>-0.44763777312576</v>
      </c>
      <c r="C4756" s="18" t="n">
        <f aca="false">'Black-Scholes'!$B$5*EXP(('Black-Scholes'!$B$8-'Black-Scholes'!$B$10-'Black-Scholes'!$B$9^2/2)*'Black-Scholes'!$B$7+'Black-Scholes'!$B$9*SQRT('Black-Scholes'!$B$7)*B4756)</f>
        <v>94.2209571001993</v>
      </c>
      <c r="D4756" s="18" t="n">
        <f aca="false">'Black-Scholes'!$B$5*EXP(('Black-Scholes'!$B$8-'Black-Scholes'!$B$10-'Black-Scholes'!$B$9^2/2)*'Black-Scholes'!$B$7-'Black-Scholes'!$B$9*SQRT('Black-Scholes'!$B$7)*B4756)</f>
        <v>112.696429671814</v>
      </c>
      <c r="E4756" s="18" t="n">
        <f aca="false">EXP(-'Black-Scholes'!$B$8*'Black-Scholes'!$B$7)*IF(LOWER('Black-Scholes'!$B$11)="put",MAX('Black-Scholes'!$B$6-C4756,0),MAX(C4756-'Black-Scholes'!$B$6,0))</f>
        <v>0</v>
      </c>
      <c r="F4756" s="18" t="n">
        <f aca="false">(E4756+G4756)/2</f>
        <v>6.03860874496659</v>
      </c>
      <c r="G4756" s="18" t="n">
        <f aca="false">EXP(-'Black-Scholes'!$B$8*'Black-Scholes'!$B$7)*IF(LOWER('Black-Scholes'!$B$11)="put",MAX('Black-Scholes'!$B$6-D4756,0),MAX(D4756-'Black-Scholes'!$B$6,0))</f>
        <v>12.0772174899332</v>
      </c>
    </row>
    <row r="4757" customFormat="false" ht="15" hidden="false" customHeight="false" outlineLevel="0" collapsed="false">
      <c r="A4757" s="0" t="n">
        <v>4746</v>
      </c>
      <c r="B4757" s="15" t="n">
        <v>-0.0951491742619775</v>
      </c>
      <c r="C4757" s="18" t="n">
        <f aca="false">'Black-Scholes'!$B$5*EXP(('Black-Scholes'!$B$8-'Black-Scholes'!$B$10-'Black-Scholes'!$B$9^2/2)*'Black-Scholes'!$B$7+'Black-Scholes'!$B$9*SQRT('Black-Scholes'!$B$7)*B4757)</f>
        <v>101.103055804728</v>
      </c>
      <c r="D4757" s="18" t="n">
        <f aca="false">'Black-Scholes'!$B$5*EXP(('Black-Scholes'!$B$8-'Black-Scholes'!$B$10-'Black-Scholes'!$B$9^2/2)*'Black-Scholes'!$B$7-'Black-Scholes'!$B$9*SQRT('Black-Scholes'!$B$7)*B4757)</f>
        <v>105.025168437659</v>
      </c>
      <c r="E4757" s="18" t="n">
        <f aca="false">EXP(-'Black-Scholes'!$B$8*'Black-Scholes'!$B$7)*IF(LOWER('Black-Scholes'!$B$11)="put",MAX('Black-Scholes'!$B$6-C4757,0),MAX(C4757-'Black-Scholes'!$B$6,0))</f>
        <v>1.04925913832359</v>
      </c>
      <c r="F4757" s="18" t="n">
        <f aca="false">(E4757+G4757)/2</f>
        <v>2.91467360964856</v>
      </c>
      <c r="G4757" s="18" t="n">
        <f aca="false">EXP(-'Black-Scholes'!$B$8*'Black-Scholes'!$B$7)*IF(LOWER('Black-Scholes'!$B$11)="put",MAX('Black-Scholes'!$B$6-D4757,0),MAX(D4757-'Black-Scholes'!$B$6,0))</f>
        <v>4.78008808097353</v>
      </c>
    </row>
    <row r="4758" customFormat="false" ht="15" hidden="false" customHeight="false" outlineLevel="0" collapsed="false">
      <c r="A4758" s="0" t="n">
        <v>4747</v>
      </c>
      <c r="B4758" s="15" t="n">
        <v>0.884424830214487</v>
      </c>
      <c r="C4758" s="18" t="n">
        <f aca="false">'Black-Scholes'!$B$5*EXP(('Black-Scholes'!$B$8-'Black-Scholes'!$B$10-'Black-Scholes'!$B$9^2/2)*'Black-Scholes'!$B$7+'Black-Scholes'!$B$9*SQRT('Black-Scholes'!$B$7)*B4758)</f>
        <v>122.984109015611</v>
      </c>
      <c r="D4758" s="18" t="n">
        <f aca="false">'Black-Scholes'!$B$5*EXP(('Black-Scholes'!$B$8-'Black-Scholes'!$B$10-'Black-Scholes'!$B$9^2/2)*'Black-Scholes'!$B$7-'Black-Scholes'!$B$9*SQRT('Black-Scholes'!$B$7)*B4758)</f>
        <v>86.3393291250807</v>
      </c>
      <c r="E4758" s="18" t="n">
        <f aca="false">EXP(-'Black-Scholes'!$B$8*'Black-Scholes'!$B$7)*IF(LOWER('Black-Scholes'!$B$11)="put",MAX('Black-Scholes'!$B$6-C4758,0),MAX(C4758-'Black-Scholes'!$B$6,0))</f>
        <v>21.8631607915809</v>
      </c>
      <c r="F4758" s="18" t="n">
        <f aca="false">(E4758+G4758)/2</f>
        <v>10.9315803957904</v>
      </c>
      <c r="G4758" s="18" t="n">
        <f aca="false">EXP(-'Black-Scholes'!$B$8*'Black-Scholes'!$B$7)*IF(LOWER('Black-Scholes'!$B$11)="put",MAX('Black-Scholes'!$B$6-D4758,0),MAX(D4758-'Black-Scholes'!$B$6,0))</f>
        <v>0</v>
      </c>
    </row>
    <row r="4759" customFormat="false" ht="15" hidden="false" customHeight="false" outlineLevel="0" collapsed="false">
      <c r="A4759" s="0" t="n">
        <v>4748</v>
      </c>
      <c r="B4759" s="15" t="n">
        <v>0.064223953573912</v>
      </c>
      <c r="C4759" s="18" t="n">
        <f aca="false">'Black-Scholes'!$B$5*EXP(('Black-Scholes'!$B$8-'Black-Scholes'!$B$10-'Black-Scholes'!$B$9^2/2)*'Black-Scholes'!$B$7+'Black-Scholes'!$B$9*SQRT('Black-Scholes'!$B$7)*B4759)</f>
        <v>104.377587856968</v>
      </c>
      <c r="D4759" s="18" t="n">
        <f aca="false">'Black-Scholes'!$B$5*EXP(('Black-Scholes'!$B$8-'Black-Scholes'!$B$10-'Black-Scholes'!$B$9^2/2)*'Black-Scholes'!$B$7-'Black-Scholes'!$B$9*SQRT('Black-Scholes'!$B$7)*B4759)</f>
        <v>101.730320497579</v>
      </c>
      <c r="E4759" s="18" t="n">
        <f aca="false">EXP(-'Black-Scholes'!$B$8*'Black-Scholes'!$B$7)*IF(LOWER('Black-Scholes'!$B$11)="put",MAX('Black-Scholes'!$B$6-C4759,0),MAX(C4759-'Black-Scholes'!$B$6,0))</f>
        <v>4.16409037788518</v>
      </c>
      <c r="F4759" s="18" t="n">
        <f aca="false">(E4759+G4759)/2</f>
        <v>2.90501107449957</v>
      </c>
      <c r="G4759" s="18" t="n">
        <f aca="false">EXP(-'Black-Scholes'!$B$8*'Black-Scholes'!$B$7)*IF(LOWER('Black-Scholes'!$B$11)="put",MAX('Black-Scholes'!$B$6-D4759,0),MAX(D4759-'Black-Scholes'!$B$6,0))</f>
        <v>1.64593177111396</v>
      </c>
    </row>
    <row r="4760" customFormat="false" ht="15" hidden="false" customHeight="false" outlineLevel="0" collapsed="false">
      <c r="A4760" s="0" t="n">
        <v>4749</v>
      </c>
      <c r="B4760" s="15" t="n">
        <v>0.564362773167286</v>
      </c>
      <c r="C4760" s="18" t="n">
        <f aca="false">'Black-Scholes'!$B$5*EXP(('Black-Scholes'!$B$8-'Black-Scholes'!$B$10-'Black-Scholes'!$B$9^2/2)*'Black-Scholes'!$B$7+'Black-Scholes'!$B$9*SQRT('Black-Scholes'!$B$7)*B4760)</f>
        <v>115.358277351777</v>
      </c>
      <c r="D4760" s="18" t="n">
        <f aca="false">'Black-Scholes'!$B$5*EXP(('Black-Scholes'!$B$8-'Black-Scholes'!$B$10-'Black-Scholes'!$B$9^2/2)*'Black-Scholes'!$B$7-'Black-Scholes'!$B$9*SQRT('Black-Scholes'!$B$7)*B4760)</f>
        <v>92.0468449184067</v>
      </c>
      <c r="E4760" s="18" t="n">
        <f aca="false">EXP(-'Black-Scholes'!$B$8*'Black-Scholes'!$B$7)*IF(LOWER('Black-Scholes'!$B$11)="put",MAX('Black-Scholes'!$B$6-C4760,0),MAX(C4760-'Black-Scholes'!$B$6,0))</f>
        <v>14.6092453266535</v>
      </c>
      <c r="F4760" s="18" t="n">
        <f aca="false">(E4760+G4760)/2</f>
        <v>7.30462266332674</v>
      </c>
      <c r="G4760" s="18" t="n">
        <f aca="false">EXP(-'Black-Scholes'!$B$8*'Black-Scholes'!$B$7)*IF(LOWER('Black-Scholes'!$B$11)="put",MAX('Black-Scholes'!$B$6-D4760,0),MAX(D4760-'Black-Scholes'!$B$6,0))</f>
        <v>0</v>
      </c>
    </row>
    <row r="4761" customFormat="false" ht="15" hidden="false" customHeight="false" outlineLevel="0" collapsed="false">
      <c r="A4761" s="0" t="n">
        <v>4750</v>
      </c>
      <c r="B4761" s="15" t="n">
        <v>2.00810385115089</v>
      </c>
      <c r="C4761" s="18" t="n">
        <f aca="false">'Black-Scholes'!$B$5*EXP(('Black-Scholes'!$B$8-'Black-Scholes'!$B$10-'Black-Scholes'!$B$9^2/2)*'Black-Scholes'!$B$7+'Black-Scholes'!$B$9*SQRT('Black-Scholes'!$B$7)*B4761)</f>
        <v>153.975108497777</v>
      </c>
      <c r="D4761" s="18" t="n">
        <f aca="false">'Black-Scholes'!$B$5*EXP(('Black-Scholes'!$B$8-'Black-Scholes'!$B$10-'Black-Scholes'!$B$9^2/2)*'Black-Scholes'!$B$7-'Black-Scholes'!$B$9*SQRT('Black-Scholes'!$B$7)*B4761)</f>
        <v>68.9615715751023</v>
      </c>
      <c r="E4761" s="18" t="n">
        <f aca="false">EXP(-'Black-Scholes'!$B$8*'Black-Scholes'!$B$7)*IF(LOWER('Black-Scholes'!$B$11)="put",MAX('Black-Scholes'!$B$6-C4761,0),MAX(C4761-'Black-Scholes'!$B$6,0))</f>
        <v>51.3427113937042</v>
      </c>
      <c r="F4761" s="18" t="n">
        <f aca="false">(E4761+G4761)/2</f>
        <v>25.6713556968521</v>
      </c>
      <c r="G4761" s="18" t="n">
        <f aca="false">EXP(-'Black-Scholes'!$B$8*'Black-Scholes'!$B$7)*IF(LOWER('Black-Scholes'!$B$11)="put",MAX('Black-Scholes'!$B$6-D4761,0),MAX(D4761-'Black-Scholes'!$B$6,0))</f>
        <v>0</v>
      </c>
    </row>
    <row r="4762" customFormat="false" ht="15" hidden="false" customHeight="false" outlineLevel="0" collapsed="false">
      <c r="A4762" s="0" t="n">
        <v>4751</v>
      </c>
      <c r="B4762" s="15" t="n">
        <v>-2.0781948599676</v>
      </c>
      <c r="C4762" s="18" t="n">
        <f aca="false">'Black-Scholes'!$B$5*EXP(('Black-Scholes'!$B$8-'Black-Scholes'!$B$10-'Black-Scholes'!$B$9^2/2)*'Black-Scholes'!$B$7+'Black-Scholes'!$B$9*SQRT('Black-Scholes'!$B$7)*B4762)</f>
        <v>68.0015986184464</v>
      </c>
      <c r="D4762" s="18" t="n">
        <f aca="false">'Black-Scholes'!$B$5*EXP(('Black-Scholes'!$B$8-'Black-Scholes'!$B$10-'Black-Scholes'!$B$9^2/2)*'Black-Scholes'!$B$7-'Black-Scholes'!$B$9*SQRT('Black-Scholes'!$B$7)*B4762)</f>
        <v>156.148762399436</v>
      </c>
      <c r="E4762" s="18" t="n">
        <f aca="false">EXP(-'Black-Scholes'!$B$8*'Black-Scholes'!$B$7)*IF(LOWER('Black-Scholes'!$B$11)="put",MAX('Black-Scholes'!$B$6-C4762,0),MAX(C4762-'Black-Scholes'!$B$6,0))</f>
        <v>0</v>
      </c>
      <c r="F4762" s="18" t="n">
        <f aca="false">(E4762+G4762)/2</f>
        <v>26.7051774718214</v>
      </c>
      <c r="G4762" s="18" t="n">
        <f aca="false">EXP(-'Black-Scholes'!$B$8*'Black-Scholes'!$B$7)*IF(LOWER('Black-Scholes'!$B$11)="put",MAX('Black-Scholes'!$B$6-D4762,0),MAX(D4762-'Black-Scholes'!$B$6,0))</f>
        <v>53.4103549436428</v>
      </c>
    </row>
    <row r="4763" customFormat="false" ht="15" hidden="false" customHeight="false" outlineLevel="0" collapsed="false">
      <c r="A4763" s="0" t="n">
        <v>4752</v>
      </c>
      <c r="B4763" s="15" t="n">
        <v>-0.254465850469933</v>
      </c>
      <c r="C4763" s="18" t="n">
        <f aca="false">'Black-Scholes'!$B$5*EXP(('Black-Scholes'!$B$8-'Black-Scholes'!$B$10-'Black-Scholes'!$B$9^2/2)*'Black-Scholes'!$B$7+'Black-Scholes'!$B$9*SQRT('Black-Scholes'!$B$7)*B4763)</f>
        <v>97.9323580027341</v>
      </c>
      <c r="D4763" s="18" t="n">
        <f aca="false">'Black-Scholes'!$B$5*EXP(('Black-Scholes'!$B$8-'Black-Scholes'!$B$10-'Black-Scholes'!$B$9^2/2)*'Black-Scholes'!$B$7-'Black-Scholes'!$B$9*SQRT('Black-Scholes'!$B$7)*B4763)</f>
        <v>108.425505951334</v>
      </c>
      <c r="E4763" s="18" t="n">
        <f aca="false">EXP(-'Black-Scholes'!$B$8*'Black-Scholes'!$B$7)*IF(LOWER('Black-Scholes'!$B$11)="put",MAX('Black-Scholes'!$B$6-C4763,0),MAX(C4763-'Black-Scholes'!$B$6,0))</f>
        <v>0</v>
      </c>
      <c r="F4763" s="18" t="n">
        <f aca="false">(E4763+G4763)/2</f>
        <v>4.00729458860726</v>
      </c>
      <c r="G4763" s="18" t="n">
        <f aca="false">EXP(-'Black-Scholes'!$B$8*'Black-Scholes'!$B$7)*IF(LOWER('Black-Scholes'!$B$11)="put",MAX('Black-Scholes'!$B$6-D4763,0),MAX(D4763-'Black-Scholes'!$B$6,0))</f>
        <v>8.01458917721453</v>
      </c>
    </row>
    <row r="4764" customFormat="false" ht="15" hidden="false" customHeight="false" outlineLevel="0" collapsed="false">
      <c r="A4764" s="0" t="n">
        <v>4753</v>
      </c>
      <c r="B4764" s="15" t="n">
        <v>-0.0821269734257576</v>
      </c>
      <c r="C4764" s="18" t="n">
        <f aca="false">'Black-Scholes'!$B$5*EXP(('Black-Scholes'!$B$8-'Black-Scholes'!$B$10-'Black-Scholes'!$B$9^2/2)*'Black-Scholes'!$B$7+'Black-Scholes'!$B$9*SQRT('Black-Scholes'!$B$7)*B4764)</f>
        <v>101.366715858678</v>
      </c>
      <c r="D4764" s="18" t="n">
        <f aca="false">'Black-Scholes'!$B$5*EXP(('Black-Scholes'!$B$8-'Black-Scholes'!$B$10-'Black-Scholes'!$B$9^2/2)*'Black-Scholes'!$B$7-'Black-Scholes'!$B$9*SQRT('Black-Scholes'!$B$7)*B4764)</f>
        <v>104.751992559938</v>
      </c>
      <c r="E4764" s="18" t="n">
        <f aca="false">EXP(-'Black-Scholes'!$B$8*'Black-Scholes'!$B$7)*IF(LOWER('Black-Scholes'!$B$11)="put",MAX('Black-Scholes'!$B$6-C4764,0),MAX(C4764-'Black-Scholes'!$B$6,0))</f>
        <v>1.30006033970648</v>
      </c>
      <c r="F4764" s="18" t="n">
        <f aca="false">(E4764+G4764)/2</f>
        <v>2.91014774386392</v>
      </c>
      <c r="G4764" s="18" t="n">
        <f aca="false">EXP(-'Black-Scholes'!$B$8*'Black-Scholes'!$B$7)*IF(LOWER('Black-Scholes'!$B$11)="put",MAX('Black-Scholes'!$B$6-D4764,0),MAX(D4764-'Black-Scholes'!$B$6,0))</f>
        <v>4.52023514802137</v>
      </c>
    </row>
    <row r="4765" customFormat="false" ht="15" hidden="false" customHeight="false" outlineLevel="0" collapsed="false">
      <c r="A4765" s="0" t="n">
        <v>4754</v>
      </c>
      <c r="B4765" s="15" t="n">
        <v>-1.47267161697378</v>
      </c>
      <c r="C4765" s="18" t="n">
        <f aca="false">'Black-Scholes'!$B$5*EXP(('Black-Scholes'!$B$8-'Black-Scholes'!$B$10-'Black-Scholes'!$B$9^2/2)*'Black-Scholes'!$B$7+'Black-Scholes'!$B$9*SQRT('Black-Scholes'!$B$7)*B4765)</f>
        <v>76.7563303037187</v>
      </c>
      <c r="D4765" s="18" t="n">
        <f aca="false">'Black-Scholes'!$B$5*EXP(('Black-Scholes'!$B$8-'Black-Scholes'!$B$10-'Black-Scholes'!$B$9^2/2)*'Black-Scholes'!$B$7-'Black-Scholes'!$B$9*SQRT('Black-Scholes'!$B$7)*B4765)</f>
        <v>138.338628533146</v>
      </c>
      <c r="E4765" s="18" t="n">
        <f aca="false">EXP(-'Black-Scholes'!$B$8*'Black-Scholes'!$B$7)*IF(LOWER('Black-Scholes'!$B$11)="put",MAX('Black-Scholes'!$B$6-C4765,0),MAX(C4765-'Black-Scholes'!$B$6,0))</f>
        <v>0</v>
      </c>
      <c r="F4765" s="18" t="n">
        <f aca="false">(E4765+G4765)/2</f>
        <v>18.2344157778656</v>
      </c>
      <c r="G4765" s="18" t="n">
        <f aca="false">EXP(-'Black-Scholes'!$B$8*'Black-Scholes'!$B$7)*IF(LOWER('Black-Scholes'!$B$11)="put",MAX('Black-Scholes'!$B$6-D4765,0),MAX(D4765-'Black-Scholes'!$B$6,0))</f>
        <v>36.4688315557311</v>
      </c>
    </row>
    <row r="4766" customFormat="false" ht="15" hidden="false" customHeight="false" outlineLevel="0" collapsed="false">
      <c r="A4766" s="0" t="n">
        <v>4755</v>
      </c>
      <c r="B4766" s="15" t="n">
        <v>0.599078752145271</v>
      </c>
      <c r="C4766" s="18" t="n">
        <f aca="false">'Black-Scholes'!$B$5*EXP(('Black-Scholes'!$B$8-'Black-Scholes'!$B$10-'Black-Scholes'!$B$9^2/2)*'Black-Scholes'!$B$7+'Black-Scholes'!$B$9*SQRT('Black-Scholes'!$B$7)*B4766)</f>
        <v>116.162019498726</v>
      </c>
      <c r="D4766" s="18" t="n">
        <f aca="false">'Black-Scholes'!$B$5*EXP(('Black-Scholes'!$B$8-'Black-Scholes'!$B$10-'Black-Scholes'!$B$9^2/2)*'Black-Scholes'!$B$7-'Black-Scholes'!$B$9*SQRT('Black-Scholes'!$B$7)*B4766)</f>
        <v>91.4099592213966</v>
      </c>
      <c r="E4766" s="18" t="n">
        <f aca="false">EXP(-'Black-Scholes'!$B$8*'Black-Scholes'!$B$7)*IF(LOWER('Black-Scholes'!$B$11)="put",MAX('Black-Scholes'!$B$6-C4766,0),MAX(C4766-'Black-Scholes'!$B$6,0))</f>
        <v>15.3737885065423</v>
      </c>
      <c r="F4766" s="18" t="n">
        <f aca="false">(E4766+G4766)/2</f>
        <v>7.68689425327113</v>
      </c>
      <c r="G4766" s="18" t="n">
        <f aca="false">EXP(-'Black-Scholes'!$B$8*'Black-Scholes'!$B$7)*IF(LOWER('Black-Scholes'!$B$11)="put",MAX('Black-Scholes'!$B$6-D4766,0),MAX(D4766-'Black-Scholes'!$B$6,0))</f>
        <v>0</v>
      </c>
    </row>
    <row r="4767" customFormat="false" ht="15" hidden="false" customHeight="false" outlineLevel="0" collapsed="false">
      <c r="A4767" s="0" t="n">
        <v>4756</v>
      </c>
      <c r="B4767" s="15" t="n">
        <v>-0.330993932430565</v>
      </c>
      <c r="C4767" s="18" t="n">
        <f aca="false">'Black-Scholes'!$B$5*EXP(('Black-Scholes'!$B$8-'Black-Scholes'!$B$10-'Black-Scholes'!$B$9^2/2)*'Black-Scholes'!$B$7+'Black-Scholes'!$B$9*SQRT('Black-Scholes'!$B$7)*B4767)</f>
        <v>96.4448555086951</v>
      </c>
      <c r="D4767" s="18" t="n">
        <f aca="false">'Black-Scholes'!$B$5*EXP(('Black-Scholes'!$B$8-'Black-Scholes'!$B$10-'Black-Scholes'!$B$9^2/2)*'Black-Scholes'!$B$7-'Black-Scholes'!$B$9*SQRT('Black-Scholes'!$B$7)*B4767)</f>
        <v>110.097790177064</v>
      </c>
      <c r="E4767" s="18" t="n">
        <f aca="false">EXP(-'Black-Scholes'!$B$8*'Black-Scholes'!$B$7)*IF(LOWER('Black-Scholes'!$B$11)="put",MAX('Black-Scholes'!$B$6-C4767,0),MAX(C4767-'Black-Scholes'!$B$6,0))</f>
        <v>0</v>
      </c>
      <c r="F4767" s="18" t="n">
        <f aca="false">(E4767+G4767)/2</f>
        <v>4.80265756942892</v>
      </c>
      <c r="G4767" s="18" t="n">
        <f aca="false">EXP(-'Black-Scholes'!$B$8*'Black-Scholes'!$B$7)*IF(LOWER('Black-Scholes'!$B$11)="put",MAX('Black-Scholes'!$B$6-D4767,0),MAX(D4767-'Black-Scholes'!$B$6,0))</f>
        <v>9.60531513885784</v>
      </c>
    </row>
    <row r="4768" customFormat="false" ht="15" hidden="false" customHeight="false" outlineLevel="0" collapsed="false">
      <c r="A4768" s="0" t="n">
        <v>4757</v>
      </c>
      <c r="B4768" s="15" t="n">
        <v>-0.213703980554076</v>
      </c>
      <c r="C4768" s="18" t="n">
        <f aca="false">'Black-Scholes'!$B$5*EXP(('Black-Scholes'!$B$8-'Black-Scholes'!$B$10-'Black-Scholes'!$B$9^2/2)*'Black-Scholes'!$B$7+'Black-Scholes'!$B$9*SQRT('Black-Scholes'!$B$7)*B4768)</f>
        <v>98.7340024229344</v>
      </c>
      <c r="D4768" s="18" t="n">
        <f aca="false">'Black-Scholes'!$B$5*EXP(('Black-Scholes'!$B$8-'Black-Scholes'!$B$10-'Black-Scholes'!$B$9^2/2)*'Black-Scholes'!$B$7-'Black-Scholes'!$B$9*SQRT('Black-Scholes'!$B$7)*B4768)</f>
        <v>107.545173951007</v>
      </c>
      <c r="E4768" s="18" t="n">
        <f aca="false">EXP(-'Black-Scholes'!$B$8*'Black-Scholes'!$B$7)*IF(LOWER('Black-Scholes'!$B$11)="put",MAX('Black-Scholes'!$B$6-C4768,0),MAX(C4768-'Black-Scholes'!$B$6,0))</f>
        <v>0</v>
      </c>
      <c r="F4768" s="18" t="n">
        <f aca="false">(E4768+G4768)/2</f>
        <v>3.58859573758695</v>
      </c>
      <c r="G4768" s="18" t="n">
        <f aca="false">EXP(-'Black-Scholes'!$B$8*'Black-Scholes'!$B$7)*IF(LOWER('Black-Scholes'!$B$11)="put",MAX('Black-Scholes'!$B$6-D4768,0),MAX(D4768-'Black-Scholes'!$B$6,0))</f>
        <v>7.1771914751739</v>
      </c>
    </row>
    <row r="4769" customFormat="false" ht="15" hidden="false" customHeight="false" outlineLevel="0" collapsed="false">
      <c r="A4769" s="0" t="n">
        <v>4758</v>
      </c>
      <c r="B4769" s="15" t="n">
        <v>-1.07124247583939</v>
      </c>
      <c r="C4769" s="18" t="n">
        <f aca="false">'Black-Scholes'!$B$5*EXP(('Black-Scholes'!$B$8-'Black-Scholes'!$B$10-'Black-Scholes'!$B$9^2/2)*'Black-Scholes'!$B$7+'Black-Scholes'!$B$9*SQRT('Black-Scholes'!$B$7)*B4769)</f>
        <v>83.1729097483264</v>
      </c>
      <c r="D4769" s="18" t="n">
        <f aca="false">'Black-Scholes'!$B$5*EXP(('Black-Scholes'!$B$8-'Black-Scholes'!$B$10-'Black-Scholes'!$B$9^2/2)*'Black-Scholes'!$B$7-'Black-Scholes'!$B$9*SQRT('Black-Scholes'!$B$7)*B4769)</f>
        <v>127.666153529843</v>
      </c>
      <c r="E4769" s="18" t="n">
        <f aca="false">EXP(-'Black-Scholes'!$B$8*'Black-Scholes'!$B$7)*IF(LOWER('Black-Scholes'!$B$11)="put",MAX('Black-Scholes'!$B$6-C4769,0),MAX(C4769-'Black-Scholes'!$B$6,0))</f>
        <v>0</v>
      </c>
      <c r="F4769" s="18" t="n">
        <f aca="false">(E4769+G4769)/2</f>
        <v>13.1584296501704</v>
      </c>
      <c r="G4769" s="18" t="n">
        <f aca="false">EXP(-'Black-Scholes'!$B$8*'Black-Scholes'!$B$7)*IF(LOWER('Black-Scholes'!$B$11)="put",MAX('Black-Scholes'!$B$6-D4769,0),MAX(D4769-'Black-Scholes'!$B$6,0))</f>
        <v>26.3168593003408</v>
      </c>
    </row>
    <row r="4770" customFormat="false" ht="15" hidden="false" customHeight="false" outlineLevel="0" collapsed="false">
      <c r="A4770" s="0" t="n">
        <v>4759</v>
      </c>
      <c r="B4770" s="15" t="n">
        <v>-0.67975832315224</v>
      </c>
      <c r="C4770" s="18" t="n">
        <f aca="false">'Black-Scholes'!$B$5*EXP(('Black-Scholes'!$B$8-'Black-Scholes'!$B$10-'Black-Scholes'!$B$9^2/2)*'Black-Scholes'!$B$7+'Black-Scholes'!$B$9*SQRT('Black-Scholes'!$B$7)*B4770)</f>
        <v>89.9468123149356</v>
      </c>
      <c r="D4770" s="18" t="n">
        <f aca="false">'Black-Scholes'!$B$5*EXP(('Black-Scholes'!$B$8-'Black-Scholes'!$B$10-'Black-Scholes'!$B$9^2/2)*'Black-Scholes'!$B$7-'Black-Scholes'!$B$9*SQRT('Black-Scholes'!$B$7)*B4770)</f>
        <v>118.051603966519</v>
      </c>
      <c r="E4770" s="18" t="n">
        <f aca="false">EXP(-'Black-Scholes'!$B$8*'Black-Scholes'!$B$7)*IF(LOWER('Black-Scholes'!$B$11)="put",MAX('Black-Scholes'!$B$6-C4770,0),MAX(C4770-'Black-Scholes'!$B$6,0))</f>
        <v>0</v>
      </c>
      <c r="F4770" s="18" t="n">
        <f aca="false">(E4770+G4770)/2</f>
        <v>8.58560842619334</v>
      </c>
      <c r="G4770" s="18" t="n">
        <f aca="false">EXP(-'Black-Scholes'!$B$8*'Black-Scholes'!$B$7)*IF(LOWER('Black-Scholes'!$B$11)="put",MAX('Black-Scholes'!$B$6-D4770,0),MAX(D4770-'Black-Scholes'!$B$6,0))</f>
        <v>17.1712168523867</v>
      </c>
    </row>
    <row r="4771" customFormat="false" ht="15" hidden="false" customHeight="false" outlineLevel="0" collapsed="false">
      <c r="A4771" s="0" t="n">
        <v>4760</v>
      </c>
      <c r="B4771" s="15" t="n">
        <v>-1.55785859883551</v>
      </c>
      <c r="C4771" s="18" t="n">
        <f aca="false">'Black-Scholes'!$B$5*EXP(('Black-Scholes'!$B$8-'Black-Scholes'!$B$10-'Black-Scholes'!$B$9^2/2)*'Black-Scholes'!$B$7+'Black-Scholes'!$B$9*SQRT('Black-Scholes'!$B$7)*B4771)</f>
        <v>75.4596794228178</v>
      </c>
      <c r="D4771" s="18" t="n">
        <f aca="false">'Black-Scholes'!$B$5*EXP(('Black-Scholes'!$B$8-'Black-Scholes'!$B$10-'Black-Scholes'!$B$9^2/2)*'Black-Scholes'!$B$7-'Black-Scholes'!$B$9*SQRT('Black-Scholes'!$B$7)*B4771)</f>
        <v>140.715751069607</v>
      </c>
      <c r="E4771" s="18" t="n">
        <f aca="false">EXP(-'Black-Scholes'!$B$8*'Black-Scholes'!$B$7)*IF(LOWER('Black-Scholes'!$B$11)="put",MAX('Black-Scholes'!$B$6-C4771,0),MAX(C4771-'Black-Scholes'!$B$6,0))</f>
        <v>0</v>
      </c>
      <c r="F4771" s="18" t="n">
        <f aca="false">(E4771+G4771)/2</f>
        <v>19.3650102290284</v>
      </c>
      <c r="G4771" s="18" t="n">
        <f aca="false">EXP(-'Black-Scholes'!$B$8*'Black-Scholes'!$B$7)*IF(LOWER('Black-Scholes'!$B$11)="put",MAX('Black-Scholes'!$B$6-D4771,0),MAX(D4771-'Black-Scholes'!$B$6,0))</f>
        <v>38.7300204580569</v>
      </c>
    </row>
    <row r="4772" customFormat="false" ht="15" hidden="false" customHeight="false" outlineLevel="0" collapsed="false">
      <c r="A4772" s="0" t="n">
        <v>4761</v>
      </c>
      <c r="B4772" s="15" t="n">
        <v>0.259924687974988</v>
      </c>
      <c r="C4772" s="18" t="n">
        <f aca="false">'Black-Scholes'!$B$5*EXP(('Black-Scholes'!$B$8-'Black-Scholes'!$B$10-'Black-Scholes'!$B$9^2/2)*'Black-Scholes'!$B$7+'Black-Scholes'!$B$9*SQRT('Black-Scholes'!$B$7)*B4772)</f>
        <v>108.543946037766</v>
      </c>
      <c r="D4772" s="18" t="n">
        <f aca="false">'Black-Scholes'!$B$5*EXP(('Black-Scholes'!$B$8-'Black-Scholes'!$B$10-'Black-Scholes'!$B$9^2/2)*'Black-Scholes'!$B$7-'Black-Scholes'!$B$9*SQRT('Black-Scholes'!$B$7)*B4772)</f>
        <v>97.825496981279</v>
      </c>
      <c r="E4772" s="18" t="n">
        <f aca="false">EXP(-'Black-Scholes'!$B$8*'Black-Scholes'!$B$7)*IF(LOWER('Black-Scholes'!$B$11)="put",MAX('Black-Scholes'!$B$6-C4772,0),MAX(C4772-'Black-Scholes'!$B$6,0))</f>
        <v>8.12725287246935</v>
      </c>
      <c r="F4772" s="18" t="n">
        <f aca="false">(E4772+G4772)/2</f>
        <v>4.06362643623468</v>
      </c>
      <c r="G4772" s="18" t="n">
        <f aca="false">EXP(-'Black-Scholes'!$B$8*'Black-Scholes'!$B$7)*IF(LOWER('Black-Scholes'!$B$11)="put",MAX('Black-Scholes'!$B$6-D4772,0),MAX(D4772-'Black-Scholes'!$B$6,0))</f>
        <v>0</v>
      </c>
    </row>
    <row r="4773" customFormat="false" ht="15" hidden="false" customHeight="false" outlineLevel="0" collapsed="false">
      <c r="A4773" s="0" t="n">
        <v>4762</v>
      </c>
      <c r="B4773" s="15" t="n">
        <v>2.22210600199027</v>
      </c>
      <c r="C4773" s="18" t="n">
        <f aca="false">'Black-Scholes'!$B$5*EXP(('Black-Scholes'!$B$8-'Black-Scholes'!$B$10-'Black-Scholes'!$B$9^2/2)*'Black-Scholes'!$B$7+'Black-Scholes'!$B$9*SQRT('Black-Scholes'!$B$7)*B4773)</f>
        <v>160.708374880599</v>
      </c>
      <c r="D4773" s="18" t="n">
        <f aca="false">'Black-Scholes'!$B$5*EXP(('Black-Scholes'!$B$8-'Black-Scholes'!$B$10-'Black-Scholes'!$B$9^2/2)*'Black-Scholes'!$B$7-'Black-Scholes'!$B$9*SQRT('Black-Scholes'!$B$7)*B4773)</f>
        <v>66.0722596027909</v>
      </c>
      <c r="E4773" s="18" t="n">
        <f aca="false">EXP(-'Black-Scholes'!$B$8*'Black-Scholes'!$B$7)*IF(LOWER('Black-Scholes'!$B$11)="put",MAX('Black-Scholes'!$B$6-C4773,0),MAX(C4773-'Black-Scholes'!$B$6,0))</f>
        <v>57.7475925000461</v>
      </c>
      <c r="F4773" s="18" t="n">
        <f aca="false">(E4773+G4773)/2</f>
        <v>28.8737962500231</v>
      </c>
      <c r="G4773" s="18" t="n">
        <f aca="false">EXP(-'Black-Scholes'!$B$8*'Black-Scholes'!$B$7)*IF(LOWER('Black-Scholes'!$B$11)="put",MAX('Black-Scholes'!$B$6-D4773,0),MAX(D4773-'Black-Scholes'!$B$6,0))</f>
        <v>0</v>
      </c>
    </row>
    <row r="4774" customFormat="false" ht="15" hidden="false" customHeight="false" outlineLevel="0" collapsed="false">
      <c r="A4774" s="0" t="n">
        <v>4763</v>
      </c>
      <c r="B4774" s="15" t="n">
        <v>1.0776384271643</v>
      </c>
      <c r="C4774" s="18" t="n">
        <f aca="false">'Black-Scholes'!$B$5*EXP(('Black-Scholes'!$B$8-'Black-Scholes'!$B$10-'Black-Scholes'!$B$9^2/2)*'Black-Scholes'!$B$7+'Black-Scholes'!$B$9*SQRT('Black-Scholes'!$B$7)*B4774)</f>
        <v>127.829567326992</v>
      </c>
      <c r="D4774" s="18" t="n">
        <f aca="false">'Black-Scholes'!$B$5*EXP(('Black-Scholes'!$B$8-'Black-Scholes'!$B$10-'Black-Scholes'!$B$9^2/2)*'Black-Scholes'!$B$7-'Black-Scholes'!$B$9*SQRT('Black-Scholes'!$B$7)*B4774)</f>
        <v>83.066583791929</v>
      </c>
      <c r="E4774" s="18" t="n">
        <f aca="false">EXP(-'Black-Scholes'!$B$8*'Black-Scholes'!$B$7)*IF(LOWER('Black-Scholes'!$B$11)="put",MAX('Black-Scholes'!$B$6-C4774,0),MAX(C4774-'Black-Scholes'!$B$6,0))</f>
        <v>26.4723033125583</v>
      </c>
      <c r="F4774" s="18" t="n">
        <f aca="false">(E4774+G4774)/2</f>
        <v>13.2361516562792</v>
      </c>
      <c r="G4774" s="18" t="n">
        <f aca="false">EXP(-'Black-Scholes'!$B$8*'Black-Scholes'!$B$7)*IF(LOWER('Black-Scholes'!$B$11)="put",MAX('Black-Scholes'!$B$6-D4774,0),MAX(D4774-'Black-Scholes'!$B$6,0))</f>
        <v>0</v>
      </c>
    </row>
    <row r="4775" customFormat="false" ht="15" hidden="false" customHeight="false" outlineLevel="0" collapsed="false">
      <c r="A4775" s="0" t="n">
        <v>4764</v>
      </c>
      <c r="B4775" s="15" t="n">
        <v>-0.564300452872327</v>
      </c>
      <c r="C4775" s="18" t="n">
        <f aca="false">'Black-Scholes'!$B$5*EXP(('Black-Scholes'!$B$8-'Black-Scholes'!$B$10-'Black-Scholes'!$B$9^2/2)*'Black-Scholes'!$B$7+'Black-Scholes'!$B$9*SQRT('Black-Scholes'!$B$7)*B4775)</f>
        <v>92.0479922028617</v>
      </c>
      <c r="D4775" s="18" t="n">
        <f aca="false">'Black-Scholes'!$B$5*EXP(('Black-Scholes'!$B$8-'Black-Scholes'!$B$10-'Black-Scholes'!$B$9^2/2)*'Black-Scholes'!$B$7-'Black-Scholes'!$B$9*SQRT('Black-Scholes'!$B$7)*B4775)</f>
        <v>115.356839528364</v>
      </c>
      <c r="E4775" s="18" t="n">
        <f aca="false">EXP(-'Black-Scholes'!$B$8*'Black-Scholes'!$B$7)*IF(LOWER('Black-Scholes'!$B$11)="put",MAX('Black-Scholes'!$B$6-C4775,0),MAX(C4775-'Black-Scholes'!$B$6,0))</f>
        <v>0</v>
      </c>
      <c r="F4775" s="18" t="n">
        <f aca="false">(E4775+G4775)/2</f>
        <v>7.30393881335763</v>
      </c>
      <c r="G4775" s="18" t="n">
        <f aca="false">EXP(-'Black-Scholes'!$B$8*'Black-Scholes'!$B$7)*IF(LOWER('Black-Scholes'!$B$11)="put",MAX('Black-Scholes'!$B$6-D4775,0),MAX(D4775-'Black-Scholes'!$B$6,0))</f>
        <v>14.6078776267153</v>
      </c>
    </row>
    <row r="4776" customFormat="false" ht="15" hidden="false" customHeight="false" outlineLevel="0" collapsed="false">
      <c r="A4776" s="0" t="n">
        <v>4765</v>
      </c>
      <c r="B4776" s="15" t="n">
        <v>2.30254434872099</v>
      </c>
      <c r="C4776" s="18" t="n">
        <f aca="false">'Black-Scholes'!$B$5*EXP(('Black-Scholes'!$B$8-'Black-Scholes'!$B$10-'Black-Scholes'!$B$9^2/2)*'Black-Scholes'!$B$7+'Black-Scholes'!$B$9*SQRT('Black-Scholes'!$B$7)*B4776)</f>
        <v>163.314706767138</v>
      </c>
      <c r="D4776" s="18" t="n">
        <f aca="false">'Black-Scholes'!$B$5*EXP(('Black-Scholes'!$B$8-'Black-Scholes'!$B$10-'Black-Scholes'!$B$9^2/2)*'Black-Scholes'!$B$7-'Black-Scholes'!$B$9*SQRT('Black-Scholes'!$B$7)*B4776)</f>
        <v>65.0178154536552</v>
      </c>
      <c r="E4776" s="18" t="n">
        <f aca="false">EXP(-'Black-Scholes'!$B$8*'Black-Scholes'!$B$7)*IF(LOWER('Black-Scholes'!$B$11)="put",MAX('Black-Scholes'!$B$6-C4776,0),MAX(C4776-'Black-Scholes'!$B$6,0))</f>
        <v>60.2268120805361</v>
      </c>
      <c r="F4776" s="18" t="n">
        <f aca="false">(E4776+G4776)/2</f>
        <v>30.1134060402681</v>
      </c>
      <c r="G4776" s="18" t="n">
        <f aca="false">EXP(-'Black-Scholes'!$B$8*'Black-Scholes'!$B$7)*IF(LOWER('Black-Scholes'!$B$11)="put",MAX('Black-Scholes'!$B$6-D4776,0),MAX(D4776-'Black-Scholes'!$B$6,0))</f>
        <v>0</v>
      </c>
    </row>
    <row r="4777" customFormat="false" ht="15" hidden="false" customHeight="false" outlineLevel="0" collapsed="false">
      <c r="A4777" s="0" t="n">
        <v>4766</v>
      </c>
      <c r="B4777" s="15" t="n">
        <v>0.358525465825392</v>
      </c>
      <c r="C4777" s="18" t="n">
        <f aca="false">'Black-Scholes'!$B$5*EXP(('Black-Scholes'!$B$8-'Black-Scholes'!$B$10-'Black-Scholes'!$B$9^2/2)*'Black-Scholes'!$B$7+'Black-Scholes'!$B$9*SQRT('Black-Scholes'!$B$7)*B4777)</f>
        <v>110.70569449231</v>
      </c>
      <c r="D4777" s="18" t="n">
        <f aca="false">'Black-Scholes'!$B$5*EXP(('Black-Scholes'!$B$8-'Black-Scholes'!$B$10-'Black-Scholes'!$B$9^2/2)*'Black-Scholes'!$B$7-'Black-Scholes'!$B$9*SQRT('Black-Scholes'!$B$7)*B4777)</f>
        <v>95.9152599525147</v>
      </c>
      <c r="E4777" s="18" t="n">
        <f aca="false">EXP(-'Black-Scholes'!$B$8*'Black-Scholes'!$B$7)*IF(LOWER('Black-Scholes'!$B$11)="put",MAX('Black-Scholes'!$B$6-C4777,0),MAX(C4777-'Black-Scholes'!$B$6,0))</f>
        <v>10.1835716108006</v>
      </c>
      <c r="F4777" s="18" t="n">
        <f aca="false">(E4777+G4777)/2</f>
        <v>5.09178580540031</v>
      </c>
      <c r="G4777" s="18" t="n">
        <f aca="false">EXP(-'Black-Scholes'!$B$8*'Black-Scholes'!$B$7)*IF(LOWER('Black-Scholes'!$B$11)="put",MAX('Black-Scholes'!$B$6-D4777,0),MAX(D4777-'Black-Scholes'!$B$6,0))</f>
        <v>0</v>
      </c>
    </row>
    <row r="4778" customFormat="false" ht="15" hidden="false" customHeight="false" outlineLevel="0" collapsed="false">
      <c r="A4778" s="0" t="n">
        <v>4767</v>
      </c>
      <c r="B4778" s="15" t="n">
        <v>-0.11709918451779</v>
      </c>
      <c r="C4778" s="18" t="n">
        <f aca="false">'Black-Scholes'!$B$5*EXP(('Black-Scholes'!$B$8-'Black-Scholes'!$B$10-'Black-Scholes'!$B$9^2/2)*'Black-Scholes'!$B$7+'Black-Scholes'!$B$9*SQRT('Black-Scholes'!$B$7)*B4778)</f>
        <v>100.66018599331</v>
      </c>
      <c r="D4778" s="18" t="n">
        <f aca="false">'Black-Scholes'!$B$5*EXP(('Black-Scholes'!$B$8-'Black-Scholes'!$B$10-'Black-Scholes'!$B$9^2/2)*'Black-Scholes'!$B$7-'Black-Scholes'!$B$9*SQRT('Black-Scholes'!$B$7)*B4778)</f>
        <v>105.487242653807</v>
      </c>
      <c r="E4778" s="18" t="n">
        <f aca="false">EXP(-'Black-Scholes'!$B$8*'Black-Scholes'!$B$7)*IF(LOWER('Black-Scholes'!$B$11)="put",MAX('Black-Scholes'!$B$6-C4778,0),MAX(C4778-'Black-Scholes'!$B$6,0))</f>
        <v>0.627988342479469</v>
      </c>
      <c r="F4778" s="18" t="n">
        <f aca="false">(E4778+G4778)/2</f>
        <v>2.92380750707798</v>
      </c>
      <c r="G4778" s="18" t="n">
        <f aca="false">EXP(-'Black-Scholes'!$B$8*'Black-Scholes'!$B$7)*IF(LOWER('Black-Scholes'!$B$11)="put",MAX('Black-Scholes'!$B$6-D4778,0),MAX(D4778-'Black-Scholes'!$B$6,0))</f>
        <v>5.21962667167648</v>
      </c>
    </row>
    <row r="4779" customFormat="false" ht="15" hidden="false" customHeight="false" outlineLevel="0" collapsed="false">
      <c r="A4779" s="0" t="n">
        <v>4768</v>
      </c>
      <c r="B4779" s="15" t="n">
        <v>1.63101358755321</v>
      </c>
      <c r="C4779" s="18" t="n">
        <f aca="false">'Black-Scholes'!$B$5*EXP(('Black-Scholes'!$B$8-'Black-Scholes'!$B$10-'Black-Scholes'!$B$9^2/2)*'Black-Scholes'!$B$7+'Black-Scholes'!$B$9*SQRT('Black-Scholes'!$B$7)*B4779)</f>
        <v>142.789697864751</v>
      </c>
      <c r="D4779" s="18" t="n">
        <f aca="false">'Black-Scholes'!$B$5*EXP(('Black-Scholes'!$B$8-'Black-Scholes'!$B$10-'Black-Scholes'!$B$9^2/2)*'Black-Scholes'!$B$7-'Black-Scholes'!$B$9*SQRT('Black-Scholes'!$B$7)*B4779)</f>
        <v>74.3636664566037</v>
      </c>
      <c r="E4779" s="18" t="n">
        <f aca="false">EXP(-'Black-Scholes'!$B$8*'Black-Scholes'!$B$7)*IF(LOWER('Black-Scholes'!$B$11)="put",MAX('Black-Scholes'!$B$6-C4779,0),MAX(C4779-'Black-Scholes'!$B$6,0))</f>
        <v>40.702819674447</v>
      </c>
      <c r="F4779" s="18" t="n">
        <f aca="false">(E4779+G4779)/2</f>
        <v>20.3514098372235</v>
      </c>
      <c r="G4779" s="18" t="n">
        <f aca="false">EXP(-'Black-Scholes'!$B$8*'Black-Scholes'!$B$7)*IF(LOWER('Black-Scholes'!$B$11)="put",MAX('Black-Scholes'!$B$6-D4779,0),MAX(D4779-'Black-Scholes'!$B$6,0))</f>
        <v>0</v>
      </c>
    </row>
    <row r="4780" customFormat="false" ht="15" hidden="false" customHeight="false" outlineLevel="0" collapsed="false">
      <c r="A4780" s="0" t="n">
        <v>4769</v>
      </c>
      <c r="B4780" s="15" t="n">
        <v>1.10811809865914</v>
      </c>
      <c r="C4780" s="18" t="n">
        <f aca="false">'Black-Scholes'!$B$5*EXP(('Black-Scholes'!$B$8-'Black-Scholes'!$B$10-'Black-Scholes'!$B$9^2/2)*'Black-Scholes'!$B$7+'Black-Scholes'!$B$9*SQRT('Black-Scholes'!$B$7)*B4780)</f>
        <v>128.611187904282</v>
      </c>
      <c r="D4780" s="18" t="n">
        <f aca="false">'Black-Scholes'!$B$5*EXP(('Black-Scholes'!$B$8-'Black-Scholes'!$B$10-'Black-Scholes'!$B$9^2/2)*'Black-Scholes'!$B$7-'Black-Scholes'!$B$9*SQRT('Black-Scholes'!$B$7)*B4780)</f>
        <v>82.5617556176859</v>
      </c>
      <c r="E4780" s="18" t="n">
        <f aca="false">EXP(-'Black-Scholes'!$B$8*'Black-Scholes'!$B$7)*IF(LOWER('Black-Scholes'!$B$11)="put",MAX('Black-Scholes'!$B$6-C4780,0),MAX(C4780-'Black-Scholes'!$B$6,0))</f>
        <v>27.2158038044717</v>
      </c>
      <c r="F4780" s="18" t="n">
        <f aca="false">(E4780+G4780)/2</f>
        <v>13.6079019022359</v>
      </c>
      <c r="G4780" s="18" t="n">
        <f aca="false">EXP(-'Black-Scholes'!$B$8*'Black-Scholes'!$B$7)*IF(LOWER('Black-Scholes'!$B$11)="put",MAX('Black-Scholes'!$B$6-D4780,0),MAX(D4780-'Black-Scholes'!$B$6,0))</f>
        <v>0</v>
      </c>
    </row>
    <row r="4781" customFormat="false" ht="15" hidden="false" customHeight="false" outlineLevel="0" collapsed="false">
      <c r="A4781" s="0" t="n">
        <v>4770</v>
      </c>
      <c r="B4781" s="15" t="n">
        <v>-0.104864162295651</v>
      </c>
      <c r="C4781" s="18" t="n">
        <f aca="false">'Black-Scholes'!$B$5*EXP(('Black-Scholes'!$B$8-'Black-Scholes'!$B$10-'Black-Scholes'!$B$9^2/2)*'Black-Scholes'!$B$7+'Black-Scholes'!$B$9*SQRT('Black-Scholes'!$B$7)*B4781)</f>
        <v>100.906803529858</v>
      </c>
      <c r="D4781" s="18" t="n">
        <f aca="false">'Black-Scholes'!$B$5*EXP(('Black-Scholes'!$B$8-'Black-Scholes'!$B$10-'Black-Scholes'!$B$9^2/2)*'Black-Scholes'!$B$7-'Black-Scholes'!$B$9*SQRT('Black-Scholes'!$B$7)*B4781)</f>
        <v>105.229430464634</v>
      </c>
      <c r="E4781" s="18" t="n">
        <f aca="false">EXP(-'Black-Scholes'!$B$8*'Black-Scholes'!$B$7)*IF(LOWER('Black-Scholes'!$B$11)="put",MAX('Black-Scholes'!$B$6-C4781,0),MAX(C4781-'Black-Scholes'!$B$6,0))</f>
        <v>0.862578199841699</v>
      </c>
      <c r="F4781" s="18" t="n">
        <f aca="false">(E4781+G4781)/2</f>
        <v>2.9184831655908</v>
      </c>
      <c r="G4781" s="18" t="n">
        <f aca="false">EXP(-'Black-Scholes'!$B$8*'Black-Scholes'!$B$7)*IF(LOWER('Black-Scholes'!$B$11)="put",MAX('Black-Scholes'!$B$6-D4781,0),MAX(D4781-'Black-Scholes'!$B$6,0))</f>
        <v>4.9743881313399</v>
      </c>
    </row>
    <row r="4782" customFormat="false" ht="15" hidden="false" customHeight="false" outlineLevel="0" collapsed="false">
      <c r="A4782" s="0" t="n">
        <v>4771</v>
      </c>
      <c r="B4782" s="15" t="n">
        <v>-0.470766380723806</v>
      </c>
      <c r="C4782" s="18" t="n">
        <f aca="false">'Black-Scholes'!$B$5*EXP(('Black-Scholes'!$B$8-'Black-Scholes'!$B$10-'Black-Scholes'!$B$9^2/2)*'Black-Scholes'!$B$7+'Black-Scholes'!$B$9*SQRT('Black-Scholes'!$B$7)*B4782)</f>
        <v>93.7861236758618</v>
      </c>
      <c r="D4782" s="18" t="n">
        <f aca="false">'Black-Scholes'!$B$5*EXP(('Black-Scholes'!$B$8-'Black-Scholes'!$B$10-'Black-Scholes'!$B$9^2/2)*'Black-Scholes'!$B$7-'Black-Scholes'!$B$9*SQRT('Black-Scholes'!$B$7)*B4782)</f>
        <v>113.218939532592</v>
      </c>
      <c r="E4782" s="18" t="n">
        <f aca="false">EXP(-'Black-Scholes'!$B$8*'Black-Scholes'!$B$7)*IF(LOWER('Black-Scholes'!$B$11)="put",MAX('Black-Scholes'!$B$6-C4782,0),MAX(C4782-'Black-Scholes'!$B$6,0))</f>
        <v>0</v>
      </c>
      <c r="F4782" s="18" t="n">
        <f aca="false">(E4782+G4782)/2</f>
        <v>6.28712212204865</v>
      </c>
      <c r="G4782" s="18" t="n">
        <f aca="false">EXP(-'Black-Scholes'!$B$8*'Black-Scholes'!$B$7)*IF(LOWER('Black-Scholes'!$B$11)="put",MAX('Black-Scholes'!$B$6-D4782,0),MAX(D4782-'Black-Scholes'!$B$6,0))</f>
        <v>12.5742442440973</v>
      </c>
    </row>
    <row r="4783" customFormat="false" ht="15" hidden="false" customHeight="false" outlineLevel="0" collapsed="false">
      <c r="A4783" s="0" t="n">
        <v>4772</v>
      </c>
      <c r="B4783" s="15" t="n">
        <v>2.04760363146848</v>
      </c>
      <c r="C4783" s="18" t="n">
        <f aca="false">'Black-Scholes'!$B$5*EXP(('Black-Scholes'!$B$8-'Black-Scholes'!$B$10-'Black-Scholes'!$B$9^2/2)*'Black-Scholes'!$B$7+'Black-Scholes'!$B$9*SQRT('Black-Scholes'!$B$7)*B4783)</f>
        <v>155.19632250704</v>
      </c>
      <c r="D4783" s="18" t="n">
        <f aca="false">'Black-Scholes'!$B$5*EXP(('Black-Scholes'!$B$8-'Black-Scholes'!$B$10-'Black-Scholes'!$B$9^2/2)*'Black-Scholes'!$B$7-'Black-Scholes'!$B$9*SQRT('Black-Scholes'!$B$7)*B4783)</f>
        <v>68.4189244559703</v>
      </c>
      <c r="E4783" s="18" t="n">
        <f aca="false">EXP(-'Black-Scholes'!$B$8*'Black-Scholes'!$B$7)*IF(LOWER('Black-Scholes'!$B$11)="put",MAX('Black-Scholes'!$B$6-C4783,0),MAX(C4783-'Black-Scholes'!$B$6,0))</f>
        <v>52.5043660929279</v>
      </c>
      <c r="F4783" s="18" t="n">
        <f aca="false">(E4783+G4783)/2</f>
        <v>26.2521830464639</v>
      </c>
      <c r="G4783" s="18" t="n">
        <f aca="false">EXP(-'Black-Scholes'!$B$8*'Black-Scholes'!$B$7)*IF(LOWER('Black-Scholes'!$B$11)="put",MAX('Black-Scholes'!$B$6-D4783,0),MAX(D4783-'Black-Scholes'!$B$6,0))</f>
        <v>0</v>
      </c>
    </row>
    <row r="4784" customFormat="false" ht="15" hidden="false" customHeight="false" outlineLevel="0" collapsed="false">
      <c r="A4784" s="0" t="n">
        <v>4773</v>
      </c>
      <c r="B4784" s="15" t="n">
        <v>0.295689969890764</v>
      </c>
      <c r="C4784" s="18" t="n">
        <f aca="false">'Black-Scholes'!$B$5*EXP(('Black-Scholes'!$B$8-'Black-Scholes'!$B$10-'Black-Scholes'!$B$9^2/2)*'Black-Scholes'!$B$7+'Black-Scholes'!$B$9*SQRT('Black-Scholes'!$B$7)*B4784)</f>
        <v>109.323150528242</v>
      </c>
      <c r="D4784" s="18" t="n">
        <f aca="false">'Black-Scholes'!$B$5*EXP(('Black-Scholes'!$B$8-'Black-Scholes'!$B$10-'Black-Scholes'!$B$9^2/2)*'Black-Scholes'!$B$7-'Black-Scholes'!$B$9*SQRT('Black-Scholes'!$B$7)*B4784)</f>
        <v>97.1282424092825</v>
      </c>
      <c r="E4784" s="18" t="n">
        <f aca="false">EXP(-'Black-Scholes'!$B$8*'Black-Scholes'!$B$7)*IF(LOWER('Black-Scholes'!$B$11)="put",MAX('Black-Scholes'!$B$6-C4784,0),MAX(C4784-'Black-Scholes'!$B$6,0))</f>
        <v>8.86845511151346</v>
      </c>
      <c r="F4784" s="18" t="n">
        <f aca="false">(E4784+G4784)/2</f>
        <v>4.43422755575673</v>
      </c>
      <c r="G4784" s="18" t="n">
        <f aca="false">EXP(-'Black-Scholes'!$B$8*'Black-Scholes'!$B$7)*IF(LOWER('Black-Scholes'!$B$11)="put",MAX('Black-Scholes'!$B$6-D4784,0),MAX(D4784-'Black-Scholes'!$B$6,0))</f>
        <v>0</v>
      </c>
    </row>
    <row r="4785" customFormat="false" ht="15" hidden="false" customHeight="false" outlineLevel="0" collapsed="false">
      <c r="A4785" s="0" t="n">
        <v>4774</v>
      </c>
      <c r="B4785" s="15" t="n">
        <v>1.28771530325036</v>
      </c>
      <c r="C4785" s="18" t="n">
        <f aca="false">'Black-Scholes'!$B$5*EXP(('Black-Scholes'!$B$8-'Black-Scholes'!$B$10-'Black-Scholes'!$B$9^2/2)*'Black-Scholes'!$B$7+'Black-Scholes'!$B$9*SQRT('Black-Scholes'!$B$7)*B4785)</f>
        <v>133.314799714665</v>
      </c>
      <c r="D4785" s="18" t="n">
        <f aca="false">'Black-Scholes'!$B$5*EXP(('Black-Scholes'!$B$8-'Black-Scholes'!$B$10-'Black-Scholes'!$B$9^2/2)*'Black-Scholes'!$B$7-'Black-Scholes'!$B$9*SQRT('Black-Scholes'!$B$7)*B4785)</f>
        <v>79.6488123462678</v>
      </c>
      <c r="E4785" s="18" t="n">
        <f aca="false">EXP(-'Black-Scholes'!$B$8*'Black-Scholes'!$B$7)*IF(LOWER('Black-Scholes'!$B$11)="put",MAX('Black-Scholes'!$B$6-C4785,0),MAX(C4785-'Black-Scholes'!$B$6,0))</f>
        <v>31.690017759937</v>
      </c>
      <c r="F4785" s="18" t="n">
        <f aca="false">(E4785+G4785)/2</f>
        <v>15.8450088799685</v>
      </c>
      <c r="G4785" s="18" t="n">
        <f aca="false">EXP(-'Black-Scholes'!$B$8*'Black-Scholes'!$B$7)*IF(LOWER('Black-Scholes'!$B$11)="put",MAX('Black-Scholes'!$B$6-D4785,0),MAX(D4785-'Black-Scholes'!$B$6,0))</f>
        <v>0</v>
      </c>
    </row>
    <row r="4786" customFormat="false" ht="15" hidden="false" customHeight="false" outlineLevel="0" collapsed="false">
      <c r="A4786" s="0" t="n">
        <v>4775</v>
      </c>
      <c r="B4786" s="15" t="n">
        <v>0.164266093321135</v>
      </c>
      <c r="C4786" s="18" t="n">
        <f aca="false">'Black-Scholes'!$B$5*EXP(('Black-Scholes'!$B$8-'Black-Scholes'!$B$10-'Black-Scholes'!$B$9^2/2)*'Black-Scholes'!$B$7+'Black-Scholes'!$B$9*SQRT('Black-Scholes'!$B$7)*B4786)</f>
        <v>106.487052464152</v>
      </c>
      <c r="D4786" s="18" t="n">
        <f aca="false">'Black-Scholes'!$B$5*EXP(('Black-Scholes'!$B$8-'Black-Scholes'!$B$10-'Black-Scholes'!$B$9^2/2)*'Black-Scholes'!$B$7-'Black-Scholes'!$B$9*SQRT('Black-Scholes'!$B$7)*B4786)</f>
        <v>99.7150847895632</v>
      </c>
      <c r="E4786" s="18" t="n">
        <f aca="false">EXP(-'Black-Scholes'!$B$8*'Black-Scholes'!$B$7)*IF(LOWER('Black-Scholes'!$B$11)="put",MAX('Black-Scholes'!$B$6-C4786,0),MAX(C4786-'Black-Scholes'!$B$6,0))</f>
        <v>6.17067518218141</v>
      </c>
      <c r="F4786" s="18" t="n">
        <f aca="false">(E4786+G4786)/2</f>
        <v>3.0853375910907</v>
      </c>
      <c r="G4786" s="18" t="n">
        <f aca="false">EXP(-'Black-Scholes'!$B$8*'Black-Scholes'!$B$7)*IF(LOWER('Black-Scholes'!$B$11)="put",MAX('Black-Scholes'!$B$6-D4786,0),MAX(D4786-'Black-Scholes'!$B$6,0))</f>
        <v>0</v>
      </c>
    </row>
    <row r="4787" customFormat="false" ht="15" hidden="false" customHeight="false" outlineLevel="0" collapsed="false">
      <c r="A4787" s="0" t="n">
        <v>4776</v>
      </c>
      <c r="B4787" s="15" t="n">
        <v>-0.388425662228195</v>
      </c>
      <c r="C4787" s="18" t="n">
        <f aca="false">'Black-Scholes'!$B$5*EXP(('Black-Scholes'!$B$8-'Black-Scholes'!$B$10-'Black-Scholes'!$B$9^2/2)*'Black-Scholes'!$B$7+'Black-Scholes'!$B$9*SQRT('Black-Scholes'!$B$7)*B4787)</f>
        <v>95.3433945234573</v>
      </c>
      <c r="D4787" s="18" t="n">
        <f aca="false">'Black-Scholes'!$B$5*EXP(('Black-Scholes'!$B$8-'Black-Scholes'!$B$10-'Black-Scholes'!$B$9^2/2)*'Black-Scholes'!$B$7-'Black-Scholes'!$B$9*SQRT('Black-Scholes'!$B$7)*B4787)</f>
        <v>111.369702311587</v>
      </c>
      <c r="E4787" s="18" t="n">
        <f aca="false">EXP(-'Black-Scholes'!$B$8*'Black-Scholes'!$B$7)*IF(LOWER('Black-Scholes'!$B$11)="put",MAX('Black-Scholes'!$B$6-C4787,0),MAX(C4787-'Black-Scholes'!$B$6,0))</f>
        <v>0</v>
      </c>
      <c r="F4787" s="18" t="n">
        <f aca="false">(E4787+G4787)/2</f>
        <v>5.40759769329747</v>
      </c>
      <c r="G4787" s="18" t="n">
        <f aca="false">EXP(-'Black-Scholes'!$B$8*'Black-Scholes'!$B$7)*IF(LOWER('Black-Scholes'!$B$11)="put",MAX('Black-Scholes'!$B$6-D4787,0),MAX(D4787-'Black-Scholes'!$B$6,0))</f>
        <v>10.8151953865949</v>
      </c>
    </row>
    <row r="4788" customFormat="false" ht="15" hidden="false" customHeight="false" outlineLevel="0" collapsed="false">
      <c r="A4788" s="0" t="n">
        <v>4777</v>
      </c>
      <c r="B4788" s="15" t="n">
        <v>-0.722359951325159</v>
      </c>
      <c r="C4788" s="18" t="n">
        <f aca="false">'Black-Scholes'!$B$5*EXP(('Black-Scholes'!$B$8-'Black-Scholes'!$B$10-'Black-Scholes'!$B$9^2/2)*'Black-Scholes'!$B$7+'Black-Scholes'!$B$9*SQRT('Black-Scholes'!$B$7)*B4788)</f>
        <v>89.1836918183999</v>
      </c>
      <c r="D4788" s="18" t="n">
        <f aca="false">'Black-Scholes'!$B$5*EXP(('Black-Scholes'!$B$8-'Black-Scholes'!$B$10-'Black-Scholes'!$B$9^2/2)*'Black-Scholes'!$B$7-'Black-Scholes'!$B$9*SQRT('Black-Scholes'!$B$7)*B4788)</f>
        <v>119.061739304034</v>
      </c>
      <c r="E4788" s="18" t="n">
        <f aca="false">EXP(-'Black-Scholes'!$B$8*'Black-Scholes'!$B$7)*IF(LOWER('Black-Scholes'!$B$11)="put",MAX('Black-Scholes'!$B$6-C4788,0),MAX(C4788-'Black-Scholes'!$B$6,0))</f>
        <v>0</v>
      </c>
      <c r="F4788" s="18" t="n">
        <f aca="false">(E4788+G4788)/2</f>
        <v>9.06604365407925</v>
      </c>
      <c r="G4788" s="18" t="n">
        <f aca="false">EXP(-'Black-Scholes'!$B$8*'Black-Scholes'!$B$7)*IF(LOWER('Black-Scholes'!$B$11)="put",MAX('Black-Scholes'!$B$6-D4788,0),MAX(D4788-'Black-Scholes'!$B$6,0))</f>
        <v>18.1320873081585</v>
      </c>
    </row>
    <row r="4789" customFormat="false" ht="15" hidden="false" customHeight="false" outlineLevel="0" collapsed="false">
      <c r="A4789" s="0" t="n">
        <v>4778</v>
      </c>
      <c r="B4789" s="15" t="n">
        <v>-0.915015776579529</v>
      </c>
      <c r="C4789" s="18" t="n">
        <f aca="false">'Black-Scholes'!$B$5*EXP(('Black-Scholes'!$B$8-'Black-Scholes'!$B$10-'Black-Scholes'!$B$9^2/2)*'Black-Scholes'!$B$7+'Black-Scholes'!$B$9*SQRT('Black-Scholes'!$B$7)*B4789)</f>
        <v>85.8127014145305</v>
      </c>
      <c r="D4789" s="18" t="n">
        <f aca="false">'Black-Scholes'!$B$5*EXP(('Black-Scholes'!$B$8-'Black-Scholes'!$B$10-'Black-Scholes'!$B$9^2/2)*'Black-Scholes'!$B$7-'Black-Scholes'!$B$9*SQRT('Black-Scholes'!$B$7)*B4789)</f>
        <v>123.738855558923</v>
      </c>
      <c r="E4789" s="18" t="n">
        <f aca="false">EXP(-'Black-Scholes'!$B$8*'Black-Scholes'!$B$7)*IF(LOWER('Black-Scholes'!$B$11)="put",MAX('Black-Scholes'!$B$6-C4789,0),MAX(C4789-'Black-Scholes'!$B$6,0))</f>
        <v>0</v>
      </c>
      <c r="F4789" s="18" t="n">
        <f aca="false">(E4789+G4789)/2</f>
        <v>11.2905489558101</v>
      </c>
      <c r="G4789" s="18" t="n">
        <f aca="false">EXP(-'Black-Scholes'!$B$8*'Black-Scholes'!$B$7)*IF(LOWER('Black-Scholes'!$B$11)="put",MAX('Black-Scholes'!$B$6-D4789,0),MAX(D4789-'Black-Scholes'!$B$6,0))</f>
        <v>22.5810979116201</v>
      </c>
    </row>
    <row r="4790" customFormat="false" ht="15" hidden="false" customHeight="false" outlineLevel="0" collapsed="false">
      <c r="A4790" s="0" t="n">
        <v>4779</v>
      </c>
      <c r="B4790" s="15" t="n">
        <v>-0.738815895928897</v>
      </c>
      <c r="C4790" s="18" t="n">
        <f aca="false">'Black-Scholes'!$B$5*EXP(('Black-Scholes'!$B$8-'Black-Scholes'!$B$10-'Black-Scholes'!$B$9^2/2)*'Black-Scholes'!$B$7+'Black-Scholes'!$B$9*SQRT('Black-Scholes'!$B$7)*B4790)</f>
        <v>88.8906539260218</v>
      </c>
      <c r="D4790" s="18" t="n">
        <f aca="false">'Black-Scholes'!$B$5*EXP(('Black-Scholes'!$B$8-'Black-Scholes'!$B$10-'Black-Scholes'!$B$9^2/2)*'Black-Scholes'!$B$7-'Black-Scholes'!$B$9*SQRT('Black-Scholes'!$B$7)*B4790)</f>
        <v>119.454239523208</v>
      </c>
      <c r="E4790" s="18" t="n">
        <f aca="false">EXP(-'Black-Scholes'!$B$8*'Black-Scholes'!$B$7)*IF(LOWER('Black-Scholes'!$B$11)="put",MAX('Black-Scholes'!$B$6-C4790,0),MAX(C4790-'Black-Scholes'!$B$6,0))</f>
        <v>0</v>
      </c>
      <c r="F4790" s="18" t="n">
        <f aca="false">(E4790+G4790)/2</f>
        <v>9.25272253288009</v>
      </c>
      <c r="G4790" s="18" t="n">
        <f aca="false">EXP(-'Black-Scholes'!$B$8*'Black-Scholes'!$B$7)*IF(LOWER('Black-Scholes'!$B$11)="put",MAX('Black-Scholes'!$B$6-D4790,0),MAX(D4790-'Black-Scholes'!$B$6,0))</f>
        <v>18.5054450657602</v>
      </c>
    </row>
    <row r="4791" customFormat="false" ht="15" hidden="false" customHeight="false" outlineLevel="0" collapsed="false">
      <c r="A4791" s="0" t="n">
        <v>4780</v>
      </c>
      <c r="B4791" s="15" t="n">
        <v>-0.578426774473587</v>
      </c>
      <c r="C4791" s="18" t="n">
        <f aca="false">'Black-Scholes'!$B$5*EXP(('Black-Scholes'!$B$8-'Black-Scholes'!$B$10-'Black-Scholes'!$B$9^2/2)*'Black-Scholes'!$B$7+'Black-Scholes'!$B$9*SQRT('Black-Scholes'!$B$7)*B4791)</f>
        <v>91.7882993180026</v>
      </c>
      <c r="D4791" s="18" t="n">
        <f aca="false">'Black-Scholes'!$B$5*EXP(('Black-Scholes'!$B$8-'Black-Scholes'!$B$10-'Black-Scholes'!$B$9^2/2)*'Black-Scholes'!$B$7-'Black-Scholes'!$B$9*SQRT('Black-Scholes'!$B$7)*B4791)</f>
        <v>115.683213921047</v>
      </c>
      <c r="E4791" s="18" t="n">
        <f aca="false">EXP(-'Black-Scholes'!$B$8*'Black-Scholes'!$B$7)*IF(LOWER('Black-Scholes'!$B$11)="put",MAX('Black-Scholes'!$B$6-C4791,0),MAX(C4791-'Black-Scholes'!$B$6,0))</f>
        <v>0</v>
      </c>
      <c r="F4791" s="18" t="n">
        <f aca="false">(E4791+G4791)/2</f>
        <v>7.4591672762196</v>
      </c>
      <c r="G4791" s="18" t="n">
        <f aca="false">EXP(-'Black-Scholes'!$B$8*'Black-Scholes'!$B$7)*IF(LOWER('Black-Scholes'!$B$11)="put",MAX('Black-Scholes'!$B$6-D4791,0),MAX(D4791-'Black-Scholes'!$B$6,0))</f>
        <v>14.9183345524392</v>
      </c>
    </row>
    <row r="4792" customFormat="false" ht="15" hidden="false" customHeight="false" outlineLevel="0" collapsed="false">
      <c r="A4792" s="0" t="n">
        <v>4781</v>
      </c>
      <c r="B4792" s="15" t="n">
        <v>0.22666478719729</v>
      </c>
      <c r="C4792" s="18" t="n">
        <f aca="false">'Black-Scholes'!$B$5*EXP(('Black-Scholes'!$B$8-'Black-Scholes'!$B$10-'Black-Scholes'!$B$9^2/2)*'Black-Scholes'!$B$7+'Black-Scholes'!$B$9*SQRT('Black-Scholes'!$B$7)*B4792)</f>
        <v>107.824310018565</v>
      </c>
      <c r="D4792" s="18" t="n">
        <f aca="false">'Black-Scholes'!$B$5*EXP(('Black-Scholes'!$B$8-'Black-Scholes'!$B$10-'Black-Scholes'!$B$9^2/2)*'Black-Scholes'!$B$7-'Black-Scholes'!$B$9*SQRT('Black-Scholes'!$B$7)*B4792)</f>
        <v>98.4783993853091</v>
      </c>
      <c r="E4792" s="18" t="n">
        <f aca="false">EXP(-'Black-Scholes'!$B$8*'Black-Scholes'!$B$7)*IF(LOWER('Black-Scholes'!$B$11)="put",MAX('Black-Scholes'!$B$6-C4792,0),MAX(C4792-'Black-Scholes'!$B$6,0))</f>
        <v>7.44271391607441</v>
      </c>
      <c r="F4792" s="18" t="n">
        <f aca="false">(E4792+G4792)/2</f>
        <v>3.7213569580372</v>
      </c>
      <c r="G4792" s="18" t="n">
        <f aca="false">EXP(-'Black-Scholes'!$B$8*'Black-Scholes'!$B$7)*IF(LOWER('Black-Scholes'!$B$11)="put",MAX('Black-Scholes'!$B$6-D4792,0),MAX(D4792-'Black-Scholes'!$B$6,0))</f>
        <v>0</v>
      </c>
    </row>
    <row r="4793" customFormat="false" ht="15" hidden="false" customHeight="false" outlineLevel="0" collapsed="false">
      <c r="A4793" s="0" t="n">
        <v>4782</v>
      </c>
      <c r="B4793" s="15" t="n">
        <v>-0.976970004545959</v>
      </c>
      <c r="C4793" s="18" t="n">
        <f aca="false">'Black-Scholes'!$B$5*EXP(('Black-Scholes'!$B$8-'Black-Scholes'!$B$10-'Black-Scholes'!$B$9^2/2)*'Black-Scholes'!$B$7+'Black-Scholes'!$B$9*SQRT('Black-Scholes'!$B$7)*B4793)</f>
        <v>84.7559699001082</v>
      </c>
      <c r="D4793" s="18" t="n">
        <f aca="false">'Black-Scholes'!$B$5*EXP(('Black-Scholes'!$B$8-'Black-Scholes'!$B$10-'Black-Scholes'!$B$9^2/2)*'Black-Scholes'!$B$7-'Black-Scholes'!$B$9*SQRT('Black-Scholes'!$B$7)*B4793)</f>
        <v>125.281622969665</v>
      </c>
      <c r="E4793" s="18" t="n">
        <f aca="false">EXP(-'Black-Scholes'!$B$8*'Black-Scholes'!$B$7)*IF(LOWER('Black-Scholes'!$B$11)="put",MAX('Black-Scholes'!$B$6-C4793,0),MAX(C4793-'Black-Scholes'!$B$6,0))</f>
        <v>0</v>
      </c>
      <c r="F4793" s="18" t="n">
        <f aca="false">(E4793+G4793)/2</f>
        <v>12.024311833939</v>
      </c>
      <c r="G4793" s="18" t="n">
        <f aca="false">EXP(-'Black-Scholes'!$B$8*'Black-Scholes'!$B$7)*IF(LOWER('Black-Scholes'!$B$11)="put",MAX('Black-Scholes'!$B$6-D4793,0),MAX(D4793-'Black-Scholes'!$B$6,0))</f>
        <v>24.0486236678781</v>
      </c>
    </row>
    <row r="4794" customFormat="false" ht="15" hidden="false" customHeight="false" outlineLevel="0" collapsed="false">
      <c r="A4794" s="0" t="n">
        <v>4783</v>
      </c>
      <c r="B4794" s="15" t="n">
        <v>0.733370173624037</v>
      </c>
      <c r="C4794" s="18" t="n">
        <f aca="false">'Black-Scholes'!$B$5*EXP(('Black-Scholes'!$B$8-'Black-Scholes'!$B$10-'Black-Scholes'!$B$9^2/2)*'Black-Scholes'!$B$7+'Black-Scholes'!$B$9*SQRT('Black-Scholes'!$B$7)*B4794)</f>
        <v>119.324207424616</v>
      </c>
      <c r="D4794" s="18" t="n">
        <f aca="false">'Black-Scholes'!$B$5*EXP(('Black-Scholes'!$B$8-'Black-Scholes'!$B$10-'Black-Scholes'!$B$9^2/2)*'Black-Scholes'!$B$7-'Black-Scholes'!$B$9*SQRT('Black-Scholes'!$B$7)*B4794)</f>
        <v>88.9875214311552</v>
      </c>
      <c r="E4794" s="18" t="n">
        <f aca="false">EXP(-'Black-Scholes'!$B$8*'Black-Scholes'!$B$7)*IF(LOWER('Black-Scholes'!$B$11)="put",MAX('Black-Scholes'!$B$6-C4794,0),MAX(C4794-'Black-Scholes'!$B$6,0))</f>
        <v>18.3817547074496</v>
      </c>
      <c r="F4794" s="18" t="n">
        <f aca="false">(E4794+G4794)/2</f>
        <v>9.19087735372481</v>
      </c>
      <c r="G4794" s="18" t="n">
        <f aca="false">EXP(-'Black-Scholes'!$B$8*'Black-Scholes'!$B$7)*IF(LOWER('Black-Scholes'!$B$11)="put",MAX('Black-Scholes'!$B$6-D4794,0),MAX(D4794-'Black-Scholes'!$B$6,0))</f>
        <v>0</v>
      </c>
    </row>
    <row r="4795" customFormat="false" ht="15" hidden="false" customHeight="false" outlineLevel="0" collapsed="false">
      <c r="A4795" s="0" t="n">
        <v>4784</v>
      </c>
      <c r="B4795" s="15" t="n">
        <v>-0.979646269029139</v>
      </c>
      <c r="C4795" s="18" t="n">
        <f aca="false">'Black-Scholes'!$B$5*EXP(('Black-Scholes'!$B$8-'Black-Scholes'!$B$10-'Black-Scholes'!$B$9^2/2)*'Black-Scholes'!$B$7+'Black-Scholes'!$B$9*SQRT('Black-Scholes'!$B$7)*B4795)</f>
        <v>84.710616160655</v>
      </c>
      <c r="D4795" s="18" t="n">
        <f aca="false">'Black-Scholes'!$B$5*EXP(('Black-Scholes'!$B$8-'Black-Scholes'!$B$10-'Black-Scholes'!$B$9^2/2)*'Black-Scholes'!$B$7-'Black-Scholes'!$B$9*SQRT('Black-Scholes'!$B$7)*B4795)</f>
        <v>125.348698270778</v>
      </c>
      <c r="E4795" s="18" t="n">
        <f aca="false">EXP(-'Black-Scholes'!$B$8*'Black-Scholes'!$B$7)*IF(LOWER('Black-Scholes'!$B$11)="put",MAX('Black-Scholes'!$B$6-C4795,0),MAX(C4795-'Black-Scholes'!$B$6,0))</f>
        <v>0</v>
      </c>
      <c r="F4795" s="18" t="n">
        <f aca="false">(E4795+G4795)/2</f>
        <v>12.056213833977</v>
      </c>
      <c r="G4795" s="18" t="n">
        <f aca="false">EXP(-'Black-Scholes'!$B$8*'Black-Scholes'!$B$7)*IF(LOWER('Black-Scholes'!$B$11)="put",MAX('Black-Scholes'!$B$6-D4795,0),MAX(D4795-'Black-Scholes'!$B$6,0))</f>
        <v>24.112427667954</v>
      </c>
    </row>
    <row r="4796" customFormat="false" ht="15" hidden="false" customHeight="false" outlineLevel="0" collapsed="false">
      <c r="A4796" s="0" t="n">
        <v>4785</v>
      </c>
      <c r="B4796" s="15" t="n">
        <v>1.30322045775153</v>
      </c>
      <c r="C4796" s="18" t="n">
        <f aca="false">'Black-Scholes'!$B$5*EXP(('Black-Scholes'!$B$8-'Black-Scholes'!$B$10-'Black-Scholes'!$B$9^2/2)*'Black-Scholes'!$B$7+'Black-Scholes'!$B$9*SQRT('Black-Scholes'!$B$7)*B4796)</f>
        <v>133.728854694873</v>
      </c>
      <c r="D4796" s="18" t="n">
        <f aca="false">'Black-Scholes'!$B$5*EXP(('Black-Scholes'!$B$8-'Black-Scholes'!$B$10-'Black-Scholes'!$B$9^2/2)*'Black-Scholes'!$B$7-'Black-Scholes'!$B$9*SQRT('Black-Scholes'!$B$7)*B4796)</f>
        <v>79.4022014895842</v>
      </c>
      <c r="E4796" s="18" t="n">
        <f aca="false">EXP(-'Black-Scholes'!$B$8*'Black-Scholes'!$B$7)*IF(LOWER('Black-Scholes'!$B$11)="put",MAX('Black-Scholes'!$B$6-C4796,0),MAX(C4796-'Black-Scholes'!$B$6,0))</f>
        <v>32.0838790404718</v>
      </c>
      <c r="F4796" s="18" t="n">
        <f aca="false">(E4796+G4796)/2</f>
        <v>16.0419395202359</v>
      </c>
      <c r="G4796" s="18" t="n">
        <f aca="false">EXP(-'Black-Scholes'!$B$8*'Black-Scholes'!$B$7)*IF(LOWER('Black-Scholes'!$B$11)="put",MAX('Black-Scholes'!$B$6-D4796,0),MAX(D4796-'Black-Scholes'!$B$6,0))</f>
        <v>0</v>
      </c>
    </row>
    <row r="4797" customFormat="false" ht="15" hidden="false" customHeight="false" outlineLevel="0" collapsed="false">
      <c r="A4797" s="0" t="n">
        <v>4786</v>
      </c>
      <c r="B4797" s="15" t="n">
        <v>0.627251679818991</v>
      </c>
      <c r="C4797" s="18" t="n">
        <f aca="false">'Black-Scholes'!$B$5*EXP(('Black-Scholes'!$B$8-'Black-Scholes'!$B$10-'Black-Scholes'!$B$9^2/2)*'Black-Scholes'!$B$7+'Black-Scholes'!$B$9*SQRT('Black-Scholes'!$B$7)*B4797)</f>
        <v>116.818391789817</v>
      </c>
      <c r="D4797" s="18" t="n">
        <f aca="false">'Black-Scholes'!$B$5*EXP(('Black-Scholes'!$B$8-'Black-Scholes'!$B$10-'Black-Scholes'!$B$9^2/2)*'Black-Scholes'!$B$7-'Black-Scholes'!$B$9*SQRT('Black-Scholes'!$B$7)*B4797)</f>
        <v>90.8963503329039</v>
      </c>
      <c r="E4797" s="18" t="n">
        <f aca="false">EXP(-'Black-Scholes'!$B$8*'Black-Scholes'!$B$7)*IF(LOWER('Black-Scholes'!$B$11)="put",MAX('Black-Scholes'!$B$6-C4797,0),MAX(C4797-'Black-Scholes'!$B$6,0))</f>
        <v>15.9981491432548</v>
      </c>
      <c r="F4797" s="18" t="n">
        <f aca="false">(E4797+G4797)/2</f>
        <v>7.99907457162742</v>
      </c>
      <c r="G4797" s="18" t="n">
        <f aca="false">EXP(-'Black-Scholes'!$B$8*'Black-Scholes'!$B$7)*IF(LOWER('Black-Scholes'!$B$11)="put",MAX('Black-Scholes'!$B$6-D4797,0),MAX(D4797-'Black-Scholes'!$B$6,0))</f>
        <v>0</v>
      </c>
    </row>
    <row r="4798" customFormat="false" ht="15" hidden="false" customHeight="false" outlineLevel="0" collapsed="false">
      <c r="A4798" s="0" t="n">
        <v>4787</v>
      </c>
      <c r="B4798" s="15" t="n">
        <v>0.328248095430215</v>
      </c>
      <c r="C4798" s="18" t="n">
        <f aca="false">'Black-Scholes'!$B$5*EXP(('Black-Scholes'!$B$8-'Black-Scholes'!$B$10-'Black-Scholes'!$B$9^2/2)*'Black-Scholes'!$B$7+'Black-Scholes'!$B$9*SQRT('Black-Scholes'!$B$7)*B4798)</f>
        <v>110.037344658753</v>
      </c>
      <c r="D4798" s="18" t="n">
        <f aca="false">'Black-Scholes'!$B$5*EXP(('Black-Scholes'!$B$8-'Black-Scholes'!$B$10-'Black-Scholes'!$B$9^2/2)*'Black-Scholes'!$B$7-'Black-Scholes'!$B$9*SQRT('Black-Scholes'!$B$7)*B4798)</f>
        <v>96.4978344250603</v>
      </c>
      <c r="E4798" s="18" t="n">
        <f aca="false">EXP(-'Black-Scholes'!$B$8*'Black-Scholes'!$B$7)*IF(LOWER('Black-Scholes'!$B$11)="put",MAX('Black-Scholes'!$B$6-C4798,0),MAX(C4798-'Black-Scholes'!$B$6,0))</f>
        <v>9.54781758326046</v>
      </c>
      <c r="F4798" s="18" t="n">
        <f aca="false">(E4798+G4798)/2</f>
        <v>4.77390879163023</v>
      </c>
      <c r="G4798" s="18" t="n">
        <f aca="false">EXP(-'Black-Scholes'!$B$8*'Black-Scholes'!$B$7)*IF(LOWER('Black-Scholes'!$B$11)="put",MAX('Black-Scholes'!$B$6-D4798,0),MAX(D4798-'Black-Scholes'!$B$6,0))</f>
        <v>0</v>
      </c>
    </row>
    <row r="4799" customFormat="false" ht="15" hidden="false" customHeight="false" outlineLevel="0" collapsed="false">
      <c r="A4799" s="0" t="n">
        <v>4788</v>
      </c>
      <c r="B4799" s="15" t="n">
        <v>0.95442061571814</v>
      </c>
      <c r="C4799" s="18" t="n">
        <f aca="false">'Black-Scholes'!$B$5*EXP(('Black-Scholes'!$B$8-'Black-Scholes'!$B$10-'Black-Scholes'!$B$9^2/2)*'Black-Scholes'!$B$7+'Black-Scholes'!$B$9*SQRT('Black-Scholes'!$B$7)*B4799)</f>
        <v>124.717890301991</v>
      </c>
      <c r="D4799" s="18" t="n">
        <f aca="false">'Black-Scholes'!$B$5*EXP(('Black-Scholes'!$B$8-'Black-Scholes'!$B$10-'Black-Scholes'!$B$9^2/2)*'Black-Scholes'!$B$7-'Black-Scholes'!$B$9*SQRT('Black-Scholes'!$B$7)*B4799)</f>
        <v>85.1390721871765</v>
      </c>
      <c r="E4799" s="18" t="n">
        <f aca="false">EXP(-'Black-Scholes'!$B$8*'Black-Scholes'!$B$7)*IF(LOWER('Black-Scholes'!$B$11)="put",MAX('Black-Scholes'!$B$6-C4799,0),MAX(C4799-'Black-Scholes'!$B$6,0))</f>
        <v>23.5123845668349</v>
      </c>
      <c r="F4799" s="18" t="n">
        <f aca="false">(E4799+G4799)/2</f>
        <v>11.7561922834175</v>
      </c>
      <c r="G4799" s="18" t="n">
        <f aca="false">EXP(-'Black-Scholes'!$B$8*'Black-Scholes'!$B$7)*IF(LOWER('Black-Scholes'!$B$11)="put",MAX('Black-Scholes'!$B$6-D4799,0),MAX(D4799-'Black-Scholes'!$B$6,0))</f>
        <v>0</v>
      </c>
    </row>
    <row r="4800" customFormat="false" ht="15" hidden="false" customHeight="false" outlineLevel="0" collapsed="false">
      <c r="A4800" s="0" t="n">
        <v>4789</v>
      </c>
      <c r="B4800" s="15" t="n">
        <v>1.44646060055738</v>
      </c>
      <c r="C4800" s="18" t="n">
        <f aca="false">'Black-Scholes'!$B$5*EXP(('Black-Scholes'!$B$8-'Black-Scholes'!$B$10-'Black-Scholes'!$B$9^2/2)*'Black-Scholes'!$B$7+'Black-Scholes'!$B$9*SQRT('Black-Scholes'!$B$7)*B4800)</f>
        <v>137.615326824144</v>
      </c>
      <c r="D4800" s="18" t="n">
        <f aca="false">'Black-Scholes'!$B$5*EXP(('Black-Scholes'!$B$8-'Black-Scholes'!$B$10-'Black-Scholes'!$B$9^2/2)*'Black-Scholes'!$B$7-'Black-Scholes'!$B$9*SQRT('Black-Scholes'!$B$7)*B4800)</f>
        <v>77.1597590944401</v>
      </c>
      <c r="E4800" s="18" t="n">
        <f aca="false">EXP(-'Black-Scholes'!$B$8*'Black-Scholes'!$B$7)*IF(LOWER('Black-Scholes'!$B$11)="put",MAX('Black-Scholes'!$B$6-C4800,0),MAX(C4800-'Black-Scholes'!$B$6,0))</f>
        <v>35.7808056873368</v>
      </c>
      <c r="F4800" s="18" t="n">
        <f aca="false">(E4800+G4800)/2</f>
        <v>17.8904028436684</v>
      </c>
      <c r="G4800" s="18" t="n">
        <f aca="false">EXP(-'Black-Scholes'!$B$8*'Black-Scholes'!$B$7)*IF(LOWER('Black-Scholes'!$B$11)="put",MAX('Black-Scholes'!$B$6-D4800,0),MAX(D4800-'Black-Scholes'!$B$6,0))</f>
        <v>0</v>
      </c>
    </row>
    <row r="4801" customFormat="false" ht="15" hidden="false" customHeight="false" outlineLevel="0" collapsed="false">
      <c r="A4801" s="0" t="n">
        <v>4790</v>
      </c>
      <c r="B4801" s="15" t="n">
        <v>-0.205427600765468</v>
      </c>
      <c r="C4801" s="18" t="n">
        <f aca="false">'Black-Scholes'!$B$5*EXP(('Black-Scholes'!$B$8-'Black-Scholes'!$B$10-'Black-Scholes'!$B$9^2/2)*'Black-Scholes'!$B$7+'Black-Scholes'!$B$9*SQRT('Black-Scholes'!$B$7)*B4801)</f>
        <v>98.8975697805649</v>
      </c>
      <c r="D4801" s="18" t="n">
        <f aca="false">'Black-Scholes'!$B$5*EXP(('Black-Scholes'!$B$8-'Black-Scholes'!$B$10-'Black-Scholes'!$B$9^2/2)*'Black-Scholes'!$B$7-'Black-Scholes'!$B$9*SQRT('Black-Scholes'!$B$7)*B4801)</f>
        <v>107.367304262519</v>
      </c>
      <c r="E4801" s="18" t="n">
        <f aca="false">EXP(-'Black-Scholes'!$B$8*'Black-Scholes'!$B$7)*IF(LOWER('Black-Scholes'!$B$11)="put",MAX('Black-Scholes'!$B$6-C4801,0),MAX(C4801-'Black-Scholes'!$B$6,0))</f>
        <v>0</v>
      </c>
      <c r="F4801" s="18" t="n">
        <f aca="false">(E4801+G4801)/2</f>
        <v>3.50399829687869</v>
      </c>
      <c r="G4801" s="18" t="n">
        <f aca="false">EXP(-'Black-Scholes'!$B$8*'Black-Scholes'!$B$7)*IF(LOWER('Black-Scholes'!$B$11)="put",MAX('Black-Scholes'!$B$6-D4801,0),MAX(D4801-'Black-Scholes'!$B$6,0))</f>
        <v>7.00799659375739</v>
      </c>
    </row>
    <row r="4802" customFormat="false" ht="15" hidden="false" customHeight="false" outlineLevel="0" collapsed="false">
      <c r="A4802" s="0" t="n">
        <v>4791</v>
      </c>
      <c r="B4802" s="15" t="n">
        <v>0.763245698518758</v>
      </c>
      <c r="C4802" s="18" t="n">
        <f aca="false">'Black-Scholes'!$B$5*EXP(('Black-Scholes'!$B$8-'Black-Scholes'!$B$10-'Black-Scholes'!$B$9^2/2)*'Black-Scholes'!$B$7+'Black-Scholes'!$B$9*SQRT('Black-Scholes'!$B$7)*B4802)</f>
        <v>120.039316388513</v>
      </c>
      <c r="D4802" s="18" t="n">
        <f aca="false">'Black-Scholes'!$B$5*EXP(('Black-Scholes'!$B$8-'Black-Scholes'!$B$10-'Black-Scholes'!$B$9^2/2)*'Black-Scholes'!$B$7-'Black-Scholes'!$B$9*SQRT('Black-Scholes'!$B$7)*B4802)</f>
        <v>88.4573970005527</v>
      </c>
      <c r="E4802" s="18" t="n">
        <f aca="false">EXP(-'Black-Scholes'!$B$8*'Black-Scholes'!$B$7)*IF(LOWER('Black-Scholes'!$B$11)="put",MAX('Black-Scholes'!$B$6-C4802,0),MAX(C4802-'Black-Scholes'!$B$6,0))</f>
        <v>19.0619873956325</v>
      </c>
      <c r="F4802" s="18" t="n">
        <f aca="false">(E4802+G4802)/2</f>
        <v>9.53099369781625</v>
      </c>
      <c r="G4802" s="18" t="n">
        <f aca="false">EXP(-'Black-Scholes'!$B$8*'Black-Scholes'!$B$7)*IF(LOWER('Black-Scholes'!$B$11)="put",MAX('Black-Scholes'!$B$6-D4802,0),MAX(D4802-'Black-Scholes'!$B$6,0))</f>
        <v>0</v>
      </c>
    </row>
    <row r="4803" customFormat="false" ht="15" hidden="false" customHeight="false" outlineLevel="0" collapsed="false">
      <c r="A4803" s="0" t="n">
        <v>4792</v>
      </c>
      <c r="B4803" s="15" t="n">
        <v>-0.685133732522239</v>
      </c>
      <c r="C4803" s="18" t="n">
        <f aca="false">'Black-Scholes'!$B$5*EXP(('Black-Scholes'!$B$8-'Black-Scholes'!$B$10-'Black-Scholes'!$B$9^2/2)*'Black-Scholes'!$B$7+'Black-Scholes'!$B$9*SQRT('Black-Scholes'!$B$7)*B4803)</f>
        <v>89.8501640890785</v>
      </c>
      <c r="D4803" s="18" t="n">
        <f aca="false">'Black-Scholes'!$B$5*EXP(('Black-Scholes'!$B$8-'Black-Scholes'!$B$10-'Black-Scholes'!$B$9^2/2)*'Black-Scholes'!$B$7-'Black-Scholes'!$B$9*SQRT('Black-Scholes'!$B$7)*B4803)</f>
        <v>118.178587352678</v>
      </c>
      <c r="E4803" s="18" t="n">
        <f aca="false">EXP(-'Black-Scholes'!$B$8*'Black-Scholes'!$B$7)*IF(LOWER('Black-Scholes'!$B$11)="put",MAX('Black-Scholes'!$B$6-C4803,0),MAX(C4803-'Black-Scholes'!$B$6,0))</f>
        <v>0</v>
      </c>
      <c r="F4803" s="18" t="n">
        <f aca="false">(E4803+G4803)/2</f>
        <v>8.64600359286182</v>
      </c>
      <c r="G4803" s="18" t="n">
        <f aca="false">EXP(-'Black-Scholes'!$B$8*'Black-Scholes'!$B$7)*IF(LOWER('Black-Scholes'!$B$11)="put",MAX('Black-Scholes'!$B$6-D4803,0),MAX(D4803-'Black-Scholes'!$B$6,0))</f>
        <v>17.2920071857236</v>
      </c>
    </row>
    <row r="4804" customFormat="false" ht="15" hidden="false" customHeight="false" outlineLevel="0" collapsed="false">
      <c r="A4804" s="0" t="n">
        <v>4793</v>
      </c>
      <c r="B4804" s="15" t="n">
        <v>0.929854913403327</v>
      </c>
      <c r="C4804" s="18" t="n">
        <f aca="false">'Black-Scholes'!$B$5*EXP(('Black-Scholes'!$B$8-'Black-Scholes'!$B$10-'Black-Scholes'!$B$9^2/2)*'Black-Scholes'!$B$7+'Black-Scholes'!$B$9*SQRT('Black-Scholes'!$B$7)*B4804)</f>
        <v>124.106636605912</v>
      </c>
      <c r="D4804" s="18" t="n">
        <f aca="false">'Black-Scholes'!$B$5*EXP(('Black-Scholes'!$B$8-'Black-Scholes'!$B$10-'Black-Scholes'!$B$9^2/2)*'Black-Scholes'!$B$7-'Black-Scholes'!$B$9*SQRT('Black-Scholes'!$B$7)*B4804)</f>
        <v>85.5584016765451</v>
      </c>
      <c r="E4804" s="18" t="n">
        <f aca="false">EXP(-'Black-Scholes'!$B$8*'Black-Scholes'!$B$7)*IF(LOWER('Black-Scholes'!$B$11)="put",MAX('Black-Scholes'!$B$6-C4804,0),MAX(C4804-'Black-Scholes'!$B$6,0))</f>
        <v>22.9309420652891</v>
      </c>
      <c r="F4804" s="18" t="n">
        <f aca="false">(E4804+G4804)/2</f>
        <v>11.4654710326445</v>
      </c>
      <c r="G4804" s="18" t="n">
        <f aca="false">EXP(-'Black-Scholes'!$B$8*'Black-Scholes'!$B$7)*IF(LOWER('Black-Scholes'!$B$11)="put",MAX('Black-Scholes'!$B$6-D4804,0),MAX(D4804-'Black-Scholes'!$B$6,0))</f>
        <v>0</v>
      </c>
    </row>
    <row r="4805" customFormat="false" ht="15" hidden="false" customHeight="false" outlineLevel="0" collapsed="false">
      <c r="A4805" s="0" t="n">
        <v>4794</v>
      </c>
      <c r="B4805" s="15" t="n">
        <v>0.208480563350562</v>
      </c>
      <c r="C4805" s="18" t="n">
        <f aca="false">'Black-Scholes'!$B$5*EXP(('Black-Scholes'!$B$8-'Black-Scholes'!$B$10-'Black-Scholes'!$B$9^2/2)*'Black-Scholes'!$B$7+'Black-Scholes'!$B$9*SQRT('Black-Scholes'!$B$7)*B4805)</f>
        <v>107.43288195366</v>
      </c>
      <c r="D4805" s="18" t="n">
        <f aca="false">'Black-Scholes'!$B$5*EXP(('Black-Scholes'!$B$8-'Black-Scholes'!$B$10-'Black-Scholes'!$B$9^2/2)*'Black-Scholes'!$B$7-'Black-Scholes'!$B$9*SQRT('Black-Scholes'!$B$7)*B4805)</f>
        <v>98.8372020964092</v>
      </c>
      <c r="E4805" s="18" t="n">
        <f aca="false">EXP(-'Black-Scholes'!$B$8*'Black-Scholes'!$B$7)*IF(LOWER('Black-Scholes'!$B$11)="put",MAX('Black-Scholes'!$B$6-C4805,0),MAX(C4805-'Black-Scholes'!$B$6,0))</f>
        <v>7.070376023162</v>
      </c>
      <c r="F4805" s="18" t="n">
        <f aca="false">(E4805+G4805)/2</f>
        <v>3.535188011581</v>
      </c>
      <c r="G4805" s="18" t="n">
        <f aca="false">EXP(-'Black-Scholes'!$B$8*'Black-Scholes'!$B$7)*IF(LOWER('Black-Scholes'!$B$11)="put",MAX('Black-Scholes'!$B$6-D4805,0),MAX(D4805-'Black-Scholes'!$B$6,0))</f>
        <v>0</v>
      </c>
    </row>
    <row r="4806" customFormat="false" ht="15" hidden="false" customHeight="false" outlineLevel="0" collapsed="false">
      <c r="A4806" s="0" t="n">
        <v>4795</v>
      </c>
      <c r="B4806" s="15" t="n">
        <v>-0.811602334569359</v>
      </c>
      <c r="C4806" s="18" t="n">
        <f aca="false">'Black-Scholes'!$B$5*EXP(('Black-Scholes'!$B$8-'Black-Scholes'!$B$10-'Black-Scholes'!$B$9^2/2)*'Black-Scholes'!$B$7+'Black-Scholes'!$B$9*SQRT('Black-Scholes'!$B$7)*B4806)</f>
        <v>87.6060201780065</v>
      </c>
      <c r="D4806" s="18" t="n">
        <f aca="false">'Black-Scholes'!$B$5*EXP(('Black-Scholes'!$B$8-'Black-Scholes'!$B$10-'Black-Scholes'!$B$9^2/2)*'Black-Scholes'!$B$7-'Black-Scholes'!$B$9*SQRT('Black-Scholes'!$B$7)*B4806)</f>
        <v>121.205887950145</v>
      </c>
      <c r="E4806" s="18" t="n">
        <f aca="false">EXP(-'Black-Scholes'!$B$8*'Black-Scholes'!$B$7)*IF(LOWER('Black-Scholes'!$B$11)="put",MAX('Black-Scholes'!$B$6-C4806,0),MAX(C4806-'Black-Scholes'!$B$6,0))</f>
        <v>0</v>
      </c>
      <c r="F4806" s="18" t="n">
        <f aca="false">(E4806+G4806)/2</f>
        <v>10.0858322954215</v>
      </c>
      <c r="G4806" s="18" t="n">
        <f aca="false">EXP(-'Black-Scholes'!$B$8*'Black-Scholes'!$B$7)*IF(LOWER('Black-Scholes'!$B$11)="put",MAX('Black-Scholes'!$B$6-D4806,0),MAX(D4806-'Black-Scholes'!$B$6,0))</f>
        <v>20.171664590843</v>
      </c>
    </row>
    <row r="4807" customFormat="false" ht="15" hidden="false" customHeight="false" outlineLevel="0" collapsed="false">
      <c r="A4807" s="0" t="n">
        <v>4796</v>
      </c>
      <c r="B4807" s="15" t="n">
        <v>-0.208570453741962</v>
      </c>
      <c r="C4807" s="18" t="n">
        <f aca="false">'Black-Scholes'!$B$5*EXP(('Black-Scholes'!$B$8-'Black-Scholes'!$B$10-'Black-Scholes'!$B$9^2/2)*'Black-Scholes'!$B$7+'Black-Scholes'!$B$9*SQRT('Black-Scholes'!$B$7)*B4807)</f>
        <v>98.8354252094255</v>
      </c>
      <c r="D4807" s="18" t="n">
        <f aca="false">'Black-Scholes'!$B$5*EXP(('Black-Scholes'!$B$8-'Black-Scholes'!$B$10-'Black-Scholes'!$B$9^2/2)*'Black-Scholes'!$B$7-'Black-Scholes'!$B$9*SQRT('Black-Scholes'!$B$7)*B4807)</f>
        <v>107.434813407784</v>
      </c>
      <c r="E4807" s="18" t="n">
        <f aca="false">EXP(-'Black-Scholes'!$B$8*'Black-Scholes'!$B$7)*IF(LOWER('Black-Scholes'!$B$11)="put",MAX('Black-Scholes'!$B$6-C4807,0),MAX(C4807-'Black-Scholes'!$B$6,0))</f>
        <v>0</v>
      </c>
      <c r="F4807" s="18" t="n">
        <f aca="false">(E4807+G4807)/2</f>
        <v>3.53610663957817</v>
      </c>
      <c r="G4807" s="18" t="n">
        <f aca="false">EXP(-'Black-Scholes'!$B$8*'Black-Scholes'!$B$7)*IF(LOWER('Black-Scholes'!$B$11)="put",MAX('Black-Scholes'!$B$6-D4807,0),MAX(D4807-'Black-Scholes'!$B$6,0))</f>
        <v>7.07221327915634</v>
      </c>
    </row>
    <row r="4808" customFormat="false" ht="15" hidden="false" customHeight="false" outlineLevel="0" collapsed="false">
      <c r="A4808" s="0" t="n">
        <v>4797</v>
      </c>
      <c r="B4808" s="15" t="n">
        <v>0.0538999856143293</v>
      </c>
      <c r="C4808" s="18" t="n">
        <f aca="false">'Black-Scholes'!$B$5*EXP(('Black-Scholes'!$B$8-'Black-Scholes'!$B$10-'Black-Scholes'!$B$9^2/2)*'Black-Scholes'!$B$7+'Black-Scholes'!$B$9*SQRT('Black-Scholes'!$B$7)*B4808)</f>
        <v>104.162292029634</v>
      </c>
      <c r="D4808" s="18" t="n">
        <f aca="false">'Black-Scholes'!$B$5*EXP(('Black-Scholes'!$B$8-'Black-Scholes'!$B$10-'Black-Scholes'!$B$9^2/2)*'Black-Scholes'!$B$7-'Black-Scholes'!$B$9*SQRT('Black-Scholes'!$B$7)*B4808)</f>
        <v>101.940589617908</v>
      </c>
      <c r="E4808" s="18" t="n">
        <f aca="false">EXP(-'Black-Scholes'!$B$8*'Black-Scholes'!$B$7)*IF(LOWER('Black-Scholes'!$B$11)="put",MAX('Black-Scholes'!$B$6-C4808,0),MAX(C4808-'Black-Scholes'!$B$6,0))</f>
        <v>3.95929465195292</v>
      </c>
      <c r="F4808" s="18" t="n">
        <f aca="false">(E4808+G4808)/2</f>
        <v>2.90262029869361</v>
      </c>
      <c r="G4808" s="18" t="n">
        <f aca="false">EXP(-'Black-Scholes'!$B$8*'Black-Scholes'!$B$7)*IF(LOWER('Black-Scholes'!$B$11)="put",MAX('Black-Scholes'!$B$6-D4808,0),MAX(D4808-'Black-Scholes'!$B$6,0))</f>
        <v>1.8459459454343</v>
      </c>
    </row>
    <row r="4809" customFormat="false" ht="15" hidden="false" customHeight="false" outlineLevel="0" collapsed="false">
      <c r="A4809" s="0" t="n">
        <v>4798</v>
      </c>
      <c r="B4809" s="15" t="n">
        <v>0.937265558234545</v>
      </c>
      <c r="C4809" s="18" t="n">
        <f aca="false">'Black-Scholes'!$B$5*EXP(('Black-Scholes'!$B$8-'Black-Scholes'!$B$10-'Black-Scholes'!$B$9^2/2)*'Black-Scholes'!$B$7+'Black-Scholes'!$B$9*SQRT('Black-Scholes'!$B$7)*B4809)</f>
        <v>124.290715027211</v>
      </c>
      <c r="D4809" s="18" t="n">
        <f aca="false">'Black-Scholes'!$B$5*EXP(('Black-Scholes'!$B$8-'Black-Scholes'!$B$10-'Black-Scholes'!$B$9^2/2)*'Black-Scholes'!$B$7-'Black-Scholes'!$B$9*SQRT('Black-Scholes'!$B$7)*B4809)</f>
        <v>85.4316870180439</v>
      </c>
      <c r="E4809" s="18" t="n">
        <f aca="false">EXP(-'Black-Scholes'!$B$8*'Black-Scholes'!$B$7)*IF(LOWER('Black-Scholes'!$B$11)="put",MAX('Black-Scholes'!$B$6-C4809,0),MAX(C4809-'Black-Scholes'!$B$6,0))</f>
        <v>23.1060428760449</v>
      </c>
      <c r="F4809" s="18" t="n">
        <f aca="false">(E4809+G4809)/2</f>
        <v>11.5530214380225</v>
      </c>
      <c r="G4809" s="18" t="n">
        <f aca="false">EXP(-'Black-Scholes'!$B$8*'Black-Scholes'!$B$7)*IF(LOWER('Black-Scholes'!$B$11)="put",MAX('Black-Scholes'!$B$6-D4809,0),MAX(D4809-'Black-Scholes'!$B$6,0))</f>
        <v>0</v>
      </c>
    </row>
    <row r="4810" customFormat="false" ht="15" hidden="false" customHeight="false" outlineLevel="0" collapsed="false">
      <c r="A4810" s="0" t="n">
        <v>4799</v>
      </c>
      <c r="B4810" s="15" t="n">
        <v>0.37720964912525</v>
      </c>
      <c r="C4810" s="18" t="n">
        <f aca="false">'Black-Scholes'!$B$5*EXP(('Black-Scholes'!$B$8-'Black-Scholes'!$B$10-'Black-Scholes'!$B$9^2/2)*'Black-Scholes'!$B$7+'Black-Scholes'!$B$9*SQRT('Black-Scholes'!$B$7)*B4810)</f>
        <v>111.120157497939</v>
      </c>
      <c r="D4810" s="18" t="n">
        <f aca="false">'Black-Scholes'!$B$5*EXP(('Black-Scholes'!$B$8-'Black-Scholes'!$B$10-'Black-Scholes'!$B$9^2/2)*'Black-Scholes'!$B$7-'Black-Scholes'!$B$9*SQRT('Black-Scholes'!$B$7)*B4810)</f>
        <v>95.5575091373551</v>
      </c>
      <c r="E4810" s="18" t="n">
        <f aca="false">EXP(-'Black-Scholes'!$B$8*'Black-Scholes'!$B$7)*IF(LOWER('Black-Scholes'!$B$11)="put",MAX('Black-Scholes'!$B$6-C4810,0),MAX(C4810-'Black-Scholes'!$B$6,0))</f>
        <v>10.5778210171214</v>
      </c>
      <c r="F4810" s="18" t="n">
        <f aca="false">(E4810+G4810)/2</f>
        <v>5.28891050856069</v>
      </c>
      <c r="G4810" s="18" t="n">
        <f aca="false">EXP(-'Black-Scholes'!$B$8*'Black-Scholes'!$B$7)*IF(LOWER('Black-Scholes'!$B$11)="put",MAX('Black-Scholes'!$B$6-D4810,0),MAX(D4810-'Black-Scholes'!$B$6,0))</f>
        <v>0</v>
      </c>
    </row>
    <row r="4811" customFormat="false" ht="15" hidden="false" customHeight="false" outlineLevel="0" collapsed="false">
      <c r="A4811" s="0" t="n">
        <v>4800</v>
      </c>
      <c r="B4811" s="15" t="n">
        <v>0.304296447316161</v>
      </c>
      <c r="C4811" s="18" t="n">
        <f aca="false">'Black-Scholes'!$B$5*EXP(('Black-Scholes'!$B$8-'Black-Scholes'!$B$10-'Black-Scholes'!$B$9^2/2)*'Black-Scholes'!$B$7+'Black-Scholes'!$B$9*SQRT('Black-Scholes'!$B$7)*B4811)</f>
        <v>109.511490021119</v>
      </c>
      <c r="D4811" s="18" t="n">
        <f aca="false">'Black-Scholes'!$B$5*EXP(('Black-Scholes'!$B$8-'Black-Scholes'!$B$10-'Black-Scholes'!$B$9^2/2)*'Black-Scholes'!$B$7-'Black-Scholes'!$B$9*SQRT('Black-Scholes'!$B$7)*B4811)</f>
        <v>96.9611998102291</v>
      </c>
      <c r="E4811" s="18" t="n">
        <f aca="false">EXP(-'Black-Scholes'!$B$8*'Black-Scholes'!$B$7)*IF(LOWER('Black-Scholes'!$B$11)="put",MAX('Black-Scholes'!$B$6-C4811,0),MAX(C4811-'Black-Scholes'!$B$6,0))</f>
        <v>9.04760917893298</v>
      </c>
      <c r="F4811" s="18" t="n">
        <f aca="false">(E4811+G4811)/2</f>
        <v>4.52380458946649</v>
      </c>
      <c r="G4811" s="18" t="n">
        <f aca="false">EXP(-'Black-Scholes'!$B$8*'Black-Scholes'!$B$7)*IF(LOWER('Black-Scholes'!$B$11)="put",MAX('Black-Scholes'!$B$6-D4811,0),MAX(D4811-'Black-Scholes'!$B$6,0))</f>
        <v>0</v>
      </c>
    </row>
    <row r="4812" customFormat="false" ht="15" hidden="false" customHeight="false" outlineLevel="0" collapsed="false">
      <c r="A4812" s="0" t="n">
        <v>4801</v>
      </c>
      <c r="B4812" s="15" t="n">
        <v>0.276573771792168</v>
      </c>
      <c r="C4812" s="18" t="n">
        <f aca="false">'Black-Scholes'!$B$5*EXP(('Black-Scholes'!$B$8-'Black-Scholes'!$B$10-'Black-Scholes'!$B$9^2/2)*'Black-Scholes'!$B$7+'Black-Scholes'!$B$9*SQRT('Black-Scholes'!$B$7)*B4812)</f>
        <v>108.905979907567</v>
      </c>
      <c r="D4812" s="18" t="n">
        <f aca="false">'Black-Scholes'!$B$5*EXP(('Black-Scholes'!$B$8-'Black-Scholes'!$B$10-'Black-Scholes'!$B$9^2/2)*'Black-Scholes'!$B$7-'Black-Scholes'!$B$9*SQRT('Black-Scholes'!$B$7)*B4812)</f>
        <v>97.5002977289756</v>
      </c>
      <c r="E4812" s="18" t="n">
        <f aca="false">EXP(-'Black-Scholes'!$B$8*'Black-Scholes'!$B$7)*IF(LOWER('Black-Scholes'!$B$11)="put",MAX('Black-Scholes'!$B$6-C4812,0),MAX(C4812-'Black-Scholes'!$B$6,0))</f>
        <v>8.47163014208972</v>
      </c>
      <c r="F4812" s="18" t="n">
        <f aca="false">(E4812+G4812)/2</f>
        <v>4.23581507104486</v>
      </c>
      <c r="G4812" s="18" t="n">
        <f aca="false">EXP(-'Black-Scholes'!$B$8*'Black-Scholes'!$B$7)*IF(LOWER('Black-Scholes'!$B$11)="put",MAX('Black-Scholes'!$B$6-D4812,0),MAX(D4812-'Black-Scholes'!$B$6,0))</f>
        <v>0</v>
      </c>
    </row>
    <row r="4813" customFormat="false" ht="15" hidden="false" customHeight="false" outlineLevel="0" collapsed="false">
      <c r="A4813" s="0" t="n">
        <v>4802</v>
      </c>
      <c r="B4813" s="15" t="n">
        <v>0.652831768755205</v>
      </c>
      <c r="C4813" s="18" t="n">
        <f aca="false">'Black-Scholes'!$B$5*EXP(('Black-Scholes'!$B$8-'Black-Scholes'!$B$10-'Black-Scholes'!$B$9^2/2)*'Black-Scholes'!$B$7+'Black-Scholes'!$B$9*SQRT('Black-Scholes'!$B$7)*B4813)</f>
        <v>117.417568151668</v>
      </c>
      <c r="D4813" s="18" t="n">
        <f aca="false">'Black-Scholes'!$B$5*EXP(('Black-Scholes'!$B$8-'Black-Scholes'!$B$10-'Black-Scholes'!$B$9^2/2)*'Black-Scholes'!$B$7-'Black-Scholes'!$B$9*SQRT('Black-Scholes'!$B$7)*B4813)</f>
        <v>90.4325105059055</v>
      </c>
      <c r="E4813" s="18" t="n">
        <f aca="false">EXP(-'Black-Scholes'!$B$8*'Black-Scholes'!$B$7)*IF(LOWER('Black-Scholes'!$B$11)="put",MAX('Black-Scholes'!$B$6-C4813,0),MAX(C4813-'Black-Scholes'!$B$6,0))</f>
        <v>16.5681033291132</v>
      </c>
      <c r="F4813" s="18" t="n">
        <f aca="false">(E4813+G4813)/2</f>
        <v>8.2840516645566</v>
      </c>
      <c r="G4813" s="18" t="n">
        <f aca="false">EXP(-'Black-Scholes'!$B$8*'Black-Scholes'!$B$7)*IF(LOWER('Black-Scholes'!$B$11)="put",MAX('Black-Scholes'!$B$6-D4813,0),MAX(D4813-'Black-Scholes'!$B$6,0))</f>
        <v>0</v>
      </c>
    </row>
    <row r="4814" customFormat="false" ht="15" hidden="false" customHeight="false" outlineLevel="0" collapsed="false">
      <c r="A4814" s="0" t="n">
        <v>4803</v>
      </c>
      <c r="B4814" s="15" t="n">
        <v>1.49693135252686</v>
      </c>
      <c r="C4814" s="18" t="n">
        <f aca="false">'Black-Scholes'!$B$5*EXP(('Black-Scholes'!$B$8-'Black-Scholes'!$B$10-'Black-Scholes'!$B$9^2/2)*'Black-Scholes'!$B$7+'Black-Scholes'!$B$9*SQRT('Black-Scholes'!$B$7)*B4814)</f>
        <v>139.011471220741</v>
      </c>
      <c r="D4814" s="18" t="n">
        <f aca="false">'Black-Scholes'!$B$5*EXP(('Black-Scholes'!$B$8-'Black-Scholes'!$B$10-'Black-Scholes'!$B$9^2/2)*'Black-Scholes'!$B$7-'Black-Scholes'!$B$9*SQRT('Black-Scholes'!$B$7)*B4814)</f>
        <v>76.3848146646285</v>
      </c>
      <c r="E4814" s="18" t="n">
        <f aca="false">EXP(-'Black-Scholes'!$B$8*'Black-Scholes'!$B$7)*IF(LOWER('Black-Scholes'!$B$11)="put",MAX('Black-Scholes'!$B$6-C4814,0),MAX(C4814-'Black-Scholes'!$B$6,0))</f>
        <v>37.1088593182312</v>
      </c>
      <c r="F4814" s="18" t="n">
        <f aca="false">(E4814+G4814)/2</f>
        <v>18.5544296591156</v>
      </c>
      <c r="G4814" s="18" t="n">
        <f aca="false">EXP(-'Black-Scholes'!$B$8*'Black-Scholes'!$B$7)*IF(LOWER('Black-Scholes'!$B$11)="put",MAX('Black-Scholes'!$B$6-D4814,0),MAX(D4814-'Black-Scholes'!$B$6,0))</f>
        <v>0</v>
      </c>
    </row>
    <row r="4815" customFormat="false" ht="15" hidden="false" customHeight="false" outlineLevel="0" collapsed="false">
      <c r="A4815" s="0" t="n">
        <v>4804</v>
      </c>
      <c r="B4815" s="15" t="n">
        <v>-0.0204207071173568</v>
      </c>
      <c r="C4815" s="18" t="n">
        <f aca="false">'Black-Scholes'!$B$5*EXP(('Black-Scholes'!$B$8-'Black-Scholes'!$B$10-'Black-Scholes'!$B$9^2/2)*'Black-Scholes'!$B$7+'Black-Scholes'!$B$9*SQRT('Black-Scholes'!$B$7)*B4815)</f>
        <v>102.62545943181</v>
      </c>
      <c r="D4815" s="18" t="n">
        <f aca="false">'Black-Scholes'!$B$5*EXP(('Black-Scholes'!$B$8-'Black-Scholes'!$B$10-'Black-Scholes'!$B$9^2/2)*'Black-Scholes'!$B$7-'Black-Scholes'!$B$9*SQRT('Black-Scholes'!$B$7)*B4815)</f>
        <v>103.467166181205</v>
      </c>
      <c r="E4815" s="18" t="n">
        <f aca="false">EXP(-'Black-Scholes'!$B$8*'Black-Scholes'!$B$7)*IF(LOWER('Black-Scholes'!$B$11)="put",MAX('Black-Scholes'!$B$6-C4815,0),MAX(C4815-'Black-Scholes'!$B$6,0))</f>
        <v>2.49741426437081</v>
      </c>
      <c r="F4815" s="18" t="n">
        <f aca="false">(E4815+G4815)/2</f>
        <v>2.89774237778327</v>
      </c>
      <c r="G4815" s="18" t="n">
        <f aca="false">EXP(-'Black-Scholes'!$B$8*'Black-Scholes'!$B$7)*IF(LOWER('Black-Scholes'!$B$11)="put",MAX('Black-Scholes'!$B$6-D4815,0),MAX(D4815-'Black-Scholes'!$B$6,0))</f>
        <v>3.29807049119573</v>
      </c>
    </row>
    <row r="4816" customFormat="false" ht="15" hidden="false" customHeight="false" outlineLevel="0" collapsed="false">
      <c r="A4816" s="0" t="n">
        <v>4805</v>
      </c>
      <c r="B4816" s="15" t="n">
        <v>0.520844483811088</v>
      </c>
      <c r="C4816" s="18" t="n">
        <f aca="false">'Black-Scholes'!$B$5*EXP(('Black-Scholes'!$B$8-'Black-Scholes'!$B$10-'Black-Scholes'!$B$9^2/2)*'Black-Scholes'!$B$7+'Black-Scholes'!$B$9*SQRT('Black-Scholes'!$B$7)*B4816)</f>
        <v>114.358595129902</v>
      </c>
      <c r="D4816" s="18" t="n">
        <f aca="false">'Black-Scholes'!$B$5*EXP(('Black-Scholes'!$B$8-'Black-Scholes'!$B$10-'Black-Scholes'!$B$9^2/2)*'Black-Scholes'!$B$7-'Black-Scholes'!$B$9*SQRT('Black-Scholes'!$B$7)*B4816)</f>
        <v>92.8514857443987</v>
      </c>
      <c r="E4816" s="18" t="n">
        <f aca="false">EXP(-'Black-Scholes'!$B$8*'Black-Scholes'!$B$7)*IF(LOWER('Black-Scholes'!$B$11)="put",MAX('Black-Scholes'!$B$6-C4816,0),MAX(C4816-'Black-Scholes'!$B$6,0))</f>
        <v>13.6583181820558</v>
      </c>
      <c r="F4816" s="18" t="n">
        <f aca="false">(E4816+G4816)/2</f>
        <v>6.82915909102791</v>
      </c>
      <c r="G4816" s="18" t="n">
        <f aca="false">EXP(-'Black-Scholes'!$B$8*'Black-Scholes'!$B$7)*IF(LOWER('Black-Scholes'!$B$11)="put",MAX('Black-Scholes'!$B$6-D4816,0),MAX(D4816-'Black-Scholes'!$B$6,0))</f>
        <v>0</v>
      </c>
    </row>
    <row r="4817" customFormat="false" ht="15" hidden="false" customHeight="false" outlineLevel="0" collapsed="false">
      <c r="A4817" s="0" t="n">
        <v>4806</v>
      </c>
      <c r="B4817" s="15" t="n">
        <v>-0.64322432826716</v>
      </c>
      <c r="C4817" s="18" t="n">
        <f aca="false">'Black-Scholes'!$B$5*EXP(('Black-Scholes'!$B$8-'Black-Scholes'!$B$10-'Black-Scholes'!$B$9^2/2)*'Black-Scholes'!$B$7+'Black-Scholes'!$B$9*SQRT('Black-Scholes'!$B$7)*B4817)</f>
        <v>90.6064425491401</v>
      </c>
      <c r="D4817" s="18" t="n">
        <f aca="false">'Black-Scholes'!$B$5*EXP(('Black-Scholes'!$B$8-'Black-Scholes'!$B$10-'Black-Scholes'!$B$9^2/2)*'Black-Scholes'!$B$7-'Black-Scholes'!$B$9*SQRT('Black-Scholes'!$B$7)*B4817)</f>
        <v>117.192168312918</v>
      </c>
      <c r="E4817" s="18" t="n">
        <f aca="false">EXP(-'Black-Scholes'!$B$8*'Black-Scholes'!$B$7)*IF(LOWER('Black-Scholes'!$B$11)="put",MAX('Black-Scholes'!$B$6-C4817,0),MAX(C4817-'Black-Scholes'!$B$6,0))</f>
        <v>0</v>
      </c>
      <c r="F4817" s="18" t="n">
        <f aca="false">(E4817+G4817)/2</f>
        <v>8.17684818510836</v>
      </c>
      <c r="G4817" s="18" t="n">
        <f aca="false">EXP(-'Black-Scholes'!$B$8*'Black-Scholes'!$B$7)*IF(LOWER('Black-Scholes'!$B$11)="put",MAX('Black-Scholes'!$B$6-D4817,0),MAX(D4817-'Black-Scholes'!$B$6,0))</f>
        <v>16.3536963702167</v>
      </c>
    </row>
    <row r="4818" customFormat="false" ht="15" hidden="false" customHeight="false" outlineLevel="0" collapsed="false">
      <c r="A4818" s="0" t="n">
        <v>4807</v>
      </c>
      <c r="B4818" s="15" t="n">
        <v>-1.47965508356576</v>
      </c>
      <c r="C4818" s="18" t="n">
        <f aca="false">'Black-Scholes'!$B$5*EXP(('Black-Scholes'!$B$8-'Black-Scholes'!$B$10-'Black-Scholes'!$B$9^2/2)*'Black-Scholes'!$B$7+'Black-Scholes'!$B$9*SQRT('Black-Scholes'!$B$7)*B4818)</f>
        <v>76.649200081487</v>
      </c>
      <c r="D4818" s="18" t="n">
        <f aca="false">'Black-Scholes'!$B$5*EXP(('Black-Scholes'!$B$8-'Black-Scholes'!$B$10-'Black-Scholes'!$B$9^2/2)*'Black-Scholes'!$B$7-'Black-Scholes'!$B$9*SQRT('Black-Scholes'!$B$7)*B4818)</f>
        <v>138.53198016633</v>
      </c>
      <c r="E4818" s="18" t="n">
        <f aca="false">EXP(-'Black-Scholes'!$B$8*'Black-Scholes'!$B$7)*IF(LOWER('Black-Scholes'!$B$11)="put",MAX('Black-Scholes'!$B$6-C4818,0),MAX(C4818-'Black-Scholes'!$B$6,0))</f>
        <v>0</v>
      </c>
      <c r="F4818" s="18" t="n">
        <f aca="false">(E4818+G4818)/2</f>
        <v>18.3263766592454</v>
      </c>
      <c r="G4818" s="18" t="n">
        <f aca="false">EXP(-'Black-Scholes'!$B$8*'Black-Scholes'!$B$7)*IF(LOWER('Black-Scholes'!$B$11)="put",MAX('Black-Scholes'!$B$6-D4818,0),MAX(D4818-'Black-Scholes'!$B$6,0))</f>
        <v>36.6527533184907</v>
      </c>
    </row>
    <row r="4819" customFormat="false" ht="15" hidden="false" customHeight="false" outlineLevel="0" collapsed="false">
      <c r="A4819" s="0" t="n">
        <v>4808</v>
      </c>
      <c r="B4819" s="15" t="n">
        <v>-1.41702812160031</v>
      </c>
      <c r="C4819" s="18" t="n">
        <f aca="false">'Black-Scholes'!$B$5*EXP(('Black-Scholes'!$B$8-'Black-Scholes'!$B$10-'Black-Scholes'!$B$9^2/2)*'Black-Scholes'!$B$7+'Black-Scholes'!$B$9*SQRT('Black-Scholes'!$B$7)*B4819)</f>
        <v>77.6152991435041</v>
      </c>
      <c r="D4819" s="18" t="n">
        <f aca="false">'Black-Scholes'!$B$5*EXP(('Black-Scholes'!$B$8-'Black-Scholes'!$B$10-'Black-Scholes'!$B$9^2/2)*'Black-Scholes'!$B$7-'Black-Scholes'!$B$9*SQRT('Black-Scholes'!$B$7)*B4819)</f>
        <v>136.807634353391</v>
      </c>
      <c r="E4819" s="18" t="n">
        <f aca="false">EXP(-'Black-Scholes'!$B$8*'Black-Scholes'!$B$7)*IF(LOWER('Black-Scholes'!$B$11)="put",MAX('Black-Scholes'!$B$6-C4819,0),MAX(C4819-'Black-Scholes'!$B$6,0))</f>
        <v>0</v>
      </c>
      <c r="F4819" s="18" t="n">
        <f aca="false">(E4819+G4819)/2</f>
        <v>17.5062524216046</v>
      </c>
      <c r="G4819" s="18" t="n">
        <f aca="false">EXP(-'Black-Scholes'!$B$8*'Black-Scholes'!$B$7)*IF(LOWER('Black-Scholes'!$B$11)="put",MAX('Black-Scholes'!$B$6-D4819,0),MAX(D4819-'Black-Scholes'!$B$6,0))</f>
        <v>35.0125048432092</v>
      </c>
    </row>
    <row r="4820" customFormat="false" ht="15" hidden="false" customHeight="false" outlineLevel="0" collapsed="false">
      <c r="A4820" s="0" t="n">
        <v>4809</v>
      </c>
      <c r="B4820" s="15" t="n">
        <v>-1.17167786891598</v>
      </c>
      <c r="C4820" s="18" t="n">
        <f aca="false">'Black-Scholes'!$B$5*EXP(('Black-Scholes'!$B$8-'Black-Scholes'!$B$10-'Black-Scholes'!$B$9^2/2)*'Black-Scholes'!$B$7+'Black-Scholes'!$B$9*SQRT('Black-Scholes'!$B$7)*B4820)</f>
        <v>81.5188769303716</v>
      </c>
      <c r="D4820" s="18" t="n">
        <f aca="false">'Black-Scholes'!$B$5*EXP(('Black-Scholes'!$B$8-'Black-Scholes'!$B$10-'Black-Scholes'!$B$9^2/2)*'Black-Scholes'!$B$7-'Black-Scholes'!$B$9*SQRT('Black-Scholes'!$B$7)*B4820)</f>
        <v>130.256522971031</v>
      </c>
      <c r="E4820" s="18" t="n">
        <f aca="false">EXP(-'Black-Scholes'!$B$8*'Black-Scholes'!$B$7)*IF(LOWER('Black-Scholes'!$B$11)="put",MAX('Black-Scholes'!$B$6-C4820,0),MAX(C4820-'Black-Scholes'!$B$6,0))</f>
        <v>0</v>
      </c>
      <c r="F4820" s="18" t="n">
        <f aca="false">(E4820+G4820)/2</f>
        <v>14.3904474665632</v>
      </c>
      <c r="G4820" s="18" t="n">
        <f aca="false">EXP(-'Black-Scholes'!$B$8*'Black-Scholes'!$B$7)*IF(LOWER('Black-Scholes'!$B$11)="put",MAX('Black-Scholes'!$B$6-D4820,0),MAX(D4820-'Black-Scholes'!$B$6,0))</f>
        <v>28.7808949331265</v>
      </c>
    </row>
    <row r="4821" customFormat="false" ht="15" hidden="false" customHeight="false" outlineLevel="0" collapsed="false">
      <c r="A4821" s="0" t="n">
        <v>4810</v>
      </c>
      <c r="B4821" s="15" t="n">
        <v>-0.459875941737555</v>
      </c>
      <c r="C4821" s="18" t="n">
        <f aca="false">'Black-Scholes'!$B$5*EXP(('Black-Scholes'!$B$8-'Black-Scholes'!$B$10-'Black-Scholes'!$B$9^2/2)*'Black-Scholes'!$B$7+'Black-Scholes'!$B$9*SQRT('Black-Scholes'!$B$7)*B4821)</f>
        <v>93.9906207127963</v>
      </c>
      <c r="D4821" s="18" t="n">
        <f aca="false">'Black-Scholes'!$B$5*EXP(('Black-Scholes'!$B$8-'Black-Scholes'!$B$10-'Black-Scholes'!$B$9^2/2)*'Black-Scholes'!$B$7-'Black-Scholes'!$B$9*SQRT('Black-Scholes'!$B$7)*B4821)</f>
        <v>112.972607106189</v>
      </c>
      <c r="E4821" s="18" t="n">
        <f aca="false">EXP(-'Black-Scholes'!$B$8*'Black-Scholes'!$B$7)*IF(LOWER('Black-Scholes'!$B$11)="put",MAX('Black-Scholes'!$B$6-C4821,0),MAX(C4821-'Black-Scholes'!$B$6,0))</f>
        <v>0</v>
      </c>
      <c r="F4821" s="18" t="n">
        <f aca="false">(E4821+G4821)/2</f>
        <v>6.16996279594715</v>
      </c>
      <c r="G4821" s="18" t="n">
        <f aca="false">EXP(-'Black-Scholes'!$B$8*'Black-Scholes'!$B$7)*IF(LOWER('Black-Scholes'!$B$11)="put",MAX('Black-Scholes'!$B$6-D4821,0),MAX(D4821-'Black-Scholes'!$B$6,0))</f>
        <v>12.3399255918943</v>
      </c>
    </row>
    <row r="4822" customFormat="false" ht="15" hidden="false" customHeight="false" outlineLevel="0" collapsed="false">
      <c r="A4822" s="0" t="n">
        <v>4811</v>
      </c>
      <c r="B4822" s="15" t="n">
        <v>0.654735119152711</v>
      </c>
      <c r="C4822" s="18" t="n">
        <f aca="false">'Black-Scholes'!$B$5*EXP(('Black-Scholes'!$B$8-'Black-Scholes'!$B$10-'Black-Scholes'!$B$9^2/2)*'Black-Scholes'!$B$7+'Black-Scholes'!$B$9*SQRT('Black-Scholes'!$B$7)*B4822)</f>
        <v>117.462274015224</v>
      </c>
      <c r="D4822" s="18" t="n">
        <f aca="false">'Black-Scholes'!$B$5*EXP(('Black-Scholes'!$B$8-'Black-Scholes'!$B$10-'Black-Scholes'!$B$9^2/2)*'Black-Scholes'!$B$7-'Black-Scholes'!$B$9*SQRT('Black-Scholes'!$B$7)*B4822)</f>
        <v>90.3980921063848</v>
      </c>
      <c r="E4822" s="18" t="n">
        <f aca="false">EXP(-'Black-Scholes'!$B$8*'Black-Scholes'!$B$7)*IF(LOWER('Black-Scholes'!$B$11)="put",MAX('Black-Scholes'!$B$6-C4822,0),MAX(C4822-'Black-Scholes'!$B$6,0))</f>
        <v>16.610628861975</v>
      </c>
      <c r="F4822" s="18" t="n">
        <f aca="false">(E4822+G4822)/2</f>
        <v>8.30531443098749</v>
      </c>
      <c r="G4822" s="18" t="n">
        <f aca="false">EXP(-'Black-Scholes'!$B$8*'Black-Scholes'!$B$7)*IF(LOWER('Black-Scholes'!$B$11)="put",MAX('Black-Scholes'!$B$6-D4822,0),MAX(D4822-'Black-Scholes'!$B$6,0))</f>
        <v>0</v>
      </c>
    </row>
    <row r="4823" customFormat="false" ht="15" hidden="false" customHeight="false" outlineLevel="0" collapsed="false">
      <c r="A4823" s="0" t="n">
        <v>4812</v>
      </c>
      <c r="B4823" s="15" t="n">
        <v>-0.977443265311738</v>
      </c>
      <c r="C4823" s="18" t="n">
        <f aca="false">'Black-Scholes'!$B$5*EXP(('Black-Scholes'!$B$8-'Black-Scholes'!$B$10-'Black-Scholes'!$B$9^2/2)*'Black-Scholes'!$B$7+'Black-Scholes'!$B$9*SQRT('Black-Scholes'!$B$7)*B4823)</f>
        <v>84.747947944718</v>
      </c>
      <c r="D4823" s="18" t="n">
        <f aca="false">'Black-Scholes'!$B$5*EXP(('Black-Scholes'!$B$8-'Black-Scholes'!$B$10-'Black-Scholes'!$B$9^2/2)*'Black-Scholes'!$B$7-'Black-Scholes'!$B$9*SQRT('Black-Scholes'!$B$7)*B4823)</f>
        <v>125.293481706248</v>
      </c>
      <c r="E4823" s="18" t="n">
        <f aca="false">EXP(-'Black-Scholes'!$B$8*'Black-Scholes'!$B$7)*IF(LOWER('Black-Scholes'!$B$11)="put",MAX('Black-Scholes'!$B$6-C4823,0),MAX(C4823-'Black-Scholes'!$B$6,0))</f>
        <v>0</v>
      </c>
      <c r="F4823" s="18" t="n">
        <f aca="false">(E4823+G4823)/2</f>
        <v>12.0299520235269</v>
      </c>
      <c r="G4823" s="18" t="n">
        <f aca="false">EXP(-'Black-Scholes'!$B$8*'Black-Scholes'!$B$7)*IF(LOWER('Black-Scholes'!$B$11)="put",MAX('Black-Scholes'!$B$6-D4823,0),MAX(D4823-'Black-Scholes'!$B$6,0))</f>
        <v>24.0599040470538</v>
      </c>
    </row>
    <row r="4824" customFormat="false" ht="15" hidden="false" customHeight="false" outlineLevel="0" collapsed="false">
      <c r="A4824" s="0" t="n">
        <v>4813</v>
      </c>
      <c r="B4824" s="15" t="n">
        <v>-0.863445796510881</v>
      </c>
      <c r="C4824" s="18" t="n">
        <f aca="false">'Black-Scholes'!$B$5*EXP(('Black-Scholes'!$B$8-'Black-Scholes'!$B$10-'Black-Scholes'!$B$9^2/2)*'Black-Scholes'!$B$7+'Black-Scholes'!$B$9*SQRT('Black-Scholes'!$B$7)*B4824)</f>
        <v>86.7023533213175</v>
      </c>
      <c r="D4824" s="18" t="n">
        <f aca="false">'Black-Scholes'!$B$5*EXP(('Black-Scholes'!$B$8-'Black-Scholes'!$B$10-'Black-Scholes'!$B$9^2/2)*'Black-Scholes'!$B$7-'Black-Scholes'!$B$9*SQRT('Black-Scholes'!$B$7)*B4824)</f>
        <v>122.469172504489</v>
      </c>
      <c r="E4824" s="18" t="n">
        <f aca="false">EXP(-'Black-Scholes'!$B$8*'Black-Scholes'!$B$7)*IF(LOWER('Black-Scholes'!$B$11)="put",MAX('Black-Scholes'!$B$6-C4824,0),MAX(C4824-'Black-Scholes'!$B$6,0))</f>
        <v>0</v>
      </c>
      <c r="F4824" s="18" t="n">
        <f aca="false">(E4824+G4824)/2</f>
        <v>10.6866690152262</v>
      </c>
      <c r="G4824" s="18" t="n">
        <f aca="false">EXP(-'Black-Scholes'!$B$8*'Black-Scholes'!$B$7)*IF(LOWER('Black-Scholes'!$B$11)="put",MAX('Black-Scholes'!$B$6-D4824,0),MAX(D4824-'Black-Scholes'!$B$6,0))</f>
        <v>21.3733380304525</v>
      </c>
    </row>
    <row r="4825" customFormat="false" ht="15" hidden="false" customHeight="false" outlineLevel="0" collapsed="false">
      <c r="A4825" s="0" t="n">
        <v>4814</v>
      </c>
      <c r="B4825" s="15" t="n">
        <v>-0.679454519312626</v>
      </c>
      <c r="C4825" s="18" t="n">
        <f aca="false">'Black-Scholes'!$B$5*EXP(('Black-Scholes'!$B$8-'Black-Scholes'!$B$10-'Black-Scholes'!$B$9^2/2)*'Black-Scholes'!$B$7+'Black-Scholes'!$B$9*SQRT('Black-Scholes'!$B$7)*B4825)</f>
        <v>89.9522777183635</v>
      </c>
      <c r="D4825" s="18" t="n">
        <f aca="false">'Black-Scholes'!$B$5*EXP(('Black-Scholes'!$B$8-'Black-Scholes'!$B$10-'Black-Scholes'!$B$9^2/2)*'Black-Scholes'!$B$7-'Black-Scholes'!$B$9*SQRT('Black-Scholes'!$B$7)*B4825)</f>
        <v>118.044431278319</v>
      </c>
      <c r="E4825" s="18" t="n">
        <f aca="false">EXP(-'Black-Scholes'!$B$8*'Black-Scholes'!$B$7)*IF(LOWER('Black-Scholes'!$B$11)="put",MAX('Black-Scholes'!$B$6-C4825,0),MAX(C4825-'Black-Scholes'!$B$6,0))</f>
        <v>0</v>
      </c>
      <c r="F4825" s="18" t="n">
        <f aca="false">(E4825+G4825)/2</f>
        <v>8.58219699015889</v>
      </c>
      <c r="G4825" s="18" t="n">
        <f aca="false">EXP(-'Black-Scholes'!$B$8*'Black-Scholes'!$B$7)*IF(LOWER('Black-Scholes'!$B$11)="put",MAX('Black-Scholes'!$B$6-D4825,0),MAX(D4825-'Black-Scholes'!$B$6,0))</f>
        <v>17.1643939803178</v>
      </c>
    </row>
    <row r="4826" customFormat="false" ht="15" hidden="false" customHeight="false" outlineLevel="0" collapsed="false">
      <c r="A4826" s="0" t="n">
        <v>4815</v>
      </c>
      <c r="B4826" s="15" t="n">
        <v>1.40545015584264</v>
      </c>
      <c r="C4826" s="18" t="n">
        <f aca="false">'Black-Scholes'!$B$5*EXP(('Black-Scholes'!$B$8-'Black-Scholes'!$B$10-'Black-Scholes'!$B$9^2/2)*'Black-Scholes'!$B$7+'Black-Scholes'!$B$9*SQRT('Black-Scholes'!$B$7)*B4826)</f>
        <v>136.491210028593</v>
      </c>
      <c r="D4826" s="18" t="n">
        <f aca="false">'Black-Scholes'!$B$5*EXP(('Black-Scholes'!$B$8-'Black-Scholes'!$B$10-'Black-Scholes'!$B$9^2/2)*'Black-Scholes'!$B$7-'Black-Scholes'!$B$9*SQRT('Black-Scholes'!$B$7)*B4826)</f>
        <v>77.7952328448784</v>
      </c>
      <c r="E4826" s="18" t="n">
        <f aca="false">EXP(-'Black-Scholes'!$B$8*'Black-Scholes'!$B$7)*IF(LOWER('Black-Scholes'!$B$11)="put",MAX('Black-Scholes'!$B$6-C4826,0),MAX(C4826-'Black-Scholes'!$B$6,0))</f>
        <v>34.7115127148332</v>
      </c>
      <c r="F4826" s="18" t="n">
        <f aca="false">(E4826+G4826)/2</f>
        <v>17.3557563574166</v>
      </c>
      <c r="G4826" s="18" t="n">
        <f aca="false">EXP(-'Black-Scholes'!$B$8*'Black-Scholes'!$B$7)*IF(LOWER('Black-Scholes'!$B$11)="put",MAX('Black-Scholes'!$B$6-D4826,0),MAX(D4826-'Black-Scholes'!$B$6,0))</f>
        <v>0</v>
      </c>
    </row>
    <row r="4827" customFormat="false" ht="15" hidden="false" customHeight="false" outlineLevel="0" collapsed="false">
      <c r="A4827" s="0" t="n">
        <v>4816</v>
      </c>
      <c r="B4827" s="15" t="n">
        <v>1.68408296228347</v>
      </c>
      <c r="C4827" s="18" t="n">
        <f aca="false">'Black-Scholes'!$B$5*EXP(('Black-Scholes'!$B$8-'Black-Scholes'!$B$10-'Black-Scholes'!$B$9^2/2)*'Black-Scholes'!$B$7+'Black-Scholes'!$B$9*SQRT('Black-Scholes'!$B$7)*B4827)</f>
        <v>144.313321332408</v>
      </c>
      <c r="D4827" s="18" t="n">
        <f aca="false">'Black-Scholes'!$B$5*EXP(('Black-Scholes'!$B$8-'Black-Scholes'!$B$10-'Black-Scholes'!$B$9^2/2)*'Black-Scholes'!$B$7-'Black-Scholes'!$B$9*SQRT('Black-Scholes'!$B$7)*B4827)</f>
        <v>73.5785537150481</v>
      </c>
      <c r="E4827" s="18" t="n">
        <f aca="false">EXP(-'Black-Scholes'!$B$8*'Black-Scholes'!$B$7)*IF(LOWER('Black-Scholes'!$B$11)="put",MAX('Black-Scholes'!$B$6-C4827,0),MAX(C4827-'Black-Scholes'!$B$6,0))</f>
        <v>42.1521351487419</v>
      </c>
      <c r="F4827" s="18" t="n">
        <f aca="false">(E4827+G4827)/2</f>
        <v>21.0760675743709</v>
      </c>
      <c r="G4827" s="18" t="n">
        <f aca="false">EXP(-'Black-Scholes'!$B$8*'Black-Scholes'!$B$7)*IF(LOWER('Black-Scholes'!$B$11)="put",MAX('Black-Scholes'!$B$6-D4827,0),MAX(D4827-'Black-Scholes'!$B$6,0))</f>
        <v>0</v>
      </c>
    </row>
    <row r="4828" customFormat="false" ht="15" hidden="false" customHeight="false" outlineLevel="0" collapsed="false">
      <c r="A4828" s="0" t="n">
        <v>4817</v>
      </c>
      <c r="B4828" s="15" t="n">
        <v>0.391434586779875</v>
      </c>
      <c r="C4828" s="18" t="n">
        <f aca="false">'Black-Scholes'!$B$5*EXP(('Black-Scholes'!$B$8-'Black-Scholes'!$B$10-'Black-Scholes'!$B$9^2/2)*'Black-Scholes'!$B$7+'Black-Scholes'!$B$9*SQRT('Black-Scholes'!$B$7)*B4828)</f>
        <v>111.436743087947</v>
      </c>
      <c r="D4828" s="18" t="n">
        <f aca="false">'Black-Scholes'!$B$5*EXP(('Black-Scholes'!$B$8-'Black-Scholes'!$B$10-'Black-Scholes'!$B$9^2/2)*'Black-Scholes'!$B$7-'Black-Scholes'!$B$9*SQRT('Black-Scholes'!$B$7)*B4828)</f>
        <v>95.2860355679409</v>
      </c>
      <c r="E4828" s="18" t="n">
        <f aca="false">EXP(-'Black-Scholes'!$B$8*'Black-Scholes'!$B$7)*IF(LOWER('Black-Scholes'!$B$11)="put",MAX('Black-Scholes'!$B$6-C4828,0),MAX(C4828-'Black-Scholes'!$B$6,0))</f>
        <v>10.8789665457102</v>
      </c>
      <c r="F4828" s="18" t="n">
        <f aca="false">(E4828+G4828)/2</f>
        <v>5.43948327285512</v>
      </c>
      <c r="G4828" s="18" t="n">
        <f aca="false">EXP(-'Black-Scholes'!$B$8*'Black-Scholes'!$B$7)*IF(LOWER('Black-Scholes'!$B$11)="put",MAX('Black-Scholes'!$B$6-D4828,0),MAX(D4828-'Black-Scholes'!$B$6,0))</f>
        <v>0</v>
      </c>
    </row>
    <row r="4829" customFormat="false" ht="15" hidden="false" customHeight="false" outlineLevel="0" collapsed="false">
      <c r="A4829" s="0" t="n">
        <v>4818</v>
      </c>
      <c r="B4829" s="15" t="n">
        <v>-0.760107264835022</v>
      </c>
      <c r="C4829" s="18" t="n">
        <f aca="false">'Black-Scholes'!$B$5*EXP(('Black-Scholes'!$B$8-'Black-Scholes'!$B$10-'Black-Scholes'!$B$9^2/2)*'Black-Scholes'!$B$7+'Black-Scholes'!$B$9*SQRT('Black-Scholes'!$B$7)*B4829)</f>
        <v>88.5129379647568</v>
      </c>
      <c r="D4829" s="18" t="n">
        <f aca="false">'Black-Scholes'!$B$5*EXP(('Black-Scholes'!$B$8-'Black-Scholes'!$B$10-'Black-Scholes'!$B$9^2/2)*'Black-Scholes'!$B$7-'Black-Scholes'!$B$9*SQRT('Black-Scholes'!$B$7)*B4829)</f>
        <v>119.963992943964</v>
      </c>
      <c r="E4829" s="18" t="n">
        <f aca="false">EXP(-'Black-Scholes'!$B$8*'Black-Scholes'!$B$7)*IF(LOWER('Black-Scholes'!$B$11)="put",MAX('Black-Scholes'!$B$6-C4829,0),MAX(C4829-'Black-Scholes'!$B$6,0))</f>
        <v>0</v>
      </c>
      <c r="F4829" s="18" t="n">
        <f aca="false">(E4829+G4829)/2</f>
        <v>9.49516875941154</v>
      </c>
      <c r="G4829" s="18" t="n">
        <f aca="false">EXP(-'Black-Scholes'!$B$8*'Black-Scholes'!$B$7)*IF(LOWER('Black-Scholes'!$B$11)="put",MAX('Black-Scholes'!$B$6-D4829,0),MAX(D4829-'Black-Scholes'!$B$6,0))</f>
        <v>18.9903375188231</v>
      </c>
    </row>
    <row r="4830" customFormat="false" ht="15" hidden="false" customHeight="false" outlineLevel="0" collapsed="false">
      <c r="A4830" s="0" t="n">
        <v>4819</v>
      </c>
      <c r="B4830" s="15" t="n">
        <v>1.53358412092267</v>
      </c>
      <c r="C4830" s="18" t="n">
        <f aca="false">'Black-Scholes'!$B$5*EXP(('Black-Scholes'!$B$8-'Black-Scholes'!$B$10-'Black-Scholes'!$B$9^2/2)*'Black-Scholes'!$B$7+'Black-Scholes'!$B$9*SQRT('Black-Scholes'!$B$7)*B4830)</f>
        <v>140.034246446822</v>
      </c>
      <c r="D4830" s="18" t="n">
        <f aca="false">'Black-Scholes'!$B$5*EXP(('Black-Scholes'!$B$8-'Black-Scholes'!$B$10-'Black-Scholes'!$B$9^2/2)*'Black-Scholes'!$B$7-'Black-Scholes'!$B$9*SQRT('Black-Scholes'!$B$7)*B4830)</f>
        <v>75.8269190207407</v>
      </c>
      <c r="E4830" s="18" t="n">
        <f aca="false">EXP(-'Black-Scholes'!$B$8*'Black-Scholes'!$B$7)*IF(LOWER('Black-Scholes'!$B$11)="put",MAX('Black-Scholes'!$B$6-C4830,0),MAX(C4830-'Black-Scholes'!$B$6,0))</f>
        <v>38.08175320793</v>
      </c>
      <c r="F4830" s="18" t="n">
        <f aca="false">(E4830+G4830)/2</f>
        <v>19.040876603965</v>
      </c>
      <c r="G4830" s="18" t="n">
        <f aca="false">EXP(-'Black-Scholes'!$B$8*'Black-Scholes'!$B$7)*IF(LOWER('Black-Scholes'!$B$11)="put",MAX('Black-Scholes'!$B$6-D4830,0),MAX(D4830-'Black-Scholes'!$B$6,0))</f>
        <v>0</v>
      </c>
    </row>
    <row r="4831" customFormat="false" ht="15" hidden="false" customHeight="false" outlineLevel="0" collapsed="false">
      <c r="A4831" s="0" t="n">
        <v>4820</v>
      </c>
      <c r="B4831" s="15" t="n">
        <v>1.70020954572587</v>
      </c>
      <c r="C4831" s="18" t="n">
        <f aca="false">'Black-Scholes'!$B$5*EXP(('Black-Scholes'!$B$8-'Black-Scholes'!$B$10-'Black-Scholes'!$B$9^2/2)*'Black-Scholes'!$B$7+'Black-Scholes'!$B$9*SQRT('Black-Scholes'!$B$7)*B4831)</f>
        <v>144.779528925486</v>
      </c>
      <c r="D4831" s="18" t="n">
        <f aca="false">'Black-Scholes'!$B$5*EXP(('Black-Scholes'!$B$8-'Black-Scholes'!$B$10-'Black-Scholes'!$B$9^2/2)*'Black-Scholes'!$B$7-'Black-Scholes'!$B$9*SQRT('Black-Scholes'!$B$7)*B4831)</f>
        <v>73.3416218733419</v>
      </c>
      <c r="E4831" s="18" t="n">
        <f aca="false">EXP(-'Black-Scholes'!$B$8*'Black-Scholes'!$B$7)*IF(LOWER('Black-Scholes'!$B$11)="put",MAX('Black-Scholes'!$B$6-C4831,0),MAX(C4831-'Black-Scholes'!$B$6,0))</f>
        <v>42.5956055292035</v>
      </c>
      <c r="F4831" s="18" t="n">
        <f aca="false">(E4831+G4831)/2</f>
        <v>21.2978027646018</v>
      </c>
      <c r="G4831" s="18" t="n">
        <f aca="false">EXP(-'Black-Scholes'!$B$8*'Black-Scholes'!$B$7)*IF(LOWER('Black-Scholes'!$B$11)="put",MAX('Black-Scholes'!$B$6-D4831,0),MAX(D4831-'Black-Scholes'!$B$6,0))</f>
        <v>0</v>
      </c>
    </row>
    <row r="4832" customFormat="false" ht="15" hidden="false" customHeight="false" outlineLevel="0" collapsed="false">
      <c r="A4832" s="0" t="n">
        <v>4821</v>
      </c>
      <c r="B4832" s="15" t="n">
        <v>-0.513721066401638</v>
      </c>
      <c r="C4832" s="18" t="n">
        <f aca="false">'Black-Scholes'!$B$5*EXP(('Black-Scholes'!$B$8-'Black-Scholes'!$B$10-'Black-Scholes'!$B$9^2/2)*'Black-Scholes'!$B$7+'Black-Scholes'!$B$9*SQRT('Black-Scholes'!$B$7)*B4832)</f>
        <v>92.9838639985728</v>
      </c>
      <c r="D4832" s="18" t="n">
        <f aca="false">'Black-Scholes'!$B$5*EXP(('Black-Scholes'!$B$8-'Black-Scholes'!$B$10-'Black-Scholes'!$B$9^2/2)*'Black-Scholes'!$B$7-'Black-Scholes'!$B$9*SQRT('Black-Scholes'!$B$7)*B4832)</f>
        <v>114.19578633145</v>
      </c>
      <c r="E4832" s="18" t="n">
        <f aca="false">EXP(-'Black-Scholes'!$B$8*'Black-Scholes'!$B$7)*IF(LOWER('Black-Scholes'!$B$11)="put",MAX('Black-Scholes'!$B$6-C4832,0),MAX(C4832-'Black-Scholes'!$B$6,0))</f>
        <v>0</v>
      </c>
      <c r="F4832" s="18" t="n">
        <f aca="false">(E4832+G4832)/2</f>
        <v>6.75172483119999</v>
      </c>
      <c r="G4832" s="18" t="n">
        <f aca="false">EXP(-'Black-Scholes'!$B$8*'Black-Scholes'!$B$7)*IF(LOWER('Black-Scholes'!$B$11)="put",MAX('Black-Scholes'!$B$6-D4832,0),MAX(D4832-'Black-Scholes'!$B$6,0))</f>
        <v>13.5034496624</v>
      </c>
    </row>
    <row r="4833" customFormat="false" ht="15" hidden="false" customHeight="false" outlineLevel="0" collapsed="false">
      <c r="A4833" s="0" t="n">
        <v>4822</v>
      </c>
      <c r="B4833" s="15" t="n">
        <v>1.29390556419002</v>
      </c>
      <c r="C4833" s="18" t="n">
        <f aca="false">'Black-Scholes'!$B$5*EXP(('Black-Scholes'!$B$8-'Black-Scholes'!$B$10-'Black-Scholes'!$B$9^2/2)*'Black-Scholes'!$B$7+'Black-Scholes'!$B$9*SQRT('Black-Scholes'!$B$7)*B4833)</f>
        <v>133.47995260699</v>
      </c>
      <c r="D4833" s="18" t="n">
        <f aca="false">'Black-Scholes'!$B$5*EXP(('Black-Scholes'!$B$8-'Black-Scholes'!$B$10-'Black-Scholes'!$B$9^2/2)*'Black-Scholes'!$B$7-'Black-Scholes'!$B$9*SQRT('Black-Scholes'!$B$7)*B4833)</f>
        <v>79.5502639764764</v>
      </c>
      <c r="E4833" s="18" t="n">
        <f aca="false">EXP(-'Black-Scholes'!$B$8*'Black-Scholes'!$B$7)*IF(LOWER('Black-Scholes'!$B$11)="put",MAX('Black-Scholes'!$B$6-C4833,0),MAX(C4833-'Black-Scholes'!$B$6,0))</f>
        <v>31.847116050658</v>
      </c>
      <c r="F4833" s="18" t="n">
        <f aca="false">(E4833+G4833)/2</f>
        <v>15.923558025329</v>
      </c>
      <c r="G4833" s="18" t="n">
        <f aca="false">EXP(-'Black-Scholes'!$B$8*'Black-Scholes'!$B$7)*IF(LOWER('Black-Scholes'!$B$11)="put",MAX('Black-Scholes'!$B$6-D4833,0),MAX(D4833-'Black-Scholes'!$B$6,0))</f>
        <v>0</v>
      </c>
    </row>
    <row r="4834" customFormat="false" ht="15" hidden="false" customHeight="false" outlineLevel="0" collapsed="false">
      <c r="A4834" s="0" t="n">
        <v>4823</v>
      </c>
      <c r="B4834" s="15" t="n">
        <v>2.41382858895343</v>
      </c>
      <c r="C4834" s="18" t="n">
        <f aca="false">'Black-Scholes'!$B$5*EXP(('Black-Scholes'!$B$8-'Black-Scholes'!$B$10-'Black-Scholes'!$B$9^2/2)*'Black-Scholes'!$B$7+'Black-Scholes'!$B$9*SQRT('Black-Scholes'!$B$7)*B4834)</f>
        <v>166.990329537462</v>
      </c>
      <c r="D4834" s="18" t="n">
        <f aca="false">'Black-Scholes'!$B$5*EXP(('Black-Scholes'!$B$8-'Black-Scholes'!$B$10-'Black-Scholes'!$B$9^2/2)*'Black-Scholes'!$B$7-'Black-Scholes'!$B$9*SQRT('Black-Scholes'!$B$7)*B4834)</f>
        <v>63.5867088523321</v>
      </c>
      <c r="E4834" s="18" t="n">
        <f aca="false">EXP(-'Black-Scholes'!$B$8*'Black-Scholes'!$B$7)*IF(LOWER('Black-Scholes'!$B$11)="put",MAX('Black-Scholes'!$B$6-C4834,0),MAX(C4834-'Black-Scholes'!$B$6,0))</f>
        <v>63.7231726130334</v>
      </c>
      <c r="F4834" s="18" t="n">
        <f aca="false">(E4834+G4834)/2</f>
        <v>31.8615863065167</v>
      </c>
      <c r="G4834" s="18" t="n">
        <f aca="false">EXP(-'Black-Scholes'!$B$8*'Black-Scholes'!$B$7)*IF(LOWER('Black-Scholes'!$B$11)="put",MAX('Black-Scholes'!$B$6-D4834,0),MAX(D4834-'Black-Scholes'!$B$6,0))</f>
        <v>0</v>
      </c>
    </row>
    <row r="4835" customFormat="false" ht="15" hidden="false" customHeight="false" outlineLevel="0" collapsed="false">
      <c r="A4835" s="0" t="n">
        <v>4824</v>
      </c>
      <c r="B4835" s="15" t="n">
        <v>-0.385213265887926</v>
      </c>
      <c r="C4835" s="18" t="n">
        <f aca="false">'Black-Scholes'!$B$5*EXP(('Black-Scholes'!$B$8-'Black-Scholes'!$B$10-'Black-Scholes'!$B$9^2/2)*'Black-Scholes'!$B$7+'Black-Scholes'!$B$9*SQRT('Black-Scholes'!$B$7)*B4835)</f>
        <v>95.404670359904</v>
      </c>
      <c r="D4835" s="18" t="n">
        <f aca="false">'Black-Scholes'!$B$5*EXP(('Black-Scholes'!$B$8-'Black-Scholes'!$B$10-'Black-Scholes'!$B$9^2/2)*'Black-Scholes'!$B$7-'Black-Scholes'!$B$9*SQRT('Black-Scholes'!$B$7)*B4835)</f>
        <v>111.298172567411</v>
      </c>
      <c r="E4835" s="18" t="n">
        <f aca="false">EXP(-'Black-Scholes'!$B$8*'Black-Scholes'!$B$7)*IF(LOWER('Black-Scholes'!$B$11)="put",MAX('Black-Scholes'!$B$6-C4835,0),MAX(C4835-'Black-Scholes'!$B$6,0))</f>
        <v>0</v>
      </c>
      <c r="F4835" s="18" t="n">
        <f aca="false">(E4835+G4835)/2</f>
        <v>5.37357709460426</v>
      </c>
      <c r="G4835" s="18" t="n">
        <f aca="false">EXP(-'Black-Scholes'!$B$8*'Black-Scholes'!$B$7)*IF(LOWER('Black-Scholes'!$B$11)="put",MAX('Black-Scholes'!$B$6-D4835,0),MAX(D4835-'Black-Scholes'!$B$6,0))</f>
        <v>10.7471541892085</v>
      </c>
    </row>
    <row r="4836" customFormat="false" ht="15" hidden="false" customHeight="false" outlineLevel="0" collapsed="false">
      <c r="A4836" s="0" t="n">
        <v>4825</v>
      </c>
      <c r="B4836" s="15" t="n">
        <v>0.208286114344502</v>
      </c>
      <c r="C4836" s="18" t="n">
        <f aca="false">'Black-Scholes'!$B$5*EXP(('Black-Scholes'!$B$8-'Black-Scholes'!$B$10-'Black-Scholes'!$B$9^2/2)*'Black-Scholes'!$B$7+'Black-Scholes'!$B$9*SQRT('Black-Scholes'!$B$7)*B4836)</f>
        <v>107.428703991478</v>
      </c>
      <c r="D4836" s="18" t="n">
        <f aca="false">'Black-Scholes'!$B$5*EXP(('Black-Scholes'!$B$8-'Black-Scholes'!$B$10-'Black-Scholes'!$B$9^2/2)*'Black-Scholes'!$B$7-'Black-Scholes'!$B$9*SQRT('Black-Scholes'!$B$7)*B4836)</f>
        <v>98.8410459302936</v>
      </c>
      <c r="E4836" s="18" t="n">
        <f aca="false">EXP(-'Black-Scholes'!$B$8*'Black-Scholes'!$B$7)*IF(LOWER('Black-Scholes'!$B$11)="put",MAX('Black-Scholes'!$B$6-C4836,0),MAX(C4836-'Black-Scholes'!$B$6,0))</f>
        <v>7.06640182259983</v>
      </c>
      <c r="F4836" s="18" t="n">
        <f aca="false">(E4836+G4836)/2</f>
        <v>3.53320091129992</v>
      </c>
      <c r="G4836" s="18" t="n">
        <f aca="false">EXP(-'Black-Scholes'!$B$8*'Black-Scholes'!$B$7)*IF(LOWER('Black-Scholes'!$B$11)="put",MAX('Black-Scholes'!$B$6-D4836,0),MAX(D4836-'Black-Scholes'!$B$6,0))</f>
        <v>0</v>
      </c>
    </row>
    <row r="4837" customFormat="false" ht="15" hidden="false" customHeight="false" outlineLevel="0" collapsed="false">
      <c r="A4837" s="0" t="n">
        <v>4826</v>
      </c>
      <c r="B4837" s="15" t="n">
        <v>0.426292402982635</v>
      </c>
      <c r="C4837" s="18" t="n">
        <f aca="false">'Black-Scholes'!$B$5*EXP(('Black-Scholes'!$B$8-'Black-Scholes'!$B$10-'Black-Scholes'!$B$9^2/2)*'Black-Scholes'!$B$7+'Black-Scholes'!$B$9*SQRT('Black-Scholes'!$B$7)*B4837)</f>
        <v>112.216345756797</v>
      </c>
      <c r="D4837" s="18" t="n">
        <f aca="false">'Black-Scholes'!$B$5*EXP(('Black-Scholes'!$B$8-'Black-Scholes'!$B$10-'Black-Scholes'!$B$9^2/2)*'Black-Scholes'!$B$7-'Black-Scholes'!$B$9*SQRT('Black-Scholes'!$B$7)*B4837)</f>
        <v>94.6240531523499</v>
      </c>
      <c r="E4837" s="18" t="n">
        <f aca="false">EXP(-'Black-Scholes'!$B$8*'Black-Scholes'!$B$7)*IF(LOWER('Black-Scholes'!$B$11)="put",MAX('Black-Scholes'!$B$6-C4837,0),MAX(C4837-'Black-Scholes'!$B$6,0))</f>
        <v>11.6205475437394</v>
      </c>
      <c r="F4837" s="18" t="n">
        <f aca="false">(E4837+G4837)/2</f>
        <v>5.81027377186968</v>
      </c>
      <c r="G4837" s="18" t="n">
        <f aca="false">EXP(-'Black-Scholes'!$B$8*'Black-Scholes'!$B$7)*IF(LOWER('Black-Scholes'!$B$11)="put",MAX('Black-Scholes'!$B$6-D4837,0),MAX(D4837-'Black-Scholes'!$B$6,0))</f>
        <v>0</v>
      </c>
    </row>
    <row r="4838" customFormat="false" ht="15" hidden="false" customHeight="false" outlineLevel="0" collapsed="false">
      <c r="A4838" s="0" t="n">
        <v>4827</v>
      </c>
      <c r="B4838" s="15" t="n">
        <v>1.19871553025857</v>
      </c>
      <c r="C4838" s="18" t="n">
        <f aca="false">'Black-Scholes'!$B$5*EXP(('Black-Scholes'!$B$8-'Black-Scholes'!$B$10-'Black-Scholes'!$B$9^2/2)*'Black-Scholes'!$B$7+'Black-Scholes'!$B$9*SQRT('Black-Scholes'!$B$7)*B4838)</f>
        <v>130.962797201491</v>
      </c>
      <c r="D4838" s="18" t="n">
        <f aca="false">'Black-Scholes'!$B$5*EXP(('Black-Scholes'!$B$8-'Black-Scholes'!$B$10-'Black-Scholes'!$B$9^2/2)*'Black-Scholes'!$B$7-'Black-Scholes'!$B$9*SQRT('Black-Scholes'!$B$7)*B4838)</f>
        <v>81.0792506906894</v>
      </c>
      <c r="E4838" s="18" t="n">
        <f aca="false">EXP(-'Black-Scholes'!$B$8*'Black-Scholes'!$B$7)*IF(LOWER('Black-Scholes'!$B$11)="put",MAX('Black-Scholes'!$B$6-C4838,0),MAX(C4838-'Black-Scholes'!$B$6,0))</f>
        <v>29.4527237629065</v>
      </c>
      <c r="F4838" s="18" t="n">
        <f aca="false">(E4838+G4838)/2</f>
        <v>14.7263618814532</v>
      </c>
      <c r="G4838" s="18" t="n">
        <f aca="false">EXP(-'Black-Scholes'!$B$8*'Black-Scholes'!$B$7)*IF(LOWER('Black-Scholes'!$B$11)="put",MAX('Black-Scholes'!$B$6-D4838,0),MAX(D4838-'Black-Scholes'!$B$6,0))</f>
        <v>0</v>
      </c>
    </row>
    <row r="4839" customFormat="false" ht="15" hidden="false" customHeight="false" outlineLevel="0" collapsed="false">
      <c r="A4839" s="0" t="n">
        <v>4828</v>
      </c>
      <c r="B4839" s="15" t="n">
        <v>1.19167034401139</v>
      </c>
      <c r="C4839" s="18" t="n">
        <f aca="false">'Black-Scholes'!$B$5*EXP(('Black-Scholes'!$B$8-'Black-Scholes'!$B$10-'Black-Scholes'!$B$9^2/2)*'Black-Scholes'!$B$7+'Black-Scholes'!$B$9*SQRT('Black-Scholes'!$B$7)*B4839)</f>
        <v>130.778395686754</v>
      </c>
      <c r="D4839" s="18" t="n">
        <f aca="false">'Black-Scholes'!$B$5*EXP(('Black-Scholes'!$B$8-'Black-Scholes'!$B$10-'Black-Scholes'!$B$9^2/2)*'Black-Scholes'!$B$7-'Black-Scholes'!$B$9*SQRT('Black-Scholes'!$B$7)*B4839)</f>
        <v>81.1935748996888</v>
      </c>
      <c r="E4839" s="18" t="n">
        <f aca="false">EXP(-'Black-Scholes'!$B$8*'Black-Scholes'!$B$7)*IF(LOWER('Black-Scholes'!$B$11)="put",MAX('Black-Scholes'!$B$6-C4839,0),MAX(C4839-'Black-Scholes'!$B$6,0))</f>
        <v>29.2773156161663</v>
      </c>
      <c r="F4839" s="18" t="n">
        <f aca="false">(E4839+G4839)/2</f>
        <v>14.6386578080831</v>
      </c>
      <c r="G4839" s="18" t="n">
        <f aca="false">EXP(-'Black-Scholes'!$B$8*'Black-Scholes'!$B$7)*IF(LOWER('Black-Scholes'!$B$11)="put",MAX('Black-Scholes'!$B$6-D4839,0),MAX(D4839-'Black-Scholes'!$B$6,0))</f>
        <v>0</v>
      </c>
    </row>
    <row r="4840" customFormat="false" ht="15" hidden="false" customHeight="false" outlineLevel="0" collapsed="false">
      <c r="A4840" s="0" t="n">
        <v>4829</v>
      </c>
      <c r="B4840" s="15" t="n">
        <v>-1.55615418378653</v>
      </c>
      <c r="C4840" s="18" t="n">
        <f aca="false">'Black-Scholes'!$B$5*EXP(('Black-Scholes'!$B$8-'Black-Scholes'!$B$10-'Black-Scholes'!$B$9^2/2)*'Black-Scholes'!$B$7+'Black-Scholes'!$B$9*SQRT('Black-Scholes'!$B$7)*B4840)</f>
        <v>75.4854067302097</v>
      </c>
      <c r="D4840" s="18" t="n">
        <f aca="false">'Black-Scholes'!$B$5*EXP(('Black-Scholes'!$B$8-'Black-Scholes'!$B$10-'Black-Scholes'!$B$9^2/2)*'Black-Scholes'!$B$7-'Black-Scholes'!$B$9*SQRT('Black-Scholes'!$B$7)*B4840)</f>
        <v>140.667791635599</v>
      </c>
      <c r="E4840" s="18" t="n">
        <f aca="false">EXP(-'Black-Scholes'!$B$8*'Black-Scholes'!$B$7)*IF(LOWER('Black-Scholes'!$B$11)="put",MAX('Black-Scholes'!$B$6-C4840,0),MAX(C4840-'Black-Scholes'!$B$6,0))</f>
        <v>0</v>
      </c>
      <c r="F4840" s="18" t="n">
        <f aca="false">(E4840+G4840)/2</f>
        <v>19.342200016623</v>
      </c>
      <c r="G4840" s="18" t="n">
        <f aca="false">EXP(-'Black-Scholes'!$B$8*'Black-Scholes'!$B$7)*IF(LOWER('Black-Scholes'!$B$11)="put",MAX('Black-Scholes'!$B$6-D4840,0),MAX(D4840-'Black-Scholes'!$B$6,0))</f>
        <v>38.6844000332461</v>
      </c>
    </row>
    <row r="4841" customFormat="false" ht="15" hidden="false" customHeight="false" outlineLevel="0" collapsed="false">
      <c r="A4841" s="0" t="n">
        <v>4830</v>
      </c>
      <c r="B4841" s="15" t="n">
        <v>0.0469860527932322</v>
      </c>
      <c r="C4841" s="18" t="n">
        <f aca="false">'Black-Scholes'!$B$5*EXP(('Black-Scholes'!$B$8-'Black-Scholes'!$B$10-'Black-Scholes'!$B$9^2/2)*'Black-Scholes'!$B$7+'Black-Scholes'!$B$9*SQRT('Black-Scholes'!$B$7)*B4841)</f>
        <v>104.018357350123</v>
      </c>
      <c r="D4841" s="18" t="n">
        <f aca="false">'Black-Scholes'!$B$5*EXP(('Black-Scholes'!$B$8-'Black-Scholes'!$B$10-'Black-Scholes'!$B$9^2/2)*'Black-Scholes'!$B$7-'Black-Scholes'!$B$9*SQRT('Black-Scholes'!$B$7)*B4841)</f>
        <v>102.081649200751</v>
      </c>
      <c r="E4841" s="18" t="n">
        <f aca="false">EXP(-'Black-Scholes'!$B$8*'Black-Scholes'!$B$7)*IF(LOWER('Black-Scholes'!$B$11)="put",MAX('Black-Scholes'!$B$6-C4841,0),MAX(C4841-'Black-Scholes'!$B$6,0))</f>
        <v>3.82237974959539</v>
      </c>
      <c r="F4841" s="18" t="n">
        <f aca="false">(E4841+G4841)/2</f>
        <v>2.90125286041914</v>
      </c>
      <c r="G4841" s="18" t="n">
        <f aca="false">EXP(-'Black-Scholes'!$B$8*'Black-Scholes'!$B$7)*IF(LOWER('Black-Scholes'!$B$11)="put",MAX('Black-Scholes'!$B$6-D4841,0),MAX(D4841-'Black-Scholes'!$B$6,0))</f>
        <v>1.9801259712429</v>
      </c>
    </row>
    <row r="4842" customFormat="false" ht="15" hidden="false" customHeight="false" outlineLevel="0" collapsed="false">
      <c r="A4842" s="0" t="n">
        <v>4831</v>
      </c>
      <c r="B4842" s="15" t="n">
        <v>-1.93894523510876</v>
      </c>
      <c r="C4842" s="18" t="n">
        <f aca="false">'Black-Scholes'!$B$5*EXP(('Black-Scholes'!$B$8-'Black-Scholes'!$B$10-'Black-Scholes'!$B$9^2/2)*'Black-Scholes'!$B$7+'Black-Scholes'!$B$9*SQRT('Black-Scholes'!$B$7)*B4842)</f>
        <v>69.9220562109587</v>
      </c>
      <c r="D4842" s="18" t="n">
        <f aca="false">'Black-Scholes'!$B$5*EXP(('Black-Scholes'!$B$8-'Black-Scholes'!$B$10-'Black-Scholes'!$B$9^2/2)*'Black-Scholes'!$B$7-'Black-Scholes'!$B$9*SQRT('Black-Scholes'!$B$7)*B4842)</f>
        <v>151.860028735674</v>
      </c>
      <c r="E4842" s="18" t="n">
        <f aca="false">EXP(-'Black-Scholes'!$B$8*'Black-Scholes'!$B$7)*IF(LOWER('Black-Scholes'!$B$11)="put",MAX('Black-Scholes'!$B$6-C4842,0),MAX(C4842-'Black-Scholes'!$B$6,0))</f>
        <v>0</v>
      </c>
      <c r="F4842" s="18" t="n">
        <f aca="false">(E4842+G4842)/2</f>
        <v>24.6653926444128</v>
      </c>
      <c r="G4842" s="18" t="n">
        <f aca="false">EXP(-'Black-Scholes'!$B$8*'Black-Scholes'!$B$7)*IF(LOWER('Black-Scholes'!$B$11)="put",MAX('Black-Scholes'!$B$6-D4842,0),MAX(D4842-'Black-Scholes'!$B$6,0))</f>
        <v>49.3307852888257</v>
      </c>
    </row>
    <row r="4843" customFormat="false" ht="15" hidden="false" customHeight="false" outlineLevel="0" collapsed="false">
      <c r="A4843" s="0" t="n">
        <v>4832</v>
      </c>
      <c r="B4843" s="15" t="n">
        <v>-1.67356864346347</v>
      </c>
      <c r="C4843" s="18" t="n">
        <f aca="false">'Black-Scholes'!$B$5*EXP(('Black-Scholes'!$B$8-'Black-Scholes'!$B$10-'Black-Scholes'!$B$9^2/2)*'Black-Scholes'!$B$7+'Black-Scholes'!$B$9*SQRT('Black-Scholes'!$B$7)*B4843)</f>
        <v>73.7334421870639</v>
      </c>
      <c r="D4843" s="18" t="n">
        <f aca="false">'Black-Scholes'!$B$5*EXP(('Black-Scholes'!$B$8-'Black-Scholes'!$B$10-'Black-Scholes'!$B$9^2/2)*'Black-Scholes'!$B$7-'Black-Scholes'!$B$9*SQRT('Black-Scholes'!$B$7)*B4843)</f>
        <v>144.010168934125</v>
      </c>
      <c r="E4843" s="18" t="n">
        <f aca="false">EXP(-'Black-Scholes'!$B$8*'Black-Scholes'!$B$7)*IF(LOWER('Black-Scholes'!$B$11)="put",MAX('Black-Scholes'!$B$6-C4843,0),MAX(C4843-'Black-Scholes'!$B$6,0))</f>
        <v>0</v>
      </c>
      <c r="F4843" s="18" t="n">
        <f aca="false">(E4843+G4843)/2</f>
        <v>20.9318838336934</v>
      </c>
      <c r="G4843" s="18" t="n">
        <f aca="false">EXP(-'Black-Scholes'!$B$8*'Black-Scholes'!$B$7)*IF(LOWER('Black-Scholes'!$B$11)="put",MAX('Black-Scholes'!$B$6-D4843,0),MAX(D4843-'Black-Scholes'!$B$6,0))</f>
        <v>41.8637676673868</v>
      </c>
    </row>
    <row r="4844" customFormat="false" ht="15" hidden="false" customHeight="false" outlineLevel="0" collapsed="false">
      <c r="A4844" s="0" t="n">
        <v>4833</v>
      </c>
      <c r="B4844" s="15" t="n">
        <v>-0.371847992524157</v>
      </c>
      <c r="C4844" s="18" t="n">
        <f aca="false">'Black-Scholes'!$B$5*EXP(('Black-Scholes'!$B$8-'Black-Scholes'!$B$10-'Black-Scholes'!$B$9^2/2)*'Black-Scholes'!$B$7+'Black-Scholes'!$B$9*SQRT('Black-Scholes'!$B$7)*B4844)</f>
        <v>95.6600334074537</v>
      </c>
      <c r="D4844" s="18" t="n">
        <f aca="false">'Black-Scholes'!$B$5*EXP(('Black-Scholes'!$B$8-'Black-Scholes'!$B$10-'Black-Scholes'!$B$9^2/2)*'Black-Scholes'!$B$7-'Black-Scholes'!$B$9*SQRT('Black-Scholes'!$B$7)*B4844)</f>
        <v>111.001063738142</v>
      </c>
      <c r="E4844" s="18" t="n">
        <f aca="false">EXP(-'Black-Scholes'!$B$8*'Black-Scholes'!$B$7)*IF(LOWER('Black-Scholes'!$B$11)="put",MAX('Black-Scholes'!$B$6-C4844,0),MAX(C4844-'Black-Scholes'!$B$6,0))</f>
        <v>0</v>
      </c>
      <c r="F4844" s="18" t="n">
        <f aca="false">(E4844+G4844)/2</f>
        <v>5.23226776426439</v>
      </c>
      <c r="G4844" s="18" t="n">
        <f aca="false">EXP(-'Black-Scholes'!$B$8*'Black-Scholes'!$B$7)*IF(LOWER('Black-Scholes'!$B$11)="put",MAX('Black-Scholes'!$B$6-D4844,0),MAX(D4844-'Black-Scholes'!$B$6,0))</f>
        <v>10.4645355285288</v>
      </c>
    </row>
    <row r="4845" customFormat="false" ht="15" hidden="false" customHeight="false" outlineLevel="0" collapsed="false">
      <c r="A4845" s="0" t="n">
        <v>4834</v>
      </c>
      <c r="B4845" s="15" t="n">
        <v>0.0566081271126486</v>
      </c>
      <c r="C4845" s="18" t="n">
        <f aca="false">'Black-Scholes'!$B$5*EXP(('Black-Scholes'!$B$8-'Black-Scholes'!$B$10-'Black-Scholes'!$B$9^2/2)*'Black-Scholes'!$B$7+'Black-Scholes'!$B$9*SQRT('Black-Scholes'!$B$7)*B4845)</f>
        <v>104.218724556102</v>
      </c>
      <c r="D4845" s="18" t="n">
        <f aca="false">'Black-Scholes'!$B$5*EXP(('Black-Scholes'!$B$8-'Black-Scholes'!$B$10-'Black-Scholes'!$B$9^2/2)*'Black-Scholes'!$B$7-'Black-Scholes'!$B$9*SQRT('Black-Scholes'!$B$7)*B4845)</f>
        <v>101.885390659695</v>
      </c>
      <c r="E4845" s="18" t="n">
        <f aca="false">EXP(-'Black-Scholes'!$B$8*'Black-Scholes'!$B$7)*IF(LOWER('Black-Scholes'!$B$11)="put",MAX('Black-Scholes'!$B$6-C4845,0),MAX(C4845-'Black-Scholes'!$B$6,0))</f>
        <v>4.01297493162837</v>
      </c>
      <c r="F4845" s="18" t="n">
        <f aca="false">(E4845+G4845)/2</f>
        <v>2.9032070019043</v>
      </c>
      <c r="G4845" s="18" t="n">
        <f aca="false">EXP(-'Black-Scholes'!$B$8*'Black-Scholes'!$B$7)*IF(LOWER('Black-Scholes'!$B$11)="put",MAX('Black-Scholes'!$B$6-D4845,0),MAX(D4845-'Black-Scholes'!$B$6,0))</f>
        <v>1.79343907218023</v>
      </c>
    </row>
    <row r="4846" customFormat="false" ht="15" hidden="false" customHeight="false" outlineLevel="0" collapsed="false">
      <c r="A4846" s="0" t="n">
        <v>4835</v>
      </c>
      <c r="B4846" s="15" t="n">
        <v>-0.147550116535724</v>
      </c>
      <c r="C4846" s="18" t="n">
        <f aca="false">'Black-Scholes'!$B$5*EXP(('Black-Scholes'!$B$8-'Black-Scholes'!$B$10-'Black-Scholes'!$B$9^2/2)*'Black-Scholes'!$B$7+'Black-Scholes'!$B$9*SQRT('Black-Scholes'!$B$7)*B4846)</f>
        <v>100.049009675104</v>
      </c>
      <c r="D4846" s="18" t="n">
        <f aca="false">'Black-Scholes'!$B$5*EXP(('Black-Scholes'!$B$8-'Black-Scholes'!$B$10-'Black-Scholes'!$B$9^2/2)*'Black-Scholes'!$B$7-'Black-Scholes'!$B$9*SQRT('Black-Scholes'!$B$7)*B4846)</f>
        <v>106.131639882647</v>
      </c>
      <c r="E4846" s="18" t="n">
        <f aca="false">EXP(-'Black-Scholes'!$B$8*'Black-Scholes'!$B$7)*IF(LOWER('Black-Scholes'!$B$11)="put",MAX('Black-Scholes'!$B$6-C4846,0),MAX(C4846-'Black-Scholes'!$B$6,0))</f>
        <v>0.0466194450443909</v>
      </c>
      <c r="F4846" s="18" t="n">
        <f aca="false">(E4846+G4846)/2</f>
        <v>2.93960786092999</v>
      </c>
      <c r="G4846" s="18" t="n">
        <f aca="false">EXP(-'Black-Scholes'!$B$8*'Black-Scholes'!$B$7)*IF(LOWER('Black-Scholes'!$B$11)="put",MAX('Black-Scholes'!$B$6-D4846,0),MAX(D4846-'Black-Scholes'!$B$6,0))</f>
        <v>5.83259627681559</v>
      </c>
    </row>
    <row r="4847" customFormat="false" ht="15" hidden="false" customHeight="false" outlineLevel="0" collapsed="false">
      <c r="A4847" s="0" t="n">
        <v>4836</v>
      </c>
      <c r="B4847" s="15" t="n">
        <v>-0.410569501596535</v>
      </c>
      <c r="C4847" s="18" t="n">
        <f aca="false">'Black-Scholes'!$B$5*EXP(('Black-Scholes'!$B$8-'Black-Scholes'!$B$10-'Black-Scholes'!$B$9^2/2)*'Black-Scholes'!$B$7+'Black-Scholes'!$B$9*SQRT('Black-Scholes'!$B$7)*B4847)</f>
        <v>94.9220744139551</v>
      </c>
      <c r="D4847" s="18" t="n">
        <f aca="false">'Black-Scholes'!$B$5*EXP(('Black-Scholes'!$B$8-'Black-Scholes'!$B$10-'Black-Scholes'!$B$9^2/2)*'Black-Scholes'!$B$7-'Black-Scholes'!$B$9*SQRT('Black-Scholes'!$B$7)*B4847)</f>
        <v>111.864026687269</v>
      </c>
      <c r="E4847" s="18" t="n">
        <f aca="false">EXP(-'Black-Scholes'!$B$8*'Black-Scholes'!$B$7)*IF(LOWER('Black-Scholes'!$B$11)="put",MAX('Black-Scholes'!$B$6-C4847,0),MAX(C4847-'Black-Scholes'!$B$6,0))</f>
        <v>0</v>
      </c>
      <c r="F4847" s="18" t="n">
        <f aca="false">(E4847+G4847)/2</f>
        <v>5.64270563899595</v>
      </c>
      <c r="G4847" s="18" t="n">
        <f aca="false">EXP(-'Black-Scholes'!$B$8*'Black-Scholes'!$B$7)*IF(LOWER('Black-Scholes'!$B$11)="put",MAX('Black-Scholes'!$B$6-D4847,0),MAX(D4847-'Black-Scholes'!$B$6,0))</f>
        <v>11.2854112779919</v>
      </c>
    </row>
    <row r="4848" customFormat="false" ht="15" hidden="false" customHeight="false" outlineLevel="0" collapsed="false">
      <c r="A4848" s="0" t="n">
        <v>4837</v>
      </c>
      <c r="B4848" s="15" t="n">
        <v>-0.0189478708894819</v>
      </c>
      <c r="C4848" s="18" t="n">
        <f aca="false">'Black-Scholes'!$B$5*EXP(('Black-Scholes'!$B$8-'Black-Scholes'!$B$10-'Black-Scholes'!$B$9^2/2)*'Black-Scholes'!$B$7+'Black-Scholes'!$B$9*SQRT('Black-Scholes'!$B$7)*B4848)</f>
        <v>102.655693983557</v>
      </c>
      <c r="D4848" s="18" t="n">
        <f aca="false">'Black-Scholes'!$B$5*EXP(('Black-Scholes'!$B$8-'Black-Scholes'!$B$10-'Black-Scholes'!$B$9^2/2)*'Black-Scholes'!$B$7-'Black-Scholes'!$B$9*SQRT('Black-Scholes'!$B$7)*B4848)</f>
        <v>103.43669263153</v>
      </c>
      <c r="E4848" s="18" t="n">
        <f aca="false">EXP(-'Black-Scholes'!$B$8*'Black-Scholes'!$B$7)*IF(LOWER('Black-Scholes'!$B$11)="put",MAX('Black-Scholes'!$B$6-C4848,0),MAX(C4848-'Black-Scholes'!$B$6,0))</f>
        <v>2.52617425962858</v>
      </c>
      <c r="F4848" s="18" t="n">
        <f aca="false">(E4848+G4848)/2</f>
        <v>2.89762870685258</v>
      </c>
      <c r="G4848" s="18" t="n">
        <f aca="false">EXP(-'Black-Scholes'!$B$8*'Black-Scholes'!$B$7)*IF(LOWER('Black-Scholes'!$B$11)="put",MAX('Black-Scholes'!$B$6-D4848,0),MAX(D4848-'Black-Scholes'!$B$6,0))</f>
        <v>3.26908315407657</v>
      </c>
    </row>
    <row r="4849" customFormat="false" ht="15" hidden="false" customHeight="false" outlineLevel="0" collapsed="false">
      <c r="A4849" s="0" t="n">
        <v>4838</v>
      </c>
      <c r="B4849" s="15" t="n">
        <v>-1.40372742255601</v>
      </c>
      <c r="C4849" s="18" t="n">
        <f aca="false">'Black-Scholes'!$B$5*EXP(('Black-Scholes'!$B$8-'Black-Scholes'!$B$10-'Black-Scholes'!$B$9^2/2)*'Black-Scholes'!$B$7+'Black-Scholes'!$B$9*SQRT('Black-Scholes'!$B$7)*B4849)</f>
        <v>77.8220415504707</v>
      </c>
      <c r="D4849" s="18" t="n">
        <f aca="false">'Black-Scholes'!$B$5*EXP(('Black-Scholes'!$B$8-'Black-Scholes'!$B$10-'Black-Scholes'!$B$9^2/2)*'Black-Scholes'!$B$7-'Black-Scholes'!$B$9*SQRT('Black-Scholes'!$B$7)*B4849)</f>
        <v>136.444190539092</v>
      </c>
      <c r="E4849" s="18" t="n">
        <f aca="false">EXP(-'Black-Scholes'!$B$8*'Black-Scholes'!$B$7)*IF(LOWER('Black-Scholes'!$B$11)="put",MAX('Black-Scholes'!$B$6-C4849,0),MAX(C4849-'Black-Scholes'!$B$6,0))</f>
        <v>0</v>
      </c>
      <c r="F4849" s="18" t="n">
        <f aca="false">(E4849+G4849)/2</f>
        <v>17.3333931964476</v>
      </c>
      <c r="G4849" s="18" t="n">
        <f aca="false">EXP(-'Black-Scholes'!$B$8*'Black-Scholes'!$B$7)*IF(LOWER('Black-Scholes'!$B$11)="put",MAX('Black-Scholes'!$B$6-D4849,0),MAX(D4849-'Black-Scholes'!$B$6,0))</f>
        <v>34.6667863928953</v>
      </c>
    </row>
    <row r="4850" customFormat="false" ht="15" hidden="false" customHeight="false" outlineLevel="0" collapsed="false">
      <c r="A4850" s="0" t="n">
        <v>4839</v>
      </c>
      <c r="B4850" s="15" t="n">
        <v>-0.981401865739473</v>
      </c>
      <c r="C4850" s="18" t="n">
        <f aca="false">'Black-Scholes'!$B$5*EXP(('Black-Scholes'!$B$8-'Black-Scholes'!$B$10-'Black-Scholes'!$B$9^2/2)*'Black-Scholes'!$B$7+'Black-Scholes'!$B$9*SQRT('Black-Scholes'!$B$7)*B4850)</f>
        <v>84.6808778459968</v>
      </c>
      <c r="D4850" s="18" t="n">
        <f aca="false">'Black-Scholes'!$B$5*EXP(('Black-Scholes'!$B$8-'Black-Scholes'!$B$10-'Black-Scholes'!$B$9^2/2)*'Black-Scholes'!$B$7-'Black-Scholes'!$B$9*SQRT('Black-Scholes'!$B$7)*B4850)</f>
        <v>125.392718350942</v>
      </c>
      <c r="E4850" s="18" t="n">
        <f aca="false">EXP(-'Black-Scholes'!$B$8*'Black-Scholes'!$B$7)*IF(LOWER('Black-Scholes'!$B$11)="put",MAX('Black-Scholes'!$B$6-C4850,0),MAX(C4850-'Black-Scholes'!$B$6,0))</f>
        <v>0</v>
      </c>
      <c r="F4850" s="18" t="n">
        <f aca="false">(E4850+G4850)/2</f>
        <v>12.0771504317376</v>
      </c>
      <c r="G4850" s="18" t="n">
        <f aca="false">EXP(-'Black-Scholes'!$B$8*'Black-Scholes'!$B$7)*IF(LOWER('Black-Scholes'!$B$11)="put",MAX('Black-Scholes'!$B$6-D4850,0),MAX(D4850-'Black-Scholes'!$B$6,0))</f>
        <v>24.1543008634752</v>
      </c>
    </row>
    <row r="4851" customFormat="false" ht="15" hidden="false" customHeight="false" outlineLevel="0" collapsed="false">
      <c r="A4851" s="0" t="n">
        <v>4840</v>
      </c>
      <c r="B4851" s="15" t="n">
        <v>1.14781462781753</v>
      </c>
      <c r="C4851" s="18" t="n">
        <f aca="false">'Black-Scholes'!$B$5*EXP(('Black-Scholes'!$B$8-'Black-Scholes'!$B$10-'Black-Scholes'!$B$9^2/2)*'Black-Scholes'!$B$7+'Black-Scholes'!$B$9*SQRT('Black-Scholes'!$B$7)*B4851)</f>
        <v>129.636335553984</v>
      </c>
      <c r="D4851" s="18" t="n">
        <f aca="false">'Black-Scholes'!$B$5*EXP(('Black-Scholes'!$B$8-'Black-Scholes'!$B$10-'Black-Scholes'!$B$9^2/2)*'Black-Scholes'!$B$7-'Black-Scholes'!$B$9*SQRT('Black-Scholes'!$B$7)*B4851)</f>
        <v>81.908867757465</v>
      </c>
      <c r="E4851" s="18" t="n">
        <f aca="false">EXP(-'Black-Scholes'!$B$8*'Black-Scholes'!$B$7)*IF(LOWER('Black-Scholes'!$B$11)="put",MAX('Black-Scholes'!$B$6-C4851,0),MAX(C4851-'Black-Scholes'!$B$6,0))</f>
        <v>28.1909544133258</v>
      </c>
      <c r="F4851" s="18" t="n">
        <f aca="false">(E4851+G4851)/2</f>
        <v>14.0954772066629</v>
      </c>
      <c r="G4851" s="18" t="n">
        <f aca="false">EXP(-'Black-Scholes'!$B$8*'Black-Scholes'!$B$7)*IF(LOWER('Black-Scholes'!$B$11)="put",MAX('Black-Scholes'!$B$6-D4851,0),MAX(D4851-'Black-Scholes'!$B$6,0))</f>
        <v>0</v>
      </c>
    </row>
    <row r="4852" customFormat="false" ht="15" hidden="false" customHeight="false" outlineLevel="0" collapsed="false">
      <c r="A4852" s="0" t="n">
        <v>4841</v>
      </c>
      <c r="B4852" s="15" t="n">
        <v>-0.119641853641771</v>
      </c>
      <c r="C4852" s="18" t="n">
        <f aca="false">'Black-Scholes'!$B$5*EXP(('Black-Scholes'!$B$8-'Black-Scholes'!$B$10-'Black-Scholes'!$B$9^2/2)*'Black-Scholes'!$B$7+'Black-Scholes'!$B$9*SQRT('Black-Scholes'!$B$7)*B4852)</f>
        <v>100.609009897413</v>
      </c>
      <c r="D4852" s="18" t="n">
        <f aca="false">'Black-Scholes'!$B$5*EXP(('Black-Scholes'!$B$8-'Black-Scholes'!$B$10-'Black-Scholes'!$B$9^2/2)*'Black-Scholes'!$B$7-'Black-Scholes'!$B$9*SQRT('Black-Scholes'!$B$7)*B4852)</f>
        <v>105.540900126944</v>
      </c>
      <c r="E4852" s="18" t="n">
        <f aca="false">EXP(-'Black-Scholes'!$B$8*'Black-Scholes'!$B$7)*IF(LOWER('Black-Scholes'!$B$11)="put",MAX('Black-Scholes'!$B$6-C4852,0),MAX(C4852-'Black-Scholes'!$B$6,0))</f>
        <v>0.579308134231058</v>
      </c>
      <c r="F4852" s="18" t="n">
        <f aca="false">(E4852+G4852)/2</f>
        <v>2.92498768660019</v>
      </c>
      <c r="G4852" s="18" t="n">
        <f aca="false">EXP(-'Black-Scholes'!$B$8*'Black-Scholes'!$B$7)*IF(LOWER('Black-Scholes'!$B$11)="put",MAX('Black-Scholes'!$B$6-D4852,0),MAX(D4852-'Black-Scholes'!$B$6,0))</f>
        <v>5.27066723896933</v>
      </c>
    </row>
    <row r="4853" customFormat="false" ht="15" hidden="false" customHeight="false" outlineLevel="0" collapsed="false">
      <c r="A4853" s="0" t="n">
        <v>4842</v>
      </c>
      <c r="B4853" s="15" t="n">
        <v>0.286605552218043</v>
      </c>
      <c r="C4853" s="18" t="n">
        <f aca="false">'Black-Scholes'!$B$5*EXP(('Black-Scholes'!$B$8-'Black-Scholes'!$B$10-'Black-Scholes'!$B$9^2/2)*'Black-Scholes'!$B$7+'Black-Scholes'!$B$9*SQRT('Black-Scholes'!$B$7)*B4853)</f>
        <v>109.124703428328</v>
      </c>
      <c r="D4853" s="18" t="n">
        <f aca="false">'Black-Scholes'!$B$5*EXP(('Black-Scholes'!$B$8-'Black-Scholes'!$B$10-'Black-Scholes'!$B$9^2/2)*'Black-Scholes'!$B$7-'Black-Scholes'!$B$9*SQRT('Black-Scholes'!$B$7)*B4853)</f>
        <v>97.304873524148</v>
      </c>
      <c r="E4853" s="18" t="n">
        <f aca="false">EXP(-'Black-Scholes'!$B$8*'Black-Scholes'!$B$7)*IF(LOWER('Black-Scholes'!$B$11)="put",MAX('Black-Scholes'!$B$6-C4853,0),MAX(C4853-'Black-Scholes'!$B$6,0))</f>
        <v>8.67968639086791</v>
      </c>
      <c r="F4853" s="18" t="n">
        <f aca="false">(E4853+G4853)/2</f>
        <v>4.33984319543396</v>
      </c>
      <c r="G4853" s="18" t="n">
        <f aca="false">EXP(-'Black-Scholes'!$B$8*'Black-Scholes'!$B$7)*IF(LOWER('Black-Scholes'!$B$11)="put",MAX('Black-Scholes'!$B$6-D4853,0),MAX(D4853-'Black-Scholes'!$B$6,0))</f>
        <v>0</v>
      </c>
    </row>
    <row r="4854" customFormat="false" ht="15" hidden="false" customHeight="false" outlineLevel="0" collapsed="false">
      <c r="A4854" s="0" t="n">
        <v>4843</v>
      </c>
      <c r="B4854" s="15" t="n">
        <v>-0.306151349789758</v>
      </c>
      <c r="C4854" s="18" t="n">
        <f aca="false">'Black-Scholes'!$B$5*EXP(('Black-Scholes'!$B$8-'Black-Scholes'!$B$10-'Black-Scholes'!$B$9^2/2)*'Black-Scholes'!$B$7+'Black-Scholes'!$B$9*SQRT('Black-Scholes'!$B$7)*B4854)</f>
        <v>96.9252357677465</v>
      </c>
      <c r="D4854" s="18" t="n">
        <f aca="false">'Black-Scholes'!$B$5*EXP(('Black-Scholes'!$B$8-'Black-Scholes'!$B$10-'Black-Scholes'!$B$9^2/2)*'Black-Scholes'!$B$7-'Black-Scholes'!$B$9*SQRT('Black-Scholes'!$B$7)*B4854)</f>
        <v>109.552124184639</v>
      </c>
      <c r="E4854" s="18" t="n">
        <f aca="false">EXP(-'Black-Scholes'!$B$8*'Black-Scholes'!$B$7)*IF(LOWER('Black-Scholes'!$B$11)="put",MAX('Black-Scholes'!$B$6-C4854,0),MAX(C4854-'Black-Scholes'!$B$6,0))</f>
        <v>0</v>
      </c>
      <c r="F4854" s="18" t="n">
        <f aca="false">(E4854+G4854)/2</f>
        <v>4.54313079545683</v>
      </c>
      <c r="G4854" s="18" t="n">
        <f aca="false">EXP(-'Black-Scholes'!$B$8*'Black-Scholes'!$B$7)*IF(LOWER('Black-Scholes'!$B$11)="put",MAX('Black-Scholes'!$B$6-D4854,0),MAX(D4854-'Black-Scholes'!$B$6,0))</f>
        <v>9.08626159091365</v>
      </c>
    </row>
    <row r="4855" customFormat="false" ht="15" hidden="false" customHeight="false" outlineLevel="0" collapsed="false">
      <c r="A4855" s="0" t="n">
        <v>4844</v>
      </c>
      <c r="B4855" s="15" t="n">
        <v>-0.0159940701733038</v>
      </c>
      <c r="C4855" s="18" t="n">
        <f aca="false">'Black-Scholes'!$B$5*EXP(('Black-Scholes'!$B$8-'Black-Scholes'!$B$10-'Black-Scholes'!$B$9^2/2)*'Black-Scholes'!$B$7+'Black-Scholes'!$B$9*SQRT('Black-Scholes'!$B$7)*B4855)</f>
        <v>102.716356792859</v>
      </c>
      <c r="D4855" s="18" t="n">
        <f aca="false">'Black-Scholes'!$B$5*EXP(('Black-Scholes'!$B$8-'Black-Scholes'!$B$10-'Black-Scholes'!$B$9^2/2)*'Black-Scholes'!$B$7-'Black-Scholes'!$B$9*SQRT('Black-Scholes'!$B$7)*B4855)</f>
        <v>103.375604402198</v>
      </c>
      <c r="E4855" s="18" t="n">
        <f aca="false">EXP(-'Black-Scholes'!$B$8*'Black-Scholes'!$B$7)*IF(LOWER('Black-Scholes'!$B$11)="put",MAX('Black-Scholes'!$B$6-C4855,0),MAX(C4855-'Black-Scholes'!$B$6,0))</f>
        <v>2.58387850880987</v>
      </c>
      <c r="F4855" s="18" t="n">
        <f aca="false">(E4855+G4855)/2</f>
        <v>2.89742637082729</v>
      </c>
      <c r="G4855" s="18" t="n">
        <f aca="false">EXP(-'Black-Scholes'!$B$8*'Black-Scholes'!$B$7)*IF(LOWER('Black-Scholes'!$B$11)="put",MAX('Black-Scholes'!$B$6-D4855,0),MAX(D4855-'Black-Scholes'!$B$6,0))</f>
        <v>3.21097423284471</v>
      </c>
    </row>
    <row r="4856" customFormat="false" ht="15" hidden="false" customHeight="false" outlineLevel="0" collapsed="false">
      <c r="A4856" s="0" t="n">
        <v>4845</v>
      </c>
      <c r="B4856" s="15" t="n">
        <v>-0.401353385136738</v>
      </c>
      <c r="C4856" s="18" t="n">
        <f aca="false">'Black-Scholes'!$B$5*EXP(('Black-Scholes'!$B$8-'Black-Scholes'!$B$10-'Black-Scholes'!$B$9^2/2)*'Black-Scholes'!$B$7+'Black-Scholes'!$B$9*SQRT('Black-Scholes'!$B$7)*B4856)</f>
        <v>95.0971983391034</v>
      </c>
      <c r="D4856" s="18" t="n">
        <f aca="false">'Black-Scholes'!$B$5*EXP(('Black-Scholes'!$B$8-'Black-Scholes'!$B$10-'Black-Scholes'!$B$9^2/2)*'Black-Scholes'!$B$7-'Black-Scholes'!$B$9*SQRT('Black-Scholes'!$B$7)*B4856)</f>
        <v>111.658026218501</v>
      </c>
      <c r="E4856" s="18" t="n">
        <f aca="false">EXP(-'Black-Scholes'!$B$8*'Black-Scholes'!$B$7)*IF(LOWER('Black-Scholes'!$B$11)="put",MAX('Black-Scholes'!$B$6-C4856,0),MAX(C4856-'Black-Scholes'!$B$6,0))</f>
        <v>0</v>
      </c>
      <c r="F4856" s="18" t="n">
        <f aca="false">(E4856+G4856)/2</f>
        <v>5.54472878531949</v>
      </c>
      <c r="G4856" s="18" t="n">
        <f aca="false">EXP(-'Black-Scholes'!$B$8*'Black-Scholes'!$B$7)*IF(LOWER('Black-Scholes'!$B$11)="put",MAX('Black-Scholes'!$B$6-D4856,0),MAX(D4856-'Black-Scholes'!$B$6,0))</f>
        <v>11.089457570639</v>
      </c>
    </row>
    <row r="4857" customFormat="false" ht="15" hidden="false" customHeight="false" outlineLevel="0" collapsed="false">
      <c r="A4857" s="0" t="n">
        <v>4846</v>
      </c>
      <c r="B4857" s="15" t="n">
        <v>0.903315875234738</v>
      </c>
      <c r="C4857" s="18" t="n">
        <f aca="false">'Black-Scholes'!$B$5*EXP(('Black-Scholes'!$B$8-'Black-Scholes'!$B$10-'Black-Scholes'!$B$9^2/2)*'Black-Scholes'!$B$7+'Black-Scholes'!$B$9*SQRT('Black-Scholes'!$B$7)*B4857)</f>
        <v>123.449647580856</v>
      </c>
      <c r="D4857" s="18" t="n">
        <f aca="false">'Black-Scholes'!$B$5*EXP(('Black-Scholes'!$B$8-'Black-Scholes'!$B$10-'Black-Scholes'!$B$9^2/2)*'Black-Scholes'!$B$7-'Black-Scholes'!$B$9*SQRT('Black-Scholes'!$B$7)*B4857)</f>
        <v>86.0137365600727</v>
      </c>
      <c r="E4857" s="18" t="n">
        <f aca="false">EXP(-'Black-Scholes'!$B$8*'Black-Scholes'!$B$7)*IF(LOWER('Black-Scholes'!$B$11)="put",MAX('Black-Scholes'!$B$6-C4857,0),MAX(C4857-'Black-Scholes'!$B$6,0))</f>
        <v>22.3059947730826</v>
      </c>
      <c r="F4857" s="18" t="n">
        <f aca="false">(E4857+G4857)/2</f>
        <v>11.1529973865413</v>
      </c>
      <c r="G4857" s="18" t="n">
        <f aca="false">EXP(-'Black-Scholes'!$B$8*'Black-Scholes'!$B$7)*IF(LOWER('Black-Scholes'!$B$11)="put",MAX('Black-Scholes'!$B$6-D4857,0),MAX(D4857-'Black-Scholes'!$B$6,0))</f>
        <v>0</v>
      </c>
    </row>
    <row r="4858" customFormat="false" ht="15" hidden="false" customHeight="false" outlineLevel="0" collapsed="false">
      <c r="A4858" s="0" t="n">
        <v>4847</v>
      </c>
      <c r="B4858" s="15" t="n">
        <v>-1.24463803106709</v>
      </c>
      <c r="C4858" s="18" t="n">
        <f aca="false">'Black-Scholes'!$B$5*EXP(('Black-Scholes'!$B$8-'Black-Scholes'!$B$10-'Black-Scholes'!$B$9^2/2)*'Black-Scholes'!$B$7+'Black-Scholes'!$B$9*SQRT('Black-Scholes'!$B$7)*B4858)</f>
        <v>80.3379875759747</v>
      </c>
      <c r="D4858" s="18" t="n">
        <f aca="false">'Black-Scholes'!$B$5*EXP(('Black-Scholes'!$B$8-'Black-Scholes'!$B$10-'Black-Scholes'!$B$9^2/2)*'Black-Scholes'!$B$7-'Black-Scholes'!$B$9*SQRT('Black-Scholes'!$B$7)*B4858)</f>
        <v>132.17116566944</v>
      </c>
      <c r="E4858" s="18" t="n">
        <f aca="false">EXP(-'Black-Scholes'!$B$8*'Black-Scholes'!$B$7)*IF(LOWER('Black-Scholes'!$B$11)="put",MAX('Black-Scholes'!$B$6-C4858,0),MAX(C4858-'Black-Scholes'!$B$6,0))</f>
        <v>0</v>
      </c>
      <c r="F4858" s="18" t="n">
        <f aca="false">(E4858+G4858)/2</f>
        <v>15.3010797026295</v>
      </c>
      <c r="G4858" s="18" t="n">
        <f aca="false">EXP(-'Black-Scholes'!$B$8*'Black-Scholes'!$B$7)*IF(LOWER('Black-Scholes'!$B$11)="put",MAX('Black-Scholes'!$B$6-D4858,0),MAX(D4858-'Black-Scholes'!$B$6,0))</f>
        <v>30.602159405259</v>
      </c>
    </row>
    <row r="4859" customFormat="false" ht="15" hidden="false" customHeight="false" outlineLevel="0" collapsed="false">
      <c r="A4859" s="0" t="n">
        <v>4848</v>
      </c>
      <c r="B4859" s="15" t="n">
        <v>-1.37937770774067</v>
      </c>
      <c r="C4859" s="18" t="n">
        <f aca="false">'Black-Scholes'!$B$5*EXP(('Black-Scholes'!$B$8-'Black-Scholes'!$B$10-'Black-Scholes'!$B$9^2/2)*'Black-Scholes'!$B$7+'Black-Scholes'!$B$9*SQRT('Black-Scholes'!$B$7)*B4859)</f>
        <v>78.2019547811274</v>
      </c>
      <c r="D4859" s="18" t="n">
        <f aca="false">'Black-Scholes'!$B$5*EXP(('Black-Scholes'!$B$8-'Black-Scholes'!$B$10-'Black-Scholes'!$B$9^2/2)*'Black-Scholes'!$B$7-'Black-Scholes'!$B$9*SQRT('Black-Scholes'!$B$7)*B4859)</f>
        <v>135.781330468943</v>
      </c>
      <c r="E4859" s="18" t="n">
        <f aca="false">EXP(-'Black-Scholes'!$B$8*'Black-Scholes'!$B$7)*IF(LOWER('Black-Scholes'!$B$11)="put",MAX('Black-Scholes'!$B$6-C4859,0),MAX(C4859-'Black-Scholes'!$B$6,0))</f>
        <v>0</v>
      </c>
      <c r="F4859" s="18" t="n">
        <f aca="false">(E4859+G4859)/2</f>
        <v>17.0181271949213</v>
      </c>
      <c r="G4859" s="18" t="n">
        <f aca="false">EXP(-'Black-Scholes'!$B$8*'Black-Scholes'!$B$7)*IF(LOWER('Black-Scholes'!$B$11)="put",MAX('Black-Scholes'!$B$6-D4859,0),MAX(D4859-'Black-Scholes'!$B$6,0))</f>
        <v>34.0362543898425</v>
      </c>
    </row>
    <row r="4860" customFormat="false" ht="15" hidden="false" customHeight="false" outlineLevel="0" collapsed="false">
      <c r="A4860" s="0" t="n">
        <v>4849</v>
      </c>
      <c r="B4860" s="15" t="n">
        <v>-0.645342448394381</v>
      </c>
      <c r="C4860" s="18" t="n">
        <f aca="false">'Black-Scholes'!$B$5*EXP(('Black-Scholes'!$B$8-'Black-Scholes'!$B$10-'Black-Scholes'!$B$9^2/2)*'Black-Scholes'!$B$7+'Black-Scholes'!$B$9*SQRT('Black-Scholes'!$B$7)*B4860)</f>
        <v>90.5680676120629</v>
      </c>
      <c r="D4860" s="18" t="n">
        <f aca="false">'Black-Scholes'!$B$5*EXP(('Black-Scholes'!$B$8-'Black-Scholes'!$B$10-'Black-Scholes'!$B$9^2/2)*'Black-Scholes'!$B$7-'Black-Scholes'!$B$9*SQRT('Black-Scholes'!$B$7)*B4860)</f>
        <v>117.241824247991</v>
      </c>
      <c r="E4860" s="18" t="n">
        <f aca="false">EXP(-'Black-Scholes'!$B$8*'Black-Scholes'!$B$7)*IF(LOWER('Black-Scholes'!$B$11)="put",MAX('Black-Scholes'!$B$6-C4860,0),MAX(C4860-'Black-Scholes'!$B$6,0))</f>
        <v>0</v>
      </c>
      <c r="F4860" s="18" t="n">
        <f aca="false">(E4860+G4860)/2</f>
        <v>8.20046527837925</v>
      </c>
      <c r="G4860" s="18" t="n">
        <f aca="false">EXP(-'Black-Scholes'!$B$8*'Black-Scholes'!$B$7)*IF(LOWER('Black-Scholes'!$B$11)="put",MAX('Black-Scholes'!$B$6-D4860,0),MAX(D4860-'Black-Scholes'!$B$6,0))</f>
        <v>16.4009305567585</v>
      </c>
    </row>
    <row r="4861" customFormat="false" ht="15" hidden="false" customHeight="false" outlineLevel="0" collapsed="false">
      <c r="A4861" s="0" t="n">
        <v>4850</v>
      </c>
      <c r="B4861" s="15" t="n">
        <v>0.464356483617913</v>
      </c>
      <c r="C4861" s="18" t="n">
        <f aca="false">'Black-Scholes'!$B$5*EXP(('Black-Scholes'!$B$8-'Black-Scholes'!$B$10-'Black-Scholes'!$B$9^2/2)*'Black-Scholes'!$B$7+'Black-Scholes'!$B$9*SQRT('Black-Scholes'!$B$7)*B4861)</f>
        <v>113.073888178315</v>
      </c>
      <c r="D4861" s="18" t="n">
        <f aca="false">'Black-Scholes'!$B$5*EXP(('Black-Scholes'!$B$8-'Black-Scholes'!$B$10-'Black-Scholes'!$B$9^2/2)*'Black-Scholes'!$B$7-'Black-Scholes'!$B$9*SQRT('Black-Scholes'!$B$7)*B4861)</f>
        <v>93.9064326567482</v>
      </c>
      <c r="E4861" s="18" t="n">
        <f aca="false">EXP(-'Black-Scholes'!$B$8*'Black-Scholes'!$B$7)*IF(LOWER('Black-Scholes'!$B$11)="put",MAX('Black-Scholes'!$B$6-C4861,0),MAX(C4861-'Black-Scholes'!$B$6,0))</f>
        <v>12.4362671278451</v>
      </c>
      <c r="F4861" s="18" t="n">
        <f aca="false">(E4861+G4861)/2</f>
        <v>6.21813356392256</v>
      </c>
      <c r="G4861" s="18" t="n">
        <f aca="false">EXP(-'Black-Scholes'!$B$8*'Black-Scholes'!$B$7)*IF(LOWER('Black-Scholes'!$B$11)="put",MAX('Black-Scholes'!$B$6-D4861,0),MAX(D4861-'Black-Scholes'!$B$6,0))</f>
        <v>0</v>
      </c>
    </row>
    <row r="4862" customFormat="false" ht="15" hidden="false" customHeight="false" outlineLevel="0" collapsed="false">
      <c r="A4862" s="0" t="n">
        <v>4851</v>
      </c>
      <c r="B4862" s="15" t="n">
        <v>1.23510094427019</v>
      </c>
      <c r="C4862" s="18" t="n">
        <f aca="false">'Black-Scholes'!$B$5*EXP(('Black-Scholes'!$B$8-'Black-Scholes'!$B$10-'Black-Scholes'!$B$9^2/2)*'Black-Scholes'!$B$7+'Black-Scholes'!$B$9*SQRT('Black-Scholes'!$B$7)*B4862)</f>
        <v>131.919300376112</v>
      </c>
      <c r="D4862" s="18" t="n">
        <f aca="false">'Black-Scholes'!$B$5*EXP(('Black-Scholes'!$B$8-'Black-Scholes'!$B$10-'Black-Scholes'!$B$9^2/2)*'Black-Scholes'!$B$7-'Black-Scholes'!$B$9*SQRT('Black-Scholes'!$B$7)*B4862)</f>
        <v>80.491371885538</v>
      </c>
      <c r="E4862" s="18" t="n">
        <f aca="false">EXP(-'Black-Scholes'!$B$8*'Black-Scholes'!$B$7)*IF(LOWER('Black-Scholes'!$B$11)="put",MAX('Black-Scholes'!$B$6-C4862,0),MAX(C4862-'Black-Scholes'!$B$6,0))</f>
        <v>30.3625777272341</v>
      </c>
      <c r="F4862" s="18" t="n">
        <f aca="false">(E4862+G4862)/2</f>
        <v>15.181288863617</v>
      </c>
      <c r="G4862" s="18" t="n">
        <f aca="false">EXP(-'Black-Scholes'!$B$8*'Black-Scholes'!$B$7)*IF(LOWER('Black-Scholes'!$B$11)="put",MAX('Black-Scholes'!$B$6-D4862,0),MAX(D4862-'Black-Scholes'!$B$6,0))</f>
        <v>0</v>
      </c>
    </row>
    <row r="4863" customFormat="false" ht="15" hidden="false" customHeight="false" outlineLevel="0" collapsed="false">
      <c r="A4863" s="0" t="n">
        <v>4852</v>
      </c>
      <c r="B4863" s="15" t="n">
        <v>1.67676393849816</v>
      </c>
      <c r="C4863" s="18" t="n">
        <f aca="false">'Black-Scholes'!$B$5*EXP(('Black-Scholes'!$B$8-'Black-Scholes'!$B$10-'Black-Scholes'!$B$9^2/2)*'Black-Scholes'!$B$7+'Black-Scholes'!$B$9*SQRT('Black-Scholes'!$B$7)*B4863)</f>
        <v>144.102229342556</v>
      </c>
      <c r="D4863" s="18" t="n">
        <f aca="false">'Black-Scholes'!$B$5*EXP(('Black-Scholes'!$B$8-'Black-Scholes'!$B$10-'Black-Scholes'!$B$9^2/2)*'Black-Scholes'!$B$7-'Black-Scholes'!$B$9*SQRT('Black-Scholes'!$B$7)*B4863)</f>
        <v>73.6863372197516</v>
      </c>
      <c r="E4863" s="18" t="n">
        <f aca="false">EXP(-'Black-Scholes'!$B$8*'Black-Scholes'!$B$7)*IF(LOWER('Black-Scholes'!$B$11)="put",MAX('Black-Scholes'!$B$6-C4863,0),MAX(C4863-'Black-Scholes'!$B$6,0))</f>
        <v>41.9513382367183</v>
      </c>
      <c r="F4863" s="18" t="n">
        <f aca="false">(E4863+G4863)/2</f>
        <v>20.9756691183592</v>
      </c>
      <c r="G4863" s="18" t="n">
        <f aca="false">EXP(-'Black-Scholes'!$B$8*'Black-Scholes'!$B$7)*IF(LOWER('Black-Scholes'!$B$11)="put",MAX('Black-Scholes'!$B$6-D4863,0),MAX(D4863-'Black-Scholes'!$B$6,0))</f>
        <v>0</v>
      </c>
    </row>
    <row r="4864" customFormat="false" ht="15" hidden="false" customHeight="false" outlineLevel="0" collapsed="false">
      <c r="A4864" s="0" t="n">
        <v>4853</v>
      </c>
      <c r="B4864" s="15" t="n">
        <v>0.948029852573796</v>
      </c>
      <c r="C4864" s="18" t="n">
        <f aca="false">'Black-Scholes'!$B$5*EXP(('Black-Scholes'!$B$8-'Black-Scholes'!$B$10-'Black-Scholes'!$B$9^2/2)*'Black-Scholes'!$B$7+'Black-Scholes'!$B$9*SQRT('Black-Scholes'!$B$7)*B4864)</f>
        <v>124.558583633441</v>
      </c>
      <c r="D4864" s="18" t="n">
        <f aca="false">'Black-Scholes'!$B$5*EXP(('Black-Scholes'!$B$8-'Black-Scholes'!$B$10-'Black-Scholes'!$B$9^2/2)*'Black-Scholes'!$B$7-'Black-Scholes'!$B$9*SQRT('Black-Scholes'!$B$7)*B4864)</f>
        <v>85.2479624905015</v>
      </c>
      <c r="E4864" s="18" t="n">
        <f aca="false">EXP(-'Black-Scholes'!$B$8*'Black-Scholes'!$B$7)*IF(LOWER('Black-Scholes'!$B$11)="put",MAX('Black-Scholes'!$B$6-C4864,0),MAX(C4864-'Black-Scholes'!$B$6,0))</f>
        <v>23.360847376191</v>
      </c>
      <c r="F4864" s="18" t="n">
        <f aca="false">(E4864+G4864)/2</f>
        <v>11.6804236880955</v>
      </c>
      <c r="G4864" s="18" t="n">
        <f aca="false">EXP(-'Black-Scholes'!$B$8*'Black-Scholes'!$B$7)*IF(LOWER('Black-Scholes'!$B$11)="put",MAX('Black-Scholes'!$B$6-D4864,0),MAX(D4864-'Black-Scholes'!$B$6,0))</f>
        <v>0</v>
      </c>
    </row>
    <row r="4865" customFormat="false" ht="15" hidden="false" customHeight="false" outlineLevel="0" collapsed="false">
      <c r="A4865" s="0" t="n">
        <v>4854</v>
      </c>
      <c r="B4865" s="15" t="n">
        <v>2.04874528549953</v>
      </c>
      <c r="C4865" s="18" t="n">
        <f aca="false">'Black-Scholes'!$B$5*EXP(('Black-Scholes'!$B$8-'Black-Scholes'!$B$10-'Black-Scholes'!$B$9^2/2)*'Black-Scholes'!$B$7+'Black-Scholes'!$B$9*SQRT('Black-Scholes'!$B$7)*B4865)</f>
        <v>155.231762654364</v>
      </c>
      <c r="D4865" s="18" t="n">
        <f aca="false">'Black-Scholes'!$B$5*EXP(('Black-Scholes'!$B$8-'Black-Scholes'!$B$10-'Black-Scholes'!$B$9^2/2)*'Black-Scholes'!$B$7-'Black-Scholes'!$B$9*SQRT('Black-Scholes'!$B$7)*B4865)</f>
        <v>68.4033040911623</v>
      </c>
      <c r="E4865" s="18" t="n">
        <f aca="false">EXP(-'Black-Scholes'!$B$8*'Black-Scholes'!$B$7)*IF(LOWER('Black-Scholes'!$B$11)="put",MAX('Black-Scholes'!$B$6-C4865,0),MAX(C4865-'Black-Scholes'!$B$6,0))</f>
        <v>52.5380778038707</v>
      </c>
      <c r="F4865" s="18" t="n">
        <f aca="false">(E4865+G4865)/2</f>
        <v>26.2690389019353</v>
      </c>
      <c r="G4865" s="18" t="n">
        <f aca="false">EXP(-'Black-Scholes'!$B$8*'Black-Scholes'!$B$7)*IF(LOWER('Black-Scholes'!$B$11)="put",MAX('Black-Scholes'!$B$6-D4865,0),MAX(D4865-'Black-Scholes'!$B$6,0))</f>
        <v>0</v>
      </c>
    </row>
    <row r="4866" customFormat="false" ht="15" hidden="false" customHeight="false" outlineLevel="0" collapsed="false">
      <c r="A4866" s="0" t="n">
        <v>4855</v>
      </c>
      <c r="B4866" s="15" t="n">
        <v>-0.181168752081217</v>
      </c>
      <c r="C4866" s="18" t="n">
        <f aca="false">'Black-Scholes'!$B$5*EXP(('Black-Scholes'!$B$8-'Black-Scholes'!$B$10-'Black-Scholes'!$B$9^2/2)*'Black-Scholes'!$B$7+'Black-Scholes'!$B$9*SQRT('Black-Scholes'!$B$7)*B4866)</f>
        <v>99.378563909517</v>
      </c>
      <c r="D4866" s="18" t="n">
        <f aca="false">'Black-Scholes'!$B$5*EXP(('Black-Scholes'!$B$8-'Black-Scholes'!$B$10-'Black-Scholes'!$B$9^2/2)*'Black-Scholes'!$B$7-'Black-Scholes'!$B$9*SQRT('Black-Scholes'!$B$7)*B4866)</f>
        <v>106.84764447916</v>
      </c>
      <c r="E4866" s="18" t="n">
        <f aca="false">EXP(-'Black-Scholes'!$B$8*'Black-Scholes'!$B$7)*IF(LOWER('Black-Scholes'!$B$11)="put",MAX('Black-Scholes'!$B$6-C4866,0),MAX(C4866-'Black-Scholes'!$B$6,0))</f>
        <v>0</v>
      </c>
      <c r="F4866" s="18" t="n">
        <f aca="false">(E4866+G4866)/2</f>
        <v>3.25684045854864</v>
      </c>
      <c r="G4866" s="18" t="n">
        <f aca="false">EXP(-'Black-Scholes'!$B$8*'Black-Scholes'!$B$7)*IF(LOWER('Black-Scholes'!$B$11)="put",MAX('Black-Scholes'!$B$6-D4866,0),MAX(D4866-'Black-Scholes'!$B$6,0))</f>
        <v>6.51368091709727</v>
      </c>
    </row>
    <row r="4867" customFormat="false" ht="15" hidden="false" customHeight="false" outlineLevel="0" collapsed="false">
      <c r="A4867" s="0" t="n">
        <v>4856</v>
      </c>
      <c r="B4867" s="15" t="n">
        <v>-0.786549714880276</v>
      </c>
      <c r="C4867" s="18" t="n">
        <f aca="false">'Black-Scholes'!$B$5*EXP(('Black-Scholes'!$B$8-'Black-Scholes'!$B$10-'Black-Scholes'!$B$9^2/2)*'Black-Scholes'!$B$7+'Black-Scholes'!$B$9*SQRT('Black-Scholes'!$B$7)*B4867)</f>
        <v>88.0460737680875</v>
      </c>
      <c r="D4867" s="18" t="n">
        <f aca="false">'Black-Scholes'!$B$5*EXP(('Black-Scholes'!$B$8-'Black-Scholes'!$B$10-'Black-Scholes'!$B$9^2/2)*'Black-Scholes'!$B$7-'Black-Scholes'!$B$9*SQRT('Black-Scholes'!$B$7)*B4867)</f>
        <v>120.600101867373</v>
      </c>
      <c r="E4867" s="18" t="n">
        <f aca="false">EXP(-'Black-Scholes'!$B$8*'Black-Scholes'!$B$7)*IF(LOWER('Black-Scholes'!$B$11)="put",MAX('Black-Scholes'!$B$6-C4867,0),MAX(C4867-'Black-Scholes'!$B$6,0))</f>
        <v>0</v>
      </c>
      <c r="F4867" s="18" t="n">
        <f aca="false">(E4867+G4867)/2</f>
        <v>9.79771152197867</v>
      </c>
      <c r="G4867" s="18" t="n">
        <f aca="false">EXP(-'Black-Scholes'!$B$8*'Black-Scholes'!$B$7)*IF(LOWER('Black-Scholes'!$B$11)="put",MAX('Black-Scholes'!$B$6-D4867,0),MAX(D4867-'Black-Scholes'!$B$6,0))</f>
        <v>19.5954230439573</v>
      </c>
    </row>
    <row r="4868" customFormat="false" ht="15" hidden="false" customHeight="false" outlineLevel="0" collapsed="false">
      <c r="A4868" s="0" t="n">
        <v>4857</v>
      </c>
      <c r="B4868" s="15" t="n">
        <v>0.123044363616239</v>
      </c>
      <c r="C4868" s="18" t="n">
        <f aca="false">'Black-Scholes'!$B$5*EXP(('Black-Scholes'!$B$8-'Black-Scholes'!$B$10-'Black-Scholes'!$B$9^2/2)*'Black-Scholes'!$B$7+'Black-Scholes'!$B$9*SQRT('Black-Scholes'!$B$7)*B4868)</f>
        <v>105.612745362664</v>
      </c>
      <c r="D4868" s="18" t="n">
        <f aca="false">'Black-Scholes'!$B$5*EXP(('Black-Scholes'!$B$8-'Black-Scholes'!$B$10-'Black-Scholes'!$B$9^2/2)*'Black-Scholes'!$B$7-'Black-Scholes'!$B$9*SQRT('Black-Scholes'!$B$7)*B4868)</f>
        <v>100.540568555349</v>
      </c>
      <c r="E4868" s="18" t="n">
        <f aca="false">EXP(-'Black-Scholes'!$B$8*'Black-Scholes'!$B$7)*IF(LOWER('Black-Scholes'!$B$11)="put",MAX('Black-Scholes'!$B$6-C4868,0),MAX(C4868-'Black-Scholes'!$B$6,0))</f>
        <v>5.33900854119625</v>
      </c>
      <c r="F4868" s="18" t="n">
        <f aca="false">(E4868+G4868)/2</f>
        <v>2.92660662850215</v>
      </c>
      <c r="G4868" s="18" t="n">
        <f aca="false">EXP(-'Black-Scholes'!$B$8*'Black-Scholes'!$B$7)*IF(LOWER('Black-Scholes'!$B$11)="put",MAX('Black-Scholes'!$B$6-D4868,0),MAX(D4868-'Black-Scholes'!$B$6,0))</f>
        <v>0.514204715808053</v>
      </c>
    </row>
    <row r="4869" customFormat="false" ht="15" hidden="false" customHeight="false" outlineLevel="0" collapsed="false">
      <c r="A4869" s="0" t="n">
        <v>4858</v>
      </c>
      <c r="B4869" s="15" t="n">
        <v>0.312876686932474</v>
      </c>
      <c r="C4869" s="18" t="n">
        <f aca="false">'Black-Scholes'!$B$5*EXP(('Black-Scholes'!$B$8-'Black-Scholes'!$B$10-'Black-Scholes'!$B$9^2/2)*'Black-Scholes'!$B$7+'Black-Scholes'!$B$9*SQRT('Black-Scholes'!$B$7)*B4869)</f>
        <v>109.699578324257</v>
      </c>
      <c r="D4869" s="18" t="n">
        <f aca="false">'Black-Scholes'!$B$5*EXP(('Black-Scholes'!$B$8-'Black-Scholes'!$B$10-'Black-Scholes'!$B$9^2/2)*'Black-Scholes'!$B$7-'Black-Scholes'!$B$9*SQRT('Black-Scholes'!$B$7)*B4869)</f>
        <v>96.7949524296912</v>
      </c>
      <c r="E4869" s="18" t="n">
        <f aca="false">EXP(-'Black-Scholes'!$B$8*'Black-Scholes'!$B$7)*IF(LOWER('Black-Scholes'!$B$11)="put",MAX('Black-Scholes'!$B$6-C4869,0),MAX(C4869-'Black-Scholes'!$B$6,0))</f>
        <v>9.2265243072822</v>
      </c>
      <c r="F4869" s="18" t="n">
        <f aca="false">(E4869+G4869)/2</f>
        <v>4.6132621536411</v>
      </c>
      <c r="G4869" s="18" t="n">
        <f aca="false">EXP(-'Black-Scholes'!$B$8*'Black-Scholes'!$B$7)*IF(LOWER('Black-Scholes'!$B$11)="put",MAX('Black-Scholes'!$B$6-D4869,0),MAX(D4869-'Black-Scholes'!$B$6,0))</f>
        <v>0</v>
      </c>
    </row>
    <row r="4870" customFormat="false" ht="15" hidden="false" customHeight="false" outlineLevel="0" collapsed="false">
      <c r="A4870" s="0" t="n">
        <v>4859</v>
      </c>
      <c r="B4870" s="15" t="n">
        <v>1.43771649129883</v>
      </c>
      <c r="C4870" s="18" t="n">
        <f aca="false">'Black-Scholes'!$B$5*EXP(('Black-Scholes'!$B$8-'Black-Scholes'!$B$10-'Black-Scholes'!$B$9^2/2)*'Black-Scholes'!$B$7+'Black-Scholes'!$B$9*SQRT('Black-Scholes'!$B$7)*B4870)</f>
        <v>137.374872450679</v>
      </c>
      <c r="D4870" s="18" t="n">
        <f aca="false">'Black-Scholes'!$B$5*EXP(('Black-Scholes'!$B$8-'Black-Scholes'!$B$10-'Black-Scholes'!$B$9^2/2)*'Black-Scholes'!$B$7-'Black-Scholes'!$B$9*SQRT('Black-Scholes'!$B$7)*B4870)</f>
        <v>77.2948158278791</v>
      </c>
      <c r="E4870" s="18" t="n">
        <f aca="false">EXP(-'Black-Scholes'!$B$8*'Black-Scholes'!$B$7)*IF(LOWER('Black-Scholes'!$B$11)="put",MAX('Black-Scholes'!$B$6-C4870,0),MAX(C4870-'Black-Scholes'!$B$6,0))</f>
        <v>35.5520784120467</v>
      </c>
      <c r="F4870" s="18" t="n">
        <f aca="false">(E4870+G4870)/2</f>
        <v>17.7760392060234</v>
      </c>
      <c r="G4870" s="18" t="n">
        <f aca="false">EXP(-'Black-Scholes'!$B$8*'Black-Scholes'!$B$7)*IF(LOWER('Black-Scholes'!$B$11)="put",MAX('Black-Scholes'!$B$6-D4870,0),MAX(D4870-'Black-Scholes'!$B$6,0))</f>
        <v>0</v>
      </c>
    </row>
    <row r="4871" customFormat="false" ht="15" hidden="false" customHeight="false" outlineLevel="0" collapsed="false">
      <c r="A4871" s="0" t="n">
        <v>4860</v>
      </c>
      <c r="B4871" s="15" t="n">
        <v>0.222604129195957</v>
      </c>
      <c r="C4871" s="18" t="n">
        <f aca="false">'Black-Scholes'!$B$5*EXP(('Black-Scholes'!$B$8-'Black-Scholes'!$B$10-'Black-Scholes'!$B$9^2/2)*'Black-Scholes'!$B$7+'Black-Scholes'!$B$9*SQRT('Black-Scholes'!$B$7)*B4871)</f>
        <v>107.736778037677</v>
      </c>
      <c r="D4871" s="18" t="n">
        <f aca="false">'Black-Scholes'!$B$5*EXP(('Black-Scholes'!$B$8-'Black-Scholes'!$B$10-'Black-Scholes'!$B$9^2/2)*'Black-Scholes'!$B$7-'Black-Scholes'!$B$9*SQRT('Black-Scholes'!$B$7)*B4871)</f>
        <v>98.5584092902821</v>
      </c>
      <c r="E4871" s="18" t="n">
        <f aca="false">EXP(-'Black-Scholes'!$B$8*'Black-Scholes'!$B$7)*IF(LOWER('Black-Scholes'!$B$11)="put",MAX('Black-Scholes'!$B$6-C4871,0),MAX(C4871-'Black-Scholes'!$B$6,0))</f>
        <v>7.3594509202688</v>
      </c>
      <c r="F4871" s="18" t="n">
        <f aca="false">(E4871+G4871)/2</f>
        <v>3.6797254601344</v>
      </c>
      <c r="G4871" s="18" t="n">
        <f aca="false">EXP(-'Black-Scholes'!$B$8*'Black-Scholes'!$B$7)*IF(LOWER('Black-Scholes'!$B$11)="put",MAX('Black-Scholes'!$B$6-D4871,0),MAX(D4871-'Black-Scholes'!$B$6,0))</f>
        <v>0</v>
      </c>
    </row>
    <row r="4872" customFormat="false" ht="15" hidden="false" customHeight="false" outlineLevel="0" collapsed="false">
      <c r="A4872" s="0" t="n">
        <v>4861</v>
      </c>
      <c r="B4872" s="15" t="n">
        <v>0.66607689949603</v>
      </c>
      <c r="C4872" s="18" t="n">
        <f aca="false">'Black-Scholes'!$B$5*EXP(('Black-Scholes'!$B$8-'Black-Scholes'!$B$10-'Black-Scholes'!$B$9^2/2)*'Black-Scholes'!$B$7+'Black-Scholes'!$B$9*SQRT('Black-Scholes'!$B$7)*B4872)</f>
        <v>117.72902270345</v>
      </c>
      <c r="D4872" s="18" t="n">
        <f aca="false">'Black-Scholes'!$B$5*EXP(('Black-Scholes'!$B$8-'Black-Scholes'!$B$10-'Black-Scholes'!$B$9^2/2)*'Black-Scholes'!$B$7-'Black-Scholes'!$B$9*SQRT('Black-Scholes'!$B$7)*B4872)</f>
        <v>90.1932694387554</v>
      </c>
      <c r="E4872" s="18" t="n">
        <f aca="false">EXP(-'Black-Scholes'!$B$8*'Black-Scholes'!$B$7)*IF(LOWER('Black-Scholes'!$B$11)="put",MAX('Black-Scholes'!$B$6-C4872,0),MAX(C4872-'Black-Scholes'!$B$6,0))</f>
        <v>16.8643680631626</v>
      </c>
      <c r="F4872" s="18" t="n">
        <f aca="false">(E4872+G4872)/2</f>
        <v>8.43218403158132</v>
      </c>
      <c r="G4872" s="18" t="n">
        <f aca="false">EXP(-'Black-Scholes'!$B$8*'Black-Scholes'!$B$7)*IF(LOWER('Black-Scholes'!$B$11)="put",MAX('Black-Scholes'!$B$6-D4872,0),MAX(D4872-'Black-Scholes'!$B$6,0))</f>
        <v>0</v>
      </c>
    </row>
    <row r="4873" customFormat="false" ht="15" hidden="false" customHeight="false" outlineLevel="0" collapsed="false">
      <c r="A4873" s="0" t="n">
        <v>4862</v>
      </c>
      <c r="B4873" s="15" t="n">
        <v>-0.657120311859674</v>
      </c>
      <c r="C4873" s="18" t="n">
        <f aca="false">'Black-Scholes'!$B$5*EXP(('Black-Scholes'!$B$8-'Black-Scholes'!$B$10-'Black-Scholes'!$B$9^2/2)*'Black-Scholes'!$B$7+'Black-Scholes'!$B$9*SQRT('Black-Scholes'!$B$7)*B4873)</f>
        <v>90.354979016502</v>
      </c>
      <c r="D4873" s="18" t="n">
        <f aca="false">'Black-Scholes'!$B$5*EXP(('Black-Scholes'!$B$8-'Black-Scholes'!$B$10-'Black-Scholes'!$B$9^2/2)*'Black-Scholes'!$B$7-'Black-Scholes'!$B$9*SQRT('Black-Scholes'!$B$7)*B4873)</f>
        <v>117.51832141441</v>
      </c>
      <c r="E4873" s="18" t="n">
        <f aca="false">EXP(-'Black-Scholes'!$B$8*'Black-Scholes'!$B$7)*IF(LOWER('Black-Scholes'!$B$11)="put",MAX('Black-Scholes'!$B$6-C4873,0),MAX(C4873-'Black-Scholes'!$B$6,0))</f>
        <v>0</v>
      </c>
      <c r="F4873" s="18" t="n">
        <f aca="false">(E4873+G4873)/2</f>
        <v>8.33197139862411</v>
      </c>
      <c r="G4873" s="18" t="n">
        <f aca="false">EXP(-'Black-Scholes'!$B$8*'Black-Scholes'!$B$7)*IF(LOWER('Black-Scholes'!$B$11)="put",MAX('Black-Scholes'!$B$6-D4873,0),MAX(D4873-'Black-Scholes'!$B$6,0))</f>
        <v>16.6639427972482</v>
      </c>
    </row>
    <row r="4874" customFormat="false" ht="15" hidden="false" customHeight="false" outlineLevel="0" collapsed="false">
      <c r="A4874" s="0" t="n">
        <v>4863</v>
      </c>
      <c r="B4874" s="15" t="n">
        <v>1.39280405124158</v>
      </c>
      <c r="C4874" s="18" t="n">
        <f aca="false">'Black-Scholes'!$B$5*EXP(('Black-Scholes'!$B$8-'Black-Scholes'!$B$10-'Black-Scholes'!$B$9^2/2)*'Black-Scholes'!$B$7+'Black-Scholes'!$B$9*SQRT('Black-Scholes'!$B$7)*B4874)</f>
        <v>136.146429801241</v>
      </c>
      <c r="D4874" s="18" t="n">
        <f aca="false">'Black-Scholes'!$B$5*EXP(('Black-Scholes'!$B$8-'Black-Scholes'!$B$10-'Black-Scholes'!$B$9^2/2)*'Black-Scholes'!$B$7-'Black-Scholes'!$B$9*SQRT('Black-Scholes'!$B$7)*B4874)</f>
        <v>77.9922432116308</v>
      </c>
      <c r="E4874" s="18" t="n">
        <f aca="false">EXP(-'Black-Scholes'!$B$8*'Black-Scholes'!$B$7)*IF(LOWER('Black-Scholes'!$B$11)="put",MAX('Black-Scholes'!$B$6-C4874,0),MAX(C4874-'Black-Scholes'!$B$6,0))</f>
        <v>34.3835476175899</v>
      </c>
      <c r="F4874" s="18" t="n">
        <f aca="false">(E4874+G4874)/2</f>
        <v>17.1917738087949</v>
      </c>
      <c r="G4874" s="18" t="n">
        <f aca="false">EXP(-'Black-Scholes'!$B$8*'Black-Scholes'!$B$7)*IF(LOWER('Black-Scholes'!$B$11)="put",MAX('Black-Scholes'!$B$6-D4874,0),MAX(D4874-'Black-Scholes'!$B$6,0))</f>
        <v>0</v>
      </c>
    </row>
    <row r="4875" customFormat="false" ht="15" hidden="false" customHeight="false" outlineLevel="0" collapsed="false">
      <c r="A4875" s="0" t="n">
        <v>4864</v>
      </c>
      <c r="B4875" s="15" t="n">
        <v>-0.0381017541160343</v>
      </c>
      <c r="C4875" s="18" t="n">
        <f aca="false">'Black-Scholes'!$B$5*EXP(('Black-Scholes'!$B$8-'Black-Scholes'!$B$10-'Black-Scholes'!$B$9^2/2)*'Black-Scholes'!$B$7+'Black-Scholes'!$B$9*SQRT('Black-Scholes'!$B$7)*B4875)</f>
        <v>102.26319521608</v>
      </c>
      <c r="D4875" s="18" t="n">
        <f aca="false">'Black-Scholes'!$B$5*EXP(('Black-Scholes'!$B$8-'Black-Scholes'!$B$10-'Black-Scholes'!$B$9^2/2)*'Black-Scholes'!$B$7-'Black-Scholes'!$B$9*SQRT('Black-Scholes'!$B$7)*B4875)</f>
        <v>103.833695426954</v>
      </c>
      <c r="E4875" s="18" t="n">
        <f aca="false">EXP(-'Black-Scholes'!$B$8*'Black-Scholes'!$B$7)*IF(LOWER('Black-Scholes'!$B$11)="put",MAX('Black-Scholes'!$B$6-C4875,0),MAX(C4875-'Black-Scholes'!$B$6,0))</f>
        <v>2.15281788292493</v>
      </c>
      <c r="F4875" s="18" t="n">
        <f aca="false">(E4875+G4875)/2</f>
        <v>2.89977088880853</v>
      </c>
      <c r="G4875" s="18" t="n">
        <f aca="false">EXP(-'Black-Scholes'!$B$8*'Black-Scholes'!$B$7)*IF(LOWER('Black-Scholes'!$B$11)="put",MAX('Black-Scholes'!$B$6-D4875,0),MAX(D4875-'Black-Scholes'!$B$6,0))</f>
        <v>3.64672389469213</v>
      </c>
    </row>
    <row r="4876" customFormat="false" ht="15" hidden="false" customHeight="false" outlineLevel="0" collapsed="false">
      <c r="A4876" s="0" t="n">
        <v>4865</v>
      </c>
      <c r="B4876" s="15" t="n">
        <v>1.3485840244161</v>
      </c>
      <c r="C4876" s="18" t="n">
        <f aca="false">'Black-Scholes'!$B$5*EXP(('Black-Scholes'!$B$8-'Black-Scholes'!$B$10-'Black-Scholes'!$B$9^2/2)*'Black-Scholes'!$B$7+'Black-Scholes'!$B$9*SQRT('Black-Scholes'!$B$7)*B4876)</f>
        <v>134.947658827723</v>
      </c>
      <c r="D4876" s="18" t="n">
        <f aca="false">'Black-Scholes'!$B$5*EXP(('Black-Scholes'!$B$8-'Black-Scholes'!$B$10-'Black-Scholes'!$B$9^2/2)*'Black-Scholes'!$B$7-'Black-Scholes'!$B$9*SQRT('Black-Scholes'!$B$7)*B4876)</f>
        <v>78.6850661782079</v>
      </c>
      <c r="E4876" s="18" t="n">
        <f aca="false">EXP(-'Black-Scholes'!$B$8*'Black-Scholes'!$B$7)*IF(LOWER('Black-Scholes'!$B$11)="put",MAX('Black-Scholes'!$B$6-C4876,0),MAX(C4876-'Black-Scholes'!$B$6,0))</f>
        <v>33.2432413943421</v>
      </c>
      <c r="F4876" s="18" t="n">
        <f aca="false">(E4876+G4876)/2</f>
        <v>16.621620697171</v>
      </c>
      <c r="G4876" s="18" t="n">
        <f aca="false">EXP(-'Black-Scholes'!$B$8*'Black-Scholes'!$B$7)*IF(LOWER('Black-Scholes'!$B$11)="put",MAX('Black-Scholes'!$B$6-D4876,0),MAX(D4876-'Black-Scholes'!$B$6,0))</f>
        <v>0</v>
      </c>
    </row>
    <row r="4877" customFormat="false" ht="15" hidden="false" customHeight="false" outlineLevel="0" collapsed="false">
      <c r="A4877" s="0" t="n">
        <v>4866</v>
      </c>
      <c r="B4877" s="15" t="n">
        <v>-0.492957805198895</v>
      </c>
      <c r="C4877" s="18" t="n">
        <f aca="false">'Black-Scholes'!$B$5*EXP(('Black-Scholes'!$B$8-'Black-Scholes'!$B$10-'Black-Scholes'!$B$9^2/2)*'Black-Scholes'!$B$7+'Black-Scholes'!$B$9*SQRT('Black-Scholes'!$B$7)*B4877)</f>
        <v>93.3707964917451</v>
      </c>
      <c r="D4877" s="18" t="n">
        <f aca="false">'Black-Scholes'!$B$5*EXP(('Black-Scholes'!$B$8-'Black-Scholes'!$B$10-'Black-Scholes'!$B$9^2/2)*'Black-Scholes'!$B$7-'Black-Scholes'!$B$9*SQRT('Black-Scholes'!$B$7)*B4877)</f>
        <v>113.722554207753</v>
      </c>
      <c r="E4877" s="18" t="n">
        <f aca="false">EXP(-'Black-Scholes'!$B$8*'Black-Scholes'!$B$7)*IF(LOWER('Black-Scholes'!$B$11)="put",MAX('Black-Scholes'!$B$6-C4877,0),MAX(C4877-'Black-Scholes'!$B$6,0))</f>
        <v>0</v>
      </c>
      <c r="F4877" s="18" t="n">
        <f aca="false">(E4877+G4877)/2</f>
        <v>6.5266486708606</v>
      </c>
      <c r="G4877" s="18" t="n">
        <f aca="false">EXP(-'Black-Scholes'!$B$8*'Black-Scholes'!$B$7)*IF(LOWER('Black-Scholes'!$B$11)="put",MAX('Black-Scholes'!$B$6-D4877,0),MAX(D4877-'Black-Scholes'!$B$6,0))</f>
        <v>13.0532973417212</v>
      </c>
    </row>
    <row r="4878" customFormat="false" ht="15" hidden="false" customHeight="false" outlineLevel="0" collapsed="false">
      <c r="A4878" s="0" t="n">
        <v>4867</v>
      </c>
      <c r="B4878" s="15" t="n">
        <v>2.37651318088458</v>
      </c>
      <c r="C4878" s="18" t="n">
        <f aca="false">'Black-Scholes'!$B$5*EXP(('Black-Scholes'!$B$8-'Black-Scholes'!$B$10-'Black-Scholes'!$B$9^2/2)*'Black-Scholes'!$B$7+'Black-Scholes'!$B$9*SQRT('Black-Scholes'!$B$7)*B4878)</f>
        <v>165.748706011216</v>
      </c>
      <c r="D4878" s="18" t="n">
        <f aca="false">'Black-Scholes'!$B$5*EXP(('Black-Scholes'!$B$8-'Black-Scholes'!$B$10-'Black-Scholes'!$B$9^2/2)*'Black-Scholes'!$B$7-'Black-Scholes'!$B$9*SQRT('Black-Scholes'!$B$7)*B4878)</f>
        <v>64.0630368766502</v>
      </c>
      <c r="E4878" s="18" t="n">
        <f aca="false">EXP(-'Black-Scholes'!$B$8*'Black-Scholes'!$B$7)*IF(LOWER('Black-Scholes'!$B$11)="put",MAX('Black-Scholes'!$B$6-C4878,0),MAX(C4878-'Black-Scholes'!$B$6,0))</f>
        <v>62.5421037807158</v>
      </c>
      <c r="F4878" s="18" t="n">
        <f aca="false">(E4878+G4878)/2</f>
        <v>31.2710518903579</v>
      </c>
      <c r="G4878" s="18" t="n">
        <f aca="false">EXP(-'Black-Scholes'!$B$8*'Black-Scholes'!$B$7)*IF(LOWER('Black-Scholes'!$B$11)="put",MAX('Black-Scholes'!$B$6-D4878,0),MAX(D4878-'Black-Scholes'!$B$6,0))</f>
        <v>0</v>
      </c>
    </row>
    <row r="4879" customFormat="false" ht="15" hidden="false" customHeight="false" outlineLevel="0" collapsed="false">
      <c r="A4879" s="0" t="n">
        <v>4868</v>
      </c>
      <c r="B4879" s="15" t="n">
        <v>0.405967446512563</v>
      </c>
      <c r="C4879" s="18" t="n">
        <f aca="false">'Black-Scholes'!$B$5*EXP(('Black-Scholes'!$B$8-'Black-Scholes'!$B$10-'Black-Scholes'!$B$9^2/2)*'Black-Scholes'!$B$7+'Black-Scholes'!$B$9*SQRT('Black-Scholes'!$B$7)*B4879)</f>
        <v>111.761113173354</v>
      </c>
      <c r="D4879" s="18" t="n">
        <f aca="false">'Black-Scholes'!$B$5*EXP(('Black-Scholes'!$B$8-'Black-Scholes'!$B$10-'Black-Scholes'!$B$9^2/2)*'Black-Scholes'!$B$7-'Black-Scholes'!$B$9*SQRT('Black-Scholes'!$B$7)*B4879)</f>
        <v>95.0094819562445</v>
      </c>
      <c r="E4879" s="18" t="n">
        <f aca="false">EXP(-'Black-Scholes'!$B$8*'Black-Scholes'!$B$7)*IF(LOWER('Black-Scholes'!$B$11)="put",MAX('Black-Scholes'!$B$6-C4879,0),MAX(C4879-'Black-Scholes'!$B$6,0))</f>
        <v>11.1875169153775</v>
      </c>
      <c r="F4879" s="18" t="n">
        <f aca="false">(E4879+G4879)/2</f>
        <v>5.59375845768877</v>
      </c>
      <c r="G4879" s="18" t="n">
        <f aca="false">EXP(-'Black-Scholes'!$B$8*'Black-Scholes'!$B$7)*IF(LOWER('Black-Scholes'!$B$11)="put",MAX('Black-Scholes'!$B$6-D4879,0),MAX(D4879-'Black-Scholes'!$B$6,0))</f>
        <v>0</v>
      </c>
    </row>
    <row r="4880" customFormat="false" ht="15" hidden="false" customHeight="false" outlineLevel="0" collapsed="false">
      <c r="A4880" s="0" t="n">
        <v>4869</v>
      </c>
      <c r="B4880" s="15" t="n">
        <v>0.097174072524216</v>
      </c>
      <c r="C4880" s="18" t="n">
        <f aca="false">'Black-Scholes'!$B$5*EXP(('Black-Scholes'!$B$8-'Black-Scholes'!$B$10-'Black-Scholes'!$B$9^2/2)*'Black-Scholes'!$B$7+'Black-Scholes'!$B$9*SQRT('Black-Scholes'!$B$7)*B4880)</f>
        <v>105.067710107545</v>
      </c>
      <c r="D4880" s="18" t="n">
        <f aca="false">'Black-Scholes'!$B$5*EXP(('Black-Scholes'!$B$8-'Black-Scholes'!$B$10-'Black-Scholes'!$B$9^2/2)*'Black-Scholes'!$B$7-'Black-Scholes'!$B$9*SQRT('Black-Scholes'!$B$7)*B4880)</f>
        <v>101.062119414089</v>
      </c>
      <c r="E4880" s="18" t="n">
        <f aca="false">EXP(-'Black-Scholes'!$B$8*'Black-Scholes'!$B$7)*IF(LOWER('Black-Scholes'!$B$11)="put",MAX('Black-Scholes'!$B$6-C4880,0),MAX(C4880-'Black-Scholes'!$B$6,0))</f>
        <v>4.82055496913656</v>
      </c>
      <c r="F4880" s="18" t="n">
        <f aca="false">(E4880+G4880)/2</f>
        <v>2.9154371040757</v>
      </c>
      <c r="G4880" s="18" t="n">
        <f aca="false">EXP(-'Black-Scholes'!$B$8*'Black-Scholes'!$B$7)*IF(LOWER('Black-Scholes'!$B$11)="put",MAX('Black-Scholes'!$B$6-D4880,0),MAX(D4880-'Black-Scholes'!$B$6,0))</f>
        <v>1.01031923901483</v>
      </c>
    </row>
    <row r="4881" customFormat="false" ht="15" hidden="false" customHeight="false" outlineLevel="0" collapsed="false">
      <c r="A4881" s="0" t="n">
        <v>4870</v>
      </c>
      <c r="B4881" s="15" t="n">
        <v>0.68056802861516</v>
      </c>
      <c r="C4881" s="18" t="n">
        <f aca="false">'Black-Scholes'!$B$5*EXP(('Black-Scholes'!$B$8-'Black-Scholes'!$B$10-'Black-Scholes'!$B$9^2/2)*'Black-Scholes'!$B$7+'Black-Scholes'!$B$9*SQRT('Black-Scholes'!$B$7)*B4881)</f>
        <v>118.070722920277</v>
      </c>
      <c r="D4881" s="18" t="n">
        <f aca="false">'Black-Scholes'!$B$5*EXP(('Black-Scholes'!$B$8-'Black-Scholes'!$B$10-'Black-Scholes'!$B$9^2/2)*'Black-Scholes'!$B$7-'Black-Scholes'!$B$9*SQRT('Black-Scholes'!$B$7)*B4881)</f>
        <v>89.9322474092351</v>
      </c>
      <c r="E4881" s="18" t="n">
        <f aca="false">EXP(-'Black-Scholes'!$B$8*'Black-Scholes'!$B$7)*IF(LOWER('Black-Scholes'!$B$11)="put",MAX('Black-Scholes'!$B$6-C4881,0),MAX(C4881-'Black-Scholes'!$B$6,0))</f>
        <v>17.1894033637669</v>
      </c>
      <c r="F4881" s="18" t="n">
        <f aca="false">(E4881+G4881)/2</f>
        <v>8.59470168188347</v>
      </c>
      <c r="G4881" s="18" t="n">
        <f aca="false">EXP(-'Black-Scholes'!$B$8*'Black-Scholes'!$B$7)*IF(LOWER('Black-Scholes'!$B$11)="put",MAX('Black-Scholes'!$B$6-D4881,0),MAX(D4881-'Black-Scholes'!$B$6,0))</f>
        <v>0</v>
      </c>
    </row>
    <row r="4882" customFormat="false" ht="15" hidden="false" customHeight="false" outlineLevel="0" collapsed="false">
      <c r="A4882" s="0" t="n">
        <v>4871</v>
      </c>
      <c r="B4882" s="15" t="n">
        <v>-0.498307375984458</v>
      </c>
      <c r="C4882" s="18" t="n">
        <f aca="false">'Black-Scholes'!$B$5*EXP(('Black-Scholes'!$B$8-'Black-Scholes'!$B$10-'Black-Scholes'!$B$9^2/2)*'Black-Scholes'!$B$7+'Black-Scholes'!$B$9*SQRT('Black-Scholes'!$B$7)*B4882)</f>
        <v>93.2709511772</v>
      </c>
      <c r="D4882" s="18" t="n">
        <f aca="false">'Black-Scholes'!$B$5*EXP(('Black-Scholes'!$B$8-'Black-Scholes'!$B$10-'Black-Scholes'!$B$9^2/2)*'Black-Scholes'!$B$7-'Black-Scholes'!$B$9*SQRT('Black-Scholes'!$B$7)*B4882)</f>
        <v>113.844292691734</v>
      </c>
      <c r="E4882" s="18" t="n">
        <f aca="false">EXP(-'Black-Scholes'!$B$8*'Black-Scholes'!$B$7)*IF(LOWER('Black-Scholes'!$B$11)="put",MAX('Black-Scholes'!$B$6-C4882,0),MAX(C4882-'Black-Scholes'!$B$6,0))</f>
        <v>0</v>
      </c>
      <c r="F4882" s="18" t="n">
        <f aca="false">(E4882+G4882)/2</f>
        <v>6.58454928488883</v>
      </c>
      <c r="G4882" s="18" t="n">
        <f aca="false">EXP(-'Black-Scholes'!$B$8*'Black-Scholes'!$B$7)*IF(LOWER('Black-Scholes'!$B$11)="put",MAX('Black-Scholes'!$B$6-D4882,0),MAX(D4882-'Black-Scholes'!$B$6,0))</f>
        <v>13.1690985697777</v>
      </c>
    </row>
    <row r="4883" customFormat="false" ht="15" hidden="false" customHeight="false" outlineLevel="0" collapsed="false">
      <c r="A4883" s="0" t="n">
        <v>4872</v>
      </c>
      <c r="B4883" s="15" t="n">
        <v>-0.316686046661102</v>
      </c>
      <c r="C4883" s="18" t="n">
        <f aca="false">'Black-Scholes'!$B$5*EXP(('Black-Scholes'!$B$8-'Black-Scholes'!$B$10-'Black-Scholes'!$B$9^2/2)*'Black-Scholes'!$B$7+'Black-Scholes'!$B$9*SQRT('Black-Scholes'!$B$7)*B4883)</f>
        <v>96.7212351560742</v>
      </c>
      <c r="D4883" s="18" t="n">
        <f aca="false">'Black-Scholes'!$B$5*EXP(('Black-Scholes'!$B$8-'Black-Scholes'!$B$10-'Black-Scholes'!$B$9^2/2)*'Black-Scholes'!$B$7-'Black-Scholes'!$B$9*SQRT('Black-Scholes'!$B$7)*B4883)</f>
        <v>109.783187201024</v>
      </c>
      <c r="E4883" s="18" t="n">
        <f aca="false">EXP(-'Black-Scholes'!$B$8*'Black-Scholes'!$B$7)*IF(LOWER('Black-Scholes'!$B$11)="put",MAX('Black-Scholes'!$B$6-C4883,0),MAX(C4883-'Black-Scholes'!$B$6,0))</f>
        <v>0</v>
      </c>
      <c r="F4883" s="18" t="n">
        <f aca="false">(E4883+G4883)/2</f>
        <v>4.65302776550658</v>
      </c>
      <c r="G4883" s="18" t="n">
        <f aca="false">EXP(-'Black-Scholes'!$B$8*'Black-Scholes'!$B$7)*IF(LOWER('Black-Scholes'!$B$11)="put",MAX('Black-Scholes'!$B$6-D4883,0),MAX(D4883-'Black-Scholes'!$B$6,0))</f>
        <v>9.30605553101315</v>
      </c>
    </row>
    <row r="4884" customFormat="false" ht="15" hidden="false" customHeight="false" outlineLevel="0" collapsed="false">
      <c r="A4884" s="0" t="n">
        <v>4873</v>
      </c>
      <c r="B4884" s="15" t="n">
        <v>-0.0365340098612467</v>
      </c>
      <c r="C4884" s="18" t="n">
        <f aca="false">'Black-Scholes'!$B$5*EXP(('Black-Scholes'!$B$8-'Black-Scholes'!$B$10-'Black-Scholes'!$B$9^2/2)*'Black-Scholes'!$B$7+'Black-Scholes'!$B$9*SQRT('Black-Scholes'!$B$7)*B4884)</f>
        <v>102.295264750856</v>
      </c>
      <c r="D4884" s="18" t="n">
        <f aca="false">'Black-Scholes'!$B$5*EXP(('Black-Scholes'!$B$8-'Black-Scholes'!$B$10-'Black-Scholes'!$B$9^2/2)*'Black-Scholes'!$B$7-'Black-Scholes'!$B$9*SQRT('Black-Scholes'!$B$7)*B4884)</f>
        <v>103.801143594623</v>
      </c>
      <c r="E4884" s="18" t="n">
        <f aca="false">EXP(-'Black-Scholes'!$B$8*'Black-Scholes'!$B$7)*IF(LOWER('Black-Scholes'!$B$11)="put",MAX('Black-Scholes'!$B$6-C4884,0),MAX(C4884-'Black-Scholes'!$B$6,0))</f>
        <v>2.18332336803333</v>
      </c>
      <c r="F4884" s="18" t="n">
        <f aca="false">(E4884+G4884)/2</f>
        <v>2.89954150099574</v>
      </c>
      <c r="G4884" s="18" t="n">
        <f aca="false">EXP(-'Black-Scholes'!$B$8*'Black-Scholes'!$B$7)*IF(LOWER('Black-Scholes'!$B$11)="put",MAX('Black-Scholes'!$B$6-D4884,0),MAX(D4884-'Black-Scholes'!$B$6,0))</f>
        <v>3.61575963395815</v>
      </c>
    </row>
    <row r="4885" customFormat="false" ht="15" hidden="false" customHeight="false" outlineLevel="0" collapsed="false">
      <c r="A4885" s="0" t="n">
        <v>4874</v>
      </c>
      <c r="B4885" s="15" t="n">
        <v>-0.651043973859195</v>
      </c>
      <c r="C4885" s="18" t="n">
        <f aca="false">'Black-Scholes'!$B$5*EXP(('Black-Scholes'!$B$8-'Black-Scholes'!$B$10-'Black-Scholes'!$B$9^2/2)*'Black-Scholes'!$B$7+'Black-Scholes'!$B$9*SQRT('Black-Scholes'!$B$7)*B4885)</f>
        <v>90.4648512435647</v>
      </c>
      <c r="D4885" s="18" t="n">
        <f aca="false">'Black-Scholes'!$B$5*EXP(('Black-Scholes'!$B$8-'Black-Scholes'!$B$10-'Black-Scholes'!$B$9^2/2)*'Black-Scholes'!$B$7-'Black-Scholes'!$B$9*SQRT('Black-Scholes'!$B$7)*B4885)</f>
        <v>117.37559195079</v>
      </c>
      <c r="E4885" s="18" t="n">
        <f aca="false">EXP(-'Black-Scholes'!$B$8*'Black-Scholes'!$B$7)*IF(LOWER('Black-Scholes'!$B$11)="put",MAX('Black-Scholes'!$B$6-C4885,0),MAX(C4885-'Black-Scholes'!$B$6,0))</f>
        <v>0</v>
      </c>
      <c r="F4885" s="18" t="n">
        <f aca="false">(E4885+G4885)/2</f>
        <v>8.26408716585478</v>
      </c>
      <c r="G4885" s="18" t="n">
        <f aca="false">EXP(-'Black-Scholes'!$B$8*'Black-Scholes'!$B$7)*IF(LOWER('Black-Scholes'!$B$11)="put",MAX('Black-Scholes'!$B$6-D4885,0),MAX(D4885-'Black-Scholes'!$B$6,0))</f>
        <v>16.5281743317096</v>
      </c>
    </row>
    <row r="4886" customFormat="false" ht="15" hidden="false" customHeight="false" outlineLevel="0" collapsed="false">
      <c r="A4886" s="0" t="n">
        <v>4875</v>
      </c>
      <c r="B4886" s="15" t="n">
        <v>-1.01927511638464</v>
      </c>
      <c r="C4886" s="18" t="n">
        <f aca="false">'Black-Scholes'!$B$5*EXP(('Black-Scholes'!$B$8-'Black-Scholes'!$B$10-'Black-Scholes'!$B$9^2/2)*'Black-Scholes'!$B$7+'Black-Scholes'!$B$9*SQRT('Black-Scholes'!$B$7)*B4886)</f>
        <v>84.0418729980273</v>
      </c>
      <c r="D4886" s="18" t="n">
        <f aca="false">'Black-Scholes'!$B$5*EXP(('Black-Scholes'!$B$8-'Black-Scholes'!$B$10-'Black-Scholes'!$B$9^2/2)*'Black-Scholes'!$B$7-'Black-Scholes'!$B$9*SQRT('Black-Scholes'!$B$7)*B4886)</f>
        <v>126.346130644933</v>
      </c>
      <c r="E4886" s="18" t="n">
        <f aca="false">EXP(-'Black-Scholes'!$B$8*'Black-Scholes'!$B$7)*IF(LOWER('Black-Scholes'!$B$11)="put",MAX('Black-Scholes'!$B$6-C4886,0),MAX(C4886-'Black-Scholes'!$B$6,0))</f>
        <v>0</v>
      </c>
      <c r="F4886" s="18" t="n">
        <f aca="false">(E4886+G4886)/2</f>
        <v>12.5306073455999</v>
      </c>
      <c r="G4886" s="18" t="n">
        <f aca="false">EXP(-'Black-Scholes'!$B$8*'Black-Scholes'!$B$7)*IF(LOWER('Black-Scholes'!$B$11)="put",MAX('Black-Scholes'!$B$6-D4886,0),MAX(D4886-'Black-Scholes'!$B$6,0))</f>
        <v>25.0612146911999</v>
      </c>
    </row>
    <row r="4887" customFormat="false" ht="15" hidden="false" customHeight="false" outlineLevel="0" collapsed="false">
      <c r="A4887" s="0" t="n">
        <v>4876</v>
      </c>
      <c r="B4887" s="15" t="n">
        <v>-0.810211676191311</v>
      </c>
      <c r="C4887" s="18" t="n">
        <f aca="false">'Black-Scholes'!$B$5*EXP(('Black-Scholes'!$B$8-'Black-Scholes'!$B$10-'Black-Scholes'!$B$9^2/2)*'Black-Scholes'!$B$7+'Black-Scholes'!$B$9*SQRT('Black-Scholes'!$B$7)*B4887)</f>
        <v>87.6303895759858</v>
      </c>
      <c r="D4887" s="18" t="n">
        <f aca="false">'Black-Scholes'!$B$5*EXP(('Black-Scholes'!$B$8-'Black-Scholes'!$B$10-'Black-Scholes'!$B$9^2/2)*'Black-Scholes'!$B$7-'Black-Scholes'!$B$9*SQRT('Black-Scholes'!$B$7)*B4887)</f>
        <v>121.172181441077</v>
      </c>
      <c r="E4887" s="18" t="n">
        <f aca="false">EXP(-'Black-Scholes'!$B$8*'Black-Scholes'!$B$7)*IF(LOWER('Black-Scholes'!$B$11)="put",MAX('Black-Scholes'!$B$6-C4887,0),MAX(C4887-'Black-Scholes'!$B$6,0))</f>
        <v>0</v>
      </c>
      <c r="F4887" s="18" t="n">
        <f aca="false">(E4887+G4887)/2</f>
        <v>10.0698009838101</v>
      </c>
      <c r="G4887" s="18" t="n">
        <f aca="false">EXP(-'Black-Scholes'!$B$8*'Black-Scholes'!$B$7)*IF(LOWER('Black-Scholes'!$B$11)="put",MAX('Black-Scholes'!$B$6-D4887,0),MAX(D4887-'Black-Scholes'!$B$6,0))</f>
        <v>20.1396019676202</v>
      </c>
    </row>
    <row r="4888" customFormat="false" ht="15" hidden="false" customHeight="false" outlineLevel="0" collapsed="false">
      <c r="A4888" s="0" t="n">
        <v>4877</v>
      </c>
      <c r="B4888" s="15" t="n">
        <v>-0.062769790254571</v>
      </c>
      <c r="C4888" s="18" t="n">
        <f aca="false">'Black-Scholes'!$B$5*EXP(('Black-Scholes'!$B$8-'Black-Scholes'!$B$10-'Black-Scholes'!$B$9^2/2)*'Black-Scholes'!$B$7+'Black-Scholes'!$B$9*SQRT('Black-Scholes'!$B$7)*B4888)</f>
        <v>101.759911300463</v>
      </c>
      <c r="D4888" s="18" t="n">
        <f aca="false">'Black-Scholes'!$B$5*EXP(('Black-Scholes'!$B$8-'Black-Scholes'!$B$10-'Black-Scholes'!$B$9^2/2)*'Black-Scholes'!$B$7-'Black-Scholes'!$B$9*SQRT('Black-Scholes'!$B$7)*B4888)</f>
        <v>104.347235858934</v>
      </c>
      <c r="E4888" s="18" t="n">
        <f aca="false">EXP(-'Black-Scholes'!$B$8*'Black-Scholes'!$B$7)*IF(LOWER('Black-Scholes'!$B$11)="put",MAX('Black-Scholes'!$B$6-C4888,0),MAX(C4888-'Black-Scholes'!$B$6,0))</f>
        <v>1.67407941351174</v>
      </c>
      <c r="F4888" s="18" t="n">
        <f aca="false">(E4888+G4888)/2</f>
        <v>2.9046490388871</v>
      </c>
      <c r="G4888" s="18" t="n">
        <f aca="false">EXP(-'Black-Scholes'!$B$8*'Black-Scholes'!$B$7)*IF(LOWER('Black-Scholes'!$B$11)="put",MAX('Black-Scholes'!$B$6-D4888,0),MAX(D4888-'Black-Scholes'!$B$6,0))</f>
        <v>4.13521866426247</v>
      </c>
    </row>
    <row r="4889" customFormat="false" ht="15" hidden="false" customHeight="false" outlineLevel="0" collapsed="false">
      <c r="A4889" s="0" t="n">
        <v>4878</v>
      </c>
      <c r="B4889" s="15" t="n">
        <v>1.12165631447783</v>
      </c>
      <c r="C4889" s="18" t="n">
        <f aca="false">'Black-Scholes'!$B$5*EXP(('Black-Scholes'!$B$8-'Black-Scholes'!$B$10-'Black-Scholes'!$B$9^2/2)*'Black-Scholes'!$B$7+'Black-Scholes'!$B$9*SQRT('Black-Scholes'!$B$7)*B4889)</f>
        <v>128.959892979408</v>
      </c>
      <c r="D4889" s="18" t="n">
        <f aca="false">'Black-Scholes'!$B$5*EXP(('Black-Scholes'!$B$8-'Black-Scholes'!$B$10-'Black-Scholes'!$B$9^2/2)*'Black-Scholes'!$B$7-'Black-Scholes'!$B$9*SQRT('Black-Scholes'!$B$7)*B4889)</f>
        <v>82.3385102153356</v>
      </c>
      <c r="E4889" s="18" t="n">
        <f aca="false">EXP(-'Black-Scholes'!$B$8*'Black-Scholes'!$B$7)*IF(LOWER('Black-Scholes'!$B$11)="put",MAX('Black-Scholes'!$B$6-C4889,0),MAX(C4889-'Black-Scholes'!$B$6,0))</f>
        <v>27.5475023324048</v>
      </c>
      <c r="F4889" s="18" t="n">
        <f aca="false">(E4889+G4889)/2</f>
        <v>13.7737511662024</v>
      </c>
      <c r="G4889" s="18" t="n">
        <f aca="false">EXP(-'Black-Scholes'!$B$8*'Black-Scholes'!$B$7)*IF(LOWER('Black-Scholes'!$B$11)="put",MAX('Black-Scholes'!$B$6-D4889,0),MAX(D4889-'Black-Scholes'!$B$6,0))</f>
        <v>0</v>
      </c>
    </row>
    <row r="4890" customFormat="false" ht="15" hidden="false" customHeight="false" outlineLevel="0" collapsed="false">
      <c r="A4890" s="0" t="n">
        <v>4879</v>
      </c>
      <c r="B4890" s="15" t="n">
        <v>0.766236587115617</v>
      </c>
      <c r="C4890" s="18" t="n">
        <f aca="false">'Black-Scholes'!$B$5*EXP(('Black-Scholes'!$B$8-'Black-Scholes'!$B$10-'Black-Scholes'!$B$9^2/2)*'Black-Scholes'!$B$7+'Black-Scholes'!$B$9*SQRT('Black-Scholes'!$B$7)*B4890)</f>
        <v>120.111142713337</v>
      </c>
      <c r="D4890" s="18" t="n">
        <f aca="false">'Black-Scholes'!$B$5*EXP(('Black-Scholes'!$B$8-'Black-Scholes'!$B$10-'Black-Scholes'!$B$9^2/2)*'Black-Scholes'!$B$7-'Black-Scholes'!$B$9*SQRT('Black-Scholes'!$B$7)*B4890)</f>
        <v>88.40449957916</v>
      </c>
      <c r="E4890" s="18" t="n">
        <f aca="false">EXP(-'Black-Scholes'!$B$8*'Black-Scholes'!$B$7)*IF(LOWER('Black-Scholes'!$B$11)="put",MAX('Black-Scholes'!$B$6-C4890,0),MAX(C4890-'Black-Scholes'!$B$6,0))</f>
        <v>19.1303107092589</v>
      </c>
      <c r="F4890" s="18" t="n">
        <f aca="false">(E4890+G4890)/2</f>
        <v>9.56515535462945</v>
      </c>
      <c r="G4890" s="18" t="n">
        <f aca="false">EXP(-'Black-Scholes'!$B$8*'Black-Scholes'!$B$7)*IF(LOWER('Black-Scholes'!$B$11)="put",MAX('Black-Scholes'!$B$6-D4890,0),MAX(D4890-'Black-Scholes'!$B$6,0))</f>
        <v>0</v>
      </c>
    </row>
    <row r="4891" customFormat="false" ht="15" hidden="false" customHeight="false" outlineLevel="0" collapsed="false">
      <c r="A4891" s="0" t="n">
        <v>4880</v>
      </c>
      <c r="B4891" s="15" t="n">
        <v>0.276200273142899</v>
      </c>
      <c r="C4891" s="18" t="n">
        <f aca="false">'Black-Scholes'!$B$5*EXP(('Black-Scholes'!$B$8-'Black-Scholes'!$B$10-'Black-Scholes'!$B$9^2/2)*'Black-Scholes'!$B$7+'Black-Scholes'!$B$9*SQRT('Black-Scholes'!$B$7)*B4891)</f>
        <v>108.897844964131</v>
      </c>
      <c r="D4891" s="18" t="n">
        <f aca="false">'Black-Scholes'!$B$5*EXP(('Black-Scholes'!$B$8-'Black-Scholes'!$B$10-'Black-Scholes'!$B$9^2/2)*'Black-Scholes'!$B$7-'Black-Scholes'!$B$9*SQRT('Black-Scholes'!$B$7)*B4891)</f>
        <v>97.5075812469116</v>
      </c>
      <c r="E4891" s="18" t="n">
        <f aca="false">EXP(-'Black-Scholes'!$B$8*'Black-Scholes'!$B$7)*IF(LOWER('Black-Scholes'!$B$11)="put",MAX('Black-Scholes'!$B$6-C4891,0),MAX(C4891-'Black-Scholes'!$B$6,0))</f>
        <v>8.46389194452699</v>
      </c>
      <c r="F4891" s="18" t="n">
        <f aca="false">(E4891+G4891)/2</f>
        <v>4.23194597226349</v>
      </c>
      <c r="G4891" s="18" t="n">
        <f aca="false">EXP(-'Black-Scholes'!$B$8*'Black-Scholes'!$B$7)*IF(LOWER('Black-Scholes'!$B$11)="put",MAX('Black-Scholes'!$B$6-D4891,0),MAX(D4891-'Black-Scholes'!$B$6,0))</f>
        <v>0</v>
      </c>
    </row>
    <row r="4892" customFormat="false" ht="15" hidden="false" customHeight="false" outlineLevel="0" collapsed="false">
      <c r="A4892" s="0" t="n">
        <v>4881</v>
      </c>
      <c r="B4892" s="15" t="n">
        <v>-2.42545916742214</v>
      </c>
      <c r="C4892" s="18" t="n">
        <f aca="false">'Black-Scholes'!$B$5*EXP(('Black-Scholes'!$B$8-'Black-Scholes'!$B$10-'Black-Scholes'!$B$9^2/2)*'Black-Scholes'!$B$7+'Black-Scholes'!$B$9*SQRT('Black-Scholes'!$B$7)*B4892)</f>
        <v>63.4389707055835</v>
      </c>
      <c r="D4892" s="18" t="n">
        <f aca="false">'Black-Scholes'!$B$5*EXP(('Black-Scholes'!$B$8-'Black-Scholes'!$B$10-'Black-Scholes'!$B$9^2/2)*'Black-Scholes'!$B$7-'Black-Scholes'!$B$9*SQRT('Black-Scholes'!$B$7)*B4892)</f>
        <v>167.379220491026</v>
      </c>
      <c r="E4892" s="18" t="n">
        <f aca="false">EXP(-'Black-Scholes'!$B$8*'Black-Scholes'!$B$7)*IF(LOWER('Black-Scholes'!$B$11)="put",MAX('Black-Scholes'!$B$6-C4892,0),MAX(C4892-'Black-Scholes'!$B$6,0))</f>
        <v>0</v>
      </c>
      <c r="F4892" s="18" t="n">
        <f aca="false">(E4892+G4892)/2</f>
        <v>32.0465485654927</v>
      </c>
      <c r="G4892" s="18" t="n">
        <f aca="false">EXP(-'Black-Scholes'!$B$8*'Black-Scholes'!$B$7)*IF(LOWER('Black-Scholes'!$B$11)="put",MAX('Black-Scholes'!$B$6-D4892,0),MAX(D4892-'Black-Scholes'!$B$6,0))</f>
        <v>64.0930971309853</v>
      </c>
    </row>
    <row r="4893" customFormat="false" ht="15" hidden="false" customHeight="false" outlineLevel="0" collapsed="false">
      <c r="A4893" s="0" t="n">
        <v>4882</v>
      </c>
      <c r="B4893" s="15" t="n">
        <v>-1.42382971781382</v>
      </c>
      <c r="C4893" s="18" t="n">
        <f aca="false">'Black-Scholes'!$B$5*EXP(('Black-Scholes'!$B$8-'Black-Scholes'!$B$10-'Black-Scholes'!$B$9^2/2)*'Black-Scholes'!$B$7+'Black-Scholes'!$B$9*SQRT('Black-Scholes'!$B$7)*B4893)</f>
        <v>77.5097893383304</v>
      </c>
      <c r="D4893" s="18" t="n">
        <f aca="false">'Black-Scholes'!$B$5*EXP(('Black-Scholes'!$B$8-'Black-Scholes'!$B$10-'Black-Scholes'!$B$9^2/2)*'Black-Scholes'!$B$7-'Black-Scholes'!$B$9*SQRT('Black-Scholes'!$B$7)*B4893)</f>
        <v>136.993863047471</v>
      </c>
      <c r="E4893" s="18" t="n">
        <f aca="false">EXP(-'Black-Scholes'!$B$8*'Black-Scholes'!$B$7)*IF(LOWER('Black-Scholes'!$B$11)="put",MAX('Black-Scholes'!$B$6-C4893,0),MAX(C4893-'Black-Scholes'!$B$6,0))</f>
        <v>0</v>
      </c>
      <c r="F4893" s="18" t="n">
        <f aca="false">(E4893+G4893)/2</f>
        <v>17.5948255283522</v>
      </c>
      <c r="G4893" s="18" t="n">
        <f aca="false">EXP(-'Black-Scholes'!$B$8*'Black-Scholes'!$B$7)*IF(LOWER('Black-Scholes'!$B$11)="put",MAX('Black-Scholes'!$B$6-D4893,0),MAX(D4893-'Black-Scholes'!$B$6,0))</f>
        <v>35.1896510567045</v>
      </c>
    </row>
    <row r="4894" customFormat="false" ht="15" hidden="false" customHeight="false" outlineLevel="0" collapsed="false">
      <c r="A4894" s="0" t="n">
        <v>4883</v>
      </c>
      <c r="B4894" s="15" t="n">
        <v>0.738853545112556</v>
      </c>
      <c r="C4894" s="18" t="n">
        <f aca="false">'Black-Scholes'!$B$5*EXP(('Black-Scholes'!$B$8-'Black-Scholes'!$B$10-'Black-Scholes'!$B$9^2/2)*'Black-Scholes'!$B$7+'Black-Scholes'!$B$9*SQRT('Black-Scholes'!$B$7)*B4894)</f>
        <v>119.455138997515</v>
      </c>
      <c r="D4894" s="18" t="n">
        <f aca="false">'Black-Scholes'!$B$5*EXP(('Black-Scholes'!$B$8-'Black-Scholes'!$B$10-'Black-Scholes'!$B$9^2/2)*'Black-Scholes'!$B$7-'Black-Scholes'!$B$9*SQRT('Black-Scholes'!$B$7)*B4894)</f>
        <v>88.8899845964307</v>
      </c>
      <c r="E4894" s="18" t="n">
        <f aca="false">EXP(-'Black-Scholes'!$B$8*'Black-Scholes'!$B$7)*IF(LOWER('Black-Scholes'!$B$11)="put",MAX('Black-Scholes'!$B$6-C4894,0),MAX(C4894-'Black-Scholes'!$B$6,0))</f>
        <v>18.5063006721876</v>
      </c>
      <c r="F4894" s="18" t="n">
        <f aca="false">(E4894+G4894)/2</f>
        <v>9.25315033609379</v>
      </c>
      <c r="G4894" s="18" t="n">
        <f aca="false">EXP(-'Black-Scholes'!$B$8*'Black-Scholes'!$B$7)*IF(LOWER('Black-Scholes'!$B$11)="put",MAX('Black-Scholes'!$B$6-D4894,0),MAX(D4894-'Black-Scholes'!$B$6,0))</f>
        <v>0</v>
      </c>
    </row>
    <row r="4895" customFormat="false" ht="15" hidden="false" customHeight="false" outlineLevel="0" collapsed="false">
      <c r="A4895" s="0" t="n">
        <v>4884</v>
      </c>
      <c r="B4895" s="15" t="n">
        <v>-1.01449032132689</v>
      </c>
      <c r="C4895" s="18" t="n">
        <f aca="false">'Black-Scholes'!$B$5*EXP(('Black-Scholes'!$B$8-'Black-Scholes'!$B$10-'Black-Scholes'!$B$9^2/2)*'Black-Scholes'!$B$7+'Black-Scholes'!$B$9*SQRT('Black-Scholes'!$B$7)*B4895)</f>
        <v>84.1223361195545</v>
      </c>
      <c r="D4895" s="18" t="n">
        <f aca="false">'Black-Scholes'!$B$5*EXP(('Black-Scholes'!$B$8-'Black-Scholes'!$B$10-'Black-Scholes'!$B$9^2/2)*'Black-Scholes'!$B$7-'Black-Scholes'!$B$9*SQRT('Black-Scholes'!$B$7)*B4895)</f>
        <v>126.225280410221</v>
      </c>
      <c r="E4895" s="18" t="n">
        <f aca="false">EXP(-'Black-Scholes'!$B$8*'Black-Scholes'!$B$7)*IF(LOWER('Black-Scholes'!$B$11)="put",MAX('Black-Scholes'!$B$6-C4895,0),MAX(C4895-'Black-Scholes'!$B$6,0))</f>
        <v>0</v>
      </c>
      <c r="F4895" s="18" t="n">
        <f aca="false">(E4895+G4895)/2</f>
        <v>12.473129195992</v>
      </c>
      <c r="G4895" s="18" t="n">
        <f aca="false">EXP(-'Black-Scholes'!$B$8*'Black-Scholes'!$B$7)*IF(LOWER('Black-Scholes'!$B$11)="put",MAX('Black-Scholes'!$B$6-D4895,0),MAX(D4895-'Black-Scholes'!$B$6,0))</f>
        <v>24.9462583919841</v>
      </c>
    </row>
    <row r="4896" customFormat="false" ht="15" hidden="false" customHeight="false" outlineLevel="0" collapsed="false">
      <c r="A4896" s="0" t="n">
        <v>4885</v>
      </c>
      <c r="B4896" s="15" t="n">
        <v>-0.730354681319188</v>
      </c>
      <c r="C4896" s="18" t="n">
        <f aca="false">'Black-Scholes'!$B$5*EXP(('Black-Scholes'!$B$8-'Black-Scholes'!$B$10-'Black-Scholes'!$B$9^2/2)*'Black-Scholes'!$B$7+'Black-Scholes'!$B$9*SQRT('Black-Scholes'!$B$7)*B4896)</f>
        <v>89.0412058552454</v>
      </c>
      <c r="D4896" s="18" t="n">
        <f aca="false">'Black-Scholes'!$B$5*EXP(('Black-Scholes'!$B$8-'Black-Scholes'!$B$10-'Black-Scholes'!$B$9^2/2)*'Black-Scholes'!$B$7-'Black-Scholes'!$B$9*SQRT('Black-Scholes'!$B$7)*B4896)</f>
        <v>119.252264875163</v>
      </c>
      <c r="E4896" s="18" t="n">
        <f aca="false">EXP(-'Black-Scholes'!$B$8*'Black-Scholes'!$B$7)*IF(LOWER('Black-Scholes'!$B$11)="put",MAX('Black-Scholes'!$B$6-C4896,0),MAX(C4896-'Black-Scholes'!$B$6,0))</f>
        <v>0</v>
      </c>
      <c r="F4896" s="18" t="n">
        <f aca="false">(E4896+G4896)/2</f>
        <v>9.15666041876809</v>
      </c>
      <c r="G4896" s="18" t="n">
        <f aca="false">EXP(-'Black-Scholes'!$B$8*'Black-Scholes'!$B$7)*IF(LOWER('Black-Scholes'!$B$11)="put",MAX('Black-Scholes'!$B$6-D4896,0),MAX(D4896-'Black-Scholes'!$B$6,0))</f>
        <v>18.3133208375362</v>
      </c>
    </row>
    <row r="4897" customFormat="false" ht="15" hidden="false" customHeight="false" outlineLevel="0" collapsed="false">
      <c r="A4897" s="0" t="n">
        <v>4886</v>
      </c>
      <c r="B4897" s="15" t="n">
        <v>-0.807916121684775</v>
      </c>
      <c r="C4897" s="18" t="n">
        <f aca="false">'Black-Scholes'!$B$5*EXP(('Black-Scholes'!$B$8-'Black-Scholes'!$B$10-'Black-Scholes'!$B$9^2/2)*'Black-Scholes'!$B$7+'Black-Scholes'!$B$9*SQRT('Black-Scholes'!$B$7)*B4897)</f>
        <v>87.6706308800297</v>
      </c>
      <c r="D4897" s="18" t="n">
        <f aca="false">'Black-Scholes'!$B$5*EXP(('Black-Scholes'!$B$8-'Black-Scholes'!$B$10-'Black-Scholes'!$B$9^2/2)*'Black-Scholes'!$B$7-'Black-Scholes'!$B$9*SQRT('Black-Scholes'!$B$7)*B4897)</f>
        <v>121.116562740195</v>
      </c>
      <c r="E4897" s="18" t="n">
        <f aca="false">EXP(-'Black-Scholes'!$B$8*'Black-Scholes'!$B$7)*IF(LOWER('Black-Scholes'!$B$11)="put",MAX('Black-Scholes'!$B$6-C4897,0),MAX(C4897-'Black-Scholes'!$B$6,0))</f>
        <v>0</v>
      </c>
      <c r="F4897" s="18" t="n">
        <f aca="false">(E4897+G4897)/2</f>
        <v>10.0433479113945</v>
      </c>
      <c r="G4897" s="18" t="n">
        <f aca="false">EXP(-'Black-Scholes'!$B$8*'Black-Scholes'!$B$7)*IF(LOWER('Black-Scholes'!$B$11)="put",MAX('Black-Scholes'!$B$6-D4897,0),MAX(D4897-'Black-Scholes'!$B$6,0))</f>
        <v>20.0866958227889</v>
      </c>
    </row>
    <row r="4898" customFormat="false" ht="15" hidden="false" customHeight="false" outlineLevel="0" collapsed="false">
      <c r="A4898" s="0" t="n">
        <v>4887</v>
      </c>
      <c r="B4898" s="15" t="n">
        <v>0.672332149747349</v>
      </c>
      <c r="C4898" s="18" t="n">
        <f aca="false">'Black-Scholes'!$B$5*EXP(('Black-Scholes'!$B$8-'Black-Scholes'!$B$10-'Black-Scholes'!$B$9^2/2)*'Black-Scholes'!$B$7+'Black-Scholes'!$B$9*SQRT('Black-Scholes'!$B$7)*B4898)</f>
        <v>117.876399772043</v>
      </c>
      <c r="D4898" s="18" t="n">
        <f aca="false">'Black-Scholes'!$B$5*EXP(('Black-Scholes'!$B$8-'Black-Scholes'!$B$10-'Black-Scholes'!$B$9^2/2)*'Black-Scholes'!$B$7-'Black-Scholes'!$B$9*SQRT('Black-Scholes'!$B$7)*B4898)</f>
        <v>90.0805036969918</v>
      </c>
      <c r="E4898" s="18" t="n">
        <f aca="false">EXP(-'Black-Scholes'!$B$8*'Black-Scholes'!$B$7)*IF(LOWER('Black-Scholes'!$B$11)="put",MAX('Black-Scholes'!$B$6-C4898,0),MAX(C4898-'Black-Scholes'!$B$6,0))</f>
        <v>17.0045574673051</v>
      </c>
      <c r="F4898" s="18" t="n">
        <f aca="false">(E4898+G4898)/2</f>
        <v>8.50227873365257</v>
      </c>
      <c r="G4898" s="18" t="n">
        <f aca="false">EXP(-'Black-Scholes'!$B$8*'Black-Scholes'!$B$7)*IF(LOWER('Black-Scholes'!$B$11)="put",MAX('Black-Scholes'!$B$6-D4898,0),MAX(D4898-'Black-Scholes'!$B$6,0))</f>
        <v>0</v>
      </c>
    </row>
    <row r="4899" customFormat="false" ht="15" hidden="false" customHeight="false" outlineLevel="0" collapsed="false">
      <c r="A4899" s="0" t="n">
        <v>4888</v>
      </c>
      <c r="B4899" s="15" t="n">
        <v>1.56227785321358</v>
      </c>
      <c r="C4899" s="18" t="n">
        <f aca="false">'Black-Scholes'!$B$5*EXP(('Black-Scholes'!$B$8-'Black-Scholes'!$B$10-'Black-Scholes'!$B$9^2/2)*'Black-Scholes'!$B$7+'Black-Scholes'!$B$9*SQRT('Black-Scholes'!$B$7)*B4899)</f>
        <v>140.840177788635</v>
      </c>
      <c r="D4899" s="18" t="n">
        <f aca="false">'Black-Scholes'!$B$5*EXP(('Black-Scholes'!$B$8-'Black-Scholes'!$B$10-'Black-Scholes'!$B$9^2/2)*'Black-Scholes'!$B$7-'Black-Scholes'!$B$9*SQRT('Black-Scholes'!$B$7)*B4899)</f>
        <v>75.3930137846677</v>
      </c>
      <c r="E4899" s="18" t="n">
        <f aca="false">EXP(-'Black-Scholes'!$B$8*'Black-Scholes'!$B$7)*IF(LOWER('Black-Scholes'!$B$11)="put",MAX('Black-Scholes'!$B$6-C4899,0),MAX(C4899-'Black-Scholes'!$B$6,0))</f>
        <v>38.8483788143901</v>
      </c>
      <c r="F4899" s="18" t="n">
        <f aca="false">(E4899+G4899)/2</f>
        <v>19.424189407195</v>
      </c>
      <c r="G4899" s="18" t="n">
        <f aca="false">EXP(-'Black-Scholes'!$B$8*'Black-Scholes'!$B$7)*IF(LOWER('Black-Scholes'!$B$11)="put",MAX('Black-Scholes'!$B$6-D4899,0),MAX(D4899-'Black-Scholes'!$B$6,0))</f>
        <v>0</v>
      </c>
    </row>
    <row r="4900" customFormat="false" ht="15" hidden="false" customHeight="false" outlineLevel="0" collapsed="false">
      <c r="A4900" s="0" t="n">
        <v>4889</v>
      </c>
      <c r="B4900" s="15" t="n">
        <v>-0.973775891823725</v>
      </c>
      <c r="C4900" s="18" t="n">
        <f aca="false">'Black-Scholes'!$B$5*EXP(('Black-Scholes'!$B$8-'Black-Scholes'!$B$10-'Black-Scholes'!$B$9^2/2)*'Black-Scholes'!$B$7+'Black-Scholes'!$B$9*SQRT('Black-Scholes'!$B$7)*B4900)</f>
        <v>84.8101312223518</v>
      </c>
      <c r="D4900" s="18" t="n">
        <f aca="false">'Black-Scholes'!$B$5*EXP(('Black-Scholes'!$B$8-'Black-Scholes'!$B$10-'Black-Scholes'!$B$9^2/2)*'Black-Scholes'!$B$7-'Black-Scholes'!$B$9*SQRT('Black-Scholes'!$B$7)*B4900)</f>
        <v>125.201615802419</v>
      </c>
      <c r="E4900" s="18" t="n">
        <f aca="false">EXP(-'Black-Scholes'!$B$8*'Black-Scholes'!$B$7)*IF(LOWER('Black-Scholes'!$B$11)="put",MAX('Black-Scholes'!$B$6-C4900,0),MAX(C4900-'Black-Scholes'!$B$6,0))</f>
        <v>0</v>
      </c>
      <c r="F4900" s="18" t="n">
        <f aca="false">(E4900+G4900)/2</f>
        <v>11.9862592481114</v>
      </c>
      <c r="G4900" s="18" t="n">
        <f aca="false">EXP(-'Black-Scholes'!$B$8*'Black-Scholes'!$B$7)*IF(LOWER('Black-Scholes'!$B$11)="put",MAX('Black-Scholes'!$B$6-D4900,0),MAX(D4900-'Black-Scholes'!$B$6,0))</f>
        <v>23.9725184962228</v>
      </c>
    </row>
    <row r="4901" customFormat="false" ht="15" hidden="false" customHeight="false" outlineLevel="0" collapsed="false">
      <c r="A4901" s="0" t="n">
        <v>4890</v>
      </c>
      <c r="B4901" s="15" t="n">
        <v>-0.762741296805832</v>
      </c>
      <c r="C4901" s="18" t="n">
        <f aca="false">'Black-Scholes'!$B$5*EXP(('Black-Scholes'!$B$8-'Black-Scholes'!$B$10-'Black-Scholes'!$B$9^2/2)*'Black-Scholes'!$B$7+'Black-Scholes'!$B$9*SQRT('Black-Scholes'!$B$7)*B4901)</f>
        <v>88.4663210631899</v>
      </c>
      <c r="D4901" s="18" t="n">
        <f aca="false">'Black-Scholes'!$B$5*EXP(('Black-Scholes'!$B$8-'Black-Scholes'!$B$10-'Black-Scholes'!$B$9^2/2)*'Black-Scholes'!$B$7-'Black-Scholes'!$B$9*SQRT('Black-Scholes'!$B$7)*B4901)</f>
        <v>120.027207391942</v>
      </c>
      <c r="E4901" s="18" t="n">
        <f aca="false">EXP(-'Black-Scholes'!$B$8*'Black-Scholes'!$B$7)*IF(LOWER('Black-Scholes'!$B$11)="put",MAX('Black-Scholes'!$B$6-C4901,0),MAX(C4901-'Black-Scholes'!$B$6,0))</f>
        <v>0</v>
      </c>
      <c r="F4901" s="18" t="n">
        <f aca="false">(E4901+G4901)/2</f>
        <v>9.52523448089657</v>
      </c>
      <c r="G4901" s="18" t="n">
        <f aca="false">EXP(-'Black-Scholes'!$B$8*'Black-Scholes'!$B$7)*IF(LOWER('Black-Scholes'!$B$11)="put",MAX('Black-Scholes'!$B$6-D4901,0),MAX(D4901-'Black-Scholes'!$B$6,0))</f>
        <v>19.0504689617931</v>
      </c>
    </row>
    <row r="4902" customFormat="false" ht="15" hidden="false" customHeight="false" outlineLevel="0" collapsed="false">
      <c r="A4902" s="0" t="n">
        <v>4891</v>
      </c>
      <c r="B4902" s="15" t="n">
        <v>-0.46280023169256</v>
      </c>
      <c r="C4902" s="18" t="n">
        <f aca="false">'Black-Scholes'!$B$5*EXP(('Black-Scholes'!$B$8-'Black-Scholes'!$B$10-'Black-Scholes'!$B$9^2/2)*'Black-Scholes'!$B$7+'Black-Scholes'!$B$9*SQRT('Black-Scholes'!$B$7)*B4902)</f>
        <v>93.9356656192226</v>
      </c>
      <c r="D4902" s="18" t="n">
        <f aca="false">'Black-Scholes'!$B$5*EXP(('Black-Scholes'!$B$8-'Black-Scholes'!$B$10-'Black-Scholes'!$B$9^2/2)*'Black-Scholes'!$B$7-'Black-Scholes'!$B$9*SQRT('Black-Scholes'!$B$7)*B4902)</f>
        <v>113.038699363628</v>
      </c>
      <c r="E4902" s="18" t="n">
        <f aca="false">EXP(-'Black-Scholes'!$B$8*'Black-Scholes'!$B$7)*IF(LOWER('Black-Scholes'!$B$11)="put",MAX('Black-Scholes'!$B$6-C4902,0),MAX(C4902-'Black-Scholes'!$B$6,0))</f>
        <v>0</v>
      </c>
      <c r="F4902" s="18" t="n">
        <f aca="false">(E4902+G4902)/2</f>
        <v>6.20139724595088</v>
      </c>
      <c r="G4902" s="18" t="n">
        <f aca="false">EXP(-'Black-Scholes'!$B$8*'Black-Scholes'!$B$7)*IF(LOWER('Black-Scholes'!$B$11)="put",MAX('Black-Scholes'!$B$6-D4902,0),MAX(D4902-'Black-Scholes'!$B$6,0))</f>
        <v>12.4027944919018</v>
      </c>
    </row>
    <row r="4903" customFormat="false" ht="15" hidden="false" customHeight="false" outlineLevel="0" collapsed="false">
      <c r="A4903" s="0" t="n">
        <v>4892</v>
      </c>
      <c r="B4903" s="15" t="n">
        <v>-0.745506218710852</v>
      </c>
      <c r="C4903" s="18" t="n">
        <f aca="false">'Black-Scholes'!$B$5*EXP(('Black-Scholes'!$B$8-'Black-Scholes'!$B$10-'Black-Scholes'!$B$9^2/2)*'Black-Scholes'!$B$7+'Black-Scholes'!$B$9*SQRT('Black-Scholes'!$B$7)*B4903)</f>
        <v>88.7717920327866</v>
      </c>
      <c r="D4903" s="18" t="n">
        <f aca="false">'Black-Scholes'!$B$5*EXP(('Black-Scholes'!$B$8-'Black-Scholes'!$B$10-'Black-Scholes'!$B$9^2/2)*'Black-Scholes'!$B$7-'Black-Scholes'!$B$9*SQRT('Black-Scholes'!$B$7)*B4903)</f>
        <v>119.614183991373</v>
      </c>
      <c r="E4903" s="18" t="n">
        <f aca="false">EXP(-'Black-Scholes'!$B$8*'Black-Scholes'!$B$7)*IF(LOWER('Black-Scholes'!$B$11)="put",MAX('Black-Scholes'!$B$6-C4903,0),MAX(C4903-'Black-Scholes'!$B$6,0))</f>
        <v>0</v>
      </c>
      <c r="F4903" s="18" t="n">
        <f aca="false">(E4903+G4903)/2</f>
        <v>9.32879447508225</v>
      </c>
      <c r="G4903" s="18" t="n">
        <f aca="false">EXP(-'Black-Scholes'!$B$8*'Black-Scholes'!$B$7)*IF(LOWER('Black-Scholes'!$B$11)="put",MAX('Black-Scholes'!$B$6-D4903,0),MAX(D4903-'Black-Scholes'!$B$6,0))</f>
        <v>18.6575889501645</v>
      </c>
    </row>
    <row r="4904" customFormat="false" ht="15" hidden="false" customHeight="false" outlineLevel="0" collapsed="false">
      <c r="A4904" s="0" t="n">
        <v>4893</v>
      </c>
      <c r="B4904" s="15" t="n">
        <v>0.99983048614951</v>
      </c>
      <c r="C4904" s="18" t="n">
        <f aca="false">'Black-Scholes'!$B$5*EXP(('Black-Scholes'!$B$8-'Black-Scholes'!$B$10-'Black-Scholes'!$B$9^2/2)*'Black-Scholes'!$B$7+'Black-Scholes'!$B$9*SQRT('Black-Scholes'!$B$7)*B4904)</f>
        <v>125.8557340626</v>
      </c>
      <c r="D4904" s="18" t="n">
        <f aca="false">'Black-Scholes'!$B$5*EXP(('Black-Scholes'!$B$8-'Black-Scholes'!$B$10-'Black-Scholes'!$B$9^2/2)*'Black-Scholes'!$B$7-'Black-Scholes'!$B$9*SQRT('Black-Scholes'!$B$7)*B4904)</f>
        <v>84.3693419655559</v>
      </c>
      <c r="E4904" s="18" t="n">
        <f aca="false">EXP(-'Black-Scholes'!$B$8*'Black-Scholes'!$B$7)*IF(LOWER('Black-Scholes'!$B$11)="put",MAX('Black-Scholes'!$B$6-C4904,0),MAX(C4904-'Black-Scholes'!$B$6,0))</f>
        <v>24.5947350324109</v>
      </c>
      <c r="F4904" s="18" t="n">
        <f aca="false">(E4904+G4904)/2</f>
        <v>12.2973675162054</v>
      </c>
      <c r="G4904" s="18" t="n">
        <f aca="false">EXP(-'Black-Scholes'!$B$8*'Black-Scholes'!$B$7)*IF(LOWER('Black-Scholes'!$B$11)="put",MAX('Black-Scholes'!$B$6-D4904,0),MAX(D4904-'Black-Scholes'!$B$6,0))</f>
        <v>0</v>
      </c>
    </row>
    <row r="4905" customFormat="false" ht="15" hidden="false" customHeight="false" outlineLevel="0" collapsed="false">
      <c r="A4905" s="0" t="n">
        <v>4894</v>
      </c>
      <c r="B4905" s="15" t="n">
        <v>-0.861976470877826</v>
      </c>
      <c r="C4905" s="18" t="n">
        <f aca="false">'Black-Scholes'!$B$5*EXP(('Black-Scholes'!$B$8-'Black-Scholes'!$B$10-'Black-Scholes'!$B$9^2/2)*'Black-Scholes'!$B$7+'Black-Scholes'!$B$9*SQRT('Black-Scholes'!$B$7)*B4905)</f>
        <v>86.7278358633856</v>
      </c>
      <c r="D4905" s="18" t="n">
        <f aca="false">'Black-Scholes'!$B$5*EXP(('Black-Scholes'!$B$8-'Black-Scholes'!$B$10-'Black-Scholes'!$B$9^2/2)*'Black-Scholes'!$B$7-'Black-Scholes'!$B$9*SQRT('Black-Scholes'!$B$7)*B4905)</f>
        <v>122.433188373105</v>
      </c>
      <c r="E4905" s="18" t="n">
        <f aca="false">EXP(-'Black-Scholes'!$B$8*'Black-Scholes'!$B$7)*IF(LOWER('Black-Scholes'!$B$11)="put",MAX('Black-Scholes'!$B$6-C4905,0),MAX(C4905-'Black-Scholes'!$B$6,0))</f>
        <v>0</v>
      </c>
      <c r="F4905" s="18" t="n">
        <f aca="false">(E4905+G4905)/2</f>
        <v>10.6695544329323</v>
      </c>
      <c r="G4905" s="18" t="n">
        <f aca="false">EXP(-'Black-Scholes'!$B$8*'Black-Scholes'!$B$7)*IF(LOWER('Black-Scholes'!$B$11)="put",MAX('Black-Scholes'!$B$6-D4905,0),MAX(D4905-'Black-Scholes'!$B$6,0))</f>
        <v>21.3391088658646</v>
      </c>
    </row>
    <row r="4906" customFormat="false" ht="15" hidden="false" customHeight="false" outlineLevel="0" collapsed="false">
      <c r="A4906" s="0" t="n">
        <v>4895</v>
      </c>
      <c r="B4906" s="15" t="n">
        <v>0.652411167880579</v>
      </c>
      <c r="C4906" s="18" t="n">
        <f aca="false">'Black-Scholes'!$B$5*EXP(('Black-Scholes'!$B$8-'Black-Scholes'!$B$10-'Black-Scholes'!$B$9^2/2)*'Black-Scholes'!$B$7+'Black-Scholes'!$B$9*SQRT('Black-Scholes'!$B$7)*B4906)</f>
        <v>117.40769138072</v>
      </c>
      <c r="D4906" s="18" t="n">
        <f aca="false">'Black-Scholes'!$B$5*EXP(('Black-Scholes'!$B$8-'Black-Scholes'!$B$10-'Black-Scholes'!$B$9^2/2)*'Black-Scholes'!$B$7-'Black-Scholes'!$B$9*SQRT('Black-Scholes'!$B$7)*B4906)</f>
        <v>90.4401180244766</v>
      </c>
      <c r="E4906" s="18" t="n">
        <f aca="false">EXP(-'Black-Scholes'!$B$8*'Black-Scholes'!$B$7)*IF(LOWER('Black-Scholes'!$B$11)="put",MAX('Black-Scholes'!$B$6-C4906,0),MAX(C4906-'Black-Scholes'!$B$6,0))</f>
        <v>16.5587082539679</v>
      </c>
      <c r="F4906" s="18" t="n">
        <f aca="false">(E4906+G4906)/2</f>
        <v>8.27935412698395</v>
      </c>
      <c r="G4906" s="18" t="n">
        <f aca="false">EXP(-'Black-Scholes'!$B$8*'Black-Scholes'!$B$7)*IF(LOWER('Black-Scholes'!$B$11)="put",MAX('Black-Scholes'!$B$6-D4906,0),MAX(D4906-'Black-Scholes'!$B$6,0))</f>
        <v>0</v>
      </c>
    </row>
    <row r="4907" customFormat="false" ht="15" hidden="false" customHeight="false" outlineLevel="0" collapsed="false">
      <c r="A4907" s="0" t="n">
        <v>4896</v>
      </c>
      <c r="B4907" s="15" t="n">
        <v>0.0630403073884622</v>
      </c>
      <c r="C4907" s="18" t="n">
        <f aca="false">'Black-Scholes'!$B$5*EXP(('Black-Scholes'!$B$8-'Black-Scholes'!$B$10-'Black-Scholes'!$B$9^2/2)*'Black-Scholes'!$B$7+'Black-Scholes'!$B$9*SQRT('Black-Scholes'!$B$7)*B4907)</f>
        <v>104.352881554693</v>
      </c>
      <c r="D4907" s="18" t="n">
        <f aca="false">'Black-Scholes'!$B$5*EXP(('Black-Scholes'!$B$8-'Black-Scholes'!$B$10-'Black-Scholes'!$B$9^2/2)*'Black-Scholes'!$B$7-'Black-Scholes'!$B$9*SQRT('Black-Scholes'!$B$7)*B4907)</f>
        <v>101.754405889485</v>
      </c>
      <c r="E4907" s="18" t="n">
        <f aca="false">EXP(-'Black-Scholes'!$B$8*'Black-Scholes'!$B$7)*IF(LOWER('Black-Scholes'!$B$11)="put",MAX('Black-Scholes'!$B$6-C4907,0),MAX(C4907-'Black-Scholes'!$B$6,0))</f>
        <v>4.14058901619035</v>
      </c>
      <c r="F4907" s="18" t="n">
        <f aca="false">(E4907+G4907)/2</f>
        <v>2.90471576039298</v>
      </c>
      <c r="G4907" s="18" t="n">
        <f aca="false">EXP(-'Black-Scholes'!$B$8*'Black-Scholes'!$B$7)*IF(LOWER('Black-Scholes'!$B$11)="put",MAX('Black-Scholes'!$B$6-D4907,0),MAX(D4907-'Black-Scholes'!$B$6,0))</f>
        <v>1.66884250459561</v>
      </c>
    </row>
    <row r="4908" customFormat="false" ht="15" hidden="false" customHeight="false" outlineLevel="0" collapsed="false">
      <c r="A4908" s="0" t="n">
        <v>4897</v>
      </c>
      <c r="B4908" s="15" t="n">
        <v>0.694707772727287</v>
      </c>
      <c r="C4908" s="18" t="n">
        <f aca="false">'Black-Scholes'!$B$5*EXP(('Black-Scholes'!$B$8-'Black-Scholes'!$B$10-'Black-Scholes'!$B$9^2/2)*'Black-Scholes'!$B$7+'Black-Scholes'!$B$9*SQRT('Black-Scholes'!$B$7)*B4908)</f>
        <v>118.405093450658</v>
      </c>
      <c r="D4908" s="18" t="n">
        <f aca="false">'Black-Scholes'!$B$5*EXP(('Black-Scholes'!$B$8-'Black-Scholes'!$B$10-'Black-Scholes'!$B$9^2/2)*'Black-Scholes'!$B$7-'Black-Scholes'!$B$9*SQRT('Black-Scholes'!$B$7)*B4908)</f>
        <v>89.6782828846676</v>
      </c>
      <c r="E4908" s="18" t="n">
        <f aca="false">EXP(-'Black-Scholes'!$B$8*'Black-Scholes'!$B$7)*IF(LOWER('Black-Scholes'!$B$11)="put",MAX('Black-Scholes'!$B$6-C4908,0),MAX(C4908-'Black-Scholes'!$B$6,0))</f>
        <v>17.5074664509511</v>
      </c>
      <c r="F4908" s="18" t="n">
        <f aca="false">(E4908+G4908)/2</f>
        <v>8.75373322547556</v>
      </c>
      <c r="G4908" s="18" t="n">
        <f aca="false">EXP(-'Black-Scholes'!$B$8*'Black-Scholes'!$B$7)*IF(LOWER('Black-Scholes'!$B$11)="put",MAX('Black-Scholes'!$B$6-D4908,0),MAX(D4908-'Black-Scholes'!$B$6,0))</f>
        <v>0</v>
      </c>
    </row>
    <row r="4909" customFormat="false" ht="15" hidden="false" customHeight="false" outlineLevel="0" collapsed="false">
      <c r="A4909" s="0" t="n">
        <v>4898</v>
      </c>
      <c r="B4909" s="15" t="n">
        <v>-0.852633195303868</v>
      </c>
      <c r="C4909" s="18" t="n">
        <f aca="false">'Black-Scholes'!$B$5*EXP(('Black-Scholes'!$B$8-'Black-Scholes'!$B$10-'Black-Scholes'!$B$9^2/2)*'Black-Scholes'!$B$7+'Black-Scholes'!$B$9*SQRT('Black-Scholes'!$B$7)*B4909)</f>
        <v>86.8900517930767</v>
      </c>
      <c r="D4909" s="18" t="n">
        <f aca="false">'Black-Scholes'!$B$5*EXP(('Black-Scholes'!$B$8-'Black-Scholes'!$B$10-'Black-Scholes'!$B$9^2/2)*'Black-Scholes'!$B$7-'Black-Scholes'!$B$9*SQRT('Black-Scholes'!$B$7)*B4909)</f>
        <v>122.204616596852</v>
      </c>
      <c r="E4909" s="18" t="n">
        <f aca="false">EXP(-'Black-Scholes'!$B$8*'Black-Scholes'!$B$7)*IF(LOWER('Black-Scholes'!$B$11)="put",MAX('Black-Scholes'!$B$6-C4909,0),MAX(C4909-'Black-Scholes'!$B$6,0))</f>
        <v>0</v>
      </c>
      <c r="F4909" s="18" t="n">
        <f aca="false">(E4909+G4909)/2</f>
        <v>10.5608423333415</v>
      </c>
      <c r="G4909" s="18" t="n">
        <f aca="false">EXP(-'Black-Scholes'!$B$8*'Black-Scholes'!$B$7)*IF(LOWER('Black-Scholes'!$B$11)="put",MAX('Black-Scholes'!$B$6-D4909,0),MAX(D4909-'Black-Scholes'!$B$6,0))</f>
        <v>21.121684666683</v>
      </c>
    </row>
    <row r="4910" customFormat="false" ht="15" hidden="false" customHeight="false" outlineLevel="0" collapsed="false">
      <c r="A4910" s="0" t="n">
        <v>4899</v>
      </c>
      <c r="B4910" s="15" t="n">
        <v>-0.614372530294552</v>
      </c>
      <c r="C4910" s="18" t="n">
        <f aca="false">'Black-Scholes'!$B$5*EXP(('Black-Scholes'!$B$8-'Black-Scholes'!$B$10-'Black-Scholes'!$B$9^2/2)*'Black-Scholes'!$B$7+'Black-Scholes'!$B$9*SQRT('Black-Scholes'!$B$7)*B4910)</f>
        <v>91.1307856734958</v>
      </c>
      <c r="D4910" s="18" t="n">
        <f aca="false">'Black-Scholes'!$B$5*EXP(('Black-Scholes'!$B$8-'Black-Scholes'!$B$10-'Black-Scholes'!$B$9^2/2)*'Black-Scholes'!$B$7-'Black-Scholes'!$B$9*SQRT('Black-Scholes'!$B$7)*B4910)</f>
        <v>116.517874689429</v>
      </c>
      <c r="E4910" s="18" t="n">
        <f aca="false">EXP(-'Black-Scholes'!$B$8*'Black-Scholes'!$B$7)*IF(LOWER('Black-Scholes'!$B$11)="put",MAX('Black-Scholes'!$B$6-C4910,0),MAX(C4910-'Black-Scholes'!$B$6,0))</f>
        <v>0</v>
      </c>
      <c r="F4910" s="18" t="n">
        <f aca="false">(E4910+G4910)/2</f>
        <v>7.85614421740024</v>
      </c>
      <c r="G4910" s="18" t="n">
        <f aca="false">EXP(-'Black-Scholes'!$B$8*'Black-Scholes'!$B$7)*IF(LOWER('Black-Scholes'!$B$11)="put",MAX('Black-Scholes'!$B$6-D4910,0),MAX(D4910-'Black-Scholes'!$B$6,0))</f>
        <v>15.7122884348005</v>
      </c>
    </row>
    <row r="4911" customFormat="false" ht="15" hidden="false" customHeight="false" outlineLevel="0" collapsed="false">
      <c r="A4911" s="0" t="n">
        <v>4900</v>
      </c>
      <c r="B4911" s="15" t="n">
        <v>-0.559671137031432</v>
      </c>
      <c r="C4911" s="18" t="n">
        <f aca="false">'Black-Scholes'!$B$5*EXP(('Black-Scholes'!$B$8-'Black-Scholes'!$B$10-'Black-Scholes'!$B$9^2/2)*'Black-Scholes'!$B$7+'Black-Scholes'!$B$9*SQRT('Black-Scholes'!$B$7)*B4911)</f>
        <v>92.1332555135358</v>
      </c>
      <c r="D4911" s="18" t="n">
        <f aca="false">'Black-Scholes'!$B$5*EXP(('Black-Scholes'!$B$8-'Black-Scholes'!$B$10-'Black-Scholes'!$B$9^2/2)*'Black-Scholes'!$B$7-'Black-Scholes'!$B$9*SQRT('Black-Scholes'!$B$7)*B4911)</f>
        <v>115.250084307437</v>
      </c>
      <c r="E4911" s="18" t="n">
        <f aca="false">EXP(-'Black-Scholes'!$B$8*'Black-Scholes'!$B$7)*IF(LOWER('Black-Scholes'!$B$11)="put",MAX('Black-Scholes'!$B$6-C4911,0),MAX(C4911-'Black-Scholes'!$B$6,0))</f>
        <v>0</v>
      </c>
      <c r="F4911" s="18" t="n">
        <f aca="false">(E4911+G4911)/2</f>
        <v>7.25316445967511</v>
      </c>
      <c r="G4911" s="18" t="n">
        <f aca="false">EXP(-'Black-Scholes'!$B$8*'Black-Scholes'!$B$7)*IF(LOWER('Black-Scholes'!$B$11)="put",MAX('Black-Scholes'!$B$6-D4911,0),MAX(D4911-'Black-Scholes'!$B$6,0))</f>
        <v>14.5063289193502</v>
      </c>
    </row>
    <row r="4912" customFormat="false" ht="15" hidden="false" customHeight="false" outlineLevel="0" collapsed="false">
      <c r="A4912" s="0" t="n">
        <v>4901</v>
      </c>
      <c r="B4912" s="15" t="n">
        <v>0.989136959387326</v>
      </c>
      <c r="C4912" s="18" t="n">
        <f aca="false">'Black-Scholes'!$B$5*EXP(('Black-Scholes'!$B$8-'Black-Scholes'!$B$10-'Black-Scholes'!$B$9^2/2)*'Black-Scholes'!$B$7+'Black-Scholes'!$B$9*SQRT('Black-Scholes'!$B$7)*B4912)</f>
        <v>125.586853361313</v>
      </c>
      <c r="D4912" s="18" t="n">
        <f aca="false">'Black-Scholes'!$B$5*EXP(('Black-Scholes'!$B$8-'Black-Scholes'!$B$10-'Black-Scholes'!$B$9^2/2)*'Black-Scholes'!$B$7-'Black-Scholes'!$B$9*SQRT('Black-Scholes'!$B$7)*B4912)</f>
        <v>84.5499762216718</v>
      </c>
      <c r="E4912" s="18" t="n">
        <f aca="false">EXP(-'Black-Scholes'!$B$8*'Black-Scholes'!$B$7)*IF(LOWER('Black-Scholes'!$B$11)="put",MAX('Black-Scholes'!$B$6-C4912,0),MAX(C4912-'Black-Scholes'!$B$6,0))</f>
        <v>24.338967797666</v>
      </c>
      <c r="F4912" s="18" t="n">
        <f aca="false">(E4912+G4912)/2</f>
        <v>12.169483898833</v>
      </c>
      <c r="G4912" s="18" t="n">
        <f aca="false">EXP(-'Black-Scholes'!$B$8*'Black-Scholes'!$B$7)*IF(LOWER('Black-Scholes'!$B$11)="put",MAX('Black-Scholes'!$B$6-D4912,0),MAX(D4912-'Black-Scholes'!$B$6,0))</f>
        <v>0</v>
      </c>
    </row>
    <row r="4913" customFormat="false" ht="15" hidden="false" customHeight="false" outlineLevel="0" collapsed="false">
      <c r="A4913" s="0" t="n">
        <v>4902</v>
      </c>
      <c r="B4913" s="15" t="n">
        <v>-0.145524468033956</v>
      </c>
      <c r="C4913" s="18" t="n">
        <f aca="false">'Black-Scholes'!$B$5*EXP(('Black-Scholes'!$B$8-'Black-Scholes'!$B$10-'Black-Scholes'!$B$9^2/2)*'Black-Scholes'!$B$7+'Black-Scholes'!$B$9*SQRT('Black-Scholes'!$B$7)*B4913)</f>
        <v>100.089550712049</v>
      </c>
      <c r="D4913" s="18" t="n">
        <f aca="false">'Black-Scholes'!$B$5*EXP(('Black-Scholes'!$B$8-'Black-Scholes'!$B$10-'Black-Scholes'!$B$9^2/2)*'Black-Scholes'!$B$7-'Black-Scholes'!$B$9*SQRT('Black-Scholes'!$B$7)*B4913)</f>
        <v>106.088651511704</v>
      </c>
      <c r="E4913" s="18" t="n">
        <f aca="false">EXP(-'Black-Scholes'!$B$8*'Black-Scholes'!$B$7)*IF(LOWER('Black-Scholes'!$B$11)="put",MAX('Black-Scholes'!$B$6-C4913,0),MAX(C4913-'Black-Scholes'!$B$6,0))</f>
        <v>0.0851832722862058</v>
      </c>
      <c r="F4913" s="18" t="n">
        <f aca="false">(E4913+G4913)/2</f>
        <v>2.93844387287482</v>
      </c>
      <c r="G4913" s="18" t="n">
        <f aca="false">EXP(-'Black-Scholes'!$B$8*'Black-Scholes'!$B$7)*IF(LOWER('Black-Scholes'!$B$11)="put",MAX('Black-Scholes'!$B$6-D4913,0),MAX(D4913-'Black-Scholes'!$B$6,0))</f>
        <v>5.79170447346344</v>
      </c>
    </row>
    <row r="4914" customFormat="false" ht="15" hidden="false" customHeight="false" outlineLevel="0" collapsed="false">
      <c r="A4914" s="0" t="n">
        <v>4903</v>
      </c>
      <c r="B4914" s="15" t="n">
        <v>1.19132579562004</v>
      </c>
      <c r="C4914" s="18" t="n">
        <f aca="false">'Black-Scholes'!$B$5*EXP(('Black-Scholes'!$B$8-'Black-Scholes'!$B$10-'Black-Scholes'!$B$9^2/2)*'Black-Scholes'!$B$7+'Black-Scholes'!$B$9*SQRT('Black-Scholes'!$B$7)*B4914)</f>
        <v>130.769384100079</v>
      </c>
      <c r="D4914" s="18" t="n">
        <f aca="false">'Black-Scholes'!$B$5*EXP(('Black-Scholes'!$B$8-'Black-Scholes'!$B$10-'Black-Scholes'!$B$9^2/2)*'Black-Scholes'!$B$7-'Black-Scholes'!$B$9*SQRT('Black-Scholes'!$B$7)*B4914)</f>
        <v>81.1991701155927</v>
      </c>
      <c r="E4914" s="18" t="n">
        <f aca="false">EXP(-'Black-Scholes'!$B$8*'Black-Scholes'!$B$7)*IF(LOWER('Black-Scholes'!$B$11)="put",MAX('Black-Scholes'!$B$6-C4914,0),MAX(C4914-'Black-Scholes'!$B$6,0))</f>
        <v>29.2687435297596</v>
      </c>
      <c r="F4914" s="18" t="n">
        <f aca="false">(E4914+G4914)/2</f>
        <v>14.6343717648798</v>
      </c>
      <c r="G4914" s="18" t="n">
        <f aca="false">EXP(-'Black-Scholes'!$B$8*'Black-Scholes'!$B$7)*IF(LOWER('Black-Scholes'!$B$11)="put",MAX('Black-Scholes'!$B$6-D4914,0),MAX(D4914-'Black-Scholes'!$B$6,0))</f>
        <v>0</v>
      </c>
    </row>
    <row r="4915" customFormat="false" ht="15" hidden="false" customHeight="false" outlineLevel="0" collapsed="false">
      <c r="A4915" s="0" t="n">
        <v>4904</v>
      </c>
      <c r="B4915" s="15" t="n">
        <v>-0.900347042401283</v>
      </c>
      <c r="C4915" s="18" t="n">
        <f aca="false">'Black-Scholes'!$B$5*EXP(('Black-Scholes'!$B$8-'Black-Scholes'!$B$10-'Black-Scholes'!$B$9^2/2)*'Black-Scholes'!$B$7+'Black-Scholes'!$B$9*SQRT('Black-Scholes'!$B$7)*B4915)</f>
        <v>86.0648238065668</v>
      </c>
      <c r="D4915" s="18" t="n">
        <f aca="false">'Black-Scholes'!$B$5*EXP(('Black-Scholes'!$B$8-'Black-Scholes'!$B$10-'Black-Scholes'!$B$9^2/2)*'Black-Scholes'!$B$7-'Black-Scholes'!$B$9*SQRT('Black-Scholes'!$B$7)*B4915)</f>
        <v>123.376369064772</v>
      </c>
      <c r="E4915" s="18" t="n">
        <f aca="false">EXP(-'Black-Scholes'!$B$8*'Black-Scholes'!$B$7)*IF(LOWER('Black-Scholes'!$B$11)="put",MAX('Black-Scholes'!$B$6-C4915,0),MAX(C4915-'Black-Scholes'!$B$6,0))</f>
        <v>0</v>
      </c>
      <c r="F4915" s="18" t="n">
        <f aca="false">(E4915+G4915)/2</f>
        <v>11.1181450461999</v>
      </c>
      <c r="G4915" s="18" t="n">
        <f aca="false">EXP(-'Black-Scholes'!$B$8*'Black-Scholes'!$B$7)*IF(LOWER('Black-Scholes'!$B$11)="put",MAX('Black-Scholes'!$B$6-D4915,0),MAX(D4915-'Black-Scholes'!$B$6,0))</f>
        <v>22.2362900923998</v>
      </c>
    </row>
    <row r="4916" customFormat="false" ht="15" hidden="false" customHeight="false" outlineLevel="0" collapsed="false">
      <c r="A4916" s="0" t="n">
        <v>4905</v>
      </c>
      <c r="B4916" s="15" t="n">
        <v>-0.825340398365633</v>
      </c>
      <c r="C4916" s="18" t="n">
        <f aca="false">'Black-Scholes'!$B$5*EXP(('Black-Scholes'!$B$8-'Black-Scholes'!$B$10-'Black-Scholes'!$B$9^2/2)*'Black-Scholes'!$B$7+'Black-Scholes'!$B$9*SQRT('Black-Scholes'!$B$7)*B4916)</f>
        <v>87.3656431419083</v>
      </c>
      <c r="D4916" s="18" t="n">
        <f aca="false">'Black-Scholes'!$B$5*EXP(('Black-Scholes'!$B$8-'Black-Scholes'!$B$10-'Black-Scholes'!$B$9^2/2)*'Black-Scholes'!$B$7-'Black-Scholes'!$B$9*SQRT('Black-Scholes'!$B$7)*B4916)</f>
        <v>121.539372728089</v>
      </c>
      <c r="E4916" s="18" t="n">
        <f aca="false">EXP(-'Black-Scholes'!$B$8*'Black-Scholes'!$B$7)*IF(LOWER('Black-Scholes'!$B$11)="put",MAX('Black-Scholes'!$B$6-C4916,0),MAX(C4916-'Black-Scholes'!$B$6,0))</f>
        <v>0</v>
      </c>
      <c r="F4916" s="18" t="n">
        <f aca="false">(E4916+G4916)/2</f>
        <v>10.2444425621232</v>
      </c>
      <c r="G4916" s="18" t="n">
        <f aca="false">EXP(-'Black-Scholes'!$B$8*'Black-Scholes'!$B$7)*IF(LOWER('Black-Scholes'!$B$11)="put",MAX('Black-Scholes'!$B$6-D4916,0),MAX(D4916-'Black-Scholes'!$B$6,0))</f>
        <v>20.4888851242464</v>
      </c>
    </row>
    <row r="4917" customFormat="false" ht="15" hidden="false" customHeight="false" outlineLevel="0" collapsed="false">
      <c r="A4917" s="0" t="n">
        <v>4906</v>
      </c>
      <c r="B4917" s="15" t="n">
        <v>-0.622310520297338</v>
      </c>
      <c r="C4917" s="18" t="n">
        <f aca="false">'Black-Scholes'!$B$5*EXP(('Black-Scholes'!$B$8-'Black-Scholes'!$B$10-'Black-Scholes'!$B$9^2/2)*'Black-Scholes'!$B$7+'Black-Scholes'!$B$9*SQRT('Black-Scholes'!$B$7)*B4917)</f>
        <v>90.9862214057067</v>
      </c>
      <c r="D4917" s="18" t="n">
        <f aca="false">'Black-Scholes'!$B$5*EXP(('Black-Scholes'!$B$8-'Black-Scholes'!$B$10-'Black-Scholes'!$B$9^2/2)*'Black-Scholes'!$B$7-'Black-Scholes'!$B$9*SQRT('Black-Scholes'!$B$7)*B4917)</f>
        <v>116.703005151806</v>
      </c>
      <c r="E4917" s="18" t="n">
        <f aca="false">EXP(-'Black-Scholes'!$B$8*'Black-Scholes'!$B$7)*IF(LOWER('Black-Scholes'!$B$11)="put",MAX('Black-Scholes'!$B$6-C4917,0),MAX(C4917-'Black-Scholes'!$B$6,0))</f>
        <v>0</v>
      </c>
      <c r="F4917" s="18" t="n">
        <f aca="false">(E4917+G4917)/2</f>
        <v>7.94419498899266</v>
      </c>
      <c r="G4917" s="18" t="n">
        <f aca="false">EXP(-'Black-Scholes'!$B$8*'Black-Scholes'!$B$7)*IF(LOWER('Black-Scholes'!$B$11)="put",MAX('Black-Scholes'!$B$6-D4917,0),MAX(D4917-'Black-Scholes'!$B$6,0))</f>
        <v>15.8883899779853</v>
      </c>
    </row>
    <row r="4918" customFormat="false" ht="15" hidden="false" customHeight="false" outlineLevel="0" collapsed="false">
      <c r="A4918" s="0" t="n">
        <v>4907</v>
      </c>
      <c r="B4918" s="15" t="n">
        <v>-0.256604486707685</v>
      </c>
      <c r="C4918" s="18" t="n">
        <f aca="false">'Black-Scholes'!$B$5*EXP(('Black-Scholes'!$B$8-'Black-Scholes'!$B$10-'Black-Scholes'!$B$9^2/2)*'Black-Scholes'!$B$7+'Black-Scholes'!$B$9*SQRT('Black-Scholes'!$B$7)*B4918)</f>
        <v>97.8904786219141</v>
      </c>
      <c r="D4918" s="18" t="n">
        <f aca="false">'Black-Scholes'!$B$5*EXP(('Black-Scholes'!$B$8-'Black-Scholes'!$B$10-'Black-Scholes'!$B$9^2/2)*'Black-Scholes'!$B$7-'Black-Scholes'!$B$9*SQRT('Black-Scholes'!$B$7)*B4918)</f>
        <v>108.471892414228</v>
      </c>
      <c r="E4918" s="18" t="n">
        <f aca="false">EXP(-'Black-Scholes'!$B$8*'Black-Scholes'!$B$7)*IF(LOWER('Black-Scholes'!$B$11)="put",MAX('Black-Scholes'!$B$6-C4918,0),MAX(C4918-'Black-Scholes'!$B$6,0))</f>
        <v>0</v>
      </c>
      <c r="F4918" s="18" t="n">
        <f aca="false">(E4918+G4918)/2</f>
        <v>4.02935667280923</v>
      </c>
      <c r="G4918" s="18" t="n">
        <f aca="false">EXP(-'Black-Scholes'!$B$8*'Black-Scholes'!$B$7)*IF(LOWER('Black-Scholes'!$B$11)="put",MAX('Black-Scholes'!$B$6-D4918,0),MAX(D4918-'Black-Scholes'!$B$6,0))</f>
        <v>8.05871334561845</v>
      </c>
    </row>
    <row r="4919" customFormat="false" ht="15" hidden="false" customHeight="false" outlineLevel="0" collapsed="false">
      <c r="A4919" s="0" t="n">
        <v>4908</v>
      </c>
      <c r="B4919" s="15" t="n">
        <v>-1.03398430485109</v>
      </c>
      <c r="C4919" s="18" t="n">
        <f aca="false">'Black-Scholes'!$B$5*EXP(('Black-Scholes'!$B$8-'Black-Scholes'!$B$10-'Black-Scholes'!$B$9^2/2)*'Black-Scholes'!$B$7+'Black-Scholes'!$B$9*SQRT('Black-Scholes'!$B$7)*B4919)</f>
        <v>83.7949987582449</v>
      </c>
      <c r="D4919" s="18" t="n">
        <f aca="false">'Black-Scholes'!$B$5*EXP(('Black-Scholes'!$B$8-'Black-Scholes'!$B$10-'Black-Scholes'!$B$9^2/2)*'Black-Scholes'!$B$7-'Black-Scholes'!$B$9*SQRT('Black-Scholes'!$B$7)*B4919)</f>
        <v>126.718367716532</v>
      </c>
      <c r="E4919" s="18" t="n">
        <f aca="false">EXP(-'Black-Scholes'!$B$8*'Black-Scholes'!$B$7)*IF(LOWER('Black-Scholes'!$B$11)="put",MAX('Black-Scholes'!$B$6-C4919,0),MAX(C4919-'Black-Scholes'!$B$6,0))</f>
        <v>0</v>
      </c>
      <c r="F4919" s="18" t="n">
        <f aca="false">(E4919+G4919)/2</f>
        <v>12.7076487732974</v>
      </c>
      <c r="G4919" s="18" t="n">
        <f aca="false">EXP(-'Black-Scholes'!$B$8*'Black-Scholes'!$B$7)*IF(LOWER('Black-Scholes'!$B$11)="put",MAX('Black-Scholes'!$B$6-D4919,0),MAX(D4919-'Black-Scholes'!$B$6,0))</f>
        <v>25.4152975465949</v>
      </c>
    </row>
    <row r="4920" customFormat="false" ht="15" hidden="false" customHeight="false" outlineLevel="0" collapsed="false">
      <c r="A4920" s="0" t="n">
        <v>4909</v>
      </c>
      <c r="B4920" s="15" t="n">
        <v>0.194079284279193</v>
      </c>
      <c r="C4920" s="18" t="n">
        <f aca="false">'Black-Scholes'!$B$5*EXP(('Black-Scholes'!$B$8-'Black-Scholes'!$B$10-'Black-Scholes'!$B$9^2/2)*'Black-Scholes'!$B$7+'Black-Scholes'!$B$9*SQRT('Black-Scholes'!$B$7)*B4920)</f>
        <v>107.123892968041</v>
      </c>
      <c r="D4920" s="18" t="n">
        <f aca="false">'Black-Scholes'!$B$5*EXP(('Black-Scholes'!$B$8-'Black-Scholes'!$B$10-'Black-Scholes'!$B$9^2/2)*'Black-Scholes'!$B$7-'Black-Scholes'!$B$9*SQRT('Black-Scholes'!$B$7)*B4920)</f>
        <v>99.1222888867697</v>
      </c>
      <c r="E4920" s="18" t="n">
        <f aca="false">EXP(-'Black-Scholes'!$B$8*'Black-Scholes'!$B$7)*IF(LOWER('Black-Scholes'!$B$11)="put",MAX('Black-Scholes'!$B$6-C4920,0),MAX(C4920-'Black-Scholes'!$B$6,0))</f>
        <v>6.77645660819465</v>
      </c>
      <c r="F4920" s="18" t="n">
        <f aca="false">(E4920+G4920)/2</f>
        <v>3.38822830409733</v>
      </c>
      <c r="G4920" s="18" t="n">
        <f aca="false">EXP(-'Black-Scholes'!$B$8*'Black-Scholes'!$B$7)*IF(LOWER('Black-Scholes'!$B$11)="put",MAX('Black-Scholes'!$B$6-D4920,0),MAX(D4920-'Black-Scholes'!$B$6,0))</f>
        <v>0</v>
      </c>
    </row>
    <row r="4921" customFormat="false" ht="15" hidden="false" customHeight="false" outlineLevel="0" collapsed="false">
      <c r="A4921" s="0" t="n">
        <v>4910</v>
      </c>
      <c r="B4921" s="15" t="n">
        <v>-1.10975042746504</v>
      </c>
      <c r="C4921" s="18" t="n">
        <f aca="false">'Black-Scholes'!$B$5*EXP(('Black-Scholes'!$B$8-'Black-Scholes'!$B$10-'Black-Scholes'!$B$9^2/2)*'Black-Scholes'!$B$7+'Black-Scholes'!$B$9*SQRT('Black-Scholes'!$B$7)*B4921)</f>
        <v>82.5348064305266</v>
      </c>
      <c r="D4921" s="18" t="n">
        <f aca="false">'Black-Scholes'!$B$5*EXP(('Black-Scholes'!$B$8-'Black-Scholes'!$B$10-'Black-Scholes'!$B$9^2/2)*'Black-Scholes'!$B$7-'Black-Scholes'!$B$9*SQRT('Black-Scholes'!$B$7)*B4921)</f>
        <v>128.653181908067</v>
      </c>
      <c r="E4921" s="18" t="n">
        <f aca="false">EXP(-'Black-Scholes'!$B$8*'Black-Scholes'!$B$7)*IF(LOWER('Black-Scholes'!$B$11)="put",MAX('Black-Scholes'!$B$6-C4921,0),MAX(C4921-'Black-Scholes'!$B$6,0))</f>
        <v>0</v>
      </c>
      <c r="F4921" s="18" t="n">
        <f aca="false">(E4921+G4921)/2</f>
        <v>13.6278748682622</v>
      </c>
      <c r="G4921" s="18" t="n">
        <f aca="false">EXP(-'Black-Scholes'!$B$8*'Black-Scholes'!$B$7)*IF(LOWER('Black-Scholes'!$B$11)="put",MAX('Black-Scholes'!$B$6-D4921,0),MAX(D4921-'Black-Scholes'!$B$6,0))</f>
        <v>27.2557497365245</v>
      </c>
    </row>
    <row r="4922" customFormat="false" ht="15" hidden="false" customHeight="false" outlineLevel="0" collapsed="false">
      <c r="A4922" s="0" t="n">
        <v>4911</v>
      </c>
      <c r="B4922" s="15" t="n">
        <v>-0.977031427077522</v>
      </c>
      <c r="C4922" s="18" t="n">
        <f aca="false">'Black-Scholes'!$B$5*EXP(('Black-Scholes'!$B$8-'Black-Scholes'!$B$10-'Black-Scholes'!$B$9^2/2)*'Black-Scholes'!$B$7+'Black-Scholes'!$B$9*SQRT('Black-Scholes'!$B$7)*B4922)</f>
        <v>84.7549287212561</v>
      </c>
      <c r="D4922" s="18" t="n">
        <f aca="false">'Black-Scholes'!$B$5*EXP(('Black-Scholes'!$B$8-'Black-Scholes'!$B$10-'Black-Scholes'!$B$9^2/2)*'Black-Scholes'!$B$7-'Black-Scholes'!$B$9*SQRT('Black-Scholes'!$B$7)*B4922)</f>
        <v>125.283162002006</v>
      </c>
      <c r="E4922" s="18" t="n">
        <f aca="false">EXP(-'Black-Scholes'!$B$8*'Black-Scholes'!$B$7)*IF(LOWER('Black-Scholes'!$B$11)="put",MAX('Black-Scholes'!$B$6-C4922,0),MAX(C4922-'Black-Scholes'!$B$6,0))</f>
        <v>0</v>
      </c>
      <c r="F4922" s="18" t="n">
        <f aca="false">(E4922+G4922)/2</f>
        <v>12.0250438203632</v>
      </c>
      <c r="G4922" s="18" t="n">
        <f aca="false">EXP(-'Black-Scholes'!$B$8*'Black-Scholes'!$B$7)*IF(LOWER('Black-Scholes'!$B$11)="put",MAX('Black-Scholes'!$B$6-D4922,0),MAX(D4922-'Black-Scholes'!$B$6,0))</f>
        <v>24.0500876407264</v>
      </c>
    </row>
    <row r="4923" customFormat="false" ht="15" hidden="false" customHeight="false" outlineLevel="0" collapsed="false">
      <c r="A4923" s="0" t="n">
        <v>4912</v>
      </c>
      <c r="B4923" s="15" t="n">
        <v>-0.645230938668648</v>
      </c>
      <c r="C4923" s="18" t="n">
        <f aca="false">'Black-Scholes'!$B$5*EXP(('Black-Scholes'!$B$8-'Black-Scholes'!$B$10-'Black-Scholes'!$B$9^2/2)*'Black-Scholes'!$B$7+'Black-Scholes'!$B$9*SQRT('Black-Scholes'!$B$7)*B4923)</f>
        <v>90.5700874786622</v>
      </c>
      <c r="D4923" s="18" t="n">
        <f aca="false">'Black-Scholes'!$B$5*EXP(('Black-Scholes'!$B$8-'Black-Scholes'!$B$10-'Black-Scholes'!$B$9^2/2)*'Black-Scholes'!$B$7-'Black-Scholes'!$B$9*SQRT('Black-Scholes'!$B$7)*B4923)</f>
        <v>117.239209556414</v>
      </c>
      <c r="E4923" s="18" t="n">
        <f aca="false">EXP(-'Black-Scholes'!$B$8*'Black-Scholes'!$B$7)*IF(LOWER('Black-Scholes'!$B$11)="put",MAX('Black-Scholes'!$B$6-C4923,0),MAX(C4923-'Black-Scholes'!$B$6,0))</f>
        <v>0</v>
      </c>
      <c r="F4923" s="18" t="n">
        <f aca="false">(E4923+G4923)/2</f>
        <v>8.19922169259733</v>
      </c>
      <c r="G4923" s="18" t="n">
        <f aca="false">EXP(-'Black-Scholes'!$B$8*'Black-Scholes'!$B$7)*IF(LOWER('Black-Scholes'!$B$11)="put",MAX('Black-Scholes'!$B$6-D4923,0),MAX(D4923-'Black-Scholes'!$B$6,0))</f>
        <v>16.3984433851947</v>
      </c>
    </row>
    <row r="4924" customFormat="false" ht="15" hidden="false" customHeight="false" outlineLevel="0" collapsed="false">
      <c r="A4924" s="0" t="n">
        <v>4913</v>
      </c>
      <c r="B4924" s="15" t="n">
        <v>-0.645953382186439</v>
      </c>
      <c r="C4924" s="18" t="n">
        <f aca="false">'Black-Scholes'!$B$5*EXP(('Black-Scholes'!$B$8-'Black-Scholes'!$B$10-'Black-Scholes'!$B$9^2/2)*'Black-Scholes'!$B$7+'Black-Scholes'!$B$9*SQRT('Black-Scholes'!$B$7)*B4924)</f>
        <v>90.5570020695109</v>
      </c>
      <c r="D4924" s="18" t="n">
        <f aca="false">'Black-Scholes'!$B$5*EXP(('Black-Scholes'!$B$8-'Black-Scholes'!$B$10-'Black-Scholes'!$B$9^2/2)*'Black-Scholes'!$B$7-'Black-Scholes'!$B$9*SQRT('Black-Scholes'!$B$7)*B4924)</f>
        <v>117.256150521668</v>
      </c>
      <c r="E4924" s="18" t="n">
        <f aca="false">EXP(-'Black-Scholes'!$B$8*'Black-Scholes'!$B$7)*IF(LOWER('Black-Scholes'!$B$11)="put",MAX('Black-Scholes'!$B$6-C4924,0),MAX(C4924-'Black-Scholes'!$B$6,0))</f>
        <v>0</v>
      </c>
      <c r="F4924" s="18" t="n">
        <f aca="false">(E4924+G4924)/2</f>
        <v>8.20727906491213</v>
      </c>
      <c r="G4924" s="18" t="n">
        <f aca="false">EXP(-'Black-Scholes'!$B$8*'Black-Scholes'!$B$7)*IF(LOWER('Black-Scholes'!$B$11)="put",MAX('Black-Scholes'!$B$6-D4924,0),MAX(D4924-'Black-Scholes'!$B$6,0))</f>
        <v>16.4145581298243</v>
      </c>
    </row>
    <row r="4925" customFormat="false" ht="15" hidden="false" customHeight="false" outlineLevel="0" collapsed="false">
      <c r="A4925" s="0" t="n">
        <v>4914</v>
      </c>
      <c r="B4925" s="15" t="n">
        <v>-0.808560312991368</v>
      </c>
      <c r="C4925" s="18" t="n">
        <f aca="false">'Black-Scholes'!$B$5*EXP(('Black-Scholes'!$B$8-'Black-Scholes'!$B$10-'Black-Scholes'!$B$9^2/2)*'Black-Scholes'!$B$7+'Black-Scholes'!$B$9*SQRT('Black-Scholes'!$B$7)*B4925)</f>
        <v>87.6593362759826</v>
      </c>
      <c r="D4925" s="18" t="n">
        <f aca="false">'Black-Scholes'!$B$5*EXP(('Black-Scholes'!$B$8-'Black-Scholes'!$B$10-'Black-Scholes'!$B$9^2/2)*'Black-Scholes'!$B$7-'Black-Scholes'!$B$9*SQRT('Black-Scholes'!$B$7)*B4925)</f>
        <v>121.132168192823</v>
      </c>
      <c r="E4925" s="18" t="n">
        <f aca="false">EXP(-'Black-Scholes'!$B$8*'Black-Scholes'!$B$7)*IF(LOWER('Black-Scholes'!$B$11)="put",MAX('Black-Scholes'!$B$6-C4925,0),MAX(C4925-'Black-Scholes'!$B$6,0))</f>
        <v>0</v>
      </c>
      <c r="F4925" s="18" t="n">
        <f aca="false">(E4925+G4925)/2</f>
        <v>10.0507700942559</v>
      </c>
      <c r="G4925" s="18" t="n">
        <f aca="false">EXP(-'Black-Scholes'!$B$8*'Black-Scholes'!$B$7)*IF(LOWER('Black-Scholes'!$B$11)="put",MAX('Black-Scholes'!$B$6-D4925,0),MAX(D4925-'Black-Scholes'!$B$6,0))</f>
        <v>20.1015401885117</v>
      </c>
    </row>
    <row r="4926" customFormat="false" ht="15" hidden="false" customHeight="false" outlineLevel="0" collapsed="false">
      <c r="A4926" s="0" t="n">
        <v>4915</v>
      </c>
      <c r="B4926" s="15" t="n">
        <v>-0.84453638044316</v>
      </c>
      <c r="C4926" s="18" t="n">
        <f aca="false">'Black-Scholes'!$B$5*EXP(('Black-Scholes'!$B$8-'Black-Scholes'!$B$10-'Black-Scholes'!$B$9^2/2)*'Black-Scholes'!$B$7+'Black-Scholes'!$B$9*SQRT('Black-Scholes'!$B$7)*B4926)</f>
        <v>87.0308723145938</v>
      </c>
      <c r="D4926" s="18" t="n">
        <f aca="false">'Black-Scholes'!$B$5*EXP(('Black-Scholes'!$B$8-'Black-Scholes'!$B$10-'Black-Scholes'!$B$9^2/2)*'Black-Scholes'!$B$7-'Black-Scholes'!$B$9*SQRT('Black-Scholes'!$B$7)*B4926)</f>
        <v>122.006883110065</v>
      </c>
      <c r="E4926" s="18" t="n">
        <f aca="false">EXP(-'Black-Scholes'!$B$8*'Black-Scholes'!$B$7)*IF(LOWER('Black-Scholes'!$B$11)="put",MAX('Black-Scholes'!$B$6-C4926,0),MAX(C4926-'Black-Scholes'!$B$6,0))</f>
        <v>0</v>
      </c>
      <c r="F4926" s="18" t="n">
        <f aca="false">(E4926+G4926)/2</f>
        <v>10.4667973779206</v>
      </c>
      <c r="G4926" s="18" t="n">
        <f aca="false">EXP(-'Black-Scholes'!$B$8*'Black-Scholes'!$B$7)*IF(LOWER('Black-Scholes'!$B$11)="put",MAX('Black-Scholes'!$B$6-D4926,0),MAX(D4926-'Black-Scholes'!$B$6,0))</f>
        <v>20.9335947558411</v>
      </c>
    </row>
    <row r="4927" customFormat="false" ht="15" hidden="false" customHeight="false" outlineLevel="0" collapsed="false">
      <c r="A4927" s="0" t="n">
        <v>4916</v>
      </c>
      <c r="B4927" s="15" t="n">
        <v>0.502477221649193</v>
      </c>
      <c r="C4927" s="18" t="n">
        <f aca="false">'Black-Scholes'!$B$5*EXP(('Black-Scholes'!$B$8-'Black-Scholes'!$B$10-'Black-Scholes'!$B$9^2/2)*'Black-Scholes'!$B$7+'Black-Scholes'!$B$9*SQRT('Black-Scholes'!$B$7)*B4927)</f>
        <v>113.939274918419</v>
      </c>
      <c r="D4927" s="18" t="n">
        <f aca="false">'Black-Scholes'!$B$5*EXP(('Black-Scholes'!$B$8-'Black-Scholes'!$B$10-'Black-Scholes'!$B$9^2/2)*'Black-Scholes'!$B$7-'Black-Scholes'!$B$9*SQRT('Black-Scholes'!$B$7)*B4927)</f>
        <v>93.1931985090867</v>
      </c>
      <c r="E4927" s="18" t="n">
        <f aca="false">EXP(-'Black-Scholes'!$B$8*'Black-Scholes'!$B$7)*IF(LOWER('Black-Scholes'!$B$11)="put",MAX('Black-Scholes'!$B$6-C4927,0),MAX(C4927-'Black-Scholes'!$B$6,0))</f>
        <v>13.2594484586047</v>
      </c>
      <c r="F4927" s="18" t="n">
        <f aca="false">(E4927+G4927)/2</f>
        <v>6.62972422930234</v>
      </c>
      <c r="G4927" s="18" t="n">
        <f aca="false">EXP(-'Black-Scholes'!$B$8*'Black-Scholes'!$B$7)*IF(LOWER('Black-Scholes'!$B$11)="put",MAX('Black-Scholes'!$B$6-D4927,0),MAX(D4927-'Black-Scholes'!$B$6,0))</f>
        <v>0</v>
      </c>
    </row>
    <row r="4928" customFormat="false" ht="15" hidden="false" customHeight="false" outlineLevel="0" collapsed="false">
      <c r="A4928" s="0" t="n">
        <v>4917</v>
      </c>
      <c r="B4928" s="15" t="n">
        <v>-0.377140135183074</v>
      </c>
      <c r="C4928" s="18" t="n">
        <f aca="false">'Black-Scholes'!$B$5*EXP(('Black-Scholes'!$B$8-'Black-Scholes'!$B$10-'Black-Scholes'!$B$9^2/2)*'Black-Scholes'!$B$7+'Black-Scholes'!$B$9*SQRT('Black-Scholes'!$B$7)*B4928)</f>
        <v>95.5588376624231</v>
      </c>
      <c r="D4928" s="18" t="n">
        <f aca="false">'Black-Scholes'!$B$5*EXP(('Black-Scholes'!$B$8-'Black-Scholes'!$B$10-'Black-Scholes'!$B$9^2/2)*'Black-Scholes'!$B$7-'Black-Scholes'!$B$9*SQRT('Black-Scholes'!$B$7)*B4928)</f>
        <v>111.118612628637</v>
      </c>
      <c r="E4928" s="18" t="n">
        <f aca="false">EXP(-'Black-Scholes'!$B$8*'Black-Scholes'!$B$7)*IF(LOWER('Black-Scholes'!$B$11)="put",MAX('Black-Scholes'!$B$6-C4928,0),MAX(C4928-'Black-Scholes'!$B$6,0))</f>
        <v>0</v>
      </c>
      <c r="F4928" s="18" t="n">
        <f aca="false">(E4928+G4928)/2</f>
        <v>5.28817574599238</v>
      </c>
      <c r="G4928" s="18" t="n">
        <f aca="false">EXP(-'Black-Scholes'!$B$8*'Black-Scholes'!$B$7)*IF(LOWER('Black-Scholes'!$B$11)="put",MAX('Black-Scholes'!$B$6-D4928,0),MAX(D4928-'Black-Scholes'!$B$6,0))</f>
        <v>10.5763514919848</v>
      </c>
    </row>
    <row r="4929" customFormat="false" ht="15" hidden="false" customHeight="false" outlineLevel="0" collapsed="false">
      <c r="A4929" s="0" t="n">
        <v>4918</v>
      </c>
      <c r="B4929" s="15" t="n">
        <v>0.318501844736431</v>
      </c>
      <c r="C4929" s="18" t="n">
        <f aca="false">'Black-Scholes'!$B$5*EXP(('Black-Scholes'!$B$8-'Black-Scholes'!$B$10-'Black-Scholes'!$B$9^2/2)*'Black-Scholes'!$B$7+'Black-Scholes'!$B$9*SQRT('Black-Scholes'!$B$7)*B4929)</f>
        <v>109.823063261278</v>
      </c>
      <c r="D4929" s="18" t="n">
        <f aca="false">'Black-Scholes'!$B$5*EXP(('Black-Scholes'!$B$8-'Black-Scholes'!$B$10-'Black-Scholes'!$B$9^2/2)*'Black-Scholes'!$B$7-'Black-Scholes'!$B$9*SQRT('Black-Scholes'!$B$7)*B4929)</f>
        <v>96.6861162868098</v>
      </c>
      <c r="E4929" s="18" t="n">
        <f aca="false">EXP(-'Black-Scholes'!$B$8*'Black-Scholes'!$B$7)*IF(LOWER('Black-Scholes'!$B$11)="put",MAX('Black-Scholes'!$B$6-C4929,0),MAX(C4929-'Black-Scholes'!$B$6,0))</f>
        <v>9.34398681285964</v>
      </c>
      <c r="F4929" s="18" t="n">
        <f aca="false">(E4929+G4929)/2</f>
        <v>4.67199340642982</v>
      </c>
      <c r="G4929" s="18" t="n">
        <f aca="false">EXP(-'Black-Scholes'!$B$8*'Black-Scholes'!$B$7)*IF(LOWER('Black-Scholes'!$B$11)="put",MAX('Black-Scholes'!$B$6-D4929,0),MAX(D4929-'Black-Scholes'!$B$6,0))</f>
        <v>0</v>
      </c>
    </row>
    <row r="4930" customFormat="false" ht="15" hidden="false" customHeight="false" outlineLevel="0" collapsed="false">
      <c r="A4930" s="0" t="n">
        <v>4919</v>
      </c>
      <c r="B4930" s="15" t="n">
        <v>-2.31558627492059</v>
      </c>
      <c r="C4930" s="18" t="n">
        <f aca="false">'Black-Scholes'!$B$5*EXP(('Black-Scholes'!$B$8-'Black-Scholes'!$B$10-'Black-Scholes'!$B$9^2/2)*'Black-Scholes'!$B$7+'Black-Scholes'!$B$9*SQRT('Black-Scholes'!$B$7)*B4930)</f>
        <v>64.8484449313078</v>
      </c>
      <c r="D4930" s="18" t="n">
        <f aca="false">'Black-Scholes'!$B$5*EXP(('Black-Scholes'!$B$8-'Black-Scholes'!$B$10-'Black-Scholes'!$B$9^2/2)*'Black-Scholes'!$B$7-'Black-Scholes'!$B$9*SQRT('Black-Scholes'!$B$7)*B4930)</f>
        <v>163.74125049107</v>
      </c>
      <c r="E4930" s="18" t="n">
        <f aca="false">EXP(-'Black-Scholes'!$B$8*'Black-Scholes'!$B$7)*IF(LOWER('Black-Scholes'!$B$11)="put",MAX('Black-Scholes'!$B$6-C4930,0),MAX(C4930-'Black-Scholes'!$B$6,0))</f>
        <v>0</v>
      </c>
      <c r="F4930" s="18" t="n">
        <f aca="false">(E4930+G4930)/2</f>
        <v>30.316276510788</v>
      </c>
      <c r="G4930" s="18" t="n">
        <f aca="false">EXP(-'Black-Scholes'!$B$8*'Black-Scholes'!$B$7)*IF(LOWER('Black-Scholes'!$B$11)="put",MAX('Black-Scholes'!$B$6-D4930,0),MAX(D4930-'Black-Scholes'!$B$6,0))</f>
        <v>60.6325530215759</v>
      </c>
    </row>
    <row r="4931" customFormat="false" ht="15" hidden="false" customHeight="false" outlineLevel="0" collapsed="false">
      <c r="A4931" s="0" t="n">
        <v>4920</v>
      </c>
      <c r="B4931" s="15" t="n">
        <v>-0.185615139026143</v>
      </c>
      <c r="C4931" s="18" t="n">
        <f aca="false">'Black-Scholes'!$B$5*EXP(('Black-Scholes'!$B$8-'Black-Scholes'!$B$10-'Black-Scholes'!$B$9^2/2)*'Black-Scholes'!$B$7+'Black-Scholes'!$B$9*SQRT('Black-Scholes'!$B$7)*B4931)</f>
        <v>99.2902280830304</v>
      </c>
      <c r="D4931" s="18" t="n">
        <f aca="false">'Black-Scholes'!$B$5*EXP(('Black-Scholes'!$B$8-'Black-Scholes'!$B$10-'Black-Scholes'!$B$9^2/2)*'Black-Scholes'!$B$7-'Black-Scholes'!$B$9*SQRT('Black-Scholes'!$B$7)*B4931)</f>
        <v>106.94270393431</v>
      </c>
      <c r="E4931" s="18" t="n">
        <f aca="false">EXP(-'Black-Scholes'!$B$8*'Black-Scholes'!$B$7)*IF(LOWER('Black-Scholes'!$B$11)="put",MAX('Black-Scholes'!$B$6-C4931,0),MAX(C4931-'Black-Scholes'!$B$6,0))</f>
        <v>0</v>
      </c>
      <c r="F4931" s="18" t="n">
        <f aca="false">(E4931+G4931)/2</f>
        <v>3.30205213395608</v>
      </c>
      <c r="G4931" s="18" t="n">
        <f aca="false">EXP(-'Black-Scholes'!$B$8*'Black-Scholes'!$B$7)*IF(LOWER('Black-Scholes'!$B$11)="put",MAX('Black-Scholes'!$B$6-D4931,0),MAX(D4931-'Black-Scholes'!$B$6,0))</f>
        <v>6.60410426791217</v>
      </c>
    </row>
    <row r="4932" customFormat="false" ht="15" hidden="false" customHeight="false" outlineLevel="0" collapsed="false">
      <c r="A4932" s="0" t="n">
        <v>4921</v>
      </c>
      <c r="B4932" s="15" t="n">
        <v>-1.18985061844579</v>
      </c>
      <c r="C4932" s="18" t="n">
        <f aca="false">'Black-Scholes'!$B$5*EXP(('Black-Scholes'!$B$8-'Black-Scholes'!$B$10-'Black-Scholes'!$B$9^2/2)*'Black-Scholes'!$B$7+'Black-Scholes'!$B$9*SQRT('Black-Scholes'!$B$7)*B4932)</f>
        <v>81.2231302824326</v>
      </c>
      <c r="D4932" s="18" t="n">
        <f aca="false">'Black-Scholes'!$B$5*EXP(('Black-Scholes'!$B$8-'Black-Scholes'!$B$10-'Black-Scholes'!$B$9^2/2)*'Black-Scholes'!$B$7-'Black-Scholes'!$B$9*SQRT('Black-Scholes'!$B$7)*B4932)</f>
        <v>130.730808188886</v>
      </c>
      <c r="E4932" s="18" t="n">
        <f aca="false">EXP(-'Black-Scholes'!$B$8*'Black-Scholes'!$B$7)*IF(LOWER('Black-Scholes'!$B$11)="put",MAX('Black-Scholes'!$B$6-C4932,0),MAX(C4932-'Black-Scholes'!$B$6,0))</f>
        <v>0</v>
      </c>
      <c r="F4932" s="18" t="n">
        <f aca="false">(E4932+G4932)/2</f>
        <v>14.616024493978</v>
      </c>
      <c r="G4932" s="18" t="n">
        <f aca="false">EXP(-'Black-Scholes'!$B$8*'Black-Scholes'!$B$7)*IF(LOWER('Black-Scholes'!$B$11)="put",MAX('Black-Scholes'!$B$6-D4932,0),MAX(D4932-'Black-Scholes'!$B$6,0))</f>
        <v>29.2320489879559</v>
      </c>
    </row>
    <row r="4933" customFormat="false" ht="15" hidden="false" customHeight="false" outlineLevel="0" collapsed="false">
      <c r="A4933" s="0" t="n">
        <v>4922</v>
      </c>
      <c r="B4933" s="15" t="n">
        <v>0.276729153749452</v>
      </c>
      <c r="C4933" s="18" t="n">
        <f aca="false">'Black-Scholes'!$B$5*EXP(('Black-Scholes'!$B$8-'Black-Scholes'!$B$10-'Black-Scholes'!$B$9^2/2)*'Black-Scholes'!$B$7+'Black-Scholes'!$B$9*SQRT('Black-Scholes'!$B$7)*B4933)</f>
        <v>108.909364365019</v>
      </c>
      <c r="D4933" s="18" t="n">
        <f aca="false">'Black-Scholes'!$B$5*EXP(('Black-Scholes'!$B$8-'Black-Scholes'!$B$10-'Black-Scholes'!$B$9^2/2)*'Black-Scholes'!$B$7-'Black-Scholes'!$B$9*SQRT('Black-Scholes'!$B$7)*B4933)</f>
        <v>97.4972678186358</v>
      </c>
      <c r="E4933" s="18" t="n">
        <f aca="false">EXP(-'Black-Scholes'!$B$8*'Black-Scholes'!$B$7)*IF(LOWER('Black-Scholes'!$B$11)="put",MAX('Black-Scholes'!$B$6-C4933,0),MAX(C4933-'Black-Scholes'!$B$6,0))</f>
        <v>8.47484953760374</v>
      </c>
      <c r="F4933" s="18" t="n">
        <f aca="false">(E4933+G4933)/2</f>
        <v>4.23742476880187</v>
      </c>
      <c r="G4933" s="18" t="n">
        <f aca="false">EXP(-'Black-Scholes'!$B$8*'Black-Scholes'!$B$7)*IF(LOWER('Black-Scholes'!$B$11)="put",MAX('Black-Scholes'!$B$6-D4933,0),MAX(D4933-'Black-Scholes'!$B$6,0))</f>
        <v>0</v>
      </c>
    </row>
    <row r="4934" customFormat="false" ht="15" hidden="false" customHeight="false" outlineLevel="0" collapsed="false">
      <c r="A4934" s="0" t="n">
        <v>4923</v>
      </c>
      <c r="B4934" s="15" t="n">
        <v>0.367039017504309</v>
      </c>
      <c r="C4934" s="18" t="n">
        <f aca="false">'Black-Scholes'!$B$5*EXP(('Black-Scholes'!$B$8-'Black-Scholes'!$B$10-'Black-Scholes'!$B$9^2/2)*'Black-Scholes'!$B$7+'Black-Scholes'!$B$9*SQRT('Black-Scholes'!$B$7)*B4934)</f>
        <v>110.894354793894</v>
      </c>
      <c r="D4934" s="18" t="n">
        <f aca="false">'Black-Scholes'!$B$5*EXP(('Black-Scholes'!$B$8-'Black-Scholes'!$B$10-'Black-Scholes'!$B$9^2/2)*'Black-Scholes'!$B$7-'Black-Scholes'!$B$9*SQRT('Black-Scholes'!$B$7)*B4934)</f>
        <v>95.7520830089922</v>
      </c>
      <c r="E4934" s="18" t="n">
        <f aca="false">EXP(-'Black-Scholes'!$B$8*'Black-Scholes'!$B$7)*IF(LOWER('Black-Scholes'!$B$11)="put",MAX('Black-Scholes'!$B$6-C4934,0),MAX(C4934-'Black-Scholes'!$B$6,0))</f>
        <v>10.3630308409027</v>
      </c>
      <c r="F4934" s="18" t="n">
        <f aca="false">(E4934+G4934)/2</f>
        <v>5.18151542045134</v>
      </c>
      <c r="G4934" s="18" t="n">
        <f aca="false">EXP(-'Black-Scholes'!$B$8*'Black-Scholes'!$B$7)*IF(LOWER('Black-Scholes'!$B$11)="put",MAX('Black-Scholes'!$B$6-D4934,0),MAX(D4934-'Black-Scholes'!$B$6,0))</f>
        <v>0</v>
      </c>
    </row>
    <row r="4935" customFormat="false" ht="15" hidden="false" customHeight="false" outlineLevel="0" collapsed="false">
      <c r="A4935" s="0" t="n">
        <v>4924</v>
      </c>
      <c r="B4935" s="15" t="n">
        <v>1.00078923855806</v>
      </c>
      <c r="C4935" s="18" t="n">
        <f aca="false">'Black-Scholes'!$B$5*EXP(('Black-Scholes'!$B$8-'Black-Scholes'!$B$10-'Black-Scholes'!$B$9^2/2)*'Black-Scholes'!$B$7+'Black-Scholes'!$B$9*SQRT('Black-Scholes'!$B$7)*B4935)</f>
        <v>125.879869274128</v>
      </c>
      <c r="D4935" s="18" t="n">
        <f aca="false">'Black-Scholes'!$B$5*EXP(('Black-Scholes'!$B$8-'Black-Scholes'!$B$10-'Black-Scholes'!$B$9^2/2)*'Black-Scholes'!$B$7-'Black-Scholes'!$B$9*SQRT('Black-Scholes'!$B$7)*B4935)</f>
        <v>84.3531656545498</v>
      </c>
      <c r="E4935" s="18" t="n">
        <f aca="false">EXP(-'Black-Scholes'!$B$8*'Black-Scholes'!$B$7)*IF(LOWER('Black-Scholes'!$B$11)="put",MAX('Black-Scholes'!$B$6-C4935,0),MAX(C4935-'Black-Scholes'!$B$6,0))</f>
        <v>24.6176931557825</v>
      </c>
      <c r="F4935" s="18" t="n">
        <f aca="false">(E4935+G4935)/2</f>
        <v>12.3088465778913</v>
      </c>
      <c r="G4935" s="18" t="n">
        <f aca="false">EXP(-'Black-Scholes'!$B$8*'Black-Scholes'!$B$7)*IF(LOWER('Black-Scholes'!$B$11)="put",MAX('Black-Scholes'!$B$6-D4935,0),MAX(D4935-'Black-Scholes'!$B$6,0))</f>
        <v>0</v>
      </c>
    </row>
    <row r="4936" customFormat="false" ht="15" hidden="false" customHeight="false" outlineLevel="0" collapsed="false">
      <c r="A4936" s="0" t="n">
        <v>4925</v>
      </c>
      <c r="B4936" s="15" t="n">
        <v>-0.612298312372064</v>
      </c>
      <c r="C4936" s="18" t="n">
        <f aca="false">'Black-Scholes'!$B$5*EXP(('Black-Scholes'!$B$8-'Black-Scholes'!$B$10-'Black-Scholes'!$B$9^2/2)*'Black-Scholes'!$B$7+'Black-Scholes'!$B$9*SQRT('Black-Scholes'!$B$7)*B4936)</f>
        <v>91.1685985379525</v>
      </c>
      <c r="D4936" s="18" t="n">
        <f aca="false">'Black-Scholes'!$B$5*EXP(('Black-Scholes'!$B$8-'Black-Scholes'!$B$10-'Black-Scholes'!$B$9^2/2)*'Black-Scholes'!$B$7-'Black-Scholes'!$B$9*SQRT('Black-Scholes'!$B$7)*B4936)</f>
        <v>116.469548021332</v>
      </c>
      <c r="E4936" s="18" t="n">
        <f aca="false">EXP(-'Black-Scholes'!$B$8*'Black-Scholes'!$B$7)*IF(LOWER('Black-Scholes'!$B$11)="put",MAX('Black-Scholes'!$B$6-C4936,0),MAX(C4936-'Black-Scholes'!$B$6,0))</f>
        <v>0</v>
      </c>
      <c r="F4936" s="18" t="n">
        <f aca="false">(E4936+G4936)/2</f>
        <v>7.83315934305924</v>
      </c>
      <c r="G4936" s="18" t="n">
        <f aca="false">EXP(-'Black-Scholes'!$B$8*'Black-Scholes'!$B$7)*IF(LOWER('Black-Scholes'!$B$11)="put",MAX('Black-Scholes'!$B$6-D4936,0),MAX(D4936-'Black-Scholes'!$B$6,0))</f>
        <v>15.6663186861185</v>
      </c>
    </row>
    <row r="4937" customFormat="false" ht="15" hidden="false" customHeight="false" outlineLevel="0" collapsed="false">
      <c r="A4937" s="0" t="n">
        <v>4926</v>
      </c>
      <c r="B4937" s="15" t="n">
        <v>0.00283020812885965</v>
      </c>
      <c r="C4937" s="18" t="n">
        <f aca="false">'Black-Scholes'!$B$5*EXP(('Black-Scholes'!$B$8-'Black-Scholes'!$B$10-'Black-Scholes'!$B$9^2/2)*'Black-Scholes'!$B$7+'Black-Scholes'!$B$9*SQRT('Black-Scholes'!$B$7)*B4937)</f>
        <v>103.103797922478</v>
      </c>
      <c r="D4937" s="18" t="n">
        <f aca="false">'Black-Scholes'!$B$5*EXP(('Black-Scholes'!$B$8-'Black-Scholes'!$B$10-'Black-Scholes'!$B$9^2/2)*'Black-Scholes'!$B$7-'Black-Scholes'!$B$9*SQRT('Black-Scholes'!$B$7)*B4937)</f>
        <v>102.987141884312</v>
      </c>
      <c r="E4937" s="18" t="n">
        <f aca="false">EXP(-'Black-Scholes'!$B$8*'Black-Scholes'!$B$7)*IF(LOWER('Black-Scholes'!$B$11)="put",MAX('Black-Scholes'!$B$6-C4937,0),MAX(C4937-'Black-Scholes'!$B$6,0))</f>
        <v>2.95242391156496</v>
      </c>
      <c r="F4937" s="18" t="n">
        <f aca="false">(E4937+G4937)/2</f>
        <v>2.89694058354031</v>
      </c>
      <c r="G4937" s="18" t="n">
        <f aca="false">EXP(-'Black-Scholes'!$B$8*'Black-Scholes'!$B$7)*IF(LOWER('Black-Scholes'!$B$11)="put",MAX('Black-Scholes'!$B$6-D4937,0),MAX(D4937-'Black-Scholes'!$B$6,0))</f>
        <v>2.84145725551567</v>
      </c>
    </row>
    <row r="4938" customFormat="false" ht="15" hidden="false" customHeight="false" outlineLevel="0" collapsed="false">
      <c r="A4938" s="0" t="n">
        <v>4927</v>
      </c>
      <c r="B4938" s="15" t="n">
        <v>-0.753027607317392</v>
      </c>
      <c r="C4938" s="18" t="n">
        <f aca="false">'Black-Scholes'!$B$5*EXP(('Black-Scholes'!$B$8-'Black-Scholes'!$B$10-'Black-Scholes'!$B$9^2/2)*'Black-Scholes'!$B$7+'Black-Scholes'!$B$9*SQRT('Black-Scholes'!$B$7)*B4938)</f>
        <v>88.6383549920971</v>
      </c>
      <c r="D4938" s="18" t="n">
        <f aca="false">'Black-Scholes'!$B$5*EXP(('Black-Scholes'!$B$8-'Black-Scholes'!$B$10-'Black-Scholes'!$B$9^2/2)*'Black-Scholes'!$B$7-'Black-Scholes'!$B$9*SQRT('Black-Scholes'!$B$7)*B4938)</f>
        <v>119.794252345955</v>
      </c>
      <c r="E4938" s="18" t="n">
        <f aca="false">EXP(-'Black-Scholes'!$B$8*'Black-Scholes'!$B$7)*IF(LOWER('Black-Scholes'!$B$11)="put",MAX('Black-Scholes'!$B$6-C4938,0),MAX(C4938-'Black-Scholes'!$B$6,0))</f>
        <v>0</v>
      </c>
      <c r="F4938" s="18" t="n">
        <f aca="false">(E4938+G4938)/2</f>
        <v>9.41443763373219</v>
      </c>
      <c r="G4938" s="18" t="n">
        <f aca="false">EXP(-'Black-Scholes'!$B$8*'Black-Scholes'!$B$7)*IF(LOWER('Black-Scholes'!$B$11)="put",MAX('Black-Scholes'!$B$6-D4938,0),MAX(D4938-'Black-Scholes'!$B$6,0))</f>
        <v>18.8288752674644</v>
      </c>
    </row>
    <row r="4939" customFormat="false" ht="15" hidden="false" customHeight="false" outlineLevel="0" collapsed="false">
      <c r="A4939" s="0" t="n">
        <v>4928</v>
      </c>
      <c r="B4939" s="15" t="n">
        <v>0.358125045991228</v>
      </c>
      <c r="C4939" s="18" t="n">
        <f aca="false">'Black-Scholes'!$B$5*EXP(('Black-Scholes'!$B$8-'Black-Scholes'!$B$10-'Black-Scholes'!$B$9^2/2)*'Black-Scholes'!$B$7+'Black-Scholes'!$B$9*SQRT('Black-Scholes'!$B$7)*B4939)</f>
        <v>110.696829096137</v>
      </c>
      <c r="D4939" s="18" t="n">
        <f aca="false">'Black-Scholes'!$B$5*EXP(('Black-Scholes'!$B$8-'Black-Scholes'!$B$10-'Black-Scholes'!$B$9^2/2)*'Black-Scholes'!$B$7-'Black-Scholes'!$B$9*SQRT('Black-Scholes'!$B$7)*B4939)</f>
        <v>95.9229415345931</v>
      </c>
      <c r="E4939" s="18" t="n">
        <f aca="false">EXP(-'Black-Scholes'!$B$8*'Black-Scholes'!$B$7)*IF(LOWER('Black-Scholes'!$B$11)="put",MAX('Black-Scholes'!$B$6-C4939,0),MAX(C4939-'Black-Scholes'!$B$6,0))</f>
        <v>10.1751385851009</v>
      </c>
      <c r="F4939" s="18" t="n">
        <f aca="false">(E4939+G4939)/2</f>
        <v>5.08756929255045</v>
      </c>
      <c r="G4939" s="18" t="n">
        <f aca="false">EXP(-'Black-Scholes'!$B$8*'Black-Scholes'!$B$7)*IF(LOWER('Black-Scholes'!$B$11)="put",MAX('Black-Scholes'!$B$6-D4939,0),MAX(D4939-'Black-Scholes'!$B$6,0))</f>
        <v>0</v>
      </c>
    </row>
    <row r="4940" customFormat="false" ht="15" hidden="false" customHeight="false" outlineLevel="0" collapsed="false">
      <c r="A4940" s="0" t="n">
        <v>4929</v>
      </c>
      <c r="B4940" s="15" t="n">
        <v>-0.116345956926531</v>
      </c>
      <c r="C4940" s="18" t="n">
        <f aca="false">'Black-Scholes'!$B$5*EXP(('Black-Scholes'!$B$8-'Black-Scholes'!$B$10-'Black-Scholes'!$B$9^2/2)*'Black-Scholes'!$B$7+'Black-Scholes'!$B$9*SQRT('Black-Scholes'!$B$7)*B4940)</f>
        <v>100.675351141448</v>
      </c>
      <c r="D4940" s="18" t="n">
        <f aca="false">'Black-Scholes'!$B$5*EXP(('Black-Scholes'!$B$8-'Black-Scholes'!$B$10-'Black-Scholes'!$B$9^2/2)*'Black-Scholes'!$B$7-'Black-Scholes'!$B$9*SQRT('Black-Scholes'!$B$7)*B4940)</f>
        <v>105.471352670376</v>
      </c>
      <c r="E4940" s="18" t="n">
        <f aca="false">EXP(-'Black-Scholes'!$B$8*'Black-Scholes'!$B$7)*IF(LOWER('Black-Scholes'!$B$11)="put",MAX('Black-Scholes'!$B$6-C4940,0),MAX(C4940-'Black-Scholes'!$B$6,0))</f>
        <v>0.642413877615634</v>
      </c>
      <c r="F4940" s="18" t="n">
        <f aca="false">(E4940+G4940)/2</f>
        <v>2.92346276474882</v>
      </c>
      <c r="G4940" s="18" t="n">
        <f aca="false">EXP(-'Black-Scholes'!$B$8*'Black-Scholes'!$B$7)*IF(LOWER('Black-Scholes'!$B$11)="put",MAX('Black-Scholes'!$B$6-D4940,0),MAX(D4940-'Black-Scholes'!$B$6,0))</f>
        <v>5.204511651882</v>
      </c>
    </row>
    <row r="4941" customFormat="false" ht="15" hidden="false" customHeight="false" outlineLevel="0" collapsed="false">
      <c r="A4941" s="0" t="n">
        <v>4930</v>
      </c>
      <c r="B4941" s="15" t="n">
        <v>-1.22926569379168</v>
      </c>
      <c r="C4941" s="18" t="n">
        <f aca="false">'Black-Scholes'!$B$5*EXP(('Black-Scholes'!$B$8-'Black-Scholes'!$B$10-'Black-Scholes'!$B$9^2/2)*'Black-Scholes'!$B$7+'Black-Scholes'!$B$9*SQRT('Black-Scholes'!$B$7)*B4941)</f>
        <v>80.585364184993</v>
      </c>
      <c r="D4941" s="18" t="n">
        <f aca="false">'Black-Scholes'!$B$5*EXP(('Black-Scholes'!$B$8-'Black-Scholes'!$B$10-'Black-Scholes'!$B$9^2/2)*'Black-Scholes'!$B$7-'Black-Scholes'!$B$9*SQRT('Black-Scholes'!$B$7)*B4941)</f>
        <v>131.765433746479</v>
      </c>
      <c r="E4941" s="18" t="n">
        <f aca="false">EXP(-'Black-Scholes'!$B$8*'Black-Scholes'!$B$7)*IF(LOWER('Black-Scholes'!$B$11)="put",MAX('Black-Scholes'!$B$6-C4941,0),MAX(C4941-'Black-Scholes'!$B$6,0))</f>
        <v>0</v>
      </c>
      <c r="F4941" s="18" t="n">
        <f aca="false">(E4941+G4941)/2</f>
        <v>15.1081076308395</v>
      </c>
      <c r="G4941" s="18" t="n">
        <f aca="false">EXP(-'Black-Scholes'!$B$8*'Black-Scholes'!$B$7)*IF(LOWER('Black-Scholes'!$B$11)="put",MAX('Black-Scholes'!$B$6-D4941,0),MAX(D4941-'Black-Scholes'!$B$6,0))</f>
        <v>30.216215261679</v>
      </c>
    </row>
    <row r="4942" customFormat="false" ht="15" hidden="false" customHeight="false" outlineLevel="0" collapsed="false">
      <c r="A4942" s="0" t="n">
        <v>4931</v>
      </c>
      <c r="B4942" s="15" t="n">
        <v>-0.0524791175931901</v>
      </c>
      <c r="C4942" s="18" t="n">
        <f aca="false">'Black-Scholes'!$B$5*EXP(('Black-Scholes'!$B$8-'Black-Scholes'!$B$10-'Black-Scholes'!$B$9^2/2)*'Black-Scholes'!$B$7+'Black-Scholes'!$B$9*SQRT('Black-Scholes'!$B$7)*B4942)</f>
        <v>101.969562559154</v>
      </c>
      <c r="D4942" s="18" t="n">
        <f aca="false">'Black-Scholes'!$B$5*EXP(('Black-Scholes'!$B$8-'Black-Scholes'!$B$10-'Black-Scholes'!$B$9^2/2)*'Black-Scholes'!$B$7-'Black-Scholes'!$B$9*SQRT('Black-Scholes'!$B$7)*B4942)</f>
        <v>104.132696061079</v>
      </c>
      <c r="E4942" s="18" t="n">
        <f aca="false">EXP(-'Black-Scholes'!$B$8*'Black-Scholes'!$B$7)*IF(LOWER('Black-Scholes'!$B$11)="put",MAX('Black-Scholes'!$B$6-C4942,0),MAX(C4942-'Black-Scholes'!$B$6,0))</f>
        <v>1.87350585966225</v>
      </c>
      <c r="F4942" s="18" t="n">
        <f aca="false">(E4942+G4942)/2</f>
        <v>2.90232397773954</v>
      </c>
      <c r="G4942" s="18" t="n">
        <f aca="false">EXP(-'Black-Scholes'!$B$8*'Black-Scholes'!$B$7)*IF(LOWER('Black-Scholes'!$B$11)="put",MAX('Black-Scholes'!$B$6-D4942,0),MAX(D4942-'Black-Scholes'!$B$6,0))</f>
        <v>3.93114209581682</v>
      </c>
    </row>
    <row r="4943" customFormat="false" ht="15" hidden="false" customHeight="false" outlineLevel="0" collapsed="false">
      <c r="A4943" s="0" t="n">
        <v>4932</v>
      </c>
      <c r="B4943" s="15" t="n">
        <v>0.478558974258902</v>
      </c>
      <c r="C4943" s="18" t="n">
        <f aca="false">'Black-Scholes'!$B$5*EXP(('Black-Scholes'!$B$8-'Black-Scholes'!$B$10-'Black-Scholes'!$B$9^2/2)*'Black-Scholes'!$B$7+'Black-Scholes'!$B$9*SQRT('Black-Scholes'!$B$7)*B4943)</f>
        <v>113.395530942606</v>
      </c>
      <c r="D4943" s="18" t="n">
        <f aca="false">'Black-Scholes'!$B$5*EXP(('Black-Scholes'!$B$8-'Black-Scholes'!$B$10-'Black-Scholes'!$B$9^2/2)*'Black-Scholes'!$B$7-'Black-Scholes'!$B$9*SQRT('Black-Scholes'!$B$7)*B4943)</f>
        <v>93.6400700908398</v>
      </c>
      <c r="E4943" s="18" t="n">
        <f aca="false">EXP(-'Black-Scholes'!$B$8*'Black-Scholes'!$B$7)*IF(LOWER('Black-Scholes'!$B$11)="put",MAX('Black-Scholes'!$B$6-C4943,0),MAX(C4943-'Black-Scholes'!$B$6,0))</f>
        <v>12.7422231894164</v>
      </c>
      <c r="F4943" s="18" t="n">
        <f aca="false">(E4943+G4943)/2</f>
        <v>6.37111159470818</v>
      </c>
      <c r="G4943" s="18" t="n">
        <f aca="false">EXP(-'Black-Scholes'!$B$8*'Black-Scholes'!$B$7)*IF(LOWER('Black-Scholes'!$B$11)="put",MAX('Black-Scholes'!$B$6-D4943,0),MAX(D4943-'Black-Scholes'!$B$6,0))</f>
        <v>0</v>
      </c>
    </row>
    <row r="4944" customFormat="false" ht="15" hidden="false" customHeight="false" outlineLevel="0" collapsed="false">
      <c r="A4944" s="0" t="n">
        <v>4933</v>
      </c>
      <c r="B4944" s="15" t="n">
        <v>0.125433976898901</v>
      </c>
      <c r="C4944" s="18" t="n">
        <f aca="false">'Black-Scholes'!$B$5*EXP(('Black-Scholes'!$B$8-'Black-Scholes'!$B$10-'Black-Scholes'!$B$9^2/2)*'Black-Scholes'!$B$7+'Black-Scholes'!$B$9*SQRT('Black-Scholes'!$B$7)*B4944)</f>
        <v>105.66323214992</v>
      </c>
      <c r="D4944" s="18" t="n">
        <f aca="false">'Black-Scholes'!$B$5*EXP(('Black-Scholes'!$B$8-'Black-Scholes'!$B$10-'Black-Scholes'!$B$9^2/2)*'Black-Scholes'!$B$7-'Black-Scholes'!$B$9*SQRT('Black-Scholes'!$B$7)*B4944)</f>
        <v>100.492529420146</v>
      </c>
      <c r="E4944" s="18" t="n">
        <f aca="false">EXP(-'Black-Scholes'!$B$8*'Black-Scholes'!$B$7)*IF(LOWER('Black-Scholes'!$B$11)="put",MAX('Black-Scholes'!$B$6-C4944,0),MAX(C4944-'Black-Scholes'!$B$6,0))</f>
        <v>5.38703305878281</v>
      </c>
      <c r="F4944" s="18" t="n">
        <f aca="false">(E4944+G4944)/2</f>
        <v>2.92777076782895</v>
      </c>
      <c r="G4944" s="18" t="n">
        <f aca="false">EXP(-'Black-Scholes'!$B$8*'Black-Scholes'!$B$7)*IF(LOWER('Black-Scholes'!$B$11)="put",MAX('Black-Scholes'!$B$6-D4944,0),MAX(D4944-'Black-Scholes'!$B$6,0))</f>
        <v>0.468508476875095</v>
      </c>
    </row>
    <row r="4945" customFormat="false" ht="15" hidden="false" customHeight="false" outlineLevel="0" collapsed="false">
      <c r="A4945" s="0" t="n">
        <v>4934</v>
      </c>
      <c r="B4945" s="15" t="n">
        <v>1.81988887159761</v>
      </c>
      <c r="C4945" s="18" t="n">
        <f aca="false">'Black-Scholes'!$B$5*EXP(('Black-Scholes'!$B$8-'Black-Scholes'!$B$10-'Black-Scholes'!$B$9^2/2)*'Black-Scholes'!$B$7+'Black-Scholes'!$B$9*SQRT('Black-Scholes'!$B$7)*B4945)</f>
        <v>148.286759056724</v>
      </c>
      <c r="D4945" s="18" t="n">
        <f aca="false">'Black-Scholes'!$B$5*EXP(('Black-Scholes'!$B$8-'Black-Scholes'!$B$10-'Black-Scholes'!$B$9^2/2)*'Black-Scholes'!$B$7-'Black-Scholes'!$B$9*SQRT('Black-Scholes'!$B$7)*B4945)</f>
        <v>71.6069697186637</v>
      </c>
      <c r="E4945" s="18" t="n">
        <f aca="false">EXP(-'Black-Scholes'!$B$8*'Black-Scholes'!$B$7)*IF(LOWER('Black-Scholes'!$B$11)="put",MAX('Black-Scholes'!$B$6-C4945,0),MAX(C4945-'Black-Scholes'!$B$6,0))</f>
        <v>45.9317860285319</v>
      </c>
      <c r="F4945" s="18" t="n">
        <f aca="false">(E4945+G4945)/2</f>
        <v>22.965893014266</v>
      </c>
      <c r="G4945" s="18" t="n">
        <f aca="false">EXP(-'Black-Scholes'!$B$8*'Black-Scholes'!$B$7)*IF(LOWER('Black-Scholes'!$B$11)="put",MAX('Black-Scholes'!$B$6-D4945,0),MAX(D4945-'Black-Scholes'!$B$6,0))</f>
        <v>0</v>
      </c>
    </row>
    <row r="4946" customFormat="false" ht="15" hidden="false" customHeight="false" outlineLevel="0" collapsed="false">
      <c r="A4946" s="0" t="n">
        <v>4935</v>
      </c>
      <c r="B4946" s="15" t="n">
        <v>0.30492383512502</v>
      </c>
      <c r="C4946" s="18" t="n">
        <f aca="false">'Black-Scholes'!$B$5*EXP(('Black-Scholes'!$B$8-'Black-Scholes'!$B$10-'Black-Scholes'!$B$9^2/2)*'Black-Scholes'!$B$7+'Black-Scholes'!$B$9*SQRT('Black-Scholes'!$B$7)*B4946)</f>
        <v>109.525232118017</v>
      </c>
      <c r="D4946" s="18" t="n">
        <f aca="false">'Black-Scholes'!$B$5*EXP(('Black-Scholes'!$B$8-'Black-Scholes'!$B$10-'Black-Scholes'!$B$9^2/2)*'Black-Scholes'!$B$7-'Black-Scholes'!$B$9*SQRT('Black-Scholes'!$B$7)*B4946)</f>
        <v>96.9490341185671</v>
      </c>
      <c r="E4946" s="18" t="n">
        <f aca="false">EXP(-'Black-Scholes'!$B$8*'Black-Scholes'!$B$7)*IF(LOWER('Black-Scholes'!$B$11)="put",MAX('Black-Scholes'!$B$6-C4946,0),MAX(C4946-'Black-Scholes'!$B$6,0))</f>
        <v>9.06068106585691</v>
      </c>
      <c r="F4946" s="18" t="n">
        <f aca="false">(E4946+G4946)/2</f>
        <v>4.53034053292845</v>
      </c>
      <c r="G4946" s="18" t="n">
        <f aca="false">EXP(-'Black-Scholes'!$B$8*'Black-Scholes'!$B$7)*IF(LOWER('Black-Scholes'!$B$11)="put",MAX('Black-Scholes'!$B$6-D4946,0),MAX(D4946-'Black-Scholes'!$B$6,0))</f>
        <v>0</v>
      </c>
    </row>
    <row r="4947" customFormat="false" ht="15" hidden="false" customHeight="false" outlineLevel="0" collapsed="false">
      <c r="A4947" s="0" t="n">
        <v>4936</v>
      </c>
      <c r="B4947" s="15" t="n">
        <v>1.36077111636938</v>
      </c>
      <c r="C4947" s="18" t="n">
        <f aca="false">'Black-Scholes'!$B$5*EXP(('Black-Scholes'!$B$8-'Black-Scholes'!$B$10-'Black-Scholes'!$B$9^2/2)*'Black-Scholes'!$B$7+'Black-Scholes'!$B$9*SQRT('Black-Scholes'!$B$7)*B4947)</f>
        <v>135.276983921602</v>
      </c>
      <c r="D4947" s="18" t="n">
        <f aca="false">'Black-Scholes'!$B$5*EXP(('Black-Scholes'!$B$8-'Black-Scholes'!$B$10-'Black-Scholes'!$B$9^2/2)*'Black-Scholes'!$B$7-'Black-Scholes'!$B$9*SQRT('Black-Scholes'!$B$7)*B4947)</f>
        <v>78.4935112953681</v>
      </c>
      <c r="E4947" s="18" t="n">
        <f aca="false">EXP(-'Black-Scholes'!$B$8*'Black-Scholes'!$B$7)*IF(LOWER('Black-Scholes'!$B$11)="put",MAX('Black-Scholes'!$B$6-C4947,0),MAX(C4947-'Black-Scholes'!$B$6,0))</f>
        <v>33.5565051138665</v>
      </c>
      <c r="F4947" s="18" t="n">
        <f aca="false">(E4947+G4947)/2</f>
        <v>16.7782525569332</v>
      </c>
      <c r="G4947" s="18" t="n">
        <f aca="false">EXP(-'Black-Scholes'!$B$8*'Black-Scholes'!$B$7)*IF(LOWER('Black-Scholes'!$B$11)="put",MAX('Black-Scholes'!$B$6-D4947,0),MAX(D4947-'Black-Scholes'!$B$6,0))</f>
        <v>0</v>
      </c>
    </row>
    <row r="4948" customFormat="false" ht="15" hidden="false" customHeight="false" outlineLevel="0" collapsed="false">
      <c r="A4948" s="0" t="n">
        <v>4937</v>
      </c>
      <c r="B4948" s="15" t="n">
        <v>1.45852028735888</v>
      </c>
      <c r="C4948" s="18" t="n">
        <f aca="false">'Black-Scholes'!$B$5*EXP(('Black-Scholes'!$B$8-'Black-Scholes'!$B$10-'Black-Scholes'!$B$9^2/2)*'Black-Scholes'!$B$7+'Black-Scholes'!$B$9*SQRT('Black-Scholes'!$B$7)*B4948)</f>
        <v>137.947646978855</v>
      </c>
      <c r="D4948" s="18" t="n">
        <f aca="false">'Black-Scholes'!$B$5*EXP(('Black-Scholes'!$B$8-'Black-Scholes'!$B$10-'Black-Scholes'!$B$9^2/2)*'Black-Scholes'!$B$7-'Black-Scholes'!$B$9*SQRT('Black-Scholes'!$B$7)*B4948)</f>
        <v>76.9738788446403</v>
      </c>
      <c r="E4948" s="18" t="n">
        <f aca="false">EXP(-'Black-Scholes'!$B$8*'Black-Scholes'!$B$7)*IF(LOWER('Black-Scholes'!$B$11)="put",MAX('Black-Scholes'!$B$6-C4948,0),MAX(C4948-'Black-Scholes'!$B$6,0))</f>
        <v>36.0969183968526</v>
      </c>
      <c r="F4948" s="18" t="n">
        <f aca="false">(E4948+G4948)/2</f>
        <v>18.0484591984263</v>
      </c>
      <c r="G4948" s="18" t="n">
        <f aca="false">EXP(-'Black-Scholes'!$B$8*'Black-Scholes'!$B$7)*IF(LOWER('Black-Scholes'!$B$11)="put",MAX('Black-Scholes'!$B$6-D4948,0),MAX(D4948-'Black-Scholes'!$B$6,0))</f>
        <v>0</v>
      </c>
    </row>
    <row r="4949" customFormat="false" ht="15" hidden="false" customHeight="false" outlineLevel="0" collapsed="false">
      <c r="A4949" s="0" t="n">
        <v>4938</v>
      </c>
      <c r="B4949" s="15" t="n">
        <v>-1.67601574107773</v>
      </c>
      <c r="C4949" s="18" t="n">
        <f aca="false">'Black-Scholes'!$B$5*EXP(('Black-Scholes'!$B$8-'Black-Scholes'!$B$10-'Black-Scholes'!$B$9^2/2)*'Black-Scholes'!$B$7+'Black-Scholes'!$B$9*SQRT('Black-Scholes'!$B$7)*B4949)</f>
        <v>73.6973644302698</v>
      </c>
      <c r="D4949" s="18" t="n">
        <f aca="false">'Black-Scholes'!$B$5*EXP(('Black-Scholes'!$B$8-'Black-Scholes'!$B$10-'Black-Scholes'!$B$9^2/2)*'Black-Scholes'!$B$7-'Black-Scholes'!$B$9*SQRT('Black-Scholes'!$B$7)*B4949)</f>
        <v>144.080667572588</v>
      </c>
      <c r="E4949" s="18" t="n">
        <f aca="false">EXP(-'Black-Scholes'!$B$8*'Black-Scholes'!$B$7)*IF(LOWER('Black-Scholes'!$B$11)="put",MAX('Black-Scholes'!$B$6-C4949,0),MAX(C4949-'Black-Scholes'!$B$6,0))</f>
        <v>0</v>
      </c>
      <c r="F4949" s="18" t="n">
        <f aca="false">(E4949+G4949)/2</f>
        <v>20.9654140233402</v>
      </c>
      <c r="G4949" s="18" t="n">
        <f aca="false">EXP(-'Black-Scholes'!$B$8*'Black-Scholes'!$B$7)*IF(LOWER('Black-Scholes'!$B$11)="put",MAX('Black-Scholes'!$B$6-D4949,0),MAX(D4949-'Black-Scholes'!$B$6,0))</f>
        <v>41.9308280466804</v>
      </c>
    </row>
    <row r="4950" customFormat="false" ht="15" hidden="false" customHeight="false" outlineLevel="0" collapsed="false">
      <c r="A4950" s="0" t="n">
        <v>4939</v>
      </c>
      <c r="B4950" s="15" t="n">
        <v>1.3019701907511</v>
      </c>
      <c r="C4950" s="18" t="n">
        <f aca="false">'Black-Scholes'!$B$5*EXP(('Black-Scholes'!$B$8-'Black-Scholes'!$B$10-'Black-Scholes'!$B$9^2/2)*'Black-Scholes'!$B$7+'Black-Scholes'!$B$9*SQRT('Black-Scholes'!$B$7)*B4950)</f>
        <v>133.69541952053</v>
      </c>
      <c r="D4950" s="18" t="n">
        <f aca="false">'Black-Scholes'!$B$5*EXP(('Black-Scholes'!$B$8-'Black-Scholes'!$B$10-'Black-Scholes'!$B$9^2/2)*'Black-Scholes'!$B$7-'Black-Scholes'!$B$9*SQRT('Black-Scholes'!$B$7)*B4950)</f>
        <v>79.4220587626268</v>
      </c>
      <c r="E4950" s="18" t="n">
        <f aca="false">EXP(-'Black-Scholes'!$B$8*'Black-Scholes'!$B$7)*IF(LOWER('Black-Scholes'!$B$11)="put",MAX('Black-Scholes'!$B$6-C4950,0),MAX(C4950-'Black-Scholes'!$B$6,0))</f>
        <v>32.0520745188241</v>
      </c>
      <c r="F4950" s="18" t="n">
        <f aca="false">(E4950+G4950)/2</f>
        <v>16.0260372594121</v>
      </c>
      <c r="G4950" s="18" t="n">
        <f aca="false">EXP(-'Black-Scholes'!$B$8*'Black-Scholes'!$B$7)*IF(LOWER('Black-Scholes'!$B$11)="put",MAX('Black-Scholes'!$B$6-D4950,0),MAX(D4950-'Black-Scholes'!$B$6,0))</f>
        <v>0</v>
      </c>
    </row>
    <row r="4951" customFormat="false" ht="15" hidden="false" customHeight="false" outlineLevel="0" collapsed="false">
      <c r="A4951" s="0" t="n">
        <v>4940</v>
      </c>
      <c r="B4951" s="15" t="n">
        <v>0.281718248582827</v>
      </c>
      <c r="C4951" s="18" t="n">
        <f aca="false">'Black-Scholes'!$B$5*EXP(('Black-Scholes'!$B$8-'Black-Scholes'!$B$10-'Black-Scholes'!$B$9^2/2)*'Black-Scholes'!$B$7+'Black-Scholes'!$B$9*SQRT('Black-Scholes'!$B$7)*B4951)</f>
        <v>109.018090429874</v>
      </c>
      <c r="D4951" s="18" t="n">
        <f aca="false">'Black-Scholes'!$B$5*EXP(('Black-Scholes'!$B$8-'Black-Scholes'!$B$10-'Black-Scholes'!$B$9^2/2)*'Black-Scholes'!$B$7-'Black-Scholes'!$B$9*SQRT('Black-Scholes'!$B$7)*B4951)</f>
        <v>97.4000317156889</v>
      </c>
      <c r="E4951" s="18" t="n">
        <f aca="false">EXP(-'Black-Scholes'!$B$8*'Black-Scholes'!$B$7)*IF(LOWER('Black-Scholes'!$B$11)="put",MAX('Black-Scholes'!$B$6-C4951,0),MAX(C4951-'Black-Scholes'!$B$6,0))</f>
        <v>8.57827296970469</v>
      </c>
      <c r="F4951" s="18" t="n">
        <f aca="false">(E4951+G4951)/2</f>
        <v>4.28913648485235</v>
      </c>
      <c r="G4951" s="18" t="n">
        <f aca="false">EXP(-'Black-Scholes'!$B$8*'Black-Scholes'!$B$7)*IF(LOWER('Black-Scholes'!$B$11)="put",MAX('Black-Scholes'!$B$6-D4951,0),MAX(D4951-'Black-Scholes'!$B$6,0))</f>
        <v>0</v>
      </c>
    </row>
    <row r="4952" customFormat="false" ht="15" hidden="false" customHeight="false" outlineLevel="0" collapsed="false">
      <c r="A4952" s="0" t="n">
        <v>4941</v>
      </c>
      <c r="B4952" s="15" t="n">
        <v>0.144810647532645</v>
      </c>
      <c r="C4952" s="18" t="n">
        <f aca="false">'Black-Scholes'!$B$5*EXP(('Black-Scholes'!$B$8-'Black-Scholes'!$B$10-'Black-Scholes'!$B$9^2/2)*'Black-Scholes'!$B$7+'Black-Scholes'!$B$9*SQRT('Black-Scholes'!$B$7)*B4952)</f>
        <v>106.073506941899</v>
      </c>
      <c r="D4952" s="18" t="n">
        <f aca="false">'Black-Scholes'!$B$5*EXP(('Black-Scholes'!$B$8-'Black-Scholes'!$B$10-'Black-Scholes'!$B$9^2/2)*'Black-Scholes'!$B$7-'Black-Scholes'!$B$9*SQRT('Black-Scholes'!$B$7)*B4952)</f>
        <v>100.103840926743</v>
      </c>
      <c r="E4952" s="18" t="n">
        <f aca="false">EXP(-'Black-Scholes'!$B$8*'Black-Scholes'!$B$7)*IF(LOWER('Black-Scholes'!$B$11)="put",MAX('Black-Scholes'!$B$6-C4952,0),MAX(C4952-'Black-Scholes'!$B$6,0))</f>
        <v>5.77729851304358</v>
      </c>
      <c r="F4952" s="18" t="n">
        <f aca="false">(E4952+G4952)/2</f>
        <v>2.93803752901438</v>
      </c>
      <c r="G4952" s="18" t="n">
        <f aca="false">EXP(-'Black-Scholes'!$B$8*'Black-Scholes'!$B$7)*IF(LOWER('Black-Scholes'!$B$11)="put",MAX('Black-Scholes'!$B$6-D4952,0),MAX(D4952-'Black-Scholes'!$B$6,0))</f>
        <v>0.0987765449851793</v>
      </c>
    </row>
    <row r="4953" customFormat="false" ht="15" hidden="false" customHeight="false" outlineLevel="0" collapsed="false">
      <c r="A4953" s="0" t="n">
        <v>4942</v>
      </c>
      <c r="B4953" s="15" t="n">
        <v>-0.250694228997071</v>
      </c>
      <c r="C4953" s="18" t="n">
        <f aca="false">'Black-Scholes'!$B$5*EXP(('Black-Scholes'!$B$8-'Black-Scholes'!$B$10-'Black-Scholes'!$B$9^2/2)*'Black-Scholes'!$B$7+'Black-Scholes'!$B$9*SQRT('Black-Scholes'!$B$7)*B4953)</f>
        <v>98.0062586286149</v>
      </c>
      <c r="D4953" s="18" t="n">
        <f aca="false">'Black-Scholes'!$B$5*EXP(('Black-Scholes'!$B$8-'Black-Scholes'!$B$10-'Black-Scholes'!$B$9^2/2)*'Black-Scholes'!$B$7-'Black-Scholes'!$B$9*SQRT('Black-Scholes'!$B$7)*B4953)</f>
        <v>108.343748797624</v>
      </c>
      <c r="E4953" s="18" t="n">
        <f aca="false">EXP(-'Black-Scholes'!$B$8*'Black-Scholes'!$B$7)*IF(LOWER('Black-Scholes'!$B$11)="put",MAX('Black-Scholes'!$B$6-C4953,0),MAX(C4953-'Black-Scholes'!$B$6,0))</f>
        <v>0</v>
      </c>
      <c r="F4953" s="18" t="n">
        <f aca="false">(E4953+G4953)/2</f>
        <v>3.96840968347105</v>
      </c>
      <c r="G4953" s="18" t="n">
        <f aca="false">EXP(-'Black-Scholes'!$B$8*'Black-Scholes'!$B$7)*IF(LOWER('Black-Scholes'!$B$11)="put",MAX('Black-Scholes'!$B$6-D4953,0),MAX(D4953-'Black-Scholes'!$B$6,0))</f>
        <v>7.93681936694211</v>
      </c>
    </row>
    <row r="4954" customFormat="false" ht="15" hidden="false" customHeight="false" outlineLevel="0" collapsed="false">
      <c r="A4954" s="0" t="n">
        <v>4943</v>
      </c>
      <c r="B4954" s="15" t="n">
        <v>1.00840697814834</v>
      </c>
      <c r="C4954" s="18" t="n">
        <f aca="false">'Black-Scholes'!$B$5*EXP(('Black-Scholes'!$B$8-'Black-Scholes'!$B$10-'Black-Scholes'!$B$9^2/2)*'Black-Scholes'!$B$7+'Black-Scholes'!$B$9*SQRT('Black-Scholes'!$B$7)*B4954)</f>
        <v>126.071799457176</v>
      </c>
      <c r="D4954" s="18" t="n">
        <f aca="false">'Black-Scholes'!$B$5*EXP(('Black-Scholes'!$B$8-'Black-Scholes'!$B$10-'Black-Scholes'!$B$9^2/2)*'Black-Scholes'!$B$7-'Black-Scholes'!$B$9*SQRT('Black-Scholes'!$B$7)*B4954)</f>
        <v>84.2247474151463</v>
      </c>
      <c r="E4954" s="18" t="n">
        <f aca="false">EXP(-'Black-Scholes'!$B$8*'Black-Scholes'!$B$7)*IF(LOWER('Black-Scholes'!$B$11)="put",MAX('Black-Scholes'!$B$6-C4954,0),MAX(C4954-'Black-Scholes'!$B$6,0))</f>
        <v>24.8002627933472</v>
      </c>
      <c r="F4954" s="18" t="n">
        <f aca="false">(E4954+G4954)/2</f>
        <v>12.4001313966736</v>
      </c>
      <c r="G4954" s="18" t="n">
        <f aca="false">EXP(-'Black-Scholes'!$B$8*'Black-Scholes'!$B$7)*IF(LOWER('Black-Scholes'!$B$11)="put",MAX('Black-Scholes'!$B$6-D4954,0),MAX(D4954-'Black-Scholes'!$B$6,0))</f>
        <v>0</v>
      </c>
    </row>
    <row r="4955" customFormat="false" ht="15" hidden="false" customHeight="false" outlineLevel="0" collapsed="false">
      <c r="A4955" s="0" t="n">
        <v>4944</v>
      </c>
      <c r="B4955" s="15" t="n">
        <v>-0.668644502462315</v>
      </c>
      <c r="C4955" s="18" t="n">
        <f aca="false">'Black-Scholes'!$B$5*EXP(('Black-Scholes'!$B$8-'Black-Scholes'!$B$10-'Black-Scholes'!$B$9^2/2)*'Black-Scholes'!$B$7+'Black-Scholes'!$B$9*SQRT('Black-Scholes'!$B$7)*B4955)</f>
        <v>90.1469652276259</v>
      </c>
      <c r="D4955" s="18" t="n">
        <f aca="false">'Black-Scholes'!$B$5*EXP(('Black-Scholes'!$B$8-'Black-Scholes'!$B$10-'Black-Scholes'!$B$9^2/2)*'Black-Scholes'!$B$7-'Black-Scholes'!$B$9*SQRT('Black-Scholes'!$B$7)*B4955)</f>
        <v>117.789494506461</v>
      </c>
      <c r="E4955" s="18" t="n">
        <f aca="false">EXP(-'Black-Scholes'!$B$8*'Black-Scholes'!$B$7)*IF(LOWER('Black-Scholes'!$B$11)="put",MAX('Black-Scholes'!$B$6-C4955,0),MAX(C4955-'Black-Scholes'!$B$6,0))</f>
        <v>0</v>
      </c>
      <c r="F4955" s="18" t="n">
        <f aca="false">(E4955+G4955)/2</f>
        <v>8.46094531076987</v>
      </c>
      <c r="G4955" s="18" t="n">
        <f aca="false">EXP(-'Black-Scholes'!$B$8*'Black-Scholes'!$B$7)*IF(LOWER('Black-Scholes'!$B$11)="put",MAX('Black-Scholes'!$B$6-D4955,0),MAX(D4955-'Black-Scholes'!$B$6,0))</f>
        <v>16.9218906215397</v>
      </c>
    </row>
    <row r="4956" customFormat="false" ht="15" hidden="false" customHeight="false" outlineLevel="0" collapsed="false">
      <c r="A4956" s="0" t="n">
        <v>4945</v>
      </c>
      <c r="B4956" s="15" t="n">
        <v>0.0573218953176342</v>
      </c>
      <c r="C4956" s="18" t="n">
        <f aca="false">'Black-Scholes'!$B$5*EXP(('Black-Scholes'!$B$8-'Black-Scholes'!$B$10-'Black-Scholes'!$B$9^2/2)*'Black-Scholes'!$B$7+'Black-Scholes'!$B$9*SQRT('Black-Scholes'!$B$7)*B4956)</f>
        <v>104.233603220459</v>
      </c>
      <c r="D4956" s="18" t="n">
        <f aca="false">'Black-Scholes'!$B$5*EXP(('Black-Scholes'!$B$8-'Black-Scholes'!$B$10-'Black-Scholes'!$B$9^2/2)*'Black-Scholes'!$B$7-'Black-Scholes'!$B$9*SQRT('Black-Scholes'!$B$7)*B4956)</f>
        <v>101.870847187305</v>
      </c>
      <c r="E4956" s="18" t="n">
        <f aca="false">EXP(-'Black-Scholes'!$B$8*'Black-Scholes'!$B$7)*IF(LOWER('Black-Scholes'!$B$11)="put",MAX('Black-Scholes'!$B$6-C4956,0),MAX(C4956-'Black-Scholes'!$B$6,0))</f>
        <v>4.02712795496197</v>
      </c>
      <c r="F4956" s="18" t="n">
        <f aca="false">(E4956+G4956)/2</f>
        <v>2.9033664241354</v>
      </c>
      <c r="G4956" s="18" t="n">
        <f aca="false">EXP(-'Black-Scholes'!$B$8*'Black-Scholes'!$B$7)*IF(LOWER('Black-Scholes'!$B$11)="put",MAX('Black-Scholes'!$B$6-D4956,0),MAX(D4956-'Black-Scholes'!$B$6,0))</f>
        <v>1.77960489330884</v>
      </c>
    </row>
    <row r="4957" customFormat="false" ht="15" hidden="false" customHeight="false" outlineLevel="0" collapsed="false">
      <c r="A4957" s="0" t="n">
        <v>4946</v>
      </c>
      <c r="B4957" s="15" t="n">
        <v>0.0395789060061171</v>
      </c>
      <c r="C4957" s="18" t="n">
        <f aca="false">'Black-Scholes'!$B$5*EXP(('Black-Scholes'!$B$8-'Black-Scholes'!$B$10-'Black-Scholes'!$B$9^2/2)*'Black-Scholes'!$B$7+'Black-Scholes'!$B$9*SQRT('Black-Scholes'!$B$7)*B4957)</f>
        <v>103.864375586547</v>
      </c>
      <c r="D4957" s="18" t="n">
        <f aca="false">'Black-Scholes'!$B$5*EXP(('Black-Scholes'!$B$8-'Black-Scholes'!$B$10-'Black-Scholes'!$B$9^2/2)*'Black-Scholes'!$B$7-'Black-Scholes'!$B$9*SQRT('Black-Scholes'!$B$7)*B4957)</f>
        <v>102.232988023941</v>
      </c>
      <c r="E4957" s="18" t="n">
        <f aca="false">EXP(-'Black-Scholes'!$B$8*'Black-Scholes'!$B$7)*IF(LOWER('Black-Scholes'!$B$11)="put",MAX('Black-Scholes'!$B$6-C4957,0),MAX(C4957-'Black-Scholes'!$B$6,0))</f>
        <v>3.67590776524563</v>
      </c>
      <c r="F4957" s="18" t="n">
        <f aca="false">(E4957+G4957)/2</f>
        <v>2.89999583908817</v>
      </c>
      <c r="G4957" s="18" t="n">
        <f aca="false">EXP(-'Black-Scholes'!$B$8*'Black-Scholes'!$B$7)*IF(LOWER('Black-Scholes'!$B$11)="put",MAX('Black-Scholes'!$B$6-D4957,0),MAX(D4957-'Black-Scholes'!$B$6,0))</f>
        <v>2.12408391293071</v>
      </c>
    </row>
    <row r="4958" customFormat="false" ht="15" hidden="false" customHeight="false" outlineLevel="0" collapsed="false">
      <c r="A4958" s="0" t="n">
        <v>4947</v>
      </c>
      <c r="B4958" s="15" t="n">
        <v>-0.578691635311662</v>
      </c>
      <c r="C4958" s="18" t="n">
        <f aca="false">'Black-Scholes'!$B$5*EXP(('Black-Scholes'!$B$8-'Black-Scholes'!$B$10-'Black-Scholes'!$B$9^2/2)*'Black-Scholes'!$B$7+'Black-Scholes'!$B$9*SQRT('Black-Scholes'!$B$7)*B4958)</f>
        <v>91.7834372216051</v>
      </c>
      <c r="D4958" s="18" t="n">
        <f aca="false">'Black-Scholes'!$B$5*EXP(('Black-Scholes'!$B$8-'Black-Scholes'!$B$10-'Black-Scholes'!$B$9^2/2)*'Black-Scholes'!$B$7-'Black-Scholes'!$B$9*SQRT('Black-Scholes'!$B$7)*B4958)</f>
        <v>115.689342073954</v>
      </c>
      <c r="E4958" s="18" t="n">
        <f aca="false">EXP(-'Black-Scholes'!$B$8*'Black-Scholes'!$B$7)*IF(LOWER('Black-Scholes'!$B$11)="put",MAX('Black-Scholes'!$B$6-C4958,0),MAX(C4958-'Black-Scholes'!$B$6,0))</f>
        <v>0</v>
      </c>
      <c r="F4958" s="18" t="n">
        <f aca="false">(E4958+G4958)/2</f>
        <v>7.46208191590127</v>
      </c>
      <c r="G4958" s="18" t="n">
        <f aca="false">EXP(-'Black-Scholes'!$B$8*'Black-Scholes'!$B$7)*IF(LOWER('Black-Scholes'!$B$11)="put",MAX('Black-Scholes'!$B$6-D4958,0),MAX(D4958-'Black-Scholes'!$B$6,0))</f>
        <v>14.9241638318025</v>
      </c>
    </row>
    <row r="4959" customFormat="false" ht="15" hidden="false" customHeight="false" outlineLevel="0" collapsed="false">
      <c r="A4959" s="0" t="n">
        <v>4948</v>
      </c>
      <c r="B4959" s="15" t="n">
        <v>0.579930910452367</v>
      </c>
      <c r="C4959" s="18" t="n">
        <f aca="false">'Black-Scholes'!$B$5*EXP(('Black-Scholes'!$B$8-'Black-Scholes'!$B$10-'Black-Scholes'!$B$9^2/2)*'Black-Scholes'!$B$7+'Black-Scholes'!$B$9*SQRT('Black-Scholes'!$B$7)*B4959)</f>
        <v>115.718019812904</v>
      </c>
      <c r="D4959" s="18" t="n">
        <f aca="false">'Black-Scholes'!$B$5*EXP(('Black-Scholes'!$B$8-'Black-Scholes'!$B$10-'Black-Scholes'!$B$9^2/2)*'Black-Scholes'!$B$7-'Black-Scholes'!$B$9*SQRT('Black-Scholes'!$B$7)*B4959)</f>
        <v>91.7606910541821</v>
      </c>
      <c r="E4959" s="18" t="n">
        <f aca="false">EXP(-'Black-Scholes'!$B$8*'Black-Scholes'!$B$7)*IF(LOWER('Black-Scholes'!$B$11)="put",MAX('Black-Scholes'!$B$6-C4959,0),MAX(C4959-'Black-Scholes'!$B$6,0))</f>
        <v>14.9514429409194</v>
      </c>
      <c r="F4959" s="18" t="n">
        <f aca="false">(E4959+G4959)/2</f>
        <v>7.4757214704597</v>
      </c>
      <c r="G4959" s="18" t="n">
        <f aca="false">EXP(-'Black-Scholes'!$B$8*'Black-Scholes'!$B$7)*IF(LOWER('Black-Scholes'!$B$11)="put",MAX('Black-Scholes'!$B$6-D4959,0),MAX(D4959-'Black-Scholes'!$B$6,0))</f>
        <v>0</v>
      </c>
    </row>
    <row r="4960" customFormat="false" ht="15" hidden="false" customHeight="false" outlineLevel="0" collapsed="false">
      <c r="A4960" s="0" t="n">
        <v>4949</v>
      </c>
      <c r="B4960" s="15" t="n">
        <v>-1.06476233190669</v>
      </c>
      <c r="C4960" s="18" t="n">
        <f aca="false">'Black-Scholes'!$B$5*EXP(('Black-Scholes'!$B$8-'Black-Scholes'!$B$10-'Black-Scholes'!$B$9^2/2)*'Black-Scholes'!$B$7+'Black-Scholes'!$B$9*SQRT('Black-Scholes'!$B$7)*B4960)</f>
        <v>83.2807741161851</v>
      </c>
      <c r="D4960" s="18" t="n">
        <f aca="false">'Black-Scholes'!$B$5*EXP(('Black-Scholes'!$B$8-'Black-Scholes'!$B$10-'Black-Scholes'!$B$9^2/2)*'Black-Scholes'!$B$7-'Black-Scholes'!$B$9*SQRT('Black-Scholes'!$B$7)*B4960)</f>
        <v>127.500801693316</v>
      </c>
      <c r="E4960" s="18" t="n">
        <f aca="false">EXP(-'Black-Scholes'!$B$8*'Black-Scholes'!$B$7)*IF(LOWER('Black-Scholes'!$B$11)="put",MAX('Black-Scholes'!$B$6-C4960,0),MAX(C4960-'Black-Scholes'!$B$6,0))</f>
        <v>0</v>
      </c>
      <c r="F4960" s="18" t="n">
        <f aca="false">(E4960+G4960)/2</f>
        <v>13.0797858840208</v>
      </c>
      <c r="G4960" s="18" t="n">
        <f aca="false">EXP(-'Black-Scholes'!$B$8*'Black-Scholes'!$B$7)*IF(LOWER('Black-Scholes'!$B$11)="put",MAX('Black-Scholes'!$B$6-D4960,0),MAX(D4960-'Black-Scholes'!$B$6,0))</f>
        <v>26.1595717680416</v>
      </c>
    </row>
    <row r="4961" customFormat="false" ht="15" hidden="false" customHeight="false" outlineLevel="0" collapsed="false">
      <c r="A4961" s="0" t="n">
        <v>4950</v>
      </c>
      <c r="B4961" s="15" t="n">
        <v>0.574309175090591</v>
      </c>
      <c r="C4961" s="18" t="n">
        <f aca="false">'Black-Scholes'!$B$5*EXP(('Black-Scholes'!$B$8-'Black-Scholes'!$B$10-'Black-Scholes'!$B$9^2/2)*'Black-Scholes'!$B$7+'Black-Scholes'!$B$9*SQRT('Black-Scholes'!$B$7)*B4961)</f>
        <v>115.587985711538</v>
      </c>
      <c r="D4961" s="18" t="n">
        <f aca="false">'Black-Scholes'!$B$5*EXP(('Black-Scholes'!$B$8-'Black-Scholes'!$B$10-'Black-Scholes'!$B$9^2/2)*'Black-Scholes'!$B$7-'Black-Scholes'!$B$9*SQRT('Black-Scholes'!$B$7)*B4961)</f>
        <v>91.8639199401992</v>
      </c>
      <c r="E4961" s="18" t="n">
        <f aca="false">EXP(-'Black-Scholes'!$B$8*'Black-Scholes'!$B$7)*IF(LOWER('Black-Scholes'!$B$11)="put",MAX('Black-Scholes'!$B$6-C4961,0),MAX(C4961-'Black-Scholes'!$B$6,0))</f>
        <v>14.8277506775114</v>
      </c>
      <c r="F4961" s="18" t="n">
        <f aca="false">(E4961+G4961)/2</f>
        <v>7.4138753387557</v>
      </c>
      <c r="G4961" s="18" t="n">
        <f aca="false">EXP(-'Black-Scholes'!$B$8*'Black-Scholes'!$B$7)*IF(LOWER('Black-Scholes'!$B$11)="put",MAX('Black-Scholes'!$B$6-D4961,0),MAX(D4961-'Black-Scholes'!$B$6,0))</f>
        <v>0</v>
      </c>
    </row>
    <row r="4962" customFormat="false" ht="15" hidden="false" customHeight="false" outlineLevel="0" collapsed="false">
      <c r="A4962" s="0" t="n">
        <v>4951</v>
      </c>
      <c r="B4962" s="15" t="n">
        <v>-0.895162588650464</v>
      </c>
      <c r="C4962" s="18" t="n">
        <f aca="false">'Black-Scholes'!$B$5*EXP(('Black-Scholes'!$B$8-'Black-Scholes'!$B$10-'Black-Scholes'!$B$9^2/2)*'Black-Scholes'!$B$7+'Black-Scholes'!$B$9*SQRT('Black-Scholes'!$B$7)*B4962)</f>
        <v>86.1541099082532</v>
      </c>
      <c r="D4962" s="18" t="n">
        <f aca="false">'Black-Scholes'!$B$5*EXP(('Black-Scholes'!$B$8-'Black-Scholes'!$B$10-'Black-Scholes'!$B$9^2/2)*'Black-Scholes'!$B$7-'Black-Scholes'!$B$9*SQRT('Black-Scholes'!$B$7)*B4962)</f>
        <v>123.248507549567</v>
      </c>
      <c r="E4962" s="18" t="n">
        <f aca="false">EXP(-'Black-Scholes'!$B$8*'Black-Scholes'!$B$7)*IF(LOWER('Black-Scholes'!$B$11)="put",MAX('Black-Scholes'!$B$6-C4962,0),MAX(C4962-'Black-Scholes'!$B$6,0))</f>
        <v>0</v>
      </c>
      <c r="F4962" s="18" t="n">
        <f aca="false">(E4962+G4962)/2</f>
        <v>11.0573322284377</v>
      </c>
      <c r="G4962" s="18" t="n">
        <f aca="false">EXP(-'Black-Scholes'!$B$8*'Black-Scholes'!$B$7)*IF(LOWER('Black-Scholes'!$B$11)="put",MAX('Black-Scholes'!$B$6-D4962,0),MAX(D4962-'Black-Scholes'!$B$6,0))</f>
        <v>22.1146644568755</v>
      </c>
    </row>
    <row r="4963" customFormat="false" ht="15" hidden="false" customHeight="false" outlineLevel="0" collapsed="false">
      <c r="A4963" s="0" t="n">
        <v>4952</v>
      </c>
      <c r="B4963" s="15" t="n">
        <v>-0.243511385145352</v>
      </c>
      <c r="C4963" s="18" t="n">
        <f aca="false">'Black-Scholes'!$B$5*EXP(('Black-Scholes'!$B$8-'Black-Scholes'!$B$10-'Black-Scholes'!$B$9^2/2)*'Black-Scholes'!$B$7+'Black-Scholes'!$B$9*SQRT('Black-Scholes'!$B$7)*B4963)</f>
        <v>98.1471525367226</v>
      </c>
      <c r="D4963" s="18" t="n">
        <f aca="false">'Black-Scholes'!$B$5*EXP(('Black-Scholes'!$B$8-'Black-Scholes'!$B$10-'Black-Scholes'!$B$9^2/2)*'Black-Scholes'!$B$7-'Black-Scholes'!$B$9*SQRT('Black-Scholes'!$B$7)*B4963)</f>
        <v>108.188217294237</v>
      </c>
      <c r="E4963" s="18" t="n">
        <f aca="false">EXP(-'Black-Scholes'!$B$8*'Black-Scholes'!$B$7)*IF(LOWER('Black-Scholes'!$B$11)="put",MAX('Black-Scholes'!$B$6-C4963,0),MAX(C4963-'Black-Scholes'!$B$6,0))</f>
        <v>0</v>
      </c>
      <c r="F4963" s="18" t="n">
        <f aca="false">(E4963+G4963)/2</f>
        <v>3.89443661224205</v>
      </c>
      <c r="G4963" s="18" t="n">
        <f aca="false">EXP(-'Black-Scholes'!$B$8*'Black-Scholes'!$B$7)*IF(LOWER('Black-Scholes'!$B$11)="put",MAX('Black-Scholes'!$B$6-D4963,0),MAX(D4963-'Black-Scholes'!$B$6,0))</f>
        <v>7.78887322448409</v>
      </c>
    </row>
    <row r="4964" customFormat="false" ht="15" hidden="false" customHeight="false" outlineLevel="0" collapsed="false">
      <c r="A4964" s="0" t="n">
        <v>4953</v>
      </c>
      <c r="B4964" s="15" t="n">
        <v>-0.265989023625829</v>
      </c>
      <c r="C4964" s="18" t="n">
        <f aca="false">'Black-Scholes'!$B$5*EXP(('Black-Scholes'!$B$8-'Black-Scholes'!$B$10-'Black-Scholes'!$B$9^2/2)*'Black-Scholes'!$B$7+'Black-Scholes'!$B$9*SQRT('Black-Scholes'!$B$7)*B4964)</f>
        <v>97.7069195753531</v>
      </c>
      <c r="D4964" s="18" t="n">
        <f aca="false">'Black-Scholes'!$B$5*EXP(('Black-Scholes'!$B$8-'Black-Scholes'!$B$10-'Black-Scholes'!$B$9^2/2)*'Black-Scholes'!$B$7-'Black-Scholes'!$B$9*SQRT('Black-Scholes'!$B$7)*B4964)</f>
        <v>108.675675290986</v>
      </c>
      <c r="E4964" s="18" t="n">
        <f aca="false">EXP(-'Black-Scholes'!$B$8*'Black-Scholes'!$B$7)*IF(LOWER('Black-Scholes'!$B$11)="put",MAX('Black-Scholes'!$B$6-C4964,0),MAX(C4964-'Black-Scholes'!$B$6,0))</f>
        <v>0</v>
      </c>
      <c r="F4964" s="18" t="n">
        <f aca="false">(E4964+G4964)/2</f>
        <v>4.1262788071</v>
      </c>
      <c r="G4964" s="18" t="n">
        <f aca="false">EXP(-'Black-Scholes'!$B$8*'Black-Scholes'!$B$7)*IF(LOWER('Black-Scholes'!$B$11)="put",MAX('Black-Scholes'!$B$6-D4964,0),MAX(D4964-'Black-Scholes'!$B$6,0))</f>
        <v>8.2525576142</v>
      </c>
    </row>
    <row r="4965" customFormat="false" ht="15" hidden="false" customHeight="false" outlineLevel="0" collapsed="false">
      <c r="A4965" s="0" t="n">
        <v>4954</v>
      </c>
      <c r="B4965" s="15" t="n">
        <v>-0.764770774260469</v>
      </c>
      <c r="C4965" s="18" t="n">
        <f aca="false">'Black-Scholes'!$B$5*EXP(('Black-Scholes'!$B$8-'Black-Scholes'!$B$10-'Black-Scholes'!$B$9^2/2)*'Black-Scholes'!$B$7+'Black-Scholes'!$B$9*SQRT('Black-Scholes'!$B$7)*B4965)</f>
        <v>88.4304202688496</v>
      </c>
      <c r="D4965" s="18" t="n">
        <f aca="false">'Black-Scholes'!$B$5*EXP(('Black-Scholes'!$B$8-'Black-Scholes'!$B$10-'Black-Scholes'!$B$9^2/2)*'Black-Scholes'!$B$7-'Black-Scholes'!$B$9*SQRT('Black-Scholes'!$B$7)*B4965)</f>
        <v>120.075935782859</v>
      </c>
      <c r="E4965" s="18" t="n">
        <f aca="false">EXP(-'Black-Scholes'!$B$8*'Black-Scholes'!$B$7)*IF(LOWER('Black-Scholes'!$B$11)="put",MAX('Black-Scholes'!$B$6-C4965,0),MAX(C4965-'Black-Scholes'!$B$6,0))</f>
        <v>0</v>
      </c>
      <c r="F4965" s="18" t="n">
        <f aca="false">(E4965+G4965)/2</f>
        <v>9.54841042052101</v>
      </c>
      <c r="G4965" s="18" t="n">
        <f aca="false">EXP(-'Black-Scholes'!$B$8*'Black-Scholes'!$B$7)*IF(LOWER('Black-Scholes'!$B$11)="put",MAX('Black-Scholes'!$B$6-D4965,0),MAX(D4965-'Black-Scholes'!$B$6,0))</f>
        <v>19.096820841042</v>
      </c>
    </row>
    <row r="4966" customFormat="false" ht="15" hidden="false" customHeight="false" outlineLevel="0" collapsed="false">
      <c r="A4966" s="0" t="n">
        <v>4955</v>
      </c>
      <c r="B4966" s="15" t="n">
        <v>-0.285197636198861</v>
      </c>
      <c r="C4966" s="18" t="n">
        <f aca="false">'Black-Scholes'!$B$5*EXP(('Black-Scholes'!$B$8-'Black-Scholes'!$B$10-'Black-Scholes'!$B$9^2/2)*'Black-Scholes'!$B$7+'Black-Scholes'!$B$9*SQRT('Black-Scholes'!$B$7)*B4966)</f>
        <v>97.3322768001539</v>
      </c>
      <c r="D4966" s="18" t="n">
        <f aca="false">'Black-Scholes'!$B$5*EXP(('Black-Scholes'!$B$8-'Black-Scholes'!$B$10-'Black-Scholes'!$B$9^2/2)*'Black-Scholes'!$B$7-'Black-Scholes'!$B$9*SQRT('Black-Scholes'!$B$7)*B4966)</f>
        <v>109.093980070512</v>
      </c>
      <c r="E4966" s="18" t="n">
        <f aca="false">EXP(-'Black-Scholes'!$B$8*'Black-Scholes'!$B$7)*IF(LOWER('Black-Scholes'!$B$11)="put",MAX('Black-Scholes'!$B$6-C4966,0),MAX(C4966-'Black-Scholes'!$B$6,0))</f>
        <v>0</v>
      </c>
      <c r="F4966" s="18" t="n">
        <f aca="false">(E4966+G4966)/2</f>
        <v>4.32523071444727</v>
      </c>
      <c r="G4966" s="18" t="n">
        <f aca="false">EXP(-'Black-Scholes'!$B$8*'Black-Scholes'!$B$7)*IF(LOWER('Black-Scholes'!$B$11)="put",MAX('Black-Scholes'!$B$6-D4966,0),MAX(D4966-'Black-Scholes'!$B$6,0))</f>
        <v>8.65046142889454</v>
      </c>
    </row>
    <row r="4967" customFormat="false" ht="15" hidden="false" customHeight="false" outlineLevel="0" collapsed="false">
      <c r="A4967" s="0" t="n">
        <v>4956</v>
      </c>
      <c r="B4967" s="15" t="n">
        <v>0.479928731664269</v>
      </c>
      <c r="C4967" s="18" t="n">
        <f aca="false">'Black-Scholes'!$B$5*EXP(('Black-Scholes'!$B$8-'Black-Scholes'!$B$10-'Black-Scholes'!$B$9^2/2)*'Black-Scholes'!$B$7+'Black-Scholes'!$B$9*SQRT('Black-Scholes'!$B$7)*B4967)</f>
        <v>113.426600071777</v>
      </c>
      <c r="D4967" s="18" t="n">
        <f aca="false">'Black-Scholes'!$B$5*EXP(('Black-Scholes'!$B$8-'Black-Scholes'!$B$10-'Black-Scholes'!$B$9^2/2)*'Black-Scholes'!$B$7-'Black-Scholes'!$B$9*SQRT('Black-Scholes'!$B$7)*B4967)</f>
        <v>93.614420768446</v>
      </c>
      <c r="E4967" s="18" t="n">
        <f aca="false">EXP(-'Black-Scholes'!$B$8*'Black-Scholes'!$B$7)*IF(LOWER('Black-Scholes'!$B$11)="put",MAX('Black-Scholes'!$B$6-C4967,0),MAX(C4967-'Black-Scholes'!$B$6,0))</f>
        <v>12.7717770592779</v>
      </c>
      <c r="F4967" s="18" t="n">
        <f aca="false">(E4967+G4967)/2</f>
        <v>6.38588852963895</v>
      </c>
      <c r="G4967" s="18" t="n">
        <f aca="false">EXP(-'Black-Scholes'!$B$8*'Black-Scholes'!$B$7)*IF(LOWER('Black-Scholes'!$B$11)="put",MAX('Black-Scholes'!$B$6-D4967,0),MAX(D4967-'Black-Scholes'!$B$6,0))</f>
        <v>0</v>
      </c>
    </row>
    <row r="4968" customFormat="false" ht="15" hidden="false" customHeight="false" outlineLevel="0" collapsed="false">
      <c r="A4968" s="0" t="n">
        <v>4957</v>
      </c>
      <c r="B4968" s="15" t="n">
        <v>-1.34013678380077</v>
      </c>
      <c r="C4968" s="18" t="n">
        <f aca="false">'Black-Scholes'!$B$5*EXP(('Black-Scholes'!$B$8-'Black-Scholes'!$B$10-'Black-Scholes'!$B$9^2/2)*'Black-Scholes'!$B$7+'Black-Scholes'!$B$9*SQRT('Black-Scholes'!$B$7)*B4968)</f>
        <v>78.8181128716738</v>
      </c>
      <c r="D4968" s="18" t="n">
        <f aca="false">'Black-Scholes'!$B$5*EXP(('Black-Scholes'!$B$8-'Black-Scholes'!$B$10-'Black-Scholes'!$B$9^2/2)*'Black-Scholes'!$B$7-'Black-Scholes'!$B$9*SQRT('Black-Scholes'!$B$7)*B4968)</f>
        <v>134.719864236558</v>
      </c>
      <c r="E4968" s="18" t="n">
        <f aca="false">EXP(-'Black-Scholes'!$B$8*'Black-Scholes'!$B$7)*IF(LOWER('Black-Scholes'!$B$11)="put",MAX('Black-Scholes'!$B$6-C4968,0),MAX(C4968-'Black-Scholes'!$B$6,0))</f>
        <v>0</v>
      </c>
      <c r="F4968" s="18" t="n">
        <f aca="false">(E4968+G4968)/2</f>
        <v>16.513278238242</v>
      </c>
      <c r="G4968" s="18" t="n">
        <f aca="false">EXP(-'Black-Scholes'!$B$8*'Black-Scholes'!$B$7)*IF(LOWER('Black-Scholes'!$B$11)="put",MAX('Black-Scholes'!$B$6-D4968,0),MAX(D4968-'Black-Scholes'!$B$6,0))</f>
        <v>33.026556476484</v>
      </c>
    </row>
    <row r="4969" customFormat="false" ht="15" hidden="false" customHeight="false" outlineLevel="0" collapsed="false">
      <c r="A4969" s="0" t="n">
        <v>4958</v>
      </c>
      <c r="B4969" s="15" t="n">
        <v>0.160255850420588</v>
      </c>
      <c r="C4969" s="18" t="n">
        <f aca="false">'Black-Scholes'!$B$5*EXP(('Black-Scholes'!$B$8-'Black-Scholes'!$B$10-'Black-Scholes'!$B$9^2/2)*'Black-Scholes'!$B$7+'Black-Scholes'!$B$9*SQRT('Black-Scholes'!$B$7)*B4969)</f>
        <v>106.401678916366</v>
      </c>
      <c r="D4969" s="18" t="n">
        <f aca="false">'Black-Scholes'!$B$5*EXP(('Black-Scholes'!$B$8-'Black-Scholes'!$B$10-'Black-Scholes'!$B$9^2/2)*'Black-Scholes'!$B$7-'Black-Scholes'!$B$9*SQRT('Black-Scholes'!$B$7)*B4969)</f>
        <v>99.7950932127662</v>
      </c>
      <c r="E4969" s="18" t="n">
        <f aca="false">EXP(-'Black-Scholes'!$B$8*'Black-Scholes'!$B$7)*IF(LOWER('Black-Scholes'!$B$11)="put",MAX('Black-Scholes'!$B$6-C4969,0),MAX(C4969-'Black-Scholes'!$B$6,0))</f>
        <v>6.08946535145344</v>
      </c>
      <c r="F4969" s="18" t="n">
        <f aca="false">(E4969+G4969)/2</f>
        <v>3.04473267572672</v>
      </c>
      <c r="G4969" s="18" t="n">
        <f aca="false">EXP(-'Black-Scholes'!$B$8*'Black-Scholes'!$B$7)*IF(LOWER('Black-Scholes'!$B$11)="put",MAX('Black-Scholes'!$B$6-D4969,0),MAX(D4969-'Black-Scholes'!$B$6,0))</f>
        <v>0</v>
      </c>
    </row>
    <row r="4970" customFormat="false" ht="15" hidden="false" customHeight="false" outlineLevel="0" collapsed="false">
      <c r="A4970" s="0" t="n">
        <v>4959</v>
      </c>
      <c r="B4970" s="15" t="n">
        <v>-0.523201299453626</v>
      </c>
      <c r="C4970" s="18" t="n">
        <f aca="false">'Black-Scholes'!$B$5*EXP(('Black-Scholes'!$B$8-'Black-Scholes'!$B$10-'Black-Scholes'!$B$9^2/2)*'Black-Scholes'!$B$7+'Black-Scholes'!$B$9*SQRT('Black-Scholes'!$B$7)*B4970)</f>
        <v>92.8077292909912</v>
      </c>
      <c r="D4970" s="18" t="n">
        <f aca="false">'Black-Scholes'!$B$5*EXP(('Black-Scholes'!$B$8-'Black-Scholes'!$B$10-'Black-Scholes'!$B$9^2/2)*'Black-Scholes'!$B$7-'Black-Scholes'!$B$9*SQRT('Black-Scholes'!$B$7)*B4970)</f>
        <v>114.41251226135</v>
      </c>
      <c r="E4970" s="18" t="n">
        <f aca="false">EXP(-'Black-Scholes'!$B$8*'Black-Scholes'!$B$7)*IF(LOWER('Black-Scholes'!$B$11)="put",MAX('Black-Scholes'!$B$6-C4970,0),MAX(C4970-'Black-Scholes'!$B$6,0))</f>
        <v>0</v>
      </c>
      <c r="F4970" s="18" t="n">
        <f aca="false">(E4970+G4970)/2</f>
        <v>6.8548028719868</v>
      </c>
      <c r="G4970" s="18" t="n">
        <f aca="false">EXP(-'Black-Scholes'!$B$8*'Black-Scholes'!$B$7)*IF(LOWER('Black-Scholes'!$B$11)="put",MAX('Black-Scholes'!$B$6-D4970,0),MAX(D4970-'Black-Scholes'!$B$6,0))</f>
        <v>13.7096057439736</v>
      </c>
    </row>
    <row r="4971" customFormat="false" ht="15" hidden="false" customHeight="false" outlineLevel="0" collapsed="false">
      <c r="A4971" s="0" t="n">
        <v>4960</v>
      </c>
      <c r="B4971" s="15" t="n">
        <v>-0.741510906161066</v>
      </c>
      <c r="C4971" s="18" t="n">
        <f aca="false">'Black-Scholes'!$B$5*EXP(('Black-Scholes'!$B$8-'Black-Scholes'!$B$10-'Black-Scholes'!$B$9^2/2)*'Black-Scholes'!$B$7+'Black-Scholes'!$B$9*SQRT('Black-Scholes'!$B$7)*B4971)</f>
        <v>88.8427545917261</v>
      </c>
      <c r="D4971" s="18" t="n">
        <f aca="false">'Black-Scholes'!$B$5*EXP(('Black-Scholes'!$B$8-'Black-Scholes'!$B$10-'Black-Scholes'!$B$9^2/2)*'Black-Scholes'!$B$7-'Black-Scholes'!$B$9*SQRT('Black-Scholes'!$B$7)*B4971)</f>
        <v>119.518642957999</v>
      </c>
      <c r="E4971" s="18" t="n">
        <f aca="false">EXP(-'Black-Scholes'!$B$8*'Black-Scholes'!$B$7)*IF(LOWER('Black-Scholes'!$B$11)="put",MAX('Black-Scholes'!$B$6-C4971,0),MAX(C4971-'Black-Scholes'!$B$6,0))</f>
        <v>0</v>
      </c>
      <c r="F4971" s="18" t="n">
        <f aca="false">(E4971+G4971)/2</f>
        <v>9.28335375398593</v>
      </c>
      <c r="G4971" s="18" t="n">
        <f aca="false">EXP(-'Black-Scholes'!$B$8*'Black-Scholes'!$B$7)*IF(LOWER('Black-Scholes'!$B$11)="put",MAX('Black-Scholes'!$B$6-D4971,0),MAX(D4971-'Black-Scholes'!$B$6,0))</f>
        <v>18.5667075079719</v>
      </c>
    </row>
    <row r="4972" customFormat="false" ht="15" hidden="false" customHeight="false" outlineLevel="0" collapsed="false">
      <c r="A4972" s="0" t="n">
        <v>4961</v>
      </c>
      <c r="B4972" s="15" t="n">
        <v>0.300339881456394</v>
      </c>
      <c r="C4972" s="18" t="n">
        <f aca="false">'Black-Scholes'!$B$5*EXP(('Black-Scholes'!$B$8-'Black-Scholes'!$B$10-'Black-Scholes'!$B$9^2/2)*'Black-Scholes'!$B$7+'Black-Scholes'!$B$9*SQRT('Black-Scholes'!$B$7)*B4972)</f>
        <v>109.424866414305</v>
      </c>
      <c r="D4972" s="18" t="n">
        <f aca="false">'Black-Scholes'!$B$5*EXP(('Black-Scholes'!$B$8-'Black-Scholes'!$B$10-'Black-Scholes'!$B$9^2/2)*'Black-Scholes'!$B$7-'Black-Scholes'!$B$9*SQRT('Black-Scholes'!$B$7)*B4972)</f>
        <v>97.0379568502305</v>
      </c>
      <c r="E4972" s="18" t="n">
        <f aca="false">EXP(-'Black-Scholes'!$B$8*'Black-Scholes'!$B$7)*IF(LOWER('Black-Scholes'!$B$11)="put",MAX('Black-Scholes'!$B$6-C4972,0),MAX(C4972-'Black-Scholes'!$B$6,0))</f>
        <v>8.96521025527581</v>
      </c>
      <c r="F4972" s="18" t="n">
        <f aca="false">(E4972+G4972)/2</f>
        <v>4.4826051276379</v>
      </c>
      <c r="G4972" s="18" t="n">
        <f aca="false">EXP(-'Black-Scholes'!$B$8*'Black-Scholes'!$B$7)*IF(LOWER('Black-Scholes'!$B$11)="put",MAX('Black-Scholes'!$B$6-D4972,0),MAX(D4972-'Black-Scholes'!$B$6,0))</f>
        <v>0</v>
      </c>
    </row>
    <row r="4973" customFormat="false" ht="15" hidden="false" customHeight="false" outlineLevel="0" collapsed="false">
      <c r="A4973" s="0" t="n">
        <v>4962</v>
      </c>
      <c r="B4973" s="15" t="n">
        <v>-0.357117429486768</v>
      </c>
      <c r="C4973" s="18" t="n">
        <f aca="false">'Black-Scholes'!$B$5*EXP(('Black-Scholes'!$B$8-'Black-Scholes'!$B$10-'Black-Scholes'!$B$9^2/2)*'Black-Scholes'!$B$7+'Black-Scholes'!$B$9*SQRT('Black-Scholes'!$B$7)*B4973)</f>
        <v>95.9422741903273</v>
      </c>
      <c r="D4973" s="18" t="n">
        <f aca="false">'Black-Scholes'!$B$5*EXP(('Black-Scholes'!$B$8-'Black-Scholes'!$B$10-'Black-Scholes'!$B$9^2/2)*'Black-Scholes'!$B$7-'Black-Scholes'!$B$9*SQRT('Black-Scholes'!$B$7)*B4973)</f>
        <v>110.674523353378</v>
      </c>
      <c r="E4973" s="18" t="n">
        <f aca="false">EXP(-'Black-Scholes'!$B$8*'Black-Scholes'!$B$7)*IF(LOWER('Black-Scholes'!$B$11)="put",MAX('Black-Scholes'!$B$6-C4973,0),MAX(C4973-'Black-Scholes'!$B$6,0))</f>
        <v>0</v>
      </c>
      <c r="F4973" s="18" t="n">
        <f aca="false">(E4973+G4973)/2</f>
        <v>5.0769603531267</v>
      </c>
      <c r="G4973" s="18" t="n">
        <f aca="false">EXP(-'Black-Scholes'!$B$8*'Black-Scholes'!$B$7)*IF(LOWER('Black-Scholes'!$B$11)="put",MAX('Black-Scholes'!$B$6-D4973,0),MAX(D4973-'Black-Scholes'!$B$6,0))</f>
        <v>10.1539207062534</v>
      </c>
    </row>
    <row r="4974" customFormat="false" ht="15" hidden="false" customHeight="false" outlineLevel="0" collapsed="false">
      <c r="A4974" s="0" t="n">
        <v>4963</v>
      </c>
      <c r="B4974" s="15" t="n">
        <v>0.965244256328721</v>
      </c>
      <c r="C4974" s="18" t="n">
        <f aca="false">'Black-Scholes'!$B$5*EXP(('Black-Scholes'!$B$8-'Black-Scholes'!$B$10-'Black-Scholes'!$B$9^2/2)*'Black-Scholes'!$B$7+'Black-Scholes'!$B$9*SQRT('Black-Scholes'!$B$7)*B4974)</f>
        <v>124.98816305443</v>
      </c>
      <c r="D4974" s="18" t="n">
        <f aca="false">'Black-Scholes'!$B$5*EXP(('Black-Scholes'!$B$8-'Black-Scholes'!$B$10-'Black-Scholes'!$B$9^2/2)*'Black-Scholes'!$B$7-'Black-Scholes'!$B$9*SQRT('Black-Scholes'!$B$7)*B4974)</f>
        <v>84.9549685823406</v>
      </c>
      <c r="E4974" s="18" t="n">
        <f aca="false">EXP(-'Black-Scholes'!$B$8*'Black-Scholes'!$B$7)*IF(LOWER('Black-Scholes'!$B$11)="put",MAX('Black-Scholes'!$B$6-C4974,0),MAX(C4974-'Black-Scholes'!$B$6,0))</f>
        <v>23.7694759615958</v>
      </c>
      <c r="F4974" s="18" t="n">
        <f aca="false">(E4974+G4974)/2</f>
        <v>11.8847379807979</v>
      </c>
      <c r="G4974" s="18" t="n">
        <f aca="false">EXP(-'Black-Scholes'!$B$8*'Black-Scholes'!$B$7)*IF(LOWER('Black-Scholes'!$B$11)="put",MAX('Black-Scholes'!$B$6-D4974,0),MAX(D4974-'Black-Scholes'!$B$6,0))</f>
        <v>0</v>
      </c>
    </row>
    <row r="4975" customFormat="false" ht="15" hidden="false" customHeight="false" outlineLevel="0" collapsed="false">
      <c r="A4975" s="0" t="n">
        <v>4964</v>
      </c>
      <c r="B4975" s="15" t="n">
        <v>-0.160354019265845</v>
      </c>
      <c r="C4975" s="18" t="n">
        <f aca="false">'Black-Scholes'!$B$5*EXP(('Black-Scholes'!$B$8-'Black-Scholes'!$B$10-'Black-Scholes'!$B$9^2/2)*'Black-Scholes'!$B$7+'Black-Scholes'!$B$9*SQRT('Black-Scholes'!$B$7)*B4975)</f>
        <v>99.7931338781883</v>
      </c>
      <c r="D4975" s="18" t="n">
        <f aca="false">'Black-Scholes'!$B$5*EXP(('Black-Scholes'!$B$8-'Black-Scholes'!$B$10-'Black-Scholes'!$B$9^2/2)*'Black-Scholes'!$B$7-'Black-Scholes'!$B$9*SQRT('Black-Scholes'!$B$7)*B4975)</f>
        <v>106.403768002865</v>
      </c>
      <c r="E4975" s="18" t="n">
        <f aca="false">EXP(-'Black-Scholes'!$B$8*'Black-Scholes'!$B$7)*IF(LOWER('Black-Scholes'!$B$11)="put",MAX('Black-Scholes'!$B$6-C4975,0),MAX(C4975-'Black-Scholes'!$B$6,0))</f>
        <v>0</v>
      </c>
      <c r="F4975" s="18" t="n">
        <f aca="false">(E4975+G4975)/2</f>
        <v>3.0457262760007</v>
      </c>
      <c r="G4975" s="18" t="n">
        <f aca="false">EXP(-'Black-Scholes'!$B$8*'Black-Scholes'!$B$7)*IF(LOWER('Black-Scholes'!$B$11)="put",MAX('Black-Scholes'!$B$6-D4975,0),MAX(D4975-'Black-Scholes'!$B$6,0))</f>
        <v>6.09145255200139</v>
      </c>
    </row>
    <row r="4976" customFormat="false" ht="15" hidden="false" customHeight="false" outlineLevel="0" collapsed="false">
      <c r="A4976" s="0" t="n">
        <v>4965</v>
      </c>
      <c r="B4976" s="15" t="n">
        <v>-0.524189418297222</v>
      </c>
      <c r="C4976" s="18" t="n">
        <f aca="false">'Black-Scholes'!$B$5*EXP(('Black-Scholes'!$B$8-'Black-Scholes'!$B$10-'Black-Scholes'!$B$9^2/2)*'Black-Scholes'!$B$7+'Black-Scholes'!$B$9*SQRT('Black-Scholes'!$B$7)*B4976)</f>
        <v>92.7893900899531</v>
      </c>
      <c r="D4976" s="18" t="n">
        <f aca="false">'Black-Scholes'!$B$5*EXP(('Black-Scholes'!$B$8-'Black-Scholes'!$B$10-'Black-Scholes'!$B$9^2/2)*'Black-Scholes'!$B$7-'Black-Scholes'!$B$9*SQRT('Black-Scholes'!$B$7)*B4976)</f>
        <v>114.435125127558</v>
      </c>
      <c r="E4976" s="18" t="n">
        <f aca="false">EXP(-'Black-Scholes'!$B$8*'Black-Scholes'!$B$7)*IF(LOWER('Black-Scholes'!$B$11)="put",MAX('Black-Scholes'!$B$6-C4976,0),MAX(C4976-'Black-Scholes'!$B$6,0))</f>
        <v>0</v>
      </c>
      <c r="F4976" s="18" t="n">
        <f aca="false">(E4976+G4976)/2</f>
        <v>6.8655578838415</v>
      </c>
      <c r="G4976" s="18" t="n">
        <f aca="false">EXP(-'Black-Scholes'!$B$8*'Black-Scholes'!$B$7)*IF(LOWER('Black-Scholes'!$B$11)="put",MAX('Black-Scholes'!$B$6-D4976,0),MAX(D4976-'Black-Scholes'!$B$6,0))</f>
        <v>13.731115767683</v>
      </c>
    </row>
    <row r="4977" customFormat="false" ht="15" hidden="false" customHeight="false" outlineLevel="0" collapsed="false">
      <c r="A4977" s="0" t="n">
        <v>4966</v>
      </c>
      <c r="B4977" s="15" t="n">
        <v>-0.618369300419087</v>
      </c>
      <c r="C4977" s="18" t="n">
        <f aca="false">'Black-Scholes'!$B$5*EXP(('Black-Scholes'!$B$8-'Black-Scholes'!$B$10-'Black-Scholes'!$B$9^2/2)*'Black-Scholes'!$B$7+'Black-Scholes'!$B$9*SQRT('Black-Scholes'!$B$7)*B4977)</f>
        <v>91.0579690201945</v>
      </c>
      <c r="D4977" s="18" t="n">
        <f aca="false">'Black-Scholes'!$B$5*EXP(('Black-Scholes'!$B$8-'Black-Scholes'!$B$10-'Black-Scholes'!$B$9^2/2)*'Black-Scholes'!$B$7-'Black-Scholes'!$B$9*SQRT('Black-Scholes'!$B$7)*B4977)</f>
        <v>116.611050956986</v>
      </c>
      <c r="E4977" s="18" t="n">
        <f aca="false">EXP(-'Black-Scholes'!$B$8*'Black-Scholes'!$B$7)*IF(LOWER('Black-Scholes'!$B$11)="put",MAX('Black-Scholes'!$B$6-C4977,0),MAX(C4977-'Black-Scholes'!$B$6,0))</f>
        <v>0</v>
      </c>
      <c r="F4977" s="18" t="n">
        <f aca="false">(E4977+G4977)/2</f>
        <v>7.90046022108315</v>
      </c>
      <c r="G4977" s="18" t="n">
        <f aca="false">EXP(-'Black-Scholes'!$B$8*'Black-Scholes'!$B$7)*IF(LOWER('Black-Scholes'!$B$11)="put",MAX('Black-Scholes'!$B$6-D4977,0),MAX(D4977-'Black-Scholes'!$B$6,0))</f>
        <v>15.8009204421663</v>
      </c>
    </row>
    <row r="4978" customFormat="false" ht="15" hidden="false" customHeight="false" outlineLevel="0" collapsed="false">
      <c r="A4978" s="0" t="n">
        <v>4967</v>
      </c>
      <c r="B4978" s="15" t="n">
        <v>0.38883303236862</v>
      </c>
      <c r="C4978" s="18" t="n">
        <f aca="false">'Black-Scholes'!$B$5*EXP(('Black-Scholes'!$B$8-'Black-Scholes'!$B$10-'Black-Scholes'!$B$9^2/2)*'Black-Scholes'!$B$7+'Black-Scholes'!$B$9*SQRT('Black-Scholes'!$B$7)*B4978)</f>
        <v>111.378776419488</v>
      </c>
      <c r="D4978" s="18" t="n">
        <f aca="false">'Black-Scholes'!$B$5*EXP(('Black-Scholes'!$B$8-'Black-Scholes'!$B$10-'Black-Scholes'!$B$9^2/2)*'Black-Scholes'!$B$7-'Black-Scholes'!$B$9*SQRT('Black-Scholes'!$B$7)*B4978)</f>
        <v>95.3356268294912</v>
      </c>
      <c r="E4978" s="18" t="n">
        <f aca="false">EXP(-'Black-Scholes'!$B$8*'Black-Scholes'!$B$7)*IF(LOWER('Black-Scholes'!$B$11)="put",MAX('Black-Scholes'!$B$6-C4978,0),MAX(C4978-'Black-Scholes'!$B$6,0))</f>
        <v>10.8238269450315</v>
      </c>
      <c r="F4978" s="18" t="n">
        <f aca="false">(E4978+G4978)/2</f>
        <v>5.41191347251573</v>
      </c>
      <c r="G4978" s="18" t="n">
        <f aca="false">EXP(-'Black-Scholes'!$B$8*'Black-Scholes'!$B$7)*IF(LOWER('Black-Scholes'!$B$11)="put",MAX('Black-Scholes'!$B$6-D4978,0),MAX(D4978-'Black-Scholes'!$B$6,0))</f>
        <v>0</v>
      </c>
    </row>
    <row r="4979" customFormat="false" ht="15" hidden="false" customHeight="false" outlineLevel="0" collapsed="false">
      <c r="A4979" s="0" t="n">
        <v>4968</v>
      </c>
      <c r="B4979" s="15" t="n">
        <v>-0.664414758139125</v>
      </c>
      <c r="C4979" s="18" t="n">
        <f aca="false">'Black-Scholes'!$B$5*EXP(('Black-Scholes'!$B$8-'Black-Scholes'!$B$10-'Black-Scholes'!$B$9^2/2)*'Black-Scholes'!$B$7+'Black-Scholes'!$B$9*SQRT('Black-Scholes'!$B$7)*B4979)</f>
        <v>90.2232572155214</v>
      </c>
      <c r="D4979" s="18" t="n">
        <f aca="false">'Black-Scholes'!$B$5*EXP(('Black-Scholes'!$B$8-'Black-Scholes'!$B$10-'Black-Scholes'!$B$9^2/2)*'Black-Scholes'!$B$7-'Black-Scholes'!$B$9*SQRT('Black-Scholes'!$B$7)*B4979)</f>
        <v>117.689892752252</v>
      </c>
      <c r="E4979" s="18" t="n">
        <f aca="false">EXP(-'Black-Scholes'!$B$8*'Black-Scholes'!$B$7)*IF(LOWER('Black-Scholes'!$B$11)="put",MAX('Black-Scholes'!$B$6-C4979,0),MAX(C4979-'Black-Scholes'!$B$6,0))</f>
        <v>0</v>
      </c>
      <c r="F4979" s="18" t="n">
        <f aca="false">(E4979+G4979)/2</f>
        <v>8.41357325110223</v>
      </c>
      <c r="G4979" s="18" t="n">
        <f aca="false">EXP(-'Black-Scholes'!$B$8*'Black-Scholes'!$B$7)*IF(LOWER('Black-Scholes'!$B$11)="put",MAX('Black-Scholes'!$B$6-D4979,0),MAX(D4979-'Black-Scholes'!$B$6,0))</f>
        <v>16.8271465022045</v>
      </c>
    </row>
    <row r="4980" customFormat="false" ht="15" hidden="false" customHeight="false" outlineLevel="0" collapsed="false">
      <c r="A4980" s="0" t="n">
        <v>4969</v>
      </c>
      <c r="B4980" s="15" t="n">
        <v>-0.445482611921647</v>
      </c>
      <c r="C4980" s="18" t="n">
        <f aca="false">'Black-Scholes'!$B$5*EXP(('Black-Scholes'!$B$8-'Black-Scholes'!$B$10-'Black-Scholes'!$B$9^2/2)*'Black-Scholes'!$B$7+'Black-Scholes'!$B$9*SQRT('Black-Scholes'!$B$7)*B4980)</f>
        <v>94.2615781243273</v>
      </c>
      <c r="D4980" s="18" t="n">
        <f aca="false">'Black-Scholes'!$B$5*EXP(('Black-Scholes'!$B$8-'Black-Scholes'!$B$10-'Black-Scholes'!$B$9^2/2)*'Black-Scholes'!$B$7-'Black-Scholes'!$B$9*SQRT('Black-Scholes'!$B$7)*B4980)</f>
        <v>112.647864344562</v>
      </c>
      <c r="E4980" s="18" t="n">
        <f aca="false">EXP(-'Black-Scholes'!$B$8*'Black-Scholes'!$B$7)*IF(LOWER('Black-Scholes'!$B$11)="put",MAX('Black-Scholes'!$B$6-C4980,0),MAX(C4980-'Black-Scholes'!$B$6,0))</f>
        <v>0</v>
      </c>
      <c r="F4980" s="18" t="n">
        <f aca="false">(E4980+G4980)/2</f>
        <v>6.01551036082061</v>
      </c>
      <c r="G4980" s="18" t="n">
        <f aca="false">EXP(-'Black-Scholes'!$B$8*'Black-Scholes'!$B$7)*IF(LOWER('Black-Scholes'!$B$11)="put",MAX('Black-Scholes'!$B$6-D4980,0),MAX(D4980-'Black-Scholes'!$B$6,0))</f>
        <v>12.0310207216412</v>
      </c>
    </row>
    <row r="4981" customFormat="false" ht="15" hidden="false" customHeight="false" outlineLevel="0" collapsed="false">
      <c r="A4981" s="0" t="n">
        <v>4970</v>
      </c>
      <c r="B4981" s="15" t="n">
        <v>0.206303215270346</v>
      </c>
      <c r="C4981" s="18" t="n">
        <f aca="false">'Black-Scholes'!$B$5*EXP(('Black-Scholes'!$B$8-'Black-Scholes'!$B$10-'Black-Scholes'!$B$9^2/2)*'Black-Scholes'!$B$7+'Black-Scholes'!$B$9*SQRT('Black-Scholes'!$B$7)*B4981)</f>
        <v>107.386108382779</v>
      </c>
      <c r="D4981" s="18" t="n">
        <f aca="false">'Black-Scholes'!$B$5*EXP(('Black-Scholes'!$B$8-'Black-Scholes'!$B$10-'Black-Scholes'!$B$9^2/2)*'Black-Scholes'!$B$7-'Black-Scholes'!$B$9*SQRT('Black-Scholes'!$B$7)*B4981)</f>
        <v>98.8802520676539</v>
      </c>
      <c r="E4981" s="18" t="n">
        <f aca="false">EXP(-'Black-Scholes'!$B$8*'Black-Scholes'!$B$7)*IF(LOWER('Black-Scholes'!$B$11)="put",MAX('Black-Scholes'!$B$6-C4981,0),MAX(C4981-'Black-Scholes'!$B$6,0))</f>
        <v>7.02588362625089</v>
      </c>
      <c r="F4981" s="18" t="n">
        <f aca="false">(E4981+G4981)/2</f>
        <v>3.51294181312544</v>
      </c>
      <c r="G4981" s="18" t="n">
        <f aca="false">EXP(-'Black-Scholes'!$B$8*'Black-Scholes'!$B$7)*IF(LOWER('Black-Scholes'!$B$11)="put",MAX('Black-Scholes'!$B$6-D4981,0),MAX(D4981-'Black-Scholes'!$B$6,0))</f>
        <v>0</v>
      </c>
    </row>
    <row r="4982" customFormat="false" ht="15" hidden="false" customHeight="false" outlineLevel="0" collapsed="false">
      <c r="A4982" s="0" t="n">
        <v>4971</v>
      </c>
      <c r="B4982" s="15" t="n">
        <v>0.986990918001178</v>
      </c>
      <c r="C4982" s="18" t="n">
        <f aca="false">'Black-Scholes'!$B$5*EXP(('Black-Scholes'!$B$8-'Black-Scholes'!$B$10-'Black-Scholes'!$B$9^2/2)*'Black-Scholes'!$B$7+'Black-Scholes'!$B$9*SQRT('Black-Scholes'!$B$7)*B4982)</f>
        <v>125.532962010473</v>
      </c>
      <c r="D4982" s="18" t="n">
        <f aca="false">'Black-Scholes'!$B$5*EXP(('Black-Scholes'!$B$8-'Black-Scholes'!$B$10-'Black-Scholes'!$B$9^2/2)*'Black-Scholes'!$B$7-'Black-Scholes'!$B$9*SQRT('Black-Scholes'!$B$7)*B4982)</f>
        <v>84.5862735603076</v>
      </c>
      <c r="E4982" s="18" t="n">
        <f aca="false">EXP(-'Black-Scholes'!$B$8*'Black-Scholes'!$B$7)*IF(LOWER('Black-Scholes'!$B$11)="put",MAX('Black-Scholes'!$B$6-C4982,0),MAX(C4982-'Black-Scholes'!$B$6,0))</f>
        <v>24.2877047590212</v>
      </c>
      <c r="F4982" s="18" t="n">
        <f aca="false">(E4982+G4982)/2</f>
        <v>12.1438523795106</v>
      </c>
      <c r="G4982" s="18" t="n">
        <f aca="false">EXP(-'Black-Scholes'!$B$8*'Black-Scholes'!$B$7)*IF(LOWER('Black-Scholes'!$B$11)="put",MAX('Black-Scholes'!$B$6-D4982,0),MAX(D4982-'Black-Scholes'!$B$6,0))</f>
        <v>0</v>
      </c>
    </row>
    <row r="4983" customFormat="false" ht="15" hidden="false" customHeight="false" outlineLevel="0" collapsed="false">
      <c r="A4983" s="0" t="n">
        <v>4972</v>
      </c>
      <c r="B4983" s="15" t="n">
        <v>-2.17020330563219</v>
      </c>
      <c r="C4983" s="18" t="n">
        <f aca="false">'Black-Scholes'!$B$5*EXP(('Black-Scholes'!$B$8-'Black-Scholes'!$B$10-'Black-Scholes'!$B$9^2/2)*'Black-Scholes'!$B$7+'Black-Scholes'!$B$9*SQRT('Black-Scholes'!$B$7)*B4983)</f>
        <v>66.7616974658807</v>
      </c>
      <c r="D4983" s="18" t="n">
        <f aca="false">'Black-Scholes'!$B$5*EXP(('Black-Scholes'!$B$8-'Black-Scholes'!$B$10-'Black-Scholes'!$B$9^2/2)*'Black-Scholes'!$B$7-'Black-Scholes'!$B$9*SQRT('Black-Scholes'!$B$7)*B4983)</f>
        <v>159.048764014429</v>
      </c>
      <c r="E4983" s="18" t="n">
        <f aca="false">EXP(-'Black-Scholes'!$B$8*'Black-Scholes'!$B$7)*IF(LOWER('Black-Scholes'!$B$11)="put",MAX('Black-Scholes'!$B$6-C4983,0),MAX(C4983-'Black-Scholes'!$B$6,0))</f>
        <v>0</v>
      </c>
      <c r="F4983" s="18" t="n">
        <f aca="false">(E4983+G4983)/2</f>
        <v>28.0844609054621</v>
      </c>
      <c r="G4983" s="18" t="n">
        <f aca="false">EXP(-'Black-Scholes'!$B$8*'Black-Scholes'!$B$7)*IF(LOWER('Black-Scholes'!$B$11)="put",MAX('Black-Scholes'!$B$6-D4983,0),MAX(D4983-'Black-Scholes'!$B$6,0))</f>
        <v>56.1689218109242</v>
      </c>
    </row>
    <row r="4984" customFormat="false" ht="15" hidden="false" customHeight="false" outlineLevel="0" collapsed="false">
      <c r="A4984" s="0" t="n">
        <v>4973</v>
      </c>
      <c r="B4984" s="15" t="n">
        <v>0.111536147891816</v>
      </c>
      <c r="C4984" s="18" t="n">
        <f aca="false">'Black-Scholes'!$B$5*EXP(('Black-Scholes'!$B$8-'Black-Scholes'!$B$10-'Black-Scholes'!$B$9^2/2)*'Black-Scholes'!$B$7+'Black-Scholes'!$B$9*SQRT('Black-Scholes'!$B$7)*B4984)</f>
        <v>105.369942041776</v>
      </c>
      <c r="D4984" s="18" t="n">
        <f aca="false">'Black-Scholes'!$B$5*EXP(('Black-Scholes'!$B$8-'Black-Scholes'!$B$10-'Black-Scholes'!$B$9^2/2)*'Black-Scholes'!$B$7-'Black-Scholes'!$B$9*SQRT('Black-Scholes'!$B$7)*B4984)</f>
        <v>100.772243580088</v>
      </c>
      <c r="E4984" s="18" t="n">
        <f aca="false">EXP(-'Black-Scholes'!$B$8*'Black-Scholes'!$B$7)*IF(LOWER('Black-Scholes'!$B$11)="put",MAX('Black-Scholes'!$B$6-C4984,0),MAX(C4984-'Black-Scholes'!$B$6,0))</f>
        <v>5.10804687800098</v>
      </c>
      <c r="F4984" s="18" t="n">
        <f aca="false">(E4984+G4984)/2</f>
        <v>2.92131384713108</v>
      </c>
      <c r="G4984" s="18" t="n">
        <f aca="false">EXP(-'Black-Scholes'!$B$8*'Black-Scholes'!$B$7)*IF(LOWER('Black-Scholes'!$B$11)="put",MAX('Black-Scholes'!$B$6-D4984,0),MAX(D4984-'Black-Scholes'!$B$6,0))</f>
        <v>0.734580816261184</v>
      </c>
    </row>
    <row r="4985" customFormat="false" ht="15" hidden="false" customHeight="false" outlineLevel="0" collapsed="false">
      <c r="A4985" s="0" t="n">
        <v>4974</v>
      </c>
      <c r="B4985" s="15" t="n">
        <v>2.14071502706628</v>
      </c>
      <c r="C4985" s="18" t="n">
        <f aca="false">'Black-Scholes'!$B$5*EXP(('Black-Scholes'!$B$8-'Black-Scholes'!$B$10-'Black-Scholes'!$B$9^2/2)*'Black-Scholes'!$B$7+'Black-Scholes'!$B$9*SQRT('Black-Scholes'!$B$7)*B4985)</f>
        <v>158.113509777272</v>
      </c>
      <c r="D4985" s="18" t="n">
        <f aca="false">'Black-Scholes'!$B$5*EXP(('Black-Scholes'!$B$8-'Black-Scholes'!$B$10-'Black-Scholes'!$B$9^2/2)*'Black-Scholes'!$B$7-'Black-Scholes'!$B$9*SQRT('Black-Scholes'!$B$7)*B4985)</f>
        <v>67.1565983223777</v>
      </c>
      <c r="E4985" s="18" t="n">
        <f aca="false">EXP(-'Black-Scholes'!$B$8*'Black-Scholes'!$B$7)*IF(LOWER('Black-Scholes'!$B$11)="put",MAX('Black-Scholes'!$B$6-C4985,0),MAX(C4985-'Black-Scholes'!$B$6,0))</f>
        <v>55.2792804611512</v>
      </c>
      <c r="F4985" s="18" t="n">
        <f aca="false">(E4985+G4985)/2</f>
        <v>27.6396402305756</v>
      </c>
      <c r="G4985" s="18" t="n">
        <f aca="false">EXP(-'Black-Scholes'!$B$8*'Black-Scholes'!$B$7)*IF(LOWER('Black-Scholes'!$B$11)="put",MAX('Black-Scholes'!$B$6-D4985,0),MAX(D4985-'Black-Scholes'!$B$6,0))</f>
        <v>0</v>
      </c>
    </row>
    <row r="4986" customFormat="false" ht="15" hidden="false" customHeight="false" outlineLevel="0" collapsed="false">
      <c r="A4986" s="0" t="n">
        <v>4975</v>
      </c>
      <c r="B4986" s="15" t="n">
        <v>1.72129573178262</v>
      </c>
      <c r="C4986" s="18" t="n">
        <f aca="false">'Black-Scholes'!$B$5*EXP(('Black-Scholes'!$B$8-'Black-Scholes'!$B$10-'Black-Scholes'!$B$9^2/2)*'Black-Scholes'!$B$7+'Black-Scholes'!$B$9*SQRT('Black-Scholes'!$B$7)*B4986)</f>
        <v>145.391387812516</v>
      </c>
      <c r="D4986" s="18" t="n">
        <f aca="false">'Black-Scholes'!$B$5*EXP(('Black-Scholes'!$B$8-'Black-Scholes'!$B$10-'Black-Scholes'!$B$9^2/2)*'Black-Scholes'!$B$7-'Black-Scholes'!$B$9*SQRT('Black-Scholes'!$B$7)*B4986)</f>
        <v>73.0329741342459</v>
      </c>
      <c r="E4986" s="18" t="n">
        <f aca="false">EXP(-'Black-Scholes'!$B$8*'Black-Scholes'!$B$7)*IF(LOWER('Black-Scholes'!$B$11)="put",MAX('Black-Scholes'!$B$6-C4986,0),MAX(C4986-'Black-Scholes'!$B$6,0))</f>
        <v>43.1776237061883</v>
      </c>
      <c r="F4986" s="18" t="n">
        <f aca="false">(E4986+G4986)/2</f>
        <v>21.5888118530941</v>
      </c>
      <c r="G4986" s="18" t="n">
        <f aca="false">EXP(-'Black-Scholes'!$B$8*'Black-Scholes'!$B$7)*IF(LOWER('Black-Scholes'!$B$11)="put",MAX('Black-Scholes'!$B$6-D4986,0),MAX(D4986-'Black-Scholes'!$B$6,0))</f>
        <v>0</v>
      </c>
    </row>
    <row r="4987" customFormat="false" ht="15" hidden="false" customHeight="false" outlineLevel="0" collapsed="false">
      <c r="A4987" s="0" t="n">
        <v>4976</v>
      </c>
      <c r="B4987" s="15" t="n">
        <v>0.0291080926887624</v>
      </c>
      <c r="C4987" s="18" t="n">
        <f aca="false">'Black-Scholes'!$B$5*EXP(('Black-Scholes'!$B$8-'Black-Scholes'!$B$10-'Black-Scholes'!$B$9^2/2)*'Black-Scholes'!$B$7+'Black-Scholes'!$B$9*SQRT('Black-Scholes'!$B$7)*B4987)</f>
        <v>103.647094279737</v>
      </c>
      <c r="D4987" s="18" t="n">
        <f aca="false">'Black-Scholes'!$B$5*EXP(('Black-Scholes'!$B$8-'Black-Scholes'!$B$10-'Black-Scholes'!$B$9^2/2)*'Black-Scholes'!$B$7-'Black-Scholes'!$B$9*SQRT('Black-Scholes'!$B$7)*B4987)</f>
        <v>102.447304859269</v>
      </c>
      <c r="E4987" s="18" t="n">
        <f aca="false">EXP(-'Black-Scholes'!$B$8*'Black-Scholes'!$B$7)*IF(LOWER('Black-Scholes'!$B$11)="put",MAX('Black-Scholes'!$B$6-C4987,0),MAX(C4987-'Black-Scholes'!$B$6,0))</f>
        <v>3.4692233928136</v>
      </c>
      <c r="F4987" s="18" t="n">
        <f aca="false">(E4987+G4987)/2</f>
        <v>2.89858589283708</v>
      </c>
      <c r="G4987" s="18" t="n">
        <f aca="false">EXP(-'Black-Scholes'!$B$8*'Black-Scholes'!$B$7)*IF(LOWER('Black-Scholes'!$B$11)="put",MAX('Black-Scholes'!$B$6-D4987,0),MAX(D4987-'Black-Scholes'!$B$6,0))</f>
        <v>2.32794839286056</v>
      </c>
    </row>
    <row r="4988" customFormat="false" ht="15" hidden="false" customHeight="false" outlineLevel="0" collapsed="false">
      <c r="A4988" s="0" t="n">
        <v>4977</v>
      </c>
      <c r="B4988" s="15" t="n">
        <v>-0.447381392136259</v>
      </c>
      <c r="C4988" s="18" t="n">
        <f aca="false">'Black-Scholes'!$B$5*EXP(('Black-Scholes'!$B$8-'Black-Scholes'!$B$10-'Black-Scholes'!$B$9^2/2)*'Black-Scholes'!$B$7+'Black-Scholes'!$B$9*SQRT('Black-Scholes'!$B$7)*B4988)</f>
        <v>94.2257885165092</v>
      </c>
      <c r="D4988" s="18" t="n">
        <f aca="false">'Black-Scholes'!$B$5*EXP(('Black-Scholes'!$B$8-'Black-Scholes'!$B$10-'Black-Scholes'!$B$9^2/2)*'Black-Scholes'!$B$7-'Black-Scholes'!$B$9*SQRT('Black-Scholes'!$B$7)*B4988)</f>
        <v>112.690651175534</v>
      </c>
      <c r="E4988" s="18" t="n">
        <f aca="false">EXP(-'Black-Scholes'!$B$8*'Black-Scholes'!$B$7)*IF(LOWER('Black-Scholes'!$B$11)="put",MAX('Black-Scholes'!$B$6-C4988,0),MAX(C4988-'Black-Scholes'!$B$6,0))</f>
        <v>0</v>
      </c>
      <c r="F4988" s="18" t="n">
        <f aca="false">(E4988+G4988)/2</f>
        <v>6.03586040712133</v>
      </c>
      <c r="G4988" s="18" t="n">
        <f aca="false">EXP(-'Black-Scholes'!$B$8*'Black-Scholes'!$B$7)*IF(LOWER('Black-Scholes'!$B$11)="put",MAX('Black-Scholes'!$B$6-D4988,0),MAX(D4988-'Black-Scholes'!$B$6,0))</f>
        <v>12.0717208142427</v>
      </c>
    </row>
    <row r="4989" customFormat="false" ht="15" hidden="false" customHeight="false" outlineLevel="0" collapsed="false">
      <c r="A4989" s="0" t="n">
        <v>4978</v>
      </c>
      <c r="B4989" s="15" t="n">
        <v>-1.66392913279328</v>
      </c>
      <c r="C4989" s="18" t="n">
        <f aca="false">'Black-Scholes'!$B$5*EXP(('Black-Scholes'!$B$8-'Black-Scholes'!$B$10-'Black-Scholes'!$B$9^2/2)*'Black-Scholes'!$B$7+'Black-Scholes'!$B$9*SQRT('Black-Scholes'!$B$7)*B4989)</f>
        <v>73.8757301621803</v>
      </c>
      <c r="D4989" s="18" t="n">
        <f aca="false">'Black-Scholes'!$B$5*EXP(('Black-Scholes'!$B$8-'Black-Scholes'!$B$10-'Black-Scholes'!$B$9^2/2)*'Black-Scholes'!$B$7-'Black-Scholes'!$B$9*SQRT('Black-Scholes'!$B$7)*B4989)</f>
        <v>143.732798879185</v>
      </c>
      <c r="E4989" s="18" t="n">
        <f aca="false">EXP(-'Black-Scholes'!$B$8*'Black-Scholes'!$B$7)*IF(LOWER('Black-Scholes'!$B$11)="put",MAX('Black-Scholes'!$B$6-C4989,0),MAX(C4989-'Black-Scholes'!$B$6,0))</f>
        <v>0</v>
      </c>
      <c r="F4989" s="18" t="n">
        <f aca="false">(E4989+G4989)/2</f>
        <v>20.7999625548263</v>
      </c>
      <c r="G4989" s="18" t="n">
        <f aca="false">EXP(-'Black-Scholes'!$B$8*'Black-Scholes'!$B$7)*IF(LOWER('Black-Scholes'!$B$11)="put",MAX('Black-Scholes'!$B$6-D4989,0),MAX(D4989-'Black-Scholes'!$B$6,0))</f>
        <v>41.5999251096526</v>
      </c>
    </row>
    <row r="4990" customFormat="false" ht="15" hidden="false" customHeight="false" outlineLevel="0" collapsed="false">
      <c r="A4990" s="0" t="n">
        <v>4979</v>
      </c>
      <c r="B4990" s="15" t="n">
        <v>-0.320840890877572</v>
      </c>
      <c r="C4990" s="18" t="n">
        <f aca="false">'Black-Scholes'!$B$5*EXP(('Black-Scholes'!$B$8-'Black-Scholes'!$B$10-'Black-Scholes'!$B$9^2/2)*'Black-Scholes'!$B$7+'Black-Scholes'!$B$9*SQRT('Black-Scholes'!$B$7)*B4990)</f>
        <v>96.6408962073792</v>
      </c>
      <c r="D4990" s="18" t="n">
        <f aca="false">'Black-Scholes'!$B$5*EXP(('Black-Scholes'!$B$8-'Black-Scholes'!$B$10-'Black-Scholes'!$B$9^2/2)*'Black-Scholes'!$B$7-'Black-Scholes'!$B$9*SQRT('Black-Scholes'!$B$7)*B4990)</f>
        <v>109.874451522758</v>
      </c>
      <c r="E4990" s="18" t="n">
        <f aca="false">EXP(-'Black-Scholes'!$B$8*'Black-Scholes'!$B$7)*IF(LOWER('Black-Scholes'!$B$11)="put",MAX('Black-Scholes'!$B$6-C4990,0),MAX(C4990-'Black-Scholes'!$B$6,0))</f>
        <v>0</v>
      </c>
      <c r="F4990" s="18" t="n">
        <f aca="false">(E4990+G4990)/2</f>
        <v>4.69643441962678</v>
      </c>
      <c r="G4990" s="18" t="n">
        <f aca="false">EXP(-'Black-Scholes'!$B$8*'Black-Scholes'!$B$7)*IF(LOWER('Black-Scholes'!$B$11)="put",MAX('Black-Scholes'!$B$6-D4990,0),MAX(D4990-'Black-Scholes'!$B$6,0))</f>
        <v>9.39286883925356</v>
      </c>
    </row>
    <row r="4991" customFormat="false" ht="15" hidden="false" customHeight="false" outlineLevel="0" collapsed="false">
      <c r="A4991" s="0" t="n">
        <v>4980</v>
      </c>
      <c r="B4991" s="15" t="n">
        <v>0.980329326878219</v>
      </c>
      <c r="C4991" s="18" t="n">
        <f aca="false">'Black-Scholes'!$B$5*EXP(('Black-Scholes'!$B$8-'Black-Scholes'!$B$10-'Black-Scholes'!$B$9^2/2)*'Black-Scholes'!$B$7+'Black-Scholes'!$B$9*SQRT('Black-Scholes'!$B$7)*B4991)</f>
        <v>125.36582352295</v>
      </c>
      <c r="D4991" s="18" t="n">
        <f aca="false">'Black-Scholes'!$B$5*EXP(('Black-Scholes'!$B$8-'Black-Scholes'!$B$10-'Black-Scholes'!$B$9^2/2)*'Black-Scholes'!$B$7-'Black-Scholes'!$B$9*SQRT('Black-Scholes'!$B$7)*B4991)</f>
        <v>84.6990445008305</v>
      </c>
      <c r="E4991" s="18" t="n">
        <f aca="false">EXP(-'Black-Scholes'!$B$8*'Black-Scholes'!$B$7)*IF(LOWER('Black-Scholes'!$B$11)="put",MAX('Black-Scholes'!$B$6-C4991,0),MAX(C4991-'Black-Scholes'!$B$6,0))</f>
        <v>24.1287177117223</v>
      </c>
      <c r="F4991" s="18" t="n">
        <f aca="false">(E4991+G4991)/2</f>
        <v>12.0643588558612</v>
      </c>
      <c r="G4991" s="18" t="n">
        <f aca="false">EXP(-'Black-Scholes'!$B$8*'Black-Scholes'!$B$7)*IF(LOWER('Black-Scholes'!$B$11)="put",MAX('Black-Scholes'!$B$6-D4991,0),MAX(D4991-'Black-Scholes'!$B$6,0))</f>
        <v>0</v>
      </c>
    </row>
    <row r="4992" customFormat="false" ht="15" hidden="false" customHeight="false" outlineLevel="0" collapsed="false">
      <c r="A4992" s="0" t="n">
        <v>4981</v>
      </c>
      <c r="B4992" s="15" t="n">
        <v>1.39219948649007</v>
      </c>
      <c r="C4992" s="18" t="n">
        <f aca="false">'Black-Scholes'!$B$5*EXP(('Black-Scholes'!$B$8-'Black-Scholes'!$B$10-'Black-Scholes'!$B$9^2/2)*'Black-Scholes'!$B$7+'Black-Scholes'!$B$9*SQRT('Black-Scholes'!$B$7)*B4992)</f>
        <v>136.129968929927</v>
      </c>
      <c r="D4992" s="18" t="n">
        <f aca="false">'Black-Scholes'!$B$5*EXP(('Black-Scholes'!$B$8-'Black-Scholes'!$B$10-'Black-Scholes'!$B$9^2/2)*'Black-Scholes'!$B$7-'Black-Scholes'!$B$9*SQRT('Black-Scholes'!$B$7)*B4992)</f>
        <v>78.0016740540021</v>
      </c>
      <c r="E4992" s="18" t="n">
        <f aca="false">EXP(-'Black-Scholes'!$B$8*'Black-Scholes'!$B$7)*IF(LOWER('Black-Scholes'!$B$11)="put",MAX('Black-Scholes'!$B$6-C4992,0),MAX(C4992-'Black-Scholes'!$B$6,0))</f>
        <v>34.3678895524431</v>
      </c>
      <c r="F4992" s="18" t="n">
        <f aca="false">(E4992+G4992)/2</f>
        <v>17.1839447762216</v>
      </c>
      <c r="G4992" s="18" t="n">
        <f aca="false">EXP(-'Black-Scholes'!$B$8*'Black-Scholes'!$B$7)*IF(LOWER('Black-Scholes'!$B$11)="put",MAX('Black-Scholes'!$B$6-D4992,0),MAX(D4992-'Black-Scholes'!$B$6,0))</f>
        <v>0</v>
      </c>
    </row>
    <row r="4993" customFormat="false" ht="15" hidden="false" customHeight="false" outlineLevel="0" collapsed="false">
      <c r="A4993" s="0" t="n">
        <v>4982</v>
      </c>
      <c r="B4993" s="15" t="n">
        <v>-0.0163959364249159</v>
      </c>
      <c r="C4993" s="18" t="n">
        <f aca="false">'Black-Scholes'!$B$5*EXP(('Black-Scholes'!$B$8-'Black-Scholes'!$B$10-'Black-Scholes'!$B$9^2/2)*'Black-Scholes'!$B$7+'Black-Scholes'!$B$9*SQRT('Black-Scholes'!$B$7)*B4993)</f>
        <v>102.70810147716</v>
      </c>
      <c r="D4993" s="18" t="n">
        <f aca="false">'Black-Scholes'!$B$5*EXP(('Black-Scholes'!$B$8-'Black-Scholes'!$B$10-'Black-Scholes'!$B$9^2/2)*'Black-Scholes'!$B$7-'Black-Scholes'!$B$9*SQRT('Black-Scholes'!$B$7)*B4993)</f>
        <v>103.383913369433</v>
      </c>
      <c r="E4993" s="18" t="n">
        <f aca="false">EXP(-'Black-Scholes'!$B$8*'Black-Scholes'!$B$7)*IF(LOWER('Black-Scholes'!$B$11)="put",MAX('Black-Scholes'!$B$6-C4993,0),MAX(C4993-'Black-Scholes'!$B$6,0))</f>
        <v>2.57602580960843</v>
      </c>
      <c r="F4993" s="18" t="n">
        <f aca="false">(E4993+G4993)/2</f>
        <v>2.89745188828702</v>
      </c>
      <c r="G4993" s="18" t="n">
        <f aca="false">EXP(-'Black-Scholes'!$B$8*'Black-Scholes'!$B$7)*IF(LOWER('Black-Scholes'!$B$11)="put",MAX('Black-Scholes'!$B$6-D4993,0),MAX(D4993-'Black-Scholes'!$B$6,0))</f>
        <v>3.21887796696561</v>
      </c>
    </row>
    <row r="4994" customFormat="false" ht="15" hidden="false" customHeight="false" outlineLevel="0" collapsed="false">
      <c r="A4994" s="0" t="n">
        <v>4983</v>
      </c>
      <c r="B4994" s="15" t="n">
        <v>1.33166158625905</v>
      </c>
      <c r="C4994" s="18" t="n">
        <f aca="false">'Black-Scholes'!$B$5*EXP(('Black-Scholes'!$B$8-'Black-Scholes'!$B$10-'Black-Scholes'!$B$9^2/2)*'Black-Scholes'!$B$7+'Black-Scholes'!$B$9*SQRT('Black-Scholes'!$B$7)*B4994)</f>
        <v>134.491702170605</v>
      </c>
      <c r="D4994" s="18" t="n">
        <f aca="false">'Black-Scholes'!$B$5*EXP(('Black-Scholes'!$B$8-'Black-Scholes'!$B$10-'Black-Scholes'!$B$9^2/2)*'Black-Scholes'!$B$7-'Black-Scholes'!$B$9*SQRT('Black-Scholes'!$B$7)*B4994)</f>
        <v>78.9518259794496</v>
      </c>
      <c r="E4994" s="18" t="n">
        <f aca="false">EXP(-'Black-Scholes'!$B$8*'Black-Scholes'!$B$7)*IF(LOWER('Black-Scholes'!$B$11)="put",MAX('Black-Scholes'!$B$6-C4994,0),MAX(C4994-'Black-Scholes'!$B$6,0))</f>
        <v>32.8095220057949</v>
      </c>
      <c r="F4994" s="18" t="n">
        <f aca="false">(E4994+G4994)/2</f>
        <v>16.4047610028974</v>
      </c>
      <c r="G4994" s="18" t="n">
        <f aca="false">EXP(-'Black-Scholes'!$B$8*'Black-Scholes'!$B$7)*IF(LOWER('Black-Scholes'!$B$11)="put",MAX('Black-Scholes'!$B$6-D4994,0),MAX(D4994-'Black-Scholes'!$B$6,0))</f>
        <v>0</v>
      </c>
    </row>
    <row r="4995" customFormat="false" ht="15" hidden="false" customHeight="false" outlineLevel="0" collapsed="false">
      <c r="A4995" s="0" t="n">
        <v>4984</v>
      </c>
      <c r="B4995" s="15" t="n">
        <v>0.464083216736206</v>
      </c>
      <c r="C4995" s="18" t="n">
        <f aca="false">'Black-Scholes'!$B$5*EXP(('Black-Scholes'!$B$8-'Black-Scholes'!$B$10-'Black-Scholes'!$B$9^2/2)*'Black-Scholes'!$B$7+'Black-Scholes'!$B$9*SQRT('Black-Scholes'!$B$7)*B4995)</f>
        <v>113.067708477422</v>
      </c>
      <c r="D4995" s="18" t="n">
        <f aca="false">'Black-Scholes'!$B$5*EXP(('Black-Scholes'!$B$8-'Black-Scholes'!$B$10-'Black-Scholes'!$B$9^2/2)*'Black-Scholes'!$B$7-'Black-Scholes'!$B$9*SQRT('Black-Scholes'!$B$7)*B4995)</f>
        <v>93.9115651006045</v>
      </c>
      <c r="E4995" s="18" t="n">
        <f aca="false">EXP(-'Black-Scholes'!$B$8*'Black-Scholes'!$B$7)*IF(LOWER('Black-Scholes'!$B$11)="put",MAX('Black-Scholes'!$B$6-C4995,0),MAX(C4995-'Black-Scholes'!$B$6,0))</f>
        <v>12.4303888145214</v>
      </c>
      <c r="F4995" s="18" t="n">
        <f aca="false">(E4995+G4995)/2</f>
        <v>6.21519440726069</v>
      </c>
      <c r="G4995" s="18" t="n">
        <f aca="false">EXP(-'Black-Scholes'!$B$8*'Black-Scholes'!$B$7)*IF(LOWER('Black-Scholes'!$B$11)="put",MAX('Black-Scholes'!$B$6-D4995,0),MAX(D4995-'Black-Scholes'!$B$6,0))</f>
        <v>0</v>
      </c>
    </row>
    <row r="4996" customFormat="false" ht="15" hidden="false" customHeight="false" outlineLevel="0" collapsed="false">
      <c r="A4996" s="0" t="n">
        <v>4985</v>
      </c>
      <c r="B4996" s="15" t="n">
        <v>-0.222961807528758</v>
      </c>
      <c r="C4996" s="18" t="n">
        <f aca="false">'Black-Scholes'!$B$5*EXP(('Black-Scholes'!$B$8-'Black-Scholes'!$B$10-'Black-Scholes'!$B$9^2/2)*'Black-Scholes'!$B$7+'Black-Scholes'!$B$9*SQRT('Black-Scholes'!$B$7)*B4996)</f>
        <v>98.5513591009514</v>
      </c>
      <c r="D4996" s="18" t="n">
        <f aca="false">'Black-Scholes'!$B$5*EXP(('Black-Scholes'!$B$8-'Black-Scholes'!$B$10-'Black-Scholes'!$B$9^2/2)*'Black-Scholes'!$B$7-'Black-Scholes'!$B$9*SQRT('Black-Scholes'!$B$7)*B4996)</f>
        <v>107.744485335577</v>
      </c>
      <c r="E4996" s="18" t="n">
        <f aca="false">EXP(-'Black-Scholes'!$B$8*'Black-Scholes'!$B$7)*IF(LOWER('Black-Scholes'!$B$11)="put",MAX('Black-Scholes'!$B$6-C4996,0),MAX(C4996-'Black-Scholes'!$B$6,0))</f>
        <v>0</v>
      </c>
      <c r="F4996" s="18" t="n">
        <f aca="false">(E4996+G4996)/2</f>
        <v>3.68339116440735</v>
      </c>
      <c r="G4996" s="18" t="n">
        <f aca="false">EXP(-'Black-Scholes'!$B$8*'Black-Scholes'!$B$7)*IF(LOWER('Black-Scholes'!$B$11)="put",MAX('Black-Scholes'!$B$6-D4996,0),MAX(D4996-'Black-Scholes'!$B$6,0))</f>
        <v>7.36678232881469</v>
      </c>
    </row>
    <row r="4997" customFormat="false" ht="15" hidden="false" customHeight="false" outlineLevel="0" collapsed="false">
      <c r="A4997" s="0" t="n">
        <v>4986</v>
      </c>
      <c r="B4997" s="15" t="n">
        <v>-0.474256500580335</v>
      </c>
      <c r="C4997" s="18" t="n">
        <f aca="false">'Black-Scholes'!$B$5*EXP(('Black-Scholes'!$B$8-'Black-Scholes'!$B$10-'Black-Scholes'!$B$9^2/2)*'Black-Scholes'!$B$7+'Black-Scholes'!$B$9*SQRT('Black-Scholes'!$B$7)*B4997)</f>
        <v>93.7206815561015</v>
      </c>
      <c r="D4997" s="18" t="n">
        <f aca="false">'Black-Scholes'!$B$5*EXP(('Black-Scholes'!$B$8-'Black-Scholes'!$B$10-'Black-Scholes'!$B$9^2/2)*'Black-Scholes'!$B$7-'Black-Scholes'!$B$9*SQRT('Black-Scholes'!$B$7)*B4997)</f>
        <v>113.297996655065</v>
      </c>
      <c r="E4997" s="18" t="n">
        <f aca="false">EXP(-'Black-Scholes'!$B$8*'Black-Scholes'!$B$7)*IF(LOWER('Black-Scholes'!$B$11)="put",MAX('Black-Scholes'!$B$6-C4997,0),MAX(C4997-'Black-Scholes'!$B$6,0))</f>
        <v>0</v>
      </c>
      <c r="F4997" s="18" t="n">
        <f aca="false">(E4997+G4997)/2</f>
        <v>6.32472285260493</v>
      </c>
      <c r="G4997" s="18" t="n">
        <f aca="false">EXP(-'Black-Scholes'!$B$8*'Black-Scholes'!$B$7)*IF(LOWER('Black-Scholes'!$B$11)="put",MAX('Black-Scholes'!$B$6-D4997,0),MAX(D4997-'Black-Scholes'!$B$6,0))</f>
        <v>12.6494457052099</v>
      </c>
    </row>
    <row r="4998" customFormat="false" ht="15" hidden="false" customHeight="false" outlineLevel="0" collapsed="false">
      <c r="A4998" s="0" t="n">
        <v>4987</v>
      </c>
      <c r="B4998" s="15" t="n">
        <v>0.828187962355157</v>
      </c>
      <c r="C4998" s="18" t="n">
        <f aca="false">'Black-Scholes'!$B$5*EXP(('Black-Scholes'!$B$8-'Black-Scholes'!$B$10-'Black-Scholes'!$B$9^2/2)*'Black-Scholes'!$B$7+'Black-Scholes'!$B$9*SQRT('Black-Scholes'!$B$7)*B4998)</f>
        <v>121.608610670383</v>
      </c>
      <c r="D4998" s="18" t="n">
        <f aca="false">'Black-Scholes'!$B$5*EXP(('Black-Scholes'!$B$8-'Black-Scholes'!$B$10-'Black-Scholes'!$B$9^2/2)*'Black-Scholes'!$B$7-'Black-Scholes'!$B$9*SQRT('Black-Scholes'!$B$7)*B4998)</f>
        <v>87.3159014556497</v>
      </c>
      <c r="E4998" s="18" t="n">
        <f aca="false">EXP(-'Black-Scholes'!$B$8*'Black-Scholes'!$B$7)*IF(LOWER('Black-Scholes'!$B$11)="put",MAX('Black-Scholes'!$B$6-C4998,0),MAX(C4998-'Black-Scholes'!$B$6,0))</f>
        <v>20.554746292248</v>
      </c>
      <c r="F4998" s="18" t="n">
        <f aca="false">(E4998+G4998)/2</f>
        <v>10.277373146124</v>
      </c>
      <c r="G4998" s="18" t="n">
        <f aca="false">EXP(-'Black-Scholes'!$B$8*'Black-Scholes'!$B$7)*IF(LOWER('Black-Scholes'!$B$11)="put",MAX('Black-Scholes'!$B$6-D4998,0),MAX(D4998-'Black-Scholes'!$B$6,0))</f>
        <v>0</v>
      </c>
    </row>
    <row r="4999" customFormat="false" ht="15" hidden="false" customHeight="false" outlineLevel="0" collapsed="false">
      <c r="A4999" s="0" t="n">
        <v>4988</v>
      </c>
      <c r="B4999" s="15" t="n">
        <v>-0.531688542812954</v>
      </c>
      <c r="C4999" s="18" t="n">
        <f aca="false">'Black-Scholes'!$B$5*EXP(('Black-Scholes'!$B$8-'Black-Scholes'!$B$10-'Black-Scholes'!$B$9^2/2)*'Black-Scholes'!$B$7+'Black-Scholes'!$B$9*SQRT('Black-Scholes'!$B$7)*B4999)</f>
        <v>92.6503265634868</v>
      </c>
      <c r="D4999" s="18" t="n">
        <f aca="false">'Black-Scholes'!$B$5*EXP(('Black-Scholes'!$B$8-'Black-Scholes'!$B$10-'Black-Scholes'!$B$9^2/2)*'Black-Scholes'!$B$7-'Black-Scholes'!$B$9*SQRT('Black-Scholes'!$B$7)*B4999)</f>
        <v>114.606886551852</v>
      </c>
      <c r="E4999" s="18" t="n">
        <f aca="false">EXP(-'Black-Scholes'!$B$8*'Black-Scholes'!$B$7)*IF(LOWER('Black-Scholes'!$B$11)="put",MAX('Black-Scholes'!$B$6-C4999,0),MAX(C4999-'Black-Scholes'!$B$6,0))</f>
        <v>0</v>
      </c>
      <c r="F4999" s="18" t="n">
        <f aca="false">(E4999+G4999)/2</f>
        <v>6.94725014423281</v>
      </c>
      <c r="G4999" s="18" t="n">
        <f aca="false">EXP(-'Black-Scholes'!$B$8*'Black-Scholes'!$B$7)*IF(LOWER('Black-Scholes'!$B$11)="put",MAX('Black-Scholes'!$B$6-D4999,0),MAX(D4999-'Black-Scholes'!$B$6,0))</f>
        <v>13.8945002884656</v>
      </c>
    </row>
    <row r="5000" customFormat="false" ht="15" hidden="false" customHeight="false" outlineLevel="0" collapsed="false">
      <c r="A5000" s="0" t="n">
        <v>4989</v>
      </c>
      <c r="B5000" s="15" t="n">
        <v>-0.282412272958675</v>
      </c>
      <c r="C5000" s="18" t="n">
        <f aca="false">'Black-Scholes'!$B$5*EXP(('Black-Scholes'!$B$8-'Black-Scholes'!$B$10-'Black-Scholes'!$B$9^2/2)*'Black-Scholes'!$B$7+'Black-Scholes'!$B$9*SQRT('Black-Scholes'!$B$7)*B5000)</f>
        <v>97.3865130546948</v>
      </c>
      <c r="D5000" s="18" t="n">
        <f aca="false">'Black-Scholes'!$B$5*EXP(('Black-Scholes'!$B$8-'Black-Scholes'!$B$10-'Black-Scholes'!$B$9^2/2)*'Black-Scholes'!$B$7-'Black-Scholes'!$B$9*SQRT('Black-Scholes'!$B$7)*B5000)</f>
        <v>109.033223722571</v>
      </c>
      <c r="E5000" s="18" t="n">
        <f aca="false">EXP(-'Black-Scholes'!$B$8*'Black-Scholes'!$B$7)*IF(LOWER('Black-Scholes'!$B$11)="put",MAX('Black-Scholes'!$B$6-C5000,0),MAX(C5000-'Black-Scholes'!$B$6,0))</f>
        <v>0</v>
      </c>
      <c r="F5000" s="18" t="n">
        <f aca="false">(E5000+G5000)/2</f>
        <v>4.29633410150357</v>
      </c>
      <c r="G5000" s="18" t="n">
        <f aca="false">EXP(-'Black-Scholes'!$B$8*'Black-Scholes'!$B$7)*IF(LOWER('Black-Scholes'!$B$11)="put",MAX('Black-Scholes'!$B$6-D5000,0),MAX(D5000-'Black-Scholes'!$B$6,0))</f>
        <v>8.59266820300713</v>
      </c>
    </row>
    <row r="5001" customFormat="false" ht="15" hidden="false" customHeight="false" outlineLevel="0" collapsed="false">
      <c r="A5001" s="0" t="n">
        <v>4990</v>
      </c>
      <c r="B5001" s="15" t="n">
        <v>0.948355877245731</v>
      </c>
      <c r="C5001" s="18" t="n">
        <f aca="false">'Black-Scholes'!$B$5*EXP(('Black-Scholes'!$B$8-'Black-Scholes'!$B$10-'Black-Scholes'!$B$9^2/2)*'Black-Scholes'!$B$7+'Black-Scholes'!$B$9*SQRT('Black-Scholes'!$B$7)*B5001)</f>
        <v>124.566705732512</v>
      </c>
      <c r="D5001" s="18" t="n">
        <f aca="false">'Black-Scholes'!$B$5*EXP(('Black-Scholes'!$B$8-'Black-Scholes'!$B$10-'Black-Scholes'!$B$9^2/2)*'Black-Scholes'!$B$7-'Black-Scholes'!$B$9*SQRT('Black-Scholes'!$B$7)*B5001)</f>
        <v>85.2424040839204</v>
      </c>
      <c r="E5001" s="18" t="n">
        <f aca="false">EXP(-'Black-Scholes'!$B$8*'Black-Scholes'!$B$7)*IF(LOWER('Black-Scholes'!$B$11)="put",MAX('Black-Scholes'!$B$6-C5001,0),MAX(C5001-'Black-Scholes'!$B$6,0))</f>
        <v>23.3685733558158</v>
      </c>
      <c r="F5001" s="18" t="n">
        <f aca="false">(E5001+G5001)/2</f>
        <v>11.6842866779079</v>
      </c>
      <c r="G5001" s="18" t="n">
        <f aca="false">EXP(-'Black-Scholes'!$B$8*'Black-Scholes'!$B$7)*IF(LOWER('Black-Scholes'!$B$11)="put",MAX('Black-Scholes'!$B$6-D5001,0),MAX(D5001-'Black-Scholes'!$B$6,0))</f>
        <v>0</v>
      </c>
    </row>
    <row r="5002" customFormat="false" ht="15" hidden="false" customHeight="false" outlineLevel="0" collapsed="false">
      <c r="A5002" s="0" t="n">
        <v>4991</v>
      </c>
      <c r="B5002" s="15" t="n">
        <v>0.488915795433376</v>
      </c>
      <c r="C5002" s="18" t="n">
        <f aca="false">'Black-Scholes'!$B$5*EXP(('Black-Scholes'!$B$8-'Black-Scholes'!$B$10-'Black-Scholes'!$B$9^2/2)*'Black-Scholes'!$B$7+'Black-Scholes'!$B$9*SQRT('Black-Scholes'!$B$7)*B5002)</f>
        <v>113.630657822433</v>
      </c>
      <c r="D5002" s="18" t="n">
        <f aca="false">'Black-Scholes'!$B$5*EXP(('Black-Scholes'!$B$8-'Black-Scholes'!$B$10-'Black-Scholes'!$B$9^2/2)*'Black-Scholes'!$B$7-'Black-Scholes'!$B$9*SQRT('Black-Scholes'!$B$7)*B5002)</f>
        <v>93.446308143763</v>
      </c>
      <c r="E5002" s="18" t="n">
        <f aca="false">EXP(-'Black-Scholes'!$B$8*'Black-Scholes'!$B$7)*IF(LOWER('Black-Scholes'!$B$11)="put",MAX('Black-Scholes'!$B$6-C5002,0),MAX(C5002-'Black-Scholes'!$B$6,0))</f>
        <v>12.9658827959994</v>
      </c>
      <c r="F5002" s="18" t="n">
        <f aca="false">(E5002+G5002)/2</f>
        <v>6.48294139799969</v>
      </c>
      <c r="G5002" s="18" t="n">
        <f aca="false">EXP(-'Black-Scholes'!$B$8*'Black-Scholes'!$B$7)*IF(LOWER('Black-Scholes'!$B$11)="put",MAX('Black-Scholes'!$B$6-D5002,0),MAX(D5002-'Black-Scholes'!$B$6,0))</f>
        <v>0</v>
      </c>
    </row>
    <row r="5003" customFormat="false" ht="15" hidden="false" customHeight="false" outlineLevel="0" collapsed="false">
      <c r="A5003" s="0" t="n">
        <v>4992</v>
      </c>
      <c r="B5003" s="15" t="n">
        <v>-0.540773111761683</v>
      </c>
      <c r="C5003" s="18" t="n">
        <f aca="false">'Black-Scholes'!$B$5*EXP(('Black-Scholes'!$B$8-'Black-Scholes'!$B$10-'Black-Scholes'!$B$9^2/2)*'Black-Scholes'!$B$7+'Black-Scholes'!$B$9*SQRT('Black-Scholes'!$B$7)*B5003)</f>
        <v>92.4821417424568</v>
      </c>
      <c r="D5003" s="18" t="n">
        <f aca="false">'Black-Scholes'!$B$5*EXP(('Black-Scholes'!$B$8-'Black-Scholes'!$B$10-'Black-Scholes'!$B$9^2/2)*'Black-Scholes'!$B$7-'Black-Scholes'!$B$9*SQRT('Black-Scholes'!$B$7)*B5003)</f>
        <v>114.815306667784</v>
      </c>
      <c r="E5003" s="18" t="n">
        <f aca="false">EXP(-'Black-Scholes'!$B$8*'Black-Scholes'!$B$7)*IF(LOWER('Black-Scholes'!$B$11)="put",MAX('Black-Scholes'!$B$6-C5003,0),MAX(C5003-'Black-Scholes'!$B$6,0))</f>
        <v>0</v>
      </c>
      <c r="F5003" s="18" t="n">
        <f aca="false">(E5003+G5003)/2</f>
        <v>7.04637781769865</v>
      </c>
      <c r="G5003" s="18" t="n">
        <f aca="false">EXP(-'Black-Scholes'!$B$8*'Black-Scholes'!$B$7)*IF(LOWER('Black-Scholes'!$B$11)="put",MAX('Black-Scholes'!$B$6-D5003,0),MAX(D5003-'Black-Scholes'!$B$6,0))</f>
        <v>14.0927556353973</v>
      </c>
    </row>
    <row r="5004" customFormat="false" ht="15" hidden="false" customHeight="false" outlineLevel="0" collapsed="false">
      <c r="A5004" s="0" t="n">
        <v>4993</v>
      </c>
      <c r="B5004" s="15" t="n">
        <v>0.174904375429347</v>
      </c>
      <c r="C5004" s="18" t="n">
        <f aca="false">'Black-Scholes'!$B$5*EXP(('Black-Scholes'!$B$8-'Black-Scholes'!$B$10-'Black-Scholes'!$B$9^2/2)*'Black-Scholes'!$B$7+'Black-Scholes'!$B$9*SQRT('Black-Scholes'!$B$7)*B5004)</f>
        <v>106.713861525465</v>
      </c>
      <c r="D5004" s="18" t="n">
        <f aca="false">'Black-Scholes'!$B$5*EXP(('Black-Scholes'!$B$8-'Black-Scholes'!$B$10-'Black-Scholes'!$B$9^2/2)*'Black-Scholes'!$B$7-'Black-Scholes'!$B$9*SQRT('Black-Scholes'!$B$7)*B5004)</f>
        <v>99.5031508902876</v>
      </c>
      <c r="E5004" s="18" t="n">
        <f aca="false">EXP(-'Black-Scholes'!$B$8*'Black-Scholes'!$B$7)*IF(LOWER('Black-Scholes'!$B$11)="put",MAX('Black-Scholes'!$B$6-C5004,0),MAX(C5004-'Black-Scholes'!$B$6,0))</f>
        <v>6.38642263504552</v>
      </c>
      <c r="F5004" s="18" t="n">
        <f aca="false">(E5004+G5004)/2</f>
        <v>3.19321131752276</v>
      </c>
      <c r="G5004" s="18" t="n">
        <f aca="false">EXP(-'Black-Scholes'!$B$8*'Black-Scholes'!$B$7)*IF(LOWER('Black-Scholes'!$B$11)="put",MAX('Black-Scholes'!$B$6-D5004,0),MAX(D5004-'Black-Scholes'!$B$6,0))</f>
        <v>0</v>
      </c>
    </row>
    <row r="5005" customFormat="false" ht="15" hidden="false" customHeight="false" outlineLevel="0" collapsed="false">
      <c r="A5005" s="0" t="n">
        <v>4994</v>
      </c>
      <c r="B5005" s="15" t="n">
        <v>0.480295617287803</v>
      </c>
      <c r="C5005" s="18" t="n">
        <f aca="false">'Black-Scholes'!$B$5*EXP(('Black-Scholes'!$B$8-'Black-Scholes'!$B$10-'Black-Scholes'!$B$9^2/2)*'Black-Scholes'!$B$7+'Black-Scholes'!$B$9*SQRT('Black-Scholes'!$B$7)*B5005)</f>
        <v>113.434923294919</v>
      </c>
      <c r="D5005" s="18" t="n">
        <f aca="false">'Black-Scholes'!$B$5*EXP(('Black-Scholes'!$B$8-'Black-Scholes'!$B$10-'Black-Scholes'!$B$9^2/2)*'Black-Scholes'!$B$7-'Black-Scholes'!$B$9*SQRT('Black-Scholes'!$B$7)*B5005)</f>
        <v>93.6075518634322</v>
      </c>
      <c r="E5005" s="18" t="n">
        <f aca="false">EXP(-'Black-Scholes'!$B$8*'Black-Scholes'!$B$7)*IF(LOWER('Black-Scholes'!$B$11)="put",MAX('Black-Scholes'!$B$6-C5005,0),MAX(C5005-'Black-Scholes'!$B$6,0))</f>
        <v>12.7796943540372</v>
      </c>
      <c r="F5005" s="18" t="n">
        <f aca="false">(E5005+G5005)/2</f>
        <v>6.38984717701858</v>
      </c>
      <c r="G5005" s="18" t="n">
        <f aca="false">EXP(-'Black-Scholes'!$B$8*'Black-Scholes'!$B$7)*IF(LOWER('Black-Scholes'!$B$11)="put",MAX('Black-Scholes'!$B$6-D5005,0),MAX(D5005-'Black-Scholes'!$B$6,0))</f>
        <v>0</v>
      </c>
    </row>
    <row r="5006" customFormat="false" ht="15" hidden="false" customHeight="false" outlineLevel="0" collapsed="false">
      <c r="A5006" s="0" t="n">
        <v>4995</v>
      </c>
      <c r="B5006" s="15" t="n">
        <v>1.40969830627449</v>
      </c>
      <c r="C5006" s="18" t="n">
        <f aca="false">'Black-Scholes'!$B$5*EXP(('Black-Scholes'!$B$8-'Black-Scholes'!$B$10-'Black-Scholes'!$B$9^2/2)*'Black-Scholes'!$B$7+'Black-Scholes'!$B$9*SQRT('Black-Scholes'!$B$7)*B5006)</f>
        <v>136.607226345656</v>
      </c>
      <c r="D5006" s="18" t="n">
        <f aca="false">'Black-Scholes'!$B$5*EXP(('Black-Scholes'!$B$8-'Black-Scholes'!$B$10-'Black-Scholes'!$B$9^2/2)*'Black-Scholes'!$B$7-'Black-Scholes'!$B$9*SQRT('Black-Scholes'!$B$7)*B5006)</f>
        <v>77.7291637455989</v>
      </c>
      <c r="E5006" s="18" t="n">
        <f aca="false">EXP(-'Black-Scholes'!$B$8*'Black-Scholes'!$B$7)*IF(LOWER('Black-Scholes'!$B$11)="put",MAX('Black-Scholes'!$B$6-C5006,0),MAX(C5006-'Black-Scholes'!$B$6,0))</f>
        <v>34.8218708493458</v>
      </c>
      <c r="F5006" s="18" t="n">
        <f aca="false">(E5006+G5006)/2</f>
        <v>17.4109354246729</v>
      </c>
      <c r="G5006" s="18" t="n">
        <f aca="false">EXP(-'Black-Scholes'!$B$8*'Black-Scholes'!$B$7)*IF(LOWER('Black-Scholes'!$B$11)="put",MAX('Black-Scholes'!$B$6-D5006,0),MAX(D5006-'Black-Scholes'!$B$6,0))</f>
        <v>0</v>
      </c>
    </row>
    <row r="5007" customFormat="false" ht="15" hidden="false" customHeight="false" outlineLevel="0" collapsed="false">
      <c r="A5007" s="0" t="n">
        <v>4996</v>
      </c>
      <c r="B5007" s="15" t="n">
        <v>1.09934796518012</v>
      </c>
      <c r="C5007" s="18" t="n">
        <f aca="false">'Black-Scholes'!$B$5*EXP(('Black-Scholes'!$B$8-'Black-Scholes'!$B$10-'Black-Scholes'!$B$9^2/2)*'Black-Scholes'!$B$7+'Black-Scholes'!$B$9*SQRT('Black-Scholes'!$B$7)*B5007)</f>
        <v>128.385798174906</v>
      </c>
      <c r="D5007" s="18" t="n">
        <f aca="false">'Black-Scholes'!$B$5*EXP(('Black-Scholes'!$B$8-'Black-Scholes'!$B$10-'Black-Scholes'!$B$9^2/2)*'Black-Scholes'!$B$7-'Black-Scholes'!$B$9*SQRT('Black-Scholes'!$B$7)*B5007)</f>
        <v>82.7066982205282</v>
      </c>
      <c r="E5007" s="18" t="n">
        <f aca="false">EXP(-'Black-Scholes'!$B$8*'Black-Scholes'!$B$7)*IF(LOWER('Black-Scholes'!$B$11)="put",MAX('Black-Scholes'!$B$6-C5007,0),MAX(C5007-'Black-Scholes'!$B$6,0))</f>
        <v>27.0014064619094</v>
      </c>
      <c r="F5007" s="18" t="n">
        <f aca="false">(E5007+G5007)/2</f>
        <v>13.5007032309547</v>
      </c>
      <c r="G5007" s="18" t="n">
        <f aca="false">EXP(-'Black-Scholes'!$B$8*'Black-Scholes'!$B$7)*IF(LOWER('Black-Scholes'!$B$11)="put",MAX('Black-Scholes'!$B$6-D5007,0),MAX(D5007-'Black-Scholes'!$B$6,0))</f>
        <v>0</v>
      </c>
    </row>
    <row r="5008" customFormat="false" ht="15" hidden="false" customHeight="false" outlineLevel="0" collapsed="false">
      <c r="A5008" s="0" t="n">
        <v>4997</v>
      </c>
      <c r="B5008" s="15" t="n">
        <v>0.565121879715939</v>
      </c>
      <c r="C5008" s="18" t="n">
        <f aca="false">'Black-Scholes'!$B$5*EXP(('Black-Scholes'!$B$8-'Black-Scholes'!$B$10-'Black-Scholes'!$B$9^2/2)*'Black-Scholes'!$B$7+'Black-Scholes'!$B$9*SQRT('Black-Scholes'!$B$7)*B5008)</f>
        <v>115.375792526088</v>
      </c>
      <c r="D5008" s="18" t="n">
        <f aca="false">'Black-Scholes'!$B$5*EXP(('Black-Scholes'!$B$8-'Black-Scholes'!$B$10-'Black-Scholes'!$B$9^2/2)*'Black-Scholes'!$B$7-'Black-Scholes'!$B$9*SQRT('Black-Scholes'!$B$7)*B5008)</f>
        <v>92.0328713066275</v>
      </c>
      <c r="E5008" s="18" t="n">
        <f aca="false">EXP(-'Black-Scholes'!$B$8*'Black-Scholes'!$B$7)*IF(LOWER('Black-Scholes'!$B$11)="put",MAX('Black-Scholes'!$B$6-C5008,0),MAX(C5008-'Black-Scholes'!$B$6,0))</f>
        <v>14.6259062758329</v>
      </c>
      <c r="F5008" s="18" t="n">
        <f aca="false">(E5008+G5008)/2</f>
        <v>7.31295313791644</v>
      </c>
      <c r="G5008" s="18" t="n">
        <f aca="false">EXP(-'Black-Scholes'!$B$8*'Black-Scholes'!$B$7)*IF(LOWER('Black-Scholes'!$B$11)="put",MAX('Black-Scholes'!$B$6-D5008,0),MAX(D5008-'Black-Scholes'!$B$6,0))</f>
        <v>0</v>
      </c>
    </row>
    <row r="5009" customFormat="false" ht="15" hidden="false" customHeight="false" outlineLevel="0" collapsed="false">
      <c r="A5009" s="0" t="n">
        <v>4998</v>
      </c>
      <c r="B5009" s="15" t="n">
        <v>-1.00121533626959</v>
      </c>
      <c r="C5009" s="18" t="n">
        <f aca="false">'Black-Scholes'!$B$5*EXP(('Black-Scholes'!$B$8-'Black-Scholes'!$B$10-'Black-Scholes'!$B$9^2/2)*'Black-Scholes'!$B$7+'Black-Scholes'!$B$9*SQRT('Black-Scholes'!$B$7)*B5009)</f>
        <v>84.3459774226738</v>
      </c>
      <c r="D5009" s="18" t="n">
        <f aca="false">'Black-Scholes'!$B$5*EXP(('Black-Scholes'!$B$8-'Black-Scholes'!$B$10-'Black-Scholes'!$B$9^2/2)*'Black-Scholes'!$B$7-'Black-Scholes'!$B$9*SQRT('Black-Scholes'!$B$7)*B5009)</f>
        <v>125.890597156079</v>
      </c>
      <c r="E5009" s="18" t="n">
        <f aca="false">EXP(-'Black-Scholes'!$B$8*'Black-Scholes'!$B$7)*IF(LOWER('Black-Scholes'!$B$11)="put",MAX('Black-Scholes'!$B$6-C5009,0),MAX(C5009-'Black-Scholes'!$B$6,0))</f>
        <v>0</v>
      </c>
      <c r="F5009" s="18" t="n">
        <f aca="false">(E5009+G5009)/2</f>
        <v>12.3139489163786</v>
      </c>
      <c r="G5009" s="18" t="n">
        <f aca="false">EXP(-'Black-Scholes'!$B$8*'Black-Scholes'!$B$7)*IF(LOWER('Black-Scholes'!$B$11)="put",MAX('Black-Scholes'!$B$6-D5009,0),MAX(D5009-'Black-Scholes'!$B$6,0))</f>
        <v>24.6278978327572</v>
      </c>
    </row>
    <row r="5010" customFormat="false" ht="15" hidden="false" customHeight="false" outlineLevel="0" collapsed="false">
      <c r="A5010" s="0" t="n">
        <v>4999</v>
      </c>
      <c r="B5010" s="15" t="n">
        <v>0.577112006737582</v>
      </c>
      <c r="C5010" s="18" t="n">
        <f aca="false">'Black-Scholes'!$B$5*EXP(('Black-Scholes'!$B$8-'Black-Scholes'!$B$10-'Black-Scholes'!$B$9^2/2)*'Black-Scholes'!$B$7+'Black-Scholes'!$B$9*SQRT('Black-Scholes'!$B$7)*B5010)</f>
        <v>115.652798608677</v>
      </c>
      <c r="D5010" s="18" t="n">
        <f aca="false">'Black-Scholes'!$B$5*EXP(('Black-Scholes'!$B$8-'Black-Scholes'!$B$10-'Black-Scholes'!$B$9^2/2)*'Black-Scholes'!$B$7-'Black-Scholes'!$B$9*SQRT('Black-Scholes'!$B$7)*B5010)</f>
        <v>91.8124385505092</v>
      </c>
      <c r="E5010" s="18" t="n">
        <f aca="false">EXP(-'Black-Scholes'!$B$8*'Black-Scholes'!$B$7)*IF(LOWER('Black-Scholes'!$B$11)="put",MAX('Black-Scholes'!$B$6-C5010,0),MAX(C5010-'Black-Scholes'!$B$6,0))</f>
        <v>14.8894026123577</v>
      </c>
      <c r="F5010" s="18" t="n">
        <f aca="false">(E5010+G5010)/2</f>
        <v>7.44470130617885</v>
      </c>
      <c r="G5010" s="18" t="n">
        <f aca="false">EXP(-'Black-Scholes'!$B$8*'Black-Scholes'!$B$7)*IF(LOWER('Black-Scholes'!$B$11)="put",MAX('Black-Scholes'!$B$6-D5010,0),MAX(D5010-'Black-Scholes'!$B$6,0))</f>
        <v>0</v>
      </c>
    </row>
    <row r="5011" customFormat="false" ht="15" hidden="false" customHeight="false" outlineLevel="0" collapsed="false">
      <c r="A5011" s="0" t="n">
        <v>5000</v>
      </c>
      <c r="B5011" s="15" t="n">
        <v>1.69760975547366</v>
      </c>
      <c r="C5011" s="18" t="n">
        <f aca="false">'Black-Scholes'!$B$5*EXP(('Black-Scholes'!$B$8-'Black-Scholes'!$B$10-'Black-Scholes'!$B$9^2/2)*'Black-Scholes'!$B$7+'Black-Scholes'!$B$9*SQRT('Black-Scholes'!$B$7)*B5011)</f>
        <v>144.704269211525</v>
      </c>
      <c r="D5011" s="18" t="n">
        <f aca="false">'Black-Scholes'!$B$5*EXP(('Black-Scholes'!$B$8-'Black-Scholes'!$B$10-'Black-Scholes'!$B$9^2/2)*'Black-Scholes'!$B$7-'Black-Scholes'!$B$9*SQRT('Black-Scholes'!$B$7)*B5011)</f>
        <v>73.3797663559735</v>
      </c>
      <c r="E5011" s="18" t="n">
        <f aca="false">EXP(-'Black-Scholes'!$B$8*'Black-Scholes'!$B$7)*IF(LOWER('Black-Scholes'!$B$11)="put",MAX('Black-Scholes'!$B$6-C5011,0),MAX(C5011-'Black-Scholes'!$B$6,0))</f>
        <v>42.524016274804</v>
      </c>
      <c r="F5011" s="18" t="n">
        <f aca="false">(E5011+G5011)/2</f>
        <v>21.262008137402</v>
      </c>
      <c r="G5011" s="18" t="n">
        <f aca="false">EXP(-'Black-Scholes'!$B$8*'Black-Scholes'!$B$7)*IF(LOWER('Black-Scholes'!$B$11)="put",MAX('Black-Scholes'!$B$6-D5011,0),MAX(D5011-'Black-Scholes'!$B$6,0))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28.35" hidden="false" customHeight="false" outlineLevel="0" collapsed="false">
      <c r="A1" s="4" t="s">
        <v>67</v>
      </c>
      <c r="B1" s="4" t="s">
        <v>68</v>
      </c>
      <c r="C1" s="4" t="s">
        <v>18</v>
      </c>
      <c r="D1" s="4" t="s">
        <v>21</v>
      </c>
      <c r="E1" s="4" t="s">
        <v>22</v>
      </c>
    </row>
    <row r="2" customFormat="false" ht="15" hidden="false" customHeight="false" outlineLevel="0" collapsed="false">
      <c r="A2" s="0" t="n">
        <v>102</v>
      </c>
      <c r="B2" s="18" t="n">
        <v>10.1929146419984</v>
      </c>
      <c r="C2" s="18" t="n">
        <v>8.1177545940049</v>
      </c>
      <c r="D2" s="18" t="n">
        <v>12.2680746899918</v>
      </c>
      <c r="E2" s="18" t="n">
        <f aca="false">'Black-Scholes'!$B$21</f>
        <v>10.4505835721856</v>
      </c>
    </row>
    <row r="3" customFormat="false" ht="15" hidden="false" customHeight="false" outlineLevel="0" collapsed="false">
      <c r="A3" s="0" t="n">
        <v>202</v>
      </c>
      <c r="B3" s="18" t="n">
        <v>10.3723212907527</v>
      </c>
      <c r="C3" s="18" t="n">
        <v>8.98202099889548</v>
      </c>
      <c r="D3" s="18" t="n">
        <v>11.7626215826098</v>
      </c>
      <c r="E3" s="18" t="n">
        <f aca="false">'Black-Scholes'!$B$21</f>
        <v>10.4505835721856</v>
      </c>
    </row>
    <row r="4" customFormat="false" ht="15" hidden="false" customHeight="false" outlineLevel="0" collapsed="false">
      <c r="A4" s="0" t="n">
        <v>304</v>
      </c>
      <c r="B4" s="18" t="n">
        <v>10.0605216669806</v>
      </c>
      <c r="C4" s="18" t="n">
        <v>8.99078747855464</v>
      </c>
      <c r="D4" s="18" t="n">
        <v>11.1302558554066</v>
      </c>
      <c r="E4" s="18" t="n">
        <f aca="false">'Black-Scholes'!$B$21</f>
        <v>10.4505835721856</v>
      </c>
    </row>
    <row r="5" customFormat="false" ht="15" hidden="false" customHeight="false" outlineLevel="0" collapsed="false">
      <c r="A5" s="0" t="n">
        <v>404</v>
      </c>
      <c r="B5" s="18" t="n">
        <v>9.96896694668989</v>
      </c>
      <c r="C5" s="18" t="n">
        <v>8.91385717876929</v>
      </c>
      <c r="D5" s="18" t="n">
        <v>11.0240767146105</v>
      </c>
      <c r="E5" s="18" t="n">
        <f aca="false">'Black-Scholes'!$B$21</f>
        <v>10.4505835721856</v>
      </c>
    </row>
    <row r="6" customFormat="false" ht="15" hidden="false" customHeight="false" outlineLevel="0" collapsed="false">
      <c r="A6" s="0" t="n">
        <v>506</v>
      </c>
      <c r="B6" s="18" t="n">
        <v>10.0368307703981</v>
      </c>
      <c r="C6" s="18" t="n">
        <v>9.09635343501748</v>
      </c>
      <c r="D6" s="18" t="n">
        <v>10.9773081057787</v>
      </c>
      <c r="E6" s="18" t="n">
        <f aca="false">'Black-Scholes'!$B$21</f>
        <v>10.4505835721856</v>
      </c>
    </row>
    <row r="7" customFormat="false" ht="15" hidden="false" customHeight="false" outlineLevel="0" collapsed="false">
      <c r="A7" s="0" t="n">
        <v>606</v>
      </c>
      <c r="B7" s="18" t="n">
        <v>10.084672497581</v>
      </c>
      <c r="C7" s="18" t="n">
        <v>9.2438462346029</v>
      </c>
      <c r="D7" s="18" t="n">
        <v>10.9254987605591</v>
      </c>
      <c r="E7" s="18" t="n">
        <f aca="false">'Black-Scholes'!$B$21</f>
        <v>10.4505835721856</v>
      </c>
    </row>
    <row r="8" customFormat="false" ht="15" hidden="false" customHeight="false" outlineLevel="0" collapsed="false">
      <c r="A8" s="0" t="n">
        <v>708</v>
      </c>
      <c r="B8" s="18" t="n">
        <v>10.134275929702</v>
      </c>
      <c r="C8" s="18" t="n">
        <v>9.35379530152408</v>
      </c>
      <c r="D8" s="18" t="n">
        <v>10.9147565578799</v>
      </c>
      <c r="E8" s="18" t="n">
        <f aca="false">'Black-Scholes'!$B$21</f>
        <v>10.4505835721856</v>
      </c>
    </row>
    <row r="9" customFormat="false" ht="15" hidden="false" customHeight="false" outlineLevel="0" collapsed="false">
      <c r="A9" s="0" t="n">
        <v>808</v>
      </c>
      <c r="B9" s="18" t="n">
        <v>10.0740898774899</v>
      </c>
      <c r="C9" s="18" t="n">
        <v>9.34519820409482</v>
      </c>
      <c r="D9" s="18" t="n">
        <v>10.802981550885</v>
      </c>
      <c r="E9" s="18" t="n">
        <f aca="false">'Black-Scholes'!$B$21</f>
        <v>10.4505835721856</v>
      </c>
    </row>
    <row r="10" customFormat="false" ht="15" hidden="false" customHeight="false" outlineLevel="0" collapsed="false">
      <c r="A10" s="0" t="n">
        <v>910</v>
      </c>
      <c r="B10" s="18" t="n">
        <v>10.1081141056078</v>
      </c>
      <c r="C10" s="18" t="n">
        <v>9.43530811329806</v>
      </c>
      <c r="D10" s="18" t="n">
        <v>10.7809200979175</v>
      </c>
      <c r="E10" s="18" t="n">
        <f aca="false">'Black-Scholes'!$B$21</f>
        <v>10.4505835721856</v>
      </c>
    </row>
    <row r="11" customFormat="false" ht="15" hidden="false" customHeight="false" outlineLevel="0" collapsed="false">
      <c r="A11" s="0" t="n">
        <v>1010</v>
      </c>
      <c r="B11" s="18" t="n">
        <v>10.0454875228255</v>
      </c>
      <c r="C11" s="18" t="n">
        <v>9.42142941323837</v>
      </c>
      <c r="D11" s="18" t="n">
        <v>10.6695456324125</v>
      </c>
      <c r="E11" s="18" t="n">
        <f aca="false">'Black-Scholes'!$B$21</f>
        <v>10.4505835721856</v>
      </c>
    </row>
    <row r="12" customFormat="false" ht="15" hidden="false" customHeight="false" outlineLevel="0" collapsed="false">
      <c r="A12" s="0" t="n">
        <v>1112</v>
      </c>
      <c r="B12" s="18" t="n">
        <v>9.95926445967388</v>
      </c>
      <c r="C12" s="18" t="n">
        <v>9.37104017757841</v>
      </c>
      <c r="D12" s="18" t="n">
        <v>10.5474887417693</v>
      </c>
      <c r="E12" s="18" t="n">
        <f aca="false">'Black-Scholes'!$B$21</f>
        <v>10.4505835721856</v>
      </c>
    </row>
    <row r="13" customFormat="false" ht="15" hidden="false" customHeight="false" outlineLevel="0" collapsed="false">
      <c r="A13" s="0" t="n">
        <v>1212</v>
      </c>
      <c r="B13" s="18" t="n">
        <v>10.2312608238778</v>
      </c>
      <c r="C13" s="18" t="n">
        <v>9.65014498046724</v>
      </c>
      <c r="D13" s="18" t="n">
        <v>10.8123766672883</v>
      </c>
      <c r="E13" s="18" t="n">
        <f aca="false">'Black-Scholes'!$B$21</f>
        <v>10.4505835721856</v>
      </c>
    </row>
    <row r="14" customFormat="false" ht="15" hidden="false" customHeight="false" outlineLevel="0" collapsed="false">
      <c r="A14" s="0" t="n">
        <v>1314</v>
      </c>
      <c r="B14" s="18" t="n">
        <v>10.2477893651302</v>
      </c>
      <c r="C14" s="18" t="n">
        <v>9.6979379463562</v>
      </c>
      <c r="D14" s="18" t="n">
        <v>10.7976407839042</v>
      </c>
      <c r="E14" s="18" t="n">
        <f aca="false">'Black-Scholes'!$B$21</f>
        <v>10.4505835721856</v>
      </c>
    </row>
    <row r="15" customFormat="false" ht="15" hidden="false" customHeight="false" outlineLevel="0" collapsed="false">
      <c r="A15" s="0" t="n">
        <v>1414</v>
      </c>
      <c r="B15" s="18" t="n">
        <v>10.2705983047336</v>
      </c>
      <c r="C15" s="18" t="n">
        <v>9.74415161001548</v>
      </c>
      <c r="D15" s="18" t="n">
        <v>10.7970449994516</v>
      </c>
      <c r="E15" s="18" t="n">
        <f aca="false">'Black-Scholes'!$B$21</f>
        <v>10.4505835721856</v>
      </c>
    </row>
    <row r="16" customFormat="false" ht="15" hidden="false" customHeight="false" outlineLevel="0" collapsed="false">
      <c r="A16" s="0" t="n">
        <v>1516</v>
      </c>
      <c r="B16" s="18" t="n">
        <v>10.1273087132127</v>
      </c>
      <c r="C16" s="18" t="n">
        <v>9.62483325090264</v>
      </c>
      <c r="D16" s="18" t="n">
        <v>10.6297841755228</v>
      </c>
      <c r="E16" s="18" t="n">
        <f aca="false">'Black-Scholes'!$B$21</f>
        <v>10.4505835721856</v>
      </c>
    </row>
    <row r="17" customFormat="false" ht="15" hidden="false" customHeight="false" outlineLevel="0" collapsed="false">
      <c r="A17" s="0" t="n">
        <v>1616</v>
      </c>
      <c r="B17" s="18" t="n">
        <v>10.1115094170044</v>
      </c>
      <c r="C17" s="18" t="n">
        <v>9.62634124492381</v>
      </c>
      <c r="D17" s="18" t="n">
        <v>10.596677589085</v>
      </c>
      <c r="E17" s="18" t="n">
        <f aca="false">'Black-Scholes'!$B$21</f>
        <v>10.4505835721856</v>
      </c>
    </row>
    <row r="18" customFormat="false" ht="15" hidden="false" customHeight="false" outlineLevel="0" collapsed="false">
      <c r="A18" s="0" t="n">
        <v>1718</v>
      </c>
      <c r="B18" s="18" t="n">
        <v>10.1343207737166</v>
      </c>
      <c r="C18" s="18" t="n">
        <v>9.66514774049063</v>
      </c>
      <c r="D18" s="18" t="n">
        <v>10.6034938069426</v>
      </c>
      <c r="E18" s="18" t="n">
        <f aca="false">'Black-Scholes'!$B$21</f>
        <v>10.4505835721856</v>
      </c>
    </row>
    <row r="19" customFormat="false" ht="15" hidden="false" customHeight="false" outlineLevel="0" collapsed="false">
      <c r="A19" s="0" t="n">
        <v>1818</v>
      </c>
      <c r="B19" s="18" t="n">
        <v>10.2154463701076</v>
      </c>
      <c r="C19" s="18" t="n">
        <v>9.74794043788662</v>
      </c>
      <c r="D19" s="18" t="n">
        <v>10.6829523023285</v>
      </c>
      <c r="E19" s="18" t="n">
        <f aca="false">'Black-Scholes'!$B$21</f>
        <v>10.4505835721856</v>
      </c>
    </row>
    <row r="20" customFormat="false" ht="15" hidden="false" customHeight="false" outlineLevel="0" collapsed="false">
      <c r="A20" s="0" t="n">
        <v>1920</v>
      </c>
      <c r="B20" s="18" t="n">
        <v>10.1716104358953</v>
      </c>
      <c r="C20" s="18" t="n">
        <v>9.71924781707153</v>
      </c>
      <c r="D20" s="18" t="n">
        <v>10.6239730547191</v>
      </c>
      <c r="E20" s="18" t="n">
        <f aca="false">'Black-Scholes'!$B$21</f>
        <v>10.4505835721856</v>
      </c>
    </row>
    <row r="21" customFormat="false" ht="15" hidden="false" customHeight="false" outlineLevel="0" collapsed="false">
      <c r="A21" s="0" t="n">
        <v>2020</v>
      </c>
      <c r="B21" s="18" t="n">
        <v>10.2388953801575</v>
      </c>
      <c r="C21" s="18" t="n">
        <v>9.79452565950121</v>
      </c>
      <c r="D21" s="18" t="n">
        <v>10.6832651008137</v>
      </c>
      <c r="E21" s="18" t="n">
        <f aca="false">'Black-Scholes'!$B$21</f>
        <v>10.4505835721856</v>
      </c>
    </row>
    <row r="22" customFormat="false" ht="15" hidden="false" customHeight="false" outlineLevel="0" collapsed="false">
      <c r="A22" s="0" t="n">
        <v>2122</v>
      </c>
      <c r="B22" s="18" t="n">
        <v>10.1429179379801</v>
      </c>
      <c r="C22" s="18" t="n">
        <v>9.71208092623412</v>
      </c>
      <c r="D22" s="18" t="n">
        <v>10.5737549497261</v>
      </c>
      <c r="E22" s="18" t="n">
        <f aca="false">'Black-Scholes'!$B$21</f>
        <v>10.4505835721856</v>
      </c>
    </row>
    <row r="23" customFormat="false" ht="15" hidden="false" customHeight="false" outlineLevel="0" collapsed="false">
      <c r="A23" s="0" t="n">
        <v>2222</v>
      </c>
      <c r="B23" s="18" t="n">
        <v>10.135639759678</v>
      </c>
      <c r="C23" s="18" t="n">
        <v>9.7162099417647</v>
      </c>
      <c r="D23" s="18" t="n">
        <v>10.5550695775912</v>
      </c>
      <c r="E23" s="18" t="n">
        <f aca="false">'Black-Scholes'!$B$21</f>
        <v>10.4505835721856</v>
      </c>
    </row>
    <row r="24" customFormat="false" ht="15" hidden="false" customHeight="false" outlineLevel="0" collapsed="false">
      <c r="A24" s="0" t="n">
        <v>2324</v>
      </c>
      <c r="B24" s="18" t="n">
        <v>10.1280441523848</v>
      </c>
      <c r="C24" s="18" t="n">
        <v>9.71433367635857</v>
      </c>
      <c r="D24" s="18" t="n">
        <v>10.5417546284111</v>
      </c>
      <c r="E24" s="18" t="n">
        <f aca="false">'Black-Scholes'!$B$21</f>
        <v>10.4505835721856</v>
      </c>
    </row>
    <row r="25" customFormat="false" ht="15" hidden="false" customHeight="false" outlineLevel="0" collapsed="false">
      <c r="A25" s="0" t="n">
        <v>2424</v>
      </c>
      <c r="B25" s="18" t="n">
        <v>10.1114536988616</v>
      </c>
      <c r="C25" s="18" t="n">
        <v>9.70685294141932</v>
      </c>
      <c r="D25" s="18" t="n">
        <v>10.5160544563039</v>
      </c>
      <c r="E25" s="18" t="n">
        <f aca="false">'Black-Scholes'!$B$21</f>
        <v>10.4505835721856</v>
      </c>
    </row>
    <row r="26" customFormat="false" ht="15" hidden="false" customHeight="false" outlineLevel="0" collapsed="false">
      <c r="A26" s="0" t="n">
        <v>2526</v>
      </c>
      <c r="B26" s="18" t="n">
        <v>10.0975327530761</v>
      </c>
      <c r="C26" s="18" t="n">
        <v>9.70113749372248</v>
      </c>
      <c r="D26" s="18" t="n">
        <v>10.4939280124297</v>
      </c>
      <c r="E26" s="18" t="n">
        <f aca="false">'Black-Scholes'!$B$21</f>
        <v>10.4505835721856</v>
      </c>
    </row>
    <row r="27" customFormat="false" ht="15" hidden="false" customHeight="false" outlineLevel="0" collapsed="false">
      <c r="A27" s="0" t="n">
        <v>2626</v>
      </c>
      <c r="B27" s="18" t="n">
        <v>10.1245053281408</v>
      </c>
      <c r="C27" s="18" t="n">
        <v>9.73736042664239</v>
      </c>
      <c r="D27" s="18" t="n">
        <v>10.5116502296393</v>
      </c>
      <c r="E27" s="18" t="n">
        <f aca="false">'Black-Scholes'!$B$21</f>
        <v>10.4505835721856</v>
      </c>
    </row>
    <row r="28" customFormat="false" ht="15" hidden="false" customHeight="false" outlineLevel="0" collapsed="false">
      <c r="A28" s="0" t="n">
        <v>2728</v>
      </c>
      <c r="B28" s="18" t="n">
        <v>10.114467845604</v>
      </c>
      <c r="C28" s="18" t="n">
        <v>9.73517342423641</v>
      </c>
      <c r="D28" s="18" t="n">
        <v>10.4937622669716</v>
      </c>
      <c r="E28" s="18" t="n">
        <f aca="false">'Black-Scholes'!$B$21</f>
        <v>10.4505835721856</v>
      </c>
    </row>
    <row r="29" customFormat="false" ht="15" hidden="false" customHeight="false" outlineLevel="0" collapsed="false">
      <c r="A29" s="0" t="n">
        <v>2828</v>
      </c>
      <c r="B29" s="18" t="n">
        <v>10.1481349597063</v>
      </c>
      <c r="C29" s="18" t="n">
        <v>9.7742912981736</v>
      </c>
      <c r="D29" s="18" t="n">
        <v>10.5219786212389</v>
      </c>
      <c r="E29" s="18" t="n">
        <f aca="false">'Black-Scholes'!$B$21</f>
        <v>10.4505835721856</v>
      </c>
    </row>
    <row r="30" customFormat="false" ht="15" hidden="false" customHeight="false" outlineLevel="0" collapsed="false">
      <c r="A30" s="0" t="n">
        <v>2930</v>
      </c>
      <c r="B30" s="18" t="n">
        <v>10.2106683717337</v>
      </c>
      <c r="C30" s="18" t="n">
        <v>9.84123861083547</v>
      </c>
      <c r="D30" s="18" t="n">
        <v>10.580098132632</v>
      </c>
      <c r="E30" s="18" t="n">
        <f aca="false">'Black-Scholes'!$B$21</f>
        <v>10.4505835721856</v>
      </c>
    </row>
    <row r="31" customFormat="false" ht="15" hidden="false" customHeight="false" outlineLevel="0" collapsed="false">
      <c r="A31" s="0" t="n">
        <v>3030</v>
      </c>
      <c r="B31" s="18" t="n">
        <v>10.2155736753556</v>
      </c>
      <c r="C31" s="18" t="n">
        <v>9.85287568325017</v>
      </c>
      <c r="D31" s="18" t="n">
        <v>10.5782716674611</v>
      </c>
      <c r="E31" s="18" t="n">
        <f aca="false">'Black-Scholes'!$B$21</f>
        <v>10.4505835721856</v>
      </c>
    </row>
    <row r="32" customFormat="false" ht="15" hidden="false" customHeight="false" outlineLevel="0" collapsed="false">
      <c r="A32" s="0" t="n">
        <v>3132</v>
      </c>
      <c r="B32" s="18" t="n">
        <v>10.2420008991159</v>
      </c>
      <c r="C32" s="18" t="n">
        <v>9.88285687572474</v>
      </c>
      <c r="D32" s="18" t="n">
        <v>10.6011449225071</v>
      </c>
      <c r="E32" s="18" t="n">
        <f aca="false">'Black-Scholes'!$B$21</f>
        <v>10.4505835721856</v>
      </c>
    </row>
    <row r="33" customFormat="false" ht="15" hidden="false" customHeight="false" outlineLevel="0" collapsed="false">
      <c r="A33" s="0" t="n">
        <v>3232</v>
      </c>
      <c r="B33" s="18" t="n">
        <v>10.2540332355905</v>
      </c>
      <c r="C33" s="18" t="n">
        <v>9.90261782517574</v>
      </c>
      <c r="D33" s="18" t="n">
        <v>10.6054486460052</v>
      </c>
      <c r="E33" s="18" t="n">
        <f aca="false">'Black-Scholes'!$B$21</f>
        <v>10.4505835721856</v>
      </c>
    </row>
    <row r="34" customFormat="false" ht="15" hidden="false" customHeight="false" outlineLevel="0" collapsed="false">
      <c r="A34" s="0" t="n">
        <v>3334</v>
      </c>
      <c r="B34" s="18" t="n">
        <v>10.3064095456153</v>
      </c>
      <c r="C34" s="18" t="n">
        <v>9.95557284830614</v>
      </c>
      <c r="D34" s="18" t="n">
        <v>10.6572462429245</v>
      </c>
      <c r="E34" s="18" t="n">
        <f aca="false">'Black-Scholes'!$B$21</f>
        <v>10.4505835721856</v>
      </c>
    </row>
    <row r="35" customFormat="false" ht="15" hidden="false" customHeight="false" outlineLevel="0" collapsed="false">
      <c r="A35" s="0" t="n">
        <v>3434</v>
      </c>
      <c r="B35" s="18" t="n">
        <v>10.3521196792648</v>
      </c>
      <c r="C35" s="18" t="n">
        <v>10.0048576454742</v>
      </c>
      <c r="D35" s="18" t="n">
        <v>10.6993817130554</v>
      </c>
      <c r="E35" s="18" t="n">
        <f aca="false">'Black-Scholes'!$B$21</f>
        <v>10.4505835721856</v>
      </c>
    </row>
    <row r="36" customFormat="false" ht="15" hidden="false" customHeight="false" outlineLevel="0" collapsed="false">
      <c r="A36" s="0" t="n">
        <v>3536</v>
      </c>
      <c r="B36" s="18" t="n">
        <v>10.3658169184353</v>
      </c>
      <c r="C36" s="18" t="n">
        <v>10.0221023523207</v>
      </c>
      <c r="D36" s="18" t="n">
        <v>10.70953148455</v>
      </c>
      <c r="E36" s="18" t="n">
        <f aca="false">'Black-Scholes'!$B$21</f>
        <v>10.4505835721856</v>
      </c>
    </row>
    <row r="37" customFormat="false" ht="15" hidden="false" customHeight="false" outlineLevel="0" collapsed="false">
      <c r="A37" s="0" t="n">
        <v>3636</v>
      </c>
      <c r="B37" s="18" t="n">
        <v>10.3538612004923</v>
      </c>
      <c r="C37" s="18" t="n">
        <v>10.0160102749433</v>
      </c>
      <c r="D37" s="18" t="n">
        <v>10.6917121260414</v>
      </c>
      <c r="E37" s="18" t="n">
        <f aca="false">'Black-Scholes'!$B$21</f>
        <v>10.4505835721856</v>
      </c>
    </row>
    <row r="38" customFormat="false" ht="15" hidden="false" customHeight="false" outlineLevel="0" collapsed="false">
      <c r="A38" s="0" t="n">
        <v>3738</v>
      </c>
      <c r="B38" s="18" t="n">
        <v>10.3514244527805</v>
      </c>
      <c r="C38" s="18" t="n">
        <v>10.0159004371815</v>
      </c>
      <c r="D38" s="18" t="n">
        <v>10.6869484683794</v>
      </c>
      <c r="E38" s="18" t="n">
        <f aca="false">'Black-Scholes'!$B$21</f>
        <v>10.4505835721856</v>
      </c>
    </row>
    <row r="39" customFormat="false" ht="15" hidden="false" customHeight="false" outlineLevel="0" collapsed="false">
      <c r="A39" s="0" t="n">
        <v>3838</v>
      </c>
      <c r="B39" s="18" t="n">
        <v>10.328387774334</v>
      </c>
      <c r="C39" s="18" t="n">
        <v>9.99570888773169</v>
      </c>
      <c r="D39" s="18" t="n">
        <v>10.6610666609362</v>
      </c>
      <c r="E39" s="18" t="n">
        <f aca="false">'Black-Scholes'!$B$21</f>
        <v>10.4505835721856</v>
      </c>
    </row>
    <row r="40" customFormat="false" ht="15" hidden="false" customHeight="false" outlineLevel="0" collapsed="false">
      <c r="A40" s="0" t="n">
        <v>3940</v>
      </c>
      <c r="B40" s="18" t="n">
        <v>10.298021647885</v>
      </c>
      <c r="C40" s="18" t="n">
        <v>9.97020877557278</v>
      </c>
      <c r="D40" s="18" t="n">
        <v>10.6258345201973</v>
      </c>
      <c r="E40" s="18" t="n">
        <f aca="false">'Black-Scholes'!$B$21</f>
        <v>10.4505835721856</v>
      </c>
    </row>
    <row r="41" customFormat="false" ht="15" hidden="false" customHeight="false" outlineLevel="0" collapsed="false">
      <c r="A41" s="0" t="n">
        <v>4040</v>
      </c>
      <c r="B41" s="18" t="n">
        <v>10.2938152957978</v>
      </c>
      <c r="C41" s="18" t="n">
        <v>9.97017211806579</v>
      </c>
      <c r="D41" s="18" t="n">
        <v>10.6174584735298</v>
      </c>
      <c r="E41" s="18" t="n">
        <f aca="false">'Black-Scholes'!$B$21</f>
        <v>10.4505835721856</v>
      </c>
    </row>
    <row r="42" customFormat="false" ht="15" hidden="false" customHeight="false" outlineLevel="0" collapsed="false">
      <c r="A42" s="0" t="n">
        <v>4142</v>
      </c>
      <c r="B42" s="18" t="n">
        <v>10.2925117779592</v>
      </c>
      <c r="C42" s="18" t="n">
        <v>9.97223247608996</v>
      </c>
      <c r="D42" s="18" t="n">
        <v>10.6127910798285</v>
      </c>
      <c r="E42" s="18" t="n">
        <f aca="false">'Black-Scholes'!$B$21</f>
        <v>10.4505835721856</v>
      </c>
    </row>
    <row r="43" customFormat="false" ht="15" hidden="false" customHeight="false" outlineLevel="0" collapsed="false">
      <c r="A43" s="0" t="n">
        <v>4242</v>
      </c>
      <c r="B43" s="18" t="n">
        <v>10.3016369294999</v>
      </c>
      <c r="C43" s="18" t="n">
        <v>9.98548619767415</v>
      </c>
      <c r="D43" s="18" t="n">
        <v>10.6177876613257</v>
      </c>
      <c r="E43" s="18" t="n">
        <f aca="false">'Black-Scholes'!$B$21</f>
        <v>10.4505835721856</v>
      </c>
    </row>
    <row r="44" customFormat="false" ht="15" hidden="false" customHeight="false" outlineLevel="0" collapsed="false">
      <c r="A44" s="0" t="n">
        <v>4344</v>
      </c>
      <c r="B44" s="18" t="n">
        <v>10.3457367477123</v>
      </c>
      <c r="C44" s="18" t="n">
        <v>10.0325231700351</v>
      </c>
      <c r="D44" s="18" t="n">
        <v>10.6589503253895</v>
      </c>
      <c r="E44" s="18" t="n">
        <f aca="false">'Black-Scholes'!$B$21</f>
        <v>10.4505835721856</v>
      </c>
    </row>
    <row r="45" customFormat="false" ht="15" hidden="false" customHeight="false" outlineLevel="0" collapsed="false">
      <c r="A45" s="0" t="n">
        <v>4444</v>
      </c>
      <c r="B45" s="18" t="n">
        <v>10.3833838921977</v>
      </c>
      <c r="C45" s="18" t="n">
        <v>10.0730291767426</v>
      </c>
      <c r="D45" s="18" t="n">
        <v>10.6937386076528</v>
      </c>
      <c r="E45" s="18" t="n">
        <f aca="false">'Black-Scholes'!$B$21</f>
        <v>10.4505835721856</v>
      </c>
    </row>
    <row r="46" customFormat="false" ht="15" hidden="false" customHeight="false" outlineLevel="0" collapsed="false">
      <c r="A46" s="0" t="n">
        <v>4546</v>
      </c>
      <c r="B46" s="18" t="n">
        <v>10.3856561555439</v>
      </c>
      <c r="C46" s="18" t="n">
        <v>10.0793232804796</v>
      </c>
      <c r="D46" s="18" t="n">
        <v>10.6919890306082</v>
      </c>
      <c r="E46" s="18" t="n">
        <f aca="false">'Black-Scholes'!$B$21</f>
        <v>10.4505835721856</v>
      </c>
    </row>
    <row r="47" customFormat="false" ht="15" hidden="false" customHeight="false" outlineLevel="0" collapsed="false">
      <c r="A47" s="0" t="n">
        <v>4646</v>
      </c>
      <c r="B47" s="18" t="n">
        <v>10.3811306676564</v>
      </c>
      <c r="C47" s="18" t="n">
        <v>10.0792306390662</v>
      </c>
      <c r="D47" s="18" t="n">
        <v>10.6830306962466</v>
      </c>
      <c r="E47" s="18" t="n">
        <f aca="false">'Black-Scholes'!$B$21</f>
        <v>10.4505835721856</v>
      </c>
    </row>
    <row r="48" customFormat="false" ht="15" hidden="false" customHeight="false" outlineLevel="0" collapsed="false">
      <c r="A48" s="0" t="n">
        <v>4748</v>
      </c>
      <c r="B48" s="18" t="n">
        <v>10.3934610394712</v>
      </c>
      <c r="C48" s="18" t="n">
        <v>10.0945822009285</v>
      </c>
      <c r="D48" s="18" t="n">
        <v>10.692339878014</v>
      </c>
      <c r="E48" s="18" t="n">
        <f aca="false">'Black-Scholes'!$B$21</f>
        <v>10.4505835721856</v>
      </c>
    </row>
    <row r="49" customFormat="false" ht="15" hidden="false" customHeight="false" outlineLevel="0" collapsed="false">
      <c r="A49" s="0" t="n">
        <v>4848</v>
      </c>
      <c r="B49" s="18" t="n">
        <v>10.3897362859538</v>
      </c>
      <c r="C49" s="18" t="n">
        <v>10.0942911555149</v>
      </c>
      <c r="D49" s="18" t="n">
        <v>10.6851814163926</v>
      </c>
      <c r="E49" s="18" t="n">
        <f aca="false">'Black-Scholes'!$B$21</f>
        <v>10.4505835721856</v>
      </c>
    </row>
    <row r="50" customFormat="false" ht="15" hidden="false" customHeight="false" outlineLevel="0" collapsed="false">
      <c r="A50" s="0" t="n">
        <v>4950</v>
      </c>
      <c r="B50" s="18" t="n">
        <v>10.3841834126256</v>
      </c>
      <c r="C50" s="18" t="n">
        <v>10.0921684686749</v>
      </c>
      <c r="D50" s="18" t="n">
        <v>10.6761983565762</v>
      </c>
      <c r="E50" s="18" t="n">
        <f aca="false">'Black-Scholes'!$B$21</f>
        <v>10.4505835721856</v>
      </c>
    </row>
    <row r="51" customFormat="false" ht="15" hidden="false" customHeight="false" outlineLevel="0" collapsed="false">
      <c r="A51" s="0" t="n">
        <v>5050</v>
      </c>
      <c r="B51" s="18" t="n">
        <v>10.3910393552026</v>
      </c>
      <c r="C51" s="18" t="n">
        <v>10.1022547948114</v>
      </c>
      <c r="D51" s="18" t="n">
        <v>10.6798239155937</v>
      </c>
      <c r="E51" s="18" t="n">
        <f aca="false">'Black-Scholes'!$B$21</f>
        <v>10.4505835721856</v>
      </c>
    </row>
    <row r="52" customFormat="false" ht="15" hidden="false" customHeight="false" outlineLevel="0" collapsed="false">
      <c r="A52" s="0" t="n">
        <v>5152</v>
      </c>
      <c r="B52" s="18" t="n">
        <v>10.3799382913956</v>
      </c>
      <c r="C52" s="18" t="n">
        <v>10.094776589847</v>
      </c>
      <c r="D52" s="18" t="n">
        <v>10.6650999929441</v>
      </c>
      <c r="E52" s="18" t="n">
        <f aca="false">'Black-Scholes'!$B$21</f>
        <v>10.4505835721856</v>
      </c>
    </row>
    <row r="53" customFormat="false" ht="15" hidden="false" customHeight="false" outlineLevel="0" collapsed="false">
      <c r="A53" s="0" t="n">
        <v>5252</v>
      </c>
      <c r="B53" s="18" t="n">
        <v>10.3714826798405</v>
      </c>
      <c r="C53" s="18" t="n">
        <v>10.0890440385846</v>
      </c>
      <c r="D53" s="18" t="n">
        <v>10.6539213210964</v>
      </c>
      <c r="E53" s="18" t="n">
        <f aca="false">'Black-Scholes'!$B$21</f>
        <v>10.4505835721856</v>
      </c>
    </row>
    <row r="54" customFormat="false" ht="15" hidden="false" customHeight="false" outlineLevel="0" collapsed="false">
      <c r="A54" s="0" t="n">
        <v>5354</v>
      </c>
      <c r="B54" s="18" t="n">
        <v>10.3985829035726</v>
      </c>
      <c r="C54" s="18" t="n">
        <v>10.117850326136</v>
      </c>
      <c r="D54" s="18" t="n">
        <v>10.6793154810092</v>
      </c>
      <c r="E54" s="18" t="n">
        <f aca="false">'Black-Scholes'!$B$21</f>
        <v>10.4505835721856</v>
      </c>
    </row>
    <row r="55" customFormat="false" ht="15" hidden="false" customHeight="false" outlineLevel="0" collapsed="false">
      <c r="A55" s="0" t="n">
        <v>5454</v>
      </c>
      <c r="B55" s="18" t="n">
        <v>10.3910568653075</v>
      </c>
      <c r="C55" s="18" t="n">
        <v>10.1129030349326</v>
      </c>
      <c r="D55" s="18" t="n">
        <v>10.6692106956824</v>
      </c>
      <c r="E55" s="18" t="n">
        <f aca="false">'Black-Scholes'!$B$21</f>
        <v>10.4505835721856</v>
      </c>
    </row>
    <row r="56" customFormat="false" ht="15" hidden="false" customHeight="false" outlineLevel="0" collapsed="false">
      <c r="A56" s="0" t="n">
        <v>5556</v>
      </c>
      <c r="B56" s="18" t="n">
        <v>10.4088115819618</v>
      </c>
      <c r="C56" s="18" t="n">
        <v>10.131697597562</v>
      </c>
      <c r="D56" s="18" t="n">
        <v>10.6859255663616</v>
      </c>
      <c r="E56" s="18" t="n">
        <f aca="false">'Black-Scholes'!$B$21</f>
        <v>10.4505835721856</v>
      </c>
    </row>
    <row r="57" customFormat="false" ht="15" hidden="false" customHeight="false" outlineLevel="0" collapsed="false">
      <c r="A57" s="0" t="n">
        <v>5656</v>
      </c>
      <c r="B57" s="18" t="n">
        <v>10.3658310516567</v>
      </c>
      <c r="C57" s="18" t="n">
        <v>10.0918545928799</v>
      </c>
      <c r="D57" s="18" t="n">
        <v>10.6398075104335</v>
      </c>
      <c r="E57" s="18" t="n">
        <f aca="false">'Black-Scholes'!$B$21</f>
        <v>10.4505835721856</v>
      </c>
    </row>
    <row r="58" customFormat="false" ht="15" hidden="false" customHeight="false" outlineLevel="0" collapsed="false">
      <c r="A58" s="0" t="n">
        <v>5758</v>
      </c>
      <c r="B58" s="18" t="n">
        <v>10.3757335564076</v>
      </c>
      <c r="C58" s="18" t="n">
        <v>10.1036672027726</v>
      </c>
      <c r="D58" s="18" t="n">
        <v>10.6477999100426</v>
      </c>
      <c r="E58" s="18" t="n">
        <f aca="false">'Black-Scholes'!$B$21</f>
        <v>10.4505835721856</v>
      </c>
    </row>
    <row r="59" customFormat="false" ht="15" hidden="false" customHeight="false" outlineLevel="0" collapsed="false">
      <c r="A59" s="0" t="n">
        <v>5858</v>
      </c>
      <c r="B59" s="18" t="n">
        <v>10.4054414117591</v>
      </c>
      <c r="C59" s="18" t="n">
        <v>10.1356495096589</v>
      </c>
      <c r="D59" s="18" t="n">
        <v>10.6752333138593</v>
      </c>
      <c r="E59" s="18" t="n">
        <f aca="false">'Black-Scholes'!$B$21</f>
        <v>10.4505835721856</v>
      </c>
    </row>
    <row r="60" customFormat="false" ht="15" hidden="false" customHeight="false" outlineLevel="0" collapsed="false">
      <c r="A60" s="0" t="n">
        <v>5960</v>
      </c>
      <c r="B60" s="18" t="n">
        <v>10.397344185502</v>
      </c>
      <c r="C60" s="18" t="n">
        <v>10.1303508187218</v>
      </c>
      <c r="D60" s="18" t="n">
        <v>10.6643375522822</v>
      </c>
      <c r="E60" s="18" t="n">
        <f aca="false">'Black-Scholes'!$B$21</f>
        <v>10.4505835721856</v>
      </c>
    </row>
    <row r="61" customFormat="false" ht="15" hidden="false" customHeight="false" outlineLevel="0" collapsed="false">
      <c r="A61" s="0" t="n">
        <v>6060</v>
      </c>
      <c r="B61" s="18" t="n">
        <v>10.3864217637633</v>
      </c>
      <c r="C61" s="18" t="n">
        <v>10.1220005650197</v>
      </c>
      <c r="D61" s="18" t="n">
        <v>10.6508429625069</v>
      </c>
      <c r="E61" s="18" t="n">
        <f aca="false">'Black-Scholes'!$B$21</f>
        <v>10.4505835721856</v>
      </c>
    </row>
    <row r="62" customFormat="false" ht="15" hidden="false" customHeight="false" outlineLevel="0" collapsed="false">
      <c r="A62" s="0" t="n">
        <v>6162</v>
      </c>
      <c r="B62" s="18" t="n">
        <v>10.4110784363576</v>
      </c>
      <c r="C62" s="18" t="n">
        <v>10.1488725477067</v>
      </c>
      <c r="D62" s="18" t="n">
        <v>10.6732843250085</v>
      </c>
      <c r="E62" s="18" t="n">
        <f aca="false">'Black-Scholes'!$B$21</f>
        <v>10.4505835721856</v>
      </c>
    </row>
    <row r="63" customFormat="false" ht="15" hidden="false" customHeight="false" outlineLevel="0" collapsed="false">
      <c r="A63" s="0" t="n">
        <v>6262</v>
      </c>
      <c r="B63" s="18" t="n">
        <v>10.4042163900918</v>
      </c>
      <c r="C63" s="18" t="n">
        <v>10.1446871119974</v>
      </c>
      <c r="D63" s="18" t="n">
        <v>10.6637456681863</v>
      </c>
      <c r="E63" s="18" t="n">
        <f aca="false">'Black-Scholes'!$B$21</f>
        <v>10.4505835721856</v>
      </c>
    </row>
    <row r="64" customFormat="false" ht="15" hidden="false" customHeight="false" outlineLevel="0" collapsed="false">
      <c r="A64" s="0" t="n">
        <v>6364</v>
      </c>
      <c r="B64" s="18" t="n">
        <v>10.3880674388991</v>
      </c>
      <c r="C64" s="18" t="n">
        <v>10.1298827134793</v>
      </c>
      <c r="D64" s="18" t="n">
        <v>10.6462521643188</v>
      </c>
      <c r="E64" s="18" t="n">
        <f aca="false">'Black-Scholes'!$B$21</f>
        <v>10.4505835721856</v>
      </c>
    </row>
    <row r="65" customFormat="false" ht="15" hidden="false" customHeight="false" outlineLevel="0" collapsed="false">
      <c r="A65" s="0" t="n">
        <v>6464</v>
      </c>
      <c r="B65" s="18" t="n">
        <v>10.3822874771696</v>
      </c>
      <c r="C65" s="18" t="n">
        <v>10.1265857445271</v>
      </c>
      <c r="D65" s="18" t="n">
        <v>10.6379892098122</v>
      </c>
      <c r="E65" s="18" t="n">
        <f aca="false">'Black-Scholes'!$B$21</f>
        <v>10.4505835721856</v>
      </c>
    </row>
    <row r="66" customFormat="false" ht="15" hidden="false" customHeight="false" outlineLevel="0" collapsed="false">
      <c r="A66" s="0" t="n">
        <v>6566</v>
      </c>
      <c r="B66" s="18" t="n">
        <v>10.4134137831129</v>
      </c>
      <c r="C66" s="18" t="n">
        <v>10.1589030718304</v>
      </c>
      <c r="D66" s="18" t="n">
        <v>10.6679244943954</v>
      </c>
      <c r="E66" s="18" t="n">
        <f aca="false">'Black-Scholes'!$B$21</f>
        <v>10.4505835721856</v>
      </c>
    </row>
    <row r="67" customFormat="false" ht="15" hidden="false" customHeight="false" outlineLevel="0" collapsed="false">
      <c r="A67" s="0" t="n">
        <v>6666</v>
      </c>
      <c r="B67" s="18" t="n">
        <v>10.4091644576084</v>
      </c>
      <c r="C67" s="18" t="n">
        <v>10.1564396134814</v>
      </c>
      <c r="D67" s="18" t="n">
        <v>10.6618893017354</v>
      </c>
      <c r="E67" s="18" t="n">
        <f aca="false">'Black-Scholes'!$B$21</f>
        <v>10.4505835721856</v>
      </c>
    </row>
    <row r="68" customFormat="false" ht="15" hidden="false" customHeight="false" outlineLevel="0" collapsed="false">
      <c r="A68" s="0" t="n">
        <v>6768</v>
      </c>
      <c r="B68" s="18" t="n">
        <v>10.4102254978664</v>
      </c>
      <c r="C68" s="18" t="n">
        <v>10.1595754128866</v>
      </c>
      <c r="D68" s="18" t="n">
        <v>10.6608755828463</v>
      </c>
      <c r="E68" s="18" t="n">
        <f aca="false">'Black-Scholes'!$B$21</f>
        <v>10.4505835721856</v>
      </c>
    </row>
    <row r="69" customFormat="false" ht="15" hidden="false" customHeight="false" outlineLevel="0" collapsed="false">
      <c r="A69" s="0" t="n">
        <v>6868</v>
      </c>
      <c r="B69" s="18" t="n">
        <v>10.3914056807611</v>
      </c>
      <c r="C69" s="18" t="n">
        <v>10.1428640331999</v>
      </c>
      <c r="D69" s="18" t="n">
        <v>10.6399473283224</v>
      </c>
      <c r="E69" s="18" t="n">
        <f aca="false">'Black-Scholes'!$B$21</f>
        <v>10.4505835721856</v>
      </c>
    </row>
    <row r="70" customFormat="false" ht="15" hidden="false" customHeight="false" outlineLevel="0" collapsed="false">
      <c r="A70" s="0" t="n">
        <v>6970</v>
      </c>
      <c r="B70" s="18" t="n">
        <v>10.4123454371422</v>
      </c>
      <c r="C70" s="18" t="n">
        <v>10.1645935893617</v>
      </c>
      <c r="D70" s="18" t="n">
        <v>10.6600972849227</v>
      </c>
      <c r="E70" s="18" t="n">
        <f aca="false">'Black-Scholes'!$B$21</f>
        <v>10.4505835721856</v>
      </c>
    </row>
    <row r="71" customFormat="false" ht="15" hidden="false" customHeight="false" outlineLevel="0" collapsed="false">
      <c r="A71" s="0" t="n">
        <v>7070</v>
      </c>
      <c r="B71" s="18" t="n">
        <v>10.4162116274876</v>
      </c>
      <c r="C71" s="18" t="n">
        <v>10.1700738344794</v>
      </c>
      <c r="D71" s="18" t="n">
        <v>10.6623494204957</v>
      </c>
      <c r="E71" s="18" t="n">
        <f aca="false">'Black-Scholes'!$B$21</f>
        <v>10.4505835721856</v>
      </c>
    </row>
    <row r="72" customFormat="false" ht="15" hidden="false" customHeight="false" outlineLevel="0" collapsed="false">
      <c r="A72" s="0" t="n">
        <v>7172</v>
      </c>
      <c r="B72" s="18" t="n">
        <v>10.4562449161456</v>
      </c>
      <c r="C72" s="18" t="n">
        <v>10.2111899975742</v>
      </c>
      <c r="D72" s="18" t="n">
        <v>10.7012998347171</v>
      </c>
      <c r="E72" s="18" t="n">
        <f aca="false">'Black-Scholes'!$B$21</f>
        <v>10.4505835721856</v>
      </c>
    </row>
    <row r="73" customFormat="false" ht="15" hidden="false" customHeight="false" outlineLevel="0" collapsed="false">
      <c r="A73" s="0" t="n">
        <v>7272</v>
      </c>
      <c r="B73" s="18" t="n">
        <v>10.4347942840457</v>
      </c>
      <c r="C73" s="18" t="n">
        <v>10.1916253285929</v>
      </c>
      <c r="D73" s="18" t="n">
        <v>10.6779632394984</v>
      </c>
      <c r="E73" s="18" t="n">
        <f aca="false">'Black-Scholes'!$B$21</f>
        <v>10.4505835721856</v>
      </c>
    </row>
    <row r="74" customFormat="false" ht="15" hidden="false" customHeight="false" outlineLevel="0" collapsed="false">
      <c r="A74" s="0" t="n">
        <v>7374</v>
      </c>
      <c r="B74" s="18" t="n">
        <v>10.4292643801543</v>
      </c>
      <c r="C74" s="18" t="n">
        <v>10.188011441247</v>
      </c>
      <c r="D74" s="18" t="n">
        <v>10.6705173190616</v>
      </c>
      <c r="E74" s="18" t="n">
        <f aca="false">'Black-Scholes'!$B$21</f>
        <v>10.4505835721856</v>
      </c>
    </row>
    <row r="75" customFormat="false" ht="15" hidden="false" customHeight="false" outlineLevel="0" collapsed="false">
      <c r="A75" s="0" t="n">
        <v>7474</v>
      </c>
      <c r="B75" s="18" t="n">
        <v>10.4301362878611</v>
      </c>
      <c r="C75" s="18" t="n">
        <v>10.1898355200544</v>
      </c>
      <c r="D75" s="18" t="n">
        <v>10.6704370556678</v>
      </c>
      <c r="E75" s="18" t="n">
        <f aca="false">'Black-Scholes'!$B$21</f>
        <v>10.4505835721856</v>
      </c>
    </row>
    <row r="76" customFormat="false" ht="15" hidden="false" customHeight="false" outlineLevel="0" collapsed="false">
      <c r="A76" s="0" t="n">
        <v>7576</v>
      </c>
      <c r="B76" s="18" t="n">
        <v>10.4137233812719</v>
      </c>
      <c r="C76" s="18" t="n">
        <v>10.1758926544306</v>
      </c>
      <c r="D76" s="18" t="n">
        <v>10.6515541081132</v>
      </c>
      <c r="E76" s="18" t="n">
        <f aca="false">'Black-Scholes'!$B$21</f>
        <v>10.4505835721856</v>
      </c>
    </row>
    <row r="77" customFormat="false" ht="15" hidden="false" customHeight="false" outlineLevel="0" collapsed="false">
      <c r="A77" s="0" t="n">
        <v>7676</v>
      </c>
      <c r="B77" s="18" t="n">
        <v>10.424972279737</v>
      </c>
      <c r="C77" s="18" t="n">
        <v>10.1888964911273</v>
      </c>
      <c r="D77" s="18" t="n">
        <v>10.6610480683468</v>
      </c>
      <c r="E77" s="18" t="n">
        <f aca="false">'Black-Scholes'!$B$21</f>
        <v>10.4505835721856</v>
      </c>
    </row>
    <row r="78" customFormat="false" ht="15" hidden="false" customHeight="false" outlineLevel="0" collapsed="false">
      <c r="A78" s="0" t="n">
        <v>7778</v>
      </c>
      <c r="B78" s="18" t="n">
        <v>10.4286684886566</v>
      </c>
      <c r="C78" s="18" t="n">
        <v>10.1945105884816</v>
      </c>
      <c r="D78" s="18" t="n">
        <v>10.6628263888317</v>
      </c>
      <c r="E78" s="18" t="n">
        <f aca="false">'Black-Scholes'!$B$21</f>
        <v>10.4505835721856</v>
      </c>
    </row>
    <row r="79" customFormat="false" ht="15" hidden="false" customHeight="false" outlineLevel="0" collapsed="false">
      <c r="A79" s="0" t="n">
        <v>7878</v>
      </c>
      <c r="B79" s="18" t="n">
        <v>10.4251261194364</v>
      </c>
      <c r="C79" s="18" t="n">
        <v>10.1927519844607</v>
      </c>
      <c r="D79" s="18" t="n">
        <v>10.6575002544121</v>
      </c>
      <c r="E79" s="18" t="n">
        <f aca="false">'Black-Scholes'!$B$21</f>
        <v>10.4505835721856</v>
      </c>
    </row>
    <row r="80" customFormat="false" ht="15" hidden="false" customHeight="false" outlineLevel="0" collapsed="false">
      <c r="A80" s="0" t="n">
        <v>7980</v>
      </c>
      <c r="B80" s="18" t="n">
        <v>10.4283588990423</v>
      </c>
      <c r="C80" s="18" t="n">
        <v>10.1976082918736</v>
      </c>
      <c r="D80" s="18" t="n">
        <v>10.6591095062109</v>
      </c>
      <c r="E80" s="18" t="n">
        <f aca="false">'Black-Scholes'!$B$21</f>
        <v>10.4505835721856</v>
      </c>
    </row>
    <row r="81" customFormat="false" ht="15" hidden="false" customHeight="false" outlineLevel="0" collapsed="false">
      <c r="A81" s="0" t="n">
        <v>8080</v>
      </c>
      <c r="B81" s="18" t="n">
        <v>10.4047990782241</v>
      </c>
      <c r="C81" s="18" t="n">
        <v>10.1761177003271</v>
      </c>
      <c r="D81" s="18" t="n">
        <v>10.633480456121</v>
      </c>
      <c r="E81" s="18" t="n">
        <f aca="false">'Black-Scholes'!$B$21</f>
        <v>10.4505835721856</v>
      </c>
    </row>
    <row r="82" customFormat="false" ht="15" hidden="false" customHeight="false" outlineLevel="0" collapsed="false">
      <c r="A82" s="0" t="n">
        <v>8182</v>
      </c>
      <c r="B82" s="18" t="n">
        <v>10.3994325371723</v>
      </c>
      <c r="C82" s="18" t="n">
        <v>10.1720611111981</v>
      </c>
      <c r="D82" s="18" t="n">
        <v>10.6268039631466</v>
      </c>
      <c r="E82" s="18" t="n">
        <f aca="false">'Black-Scholes'!$B$21</f>
        <v>10.4505835721856</v>
      </c>
    </row>
    <row r="83" customFormat="false" ht="15" hidden="false" customHeight="false" outlineLevel="0" collapsed="false">
      <c r="A83" s="0" t="n">
        <v>8282</v>
      </c>
      <c r="B83" s="18" t="n">
        <v>10.3981352275082</v>
      </c>
      <c r="C83" s="18" t="n">
        <v>10.1722545125508</v>
      </c>
      <c r="D83" s="18" t="n">
        <v>10.6240159424656</v>
      </c>
      <c r="E83" s="18" t="n">
        <f aca="false">'Black-Scholes'!$B$21</f>
        <v>10.4505835721856</v>
      </c>
    </row>
    <row r="84" customFormat="false" ht="15" hidden="false" customHeight="false" outlineLevel="0" collapsed="false">
      <c r="A84" s="0" t="n">
        <v>8384</v>
      </c>
      <c r="B84" s="18" t="n">
        <v>10.4091187056059</v>
      </c>
      <c r="C84" s="18" t="n">
        <v>10.1846008241929</v>
      </c>
      <c r="D84" s="18" t="n">
        <v>10.6336365870189</v>
      </c>
      <c r="E84" s="18" t="n">
        <f aca="false">'Black-Scholes'!$B$21</f>
        <v>10.4505835721856</v>
      </c>
    </row>
    <row r="85" customFormat="false" ht="15" hidden="false" customHeight="false" outlineLevel="0" collapsed="false">
      <c r="A85" s="0" t="n">
        <v>8484</v>
      </c>
      <c r="B85" s="18" t="n">
        <v>10.4100918477669</v>
      </c>
      <c r="C85" s="18" t="n">
        <v>10.1867630929881</v>
      </c>
      <c r="D85" s="18" t="n">
        <v>10.6334206025456</v>
      </c>
      <c r="E85" s="18" t="n">
        <f aca="false">'Black-Scholes'!$B$21</f>
        <v>10.4505835721856</v>
      </c>
    </row>
    <row r="86" customFormat="false" ht="15" hidden="false" customHeight="false" outlineLevel="0" collapsed="false">
      <c r="A86" s="0" t="n">
        <v>8586</v>
      </c>
      <c r="B86" s="18" t="n">
        <v>10.4045386483487</v>
      </c>
      <c r="C86" s="18" t="n">
        <v>10.1824677971313</v>
      </c>
      <c r="D86" s="18" t="n">
        <v>10.626609499566</v>
      </c>
      <c r="E86" s="18" t="n">
        <f aca="false">'Black-Scholes'!$B$21</f>
        <v>10.4505835721856</v>
      </c>
    </row>
    <row r="87" customFormat="false" ht="15" hidden="false" customHeight="false" outlineLevel="0" collapsed="false">
      <c r="A87" s="0" t="n">
        <v>8686</v>
      </c>
      <c r="B87" s="18" t="n">
        <v>10.3965078742202</v>
      </c>
      <c r="C87" s="18" t="n">
        <v>10.1761433565185</v>
      </c>
      <c r="D87" s="18" t="n">
        <v>10.6168723919219</v>
      </c>
      <c r="E87" s="18" t="n">
        <f aca="false">'Black-Scholes'!$B$21</f>
        <v>10.4505835721856</v>
      </c>
    </row>
    <row r="88" customFormat="false" ht="15" hidden="false" customHeight="false" outlineLevel="0" collapsed="false">
      <c r="A88" s="0" t="n">
        <v>8788</v>
      </c>
      <c r="B88" s="18" t="n">
        <v>10.3768810651638</v>
      </c>
      <c r="C88" s="18" t="n">
        <v>10.1581100373501</v>
      </c>
      <c r="D88" s="18" t="n">
        <v>10.5956520929775</v>
      </c>
      <c r="E88" s="18" t="n">
        <f aca="false">'Black-Scholes'!$B$21</f>
        <v>10.4505835721856</v>
      </c>
    </row>
    <row r="89" customFormat="false" ht="15" hidden="false" customHeight="false" outlineLevel="0" collapsed="false">
      <c r="A89" s="0" t="n">
        <v>8888</v>
      </c>
      <c r="B89" s="18" t="n">
        <v>10.3830204936435</v>
      </c>
      <c r="C89" s="18" t="n">
        <v>10.165183367398</v>
      </c>
      <c r="D89" s="18" t="n">
        <v>10.600857619889</v>
      </c>
      <c r="E89" s="18" t="n">
        <f aca="false">'Black-Scholes'!$B$21</f>
        <v>10.4505835721856</v>
      </c>
    </row>
    <row r="90" customFormat="false" ht="15" hidden="false" customHeight="false" outlineLevel="0" collapsed="false">
      <c r="A90" s="0" t="n">
        <v>8990</v>
      </c>
      <c r="B90" s="18" t="n">
        <v>10.374010747967</v>
      </c>
      <c r="C90" s="18" t="n">
        <v>10.1576242400055</v>
      </c>
      <c r="D90" s="18" t="n">
        <v>10.5903972559285</v>
      </c>
      <c r="E90" s="18" t="n">
        <f aca="false">'Black-Scholes'!$B$21</f>
        <v>10.4505835721856</v>
      </c>
    </row>
    <row r="91" customFormat="false" ht="15" hidden="false" customHeight="false" outlineLevel="0" collapsed="false">
      <c r="A91" s="0" t="n">
        <v>9090</v>
      </c>
      <c r="B91" s="18" t="n">
        <v>10.3655780627049</v>
      </c>
      <c r="C91" s="18" t="n">
        <v>10.1504712701303</v>
      </c>
      <c r="D91" s="18" t="n">
        <v>10.5806848552795</v>
      </c>
      <c r="E91" s="18" t="n">
        <f aca="false">'Black-Scholes'!$B$21</f>
        <v>10.4505835721856</v>
      </c>
    </row>
    <row r="92" customFormat="false" ht="15" hidden="false" customHeight="false" outlineLevel="0" collapsed="false">
      <c r="A92" s="0" t="n">
        <v>9192</v>
      </c>
      <c r="B92" s="18" t="n">
        <v>10.3547027406064</v>
      </c>
      <c r="C92" s="18" t="n">
        <v>10.1411664375824</v>
      </c>
      <c r="D92" s="18" t="n">
        <v>10.5682390436303</v>
      </c>
      <c r="E92" s="18" t="n">
        <f aca="false">'Black-Scholes'!$B$21</f>
        <v>10.4505835721856</v>
      </c>
    </row>
    <row r="93" customFormat="false" ht="15" hidden="false" customHeight="false" outlineLevel="0" collapsed="false">
      <c r="A93" s="0" t="n">
        <v>9292</v>
      </c>
      <c r="B93" s="18" t="n">
        <v>10.3667091490624</v>
      </c>
      <c r="C93" s="18" t="n">
        <v>10.1539379395645</v>
      </c>
      <c r="D93" s="18" t="n">
        <v>10.5794803585602</v>
      </c>
      <c r="E93" s="18" t="n">
        <f aca="false">'Black-Scholes'!$B$21</f>
        <v>10.4505835721856</v>
      </c>
    </row>
    <row r="94" customFormat="false" ht="15" hidden="false" customHeight="false" outlineLevel="0" collapsed="false">
      <c r="A94" s="0" t="n">
        <v>9394</v>
      </c>
      <c r="B94" s="18" t="n">
        <v>10.3611800287762</v>
      </c>
      <c r="C94" s="18" t="n">
        <v>10.1492574131213</v>
      </c>
      <c r="D94" s="18" t="n">
        <v>10.573102644431</v>
      </c>
      <c r="E94" s="18" t="n">
        <f aca="false">'Black-Scholes'!$B$21</f>
        <v>10.4505835721856</v>
      </c>
    </row>
    <row r="95" customFormat="false" ht="15" hidden="false" customHeight="false" outlineLevel="0" collapsed="false">
      <c r="A95" s="0" t="n">
        <v>9494</v>
      </c>
      <c r="B95" s="18" t="n">
        <v>10.3599972811821</v>
      </c>
      <c r="C95" s="18" t="n">
        <v>10.1486745372966</v>
      </c>
      <c r="D95" s="18" t="n">
        <v>10.5713200250676</v>
      </c>
      <c r="E95" s="18" t="n">
        <f aca="false">'Black-Scholes'!$B$21</f>
        <v>10.4505835721856</v>
      </c>
    </row>
    <row r="96" customFormat="false" ht="15" hidden="false" customHeight="false" outlineLevel="0" collapsed="false">
      <c r="A96" s="0" t="n">
        <v>9596</v>
      </c>
      <c r="B96" s="18" t="n">
        <v>10.3607565849664</v>
      </c>
      <c r="C96" s="18" t="n">
        <v>10.1505878203308</v>
      </c>
      <c r="D96" s="18" t="n">
        <v>10.570925349602</v>
      </c>
      <c r="E96" s="18" t="n">
        <f aca="false">'Black-Scholes'!$B$21</f>
        <v>10.4505835721856</v>
      </c>
    </row>
    <row r="97" customFormat="false" ht="15" hidden="false" customHeight="false" outlineLevel="0" collapsed="false">
      <c r="A97" s="0" t="n">
        <v>9696</v>
      </c>
      <c r="B97" s="18" t="n">
        <v>10.3656573044271</v>
      </c>
      <c r="C97" s="18" t="n">
        <v>10.1567049911585</v>
      </c>
      <c r="D97" s="18" t="n">
        <v>10.5746096176957</v>
      </c>
      <c r="E97" s="18" t="n">
        <f aca="false">'Black-Scholes'!$B$21</f>
        <v>10.4505835721856</v>
      </c>
    </row>
    <row r="98" customFormat="false" ht="15" hidden="false" customHeight="false" outlineLevel="0" collapsed="false">
      <c r="A98" s="0" t="n">
        <v>9798</v>
      </c>
      <c r="B98" s="18" t="n">
        <v>10.3661962396558</v>
      </c>
      <c r="C98" s="18" t="n">
        <v>10.1585460746022</v>
      </c>
      <c r="D98" s="18" t="n">
        <v>10.5738464047094</v>
      </c>
      <c r="E98" s="18" t="n">
        <f aca="false">'Black-Scholes'!$B$21</f>
        <v>10.4505835721856</v>
      </c>
    </row>
    <row r="99" customFormat="false" ht="15" hidden="false" customHeight="false" outlineLevel="0" collapsed="false">
      <c r="A99" s="0" t="n">
        <v>9898</v>
      </c>
      <c r="B99" s="18" t="n">
        <v>10.3536489736787</v>
      </c>
      <c r="C99" s="18" t="n">
        <v>10.1474016511009</v>
      </c>
      <c r="D99" s="18" t="n">
        <v>10.5598962962565</v>
      </c>
      <c r="E99" s="18" t="n">
        <f aca="false">'Black-Scholes'!$B$21</f>
        <v>10.4505835721856</v>
      </c>
    </row>
    <row r="100" customFormat="false" ht="15" hidden="false" customHeight="false" outlineLevel="0" collapsed="false">
      <c r="A100" s="0" t="n">
        <v>10000</v>
      </c>
      <c r="B100" s="18" t="n">
        <v>10.3424823994076</v>
      </c>
      <c r="C100" s="18" t="n">
        <v>10.1375678087034</v>
      </c>
      <c r="D100" s="18" t="n">
        <v>10.5473969901119</v>
      </c>
      <c r="E100" s="18" t="n">
        <f aca="false">'Black-Scholes'!$B$21</f>
        <v>10.4505835721856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2026-10-01T19:44:02Z</dcterms:created>
  <dc:creator>openpyxl</dc:creator>
  <dc:description/>
  <dc:language>en-US</dc:language>
  <cp:lastModifiedBy/>
  <dcterms:modified xsi:type="dcterms:W3CDTF">2026-10-01T19:44:08Z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